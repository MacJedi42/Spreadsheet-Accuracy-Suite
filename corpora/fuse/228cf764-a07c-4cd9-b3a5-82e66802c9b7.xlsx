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5940" windowWidth="12120" windowHeight="5505" tabRatio="599" activeTab="3"/>
  </bookViews>
  <sheets>
    <sheet name="instruction-districts" sheetId="1" r:id="rId1"/>
    <sheet name="support-districts" sheetId="3" r:id="rId2"/>
    <sheet name="instruction-charters" sheetId="2" r:id="rId3"/>
    <sheet name="support-charters" sheetId="4" r:id="rId4"/>
  </sheets>
  <definedNames>
    <definedName name="_xlnm.Print_Area" localSheetId="2">'instruction-charters'!$C$4:$O$91</definedName>
    <definedName name="_xlnm.Print_Area" localSheetId="0">'instruction-districts'!$B$2:$N$50</definedName>
    <definedName name="_xlnm.Print_Area" localSheetId="3">'support-charters'!$B$4:$M$88</definedName>
    <definedName name="_xlnm.Print_Area" localSheetId="1">'support-districts'!$B$1:$M$51</definedName>
  </definedNames>
  <calcPr calcId="125725"/>
</workbook>
</file>

<file path=xl/calcChain.xml><?xml version="1.0" encoding="utf-8"?>
<calcChain xmlns="http://schemas.openxmlformats.org/spreadsheetml/2006/main">
  <c r="O87" i="4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M12" s="1"/>
  <c r="O11"/>
  <c r="M11" s="1"/>
  <c r="O10"/>
  <c r="M10" s="1"/>
  <c r="O9"/>
  <c r="M9" s="1"/>
  <c r="O8"/>
  <c r="M8" s="1"/>
  <c r="N12"/>
  <c r="N11"/>
  <c r="N10"/>
  <c r="N9"/>
  <c r="N8"/>
  <c r="O48" i="3" l="1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P88" i="2"/>
  <c r="N87" i="4" s="1"/>
  <c r="M87" s="1"/>
  <c r="P87" i="2"/>
  <c r="N86" i="4" s="1"/>
  <c r="M86" s="1"/>
  <c r="P86" i="2"/>
  <c r="N85" i="4" s="1"/>
  <c r="M85" s="1"/>
  <c r="P85" i="2"/>
  <c r="N84" i="4" s="1"/>
  <c r="M84" s="1"/>
  <c r="P84" i="2"/>
  <c r="N83" i="4" s="1"/>
  <c r="M83" s="1"/>
  <c r="P83" i="2"/>
  <c r="N82" i="4" s="1"/>
  <c r="M82" s="1"/>
  <c r="P82" i="2"/>
  <c r="N81" i="4" s="1"/>
  <c r="M81" s="1"/>
  <c r="P81" i="2"/>
  <c r="N80" i="4" s="1"/>
  <c r="M80" s="1"/>
  <c r="P80" i="2"/>
  <c r="N79" i="4" s="1"/>
  <c r="M79" s="1"/>
  <c r="P79" i="2"/>
  <c r="N78" i="4" s="1"/>
  <c r="M78" s="1"/>
  <c r="P78" i="2"/>
  <c r="N77" i="4" s="1"/>
  <c r="M77" s="1"/>
  <c r="P77" i="2"/>
  <c r="N76" i="4" s="1"/>
  <c r="M76" s="1"/>
  <c r="P76" i="2"/>
  <c r="N75" i="4" s="1"/>
  <c r="M75" s="1"/>
  <c r="P75" i="2"/>
  <c r="N74" i="4" s="1"/>
  <c r="M74" s="1"/>
  <c r="P74" i="2"/>
  <c r="N73" i="4" s="1"/>
  <c r="M73" s="1"/>
  <c r="P73" i="2"/>
  <c r="N72" i="4" s="1"/>
  <c r="M72" s="1"/>
  <c r="P72" i="2"/>
  <c r="N71" i="4" s="1"/>
  <c r="M71" s="1"/>
  <c r="P71" i="2"/>
  <c r="N70" i="4" s="1"/>
  <c r="M70" s="1"/>
  <c r="P70" i="2"/>
  <c r="N69" i="4" s="1"/>
  <c r="M69" s="1"/>
  <c r="P69" i="2"/>
  <c r="N68" i="4" s="1"/>
  <c r="M68" s="1"/>
  <c r="P68" i="2"/>
  <c r="N67" i="4" s="1"/>
  <c r="M67" s="1"/>
  <c r="P67" i="2"/>
  <c r="N66" i="4" s="1"/>
  <c r="M66" s="1"/>
  <c r="P66" i="2"/>
  <c r="N65" i="4" s="1"/>
  <c r="M65" s="1"/>
  <c r="P65" i="2"/>
  <c r="N64" i="4" s="1"/>
  <c r="M64" s="1"/>
  <c r="P64" i="2"/>
  <c r="N63" i="4" s="1"/>
  <c r="M63" s="1"/>
  <c r="P63" i="2"/>
  <c r="N62" i="4" s="1"/>
  <c r="M62" s="1"/>
  <c r="P62" i="2"/>
  <c r="N61" i="4" s="1"/>
  <c r="M61" s="1"/>
  <c r="P61" i="2"/>
  <c r="N60" i="4" s="1"/>
  <c r="M60" s="1"/>
  <c r="P60" i="2"/>
  <c r="N59" i="4" s="1"/>
  <c r="M59" s="1"/>
  <c r="P59" i="2"/>
  <c r="N58" i="4" s="1"/>
  <c r="M58" s="1"/>
  <c r="P58" i="2"/>
  <c r="N57" i="4" s="1"/>
  <c r="M57" s="1"/>
  <c r="P57" i="2"/>
  <c r="N56" i="4" s="1"/>
  <c r="M56" s="1"/>
  <c r="P56" i="2"/>
  <c r="N55" i="4" s="1"/>
  <c r="M55" s="1"/>
  <c r="P55" i="2"/>
  <c r="N54" i="4" s="1"/>
  <c r="M54" s="1"/>
  <c r="P54" i="2"/>
  <c r="N53" i="4" s="1"/>
  <c r="M53" s="1"/>
  <c r="P53" i="2"/>
  <c r="N52" i="4" s="1"/>
  <c r="M52" s="1"/>
  <c r="P52" i="2"/>
  <c r="N51" i="4" s="1"/>
  <c r="M51" s="1"/>
  <c r="P51" i="2"/>
  <c r="N50" i="4" s="1"/>
  <c r="M50" s="1"/>
  <c r="P50" i="2"/>
  <c r="N49" i="4" s="1"/>
  <c r="M49" s="1"/>
  <c r="P49" i="2"/>
  <c r="N48" i="4" s="1"/>
  <c r="M48" s="1"/>
  <c r="P48" i="2"/>
  <c r="N47" i="4" s="1"/>
  <c r="M47" s="1"/>
  <c r="P47" i="2"/>
  <c r="N46" i="4" s="1"/>
  <c r="M46" s="1"/>
  <c r="P46" i="2"/>
  <c r="N45" i="4" s="1"/>
  <c r="M45" s="1"/>
  <c r="P45" i="2"/>
  <c r="N44" i="4" s="1"/>
  <c r="M44" s="1"/>
  <c r="P44" i="2"/>
  <c r="N43" i="4" s="1"/>
  <c r="M43" s="1"/>
  <c r="P43" i="2"/>
  <c r="N42" i="4" s="1"/>
  <c r="M42" s="1"/>
  <c r="P42" i="2"/>
  <c r="N41" i="4" s="1"/>
  <c r="M41" s="1"/>
  <c r="P41" i="2"/>
  <c r="N40" i="4" s="1"/>
  <c r="M40" s="1"/>
  <c r="P40" i="2"/>
  <c r="N39" i="4" s="1"/>
  <c r="M39" s="1"/>
  <c r="P39" i="2"/>
  <c r="N38" i="4" s="1"/>
  <c r="M38" s="1"/>
  <c r="P38" i="2"/>
  <c r="N37" i="4" s="1"/>
  <c r="M37" s="1"/>
  <c r="P37" i="2"/>
  <c r="N36" i="4" s="1"/>
  <c r="M36" s="1"/>
  <c r="P36" i="2"/>
  <c r="N35" i="4" s="1"/>
  <c r="M35" s="1"/>
  <c r="P35" i="2"/>
  <c r="N34" i="4" s="1"/>
  <c r="M34" s="1"/>
  <c r="P34" i="2"/>
  <c r="N33" i="4" s="1"/>
  <c r="M33" s="1"/>
  <c r="P33" i="2"/>
  <c r="N32" i="4" s="1"/>
  <c r="M32" s="1"/>
  <c r="P32" i="2"/>
  <c r="N31" i="4" s="1"/>
  <c r="M31" s="1"/>
  <c r="P31" i="2"/>
  <c r="N30" i="4" s="1"/>
  <c r="M30" s="1"/>
  <c r="P30" i="2"/>
  <c r="N29" i="4" s="1"/>
  <c r="M29" s="1"/>
  <c r="P29" i="2"/>
  <c r="N28" i="4" s="1"/>
  <c r="M28" s="1"/>
  <c r="P28" i="2"/>
  <c r="N27" i="4" s="1"/>
  <c r="M27" s="1"/>
  <c r="P27" i="2"/>
  <c r="N26" i="4" s="1"/>
  <c r="M26" s="1"/>
  <c r="P26" i="2"/>
  <c r="N25" i="4" s="1"/>
  <c r="M25" s="1"/>
  <c r="P25" i="2"/>
  <c r="N24" i="4" s="1"/>
  <c r="M24" s="1"/>
  <c r="P24" i="2"/>
  <c r="N23" i="4" s="1"/>
  <c r="M23" s="1"/>
  <c r="P23" i="2"/>
  <c r="N22" i="4" s="1"/>
  <c r="M22" s="1"/>
  <c r="P22" i="2"/>
  <c r="N21" i="4" s="1"/>
  <c r="M21" s="1"/>
  <c r="P21" i="2"/>
  <c r="N20" i="4" s="1"/>
  <c r="M20" s="1"/>
  <c r="P20" i="2"/>
  <c r="N19" i="4" s="1"/>
  <c r="M19" s="1"/>
  <c r="P19" i="2"/>
  <c r="N18" i="4" s="1"/>
  <c r="M18" s="1"/>
  <c r="P18" i="2"/>
  <c r="N17" i="4" s="1"/>
  <c r="M17" s="1"/>
  <c r="P17" i="2"/>
  <c r="N16" i="4" s="1"/>
  <c r="M16" s="1"/>
  <c r="P16" i="2"/>
  <c r="N15" i="4" s="1"/>
  <c r="M15" s="1"/>
  <c r="P15" i="2"/>
  <c r="N14" i="4" s="1"/>
  <c r="M14" s="1"/>
  <c r="P14" i="2"/>
  <c r="N13" i="4" s="1"/>
  <c r="M13" s="1"/>
  <c r="P13" i="2"/>
  <c r="P12"/>
  <c r="P11"/>
  <c r="P10"/>
  <c r="P9"/>
  <c r="D89" l="1"/>
  <c r="C49" i="1" s="1"/>
  <c r="I48"/>
  <c r="M88" i="4" l="1"/>
  <c r="M50" i="3" s="1"/>
  <c r="L88" i="4"/>
  <c r="L50" i="3" s="1"/>
  <c r="K88" i="4"/>
  <c r="K50" i="3" s="1"/>
  <c r="J88" i="4"/>
  <c r="J50" i="3" s="1"/>
  <c r="I88" i="4"/>
  <c r="I50" i="3" s="1"/>
  <c r="H88" i="4"/>
  <c r="H50" i="3" s="1"/>
  <c r="G88" i="4"/>
  <c r="G50" i="3" s="1"/>
  <c r="F88" i="4"/>
  <c r="F50" i="3" s="1"/>
  <c r="E88" i="4"/>
  <c r="E50" i="3" s="1"/>
  <c r="D88" i="4"/>
  <c r="D50" i="3" s="1"/>
  <c r="O89" i="2" l="1"/>
  <c r="N49" i="1" s="1"/>
  <c r="N89" i="2"/>
  <c r="M49" i="1" s="1"/>
  <c r="M89" i="2"/>
  <c r="L49" i="1" s="1"/>
  <c r="L89" i="2"/>
  <c r="K49" i="1" s="1"/>
  <c r="K89" i="2"/>
  <c r="J49" i="1" s="1"/>
  <c r="J89" i="2"/>
  <c r="I49" i="1" s="1"/>
  <c r="I50" s="1"/>
  <c r="I89" i="2"/>
  <c r="H49" i="1" s="1"/>
  <c r="H89" i="2"/>
  <c r="G49" i="1" s="1"/>
  <c r="G89" i="2"/>
  <c r="F49" i="1" s="1"/>
  <c r="F89" i="2"/>
  <c r="E49" i="1" s="1"/>
  <c r="E89" i="2"/>
  <c r="D49" i="1" s="1"/>
  <c r="L49" i="3" l="1"/>
  <c r="L51" s="1"/>
  <c r="K49"/>
  <c r="K51" s="1"/>
  <c r="J49"/>
  <c r="J51" s="1"/>
  <c r="I49"/>
  <c r="I51" s="1"/>
  <c r="H49"/>
  <c r="H51" s="1"/>
  <c r="G49"/>
  <c r="G51" s="1"/>
  <c r="F49"/>
  <c r="F51" s="1"/>
  <c r="E49"/>
  <c r="E51" s="1"/>
  <c r="D49"/>
  <c r="D51" s="1"/>
  <c r="C49"/>
  <c r="C88" i="4"/>
  <c r="C50" i="3" s="1"/>
  <c r="C51" l="1"/>
  <c r="O29" i="1" l="1"/>
  <c r="N30" i="3" s="1"/>
  <c r="M30" s="1"/>
  <c r="O36" i="1"/>
  <c r="N37" i="3" s="1"/>
  <c r="M37" s="1"/>
  <c r="O11" i="1"/>
  <c r="N12" i="3" s="1"/>
  <c r="M12" s="1"/>
  <c r="O35" i="1"/>
  <c r="N36" i="3" s="1"/>
  <c r="M36" s="1"/>
  <c r="O46" i="1"/>
  <c r="N47" i="3" s="1"/>
  <c r="M47" s="1"/>
  <c r="O38" i="1"/>
  <c r="N39" i="3" s="1"/>
  <c r="M39" s="1"/>
  <c r="O30" i="1"/>
  <c r="N31" i="3" s="1"/>
  <c r="M31" s="1"/>
  <c r="O22" i="1"/>
  <c r="N23" i="3" s="1"/>
  <c r="M23" s="1"/>
  <c r="O13" i="1"/>
  <c r="N14" i="3" s="1"/>
  <c r="M14" s="1"/>
  <c r="O45" i="1"/>
  <c r="N46" i="3" s="1"/>
  <c r="M46" s="1"/>
  <c r="O21" i="1"/>
  <c r="N22" i="3" s="1"/>
  <c r="M22" s="1"/>
  <c r="O44" i="1"/>
  <c r="N45" i="3" s="1"/>
  <c r="M45" s="1"/>
  <c r="O20" i="1"/>
  <c r="N21" i="3" s="1"/>
  <c r="M21" s="1"/>
  <c r="O43" i="1"/>
  <c r="N44" i="3" s="1"/>
  <c r="M44" s="1"/>
  <c r="O10" i="1"/>
  <c r="N11" i="3" s="1"/>
  <c r="M11" s="1"/>
  <c r="O26" i="1"/>
  <c r="N27" i="3" s="1"/>
  <c r="M27" s="1"/>
  <c r="O41" i="1"/>
  <c r="N42" i="3" s="1"/>
  <c r="M42" s="1"/>
  <c r="O33" i="1"/>
  <c r="N34" i="3" s="1"/>
  <c r="M34" s="1"/>
  <c r="O25" i="1"/>
  <c r="N26" i="3" s="1"/>
  <c r="M26" s="1"/>
  <c r="O17" i="1"/>
  <c r="N18" i="3" s="1"/>
  <c r="M18" s="1"/>
  <c r="O8" i="1"/>
  <c r="N9" i="3" s="1"/>
  <c r="M9" s="1"/>
  <c r="O27" i="1"/>
  <c r="N28" i="3" s="1"/>
  <c r="M28" s="1"/>
  <c r="O34" i="1"/>
  <c r="N35" i="3" s="1"/>
  <c r="M35" s="1"/>
  <c r="O9" i="1"/>
  <c r="N10" i="3" s="1"/>
  <c r="M10" s="1"/>
  <c r="C48" i="1"/>
  <c r="O40"/>
  <c r="N41" i="3" s="1"/>
  <c r="M41" s="1"/>
  <c r="O32" i="1"/>
  <c r="N33" i="3" s="1"/>
  <c r="M33" s="1"/>
  <c r="O24" i="1"/>
  <c r="N25" i="3" s="1"/>
  <c r="M25" s="1"/>
  <c r="O15" i="1"/>
  <c r="N16" i="3" s="1"/>
  <c r="M16" s="1"/>
  <c r="O16" i="1"/>
  <c r="N17" i="3" s="1"/>
  <c r="M17" s="1"/>
  <c r="O37" i="1"/>
  <c r="N38" i="3" s="1"/>
  <c r="M38" s="1"/>
  <c r="O12" i="1"/>
  <c r="N13" i="3" s="1"/>
  <c r="M13" s="1"/>
  <c r="O28" i="1"/>
  <c r="N29" i="3" s="1"/>
  <c r="M29" s="1"/>
  <c r="O19" i="1"/>
  <c r="N20" i="3" s="1"/>
  <c r="M20" s="1"/>
  <c r="O42" i="1"/>
  <c r="N43" i="3" s="1"/>
  <c r="M43" s="1"/>
  <c r="O18" i="1"/>
  <c r="N19" i="3" s="1"/>
  <c r="M19" s="1"/>
  <c r="O47" i="1"/>
  <c r="N48" i="3" s="1"/>
  <c r="M48" s="1"/>
  <c r="O39" i="1"/>
  <c r="N40" i="3" s="1"/>
  <c r="M40" s="1"/>
  <c r="O31" i="1"/>
  <c r="N32" i="3" s="1"/>
  <c r="M32" s="1"/>
  <c r="O23" i="1"/>
  <c r="N24" i="3" s="1"/>
  <c r="M24" s="1"/>
  <c r="O14" i="1"/>
  <c r="N15" i="3" s="1"/>
  <c r="M15" s="1"/>
  <c r="D48" i="1"/>
  <c r="D50" s="1"/>
  <c r="E48"/>
  <c r="E50" s="1"/>
  <c r="F48"/>
  <c r="G48"/>
  <c r="G50" s="1"/>
  <c r="H48"/>
  <c r="L48"/>
  <c r="M48"/>
  <c r="M50" s="1"/>
  <c r="N48"/>
  <c r="H50" l="1"/>
  <c r="L50"/>
  <c r="F50"/>
  <c r="C50"/>
  <c r="N50"/>
  <c r="K48" l="1"/>
  <c r="K50" s="1"/>
  <c r="O7"/>
  <c r="N8" i="3" s="1"/>
  <c r="M8" s="1"/>
  <c r="J48" i="1"/>
  <c r="M49" i="3" l="1"/>
  <c r="M51" s="1"/>
  <c r="J50" i="1"/>
</calcChain>
</file>

<file path=xl/sharedStrings.xml><?xml version="1.0" encoding="utf-8"?>
<sst xmlns="http://schemas.openxmlformats.org/spreadsheetml/2006/main" count="541" uniqueCount="232">
  <si>
    <t>Local Education Agencies</t>
  </si>
  <si>
    <t>INSTRUCTION</t>
  </si>
  <si>
    <t>SUPPORT</t>
  </si>
  <si>
    <t>CLASSROOM TEACHERS</t>
  </si>
  <si>
    <t>Instructional Aides</t>
  </si>
  <si>
    <t>Kindergarten</t>
  </si>
  <si>
    <t>Elementary</t>
  </si>
  <si>
    <t>Secondary</t>
  </si>
  <si>
    <t>Special Education</t>
  </si>
  <si>
    <t>CACTUS Database</t>
  </si>
  <si>
    <t>Classified Personnel Report</t>
  </si>
  <si>
    <t>Alpine</t>
  </si>
  <si>
    <t>Beaver</t>
  </si>
  <si>
    <t>Box Elder</t>
  </si>
  <si>
    <t>Cache</t>
  </si>
  <si>
    <t>Carbon</t>
  </si>
  <si>
    <t>Daggett</t>
  </si>
  <si>
    <t>Davis</t>
  </si>
  <si>
    <t>Duchesne</t>
  </si>
  <si>
    <t>Emery</t>
  </si>
  <si>
    <t>Garfield</t>
  </si>
  <si>
    <t>Grand</t>
  </si>
  <si>
    <t>Granite</t>
  </si>
  <si>
    <t>Iron</t>
  </si>
  <si>
    <t>Jordan</t>
  </si>
  <si>
    <t>Juab</t>
  </si>
  <si>
    <t>Kane</t>
  </si>
  <si>
    <t>Millard</t>
  </si>
  <si>
    <t>Morgan</t>
  </si>
  <si>
    <t>Nebo</t>
  </si>
  <si>
    <t>North Sanpete</t>
  </si>
  <si>
    <t>North Summit</t>
  </si>
  <si>
    <t>Park City</t>
  </si>
  <si>
    <t>Piute</t>
  </si>
  <si>
    <t>Rich</t>
  </si>
  <si>
    <t>San Juan</t>
  </si>
  <si>
    <t>Sevier</t>
  </si>
  <si>
    <t>South Sanpete</t>
  </si>
  <si>
    <t>South Summit</t>
  </si>
  <si>
    <t>Tintic</t>
  </si>
  <si>
    <t>Tooele</t>
  </si>
  <si>
    <t>Uintah</t>
  </si>
  <si>
    <t>Wasatch</t>
  </si>
  <si>
    <t>Washington</t>
  </si>
  <si>
    <t>Wayne</t>
  </si>
  <si>
    <t>Weber</t>
  </si>
  <si>
    <t>Salt Lake</t>
  </si>
  <si>
    <t>Ogden</t>
  </si>
  <si>
    <t>Provo</t>
  </si>
  <si>
    <t>Logan</t>
  </si>
  <si>
    <t>Murray</t>
  </si>
  <si>
    <t>DISTRICT TOTAL</t>
  </si>
  <si>
    <t>CHARTER TOTAL</t>
  </si>
  <si>
    <t>GRAND TOTAL</t>
  </si>
  <si>
    <t>TOTAL FTEs</t>
  </si>
  <si>
    <t>LEA Administrators</t>
  </si>
  <si>
    <t>School Administrators</t>
  </si>
  <si>
    <t>8B</t>
  </si>
  <si>
    <t>3B</t>
  </si>
  <si>
    <t>9D</t>
  </si>
  <si>
    <t>2D</t>
  </si>
  <si>
    <t>3E</t>
  </si>
  <si>
    <t>A3</t>
  </si>
  <si>
    <t>4E</t>
  </si>
  <si>
    <t>A8</t>
  </si>
  <si>
    <t>5E</t>
  </si>
  <si>
    <t>3C</t>
  </si>
  <si>
    <t>5D</t>
  </si>
  <si>
    <t>1E</t>
  </si>
  <si>
    <t>2C</t>
  </si>
  <si>
    <t>A5</t>
  </si>
  <si>
    <t>4C</t>
  </si>
  <si>
    <t>5C</t>
  </si>
  <si>
    <t>6C</t>
  </si>
  <si>
    <t>2B</t>
  </si>
  <si>
    <t>2E</t>
  </si>
  <si>
    <t>A7</t>
  </si>
  <si>
    <t>7C</t>
  </si>
  <si>
    <t>8C</t>
  </si>
  <si>
    <t>9B</t>
  </si>
  <si>
    <t>6D</t>
  </si>
  <si>
    <t>A6</t>
  </si>
  <si>
    <t>5B</t>
  </si>
  <si>
    <t>A1</t>
  </si>
  <si>
    <t>1C</t>
  </si>
  <si>
    <t>8D</t>
  </si>
  <si>
    <t>9C</t>
  </si>
  <si>
    <t>A2</t>
  </si>
  <si>
    <t>7B</t>
  </si>
  <si>
    <t>1D</t>
  </si>
  <si>
    <t>7D</t>
  </si>
  <si>
    <t>3D</t>
  </si>
  <si>
    <t>A9</t>
  </si>
  <si>
    <t>A4</t>
  </si>
  <si>
    <t>4D</t>
  </si>
  <si>
    <t>1B</t>
  </si>
  <si>
    <t>4B</t>
  </si>
  <si>
    <t>LEA Administrative Support Staff</t>
  </si>
  <si>
    <t>School Administrative Support Staff</t>
  </si>
  <si>
    <t>Student Support Services Staff</t>
  </si>
  <si>
    <t>Other Support Staff</t>
  </si>
  <si>
    <t>School Nurses</t>
  </si>
  <si>
    <t>Student Transportation Supervisors</t>
  </si>
  <si>
    <t>School Food Services Supervisors</t>
  </si>
  <si>
    <t>ACADEMY FOR MATH ENGINEERING &amp; SCIENCE (AMES)</t>
  </si>
  <si>
    <t>AMERICAN LEADERSHIP ACADEMY</t>
  </si>
  <si>
    <t>AMERICAN PREPARATORY ACADEMY</t>
  </si>
  <si>
    <t>BEEHIVE SCIENCE &amp; TECHNOLOGY ACADEMY (BSTA)</t>
  </si>
  <si>
    <t>CANYON RIM ACADEMY</t>
  </si>
  <si>
    <t>CHANNING HALL</t>
  </si>
  <si>
    <t>CITY ACADEMY</t>
  </si>
  <si>
    <t>DAVINCI ACADEMY</t>
  </si>
  <si>
    <t>DUAL IMMERSION ACADEMY</t>
  </si>
  <si>
    <t>EAST HOLLYWOOD HIGH</t>
  </si>
  <si>
    <t>EDITH BOWEN LABORATORY SCHOOL</t>
  </si>
  <si>
    <t>ENTHEOS ACADEMY</t>
  </si>
  <si>
    <t>FAST FORWARD HIGH</t>
  </si>
  <si>
    <t>FREEDOM ACADEMY</t>
  </si>
  <si>
    <t>7E</t>
  </si>
  <si>
    <t>GATEWAY PREPARATORY ACADEMY</t>
  </si>
  <si>
    <t>GEORGE WASHINGTON ACADEMY</t>
  </si>
  <si>
    <t>GUADALUPE SCHOOL</t>
  </si>
  <si>
    <t>INTECH COLLEGIATE HIGH SCHOOL</t>
  </si>
  <si>
    <t>ITINERIS EARLY COLLEGE HIGH</t>
  </si>
  <si>
    <t>JOHN HANCOCK CHARTER SCHOOL</t>
  </si>
  <si>
    <t>LAKEVIEW ACADEMY</t>
  </si>
  <si>
    <t>LEGACY PREPARATORY ACADEMY</t>
  </si>
  <si>
    <t>LIBERTY ACADEMY</t>
  </si>
  <si>
    <t>LINCOLN ACADEMY</t>
  </si>
  <si>
    <t>8E</t>
  </si>
  <si>
    <t>MERIT COLLEGE PREPARATORY ACADEMY</t>
  </si>
  <si>
    <t>MONTICELLO ACADEMY</t>
  </si>
  <si>
    <t>MOUNTAINVILLE ACADEMY</t>
  </si>
  <si>
    <t>NAVIGATOR POINTE ACADEMY</t>
  </si>
  <si>
    <t>NO UT ACAD FOR MATH ENGINEERING &amp; SCIENCE (NUAMES)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</si>
  <si>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</si>
  <si>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</si>
  <si>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</si>
  <si>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</si>
  <si>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</si>
  <si>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</si>
  <si>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PARADIGM HIGH SCHOOL</t>
  </si>
  <si>
    <t>PINNACLE CANYON ACADEMY</t>
  </si>
  <si>
    <t>9E</t>
  </si>
  <si>
    <t>PROVIDENCE HALL</t>
  </si>
  <si>
    <t>1F</t>
  </si>
  <si>
    <t>QUEST ACADEMY</t>
  </si>
  <si>
    <t>RANCHES ACADEMY</t>
  </si>
  <si>
    <t>REAGAN ACADEMY</t>
  </si>
  <si>
    <t>RENAISSANCE ACADEMY</t>
  </si>
  <si>
    <t>2F</t>
  </si>
  <si>
    <t>ROCKWELL CHARTER HIGH SCHOOL</t>
  </si>
  <si>
    <t>SALT LAKE ARTS ACADEMY</t>
  </si>
  <si>
    <t>4F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</si>
  <si>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</si>
  <si>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</si>
  <si>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</si>
  <si>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</si>
  <si>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</si>
  <si>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SUMMIT ACADEMY</t>
  </si>
  <si>
    <t>SYRACUSE ARTS ACADEMY</t>
  </si>
  <si>
    <t>THOMAS EDISON - NORTH</t>
  </si>
  <si>
    <t>TIMPANOGOS ACADEMY</t>
  </si>
  <si>
    <t>TUACAHN HIGH SCHOOL FOR THE PERFORMING ARTS</t>
  </si>
  <si>
    <t>UINTAH RIVER HIGH</t>
  </si>
  <si>
    <t>UTAH COUNTY ACADEMY OF SCIENCE (UCAS)</t>
  </si>
  <si>
    <t>5F</t>
  </si>
  <si>
    <t>UTAH VIRTUAL ACADEMY</t>
  </si>
  <si>
    <t>3F</t>
  </si>
  <si>
    <t>VENTURE ACADEMY</t>
  </si>
  <si>
    <t>WALDEN SCHOOL OF LIBERAL ARTS</t>
  </si>
  <si>
    <t>WASATCH PEAK ACADEMY</t>
  </si>
  <si>
    <t>Student Support Services</t>
  </si>
  <si>
    <t>Pre-Kindergarten</t>
  </si>
  <si>
    <t>6F</t>
  </si>
  <si>
    <t>EARLY LIGHT ACADEMY AT DAYBREAK</t>
  </si>
  <si>
    <t>7F</t>
  </si>
  <si>
    <t>EXCELSIOR ACADEMY</t>
  </si>
  <si>
    <t>8F</t>
  </si>
  <si>
    <t>HAWTHORN ACADEMY</t>
  </si>
  <si>
    <t>9F</t>
  </si>
  <si>
    <t>OPEN HIGH SCHOOL OF UTAH</t>
  </si>
  <si>
    <t>1G</t>
  </si>
  <si>
    <t>OQUIRRH MOUNTAIN CHARTER SCHOOL</t>
  </si>
  <si>
    <t>2G</t>
  </si>
  <si>
    <t>Canyons</t>
  </si>
  <si>
    <t>3G</t>
  </si>
  <si>
    <t>BEAR RIVER CHARTER SCHOOL</t>
  </si>
  <si>
    <t>CS LEWIS ACADEMY</t>
  </si>
  <si>
    <t>8G</t>
  </si>
  <si>
    <t>GOOD FOUNDATIONS ACADEMY</t>
  </si>
  <si>
    <t>KARL G MAESER PREPARATORY ACADEMY</t>
  </si>
  <si>
    <t>4G</t>
  </si>
  <si>
    <t>MARIA MONTESSORI ACADEMY</t>
  </si>
  <si>
    <t>MOAB CHARTER SCHOOL</t>
  </si>
  <si>
    <t>5G</t>
  </si>
  <si>
    <t>QUAIL RUN PRIMARY SCHOOL</t>
  </si>
  <si>
    <t>7G</t>
  </si>
  <si>
    <t>SUMMIT ACADEMY HIGH SCHOOL</t>
  </si>
  <si>
    <t>VISTA AT ENTRADA SCHOOL OF PERFORMING ARTS AND TECHNOLOGY</t>
  </si>
  <si>
    <t>6G</t>
  </si>
  <si>
    <t>WEILENMANN SCHOOL OF DISCOVERY</t>
  </si>
  <si>
    <t>9G</t>
  </si>
  <si>
    <t>ALIANZA ACADEMY</t>
  </si>
  <si>
    <t>1H</t>
  </si>
  <si>
    <t>BAER CANYON HS FOR SPORTS &amp; MEDICAL SCIENCES</t>
  </si>
  <si>
    <t>3H</t>
  </si>
  <si>
    <t>ENDEAVOR HALL</t>
  </si>
  <si>
    <t>5H</t>
  </si>
  <si>
    <t>HIGHMARK CHARTER SCHOOL</t>
  </si>
  <si>
    <t>2H</t>
  </si>
  <si>
    <t>UTAH CONNECTIONS ACADEMY</t>
  </si>
  <si>
    <t>CHARTER SCHOOL TOTALS</t>
  </si>
  <si>
    <t>TOTAL CHARTERS</t>
  </si>
  <si>
    <t>Instructional Coordinators / Supervisors</t>
  </si>
  <si>
    <t>Regular Education</t>
  </si>
  <si>
    <t>Seccondary Guidance Counselor</t>
  </si>
  <si>
    <t>Library / Media Specialist</t>
  </si>
  <si>
    <t>Library / Media Support Staff</t>
  </si>
  <si>
    <t>Elementary Guidance Counselor</t>
  </si>
  <si>
    <t>THOMAS EDISON</t>
  </si>
  <si>
    <t>Charter School</t>
  </si>
  <si>
    <t>†</t>
  </si>
  <si>
    <t xml:space="preserve">BAER CANYON HS FOR SPORTS &amp; MEDICAL SCIENCES </t>
  </si>
  <si>
    <t>† Data not available because school did not submit a Classified Personnel Report.</t>
  </si>
  <si>
    <t>‡</t>
  </si>
  <si>
    <t>‡ School submitted a Classified Personnel Report but some figures were improbably large.</t>
  </si>
  <si>
    <t>District</t>
  </si>
  <si>
    <t>‡ School submitted a Classified Personnel Report, but some figures were improbably large.</t>
  </si>
  <si>
    <t>School Administra-tors</t>
  </si>
  <si>
    <t>C.S. LEWIS ACADEMY</t>
  </si>
  <si>
    <t>KARL G. MAESER PREPARATORY ACADEMY</t>
  </si>
</sst>
</file>

<file path=xl/styles.xml><?xml version="1.0" encoding="utf-8"?>
<styleSheet xmlns="http://schemas.openxmlformats.org/spreadsheetml/2006/main">
  <numFmts count="3">
    <numFmt numFmtId="164" formatCode="#,##0.000_);\(#,##0.000\)"/>
    <numFmt numFmtId="165" formatCode="0.000"/>
    <numFmt numFmtId="166" formatCode="0.000_);\(0.000\)"/>
  </numFmts>
  <fonts count="3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B050"/>
      <name val="Arial"/>
      <family val="2"/>
    </font>
    <font>
      <b/>
      <sz val="9"/>
      <color rgb="FF00B050"/>
      <name val="Arial"/>
      <family val="2"/>
    </font>
    <font>
      <sz val="9"/>
      <color theme="6" tint="-0.249977111117893"/>
      <name val="Arial"/>
      <family val="2"/>
    </font>
    <font>
      <b/>
      <sz val="9"/>
      <color theme="1"/>
      <name val="Arial"/>
      <family val="2"/>
    </font>
    <font>
      <sz val="9"/>
      <name val="Calibri"/>
      <family val="2"/>
    </font>
    <font>
      <sz val="9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19" applyNumberFormat="0" applyAlignment="0" applyProtection="0"/>
    <xf numFmtId="0" fontId="14" fillId="6" borderId="20" applyNumberFormat="0" applyAlignment="0" applyProtection="0"/>
    <xf numFmtId="0" fontId="15" fillId="6" borderId="19" applyNumberFormat="0" applyAlignment="0" applyProtection="0"/>
    <xf numFmtId="0" fontId="16" fillId="0" borderId="21" applyNumberFormat="0" applyFill="0" applyAlignment="0" applyProtection="0"/>
    <xf numFmtId="0" fontId="17" fillId="7" borderId="22" applyNumberFormat="0" applyAlignment="0" applyProtection="0"/>
    <xf numFmtId="0" fontId="18" fillId="0" borderId="0" applyNumberFormat="0" applyFill="0" applyBorder="0" applyAlignment="0" applyProtection="0"/>
    <xf numFmtId="0" fontId="5" fillId="8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21" fillId="0" borderId="0"/>
  </cellStyleXfs>
  <cellXfs count="174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4" fillId="0" borderId="0" xfId="0" applyNumberFormat="1" applyFont="1"/>
    <xf numFmtId="164" fontId="3" fillId="0" borderId="0" xfId="0" applyNumberFormat="1" applyFont="1"/>
    <xf numFmtId="3" fontId="3" fillId="0" borderId="8" xfId="0" applyNumberFormat="1" applyFont="1" applyBorder="1"/>
    <xf numFmtId="3" fontId="3" fillId="0" borderId="0" xfId="0" applyNumberFormat="1" applyFont="1" applyBorder="1"/>
    <xf numFmtId="164" fontId="3" fillId="0" borderId="8" xfId="0" applyNumberFormat="1" applyFont="1" applyBorder="1"/>
    <xf numFmtId="3" fontId="3" fillId="0" borderId="10" xfId="0" applyNumberFormat="1" applyFont="1" applyBorder="1"/>
    <xf numFmtId="164" fontId="22" fillId="0" borderId="0" xfId="0" applyNumberFormat="1" applyFont="1"/>
    <xf numFmtId="164" fontId="23" fillId="0" borderId="0" xfId="0" applyNumberFormat="1" applyFont="1" applyAlignment="1">
      <alignment horizontal="center"/>
    </xf>
    <xf numFmtId="164" fontId="24" fillId="0" borderId="0" xfId="0" applyNumberFormat="1" applyFont="1"/>
    <xf numFmtId="164" fontId="23" fillId="0" borderId="0" xfId="0" applyNumberFormat="1" applyFont="1" applyFill="1" applyBorder="1" applyAlignment="1">
      <alignment horizontal="center"/>
    </xf>
    <xf numFmtId="164" fontId="23" fillId="0" borderId="13" xfId="0" applyNumberFormat="1" applyFont="1" applyBorder="1" applyAlignment="1">
      <alignment horizontal="center" wrapText="1"/>
    </xf>
    <xf numFmtId="164" fontId="23" fillId="0" borderId="13" xfId="0" applyNumberFormat="1" applyFont="1" applyFill="1" applyBorder="1" applyAlignment="1">
      <alignment horizontal="center" wrapText="1"/>
    </xf>
    <xf numFmtId="3" fontId="22" fillId="0" borderId="8" xfId="0" applyNumberFormat="1" applyFont="1" applyBorder="1"/>
    <xf numFmtId="164" fontId="23" fillId="0" borderId="1" xfId="0" quotePrefix="1" applyNumberFormat="1" applyFont="1" applyFill="1" applyBorder="1" applyAlignment="1">
      <alignment horizontal="left" indent="1"/>
    </xf>
    <xf numFmtId="166" fontId="22" fillId="0" borderId="14" xfId="0" applyNumberFormat="1" applyFont="1" applyBorder="1" applyAlignment="1">
      <alignment horizontal="right"/>
    </xf>
    <xf numFmtId="166" fontId="22" fillId="0" borderId="7" xfId="0" applyNumberFormat="1" applyFont="1" applyBorder="1" applyAlignment="1">
      <alignment horizontal="right"/>
    </xf>
    <xf numFmtId="3" fontId="22" fillId="0" borderId="0" xfId="0" applyNumberFormat="1" applyFont="1" applyBorder="1"/>
    <xf numFmtId="164" fontId="23" fillId="0" borderId="5" xfId="0" quotePrefix="1" applyNumberFormat="1" applyFont="1" applyFill="1" applyBorder="1" applyAlignment="1">
      <alignment horizontal="left" indent="1"/>
    </xf>
    <xf numFmtId="166" fontId="22" fillId="0" borderId="0" xfId="0" applyNumberFormat="1" applyFont="1" applyBorder="1" applyAlignment="1">
      <alignment horizontal="right"/>
    </xf>
    <xf numFmtId="166" fontId="22" fillId="0" borderId="9" xfId="0" applyNumberFormat="1" applyFont="1" applyBorder="1" applyAlignment="1">
      <alignment horizontal="right"/>
    </xf>
    <xf numFmtId="164" fontId="23" fillId="0" borderId="5" xfId="0" applyNumberFormat="1" applyFont="1" applyFill="1" applyBorder="1" applyAlignment="1">
      <alignment horizontal="left" indent="1"/>
    </xf>
    <xf numFmtId="164" fontId="23" fillId="0" borderId="12" xfId="0" quotePrefix="1" applyNumberFormat="1" applyFont="1" applyFill="1" applyBorder="1" applyAlignment="1">
      <alignment horizontal="left" indent="1"/>
    </xf>
    <xf numFmtId="166" fontId="22" fillId="0" borderId="15" xfId="0" applyNumberFormat="1" applyFont="1" applyBorder="1" applyAlignment="1">
      <alignment horizontal="right"/>
    </xf>
    <xf numFmtId="166" fontId="22" fillId="0" borderId="11" xfId="0" applyNumberFormat="1" applyFont="1" applyBorder="1" applyAlignment="1">
      <alignment horizontal="right"/>
    </xf>
    <xf numFmtId="164" fontId="23" fillId="0" borderId="11" xfId="0" quotePrefix="1" applyNumberFormat="1" applyFont="1" applyFill="1" applyBorder="1" applyAlignment="1">
      <alignment horizontal="left" indent="1"/>
    </xf>
    <xf numFmtId="164" fontId="23" fillId="0" borderId="7" xfId="0" quotePrefix="1" applyNumberFormat="1" applyFont="1" applyFill="1" applyBorder="1" applyAlignment="1">
      <alignment horizontal="left" indent="1"/>
    </xf>
    <xf numFmtId="164" fontId="23" fillId="0" borderId="13" xfId="0" quotePrefix="1" applyNumberFormat="1" applyFont="1" applyFill="1" applyBorder="1" applyAlignment="1"/>
    <xf numFmtId="164" fontId="25" fillId="0" borderId="0" xfId="0" applyNumberFormat="1" applyFont="1"/>
    <xf numFmtId="164" fontId="23" fillId="0" borderId="2" xfId="0" applyNumberFormat="1" applyFont="1" applyFill="1" applyBorder="1" applyAlignment="1">
      <alignment horizontal="left"/>
    </xf>
    <xf numFmtId="164" fontId="24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64" fontId="26" fillId="0" borderId="0" xfId="0" applyNumberFormat="1" applyFont="1"/>
    <xf numFmtId="164" fontId="23" fillId="0" borderId="10" xfId="0" applyNumberFormat="1" applyFont="1" applyBorder="1" applyAlignment="1">
      <alignment horizontal="center" wrapText="1"/>
    </xf>
    <xf numFmtId="0" fontId="23" fillId="0" borderId="12" xfId="0" applyNumberFormat="1" applyFont="1" applyFill="1" applyBorder="1" applyAlignment="1">
      <alignment horizontal="centerContinuous"/>
    </xf>
    <xf numFmtId="0" fontId="23" fillId="0" borderId="15" xfId="0" applyNumberFormat="1" applyFont="1" applyFill="1" applyBorder="1" applyAlignment="1">
      <alignment horizontal="centerContinuous"/>
    </xf>
    <xf numFmtId="0" fontId="23" fillId="0" borderId="10" xfId="0" applyNumberFormat="1" applyFont="1" applyFill="1" applyBorder="1" applyAlignment="1">
      <alignment horizontal="centerContinuous"/>
    </xf>
    <xf numFmtId="164" fontId="23" fillId="0" borderId="12" xfId="0" applyNumberFormat="1" applyFont="1" applyFill="1" applyBorder="1" applyAlignment="1">
      <alignment horizontal="center" wrapText="1"/>
    </xf>
    <xf numFmtId="164" fontId="23" fillId="0" borderId="11" xfId="0" applyNumberFormat="1" applyFont="1" applyFill="1" applyBorder="1" applyAlignment="1">
      <alignment horizontal="center" wrapText="1"/>
    </xf>
    <xf numFmtId="164" fontId="23" fillId="0" borderId="9" xfId="0" applyNumberFormat="1" applyFont="1" applyFill="1" applyBorder="1" applyAlignment="1">
      <alignment horizontal="center" wrapText="1"/>
    </xf>
    <xf numFmtId="164" fontId="23" fillId="33" borderId="9" xfId="0" applyNumberFormat="1" applyFont="1" applyFill="1" applyBorder="1" applyAlignment="1">
      <alignment horizontal="center" wrapText="1"/>
    </xf>
    <xf numFmtId="164" fontId="23" fillId="33" borderId="11" xfId="0" applyNumberFormat="1" applyFont="1" applyFill="1" applyBorder="1" applyAlignment="1">
      <alignment horizontal="center" wrapText="1"/>
    </xf>
    <xf numFmtId="164" fontId="23" fillId="0" borderId="7" xfId="0" applyNumberFormat="1" applyFont="1" applyBorder="1" applyAlignment="1">
      <alignment horizontal="center" wrapText="1"/>
    </xf>
    <xf numFmtId="164" fontId="23" fillId="0" borderId="6" xfId="0" applyNumberFormat="1" applyFont="1" applyBorder="1" applyAlignment="1">
      <alignment horizontal="center" wrapText="1"/>
    </xf>
    <xf numFmtId="0" fontId="22" fillId="0" borderId="7" xfId="0" applyFont="1" applyBorder="1"/>
    <xf numFmtId="0" fontId="22" fillId="0" borderId="9" xfId="0" applyFont="1" applyBorder="1"/>
    <xf numFmtId="0" fontId="22" fillId="0" borderId="11" xfId="0" applyFont="1" applyBorder="1"/>
    <xf numFmtId="164" fontId="23" fillId="0" borderId="12" xfId="0" applyNumberFormat="1" applyFont="1" applyFill="1" applyBorder="1" applyAlignment="1">
      <alignment horizontal="left" indent="1"/>
    </xf>
    <xf numFmtId="0" fontId="22" fillId="0" borderId="0" xfId="0" applyFont="1"/>
    <xf numFmtId="164" fontId="23" fillId="0" borderId="13" xfId="0" applyNumberFormat="1" applyFont="1" applyBorder="1" applyAlignment="1">
      <alignment horizontal="right"/>
    </xf>
    <xf numFmtId="164" fontId="23" fillId="0" borderId="4" xfId="0" applyNumberFormat="1" applyFont="1" applyBorder="1" applyAlignment="1">
      <alignment horizontal="right"/>
    </xf>
    <xf numFmtId="164" fontId="23" fillId="0" borderId="2" xfId="0" applyNumberFormat="1" applyFont="1" applyBorder="1" applyAlignment="1">
      <alignment horizontal="right"/>
    </xf>
    <xf numFmtId="164" fontId="23" fillId="0" borderId="3" xfId="0" applyNumberFormat="1" applyFont="1" applyBorder="1" applyAlignment="1">
      <alignment horizontal="right"/>
    </xf>
    <xf numFmtId="164" fontId="23" fillId="0" borderId="4" xfId="0" applyNumberFormat="1" applyFont="1" applyFill="1" applyBorder="1" applyAlignment="1">
      <alignment horizontal="center" wrapText="1"/>
    </xf>
    <xf numFmtId="164" fontId="23" fillId="0" borderId="4" xfId="0" applyNumberFormat="1" applyFont="1" applyBorder="1" applyAlignment="1">
      <alignment horizontal="center" wrapText="1"/>
    </xf>
    <xf numFmtId="166" fontId="22" fillId="0" borderId="6" xfId="0" applyNumberFormat="1" applyFont="1" applyBorder="1" applyAlignment="1">
      <alignment horizontal="right"/>
    </xf>
    <xf numFmtId="166" fontId="22" fillId="0" borderId="7" xfId="0" applyNumberFormat="1" applyFont="1" applyBorder="1"/>
    <xf numFmtId="166" fontId="22" fillId="0" borderId="6" xfId="0" applyNumberFormat="1" applyFont="1" applyBorder="1"/>
    <xf numFmtId="166" fontId="22" fillId="0" borderId="8" xfId="0" applyNumberFormat="1" applyFont="1" applyBorder="1" applyAlignment="1">
      <alignment horizontal="right"/>
    </xf>
    <xf numFmtId="166" fontId="22" fillId="0" borderId="9" xfId="0" applyNumberFormat="1" applyFont="1" applyBorder="1"/>
    <xf numFmtId="166" fontId="22" fillId="0" borderId="8" xfId="0" applyNumberFormat="1" applyFont="1" applyBorder="1"/>
    <xf numFmtId="166" fontId="22" fillId="0" borderId="10" xfId="0" applyNumberFormat="1" applyFont="1" applyBorder="1" applyAlignment="1">
      <alignment horizontal="right"/>
    </xf>
    <xf numFmtId="166" fontId="22" fillId="0" borderId="11" xfId="0" applyNumberFormat="1" applyFont="1" applyBorder="1"/>
    <xf numFmtId="166" fontId="22" fillId="0" borderId="10" xfId="0" applyNumberFormat="1" applyFont="1" applyBorder="1"/>
    <xf numFmtId="166" fontId="22" fillId="0" borderId="0" xfId="0" applyNumberFormat="1" applyFont="1"/>
    <xf numFmtId="0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/>
    </xf>
    <xf numFmtId="0" fontId="22" fillId="0" borderId="8" xfId="0" applyNumberFormat="1" applyFont="1" applyBorder="1" applyAlignment="1">
      <alignment horizontal="center" vertical="center"/>
    </xf>
    <xf numFmtId="0" fontId="27" fillId="0" borderId="0" xfId="0" applyFont="1"/>
    <xf numFmtId="0" fontId="22" fillId="0" borderId="5" xfId="0" applyFont="1" applyBorder="1"/>
    <xf numFmtId="164" fontId="22" fillId="0" borderId="0" xfId="0" applyNumberFormat="1" applyFont="1" applyBorder="1" applyAlignment="1">
      <alignment horizontal="right"/>
    </xf>
    <xf numFmtId="0" fontId="25" fillId="0" borderId="0" xfId="0" applyFont="1"/>
    <xf numFmtId="0" fontId="24" fillId="0" borderId="0" xfId="0" applyNumberFormat="1" applyFont="1" applyAlignment="1">
      <alignment horizontal="center" vertical="center"/>
    </xf>
    <xf numFmtId="164" fontId="28" fillId="0" borderId="2" xfId="0" applyNumberFormat="1" applyFont="1" applyBorder="1"/>
    <xf numFmtId="164" fontId="28" fillId="0" borderId="0" xfId="0" applyNumberFormat="1" applyFont="1"/>
    <xf numFmtId="165" fontId="23" fillId="0" borderId="0" xfId="0" applyNumberFormat="1" applyFont="1" applyBorder="1" applyAlignment="1"/>
    <xf numFmtId="164" fontId="24" fillId="0" borderId="0" xfId="0" applyNumberFormat="1" applyFont="1" applyBorder="1"/>
    <xf numFmtId="166" fontId="22" fillId="0" borderId="1" xfId="0" applyNumberFormat="1" applyFont="1" applyBorder="1"/>
    <xf numFmtId="166" fontId="22" fillId="0" borderId="5" xfId="0" applyNumberFormat="1" applyFont="1" applyBorder="1"/>
    <xf numFmtId="166" fontId="22" fillId="0" borderId="12" xfId="0" applyNumberFormat="1" applyFont="1" applyBorder="1"/>
    <xf numFmtId="164" fontId="30" fillId="0" borderId="0" xfId="0" applyNumberFormat="1" applyFont="1"/>
    <xf numFmtId="0" fontId="28" fillId="0" borderId="0" xfId="0" applyNumberFormat="1" applyFont="1"/>
    <xf numFmtId="164" fontId="26" fillId="0" borderId="0" xfId="0" applyNumberFormat="1" applyFont="1" applyBorder="1"/>
    <xf numFmtId="164" fontId="23" fillId="0" borderId="0" xfId="0" applyNumberFormat="1" applyFont="1" applyBorder="1"/>
    <xf numFmtId="164" fontId="22" fillId="0" borderId="0" xfId="0" applyNumberFormat="1" applyFont="1" applyBorder="1" applyAlignment="1">
      <alignment horizontal="center"/>
    </xf>
    <xf numFmtId="164" fontId="23" fillId="0" borderId="0" xfId="0" applyNumberFormat="1" applyFont="1" applyBorder="1" applyAlignment="1">
      <alignment horizontal="center" wrapText="1"/>
    </xf>
    <xf numFmtId="164" fontId="23" fillId="0" borderId="0" xfId="0" applyNumberFormat="1" applyFont="1" applyFill="1" applyBorder="1" applyAlignment="1">
      <alignment horizontal="center" wrapText="1"/>
    </xf>
    <xf numFmtId="166" fontId="22" fillId="0" borderId="0" xfId="0" applyNumberFormat="1" applyFont="1" applyBorder="1"/>
    <xf numFmtId="166" fontId="28" fillId="0" borderId="0" xfId="0" applyNumberFormat="1" applyFont="1" applyBorder="1"/>
    <xf numFmtId="164" fontId="23" fillId="0" borderId="0" xfId="0" applyNumberFormat="1" applyFont="1" applyAlignment="1"/>
    <xf numFmtId="164" fontId="22" fillId="0" borderId="0" xfId="0" applyNumberFormat="1" applyFont="1" applyAlignment="1"/>
    <xf numFmtId="164" fontId="22" fillId="0" borderId="0" xfId="0" applyNumberFormat="1" applyFont="1" applyBorder="1"/>
    <xf numFmtId="164" fontId="23" fillId="0" borderId="9" xfId="0" applyNumberFormat="1" applyFont="1" applyBorder="1" applyAlignment="1"/>
    <xf numFmtId="164" fontId="23" fillId="0" borderId="11" xfId="0" applyNumberFormat="1" applyFont="1" applyBorder="1" applyAlignment="1"/>
    <xf numFmtId="166" fontId="23" fillId="0" borderId="7" xfId="0" applyNumberFormat="1" applyFont="1" applyBorder="1" applyAlignment="1">
      <alignment horizontal="right"/>
    </xf>
    <xf numFmtId="166" fontId="23" fillId="0" borderId="9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/>
    </xf>
    <xf numFmtId="164" fontId="23" fillId="0" borderId="13" xfId="0" applyNumberFormat="1" applyFont="1" applyFill="1" applyBorder="1" applyAlignment="1">
      <alignment horizontal="left"/>
    </xf>
    <xf numFmtId="164" fontId="23" fillId="0" borderId="7" xfId="0" applyNumberFormat="1" applyFont="1" applyBorder="1" applyAlignment="1">
      <alignment wrapText="1"/>
    </xf>
    <xf numFmtId="0" fontId="22" fillId="0" borderId="1" xfId="0" applyFont="1" applyBorder="1"/>
    <xf numFmtId="0" fontId="22" fillId="0" borderId="12" xfId="0" applyFont="1" applyBorder="1"/>
    <xf numFmtId="166" fontId="29" fillId="0" borderId="11" xfId="0" applyNumberFormat="1" applyFont="1" applyBorder="1" applyAlignment="1">
      <alignment horizontal="right"/>
    </xf>
    <xf numFmtId="166" fontId="22" fillId="0" borderId="5" xfId="0" applyNumberFormat="1" applyFont="1" applyBorder="1" applyAlignment="1">
      <alignment horizontal="right"/>
    </xf>
    <xf numFmtId="166" fontId="22" fillId="0" borderId="12" xfId="0" applyNumberFormat="1" applyFont="1" applyBorder="1" applyAlignment="1">
      <alignment horizontal="right"/>
    </xf>
    <xf numFmtId="166" fontId="22" fillId="0" borderId="1" xfId="0" applyNumberFormat="1" applyFont="1" applyBorder="1" applyAlignment="1">
      <alignment horizontal="right"/>
    </xf>
    <xf numFmtId="166" fontId="22" fillId="0" borderId="13" xfId="0" applyNumberFormat="1" applyFont="1" applyBorder="1" applyAlignment="1">
      <alignment horizontal="right"/>
    </xf>
    <xf numFmtId="166" fontId="22" fillId="0" borderId="2" xfId="0" applyNumberFormat="1" applyFont="1" applyBorder="1" applyAlignment="1">
      <alignment horizontal="right"/>
    </xf>
    <xf numFmtId="166" fontId="22" fillId="0" borderId="4" xfId="0" applyNumberFormat="1" applyFont="1" applyBorder="1" applyAlignment="1">
      <alignment horizontal="right"/>
    </xf>
    <xf numFmtId="0" fontId="22" fillId="0" borderId="13" xfId="0" applyFont="1" applyBorder="1"/>
    <xf numFmtId="164" fontId="23" fillId="33" borderId="9" xfId="0" applyNumberFormat="1" applyFont="1" applyFill="1" applyBorder="1" applyAlignment="1">
      <alignment horizontal="center" vertical="center" wrapText="1"/>
    </xf>
    <xf numFmtId="164" fontId="23" fillId="0" borderId="12" xfId="0" applyNumberFormat="1" applyFont="1" applyFill="1" applyBorder="1" applyAlignment="1">
      <alignment horizontal="center" vertical="center" wrapText="1"/>
    </xf>
    <xf numFmtId="164" fontId="23" fillId="0" borderId="11" xfId="0" applyNumberFormat="1" applyFont="1" applyFill="1" applyBorder="1" applyAlignment="1">
      <alignment horizontal="center" vertical="center" wrapText="1"/>
    </xf>
    <xf numFmtId="164" fontId="23" fillId="0" borderId="9" xfId="0" applyNumberFormat="1" applyFont="1" applyFill="1" applyBorder="1" applyAlignment="1">
      <alignment horizontal="center" vertical="center" wrapText="1"/>
    </xf>
    <xf numFmtId="164" fontId="23" fillId="33" borderId="11" xfId="0" applyNumberFormat="1" applyFont="1" applyFill="1" applyBorder="1" applyAlignment="1">
      <alignment horizontal="center" vertical="center" wrapText="1"/>
    </xf>
    <xf numFmtId="164" fontId="23" fillId="0" borderId="13" xfId="0" applyNumberFormat="1" applyFont="1" applyFill="1" applyBorder="1" applyAlignment="1">
      <alignment horizontal="center" vertical="center" wrapText="1"/>
    </xf>
    <xf numFmtId="164" fontId="23" fillId="0" borderId="7" xfId="0" applyNumberFormat="1" applyFont="1" applyBorder="1" applyAlignment="1">
      <alignment horizontal="center"/>
    </xf>
    <xf numFmtId="164" fontId="23" fillId="0" borderId="9" xfId="0" applyNumberFormat="1" applyFont="1" applyBorder="1" applyAlignment="1">
      <alignment horizontal="center"/>
    </xf>
    <xf numFmtId="164" fontId="23" fillId="0" borderId="7" xfId="0" applyNumberFormat="1" applyFont="1" applyBorder="1" applyAlignment="1">
      <alignment horizontal="center" wrapText="1"/>
    </xf>
    <xf numFmtId="164" fontId="23" fillId="0" borderId="9" xfId="0" applyNumberFormat="1" applyFont="1" applyBorder="1" applyAlignment="1">
      <alignment horizontal="center" wrapText="1"/>
    </xf>
    <xf numFmtId="164" fontId="23" fillId="0" borderId="1" xfId="0" applyNumberFormat="1" applyFont="1" applyBorder="1" applyAlignment="1">
      <alignment horizontal="center" wrapText="1"/>
    </xf>
    <xf numFmtId="164" fontId="22" fillId="0" borderId="5" xfId="0" applyNumberFormat="1" applyFont="1" applyBorder="1" applyAlignment="1"/>
    <xf numFmtId="164" fontId="22" fillId="0" borderId="12" xfId="0" applyNumberFormat="1" applyFont="1" applyBorder="1" applyAlignment="1"/>
    <xf numFmtId="164" fontId="23" fillId="0" borderId="2" xfId="0" applyNumberFormat="1" applyFont="1" applyBorder="1" applyAlignment="1">
      <alignment horizontal="center"/>
    </xf>
    <xf numFmtId="164" fontId="23" fillId="0" borderId="3" xfId="0" applyNumberFormat="1" applyFont="1" applyBorder="1" applyAlignment="1">
      <alignment horizontal="center"/>
    </xf>
    <xf numFmtId="164" fontId="23" fillId="0" borderId="4" xfId="0" applyNumberFormat="1" applyFont="1" applyBorder="1" applyAlignment="1">
      <alignment horizontal="center"/>
    </xf>
    <xf numFmtId="164" fontId="22" fillId="0" borderId="3" xfId="0" applyNumberFormat="1" applyFont="1" applyBorder="1" applyAlignment="1">
      <alignment horizontal="center"/>
    </xf>
    <xf numFmtId="164" fontId="22" fillId="0" borderId="4" xfId="0" applyNumberFormat="1" applyFont="1" applyBorder="1" applyAlignment="1">
      <alignment horizontal="center"/>
    </xf>
    <xf numFmtId="164" fontId="23" fillId="0" borderId="6" xfId="0" applyNumberFormat="1" applyFont="1" applyBorder="1" applyAlignment="1">
      <alignment horizontal="center" wrapText="1"/>
    </xf>
    <xf numFmtId="164" fontId="23" fillId="0" borderId="8" xfId="0" applyNumberFormat="1" applyFont="1" applyBorder="1" applyAlignment="1">
      <alignment horizontal="center"/>
    </xf>
    <xf numFmtId="164" fontId="23" fillId="0" borderId="8" xfId="0" applyNumberFormat="1" applyFont="1" applyBorder="1" applyAlignment="1">
      <alignment horizontal="center" wrapText="1"/>
    </xf>
    <xf numFmtId="164" fontId="23" fillId="0" borderId="10" xfId="0" applyNumberFormat="1" applyFont="1" applyBorder="1" applyAlignment="1">
      <alignment horizontal="center" wrapText="1"/>
    </xf>
    <xf numFmtId="164" fontId="22" fillId="0" borderId="9" xfId="0" applyNumberFormat="1" applyFont="1" applyBorder="1" applyAlignment="1">
      <alignment horizontal="center" wrapText="1"/>
    </xf>
    <xf numFmtId="164" fontId="22" fillId="0" borderId="11" xfId="0" applyNumberFormat="1" applyFont="1" applyBorder="1" applyAlignment="1">
      <alignment horizontal="center" wrapText="1"/>
    </xf>
    <xf numFmtId="164" fontId="23" fillId="0" borderId="11" xfId="0" applyNumberFormat="1" applyFont="1" applyBorder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4" fontId="23" fillId="0" borderId="15" xfId="0" applyNumberFormat="1" applyFont="1" applyBorder="1" applyAlignment="1">
      <alignment horizontal="center"/>
    </xf>
    <xf numFmtId="164" fontId="23" fillId="0" borderId="1" xfId="0" applyNumberFormat="1" applyFont="1" applyFill="1" applyBorder="1" applyAlignment="1">
      <alignment horizontal="center" wrapText="1"/>
    </xf>
    <xf numFmtId="164" fontId="22" fillId="0" borderId="5" xfId="0" applyNumberFormat="1" applyFont="1" applyFill="1" applyBorder="1" applyAlignment="1"/>
    <xf numFmtId="164" fontId="22" fillId="0" borderId="12" xfId="0" applyNumberFormat="1" applyFont="1" applyFill="1" applyBorder="1" applyAlignment="1"/>
    <xf numFmtId="164" fontId="23" fillId="0" borderId="2" xfId="0" applyNumberFormat="1" applyFont="1" applyFill="1" applyBorder="1" applyAlignment="1">
      <alignment horizontal="center"/>
    </xf>
    <xf numFmtId="164" fontId="23" fillId="0" borderId="3" xfId="0" applyNumberFormat="1" applyFont="1" applyFill="1" applyBorder="1" applyAlignment="1">
      <alignment horizontal="center"/>
    </xf>
    <xf numFmtId="164" fontId="23" fillId="0" borderId="4" xfId="0" applyNumberFormat="1" applyFont="1" applyFill="1" applyBorder="1" applyAlignment="1">
      <alignment horizontal="center"/>
    </xf>
    <xf numFmtId="164" fontId="23" fillId="0" borderId="6" xfId="0" applyNumberFormat="1" applyFont="1" applyFill="1" applyBorder="1" applyAlignment="1">
      <alignment horizontal="center"/>
    </xf>
    <xf numFmtId="164" fontId="23" fillId="0" borderId="8" xfId="0" applyNumberFormat="1" applyFont="1" applyFill="1" applyBorder="1"/>
    <xf numFmtId="164" fontId="23" fillId="0" borderId="10" xfId="0" applyNumberFormat="1" applyFont="1" applyFill="1" applyBorder="1"/>
    <xf numFmtId="164" fontId="23" fillId="0" borderId="5" xfId="0" applyNumberFormat="1" applyFont="1" applyFill="1" applyBorder="1" applyAlignment="1">
      <alignment horizontal="center" wrapText="1"/>
    </xf>
    <xf numFmtId="164" fontId="23" fillId="0" borderId="8" xfId="0" applyNumberFormat="1" applyFont="1" applyFill="1" applyBorder="1" applyAlignment="1">
      <alignment horizontal="center" wrapText="1"/>
    </xf>
    <xf numFmtId="164" fontId="23" fillId="0" borderId="12" xfId="0" applyNumberFormat="1" applyFont="1" applyFill="1" applyBorder="1" applyAlignment="1">
      <alignment horizontal="center" wrapText="1"/>
    </xf>
    <xf numFmtId="164" fontId="23" fillId="0" borderId="10" xfId="0" applyNumberFormat="1" applyFont="1" applyFill="1" applyBorder="1" applyAlignment="1">
      <alignment horizontal="center" wrapText="1"/>
    </xf>
    <xf numFmtId="164" fontId="23" fillId="0" borderId="9" xfId="0" applyNumberFormat="1" applyFont="1" applyFill="1" applyBorder="1" applyAlignment="1">
      <alignment horizontal="center" wrapText="1"/>
    </xf>
    <xf numFmtId="164" fontId="23" fillId="0" borderId="11" xfId="0" applyNumberFormat="1" applyFont="1" applyFill="1" applyBorder="1" applyAlignment="1">
      <alignment horizontal="center" wrapText="1"/>
    </xf>
    <xf numFmtId="164" fontId="22" fillId="0" borderId="0" xfId="0" applyNumberFormat="1" applyFont="1" applyAlignment="1">
      <alignment horizontal="center"/>
    </xf>
    <xf numFmtId="164" fontId="23" fillId="0" borderId="2" xfId="0" applyNumberFormat="1" applyFont="1" applyBorder="1" applyAlignment="1">
      <alignment horizontal="center" vertical="top"/>
    </xf>
    <xf numFmtId="164" fontId="23" fillId="0" borderId="3" xfId="0" applyNumberFormat="1" applyFont="1" applyBorder="1" applyAlignment="1">
      <alignment horizontal="center" vertical="top"/>
    </xf>
    <xf numFmtId="164" fontId="23" fillId="0" borderId="4" xfId="0" applyNumberFormat="1" applyFont="1" applyBorder="1" applyAlignment="1">
      <alignment horizontal="center" vertical="top"/>
    </xf>
    <xf numFmtId="0" fontId="23" fillId="0" borderId="7" xfId="0" applyNumberFormat="1" applyFont="1" applyBorder="1" applyAlignment="1">
      <alignment horizontal="center" wrapText="1"/>
    </xf>
    <xf numFmtId="0" fontId="23" fillId="0" borderId="9" xfId="0" applyNumberFormat="1" applyFont="1" applyBorder="1" applyAlignment="1"/>
    <xf numFmtId="164" fontId="23" fillId="0" borderId="2" xfId="0" applyNumberFormat="1" applyFon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164" fontId="23" fillId="0" borderId="4" xfId="0" applyNumberFormat="1" applyFont="1" applyBorder="1" applyAlignment="1">
      <alignment horizontal="center" vertical="center"/>
    </xf>
    <xf numFmtId="164" fontId="23" fillId="0" borderId="6" xfId="0" applyNumberFormat="1" applyFont="1" applyFill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64" fontId="23" fillId="0" borderId="5" xfId="0" applyNumberFormat="1" applyFont="1" applyFill="1" applyBorder="1" applyAlignment="1">
      <alignment horizontal="center" vertical="center" wrapText="1"/>
    </xf>
    <xf numFmtId="164" fontId="23" fillId="0" borderId="8" xfId="0" applyNumberFormat="1" applyFont="1" applyFill="1" applyBorder="1" applyAlignment="1">
      <alignment horizontal="center" vertical="center" wrapText="1"/>
    </xf>
    <xf numFmtId="164" fontId="23" fillId="0" borderId="12" xfId="0" applyNumberFormat="1" applyFont="1" applyFill="1" applyBorder="1" applyAlignment="1">
      <alignment horizontal="center" vertical="center" wrapText="1"/>
    </xf>
    <xf numFmtId="164" fontId="23" fillId="0" borderId="10" xfId="0" applyNumberFormat="1" applyFont="1" applyFill="1" applyBorder="1" applyAlignment="1">
      <alignment horizontal="center" vertical="center" wrapText="1"/>
    </xf>
    <xf numFmtId="164" fontId="23" fillId="0" borderId="9" xfId="0" applyNumberFormat="1" applyFont="1" applyFill="1" applyBorder="1" applyAlignment="1">
      <alignment horizontal="center" vertical="center" wrapText="1"/>
    </xf>
    <xf numFmtId="164" fontId="23" fillId="0" borderId="11" xfId="0" applyNumberFormat="1" applyFont="1" applyFill="1" applyBorder="1" applyAlignment="1">
      <alignment horizontal="center" vertical="center" wrapText="1"/>
    </xf>
    <xf numFmtId="0" fontId="23" fillId="0" borderId="2" xfId="0" applyNumberFormat="1" applyFont="1" applyFill="1" applyBorder="1" applyAlignment="1">
      <alignment horizontal="center" vertical="center"/>
    </xf>
    <xf numFmtId="0" fontId="23" fillId="0" borderId="3" xfId="0" applyNumberFormat="1" applyFont="1" applyFill="1" applyBorder="1" applyAlignment="1">
      <alignment horizontal="center" vertical="center"/>
    </xf>
    <xf numFmtId="0" fontId="23" fillId="0" borderId="4" xfId="0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5"/>
  <sheetViews>
    <sheetView view="pageLayout" zoomScaleNormal="100" zoomScaleSheetLayoutView="100" workbookViewId="0">
      <selection activeCell="A2" sqref="A2:XFD2"/>
    </sheetView>
  </sheetViews>
  <sheetFormatPr defaultColWidth="9.140625" defaultRowHeight="12.75"/>
  <cols>
    <col min="1" max="1" width="3.5703125" style="1" customWidth="1"/>
    <col min="2" max="2" width="15.42578125" style="1" customWidth="1"/>
    <col min="3" max="15" width="11.7109375" style="1" customWidth="1"/>
    <col min="16" max="16384" width="9.140625" style="1"/>
  </cols>
  <sheetData>
    <row r="1" spans="1:15" ht="13.5" thickBot="1"/>
    <row r="2" spans="1:15" ht="16.899999999999999" customHeight="1" thickBot="1">
      <c r="A2" s="4"/>
      <c r="B2" s="121" t="s">
        <v>227</v>
      </c>
      <c r="C2" s="124" t="s">
        <v>1</v>
      </c>
      <c r="D2" s="125"/>
      <c r="E2" s="125"/>
      <c r="F2" s="125"/>
      <c r="G2" s="125"/>
      <c r="H2" s="125"/>
      <c r="I2" s="125"/>
      <c r="J2" s="126"/>
      <c r="K2" s="125" t="s">
        <v>2</v>
      </c>
      <c r="L2" s="125"/>
      <c r="M2" s="127"/>
      <c r="N2" s="128"/>
      <c r="O2" s="86"/>
    </row>
    <row r="3" spans="1:15" ht="16.899999999999999" customHeight="1" thickBot="1">
      <c r="A3" s="4"/>
      <c r="B3" s="122"/>
      <c r="C3" s="124" t="s">
        <v>3</v>
      </c>
      <c r="D3" s="125"/>
      <c r="E3" s="125"/>
      <c r="F3" s="125"/>
      <c r="G3" s="125"/>
      <c r="H3" s="126"/>
      <c r="I3" s="129" t="s">
        <v>4</v>
      </c>
      <c r="J3" s="119" t="s">
        <v>214</v>
      </c>
      <c r="K3" s="129" t="s">
        <v>219</v>
      </c>
      <c r="L3" s="119" t="s">
        <v>216</v>
      </c>
      <c r="M3" s="119" t="s">
        <v>217</v>
      </c>
      <c r="N3" s="119" t="s">
        <v>218</v>
      </c>
      <c r="O3" s="87"/>
    </row>
    <row r="4" spans="1:15" ht="13.5" thickBot="1">
      <c r="A4" s="4"/>
      <c r="B4" s="122"/>
      <c r="C4" s="124" t="s">
        <v>173</v>
      </c>
      <c r="D4" s="125"/>
      <c r="E4" s="117" t="s">
        <v>5</v>
      </c>
      <c r="F4" s="117" t="s">
        <v>6</v>
      </c>
      <c r="G4" s="117" t="s">
        <v>7</v>
      </c>
      <c r="H4" s="119" t="s">
        <v>8</v>
      </c>
      <c r="I4" s="130"/>
      <c r="J4" s="118"/>
      <c r="K4" s="131"/>
      <c r="L4" s="133"/>
      <c r="M4" s="120"/>
      <c r="N4" s="120"/>
      <c r="O4" s="87"/>
    </row>
    <row r="5" spans="1:15" ht="27.75" customHeight="1" thickBot="1">
      <c r="A5" s="4"/>
      <c r="B5" s="122"/>
      <c r="C5" s="44" t="s">
        <v>215</v>
      </c>
      <c r="D5" s="45" t="s">
        <v>8</v>
      </c>
      <c r="E5" s="118"/>
      <c r="F5" s="118"/>
      <c r="G5" s="118"/>
      <c r="H5" s="120"/>
      <c r="I5" s="130"/>
      <c r="J5" s="118"/>
      <c r="K5" s="132"/>
      <c r="L5" s="134"/>
      <c r="M5" s="135"/>
      <c r="N5" s="135"/>
      <c r="O5" s="87"/>
    </row>
    <row r="6" spans="1:15" ht="39.6" customHeight="1" thickBot="1">
      <c r="A6" s="7"/>
      <c r="B6" s="123"/>
      <c r="C6" s="13" t="s">
        <v>9</v>
      </c>
      <c r="D6" s="13" t="s">
        <v>9</v>
      </c>
      <c r="E6" s="13" t="s">
        <v>9</v>
      </c>
      <c r="F6" s="13" t="s">
        <v>9</v>
      </c>
      <c r="G6" s="13" t="s">
        <v>9</v>
      </c>
      <c r="H6" s="13" t="s">
        <v>9</v>
      </c>
      <c r="I6" s="55" t="s">
        <v>10</v>
      </c>
      <c r="J6" s="13" t="s">
        <v>9</v>
      </c>
      <c r="K6" s="56" t="s">
        <v>9</v>
      </c>
      <c r="L6" s="56" t="s">
        <v>9</v>
      </c>
      <c r="M6" s="13" t="s">
        <v>9</v>
      </c>
      <c r="N6" s="14" t="s">
        <v>10</v>
      </c>
      <c r="O6" s="88"/>
    </row>
    <row r="7" spans="1:15">
      <c r="A7" s="6">
        <v>1</v>
      </c>
      <c r="B7" s="20" t="s">
        <v>11</v>
      </c>
      <c r="C7" s="18">
        <v>9.6999999999999993</v>
      </c>
      <c r="D7" s="18">
        <v>24.43</v>
      </c>
      <c r="E7" s="18">
        <v>120.64</v>
      </c>
      <c r="F7" s="18">
        <v>1360.38</v>
      </c>
      <c r="G7" s="18">
        <v>1038.96</v>
      </c>
      <c r="H7" s="57">
        <v>266.69</v>
      </c>
      <c r="I7" s="58">
        <v>907.65</v>
      </c>
      <c r="J7" s="57">
        <v>140.13999999999999</v>
      </c>
      <c r="K7" s="18">
        <v>0</v>
      </c>
      <c r="L7" s="18">
        <v>78.760000000000005</v>
      </c>
      <c r="M7" s="18">
        <v>21.74</v>
      </c>
      <c r="N7" s="59">
        <v>61.25</v>
      </c>
      <c r="O7" s="89">
        <f>SUM(C7:N7)</f>
        <v>4030.34</v>
      </c>
    </row>
    <row r="8" spans="1:15">
      <c r="A8" s="6">
        <v>2</v>
      </c>
      <c r="B8" s="20" t="s">
        <v>12</v>
      </c>
      <c r="C8" s="22">
        <v>0.5</v>
      </c>
      <c r="D8" s="22">
        <v>0</v>
      </c>
      <c r="E8" s="22">
        <v>2.94</v>
      </c>
      <c r="F8" s="22">
        <v>35.32</v>
      </c>
      <c r="G8" s="22">
        <v>30.56</v>
      </c>
      <c r="H8" s="60">
        <v>6.44</v>
      </c>
      <c r="I8" s="61">
        <v>33.119999999999997</v>
      </c>
      <c r="J8" s="60">
        <v>1.43</v>
      </c>
      <c r="K8" s="22">
        <v>0</v>
      </c>
      <c r="L8" s="22">
        <v>1.87</v>
      </c>
      <c r="M8" s="22">
        <v>0</v>
      </c>
      <c r="N8" s="62">
        <v>2.1800000000000002</v>
      </c>
      <c r="O8" s="89">
        <f t="shared" ref="O8:O47" si="0">SUM(C8:N8)</f>
        <v>114.36000000000001</v>
      </c>
    </row>
    <row r="9" spans="1:15">
      <c r="A9" s="6">
        <v>3</v>
      </c>
      <c r="B9" s="20" t="s">
        <v>13</v>
      </c>
      <c r="C9" s="22">
        <v>1</v>
      </c>
      <c r="D9" s="22">
        <v>8</v>
      </c>
      <c r="E9" s="22">
        <v>26.03</v>
      </c>
      <c r="F9" s="22">
        <v>189.72</v>
      </c>
      <c r="G9" s="22">
        <v>221.34</v>
      </c>
      <c r="H9" s="60">
        <v>50.08</v>
      </c>
      <c r="I9" s="61">
        <v>145</v>
      </c>
      <c r="J9" s="60">
        <v>17.009999999999998</v>
      </c>
      <c r="K9" s="22">
        <v>2.5</v>
      </c>
      <c r="L9" s="22">
        <v>12.84</v>
      </c>
      <c r="M9" s="22">
        <v>4.9000000000000004</v>
      </c>
      <c r="N9" s="62">
        <v>7</v>
      </c>
      <c r="O9" s="89">
        <f t="shared" si="0"/>
        <v>685.42000000000007</v>
      </c>
    </row>
    <row r="10" spans="1:15">
      <c r="A10" s="6">
        <v>4</v>
      </c>
      <c r="B10" s="20" t="s">
        <v>14</v>
      </c>
      <c r="C10" s="22">
        <v>0</v>
      </c>
      <c r="D10" s="22">
        <v>8.3800000000000008</v>
      </c>
      <c r="E10" s="22">
        <v>29</v>
      </c>
      <c r="F10" s="22">
        <v>249.5</v>
      </c>
      <c r="G10" s="22">
        <v>287.36</v>
      </c>
      <c r="H10" s="60">
        <v>50.71</v>
      </c>
      <c r="I10" s="61">
        <v>367.17</v>
      </c>
      <c r="J10" s="60">
        <v>44.8</v>
      </c>
      <c r="K10" s="22">
        <v>1.28</v>
      </c>
      <c r="L10" s="22">
        <v>18.399999999999999</v>
      </c>
      <c r="M10" s="22">
        <v>19.850000000000001</v>
      </c>
      <c r="N10" s="62">
        <v>0</v>
      </c>
      <c r="O10" s="89">
        <f t="shared" si="0"/>
        <v>1076.45</v>
      </c>
    </row>
    <row r="11" spans="1:15">
      <c r="A11" s="6">
        <v>42</v>
      </c>
      <c r="B11" s="23" t="s">
        <v>185</v>
      </c>
      <c r="C11" s="22">
        <v>0</v>
      </c>
      <c r="D11" s="22">
        <v>12</v>
      </c>
      <c r="E11" s="22">
        <v>63</v>
      </c>
      <c r="F11" s="22">
        <v>642.91</v>
      </c>
      <c r="G11" s="22">
        <v>588.55999999999995</v>
      </c>
      <c r="H11" s="60">
        <v>140.13</v>
      </c>
      <c r="I11" s="61">
        <v>129.97999999999999</v>
      </c>
      <c r="J11" s="60">
        <v>101.8</v>
      </c>
      <c r="K11" s="22">
        <v>0.5</v>
      </c>
      <c r="L11" s="22">
        <v>41.68</v>
      </c>
      <c r="M11" s="22">
        <v>10.88</v>
      </c>
      <c r="N11" s="62">
        <v>30.31</v>
      </c>
      <c r="O11" s="89">
        <f t="shared" si="0"/>
        <v>1761.75</v>
      </c>
    </row>
    <row r="12" spans="1:15" ht="13.5" thickBot="1">
      <c r="A12" s="8">
        <v>5</v>
      </c>
      <c r="B12" s="27" t="s">
        <v>15</v>
      </c>
      <c r="C12" s="26">
        <v>0</v>
      </c>
      <c r="D12" s="26">
        <v>2</v>
      </c>
      <c r="E12" s="26">
        <v>14</v>
      </c>
      <c r="F12" s="26">
        <v>74.430000000000007</v>
      </c>
      <c r="G12" s="26">
        <v>70.63</v>
      </c>
      <c r="H12" s="63">
        <v>17.989999999999998</v>
      </c>
      <c r="I12" s="64">
        <v>88.68</v>
      </c>
      <c r="J12" s="63">
        <v>14.389999999999999</v>
      </c>
      <c r="K12" s="26">
        <v>2.9</v>
      </c>
      <c r="L12" s="26">
        <v>4.9400000000000004</v>
      </c>
      <c r="M12" s="26">
        <v>1</v>
      </c>
      <c r="N12" s="65">
        <v>4.03</v>
      </c>
      <c r="O12" s="89">
        <f t="shared" si="0"/>
        <v>294.98999999999995</v>
      </c>
    </row>
    <row r="13" spans="1:15">
      <c r="A13" s="6">
        <v>6</v>
      </c>
      <c r="B13" s="20" t="s">
        <v>16</v>
      </c>
      <c r="C13" s="18">
        <v>0</v>
      </c>
      <c r="D13" s="18">
        <v>0</v>
      </c>
      <c r="E13" s="18">
        <v>0.83</v>
      </c>
      <c r="F13" s="18">
        <v>4.55</v>
      </c>
      <c r="G13" s="18">
        <v>8.75</v>
      </c>
      <c r="H13" s="57">
        <v>0.83</v>
      </c>
      <c r="I13" s="58">
        <v>6.79</v>
      </c>
      <c r="J13" s="57">
        <v>1.97</v>
      </c>
      <c r="K13" s="18">
        <v>0</v>
      </c>
      <c r="L13" s="18">
        <v>0</v>
      </c>
      <c r="M13" s="18">
        <v>0.03</v>
      </c>
      <c r="N13" s="59">
        <v>0</v>
      </c>
      <c r="O13" s="89">
        <f t="shared" si="0"/>
        <v>23.75</v>
      </c>
    </row>
    <row r="14" spans="1:15">
      <c r="A14" s="6">
        <v>7</v>
      </c>
      <c r="B14" s="20" t="s">
        <v>17</v>
      </c>
      <c r="C14" s="22">
        <v>1</v>
      </c>
      <c r="D14" s="22">
        <v>28.42</v>
      </c>
      <c r="E14" s="22">
        <v>137.78</v>
      </c>
      <c r="F14" s="22">
        <v>1300.44</v>
      </c>
      <c r="G14" s="22">
        <v>1032.55</v>
      </c>
      <c r="H14" s="60">
        <v>292.25</v>
      </c>
      <c r="I14" s="61">
        <v>1026</v>
      </c>
      <c r="J14" s="60">
        <v>206.72000000000003</v>
      </c>
      <c r="K14" s="22">
        <v>34.200000000000003</v>
      </c>
      <c r="L14" s="22">
        <v>83.95</v>
      </c>
      <c r="M14" s="22">
        <v>20.21</v>
      </c>
      <c r="N14" s="62">
        <v>51.54</v>
      </c>
      <c r="O14" s="89">
        <f t="shared" si="0"/>
        <v>4215.0599999999995</v>
      </c>
    </row>
    <row r="15" spans="1:15">
      <c r="A15" s="6">
        <v>8</v>
      </c>
      <c r="B15" s="20" t="s">
        <v>18</v>
      </c>
      <c r="C15" s="22">
        <v>0</v>
      </c>
      <c r="D15" s="22">
        <v>3</v>
      </c>
      <c r="E15" s="22">
        <v>12.5</v>
      </c>
      <c r="F15" s="22">
        <v>93.17</v>
      </c>
      <c r="G15" s="22">
        <v>86.32</v>
      </c>
      <c r="H15" s="60">
        <v>27.45</v>
      </c>
      <c r="I15" s="61">
        <v>92.18</v>
      </c>
      <c r="J15" s="60">
        <v>6.3100000000000005</v>
      </c>
      <c r="K15" s="22">
        <v>0</v>
      </c>
      <c r="L15" s="22">
        <v>5</v>
      </c>
      <c r="M15" s="22">
        <v>5.17</v>
      </c>
      <c r="N15" s="62">
        <v>4.4000000000000004</v>
      </c>
      <c r="O15" s="89">
        <f t="shared" si="0"/>
        <v>335.5</v>
      </c>
    </row>
    <row r="16" spans="1:15">
      <c r="A16" s="6">
        <v>9</v>
      </c>
      <c r="B16" s="20" t="s">
        <v>19</v>
      </c>
      <c r="C16" s="22">
        <v>0</v>
      </c>
      <c r="D16" s="22">
        <v>1</v>
      </c>
      <c r="E16" s="22">
        <v>7.5</v>
      </c>
      <c r="F16" s="22">
        <v>54.64</v>
      </c>
      <c r="G16" s="22">
        <v>53.46</v>
      </c>
      <c r="H16" s="60">
        <v>13.17</v>
      </c>
      <c r="I16" s="61">
        <v>42.76</v>
      </c>
      <c r="J16" s="60">
        <v>1</v>
      </c>
      <c r="K16" s="22">
        <v>0</v>
      </c>
      <c r="L16" s="22">
        <v>0.5</v>
      </c>
      <c r="M16" s="22">
        <v>1.1599999999999999</v>
      </c>
      <c r="N16" s="62">
        <v>8.5</v>
      </c>
      <c r="O16" s="89">
        <f t="shared" si="0"/>
        <v>183.68999999999997</v>
      </c>
    </row>
    <row r="17" spans="1:15" ht="13.5" thickBot="1">
      <c r="A17" s="6">
        <v>10</v>
      </c>
      <c r="B17" s="24" t="s">
        <v>20</v>
      </c>
      <c r="C17" s="26">
        <v>0.5</v>
      </c>
      <c r="D17" s="26">
        <v>0</v>
      </c>
      <c r="E17" s="26">
        <v>2.74</v>
      </c>
      <c r="F17" s="26">
        <v>22.72</v>
      </c>
      <c r="G17" s="26">
        <v>26.47</v>
      </c>
      <c r="H17" s="63">
        <v>4.4000000000000004</v>
      </c>
      <c r="I17" s="64">
        <v>24.03</v>
      </c>
      <c r="J17" s="63">
        <v>0.13</v>
      </c>
      <c r="K17" s="26">
        <v>0</v>
      </c>
      <c r="L17" s="26">
        <v>1.5</v>
      </c>
      <c r="M17" s="26">
        <v>0</v>
      </c>
      <c r="N17" s="65">
        <v>0.86</v>
      </c>
      <c r="O17" s="89">
        <f t="shared" si="0"/>
        <v>83.35</v>
      </c>
    </row>
    <row r="18" spans="1:15">
      <c r="A18" s="5">
        <v>11</v>
      </c>
      <c r="B18" s="20" t="s">
        <v>21</v>
      </c>
      <c r="C18" s="18">
        <v>0</v>
      </c>
      <c r="D18" s="18">
        <v>1</v>
      </c>
      <c r="E18" s="18">
        <v>5</v>
      </c>
      <c r="F18" s="18">
        <v>32</v>
      </c>
      <c r="G18" s="18">
        <v>35.31</v>
      </c>
      <c r="H18" s="57">
        <v>8.4</v>
      </c>
      <c r="I18" s="58">
        <v>29.29</v>
      </c>
      <c r="J18" s="57">
        <v>1.35</v>
      </c>
      <c r="K18" s="18">
        <v>0</v>
      </c>
      <c r="L18" s="18">
        <v>2</v>
      </c>
      <c r="M18" s="18">
        <v>1</v>
      </c>
      <c r="N18" s="59">
        <v>2.25</v>
      </c>
      <c r="O18" s="89">
        <f t="shared" si="0"/>
        <v>117.6</v>
      </c>
    </row>
    <row r="19" spans="1:15">
      <c r="A19" s="6">
        <v>12</v>
      </c>
      <c r="B19" s="20" t="s">
        <v>22</v>
      </c>
      <c r="C19" s="22">
        <v>0</v>
      </c>
      <c r="D19" s="22">
        <v>26.8</v>
      </c>
      <c r="E19" s="22">
        <v>143.72</v>
      </c>
      <c r="F19" s="22">
        <v>1312.47</v>
      </c>
      <c r="G19" s="22">
        <v>1192.3399999999999</v>
      </c>
      <c r="H19" s="60">
        <v>306.76</v>
      </c>
      <c r="I19" s="61">
        <v>704.81</v>
      </c>
      <c r="J19" s="60">
        <v>272.48</v>
      </c>
      <c r="K19" s="22">
        <v>2</v>
      </c>
      <c r="L19" s="22">
        <v>89.2</v>
      </c>
      <c r="M19" s="22">
        <v>20.84</v>
      </c>
      <c r="N19" s="62">
        <v>41.57</v>
      </c>
      <c r="O19" s="89">
        <f t="shared" si="0"/>
        <v>4112.99</v>
      </c>
    </row>
    <row r="20" spans="1:15">
      <c r="A20" s="6">
        <v>13</v>
      </c>
      <c r="B20" s="20" t="s">
        <v>23</v>
      </c>
      <c r="C20" s="22">
        <v>0.5</v>
      </c>
      <c r="D20" s="22">
        <v>8</v>
      </c>
      <c r="E20" s="22">
        <v>21</v>
      </c>
      <c r="F20" s="22">
        <v>175.04</v>
      </c>
      <c r="G20" s="22">
        <v>162.43</v>
      </c>
      <c r="H20" s="60">
        <v>43.66</v>
      </c>
      <c r="I20" s="61">
        <v>212.1</v>
      </c>
      <c r="J20" s="60">
        <v>8.76</v>
      </c>
      <c r="K20" s="22">
        <v>4</v>
      </c>
      <c r="L20" s="22">
        <v>11</v>
      </c>
      <c r="M20" s="22">
        <v>2</v>
      </c>
      <c r="N20" s="62">
        <v>10.199999999999999</v>
      </c>
      <c r="O20" s="89">
        <f t="shared" si="0"/>
        <v>658.69</v>
      </c>
    </row>
    <row r="21" spans="1:15">
      <c r="A21" s="6">
        <v>14</v>
      </c>
      <c r="B21" s="20" t="s">
        <v>24</v>
      </c>
      <c r="C21" s="22">
        <v>3</v>
      </c>
      <c r="D21" s="22">
        <v>18.82</v>
      </c>
      <c r="E21" s="22">
        <v>93.79</v>
      </c>
      <c r="F21" s="22">
        <v>986.17</v>
      </c>
      <c r="G21" s="22">
        <v>813.53</v>
      </c>
      <c r="H21" s="60">
        <v>206.33</v>
      </c>
      <c r="I21" s="61">
        <v>506.68</v>
      </c>
      <c r="J21" s="60">
        <v>110.03999999999999</v>
      </c>
      <c r="K21" s="22">
        <v>0</v>
      </c>
      <c r="L21" s="22">
        <v>56.86</v>
      </c>
      <c r="M21" s="22">
        <v>14.13</v>
      </c>
      <c r="N21" s="62">
        <v>3</v>
      </c>
      <c r="O21" s="89">
        <f t="shared" si="0"/>
        <v>2812.35</v>
      </c>
    </row>
    <row r="22" spans="1:15" ht="13.5" thickBot="1">
      <c r="A22" s="6">
        <v>15</v>
      </c>
      <c r="B22" s="20" t="s">
        <v>25</v>
      </c>
      <c r="C22" s="26">
        <v>0</v>
      </c>
      <c r="D22" s="26">
        <v>1</v>
      </c>
      <c r="E22" s="26">
        <v>4</v>
      </c>
      <c r="F22" s="26">
        <v>43</v>
      </c>
      <c r="G22" s="26">
        <v>42.26</v>
      </c>
      <c r="H22" s="63">
        <v>15.6</v>
      </c>
      <c r="I22" s="64">
        <v>48.51</v>
      </c>
      <c r="J22" s="63">
        <v>2.3199999999999998</v>
      </c>
      <c r="K22" s="26">
        <v>0</v>
      </c>
      <c r="L22" s="26">
        <v>0</v>
      </c>
      <c r="M22" s="26">
        <v>0</v>
      </c>
      <c r="N22" s="65">
        <v>3.52</v>
      </c>
      <c r="O22" s="89">
        <f t="shared" si="0"/>
        <v>160.20999999999998</v>
      </c>
    </row>
    <row r="23" spans="1:15">
      <c r="A23" s="5">
        <v>16</v>
      </c>
      <c r="B23" s="28" t="s">
        <v>26</v>
      </c>
      <c r="C23" s="18">
        <v>1.5</v>
      </c>
      <c r="D23" s="18">
        <v>0</v>
      </c>
      <c r="E23" s="18">
        <v>3.52</v>
      </c>
      <c r="F23" s="18">
        <v>25.54</v>
      </c>
      <c r="G23" s="18">
        <v>34.15</v>
      </c>
      <c r="H23" s="57">
        <v>5.89</v>
      </c>
      <c r="I23" s="58">
        <v>36.82</v>
      </c>
      <c r="J23" s="57">
        <v>2.34</v>
      </c>
      <c r="K23" s="18">
        <v>0</v>
      </c>
      <c r="L23" s="18">
        <v>1.75</v>
      </c>
      <c r="M23" s="18">
        <v>1.4</v>
      </c>
      <c r="N23" s="59">
        <v>3.04</v>
      </c>
      <c r="O23" s="89">
        <f t="shared" si="0"/>
        <v>115.95</v>
      </c>
    </row>
    <row r="24" spans="1:15">
      <c r="A24" s="6">
        <v>39</v>
      </c>
      <c r="B24" s="20" t="s">
        <v>49</v>
      </c>
      <c r="C24" s="22">
        <v>0</v>
      </c>
      <c r="D24" s="22">
        <v>3</v>
      </c>
      <c r="E24" s="22">
        <v>16</v>
      </c>
      <c r="F24" s="22">
        <v>109.27</v>
      </c>
      <c r="G24" s="22">
        <v>109.16</v>
      </c>
      <c r="H24" s="60">
        <v>27.93</v>
      </c>
      <c r="I24" s="61">
        <v>140.5</v>
      </c>
      <c r="J24" s="60">
        <v>18.23</v>
      </c>
      <c r="K24" s="22">
        <v>1</v>
      </c>
      <c r="L24" s="22">
        <v>7</v>
      </c>
      <c r="M24" s="22">
        <v>2</v>
      </c>
      <c r="N24" s="62">
        <v>6.5</v>
      </c>
      <c r="O24" s="89">
        <f t="shared" si="0"/>
        <v>440.59</v>
      </c>
    </row>
    <row r="25" spans="1:15">
      <c r="A25" s="6">
        <v>17</v>
      </c>
      <c r="B25" s="20" t="s">
        <v>27</v>
      </c>
      <c r="C25" s="22">
        <v>0</v>
      </c>
      <c r="D25" s="22">
        <v>3.5</v>
      </c>
      <c r="E25" s="22">
        <v>8.33</v>
      </c>
      <c r="F25" s="22">
        <v>54.32</v>
      </c>
      <c r="G25" s="22">
        <v>64.459999999999994</v>
      </c>
      <c r="H25" s="60">
        <v>13.51</v>
      </c>
      <c r="I25" s="61">
        <v>69.16</v>
      </c>
      <c r="J25" s="60">
        <v>5.92</v>
      </c>
      <c r="K25" s="22">
        <v>0.51</v>
      </c>
      <c r="L25" s="22">
        <v>3.34</v>
      </c>
      <c r="M25" s="22">
        <v>1.5</v>
      </c>
      <c r="N25" s="62">
        <v>4.5</v>
      </c>
      <c r="O25" s="89">
        <f t="shared" si="0"/>
        <v>229.04999999999998</v>
      </c>
    </row>
    <row r="26" spans="1:15">
      <c r="A26" s="6">
        <v>18</v>
      </c>
      <c r="B26" s="20" t="s">
        <v>28</v>
      </c>
      <c r="C26" s="22">
        <v>0</v>
      </c>
      <c r="D26" s="22">
        <v>1</v>
      </c>
      <c r="E26" s="22">
        <v>5</v>
      </c>
      <c r="F26" s="22">
        <v>50.83</v>
      </c>
      <c r="G26" s="22">
        <v>48.4</v>
      </c>
      <c r="H26" s="60">
        <v>8.5</v>
      </c>
      <c r="I26" s="61">
        <v>33.18</v>
      </c>
      <c r="J26" s="60">
        <v>1.56</v>
      </c>
      <c r="K26" s="22">
        <v>0</v>
      </c>
      <c r="L26" s="22">
        <v>3</v>
      </c>
      <c r="M26" s="22">
        <v>1.17</v>
      </c>
      <c r="N26" s="62">
        <v>3.6</v>
      </c>
      <c r="O26" s="89">
        <f t="shared" si="0"/>
        <v>156.23999999999998</v>
      </c>
    </row>
    <row r="27" spans="1:15" ht="13.5" thickBot="1">
      <c r="A27" s="6">
        <v>40</v>
      </c>
      <c r="B27" s="24" t="s">
        <v>50</v>
      </c>
      <c r="C27" s="26">
        <v>0</v>
      </c>
      <c r="D27" s="26">
        <v>1.5</v>
      </c>
      <c r="E27" s="26">
        <v>13.88</v>
      </c>
      <c r="F27" s="26">
        <v>124.03</v>
      </c>
      <c r="G27" s="26">
        <v>123.31</v>
      </c>
      <c r="H27" s="63">
        <v>29.3</v>
      </c>
      <c r="I27" s="64">
        <v>0</v>
      </c>
      <c r="J27" s="63">
        <v>15.87</v>
      </c>
      <c r="K27" s="26">
        <v>1</v>
      </c>
      <c r="L27" s="26">
        <v>8.5</v>
      </c>
      <c r="M27" s="26">
        <v>3</v>
      </c>
      <c r="N27" s="65">
        <v>0</v>
      </c>
      <c r="O27" s="89">
        <f t="shared" si="0"/>
        <v>320.39000000000004</v>
      </c>
    </row>
    <row r="28" spans="1:15">
      <c r="A28" s="5">
        <v>19</v>
      </c>
      <c r="B28" s="20" t="s">
        <v>29</v>
      </c>
      <c r="C28" s="18">
        <v>4</v>
      </c>
      <c r="D28" s="18">
        <v>15.8</v>
      </c>
      <c r="E28" s="18">
        <v>62.5</v>
      </c>
      <c r="F28" s="18">
        <v>580.17999999999995</v>
      </c>
      <c r="G28" s="18">
        <v>484.47</v>
      </c>
      <c r="H28" s="57">
        <v>117.36</v>
      </c>
      <c r="I28" s="58">
        <v>391.34</v>
      </c>
      <c r="J28" s="57">
        <v>132.68</v>
      </c>
      <c r="K28" s="18">
        <v>12.7</v>
      </c>
      <c r="L28" s="18">
        <v>25.28</v>
      </c>
      <c r="M28" s="18">
        <v>8</v>
      </c>
      <c r="N28" s="59">
        <v>18.350000000000001</v>
      </c>
      <c r="O28" s="89">
        <f t="shared" si="0"/>
        <v>1852.6599999999996</v>
      </c>
    </row>
    <row r="29" spans="1:15">
      <c r="A29" s="6">
        <v>20</v>
      </c>
      <c r="B29" s="23" t="s">
        <v>30</v>
      </c>
      <c r="C29" s="22">
        <v>0</v>
      </c>
      <c r="D29" s="22">
        <v>1</v>
      </c>
      <c r="E29" s="22">
        <v>6</v>
      </c>
      <c r="F29" s="22">
        <v>53.5</v>
      </c>
      <c r="G29" s="22">
        <v>50.15</v>
      </c>
      <c r="H29" s="60">
        <v>10</v>
      </c>
      <c r="I29" s="61">
        <v>49.48</v>
      </c>
      <c r="J29" s="60">
        <v>1.51</v>
      </c>
      <c r="K29" s="22">
        <v>1</v>
      </c>
      <c r="L29" s="22">
        <v>0</v>
      </c>
      <c r="M29" s="22">
        <v>0</v>
      </c>
      <c r="N29" s="62">
        <v>4.0999999999999996</v>
      </c>
      <c r="O29" s="89">
        <f t="shared" si="0"/>
        <v>176.73999999999998</v>
      </c>
    </row>
    <row r="30" spans="1:15">
      <c r="A30" s="6">
        <v>21</v>
      </c>
      <c r="B30" s="23" t="s">
        <v>31</v>
      </c>
      <c r="C30" s="22">
        <v>0.5</v>
      </c>
      <c r="D30" s="22">
        <v>0</v>
      </c>
      <c r="E30" s="22">
        <v>2.34</v>
      </c>
      <c r="F30" s="22">
        <v>20.2</v>
      </c>
      <c r="G30" s="22">
        <v>23.77</v>
      </c>
      <c r="H30" s="60">
        <v>5.07</v>
      </c>
      <c r="I30" s="61">
        <v>16.5</v>
      </c>
      <c r="J30" s="60">
        <v>2.6100000000000003</v>
      </c>
      <c r="K30" s="22">
        <v>0.2</v>
      </c>
      <c r="L30" s="22">
        <v>1.2</v>
      </c>
      <c r="M30" s="22">
        <v>0.7</v>
      </c>
      <c r="N30" s="62">
        <v>2</v>
      </c>
      <c r="O30" s="89">
        <f t="shared" si="0"/>
        <v>75.09</v>
      </c>
    </row>
    <row r="31" spans="1:15">
      <c r="A31" s="6">
        <v>37</v>
      </c>
      <c r="B31" s="20" t="s">
        <v>47</v>
      </c>
      <c r="C31" s="22">
        <v>0</v>
      </c>
      <c r="D31" s="22">
        <v>6</v>
      </c>
      <c r="E31" s="22">
        <v>40.799999999999997</v>
      </c>
      <c r="F31" s="22">
        <v>255.76</v>
      </c>
      <c r="G31" s="22">
        <v>200.72</v>
      </c>
      <c r="H31" s="60">
        <v>65.61</v>
      </c>
      <c r="I31" s="61">
        <v>202.61</v>
      </c>
      <c r="J31" s="60">
        <v>66.89</v>
      </c>
      <c r="K31" s="22">
        <v>12</v>
      </c>
      <c r="L31" s="22">
        <v>16</v>
      </c>
      <c r="M31" s="22">
        <v>18.600000000000001</v>
      </c>
      <c r="N31" s="62">
        <v>3.99</v>
      </c>
      <c r="O31" s="89">
        <f t="shared" si="0"/>
        <v>888.98</v>
      </c>
    </row>
    <row r="32" spans="1:15" ht="13.5" thickBot="1">
      <c r="A32" s="6">
        <v>22</v>
      </c>
      <c r="B32" s="24" t="s">
        <v>32</v>
      </c>
      <c r="C32" s="26">
        <v>0</v>
      </c>
      <c r="D32" s="26">
        <v>1</v>
      </c>
      <c r="E32" s="26">
        <v>9</v>
      </c>
      <c r="F32" s="26">
        <v>92.36</v>
      </c>
      <c r="G32" s="26">
        <v>125.38</v>
      </c>
      <c r="H32" s="63">
        <v>20.89</v>
      </c>
      <c r="I32" s="64">
        <v>53.97</v>
      </c>
      <c r="J32" s="63">
        <v>27.939999999999998</v>
      </c>
      <c r="K32" s="26">
        <v>4.55</v>
      </c>
      <c r="L32" s="26">
        <v>6.8</v>
      </c>
      <c r="M32" s="26">
        <v>7</v>
      </c>
      <c r="N32" s="65">
        <v>2.58</v>
      </c>
      <c r="O32" s="89">
        <f t="shared" si="0"/>
        <v>351.47</v>
      </c>
    </row>
    <row r="33" spans="1:15">
      <c r="A33" s="5">
        <v>23</v>
      </c>
      <c r="B33" s="20" t="s">
        <v>33</v>
      </c>
      <c r="C33" s="18">
        <v>0.75</v>
      </c>
      <c r="D33" s="18">
        <v>0</v>
      </c>
      <c r="E33" s="18">
        <v>1.34</v>
      </c>
      <c r="F33" s="18">
        <v>9.99</v>
      </c>
      <c r="G33" s="18">
        <v>13</v>
      </c>
      <c r="H33" s="57">
        <v>1.77</v>
      </c>
      <c r="I33" s="58">
        <v>9.15</v>
      </c>
      <c r="J33" s="57">
        <v>1</v>
      </c>
      <c r="K33" s="18">
        <v>0</v>
      </c>
      <c r="L33" s="18">
        <v>0.99</v>
      </c>
      <c r="M33" s="18">
        <v>0</v>
      </c>
      <c r="N33" s="59">
        <v>0.8</v>
      </c>
      <c r="O33" s="89">
        <f t="shared" si="0"/>
        <v>38.79</v>
      </c>
    </row>
    <row r="34" spans="1:15">
      <c r="A34" s="6">
        <v>38</v>
      </c>
      <c r="B34" s="20" t="s">
        <v>48</v>
      </c>
      <c r="C34" s="22">
        <v>3.5</v>
      </c>
      <c r="D34" s="22">
        <v>2</v>
      </c>
      <c r="E34" s="22">
        <v>30</v>
      </c>
      <c r="F34" s="22">
        <v>273.85000000000002</v>
      </c>
      <c r="G34" s="22">
        <v>264.55</v>
      </c>
      <c r="H34" s="60">
        <v>79.709999999999994</v>
      </c>
      <c r="I34" s="61">
        <v>299.89999999999998</v>
      </c>
      <c r="J34" s="60">
        <v>62.82</v>
      </c>
      <c r="K34" s="22">
        <v>0</v>
      </c>
      <c r="L34" s="22">
        <v>17.88</v>
      </c>
      <c r="M34" s="22">
        <v>3.33</v>
      </c>
      <c r="N34" s="62">
        <v>14.51</v>
      </c>
      <c r="O34" s="89">
        <f t="shared" si="0"/>
        <v>1052.0500000000002</v>
      </c>
    </row>
    <row r="35" spans="1:15">
      <c r="A35" s="6">
        <v>24</v>
      </c>
      <c r="B35" s="20" t="s">
        <v>34</v>
      </c>
      <c r="C35" s="22">
        <v>0</v>
      </c>
      <c r="D35" s="22">
        <v>0</v>
      </c>
      <c r="E35" s="22">
        <v>2</v>
      </c>
      <c r="F35" s="22">
        <v>12.33</v>
      </c>
      <c r="G35" s="22">
        <v>15.56</v>
      </c>
      <c r="H35" s="60">
        <v>2</v>
      </c>
      <c r="I35" s="61">
        <v>6.55</v>
      </c>
      <c r="J35" s="60">
        <v>1.39</v>
      </c>
      <c r="K35" s="22">
        <v>0.5</v>
      </c>
      <c r="L35" s="22">
        <v>0.5</v>
      </c>
      <c r="M35" s="22">
        <v>0</v>
      </c>
      <c r="N35" s="62">
        <v>0</v>
      </c>
      <c r="O35" s="89">
        <f t="shared" si="0"/>
        <v>40.83</v>
      </c>
    </row>
    <row r="36" spans="1:15">
      <c r="A36" s="6">
        <v>36</v>
      </c>
      <c r="B36" s="20" t="s">
        <v>46</v>
      </c>
      <c r="C36" s="22">
        <v>0</v>
      </c>
      <c r="D36" s="22">
        <v>7.5</v>
      </c>
      <c r="E36" s="22">
        <v>86.66</v>
      </c>
      <c r="F36" s="22">
        <v>508.44</v>
      </c>
      <c r="G36" s="22">
        <v>415.25</v>
      </c>
      <c r="H36" s="60">
        <v>136.97</v>
      </c>
      <c r="I36" s="61">
        <v>502.52</v>
      </c>
      <c r="J36" s="60">
        <v>118.18</v>
      </c>
      <c r="K36" s="22">
        <v>11.07</v>
      </c>
      <c r="L36" s="22">
        <v>25.2</v>
      </c>
      <c r="M36" s="22">
        <v>35.5</v>
      </c>
      <c r="N36" s="62">
        <v>6.83</v>
      </c>
      <c r="O36" s="89">
        <f t="shared" si="0"/>
        <v>1854.12</v>
      </c>
    </row>
    <row r="37" spans="1:15" ht="13.5" thickBot="1">
      <c r="A37" s="6">
        <v>25</v>
      </c>
      <c r="B37" s="49" t="s">
        <v>35</v>
      </c>
      <c r="C37" s="26">
        <v>1</v>
      </c>
      <c r="D37" s="26">
        <v>2.75</v>
      </c>
      <c r="E37" s="26">
        <v>9.5</v>
      </c>
      <c r="F37" s="26">
        <v>60.35</v>
      </c>
      <c r="G37" s="26">
        <v>74.650000000000006</v>
      </c>
      <c r="H37" s="63">
        <v>12.44</v>
      </c>
      <c r="I37" s="64">
        <v>60.9</v>
      </c>
      <c r="J37" s="63">
        <v>24.88</v>
      </c>
      <c r="K37" s="26">
        <v>1</v>
      </c>
      <c r="L37" s="26">
        <v>3.52</v>
      </c>
      <c r="M37" s="26">
        <v>1</v>
      </c>
      <c r="N37" s="65">
        <v>8.9499999999999993</v>
      </c>
      <c r="O37" s="89">
        <f t="shared" si="0"/>
        <v>260.94</v>
      </c>
    </row>
    <row r="38" spans="1:15">
      <c r="A38" s="5">
        <v>26</v>
      </c>
      <c r="B38" s="23" t="s">
        <v>36</v>
      </c>
      <c r="C38" s="18">
        <v>0</v>
      </c>
      <c r="D38" s="18">
        <v>4.04</v>
      </c>
      <c r="E38" s="18">
        <v>11.33</v>
      </c>
      <c r="F38" s="18">
        <v>75.22</v>
      </c>
      <c r="G38" s="18">
        <v>104.24</v>
      </c>
      <c r="H38" s="57">
        <v>27.02</v>
      </c>
      <c r="I38" s="58">
        <v>62.15</v>
      </c>
      <c r="J38" s="57">
        <v>8.2899999999999991</v>
      </c>
      <c r="K38" s="18">
        <v>0</v>
      </c>
      <c r="L38" s="18">
        <v>5.47</v>
      </c>
      <c r="M38" s="18">
        <v>0</v>
      </c>
      <c r="N38" s="59">
        <v>8.41</v>
      </c>
      <c r="O38" s="89">
        <f t="shared" si="0"/>
        <v>306.17000000000007</v>
      </c>
    </row>
    <row r="39" spans="1:15">
      <c r="A39" s="6">
        <v>27</v>
      </c>
      <c r="B39" s="23" t="s">
        <v>37</v>
      </c>
      <c r="C39" s="22">
        <v>0</v>
      </c>
      <c r="D39" s="22">
        <v>3</v>
      </c>
      <c r="E39" s="22">
        <v>7.5</v>
      </c>
      <c r="F39" s="22">
        <v>55.86</v>
      </c>
      <c r="G39" s="22">
        <v>88.78</v>
      </c>
      <c r="H39" s="60">
        <v>11.85</v>
      </c>
      <c r="I39" s="61">
        <v>118.25</v>
      </c>
      <c r="J39" s="60">
        <v>5.55</v>
      </c>
      <c r="K39" s="22">
        <v>0</v>
      </c>
      <c r="L39" s="22">
        <v>3.89</v>
      </c>
      <c r="M39" s="22">
        <v>0</v>
      </c>
      <c r="N39" s="62">
        <v>8</v>
      </c>
      <c r="O39" s="89">
        <f t="shared" si="0"/>
        <v>302.68</v>
      </c>
    </row>
    <row r="40" spans="1:15">
      <c r="A40" s="6">
        <v>28</v>
      </c>
      <c r="B40" s="23" t="s">
        <v>38</v>
      </c>
      <c r="C40" s="22">
        <v>0</v>
      </c>
      <c r="D40" s="22">
        <v>0.13</v>
      </c>
      <c r="E40" s="22">
        <v>3.5</v>
      </c>
      <c r="F40" s="22">
        <v>34</v>
      </c>
      <c r="G40" s="22">
        <v>29.46</v>
      </c>
      <c r="H40" s="60">
        <v>4.5599999999999996</v>
      </c>
      <c r="I40" s="61">
        <v>20.28</v>
      </c>
      <c r="J40" s="60">
        <v>3.39</v>
      </c>
      <c r="K40" s="22">
        <v>1</v>
      </c>
      <c r="L40" s="22">
        <v>1.9</v>
      </c>
      <c r="M40" s="22">
        <v>1.5</v>
      </c>
      <c r="N40" s="62">
        <v>0.85</v>
      </c>
      <c r="O40" s="89">
        <f t="shared" si="0"/>
        <v>100.57000000000001</v>
      </c>
    </row>
    <row r="41" spans="1:15">
      <c r="A41" s="6">
        <v>29</v>
      </c>
      <c r="B41" s="20" t="s">
        <v>39</v>
      </c>
      <c r="C41" s="22">
        <v>0</v>
      </c>
      <c r="D41" s="22">
        <v>0.5</v>
      </c>
      <c r="E41" s="22">
        <v>0.5</v>
      </c>
      <c r="F41" s="22">
        <v>8.2899999999999991</v>
      </c>
      <c r="G41" s="22">
        <v>7.85</v>
      </c>
      <c r="H41" s="60">
        <v>1.64</v>
      </c>
      <c r="I41" s="61">
        <v>4.87</v>
      </c>
      <c r="J41" s="60">
        <v>1.54</v>
      </c>
      <c r="K41" s="22">
        <v>0.25</v>
      </c>
      <c r="L41" s="22">
        <v>0.41</v>
      </c>
      <c r="M41" s="22">
        <v>0</v>
      </c>
      <c r="N41" s="62">
        <v>0.38</v>
      </c>
      <c r="O41" s="89">
        <f t="shared" si="0"/>
        <v>26.23</v>
      </c>
    </row>
    <row r="42" spans="1:15" ht="13.5" thickBot="1">
      <c r="A42" s="6">
        <v>30</v>
      </c>
      <c r="B42" s="27" t="s">
        <v>40</v>
      </c>
      <c r="C42" s="26">
        <v>2</v>
      </c>
      <c r="D42" s="26">
        <v>6</v>
      </c>
      <c r="E42" s="26">
        <v>29.59</v>
      </c>
      <c r="F42" s="26">
        <v>262.35000000000002</v>
      </c>
      <c r="G42" s="26">
        <v>278.58999999999997</v>
      </c>
      <c r="H42" s="63">
        <v>71.77</v>
      </c>
      <c r="I42" s="64">
        <v>158.19</v>
      </c>
      <c r="J42" s="63">
        <v>33.269999999999996</v>
      </c>
      <c r="K42" s="26">
        <v>2</v>
      </c>
      <c r="L42" s="26">
        <v>18.84</v>
      </c>
      <c r="M42" s="26">
        <v>3.05</v>
      </c>
      <c r="N42" s="65">
        <v>16.46</v>
      </c>
      <c r="O42" s="89">
        <f t="shared" si="0"/>
        <v>882.11</v>
      </c>
    </row>
    <row r="43" spans="1:15">
      <c r="A43" s="5">
        <v>31</v>
      </c>
      <c r="B43" s="20" t="s">
        <v>41</v>
      </c>
      <c r="C43" s="22">
        <v>0.85</v>
      </c>
      <c r="D43" s="22">
        <v>2</v>
      </c>
      <c r="E43" s="22">
        <v>19.57</v>
      </c>
      <c r="F43" s="22">
        <v>131.63</v>
      </c>
      <c r="G43" s="22">
        <v>105.79</v>
      </c>
      <c r="H43" s="60">
        <v>30.14</v>
      </c>
      <c r="I43" s="61">
        <v>105.33</v>
      </c>
      <c r="J43" s="60">
        <v>14.55</v>
      </c>
      <c r="K43" s="22">
        <v>2</v>
      </c>
      <c r="L43" s="22">
        <v>5.48</v>
      </c>
      <c r="M43" s="22">
        <v>0.8</v>
      </c>
      <c r="N43" s="59">
        <v>9</v>
      </c>
      <c r="O43" s="89">
        <f t="shared" si="0"/>
        <v>427.14000000000004</v>
      </c>
    </row>
    <row r="44" spans="1:15">
      <c r="A44" s="6">
        <v>32</v>
      </c>
      <c r="B44" s="20" t="s">
        <v>42</v>
      </c>
      <c r="C44" s="22">
        <v>0</v>
      </c>
      <c r="D44" s="22">
        <v>4</v>
      </c>
      <c r="E44" s="22">
        <v>11.48</v>
      </c>
      <c r="F44" s="22">
        <v>114.5</v>
      </c>
      <c r="G44" s="22">
        <v>98.67</v>
      </c>
      <c r="H44" s="60">
        <v>29.68</v>
      </c>
      <c r="I44" s="61">
        <v>72.75</v>
      </c>
      <c r="J44" s="60">
        <v>21.41</v>
      </c>
      <c r="K44" s="22">
        <v>4.5</v>
      </c>
      <c r="L44" s="22">
        <v>7.5</v>
      </c>
      <c r="M44" s="22">
        <v>5.67</v>
      </c>
      <c r="N44" s="62">
        <v>1.5</v>
      </c>
      <c r="O44" s="89">
        <f t="shared" si="0"/>
        <v>371.66</v>
      </c>
    </row>
    <row r="45" spans="1:15">
      <c r="A45" s="6">
        <v>33</v>
      </c>
      <c r="B45" s="23" t="s">
        <v>43</v>
      </c>
      <c r="C45" s="22">
        <v>0</v>
      </c>
      <c r="D45" s="22">
        <v>9.2899999999999991</v>
      </c>
      <c r="E45" s="22">
        <v>66.989999999999995</v>
      </c>
      <c r="F45" s="22">
        <v>449.21</v>
      </c>
      <c r="G45" s="22">
        <v>526.54999999999995</v>
      </c>
      <c r="H45" s="60">
        <v>119</v>
      </c>
      <c r="I45" s="61">
        <v>311.87</v>
      </c>
      <c r="J45" s="60">
        <v>125.25</v>
      </c>
      <c r="K45" s="22">
        <v>13.8</v>
      </c>
      <c r="L45" s="22">
        <v>42.61</v>
      </c>
      <c r="M45" s="22">
        <v>15.86</v>
      </c>
      <c r="N45" s="62">
        <v>36.549999999999997</v>
      </c>
      <c r="O45" s="89">
        <f t="shared" si="0"/>
        <v>1716.9799999999996</v>
      </c>
    </row>
    <row r="46" spans="1:15">
      <c r="A46" s="6">
        <v>34</v>
      </c>
      <c r="B46" s="23" t="s">
        <v>44</v>
      </c>
      <c r="C46" s="22">
        <v>0</v>
      </c>
      <c r="D46" s="22">
        <v>0.2</v>
      </c>
      <c r="E46" s="22">
        <v>1.29</v>
      </c>
      <c r="F46" s="22">
        <v>12.33</v>
      </c>
      <c r="G46" s="22">
        <v>18.14</v>
      </c>
      <c r="H46" s="60">
        <v>2.2200000000000002</v>
      </c>
      <c r="I46" s="61">
        <v>9.58</v>
      </c>
      <c r="J46" s="60">
        <v>0.53</v>
      </c>
      <c r="K46" s="22">
        <v>0</v>
      </c>
      <c r="L46" s="22">
        <v>0.86</v>
      </c>
      <c r="M46" s="22">
        <v>0</v>
      </c>
      <c r="N46" s="62">
        <v>1.1399999999999999</v>
      </c>
      <c r="O46" s="89">
        <f t="shared" si="0"/>
        <v>46.29</v>
      </c>
    </row>
    <row r="47" spans="1:15" ht="13.5" thickBot="1">
      <c r="A47" s="6">
        <v>35</v>
      </c>
      <c r="B47" s="20" t="s">
        <v>45</v>
      </c>
      <c r="C47" s="26">
        <v>0</v>
      </c>
      <c r="D47" s="26">
        <v>8.81</v>
      </c>
      <c r="E47" s="26">
        <v>63.01</v>
      </c>
      <c r="F47" s="26">
        <v>571.76</v>
      </c>
      <c r="G47" s="26">
        <v>528.17999999999995</v>
      </c>
      <c r="H47" s="60">
        <v>162.08000000000001</v>
      </c>
      <c r="I47" s="64">
        <v>379.66</v>
      </c>
      <c r="J47" s="60">
        <v>85.64</v>
      </c>
      <c r="K47" s="26">
        <v>20.8</v>
      </c>
      <c r="L47" s="26">
        <v>36.659999999999997</v>
      </c>
      <c r="M47" s="26">
        <v>13.83</v>
      </c>
      <c r="N47" s="65">
        <v>27.7</v>
      </c>
      <c r="O47" s="89">
        <f t="shared" si="0"/>
        <v>1898.1299999999999</v>
      </c>
    </row>
    <row r="48" spans="1:15" s="3" customFormat="1" ht="13.5" thickBot="1">
      <c r="A48" s="7"/>
      <c r="B48" s="31" t="s">
        <v>51</v>
      </c>
      <c r="C48" s="51">
        <f>SUM(C7:C47)</f>
        <v>30.3</v>
      </c>
      <c r="D48" s="51">
        <f t="shared" ref="D48:N48" si="1">SUM(D7:D47)</f>
        <v>225.86999999999998</v>
      </c>
      <c r="E48" s="51">
        <f t="shared" si="1"/>
        <v>1196.0999999999999</v>
      </c>
      <c r="F48" s="51">
        <f t="shared" si="1"/>
        <v>10522.56</v>
      </c>
      <c r="G48" s="51">
        <f t="shared" si="1"/>
        <v>9524.06</v>
      </c>
      <c r="H48" s="52">
        <f t="shared" si="1"/>
        <v>2447.7999999999993</v>
      </c>
      <c r="I48" s="52">
        <f t="shared" si="1"/>
        <v>7480.2599999999984</v>
      </c>
      <c r="J48" s="51">
        <f t="shared" si="1"/>
        <v>1713.8900000000003</v>
      </c>
      <c r="K48" s="51">
        <f t="shared" si="1"/>
        <v>137.26</v>
      </c>
      <c r="L48" s="54">
        <f t="shared" si="1"/>
        <v>653.08000000000004</v>
      </c>
      <c r="M48" s="51">
        <f t="shared" si="1"/>
        <v>246.82000000000002</v>
      </c>
      <c r="N48" s="52">
        <f t="shared" si="1"/>
        <v>420.35</v>
      </c>
      <c r="O48" s="89"/>
    </row>
    <row r="49" spans="1:15" s="3" customFormat="1" ht="13.5" thickBot="1">
      <c r="A49" s="4"/>
      <c r="B49" s="31" t="s">
        <v>52</v>
      </c>
      <c r="C49" s="53">
        <f>'instruction-charters'!D89</f>
        <v>2</v>
      </c>
      <c r="D49" s="53">
        <f>'instruction-charters'!E89</f>
        <v>0</v>
      </c>
      <c r="E49" s="53">
        <f>'instruction-charters'!F89</f>
        <v>102.23</v>
      </c>
      <c r="F49" s="53">
        <f>'instruction-charters'!G89</f>
        <v>953.16999999999985</v>
      </c>
      <c r="G49" s="53">
        <f>'instruction-charters'!H89</f>
        <v>808.4899999999999</v>
      </c>
      <c r="H49" s="53">
        <f>'instruction-charters'!I89</f>
        <v>157.07</v>
      </c>
      <c r="I49" s="53">
        <f>'instruction-charters'!J89</f>
        <v>592.35</v>
      </c>
      <c r="J49" s="53">
        <f>'instruction-charters'!K89</f>
        <v>30.64</v>
      </c>
      <c r="K49" s="53">
        <f>'instruction-charters'!L89</f>
        <v>7.02</v>
      </c>
      <c r="L49" s="53">
        <f>'instruction-charters'!M89</f>
        <v>43.120000000000005</v>
      </c>
      <c r="M49" s="51">
        <f>'instruction-charters'!N89</f>
        <v>28.13</v>
      </c>
      <c r="N49" s="52">
        <f>'instruction-charters'!O89</f>
        <v>14.249999999999998</v>
      </c>
      <c r="O49" s="89"/>
    </row>
    <row r="50" spans="1:15" s="3" customFormat="1" ht="13.5" thickBot="1">
      <c r="A50" s="4"/>
      <c r="B50" s="31" t="s">
        <v>53</v>
      </c>
      <c r="C50" s="53">
        <f>SUM(C48:C49)</f>
        <v>32.299999999999997</v>
      </c>
      <c r="D50" s="53">
        <f t="shared" ref="D50:N50" si="2">SUM(D48:D49)</f>
        <v>225.86999999999998</v>
      </c>
      <c r="E50" s="53">
        <f t="shared" si="2"/>
        <v>1298.33</v>
      </c>
      <c r="F50" s="53">
        <f t="shared" si="2"/>
        <v>11475.73</v>
      </c>
      <c r="G50" s="53">
        <f t="shared" si="2"/>
        <v>10332.549999999999</v>
      </c>
      <c r="H50" s="53">
        <f t="shared" si="2"/>
        <v>2604.8699999999994</v>
      </c>
      <c r="I50" s="53">
        <f t="shared" si="2"/>
        <v>8072.6099999999988</v>
      </c>
      <c r="J50" s="53">
        <f t="shared" si="2"/>
        <v>1744.5300000000004</v>
      </c>
      <c r="K50" s="53">
        <f t="shared" si="2"/>
        <v>144.28</v>
      </c>
      <c r="L50" s="53">
        <f t="shared" si="2"/>
        <v>696.2</v>
      </c>
      <c r="M50" s="53">
        <f t="shared" si="2"/>
        <v>274.95000000000005</v>
      </c>
      <c r="N50" s="51">
        <f t="shared" si="2"/>
        <v>434.6</v>
      </c>
      <c r="O50" s="89"/>
    </row>
    <row r="51" spans="1:1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3:1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</sheetData>
  <sortState ref="A7:O46">
    <sortCondition ref="B7:B46"/>
  </sortState>
  <mergeCells count="15">
    <mergeCell ref="K2:N2"/>
    <mergeCell ref="C3:H3"/>
    <mergeCell ref="I3:I5"/>
    <mergeCell ref="J3:J5"/>
    <mergeCell ref="K3:K5"/>
    <mergeCell ref="L3:L5"/>
    <mergeCell ref="M3:M5"/>
    <mergeCell ref="N3:N5"/>
    <mergeCell ref="C4:D4"/>
    <mergeCell ref="E4:E5"/>
    <mergeCell ref="F4:F5"/>
    <mergeCell ref="G4:G5"/>
    <mergeCell ref="H4:H5"/>
    <mergeCell ref="B2:B6"/>
    <mergeCell ref="C2:J2"/>
  </mergeCells>
  <printOptions horizontalCentered="1" verticalCentered="1"/>
  <pageMargins left="0" right="0.25" top="0.66843750000000002" bottom="0.75" header="0.3" footer="0.3"/>
  <pageSetup scale="72" orientation="landscape" r:id="rId1"/>
  <headerFooter>
    <oddHeader>&amp;C&amp;"-,Bold"&amp;14Full-Time Equivalent (FTE) Licensed and Classified Staff by Position
School Districts and Totals, FY 2012</oddHeader>
    <oddFooter xml:space="preserve">&amp;L&amp;"Arial,Regular"&amp;7DATA SOURCE: CACTUS Database (Educator FTEs by Position Report); Year End Web Survey (Classified Staff Report).
EXTRACTED AND PREPARED BY: Data and Statistics (K. Campbell); EDITED BY: Data and Statistics (R. Raphael).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7"/>
  <sheetViews>
    <sheetView zoomScaleNormal="100" workbookViewId="0">
      <pane xSplit="2" ySplit="7" topLeftCell="C20" activePane="bottomRight" state="frozen"/>
      <selection pane="topRight" activeCell="C1" sqref="C1"/>
      <selection pane="bottomLeft" activeCell="A11" sqref="A11"/>
      <selection pane="bottomRight" activeCell="O50" sqref="O50"/>
    </sheetView>
  </sheetViews>
  <sheetFormatPr defaultColWidth="9.140625" defaultRowHeight="12"/>
  <cols>
    <col min="1" max="1" width="3" style="11" bestFit="1" customWidth="1"/>
    <col min="2" max="2" width="15.42578125" style="11" customWidth="1"/>
    <col min="3" max="12" width="12.7109375" style="11" customWidth="1"/>
    <col min="13" max="13" width="12.7109375" style="34" customWidth="1"/>
    <col min="14" max="14" width="9.28515625" style="11" bestFit="1" customWidth="1"/>
    <col min="15" max="16384" width="9.140625" style="11"/>
  </cols>
  <sheetData>
    <row r="1" spans="1:15">
      <c r="A1" s="9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</row>
    <row r="2" spans="1:15">
      <c r="A2" s="9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</row>
    <row r="3" spans="1:15" ht="12.75" thickBot="1">
      <c r="A3" s="9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</row>
    <row r="4" spans="1:15" ht="16.5" customHeight="1" thickBot="1">
      <c r="A4" s="9"/>
      <c r="B4" s="138" t="s">
        <v>227</v>
      </c>
      <c r="C4" s="141" t="s">
        <v>2</v>
      </c>
      <c r="D4" s="142"/>
      <c r="E4" s="142"/>
      <c r="F4" s="142"/>
      <c r="G4" s="142"/>
      <c r="H4" s="142"/>
      <c r="I4" s="142"/>
      <c r="J4" s="142"/>
      <c r="K4" s="142"/>
      <c r="L4" s="143"/>
      <c r="M4" s="144" t="s">
        <v>54</v>
      </c>
    </row>
    <row r="5" spans="1:15" ht="13.5" customHeight="1" thickBot="1">
      <c r="A5" s="9"/>
      <c r="B5" s="139"/>
      <c r="C5" s="147" t="s">
        <v>55</v>
      </c>
      <c r="D5" s="148"/>
      <c r="E5" s="151" t="s">
        <v>97</v>
      </c>
      <c r="F5" s="151" t="s">
        <v>56</v>
      </c>
      <c r="G5" s="151" t="s">
        <v>98</v>
      </c>
      <c r="H5" s="36" t="s">
        <v>99</v>
      </c>
      <c r="I5" s="37"/>
      <c r="J5" s="37"/>
      <c r="K5" s="38"/>
      <c r="L5" s="42"/>
      <c r="M5" s="145"/>
    </row>
    <row r="6" spans="1:15" ht="40.9" customHeight="1" thickBot="1">
      <c r="A6" s="9"/>
      <c r="B6" s="139"/>
      <c r="C6" s="149"/>
      <c r="D6" s="150"/>
      <c r="E6" s="152"/>
      <c r="F6" s="152"/>
      <c r="G6" s="152"/>
      <c r="H6" s="39" t="s">
        <v>172</v>
      </c>
      <c r="I6" s="40" t="s">
        <v>102</v>
      </c>
      <c r="J6" s="39" t="s">
        <v>103</v>
      </c>
      <c r="K6" s="41" t="s">
        <v>101</v>
      </c>
      <c r="L6" s="43" t="s">
        <v>100</v>
      </c>
      <c r="M6" s="145"/>
    </row>
    <row r="7" spans="1:15" ht="39.6" customHeight="1" thickBot="1">
      <c r="A7" s="9"/>
      <c r="B7" s="140"/>
      <c r="C7" s="14" t="s">
        <v>9</v>
      </c>
      <c r="D7" s="14" t="s">
        <v>10</v>
      </c>
      <c r="E7" s="14" t="s">
        <v>10</v>
      </c>
      <c r="F7" s="14" t="s">
        <v>9</v>
      </c>
      <c r="G7" s="14" t="s">
        <v>10</v>
      </c>
      <c r="H7" s="14" t="s">
        <v>9</v>
      </c>
      <c r="I7" s="14" t="s">
        <v>10</v>
      </c>
      <c r="J7" s="14" t="s">
        <v>10</v>
      </c>
      <c r="K7" s="14" t="s">
        <v>10</v>
      </c>
      <c r="L7" s="14" t="s">
        <v>10</v>
      </c>
      <c r="M7" s="146"/>
    </row>
    <row r="8" spans="1:15" ht="14.45" customHeight="1">
      <c r="A8" s="15">
        <v>1</v>
      </c>
      <c r="B8" s="16" t="s">
        <v>11</v>
      </c>
      <c r="C8" s="17">
        <v>23</v>
      </c>
      <c r="D8" s="18">
        <v>1</v>
      </c>
      <c r="E8" s="18">
        <v>97.460000000000008</v>
      </c>
      <c r="F8" s="18">
        <v>119.29</v>
      </c>
      <c r="G8" s="18">
        <v>254.25</v>
      </c>
      <c r="H8" s="18">
        <v>99.45</v>
      </c>
      <c r="I8" s="18">
        <v>4</v>
      </c>
      <c r="J8" s="18">
        <v>5</v>
      </c>
      <c r="K8" s="18">
        <v>0</v>
      </c>
      <c r="L8" s="18">
        <v>961.54</v>
      </c>
      <c r="M8" s="96">
        <f>SUM(N8:O8)</f>
        <v>5595.33</v>
      </c>
      <c r="N8" s="11">
        <f>'instruction-districts'!O7</f>
        <v>4030.34</v>
      </c>
      <c r="O8" s="11">
        <f>SUM(C8:L8)</f>
        <v>1564.99</v>
      </c>
    </row>
    <row r="9" spans="1:15" ht="14.45" customHeight="1">
      <c r="A9" s="19">
        <v>2</v>
      </c>
      <c r="B9" s="20" t="s">
        <v>12</v>
      </c>
      <c r="C9" s="21">
        <v>2.5</v>
      </c>
      <c r="D9" s="22">
        <v>0</v>
      </c>
      <c r="E9" s="22">
        <v>0.8</v>
      </c>
      <c r="F9" s="22">
        <v>4.04</v>
      </c>
      <c r="G9" s="22">
        <v>7.1</v>
      </c>
      <c r="H9" s="22">
        <v>1</v>
      </c>
      <c r="I9" s="22">
        <v>0</v>
      </c>
      <c r="J9" s="22">
        <v>0</v>
      </c>
      <c r="K9" s="22">
        <v>0.2</v>
      </c>
      <c r="L9" s="22">
        <v>24.58</v>
      </c>
      <c r="M9" s="97">
        <f t="shared" ref="M9:M48" si="0">SUM(N9:O9)</f>
        <v>154.58000000000001</v>
      </c>
      <c r="N9" s="11">
        <f>'instruction-districts'!O8</f>
        <v>114.36000000000001</v>
      </c>
      <c r="O9" s="11">
        <f t="shared" ref="O9:O48" si="1">SUM(C9:L9)</f>
        <v>40.22</v>
      </c>
    </row>
    <row r="10" spans="1:15" ht="14.45" customHeight="1">
      <c r="A10" s="19">
        <v>3</v>
      </c>
      <c r="B10" s="20" t="s">
        <v>13</v>
      </c>
      <c r="C10" s="21">
        <v>5</v>
      </c>
      <c r="D10" s="22">
        <v>1</v>
      </c>
      <c r="E10" s="22">
        <v>9</v>
      </c>
      <c r="F10" s="22">
        <v>25.3</v>
      </c>
      <c r="G10" s="22">
        <v>34</v>
      </c>
      <c r="H10" s="22">
        <v>22.4</v>
      </c>
      <c r="I10" s="22">
        <v>1</v>
      </c>
      <c r="J10" s="22">
        <v>1</v>
      </c>
      <c r="K10" s="22">
        <v>2</v>
      </c>
      <c r="L10" s="22">
        <v>228</v>
      </c>
      <c r="M10" s="97">
        <f t="shared" si="0"/>
        <v>1014.1200000000001</v>
      </c>
      <c r="N10" s="11">
        <f>'instruction-districts'!O9</f>
        <v>685.42000000000007</v>
      </c>
      <c r="O10" s="11">
        <f t="shared" si="1"/>
        <v>328.7</v>
      </c>
    </row>
    <row r="11" spans="1:15" ht="14.45" customHeight="1">
      <c r="A11" s="19">
        <v>4</v>
      </c>
      <c r="B11" s="20" t="s">
        <v>14</v>
      </c>
      <c r="C11" s="21">
        <v>2.5</v>
      </c>
      <c r="D11" s="22">
        <v>1</v>
      </c>
      <c r="E11" s="22">
        <v>5.8599999999999994</v>
      </c>
      <c r="F11" s="22">
        <v>32.61</v>
      </c>
      <c r="G11" s="22">
        <v>54.64</v>
      </c>
      <c r="H11" s="22">
        <v>34.93</v>
      </c>
      <c r="I11" s="22">
        <v>3.66</v>
      </c>
      <c r="J11" s="22">
        <v>25</v>
      </c>
      <c r="K11" s="22">
        <v>2.5</v>
      </c>
      <c r="L11" s="22">
        <v>270.89</v>
      </c>
      <c r="M11" s="97">
        <f t="shared" si="0"/>
        <v>1510.04</v>
      </c>
      <c r="N11" s="11">
        <f>'instruction-districts'!O10</f>
        <v>1076.45</v>
      </c>
      <c r="O11" s="11">
        <f t="shared" si="1"/>
        <v>433.59</v>
      </c>
    </row>
    <row r="12" spans="1:15" ht="14.45" customHeight="1">
      <c r="A12" s="19">
        <v>42</v>
      </c>
      <c r="B12" s="23" t="s">
        <v>185</v>
      </c>
      <c r="C12" s="21">
        <v>19</v>
      </c>
      <c r="D12" s="22">
        <v>1.5</v>
      </c>
      <c r="E12" s="22">
        <v>63</v>
      </c>
      <c r="F12" s="22">
        <v>83</v>
      </c>
      <c r="G12" s="22">
        <v>109.1</v>
      </c>
      <c r="H12" s="22">
        <v>80.7</v>
      </c>
      <c r="I12" s="22">
        <v>1.25</v>
      </c>
      <c r="J12" s="22">
        <v>1</v>
      </c>
      <c r="K12" s="22">
        <v>7</v>
      </c>
      <c r="L12" s="22">
        <v>451.5</v>
      </c>
      <c r="M12" s="97">
        <f t="shared" si="0"/>
        <v>2578.8000000000002</v>
      </c>
      <c r="N12" s="11">
        <f>'instruction-districts'!O11</f>
        <v>1761.75</v>
      </c>
      <c r="O12" s="11">
        <f t="shared" si="1"/>
        <v>817.05</v>
      </c>
    </row>
    <row r="13" spans="1:15" ht="14.45" customHeight="1" thickBot="1">
      <c r="A13" s="19">
        <v>5</v>
      </c>
      <c r="B13" s="24" t="s">
        <v>15</v>
      </c>
      <c r="C13" s="25">
        <v>4.5</v>
      </c>
      <c r="D13" s="26">
        <v>1</v>
      </c>
      <c r="E13" s="26">
        <v>13.51</v>
      </c>
      <c r="F13" s="26">
        <v>12</v>
      </c>
      <c r="G13" s="26">
        <v>17.05</v>
      </c>
      <c r="H13" s="26">
        <v>4</v>
      </c>
      <c r="I13" s="26">
        <v>0</v>
      </c>
      <c r="J13" s="26">
        <v>0.5</v>
      </c>
      <c r="K13" s="26">
        <v>0.62</v>
      </c>
      <c r="L13" s="26">
        <v>70.03</v>
      </c>
      <c r="M13" s="98">
        <f t="shared" si="0"/>
        <v>418.19999999999993</v>
      </c>
      <c r="N13" s="11">
        <f>'instruction-districts'!O12</f>
        <v>294.98999999999995</v>
      </c>
      <c r="O13" s="11">
        <f t="shared" si="1"/>
        <v>123.21000000000001</v>
      </c>
    </row>
    <row r="14" spans="1:15" ht="14.45" customHeight="1">
      <c r="A14" s="15">
        <v>6</v>
      </c>
      <c r="B14" s="16" t="s">
        <v>16</v>
      </c>
      <c r="C14" s="17">
        <v>0.8</v>
      </c>
      <c r="D14" s="18">
        <v>0.85</v>
      </c>
      <c r="E14" s="18">
        <v>0.85</v>
      </c>
      <c r="F14" s="18">
        <v>0.86</v>
      </c>
      <c r="G14" s="18">
        <v>2.5</v>
      </c>
      <c r="H14" s="18">
        <v>0</v>
      </c>
      <c r="I14" s="18">
        <v>0</v>
      </c>
      <c r="J14" s="18">
        <v>0.13</v>
      </c>
      <c r="K14" s="18">
        <v>0</v>
      </c>
      <c r="L14" s="18">
        <v>8.7999999999999989</v>
      </c>
      <c r="M14" s="96">
        <f t="shared" si="0"/>
        <v>38.54</v>
      </c>
      <c r="N14" s="11">
        <f>'instruction-districts'!O13</f>
        <v>23.75</v>
      </c>
      <c r="O14" s="11">
        <f t="shared" si="1"/>
        <v>14.79</v>
      </c>
    </row>
    <row r="15" spans="1:15" ht="14.45" customHeight="1">
      <c r="A15" s="19">
        <v>7</v>
      </c>
      <c r="B15" s="20" t="s">
        <v>17</v>
      </c>
      <c r="C15" s="21">
        <v>16</v>
      </c>
      <c r="D15" s="22">
        <v>1</v>
      </c>
      <c r="E15" s="22">
        <v>65.91</v>
      </c>
      <c r="F15" s="22">
        <v>174.98</v>
      </c>
      <c r="G15" s="22">
        <v>234.36</v>
      </c>
      <c r="H15" s="22">
        <v>114.6</v>
      </c>
      <c r="I15" s="22">
        <v>1</v>
      </c>
      <c r="J15" s="22">
        <v>4</v>
      </c>
      <c r="K15" s="22">
        <v>15.67</v>
      </c>
      <c r="L15" s="22">
        <v>1035.3699999999999</v>
      </c>
      <c r="M15" s="97">
        <f t="shared" si="0"/>
        <v>5877.9499999999989</v>
      </c>
      <c r="N15" s="11">
        <f>'instruction-districts'!O14</f>
        <v>4215.0599999999995</v>
      </c>
      <c r="O15" s="11">
        <f t="shared" si="1"/>
        <v>1662.8899999999999</v>
      </c>
    </row>
    <row r="16" spans="1:15" ht="14.45" customHeight="1">
      <c r="A16" s="19">
        <v>8</v>
      </c>
      <c r="B16" s="20" t="s">
        <v>18</v>
      </c>
      <c r="C16" s="21">
        <v>0.5</v>
      </c>
      <c r="D16" s="22">
        <v>1</v>
      </c>
      <c r="E16" s="22">
        <v>8.5</v>
      </c>
      <c r="F16" s="22">
        <v>14.25</v>
      </c>
      <c r="G16" s="22">
        <v>21.23</v>
      </c>
      <c r="H16" s="22">
        <v>4</v>
      </c>
      <c r="I16" s="22">
        <v>1</v>
      </c>
      <c r="J16" s="22">
        <v>1</v>
      </c>
      <c r="K16" s="22">
        <v>0.5</v>
      </c>
      <c r="L16" s="22">
        <v>91.03</v>
      </c>
      <c r="M16" s="97">
        <f t="shared" si="0"/>
        <v>478.51</v>
      </c>
      <c r="N16" s="11">
        <f>'instruction-districts'!O15</f>
        <v>335.5</v>
      </c>
      <c r="O16" s="11">
        <f t="shared" si="1"/>
        <v>143.01</v>
      </c>
    </row>
    <row r="17" spans="1:15" ht="14.45" customHeight="1">
      <c r="A17" s="19">
        <v>9</v>
      </c>
      <c r="B17" s="20" t="s">
        <v>19</v>
      </c>
      <c r="C17" s="21">
        <v>3.5</v>
      </c>
      <c r="D17" s="22">
        <v>1</v>
      </c>
      <c r="E17" s="22">
        <v>3</v>
      </c>
      <c r="F17" s="22">
        <v>10</v>
      </c>
      <c r="G17" s="22">
        <v>12</v>
      </c>
      <c r="H17" s="22">
        <v>2</v>
      </c>
      <c r="I17" s="22">
        <v>1</v>
      </c>
      <c r="J17" s="22">
        <v>1</v>
      </c>
      <c r="K17" s="22">
        <v>0</v>
      </c>
      <c r="L17" s="22">
        <v>54.89</v>
      </c>
      <c r="M17" s="97">
        <f t="shared" si="0"/>
        <v>272.08</v>
      </c>
      <c r="N17" s="11">
        <f>'instruction-districts'!O16</f>
        <v>183.68999999999997</v>
      </c>
      <c r="O17" s="11">
        <f t="shared" si="1"/>
        <v>88.39</v>
      </c>
    </row>
    <row r="18" spans="1:15" ht="14.45" customHeight="1">
      <c r="A18" s="19">
        <v>10</v>
      </c>
      <c r="B18" s="23" t="s">
        <v>20</v>
      </c>
      <c r="C18" s="21">
        <v>1</v>
      </c>
      <c r="D18" s="22">
        <v>1</v>
      </c>
      <c r="E18" s="22">
        <v>5</v>
      </c>
      <c r="F18" s="22">
        <v>4.2</v>
      </c>
      <c r="G18" s="22">
        <v>6.2</v>
      </c>
      <c r="H18" s="22">
        <v>1</v>
      </c>
      <c r="I18" s="22">
        <v>0</v>
      </c>
      <c r="J18" s="22">
        <v>0</v>
      </c>
      <c r="K18" s="22">
        <v>0</v>
      </c>
      <c r="L18" s="22">
        <v>17.729999999999997</v>
      </c>
      <c r="M18" s="97">
        <f t="shared" si="0"/>
        <v>119.47999999999999</v>
      </c>
      <c r="N18" s="11">
        <f>'instruction-districts'!O17</f>
        <v>83.35</v>
      </c>
      <c r="O18" s="11">
        <f t="shared" si="1"/>
        <v>36.129999999999995</v>
      </c>
    </row>
    <row r="19" spans="1:15" ht="14.45" customHeight="1" thickBot="1">
      <c r="A19" s="19">
        <v>11</v>
      </c>
      <c r="B19" s="24" t="s">
        <v>21</v>
      </c>
      <c r="C19" s="25">
        <v>2</v>
      </c>
      <c r="D19" s="26">
        <v>0</v>
      </c>
      <c r="E19" s="26">
        <v>5.25</v>
      </c>
      <c r="F19" s="26">
        <v>5</v>
      </c>
      <c r="G19" s="26">
        <v>7</v>
      </c>
      <c r="H19" s="26">
        <v>2</v>
      </c>
      <c r="I19" s="26">
        <v>1</v>
      </c>
      <c r="J19" s="26">
        <v>1</v>
      </c>
      <c r="K19" s="26">
        <v>0</v>
      </c>
      <c r="L19" s="26">
        <v>45.61</v>
      </c>
      <c r="M19" s="98">
        <f t="shared" si="0"/>
        <v>186.45999999999998</v>
      </c>
      <c r="N19" s="11">
        <f>'instruction-districts'!O18</f>
        <v>117.6</v>
      </c>
      <c r="O19" s="11">
        <f t="shared" si="1"/>
        <v>68.86</v>
      </c>
    </row>
    <row r="20" spans="1:15" ht="14.45" customHeight="1">
      <c r="A20" s="19">
        <v>12</v>
      </c>
      <c r="B20" s="16" t="s">
        <v>22</v>
      </c>
      <c r="C20" s="17">
        <v>41.3</v>
      </c>
      <c r="D20" s="18">
        <v>1</v>
      </c>
      <c r="E20" s="18">
        <v>93.81</v>
      </c>
      <c r="F20" s="18">
        <v>146.1</v>
      </c>
      <c r="G20" s="18">
        <v>231.71</v>
      </c>
      <c r="H20" s="18">
        <v>150</v>
      </c>
      <c r="I20" s="18">
        <v>3.33</v>
      </c>
      <c r="J20" s="18">
        <v>53.01</v>
      </c>
      <c r="K20" s="18">
        <v>21.17</v>
      </c>
      <c r="L20" s="18">
        <v>1117.7</v>
      </c>
      <c r="M20" s="96">
        <f t="shared" si="0"/>
        <v>5972.12</v>
      </c>
      <c r="N20" s="11">
        <f>'instruction-districts'!O19</f>
        <v>4112.99</v>
      </c>
      <c r="O20" s="11">
        <f t="shared" si="1"/>
        <v>1859.13</v>
      </c>
    </row>
    <row r="21" spans="1:15" ht="14.45" customHeight="1">
      <c r="A21" s="19">
        <v>13</v>
      </c>
      <c r="B21" s="20" t="s">
        <v>23</v>
      </c>
      <c r="C21" s="21">
        <v>3</v>
      </c>
      <c r="D21" s="22">
        <v>1</v>
      </c>
      <c r="E21" s="22">
        <v>14.3</v>
      </c>
      <c r="F21" s="22">
        <v>19</v>
      </c>
      <c r="G21" s="22">
        <v>25.7</v>
      </c>
      <c r="H21" s="22">
        <v>7.47</v>
      </c>
      <c r="I21" s="22">
        <v>1</v>
      </c>
      <c r="J21" s="22">
        <v>1</v>
      </c>
      <c r="K21" s="22">
        <v>2.8</v>
      </c>
      <c r="L21" s="22">
        <v>155.5</v>
      </c>
      <c r="M21" s="97">
        <f t="shared" si="0"/>
        <v>889.46</v>
      </c>
      <c r="N21" s="11">
        <f>'instruction-districts'!O20</f>
        <v>658.69</v>
      </c>
      <c r="O21" s="11">
        <f t="shared" si="1"/>
        <v>230.76999999999998</v>
      </c>
    </row>
    <row r="22" spans="1:15" ht="14.45" customHeight="1">
      <c r="A22" s="19">
        <v>14</v>
      </c>
      <c r="B22" s="20" t="s">
        <v>24</v>
      </c>
      <c r="C22" s="21">
        <v>23.88</v>
      </c>
      <c r="D22" s="22">
        <v>1</v>
      </c>
      <c r="E22" s="22">
        <v>28</v>
      </c>
      <c r="F22" s="22">
        <v>94.4</v>
      </c>
      <c r="G22" s="22">
        <v>171.18</v>
      </c>
      <c r="H22" s="22">
        <v>104.74</v>
      </c>
      <c r="I22" s="22">
        <v>1</v>
      </c>
      <c r="J22" s="22">
        <v>1</v>
      </c>
      <c r="K22" s="22">
        <v>8</v>
      </c>
      <c r="L22" s="22">
        <v>799.92000000000007</v>
      </c>
      <c r="M22" s="97">
        <f t="shared" si="0"/>
        <v>4045.4700000000003</v>
      </c>
      <c r="N22" s="11">
        <f>'instruction-districts'!O21</f>
        <v>2812.35</v>
      </c>
      <c r="O22" s="11">
        <f t="shared" si="1"/>
        <v>1233.1200000000001</v>
      </c>
    </row>
    <row r="23" spans="1:15" ht="14.45" customHeight="1">
      <c r="A23" s="19">
        <v>15</v>
      </c>
      <c r="B23" s="20" t="s">
        <v>25</v>
      </c>
      <c r="C23" s="21">
        <v>1.3</v>
      </c>
      <c r="D23" s="22">
        <v>0.75</v>
      </c>
      <c r="E23" s="22">
        <v>2.1799999999999997</v>
      </c>
      <c r="F23" s="22">
        <v>6</v>
      </c>
      <c r="G23" s="22">
        <v>7.9</v>
      </c>
      <c r="H23" s="22">
        <v>2</v>
      </c>
      <c r="I23" s="22">
        <v>0.5</v>
      </c>
      <c r="J23" s="22">
        <v>5</v>
      </c>
      <c r="K23" s="22">
        <v>0.52</v>
      </c>
      <c r="L23" s="22">
        <v>33.08</v>
      </c>
      <c r="M23" s="97">
        <f t="shared" si="0"/>
        <v>219.44</v>
      </c>
      <c r="N23" s="11">
        <f>'instruction-districts'!O22</f>
        <v>160.20999999999998</v>
      </c>
      <c r="O23" s="11">
        <f t="shared" si="1"/>
        <v>59.230000000000004</v>
      </c>
    </row>
    <row r="24" spans="1:15" ht="14.45" customHeight="1">
      <c r="A24" s="19">
        <v>16</v>
      </c>
      <c r="B24" s="23" t="s">
        <v>26</v>
      </c>
      <c r="C24" s="21">
        <v>1</v>
      </c>
      <c r="D24" s="22">
        <v>8.06</v>
      </c>
      <c r="E24" s="22">
        <v>9.81</v>
      </c>
      <c r="F24" s="22">
        <v>3.63</v>
      </c>
      <c r="G24" s="22">
        <v>1</v>
      </c>
      <c r="H24" s="22">
        <v>2</v>
      </c>
      <c r="I24" s="22">
        <v>0.75</v>
      </c>
      <c r="J24" s="22">
        <v>0.25</v>
      </c>
      <c r="K24" s="22">
        <v>0</v>
      </c>
      <c r="L24" s="22">
        <v>23.950000000000003</v>
      </c>
      <c r="M24" s="97">
        <f t="shared" si="0"/>
        <v>166.4</v>
      </c>
      <c r="N24" s="11">
        <f>'instruction-districts'!O23</f>
        <v>115.95</v>
      </c>
      <c r="O24" s="11">
        <f t="shared" si="1"/>
        <v>50.45</v>
      </c>
    </row>
    <row r="25" spans="1:15" ht="14.45" customHeight="1" thickBot="1">
      <c r="A25" s="19">
        <v>39</v>
      </c>
      <c r="B25" s="24" t="s">
        <v>49</v>
      </c>
      <c r="C25" s="25">
        <v>5</v>
      </c>
      <c r="D25" s="26">
        <v>1</v>
      </c>
      <c r="E25" s="26">
        <v>2.5</v>
      </c>
      <c r="F25" s="26">
        <v>12</v>
      </c>
      <c r="G25" s="26">
        <v>19.5</v>
      </c>
      <c r="H25" s="26">
        <v>13.7</v>
      </c>
      <c r="I25" s="26">
        <v>0</v>
      </c>
      <c r="J25" s="26">
        <v>1</v>
      </c>
      <c r="K25" s="26">
        <v>1</v>
      </c>
      <c r="L25" s="26">
        <v>90</v>
      </c>
      <c r="M25" s="98">
        <f t="shared" si="0"/>
        <v>586.29</v>
      </c>
      <c r="N25" s="11">
        <f>'instruction-districts'!O24</f>
        <v>440.59</v>
      </c>
      <c r="O25" s="11">
        <f t="shared" si="1"/>
        <v>145.69999999999999</v>
      </c>
    </row>
    <row r="26" spans="1:15" ht="14.45" customHeight="1">
      <c r="A26" s="19">
        <v>17</v>
      </c>
      <c r="B26" s="16" t="s">
        <v>27</v>
      </c>
      <c r="C26" s="17">
        <v>1</v>
      </c>
      <c r="D26" s="18">
        <v>1</v>
      </c>
      <c r="E26" s="18">
        <v>4</v>
      </c>
      <c r="F26" s="18">
        <v>8.42</v>
      </c>
      <c r="G26" s="18">
        <v>11.13</v>
      </c>
      <c r="H26" s="18">
        <v>3</v>
      </c>
      <c r="I26" s="18">
        <v>1</v>
      </c>
      <c r="J26" s="18">
        <v>1</v>
      </c>
      <c r="K26" s="18">
        <v>0.7</v>
      </c>
      <c r="L26" s="18">
        <v>68.790000000000006</v>
      </c>
      <c r="M26" s="96">
        <f t="shared" si="0"/>
        <v>329.09</v>
      </c>
      <c r="N26" s="11">
        <f>'instruction-districts'!O25</f>
        <v>229.04999999999998</v>
      </c>
      <c r="O26" s="11">
        <f t="shared" si="1"/>
        <v>100.04</v>
      </c>
    </row>
    <row r="27" spans="1:15" ht="14.45" customHeight="1">
      <c r="A27" s="19">
        <v>18</v>
      </c>
      <c r="B27" s="20" t="s">
        <v>28</v>
      </c>
      <c r="C27" s="21">
        <v>1.08</v>
      </c>
      <c r="D27" s="22">
        <v>1</v>
      </c>
      <c r="E27" s="22">
        <v>3.53</v>
      </c>
      <c r="F27" s="22">
        <v>5.86</v>
      </c>
      <c r="G27" s="22">
        <v>9.69</v>
      </c>
      <c r="H27" s="22">
        <v>1.8</v>
      </c>
      <c r="I27" s="22">
        <v>1</v>
      </c>
      <c r="J27" s="22">
        <v>1</v>
      </c>
      <c r="K27" s="22">
        <v>0.81</v>
      </c>
      <c r="L27" s="22">
        <v>42.54</v>
      </c>
      <c r="M27" s="97">
        <f t="shared" si="0"/>
        <v>224.54999999999998</v>
      </c>
      <c r="N27" s="11">
        <f>'instruction-districts'!O26</f>
        <v>156.23999999999998</v>
      </c>
      <c r="O27" s="11">
        <f t="shared" si="1"/>
        <v>68.31</v>
      </c>
    </row>
    <row r="28" spans="1:15" ht="14.45" customHeight="1">
      <c r="A28" s="19">
        <v>40</v>
      </c>
      <c r="B28" s="20" t="s">
        <v>50</v>
      </c>
      <c r="C28" s="21">
        <v>3.25</v>
      </c>
      <c r="D28" s="22">
        <v>0</v>
      </c>
      <c r="E28" s="22">
        <v>0</v>
      </c>
      <c r="F28" s="22">
        <v>14</v>
      </c>
      <c r="G28" s="22">
        <v>0</v>
      </c>
      <c r="H28" s="22">
        <v>13</v>
      </c>
      <c r="I28" s="22">
        <v>0</v>
      </c>
      <c r="J28" s="22">
        <v>0</v>
      </c>
      <c r="K28" s="22">
        <v>0</v>
      </c>
      <c r="L28" s="22">
        <v>0</v>
      </c>
      <c r="M28" s="97">
        <f t="shared" si="0"/>
        <v>350.64000000000004</v>
      </c>
      <c r="N28" s="11">
        <f>'instruction-districts'!O27</f>
        <v>320.39000000000004</v>
      </c>
      <c r="O28" s="11">
        <f t="shared" si="1"/>
        <v>30.25</v>
      </c>
    </row>
    <row r="29" spans="1:15" ht="14.45" customHeight="1">
      <c r="A29" s="19">
        <v>19</v>
      </c>
      <c r="B29" s="20" t="s">
        <v>29</v>
      </c>
      <c r="C29" s="21">
        <v>10</v>
      </c>
      <c r="D29" s="22">
        <v>1</v>
      </c>
      <c r="E29" s="22">
        <v>9</v>
      </c>
      <c r="F29" s="22">
        <v>52.5</v>
      </c>
      <c r="G29" s="22">
        <v>119.74000000000001</v>
      </c>
      <c r="H29" s="22">
        <v>71.19</v>
      </c>
      <c r="I29" s="22">
        <v>2</v>
      </c>
      <c r="J29" s="22">
        <v>1</v>
      </c>
      <c r="K29" s="22">
        <v>0</v>
      </c>
      <c r="L29" s="22">
        <v>512.27</v>
      </c>
      <c r="M29" s="97">
        <f t="shared" si="0"/>
        <v>2631.3599999999997</v>
      </c>
      <c r="N29" s="11">
        <f>'instruction-districts'!O28</f>
        <v>1852.6599999999996</v>
      </c>
      <c r="O29" s="11">
        <f t="shared" si="1"/>
        <v>778.7</v>
      </c>
    </row>
    <row r="30" spans="1:15" ht="14.45" customHeight="1">
      <c r="A30" s="19">
        <v>20</v>
      </c>
      <c r="B30" s="23" t="s">
        <v>30</v>
      </c>
      <c r="C30" s="21">
        <v>2</v>
      </c>
      <c r="D30" s="22">
        <v>1</v>
      </c>
      <c r="E30" s="22">
        <v>2</v>
      </c>
      <c r="F30" s="22">
        <v>7</v>
      </c>
      <c r="G30" s="22">
        <v>8.7100000000000009</v>
      </c>
      <c r="H30" s="22">
        <v>2</v>
      </c>
      <c r="I30" s="22">
        <v>0</v>
      </c>
      <c r="J30" s="22">
        <v>1</v>
      </c>
      <c r="K30" s="22">
        <v>0</v>
      </c>
      <c r="L30" s="22">
        <v>42.099999999999994</v>
      </c>
      <c r="M30" s="97">
        <f t="shared" si="0"/>
        <v>242.54999999999998</v>
      </c>
      <c r="N30" s="11">
        <f>'instruction-districts'!O29</f>
        <v>176.73999999999998</v>
      </c>
      <c r="O30" s="11">
        <f t="shared" si="1"/>
        <v>65.81</v>
      </c>
    </row>
    <row r="31" spans="1:15" ht="14.45" customHeight="1" thickBot="1">
      <c r="A31" s="19">
        <v>21</v>
      </c>
      <c r="B31" s="24" t="s">
        <v>31</v>
      </c>
      <c r="C31" s="25">
        <v>1</v>
      </c>
      <c r="D31" s="26">
        <v>1</v>
      </c>
      <c r="E31" s="26">
        <v>1.5</v>
      </c>
      <c r="F31" s="26">
        <v>2.89</v>
      </c>
      <c r="G31" s="26">
        <v>4.5</v>
      </c>
      <c r="H31" s="26">
        <v>0.25</v>
      </c>
      <c r="I31" s="26">
        <v>0.5</v>
      </c>
      <c r="J31" s="26">
        <v>0.5</v>
      </c>
      <c r="K31" s="26">
        <v>0.5</v>
      </c>
      <c r="L31" s="26">
        <v>30.25</v>
      </c>
      <c r="M31" s="98">
        <f t="shared" si="0"/>
        <v>117.98</v>
      </c>
      <c r="N31" s="11">
        <f>'instruction-districts'!O30</f>
        <v>75.09</v>
      </c>
      <c r="O31" s="11">
        <f t="shared" si="1"/>
        <v>42.89</v>
      </c>
    </row>
    <row r="32" spans="1:15" ht="14.45" customHeight="1">
      <c r="A32" s="19">
        <v>37</v>
      </c>
      <c r="B32" s="16" t="s">
        <v>47</v>
      </c>
      <c r="C32" s="17">
        <v>6</v>
      </c>
      <c r="D32" s="18">
        <v>1</v>
      </c>
      <c r="E32" s="18">
        <v>10.63</v>
      </c>
      <c r="F32" s="18">
        <v>29.95</v>
      </c>
      <c r="G32" s="18">
        <v>41.12</v>
      </c>
      <c r="H32" s="18">
        <v>22.09</v>
      </c>
      <c r="I32" s="18">
        <v>0</v>
      </c>
      <c r="J32" s="18">
        <v>0</v>
      </c>
      <c r="K32" s="18">
        <v>0.49</v>
      </c>
      <c r="L32" s="18">
        <v>207.07</v>
      </c>
      <c r="M32" s="96">
        <f t="shared" si="0"/>
        <v>1207.33</v>
      </c>
      <c r="N32" s="11">
        <f>'instruction-districts'!O31</f>
        <v>888.98</v>
      </c>
      <c r="O32" s="11">
        <f t="shared" si="1"/>
        <v>318.34999999999997</v>
      </c>
    </row>
    <row r="33" spans="1:15" ht="14.45" customHeight="1">
      <c r="A33" s="19">
        <v>22</v>
      </c>
      <c r="B33" s="20" t="s">
        <v>32</v>
      </c>
      <c r="C33" s="21">
        <v>3</v>
      </c>
      <c r="D33" s="22">
        <v>1</v>
      </c>
      <c r="E33" s="22">
        <v>7.63</v>
      </c>
      <c r="F33" s="22">
        <v>10.85</v>
      </c>
      <c r="G33" s="22">
        <v>14.5</v>
      </c>
      <c r="H33" s="22">
        <v>7.25</v>
      </c>
      <c r="I33" s="22">
        <v>1</v>
      </c>
      <c r="J33" s="22">
        <v>2</v>
      </c>
      <c r="K33" s="22">
        <v>2.11</v>
      </c>
      <c r="L33" s="22">
        <v>98.73</v>
      </c>
      <c r="M33" s="97">
        <f t="shared" si="0"/>
        <v>499.54</v>
      </c>
      <c r="N33" s="11">
        <f>'instruction-districts'!O32</f>
        <v>351.47</v>
      </c>
      <c r="O33" s="11">
        <f t="shared" si="1"/>
        <v>148.07</v>
      </c>
    </row>
    <row r="34" spans="1:15" ht="14.45" customHeight="1">
      <c r="A34" s="19">
        <v>23</v>
      </c>
      <c r="B34" s="20" t="s">
        <v>33</v>
      </c>
      <c r="C34" s="21">
        <v>1</v>
      </c>
      <c r="D34" s="22">
        <v>1</v>
      </c>
      <c r="E34" s="22">
        <v>1</v>
      </c>
      <c r="F34" s="22">
        <v>0.4</v>
      </c>
      <c r="G34" s="22">
        <v>4.5</v>
      </c>
      <c r="H34" s="22">
        <v>0</v>
      </c>
      <c r="I34" s="22">
        <v>0</v>
      </c>
      <c r="J34" s="22">
        <v>0</v>
      </c>
      <c r="K34" s="22">
        <v>0</v>
      </c>
      <c r="L34" s="22">
        <v>12</v>
      </c>
      <c r="M34" s="97">
        <f t="shared" si="0"/>
        <v>58.69</v>
      </c>
      <c r="N34" s="11">
        <f>'instruction-districts'!O33</f>
        <v>38.79</v>
      </c>
      <c r="O34" s="11">
        <f t="shared" si="1"/>
        <v>19.899999999999999</v>
      </c>
    </row>
    <row r="35" spans="1:15" ht="14.45" customHeight="1">
      <c r="A35" s="19">
        <v>38</v>
      </c>
      <c r="B35" s="20" t="s">
        <v>48</v>
      </c>
      <c r="C35" s="21">
        <v>8</v>
      </c>
      <c r="D35" s="22">
        <v>1</v>
      </c>
      <c r="E35" s="22">
        <v>14.18</v>
      </c>
      <c r="F35" s="22">
        <v>28</v>
      </c>
      <c r="G35" s="22">
        <v>53.68</v>
      </c>
      <c r="H35" s="22">
        <v>30.7</v>
      </c>
      <c r="I35" s="22">
        <v>2</v>
      </c>
      <c r="J35" s="22">
        <v>2</v>
      </c>
      <c r="K35" s="22">
        <v>3.94</v>
      </c>
      <c r="L35" s="22">
        <v>264.39</v>
      </c>
      <c r="M35" s="97">
        <f t="shared" si="0"/>
        <v>1459.94</v>
      </c>
      <c r="N35" s="11">
        <f>'instruction-districts'!O34</f>
        <v>1052.0500000000002</v>
      </c>
      <c r="O35" s="11">
        <f t="shared" si="1"/>
        <v>407.89</v>
      </c>
    </row>
    <row r="36" spans="1:15" ht="14.45" customHeight="1">
      <c r="A36" s="19">
        <v>24</v>
      </c>
      <c r="B36" s="23" t="s">
        <v>34</v>
      </c>
      <c r="C36" s="21">
        <v>0.8</v>
      </c>
      <c r="D36" s="22">
        <v>1</v>
      </c>
      <c r="E36" s="22">
        <v>1</v>
      </c>
      <c r="F36" s="22">
        <v>1.92</v>
      </c>
      <c r="G36" s="22">
        <v>2.8</v>
      </c>
      <c r="H36" s="22">
        <v>0.5</v>
      </c>
      <c r="I36" s="22">
        <v>1</v>
      </c>
      <c r="J36" s="22">
        <v>0</v>
      </c>
      <c r="K36" s="22">
        <v>0</v>
      </c>
      <c r="L36" s="22">
        <v>8.31</v>
      </c>
      <c r="M36" s="97">
        <f t="shared" si="0"/>
        <v>58.16</v>
      </c>
      <c r="N36" s="11">
        <f>'instruction-districts'!O35</f>
        <v>40.83</v>
      </c>
      <c r="O36" s="11">
        <f t="shared" si="1"/>
        <v>17.329999999999998</v>
      </c>
    </row>
    <row r="37" spans="1:15" ht="14.45" customHeight="1" thickBot="1">
      <c r="A37" s="19">
        <v>36</v>
      </c>
      <c r="B37" s="24" t="s">
        <v>46</v>
      </c>
      <c r="C37" s="25">
        <v>14.91</v>
      </c>
      <c r="D37" s="26">
        <v>1</v>
      </c>
      <c r="E37" s="26">
        <v>51.25</v>
      </c>
      <c r="F37" s="26">
        <v>68.75</v>
      </c>
      <c r="G37" s="26">
        <v>115.39</v>
      </c>
      <c r="H37" s="26">
        <v>49.9</v>
      </c>
      <c r="I37" s="26">
        <v>1</v>
      </c>
      <c r="J37" s="26">
        <v>3</v>
      </c>
      <c r="K37" s="26">
        <v>8.4600000000000009</v>
      </c>
      <c r="L37" s="26">
        <v>417.15</v>
      </c>
      <c r="M37" s="98">
        <f t="shared" si="0"/>
        <v>2584.9299999999998</v>
      </c>
      <c r="N37" s="11">
        <f>'instruction-districts'!O36</f>
        <v>1854.12</v>
      </c>
      <c r="O37" s="11">
        <f t="shared" si="1"/>
        <v>730.81</v>
      </c>
    </row>
    <row r="38" spans="1:15" ht="14.45" customHeight="1">
      <c r="A38" s="19">
        <v>25</v>
      </c>
      <c r="B38" s="16" t="s">
        <v>35</v>
      </c>
      <c r="C38" s="17">
        <v>4</v>
      </c>
      <c r="D38" s="18">
        <v>1</v>
      </c>
      <c r="E38" s="18">
        <v>6</v>
      </c>
      <c r="F38" s="18">
        <v>12.9</v>
      </c>
      <c r="G38" s="18">
        <v>18.3</v>
      </c>
      <c r="H38" s="18">
        <v>6</v>
      </c>
      <c r="I38" s="18">
        <v>1</v>
      </c>
      <c r="J38" s="18">
        <v>0</v>
      </c>
      <c r="K38" s="18">
        <v>2</v>
      </c>
      <c r="L38" s="18">
        <v>87.57</v>
      </c>
      <c r="M38" s="96">
        <f t="shared" si="0"/>
        <v>399.71</v>
      </c>
      <c r="N38" s="11">
        <f>'instruction-districts'!O37</f>
        <v>260.94</v>
      </c>
      <c r="O38" s="11">
        <f t="shared" si="1"/>
        <v>138.76999999999998</v>
      </c>
    </row>
    <row r="39" spans="1:15" ht="14.45" customHeight="1">
      <c r="A39" s="19">
        <v>26</v>
      </c>
      <c r="B39" s="20" t="s">
        <v>36</v>
      </c>
      <c r="C39" s="21">
        <v>1</v>
      </c>
      <c r="D39" s="22">
        <v>0.1</v>
      </c>
      <c r="E39" s="22">
        <v>7</v>
      </c>
      <c r="F39" s="22">
        <v>11.64</v>
      </c>
      <c r="G39" s="22">
        <v>12.46</v>
      </c>
      <c r="H39" s="22">
        <v>2.27</v>
      </c>
      <c r="I39" s="22">
        <v>1</v>
      </c>
      <c r="J39" s="22">
        <v>1</v>
      </c>
      <c r="K39" s="22">
        <v>1.1599999999999999</v>
      </c>
      <c r="L39" s="22">
        <v>93.4</v>
      </c>
      <c r="M39" s="97">
        <f t="shared" si="0"/>
        <v>437.20000000000005</v>
      </c>
      <c r="N39" s="11">
        <f>'instruction-districts'!O38</f>
        <v>306.17000000000007</v>
      </c>
      <c r="O39" s="11">
        <f t="shared" si="1"/>
        <v>131.03</v>
      </c>
    </row>
    <row r="40" spans="1:15" ht="14.45" customHeight="1">
      <c r="A40" s="19">
        <v>27</v>
      </c>
      <c r="B40" s="20" t="s">
        <v>37</v>
      </c>
      <c r="C40" s="21">
        <v>4</v>
      </c>
      <c r="D40" s="22">
        <v>1</v>
      </c>
      <c r="E40" s="22">
        <v>2.5</v>
      </c>
      <c r="F40" s="22">
        <v>11</v>
      </c>
      <c r="G40" s="22">
        <v>3</v>
      </c>
      <c r="H40" s="22">
        <v>2.25</v>
      </c>
      <c r="I40" s="22">
        <v>0.5</v>
      </c>
      <c r="J40" s="22">
        <v>0.75</v>
      </c>
      <c r="K40" s="22">
        <v>1</v>
      </c>
      <c r="L40" s="22">
        <v>65.25</v>
      </c>
      <c r="M40" s="97">
        <f t="shared" si="0"/>
        <v>393.93</v>
      </c>
      <c r="N40" s="11">
        <f>'instruction-districts'!O39</f>
        <v>302.68</v>
      </c>
      <c r="O40" s="11">
        <f t="shared" si="1"/>
        <v>91.25</v>
      </c>
    </row>
    <row r="41" spans="1:15" ht="14.45" customHeight="1">
      <c r="A41" s="19">
        <v>28</v>
      </c>
      <c r="B41" s="20" t="s">
        <v>38</v>
      </c>
      <c r="C41" s="21">
        <v>1</v>
      </c>
      <c r="D41" s="22">
        <v>1</v>
      </c>
      <c r="E41" s="22">
        <v>2</v>
      </c>
      <c r="F41" s="22">
        <v>3.9</v>
      </c>
      <c r="G41" s="22">
        <v>1</v>
      </c>
      <c r="H41" s="22">
        <v>1.6</v>
      </c>
      <c r="I41" s="22">
        <v>0.5</v>
      </c>
      <c r="J41" s="22">
        <v>1</v>
      </c>
      <c r="K41" s="22">
        <v>1</v>
      </c>
      <c r="L41" s="22">
        <v>27.17</v>
      </c>
      <c r="M41" s="97">
        <f t="shared" si="0"/>
        <v>140.74</v>
      </c>
      <c r="N41" s="11">
        <f>'instruction-districts'!O40</f>
        <v>100.57000000000001</v>
      </c>
      <c r="O41" s="11">
        <f t="shared" si="1"/>
        <v>40.17</v>
      </c>
    </row>
    <row r="42" spans="1:15" ht="14.45" customHeight="1">
      <c r="A42" s="19">
        <v>29</v>
      </c>
      <c r="B42" s="23" t="s">
        <v>39</v>
      </c>
      <c r="C42" s="21">
        <v>0.57999999999999996</v>
      </c>
      <c r="D42" s="22">
        <v>0.44</v>
      </c>
      <c r="E42" s="22">
        <v>1.32</v>
      </c>
      <c r="F42" s="22">
        <v>0.82</v>
      </c>
      <c r="G42" s="22">
        <v>1.05</v>
      </c>
      <c r="H42" s="22">
        <v>0</v>
      </c>
      <c r="I42" s="22">
        <v>0.12</v>
      </c>
      <c r="J42" s="22">
        <v>0.88</v>
      </c>
      <c r="K42" s="22">
        <v>0</v>
      </c>
      <c r="L42" s="22">
        <v>3.8</v>
      </c>
      <c r="M42" s="97">
        <f t="shared" si="0"/>
        <v>35.24</v>
      </c>
      <c r="N42" s="11">
        <f>'instruction-districts'!O41</f>
        <v>26.23</v>
      </c>
      <c r="O42" s="11">
        <f t="shared" si="1"/>
        <v>9.01</v>
      </c>
    </row>
    <row r="43" spans="1:15" ht="14.45" customHeight="1" thickBot="1">
      <c r="A43" s="19">
        <v>30</v>
      </c>
      <c r="B43" s="24" t="s">
        <v>40</v>
      </c>
      <c r="C43" s="25">
        <v>6</v>
      </c>
      <c r="D43" s="26">
        <v>1</v>
      </c>
      <c r="E43" s="26">
        <v>11.5</v>
      </c>
      <c r="F43" s="26">
        <v>31.12</v>
      </c>
      <c r="G43" s="26">
        <v>54.46</v>
      </c>
      <c r="H43" s="26">
        <v>15.13</v>
      </c>
      <c r="I43" s="26">
        <v>1</v>
      </c>
      <c r="J43" s="26">
        <v>1</v>
      </c>
      <c r="K43" s="26">
        <v>4.4000000000000004</v>
      </c>
      <c r="L43" s="26">
        <v>235.22000000000003</v>
      </c>
      <c r="M43" s="98">
        <f t="shared" si="0"/>
        <v>1242.94</v>
      </c>
      <c r="N43" s="11">
        <f>'instruction-districts'!O42</f>
        <v>882.11</v>
      </c>
      <c r="O43" s="11">
        <f t="shared" si="1"/>
        <v>360.83000000000004</v>
      </c>
    </row>
    <row r="44" spans="1:15" ht="14.45" customHeight="1">
      <c r="A44" s="19">
        <v>31</v>
      </c>
      <c r="B44" s="16" t="s">
        <v>41</v>
      </c>
      <c r="C44" s="17">
        <v>3.5</v>
      </c>
      <c r="D44" s="18">
        <v>1</v>
      </c>
      <c r="E44" s="18">
        <v>6.29</v>
      </c>
      <c r="F44" s="18">
        <v>16.399999999999999</v>
      </c>
      <c r="G44" s="18">
        <v>24.84</v>
      </c>
      <c r="H44" s="18">
        <v>3.5</v>
      </c>
      <c r="I44" s="18">
        <v>1</v>
      </c>
      <c r="J44" s="18">
        <v>1</v>
      </c>
      <c r="K44" s="18">
        <v>4.25</v>
      </c>
      <c r="L44" s="18">
        <v>146.21</v>
      </c>
      <c r="M44" s="96">
        <f t="shared" si="0"/>
        <v>635.13000000000011</v>
      </c>
      <c r="N44" s="11">
        <f>'instruction-districts'!O43</f>
        <v>427.14000000000004</v>
      </c>
      <c r="O44" s="11">
        <f t="shared" si="1"/>
        <v>207.99</v>
      </c>
    </row>
    <row r="45" spans="1:15" ht="14.45" customHeight="1">
      <c r="A45" s="19">
        <v>32</v>
      </c>
      <c r="B45" s="20" t="s">
        <v>42</v>
      </c>
      <c r="C45" s="21">
        <v>2</v>
      </c>
      <c r="D45" s="22">
        <v>1</v>
      </c>
      <c r="E45" s="22">
        <v>5</v>
      </c>
      <c r="F45" s="22">
        <v>12.5</v>
      </c>
      <c r="G45" s="22">
        <v>24.5</v>
      </c>
      <c r="H45" s="22">
        <v>9.6</v>
      </c>
      <c r="I45" s="22">
        <v>1</v>
      </c>
      <c r="J45" s="22">
        <v>1</v>
      </c>
      <c r="K45" s="22">
        <v>1</v>
      </c>
      <c r="L45" s="22">
        <v>107.75</v>
      </c>
      <c r="M45" s="97">
        <f t="shared" si="0"/>
        <v>537.01</v>
      </c>
      <c r="N45" s="11">
        <f>'instruction-districts'!O44</f>
        <v>371.66</v>
      </c>
      <c r="O45" s="11">
        <f t="shared" si="1"/>
        <v>165.35</v>
      </c>
    </row>
    <row r="46" spans="1:15" ht="14.45" customHeight="1">
      <c r="A46" s="19">
        <v>33</v>
      </c>
      <c r="B46" s="20" t="s">
        <v>43</v>
      </c>
      <c r="C46" s="21">
        <v>14</v>
      </c>
      <c r="D46" s="22">
        <v>1</v>
      </c>
      <c r="E46" s="22">
        <v>25.07</v>
      </c>
      <c r="F46" s="22">
        <v>57.5</v>
      </c>
      <c r="G46" s="22">
        <v>125.36999999999999</v>
      </c>
      <c r="H46" s="22">
        <v>22.96</v>
      </c>
      <c r="I46" s="22">
        <v>2</v>
      </c>
      <c r="J46" s="22">
        <v>1</v>
      </c>
      <c r="K46" s="22">
        <v>10.75</v>
      </c>
      <c r="L46" s="22">
        <v>330.64</v>
      </c>
      <c r="M46" s="97">
        <f t="shared" si="0"/>
        <v>2307.2699999999995</v>
      </c>
      <c r="N46" s="11">
        <f>'instruction-districts'!O45</f>
        <v>1716.9799999999996</v>
      </c>
      <c r="O46" s="11">
        <f t="shared" si="1"/>
        <v>590.29</v>
      </c>
    </row>
    <row r="47" spans="1:15" ht="14.45" customHeight="1">
      <c r="A47" s="19">
        <v>34</v>
      </c>
      <c r="B47" s="20" t="s">
        <v>44</v>
      </c>
      <c r="C47" s="21">
        <v>1.2</v>
      </c>
      <c r="D47" s="22">
        <v>1</v>
      </c>
      <c r="E47" s="22">
        <v>2.3200000000000003</v>
      </c>
      <c r="F47" s="22">
        <v>2.35</v>
      </c>
      <c r="G47" s="22">
        <v>3.5</v>
      </c>
      <c r="H47" s="22">
        <v>0</v>
      </c>
      <c r="I47" s="22">
        <v>0.35</v>
      </c>
      <c r="J47" s="22">
        <v>0.28999999999999998</v>
      </c>
      <c r="K47" s="22">
        <v>0</v>
      </c>
      <c r="L47" s="22">
        <v>11.660000000000002</v>
      </c>
      <c r="M47" s="97">
        <f t="shared" si="0"/>
        <v>68.960000000000008</v>
      </c>
      <c r="N47" s="11">
        <f>'instruction-districts'!O46</f>
        <v>46.29</v>
      </c>
      <c r="O47" s="11">
        <f t="shared" si="1"/>
        <v>22.67</v>
      </c>
    </row>
    <row r="48" spans="1:15" ht="14.45" customHeight="1" thickBot="1">
      <c r="A48" s="19">
        <v>35</v>
      </c>
      <c r="B48" s="23" t="s">
        <v>45</v>
      </c>
      <c r="C48" s="21">
        <v>13</v>
      </c>
      <c r="D48" s="22">
        <v>0</v>
      </c>
      <c r="E48" s="22">
        <v>13.94</v>
      </c>
      <c r="F48" s="22">
        <v>63</v>
      </c>
      <c r="G48" s="22">
        <v>78.67</v>
      </c>
      <c r="H48" s="22">
        <v>44.29</v>
      </c>
      <c r="I48" s="22">
        <v>2</v>
      </c>
      <c r="J48" s="22">
        <v>3</v>
      </c>
      <c r="K48" s="22">
        <v>12.65</v>
      </c>
      <c r="L48" s="22">
        <v>436.66999999999996</v>
      </c>
      <c r="M48" s="97">
        <f t="shared" si="0"/>
        <v>2565.35</v>
      </c>
      <c r="N48" s="11">
        <f>'instruction-districts'!O47</f>
        <v>1898.1299999999999</v>
      </c>
      <c r="O48" s="11">
        <f t="shared" si="1"/>
        <v>667.22</v>
      </c>
    </row>
    <row r="49" spans="1:14" s="30" customFormat="1" ht="14.45" customHeight="1" thickBot="1">
      <c r="A49" s="9"/>
      <c r="B49" s="99" t="s">
        <v>51</v>
      </c>
      <c r="C49" s="29">
        <f t="shared" ref="C49:M49" si="2">SUM(C8:C48)</f>
        <v>258.10000000000002</v>
      </c>
      <c r="D49" s="29">
        <f t="shared" si="2"/>
        <v>42.699999999999996</v>
      </c>
      <c r="E49" s="29">
        <f t="shared" si="2"/>
        <v>617.4000000000002</v>
      </c>
      <c r="F49" s="29">
        <f t="shared" si="2"/>
        <v>1220.3299999999997</v>
      </c>
      <c r="G49" s="29">
        <f t="shared" si="2"/>
        <v>1949.3300000000004</v>
      </c>
      <c r="H49" s="29">
        <f t="shared" si="2"/>
        <v>955.2700000000001</v>
      </c>
      <c r="I49" s="29">
        <f t="shared" si="2"/>
        <v>40.46</v>
      </c>
      <c r="J49" s="29">
        <f t="shared" si="2"/>
        <v>123.31</v>
      </c>
      <c r="K49" s="29">
        <f t="shared" si="2"/>
        <v>117.20000000000002</v>
      </c>
      <c r="L49" s="29">
        <f t="shared" si="2"/>
        <v>8729.06</v>
      </c>
      <c r="M49" s="29">
        <f t="shared" si="2"/>
        <v>48651.51</v>
      </c>
      <c r="N49" s="9"/>
    </row>
    <row r="50" spans="1:14" s="30" customFormat="1" ht="14.45" customHeight="1" thickBot="1">
      <c r="A50" s="9"/>
      <c r="B50" s="99" t="s">
        <v>52</v>
      </c>
      <c r="C50" s="29">
        <f>'support-charters'!C88</f>
        <v>28.57</v>
      </c>
      <c r="D50" s="29">
        <f>'support-charters'!D88</f>
        <v>15.37</v>
      </c>
      <c r="E50" s="29">
        <f>'support-charters'!E88</f>
        <v>37.700000000000003</v>
      </c>
      <c r="F50" s="29">
        <f>'support-charters'!F88</f>
        <v>111.33</v>
      </c>
      <c r="G50" s="29">
        <f>'support-charters'!G88</f>
        <v>147.11999999999998</v>
      </c>
      <c r="H50" s="29">
        <f>'support-charters'!H88</f>
        <v>16.579999999999998</v>
      </c>
      <c r="I50" s="29">
        <f>'support-charters'!I88</f>
        <v>0</v>
      </c>
      <c r="J50" s="29">
        <f>'support-charters'!J88</f>
        <v>17.34</v>
      </c>
      <c r="K50" s="29">
        <f>'support-charters'!K88</f>
        <v>2.52</v>
      </c>
      <c r="L50" s="29">
        <f>'support-charters'!L88</f>
        <v>168.82</v>
      </c>
      <c r="M50" s="29">
        <f>'support-charters'!M88</f>
        <v>3283.8200000000006</v>
      </c>
      <c r="N50" s="9"/>
    </row>
    <row r="51" spans="1:14" s="30" customFormat="1" ht="14.45" customHeight="1" thickBot="1">
      <c r="A51" s="9"/>
      <c r="B51" s="99" t="s">
        <v>53</v>
      </c>
      <c r="C51" s="29">
        <f>SUM(C49:C50)</f>
        <v>286.67</v>
      </c>
      <c r="D51" s="29">
        <f t="shared" ref="D51:M51" si="3">SUM(D49:D50)</f>
        <v>58.069999999999993</v>
      </c>
      <c r="E51" s="29">
        <f t="shared" si="3"/>
        <v>655.10000000000025</v>
      </c>
      <c r="F51" s="29">
        <f t="shared" si="3"/>
        <v>1331.6599999999996</v>
      </c>
      <c r="G51" s="29">
        <f t="shared" si="3"/>
        <v>2096.4500000000003</v>
      </c>
      <c r="H51" s="29">
        <f t="shared" si="3"/>
        <v>971.85000000000014</v>
      </c>
      <c r="I51" s="29">
        <f t="shared" si="3"/>
        <v>40.46</v>
      </c>
      <c r="J51" s="29">
        <f t="shared" si="3"/>
        <v>140.65</v>
      </c>
      <c r="K51" s="29">
        <f t="shared" si="3"/>
        <v>119.72000000000001</v>
      </c>
      <c r="L51" s="29">
        <f t="shared" si="3"/>
        <v>8897.8799999999992</v>
      </c>
      <c r="M51" s="29">
        <f t="shared" si="3"/>
        <v>51935.33</v>
      </c>
      <c r="N51" s="9"/>
    </row>
    <row r="52" spans="1:14"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11"/>
    </row>
    <row r="53" spans="1:14"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3"/>
    </row>
    <row r="54" spans="1:14"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3"/>
    </row>
    <row r="55" spans="1:14"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3"/>
    </row>
    <row r="56" spans="1:14"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3"/>
    </row>
    <row r="57" spans="1:14"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3"/>
    </row>
  </sheetData>
  <sortState ref="A7:N46">
    <sortCondition ref="B7:B46"/>
  </sortState>
  <mergeCells count="10">
    <mergeCell ref="B1:M1"/>
    <mergeCell ref="B2:M2"/>
    <mergeCell ref="B3:M3"/>
    <mergeCell ref="B4:B7"/>
    <mergeCell ref="C4:L4"/>
    <mergeCell ref="M4:M7"/>
    <mergeCell ref="C5:D6"/>
    <mergeCell ref="E5:E6"/>
    <mergeCell ref="F5:F6"/>
    <mergeCell ref="G5:G6"/>
  </mergeCells>
  <printOptions horizontalCentered="1" verticalCentered="1"/>
  <pageMargins left="0.6" right="0.25" top="0.38" bottom="0.75" header="0.3" footer="0.3"/>
  <pageSetup scale="70" orientation="landscape" r:id="rId1"/>
  <headerFooter>
    <oddHeader xml:space="preserve">&amp;C&amp;"-,Bold"&amp;14Full-Time Equivalent (FTE) Licensed and Classified Staff by Position
School Districts and Totals, FY 2012, cont.&amp;"-,Regular"&amp;11
</oddHeader>
    <oddFooter xml:space="preserve">&amp;L&amp;"Arial,Regular"&amp;8DATA SOURCE: CACTUS Database (Educator FTEs by Position Report); Year End Web Survey (Classified Staff Report).
EXTRACTED AND PREPARED BY: Data and Statistics (K. Campbell); EDITED BY: Data and Statistics (R. Raphael).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R93"/>
  <sheetViews>
    <sheetView zoomScaleNormal="100" workbookViewId="0">
      <pane xSplit="3" ySplit="8" topLeftCell="D9" activePane="bottomRight" state="frozen"/>
      <selection pane="topRight" activeCell="C1" sqref="C1"/>
      <selection pane="bottomLeft" activeCell="A11" sqref="A11"/>
      <selection pane="bottomRight" activeCell="H97" sqref="H97"/>
    </sheetView>
  </sheetViews>
  <sheetFormatPr defaultColWidth="9.140625" defaultRowHeight="12"/>
  <cols>
    <col min="1" max="1" width="9.140625" style="11"/>
    <col min="2" max="2" width="4.42578125" style="74" bestFit="1" customWidth="1"/>
    <col min="3" max="3" width="58.5703125" style="76" customWidth="1"/>
    <col min="4" max="16" width="11.7109375" style="11" customWidth="1"/>
    <col min="17" max="16384" width="9.140625" style="11"/>
  </cols>
  <sheetData>
    <row r="1" spans="2:18">
      <c r="B1" s="67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0"/>
    </row>
    <row r="2" spans="2:18">
      <c r="B2" s="67"/>
      <c r="C2" s="136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68"/>
    </row>
    <row r="3" spans="2:18" ht="12.75" thickBot="1">
      <c r="B3" s="67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0"/>
    </row>
    <row r="4" spans="2:18" ht="16.899999999999999" customHeight="1" thickBot="1">
      <c r="B4" s="69"/>
      <c r="C4" s="100" t="s">
        <v>221</v>
      </c>
      <c r="D4" s="125" t="s">
        <v>1</v>
      </c>
      <c r="E4" s="125"/>
      <c r="F4" s="125"/>
      <c r="G4" s="125"/>
      <c r="H4" s="125"/>
      <c r="I4" s="125"/>
      <c r="J4" s="125"/>
      <c r="K4" s="125"/>
      <c r="L4" s="124" t="s">
        <v>2</v>
      </c>
      <c r="M4" s="125"/>
      <c r="N4" s="127"/>
      <c r="O4" s="128"/>
      <c r="P4" s="86"/>
    </row>
    <row r="5" spans="2:18" ht="17.25" customHeight="1" thickBot="1">
      <c r="B5" s="69"/>
      <c r="C5" s="94"/>
      <c r="D5" s="154" t="s">
        <v>3</v>
      </c>
      <c r="E5" s="155"/>
      <c r="F5" s="155"/>
      <c r="G5" s="155"/>
      <c r="H5" s="155"/>
      <c r="I5" s="156"/>
      <c r="J5" s="129" t="s">
        <v>4</v>
      </c>
      <c r="K5" s="119" t="s">
        <v>214</v>
      </c>
      <c r="L5" s="129" t="s">
        <v>219</v>
      </c>
      <c r="M5" s="119" t="s">
        <v>216</v>
      </c>
      <c r="N5" s="119" t="s">
        <v>217</v>
      </c>
      <c r="O5" s="119" t="s">
        <v>218</v>
      </c>
      <c r="P5" s="87"/>
    </row>
    <row r="6" spans="2:18" ht="12.75" thickBot="1">
      <c r="B6" s="69"/>
      <c r="C6" s="94"/>
      <c r="D6" s="124" t="s">
        <v>173</v>
      </c>
      <c r="E6" s="125"/>
      <c r="F6" s="117" t="s">
        <v>5</v>
      </c>
      <c r="G6" s="117" t="s">
        <v>6</v>
      </c>
      <c r="H6" s="117" t="s">
        <v>7</v>
      </c>
      <c r="I6" s="119" t="s">
        <v>8</v>
      </c>
      <c r="J6" s="130"/>
      <c r="K6" s="118"/>
      <c r="L6" s="131"/>
      <c r="M6" s="133"/>
      <c r="N6" s="120"/>
      <c r="O6" s="120"/>
      <c r="P6" s="87"/>
    </row>
    <row r="7" spans="2:18" ht="29.25" customHeight="1" thickBot="1">
      <c r="B7" s="69"/>
      <c r="C7" s="94"/>
      <c r="D7" s="44" t="s">
        <v>215</v>
      </c>
      <c r="E7" s="45" t="s">
        <v>8</v>
      </c>
      <c r="F7" s="118"/>
      <c r="G7" s="118"/>
      <c r="H7" s="118"/>
      <c r="I7" s="120"/>
      <c r="J7" s="130"/>
      <c r="K7" s="118"/>
      <c r="L7" s="132"/>
      <c r="M7" s="134"/>
      <c r="N7" s="135"/>
      <c r="O7" s="135"/>
      <c r="P7" s="35"/>
    </row>
    <row r="8" spans="2:18" ht="39.6" customHeight="1" thickBot="1">
      <c r="B8" s="69"/>
      <c r="C8" s="95"/>
      <c r="D8" s="13" t="s">
        <v>9</v>
      </c>
      <c r="E8" s="13" t="s">
        <v>9</v>
      </c>
      <c r="F8" s="13" t="s">
        <v>9</v>
      </c>
      <c r="G8" s="13" t="s">
        <v>9</v>
      </c>
      <c r="H8" s="13" t="s">
        <v>9</v>
      </c>
      <c r="I8" s="13" t="s">
        <v>9</v>
      </c>
      <c r="J8" s="55" t="s">
        <v>10</v>
      </c>
      <c r="K8" s="13" t="s">
        <v>9</v>
      </c>
      <c r="L8" s="56" t="s">
        <v>9</v>
      </c>
      <c r="M8" s="56" t="s">
        <v>9</v>
      </c>
      <c r="N8" s="13" t="s">
        <v>9</v>
      </c>
      <c r="O8" s="14" t="s">
        <v>10</v>
      </c>
      <c r="P8" s="88"/>
    </row>
    <row r="9" spans="2:18">
      <c r="B9" s="70">
        <v>83</v>
      </c>
      <c r="C9" s="101" t="s">
        <v>104</v>
      </c>
      <c r="D9" s="58">
        <v>0</v>
      </c>
      <c r="E9" s="58">
        <v>0</v>
      </c>
      <c r="F9" s="58">
        <v>0</v>
      </c>
      <c r="G9" s="58">
        <v>0</v>
      </c>
      <c r="H9" s="58">
        <v>20.02</v>
      </c>
      <c r="I9" s="58">
        <v>1</v>
      </c>
      <c r="J9" s="58">
        <v>2.5499999999999998</v>
      </c>
      <c r="K9" s="58">
        <v>0</v>
      </c>
      <c r="L9" s="58">
        <v>0</v>
      </c>
      <c r="M9" s="79">
        <v>3</v>
      </c>
      <c r="N9" s="58">
        <v>0</v>
      </c>
      <c r="O9" s="59">
        <v>0</v>
      </c>
      <c r="P9" s="89">
        <f>SUM(D9:O9)</f>
        <v>26.57</v>
      </c>
      <c r="Q9" s="73"/>
      <c r="R9" s="73"/>
    </row>
    <row r="10" spans="2:18">
      <c r="B10" s="70" t="s">
        <v>202</v>
      </c>
      <c r="C10" s="71" t="s">
        <v>203</v>
      </c>
      <c r="D10" s="61">
        <v>0</v>
      </c>
      <c r="E10" s="61">
        <v>0</v>
      </c>
      <c r="F10" s="61">
        <v>2</v>
      </c>
      <c r="G10" s="61">
        <v>6.4</v>
      </c>
      <c r="H10" s="61">
        <v>0.6</v>
      </c>
      <c r="I10" s="61">
        <v>2</v>
      </c>
      <c r="J10" s="61">
        <v>12</v>
      </c>
      <c r="K10" s="61">
        <v>0</v>
      </c>
      <c r="L10" s="61">
        <v>0</v>
      </c>
      <c r="M10" s="80">
        <v>0</v>
      </c>
      <c r="N10" s="61">
        <v>0</v>
      </c>
      <c r="O10" s="62">
        <v>0</v>
      </c>
      <c r="P10" s="89">
        <f t="shared" ref="P10:P73" si="0">SUM(D10:O10)</f>
        <v>23</v>
      </c>
      <c r="Q10" s="73"/>
      <c r="R10" s="73"/>
    </row>
    <row r="11" spans="2:18">
      <c r="B11" s="70" t="s">
        <v>57</v>
      </c>
      <c r="C11" s="71" t="s">
        <v>105</v>
      </c>
      <c r="D11" s="61">
        <v>0</v>
      </c>
      <c r="E11" s="61">
        <v>0</v>
      </c>
      <c r="F11" s="61">
        <v>3</v>
      </c>
      <c r="G11" s="61">
        <v>25</v>
      </c>
      <c r="H11" s="61">
        <v>34.72</v>
      </c>
      <c r="I11" s="61">
        <v>6.64</v>
      </c>
      <c r="J11" s="61">
        <v>21</v>
      </c>
      <c r="K11" s="61">
        <v>2.2400000000000002</v>
      </c>
      <c r="L11" s="61">
        <v>0.25</v>
      </c>
      <c r="M11" s="80">
        <v>2</v>
      </c>
      <c r="N11" s="61">
        <v>0.6</v>
      </c>
      <c r="O11" s="62">
        <v>0</v>
      </c>
      <c r="P11" s="89">
        <f t="shared" si="0"/>
        <v>95.449999999999989</v>
      </c>
      <c r="Q11" s="73"/>
      <c r="R11" s="73"/>
    </row>
    <row r="12" spans="2:18">
      <c r="B12" s="70">
        <v>74</v>
      </c>
      <c r="C12" s="71" t="s">
        <v>106</v>
      </c>
      <c r="D12" s="61">
        <v>0</v>
      </c>
      <c r="E12" s="61">
        <v>0</v>
      </c>
      <c r="F12" s="61">
        <v>5</v>
      </c>
      <c r="G12" s="61">
        <v>39.270000000000003</v>
      </c>
      <c r="H12" s="61">
        <v>35.020000000000003</v>
      </c>
      <c r="I12" s="61">
        <v>2.68</v>
      </c>
      <c r="J12" s="61">
        <v>0</v>
      </c>
      <c r="K12" s="61">
        <v>0</v>
      </c>
      <c r="L12" s="61">
        <v>0.85</v>
      </c>
      <c r="M12" s="80">
        <v>1.35</v>
      </c>
      <c r="N12" s="61">
        <v>0</v>
      </c>
      <c r="O12" s="62">
        <v>0</v>
      </c>
      <c r="P12" s="89">
        <f t="shared" si="0"/>
        <v>84.17</v>
      </c>
      <c r="Q12" s="73"/>
      <c r="R12" s="73"/>
    </row>
    <row r="13" spans="2:18" ht="12.75" thickBot="1">
      <c r="B13" s="70" t="s">
        <v>204</v>
      </c>
      <c r="C13" s="102" t="s">
        <v>223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103" t="s">
        <v>222</v>
      </c>
      <c r="K13" s="64">
        <v>0</v>
      </c>
      <c r="L13" s="64">
        <v>0</v>
      </c>
      <c r="M13" s="81">
        <v>0</v>
      </c>
      <c r="N13" s="64">
        <v>0</v>
      </c>
      <c r="O13" s="103" t="s">
        <v>222</v>
      </c>
      <c r="P13" s="89">
        <f t="shared" si="0"/>
        <v>0</v>
      </c>
      <c r="Q13" s="73"/>
      <c r="R13" s="73"/>
    </row>
    <row r="14" spans="2:18">
      <c r="B14" s="70" t="s">
        <v>186</v>
      </c>
      <c r="C14" s="101" t="s">
        <v>187</v>
      </c>
      <c r="D14" s="58">
        <v>0</v>
      </c>
      <c r="E14" s="58">
        <v>0</v>
      </c>
      <c r="F14" s="58">
        <v>0</v>
      </c>
      <c r="G14" s="58">
        <v>5.9</v>
      </c>
      <c r="H14" s="58">
        <v>3.69</v>
      </c>
      <c r="I14" s="58">
        <v>1</v>
      </c>
      <c r="J14" s="58">
        <v>3</v>
      </c>
      <c r="K14" s="58">
        <v>0</v>
      </c>
      <c r="L14" s="58">
        <v>0</v>
      </c>
      <c r="M14" s="79">
        <v>0.17</v>
      </c>
      <c r="N14" s="58">
        <v>0</v>
      </c>
      <c r="O14" s="59">
        <v>0</v>
      </c>
      <c r="P14" s="89">
        <f t="shared" si="0"/>
        <v>13.76</v>
      </c>
      <c r="Q14" s="73"/>
      <c r="R14" s="73"/>
    </row>
    <row r="15" spans="2:18">
      <c r="B15" s="70" t="s">
        <v>58</v>
      </c>
      <c r="C15" s="71" t="s">
        <v>107</v>
      </c>
      <c r="D15" s="61">
        <v>0</v>
      </c>
      <c r="E15" s="61">
        <v>0</v>
      </c>
      <c r="F15" s="61">
        <v>0</v>
      </c>
      <c r="G15" s="61">
        <v>0</v>
      </c>
      <c r="H15" s="61">
        <v>10.82</v>
      </c>
      <c r="I15" s="61">
        <v>1.28</v>
      </c>
      <c r="J15" s="61">
        <v>0</v>
      </c>
      <c r="K15" s="61">
        <v>0</v>
      </c>
      <c r="L15" s="61">
        <v>0</v>
      </c>
      <c r="M15" s="80">
        <v>0.5</v>
      </c>
      <c r="N15" s="61">
        <v>0.11</v>
      </c>
      <c r="O15" s="62">
        <v>0</v>
      </c>
      <c r="P15" s="89">
        <f t="shared" si="0"/>
        <v>12.709999999999999</v>
      </c>
      <c r="Q15" s="73"/>
      <c r="R15" s="73"/>
    </row>
    <row r="16" spans="2:18">
      <c r="B16" s="70" t="s">
        <v>59</v>
      </c>
      <c r="C16" s="71" t="s">
        <v>108</v>
      </c>
      <c r="D16" s="61">
        <v>0</v>
      </c>
      <c r="E16" s="61">
        <v>0</v>
      </c>
      <c r="F16" s="61">
        <v>2</v>
      </c>
      <c r="G16" s="61">
        <v>19</v>
      </c>
      <c r="H16" s="61">
        <v>0</v>
      </c>
      <c r="I16" s="61">
        <v>1</v>
      </c>
      <c r="J16" s="61">
        <v>0</v>
      </c>
      <c r="K16" s="61">
        <v>0.33</v>
      </c>
      <c r="L16" s="61">
        <v>0</v>
      </c>
      <c r="M16" s="80">
        <v>0</v>
      </c>
      <c r="N16" s="61">
        <v>0</v>
      </c>
      <c r="O16" s="62">
        <v>0</v>
      </c>
      <c r="P16" s="89">
        <f t="shared" si="0"/>
        <v>22.33</v>
      </c>
      <c r="Q16" s="73"/>
      <c r="R16" s="73"/>
    </row>
    <row r="17" spans="2:18">
      <c r="B17" s="70" t="s">
        <v>60</v>
      </c>
      <c r="C17" s="71" t="s">
        <v>109</v>
      </c>
      <c r="D17" s="61">
        <v>0</v>
      </c>
      <c r="E17" s="61">
        <v>0</v>
      </c>
      <c r="F17" s="61">
        <v>2</v>
      </c>
      <c r="G17" s="61">
        <v>19.850000000000001</v>
      </c>
      <c r="H17" s="61">
        <v>9.15</v>
      </c>
      <c r="I17" s="61">
        <v>2.5099999999999998</v>
      </c>
      <c r="J17" s="61">
        <v>10.4</v>
      </c>
      <c r="K17" s="61">
        <v>0</v>
      </c>
      <c r="L17" s="61">
        <v>0</v>
      </c>
      <c r="M17" s="80">
        <v>0</v>
      </c>
      <c r="N17" s="61">
        <v>0</v>
      </c>
      <c r="O17" s="62">
        <v>1.4</v>
      </c>
      <c r="P17" s="89">
        <f t="shared" si="0"/>
        <v>45.309999999999995</v>
      </c>
      <c r="Q17" s="73"/>
      <c r="R17" s="73"/>
    </row>
    <row r="18" spans="2:18" ht="12.75" thickBot="1">
      <c r="B18" s="70">
        <v>87</v>
      </c>
      <c r="C18" s="102" t="s">
        <v>110</v>
      </c>
      <c r="D18" s="64">
        <v>0</v>
      </c>
      <c r="E18" s="64">
        <v>0</v>
      </c>
      <c r="F18" s="64">
        <v>0</v>
      </c>
      <c r="G18" s="64">
        <v>0</v>
      </c>
      <c r="H18" s="64">
        <v>14.58</v>
      </c>
      <c r="I18" s="64">
        <v>0.11</v>
      </c>
      <c r="J18" s="103">
        <v>0</v>
      </c>
      <c r="K18" s="64">
        <v>0</v>
      </c>
      <c r="L18" s="64">
        <v>0</v>
      </c>
      <c r="M18" s="81">
        <v>0.5</v>
      </c>
      <c r="N18" s="64">
        <v>0</v>
      </c>
      <c r="O18" s="103">
        <v>0</v>
      </c>
      <c r="P18" s="89">
        <f t="shared" si="0"/>
        <v>15.19</v>
      </c>
      <c r="Q18" s="73"/>
      <c r="R18" s="73"/>
    </row>
    <row r="19" spans="2:18">
      <c r="B19" s="70" t="s">
        <v>61</v>
      </c>
      <c r="C19" s="101" t="s">
        <v>188</v>
      </c>
      <c r="D19" s="58">
        <v>0</v>
      </c>
      <c r="E19" s="58">
        <v>0</v>
      </c>
      <c r="F19" s="58">
        <v>3</v>
      </c>
      <c r="G19" s="58">
        <v>11.1</v>
      </c>
      <c r="H19" s="58">
        <v>1</v>
      </c>
      <c r="I19" s="58">
        <v>1</v>
      </c>
      <c r="J19" s="58">
        <v>2.5</v>
      </c>
      <c r="K19" s="58">
        <v>1.2</v>
      </c>
      <c r="L19" s="58">
        <v>0</v>
      </c>
      <c r="M19" s="79">
        <v>0</v>
      </c>
      <c r="N19" s="58">
        <v>0</v>
      </c>
      <c r="O19" s="59">
        <v>0</v>
      </c>
      <c r="P19" s="89">
        <f t="shared" si="0"/>
        <v>19.8</v>
      </c>
      <c r="Q19" s="73"/>
      <c r="R19" s="73"/>
    </row>
    <row r="20" spans="2:18">
      <c r="B20" s="70" t="s">
        <v>62</v>
      </c>
      <c r="C20" s="71" t="s">
        <v>111</v>
      </c>
      <c r="D20" s="61">
        <v>0</v>
      </c>
      <c r="E20" s="61">
        <v>0</v>
      </c>
      <c r="F20" s="61">
        <v>0</v>
      </c>
      <c r="G20" s="61">
        <v>4</v>
      </c>
      <c r="H20" s="61">
        <v>19.149999999999999</v>
      </c>
      <c r="I20" s="61">
        <v>3</v>
      </c>
      <c r="J20" s="61">
        <v>1.72</v>
      </c>
      <c r="K20" s="61">
        <v>0</v>
      </c>
      <c r="L20" s="61">
        <v>0</v>
      </c>
      <c r="M20" s="80">
        <v>1</v>
      </c>
      <c r="N20" s="61">
        <v>0.23</v>
      </c>
      <c r="O20" s="62">
        <v>0</v>
      </c>
      <c r="P20" s="89">
        <f t="shared" si="0"/>
        <v>29.099999999999998</v>
      </c>
      <c r="Q20" s="73"/>
      <c r="R20" s="73"/>
    </row>
    <row r="21" spans="2:18">
      <c r="B21" s="70" t="s">
        <v>63</v>
      </c>
      <c r="C21" s="71" t="s">
        <v>112</v>
      </c>
      <c r="D21" s="22">
        <v>0</v>
      </c>
      <c r="E21" s="22">
        <v>0</v>
      </c>
      <c r="F21" s="22">
        <v>4</v>
      </c>
      <c r="G21" s="22">
        <v>12.64</v>
      </c>
      <c r="H21" s="22">
        <v>4.28</v>
      </c>
      <c r="I21" s="22">
        <v>3.13</v>
      </c>
      <c r="J21" s="22">
        <v>2.5499999999999998</v>
      </c>
      <c r="K21" s="22">
        <v>1.06</v>
      </c>
      <c r="L21" s="22">
        <v>0</v>
      </c>
      <c r="M21" s="104">
        <v>0</v>
      </c>
      <c r="N21" s="22">
        <v>0.92</v>
      </c>
      <c r="O21" s="60">
        <v>0</v>
      </c>
      <c r="P21" s="89">
        <f t="shared" si="0"/>
        <v>28.580000000000002</v>
      </c>
      <c r="Q21" s="73"/>
      <c r="R21" s="73"/>
    </row>
    <row r="22" spans="2:18">
      <c r="B22" s="70" t="s">
        <v>174</v>
      </c>
      <c r="C22" s="71" t="s">
        <v>175</v>
      </c>
      <c r="D22" s="22">
        <v>0</v>
      </c>
      <c r="E22" s="22">
        <v>0</v>
      </c>
      <c r="F22" s="22">
        <v>1.5</v>
      </c>
      <c r="G22" s="22">
        <v>18.920000000000002</v>
      </c>
      <c r="H22" s="22">
        <v>11.96</v>
      </c>
      <c r="I22" s="22">
        <v>2</v>
      </c>
      <c r="J22" s="22">
        <v>14.91</v>
      </c>
      <c r="K22" s="22">
        <v>0</v>
      </c>
      <c r="L22" s="22">
        <v>0.5</v>
      </c>
      <c r="M22" s="104">
        <v>0.5</v>
      </c>
      <c r="N22" s="22">
        <v>1</v>
      </c>
      <c r="O22" s="60">
        <v>0</v>
      </c>
      <c r="P22" s="89">
        <f t="shared" si="0"/>
        <v>51.290000000000006</v>
      </c>
      <c r="Q22" s="73"/>
      <c r="R22" s="73"/>
    </row>
    <row r="23" spans="2:18" ht="12.75" thickBot="1">
      <c r="B23" s="70" t="s">
        <v>64</v>
      </c>
      <c r="C23" s="102" t="s">
        <v>113</v>
      </c>
      <c r="D23" s="26">
        <v>0</v>
      </c>
      <c r="E23" s="26">
        <v>0</v>
      </c>
      <c r="F23" s="26">
        <v>0</v>
      </c>
      <c r="G23" s="26">
        <v>0</v>
      </c>
      <c r="H23" s="26">
        <v>14.23</v>
      </c>
      <c r="I23" s="26">
        <v>2</v>
      </c>
      <c r="J23" s="103">
        <v>3</v>
      </c>
      <c r="K23" s="26">
        <v>0.75</v>
      </c>
      <c r="L23" s="26">
        <v>0</v>
      </c>
      <c r="M23" s="105">
        <v>1</v>
      </c>
      <c r="N23" s="26">
        <v>0</v>
      </c>
      <c r="O23" s="103">
        <v>1</v>
      </c>
      <c r="P23" s="89">
        <f t="shared" si="0"/>
        <v>21.98</v>
      </c>
      <c r="Q23" s="73"/>
      <c r="R23" s="73"/>
    </row>
    <row r="24" spans="2:18">
      <c r="B24" s="70" t="s">
        <v>65</v>
      </c>
      <c r="C24" s="101" t="s">
        <v>114</v>
      </c>
      <c r="D24" s="18">
        <v>0</v>
      </c>
      <c r="E24" s="18">
        <v>0</v>
      </c>
      <c r="F24" s="18">
        <v>1.03</v>
      </c>
      <c r="G24" s="18">
        <v>13.39</v>
      </c>
      <c r="H24" s="18">
        <v>0</v>
      </c>
      <c r="I24" s="18">
        <v>1.03</v>
      </c>
      <c r="J24" s="18">
        <v>0.71</v>
      </c>
      <c r="K24" s="18">
        <v>1.03</v>
      </c>
      <c r="L24" s="18">
        <v>0.77</v>
      </c>
      <c r="M24" s="106">
        <v>0</v>
      </c>
      <c r="N24" s="18">
        <v>2.6</v>
      </c>
      <c r="O24" s="57">
        <v>0</v>
      </c>
      <c r="P24" s="89">
        <f t="shared" si="0"/>
        <v>20.560000000000002</v>
      </c>
      <c r="Q24" s="73"/>
      <c r="R24" s="73"/>
    </row>
    <row r="25" spans="2:18">
      <c r="B25" s="70" t="s">
        <v>206</v>
      </c>
      <c r="C25" s="71" t="s">
        <v>207</v>
      </c>
      <c r="D25" s="22">
        <v>0</v>
      </c>
      <c r="E25" s="22">
        <v>0</v>
      </c>
      <c r="F25" s="22">
        <v>0</v>
      </c>
      <c r="G25" s="22">
        <v>13</v>
      </c>
      <c r="H25" s="22">
        <v>0</v>
      </c>
      <c r="I25" s="22">
        <v>0</v>
      </c>
      <c r="J25" s="22">
        <v>5.25</v>
      </c>
      <c r="K25" s="22">
        <v>0.5</v>
      </c>
      <c r="L25" s="22">
        <v>0</v>
      </c>
      <c r="M25" s="104">
        <v>0</v>
      </c>
      <c r="N25" s="22">
        <v>1</v>
      </c>
      <c r="O25" s="60">
        <v>0</v>
      </c>
      <c r="P25" s="89">
        <f t="shared" si="0"/>
        <v>19.75</v>
      </c>
      <c r="Q25" s="73"/>
      <c r="R25" s="73"/>
    </row>
    <row r="26" spans="2:18">
      <c r="B26" s="70" t="s">
        <v>66</v>
      </c>
      <c r="C26" s="71" t="s">
        <v>115</v>
      </c>
      <c r="D26" s="22">
        <v>0</v>
      </c>
      <c r="E26" s="22">
        <v>0</v>
      </c>
      <c r="F26" s="22">
        <v>1.08</v>
      </c>
      <c r="G26" s="22">
        <v>14.75</v>
      </c>
      <c r="H26" s="22">
        <v>8.52</v>
      </c>
      <c r="I26" s="22">
        <v>2.57</v>
      </c>
      <c r="J26" s="22">
        <v>5.4</v>
      </c>
      <c r="K26" s="22">
        <v>0</v>
      </c>
      <c r="L26" s="22">
        <v>0.5</v>
      </c>
      <c r="M26" s="104">
        <v>0.5</v>
      </c>
      <c r="N26" s="22">
        <v>0</v>
      </c>
      <c r="O26" s="60">
        <v>0.6</v>
      </c>
      <c r="P26" s="89">
        <f t="shared" si="0"/>
        <v>33.92</v>
      </c>
      <c r="Q26" s="73"/>
      <c r="R26" s="73"/>
    </row>
    <row r="27" spans="2:18">
      <c r="B27" s="70" t="s">
        <v>176</v>
      </c>
      <c r="C27" s="71" t="s">
        <v>177</v>
      </c>
      <c r="D27" s="22">
        <v>0</v>
      </c>
      <c r="E27" s="22">
        <v>0</v>
      </c>
      <c r="F27" s="22">
        <v>2</v>
      </c>
      <c r="G27" s="22">
        <v>17.34</v>
      </c>
      <c r="H27" s="22">
        <v>7</v>
      </c>
      <c r="I27" s="22">
        <v>1.1599999999999999</v>
      </c>
      <c r="J27" s="22">
        <v>0.75</v>
      </c>
      <c r="K27" s="22">
        <v>1</v>
      </c>
      <c r="L27" s="22">
        <v>0</v>
      </c>
      <c r="M27" s="104">
        <v>0</v>
      </c>
      <c r="N27" s="22">
        <v>0</v>
      </c>
      <c r="O27" s="60">
        <v>0.59</v>
      </c>
      <c r="P27" s="89">
        <f t="shared" si="0"/>
        <v>29.84</v>
      </c>
      <c r="Q27" s="73"/>
      <c r="R27" s="73"/>
    </row>
    <row r="28" spans="2:18" ht="12.75" thickBot="1">
      <c r="B28" s="70">
        <v>98</v>
      </c>
      <c r="C28" s="102" t="s">
        <v>116</v>
      </c>
      <c r="D28" s="26">
        <v>0</v>
      </c>
      <c r="E28" s="26">
        <v>0</v>
      </c>
      <c r="F28" s="26">
        <v>0</v>
      </c>
      <c r="G28" s="26">
        <v>0</v>
      </c>
      <c r="H28" s="26">
        <v>12.25</v>
      </c>
      <c r="I28" s="26">
        <v>0.33</v>
      </c>
      <c r="J28" s="103">
        <v>4</v>
      </c>
      <c r="K28" s="26">
        <v>0.78</v>
      </c>
      <c r="L28" s="26">
        <v>0</v>
      </c>
      <c r="M28" s="105">
        <v>1.08</v>
      </c>
      <c r="N28" s="26">
        <v>0</v>
      </c>
      <c r="O28" s="103">
        <v>0</v>
      </c>
      <c r="P28" s="89">
        <f t="shared" si="0"/>
        <v>18.439999999999998</v>
      </c>
      <c r="Q28" s="73"/>
      <c r="R28" s="73"/>
    </row>
    <row r="29" spans="2:18">
      <c r="B29" s="70">
        <v>82</v>
      </c>
      <c r="C29" s="101" t="s">
        <v>117</v>
      </c>
      <c r="D29" s="18">
        <v>0</v>
      </c>
      <c r="E29" s="18">
        <v>0</v>
      </c>
      <c r="F29" s="18">
        <v>2</v>
      </c>
      <c r="G29" s="18">
        <v>19.43</v>
      </c>
      <c r="H29" s="18">
        <v>9.66</v>
      </c>
      <c r="I29" s="18">
        <v>1.9</v>
      </c>
      <c r="J29" s="18">
        <v>0.4</v>
      </c>
      <c r="K29" s="18">
        <v>0.9</v>
      </c>
      <c r="L29" s="18">
        <v>0</v>
      </c>
      <c r="M29" s="106">
        <v>0</v>
      </c>
      <c r="N29" s="18">
        <v>0</v>
      </c>
      <c r="O29" s="57">
        <v>0</v>
      </c>
      <c r="P29" s="89">
        <f t="shared" si="0"/>
        <v>34.29</v>
      </c>
      <c r="Q29" s="73"/>
      <c r="R29" s="73"/>
    </row>
    <row r="30" spans="2:18">
      <c r="B30" s="70" t="s">
        <v>118</v>
      </c>
      <c r="C30" s="71" t="s">
        <v>119</v>
      </c>
      <c r="D30" s="22">
        <v>0</v>
      </c>
      <c r="E30" s="22">
        <v>0</v>
      </c>
      <c r="F30" s="22">
        <v>1.5</v>
      </c>
      <c r="G30" s="22">
        <v>13.78</v>
      </c>
      <c r="H30" s="22">
        <v>7.15</v>
      </c>
      <c r="I30" s="22">
        <v>3.21</v>
      </c>
      <c r="J30" s="22">
        <v>18.329999999999998</v>
      </c>
      <c r="K30" s="22">
        <v>0</v>
      </c>
      <c r="L30" s="22">
        <v>0</v>
      </c>
      <c r="M30" s="104">
        <v>0</v>
      </c>
      <c r="N30" s="22">
        <v>0.53</v>
      </c>
      <c r="O30" s="60">
        <v>0.73</v>
      </c>
      <c r="P30" s="89">
        <f t="shared" si="0"/>
        <v>45.23</v>
      </c>
      <c r="Q30" s="73"/>
      <c r="R30" s="73"/>
    </row>
    <row r="31" spans="2:18">
      <c r="B31" s="70" t="s">
        <v>67</v>
      </c>
      <c r="C31" s="71" t="s">
        <v>120</v>
      </c>
      <c r="D31" s="22">
        <v>0</v>
      </c>
      <c r="E31" s="22">
        <v>0</v>
      </c>
      <c r="F31" s="22">
        <v>5</v>
      </c>
      <c r="G31" s="22">
        <v>35.22</v>
      </c>
      <c r="H31" s="22">
        <v>0.5</v>
      </c>
      <c r="I31" s="22">
        <v>2.1</v>
      </c>
      <c r="J31" s="22">
        <v>7.48</v>
      </c>
      <c r="K31" s="22">
        <v>0</v>
      </c>
      <c r="L31" s="22">
        <v>0.5</v>
      </c>
      <c r="M31" s="104">
        <v>0</v>
      </c>
      <c r="N31" s="22">
        <v>1.3</v>
      </c>
      <c r="O31" s="60">
        <v>0</v>
      </c>
      <c r="P31" s="89">
        <f t="shared" si="0"/>
        <v>52.099999999999994</v>
      </c>
      <c r="Q31" s="73"/>
      <c r="R31" s="73"/>
    </row>
    <row r="32" spans="2:18">
      <c r="B32" s="70" t="s">
        <v>189</v>
      </c>
      <c r="C32" s="71" t="s">
        <v>190</v>
      </c>
      <c r="D32" s="22">
        <v>0</v>
      </c>
      <c r="E32" s="22">
        <v>0</v>
      </c>
      <c r="F32" s="22">
        <v>2</v>
      </c>
      <c r="G32" s="22">
        <v>17.34</v>
      </c>
      <c r="H32" s="22">
        <v>0</v>
      </c>
      <c r="I32" s="22">
        <v>1</v>
      </c>
      <c r="J32" s="22">
        <v>3</v>
      </c>
      <c r="K32" s="22">
        <v>0</v>
      </c>
      <c r="L32" s="22">
        <v>0</v>
      </c>
      <c r="M32" s="104">
        <v>0</v>
      </c>
      <c r="N32" s="22">
        <v>0.67</v>
      </c>
      <c r="O32" s="60">
        <v>0</v>
      </c>
      <c r="P32" s="89">
        <f t="shared" si="0"/>
        <v>24.01</v>
      </c>
      <c r="Q32" s="73"/>
      <c r="R32" s="73"/>
    </row>
    <row r="33" spans="2:18" ht="12.75" thickBot="1">
      <c r="B33" s="70" t="s">
        <v>68</v>
      </c>
      <c r="C33" s="102" t="s">
        <v>121</v>
      </c>
      <c r="D33" s="26">
        <v>2</v>
      </c>
      <c r="E33" s="26">
        <v>0</v>
      </c>
      <c r="F33" s="26">
        <v>1</v>
      </c>
      <c r="G33" s="26">
        <v>4.59</v>
      </c>
      <c r="H33" s="26">
        <v>0</v>
      </c>
      <c r="I33" s="26">
        <v>0.5</v>
      </c>
      <c r="J33" s="103">
        <v>6.5</v>
      </c>
      <c r="K33" s="26">
        <v>0</v>
      </c>
      <c r="L33" s="26">
        <v>0</v>
      </c>
      <c r="M33" s="105">
        <v>0</v>
      </c>
      <c r="N33" s="26">
        <v>0</v>
      </c>
      <c r="O33" s="103">
        <v>0.5</v>
      </c>
      <c r="P33" s="89">
        <f t="shared" si="0"/>
        <v>15.09</v>
      </c>
      <c r="Q33" s="73"/>
      <c r="R33" s="73"/>
    </row>
    <row r="34" spans="2:18">
      <c r="B34" s="70" t="s">
        <v>178</v>
      </c>
      <c r="C34" s="101" t="s">
        <v>179</v>
      </c>
      <c r="D34" s="18">
        <v>0</v>
      </c>
      <c r="E34" s="18">
        <v>0</v>
      </c>
      <c r="F34" s="18">
        <v>2</v>
      </c>
      <c r="G34" s="18">
        <v>19.5</v>
      </c>
      <c r="H34" s="18">
        <v>11.78</v>
      </c>
      <c r="I34" s="18">
        <v>1.5</v>
      </c>
      <c r="J34" s="18">
        <v>10.11</v>
      </c>
      <c r="K34" s="18">
        <v>1</v>
      </c>
      <c r="L34" s="18">
        <v>0</v>
      </c>
      <c r="M34" s="106">
        <v>1</v>
      </c>
      <c r="N34" s="18">
        <v>0.45</v>
      </c>
      <c r="O34" s="57">
        <v>0</v>
      </c>
      <c r="P34" s="89">
        <f t="shared" si="0"/>
        <v>47.34</v>
      </c>
      <c r="Q34" s="73"/>
      <c r="R34" s="73"/>
    </row>
    <row r="35" spans="2:18">
      <c r="B35" s="70" t="s">
        <v>208</v>
      </c>
      <c r="C35" s="71" t="s">
        <v>209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 t="s">
        <v>222</v>
      </c>
      <c r="K35" s="22">
        <v>0</v>
      </c>
      <c r="L35" s="22">
        <v>0</v>
      </c>
      <c r="M35" s="104">
        <v>0</v>
      </c>
      <c r="N35" s="22">
        <v>0</v>
      </c>
      <c r="O35" s="60" t="s">
        <v>222</v>
      </c>
      <c r="P35" s="89">
        <f t="shared" si="0"/>
        <v>0</v>
      </c>
      <c r="Q35" s="73"/>
      <c r="R35" s="73"/>
    </row>
    <row r="36" spans="2:18">
      <c r="B36" s="70" t="s">
        <v>69</v>
      </c>
      <c r="C36" s="71" t="s">
        <v>122</v>
      </c>
      <c r="D36" s="22">
        <v>0</v>
      </c>
      <c r="E36" s="22">
        <v>0</v>
      </c>
      <c r="F36" s="22">
        <v>0</v>
      </c>
      <c r="G36" s="22">
        <v>0</v>
      </c>
      <c r="H36" s="22">
        <v>7.51</v>
      </c>
      <c r="I36" s="22">
        <v>0</v>
      </c>
      <c r="J36" s="22">
        <v>0.81</v>
      </c>
      <c r="K36" s="22">
        <v>0.54</v>
      </c>
      <c r="L36" s="22">
        <v>0</v>
      </c>
      <c r="M36" s="104">
        <v>0.75</v>
      </c>
      <c r="N36" s="22">
        <v>0</v>
      </c>
      <c r="O36" s="60">
        <v>0</v>
      </c>
      <c r="P36" s="89">
        <f t="shared" si="0"/>
        <v>9.61</v>
      </c>
      <c r="Q36" s="73"/>
      <c r="R36" s="73"/>
    </row>
    <row r="37" spans="2:18">
      <c r="B37" s="70" t="s">
        <v>70</v>
      </c>
      <c r="C37" s="71" t="s">
        <v>123</v>
      </c>
      <c r="D37" s="22">
        <v>0</v>
      </c>
      <c r="E37" s="22">
        <v>0</v>
      </c>
      <c r="F37" s="22">
        <v>0</v>
      </c>
      <c r="G37" s="22">
        <v>0</v>
      </c>
      <c r="H37" s="22">
        <v>11.52</v>
      </c>
      <c r="I37" s="22">
        <v>0</v>
      </c>
      <c r="J37" s="22">
        <v>0</v>
      </c>
      <c r="K37" s="22">
        <v>0</v>
      </c>
      <c r="L37" s="22">
        <v>0</v>
      </c>
      <c r="M37" s="104">
        <v>2</v>
      </c>
      <c r="N37" s="22">
        <v>0</v>
      </c>
      <c r="O37" s="60">
        <v>0</v>
      </c>
      <c r="P37" s="89">
        <f t="shared" si="0"/>
        <v>13.52</v>
      </c>
      <c r="Q37" s="73"/>
      <c r="R37" s="73"/>
    </row>
    <row r="38" spans="2:18" ht="12.75" thickBot="1">
      <c r="B38" s="70">
        <v>93</v>
      </c>
      <c r="C38" s="102" t="s">
        <v>124</v>
      </c>
      <c r="D38" s="26">
        <v>0</v>
      </c>
      <c r="E38" s="26">
        <v>0</v>
      </c>
      <c r="F38" s="26">
        <v>0.72</v>
      </c>
      <c r="G38" s="26">
        <v>8.34</v>
      </c>
      <c r="H38" s="26">
        <v>1.38</v>
      </c>
      <c r="I38" s="26">
        <v>1</v>
      </c>
      <c r="J38" s="103">
        <v>4.18</v>
      </c>
      <c r="K38" s="26">
        <v>0</v>
      </c>
      <c r="L38" s="26">
        <v>0</v>
      </c>
      <c r="M38" s="105">
        <v>0</v>
      </c>
      <c r="N38" s="26">
        <v>0</v>
      </c>
      <c r="O38" s="103">
        <v>0</v>
      </c>
      <c r="P38" s="89">
        <f t="shared" si="0"/>
        <v>15.620000000000001</v>
      </c>
      <c r="Q38" s="73"/>
      <c r="R38" s="73"/>
    </row>
    <row r="39" spans="2:18">
      <c r="B39" s="70" t="s">
        <v>75</v>
      </c>
      <c r="C39" s="101" t="s">
        <v>191</v>
      </c>
      <c r="D39" s="18">
        <v>0</v>
      </c>
      <c r="E39" s="18">
        <v>0</v>
      </c>
      <c r="F39" s="18">
        <v>0</v>
      </c>
      <c r="G39" s="18">
        <v>0</v>
      </c>
      <c r="H39" s="18">
        <v>29.72</v>
      </c>
      <c r="I39" s="18">
        <v>0.5</v>
      </c>
      <c r="J39" s="18" t="s">
        <v>225</v>
      </c>
      <c r="K39" s="18">
        <v>1.5</v>
      </c>
      <c r="L39" s="18">
        <v>0</v>
      </c>
      <c r="M39" s="106">
        <v>1</v>
      </c>
      <c r="N39" s="18">
        <v>0.75</v>
      </c>
      <c r="O39" s="57" t="s">
        <v>225</v>
      </c>
      <c r="P39" s="89">
        <f t="shared" si="0"/>
        <v>33.47</v>
      </c>
      <c r="Q39" s="73"/>
      <c r="R39" s="73"/>
    </row>
    <row r="40" spans="2:18">
      <c r="B40" s="70" t="s">
        <v>71</v>
      </c>
      <c r="C40" s="71" t="s">
        <v>125</v>
      </c>
      <c r="D40" s="22">
        <v>0</v>
      </c>
      <c r="E40" s="22">
        <v>0</v>
      </c>
      <c r="F40" s="22">
        <v>2</v>
      </c>
      <c r="G40" s="22">
        <v>22.3</v>
      </c>
      <c r="H40" s="22">
        <v>8.83</v>
      </c>
      <c r="I40" s="22">
        <v>2.84</v>
      </c>
      <c r="J40" s="22">
        <v>15</v>
      </c>
      <c r="K40" s="22">
        <v>0</v>
      </c>
      <c r="L40" s="22">
        <v>0.25</v>
      </c>
      <c r="M40" s="104">
        <v>0.25</v>
      </c>
      <c r="N40" s="22">
        <v>1</v>
      </c>
      <c r="O40" s="60">
        <v>0</v>
      </c>
      <c r="P40" s="89">
        <f t="shared" si="0"/>
        <v>52.47</v>
      </c>
      <c r="Q40" s="73"/>
      <c r="R40" s="73"/>
    </row>
    <row r="41" spans="2:18">
      <c r="B41" s="70" t="s">
        <v>72</v>
      </c>
      <c r="C41" s="71" t="s">
        <v>126</v>
      </c>
      <c r="D41" s="22">
        <v>0</v>
      </c>
      <c r="E41" s="22">
        <v>0</v>
      </c>
      <c r="F41" s="22">
        <v>1.5</v>
      </c>
      <c r="G41" s="22">
        <v>16</v>
      </c>
      <c r="H41" s="22">
        <v>25.91</v>
      </c>
      <c r="I41" s="22">
        <v>2.35</v>
      </c>
      <c r="J41" s="22">
        <v>30.4</v>
      </c>
      <c r="K41" s="22">
        <v>1.8</v>
      </c>
      <c r="L41" s="22">
        <v>0.17</v>
      </c>
      <c r="M41" s="104">
        <v>0.98</v>
      </c>
      <c r="N41" s="22">
        <v>0</v>
      </c>
      <c r="O41" s="60">
        <v>0.57999999999999996</v>
      </c>
      <c r="P41" s="89">
        <f t="shared" si="0"/>
        <v>79.69</v>
      </c>
      <c r="Q41" s="73"/>
      <c r="R41" s="73"/>
    </row>
    <row r="42" spans="2:18">
      <c r="B42" s="70" t="s">
        <v>73</v>
      </c>
      <c r="C42" s="71" t="s">
        <v>127</v>
      </c>
      <c r="D42" s="22">
        <v>0</v>
      </c>
      <c r="E42" s="22">
        <v>0</v>
      </c>
      <c r="F42" s="22">
        <v>3.6</v>
      </c>
      <c r="G42" s="22">
        <v>10.4</v>
      </c>
      <c r="H42" s="22">
        <v>6.2</v>
      </c>
      <c r="I42" s="22">
        <v>1.45</v>
      </c>
      <c r="J42" s="22">
        <v>0</v>
      </c>
      <c r="K42" s="22">
        <v>1</v>
      </c>
      <c r="L42" s="22">
        <v>0</v>
      </c>
      <c r="M42" s="104">
        <v>0</v>
      </c>
      <c r="N42" s="22">
        <v>0</v>
      </c>
      <c r="O42" s="60">
        <v>0</v>
      </c>
      <c r="P42" s="89">
        <f t="shared" si="0"/>
        <v>22.65</v>
      </c>
      <c r="Q42" s="73"/>
      <c r="R42" s="73"/>
    </row>
    <row r="43" spans="2:18" ht="12.75" thickBot="1">
      <c r="B43" s="70" t="s">
        <v>74</v>
      </c>
      <c r="C43" s="102" t="s">
        <v>128</v>
      </c>
      <c r="D43" s="26">
        <v>0</v>
      </c>
      <c r="E43" s="26">
        <v>0</v>
      </c>
      <c r="F43" s="26">
        <v>1</v>
      </c>
      <c r="G43" s="26">
        <v>15.21</v>
      </c>
      <c r="H43" s="26">
        <v>12.15</v>
      </c>
      <c r="I43" s="26">
        <v>3.09</v>
      </c>
      <c r="J43" s="103">
        <v>22.82</v>
      </c>
      <c r="K43" s="26">
        <v>0</v>
      </c>
      <c r="L43" s="26">
        <v>0</v>
      </c>
      <c r="M43" s="105">
        <v>0.53</v>
      </c>
      <c r="N43" s="26">
        <v>0</v>
      </c>
      <c r="O43" s="103">
        <v>0.75</v>
      </c>
      <c r="P43" s="89">
        <f t="shared" si="0"/>
        <v>55.55</v>
      </c>
      <c r="Q43" s="73"/>
      <c r="R43" s="73"/>
    </row>
    <row r="44" spans="2:18">
      <c r="B44" s="70" t="s">
        <v>192</v>
      </c>
      <c r="C44" s="101" t="s">
        <v>193</v>
      </c>
      <c r="D44" s="18">
        <v>0</v>
      </c>
      <c r="E44" s="18">
        <v>0</v>
      </c>
      <c r="F44" s="18">
        <v>1.5</v>
      </c>
      <c r="G44" s="18">
        <v>16.23</v>
      </c>
      <c r="H44" s="18">
        <v>0</v>
      </c>
      <c r="I44" s="18">
        <v>2</v>
      </c>
      <c r="J44" s="18">
        <v>12.43</v>
      </c>
      <c r="K44" s="18">
        <v>0</v>
      </c>
      <c r="L44" s="18">
        <v>0</v>
      </c>
      <c r="M44" s="106">
        <v>0</v>
      </c>
      <c r="N44" s="18">
        <v>0</v>
      </c>
      <c r="O44" s="57">
        <v>0</v>
      </c>
      <c r="P44" s="89">
        <f t="shared" si="0"/>
        <v>32.159999999999997</v>
      </c>
      <c r="Q44" s="73"/>
      <c r="R44" s="73"/>
    </row>
    <row r="45" spans="2:18">
      <c r="B45" s="70" t="s">
        <v>129</v>
      </c>
      <c r="C45" s="71" t="s">
        <v>130</v>
      </c>
      <c r="D45" s="22">
        <v>0</v>
      </c>
      <c r="E45" s="22">
        <v>0</v>
      </c>
      <c r="F45" s="22">
        <v>0</v>
      </c>
      <c r="G45" s="22">
        <v>0</v>
      </c>
      <c r="H45" s="22">
        <v>17.21</v>
      </c>
      <c r="I45" s="22">
        <v>1.3</v>
      </c>
      <c r="J45" s="22">
        <v>0.86</v>
      </c>
      <c r="K45" s="22">
        <v>0.8</v>
      </c>
      <c r="L45" s="22">
        <v>0</v>
      </c>
      <c r="M45" s="104">
        <v>1.7</v>
      </c>
      <c r="N45" s="22">
        <v>0</v>
      </c>
      <c r="O45" s="60">
        <v>0</v>
      </c>
      <c r="P45" s="89">
        <f t="shared" si="0"/>
        <v>21.87</v>
      </c>
      <c r="Q45" s="73"/>
      <c r="R45" s="73"/>
    </row>
    <row r="46" spans="2:18">
      <c r="B46" s="70" t="s">
        <v>76</v>
      </c>
      <c r="C46" s="71" t="s">
        <v>194</v>
      </c>
      <c r="D46" s="22">
        <v>0</v>
      </c>
      <c r="E46" s="22">
        <v>0</v>
      </c>
      <c r="F46" s="22">
        <v>1</v>
      </c>
      <c r="G46" s="22">
        <v>4</v>
      </c>
      <c r="H46" s="22">
        <v>0</v>
      </c>
      <c r="I46" s="22">
        <v>1</v>
      </c>
      <c r="J46" s="22">
        <v>0.75</v>
      </c>
      <c r="K46" s="22">
        <v>0</v>
      </c>
      <c r="L46" s="22">
        <v>0</v>
      </c>
      <c r="M46" s="104">
        <v>0</v>
      </c>
      <c r="N46" s="22">
        <v>0</v>
      </c>
      <c r="O46" s="60">
        <v>0</v>
      </c>
      <c r="P46" s="89">
        <f t="shared" si="0"/>
        <v>6.75</v>
      </c>
      <c r="Q46" s="73"/>
      <c r="R46" s="73"/>
    </row>
    <row r="47" spans="2:18">
      <c r="B47" s="70" t="s">
        <v>77</v>
      </c>
      <c r="C47" s="71" t="s">
        <v>131</v>
      </c>
      <c r="D47" s="22">
        <v>0</v>
      </c>
      <c r="E47" s="22">
        <v>0</v>
      </c>
      <c r="F47" s="22">
        <v>2</v>
      </c>
      <c r="G47" s="22">
        <v>17.850000000000001</v>
      </c>
      <c r="H47" s="22">
        <v>15.02</v>
      </c>
      <c r="I47" s="22">
        <v>2</v>
      </c>
      <c r="J47" s="22">
        <v>4.88</v>
      </c>
      <c r="K47" s="22">
        <v>2</v>
      </c>
      <c r="L47" s="22">
        <v>0</v>
      </c>
      <c r="M47" s="104">
        <v>0.5</v>
      </c>
      <c r="N47" s="22">
        <v>0.99</v>
      </c>
      <c r="O47" s="60">
        <v>0</v>
      </c>
      <c r="P47" s="89">
        <f t="shared" si="0"/>
        <v>45.240000000000009</v>
      </c>
      <c r="Q47" s="73"/>
      <c r="R47" s="73"/>
    </row>
    <row r="48" spans="2:18" ht="12.75" thickBot="1">
      <c r="B48" s="70" t="s">
        <v>78</v>
      </c>
      <c r="C48" s="102" t="s">
        <v>132</v>
      </c>
      <c r="D48" s="26">
        <v>0</v>
      </c>
      <c r="E48" s="26">
        <v>0</v>
      </c>
      <c r="F48" s="26">
        <v>1.5</v>
      </c>
      <c r="G48" s="26">
        <v>17.63</v>
      </c>
      <c r="H48" s="26">
        <v>13.12</v>
      </c>
      <c r="I48" s="26">
        <v>2</v>
      </c>
      <c r="J48" s="103">
        <v>13</v>
      </c>
      <c r="K48" s="26">
        <v>0</v>
      </c>
      <c r="L48" s="26">
        <v>0</v>
      </c>
      <c r="M48" s="105">
        <v>1</v>
      </c>
      <c r="N48" s="26">
        <v>1</v>
      </c>
      <c r="O48" s="103">
        <v>0</v>
      </c>
      <c r="P48" s="89">
        <f t="shared" si="0"/>
        <v>49.25</v>
      </c>
      <c r="Q48" s="73"/>
      <c r="R48" s="73"/>
    </row>
    <row r="49" spans="2:18">
      <c r="B49" s="70" t="s">
        <v>79</v>
      </c>
      <c r="C49" s="101" t="s">
        <v>133</v>
      </c>
      <c r="D49" s="18">
        <v>0</v>
      </c>
      <c r="E49" s="18">
        <v>0</v>
      </c>
      <c r="F49" s="18">
        <v>2</v>
      </c>
      <c r="G49" s="18">
        <v>13.2</v>
      </c>
      <c r="H49" s="18">
        <v>10.09</v>
      </c>
      <c r="I49" s="18">
        <v>2.33</v>
      </c>
      <c r="J49" s="18">
        <v>15.91</v>
      </c>
      <c r="K49" s="18">
        <v>0</v>
      </c>
      <c r="L49" s="18">
        <v>0.2</v>
      </c>
      <c r="M49" s="106">
        <v>0.2</v>
      </c>
      <c r="N49" s="18">
        <v>0.34</v>
      </c>
      <c r="O49" s="57">
        <v>0</v>
      </c>
      <c r="P49" s="89">
        <f t="shared" si="0"/>
        <v>44.27000000000001</v>
      </c>
      <c r="Q49" s="73"/>
      <c r="R49" s="73"/>
    </row>
    <row r="50" spans="2:18">
      <c r="B50" s="70" t="s">
        <v>83</v>
      </c>
      <c r="C50" s="71" t="s">
        <v>134</v>
      </c>
      <c r="D50" s="22">
        <v>0</v>
      </c>
      <c r="E50" s="22">
        <v>0</v>
      </c>
      <c r="F50" s="22">
        <v>0</v>
      </c>
      <c r="G50" s="22">
        <v>0</v>
      </c>
      <c r="H50" s="22">
        <v>15.8</v>
      </c>
      <c r="I50" s="22">
        <v>1</v>
      </c>
      <c r="J50" s="22">
        <v>1</v>
      </c>
      <c r="K50" s="22">
        <v>0</v>
      </c>
      <c r="L50" s="22">
        <v>0</v>
      </c>
      <c r="M50" s="104">
        <v>1.25</v>
      </c>
      <c r="N50" s="22">
        <v>0</v>
      </c>
      <c r="O50" s="60">
        <v>0</v>
      </c>
      <c r="P50" s="89">
        <f t="shared" si="0"/>
        <v>19.05</v>
      </c>
      <c r="Q50" s="73"/>
      <c r="R50" s="73"/>
    </row>
    <row r="51" spans="2:18">
      <c r="B51" s="70" t="s">
        <v>80</v>
      </c>
      <c r="C51" s="71" t="s">
        <v>135</v>
      </c>
      <c r="D51" s="22">
        <v>0</v>
      </c>
      <c r="E51" s="22">
        <v>0</v>
      </c>
      <c r="F51" s="22">
        <v>2</v>
      </c>
      <c r="G51" s="22">
        <v>19</v>
      </c>
      <c r="H51" s="22">
        <v>0</v>
      </c>
      <c r="I51" s="22">
        <v>0</v>
      </c>
      <c r="J51" s="22">
        <v>26</v>
      </c>
      <c r="K51" s="22">
        <v>1</v>
      </c>
      <c r="L51" s="22">
        <v>0</v>
      </c>
      <c r="M51" s="104">
        <v>0</v>
      </c>
      <c r="N51" s="22">
        <v>0</v>
      </c>
      <c r="O51" s="60">
        <v>0</v>
      </c>
      <c r="P51" s="89">
        <f t="shared" si="0"/>
        <v>48</v>
      </c>
      <c r="Q51" s="73"/>
      <c r="R51" s="73"/>
    </row>
    <row r="52" spans="2:18">
      <c r="B52" s="70" t="s">
        <v>81</v>
      </c>
      <c r="C52" s="71" t="s">
        <v>136</v>
      </c>
      <c r="D52" s="22">
        <v>0</v>
      </c>
      <c r="E52" s="22">
        <v>0</v>
      </c>
      <c r="F52" s="22">
        <v>2</v>
      </c>
      <c r="G52" s="22">
        <v>23.57</v>
      </c>
      <c r="H52" s="22">
        <v>12.3</v>
      </c>
      <c r="I52" s="22">
        <v>1.82</v>
      </c>
      <c r="J52" s="22">
        <v>14.13</v>
      </c>
      <c r="K52" s="22">
        <v>1.48</v>
      </c>
      <c r="L52" s="22">
        <v>0.1</v>
      </c>
      <c r="M52" s="104">
        <v>0.1</v>
      </c>
      <c r="N52" s="22">
        <v>1</v>
      </c>
      <c r="O52" s="60">
        <v>0.43</v>
      </c>
      <c r="P52" s="89">
        <f t="shared" si="0"/>
        <v>56.930000000000007</v>
      </c>
      <c r="Q52" s="73"/>
      <c r="R52" s="73"/>
    </row>
    <row r="53" spans="2:18" ht="12.75" thickBot="1">
      <c r="B53" s="70" t="s">
        <v>82</v>
      </c>
      <c r="C53" s="102" t="s">
        <v>137</v>
      </c>
      <c r="D53" s="26">
        <v>0</v>
      </c>
      <c r="E53" s="26">
        <v>0</v>
      </c>
      <c r="F53" s="26">
        <v>1</v>
      </c>
      <c r="G53" s="26">
        <v>11.75</v>
      </c>
      <c r="H53" s="26">
        <v>9.3000000000000007</v>
      </c>
      <c r="I53" s="26">
        <v>1</v>
      </c>
      <c r="J53" s="103">
        <v>9.64</v>
      </c>
      <c r="K53" s="26">
        <v>1.5</v>
      </c>
      <c r="L53" s="26">
        <v>0.25</v>
      </c>
      <c r="M53" s="105">
        <v>0.75</v>
      </c>
      <c r="N53" s="26">
        <v>1</v>
      </c>
      <c r="O53" s="103">
        <v>0</v>
      </c>
      <c r="P53" s="89">
        <f t="shared" si="0"/>
        <v>36.19</v>
      </c>
      <c r="Q53" s="73"/>
      <c r="R53" s="73"/>
    </row>
    <row r="54" spans="2:18">
      <c r="B54" s="70" t="s">
        <v>84</v>
      </c>
      <c r="C54" s="101" t="s">
        <v>138</v>
      </c>
      <c r="D54" s="18">
        <v>0</v>
      </c>
      <c r="E54" s="18">
        <v>0</v>
      </c>
      <c r="F54" s="18">
        <v>3</v>
      </c>
      <c r="G54" s="18">
        <v>18.13</v>
      </c>
      <c r="H54" s="18">
        <v>2.0099999999999998</v>
      </c>
      <c r="I54" s="18">
        <v>1.5</v>
      </c>
      <c r="J54" s="18">
        <v>0.87</v>
      </c>
      <c r="K54" s="18">
        <v>0</v>
      </c>
      <c r="L54" s="18">
        <v>0</v>
      </c>
      <c r="M54" s="106">
        <v>0</v>
      </c>
      <c r="N54" s="18">
        <v>0</v>
      </c>
      <c r="O54" s="57">
        <v>0.5</v>
      </c>
      <c r="P54" s="89">
        <f t="shared" si="0"/>
        <v>26.01</v>
      </c>
      <c r="Q54" s="73"/>
      <c r="R54" s="73"/>
    </row>
    <row r="55" spans="2:18">
      <c r="B55" s="70">
        <v>68</v>
      </c>
      <c r="C55" s="71" t="s">
        <v>139</v>
      </c>
      <c r="D55" s="22">
        <v>0</v>
      </c>
      <c r="E55" s="22">
        <v>0</v>
      </c>
      <c r="F55" s="22">
        <v>2</v>
      </c>
      <c r="G55" s="22">
        <v>21.5</v>
      </c>
      <c r="H55" s="22">
        <v>18.899999999999999</v>
      </c>
      <c r="I55" s="22">
        <v>4.75</v>
      </c>
      <c r="J55" s="22">
        <v>19.97</v>
      </c>
      <c r="K55" s="22">
        <v>0</v>
      </c>
      <c r="L55" s="22">
        <v>0.25</v>
      </c>
      <c r="M55" s="104">
        <v>1.25</v>
      </c>
      <c r="N55" s="22">
        <v>0.75</v>
      </c>
      <c r="O55" s="60">
        <v>0.52</v>
      </c>
      <c r="P55" s="89">
        <f t="shared" si="0"/>
        <v>69.89</v>
      </c>
      <c r="Q55" s="73"/>
      <c r="R55" s="73"/>
    </row>
    <row r="56" spans="2:18">
      <c r="B56" s="70" t="s">
        <v>85</v>
      </c>
      <c r="C56" s="71" t="s">
        <v>140</v>
      </c>
      <c r="D56" s="22">
        <v>0</v>
      </c>
      <c r="E56" s="22">
        <v>0</v>
      </c>
      <c r="F56" s="22">
        <v>1.5</v>
      </c>
      <c r="G56" s="22">
        <v>15.5</v>
      </c>
      <c r="H56" s="22">
        <v>0</v>
      </c>
      <c r="I56" s="22">
        <v>1.8</v>
      </c>
      <c r="J56" s="22" t="s">
        <v>222</v>
      </c>
      <c r="K56" s="22">
        <v>0</v>
      </c>
      <c r="L56" s="22">
        <v>0.8</v>
      </c>
      <c r="M56" s="104">
        <v>0</v>
      </c>
      <c r="N56" s="22">
        <v>0</v>
      </c>
      <c r="O56" s="60" t="s">
        <v>222</v>
      </c>
      <c r="P56" s="89">
        <f t="shared" si="0"/>
        <v>19.600000000000001</v>
      </c>
      <c r="Q56" s="73"/>
      <c r="R56" s="73"/>
    </row>
    <row r="57" spans="2:18">
      <c r="B57" s="70" t="s">
        <v>180</v>
      </c>
      <c r="C57" s="71" t="s">
        <v>181</v>
      </c>
      <c r="D57" s="22">
        <v>0</v>
      </c>
      <c r="E57" s="22">
        <v>0</v>
      </c>
      <c r="F57" s="22">
        <v>0</v>
      </c>
      <c r="G57" s="22">
        <v>0</v>
      </c>
      <c r="H57" s="22">
        <v>16.16</v>
      </c>
      <c r="I57" s="22">
        <v>0.5</v>
      </c>
      <c r="J57" s="22">
        <v>0.41</v>
      </c>
      <c r="K57" s="22">
        <v>1</v>
      </c>
      <c r="L57" s="22">
        <v>0</v>
      </c>
      <c r="M57" s="104">
        <v>0.75</v>
      </c>
      <c r="N57" s="22">
        <v>0</v>
      </c>
      <c r="O57" s="60">
        <v>0</v>
      </c>
      <c r="P57" s="89">
        <f t="shared" si="0"/>
        <v>18.82</v>
      </c>
      <c r="Q57" s="73"/>
      <c r="R57" s="73"/>
    </row>
    <row r="58" spans="2:18" ht="12.75" thickBot="1">
      <c r="B58" s="70" t="s">
        <v>182</v>
      </c>
      <c r="C58" s="102" t="s">
        <v>183</v>
      </c>
      <c r="D58" s="26">
        <v>0</v>
      </c>
      <c r="E58" s="26">
        <v>0</v>
      </c>
      <c r="F58" s="26">
        <v>2</v>
      </c>
      <c r="G58" s="26">
        <v>22.5</v>
      </c>
      <c r="H58" s="26">
        <v>8.6300000000000008</v>
      </c>
      <c r="I58" s="26">
        <v>1.59</v>
      </c>
      <c r="J58" s="103">
        <v>9.7899999999999991</v>
      </c>
      <c r="K58" s="26">
        <v>0.5</v>
      </c>
      <c r="L58" s="26">
        <v>0.5</v>
      </c>
      <c r="M58" s="105">
        <v>0.5</v>
      </c>
      <c r="N58" s="26">
        <v>0.5</v>
      </c>
      <c r="O58" s="103">
        <v>0</v>
      </c>
      <c r="P58" s="89">
        <f t="shared" si="0"/>
        <v>46.510000000000005</v>
      </c>
      <c r="Q58" s="73"/>
      <c r="R58" s="73"/>
    </row>
    <row r="59" spans="2:18">
      <c r="B59" s="70" t="s">
        <v>86</v>
      </c>
      <c r="C59" s="101" t="s">
        <v>141</v>
      </c>
      <c r="D59" s="18">
        <v>0</v>
      </c>
      <c r="E59" s="18">
        <v>0</v>
      </c>
      <c r="F59" s="18">
        <v>0</v>
      </c>
      <c r="G59" s="18">
        <v>0</v>
      </c>
      <c r="H59" s="18">
        <v>31.08</v>
      </c>
      <c r="I59" s="18">
        <v>2</v>
      </c>
      <c r="J59" s="18">
        <v>4</v>
      </c>
      <c r="K59" s="18">
        <v>0</v>
      </c>
      <c r="L59" s="18">
        <v>0</v>
      </c>
      <c r="M59" s="106">
        <v>1</v>
      </c>
      <c r="N59" s="18">
        <v>1</v>
      </c>
      <c r="O59" s="57">
        <v>1</v>
      </c>
      <c r="P59" s="89">
        <f t="shared" si="0"/>
        <v>40.08</v>
      </c>
      <c r="Q59" s="73"/>
      <c r="R59" s="73"/>
    </row>
    <row r="60" spans="2:18">
      <c r="B60" s="70">
        <v>86</v>
      </c>
      <c r="C60" s="71" t="s">
        <v>142</v>
      </c>
      <c r="D60" s="22">
        <v>0</v>
      </c>
      <c r="E60" s="22">
        <v>0</v>
      </c>
      <c r="F60" s="22">
        <v>2.11</v>
      </c>
      <c r="G60" s="22">
        <v>12.67</v>
      </c>
      <c r="H60" s="22">
        <v>18.239999999999998</v>
      </c>
      <c r="I60" s="22">
        <v>2.29</v>
      </c>
      <c r="J60" s="22">
        <v>22.5</v>
      </c>
      <c r="K60" s="22">
        <v>0.54</v>
      </c>
      <c r="L60" s="22">
        <v>0</v>
      </c>
      <c r="M60" s="104">
        <v>0</v>
      </c>
      <c r="N60" s="22">
        <v>1.06</v>
      </c>
      <c r="O60" s="60">
        <v>0</v>
      </c>
      <c r="P60" s="89">
        <f t="shared" si="0"/>
        <v>59.41</v>
      </c>
      <c r="Q60" s="73"/>
      <c r="R60" s="73"/>
    </row>
    <row r="61" spans="2:18">
      <c r="B61" s="70" t="s">
        <v>143</v>
      </c>
      <c r="C61" s="71" t="s">
        <v>144</v>
      </c>
      <c r="D61" s="22">
        <v>0</v>
      </c>
      <c r="E61" s="22">
        <v>0</v>
      </c>
      <c r="F61" s="22">
        <v>1.5</v>
      </c>
      <c r="G61" s="22">
        <v>26.86</v>
      </c>
      <c r="H61" s="22">
        <v>27.53</v>
      </c>
      <c r="I61" s="22">
        <v>4.01</v>
      </c>
      <c r="J61" s="22">
        <v>24.71</v>
      </c>
      <c r="K61" s="22">
        <v>1</v>
      </c>
      <c r="L61" s="22">
        <v>0.5</v>
      </c>
      <c r="M61" s="104">
        <v>1</v>
      </c>
      <c r="N61" s="22">
        <v>1</v>
      </c>
      <c r="O61" s="60">
        <v>1.5</v>
      </c>
      <c r="P61" s="89">
        <f t="shared" si="0"/>
        <v>89.61</v>
      </c>
      <c r="Q61" s="73"/>
      <c r="R61" s="73"/>
    </row>
    <row r="62" spans="2:18">
      <c r="B62" s="70" t="s">
        <v>195</v>
      </c>
      <c r="C62" s="71" t="s">
        <v>196</v>
      </c>
      <c r="D62" s="22">
        <v>0</v>
      </c>
      <c r="E62" s="22">
        <v>0</v>
      </c>
      <c r="F62" s="22">
        <v>1</v>
      </c>
      <c r="G62" s="22">
        <v>14.05</v>
      </c>
      <c r="H62" s="22">
        <v>6.95</v>
      </c>
      <c r="I62" s="22">
        <v>2</v>
      </c>
      <c r="J62" s="22">
        <v>11.75</v>
      </c>
      <c r="K62" s="22">
        <v>0.6</v>
      </c>
      <c r="L62" s="22">
        <v>0</v>
      </c>
      <c r="M62" s="104">
        <v>0</v>
      </c>
      <c r="N62" s="22">
        <v>0.2</v>
      </c>
      <c r="O62" s="60">
        <v>0</v>
      </c>
      <c r="P62" s="89">
        <f t="shared" si="0"/>
        <v>36.550000000000004</v>
      </c>
      <c r="Q62" s="73"/>
      <c r="R62" s="73"/>
    </row>
    <row r="63" spans="2:18" ht="12.75" thickBot="1">
      <c r="B63" s="70" t="s">
        <v>145</v>
      </c>
      <c r="C63" s="102" t="s">
        <v>146</v>
      </c>
      <c r="D63" s="26">
        <v>0</v>
      </c>
      <c r="E63" s="26">
        <v>0</v>
      </c>
      <c r="F63" s="26">
        <v>2</v>
      </c>
      <c r="G63" s="26">
        <v>24.51</v>
      </c>
      <c r="H63" s="26">
        <v>5.15</v>
      </c>
      <c r="I63" s="26">
        <v>2.2000000000000002</v>
      </c>
      <c r="J63" s="103">
        <v>8.89</v>
      </c>
      <c r="K63" s="26">
        <v>0.59</v>
      </c>
      <c r="L63" s="26">
        <v>0</v>
      </c>
      <c r="M63" s="105">
        <v>0</v>
      </c>
      <c r="N63" s="26">
        <v>0.55000000000000004</v>
      </c>
      <c r="O63" s="103">
        <v>0.78</v>
      </c>
      <c r="P63" s="89">
        <f t="shared" si="0"/>
        <v>44.670000000000009</v>
      </c>
      <c r="Q63" s="73"/>
      <c r="R63" s="73"/>
    </row>
    <row r="64" spans="2:18">
      <c r="B64" s="70" t="s">
        <v>87</v>
      </c>
      <c r="C64" s="101" t="s">
        <v>147</v>
      </c>
      <c r="D64" s="18">
        <v>0</v>
      </c>
      <c r="E64" s="18">
        <v>0</v>
      </c>
      <c r="F64" s="18">
        <v>1</v>
      </c>
      <c r="G64" s="18">
        <v>13.67</v>
      </c>
      <c r="H64" s="18">
        <v>0</v>
      </c>
      <c r="I64" s="18">
        <v>1</v>
      </c>
      <c r="J64" s="18">
        <v>9</v>
      </c>
      <c r="K64" s="18">
        <v>0</v>
      </c>
      <c r="L64" s="18">
        <v>0</v>
      </c>
      <c r="M64" s="106">
        <v>0</v>
      </c>
      <c r="N64" s="18">
        <v>0</v>
      </c>
      <c r="O64" s="57">
        <v>0</v>
      </c>
      <c r="P64" s="89">
        <f t="shared" si="0"/>
        <v>24.67</v>
      </c>
      <c r="Q64" s="73"/>
      <c r="R64" s="73"/>
    </row>
    <row r="65" spans="2:18">
      <c r="B65" s="70" t="s">
        <v>88</v>
      </c>
      <c r="C65" s="71" t="s">
        <v>148</v>
      </c>
      <c r="D65" s="22">
        <v>0</v>
      </c>
      <c r="E65" s="22">
        <v>0</v>
      </c>
      <c r="F65" s="22">
        <v>2</v>
      </c>
      <c r="G65" s="22">
        <v>24.4</v>
      </c>
      <c r="H65" s="22">
        <v>7.71</v>
      </c>
      <c r="I65" s="22">
        <v>3.71</v>
      </c>
      <c r="J65" s="22">
        <v>9.44</v>
      </c>
      <c r="K65" s="22">
        <v>0</v>
      </c>
      <c r="L65" s="22">
        <v>0</v>
      </c>
      <c r="M65" s="104">
        <v>0</v>
      </c>
      <c r="N65" s="22">
        <v>1</v>
      </c>
      <c r="O65" s="60">
        <v>0.5</v>
      </c>
      <c r="P65" s="89">
        <f t="shared" si="0"/>
        <v>48.76</v>
      </c>
      <c r="Q65" s="73"/>
      <c r="R65" s="73"/>
    </row>
    <row r="66" spans="2:18">
      <c r="B66" s="70" t="s">
        <v>89</v>
      </c>
      <c r="C66" s="71" t="s">
        <v>149</v>
      </c>
      <c r="D66" s="22">
        <v>0</v>
      </c>
      <c r="E66" s="22">
        <v>0</v>
      </c>
      <c r="F66" s="22">
        <v>3</v>
      </c>
      <c r="G66" s="22">
        <v>18.34</v>
      </c>
      <c r="H66" s="22">
        <v>11.95</v>
      </c>
      <c r="I66" s="22">
        <v>2</v>
      </c>
      <c r="J66" s="22">
        <v>8.4</v>
      </c>
      <c r="K66" s="22">
        <v>0</v>
      </c>
      <c r="L66" s="22">
        <v>0</v>
      </c>
      <c r="M66" s="104">
        <v>0</v>
      </c>
      <c r="N66" s="22">
        <v>1</v>
      </c>
      <c r="O66" s="60">
        <v>0</v>
      </c>
      <c r="P66" s="89">
        <f t="shared" si="0"/>
        <v>44.69</v>
      </c>
      <c r="Q66" s="73"/>
      <c r="R66" s="73"/>
    </row>
    <row r="67" spans="2:18">
      <c r="B67" s="70" t="s">
        <v>150</v>
      </c>
      <c r="C67" s="71" t="s">
        <v>151</v>
      </c>
      <c r="D67" s="22">
        <v>0</v>
      </c>
      <c r="E67" s="22">
        <v>0</v>
      </c>
      <c r="F67" s="22">
        <v>0</v>
      </c>
      <c r="G67" s="22">
        <v>0</v>
      </c>
      <c r="H67" s="22">
        <v>15.86</v>
      </c>
      <c r="I67" s="22">
        <v>0</v>
      </c>
      <c r="J67" s="22">
        <v>0.85</v>
      </c>
      <c r="K67" s="22">
        <v>0</v>
      </c>
      <c r="L67" s="22">
        <v>0</v>
      </c>
      <c r="M67" s="104">
        <v>1</v>
      </c>
      <c r="N67" s="22">
        <v>0</v>
      </c>
      <c r="O67" s="60">
        <v>0</v>
      </c>
      <c r="P67" s="89">
        <f t="shared" si="0"/>
        <v>17.71</v>
      </c>
      <c r="Q67" s="73"/>
      <c r="R67" s="73"/>
    </row>
    <row r="68" spans="2:18" ht="12.75" thickBot="1">
      <c r="B68" s="70">
        <v>97</v>
      </c>
      <c r="C68" s="102" t="s">
        <v>152</v>
      </c>
      <c r="D68" s="26">
        <v>0</v>
      </c>
      <c r="E68" s="26">
        <v>0</v>
      </c>
      <c r="F68" s="26">
        <v>0</v>
      </c>
      <c r="G68" s="26">
        <v>2.1</v>
      </c>
      <c r="H68" s="26">
        <v>13.06</v>
      </c>
      <c r="I68" s="26">
        <v>1</v>
      </c>
      <c r="J68" s="103">
        <v>2</v>
      </c>
      <c r="K68" s="26">
        <v>0</v>
      </c>
      <c r="L68" s="26">
        <v>0</v>
      </c>
      <c r="M68" s="105">
        <v>0</v>
      </c>
      <c r="N68" s="26">
        <v>0</v>
      </c>
      <c r="O68" s="103">
        <v>0</v>
      </c>
      <c r="P68" s="89">
        <f t="shared" si="0"/>
        <v>18.16</v>
      </c>
      <c r="Q68" s="73"/>
      <c r="R68" s="73"/>
    </row>
    <row r="69" spans="2:18">
      <c r="B69" s="70" t="s">
        <v>153</v>
      </c>
      <c r="C69" s="101" t="s">
        <v>154</v>
      </c>
      <c r="D69" s="18">
        <v>0</v>
      </c>
      <c r="E69" s="18">
        <v>0</v>
      </c>
      <c r="F69" s="18">
        <v>0</v>
      </c>
      <c r="G69" s="18">
        <v>2</v>
      </c>
      <c r="H69" s="18">
        <v>13.27</v>
      </c>
      <c r="I69" s="18">
        <v>1</v>
      </c>
      <c r="J69" s="18" t="s">
        <v>222</v>
      </c>
      <c r="K69" s="18">
        <v>0</v>
      </c>
      <c r="L69" s="18">
        <v>0</v>
      </c>
      <c r="M69" s="106">
        <v>0</v>
      </c>
      <c r="N69" s="18">
        <v>0</v>
      </c>
      <c r="O69" s="57" t="s">
        <v>222</v>
      </c>
      <c r="P69" s="89">
        <f t="shared" si="0"/>
        <v>16.27</v>
      </c>
      <c r="Q69" s="73"/>
      <c r="R69" s="73"/>
    </row>
    <row r="70" spans="2:18">
      <c r="B70" s="70" t="s">
        <v>90</v>
      </c>
      <c r="C70" s="71" t="s">
        <v>155</v>
      </c>
      <c r="D70" s="22">
        <v>0</v>
      </c>
      <c r="E70" s="22">
        <v>0</v>
      </c>
      <c r="F70" s="22">
        <v>0</v>
      </c>
      <c r="G70" s="22">
        <v>0</v>
      </c>
      <c r="H70" s="22">
        <v>5.23</v>
      </c>
      <c r="I70" s="22">
        <v>0.38</v>
      </c>
      <c r="J70" s="22">
        <v>0.38</v>
      </c>
      <c r="K70" s="22">
        <v>0</v>
      </c>
      <c r="L70" s="22">
        <v>0</v>
      </c>
      <c r="M70" s="104">
        <v>0.8</v>
      </c>
      <c r="N70" s="22">
        <v>0</v>
      </c>
      <c r="O70" s="60">
        <v>0</v>
      </c>
      <c r="P70" s="89">
        <f t="shared" si="0"/>
        <v>6.79</v>
      </c>
      <c r="Q70" s="73"/>
      <c r="R70" s="73"/>
    </row>
    <row r="71" spans="2:18">
      <c r="B71" s="70">
        <v>89</v>
      </c>
      <c r="C71" s="71" t="s">
        <v>156</v>
      </c>
      <c r="D71" s="22">
        <v>0</v>
      </c>
      <c r="E71" s="22">
        <v>0</v>
      </c>
      <c r="F71" s="22">
        <v>2</v>
      </c>
      <c r="G71" s="22">
        <v>13.5</v>
      </c>
      <c r="H71" s="22">
        <v>0</v>
      </c>
      <c r="I71" s="22">
        <v>1</v>
      </c>
      <c r="J71" s="22">
        <v>0</v>
      </c>
      <c r="K71" s="22">
        <v>0</v>
      </c>
      <c r="L71" s="22">
        <v>0</v>
      </c>
      <c r="M71" s="104">
        <v>0</v>
      </c>
      <c r="N71" s="22">
        <v>0</v>
      </c>
      <c r="O71" s="60">
        <v>0</v>
      </c>
      <c r="P71" s="89">
        <f t="shared" si="0"/>
        <v>16.5</v>
      </c>
      <c r="Q71" s="73"/>
      <c r="R71" s="73"/>
    </row>
    <row r="72" spans="2:18">
      <c r="B72" s="70" t="s">
        <v>91</v>
      </c>
      <c r="C72" s="71" t="s">
        <v>157</v>
      </c>
      <c r="D72" s="22">
        <v>0</v>
      </c>
      <c r="E72" s="22">
        <v>0</v>
      </c>
      <c r="F72" s="22">
        <v>0</v>
      </c>
      <c r="G72" s="22">
        <v>2</v>
      </c>
      <c r="H72" s="22">
        <v>4.97</v>
      </c>
      <c r="I72" s="22">
        <v>22.14</v>
      </c>
      <c r="J72" s="22">
        <v>41</v>
      </c>
      <c r="K72" s="22">
        <v>0</v>
      </c>
      <c r="L72" s="22">
        <v>0</v>
      </c>
      <c r="M72" s="104">
        <v>1</v>
      </c>
      <c r="N72" s="22">
        <v>0</v>
      </c>
      <c r="O72" s="60">
        <v>1</v>
      </c>
      <c r="P72" s="89">
        <f t="shared" si="0"/>
        <v>72.11</v>
      </c>
      <c r="Q72" s="73"/>
      <c r="R72" s="73"/>
    </row>
    <row r="73" spans="2:18" ht="12.75" thickBot="1">
      <c r="B73" s="70" t="s">
        <v>92</v>
      </c>
      <c r="C73" s="102" t="s">
        <v>158</v>
      </c>
      <c r="D73" s="26">
        <v>0</v>
      </c>
      <c r="E73" s="26">
        <v>0</v>
      </c>
      <c r="F73" s="26">
        <v>0</v>
      </c>
      <c r="G73" s="26">
        <v>0</v>
      </c>
      <c r="H73" s="26">
        <v>5.5</v>
      </c>
      <c r="I73" s="26">
        <v>0</v>
      </c>
      <c r="J73" s="103">
        <v>1</v>
      </c>
      <c r="K73" s="26">
        <v>0</v>
      </c>
      <c r="L73" s="26">
        <v>0</v>
      </c>
      <c r="M73" s="105">
        <v>2.25</v>
      </c>
      <c r="N73" s="26">
        <v>0</v>
      </c>
      <c r="O73" s="103">
        <v>0</v>
      </c>
      <c r="P73" s="89">
        <f t="shared" si="0"/>
        <v>8.75</v>
      </c>
      <c r="Q73" s="73"/>
      <c r="R73" s="73"/>
    </row>
    <row r="74" spans="2:18">
      <c r="B74" s="70" t="s">
        <v>93</v>
      </c>
      <c r="C74" s="101" t="s">
        <v>159</v>
      </c>
      <c r="D74" s="18">
        <v>0</v>
      </c>
      <c r="E74" s="18">
        <v>0</v>
      </c>
      <c r="F74" s="18">
        <v>2.5</v>
      </c>
      <c r="G74" s="18">
        <v>27.8</v>
      </c>
      <c r="H74" s="18">
        <v>14.43</v>
      </c>
      <c r="I74" s="18">
        <v>2.75</v>
      </c>
      <c r="J74" s="18">
        <v>18.5</v>
      </c>
      <c r="K74" s="18">
        <v>1.5</v>
      </c>
      <c r="L74" s="18">
        <v>0</v>
      </c>
      <c r="M74" s="106">
        <v>0</v>
      </c>
      <c r="N74" s="18">
        <v>1</v>
      </c>
      <c r="O74" s="57">
        <v>0</v>
      </c>
      <c r="P74" s="89">
        <f t="shared" ref="P74:P88" si="1">SUM(D74:O74)</f>
        <v>68.48</v>
      </c>
      <c r="Q74" s="73"/>
      <c r="R74" s="73"/>
    </row>
    <row r="75" spans="2:18">
      <c r="B75" s="70" t="s">
        <v>197</v>
      </c>
      <c r="C75" s="71" t="s">
        <v>198</v>
      </c>
      <c r="D75" s="22">
        <v>0</v>
      </c>
      <c r="E75" s="22">
        <v>0</v>
      </c>
      <c r="F75" s="22">
        <v>0</v>
      </c>
      <c r="G75" s="22">
        <v>0</v>
      </c>
      <c r="H75" s="22">
        <v>16.63</v>
      </c>
      <c r="I75" s="22">
        <v>0.87</v>
      </c>
      <c r="J75" s="22">
        <v>0.87</v>
      </c>
      <c r="K75" s="22">
        <v>0</v>
      </c>
      <c r="L75" s="22">
        <v>0</v>
      </c>
      <c r="M75" s="104">
        <v>1</v>
      </c>
      <c r="N75" s="22">
        <v>0</v>
      </c>
      <c r="O75" s="60">
        <v>0</v>
      </c>
      <c r="P75" s="89">
        <f t="shared" si="1"/>
        <v>19.37</v>
      </c>
      <c r="Q75" s="73"/>
      <c r="R75" s="73"/>
    </row>
    <row r="76" spans="2:18">
      <c r="B76" s="70" t="s">
        <v>94</v>
      </c>
      <c r="C76" s="71" t="s">
        <v>160</v>
      </c>
      <c r="D76" s="22">
        <v>0</v>
      </c>
      <c r="E76" s="22">
        <v>0</v>
      </c>
      <c r="F76" s="22">
        <v>3</v>
      </c>
      <c r="G76" s="22">
        <v>25.34</v>
      </c>
      <c r="H76" s="22">
        <v>14</v>
      </c>
      <c r="I76" s="22">
        <v>2.5</v>
      </c>
      <c r="J76" s="22">
        <v>10.69</v>
      </c>
      <c r="K76" s="22">
        <v>0</v>
      </c>
      <c r="L76" s="22">
        <v>0</v>
      </c>
      <c r="M76" s="104">
        <v>1</v>
      </c>
      <c r="N76" s="22">
        <v>0.25</v>
      </c>
      <c r="O76" s="60">
        <v>0.92</v>
      </c>
      <c r="P76" s="89">
        <f t="shared" si="1"/>
        <v>57.7</v>
      </c>
      <c r="Q76" s="73"/>
      <c r="R76" s="73"/>
    </row>
    <row r="77" spans="2:18">
      <c r="B77" s="70">
        <v>94</v>
      </c>
      <c r="C77" s="71" t="s">
        <v>220</v>
      </c>
      <c r="D77" s="22">
        <v>0</v>
      </c>
      <c r="E77" s="22">
        <v>0</v>
      </c>
      <c r="F77" s="22">
        <v>3</v>
      </c>
      <c r="G77" s="22">
        <v>29.55</v>
      </c>
      <c r="H77" s="22">
        <v>19.04</v>
      </c>
      <c r="I77" s="22">
        <v>4</v>
      </c>
      <c r="J77" s="22">
        <v>25.05</v>
      </c>
      <c r="K77" s="22">
        <v>0</v>
      </c>
      <c r="L77" s="22">
        <v>0</v>
      </c>
      <c r="M77" s="104">
        <v>1</v>
      </c>
      <c r="N77" s="22">
        <v>2</v>
      </c>
      <c r="O77" s="60">
        <v>0</v>
      </c>
      <c r="P77" s="89">
        <f t="shared" si="1"/>
        <v>83.64</v>
      </c>
      <c r="Q77" s="73"/>
      <c r="R77" s="73"/>
    </row>
    <row r="78" spans="2:18" ht="12.75" thickBot="1">
      <c r="B78" s="70">
        <v>95</v>
      </c>
      <c r="C78" s="102" t="s">
        <v>162</v>
      </c>
      <c r="D78" s="26">
        <v>0</v>
      </c>
      <c r="E78" s="26">
        <v>0</v>
      </c>
      <c r="F78" s="26">
        <v>1</v>
      </c>
      <c r="G78" s="26">
        <v>16.5</v>
      </c>
      <c r="H78" s="26">
        <v>4</v>
      </c>
      <c r="I78" s="26">
        <v>1</v>
      </c>
      <c r="J78" s="103">
        <v>2</v>
      </c>
      <c r="K78" s="26">
        <v>0</v>
      </c>
      <c r="L78" s="26">
        <v>0</v>
      </c>
      <c r="M78" s="105">
        <v>0</v>
      </c>
      <c r="N78" s="26">
        <v>0</v>
      </c>
      <c r="O78" s="103">
        <v>0</v>
      </c>
      <c r="P78" s="89">
        <f t="shared" si="1"/>
        <v>24.5</v>
      </c>
      <c r="Q78" s="73"/>
      <c r="R78" s="73"/>
    </row>
    <row r="79" spans="2:18">
      <c r="B79" s="70">
        <v>90</v>
      </c>
      <c r="C79" s="101" t="s">
        <v>163</v>
      </c>
      <c r="D79" s="18">
        <v>0</v>
      </c>
      <c r="E79" s="18">
        <v>0</v>
      </c>
      <c r="F79" s="18">
        <v>0</v>
      </c>
      <c r="G79" s="18">
        <v>0</v>
      </c>
      <c r="H79" s="18">
        <v>15.03</v>
      </c>
      <c r="I79" s="18">
        <v>0.25</v>
      </c>
      <c r="J79" s="18">
        <v>2</v>
      </c>
      <c r="K79" s="18">
        <v>0.5</v>
      </c>
      <c r="L79" s="18">
        <v>0</v>
      </c>
      <c r="M79" s="106">
        <v>1.3</v>
      </c>
      <c r="N79" s="18">
        <v>0.83</v>
      </c>
      <c r="O79" s="57">
        <v>0</v>
      </c>
      <c r="P79" s="89">
        <f t="shared" si="1"/>
        <v>19.91</v>
      </c>
      <c r="Q79" s="73"/>
      <c r="R79" s="73"/>
    </row>
    <row r="80" spans="2:18">
      <c r="B80" s="70">
        <v>92</v>
      </c>
      <c r="C80" s="71" t="s">
        <v>164</v>
      </c>
      <c r="D80" s="22">
        <v>0</v>
      </c>
      <c r="E80" s="22">
        <v>0</v>
      </c>
      <c r="F80" s="22">
        <v>0</v>
      </c>
      <c r="G80" s="22">
        <v>0</v>
      </c>
      <c r="H80" s="22">
        <v>6.17</v>
      </c>
      <c r="I80" s="22">
        <v>1</v>
      </c>
      <c r="J80" s="22">
        <v>2</v>
      </c>
      <c r="K80" s="22">
        <v>0</v>
      </c>
      <c r="L80" s="22">
        <v>0</v>
      </c>
      <c r="M80" s="104">
        <v>1</v>
      </c>
      <c r="N80" s="22">
        <v>0</v>
      </c>
      <c r="O80" s="60">
        <v>0</v>
      </c>
      <c r="P80" s="89">
        <f t="shared" si="1"/>
        <v>10.17</v>
      </c>
      <c r="Q80" s="73"/>
      <c r="R80" s="73"/>
    </row>
    <row r="81" spans="2:18">
      <c r="B81" s="70" t="s">
        <v>210</v>
      </c>
      <c r="C81" s="71" t="s">
        <v>211</v>
      </c>
      <c r="D81" s="22">
        <v>0</v>
      </c>
      <c r="E81" s="22">
        <v>0</v>
      </c>
      <c r="F81" s="22">
        <v>0.19</v>
      </c>
      <c r="G81" s="22">
        <v>2.76</v>
      </c>
      <c r="H81" s="22">
        <v>3.7</v>
      </c>
      <c r="I81" s="22">
        <v>1</v>
      </c>
      <c r="J81" s="22">
        <v>0</v>
      </c>
      <c r="K81" s="22">
        <v>0</v>
      </c>
      <c r="L81" s="22">
        <v>0</v>
      </c>
      <c r="M81" s="104">
        <v>0</v>
      </c>
      <c r="N81" s="22">
        <v>0</v>
      </c>
      <c r="O81" s="60">
        <v>0</v>
      </c>
      <c r="P81" s="89">
        <f t="shared" si="1"/>
        <v>7.65</v>
      </c>
      <c r="Q81" s="73"/>
      <c r="R81" s="73"/>
    </row>
    <row r="82" spans="2:18">
      <c r="B82" s="70" t="s">
        <v>95</v>
      </c>
      <c r="C82" s="71" t="s">
        <v>165</v>
      </c>
      <c r="D82" s="22">
        <v>0</v>
      </c>
      <c r="E82" s="22">
        <v>0</v>
      </c>
      <c r="F82" s="22">
        <v>0</v>
      </c>
      <c r="G82" s="22">
        <v>0</v>
      </c>
      <c r="H82" s="22">
        <v>11.17</v>
      </c>
      <c r="I82" s="22">
        <v>0.5</v>
      </c>
      <c r="J82" s="22">
        <v>1.5</v>
      </c>
      <c r="K82" s="22">
        <v>0</v>
      </c>
      <c r="L82" s="22">
        <v>0</v>
      </c>
      <c r="M82" s="104">
        <v>3.21</v>
      </c>
      <c r="N82" s="22">
        <v>0</v>
      </c>
      <c r="O82" s="60">
        <v>0</v>
      </c>
      <c r="P82" s="89">
        <f t="shared" si="1"/>
        <v>16.38</v>
      </c>
      <c r="Q82" s="73"/>
      <c r="R82" s="73"/>
    </row>
    <row r="83" spans="2:18" ht="12.75" thickBot="1">
      <c r="B83" s="70" t="s">
        <v>166</v>
      </c>
      <c r="C83" s="102" t="s">
        <v>167</v>
      </c>
      <c r="D83" s="26">
        <v>0</v>
      </c>
      <c r="E83" s="26">
        <v>0</v>
      </c>
      <c r="F83" s="26">
        <v>1</v>
      </c>
      <c r="G83" s="26">
        <v>15.75</v>
      </c>
      <c r="H83" s="26">
        <v>22.15</v>
      </c>
      <c r="I83" s="26">
        <v>9.5</v>
      </c>
      <c r="J83" s="103">
        <v>8</v>
      </c>
      <c r="K83" s="26">
        <v>2</v>
      </c>
      <c r="L83" s="26">
        <v>0</v>
      </c>
      <c r="M83" s="105">
        <v>1</v>
      </c>
      <c r="N83" s="26">
        <v>0</v>
      </c>
      <c r="O83" s="103">
        <v>0</v>
      </c>
      <c r="P83" s="89">
        <f t="shared" si="1"/>
        <v>59.4</v>
      </c>
      <c r="Q83" s="73"/>
      <c r="R83" s="73"/>
    </row>
    <row r="84" spans="2:18">
      <c r="B84" s="70" t="s">
        <v>168</v>
      </c>
      <c r="C84" s="101" t="s">
        <v>169</v>
      </c>
      <c r="D84" s="18">
        <v>0</v>
      </c>
      <c r="E84" s="18">
        <v>0</v>
      </c>
      <c r="F84" s="18">
        <v>0.5</v>
      </c>
      <c r="G84" s="18">
        <v>11.5</v>
      </c>
      <c r="H84" s="18">
        <v>9</v>
      </c>
      <c r="I84" s="18">
        <v>2</v>
      </c>
      <c r="J84" s="18">
        <v>8.6999999999999993</v>
      </c>
      <c r="K84" s="18">
        <v>0</v>
      </c>
      <c r="L84" s="18">
        <v>0</v>
      </c>
      <c r="M84" s="106">
        <v>0</v>
      </c>
      <c r="N84" s="18">
        <v>0</v>
      </c>
      <c r="O84" s="57">
        <v>0</v>
      </c>
      <c r="P84" s="89">
        <f t="shared" si="1"/>
        <v>31.7</v>
      </c>
      <c r="Q84" s="73"/>
      <c r="R84" s="73"/>
    </row>
    <row r="85" spans="2:18" s="34" customFormat="1">
      <c r="B85" s="70" t="s">
        <v>184</v>
      </c>
      <c r="C85" s="71" t="s">
        <v>199</v>
      </c>
      <c r="D85" s="22">
        <v>0</v>
      </c>
      <c r="E85" s="22">
        <v>0</v>
      </c>
      <c r="F85" s="22">
        <v>1</v>
      </c>
      <c r="G85" s="22">
        <v>26.13</v>
      </c>
      <c r="H85" s="22">
        <v>6.2</v>
      </c>
      <c r="I85" s="22">
        <v>3</v>
      </c>
      <c r="J85" s="22" t="s">
        <v>222</v>
      </c>
      <c r="K85" s="22">
        <v>0</v>
      </c>
      <c r="L85" s="22">
        <v>0.63</v>
      </c>
      <c r="M85" s="104">
        <v>0</v>
      </c>
      <c r="N85" s="22">
        <v>1</v>
      </c>
      <c r="O85" s="60" t="s">
        <v>222</v>
      </c>
      <c r="P85" s="89">
        <f t="shared" si="1"/>
        <v>37.96</v>
      </c>
      <c r="Q85" s="73"/>
      <c r="R85" s="73"/>
    </row>
    <row r="86" spans="2:18">
      <c r="B86" s="70">
        <v>81</v>
      </c>
      <c r="C86" s="71" t="s">
        <v>170</v>
      </c>
      <c r="D86" s="22">
        <v>0</v>
      </c>
      <c r="E86" s="22">
        <v>0</v>
      </c>
      <c r="F86" s="22">
        <v>2</v>
      </c>
      <c r="G86" s="22">
        <v>5.46</v>
      </c>
      <c r="H86" s="22">
        <v>14.7</v>
      </c>
      <c r="I86" s="22">
        <v>1.5</v>
      </c>
      <c r="J86" s="22">
        <v>13.92</v>
      </c>
      <c r="K86" s="22">
        <v>0</v>
      </c>
      <c r="L86" s="22">
        <v>0</v>
      </c>
      <c r="M86" s="104">
        <v>0.45</v>
      </c>
      <c r="N86" s="22">
        <v>0</v>
      </c>
      <c r="O86" s="60">
        <v>0</v>
      </c>
      <c r="P86" s="89">
        <f t="shared" si="1"/>
        <v>38.03</v>
      </c>
      <c r="Q86" s="73"/>
      <c r="R86" s="73"/>
    </row>
    <row r="87" spans="2:18">
      <c r="B87" s="70" t="s">
        <v>96</v>
      </c>
      <c r="C87" s="71" t="s">
        <v>171</v>
      </c>
      <c r="D87" s="22">
        <v>0</v>
      </c>
      <c r="E87" s="22">
        <v>0</v>
      </c>
      <c r="F87" s="22">
        <v>1</v>
      </c>
      <c r="G87" s="22">
        <v>15.6</v>
      </c>
      <c r="H87" s="22">
        <v>0</v>
      </c>
      <c r="I87" s="22">
        <v>1</v>
      </c>
      <c r="J87" s="22">
        <v>11.79</v>
      </c>
      <c r="K87" s="22">
        <v>0</v>
      </c>
      <c r="L87" s="22">
        <v>0</v>
      </c>
      <c r="M87" s="104">
        <v>0</v>
      </c>
      <c r="N87" s="22">
        <v>0</v>
      </c>
      <c r="O87" s="60">
        <v>0.45</v>
      </c>
      <c r="P87" s="89">
        <f t="shared" si="1"/>
        <v>29.84</v>
      </c>
      <c r="Q87" s="73"/>
      <c r="R87" s="73"/>
    </row>
    <row r="88" spans="2:18" ht="12.75" thickBot="1">
      <c r="B88" s="70" t="s">
        <v>200</v>
      </c>
      <c r="C88" s="102" t="s">
        <v>201</v>
      </c>
      <c r="D88" s="26">
        <v>0</v>
      </c>
      <c r="E88" s="26">
        <v>0</v>
      </c>
      <c r="F88" s="26">
        <v>2</v>
      </c>
      <c r="G88" s="26">
        <v>19.149999999999999</v>
      </c>
      <c r="H88" s="26">
        <v>7.93</v>
      </c>
      <c r="I88" s="26">
        <v>1</v>
      </c>
      <c r="J88" s="103">
        <v>5</v>
      </c>
      <c r="K88" s="26">
        <v>0</v>
      </c>
      <c r="L88" s="26">
        <v>0</v>
      </c>
      <c r="M88" s="105">
        <v>0</v>
      </c>
      <c r="N88" s="26">
        <v>0.5</v>
      </c>
      <c r="O88" s="103">
        <v>0.5</v>
      </c>
      <c r="P88" s="89">
        <f t="shared" si="1"/>
        <v>36.08</v>
      </c>
      <c r="Q88" s="73"/>
      <c r="R88" s="73"/>
    </row>
    <row r="89" spans="2:18" ht="12.75" thickBot="1">
      <c r="C89" s="75" t="s">
        <v>212</v>
      </c>
      <c r="D89" s="107">
        <f>SUM(D9:D88)</f>
        <v>2</v>
      </c>
      <c r="E89" s="107">
        <f t="shared" ref="E89:O89" si="2">SUM(E9:E88)</f>
        <v>0</v>
      </c>
      <c r="F89" s="107">
        <f t="shared" si="2"/>
        <v>102.23</v>
      </c>
      <c r="G89" s="107">
        <f t="shared" si="2"/>
        <v>953.16999999999985</v>
      </c>
      <c r="H89" s="107">
        <f t="shared" si="2"/>
        <v>808.4899999999999</v>
      </c>
      <c r="I89" s="107">
        <f t="shared" si="2"/>
        <v>157.07</v>
      </c>
      <c r="J89" s="107">
        <f>SUM(J9:J88)</f>
        <v>592.35</v>
      </c>
      <c r="K89" s="107">
        <f t="shared" si="2"/>
        <v>30.64</v>
      </c>
      <c r="L89" s="107">
        <f t="shared" si="2"/>
        <v>7.02</v>
      </c>
      <c r="M89" s="108">
        <f t="shared" si="2"/>
        <v>43.120000000000005</v>
      </c>
      <c r="N89" s="107">
        <f t="shared" si="2"/>
        <v>28.13</v>
      </c>
      <c r="O89" s="109">
        <f t="shared" si="2"/>
        <v>14.249999999999998</v>
      </c>
      <c r="P89" s="90"/>
    </row>
    <row r="90" spans="2:18">
      <c r="C90" s="82" t="s">
        <v>224</v>
      </c>
      <c r="O90" s="77"/>
      <c r="P90" s="77"/>
    </row>
    <row r="91" spans="2:18">
      <c r="C91" s="82" t="s">
        <v>226</v>
      </c>
      <c r="I91" s="78"/>
      <c r="J91" s="78"/>
      <c r="K91" s="78"/>
      <c r="L91" s="78"/>
      <c r="M91" s="78"/>
      <c r="N91" s="78"/>
      <c r="O91" s="78"/>
      <c r="P91" s="78"/>
    </row>
    <row r="92" spans="2:18">
      <c r="I92" s="78"/>
      <c r="J92" s="77"/>
      <c r="K92" s="78"/>
      <c r="L92" s="78"/>
      <c r="M92" s="78"/>
      <c r="N92" s="78"/>
      <c r="O92" s="78"/>
      <c r="P92" s="78"/>
    </row>
    <row r="93" spans="2:18">
      <c r="I93" s="78"/>
      <c r="J93" s="78"/>
      <c r="K93" s="78"/>
      <c r="L93" s="78"/>
      <c r="M93" s="78"/>
      <c r="N93" s="78"/>
      <c r="O93" s="77"/>
      <c r="P93" s="77"/>
    </row>
  </sheetData>
  <sortState ref="C7:P64">
    <sortCondition ref="C7:C64"/>
  </sortState>
  <mergeCells count="17">
    <mergeCell ref="C1:O1"/>
    <mergeCell ref="C2:O2"/>
    <mergeCell ref="C3:O3"/>
    <mergeCell ref="D4:K4"/>
    <mergeCell ref="L4:O4"/>
    <mergeCell ref="O5:O7"/>
    <mergeCell ref="D6:E6"/>
    <mergeCell ref="F6:F7"/>
    <mergeCell ref="G6:G7"/>
    <mergeCell ref="H6:H7"/>
    <mergeCell ref="I6:I7"/>
    <mergeCell ref="D5:I5"/>
    <mergeCell ref="J5:J7"/>
    <mergeCell ref="K5:K7"/>
    <mergeCell ref="L5:L7"/>
    <mergeCell ref="M5:M7"/>
    <mergeCell ref="N5:N7"/>
  </mergeCells>
  <printOptions horizontalCentered="1" verticalCentered="1"/>
  <pageMargins left="0.25" right="0.25" top="0.67" bottom="0.57999999999999996" header="0.3" footer="0.3"/>
  <pageSetup scale="48" orientation="landscape" r:id="rId1"/>
  <headerFooter>
    <oddHeader xml:space="preserve">&amp;C&amp;"-,Bold"&amp;14Full-Time Equivalent (FTE) Licensed and Classified Staff by Position
Charter Schools, FY 2012&amp;"-,Regular"&amp;11
</oddHeader>
    <oddFooter>&amp;L&amp;"Arial,Regular"&amp;8DATA SOURCE: CACTUS Database (Educator FTEs by Position Report); Year End Web Survey (Classified Staff Report).
EXTRACTED AND PREPARED BY: Data and Statistics (K. Campbell); EDITED BY: Data and Statistics (R. Raphael).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99"/>
  <sheetViews>
    <sheetView tabSelected="1" zoomScaleNormal="100" workbookViewId="0">
      <pane xSplit="2" ySplit="7" topLeftCell="C88" activePane="bottomRight" state="frozen"/>
      <selection pane="topRight" activeCell="C1" sqref="C1"/>
      <selection pane="bottomLeft" activeCell="A9" sqref="A9"/>
      <selection pane="bottomRight" activeCell="B38" sqref="B38"/>
    </sheetView>
  </sheetViews>
  <sheetFormatPr defaultColWidth="9.140625" defaultRowHeight="12"/>
  <cols>
    <col min="1" max="1" width="3.140625" style="11" bestFit="1" customWidth="1"/>
    <col min="2" max="2" width="58.5703125" style="83" customWidth="1"/>
    <col min="3" max="12" width="12.7109375" style="11" customWidth="1"/>
    <col min="13" max="13" width="12.7109375" style="34" customWidth="1"/>
    <col min="14" max="14" width="9.7109375" style="9" bestFit="1" customWidth="1"/>
    <col min="15" max="15" width="9.140625" style="9"/>
    <col min="16" max="16384" width="9.140625" style="11"/>
  </cols>
  <sheetData>
    <row r="1" spans="1:15">
      <c r="A1" s="9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91"/>
    </row>
    <row r="2" spans="1:15">
      <c r="A2" s="9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92"/>
    </row>
    <row r="3" spans="1:15" ht="12.75" thickBot="1">
      <c r="A3" s="9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91"/>
    </row>
    <row r="4" spans="1:15" ht="18" customHeight="1" thickBot="1">
      <c r="A4" s="9"/>
      <c r="B4" s="157" t="s">
        <v>0</v>
      </c>
      <c r="C4" s="159" t="s">
        <v>2</v>
      </c>
      <c r="D4" s="160"/>
      <c r="E4" s="160"/>
      <c r="F4" s="160"/>
      <c r="G4" s="160"/>
      <c r="H4" s="160"/>
      <c r="I4" s="160"/>
      <c r="J4" s="160"/>
      <c r="K4" s="160"/>
      <c r="L4" s="161"/>
      <c r="M4" s="162" t="s">
        <v>54</v>
      </c>
      <c r="N4" s="12"/>
    </row>
    <row r="5" spans="1:15" ht="13.5" customHeight="1" thickBot="1">
      <c r="A5" s="9"/>
      <c r="B5" s="158"/>
      <c r="C5" s="165" t="s">
        <v>55</v>
      </c>
      <c r="D5" s="166"/>
      <c r="E5" s="169" t="s">
        <v>97</v>
      </c>
      <c r="F5" s="169" t="s">
        <v>229</v>
      </c>
      <c r="G5" s="169" t="s">
        <v>98</v>
      </c>
      <c r="H5" s="171" t="s">
        <v>99</v>
      </c>
      <c r="I5" s="172"/>
      <c r="J5" s="172"/>
      <c r="K5" s="173"/>
      <c r="L5" s="111"/>
      <c r="M5" s="163"/>
      <c r="N5" s="12"/>
    </row>
    <row r="6" spans="1:15" ht="36.75" thickBot="1">
      <c r="A6" s="9"/>
      <c r="B6" s="158"/>
      <c r="C6" s="167"/>
      <c r="D6" s="168"/>
      <c r="E6" s="170"/>
      <c r="F6" s="170"/>
      <c r="G6" s="170"/>
      <c r="H6" s="112" t="s">
        <v>172</v>
      </c>
      <c r="I6" s="113" t="s">
        <v>102</v>
      </c>
      <c r="J6" s="112" t="s">
        <v>103</v>
      </c>
      <c r="K6" s="114" t="s">
        <v>101</v>
      </c>
      <c r="L6" s="115" t="s">
        <v>100</v>
      </c>
      <c r="M6" s="163"/>
      <c r="N6" s="12"/>
    </row>
    <row r="7" spans="1:15" ht="36.75" thickBot="1">
      <c r="A7" s="9"/>
      <c r="B7" s="158"/>
      <c r="C7" s="116" t="s">
        <v>9</v>
      </c>
      <c r="D7" s="116" t="s">
        <v>10</v>
      </c>
      <c r="E7" s="116" t="s">
        <v>10</v>
      </c>
      <c r="F7" s="116" t="s">
        <v>9</v>
      </c>
      <c r="G7" s="116" t="s">
        <v>10</v>
      </c>
      <c r="H7" s="116" t="s">
        <v>9</v>
      </c>
      <c r="I7" s="116" t="s">
        <v>10</v>
      </c>
      <c r="J7" s="116" t="s">
        <v>10</v>
      </c>
      <c r="K7" s="116" t="s">
        <v>10</v>
      </c>
      <c r="L7" s="116" t="s">
        <v>10</v>
      </c>
      <c r="M7" s="164"/>
      <c r="N7" s="12"/>
    </row>
    <row r="8" spans="1:15" ht="10.9" customHeight="1">
      <c r="A8" s="50">
        <v>83</v>
      </c>
      <c r="B8" s="46" t="s">
        <v>104</v>
      </c>
      <c r="C8" s="18">
        <v>0</v>
      </c>
      <c r="D8" s="18">
        <v>0.25</v>
      </c>
      <c r="E8" s="18">
        <v>1.17</v>
      </c>
      <c r="F8" s="18">
        <v>1</v>
      </c>
      <c r="G8" s="18">
        <v>1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f>SUM(N8:O8)</f>
        <v>29.990000000000002</v>
      </c>
      <c r="N8" s="50">
        <f>'instruction-charters'!P9</f>
        <v>26.57</v>
      </c>
      <c r="O8" s="66">
        <f>SUM(C8:L8)</f>
        <v>3.42</v>
      </c>
    </row>
    <row r="9" spans="1:15" ht="10.9" customHeight="1">
      <c r="A9" s="50" t="s">
        <v>202</v>
      </c>
      <c r="B9" s="47" t="s">
        <v>203</v>
      </c>
      <c r="C9" s="22">
        <v>1</v>
      </c>
      <c r="D9" s="22">
        <v>0</v>
      </c>
      <c r="E9" s="22">
        <v>0</v>
      </c>
      <c r="F9" s="22">
        <v>0</v>
      </c>
      <c r="G9" s="22">
        <v>3</v>
      </c>
      <c r="H9" s="22">
        <v>0</v>
      </c>
      <c r="I9" s="22">
        <v>0</v>
      </c>
      <c r="J9" s="22">
        <v>0</v>
      </c>
      <c r="K9" s="22">
        <v>0</v>
      </c>
      <c r="L9" s="22">
        <v>2.5</v>
      </c>
      <c r="M9" s="22">
        <f t="shared" ref="M9:M72" si="0">SUM(N9:O9)</f>
        <v>29.5</v>
      </c>
      <c r="N9" s="50">
        <f>'instruction-charters'!P10</f>
        <v>23</v>
      </c>
      <c r="O9" s="66">
        <f t="shared" ref="O9:O72" si="1">SUM(C9:L9)</f>
        <v>6.5</v>
      </c>
    </row>
    <row r="10" spans="1:15" ht="10.9" customHeight="1">
      <c r="A10" s="50" t="s">
        <v>57</v>
      </c>
      <c r="B10" s="47" t="s">
        <v>105</v>
      </c>
      <c r="C10" s="22">
        <v>1</v>
      </c>
      <c r="D10" s="22">
        <v>0</v>
      </c>
      <c r="E10" s="22">
        <v>0</v>
      </c>
      <c r="F10" s="22">
        <v>3.5</v>
      </c>
      <c r="G10" s="22">
        <v>10</v>
      </c>
      <c r="H10" s="22">
        <v>0</v>
      </c>
      <c r="I10" s="22">
        <v>0</v>
      </c>
      <c r="J10" s="22">
        <v>0</v>
      </c>
      <c r="K10" s="22">
        <v>1</v>
      </c>
      <c r="L10" s="22">
        <v>10</v>
      </c>
      <c r="M10" s="22">
        <f t="shared" si="0"/>
        <v>120.94999999999999</v>
      </c>
      <c r="N10" s="50">
        <f>'instruction-charters'!P11</f>
        <v>95.449999999999989</v>
      </c>
      <c r="O10" s="66">
        <f t="shared" si="1"/>
        <v>25.5</v>
      </c>
    </row>
    <row r="11" spans="1:15" ht="10.9" customHeight="1">
      <c r="A11" s="50">
        <v>74</v>
      </c>
      <c r="B11" s="47" t="s">
        <v>106</v>
      </c>
      <c r="C11" s="22">
        <v>3.1</v>
      </c>
      <c r="D11" s="22">
        <v>0</v>
      </c>
      <c r="E11" s="22">
        <v>0</v>
      </c>
      <c r="F11" s="22">
        <v>7</v>
      </c>
      <c r="G11" s="22">
        <v>0</v>
      </c>
      <c r="H11" s="22">
        <v>2.36</v>
      </c>
      <c r="I11" s="22">
        <v>0</v>
      </c>
      <c r="J11" s="22">
        <v>0</v>
      </c>
      <c r="K11" s="22">
        <v>0</v>
      </c>
      <c r="L11" s="22">
        <v>0</v>
      </c>
      <c r="M11" s="22">
        <f t="shared" si="0"/>
        <v>96.63</v>
      </c>
      <c r="N11" s="50">
        <f>'instruction-charters'!P12</f>
        <v>84.17</v>
      </c>
      <c r="O11" s="66">
        <f t="shared" si="1"/>
        <v>12.459999999999999</v>
      </c>
    </row>
    <row r="12" spans="1:15" ht="10.9" customHeight="1" thickBot="1">
      <c r="A12" s="50" t="s">
        <v>204</v>
      </c>
      <c r="B12" s="48" t="s">
        <v>205</v>
      </c>
      <c r="C12" s="26">
        <v>0</v>
      </c>
      <c r="D12" s="103" t="s">
        <v>222</v>
      </c>
      <c r="E12" s="103" t="s">
        <v>222</v>
      </c>
      <c r="F12" s="26">
        <v>0.5</v>
      </c>
      <c r="G12" s="103" t="s">
        <v>222</v>
      </c>
      <c r="H12" s="26">
        <v>0</v>
      </c>
      <c r="I12" s="103" t="s">
        <v>222</v>
      </c>
      <c r="J12" s="103" t="s">
        <v>222</v>
      </c>
      <c r="K12" s="103" t="s">
        <v>222</v>
      </c>
      <c r="L12" s="103" t="s">
        <v>222</v>
      </c>
      <c r="M12" s="103">
        <f t="shared" si="0"/>
        <v>0.5</v>
      </c>
      <c r="N12" s="50">
        <f>'instruction-charters'!P13</f>
        <v>0</v>
      </c>
      <c r="O12" s="66">
        <f t="shared" si="1"/>
        <v>0.5</v>
      </c>
    </row>
    <row r="13" spans="1:15" ht="10.9" customHeight="1">
      <c r="A13" s="50" t="s">
        <v>186</v>
      </c>
      <c r="B13" s="46" t="s">
        <v>187</v>
      </c>
      <c r="C13" s="18">
        <v>1</v>
      </c>
      <c r="D13" s="18">
        <v>0</v>
      </c>
      <c r="E13" s="18">
        <v>0.25</v>
      </c>
      <c r="F13" s="18">
        <v>0</v>
      </c>
      <c r="G13" s="18">
        <v>1</v>
      </c>
      <c r="H13" s="18">
        <v>0</v>
      </c>
      <c r="I13" s="18">
        <v>0</v>
      </c>
      <c r="J13" s="18">
        <v>0</v>
      </c>
      <c r="K13" s="18">
        <v>0</v>
      </c>
      <c r="L13" s="18">
        <v>2.25</v>
      </c>
      <c r="M13" s="18">
        <f t="shared" si="0"/>
        <v>18.259999999999998</v>
      </c>
      <c r="N13" s="50">
        <f>'instruction-charters'!P14</f>
        <v>13.76</v>
      </c>
      <c r="O13" s="66">
        <f t="shared" si="1"/>
        <v>4.5</v>
      </c>
    </row>
    <row r="14" spans="1:15" ht="10.9" customHeight="1">
      <c r="A14" s="50" t="s">
        <v>58</v>
      </c>
      <c r="B14" s="47" t="s">
        <v>107</v>
      </c>
      <c r="C14" s="22">
        <v>1.8</v>
      </c>
      <c r="D14" s="22">
        <v>0</v>
      </c>
      <c r="E14" s="22">
        <v>0</v>
      </c>
      <c r="F14" s="22">
        <v>0</v>
      </c>
      <c r="G14" s="22">
        <v>2.09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f t="shared" si="0"/>
        <v>16.599999999999998</v>
      </c>
      <c r="N14" s="50">
        <f>'instruction-charters'!P15</f>
        <v>12.709999999999999</v>
      </c>
      <c r="O14" s="66">
        <f t="shared" si="1"/>
        <v>3.8899999999999997</v>
      </c>
    </row>
    <row r="15" spans="1:15" ht="10.9" customHeight="1">
      <c r="A15" s="50" t="s">
        <v>59</v>
      </c>
      <c r="B15" s="47" t="s">
        <v>108</v>
      </c>
      <c r="C15" s="22">
        <v>0.67</v>
      </c>
      <c r="D15" s="22">
        <v>0</v>
      </c>
      <c r="E15" s="22">
        <v>0</v>
      </c>
      <c r="F15" s="22">
        <v>1</v>
      </c>
      <c r="G15" s="22">
        <v>0</v>
      </c>
      <c r="H15" s="22">
        <v>0.53</v>
      </c>
      <c r="I15" s="22">
        <v>0</v>
      </c>
      <c r="J15" s="22">
        <v>0</v>
      </c>
      <c r="K15" s="22">
        <v>0</v>
      </c>
      <c r="L15" s="22">
        <v>0</v>
      </c>
      <c r="M15" s="22">
        <f t="shared" si="0"/>
        <v>24.529999999999998</v>
      </c>
      <c r="N15" s="50">
        <f>'instruction-charters'!P16</f>
        <v>22.33</v>
      </c>
      <c r="O15" s="66">
        <f t="shared" si="1"/>
        <v>2.2000000000000002</v>
      </c>
    </row>
    <row r="16" spans="1:15" ht="10.9" customHeight="1">
      <c r="A16" s="50" t="s">
        <v>60</v>
      </c>
      <c r="B16" s="47" t="s">
        <v>109</v>
      </c>
      <c r="C16" s="22">
        <v>0</v>
      </c>
      <c r="D16" s="22">
        <v>1</v>
      </c>
      <c r="E16" s="22">
        <v>1.5</v>
      </c>
      <c r="F16" s="22">
        <v>2.25</v>
      </c>
      <c r="G16" s="22">
        <v>2</v>
      </c>
      <c r="H16" s="22">
        <v>1</v>
      </c>
      <c r="I16" s="22">
        <v>0</v>
      </c>
      <c r="J16" s="22">
        <v>1</v>
      </c>
      <c r="K16" s="22">
        <v>0</v>
      </c>
      <c r="L16" s="22">
        <v>3.4700000000000006</v>
      </c>
      <c r="M16" s="22">
        <f t="shared" si="0"/>
        <v>57.529999999999994</v>
      </c>
      <c r="N16" s="50">
        <f>'instruction-charters'!P17</f>
        <v>45.309999999999995</v>
      </c>
      <c r="O16" s="66">
        <f t="shared" si="1"/>
        <v>12.22</v>
      </c>
    </row>
    <row r="17" spans="1:15" ht="10.9" customHeight="1" thickBot="1">
      <c r="A17" s="50">
        <v>87</v>
      </c>
      <c r="B17" s="48" t="s">
        <v>110</v>
      </c>
      <c r="C17" s="26">
        <v>1</v>
      </c>
      <c r="D17" s="103">
        <v>1</v>
      </c>
      <c r="E17" s="103">
        <v>2</v>
      </c>
      <c r="F17" s="26">
        <v>0.9</v>
      </c>
      <c r="G17" s="103">
        <v>1.54</v>
      </c>
      <c r="H17" s="26">
        <v>0</v>
      </c>
      <c r="I17" s="103">
        <v>0</v>
      </c>
      <c r="J17" s="103">
        <v>0</v>
      </c>
      <c r="K17" s="103">
        <v>0</v>
      </c>
      <c r="L17" s="103">
        <v>1</v>
      </c>
      <c r="M17" s="103">
        <f t="shared" si="0"/>
        <v>22.63</v>
      </c>
      <c r="N17" s="50">
        <f>'instruction-charters'!P18</f>
        <v>15.19</v>
      </c>
      <c r="O17" s="66">
        <f t="shared" si="1"/>
        <v>7.44</v>
      </c>
    </row>
    <row r="18" spans="1:15" ht="10.9" customHeight="1">
      <c r="A18" s="50" t="s">
        <v>61</v>
      </c>
      <c r="B18" s="46" t="s">
        <v>230</v>
      </c>
      <c r="C18" s="18">
        <v>0.3</v>
      </c>
      <c r="D18" s="18">
        <v>0</v>
      </c>
      <c r="E18" s="18">
        <v>0</v>
      </c>
      <c r="F18" s="18">
        <v>0</v>
      </c>
      <c r="G18" s="18">
        <v>1</v>
      </c>
      <c r="H18" s="18">
        <v>0.6</v>
      </c>
      <c r="I18" s="18">
        <v>0</v>
      </c>
      <c r="J18" s="18">
        <v>0</v>
      </c>
      <c r="K18" s="18">
        <v>0</v>
      </c>
      <c r="L18" s="18">
        <v>3</v>
      </c>
      <c r="M18" s="18">
        <f t="shared" si="0"/>
        <v>24.700000000000003</v>
      </c>
      <c r="N18" s="50">
        <f>'instruction-charters'!P19</f>
        <v>19.8</v>
      </c>
      <c r="O18" s="66">
        <f t="shared" si="1"/>
        <v>4.9000000000000004</v>
      </c>
    </row>
    <row r="19" spans="1:15" ht="10.9" customHeight="1">
      <c r="A19" s="50" t="s">
        <v>62</v>
      </c>
      <c r="B19" s="47" t="s">
        <v>111</v>
      </c>
      <c r="C19" s="22">
        <v>0</v>
      </c>
      <c r="D19" s="22">
        <v>0</v>
      </c>
      <c r="E19" s="22">
        <v>0</v>
      </c>
      <c r="F19" s="22">
        <v>2</v>
      </c>
      <c r="G19" s="22">
        <v>1.9000000000000001</v>
      </c>
      <c r="H19" s="22">
        <v>0</v>
      </c>
      <c r="I19" s="22">
        <v>0</v>
      </c>
      <c r="J19" s="22">
        <v>0</v>
      </c>
      <c r="K19" s="22">
        <v>0</v>
      </c>
      <c r="L19" s="22">
        <v>3.73</v>
      </c>
      <c r="M19" s="22">
        <f t="shared" si="0"/>
        <v>36.729999999999997</v>
      </c>
      <c r="N19" s="50">
        <f>'instruction-charters'!P20</f>
        <v>29.099999999999998</v>
      </c>
      <c r="O19" s="66">
        <f t="shared" si="1"/>
        <v>7.6300000000000008</v>
      </c>
    </row>
    <row r="20" spans="1:15" ht="10.9" customHeight="1">
      <c r="A20" s="50" t="s">
        <v>63</v>
      </c>
      <c r="B20" s="47" t="s">
        <v>112</v>
      </c>
      <c r="C20" s="22">
        <v>0</v>
      </c>
      <c r="D20" s="22">
        <v>0</v>
      </c>
      <c r="E20" s="22">
        <v>1</v>
      </c>
      <c r="F20" s="22">
        <v>0.17</v>
      </c>
      <c r="G20" s="22">
        <v>1</v>
      </c>
      <c r="H20" s="22">
        <v>0</v>
      </c>
      <c r="I20" s="22">
        <v>0</v>
      </c>
      <c r="J20" s="22">
        <v>0</v>
      </c>
      <c r="K20" s="22">
        <v>0</v>
      </c>
      <c r="L20" s="22">
        <v>2</v>
      </c>
      <c r="M20" s="22">
        <f t="shared" si="0"/>
        <v>32.75</v>
      </c>
      <c r="N20" s="50">
        <f>'instruction-charters'!P21</f>
        <v>28.580000000000002</v>
      </c>
      <c r="O20" s="66">
        <f t="shared" si="1"/>
        <v>4.17</v>
      </c>
    </row>
    <row r="21" spans="1:15" ht="10.9" customHeight="1">
      <c r="A21" s="50" t="s">
        <v>174</v>
      </c>
      <c r="B21" s="47" t="s">
        <v>175</v>
      </c>
      <c r="C21" s="22">
        <v>0.5</v>
      </c>
      <c r="D21" s="22">
        <v>0</v>
      </c>
      <c r="E21" s="22">
        <v>0</v>
      </c>
      <c r="F21" s="22">
        <v>1.9</v>
      </c>
      <c r="G21" s="22">
        <v>2.48</v>
      </c>
      <c r="H21" s="22">
        <v>0.5</v>
      </c>
      <c r="I21" s="22">
        <v>0</v>
      </c>
      <c r="J21" s="22">
        <v>0</v>
      </c>
      <c r="K21" s="22">
        <v>0</v>
      </c>
      <c r="L21" s="22">
        <v>0</v>
      </c>
      <c r="M21" s="22">
        <f t="shared" si="0"/>
        <v>56.670000000000009</v>
      </c>
      <c r="N21" s="50">
        <f>'instruction-charters'!P22</f>
        <v>51.290000000000006</v>
      </c>
      <c r="O21" s="66">
        <f t="shared" si="1"/>
        <v>5.38</v>
      </c>
    </row>
    <row r="22" spans="1:15" ht="10.9" customHeight="1" thickBot="1">
      <c r="A22" s="50" t="s">
        <v>64</v>
      </c>
      <c r="B22" s="48" t="s">
        <v>113</v>
      </c>
      <c r="C22" s="26">
        <v>0</v>
      </c>
      <c r="D22" s="103">
        <v>0.5</v>
      </c>
      <c r="E22" s="103">
        <v>0.5</v>
      </c>
      <c r="F22" s="26">
        <v>0</v>
      </c>
      <c r="G22" s="103">
        <v>0</v>
      </c>
      <c r="H22" s="26">
        <v>0</v>
      </c>
      <c r="I22" s="103">
        <v>0</v>
      </c>
      <c r="J22" s="103">
        <v>0</v>
      </c>
      <c r="K22" s="103">
        <v>0</v>
      </c>
      <c r="L22" s="103">
        <v>1.3</v>
      </c>
      <c r="M22" s="103">
        <f t="shared" si="0"/>
        <v>24.28</v>
      </c>
      <c r="N22" s="50">
        <f>'instruction-charters'!P23</f>
        <v>21.98</v>
      </c>
      <c r="O22" s="66">
        <f t="shared" si="1"/>
        <v>2.2999999999999998</v>
      </c>
    </row>
    <row r="23" spans="1:15" ht="10.9" customHeight="1">
      <c r="A23" s="50" t="s">
        <v>65</v>
      </c>
      <c r="B23" s="46" t="s">
        <v>114</v>
      </c>
      <c r="C23" s="18">
        <v>0</v>
      </c>
      <c r="D23" s="18">
        <v>1</v>
      </c>
      <c r="E23" s="18">
        <v>1</v>
      </c>
      <c r="F23" s="18">
        <v>1.3</v>
      </c>
      <c r="G23" s="18">
        <v>1</v>
      </c>
      <c r="H23" s="18">
        <v>0.51</v>
      </c>
      <c r="I23" s="18">
        <v>0</v>
      </c>
      <c r="J23" s="18">
        <v>1</v>
      </c>
      <c r="K23" s="18">
        <v>0</v>
      </c>
      <c r="L23" s="18">
        <v>0.21999999999999997</v>
      </c>
      <c r="M23" s="18">
        <f t="shared" si="0"/>
        <v>26.590000000000003</v>
      </c>
      <c r="N23" s="50">
        <f>'instruction-charters'!P24</f>
        <v>20.560000000000002</v>
      </c>
      <c r="O23" s="66">
        <f t="shared" si="1"/>
        <v>6.0299999999999994</v>
      </c>
    </row>
    <row r="24" spans="1:15" ht="10.9" customHeight="1">
      <c r="A24" s="50" t="s">
        <v>206</v>
      </c>
      <c r="B24" s="47" t="s">
        <v>207</v>
      </c>
      <c r="C24" s="22">
        <v>0</v>
      </c>
      <c r="D24" s="22">
        <v>0</v>
      </c>
      <c r="E24" s="22">
        <v>0</v>
      </c>
      <c r="F24" s="22">
        <v>0.5</v>
      </c>
      <c r="G24" s="22">
        <v>1</v>
      </c>
      <c r="H24" s="22">
        <v>0</v>
      </c>
      <c r="I24" s="22">
        <v>0</v>
      </c>
      <c r="J24" s="22">
        <v>0</v>
      </c>
      <c r="K24" s="22">
        <v>0</v>
      </c>
      <c r="L24" s="22">
        <v>2</v>
      </c>
      <c r="M24" s="22">
        <f t="shared" si="0"/>
        <v>23.25</v>
      </c>
      <c r="N24" s="50">
        <f>'instruction-charters'!P25</f>
        <v>19.75</v>
      </c>
      <c r="O24" s="66">
        <f t="shared" si="1"/>
        <v>3.5</v>
      </c>
    </row>
    <row r="25" spans="1:15" ht="10.9" customHeight="1">
      <c r="A25" s="50" t="s">
        <v>66</v>
      </c>
      <c r="B25" s="47" t="s">
        <v>115</v>
      </c>
      <c r="C25" s="22">
        <v>0</v>
      </c>
      <c r="D25" s="22">
        <v>0</v>
      </c>
      <c r="E25" s="22">
        <v>0</v>
      </c>
      <c r="F25" s="22">
        <v>0</v>
      </c>
      <c r="G25" s="22">
        <v>3</v>
      </c>
      <c r="H25" s="22">
        <v>0.21</v>
      </c>
      <c r="I25" s="22">
        <v>0</v>
      </c>
      <c r="J25" s="22">
        <v>0</v>
      </c>
      <c r="K25" s="22">
        <v>0</v>
      </c>
      <c r="L25" s="22">
        <v>3.4</v>
      </c>
      <c r="M25" s="22">
        <f t="shared" si="0"/>
        <v>40.53</v>
      </c>
      <c r="N25" s="50">
        <f>'instruction-charters'!P26</f>
        <v>33.92</v>
      </c>
      <c r="O25" s="66">
        <f t="shared" si="1"/>
        <v>6.6099999999999994</v>
      </c>
    </row>
    <row r="26" spans="1:15" ht="10.9" customHeight="1">
      <c r="A26" s="50" t="s">
        <v>176</v>
      </c>
      <c r="B26" s="47" t="s">
        <v>177</v>
      </c>
      <c r="C26" s="22">
        <v>0</v>
      </c>
      <c r="D26" s="22">
        <v>0</v>
      </c>
      <c r="E26" s="22">
        <v>0</v>
      </c>
      <c r="F26" s="22">
        <v>1.75</v>
      </c>
      <c r="G26" s="22">
        <v>0.96</v>
      </c>
      <c r="H26" s="22">
        <v>0</v>
      </c>
      <c r="I26" s="22">
        <v>0</v>
      </c>
      <c r="J26" s="22">
        <v>1</v>
      </c>
      <c r="K26" s="22">
        <v>0</v>
      </c>
      <c r="L26" s="22">
        <v>0.99</v>
      </c>
      <c r="M26" s="22">
        <f t="shared" si="0"/>
        <v>34.54</v>
      </c>
      <c r="N26" s="50">
        <f>'instruction-charters'!P27</f>
        <v>29.84</v>
      </c>
      <c r="O26" s="66">
        <f t="shared" si="1"/>
        <v>4.7</v>
      </c>
    </row>
    <row r="27" spans="1:15" ht="10.9" customHeight="1" thickBot="1">
      <c r="A27" s="50">
        <v>98</v>
      </c>
      <c r="B27" s="48" t="s">
        <v>116</v>
      </c>
      <c r="C27" s="26">
        <v>0</v>
      </c>
      <c r="D27" s="103">
        <v>0.5</v>
      </c>
      <c r="E27" s="103">
        <v>0.5</v>
      </c>
      <c r="F27" s="26">
        <v>1.17</v>
      </c>
      <c r="G27" s="103">
        <v>0</v>
      </c>
      <c r="H27" s="26">
        <v>0</v>
      </c>
      <c r="I27" s="103">
        <v>0</v>
      </c>
      <c r="J27" s="103">
        <v>0</v>
      </c>
      <c r="K27" s="103">
        <v>0</v>
      </c>
      <c r="L27" s="103">
        <v>1.5</v>
      </c>
      <c r="M27" s="103">
        <f t="shared" si="0"/>
        <v>22.11</v>
      </c>
      <c r="N27" s="50">
        <f>'instruction-charters'!P28</f>
        <v>18.439999999999998</v>
      </c>
      <c r="O27" s="66">
        <f t="shared" si="1"/>
        <v>3.67</v>
      </c>
    </row>
    <row r="28" spans="1:15" ht="10.9" customHeight="1">
      <c r="A28" s="50">
        <v>82</v>
      </c>
      <c r="B28" s="46" t="s">
        <v>117</v>
      </c>
      <c r="C28" s="18">
        <v>0</v>
      </c>
      <c r="D28" s="18">
        <v>0</v>
      </c>
      <c r="E28" s="18">
        <v>1.8</v>
      </c>
      <c r="F28" s="18">
        <v>1.18</v>
      </c>
      <c r="G28" s="18">
        <v>0</v>
      </c>
      <c r="H28" s="18">
        <v>0.25</v>
      </c>
      <c r="I28" s="18">
        <v>0</v>
      </c>
      <c r="J28" s="18">
        <v>0.8</v>
      </c>
      <c r="K28" s="18">
        <v>0</v>
      </c>
      <c r="L28" s="18">
        <v>2.2000000000000002</v>
      </c>
      <c r="M28" s="18">
        <f t="shared" si="0"/>
        <v>40.519999999999996</v>
      </c>
      <c r="N28" s="50">
        <f>'instruction-charters'!P29</f>
        <v>34.29</v>
      </c>
      <c r="O28" s="66">
        <f t="shared" si="1"/>
        <v>6.23</v>
      </c>
    </row>
    <row r="29" spans="1:15" ht="10.9" customHeight="1">
      <c r="A29" s="50" t="s">
        <v>118</v>
      </c>
      <c r="B29" s="47" t="s">
        <v>119</v>
      </c>
      <c r="C29" s="22">
        <v>1.1100000000000001</v>
      </c>
      <c r="D29" s="22">
        <v>0</v>
      </c>
      <c r="E29" s="22">
        <v>0</v>
      </c>
      <c r="F29" s="22">
        <v>1</v>
      </c>
      <c r="G29" s="22">
        <v>2.16</v>
      </c>
      <c r="H29" s="22">
        <v>0</v>
      </c>
      <c r="I29" s="22">
        <v>0</v>
      </c>
      <c r="J29" s="22">
        <v>0</v>
      </c>
      <c r="K29" s="22">
        <v>0</v>
      </c>
      <c r="L29" s="22">
        <v>3.37</v>
      </c>
      <c r="M29" s="22">
        <f t="shared" si="0"/>
        <v>52.87</v>
      </c>
      <c r="N29" s="50">
        <f>'instruction-charters'!P30</f>
        <v>45.23</v>
      </c>
      <c r="O29" s="66">
        <f t="shared" si="1"/>
        <v>7.6400000000000006</v>
      </c>
    </row>
    <row r="30" spans="1:15" ht="10.9" customHeight="1">
      <c r="A30" s="50" t="s">
        <v>67</v>
      </c>
      <c r="B30" s="47" t="s">
        <v>120</v>
      </c>
      <c r="C30" s="22">
        <v>0</v>
      </c>
      <c r="D30" s="22">
        <v>0</v>
      </c>
      <c r="E30" s="22">
        <v>0</v>
      </c>
      <c r="F30" s="22">
        <v>1.5</v>
      </c>
      <c r="G30" s="22">
        <v>5.26</v>
      </c>
      <c r="H30" s="22">
        <v>0.75</v>
      </c>
      <c r="I30" s="22">
        <v>0</v>
      </c>
      <c r="J30" s="22">
        <v>0</v>
      </c>
      <c r="K30" s="22">
        <v>0</v>
      </c>
      <c r="L30" s="22">
        <v>1.38</v>
      </c>
      <c r="M30" s="22">
        <f t="shared" si="0"/>
        <v>60.989999999999995</v>
      </c>
      <c r="N30" s="50">
        <f>'instruction-charters'!P31</f>
        <v>52.099999999999994</v>
      </c>
      <c r="O30" s="66">
        <f t="shared" si="1"/>
        <v>8.89</v>
      </c>
    </row>
    <row r="31" spans="1:15" ht="10.9" customHeight="1">
      <c r="A31" s="50" t="s">
        <v>189</v>
      </c>
      <c r="B31" s="47" t="s">
        <v>190</v>
      </c>
      <c r="C31" s="22">
        <v>0</v>
      </c>
      <c r="D31" s="22">
        <v>0</v>
      </c>
      <c r="E31" s="22">
        <v>0</v>
      </c>
      <c r="F31" s="22">
        <v>1</v>
      </c>
      <c r="G31" s="22">
        <v>1.5</v>
      </c>
      <c r="H31" s="22">
        <v>0</v>
      </c>
      <c r="I31" s="22">
        <v>0</v>
      </c>
      <c r="J31" s="22">
        <v>0</v>
      </c>
      <c r="K31" s="22">
        <v>0</v>
      </c>
      <c r="L31" s="22">
        <v>1.25</v>
      </c>
      <c r="M31" s="22">
        <f t="shared" si="0"/>
        <v>27.76</v>
      </c>
      <c r="N31" s="50">
        <f>'instruction-charters'!P32</f>
        <v>24.01</v>
      </c>
      <c r="O31" s="66">
        <f t="shared" si="1"/>
        <v>3.75</v>
      </c>
    </row>
    <row r="32" spans="1:15" ht="10.9" customHeight="1" thickBot="1">
      <c r="A32" s="50" t="s">
        <v>68</v>
      </c>
      <c r="B32" s="48" t="s">
        <v>121</v>
      </c>
      <c r="C32" s="26">
        <v>0</v>
      </c>
      <c r="D32" s="103">
        <v>0.75</v>
      </c>
      <c r="E32" s="103">
        <v>1.5</v>
      </c>
      <c r="F32" s="26">
        <v>1</v>
      </c>
      <c r="G32" s="103">
        <v>0.8</v>
      </c>
      <c r="H32" s="26">
        <v>0</v>
      </c>
      <c r="I32" s="103">
        <v>0</v>
      </c>
      <c r="J32" s="103">
        <v>0</v>
      </c>
      <c r="K32" s="103">
        <v>0</v>
      </c>
      <c r="L32" s="103">
        <v>3.58</v>
      </c>
      <c r="M32" s="103">
        <f t="shared" si="0"/>
        <v>22.72</v>
      </c>
      <c r="N32" s="50">
        <f>'instruction-charters'!P33</f>
        <v>15.09</v>
      </c>
      <c r="O32" s="66">
        <f t="shared" si="1"/>
        <v>7.63</v>
      </c>
    </row>
    <row r="33" spans="1:15" ht="10.9" customHeight="1">
      <c r="A33" s="50" t="s">
        <v>178</v>
      </c>
      <c r="B33" s="46" t="s">
        <v>179</v>
      </c>
      <c r="C33" s="18">
        <v>0</v>
      </c>
      <c r="D33" s="18">
        <v>0</v>
      </c>
      <c r="E33" s="18">
        <v>0</v>
      </c>
      <c r="F33" s="18">
        <v>1.9</v>
      </c>
      <c r="G33" s="18">
        <v>1.86</v>
      </c>
      <c r="H33" s="18">
        <v>0</v>
      </c>
      <c r="I33" s="18">
        <v>0</v>
      </c>
      <c r="J33" s="18">
        <v>0</v>
      </c>
      <c r="K33" s="18">
        <v>0</v>
      </c>
      <c r="L33" s="18">
        <v>0.25</v>
      </c>
      <c r="M33" s="18">
        <f t="shared" si="0"/>
        <v>51.35</v>
      </c>
      <c r="N33" s="50">
        <f>'instruction-charters'!P34</f>
        <v>47.34</v>
      </c>
      <c r="O33" s="66">
        <f t="shared" si="1"/>
        <v>4.01</v>
      </c>
    </row>
    <row r="34" spans="1:15" ht="10.9" customHeight="1">
      <c r="A34" s="50" t="s">
        <v>208</v>
      </c>
      <c r="B34" s="47" t="s">
        <v>209</v>
      </c>
      <c r="C34" s="22">
        <v>0</v>
      </c>
      <c r="D34" s="22" t="s">
        <v>222</v>
      </c>
      <c r="E34" s="22" t="s">
        <v>222</v>
      </c>
      <c r="F34" s="22">
        <v>1</v>
      </c>
      <c r="G34" s="22" t="s">
        <v>222</v>
      </c>
      <c r="H34" s="22">
        <v>0</v>
      </c>
      <c r="I34" s="22" t="s">
        <v>222</v>
      </c>
      <c r="J34" s="22" t="s">
        <v>222</v>
      </c>
      <c r="K34" s="22" t="s">
        <v>222</v>
      </c>
      <c r="L34" s="22" t="s">
        <v>222</v>
      </c>
      <c r="M34" s="22">
        <f t="shared" si="0"/>
        <v>1</v>
      </c>
      <c r="N34" s="50">
        <f>'instruction-charters'!P35</f>
        <v>0</v>
      </c>
      <c r="O34" s="66">
        <f t="shared" si="1"/>
        <v>1</v>
      </c>
    </row>
    <row r="35" spans="1:15" ht="10.9" customHeight="1">
      <c r="A35" s="50" t="s">
        <v>69</v>
      </c>
      <c r="B35" s="47" t="s">
        <v>122</v>
      </c>
      <c r="C35" s="22">
        <v>0</v>
      </c>
      <c r="D35" s="22">
        <v>0</v>
      </c>
      <c r="E35" s="22">
        <v>0</v>
      </c>
      <c r="F35" s="22">
        <v>1</v>
      </c>
      <c r="G35" s="22">
        <v>0.83</v>
      </c>
      <c r="H35" s="22">
        <v>0</v>
      </c>
      <c r="I35" s="22">
        <v>0</v>
      </c>
      <c r="J35" s="22">
        <v>0</v>
      </c>
      <c r="K35" s="22">
        <v>0</v>
      </c>
      <c r="L35" s="22">
        <v>0.38</v>
      </c>
      <c r="M35" s="22">
        <f t="shared" si="0"/>
        <v>11.82</v>
      </c>
      <c r="N35" s="50">
        <f>'instruction-charters'!P36</f>
        <v>9.61</v>
      </c>
      <c r="O35" s="66">
        <f t="shared" si="1"/>
        <v>2.21</v>
      </c>
    </row>
    <row r="36" spans="1:15" ht="10.9" customHeight="1">
      <c r="A36" s="50" t="s">
        <v>70</v>
      </c>
      <c r="B36" s="47" t="s">
        <v>123</v>
      </c>
      <c r="C36" s="22">
        <v>0</v>
      </c>
      <c r="D36" s="22">
        <v>0</v>
      </c>
      <c r="E36" s="22">
        <v>0.5</v>
      </c>
      <c r="F36" s="22">
        <v>0.95</v>
      </c>
      <c r="G36" s="22">
        <v>1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f t="shared" si="0"/>
        <v>15.969999999999999</v>
      </c>
      <c r="N36" s="50">
        <f>'instruction-charters'!P37</f>
        <v>13.52</v>
      </c>
      <c r="O36" s="66">
        <f t="shared" si="1"/>
        <v>2.4500000000000002</v>
      </c>
    </row>
    <row r="37" spans="1:15" ht="10.9" customHeight="1" thickBot="1">
      <c r="A37" s="50">
        <v>93</v>
      </c>
      <c r="B37" s="48" t="s">
        <v>124</v>
      </c>
      <c r="C37" s="26">
        <v>0</v>
      </c>
      <c r="D37" s="103">
        <v>1</v>
      </c>
      <c r="E37" s="103">
        <v>1</v>
      </c>
      <c r="F37" s="26">
        <v>1</v>
      </c>
      <c r="G37" s="103">
        <v>1</v>
      </c>
      <c r="H37" s="26">
        <v>0</v>
      </c>
      <c r="I37" s="103">
        <v>0</v>
      </c>
      <c r="J37" s="103">
        <v>0</v>
      </c>
      <c r="K37" s="103">
        <v>0</v>
      </c>
      <c r="L37" s="103">
        <v>0</v>
      </c>
      <c r="M37" s="103">
        <f t="shared" si="0"/>
        <v>19.62</v>
      </c>
      <c r="N37" s="50">
        <f>'instruction-charters'!P38</f>
        <v>15.620000000000001</v>
      </c>
      <c r="O37" s="66">
        <f t="shared" si="1"/>
        <v>4</v>
      </c>
    </row>
    <row r="38" spans="1:15" ht="10.9" customHeight="1">
      <c r="A38" s="50" t="s">
        <v>75</v>
      </c>
      <c r="B38" s="46" t="s">
        <v>231</v>
      </c>
      <c r="C38" s="18">
        <v>1</v>
      </c>
      <c r="D38" s="18" t="s">
        <v>225</v>
      </c>
      <c r="E38" s="18" t="s">
        <v>225</v>
      </c>
      <c r="F38" s="18">
        <v>1.5</v>
      </c>
      <c r="G38" s="18" t="s">
        <v>225</v>
      </c>
      <c r="H38" s="18">
        <v>0</v>
      </c>
      <c r="I38" s="18" t="s">
        <v>225</v>
      </c>
      <c r="J38" s="18" t="s">
        <v>225</v>
      </c>
      <c r="K38" s="18" t="s">
        <v>225</v>
      </c>
      <c r="L38" s="18" t="s">
        <v>225</v>
      </c>
      <c r="M38" s="18">
        <f t="shared" si="0"/>
        <v>35.97</v>
      </c>
      <c r="N38" s="50">
        <f>'instruction-charters'!P39</f>
        <v>33.47</v>
      </c>
      <c r="O38" s="66">
        <f t="shared" si="1"/>
        <v>2.5</v>
      </c>
    </row>
    <row r="39" spans="1:15" ht="10.9" customHeight="1">
      <c r="A39" s="50" t="s">
        <v>71</v>
      </c>
      <c r="B39" s="47" t="s">
        <v>125</v>
      </c>
      <c r="C39" s="22">
        <v>1</v>
      </c>
      <c r="D39" s="22">
        <v>0</v>
      </c>
      <c r="E39" s="22">
        <v>0</v>
      </c>
      <c r="F39" s="22">
        <v>0</v>
      </c>
      <c r="G39" s="22">
        <v>2</v>
      </c>
      <c r="H39" s="22">
        <v>0</v>
      </c>
      <c r="I39" s="22">
        <v>0</v>
      </c>
      <c r="J39" s="22">
        <v>1</v>
      </c>
      <c r="K39" s="22">
        <v>0</v>
      </c>
      <c r="L39" s="22">
        <v>4.5999999999999996</v>
      </c>
      <c r="M39" s="22">
        <f t="shared" si="0"/>
        <v>61.07</v>
      </c>
      <c r="N39" s="50">
        <f>'instruction-charters'!P40</f>
        <v>52.47</v>
      </c>
      <c r="O39" s="66">
        <f t="shared" si="1"/>
        <v>8.6</v>
      </c>
    </row>
    <row r="40" spans="1:15" ht="10.9" customHeight="1">
      <c r="A40" s="50" t="s">
        <v>72</v>
      </c>
      <c r="B40" s="47" t="s">
        <v>126</v>
      </c>
      <c r="C40" s="22">
        <v>1.4</v>
      </c>
      <c r="D40" s="22">
        <v>1</v>
      </c>
      <c r="E40" s="22">
        <v>3</v>
      </c>
      <c r="F40" s="22">
        <v>2</v>
      </c>
      <c r="G40" s="22">
        <v>5</v>
      </c>
      <c r="H40" s="22">
        <v>0</v>
      </c>
      <c r="I40" s="22">
        <v>0</v>
      </c>
      <c r="J40" s="22">
        <v>0</v>
      </c>
      <c r="K40" s="22">
        <v>0</v>
      </c>
      <c r="L40" s="22">
        <v>10.130000000000001</v>
      </c>
      <c r="M40" s="22">
        <f t="shared" si="0"/>
        <v>102.22</v>
      </c>
      <c r="N40" s="50">
        <f>'instruction-charters'!P41</f>
        <v>79.69</v>
      </c>
      <c r="O40" s="66">
        <f t="shared" si="1"/>
        <v>22.53</v>
      </c>
    </row>
    <row r="41" spans="1:15" ht="10.9" customHeight="1">
      <c r="A41" s="50" t="s">
        <v>73</v>
      </c>
      <c r="B41" s="47" t="s">
        <v>127</v>
      </c>
      <c r="C41" s="22">
        <v>0</v>
      </c>
      <c r="D41" s="22">
        <v>0</v>
      </c>
      <c r="E41" s="22">
        <v>0</v>
      </c>
      <c r="F41" s="22">
        <v>1.28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f t="shared" si="0"/>
        <v>23.93</v>
      </c>
      <c r="N41" s="50">
        <f>'instruction-charters'!P42</f>
        <v>22.65</v>
      </c>
      <c r="O41" s="66">
        <f t="shared" si="1"/>
        <v>1.28</v>
      </c>
    </row>
    <row r="42" spans="1:15" ht="10.9" customHeight="1" thickBot="1">
      <c r="A42" s="50" t="s">
        <v>74</v>
      </c>
      <c r="B42" s="48" t="s">
        <v>128</v>
      </c>
      <c r="C42" s="26">
        <v>0.5</v>
      </c>
      <c r="D42" s="103">
        <v>0.7</v>
      </c>
      <c r="E42" s="103">
        <v>1.45</v>
      </c>
      <c r="F42" s="26">
        <v>1</v>
      </c>
      <c r="G42" s="103">
        <v>3</v>
      </c>
      <c r="H42" s="26">
        <v>0.32</v>
      </c>
      <c r="I42" s="103">
        <v>0</v>
      </c>
      <c r="J42" s="103">
        <v>0</v>
      </c>
      <c r="K42" s="103">
        <v>0</v>
      </c>
      <c r="L42" s="103">
        <v>0.37</v>
      </c>
      <c r="M42" s="103">
        <f t="shared" si="0"/>
        <v>62.89</v>
      </c>
      <c r="N42" s="50">
        <f>'instruction-charters'!P43</f>
        <v>55.55</v>
      </c>
      <c r="O42" s="66">
        <f t="shared" si="1"/>
        <v>7.3400000000000007</v>
      </c>
    </row>
    <row r="43" spans="1:15" ht="10.9" customHeight="1">
      <c r="A43" s="50" t="s">
        <v>192</v>
      </c>
      <c r="B43" s="46" t="s">
        <v>193</v>
      </c>
      <c r="C43" s="18">
        <v>0</v>
      </c>
      <c r="D43" s="18">
        <v>0</v>
      </c>
      <c r="E43" s="18">
        <v>0</v>
      </c>
      <c r="F43" s="18">
        <v>1</v>
      </c>
      <c r="G43" s="18">
        <v>2.1800000000000002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f t="shared" si="0"/>
        <v>35.339999999999996</v>
      </c>
      <c r="N43" s="50">
        <f>'instruction-charters'!P44</f>
        <v>32.159999999999997</v>
      </c>
      <c r="O43" s="66">
        <f t="shared" si="1"/>
        <v>3.18</v>
      </c>
    </row>
    <row r="44" spans="1:15" ht="10.9" customHeight="1">
      <c r="A44" s="50" t="s">
        <v>129</v>
      </c>
      <c r="B44" s="47" t="s">
        <v>130</v>
      </c>
      <c r="C44" s="22">
        <v>0.3</v>
      </c>
      <c r="D44" s="22">
        <v>0</v>
      </c>
      <c r="E44" s="22">
        <v>0</v>
      </c>
      <c r="F44" s="22">
        <v>0.8</v>
      </c>
      <c r="G44" s="22">
        <v>2.2000000000000002</v>
      </c>
      <c r="H44" s="22">
        <v>0</v>
      </c>
      <c r="I44" s="22">
        <v>0</v>
      </c>
      <c r="J44" s="22">
        <v>1</v>
      </c>
      <c r="K44" s="22">
        <v>0</v>
      </c>
      <c r="L44" s="22">
        <v>1.75</v>
      </c>
      <c r="M44" s="22">
        <f t="shared" si="0"/>
        <v>27.92</v>
      </c>
      <c r="N44" s="50">
        <f>'instruction-charters'!P45</f>
        <v>21.87</v>
      </c>
      <c r="O44" s="66">
        <f t="shared" si="1"/>
        <v>6.0500000000000007</v>
      </c>
    </row>
    <row r="45" spans="1:15" ht="10.9" customHeight="1">
      <c r="A45" s="50" t="s">
        <v>76</v>
      </c>
      <c r="B45" s="47" t="s">
        <v>194</v>
      </c>
      <c r="C45" s="22">
        <v>0</v>
      </c>
      <c r="D45" s="22">
        <v>0</v>
      </c>
      <c r="E45" s="22">
        <v>0</v>
      </c>
      <c r="F45" s="22">
        <v>1</v>
      </c>
      <c r="G45" s="22">
        <v>1</v>
      </c>
      <c r="H45" s="22">
        <v>0</v>
      </c>
      <c r="I45" s="22">
        <v>0</v>
      </c>
      <c r="J45" s="22">
        <v>0</v>
      </c>
      <c r="K45" s="22">
        <v>0</v>
      </c>
      <c r="L45" s="22">
        <v>0.5</v>
      </c>
      <c r="M45" s="22">
        <f t="shared" si="0"/>
        <v>9.25</v>
      </c>
      <c r="N45" s="50">
        <f>'instruction-charters'!P46</f>
        <v>6.75</v>
      </c>
      <c r="O45" s="66">
        <f t="shared" si="1"/>
        <v>2.5</v>
      </c>
    </row>
    <row r="46" spans="1:15" ht="10.9" customHeight="1">
      <c r="A46" s="50" t="s">
        <v>77</v>
      </c>
      <c r="B46" s="47" t="s">
        <v>131</v>
      </c>
      <c r="C46" s="22">
        <v>0</v>
      </c>
      <c r="D46" s="22">
        <v>1</v>
      </c>
      <c r="E46" s="22">
        <v>1.1000000000000001</v>
      </c>
      <c r="F46" s="22">
        <v>0</v>
      </c>
      <c r="G46" s="22">
        <v>3.5</v>
      </c>
      <c r="H46" s="22">
        <v>0</v>
      </c>
      <c r="I46" s="22">
        <v>0</v>
      </c>
      <c r="J46" s="22">
        <v>1</v>
      </c>
      <c r="K46" s="22">
        <v>0</v>
      </c>
      <c r="L46" s="22">
        <v>2.2400000000000002</v>
      </c>
      <c r="M46" s="22">
        <f t="shared" si="0"/>
        <v>54.080000000000013</v>
      </c>
      <c r="N46" s="50">
        <f>'instruction-charters'!P47</f>
        <v>45.240000000000009</v>
      </c>
      <c r="O46" s="66">
        <f t="shared" si="1"/>
        <v>8.84</v>
      </c>
    </row>
    <row r="47" spans="1:15" ht="10.9" customHeight="1" thickBot="1">
      <c r="A47" s="50" t="s">
        <v>78</v>
      </c>
      <c r="B47" s="48" t="s">
        <v>132</v>
      </c>
      <c r="C47" s="26">
        <v>0</v>
      </c>
      <c r="D47" s="103">
        <v>0</v>
      </c>
      <c r="E47" s="103">
        <v>0</v>
      </c>
      <c r="F47" s="26">
        <v>3.22</v>
      </c>
      <c r="G47" s="103">
        <v>3</v>
      </c>
      <c r="H47" s="26">
        <v>0</v>
      </c>
      <c r="I47" s="103">
        <v>0</v>
      </c>
      <c r="J47" s="103">
        <v>0</v>
      </c>
      <c r="K47" s="103">
        <v>0</v>
      </c>
      <c r="L47" s="103">
        <v>5</v>
      </c>
      <c r="M47" s="103">
        <f t="shared" si="0"/>
        <v>60.47</v>
      </c>
      <c r="N47" s="50">
        <f>'instruction-charters'!P48</f>
        <v>49.25</v>
      </c>
      <c r="O47" s="66">
        <f t="shared" si="1"/>
        <v>11.22</v>
      </c>
    </row>
    <row r="48" spans="1:15" ht="10.9" customHeight="1">
      <c r="A48" s="50" t="s">
        <v>79</v>
      </c>
      <c r="B48" s="46" t="s">
        <v>133</v>
      </c>
      <c r="C48" s="18">
        <v>0</v>
      </c>
      <c r="D48" s="18">
        <v>0</v>
      </c>
      <c r="E48" s="18">
        <v>0</v>
      </c>
      <c r="F48" s="18">
        <v>1</v>
      </c>
      <c r="G48" s="18">
        <v>2.75</v>
      </c>
      <c r="H48" s="18">
        <v>0.4</v>
      </c>
      <c r="I48" s="18">
        <v>0</v>
      </c>
      <c r="J48" s="18">
        <v>0</v>
      </c>
      <c r="K48" s="18">
        <v>0.14000000000000001</v>
      </c>
      <c r="L48" s="18">
        <v>1.91</v>
      </c>
      <c r="M48" s="18">
        <f t="shared" si="0"/>
        <v>50.470000000000013</v>
      </c>
      <c r="N48" s="50">
        <f>'instruction-charters'!P49</f>
        <v>44.27000000000001</v>
      </c>
      <c r="O48" s="66">
        <f t="shared" si="1"/>
        <v>6.2</v>
      </c>
    </row>
    <row r="49" spans="1:15" ht="10.9" customHeight="1">
      <c r="A49" s="50" t="s">
        <v>83</v>
      </c>
      <c r="B49" s="47" t="s">
        <v>134</v>
      </c>
      <c r="C49" s="22">
        <v>0</v>
      </c>
      <c r="D49" s="22">
        <v>0</v>
      </c>
      <c r="E49" s="22">
        <v>0</v>
      </c>
      <c r="F49" s="22">
        <v>3</v>
      </c>
      <c r="G49" s="22">
        <v>1</v>
      </c>
      <c r="H49" s="22">
        <v>0</v>
      </c>
      <c r="I49" s="22">
        <v>0</v>
      </c>
      <c r="J49" s="22">
        <v>0</v>
      </c>
      <c r="K49" s="22">
        <v>0</v>
      </c>
      <c r="L49" s="22">
        <v>1.8</v>
      </c>
      <c r="M49" s="22">
        <f t="shared" si="0"/>
        <v>24.85</v>
      </c>
      <c r="N49" s="50">
        <f>'instruction-charters'!P50</f>
        <v>19.05</v>
      </c>
      <c r="O49" s="66">
        <f t="shared" si="1"/>
        <v>5.8</v>
      </c>
    </row>
    <row r="50" spans="1:15" ht="10.9" customHeight="1">
      <c r="A50" s="50" t="s">
        <v>80</v>
      </c>
      <c r="B50" s="47" t="s">
        <v>135</v>
      </c>
      <c r="C50" s="22">
        <v>0</v>
      </c>
      <c r="D50" s="22">
        <v>0</v>
      </c>
      <c r="E50" s="22">
        <v>0</v>
      </c>
      <c r="F50" s="22">
        <v>1</v>
      </c>
      <c r="G50" s="22">
        <v>7</v>
      </c>
      <c r="H50" s="22">
        <v>0.31</v>
      </c>
      <c r="I50" s="22">
        <v>0</v>
      </c>
      <c r="J50" s="22">
        <v>1</v>
      </c>
      <c r="K50" s="22">
        <v>0</v>
      </c>
      <c r="L50" s="22">
        <v>7</v>
      </c>
      <c r="M50" s="22">
        <f t="shared" si="0"/>
        <v>64.31</v>
      </c>
      <c r="N50" s="50">
        <f>'instruction-charters'!P51</f>
        <v>48</v>
      </c>
      <c r="O50" s="66">
        <f t="shared" si="1"/>
        <v>16.310000000000002</v>
      </c>
    </row>
    <row r="51" spans="1:15" ht="10.9" customHeight="1">
      <c r="A51" s="50" t="s">
        <v>81</v>
      </c>
      <c r="B51" s="47" t="s">
        <v>136</v>
      </c>
      <c r="C51" s="22">
        <v>2.25</v>
      </c>
      <c r="D51" s="22">
        <v>0</v>
      </c>
      <c r="E51" s="22">
        <v>0</v>
      </c>
      <c r="F51" s="22">
        <v>2.5</v>
      </c>
      <c r="G51" s="22">
        <v>4.9000000000000004</v>
      </c>
      <c r="H51" s="22">
        <v>0</v>
      </c>
      <c r="I51" s="22">
        <v>0</v>
      </c>
      <c r="J51" s="22">
        <v>1</v>
      </c>
      <c r="K51" s="22">
        <v>0</v>
      </c>
      <c r="L51" s="22">
        <v>6.17</v>
      </c>
      <c r="M51" s="22">
        <f t="shared" si="0"/>
        <v>73.75</v>
      </c>
      <c r="N51" s="50">
        <f>'instruction-charters'!P52</f>
        <v>56.930000000000007</v>
      </c>
      <c r="O51" s="66">
        <f t="shared" si="1"/>
        <v>16.82</v>
      </c>
    </row>
    <row r="52" spans="1:15" ht="10.9" customHeight="1" thickBot="1">
      <c r="A52" s="50" t="s">
        <v>82</v>
      </c>
      <c r="B52" s="48" t="s">
        <v>137</v>
      </c>
      <c r="C52" s="26">
        <v>0</v>
      </c>
      <c r="D52" s="103">
        <v>0</v>
      </c>
      <c r="E52" s="103">
        <v>0</v>
      </c>
      <c r="F52" s="26">
        <v>1.2</v>
      </c>
      <c r="G52" s="103">
        <v>3</v>
      </c>
      <c r="H52" s="26">
        <v>0.5</v>
      </c>
      <c r="I52" s="103">
        <v>0</v>
      </c>
      <c r="J52" s="103">
        <v>0</v>
      </c>
      <c r="K52" s="103">
        <v>0</v>
      </c>
      <c r="L52" s="103">
        <v>1.47</v>
      </c>
      <c r="M52" s="103">
        <f t="shared" si="0"/>
        <v>42.36</v>
      </c>
      <c r="N52" s="50">
        <f>'instruction-charters'!P53</f>
        <v>36.19</v>
      </c>
      <c r="O52" s="66">
        <f t="shared" si="1"/>
        <v>6.17</v>
      </c>
    </row>
    <row r="53" spans="1:15" ht="10.9" customHeight="1">
      <c r="A53" s="50" t="s">
        <v>84</v>
      </c>
      <c r="B53" s="46" t="s">
        <v>138</v>
      </c>
      <c r="C53" s="18">
        <v>0</v>
      </c>
      <c r="D53" s="18">
        <v>1</v>
      </c>
      <c r="E53" s="18">
        <v>1</v>
      </c>
      <c r="F53" s="18">
        <v>0</v>
      </c>
      <c r="G53" s="18">
        <v>1.55</v>
      </c>
      <c r="H53" s="18">
        <v>0.89</v>
      </c>
      <c r="I53" s="18">
        <v>0</v>
      </c>
      <c r="J53" s="18">
        <v>0</v>
      </c>
      <c r="K53" s="18">
        <v>0.56000000000000005</v>
      </c>
      <c r="L53" s="18">
        <v>0.82</v>
      </c>
      <c r="M53" s="18">
        <f t="shared" si="0"/>
        <v>31.830000000000002</v>
      </c>
      <c r="N53" s="50">
        <f>'instruction-charters'!P54</f>
        <v>26.01</v>
      </c>
      <c r="O53" s="66">
        <f t="shared" si="1"/>
        <v>5.82</v>
      </c>
    </row>
    <row r="54" spans="1:15" ht="10.9" customHeight="1">
      <c r="A54" s="50">
        <v>68</v>
      </c>
      <c r="B54" s="47" t="s">
        <v>139</v>
      </c>
      <c r="C54" s="22">
        <v>1</v>
      </c>
      <c r="D54" s="22">
        <v>0</v>
      </c>
      <c r="E54" s="22">
        <v>0</v>
      </c>
      <c r="F54" s="22">
        <v>2.4</v>
      </c>
      <c r="G54" s="22">
        <v>4.97</v>
      </c>
      <c r="H54" s="22">
        <v>0.5</v>
      </c>
      <c r="I54" s="22">
        <v>0</v>
      </c>
      <c r="J54" s="22">
        <v>1</v>
      </c>
      <c r="K54" s="22">
        <v>0.08</v>
      </c>
      <c r="L54" s="22">
        <v>4.8499999999999996</v>
      </c>
      <c r="M54" s="22">
        <f t="shared" si="0"/>
        <v>84.69</v>
      </c>
      <c r="N54" s="50">
        <f>'instruction-charters'!P55</f>
        <v>69.89</v>
      </c>
      <c r="O54" s="66">
        <f t="shared" si="1"/>
        <v>14.799999999999999</v>
      </c>
    </row>
    <row r="55" spans="1:15" ht="10.9" customHeight="1">
      <c r="A55" s="50" t="s">
        <v>85</v>
      </c>
      <c r="B55" s="47" t="s">
        <v>140</v>
      </c>
      <c r="C55" s="22">
        <v>0</v>
      </c>
      <c r="D55" s="22" t="s">
        <v>222</v>
      </c>
      <c r="E55" s="22" t="s">
        <v>222</v>
      </c>
      <c r="F55" s="22">
        <v>1</v>
      </c>
      <c r="G55" s="22" t="s">
        <v>222</v>
      </c>
      <c r="H55" s="22">
        <v>0</v>
      </c>
      <c r="I55" s="22" t="s">
        <v>222</v>
      </c>
      <c r="J55" s="22" t="s">
        <v>222</v>
      </c>
      <c r="K55" s="22" t="s">
        <v>222</v>
      </c>
      <c r="L55" s="22" t="s">
        <v>222</v>
      </c>
      <c r="M55" s="22">
        <f t="shared" si="0"/>
        <v>20.6</v>
      </c>
      <c r="N55" s="50">
        <f>'instruction-charters'!P56</f>
        <v>19.600000000000001</v>
      </c>
      <c r="O55" s="66">
        <f t="shared" si="1"/>
        <v>1</v>
      </c>
    </row>
    <row r="56" spans="1:15" ht="10.9" customHeight="1">
      <c r="A56" s="50" t="s">
        <v>180</v>
      </c>
      <c r="B56" s="47" t="s">
        <v>181</v>
      </c>
      <c r="C56" s="22">
        <v>0</v>
      </c>
      <c r="D56" s="22">
        <v>0</v>
      </c>
      <c r="E56" s="22">
        <v>0</v>
      </c>
      <c r="F56" s="22">
        <v>1</v>
      </c>
      <c r="G56" s="22">
        <v>1.5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f t="shared" si="0"/>
        <v>21.32</v>
      </c>
      <c r="N56" s="50">
        <f>'instruction-charters'!P57</f>
        <v>18.82</v>
      </c>
      <c r="O56" s="66">
        <f t="shared" si="1"/>
        <v>2.5</v>
      </c>
    </row>
    <row r="57" spans="1:15" ht="10.9" customHeight="1" thickBot="1">
      <c r="A57" s="50" t="s">
        <v>182</v>
      </c>
      <c r="B57" s="48" t="s">
        <v>183</v>
      </c>
      <c r="C57" s="26">
        <v>0</v>
      </c>
      <c r="D57" s="103">
        <v>0</v>
      </c>
      <c r="E57" s="103">
        <v>0</v>
      </c>
      <c r="F57" s="26">
        <v>2</v>
      </c>
      <c r="G57" s="103">
        <v>2.5299999999999998</v>
      </c>
      <c r="H57" s="26">
        <v>0.5</v>
      </c>
      <c r="I57" s="103">
        <v>0</v>
      </c>
      <c r="J57" s="103">
        <v>0.46</v>
      </c>
      <c r="K57" s="103">
        <v>0</v>
      </c>
      <c r="L57" s="103">
        <v>1.02</v>
      </c>
      <c r="M57" s="103">
        <f t="shared" si="0"/>
        <v>53.02</v>
      </c>
      <c r="N57" s="50">
        <f>'instruction-charters'!P58</f>
        <v>46.510000000000005</v>
      </c>
      <c r="O57" s="66">
        <f t="shared" si="1"/>
        <v>6.51</v>
      </c>
    </row>
    <row r="58" spans="1:15" ht="10.9" customHeight="1">
      <c r="A58" s="50" t="s">
        <v>86</v>
      </c>
      <c r="B58" s="46" t="s">
        <v>141</v>
      </c>
      <c r="C58" s="18">
        <v>1.1000000000000001</v>
      </c>
      <c r="D58" s="18">
        <v>0</v>
      </c>
      <c r="E58" s="18">
        <v>0</v>
      </c>
      <c r="F58" s="18">
        <v>5.7</v>
      </c>
      <c r="G58" s="18">
        <v>4</v>
      </c>
      <c r="H58" s="18">
        <v>0</v>
      </c>
      <c r="I58" s="18">
        <v>0</v>
      </c>
      <c r="J58" s="18">
        <v>0</v>
      </c>
      <c r="K58" s="18">
        <v>0</v>
      </c>
      <c r="L58" s="18">
        <v>2.5</v>
      </c>
      <c r="M58" s="18">
        <f t="shared" si="0"/>
        <v>53.379999999999995</v>
      </c>
      <c r="N58" s="50">
        <f>'instruction-charters'!P59</f>
        <v>40.08</v>
      </c>
      <c r="O58" s="66">
        <f t="shared" si="1"/>
        <v>13.3</v>
      </c>
    </row>
    <row r="59" spans="1:15" ht="10.9" customHeight="1">
      <c r="A59" s="50">
        <v>86</v>
      </c>
      <c r="B59" s="47" t="s">
        <v>142</v>
      </c>
      <c r="C59" s="22">
        <v>1.25</v>
      </c>
      <c r="D59" s="22">
        <v>2</v>
      </c>
      <c r="E59" s="22">
        <v>2</v>
      </c>
      <c r="F59" s="22">
        <v>1.8</v>
      </c>
      <c r="G59" s="22">
        <v>2</v>
      </c>
      <c r="H59" s="22">
        <v>1.2</v>
      </c>
      <c r="I59" s="22">
        <v>0</v>
      </c>
      <c r="J59" s="22">
        <v>1</v>
      </c>
      <c r="K59" s="22">
        <v>0.1</v>
      </c>
      <c r="L59" s="22">
        <v>5</v>
      </c>
      <c r="M59" s="22">
        <f t="shared" si="0"/>
        <v>75.759999999999991</v>
      </c>
      <c r="N59" s="50">
        <f>'instruction-charters'!P60</f>
        <v>59.41</v>
      </c>
      <c r="O59" s="66">
        <f t="shared" si="1"/>
        <v>16.350000000000001</v>
      </c>
    </row>
    <row r="60" spans="1:15" ht="10.9" customHeight="1">
      <c r="A60" s="50" t="s">
        <v>143</v>
      </c>
      <c r="B60" s="47" t="s">
        <v>144</v>
      </c>
      <c r="C60" s="22">
        <v>0</v>
      </c>
      <c r="D60" s="22">
        <v>0</v>
      </c>
      <c r="E60" s="22">
        <v>2.76</v>
      </c>
      <c r="F60" s="22">
        <v>2</v>
      </c>
      <c r="G60" s="22">
        <v>0</v>
      </c>
      <c r="H60" s="22">
        <v>0</v>
      </c>
      <c r="I60" s="22">
        <v>0</v>
      </c>
      <c r="J60" s="22">
        <v>1</v>
      </c>
      <c r="K60" s="22">
        <v>0.01</v>
      </c>
      <c r="L60" s="22">
        <v>9.25</v>
      </c>
      <c r="M60" s="22">
        <f t="shared" si="0"/>
        <v>104.63</v>
      </c>
      <c r="N60" s="50">
        <f>'instruction-charters'!P61</f>
        <v>89.61</v>
      </c>
      <c r="O60" s="66">
        <f t="shared" si="1"/>
        <v>15.02</v>
      </c>
    </row>
    <row r="61" spans="1:15" ht="10.9" customHeight="1">
      <c r="A61" s="50" t="s">
        <v>195</v>
      </c>
      <c r="B61" s="47" t="s">
        <v>196</v>
      </c>
      <c r="C61" s="22">
        <v>0</v>
      </c>
      <c r="D61" s="22">
        <v>0</v>
      </c>
      <c r="E61" s="22">
        <v>0</v>
      </c>
      <c r="F61" s="22">
        <v>0.8</v>
      </c>
      <c r="G61" s="22">
        <v>2</v>
      </c>
      <c r="H61" s="22">
        <v>0</v>
      </c>
      <c r="I61" s="22">
        <v>0</v>
      </c>
      <c r="J61" s="22">
        <v>1</v>
      </c>
      <c r="K61" s="22">
        <v>0</v>
      </c>
      <c r="L61" s="22">
        <v>9.5</v>
      </c>
      <c r="M61" s="22">
        <f t="shared" si="0"/>
        <v>49.850000000000009</v>
      </c>
      <c r="N61" s="50">
        <f>'instruction-charters'!P62</f>
        <v>36.550000000000004</v>
      </c>
      <c r="O61" s="66">
        <f t="shared" si="1"/>
        <v>13.3</v>
      </c>
    </row>
    <row r="62" spans="1:15" ht="10.9" customHeight="1" thickBot="1">
      <c r="A62" s="50" t="s">
        <v>145</v>
      </c>
      <c r="B62" s="48" t="s">
        <v>146</v>
      </c>
      <c r="C62" s="26">
        <v>1.5</v>
      </c>
      <c r="D62" s="103">
        <v>0</v>
      </c>
      <c r="E62" s="103">
        <v>0</v>
      </c>
      <c r="F62" s="26">
        <v>0</v>
      </c>
      <c r="G62" s="103">
        <v>1.83</v>
      </c>
      <c r="H62" s="26">
        <v>0</v>
      </c>
      <c r="I62" s="103">
        <v>0</v>
      </c>
      <c r="J62" s="103">
        <v>0</v>
      </c>
      <c r="K62" s="103">
        <v>0</v>
      </c>
      <c r="L62" s="103">
        <v>0.3</v>
      </c>
      <c r="M62" s="103">
        <f t="shared" si="0"/>
        <v>48.300000000000011</v>
      </c>
      <c r="N62" s="50">
        <f>'instruction-charters'!P63</f>
        <v>44.670000000000009</v>
      </c>
      <c r="O62" s="66">
        <f t="shared" si="1"/>
        <v>3.63</v>
      </c>
    </row>
    <row r="63" spans="1:15" ht="10.9" customHeight="1">
      <c r="A63" s="50" t="s">
        <v>87</v>
      </c>
      <c r="B63" s="46" t="s">
        <v>147</v>
      </c>
      <c r="C63" s="18">
        <v>0</v>
      </c>
      <c r="D63" s="18">
        <v>0</v>
      </c>
      <c r="E63" s="18">
        <v>0</v>
      </c>
      <c r="F63" s="18">
        <v>1</v>
      </c>
      <c r="G63" s="18">
        <v>1</v>
      </c>
      <c r="H63" s="18">
        <v>0</v>
      </c>
      <c r="I63" s="18">
        <v>0</v>
      </c>
      <c r="J63" s="18">
        <v>0</v>
      </c>
      <c r="K63" s="18">
        <v>0.1</v>
      </c>
      <c r="L63" s="18">
        <v>2</v>
      </c>
      <c r="M63" s="18">
        <f t="shared" si="0"/>
        <v>28.770000000000003</v>
      </c>
      <c r="N63" s="50">
        <f>'instruction-charters'!P64</f>
        <v>24.67</v>
      </c>
      <c r="O63" s="66">
        <f t="shared" si="1"/>
        <v>4.0999999999999996</v>
      </c>
    </row>
    <row r="64" spans="1:15" ht="10.9" customHeight="1">
      <c r="A64" s="50" t="s">
        <v>88</v>
      </c>
      <c r="B64" s="47" t="s">
        <v>148</v>
      </c>
      <c r="C64" s="22">
        <v>0</v>
      </c>
      <c r="D64" s="22">
        <v>0</v>
      </c>
      <c r="E64" s="22">
        <v>0</v>
      </c>
      <c r="F64" s="22">
        <v>2</v>
      </c>
      <c r="G64" s="22">
        <v>2</v>
      </c>
      <c r="H64" s="22">
        <v>0</v>
      </c>
      <c r="I64" s="22">
        <v>0</v>
      </c>
      <c r="J64" s="22">
        <v>1</v>
      </c>
      <c r="K64" s="22">
        <v>0.5</v>
      </c>
      <c r="L64" s="22">
        <v>4.75</v>
      </c>
      <c r="M64" s="22">
        <f t="shared" si="0"/>
        <v>59.01</v>
      </c>
      <c r="N64" s="50">
        <f>'instruction-charters'!P65</f>
        <v>48.76</v>
      </c>
      <c r="O64" s="66">
        <f t="shared" si="1"/>
        <v>10.25</v>
      </c>
    </row>
    <row r="65" spans="1:15" ht="10.9" customHeight="1">
      <c r="A65" s="50" t="s">
        <v>89</v>
      </c>
      <c r="B65" s="47" t="s">
        <v>149</v>
      </c>
      <c r="C65" s="22">
        <v>0.5</v>
      </c>
      <c r="D65" s="22">
        <v>0</v>
      </c>
      <c r="E65" s="22">
        <v>0</v>
      </c>
      <c r="F65" s="22">
        <v>1</v>
      </c>
      <c r="G65" s="22">
        <v>2</v>
      </c>
      <c r="H65" s="22">
        <v>0</v>
      </c>
      <c r="I65" s="22">
        <v>0</v>
      </c>
      <c r="J65" s="22">
        <v>0</v>
      </c>
      <c r="K65" s="22">
        <v>0</v>
      </c>
      <c r="L65" s="22">
        <v>5</v>
      </c>
      <c r="M65" s="22">
        <f t="shared" si="0"/>
        <v>53.19</v>
      </c>
      <c r="N65" s="50">
        <f>'instruction-charters'!P66</f>
        <v>44.69</v>
      </c>
      <c r="O65" s="66">
        <f t="shared" si="1"/>
        <v>8.5</v>
      </c>
    </row>
    <row r="66" spans="1:15" ht="10.9" customHeight="1">
      <c r="A66" s="50" t="s">
        <v>150</v>
      </c>
      <c r="B66" s="47" t="s">
        <v>151</v>
      </c>
      <c r="C66" s="22">
        <v>0.5</v>
      </c>
      <c r="D66" s="22">
        <v>0</v>
      </c>
      <c r="E66" s="22">
        <v>0</v>
      </c>
      <c r="F66" s="22">
        <v>0</v>
      </c>
      <c r="G66" s="22">
        <v>0.75</v>
      </c>
      <c r="H66" s="22">
        <v>0</v>
      </c>
      <c r="I66" s="22">
        <v>0</v>
      </c>
      <c r="J66" s="22">
        <v>0</v>
      </c>
      <c r="K66" s="22">
        <v>0</v>
      </c>
      <c r="L66" s="22">
        <v>2.1</v>
      </c>
      <c r="M66" s="22">
        <f t="shared" si="0"/>
        <v>21.060000000000002</v>
      </c>
      <c r="N66" s="50">
        <f>'instruction-charters'!P67</f>
        <v>17.71</v>
      </c>
      <c r="O66" s="66">
        <f t="shared" si="1"/>
        <v>3.35</v>
      </c>
    </row>
    <row r="67" spans="1:15" ht="10.9" customHeight="1" thickBot="1">
      <c r="A67" s="50">
        <v>97</v>
      </c>
      <c r="B67" s="48" t="s">
        <v>152</v>
      </c>
      <c r="C67" s="26">
        <v>0</v>
      </c>
      <c r="D67" s="103">
        <v>0</v>
      </c>
      <c r="E67" s="103">
        <v>0</v>
      </c>
      <c r="F67" s="26">
        <v>1</v>
      </c>
      <c r="G67" s="103">
        <v>1</v>
      </c>
      <c r="H67" s="26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f t="shared" si="0"/>
        <v>20.16</v>
      </c>
      <c r="N67" s="50">
        <f>'instruction-charters'!P68</f>
        <v>18.16</v>
      </c>
      <c r="O67" s="66">
        <f t="shared" si="1"/>
        <v>2</v>
      </c>
    </row>
    <row r="68" spans="1:15" ht="10.9" customHeight="1">
      <c r="A68" s="50" t="s">
        <v>153</v>
      </c>
      <c r="B68" s="46" t="s">
        <v>154</v>
      </c>
      <c r="C68" s="18">
        <v>1</v>
      </c>
      <c r="D68" s="18" t="s">
        <v>222</v>
      </c>
      <c r="E68" s="18" t="s">
        <v>222</v>
      </c>
      <c r="F68" s="18">
        <v>0</v>
      </c>
      <c r="G68" s="18" t="s">
        <v>222</v>
      </c>
      <c r="H68" s="18">
        <v>0</v>
      </c>
      <c r="I68" s="18" t="s">
        <v>222</v>
      </c>
      <c r="J68" s="18" t="s">
        <v>222</v>
      </c>
      <c r="K68" s="18" t="s">
        <v>222</v>
      </c>
      <c r="L68" s="18" t="s">
        <v>222</v>
      </c>
      <c r="M68" s="18">
        <f t="shared" si="0"/>
        <v>17.27</v>
      </c>
      <c r="N68" s="50">
        <f>'instruction-charters'!P69</f>
        <v>16.27</v>
      </c>
      <c r="O68" s="66">
        <f t="shared" si="1"/>
        <v>1</v>
      </c>
    </row>
    <row r="69" spans="1:15" ht="10.9" customHeight="1">
      <c r="A69" s="50" t="s">
        <v>90</v>
      </c>
      <c r="B69" s="47" t="s">
        <v>155</v>
      </c>
      <c r="C69" s="22">
        <v>1</v>
      </c>
      <c r="D69" s="22">
        <v>1</v>
      </c>
      <c r="E69" s="22">
        <v>1</v>
      </c>
      <c r="F69" s="22">
        <v>1</v>
      </c>
      <c r="G69" s="22">
        <v>1</v>
      </c>
      <c r="H69" s="22">
        <v>0</v>
      </c>
      <c r="I69" s="22">
        <v>0</v>
      </c>
      <c r="J69" s="22">
        <v>0</v>
      </c>
      <c r="K69" s="22">
        <v>0</v>
      </c>
      <c r="L69" s="22">
        <v>2.13</v>
      </c>
      <c r="M69" s="22">
        <f t="shared" si="0"/>
        <v>13.92</v>
      </c>
      <c r="N69" s="50">
        <f>'instruction-charters'!P70</f>
        <v>6.79</v>
      </c>
      <c r="O69" s="66">
        <f t="shared" si="1"/>
        <v>7.13</v>
      </c>
    </row>
    <row r="70" spans="1:15" ht="10.9" customHeight="1">
      <c r="A70" s="50">
        <v>89</v>
      </c>
      <c r="B70" s="47" t="s">
        <v>156</v>
      </c>
      <c r="C70" s="22">
        <v>0</v>
      </c>
      <c r="D70" s="22">
        <v>0</v>
      </c>
      <c r="E70" s="22">
        <v>0</v>
      </c>
      <c r="F70" s="22">
        <v>1</v>
      </c>
      <c r="G70" s="22">
        <v>0</v>
      </c>
      <c r="H70" s="22">
        <v>0.25</v>
      </c>
      <c r="I70" s="22">
        <v>0</v>
      </c>
      <c r="J70" s="22">
        <v>0</v>
      </c>
      <c r="K70" s="22">
        <v>0</v>
      </c>
      <c r="L70" s="22">
        <v>0</v>
      </c>
      <c r="M70" s="22">
        <f t="shared" si="0"/>
        <v>17.75</v>
      </c>
      <c r="N70" s="50">
        <f>'instruction-charters'!P71</f>
        <v>16.5</v>
      </c>
      <c r="O70" s="66">
        <f t="shared" si="1"/>
        <v>1.25</v>
      </c>
    </row>
    <row r="71" spans="1:15" ht="10.9" customHeight="1">
      <c r="A71" s="50" t="s">
        <v>91</v>
      </c>
      <c r="B71" s="47" t="s">
        <v>157</v>
      </c>
      <c r="C71" s="22">
        <v>0</v>
      </c>
      <c r="D71" s="22">
        <v>0</v>
      </c>
      <c r="E71" s="22">
        <v>1.75</v>
      </c>
      <c r="F71" s="22">
        <v>2</v>
      </c>
      <c r="G71" s="22">
        <v>4</v>
      </c>
      <c r="H71" s="22">
        <v>0</v>
      </c>
      <c r="I71" s="22">
        <v>0</v>
      </c>
      <c r="J71" s="22">
        <v>0</v>
      </c>
      <c r="K71" s="22">
        <v>0</v>
      </c>
      <c r="L71" s="22">
        <v>1.8</v>
      </c>
      <c r="M71" s="22">
        <f t="shared" si="0"/>
        <v>81.66</v>
      </c>
      <c r="N71" s="50">
        <f>'instruction-charters'!P72</f>
        <v>72.11</v>
      </c>
      <c r="O71" s="66">
        <f t="shared" si="1"/>
        <v>9.5500000000000007</v>
      </c>
    </row>
    <row r="72" spans="1:15" ht="10.9" customHeight="1" thickBot="1">
      <c r="A72" s="50" t="s">
        <v>92</v>
      </c>
      <c r="B72" s="48" t="s">
        <v>158</v>
      </c>
      <c r="C72" s="26">
        <v>0</v>
      </c>
      <c r="D72" s="103">
        <v>0</v>
      </c>
      <c r="E72" s="103">
        <v>0</v>
      </c>
      <c r="F72" s="26">
        <v>1</v>
      </c>
      <c r="G72" s="103">
        <v>0</v>
      </c>
      <c r="H72" s="26">
        <v>0</v>
      </c>
      <c r="I72" s="103">
        <v>0</v>
      </c>
      <c r="J72" s="103">
        <v>0</v>
      </c>
      <c r="K72" s="103">
        <v>0</v>
      </c>
      <c r="L72" s="103">
        <v>0</v>
      </c>
      <c r="M72" s="103">
        <f t="shared" si="0"/>
        <v>9.75</v>
      </c>
      <c r="N72" s="50">
        <f>'instruction-charters'!P73</f>
        <v>8.75</v>
      </c>
      <c r="O72" s="66">
        <f t="shared" si="1"/>
        <v>1</v>
      </c>
    </row>
    <row r="73" spans="1:15" ht="10.9" customHeight="1">
      <c r="A73" s="50" t="s">
        <v>93</v>
      </c>
      <c r="B73" s="46" t="s">
        <v>159</v>
      </c>
      <c r="C73" s="18">
        <v>0</v>
      </c>
      <c r="D73" s="18">
        <v>0.67</v>
      </c>
      <c r="E73" s="18">
        <v>3.67</v>
      </c>
      <c r="F73" s="18">
        <v>3</v>
      </c>
      <c r="G73" s="18">
        <v>4.5</v>
      </c>
      <c r="H73" s="18">
        <v>2</v>
      </c>
      <c r="I73" s="18">
        <v>0</v>
      </c>
      <c r="J73" s="18">
        <v>1</v>
      </c>
      <c r="K73" s="18">
        <v>0</v>
      </c>
      <c r="L73" s="18">
        <v>7.25</v>
      </c>
      <c r="M73" s="18">
        <f t="shared" ref="M73:M87" si="2">SUM(N73:O73)</f>
        <v>90.570000000000007</v>
      </c>
      <c r="N73" s="50">
        <f>'instruction-charters'!P74</f>
        <v>68.48</v>
      </c>
      <c r="O73" s="66">
        <f t="shared" ref="O73:O87" si="3">SUM(C73:L73)</f>
        <v>22.09</v>
      </c>
    </row>
    <row r="74" spans="1:15" ht="10.9" customHeight="1">
      <c r="A74" s="50" t="s">
        <v>197</v>
      </c>
      <c r="B74" s="47" t="s">
        <v>198</v>
      </c>
      <c r="C74" s="22">
        <v>0</v>
      </c>
      <c r="D74" s="22">
        <v>0</v>
      </c>
      <c r="E74" s="22">
        <v>0</v>
      </c>
      <c r="F74" s="22">
        <v>1</v>
      </c>
      <c r="G74" s="22">
        <v>1.3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f t="shared" si="2"/>
        <v>21.67</v>
      </c>
      <c r="N74" s="50">
        <f>'instruction-charters'!P75</f>
        <v>19.37</v>
      </c>
      <c r="O74" s="66">
        <f t="shared" si="3"/>
        <v>2.2999999999999998</v>
      </c>
    </row>
    <row r="75" spans="1:15" ht="10.9" customHeight="1">
      <c r="A75" s="50" t="s">
        <v>94</v>
      </c>
      <c r="B75" s="47" t="s">
        <v>160</v>
      </c>
      <c r="C75" s="22">
        <v>0</v>
      </c>
      <c r="D75" s="22">
        <v>0</v>
      </c>
      <c r="E75" s="22">
        <v>0</v>
      </c>
      <c r="F75" s="22">
        <v>3</v>
      </c>
      <c r="G75" s="22">
        <v>2</v>
      </c>
      <c r="H75" s="22">
        <v>0</v>
      </c>
      <c r="I75" s="22">
        <v>0</v>
      </c>
      <c r="J75" s="22">
        <v>0.75</v>
      </c>
      <c r="K75" s="22">
        <v>0</v>
      </c>
      <c r="L75" s="22">
        <v>3.54</v>
      </c>
      <c r="M75" s="22">
        <f t="shared" si="2"/>
        <v>66.990000000000009</v>
      </c>
      <c r="N75" s="50">
        <f>'instruction-charters'!P76</f>
        <v>57.7</v>
      </c>
      <c r="O75" s="66">
        <f t="shared" si="3"/>
        <v>9.2899999999999991</v>
      </c>
    </row>
    <row r="76" spans="1:15" ht="10.9" customHeight="1">
      <c r="A76" s="50">
        <v>94</v>
      </c>
      <c r="B76" s="47" t="s">
        <v>161</v>
      </c>
      <c r="C76" s="22">
        <v>0</v>
      </c>
      <c r="D76" s="22">
        <v>0</v>
      </c>
      <c r="E76" s="22">
        <v>0</v>
      </c>
      <c r="F76" s="22">
        <v>3</v>
      </c>
      <c r="G76" s="22">
        <v>5.0999999999999996</v>
      </c>
      <c r="H76" s="22">
        <v>2</v>
      </c>
      <c r="I76" s="22">
        <v>0</v>
      </c>
      <c r="J76" s="22">
        <v>0</v>
      </c>
      <c r="K76" s="22">
        <v>0</v>
      </c>
      <c r="L76" s="22">
        <v>5.4</v>
      </c>
      <c r="M76" s="22">
        <f t="shared" si="2"/>
        <v>99.14</v>
      </c>
      <c r="N76" s="50">
        <f>'instruction-charters'!P77</f>
        <v>83.64</v>
      </c>
      <c r="O76" s="66">
        <f t="shared" si="3"/>
        <v>15.5</v>
      </c>
    </row>
    <row r="77" spans="1:15" ht="10.9" customHeight="1" thickBot="1">
      <c r="A77" s="50">
        <v>95</v>
      </c>
      <c r="B77" s="48" t="s">
        <v>162</v>
      </c>
      <c r="C77" s="26">
        <v>0</v>
      </c>
      <c r="D77" s="103">
        <v>0</v>
      </c>
      <c r="E77" s="103">
        <v>2.25</v>
      </c>
      <c r="F77" s="26">
        <v>1</v>
      </c>
      <c r="G77" s="103">
        <v>0</v>
      </c>
      <c r="H77" s="26">
        <v>0</v>
      </c>
      <c r="I77" s="103">
        <v>0</v>
      </c>
      <c r="J77" s="103">
        <v>0</v>
      </c>
      <c r="K77" s="103">
        <v>0</v>
      </c>
      <c r="L77" s="103">
        <v>0</v>
      </c>
      <c r="M77" s="103">
        <f t="shared" si="2"/>
        <v>27.75</v>
      </c>
      <c r="N77" s="50">
        <f>'instruction-charters'!P78</f>
        <v>24.5</v>
      </c>
      <c r="O77" s="66">
        <f t="shared" si="3"/>
        <v>3.25</v>
      </c>
    </row>
    <row r="78" spans="1:15" ht="10.9" customHeight="1">
      <c r="A78" s="50">
        <v>90</v>
      </c>
      <c r="B78" s="46" t="s">
        <v>163</v>
      </c>
      <c r="C78" s="18">
        <v>0.54</v>
      </c>
      <c r="D78" s="18">
        <v>1</v>
      </c>
      <c r="E78" s="18">
        <v>1</v>
      </c>
      <c r="F78" s="18">
        <v>2.59</v>
      </c>
      <c r="G78" s="18">
        <v>1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f t="shared" si="2"/>
        <v>26.04</v>
      </c>
      <c r="N78" s="50">
        <f>'instruction-charters'!P79</f>
        <v>19.91</v>
      </c>
      <c r="O78" s="66">
        <f t="shared" si="3"/>
        <v>6.13</v>
      </c>
    </row>
    <row r="79" spans="1:15" ht="10.9" customHeight="1">
      <c r="A79" s="50">
        <v>92</v>
      </c>
      <c r="B79" s="47" t="s">
        <v>164</v>
      </c>
      <c r="C79" s="22">
        <v>0</v>
      </c>
      <c r="D79" s="22">
        <v>0</v>
      </c>
      <c r="E79" s="22">
        <v>0</v>
      </c>
      <c r="F79" s="22">
        <v>1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f t="shared" si="2"/>
        <v>11.17</v>
      </c>
      <c r="N79" s="50">
        <f>'instruction-charters'!P80</f>
        <v>10.17</v>
      </c>
      <c r="O79" s="66">
        <f t="shared" si="3"/>
        <v>1</v>
      </c>
    </row>
    <row r="80" spans="1:15" ht="10.9" customHeight="1">
      <c r="A80" s="50" t="s">
        <v>210</v>
      </c>
      <c r="B80" s="47" t="s">
        <v>211</v>
      </c>
      <c r="C80" s="22">
        <v>0</v>
      </c>
      <c r="D80" s="22">
        <v>0</v>
      </c>
      <c r="E80" s="22">
        <v>0</v>
      </c>
      <c r="F80" s="22">
        <v>1</v>
      </c>
      <c r="G80" s="22">
        <v>1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f t="shared" si="2"/>
        <v>9.65</v>
      </c>
      <c r="N80" s="50">
        <f>'instruction-charters'!P81</f>
        <v>7.65</v>
      </c>
      <c r="O80" s="66">
        <f t="shared" si="3"/>
        <v>2</v>
      </c>
    </row>
    <row r="81" spans="1:17" ht="10.9" customHeight="1">
      <c r="A81" s="50" t="s">
        <v>95</v>
      </c>
      <c r="B81" s="47" t="s">
        <v>165</v>
      </c>
      <c r="C81" s="22">
        <v>0</v>
      </c>
      <c r="D81" s="22">
        <v>0</v>
      </c>
      <c r="E81" s="22">
        <v>0</v>
      </c>
      <c r="F81" s="22">
        <v>1.29</v>
      </c>
      <c r="G81" s="22">
        <v>1</v>
      </c>
      <c r="H81" s="22">
        <v>0</v>
      </c>
      <c r="I81" s="22">
        <v>0</v>
      </c>
      <c r="J81" s="22">
        <v>0</v>
      </c>
      <c r="K81" s="22">
        <v>0</v>
      </c>
      <c r="L81" s="22">
        <v>0.75</v>
      </c>
      <c r="M81" s="22">
        <f t="shared" si="2"/>
        <v>19.419999999999998</v>
      </c>
      <c r="N81" s="50">
        <f>'instruction-charters'!P82</f>
        <v>16.38</v>
      </c>
      <c r="O81" s="66">
        <f t="shared" si="3"/>
        <v>3.04</v>
      </c>
    </row>
    <row r="82" spans="1:17" ht="10.9" customHeight="1" thickBot="1">
      <c r="A82" s="50" t="s">
        <v>166</v>
      </c>
      <c r="B82" s="48" t="s">
        <v>167</v>
      </c>
      <c r="C82" s="26">
        <v>2.25</v>
      </c>
      <c r="D82" s="103">
        <v>0</v>
      </c>
      <c r="E82" s="103">
        <v>2</v>
      </c>
      <c r="F82" s="26">
        <v>2</v>
      </c>
      <c r="G82" s="103">
        <v>1</v>
      </c>
      <c r="H82" s="26">
        <v>0</v>
      </c>
      <c r="I82" s="103">
        <v>0</v>
      </c>
      <c r="J82" s="103">
        <v>0</v>
      </c>
      <c r="K82" s="103">
        <v>0</v>
      </c>
      <c r="L82" s="103">
        <v>0</v>
      </c>
      <c r="M82" s="103">
        <f t="shared" si="2"/>
        <v>66.650000000000006</v>
      </c>
      <c r="N82" s="50">
        <f>'instruction-charters'!P83</f>
        <v>59.4</v>
      </c>
      <c r="O82" s="66">
        <f t="shared" si="3"/>
        <v>7.25</v>
      </c>
    </row>
    <row r="83" spans="1:17" ht="10.9" customHeight="1">
      <c r="A83" s="50" t="s">
        <v>168</v>
      </c>
      <c r="B83" s="46" t="s">
        <v>169</v>
      </c>
      <c r="C83" s="18">
        <v>0</v>
      </c>
      <c r="D83" s="18">
        <v>0</v>
      </c>
      <c r="E83" s="18">
        <v>0</v>
      </c>
      <c r="F83" s="18">
        <v>2</v>
      </c>
      <c r="G83" s="18">
        <v>2.2000000000000002</v>
      </c>
      <c r="H83" s="18">
        <v>0</v>
      </c>
      <c r="I83" s="18">
        <v>0</v>
      </c>
      <c r="J83" s="18">
        <v>0</v>
      </c>
      <c r="K83" s="18">
        <v>0</v>
      </c>
      <c r="L83" s="18">
        <v>3.4000000000000004</v>
      </c>
      <c r="M83" s="18">
        <f t="shared" si="2"/>
        <v>39.299999999999997</v>
      </c>
      <c r="N83" s="50">
        <f>'instruction-charters'!P84</f>
        <v>31.7</v>
      </c>
      <c r="O83" s="66">
        <f t="shared" si="3"/>
        <v>7.6000000000000005</v>
      </c>
    </row>
    <row r="84" spans="1:17" s="34" customFormat="1" ht="10.9" customHeight="1">
      <c r="A84" s="50" t="s">
        <v>184</v>
      </c>
      <c r="B84" s="47" t="s">
        <v>199</v>
      </c>
      <c r="C84" s="22">
        <v>0</v>
      </c>
      <c r="D84" s="22" t="s">
        <v>222</v>
      </c>
      <c r="E84" s="22" t="s">
        <v>222</v>
      </c>
      <c r="F84" s="22">
        <v>1.3</v>
      </c>
      <c r="G84" s="22">
        <v>0</v>
      </c>
      <c r="H84" s="22">
        <v>1</v>
      </c>
      <c r="I84" s="22" t="s">
        <v>222</v>
      </c>
      <c r="J84" s="22" t="s">
        <v>222</v>
      </c>
      <c r="K84" s="22" t="s">
        <v>222</v>
      </c>
      <c r="L84" s="22" t="s">
        <v>222</v>
      </c>
      <c r="M84" s="22">
        <f t="shared" si="2"/>
        <v>40.26</v>
      </c>
      <c r="N84" s="50">
        <f>'instruction-charters'!P85</f>
        <v>37.96</v>
      </c>
      <c r="O84" s="66">
        <f t="shared" si="3"/>
        <v>2.2999999999999998</v>
      </c>
      <c r="P84" s="11"/>
      <c r="Q84" s="11"/>
    </row>
    <row r="85" spans="1:17" ht="10.9" customHeight="1">
      <c r="A85" s="50">
        <v>81</v>
      </c>
      <c r="B85" s="47" t="s">
        <v>170</v>
      </c>
      <c r="C85" s="22">
        <v>0</v>
      </c>
      <c r="D85" s="22">
        <v>1</v>
      </c>
      <c r="E85" s="22">
        <v>2</v>
      </c>
      <c r="F85" s="22">
        <v>1.98</v>
      </c>
      <c r="G85" s="22">
        <v>1.73</v>
      </c>
      <c r="H85" s="22">
        <v>0</v>
      </c>
      <c r="I85" s="22">
        <v>0</v>
      </c>
      <c r="J85" s="22">
        <v>0</v>
      </c>
      <c r="K85" s="22">
        <v>0.03</v>
      </c>
      <c r="L85" s="22">
        <v>1.48</v>
      </c>
      <c r="M85" s="22">
        <f t="shared" si="2"/>
        <v>46.25</v>
      </c>
      <c r="N85" s="50">
        <f>'instruction-charters'!P86</f>
        <v>38.03</v>
      </c>
      <c r="O85" s="66">
        <f t="shared" si="3"/>
        <v>8.2200000000000006</v>
      </c>
    </row>
    <row r="86" spans="1:17" ht="10.9" customHeight="1">
      <c r="A86" s="50" t="s">
        <v>96</v>
      </c>
      <c r="B86" s="47" t="s">
        <v>171</v>
      </c>
      <c r="C86" s="22">
        <v>0</v>
      </c>
      <c r="D86" s="22">
        <v>0</v>
      </c>
      <c r="E86" s="22">
        <v>0</v>
      </c>
      <c r="F86" s="22">
        <v>1</v>
      </c>
      <c r="G86" s="22">
        <v>3.75</v>
      </c>
      <c r="H86" s="22">
        <v>0</v>
      </c>
      <c r="I86" s="22">
        <v>0</v>
      </c>
      <c r="J86" s="22">
        <v>0.83</v>
      </c>
      <c r="K86" s="22">
        <v>0</v>
      </c>
      <c r="L86" s="22">
        <v>1.27</v>
      </c>
      <c r="M86" s="22">
        <f t="shared" si="2"/>
        <v>36.69</v>
      </c>
      <c r="N86" s="50">
        <f>'instruction-charters'!P87</f>
        <v>29.84</v>
      </c>
      <c r="O86" s="66">
        <f t="shared" si="3"/>
        <v>6.85</v>
      </c>
      <c r="Q86" s="34"/>
    </row>
    <row r="87" spans="1:17" ht="10.9" customHeight="1" thickBot="1">
      <c r="A87" s="50" t="s">
        <v>200</v>
      </c>
      <c r="B87" s="48" t="s">
        <v>201</v>
      </c>
      <c r="C87" s="26">
        <v>0</v>
      </c>
      <c r="D87" s="103">
        <v>0</v>
      </c>
      <c r="E87" s="103">
        <v>0</v>
      </c>
      <c r="F87" s="26">
        <v>2.5</v>
      </c>
      <c r="G87" s="103">
        <v>2.5</v>
      </c>
      <c r="H87" s="26">
        <v>0</v>
      </c>
      <c r="I87" s="103">
        <v>0</v>
      </c>
      <c r="J87" s="103">
        <v>0.5</v>
      </c>
      <c r="K87" s="103">
        <v>0</v>
      </c>
      <c r="L87" s="103">
        <v>2</v>
      </c>
      <c r="M87" s="103">
        <f t="shared" si="2"/>
        <v>43.58</v>
      </c>
      <c r="N87" s="50">
        <f>'instruction-charters'!P88</f>
        <v>36.08</v>
      </c>
      <c r="O87" s="66">
        <f t="shared" si="3"/>
        <v>7.5</v>
      </c>
    </row>
    <row r="88" spans="1:17" ht="10.9" customHeight="1" thickBot="1">
      <c r="B88" s="110" t="s">
        <v>213</v>
      </c>
      <c r="C88" s="107">
        <f>SUM(C8:C87)</f>
        <v>28.57</v>
      </c>
      <c r="D88" s="107">
        <f t="shared" ref="D88:M88" si="4">SUM(D8:D87)</f>
        <v>15.37</v>
      </c>
      <c r="E88" s="107">
        <f t="shared" si="4"/>
        <v>37.700000000000003</v>
      </c>
      <c r="F88" s="107">
        <f t="shared" si="4"/>
        <v>111.33</v>
      </c>
      <c r="G88" s="107">
        <f t="shared" si="4"/>
        <v>147.11999999999998</v>
      </c>
      <c r="H88" s="107">
        <f t="shared" si="4"/>
        <v>16.579999999999998</v>
      </c>
      <c r="I88" s="107">
        <f t="shared" si="4"/>
        <v>0</v>
      </c>
      <c r="J88" s="107">
        <f t="shared" si="4"/>
        <v>17.34</v>
      </c>
      <c r="K88" s="107">
        <f t="shared" si="4"/>
        <v>2.52</v>
      </c>
      <c r="L88" s="107">
        <f t="shared" si="4"/>
        <v>168.82</v>
      </c>
      <c r="M88" s="107">
        <f t="shared" si="4"/>
        <v>3283.8200000000006</v>
      </c>
    </row>
    <row r="89" spans="1:17">
      <c r="B89" s="82" t="s">
        <v>224</v>
      </c>
      <c r="K89" s="34"/>
      <c r="L89" s="72"/>
      <c r="M89" s="11"/>
    </row>
    <row r="90" spans="1:17">
      <c r="B90" s="82" t="s">
        <v>228</v>
      </c>
      <c r="K90" s="34"/>
      <c r="L90" s="72"/>
      <c r="M90" s="11"/>
    </row>
    <row r="91" spans="1:17">
      <c r="C91" s="78"/>
      <c r="D91" s="78"/>
      <c r="E91" s="78"/>
      <c r="F91" s="78"/>
      <c r="G91" s="78"/>
      <c r="H91" s="78"/>
      <c r="I91" s="78"/>
      <c r="J91" s="78"/>
      <c r="K91" s="84"/>
      <c r="L91" s="72"/>
      <c r="M91" s="78"/>
      <c r="N91" s="93"/>
    </row>
    <row r="92" spans="1:17">
      <c r="C92" s="78"/>
      <c r="D92" s="85"/>
      <c r="E92" s="85"/>
      <c r="F92" s="78"/>
      <c r="G92" s="85"/>
      <c r="H92" s="78"/>
      <c r="I92" s="78"/>
      <c r="J92" s="78"/>
      <c r="K92" s="84"/>
      <c r="L92" s="72"/>
      <c r="M92" s="78"/>
      <c r="N92" s="93"/>
    </row>
    <row r="93" spans="1:17">
      <c r="C93" s="78"/>
      <c r="D93" s="78"/>
      <c r="E93" s="78"/>
      <c r="F93" s="78"/>
      <c r="G93" s="78"/>
      <c r="H93" s="78"/>
      <c r="I93" s="85"/>
      <c r="J93" s="85"/>
      <c r="K93" s="85"/>
      <c r="L93" s="85"/>
      <c r="M93" s="84"/>
      <c r="N93" s="93"/>
    </row>
    <row r="94" spans="1:17"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84"/>
      <c r="N94" s="93"/>
    </row>
    <row r="95" spans="1:17"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84"/>
      <c r="N95" s="93"/>
    </row>
    <row r="96" spans="1:17"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84"/>
      <c r="N96" s="93"/>
    </row>
    <row r="97" spans="3:14">
      <c r="C97" s="78"/>
      <c r="D97" s="78"/>
      <c r="E97" s="78"/>
      <c r="F97" s="78"/>
      <c r="G97" s="78"/>
      <c r="H97" s="78"/>
      <c r="I97" s="78"/>
      <c r="J97" s="78"/>
      <c r="K97" s="78"/>
      <c r="L97" s="85"/>
      <c r="M97" s="84"/>
      <c r="N97" s="93"/>
    </row>
    <row r="98" spans="3:14">
      <c r="C98" s="78"/>
      <c r="D98" s="78"/>
      <c r="E98" s="78"/>
      <c r="F98" s="78"/>
      <c r="G98" s="78"/>
      <c r="H98" s="78"/>
      <c r="I98" s="78"/>
      <c r="J98" s="78"/>
      <c r="K98" s="78"/>
      <c r="L98" s="84"/>
      <c r="M98" s="84"/>
      <c r="N98" s="93"/>
    </row>
    <row r="99" spans="3:14"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84"/>
      <c r="N99" s="93"/>
    </row>
  </sheetData>
  <sortState ref="B7:R64">
    <sortCondition ref="B7:B64"/>
  </sortState>
  <mergeCells count="11">
    <mergeCell ref="B1:M1"/>
    <mergeCell ref="B2:M2"/>
    <mergeCell ref="B3:M3"/>
    <mergeCell ref="B4:B7"/>
    <mergeCell ref="C4:L4"/>
    <mergeCell ref="M4:M7"/>
    <mergeCell ref="C5:D6"/>
    <mergeCell ref="E5:E6"/>
    <mergeCell ref="F5:F6"/>
    <mergeCell ref="G5:G6"/>
    <mergeCell ref="H5:K5"/>
  </mergeCells>
  <printOptions horizontalCentered="1" verticalCentered="1"/>
  <pageMargins left="1.01" right="0.25" top="0.68" bottom="0.75" header="0.3" footer="0.3"/>
  <pageSetup scale="53" orientation="landscape" r:id="rId1"/>
  <headerFooter>
    <oddHeader xml:space="preserve">&amp;C&amp;"-,Bold"&amp;14Full-Time Equivalent (FTE) Licensed and Classified Staff by Position
Charter Schools, FY 2012, cont.&amp;"-,Regular"&amp;11
</oddHeader>
    <oddFooter xml:space="preserve">&amp;L&amp;"Arial,Regular"&amp;8DATA SOURCE: CACTUS Database (Educator FTEs by Position Report); Year End Web Survey (Classified Staff Report).
EXTRACTED AND PREPARED BY: Data and Statistics (K. Campbell); EDITED BY: Data and Statistics (R. Raphael).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instruction-districts</vt:lpstr>
      <vt:lpstr>support-districts</vt:lpstr>
      <vt:lpstr>instruction-charters</vt:lpstr>
      <vt:lpstr>support-charters</vt:lpstr>
      <vt:lpstr>'instruction-charters'!Print_Area</vt:lpstr>
      <vt:lpstr>'instruction-districts'!Print_Area</vt:lpstr>
      <vt:lpstr>'support-charters'!Print_Area</vt:lpstr>
      <vt:lpstr>'support-districts'!Print_Area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Eyre</dc:creator>
  <cp:lastModifiedBy>Valued Computer Owner</cp:lastModifiedBy>
  <cp:lastPrinted>2012-12-14T19:13:53Z</cp:lastPrinted>
  <dcterms:created xsi:type="dcterms:W3CDTF">2008-10-06T17:22:04Z</dcterms:created>
  <dcterms:modified xsi:type="dcterms:W3CDTF">2012-12-17T21:48:10Z</dcterms:modified>
</cp:coreProperties>
</file>