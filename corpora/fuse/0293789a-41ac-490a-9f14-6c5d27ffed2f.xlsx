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55" yWindow="-240" windowWidth="18270" windowHeight="13065" firstSheet="4" activeTab="4"/>
  </bookViews>
  <sheets>
    <sheet name="Data" sheetId="1" state="hidden" r:id="rId1"/>
    <sheet name="Pivot Data" sheetId="4" state="hidden" r:id="rId2"/>
    <sheet name="Chart Titles" sheetId="5" state="hidden" r:id="rId3"/>
    <sheet name="Options" sheetId="2" state="hidden" r:id="rId4"/>
    <sheet name="Introduction" sheetId="31" r:id="rId5"/>
    <sheet name="Main" sheetId="28" r:id="rId6"/>
    <sheet name="Success" sheetId="30" r:id="rId7"/>
  </sheets>
  <definedNames>
    <definedName name="_xlnm._FilterDatabase" localSheetId="0" hidden="1">Data!$A$1:$GG$246</definedName>
  </definedNames>
  <calcPr calcId="145621"/>
  <pivotCaches>
    <pivotCache cacheId="5" r:id="rId8"/>
  </pivotCaches>
</workbook>
</file>

<file path=xl/calcChain.xml><?xml version="1.0" encoding="utf-8"?>
<calcChain xmlns="http://schemas.openxmlformats.org/spreadsheetml/2006/main">
  <c r="A92" i="1" l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W2" i="1" l="1"/>
  <c r="X2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5" i="1"/>
  <c r="X15" i="1"/>
  <c r="W10" i="1"/>
  <c r="X10" i="1"/>
  <c r="W11" i="1"/>
  <c r="X11" i="1"/>
  <c r="W12" i="1"/>
  <c r="X12" i="1"/>
  <c r="W13" i="1"/>
  <c r="X13" i="1"/>
  <c r="W14" i="1"/>
  <c r="X14" i="1"/>
  <c r="W16" i="1"/>
  <c r="X16" i="1"/>
  <c r="W17" i="1"/>
  <c r="X17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X49" i="1"/>
  <c r="W37" i="1"/>
  <c r="A2" i="1"/>
  <c r="A4" i="1"/>
  <c r="A3" i="1"/>
  <c r="I11" i="2"/>
  <c r="I5" i="2"/>
  <c r="D6" i="2"/>
  <c r="G6" i="2"/>
  <c r="I10" i="2"/>
  <c r="L11" i="2"/>
  <c r="B37" i="5" l="1"/>
  <c r="L5" i="2"/>
  <c r="AB11" i="2"/>
  <c r="R11" i="2"/>
  <c r="Z11" i="2"/>
  <c r="M11" i="2"/>
  <c r="Q11" i="2"/>
  <c r="X11" i="2"/>
  <c r="O11" i="2"/>
  <c r="V11" i="2"/>
  <c r="T11" i="2"/>
  <c r="S11" i="2" l="1"/>
  <c r="W11" i="2"/>
  <c r="AC11" i="2"/>
  <c r="U11" i="2"/>
  <c r="Y11" i="2"/>
  <c r="P11" i="2"/>
  <c r="N11" i="2"/>
  <c r="AA11" i="2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50" i="1"/>
  <c r="X50" i="1"/>
  <c r="W45" i="1"/>
  <c r="X45" i="1"/>
  <c r="W46" i="1"/>
  <c r="X46" i="1"/>
  <c r="W47" i="1"/>
  <c r="X47" i="1"/>
  <c r="W48" i="1"/>
  <c r="X48" i="1"/>
  <c r="W49" i="1"/>
  <c r="W51" i="1"/>
  <c r="X51" i="1"/>
  <c r="W52" i="1"/>
  <c r="X52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5" i="1"/>
  <c r="X85" i="1"/>
  <c r="W80" i="1"/>
  <c r="X80" i="1"/>
  <c r="W81" i="1"/>
  <c r="X81" i="1"/>
  <c r="W82" i="1"/>
  <c r="X82" i="1"/>
  <c r="W83" i="1"/>
  <c r="X83" i="1"/>
  <c r="W84" i="1"/>
  <c r="X84" i="1"/>
  <c r="W86" i="1"/>
  <c r="X86" i="1"/>
  <c r="W87" i="1"/>
  <c r="X87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20" i="1"/>
  <c r="X120" i="1"/>
  <c r="W115" i="1"/>
  <c r="X115" i="1"/>
  <c r="W116" i="1"/>
  <c r="X116" i="1"/>
  <c r="W117" i="1"/>
  <c r="X117" i="1"/>
  <c r="W118" i="1"/>
  <c r="X118" i="1"/>
  <c r="W119" i="1"/>
  <c r="X119" i="1"/>
  <c r="W121" i="1"/>
  <c r="X121" i="1"/>
  <c r="W122" i="1"/>
  <c r="X122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5" i="1"/>
  <c r="X155" i="1"/>
  <c r="W150" i="1"/>
  <c r="X150" i="1"/>
  <c r="W151" i="1"/>
  <c r="X151" i="1"/>
  <c r="W152" i="1"/>
  <c r="X152" i="1"/>
  <c r="W153" i="1"/>
  <c r="X153" i="1"/>
  <c r="W154" i="1"/>
  <c r="X154" i="1"/>
  <c r="W156" i="1"/>
  <c r="X156" i="1"/>
  <c r="W157" i="1"/>
  <c r="X157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90" i="1"/>
  <c r="X190" i="1"/>
  <c r="W185" i="1"/>
  <c r="X185" i="1"/>
  <c r="W186" i="1"/>
  <c r="X186" i="1"/>
  <c r="W187" i="1"/>
  <c r="X187" i="1"/>
  <c r="W188" i="1"/>
  <c r="X188" i="1"/>
  <c r="W189" i="1"/>
  <c r="X189" i="1"/>
  <c r="W191" i="1"/>
  <c r="X191" i="1"/>
  <c r="W192" i="1"/>
  <c r="X192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5" i="1"/>
  <c r="X225" i="1"/>
  <c r="W220" i="1"/>
  <c r="X220" i="1"/>
  <c r="W221" i="1"/>
  <c r="X221" i="1"/>
  <c r="W222" i="1"/>
  <c r="X222" i="1"/>
  <c r="W223" i="1"/>
  <c r="X223" i="1"/>
  <c r="W224" i="1"/>
  <c r="X224" i="1"/>
  <c r="W226" i="1"/>
  <c r="X226" i="1"/>
  <c r="W227" i="1"/>
  <c r="X227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X37" i="1"/>
  <c r="B40" i="5" l="1"/>
  <c r="B26" i="5"/>
  <c r="B6" i="5"/>
  <c r="B10" i="5"/>
  <c r="B18" i="5" l="1"/>
  <c r="B30" i="5" l="1"/>
  <c r="B14" i="5"/>
  <c r="B22" i="5"/>
  <c r="B34" i="5" l="1"/>
  <c r="I7" i="2" l="1"/>
  <c r="I6" i="2" l="1"/>
  <c r="I8" i="2"/>
  <c r="I9" i="2"/>
  <c r="O10" i="2"/>
  <c r="D1" i="5" l="1"/>
  <c r="D1" i="28" s="1"/>
  <c r="AB7" i="2"/>
  <c r="Z10" i="2"/>
  <c r="O6" i="2"/>
  <c r="Z5" i="2"/>
  <c r="R7" i="2"/>
  <c r="V10" i="2"/>
  <c r="R8" i="2"/>
  <c r="Z7" i="2"/>
  <c r="M10" i="2"/>
  <c r="X6" i="2"/>
  <c r="T6" i="2"/>
  <c r="Q9" i="2"/>
  <c r="M5" i="2"/>
  <c r="O9" i="2"/>
  <c r="Q7" i="2"/>
  <c r="T8" i="2"/>
  <c r="AB5" i="2"/>
  <c r="Z9" i="2"/>
  <c r="Q6" i="2"/>
  <c r="T10" i="2"/>
  <c r="X9" i="2"/>
  <c r="Q10" i="2"/>
  <c r="O8" i="2"/>
  <c r="L8" i="2"/>
  <c r="M7" i="2"/>
  <c r="M6" i="2"/>
  <c r="L9" i="2"/>
  <c r="V6" i="2"/>
  <c r="AB8" i="2"/>
  <c r="V7" i="2"/>
  <c r="R6" i="2"/>
  <c r="R9" i="2"/>
  <c r="T7" i="2"/>
  <c r="V9" i="2"/>
  <c r="M8" i="2"/>
  <c r="T5" i="2"/>
  <c r="R10" i="2"/>
  <c r="L6" i="2"/>
  <c r="X8" i="2"/>
  <c r="AB6" i="2"/>
  <c r="X5" i="2"/>
  <c r="Z8" i="2"/>
  <c r="Z6" i="2"/>
  <c r="X10" i="2"/>
  <c r="R5" i="2"/>
  <c r="M9" i="2"/>
  <c r="V5" i="2"/>
  <c r="X7" i="2"/>
  <c r="L7" i="2"/>
  <c r="AB9" i="2"/>
  <c r="O5" i="2"/>
  <c r="Q8" i="2"/>
  <c r="Q5" i="2"/>
  <c r="T9" i="2"/>
  <c r="L10" i="2"/>
  <c r="V8" i="2"/>
  <c r="O7" i="2"/>
  <c r="AB10" i="2"/>
  <c r="N6" i="2" l="1"/>
  <c r="AC10" i="2"/>
  <c r="Y10" i="2"/>
  <c r="U10" i="2"/>
  <c r="P10" i="2"/>
  <c r="W10" i="2"/>
  <c r="S10" i="2"/>
  <c r="AA10" i="2"/>
  <c r="AA8" i="2"/>
  <c r="AA7" i="2"/>
  <c r="AC6" i="2"/>
  <c r="Y6" i="2"/>
  <c r="U6" i="2"/>
  <c r="P6" i="2"/>
  <c r="W6" i="2"/>
  <c r="S6" i="2"/>
  <c r="AA9" i="2"/>
  <c r="AC7" i="2"/>
  <c r="Y7" i="2"/>
  <c r="W7" i="2"/>
  <c r="U7" i="2"/>
  <c r="S7" i="2"/>
  <c r="P7" i="2"/>
  <c r="N7" i="2"/>
  <c r="N10" i="2"/>
  <c r="N8" i="2"/>
  <c r="AC9" i="2"/>
  <c r="Y9" i="2"/>
  <c r="W9" i="2"/>
  <c r="U9" i="2"/>
  <c r="S9" i="2"/>
  <c r="P9" i="2"/>
  <c r="N5" i="2"/>
  <c r="AA6" i="2"/>
  <c r="AC8" i="2"/>
  <c r="W8" i="2"/>
  <c r="S8" i="2"/>
  <c r="Y8" i="2"/>
  <c r="U8" i="2"/>
  <c r="P8" i="2"/>
  <c r="AA5" i="2"/>
  <c r="N9" i="2"/>
  <c r="AC5" i="2"/>
  <c r="Y5" i="2"/>
  <c r="W5" i="2"/>
  <c r="U5" i="2"/>
  <c r="S5" i="2"/>
  <c r="P5" i="2"/>
  <c r="D1" i="30"/>
</calcChain>
</file>

<file path=xl/comments1.xml><?xml version="1.0" encoding="utf-8"?>
<comments xmlns="http://schemas.openxmlformats.org/spreadsheetml/2006/main">
  <authors>
    <author>laura.jensen</author>
  </authors>
  <commentList>
    <comment ref="F1" authorId="0">
      <text>
        <r>
          <rPr>
            <b/>
            <sz val="8"/>
            <color indexed="81"/>
            <rFont val="Tahoma"/>
            <family val="2"/>
          </rPr>
          <t>laura.jensen:
Includes military related to training</t>
        </r>
      </text>
    </comment>
  </commentList>
</comments>
</file>

<file path=xl/sharedStrings.xml><?xml version="1.0" encoding="utf-8"?>
<sst xmlns="http://schemas.openxmlformats.org/spreadsheetml/2006/main" count="410" uniqueCount="129">
  <si>
    <t>YEAR</t>
  </si>
  <si>
    <t>PROGRAM</t>
  </si>
  <si>
    <t>Program Completers</t>
  </si>
  <si>
    <t>Respondents</t>
  </si>
  <si>
    <t>Respondents Employed, Related To Training</t>
  </si>
  <si>
    <t xml:space="preserve">Median Hourly Wage </t>
  </si>
  <si>
    <t>Respondents Employed, Unrelated To Training</t>
  </si>
  <si>
    <t>Total Employed</t>
  </si>
  <si>
    <t>Unemployed, Seeking Employment</t>
  </si>
  <si>
    <t>Unemployed, Not Seeking Employment</t>
  </si>
  <si>
    <t>Military Full-time</t>
  </si>
  <si>
    <t>Military  Part-Time</t>
  </si>
  <si>
    <t>Total in Military</t>
  </si>
  <si>
    <t>Continuing Education (Secondary or Post-Secondary)</t>
  </si>
  <si>
    <t>Apprenticeship unrelated to FRCC taining</t>
  </si>
  <si>
    <t>Total in Apprenticeships</t>
  </si>
  <si>
    <t>Took State Licensing Exam</t>
  </si>
  <si>
    <t>Passed State Licensing Exam</t>
  </si>
  <si>
    <t>Instructional Program Met Educational Goals</t>
  </si>
  <si>
    <t>Accounting</t>
  </si>
  <si>
    <t>Architectural Engineering Technology</t>
  </si>
  <si>
    <t>Automotive Technology</t>
  </si>
  <si>
    <t>Business</t>
  </si>
  <si>
    <t>CISCO Network Associate</t>
  </si>
  <si>
    <t>Computer Aided Drafting and Design</t>
  </si>
  <si>
    <t>Dental Assisting</t>
  </si>
  <si>
    <t>Early Childhood Education</t>
  </si>
  <si>
    <t>Emergency Medical Services</t>
  </si>
  <si>
    <t>Forestry-Wildlife &amp; Natural Resources</t>
  </si>
  <si>
    <t>Geographic Information System</t>
  </si>
  <si>
    <t>Heating, Ventilation &amp; Air Cond</t>
  </si>
  <si>
    <t>Holistic Health</t>
  </si>
  <si>
    <t>Horticulture &amp; Landscape Tech</t>
  </si>
  <si>
    <t>Hospitality/ Food Management</t>
  </si>
  <si>
    <t>Interior Design</t>
  </si>
  <si>
    <t xml:space="preserve">Interpreter Preparation </t>
  </si>
  <si>
    <t>Legal Assistant / Paralegal</t>
  </si>
  <si>
    <t>Machining Technology</t>
  </si>
  <si>
    <t>Medical Office Technology</t>
  </si>
  <si>
    <t>Multimedia Graphic Design</t>
  </si>
  <si>
    <t>Nurse Aide</t>
  </si>
  <si>
    <t>Pharmacy Technician</t>
  </si>
  <si>
    <t xml:space="preserve">Phlebotomy </t>
  </si>
  <si>
    <t>Practical Nursing</t>
  </si>
  <si>
    <t>Registered Nursing</t>
  </si>
  <si>
    <t>Veterinary Technology</t>
  </si>
  <si>
    <t>Welding Technology</t>
  </si>
  <si>
    <t xml:space="preserve"> TOTAL</t>
  </si>
  <si>
    <t>Apprenticeship related to FRCC taining*(The 2008 survey question is different)</t>
  </si>
  <si>
    <t>Row Labels</t>
  </si>
  <si>
    <t>(blank)</t>
  </si>
  <si>
    <t>Sum of Program Completers</t>
  </si>
  <si>
    <t>Values</t>
  </si>
  <si>
    <t>Sum of Respondents</t>
  </si>
  <si>
    <t>Sum of Total Employed</t>
  </si>
  <si>
    <t xml:space="preserve">Sum of Median Hourly Wage </t>
  </si>
  <si>
    <t>Sum of Total in Military</t>
  </si>
  <si>
    <t>Sum of Continuing Education (Secondary or Post-Secondary)</t>
  </si>
  <si>
    <t>Sum of Total in Apprenticeships</t>
  </si>
  <si>
    <t>Sum of Took State Licensing Exam</t>
  </si>
  <si>
    <t>Sum of Passed State Licensing Exam</t>
  </si>
  <si>
    <t>Sum of Instructional Program Met Educational Goals</t>
  </si>
  <si>
    <t>AVAILABLE PROGRAMS</t>
  </si>
  <si>
    <t>Dietetic Technology</t>
  </si>
  <si>
    <t>SELECTED PROGRAM</t>
  </si>
  <si>
    <t>AVAILABLE YEARS</t>
  </si>
  <si>
    <t>SELECTED YEAR</t>
  </si>
  <si>
    <t>COMPLETES</t>
  </si>
  <si>
    <t>CHART DATA</t>
  </si>
  <si>
    <t>RESPONDENTS</t>
  </si>
  <si>
    <t>RESPONSE RATE</t>
  </si>
  <si>
    <t>TOTAL EMPLOYED</t>
  </si>
  <si>
    <t>MEDIAN SALARY</t>
  </si>
  <si>
    <t>TOTAL EMPLOYED %</t>
  </si>
  <si>
    <t>TOTAL IN MILITARY</t>
  </si>
  <si>
    <t>TOTAL IN MILITARY %</t>
  </si>
  <si>
    <t>TOTAL IN CONTINUING ED</t>
  </si>
  <si>
    <t>TOTAL CONTIN ED %</t>
  </si>
  <si>
    <t>TOTAL APPRENTICESHIPS</t>
  </si>
  <si>
    <t>TOOK STATE LICENSING EXAM</t>
  </si>
  <si>
    <t>PASSED LICENSING EXAM</t>
  </si>
  <si>
    <t>INSTRUCTIONAL GOALS MET</t>
  </si>
  <si>
    <t>TOTAL APPRENTICESHIP %</t>
  </si>
  <si>
    <t>TOOK EXAM %</t>
  </si>
  <si>
    <t>PASSED EXAM %</t>
  </si>
  <si>
    <t>GOALS MET %</t>
  </si>
  <si>
    <t>COMPLETES CHART TITLE</t>
  </si>
  <si>
    <t>RESPONSE RATES CHART TITLE</t>
  </si>
  <si>
    <t>TOTAL EMPLOYED CHART TITLE</t>
  </si>
  <si>
    <t>TOTAL IN MILITARY CHART TITLE</t>
  </si>
  <si>
    <t>CONTINUING EDUCATION CHART TITLE</t>
  </si>
  <si>
    <t>TOTAL APPRENTICESHIPS CHART TITLE</t>
  </si>
  <si>
    <t>STATE LICENSING EXAM CHART TITLE (TOOK AND PASSED IN ONE CHART)</t>
  </si>
  <si>
    <t>INSTRUCTIONAL GOALS MET CHART TITLE</t>
  </si>
  <si>
    <t>MEDIAN HOURLY WAGE CHART TITLE</t>
  </si>
  <si>
    <t>RESPONSE RATES WITH PROGRAM COMPLETES CHART TITLE</t>
  </si>
  <si>
    <t>TITLE BOX</t>
  </si>
  <si>
    <t>Animal Laboratory Technology</t>
  </si>
  <si>
    <t>Computer Information Systems</t>
  </si>
  <si>
    <t>Teaching English as a Second Language</t>
  </si>
  <si>
    <t>Applied Technology</t>
  </si>
  <si>
    <t>If less than five respondents, no data reported.</t>
  </si>
  <si>
    <r>
      <t xml:space="preserve">Introduction to the VE-135 Interactive Dashboard: by </t>
    </r>
    <r>
      <rPr>
        <b/>
        <u/>
        <sz val="14"/>
        <color theme="1"/>
        <rFont val="Calibri"/>
        <family val="2"/>
        <scheme val="minor"/>
      </rPr>
      <t>Program</t>
    </r>
  </si>
  <si>
    <t>Energy Technology</t>
  </si>
  <si>
    <t>Health Information Technologies</t>
  </si>
  <si>
    <t xml:space="preserve"> Total</t>
  </si>
  <si>
    <t>1. At any time between October 1st and December 31st of (the preceding year) were you:</t>
  </si>
  <si>
    <t>Employed in an occupation related to your FRCC training</t>
  </si>
  <si>
    <t>Employed in an occupation NOT related to your FRCC training</t>
  </si>
  <si>
    <t>Unemployed and actively seeking employment</t>
  </si>
  <si>
    <t>Unemployed and NOT actively seeking employment</t>
  </si>
  <si>
    <t>2. In order to help future students interested in your program know what they</t>
  </si>
  <si>
    <t>might expect, what is your hourly wage? (You will not be identified with this</t>
  </si>
  <si>
    <t>Information!)</t>
  </si>
  <si>
    <t>3. Since completing your program last year (or as part of your graduation</t>
  </si>
  <si>
    <t>requirements), have you taken a state licensing test or an industry certification</t>
  </si>
  <si>
    <t>test related to your program</t>
  </si>
  <si>
    <t>Example of test might be (but not limited to) National Registry of EMT</t>
  </si>
  <si>
    <t>(the name of test is customized to the program of the graduate)</t>
  </si>
  <si>
    <t>4. If Yes, did you meet the requirements for licensure/certification?</t>
  </si>
  <si>
    <t>5. At any time between October 1st and December 31st of (the preceding year) were you:</t>
  </si>
  <si>
    <t xml:space="preserve">Participating in an apprenticeship or volunteer program related to the </t>
  </si>
  <si>
    <t>program you completed last year?</t>
  </si>
  <si>
    <t xml:space="preserve">Participating in an apprenticeship or volunteer program NOT related to the </t>
  </si>
  <si>
    <t>Did not participate in apprenticeship or volunteer program.</t>
  </si>
  <si>
    <t>6. At any time between October 1st and December 31st of (the preceding year) were you</t>
  </si>
  <si>
    <t>Continuing your secondary (high school) education</t>
  </si>
  <si>
    <t>Continuing your post-secondary (college) education</t>
  </si>
  <si>
    <t>Not currently continuing your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</si>
</sst>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8"/>
      <color indexed="81"/>
      <name val="Tahoma"/>
      <family val="2"/>
    </font>
    <font>
      <b/>
      <sz val="11"/>
      <name val="Lucida Sans Unicode"/>
      <family val="2"/>
    </font>
    <font>
      <b/>
      <sz val="11"/>
      <color theme="1"/>
      <name val="Lucida Sans Unicode"/>
      <family val="2"/>
    </font>
    <font>
      <sz val="11"/>
      <color theme="1"/>
      <name val="Lucida Sans Unicode"/>
      <family val="2"/>
    </font>
    <font>
      <b/>
      <i/>
      <sz val="10"/>
      <color theme="1"/>
      <name val="Arial"/>
      <family val="2"/>
    </font>
    <font>
      <b/>
      <sz val="11"/>
      <color theme="1" tint="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sz val="20"/>
      <color theme="1" tint="0.249977111117893"/>
      <name val="Arial"/>
      <family val="2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i/>
      <sz val="10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thin">
        <color rgb="FFB2B2B2"/>
      </bottom>
      <diagonal/>
    </border>
    <border>
      <left/>
      <right style="medium">
        <color indexed="64"/>
      </right>
      <top/>
      <bottom style="thin">
        <color rgb="FFB2B2B2"/>
      </bottom>
      <diagonal/>
    </border>
    <border>
      <left/>
      <right/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2" fillId="3" borderId="0" applyNumberFormat="0" applyBorder="0" applyAlignment="0" applyProtection="0"/>
    <xf numFmtId="0" fontId="4" fillId="0" borderId="0"/>
    <xf numFmtId="9" fontId="2" fillId="0" borderId="0" applyFont="0" applyFill="0" applyBorder="0" applyAlignment="0" applyProtection="0"/>
  </cellStyleXfs>
  <cellXfs count="147">
    <xf numFmtId="0" fontId="0" fillId="0" borderId="0" xfId="0"/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/>
    </xf>
    <xf numFmtId="1" fontId="4" fillId="4" borderId="3" xfId="0" applyNumberFormat="1" applyFont="1" applyFill="1" applyBorder="1" applyAlignment="1">
      <alignment horizontal="center" vertical="center" textRotation="90" wrapText="1"/>
    </xf>
    <xf numFmtId="1" fontId="4" fillId="4" borderId="5" xfId="0" applyNumberFormat="1" applyFont="1" applyFill="1" applyBorder="1" applyAlignment="1">
      <alignment horizontal="center" vertical="center" textRotation="90" wrapText="1"/>
    </xf>
    <xf numFmtId="3" fontId="4" fillId="4" borderId="6" xfId="0" applyNumberFormat="1" applyFont="1" applyFill="1" applyBorder="1" applyAlignment="1">
      <alignment horizontal="center" vertical="center" textRotation="90" wrapText="1"/>
    </xf>
    <xf numFmtId="3" fontId="4" fillId="4" borderId="4" xfId="0" applyNumberFormat="1" applyFont="1" applyFill="1" applyBorder="1" applyAlignment="1">
      <alignment horizontal="center" vertical="center" textRotation="90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4"/>
    <xf numFmtId="0" fontId="4" fillId="9" borderId="15" xfId="4" applyFill="1" applyBorder="1"/>
    <xf numFmtId="0" fontId="6" fillId="10" borderId="15" xfId="4" applyFont="1" applyFill="1" applyBorder="1"/>
    <xf numFmtId="0" fontId="9" fillId="11" borderId="15" xfId="0" applyFont="1" applyFill="1" applyBorder="1" applyAlignment="1">
      <alignment horizontal="center"/>
    </xf>
    <xf numFmtId="0" fontId="11" fillId="0" borderId="0" xfId="0" applyFont="1"/>
    <xf numFmtId="0" fontId="11" fillId="10" borderId="13" xfId="0" applyFont="1" applyFill="1" applyBorder="1" applyAlignment="1"/>
    <xf numFmtId="0" fontId="11" fillId="10" borderId="16" xfId="0" applyFont="1" applyFill="1" applyBorder="1" applyAlignment="1"/>
    <xf numFmtId="0" fontId="11" fillId="10" borderId="14" xfId="0" applyFont="1" applyFill="1" applyBorder="1" applyAlignment="1">
      <alignment horizontal="center"/>
    </xf>
    <xf numFmtId="0" fontId="11" fillId="10" borderId="13" xfId="0" applyFont="1" applyFill="1" applyBorder="1" applyAlignment="1">
      <alignment vertical="center"/>
    </xf>
    <xf numFmtId="0" fontId="11" fillId="10" borderId="16" xfId="0" applyFont="1" applyFill="1" applyBorder="1" applyAlignment="1">
      <alignment vertical="center"/>
    </xf>
    <xf numFmtId="0" fontId="10" fillId="11" borderId="13" xfId="0" applyFont="1" applyFill="1" applyBorder="1" applyAlignment="1"/>
    <xf numFmtId="0" fontId="10" fillId="11" borderId="16" xfId="0" applyFont="1" applyFill="1" applyBorder="1" applyAlignment="1"/>
    <xf numFmtId="0" fontId="10" fillId="11" borderId="14" xfId="0" applyFont="1" applyFill="1" applyBorder="1" applyAlignment="1">
      <alignment horizontal="center"/>
    </xf>
    <xf numFmtId="0" fontId="10" fillId="11" borderId="15" xfId="0" applyFont="1" applyFill="1" applyBorder="1" applyAlignment="1"/>
    <xf numFmtId="0" fontId="11" fillId="10" borderId="15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15" xfId="0" applyFill="1" applyBorder="1"/>
    <xf numFmtId="0" fontId="10" fillId="9" borderId="15" xfId="0" applyFont="1" applyFill="1" applyBorder="1" applyAlignment="1">
      <alignment horizontal="center"/>
    </xf>
    <xf numFmtId="9" fontId="4" fillId="9" borderId="15" xfId="5" applyFont="1" applyFill="1" applyBorder="1"/>
    <xf numFmtId="0" fontId="7" fillId="11" borderId="15" xfId="4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15" xfId="0" applyFont="1" applyFill="1" applyBorder="1"/>
    <xf numFmtId="9" fontId="0" fillId="9" borderId="15" xfId="0" applyNumberFormat="1" applyFill="1" applyBorder="1"/>
    <xf numFmtId="44" fontId="0" fillId="9" borderId="15" xfId="1" applyFont="1" applyFill="1" applyBorder="1"/>
    <xf numFmtId="9" fontId="0" fillId="9" borderId="15" xfId="5" applyFont="1" applyFill="1" applyBorder="1"/>
    <xf numFmtId="0" fontId="0" fillId="11" borderId="0" xfId="0" applyFill="1"/>
    <xf numFmtId="0" fontId="3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3" fillId="10" borderId="15" xfId="0" applyFont="1" applyFill="1" applyBorder="1"/>
    <xf numFmtId="0" fontId="15" fillId="0" borderId="0" xfId="0" applyFont="1"/>
    <xf numFmtId="0" fontId="6" fillId="10" borderId="26" xfId="4" applyFont="1" applyFill="1" applyBorder="1"/>
    <xf numFmtId="0" fontId="4" fillId="0" borderId="0" xfId="4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textRotation="90" wrapText="1"/>
    </xf>
    <xf numFmtId="164" fontId="4" fillId="4" borderId="10" xfId="0" applyNumberFormat="1" applyFont="1" applyFill="1" applyBorder="1" applyAlignment="1">
      <alignment horizontal="center" vertical="center" textRotation="90" wrapText="1"/>
    </xf>
    <xf numFmtId="1" fontId="4" fillId="4" borderId="2" xfId="0" applyNumberFormat="1" applyFont="1" applyFill="1" applyBorder="1" applyAlignment="1">
      <alignment horizontal="center" vertical="center" textRotation="90" wrapText="1"/>
    </xf>
    <xf numFmtId="1" fontId="4" fillId="4" borderId="27" xfId="0" applyNumberFormat="1" applyFont="1" applyFill="1" applyBorder="1" applyAlignment="1">
      <alignment horizontal="center" vertical="center" textRotation="90" wrapText="1"/>
    </xf>
    <xf numFmtId="0" fontId="0" fillId="0" borderId="0" xfId="0" applyFont="1"/>
    <xf numFmtId="0" fontId="16" fillId="0" borderId="0" xfId="0" applyFont="1"/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  <xf numFmtId="44" fontId="0" fillId="0" borderId="0" xfId="0" applyNumberFormat="1" applyAlignment="1">
      <alignment vertical="center"/>
    </xf>
    <xf numFmtId="0" fontId="0" fillId="6" borderId="0" xfId="0" applyFont="1" applyFill="1"/>
    <xf numFmtId="0" fontId="4" fillId="6" borderId="2" xfId="0" applyFont="1" applyFill="1" applyBorder="1" applyAlignment="1">
      <alignment vertical="center" wrapText="1"/>
    </xf>
    <xf numFmtId="3" fontId="19" fillId="6" borderId="9" xfId="4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/>
    </xf>
    <xf numFmtId="3" fontId="19" fillId="6" borderId="2" xfId="4" applyNumberFormat="1" applyFont="1" applyFill="1" applyBorder="1" applyAlignment="1">
      <alignment horizontal="center" vertical="center"/>
    </xf>
    <xf numFmtId="164" fontId="4" fillId="6" borderId="27" xfId="0" applyNumberFormat="1" applyFont="1" applyFill="1" applyBorder="1" applyAlignment="1">
      <alignment horizontal="center"/>
    </xf>
    <xf numFmtId="3" fontId="4" fillId="6" borderId="9" xfId="0" applyNumberFormat="1" applyFont="1" applyFill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19" fillId="6" borderId="3" xfId="4" applyNumberFormat="1" applyFont="1" applyFill="1" applyBorder="1" applyAlignment="1">
      <alignment horizontal="center" vertical="center"/>
    </xf>
    <xf numFmtId="3" fontId="4" fillId="6" borderId="27" xfId="0" applyNumberFormat="1" applyFont="1" applyFill="1" applyBorder="1" applyAlignment="1">
      <alignment horizontal="center"/>
    </xf>
    <xf numFmtId="0" fontId="0" fillId="0" borderId="0" xfId="0" applyFont="1" applyFill="1" applyBorder="1"/>
    <xf numFmtId="3" fontId="0" fillId="0" borderId="0" xfId="0" applyNumberFormat="1" applyFont="1" applyFill="1" applyBorder="1"/>
    <xf numFmtId="0" fontId="0" fillId="7" borderId="0" xfId="0" applyFont="1" applyFill="1"/>
    <xf numFmtId="0" fontId="0" fillId="0" borderId="0" xfId="0" applyFont="1" applyFill="1"/>
    <xf numFmtId="0" fontId="4" fillId="2" borderId="2" xfId="2" applyFont="1" applyBorder="1" applyAlignment="1">
      <alignment vertical="center" wrapText="1"/>
    </xf>
    <xf numFmtId="0" fontId="19" fillId="5" borderId="7" xfId="4" applyFont="1" applyFill="1" applyBorder="1" applyAlignment="1">
      <alignment horizontal="left" vertical="center" wrapText="1"/>
    </xf>
    <xf numFmtId="0" fontId="19" fillId="0" borderId="7" xfId="4" applyFont="1" applyFill="1" applyBorder="1" applyAlignment="1">
      <alignment horizontal="left" vertical="center" wrapText="1"/>
    </xf>
    <xf numFmtId="0" fontId="4" fillId="0" borderId="24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/>
    </xf>
    <xf numFmtId="0" fontId="19" fillId="2" borderId="20" xfId="2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2" borderId="2" xfId="2" applyFont="1" applyBorder="1" applyAlignment="1">
      <alignment horizontal="left" vertical="center" wrapText="1"/>
    </xf>
    <xf numFmtId="3" fontId="4" fillId="2" borderId="3" xfId="2" applyNumberFormat="1" applyFont="1" applyBorder="1" applyAlignment="1">
      <alignment horizontal="center"/>
    </xf>
    <xf numFmtId="3" fontId="4" fillId="2" borderId="2" xfId="2" applyNumberFormat="1" applyFont="1" applyBorder="1" applyAlignment="1">
      <alignment horizontal="center"/>
    </xf>
    <xf numFmtId="164" fontId="4" fillId="2" borderId="2" xfId="2" applyNumberFormat="1" applyFont="1" applyBorder="1" applyAlignment="1">
      <alignment horizontal="center"/>
    </xf>
    <xf numFmtId="3" fontId="4" fillId="2" borderId="9" xfId="2" applyNumberFormat="1" applyFont="1" applyBorder="1" applyAlignment="1">
      <alignment horizontal="center"/>
    </xf>
    <xf numFmtId="3" fontId="19" fillId="2" borderId="2" xfId="2" applyNumberFormat="1" applyFont="1" applyBorder="1" applyAlignment="1">
      <alignment horizontal="center" vertical="center" wrapText="1"/>
    </xf>
    <xf numFmtId="3" fontId="4" fillId="2" borderId="27" xfId="2" applyNumberFormat="1" applyFont="1" applyBorder="1" applyAlignment="1">
      <alignment horizontal="center"/>
    </xf>
    <xf numFmtId="3" fontId="19" fillId="2" borderId="9" xfId="2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19" fillId="0" borderId="7" xfId="4" applyNumberFormat="1" applyFont="1" applyFill="1" applyBorder="1" applyAlignment="1">
      <alignment horizontal="center" vertical="center" wrapText="1"/>
    </xf>
    <xf numFmtId="3" fontId="19" fillId="0" borderId="8" xfId="4" applyNumberFormat="1" applyFont="1" applyFill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center"/>
    </xf>
    <xf numFmtId="3" fontId="4" fillId="2" borderId="22" xfId="2" applyNumberFormat="1" applyFont="1" applyBorder="1" applyAlignment="1">
      <alignment horizontal="center"/>
    </xf>
    <xf numFmtId="3" fontId="4" fillId="2" borderId="23" xfId="2" applyNumberFormat="1" applyFont="1" applyBorder="1" applyAlignment="1">
      <alignment horizontal="center"/>
    </xf>
    <xf numFmtId="3" fontId="19" fillId="2" borderId="23" xfId="2" applyNumberFormat="1" applyFont="1" applyBorder="1" applyAlignment="1">
      <alignment horizontal="center" vertical="center" wrapText="1"/>
    </xf>
    <xf numFmtId="3" fontId="19" fillId="2" borderId="22" xfId="2" applyNumberFormat="1" applyFont="1" applyBorder="1" applyAlignment="1">
      <alignment horizontal="center" vertical="center" wrapText="1"/>
    </xf>
    <xf numFmtId="3" fontId="4" fillId="2" borderId="29" xfId="2" applyNumberFormat="1" applyFont="1" applyBorder="1" applyAlignment="1">
      <alignment horizontal="center"/>
    </xf>
    <xf numFmtId="164" fontId="4" fillId="2" borderId="23" xfId="2" applyNumberFormat="1" applyFont="1" applyBorder="1" applyAlignment="1">
      <alignment horizontal="center"/>
    </xf>
    <xf numFmtId="3" fontId="4" fillId="0" borderId="19" xfId="2" applyNumberFormat="1" applyFont="1" applyFill="1" applyBorder="1" applyAlignment="1">
      <alignment horizontal="center"/>
    </xf>
    <xf numFmtId="3" fontId="4" fillId="0" borderId="20" xfId="2" applyNumberFormat="1" applyFont="1" applyFill="1" applyBorder="1" applyAlignment="1">
      <alignment horizontal="center"/>
    </xf>
    <xf numFmtId="164" fontId="4" fillId="0" borderId="20" xfId="2" applyNumberFormat="1" applyFont="1" applyFill="1" applyBorder="1" applyAlignment="1">
      <alignment horizontal="center"/>
    </xf>
    <xf numFmtId="3" fontId="19" fillId="0" borderId="20" xfId="2" applyNumberFormat="1" applyFont="1" applyFill="1" applyBorder="1" applyAlignment="1">
      <alignment horizontal="center" vertical="center" wrapText="1"/>
    </xf>
    <xf numFmtId="3" fontId="19" fillId="0" borderId="19" xfId="2" applyNumberFormat="1" applyFont="1" applyFill="1" applyBorder="1" applyAlignment="1">
      <alignment horizontal="center" vertical="center" wrapText="1"/>
    </xf>
    <xf numFmtId="3" fontId="4" fillId="0" borderId="21" xfId="2" applyNumberFormat="1" applyFont="1" applyFill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24" xfId="0" applyNumberFormat="1" applyFont="1" applyBorder="1" applyAlignment="1">
      <alignment horizontal="center"/>
    </xf>
    <xf numFmtId="164" fontId="4" fillId="0" borderId="24" xfId="0" applyNumberFormat="1" applyFont="1" applyBorder="1" applyAlignment="1">
      <alignment horizontal="center"/>
    </xf>
    <xf numFmtId="3" fontId="19" fillId="0" borderId="24" xfId="4" applyNumberFormat="1" applyFont="1" applyFill="1" applyBorder="1" applyAlignment="1">
      <alignment horizontal="center" vertical="center" wrapText="1"/>
    </xf>
    <xf numFmtId="3" fontId="19" fillId="0" borderId="0" xfId="4" applyNumberFormat="1" applyFont="1" applyFill="1" applyBorder="1" applyAlignment="1">
      <alignment horizontal="center" vertical="center" wrapText="1"/>
    </xf>
    <xf numFmtId="3" fontId="4" fillId="0" borderId="25" xfId="0" applyNumberFormat="1" applyFont="1" applyBorder="1" applyAlignment="1">
      <alignment horizontal="center"/>
    </xf>
    <xf numFmtId="0" fontId="2" fillId="0" borderId="0" xfId="2" applyFont="1" applyFill="1" applyBorder="1"/>
    <xf numFmtId="0" fontId="2" fillId="2" borderId="28" xfId="2" applyFont="1" applyBorder="1"/>
    <xf numFmtId="0" fontId="2" fillId="2" borderId="1" xfId="2" applyFont="1" applyBorder="1"/>
    <xf numFmtId="0" fontId="2" fillId="2" borderId="1" xfId="2" applyFont="1"/>
    <xf numFmtId="164" fontId="4" fillId="0" borderId="7" xfId="0" applyNumberFormat="1" applyFont="1" applyBorder="1" applyAlignment="1">
      <alignment horizontal="center"/>
    </xf>
    <xf numFmtId="0" fontId="20" fillId="6" borderId="24" xfId="0" applyFont="1" applyFill="1" applyBorder="1" applyAlignment="1">
      <alignment horizontal="left"/>
    </xf>
    <xf numFmtId="3" fontId="21" fillId="6" borderId="8" xfId="4" applyNumberFormat="1" applyFont="1" applyFill="1" applyBorder="1" applyAlignment="1">
      <alignment horizontal="center" vertical="center" wrapText="1"/>
    </xf>
    <xf numFmtId="3" fontId="21" fillId="6" borderId="7" xfId="4" applyNumberFormat="1" applyFont="1" applyFill="1" applyBorder="1" applyAlignment="1">
      <alignment horizontal="center" vertical="center" wrapText="1"/>
    </xf>
    <xf numFmtId="3" fontId="21" fillId="6" borderId="2" xfId="4" applyNumberFormat="1" applyFont="1" applyFill="1" applyBorder="1" applyAlignment="1">
      <alignment horizontal="center" vertical="center" wrapText="1"/>
    </xf>
    <xf numFmtId="3" fontId="21" fillId="6" borderId="18" xfId="4" applyNumberFormat="1" applyFont="1" applyFill="1" applyBorder="1" applyAlignment="1">
      <alignment horizontal="center" vertical="center" wrapText="1"/>
    </xf>
    <xf numFmtId="0" fontId="0" fillId="6" borderId="0" xfId="0" applyFont="1" applyFill="1" applyBorder="1"/>
    <xf numFmtId="0" fontId="0" fillId="7" borderId="0" xfId="0" applyFont="1" applyFill="1" applyBorder="1"/>
    <xf numFmtId="3" fontId="21" fillId="6" borderId="9" xfId="4" applyNumberFormat="1" applyFont="1" applyFill="1" applyBorder="1" applyAlignment="1">
      <alignment horizontal="center" vertical="center" wrapText="1"/>
    </xf>
    <xf numFmtId="3" fontId="21" fillId="6" borderId="27" xfId="4" applyNumberFormat="1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left"/>
    </xf>
    <xf numFmtId="3" fontId="22" fillId="6" borderId="12" xfId="0" applyNumberFormat="1" applyFont="1" applyFill="1" applyBorder="1" applyAlignment="1">
      <alignment horizontal="center" vertical="center" wrapText="1"/>
    </xf>
    <xf numFmtId="3" fontId="22" fillId="6" borderId="30" xfId="0" applyNumberFormat="1" applyFont="1" applyFill="1" applyBorder="1" applyAlignment="1">
      <alignment horizontal="center" vertical="center" wrapText="1"/>
    </xf>
    <xf numFmtId="164" fontId="22" fillId="6" borderId="30" xfId="0" applyNumberFormat="1" applyFont="1" applyFill="1" applyBorder="1" applyAlignment="1">
      <alignment horizontal="center" vertical="center" wrapText="1"/>
    </xf>
    <xf numFmtId="3" fontId="22" fillId="6" borderId="31" xfId="0" applyNumberFormat="1" applyFont="1" applyFill="1" applyBorder="1" applyAlignment="1">
      <alignment horizontal="center" vertical="center" wrapText="1"/>
    </xf>
    <xf numFmtId="0" fontId="0" fillId="0" borderId="0" xfId="0" applyFont="1" applyBorder="1"/>
    <xf numFmtId="0" fontId="20" fillId="6" borderId="3" xfId="0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1" fontId="20" fillId="6" borderId="9" xfId="0" applyNumberFormat="1" applyFont="1" applyFill="1" applyBorder="1" applyAlignment="1">
      <alignment horizontal="center"/>
    </xf>
    <xf numFmtId="0" fontId="20" fillId="6" borderId="2" xfId="0" applyFont="1" applyFill="1" applyBorder="1"/>
    <xf numFmtId="0" fontId="20" fillId="6" borderId="9" xfId="0" applyFont="1" applyFill="1" applyBorder="1"/>
    <xf numFmtId="0" fontId="20" fillId="6" borderId="27" xfId="0" applyFont="1" applyFill="1" applyBorder="1"/>
    <xf numFmtId="0" fontId="20" fillId="6" borderId="27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3" fontId="1" fillId="3" borderId="2" xfId="3" applyNumberFormat="1" applyFont="1" applyBorder="1" applyAlignment="1">
      <alignment horizontal="center" vertical="center" textRotation="90" wrapText="1"/>
    </xf>
    <xf numFmtId="3" fontId="1" fillId="3" borderId="3" xfId="3" applyNumberFormat="1" applyFont="1" applyBorder="1" applyAlignment="1">
      <alignment horizontal="center" vertical="center" textRotation="90" wrapText="1"/>
    </xf>
    <xf numFmtId="0" fontId="1" fillId="0" borderId="0" xfId="0" applyFont="1" applyFill="1" applyBorder="1"/>
    <xf numFmtId="164" fontId="22" fillId="6" borderId="7" xfId="1" applyNumberFormat="1" applyFont="1" applyFill="1" applyBorder="1" applyAlignment="1">
      <alignment horizontal="center" vertical="center" wrapText="1"/>
    </xf>
    <xf numFmtId="164" fontId="22" fillId="6" borderId="2" xfId="1" applyNumberFormat="1" applyFont="1" applyFill="1" applyBorder="1" applyAlignment="1">
      <alignment horizontal="center" vertical="center" wrapText="1"/>
    </xf>
    <xf numFmtId="164" fontId="23" fillId="6" borderId="2" xfId="0" applyNumberFormat="1" applyFont="1" applyFill="1" applyBorder="1" applyAlignment="1">
      <alignment horizontal="center"/>
    </xf>
    <xf numFmtId="0" fontId="24" fillId="0" borderId="0" xfId="0" applyFont="1"/>
    <xf numFmtId="0" fontId="10" fillId="11" borderId="15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</cellXfs>
  <cellStyles count="6">
    <cellStyle name="40% - Accent5" xfId="3" builtinId="47"/>
    <cellStyle name="Currency" xfId="1" builtinId="4"/>
    <cellStyle name="Normal" xfId="0" builtinId="0"/>
    <cellStyle name="Normal 2" xfId="4"/>
    <cellStyle name="Note" xfId="2" builtinId="10"/>
    <cellStyle name="Percent" xfId="5" builtinId="5"/>
  </cellStyles>
  <dxfs count="2">
    <dxf>
      <alignment vertical="center" indent="0" readingOrder="0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colors>
    <mruColors>
      <color rgb="FF0C4976"/>
      <color rgb="FF758FC2"/>
      <color rgb="FFAFCF7B"/>
      <color rgb="FF869F29"/>
      <color rgb="FFE3B11F"/>
      <color rgb="FF70A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Titles'!$B$40</c:f>
          <c:strCache>
            <c:ptCount val="1"/>
            <c:pt idx="0">
              <c:v>Program Completers &amp; Response Rate %</c:v>
            </c:pt>
          </c:strCache>
        </c:strRef>
      </c:tx>
      <c:layout>
        <c:manualLayout>
          <c:xMode val="edge"/>
          <c:yMode val="edge"/>
          <c:x val="0.16997963145231845"/>
          <c:y val="4.633204633204633E-2"/>
        </c:manualLayout>
      </c:layout>
      <c:overlay val="0"/>
      <c:txPr>
        <a:bodyPr/>
        <a:lstStyle/>
        <a:p>
          <a:pPr algn="ctr">
            <a:defRPr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06560536142214"/>
          <c:y val="0.20927099737532917"/>
          <c:w val="0.67935086545554568"/>
          <c:h val="0.67335299303803242"/>
        </c:manualLayout>
      </c:layout>
      <c:barChart>
        <c:barDir val="col"/>
        <c:grouping val="clustered"/>
        <c:varyColors val="0"/>
        <c:ser>
          <c:idx val="0"/>
          <c:order val="0"/>
          <c:tx>
            <c:v>Response Rate</c:v>
          </c:tx>
          <c:spPr>
            <a:solidFill>
              <a:srgbClr val="AFCF7B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Options!$N$5:$N$11</c:f>
              <c:numCache>
                <c:formatCode>0%</c:formatCode>
                <c:ptCount val="7"/>
                <c:pt idx="0">
                  <c:v>0.52252252252252251</c:v>
                </c:pt>
                <c:pt idx="1">
                  <c:v>0.68894009216589858</c:v>
                </c:pt>
                <c:pt idx="2">
                  <c:v>0.59552953698775946</c:v>
                </c:pt>
                <c:pt idx="3">
                  <c:v>0.56611969111969107</c:v>
                </c:pt>
                <c:pt idx="4">
                  <c:v>0.55555555555555558</c:v>
                </c:pt>
                <c:pt idx="5">
                  <c:v>0.67124501550731064</c:v>
                </c:pt>
                <c:pt idx="6">
                  <c:v>0.56420765027322406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126080"/>
        <c:axId val="61416576"/>
      </c:barChart>
      <c:lineChart>
        <c:grouping val="standard"/>
        <c:varyColors val="0"/>
        <c:ser>
          <c:idx val="1"/>
          <c:order val="1"/>
          <c:tx>
            <c:v>Completers</c:v>
          </c:tx>
          <c:spPr>
            <a:ln w="22225" cmpd="sng">
              <a:solidFill>
                <a:srgbClr val="758FC2"/>
              </a:solidFill>
              <a:prstDash val="solid"/>
              <a:headEnd type="none" w="sm" len="sm"/>
              <a:tailEnd type="none" w="med" len="lg"/>
            </a:ln>
          </c:spPr>
          <c:marker>
            <c:symbol val="circle"/>
            <c:size val="7"/>
            <c:spPr>
              <a:solidFill>
                <a:srgbClr val="0C4976"/>
              </a:solidFill>
              <a:ln>
                <a:noFill/>
              </a:ln>
            </c:spPr>
          </c:marker>
          <c:val>
            <c:numRef>
              <c:f>Options!$L$5:$L$11</c:f>
              <c:numCache>
                <c:formatCode>General</c:formatCode>
                <c:ptCount val="7"/>
                <c:pt idx="0">
                  <c:v>1665</c:v>
                </c:pt>
                <c:pt idx="1">
                  <c:v>1736</c:v>
                </c:pt>
                <c:pt idx="2">
                  <c:v>1879</c:v>
                </c:pt>
                <c:pt idx="3">
                  <c:v>2072</c:v>
                </c:pt>
                <c:pt idx="4">
                  <c:v>2169</c:v>
                </c:pt>
                <c:pt idx="5">
                  <c:v>2257</c:v>
                </c:pt>
                <c:pt idx="6">
                  <c:v>2196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17344"/>
        <c:axId val="63415424"/>
      </c:lineChart>
      <c:catAx>
        <c:axId val="56126080"/>
        <c:scaling>
          <c:orientation val="minMax"/>
        </c:scaling>
        <c:delete val="0"/>
        <c:axPos val="b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prstDash val="sysDash"/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61416576"/>
        <c:crossesAt val="0"/>
        <c:auto val="1"/>
        <c:lblAlgn val="ctr"/>
        <c:lblOffset val="100"/>
        <c:noMultiLvlLbl val="0"/>
      </c:catAx>
      <c:valAx>
        <c:axId val="61416576"/>
        <c:scaling>
          <c:orientation val="minMax"/>
          <c:max val="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 b="1" baseline="0">
                    <a:solidFill>
                      <a:srgbClr val="869F29"/>
                    </a:solidFill>
                    <a:latin typeface="+mn-lt"/>
                    <a:cs typeface="Lucida Sans Unicode" pitchFamily="34" charset="0"/>
                  </a:defRPr>
                </a:pPr>
                <a:r>
                  <a:rPr lang="en-US" sz="1100" b="1" baseline="0">
                    <a:solidFill>
                      <a:srgbClr val="869F29"/>
                    </a:solidFill>
                    <a:latin typeface="+mn-lt"/>
                    <a:cs typeface="Lucida Sans Unicode" pitchFamily="34" charset="0"/>
                  </a:rPr>
                  <a:t>Response Rate %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low"/>
        <c:spPr>
          <a:ln>
            <a:prstDash val="sysDash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56126080"/>
        <c:crosses val="autoZero"/>
        <c:crossBetween val="between"/>
      </c:valAx>
      <c:valAx>
        <c:axId val="6341542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 algn="ctr">
                  <a:defRPr sz="1100" b="1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</a:defRPr>
                </a:pPr>
                <a:r>
                  <a:rPr lang="en-US" sz="1100" b="1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</a:rPr>
                  <a:t># of Completers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63417344"/>
        <c:crosses val="max"/>
        <c:crossBetween val="between"/>
      </c:valAx>
      <c:catAx>
        <c:axId val="63417344"/>
        <c:scaling>
          <c:orientation val="minMax"/>
        </c:scaling>
        <c:delete val="1"/>
        <c:axPos val="b"/>
        <c:majorTickMark val="out"/>
        <c:minorTickMark val="none"/>
        <c:tickLblPos val="none"/>
        <c:crossAx val="6341542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 baseline="0">
          <a:solidFill>
            <a:schemeClr val="tx1">
              <a:lumMod val="75000"/>
              <a:lumOff val="25000"/>
            </a:schemeClr>
          </a:solidFill>
          <a:latin typeface="Lucida Sans Unicode" pitchFamily="34" charset="0"/>
        </a:defRPr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Titles'!$B$6</c:f>
          <c:strCache>
            <c:ptCount val="1"/>
            <c:pt idx="0">
              <c:v>Program Completers &amp; Respondents</c:v>
            </c:pt>
          </c:strCache>
        </c:strRef>
      </c:tx>
      <c:layout/>
      <c:overlay val="0"/>
      <c:txPr>
        <a:bodyPr/>
        <a:lstStyle/>
        <a:p>
          <a:pPr>
            <a:defRPr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88662875473899"/>
          <c:y val="0.27944669078527351"/>
          <c:w val="0.86237514581510644"/>
          <c:h val="0.59368092501950753"/>
        </c:manualLayout>
      </c:layout>
      <c:lineChart>
        <c:grouping val="standard"/>
        <c:varyColors val="0"/>
        <c:ser>
          <c:idx val="0"/>
          <c:order val="0"/>
          <c:tx>
            <c:v>Completers</c:v>
          </c:tx>
          <c:spPr>
            <a:ln>
              <a:solidFill>
                <a:srgbClr val="758FC2"/>
              </a:solidFill>
            </a:ln>
          </c:spPr>
          <c:marker>
            <c:symbol val="circle"/>
            <c:size val="7"/>
            <c:spPr>
              <a:solidFill>
                <a:srgbClr val="0C4976">
                  <a:alpha val="79000"/>
                </a:srgbClr>
              </a:solidFill>
              <a:ln>
                <a:noFill/>
              </a:ln>
            </c:spPr>
          </c:marker>
          <c:dLbls>
            <c:numFmt formatCode="#,##0" sourceLinked="0"/>
            <c:txPr>
              <a:bodyPr/>
              <a:lstStyle/>
              <a:p>
                <a:pPr>
                  <a:defRPr sz="1000" b="0" baseline="0">
                    <a:solidFill>
                      <a:schemeClr val="accent5">
                        <a:lumMod val="50000"/>
                      </a:schemeClr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Options!$L$5:$L$11</c:f>
              <c:numCache>
                <c:formatCode>General</c:formatCode>
                <c:ptCount val="7"/>
                <c:pt idx="0">
                  <c:v>1665</c:v>
                </c:pt>
                <c:pt idx="1">
                  <c:v>1736</c:v>
                </c:pt>
                <c:pt idx="2">
                  <c:v>1879</c:v>
                </c:pt>
                <c:pt idx="3">
                  <c:v>2072</c:v>
                </c:pt>
                <c:pt idx="4">
                  <c:v>2169</c:v>
                </c:pt>
                <c:pt idx="5">
                  <c:v>2257</c:v>
                </c:pt>
                <c:pt idx="6">
                  <c:v>2196</c:v>
                </c:pt>
              </c:numCache>
            </c:numRef>
          </c:val>
          <c:smooth val="0"/>
        </c:ser>
        <c:ser>
          <c:idx val="1"/>
          <c:order val="1"/>
          <c:tx>
            <c:v>Respondents</c:v>
          </c:tx>
          <c:spPr>
            <a:ln>
              <a:solidFill>
                <a:srgbClr val="AFCF7B"/>
              </a:solidFill>
            </a:ln>
          </c:spPr>
          <c:marker>
            <c:symbol val="circle"/>
            <c:size val="7"/>
            <c:spPr>
              <a:solidFill>
                <a:srgbClr val="869F29"/>
              </a:solidFill>
              <a:ln>
                <a:noFill/>
              </a:ln>
            </c:spPr>
          </c:marker>
          <c:dLbls>
            <c:txPr>
              <a:bodyPr/>
              <a:lstStyle/>
              <a:p>
                <a:pPr algn="ctr">
                  <a:defRPr lang="en-US" sz="10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Lucida Sans Unicode" pitchFamily="34" charset="0"/>
                    <a:ea typeface="+mn-ea"/>
                    <a:cs typeface="Lucida Sans Unicode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Options!$M$5:$M$11</c:f>
              <c:numCache>
                <c:formatCode>General</c:formatCode>
                <c:ptCount val="7"/>
                <c:pt idx="0">
                  <c:v>870</c:v>
                </c:pt>
                <c:pt idx="1">
                  <c:v>1196</c:v>
                </c:pt>
                <c:pt idx="2">
                  <c:v>1119</c:v>
                </c:pt>
                <c:pt idx="3">
                  <c:v>1173</c:v>
                </c:pt>
                <c:pt idx="4">
                  <c:v>1205</c:v>
                </c:pt>
                <c:pt idx="5">
                  <c:v>1515</c:v>
                </c:pt>
                <c:pt idx="6">
                  <c:v>1239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31264"/>
        <c:axId val="94937088"/>
      </c:lineChart>
      <c:catAx>
        <c:axId val="763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4937088"/>
        <c:crosses val="autoZero"/>
        <c:auto val="1"/>
        <c:lblAlgn val="ctr"/>
        <c:lblOffset val="100"/>
        <c:noMultiLvlLbl val="0"/>
      </c:catAx>
      <c:valAx>
        <c:axId val="94937088"/>
        <c:scaling>
          <c:orientation val="minMax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spPr>
          <a:ln cmpd="tri"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763312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486792084128564"/>
          <c:y val="0.13969132236848772"/>
          <c:w val="0.50264158317428731"/>
          <c:h val="9.309093120116743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Titles'!$B$14</c:f>
          <c:strCache>
            <c:ptCount val="1"/>
            <c:pt idx="0">
              <c:v>Total Employed %</c:v>
            </c:pt>
          </c:strCache>
        </c:strRef>
      </c:tx>
      <c:layout/>
      <c:overlay val="0"/>
      <c:txPr>
        <a:bodyPr/>
        <a:lstStyle/>
        <a:p>
          <a:pPr>
            <a:defRPr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Employed %</c:v>
          </c:tx>
          <c:spPr>
            <a:solidFill>
              <a:srgbClr val="AFCF7B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b="0" baseline="0">
                    <a:solidFill>
                      <a:sysClr val="windowText" lastClr="000000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Options!$P$5:$P$11</c:f>
              <c:numCache>
                <c:formatCode>0%</c:formatCode>
                <c:ptCount val="7"/>
                <c:pt idx="0">
                  <c:v>0.81609195402298851</c:v>
                </c:pt>
                <c:pt idx="1">
                  <c:v>0.84698996655518399</c:v>
                </c:pt>
                <c:pt idx="2">
                  <c:v>0.77033065236818588</c:v>
                </c:pt>
                <c:pt idx="3">
                  <c:v>0.75021312872975277</c:v>
                </c:pt>
                <c:pt idx="4">
                  <c:v>0.75767634854771782</c:v>
                </c:pt>
                <c:pt idx="5">
                  <c:v>0.79009900990099013</c:v>
                </c:pt>
                <c:pt idx="6">
                  <c:v>0.75867635189669091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277824"/>
        <c:axId val="97299456"/>
      </c:barChart>
      <c:catAx>
        <c:axId val="972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7299456"/>
        <c:crosses val="autoZero"/>
        <c:auto val="1"/>
        <c:lblAlgn val="ctr"/>
        <c:lblOffset val="100"/>
        <c:noMultiLvlLbl val="0"/>
      </c:catAx>
      <c:valAx>
        <c:axId val="97299456"/>
        <c:scaling>
          <c:orientation val="minMax"/>
          <c:max val="1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7277824"/>
        <c:crosses val="autoZero"/>
        <c:crossBetween val="between"/>
        <c:minorUnit val="2.0000000000000011E-2"/>
      </c:valAx>
    </c:plotArea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'Chart Titles'!$B$18</c:f>
          <c:strCache>
            <c:ptCount val="1"/>
            <c:pt idx="0">
              <c:v>Average Hourly Wage</c:v>
            </c:pt>
          </c:strCache>
        </c:strRef>
      </c:tx>
      <c:layout/>
      <c:overlay val="0"/>
      <c:txPr>
        <a:bodyPr/>
        <a:lstStyle/>
        <a:p>
          <a:pPr>
            <a:defRPr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Options!$Q$4</c:f>
              <c:strCache>
                <c:ptCount val="1"/>
                <c:pt idx="0">
                  <c:v>MEDIAN SALARY</c:v>
                </c:pt>
              </c:strCache>
            </c:strRef>
          </c:tx>
          <c:spPr>
            <a:solidFill>
              <a:srgbClr val="758FC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b="0"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Options!$Q$5:$Q$11</c:f>
              <c:numCache>
                <c:formatCode>_("$"* #,##0.00_);_("$"* \(#,##0.00\);_("$"* "-"??_);_(@_)</c:formatCode>
                <c:ptCount val="7"/>
                <c:pt idx="0">
                  <c:v>16.34</c:v>
                </c:pt>
                <c:pt idx="1">
                  <c:v>16.86</c:v>
                </c:pt>
                <c:pt idx="2">
                  <c:v>14.17</c:v>
                </c:pt>
                <c:pt idx="3">
                  <c:v>14.7</c:v>
                </c:pt>
                <c:pt idx="4">
                  <c:v>14.2</c:v>
                </c:pt>
                <c:pt idx="5">
                  <c:v>14</c:v>
                </c:pt>
                <c:pt idx="6">
                  <c:v>14.85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364992"/>
        <c:axId val="97684864"/>
      </c:barChart>
      <c:catAx>
        <c:axId val="973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7684864"/>
        <c:crosses val="autoZero"/>
        <c:auto val="1"/>
        <c:lblAlgn val="ctr"/>
        <c:lblOffset val="100"/>
        <c:noMultiLvlLbl val="0"/>
      </c:catAx>
      <c:valAx>
        <c:axId val="97684864"/>
        <c:scaling>
          <c:orientation val="minMax"/>
          <c:min val="0"/>
        </c:scaling>
        <c:delete val="0"/>
        <c:axPos val="l"/>
        <c:majorGridlines>
          <c:spPr>
            <a:ln w="6350" cap="rnd"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7364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'Chart Titles'!$B$30</c:f>
          <c:strCache>
            <c:ptCount val="1"/>
            <c:pt idx="0">
              <c:v>Total Apprenticeships %</c:v>
            </c:pt>
          </c:strCache>
        </c:strRef>
      </c:tx>
      <c:overlay val="0"/>
      <c:txPr>
        <a:bodyPr/>
        <a:lstStyle/>
        <a:p>
          <a:pPr>
            <a:defRPr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2396106736659"/>
          <c:y val="0.18602329329511111"/>
          <c:w val="0.84216608340624088"/>
          <c:h val="0.7128443892441596"/>
        </c:manualLayout>
      </c:layout>
      <c:barChart>
        <c:barDir val="bar"/>
        <c:grouping val="clustered"/>
        <c:varyColors val="0"/>
        <c:ser>
          <c:idx val="0"/>
          <c:order val="0"/>
          <c:tx>
            <c:v>Total Apprenticeships %</c:v>
          </c:tx>
          <c:spPr>
            <a:solidFill>
              <a:srgbClr val="758FC2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Options!$W$5:$W$11</c:f>
              <c:numCache>
                <c:formatCode>0%</c:formatCode>
                <c:ptCount val="7"/>
                <c:pt idx="0">
                  <c:v>0</c:v>
                </c:pt>
                <c:pt idx="1">
                  <c:v>0.16555183946488294</c:v>
                </c:pt>
                <c:pt idx="2">
                  <c:v>0.2064343163538874</c:v>
                </c:pt>
                <c:pt idx="3">
                  <c:v>0.22421142369991476</c:v>
                </c:pt>
                <c:pt idx="4">
                  <c:v>0.2016597510373444</c:v>
                </c:pt>
                <c:pt idx="5">
                  <c:v>0.18877887788778877</c:v>
                </c:pt>
                <c:pt idx="6">
                  <c:v>0.19693301049233253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98788864"/>
        <c:axId val="99618176"/>
      </c:barChart>
      <c:catAx>
        <c:axId val="98788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>
                <a:lumMod val="50000"/>
                <a:lumOff val="50000"/>
              </a:sysClr>
            </a:solidFill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9618176"/>
        <c:crosses val="autoZero"/>
        <c:auto val="1"/>
        <c:lblAlgn val="ctr"/>
        <c:lblOffset val="100"/>
        <c:noMultiLvlLbl val="0"/>
      </c:catAx>
      <c:valAx>
        <c:axId val="99618176"/>
        <c:scaling>
          <c:orientation val="minMax"/>
        </c:scaling>
        <c:delete val="0"/>
        <c:axPos val="b"/>
        <c:majorGridlines>
          <c:spPr>
            <a:ln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solidFill>
              <a:sysClr val="windowText" lastClr="000000">
                <a:lumMod val="50000"/>
                <a:lumOff val="50000"/>
              </a:sysClr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98788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'Chart Titles'!$B$34</c:f>
          <c:strCache>
            <c:ptCount val="1"/>
            <c:pt idx="0">
              <c:v>State Licensing Exam</c:v>
            </c:pt>
          </c:strCache>
        </c:strRef>
      </c:tx>
      <c:overlay val="0"/>
      <c:txPr>
        <a:bodyPr/>
        <a:lstStyle/>
        <a:p>
          <a:pPr>
            <a:defRPr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17900627004954E-2"/>
          <c:y val="0.22281863415721684"/>
          <c:w val="0.86915988626421692"/>
          <c:h val="0.58295807618642259"/>
        </c:manualLayout>
      </c:layout>
      <c:barChart>
        <c:barDir val="col"/>
        <c:grouping val="clustered"/>
        <c:varyColors val="0"/>
        <c:ser>
          <c:idx val="0"/>
          <c:order val="0"/>
          <c:tx>
            <c:v>Took Exam %</c:v>
          </c:tx>
          <c:spPr>
            <a:solidFill>
              <a:srgbClr val="AFCF7B"/>
            </a:solidFill>
            <a:ln>
              <a:noFill/>
            </a:ln>
            <a:effectLst/>
          </c:spPr>
          <c:invertIfNegative val="0"/>
          <c:dLbls>
            <c:txPr>
              <a:bodyPr/>
              <a:lstStyle/>
              <a:p>
                <a:pPr>
                  <a:defRPr sz="800" b="0"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Options!$Y$5:$Y$11</c:f>
              <c:numCache>
                <c:formatCode>0%</c:formatCode>
                <c:ptCount val="7"/>
                <c:pt idx="0">
                  <c:v>0</c:v>
                </c:pt>
                <c:pt idx="1">
                  <c:v>0.62207357859531776</c:v>
                </c:pt>
                <c:pt idx="2">
                  <c:v>0.66219839142091153</c:v>
                </c:pt>
                <c:pt idx="3">
                  <c:v>0.62318840579710144</c:v>
                </c:pt>
                <c:pt idx="4">
                  <c:v>0.63485477178423233</c:v>
                </c:pt>
                <c:pt idx="5">
                  <c:v>0.598019801980198</c:v>
                </c:pt>
                <c:pt idx="6">
                  <c:v>0.50040355125100888</c:v>
                </c:pt>
              </c:numCache>
            </c:numRef>
          </c:val>
        </c:ser>
        <c:ser>
          <c:idx val="1"/>
          <c:order val="1"/>
          <c:tx>
            <c:v>Passed Exam %</c:v>
          </c:tx>
          <c:spPr>
            <a:solidFill>
              <a:srgbClr val="758FC2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txPr>
              <a:bodyPr/>
              <a:lstStyle/>
              <a:p>
                <a:pPr>
                  <a:defRPr sz="800"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Options!$AA$5:$AA$11</c:f>
              <c:numCache>
                <c:formatCode>0%</c:formatCode>
                <c:ptCount val="7"/>
                <c:pt idx="0">
                  <c:v>0</c:v>
                </c:pt>
                <c:pt idx="1">
                  <c:v>0.97043010752688175</c:v>
                </c:pt>
                <c:pt idx="2">
                  <c:v>0.95681511470985159</c:v>
                </c:pt>
                <c:pt idx="3">
                  <c:v>1</c:v>
                </c:pt>
                <c:pt idx="4">
                  <c:v>0.97647058823529409</c:v>
                </c:pt>
                <c:pt idx="5">
                  <c:v>0.96247240618101548</c:v>
                </c:pt>
                <c:pt idx="6">
                  <c:v>0.96935483870967742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54634752"/>
        <c:axId val="54635904"/>
      </c:barChart>
      <c:catAx>
        <c:axId val="5463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i="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54635904"/>
        <c:crosses val="autoZero"/>
        <c:auto val="1"/>
        <c:lblAlgn val="ctr"/>
        <c:lblOffset val="100"/>
        <c:noMultiLvlLbl val="0"/>
      </c:catAx>
      <c:valAx>
        <c:axId val="54635904"/>
        <c:scaling>
          <c:orientation val="minMax"/>
          <c:max val="1"/>
        </c:scaling>
        <c:delete val="0"/>
        <c:axPos val="l"/>
        <c:majorGridlines>
          <c:spPr>
            <a:ln w="6350" cap="rnd">
              <a:solidFill>
                <a:sysClr val="window" lastClr="FFFFFF">
                  <a:lumMod val="75000"/>
                </a:sys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54634752"/>
        <c:crosses val="autoZero"/>
        <c:crossBetween val="between"/>
        <c:minorUnit val="2.0000000000000011E-2"/>
      </c:valAx>
    </c:plotArea>
    <c:legend>
      <c:legendPos val="b"/>
      <c:layout>
        <c:manualLayout>
          <c:xMode val="edge"/>
          <c:yMode val="edge"/>
          <c:x val="0.27120953630796152"/>
          <c:y val="0.90176106365082742"/>
          <c:w val="0.45758092738407696"/>
          <c:h val="9.309093120116741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Titles'!$B$37</c:f>
          <c:strCache>
            <c:ptCount val="1"/>
            <c:pt idx="0">
              <c:v>Program Met Students Instructional Goals %</c:v>
            </c:pt>
          </c:strCache>
        </c:strRef>
      </c:tx>
      <c:overlay val="0"/>
      <c:txPr>
        <a:bodyPr/>
        <a:lstStyle/>
        <a:p>
          <a:pPr>
            <a:defRPr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661672725692707E-2"/>
          <c:y val="0.21404686914135806"/>
          <c:w val="0.86997255777810623"/>
          <c:h val="0.57923884514435697"/>
        </c:manualLayout>
      </c:layout>
      <c:barChart>
        <c:barDir val="col"/>
        <c:grouping val="clustered"/>
        <c:varyColors val="0"/>
        <c:ser>
          <c:idx val="0"/>
          <c:order val="0"/>
          <c:tx>
            <c:v>Goals Met %</c:v>
          </c:tx>
          <c:spPr>
            <a:solidFill>
              <a:srgbClr val="758FC2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spPr/>
              <c:txPr>
                <a:bodyPr/>
                <a:lstStyle/>
                <a:p>
                  <a:pPr algn="ctr">
                    <a:defRPr lang="en-US" sz="1000" b="0" i="0" u="none" strike="noStrike" kern="1200" baseline="0">
                      <a:solidFill>
                        <a:sysClr val="windowText" lastClr="000000"/>
                      </a:solidFill>
                      <a:latin typeface="Lucida Sans Unicode" pitchFamily="34" charset="0"/>
                      <a:ea typeface="+mn-ea"/>
                      <a:cs typeface="Lucida Sans Unicode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Options!$AC$5:$AC$11</c:f>
              <c:numCache>
                <c:formatCode>0%</c:formatCode>
                <c:ptCount val="7"/>
                <c:pt idx="0">
                  <c:v>0.96091954022988502</c:v>
                </c:pt>
                <c:pt idx="1">
                  <c:v>0.94063545150501671</c:v>
                </c:pt>
                <c:pt idx="2">
                  <c:v>0.93386952636282394</c:v>
                </c:pt>
                <c:pt idx="3">
                  <c:v>0.93435635123614669</c:v>
                </c:pt>
                <c:pt idx="4">
                  <c:v>0.89543568464730294</c:v>
                </c:pt>
                <c:pt idx="5">
                  <c:v>0.93531353135313533</c:v>
                </c:pt>
                <c:pt idx="6">
                  <c:v>0.92816787732041972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680192"/>
        <c:axId val="54690176"/>
      </c:barChart>
      <c:catAx>
        <c:axId val="546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54690176"/>
        <c:crosses val="autoZero"/>
        <c:auto val="1"/>
        <c:lblAlgn val="ctr"/>
        <c:lblOffset val="100"/>
        <c:noMultiLvlLbl val="0"/>
      </c:catAx>
      <c:valAx>
        <c:axId val="54690176"/>
        <c:scaling>
          <c:orientation val="minMax"/>
          <c:max val="1"/>
          <c:min val="0"/>
        </c:scaling>
        <c:delete val="0"/>
        <c:axPos val="l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  <a:latin typeface="Lucida Sans Unicode" pitchFamily="34" charset="0"/>
                <a:cs typeface="Lucida Sans Unicode" pitchFamily="34" charset="0"/>
              </a:defRPr>
            </a:pPr>
            <a:endParaRPr lang="en-US"/>
          </a:p>
        </c:txPr>
        <c:crossAx val="54680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 Titles'!$B$26</c:f>
          <c:strCache>
            <c:ptCount val="1"/>
            <c:pt idx="0">
              <c:v>Students Continuing their Education %</c:v>
            </c:pt>
          </c:strCache>
        </c:strRef>
      </c:tx>
      <c:layout>
        <c:manualLayout>
          <c:xMode val="edge"/>
          <c:yMode val="edge"/>
          <c:x val="0.19402477034120733"/>
          <c:y val="2.0576131687242798E-2"/>
        </c:manualLayout>
      </c:layout>
      <c:overlay val="0"/>
      <c:txPr>
        <a:bodyPr/>
        <a:lstStyle/>
        <a:p>
          <a:pPr>
            <a:defRPr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0451662292215"/>
          <c:y val="0.1771827711350896"/>
          <c:w val="0.84063251859142607"/>
          <c:h val="0.72176290463692039"/>
        </c:manualLayout>
      </c:layout>
      <c:barChart>
        <c:barDir val="bar"/>
        <c:grouping val="clustered"/>
        <c:varyColors val="0"/>
        <c:ser>
          <c:idx val="0"/>
          <c:order val="0"/>
          <c:tx>
            <c:v>Continuing Ed %</c:v>
          </c:tx>
          <c:spPr>
            <a:solidFill>
              <a:srgbClr val="AFCF7B"/>
            </a:solidFill>
          </c:spPr>
          <c:invertIfNegative val="0"/>
          <c:dLbls>
            <c:txPr>
              <a:bodyPr/>
              <a:lstStyle/>
              <a:p>
                <a:pPr>
                  <a:defRPr baseline="0">
                    <a:solidFill>
                      <a:schemeClr val="tx1"/>
                    </a:solidFill>
                    <a:latin typeface="Lucida Sans Unicode" pitchFamily="34" charset="0"/>
                    <a:cs typeface="Lucida Sans Unicode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Options!$I$5:$I$11</c:f>
              <c:numCache>
                <c:formatCode>General</c:formatCode>
                <c:ptCount val="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</c:numCache>
            </c:numRef>
          </c:cat>
          <c:val>
            <c:numRef>
              <c:f>Options!$U$5:$U$11</c:f>
              <c:numCache>
                <c:formatCode>0%</c:formatCode>
                <c:ptCount val="7"/>
                <c:pt idx="0">
                  <c:v>0.4459770114942529</c:v>
                </c:pt>
                <c:pt idx="1">
                  <c:v>0.42474916387959866</c:v>
                </c:pt>
                <c:pt idx="2">
                  <c:v>0.5138516532618409</c:v>
                </c:pt>
                <c:pt idx="3">
                  <c:v>0.55413469735720378</c:v>
                </c:pt>
                <c:pt idx="4">
                  <c:v>0.44647302904564318</c:v>
                </c:pt>
                <c:pt idx="5">
                  <c:v>0.48118811881188117</c:v>
                </c:pt>
                <c:pt idx="6">
                  <c:v>0.50766747376916865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54701056"/>
        <c:axId val="54712192"/>
      </c:barChart>
      <c:catAx>
        <c:axId val="54701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txPr>
          <a:bodyPr/>
          <a:lstStyle/>
          <a:p>
            <a:pPr>
              <a:defRPr sz="800" i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54712192"/>
        <c:crosses val="autoZero"/>
        <c:auto val="1"/>
        <c:lblAlgn val="ctr"/>
        <c:lblOffset val="100"/>
        <c:noMultiLvlLbl val="0"/>
      </c:catAx>
      <c:valAx>
        <c:axId val="54712192"/>
        <c:scaling>
          <c:orientation val="minMax"/>
          <c:max val="1"/>
        </c:scaling>
        <c:delete val="0"/>
        <c:axPos val="b"/>
        <c:majorGridlines>
          <c:spPr>
            <a:ln w="6350" cap="rnd">
              <a:solidFill>
                <a:schemeClr val="bg1">
                  <a:lumMod val="7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spPr>
          <a:ln w="6350">
            <a:solidFill>
              <a:schemeClr val="tx1">
                <a:lumMod val="50000"/>
                <a:lumOff val="50000"/>
              </a:schemeClr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/>
          </a:p>
        </c:txPr>
        <c:crossAx val="547010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aseline="0">
          <a:solidFill>
            <a:schemeClr val="tx1">
              <a:lumMod val="75000"/>
              <a:lumOff val="25000"/>
            </a:schemeClr>
          </a:solidFill>
          <a:latin typeface="Lucida Sans Unicode" pitchFamily="34" charset="0"/>
        </a:defRPr>
      </a:pPr>
      <a:endParaRPr lang="en-US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Options!$D$5" fmlaRange="Options!$C$5:$C$39" noThreeD="1" val="0"/>
</file>

<file path=xl/ctrlProps/ctrlProp2.xml><?xml version="1.0" encoding="utf-8"?>
<formControlPr xmlns="http://schemas.microsoft.com/office/spreadsheetml/2009/9/main" objectType="Drop" dropStyle="combo" dx="16" fmlaLink="Options!$D$5" fmlaRange="Options!$C$5:$C$39" noThreeD="1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1.jpe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9527</xdr:colOff>
      <xdr:row>1</xdr:row>
      <xdr:rowOff>9524</xdr:rowOff>
    </xdr:from>
    <xdr:ext cx="5886448" cy="3009901"/>
    <xdr:sp macro="" textlink="">
      <xdr:nvSpPr>
        <xdr:cNvPr id="5" name="TextBox 4"/>
        <xdr:cNvSpPr txBox="1"/>
      </xdr:nvSpPr>
      <xdr:spPr>
        <a:xfrm>
          <a:off x="619127" y="561974"/>
          <a:ext cx="5886448" cy="30099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The VE-135 Survey is distributed every year to graduates of vocational education programs at FRCC.  The survey is meant to help track student success in these programs by asking a series of survey questions based on criteria such as hourly wage, gainful employment, and satisfaction with educational objectives. The VE-135 is distributed by email, phone, or postage, and all information concerning criteria on the survey is self-reported by respondents. Questions, like the one about employment, ask about a very specific time frame, and are not indicative of overall gainful employment that may take place in the future. </a:t>
          </a:r>
          <a:endParaRPr lang="en-US" sz="1300">
            <a:solidFill>
              <a:schemeClr val="tx1">
                <a:lumMod val="85000"/>
                <a:lumOff val="15000"/>
              </a:schemeClr>
            </a:solidFill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300">
            <a:solidFill>
              <a:schemeClr val="tx1">
                <a:lumMod val="85000"/>
                <a:lumOff val="1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The Institutional Research Department is now formatting the results of this survey in the form of an interactive dashboard. This dashboard consists of a series of bar and line graphs which can be sorted by </a:t>
          </a:r>
          <a:r>
            <a:rPr lang="en-US" sz="1300" b="1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program</a:t>
          </a: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30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3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showing trends in student success over a 6 year span. Each table corresponds with questions from the VE-135 Survey. The questions are as followed:</a:t>
          </a:r>
        </a:p>
        <a:p>
          <a:endParaRPr lang="en-US" sz="13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oneCellAnchor>
  <xdr:oneCellAnchor>
    <xdr:from>
      <xdr:col>11</xdr:col>
      <xdr:colOff>361950</xdr:colOff>
      <xdr:row>2</xdr:row>
      <xdr:rowOff>76200</xdr:rowOff>
    </xdr:from>
    <xdr:ext cx="184731" cy="264560"/>
    <xdr:sp macro="" textlink="">
      <xdr:nvSpPr>
        <xdr:cNvPr id="7" name="TextBox 6"/>
        <xdr:cNvSpPr txBox="1"/>
      </xdr:nvSpPr>
      <xdr:spPr>
        <a:xfrm>
          <a:off x="6877050" y="81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9525</xdr:colOff>
      <xdr:row>47</xdr:row>
      <xdr:rowOff>28575</xdr:rowOff>
    </xdr:from>
    <xdr:ext cx="5895975" cy="1109919"/>
    <xdr:sp macro="" textlink="">
      <xdr:nvSpPr>
        <xdr:cNvPr id="8" name="TextBox 7"/>
        <xdr:cNvSpPr txBox="1"/>
      </xdr:nvSpPr>
      <xdr:spPr>
        <a:xfrm>
          <a:off x="619125" y="9344025"/>
          <a:ext cx="5895975" cy="1109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300"/>
            <a:t>The first two graphs on the dashboard pertain to program completers and response rates. The first table shows the</a:t>
          </a:r>
          <a:r>
            <a:rPr lang="en-US" sz="1300" baseline="0"/>
            <a:t> number of students who completed a program,  accompanied by the number of people who actually responded to the survey. The second table shows the number of program completers as compared to the percentage of respondents, or </a:t>
          </a:r>
          <a:r>
            <a:rPr lang="en-US" sz="1300" i="1" baseline="0"/>
            <a:t>response rate.</a:t>
          </a:r>
          <a:endParaRPr lang="en-US" sz="1300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9525</xdr:rowOff>
    </xdr:from>
    <xdr:to>
      <xdr:col>18</xdr:col>
      <xdr:colOff>7620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</xdr:row>
      <xdr:rowOff>9525</xdr:rowOff>
    </xdr:from>
    <xdr:to>
      <xdr:col>9</xdr:col>
      <xdr:colOff>617220</xdr:colOff>
      <xdr:row>16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</xdr:colOff>
      <xdr:row>17</xdr:row>
      <xdr:rowOff>9525</xdr:rowOff>
    </xdr:from>
    <xdr:to>
      <xdr:col>10</xdr:col>
      <xdr:colOff>0</xdr:colOff>
      <xdr:row>30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18</xdr:col>
      <xdr:colOff>7620</xdr:colOff>
      <xdr:row>29</xdr:row>
      <xdr:rowOff>182880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6</xdr:col>
          <xdr:colOff>171450</xdr:colOff>
          <xdr:row>1</xdr:row>
          <xdr:rowOff>180975</xdr:rowOff>
        </xdr:to>
        <xdr:sp macro="" textlink="">
          <xdr:nvSpPr>
            <xdr:cNvPr id="30721" name="Drop Down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33</xdr:row>
      <xdr:rowOff>0</xdr:rowOff>
    </xdr:from>
    <xdr:to>
      <xdr:col>4</xdr:col>
      <xdr:colOff>608838</xdr:colOff>
      <xdr:row>36</xdr:row>
      <xdr:rowOff>68580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477000"/>
          <a:ext cx="1237488" cy="640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9524</xdr:rowOff>
    </xdr:from>
    <xdr:to>
      <xdr:col>9</xdr:col>
      <xdr:colOff>617220</xdr:colOff>
      <xdr:row>30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</xdr:row>
      <xdr:rowOff>9525</xdr:rowOff>
    </xdr:from>
    <xdr:to>
      <xdr:col>9</xdr:col>
      <xdr:colOff>617220</xdr:colOff>
      <xdr:row>16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17</xdr:col>
      <xdr:colOff>617220</xdr:colOff>
      <xdr:row>15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7620</xdr:rowOff>
    </xdr:from>
    <xdr:to>
      <xdr:col>17</xdr:col>
      <xdr:colOff>617220</xdr:colOff>
      <xdr:row>30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6</xdr:col>
          <xdr:colOff>171450</xdr:colOff>
          <xdr:row>1</xdr:row>
          <xdr:rowOff>180975</xdr:rowOff>
        </xdr:to>
        <xdr:sp macro="" textlink="">
          <xdr:nvSpPr>
            <xdr:cNvPr id="32769" name="Drop Down 1" hidden="1">
              <a:extLst>
                <a:ext uri="{63B3BB69-23CF-44E3-9099-C40C66FF867C}">
                  <a14:compatExt spid="_x0000_s327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33</xdr:row>
      <xdr:rowOff>0</xdr:rowOff>
    </xdr:from>
    <xdr:to>
      <xdr:col>4</xdr:col>
      <xdr:colOff>608838</xdr:colOff>
      <xdr:row>36</xdr:row>
      <xdr:rowOff>68580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6477000"/>
          <a:ext cx="1237488" cy="6400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llace, Kim" refreshedDate="41745.678119791664" createdVersion="3" refreshedVersion="4" minRefreshableVersion="3" recordCount="246">
  <cacheSource type="worksheet">
    <worksheetSource ref="B1:U1048576" sheet="Data"/>
  </cacheSource>
  <cacheFields count="20">
    <cacheField name="YEAR" numFmtId="0">
      <sharedItems containsString="0" containsBlank="1" containsNumber="1" containsInteger="1" minValue="2007" maxValue="2013" count="8">
        <n v="2013"/>
        <n v="2012"/>
        <n v="2011"/>
        <n v="2010"/>
        <n v="2009"/>
        <n v="2008"/>
        <n v="2007"/>
        <m/>
      </sharedItems>
    </cacheField>
    <cacheField name="PROGRAM" numFmtId="0">
      <sharedItems containsBlank="1" count="43">
        <s v=" Total"/>
        <s v="Accounting"/>
        <s v="Animal Laboratory Technology"/>
        <s v="Applied Technology"/>
        <s v="Architectural Engineering Technology"/>
        <s v="Automotive Technology"/>
        <s v="Business"/>
        <s v="CISCO Network Associate"/>
        <s v="Computer Aided Drafting and Design"/>
        <s v="Computer Information Systems"/>
        <s v="Dental Assisting"/>
        <s v="Early Childhood Education"/>
        <s v="Emergency Medical Services"/>
        <s v="Energy Technology"/>
        <s v="Forestry-Wildlife &amp; Natural Resources"/>
        <s v="Geographic Information System"/>
        <s v="Health Information Technologies"/>
        <s v="Heating, Ventilation &amp; Air Cond"/>
        <s v="Holistic Health"/>
        <s v="Horticulture &amp; Landscape Tech"/>
        <s v="Hospitality/ Food Management"/>
        <s v="Interior Design"/>
        <s v="Interpreter Preparation "/>
        <s v="Legal Assistant / Paralegal"/>
        <s v="Machining Technology"/>
        <s v="Medical Office Technology"/>
        <s v="Multimedia Graphic Design"/>
        <s v="Nurse Aide"/>
        <s v="Pharmacy Technician"/>
        <s v="Phlebotomy "/>
        <s v="Practical Nursing"/>
        <s v="Registered Nursing"/>
        <s v="Teaching English as a Second Language"/>
        <s v="Veterinary Technology"/>
        <s v="Welding Technology"/>
        <m/>
        <s v="Dietetic Technology(No numbers for 2010-2011)" u="1"/>
        <s v="English as a Second Language" u="1"/>
        <s v="Clean Energy Technology" u="1"/>
        <s v="Teaching English-Second Language Abroad" u="1"/>
        <s v="Dietetic Technology" u="1"/>
        <s v="Computer Information Technologies" u="1"/>
        <s v="TOTAL" u="1"/>
      </sharedItems>
    </cacheField>
    <cacheField name="Program Completers" numFmtId="0">
      <sharedItems containsString="0" containsBlank="1" containsNumber="1" containsInteger="1" minValue="1" maxValue="2257"/>
    </cacheField>
    <cacheField name="Respondents" numFmtId="0">
      <sharedItems containsString="0" containsBlank="1" containsNumber="1" containsInteger="1" minValue="0" maxValue="1515"/>
    </cacheField>
    <cacheField name="Respondents Employed, Related To Training" numFmtId="0">
      <sharedItems containsString="0" containsBlank="1" containsNumber="1" containsInteger="1" minValue="0" maxValue="720"/>
    </cacheField>
    <cacheField name="Median Hourly Wage " numFmtId="0">
      <sharedItems containsString="0" containsBlank="1" containsNumber="1" minValue="10" maxValue="28.75"/>
    </cacheField>
    <cacheField name="Respondents Employed, Unrelated To Training" numFmtId="0">
      <sharedItems containsString="0" containsBlank="1" containsNumber="1" containsInteger="1" minValue="0" maxValue="477"/>
    </cacheField>
    <cacheField name="Total Employed" numFmtId="0">
      <sharedItems containsString="0" containsBlank="1" containsNumber="1" containsInteger="1" minValue="2" maxValue="1197"/>
    </cacheField>
    <cacheField name="Unemployed, Seeking Employment" numFmtId="0">
      <sharedItems containsString="0" containsBlank="1" containsNumber="1" containsInteger="1" minValue="0" maxValue="151"/>
    </cacheField>
    <cacheField name="Unemployed, Not Seeking Employment" numFmtId="0">
      <sharedItems containsString="0" containsBlank="1" containsNumber="1" containsInteger="1" minValue="0" maxValue="160"/>
    </cacheField>
    <cacheField name="Military Full-time" numFmtId="0">
      <sharedItems containsString="0" containsBlank="1" containsNumber="1" containsInteger="1" minValue="0" maxValue="11"/>
    </cacheField>
    <cacheField name="Military  Part-Time" numFmtId="0">
      <sharedItems containsString="0" containsBlank="1" containsNumber="1" containsInteger="1" minValue="0" maxValue="22"/>
    </cacheField>
    <cacheField name="Total in Military" numFmtId="0">
      <sharedItems containsString="0" containsBlank="1" containsNumber="1" containsInteger="1" minValue="0" maxValue="27"/>
    </cacheField>
    <cacheField name="Continuing Education (Secondary or Post-Secondary)" numFmtId="0">
      <sharedItems containsString="0" containsBlank="1" containsNumber="1" containsInteger="1" minValue="0" maxValue="729"/>
    </cacheField>
    <cacheField name="Apprenticeship related to FRCC taining*(The 2008 survey question is different)" numFmtId="0">
      <sharedItems containsString="0" containsBlank="1" containsNumber="1" containsInteger="1" minValue="0" maxValue="229"/>
    </cacheField>
    <cacheField name="Apprenticeship unrelated to FRCC taining" numFmtId="0">
      <sharedItems containsString="0" containsBlank="1" containsNumber="1" containsInteger="1" minValue="0" maxValue="76"/>
    </cacheField>
    <cacheField name="Total in Apprenticeships" numFmtId="0">
      <sharedItems containsString="0" containsBlank="1" containsNumber="1" containsInteger="1" minValue="0" maxValue="286"/>
    </cacheField>
    <cacheField name="Took State Licensing Exam" numFmtId="0">
      <sharedItems containsString="0" containsBlank="1" containsNumber="1" containsInteger="1" minValue="0" maxValue="906"/>
    </cacheField>
    <cacheField name="Passed State Licensing Exam" numFmtId="0">
      <sharedItems containsString="0" containsBlank="1" containsNumber="1" containsInteger="1" minValue="0" maxValue="872"/>
    </cacheField>
    <cacheField name="Instructional Program Met Educational Goals" numFmtId="0">
      <sharedItems containsString="0" containsBlank="1" containsNumber="1" containsInteger="1" minValue="3" maxValue="1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">
  <r>
    <x v="0"/>
    <x v="0"/>
    <n v="2196"/>
    <n v="1239"/>
    <n v="598"/>
    <n v="14.85"/>
    <n v="342"/>
    <n v="940"/>
    <n v="144"/>
    <n v="149"/>
    <n v="9"/>
    <n v="7"/>
    <n v="16"/>
    <n v="629"/>
    <n v="168"/>
    <n v="76"/>
    <n v="244"/>
    <n v="620"/>
    <n v="601"/>
    <n v="1150"/>
  </r>
  <r>
    <x v="0"/>
    <x v="1"/>
    <n v="62"/>
    <n v="34"/>
    <n v="11"/>
    <n v="15"/>
    <n v="11"/>
    <n v="22"/>
    <n v="5"/>
    <n v="7"/>
    <n v="0"/>
    <n v="0"/>
    <n v="0"/>
    <n v="18"/>
    <n v="4"/>
    <n v="1"/>
    <n v="5"/>
    <n v="2"/>
    <n v="2"/>
    <n v="31"/>
  </r>
  <r>
    <x v="0"/>
    <x v="2"/>
    <n v="1"/>
    <n v="0"/>
    <m/>
    <m/>
    <m/>
    <m/>
    <m/>
    <m/>
    <m/>
    <m/>
    <m/>
    <m/>
    <m/>
    <m/>
    <m/>
    <m/>
    <m/>
    <m/>
  </r>
  <r>
    <x v="0"/>
    <x v="3"/>
    <n v="1"/>
    <n v="1"/>
    <m/>
    <m/>
    <m/>
    <m/>
    <m/>
    <m/>
    <m/>
    <m/>
    <m/>
    <m/>
    <m/>
    <m/>
    <m/>
    <m/>
    <m/>
    <m/>
  </r>
  <r>
    <x v="0"/>
    <x v="4"/>
    <n v="16"/>
    <n v="8"/>
    <n v="5"/>
    <n v="15"/>
    <n v="1"/>
    <n v="6"/>
    <n v="1"/>
    <n v="1"/>
    <n v="0"/>
    <n v="0"/>
    <n v="0"/>
    <n v="2"/>
    <n v="0"/>
    <n v="0"/>
    <n v="0"/>
    <n v="0"/>
    <n v="0"/>
    <n v="7"/>
  </r>
  <r>
    <x v="0"/>
    <x v="5"/>
    <n v="114"/>
    <n v="45"/>
    <n v="19"/>
    <n v="12"/>
    <n v="14"/>
    <n v="33"/>
    <n v="6"/>
    <n v="5"/>
    <n v="1"/>
    <n v="0"/>
    <n v="1"/>
    <n v="22"/>
    <n v="3"/>
    <n v="1"/>
    <n v="4"/>
    <n v="10"/>
    <n v="10"/>
    <n v="44"/>
  </r>
  <r>
    <x v="0"/>
    <x v="6"/>
    <n v="108"/>
    <n v="61"/>
    <n v="32"/>
    <n v="14.13"/>
    <n v="16"/>
    <n v="48"/>
    <n v="8"/>
    <n v="4"/>
    <n v="0"/>
    <n v="1"/>
    <n v="1"/>
    <n v="37"/>
    <n v="7"/>
    <n v="3"/>
    <n v="10"/>
    <n v="8"/>
    <n v="8"/>
    <n v="57"/>
  </r>
  <r>
    <x v="0"/>
    <x v="7"/>
    <n v="10"/>
    <n v="6"/>
    <n v="3"/>
    <m/>
    <n v="2"/>
    <n v="5"/>
    <n v="1"/>
    <n v="0"/>
    <n v="0"/>
    <n v="0"/>
    <n v="0"/>
    <n v="1"/>
    <n v="0"/>
    <n v="1"/>
    <n v="1"/>
    <n v="1"/>
    <n v="1"/>
    <n v="5"/>
  </r>
  <r>
    <x v="0"/>
    <x v="8"/>
    <n v="17"/>
    <n v="14"/>
    <n v="5"/>
    <n v="16.25"/>
    <n v="7"/>
    <n v="12"/>
    <n v="2"/>
    <n v="0"/>
    <n v="0"/>
    <n v="0"/>
    <n v="0"/>
    <n v="3"/>
    <n v="1"/>
    <n v="0"/>
    <n v="1"/>
    <n v="0"/>
    <n v="0"/>
    <n v="12"/>
  </r>
  <r>
    <x v="0"/>
    <x v="9"/>
    <n v="169"/>
    <n v="112"/>
    <n v="39"/>
    <n v="18"/>
    <n v="30"/>
    <n v="69"/>
    <n v="25"/>
    <n v="18"/>
    <n v="0"/>
    <n v="0"/>
    <n v="0"/>
    <n v="61"/>
    <n v="8"/>
    <n v="4"/>
    <n v="12"/>
    <n v="23"/>
    <n v="20"/>
    <n v="96"/>
  </r>
  <r>
    <x v="0"/>
    <x v="10"/>
    <n v="28"/>
    <n v="23"/>
    <n v="15"/>
    <n v="14"/>
    <n v="4"/>
    <n v="19"/>
    <n v="2"/>
    <n v="2"/>
    <n v="0"/>
    <n v="0"/>
    <n v="0"/>
    <n v="11"/>
    <n v="2"/>
    <n v="1"/>
    <n v="3"/>
    <n v="0"/>
    <n v="0"/>
    <n v="22"/>
  </r>
  <r>
    <x v="0"/>
    <x v="11"/>
    <n v="52"/>
    <n v="28"/>
    <n v="23"/>
    <n v="12.5"/>
    <n v="1"/>
    <n v="24"/>
    <n v="1"/>
    <n v="3"/>
    <n v="0"/>
    <n v="0"/>
    <n v="0"/>
    <n v="9"/>
    <n v="4"/>
    <n v="0"/>
    <n v="4"/>
    <n v="4"/>
    <n v="4"/>
    <n v="28"/>
  </r>
  <r>
    <x v="0"/>
    <x v="12"/>
    <n v="325"/>
    <n v="152"/>
    <n v="56"/>
    <n v="12.25"/>
    <n v="59"/>
    <n v="115"/>
    <n v="18"/>
    <n v="18"/>
    <n v="3"/>
    <n v="2"/>
    <n v="5"/>
    <n v="88"/>
    <n v="44"/>
    <n v="10"/>
    <n v="54"/>
    <n v="129"/>
    <n v="122"/>
    <n v="149"/>
  </r>
  <r>
    <x v="0"/>
    <x v="13"/>
    <n v="35"/>
    <n v="31"/>
    <n v="14"/>
    <n v="18"/>
    <n v="10"/>
    <n v="24"/>
    <n v="7"/>
    <n v="0"/>
    <n v="0"/>
    <n v="0"/>
    <n v="0"/>
    <n v="10"/>
    <n v="4"/>
    <n v="0"/>
    <n v="4"/>
    <n v="5"/>
    <n v="5"/>
    <n v="26"/>
  </r>
  <r>
    <x v="0"/>
    <x v="14"/>
    <n v="63"/>
    <n v="27"/>
    <n v="3"/>
    <m/>
    <n v="12"/>
    <n v="15"/>
    <n v="5"/>
    <n v="7"/>
    <n v="0"/>
    <n v="1"/>
    <n v="1"/>
    <n v="18"/>
    <n v="8"/>
    <n v="1"/>
    <n v="9"/>
    <n v="1"/>
    <n v="1"/>
    <n v="26"/>
  </r>
  <r>
    <x v="0"/>
    <x v="15"/>
    <n v="62"/>
    <n v="37"/>
    <n v="15"/>
    <n v="17.149999999999999"/>
    <n v="13"/>
    <n v="28"/>
    <n v="6"/>
    <n v="3"/>
    <n v="0"/>
    <n v="0"/>
    <n v="0"/>
    <n v="11"/>
    <n v="3"/>
    <n v="1"/>
    <n v="4"/>
    <n v="0"/>
    <n v="0"/>
    <n v="32"/>
  </r>
  <r>
    <x v="0"/>
    <x v="16"/>
    <n v="9"/>
    <n v="4"/>
    <m/>
    <m/>
    <m/>
    <m/>
    <m/>
    <m/>
    <m/>
    <m/>
    <m/>
    <m/>
    <m/>
    <m/>
    <m/>
    <m/>
    <m/>
    <m/>
  </r>
  <r>
    <x v="0"/>
    <x v="17"/>
    <n v="17"/>
    <n v="16"/>
    <n v="13"/>
    <n v="20.5"/>
    <n v="0"/>
    <n v="13"/>
    <n v="2"/>
    <n v="1"/>
    <n v="0"/>
    <n v="0"/>
    <n v="0"/>
    <n v="2"/>
    <n v="7"/>
    <n v="0"/>
    <n v="7"/>
    <n v="13"/>
    <n v="13"/>
    <n v="15"/>
  </r>
  <r>
    <x v="0"/>
    <x v="18"/>
    <n v="37"/>
    <n v="25"/>
    <n v="6"/>
    <m/>
    <n v="5"/>
    <n v="11"/>
    <n v="1"/>
    <n v="13"/>
    <n v="0"/>
    <n v="0"/>
    <n v="0"/>
    <n v="17"/>
    <n v="5"/>
    <n v="4"/>
    <n v="9"/>
    <n v="6"/>
    <n v="6"/>
    <n v="24"/>
  </r>
  <r>
    <x v="0"/>
    <x v="19"/>
    <n v="18"/>
    <n v="15"/>
    <n v="14"/>
    <n v="14.35"/>
    <n v="0"/>
    <n v="14"/>
    <n v="0"/>
    <n v="1"/>
    <n v="0"/>
    <n v="0"/>
    <n v="0"/>
    <n v="2"/>
    <n v="3"/>
    <n v="0"/>
    <n v="3"/>
    <n v="1"/>
    <n v="1"/>
    <n v="15"/>
  </r>
  <r>
    <x v="0"/>
    <x v="20"/>
    <n v="17"/>
    <n v="7"/>
    <n v="5"/>
    <m/>
    <n v="2"/>
    <n v="7"/>
    <n v="0"/>
    <n v="0"/>
    <n v="0"/>
    <n v="0"/>
    <n v="0"/>
    <n v="2"/>
    <n v="0"/>
    <n v="1"/>
    <n v="1"/>
    <n v="1"/>
    <n v="1"/>
    <n v="5"/>
  </r>
  <r>
    <x v="0"/>
    <x v="21"/>
    <n v="12"/>
    <n v="10"/>
    <n v="7"/>
    <n v="17"/>
    <n v="2"/>
    <n v="9"/>
    <n v="0"/>
    <n v="1"/>
    <n v="0"/>
    <n v="0"/>
    <n v="0"/>
    <n v="0"/>
    <n v="1"/>
    <n v="2"/>
    <n v="3"/>
    <n v="3"/>
    <n v="3"/>
    <n v="10"/>
  </r>
  <r>
    <x v="0"/>
    <x v="22"/>
    <n v="14"/>
    <n v="4"/>
    <m/>
    <m/>
    <m/>
    <m/>
    <m/>
    <m/>
    <m/>
    <m/>
    <m/>
    <m/>
    <m/>
    <m/>
    <m/>
    <m/>
    <m/>
    <m/>
  </r>
  <r>
    <x v="0"/>
    <x v="23"/>
    <n v="34"/>
    <n v="24"/>
    <n v="9"/>
    <n v="15.25"/>
    <n v="8"/>
    <n v="17"/>
    <n v="5"/>
    <n v="2"/>
    <n v="0"/>
    <n v="0"/>
    <n v="0"/>
    <n v="11"/>
    <n v="4"/>
    <n v="0"/>
    <n v="4"/>
    <n v="1"/>
    <n v="1"/>
    <n v="19"/>
  </r>
  <r>
    <x v="0"/>
    <x v="24"/>
    <m/>
    <m/>
    <m/>
    <m/>
    <m/>
    <m/>
    <m/>
    <m/>
    <m/>
    <m/>
    <m/>
    <m/>
    <m/>
    <m/>
    <m/>
    <m/>
    <m/>
    <m/>
  </r>
  <r>
    <x v="0"/>
    <x v="25"/>
    <n v="45"/>
    <n v="27"/>
    <n v="14"/>
    <n v="12.465"/>
    <n v="6"/>
    <n v="20"/>
    <n v="5"/>
    <n v="2"/>
    <n v="0"/>
    <n v="0"/>
    <n v="0"/>
    <n v="10"/>
    <n v="3"/>
    <n v="3"/>
    <n v="6"/>
    <n v="14"/>
    <n v="14"/>
    <n v="24"/>
  </r>
  <r>
    <x v="0"/>
    <x v="26"/>
    <n v="56"/>
    <n v="26"/>
    <n v="11"/>
    <n v="15.5"/>
    <n v="7"/>
    <n v="18"/>
    <n v="4"/>
    <n v="4"/>
    <n v="0"/>
    <n v="0"/>
    <n v="0"/>
    <n v="9"/>
    <n v="4"/>
    <n v="1"/>
    <n v="5"/>
    <n v="0"/>
    <n v="0"/>
    <n v="20"/>
  </r>
  <r>
    <x v="0"/>
    <x v="27"/>
    <n v="422"/>
    <n v="232"/>
    <n v="98"/>
    <n v="11.5"/>
    <n v="78"/>
    <n v="176"/>
    <n v="22"/>
    <n v="32"/>
    <n v="0"/>
    <n v="2"/>
    <n v="2"/>
    <n v="158"/>
    <n v="17"/>
    <n v="27"/>
    <n v="44"/>
    <n v="191"/>
    <n v="189"/>
    <n v="223"/>
  </r>
  <r>
    <x v="0"/>
    <x v="28"/>
    <n v="54"/>
    <n v="31"/>
    <n v="10"/>
    <n v="13.75"/>
    <n v="13"/>
    <n v="23"/>
    <n v="5"/>
    <n v="3"/>
    <n v="1"/>
    <n v="0"/>
    <n v="1"/>
    <n v="8"/>
    <n v="1"/>
    <n v="1"/>
    <n v="2"/>
    <n v="25"/>
    <n v="23"/>
    <n v="25"/>
  </r>
  <r>
    <x v="0"/>
    <x v="29"/>
    <n v="55"/>
    <n v="32"/>
    <n v="15"/>
    <n v="13"/>
    <n v="9"/>
    <n v="24"/>
    <n v="2"/>
    <n v="6"/>
    <n v="2"/>
    <n v="0"/>
    <n v="2"/>
    <n v="15"/>
    <n v="6"/>
    <n v="3"/>
    <n v="9"/>
    <n v="6"/>
    <n v="6"/>
    <n v="30"/>
  </r>
  <r>
    <x v="0"/>
    <x v="30"/>
    <n v="47"/>
    <n v="24"/>
    <n v="18"/>
    <n v="21"/>
    <n v="4"/>
    <n v="22"/>
    <n v="1"/>
    <n v="0"/>
    <n v="0"/>
    <n v="0"/>
    <n v="0"/>
    <n v="13"/>
    <n v="0"/>
    <n v="1"/>
    <n v="1"/>
    <n v="22"/>
    <n v="22"/>
    <n v="21"/>
  </r>
  <r>
    <x v="0"/>
    <x v="31"/>
    <n v="167"/>
    <n v="109"/>
    <n v="94"/>
    <n v="25"/>
    <n v="8"/>
    <n v="102"/>
    <n v="2"/>
    <n v="5"/>
    <n v="0"/>
    <n v="0"/>
    <n v="0"/>
    <n v="45"/>
    <n v="16"/>
    <n v="6"/>
    <n v="22"/>
    <n v="109"/>
    <n v="107"/>
    <n v="107"/>
  </r>
  <r>
    <x v="0"/>
    <x v="32"/>
    <n v="7"/>
    <n v="5"/>
    <n v="0"/>
    <m/>
    <n v="3"/>
    <n v="3"/>
    <n v="0"/>
    <n v="2"/>
    <n v="0"/>
    <n v="0"/>
    <n v="0"/>
    <n v="2"/>
    <n v="4"/>
    <n v="0"/>
    <n v="4"/>
    <n v="0"/>
    <n v="0"/>
    <n v="4"/>
  </r>
  <r>
    <x v="0"/>
    <x v="33"/>
    <n v="57"/>
    <n v="22"/>
    <n v="12"/>
    <n v="13"/>
    <n v="4"/>
    <n v="16"/>
    <n v="1"/>
    <n v="5"/>
    <n v="0"/>
    <n v="0"/>
    <n v="0"/>
    <n v="8"/>
    <n v="3"/>
    <n v="1"/>
    <n v="4"/>
    <n v="17"/>
    <n v="16"/>
    <n v="22"/>
  </r>
  <r>
    <x v="0"/>
    <x v="34"/>
    <n v="65"/>
    <n v="47"/>
    <n v="25"/>
    <n v="16"/>
    <n v="12"/>
    <n v="37"/>
    <n v="6"/>
    <n v="4"/>
    <n v="2"/>
    <n v="1"/>
    <n v="3"/>
    <n v="32"/>
    <n v="2"/>
    <n v="1"/>
    <n v="3"/>
    <n v="23"/>
    <n v="21"/>
    <n v="42"/>
  </r>
  <r>
    <x v="1"/>
    <x v="0"/>
    <n v="2257"/>
    <n v="1515"/>
    <n v="720"/>
    <n v="14"/>
    <n v="477"/>
    <n v="1197"/>
    <n v="150"/>
    <n v="160"/>
    <n v="4"/>
    <n v="16"/>
    <n v="20"/>
    <n v="729"/>
    <n v="229"/>
    <n v="57"/>
    <n v="286"/>
    <n v="906"/>
    <n v="872"/>
    <n v="1417"/>
  </r>
  <r>
    <x v="1"/>
    <x v="1"/>
    <n v="88"/>
    <n v="67"/>
    <n v="28"/>
    <n v="17.13"/>
    <n v="23"/>
    <n v="51"/>
    <n v="10"/>
    <n v="6"/>
    <m/>
    <m/>
    <n v="0"/>
    <n v="26"/>
    <n v="3"/>
    <n v="1"/>
    <n v="4"/>
    <n v="8"/>
    <n v="8"/>
    <n v="61"/>
  </r>
  <r>
    <x v="1"/>
    <x v="2"/>
    <n v="1"/>
    <n v="1"/>
    <m/>
    <m/>
    <m/>
    <m/>
    <m/>
    <m/>
    <m/>
    <m/>
    <m/>
    <m/>
    <m/>
    <m/>
    <m/>
    <m/>
    <m/>
    <m/>
  </r>
  <r>
    <x v="1"/>
    <x v="3"/>
    <n v="2"/>
    <n v="2"/>
    <m/>
    <m/>
    <m/>
    <m/>
    <m/>
    <m/>
    <m/>
    <m/>
    <m/>
    <m/>
    <m/>
    <m/>
    <m/>
    <m/>
    <m/>
    <m/>
  </r>
  <r>
    <x v="1"/>
    <x v="4"/>
    <n v="17"/>
    <n v="17"/>
    <n v="7"/>
    <n v="18.03"/>
    <n v="7"/>
    <n v="14"/>
    <n v="1"/>
    <n v="2"/>
    <m/>
    <m/>
    <n v="0"/>
    <n v="7"/>
    <m/>
    <m/>
    <n v="0"/>
    <n v="2"/>
    <n v="2"/>
    <n v="17"/>
  </r>
  <r>
    <x v="1"/>
    <x v="5"/>
    <n v="137"/>
    <n v="79"/>
    <n v="44"/>
    <n v="13.72"/>
    <n v="19"/>
    <n v="63"/>
    <n v="9"/>
    <n v="7"/>
    <m/>
    <n v="1"/>
    <n v="1"/>
    <n v="22"/>
    <n v="2"/>
    <n v="5"/>
    <n v="7"/>
    <n v="47"/>
    <n v="44"/>
    <n v="77"/>
  </r>
  <r>
    <x v="1"/>
    <x v="6"/>
    <n v="65"/>
    <n v="55"/>
    <n v="25"/>
    <n v="13.62"/>
    <n v="16"/>
    <n v="41"/>
    <n v="9"/>
    <n v="4"/>
    <m/>
    <n v="1"/>
    <n v="1"/>
    <n v="22"/>
    <n v="5"/>
    <m/>
    <n v="5"/>
    <n v="15"/>
    <n v="15"/>
    <n v="53"/>
  </r>
  <r>
    <x v="1"/>
    <x v="7"/>
    <n v="13"/>
    <n v="8"/>
    <n v="3"/>
    <m/>
    <n v="3"/>
    <n v="6"/>
    <n v="2"/>
    <m/>
    <m/>
    <m/>
    <n v="0"/>
    <n v="4"/>
    <n v="1"/>
    <m/>
    <n v="1"/>
    <n v="1"/>
    <n v="1"/>
    <n v="8"/>
  </r>
  <r>
    <x v="1"/>
    <x v="8"/>
    <n v="25"/>
    <n v="21"/>
    <n v="8"/>
    <n v="15.75"/>
    <n v="10"/>
    <n v="18"/>
    <n v="2"/>
    <n v="1"/>
    <m/>
    <m/>
    <n v="0"/>
    <n v="12"/>
    <n v="2"/>
    <m/>
    <n v="2"/>
    <n v="2"/>
    <n v="2"/>
    <n v="19"/>
  </r>
  <r>
    <x v="1"/>
    <x v="9"/>
    <n v="120"/>
    <n v="82"/>
    <n v="40"/>
    <n v="13.3"/>
    <n v="25"/>
    <n v="65"/>
    <n v="13"/>
    <n v="4"/>
    <n v="1"/>
    <m/>
    <n v="1"/>
    <n v="48"/>
    <n v="10"/>
    <n v="1"/>
    <n v="11"/>
    <n v="11"/>
    <n v="9"/>
    <n v="73"/>
  </r>
  <r>
    <x v="1"/>
    <x v="10"/>
    <n v="15"/>
    <n v="14"/>
    <n v="11"/>
    <n v="13.5"/>
    <m/>
    <n v="11"/>
    <m/>
    <n v="3"/>
    <m/>
    <m/>
    <n v="0"/>
    <n v="5"/>
    <n v="7"/>
    <m/>
    <n v="7"/>
    <n v="2"/>
    <n v="2"/>
    <n v="13"/>
  </r>
  <r>
    <x v="1"/>
    <x v="11"/>
    <n v="37"/>
    <n v="22"/>
    <n v="15"/>
    <n v="14"/>
    <n v="3"/>
    <n v="18"/>
    <n v="1"/>
    <n v="3"/>
    <m/>
    <m/>
    <n v="0"/>
    <n v="15"/>
    <n v="2"/>
    <m/>
    <n v="2"/>
    <n v="2"/>
    <n v="1"/>
    <n v="22"/>
  </r>
  <r>
    <x v="1"/>
    <x v="12"/>
    <n v="363"/>
    <n v="215"/>
    <n v="72"/>
    <n v="12"/>
    <n v="102"/>
    <n v="174"/>
    <n v="20"/>
    <n v="20"/>
    <n v="3"/>
    <n v="4"/>
    <n v="7"/>
    <n v="112"/>
    <n v="83"/>
    <n v="13"/>
    <n v="96"/>
    <n v="195"/>
    <n v="187"/>
    <n v="209"/>
  </r>
  <r>
    <x v="1"/>
    <x v="13"/>
    <n v="46"/>
    <n v="27"/>
    <n v="9"/>
    <n v="16.5"/>
    <n v="15"/>
    <n v="24"/>
    <n v="3"/>
    <m/>
    <m/>
    <n v="1"/>
    <n v="1"/>
    <n v="8"/>
    <n v="2"/>
    <m/>
    <n v="2"/>
    <n v="2"/>
    <n v="2"/>
    <n v="16"/>
  </r>
  <r>
    <x v="1"/>
    <x v="14"/>
    <n v="39"/>
    <n v="22"/>
    <n v="7"/>
    <n v="13.5"/>
    <n v="9"/>
    <n v="16"/>
    <n v="2"/>
    <n v="4"/>
    <m/>
    <m/>
    <n v="0"/>
    <n v="12"/>
    <n v="7"/>
    <m/>
    <n v="7"/>
    <m/>
    <m/>
    <n v="21"/>
  </r>
  <r>
    <x v="1"/>
    <x v="15"/>
    <n v="34"/>
    <n v="25"/>
    <n v="14"/>
    <n v="17"/>
    <n v="9"/>
    <n v="23"/>
    <n v="2"/>
    <m/>
    <m/>
    <n v="1"/>
    <n v="1"/>
    <n v="11"/>
    <n v="6"/>
    <n v="2"/>
    <n v="8"/>
    <n v="1"/>
    <m/>
    <n v="22"/>
  </r>
  <r>
    <x v="1"/>
    <x v="16"/>
    <m/>
    <m/>
    <m/>
    <m/>
    <m/>
    <m/>
    <m/>
    <m/>
    <m/>
    <m/>
    <m/>
    <m/>
    <m/>
    <m/>
    <m/>
    <m/>
    <m/>
    <m/>
  </r>
  <r>
    <x v="1"/>
    <x v="17"/>
    <n v="8"/>
    <n v="8"/>
    <n v="6"/>
    <n v="18.5"/>
    <n v="1"/>
    <n v="7"/>
    <m/>
    <n v="1"/>
    <m/>
    <m/>
    <n v="0"/>
    <n v="6"/>
    <n v="3"/>
    <m/>
    <n v="3"/>
    <n v="8"/>
    <n v="5"/>
    <n v="8"/>
  </r>
  <r>
    <x v="1"/>
    <x v="18"/>
    <n v="20"/>
    <n v="12"/>
    <n v="4"/>
    <m/>
    <n v="5"/>
    <n v="9"/>
    <n v="1"/>
    <n v="2"/>
    <m/>
    <m/>
    <n v="0"/>
    <n v="7"/>
    <n v="2"/>
    <n v="1"/>
    <n v="3"/>
    <n v="2"/>
    <n v="2"/>
    <n v="11"/>
  </r>
  <r>
    <x v="1"/>
    <x v="19"/>
    <n v="18"/>
    <n v="12"/>
    <n v="9"/>
    <n v="14"/>
    <m/>
    <n v="9"/>
    <n v="3"/>
    <m/>
    <m/>
    <m/>
    <n v="0"/>
    <n v="3"/>
    <n v="1"/>
    <m/>
    <n v="1"/>
    <n v="2"/>
    <n v="2"/>
    <n v="12"/>
  </r>
  <r>
    <x v="1"/>
    <x v="20"/>
    <n v="10"/>
    <n v="6"/>
    <n v="1"/>
    <m/>
    <n v="3"/>
    <n v="4"/>
    <m/>
    <n v="2"/>
    <m/>
    <m/>
    <n v="0"/>
    <n v="1"/>
    <m/>
    <n v="1"/>
    <n v="1"/>
    <n v="1"/>
    <n v="1"/>
    <n v="3"/>
  </r>
  <r>
    <x v="1"/>
    <x v="21"/>
    <n v="11"/>
    <n v="11"/>
    <n v="8"/>
    <n v="17.5"/>
    <m/>
    <n v="8"/>
    <n v="1"/>
    <n v="2"/>
    <m/>
    <m/>
    <n v="0"/>
    <n v="2"/>
    <m/>
    <m/>
    <n v="0"/>
    <n v="2"/>
    <n v="2"/>
    <n v="11"/>
  </r>
  <r>
    <x v="1"/>
    <x v="22"/>
    <n v="19"/>
    <n v="13"/>
    <n v="8"/>
    <n v="20"/>
    <n v="3"/>
    <n v="11"/>
    <n v="1"/>
    <n v="1"/>
    <m/>
    <m/>
    <n v="0"/>
    <n v="2"/>
    <n v="2"/>
    <m/>
    <n v="2"/>
    <n v="10"/>
    <n v="3"/>
    <n v="7"/>
  </r>
  <r>
    <x v="1"/>
    <x v="23"/>
    <n v="34"/>
    <n v="34"/>
    <n v="13"/>
    <n v="16.5"/>
    <n v="11"/>
    <n v="24"/>
    <n v="9"/>
    <n v="1"/>
    <m/>
    <m/>
    <n v="0"/>
    <n v="4"/>
    <n v="2"/>
    <n v="1"/>
    <n v="3"/>
    <n v="4"/>
    <n v="4"/>
    <n v="26"/>
  </r>
  <r>
    <x v="1"/>
    <x v="24"/>
    <m/>
    <m/>
    <m/>
    <m/>
    <m/>
    <m/>
    <m/>
    <m/>
    <m/>
    <m/>
    <m/>
    <m/>
    <m/>
    <m/>
    <m/>
    <m/>
    <m/>
    <m/>
  </r>
  <r>
    <x v="1"/>
    <x v="25"/>
    <n v="83"/>
    <n v="60"/>
    <n v="21"/>
    <n v="12"/>
    <n v="19"/>
    <n v="40"/>
    <n v="11"/>
    <n v="7"/>
    <m/>
    <m/>
    <n v="0"/>
    <n v="11"/>
    <n v="15"/>
    <n v="3"/>
    <n v="18"/>
    <n v="15"/>
    <n v="14"/>
    <n v="52"/>
  </r>
  <r>
    <x v="1"/>
    <x v="26"/>
    <n v="38"/>
    <n v="12"/>
    <n v="8"/>
    <n v="21"/>
    <n v="2"/>
    <n v="10"/>
    <n v="1"/>
    <n v="1"/>
    <m/>
    <m/>
    <n v="0"/>
    <n v="2"/>
    <m/>
    <n v="1"/>
    <n v="1"/>
    <n v="1"/>
    <n v="1"/>
    <n v="10"/>
  </r>
  <r>
    <x v="1"/>
    <x v="27"/>
    <n v="544"/>
    <n v="322"/>
    <n v="125"/>
    <n v="11.65"/>
    <n v="106"/>
    <n v="231"/>
    <n v="30"/>
    <n v="59"/>
    <m/>
    <n v="4"/>
    <n v="4"/>
    <n v="225"/>
    <n v="21"/>
    <n v="17"/>
    <n v="38"/>
    <n v="281"/>
    <n v="278"/>
    <n v="314"/>
  </r>
  <r>
    <x v="1"/>
    <x v="28"/>
    <n v="53"/>
    <n v="40"/>
    <n v="24"/>
    <n v="13"/>
    <n v="10"/>
    <n v="34"/>
    <n v="5"/>
    <n v="1"/>
    <m/>
    <m/>
    <n v="0"/>
    <n v="17"/>
    <n v="13"/>
    <m/>
    <n v="13"/>
    <n v="35"/>
    <n v="34"/>
    <n v="37"/>
  </r>
  <r>
    <x v="1"/>
    <x v="29"/>
    <n v="50"/>
    <n v="30"/>
    <n v="10"/>
    <n v="12.13"/>
    <n v="11"/>
    <n v="21"/>
    <n v="4"/>
    <n v="5"/>
    <m/>
    <m/>
    <n v="0"/>
    <n v="14"/>
    <n v="1"/>
    <n v="1"/>
    <n v="2"/>
    <n v="14"/>
    <n v="14"/>
    <n v="30"/>
  </r>
  <r>
    <x v="1"/>
    <x v="30"/>
    <n v="63"/>
    <n v="42"/>
    <n v="34"/>
    <n v="21.75"/>
    <n v="4"/>
    <n v="38"/>
    <n v="1"/>
    <n v="3"/>
    <m/>
    <m/>
    <n v="0"/>
    <n v="16"/>
    <n v="2"/>
    <n v="1"/>
    <n v="3"/>
    <n v="38"/>
    <n v="36"/>
    <n v="36"/>
  </r>
  <r>
    <x v="1"/>
    <x v="31"/>
    <n v="176"/>
    <n v="147"/>
    <n v="126"/>
    <n v="24"/>
    <n v="12"/>
    <n v="138"/>
    <n v="3"/>
    <n v="5"/>
    <m/>
    <m/>
    <n v="0"/>
    <n v="42"/>
    <n v="12"/>
    <n v="3"/>
    <n v="15"/>
    <n v="144"/>
    <n v="144"/>
    <n v="142"/>
  </r>
  <r>
    <x v="1"/>
    <x v="32"/>
    <n v="13"/>
    <n v="12"/>
    <m/>
    <m/>
    <n v="11"/>
    <n v="11"/>
    <m/>
    <m/>
    <m/>
    <m/>
    <n v="0"/>
    <n v="6"/>
    <n v="8"/>
    <m/>
    <n v="8"/>
    <n v="1"/>
    <n v="1"/>
    <n v="10"/>
  </r>
  <r>
    <x v="1"/>
    <x v="33"/>
    <n v="62"/>
    <n v="49"/>
    <n v="16"/>
    <n v="10"/>
    <n v="14"/>
    <n v="30"/>
    <n v="5"/>
    <n v="14"/>
    <m/>
    <n v="3"/>
    <n v="3"/>
    <n v="29"/>
    <n v="14"/>
    <n v="5"/>
    <n v="19"/>
    <n v="30"/>
    <n v="28"/>
    <n v="48"/>
  </r>
  <r>
    <x v="1"/>
    <x v="34"/>
    <n v="53"/>
    <n v="48"/>
    <n v="23"/>
    <n v="20"/>
    <n v="23"/>
    <n v="46"/>
    <m/>
    <n v="2"/>
    <m/>
    <n v="1"/>
    <n v="1"/>
    <n v="38"/>
    <n v="3"/>
    <n v="1"/>
    <n v="4"/>
    <n v="28"/>
    <n v="28"/>
    <n v="46"/>
  </r>
  <r>
    <x v="2"/>
    <x v="0"/>
    <n v="2169"/>
    <n v="1205"/>
    <n v="584"/>
    <n v="14.2"/>
    <n v="329"/>
    <n v="913"/>
    <n v="150"/>
    <n v="129"/>
    <n v="8"/>
    <n v="9"/>
    <n v="17"/>
    <n v="538"/>
    <n v="188"/>
    <n v="55"/>
    <n v="243"/>
    <n v="765"/>
    <n v="747"/>
    <n v="1079"/>
  </r>
  <r>
    <x v="2"/>
    <x v="1"/>
    <n v="66"/>
    <n v="49"/>
    <n v="20"/>
    <n v="13"/>
    <n v="12"/>
    <n v="32"/>
    <n v="8"/>
    <n v="8"/>
    <n v="1"/>
    <n v="0"/>
    <n v="1"/>
    <n v="14"/>
    <n v="2"/>
    <n v="0"/>
    <n v="2"/>
    <n v="2"/>
    <n v="1"/>
    <n v="44"/>
  </r>
  <r>
    <x v="2"/>
    <x v="2"/>
    <m/>
    <m/>
    <m/>
    <m/>
    <m/>
    <m/>
    <m/>
    <m/>
    <m/>
    <m/>
    <m/>
    <m/>
    <m/>
    <m/>
    <m/>
    <m/>
    <m/>
    <m/>
  </r>
  <r>
    <x v="2"/>
    <x v="3"/>
    <n v="3"/>
    <n v="0"/>
    <m/>
    <m/>
    <m/>
    <m/>
    <m/>
    <m/>
    <m/>
    <m/>
    <m/>
    <m/>
    <m/>
    <m/>
    <m/>
    <m/>
    <m/>
    <m/>
  </r>
  <r>
    <x v="2"/>
    <x v="4"/>
    <n v="15"/>
    <n v="9"/>
    <n v="5"/>
    <m/>
    <n v="2"/>
    <n v="7"/>
    <n v="2"/>
    <n v="0"/>
    <n v="0"/>
    <n v="0"/>
    <n v="0"/>
    <n v="1"/>
    <n v="0"/>
    <n v="0"/>
    <n v="0"/>
    <n v="1"/>
    <n v="0"/>
    <n v="8"/>
  </r>
  <r>
    <x v="2"/>
    <x v="5"/>
    <n v="104"/>
    <n v="60"/>
    <n v="35"/>
    <n v="10.130000000000001"/>
    <n v="11"/>
    <n v="46"/>
    <n v="9"/>
    <n v="5"/>
    <n v="1"/>
    <n v="0"/>
    <n v="1"/>
    <n v="37"/>
    <n v="2"/>
    <n v="2"/>
    <n v="4"/>
    <n v="13"/>
    <n v="13"/>
    <n v="59"/>
  </r>
  <r>
    <x v="2"/>
    <x v="6"/>
    <n v="156"/>
    <n v="85"/>
    <n v="31"/>
    <n v="15"/>
    <n v="19"/>
    <n v="50"/>
    <n v="12"/>
    <n v="23"/>
    <n v="0"/>
    <n v="0"/>
    <n v="0"/>
    <n v="36"/>
    <n v="6"/>
    <n v="7"/>
    <n v="13"/>
    <n v="12"/>
    <n v="10"/>
    <n v="58"/>
  </r>
  <r>
    <x v="2"/>
    <x v="7"/>
    <n v="6"/>
    <n v="2"/>
    <m/>
    <m/>
    <m/>
    <m/>
    <m/>
    <m/>
    <m/>
    <m/>
    <m/>
    <m/>
    <m/>
    <m/>
    <m/>
    <m/>
    <m/>
    <m/>
  </r>
  <r>
    <x v="2"/>
    <x v="8"/>
    <n v="23"/>
    <n v="16"/>
    <n v="5"/>
    <n v="15"/>
    <n v="6"/>
    <n v="11"/>
    <n v="5"/>
    <n v="0"/>
    <n v="0"/>
    <n v="0"/>
    <n v="0"/>
    <n v="3"/>
    <n v="1"/>
    <n v="1"/>
    <n v="2"/>
    <n v="5"/>
    <n v="5"/>
    <n v="13"/>
  </r>
  <r>
    <x v="2"/>
    <x v="9"/>
    <n v="84"/>
    <n v="48"/>
    <n v="24"/>
    <n v="15.38"/>
    <n v="14"/>
    <n v="38"/>
    <n v="6"/>
    <n v="4"/>
    <n v="0"/>
    <n v="0"/>
    <n v="0"/>
    <n v="22"/>
    <n v="5"/>
    <n v="3"/>
    <n v="8"/>
    <n v="8"/>
    <n v="8"/>
    <n v="40"/>
  </r>
  <r>
    <x v="2"/>
    <x v="10"/>
    <n v="13"/>
    <n v="13"/>
    <n v="11"/>
    <n v="13"/>
    <n v="1"/>
    <n v="12"/>
    <n v="0"/>
    <n v="1"/>
    <n v="0"/>
    <n v="0"/>
    <n v="0"/>
    <n v="3"/>
    <n v="1"/>
    <n v="0"/>
    <n v="1"/>
    <n v="4"/>
    <n v="4"/>
    <n v="12"/>
  </r>
  <r>
    <x v="2"/>
    <x v="11"/>
    <n v="40"/>
    <n v="13"/>
    <n v="10"/>
    <n v="11"/>
    <n v="0"/>
    <n v="10"/>
    <n v="1"/>
    <n v="2"/>
    <n v="0"/>
    <n v="0"/>
    <n v="0"/>
    <n v="9"/>
    <n v="0"/>
    <n v="1"/>
    <n v="1"/>
    <n v="3"/>
    <n v="3"/>
    <n v="12"/>
  </r>
  <r>
    <x v="2"/>
    <x v="12"/>
    <n v="395"/>
    <n v="185"/>
    <n v="52"/>
    <n v="12"/>
    <n v="91"/>
    <n v="143"/>
    <n v="25"/>
    <n v="17"/>
    <n v="2"/>
    <n v="7"/>
    <n v="9"/>
    <n v="107"/>
    <n v="63"/>
    <n v="14"/>
    <n v="77"/>
    <n v="160"/>
    <n v="157"/>
    <n v="175"/>
  </r>
  <r>
    <x v="2"/>
    <x v="13"/>
    <n v="29"/>
    <n v="20"/>
    <n v="9"/>
    <n v="15.75"/>
    <n v="6"/>
    <n v="15"/>
    <n v="4"/>
    <n v="1"/>
    <n v="0"/>
    <n v="0"/>
    <n v="0"/>
    <n v="3"/>
    <n v="3"/>
    <n v="0"/>
    <n v="3"/>
    <n v="0"/>
    <n v="0"/>
    <n v="15"/>
  </r>
  <r>
    <x v="2"/>
    <x v="14"/>
    <n v="50"/>
    <n v="32"/>
    <n v="13"/>
    <n v="13"/>
    <n v="10"/>
    <n v="23"/>
    <n v="4"/>
    <n v="4"/>
    <n v="1"/>
    <n v="0"/>
    <n v="1"/>
    <n v="25"/>
    <n v="15"/>
    <n v="1"/>
    <n v="16"/>
    <n v="8"/>
    <n v="8"/>
    <n v="30"/>
  </r>
  <r>
    <x v="2"/>
    <x v="15"/>
    <n v="31"/>
    <n v="13"/>
    <n v="4"/>
    <m/>
    <n v="3"/>
    <n v="7"/>
    <n v="5"/>
    <n v="1"/>
    <n v="0"/>
    <n v="0"/>
    <n v="0"/>
    <n v="4"/>
    <n v="1"/>
    <n v="1"/>
    <n v="2"/>
    <n v="5"/>
    <n v="5"/>
    <n v="10"/>
  </r>
  <r>
    <x v="2"/>
    <x v="16"/>
    <m/>
    <m/>
    <m/>
    <m/>
    <m/>
    <m/>
    <m/>
    <m/>
    <m/>
    <m/>
    <m/>
    <m/>
    <m/>
    <m/>
    <m/>
    <m/>
    <m/>
    <m/>
  </r>
  <r>
    <x v="2"/>
    <x v="17"/>
    <n v="5"/>
    <n v="3"/>
    <m/>
    <m/>
    <m/>
    <m/>
    <m/>
    <m/>
    <m/>
    <m/>
    <m/>
    <m/>
    <m/>
    <m/>
    <m/>
    <m/>
    <m/>
    <m/>
  </r>
  <r>
    <x v="2"/>
    <x v="18"/>
    <n v="9"/>
    <n v="6"/>
    <n v="2"/>
    <m/>
    <n v="3"/>
    <n v="5"/>
    <n v="0"/>
    <n v="1"/>
    <n v="0"/>
    <n v="0"/>
    <n v="0"/>
    <n v="2"/>
    <n v="1"/>
    <n v="1"/>
    <n v="2"/>
    <n v="1"/>
    <n v="1"/>
    <n v="5"/>
  </r>
  <r>
    <x v="2"/>
    <x v="19"/>
    <n v="22"/>
    <n v="11"/>
    <n v="9"/>
    <n v="16.5"/>
    <n v="2"/>
    <n v="11"/>
    <n v="0"/>
    <n v="0"/>
    <n v="0"/>
    <n v="0"/>
    <n v="0"/>
    <n v="2"/>
    <n v="4"/>
    <n v="0"/>
    <n v="4"/>
    <n v="1"/>
    <n v="1"/>
    <n v="10"/>
  </r>
  <r>
    <x v="2"/>
    <x v="20"/>
    <n v="9"/>
    <n v="8"/>
    <n v="6"/>
    <n v="12"/>
    <n v="0"/>
    <n v="6"/>
    <n v="2"/>
    <n v="0"/>
    <n v="0"/>
    <n v="0"/>
    <n v="0"/>
    <n v="2"/>
    <n v="1"/>
    <n v="0"/>
    <n v="1"/>
    <n v="1"/>
    <n v="1"/>
    <n v="6"/>
  </r>
  <r>
    <x v="2"/>
    <x v="21"/>
    <n v="2"/>
    <n v="1"/>
    <m/>
    <m/>
    <m/>
    <m/>
    <m/>
    <m/>
    <m/>
    <m/>
    <m/>
    <m/>
    <m/>
    <m/>
    <m/>
    <m/>
    <m/>
    <m/>
  </r>
  <r>
    <x v="2"/>
    <x v="22"/>
    <n v="13"/>
    <n v="8"/>
    <n v="7"/>
    <n v="15"/>
    <n v="1"/>
    <n v="8"/>
    <n v="0"/>
    <n v="0"/>
    <n v="1"/>
    <n v="0"/>
    <n v="1"/>
    <n v="4"/>
    <n v="3"/>
    <n v="0"/>
    <n v="3"/>
    <n v="7"/>
    <n v="7"/>
    <n v="5"/>
  </r>
  <r>
    <x v="2"/>
    <x v="23"/>
    <n v="24"/>
    <n v="19"/>
    <n v="6"/>
    <n v="15.25"/>
    <n v="8"/>
    <n v="14"/>
    <n v="4"/>
    <n v="1"/>
    <n v="0"/>
    <n v="0"/>
    <n v="0"/>
    <n v="3"/>
    <n v="3"/>
    <n v="1"/>
    <n v="4"/>
    <n v="15"/>
    <n v="15"/>
    <n v="18"/>
  </r>
  <r>
    <x v="2"/>
    <x v="24"/>
    <n v="2"/>
    <n v="1"/>
    <m/>
    <m/>
    <m/>
    <m/>
    <m/>
    <m/>
    <m/>
    <m/>
    <m/>
    <m/>
    <m/>
    <m/>
    <m/>
    <m/>
    <m/>
    <m/>
  </r>
  <r>
    <x v="2"/>
    <x v="25"/>
    <n v="48"/>
    <n v="39"/>
    <n v="18"/>
    <n v="13.25"/>
    <n v="10"/>
    <n v="28"/>
    <n v="8"/>
    <n v="3"/>
    <n v="0"/>
    <n v="1"/>
    <n v="1"/>
    <n v="7"/>
    <n v="7"/>
    <n v="1"/>
    <n v="8"/>
    <n v="27"/>
    <n v="27"/>
    <n v="36"/>
  </r>
  <r>
    <x v="2"/>
    <x v="26"/>
    <n v="27"/>
    <n v="17"/>
    <n v="8"/>
    <n v="14.36"/>
    <n v="8"/>
    <n v="16"/>
    <n v="0"/>
    <n v="0"/>
    <n v="0"/>
    <n v="1"/>
    <n v="1"/>
    <n v="2"/>
    <n v="2"/>
    <n v="0"/>
    <n v="2"/>
    <n v="7"/>
    <n v="7"/>
    <n v="15"/>
  </r>
  <r>
    <x v="2"/>
    <x v="27"/>
    <n v="556"/>
    <n v="295"/>
    <n v="146"/>
    <n v="12.28"/>
    <n v="81"/>
    <n v="227"/>
    <n v="25"/>
    <n v="41"/>
    <n v="1"/>
    <n v="0"/>
    <n v="1"/>
    <n v="177"/>
    <n v="28"/>
    <n v="14"/>
    <n v="42"/>
    <n v="264"/>
    <n v="261"/>
    <n v="285"/>
  </r>
  <r>
    <x v="2"/>
    <x v="28"/>
    <n v="41"/>
    <n v="29"/>
    <n v="10"/>
    <n v="13.55"/>
    <n v="14"/>
    <n v="24"/>
    <n v="3"/>
    <n v="2"/>
    <n v="0"/>
    <n v="0"/>
    <n v="0"/>
    <n v="6"/>
    <n v="7"/>
    <n v="3"/>
    <n v="10"/>
    <n v="25"/>
    <n v="24"/>
    <n v="15"/>
  </r>
  <r>
    <x v="2"/>
    <x v="29"/>
    <n v="64"/>
    <n v="30"/>
    <n v="9"/>
    <n v="12"/>
    <n v="9"/>
    <n v="18"/>
    <n v="9"/>
    <n v="3"/>
    <n v="0"/>
    <n v="0"/>
    <n v="0"/>
    <n v="14"/>
    <n v="5"/>
    <n v="1"/>
    <n v="6"/>
    <n v="12"/>
    <n v="12"/>
    <n v="27"/>
  </r>
  <r>
    <x v="2"/>
    <x v="30"/>
    <n v="64"/>
    <n v="33"/>
    <n v="25"/>
    <n v="22"/>
    <n v="2"/>
    <n v="27"/>
    <n v="3"/>
    <n v="2"/>
    <n v="0"/>
    <n v="0"/>
    <n v="0"/>
    <n v="12"/>
    <n v="3"/>
    <n v="0"/>
    <n v="3"/>
    <n v="33"/>
    <n v="33"/>
    <n v="30"/>
  </r>
  <r>
    <x v="2"/>
    <x v="31"/>
    <n v="180"/>
    <n v="111"/>
    <n v="87"/>
    <n v="24.5"/>
    <n v="8"/>
    <n v="95"/>
    <n v="6"/>
    <n v="4"/>
    <n v="1"/>
    <n v="0"/>
    <n v="1"/>
    <n v="24"/>
    <n v="14"/>
    <n v="1"/>
    <n v="15"/>
    <n v="111"/>
    <n v="111"/>
    <n v="103"/>
  </r>
  <r>
    <x v="2"/>
    <x v="32"/>
    <n v="13"/>
    <n v="9"/>
    <n v="4"/>
    <m/>
    <n v="2"/>
    <n v="6"/>
    <n v="1"/>
    <n v="1"/>
    <n v="0"/>
    <n v="0"/>
    <n v="0"/>
    <n v="3"/>
    <n v="6"/>
    <n v="0"/>
    <n v="6"/>
    <n v="0"/>
    <n v="0"/>
    <n v="9"/>
  </r>
  <r>
    <x v="2"/>
    <x v="33"/>
    <n v="43"/>
    <n v="26"/>
    <n v="17"/>
    <n v="11"/>
    <n v="3"/>
    <n v="20"/>
    <n v="6"/>
    <n v="0"/>
    <n v="0"/>
    <n v="0"/>
    <n v="0"/>
    <n v="10"/>
    <n v="1"/>
    <n v="2"/>
    <n v="3"/>
    <n v="19"/>
    <n v="18"/>
    <n v="22"/>
  </r>
  <r>
    <x v="2"/>
    <x v="34"/>
    <n v="31"/>
    <n v="13"/>
    <n v="8"/>
    <n v="20"/>
    <n v="2"/>
    <n v="10"/>
    <n v="1"/>
    <n v="2"/>
    <n v="0"/>
    <n v="0"/>
    <n v="0"/>
    <n v="4"/>
    <n v="1"/>
    <n v="1"/>
    <n v="2"/>
    <n v="5"/>
    <n v="5"/>
    <n v="11"/>
  </r>
  <r>
    <x v="3"/>
    <x v="0"/>
    <n v="2072"/>
    <n v="1173"/>
    <n v="543"/>
    <n v="14.7"/>
    <n v="337"/>
    <n v="880"/>
    <n v="151"/>
    <n v="134"/>
    <n v="1"/>
    <n v="22"/>
    <n v="23"/>
    <n v="650"/>
    <n v="203"/>
    <n v="60"/>
    <n v="263"/>
    <n v="731"/>
    <n v="731"/>
    <n v="1096"/>
  </r>
  <r>
    <x v="3"/>
    <x v="1"/>
    <n v="46"/>
    <n v="37"/>
    <n v="13"/>
    <n v="12.25"/>
    <n v="15"/>
    <n v="28"/>
    <n v="5"/>
    <n v="3"/>
    <m/>
    <n v="1"/>
    <n v="1"/>
    <n v="21"/>
    <m/>
    <n v="1"/>
    <n v="1"/>
    <n v="7"/>
    <n v="7"/>
    <n v="33"/>
  </r>
  <r>
    <x v="3"/>
    <x v="2"/>
    <m/>
    <m/>
    <m/>
    <m/>
    <m/>
    <m/>
    <m/>
    <m/>
    <m/>
    <m/>
    <m/>
    <m/>
    <m/>
    <m/>
    <m/>
    <m/>
    <m/>
    <m/>
  </r>
  <r>
    <x v="3"/>
    <x v="3"/>
    <n v="2"/>
    <n v="1"/>
    <m/>
    <m/>
    <m/>
    <m/>
    <m/>
    <m/>
    <m/>
    <m/>
    <m/>
    <m/>
    <m/>
    <m/>
    <m/>
    <m/>
    <m/>
    <m/>
  </r>
  <r>
    <x v="3"/>
    <x v="4"/>
    <n v="12"/>
    <n v="8"/>
    <n v="2"/>
    <m/>
    <n v="3"/>
    <n v="5"/>
    <n v="1"/>
    <n v="2"/>
    <m/>
    <m/>
    <n v="0"/>
    <n v="2"/>
    <m/>
    <n v="1"/>
    <n v="1"/>
    <n v="1"/>
    <n v="1"/>
    <n v="7"/>
  </r>
  <r>
    <x v="3"/>
    <x v="5"/>
    <n v="72"/>
    <n v="38"/>
    <n v="15"/>
    <n v="14"/>
    <n v="7"/>
    <n v="22"/>
    <n v="10"/>
    <n v="6"/>
    <m/>
    <n v="1"/>
    <n v="1"/>
    <n v="28"/>
    <n v="1"/>
    <n v="1"/>
    <n v="2"/>
    <n v="15"/>
    <n v="15"/>
    <n v="34"/>
  </r>
  <r>
    <x v="3"/>
    <x v="6"/>
    <n v="50"/>
    <n v="33"/>
    <n v="15"/>
    <n v="18"/>
    <n v="14"/>
    <n v="29"/>
    <n v="2"/>
    <n v="2"/>
    <m/>
    <n v="1"/>
    <n v="1"/>
    <n v="20"/>
    <n v="1"/>
    <n v="1"/>
    <n v="2"/>
    <n v="4"/>
    <n v="4"/>
    <n v="31"/>
  </r>
  <r>
    <x v="3"/>
    <x v="7"/>
    <n v="6"/>
    <n v="4"/>
    <m/>
    <m/>
    <m/>
    <m/>
    <m/>
    <m/>
    <m/>
    <m/>
    <m/>
    <m/>
    <m/>
    <m/>
    <m/>
    <m/>
    <m/>
    <m/>
  </r>
  <r>
    <x v="3"/>
    <x v="8"/>
    <n v="21"/>
    <n v="15"/>
    <n v="8"/>
    <n v="16"/>
    <n v="5"/>
    <n v="13"/>
    <n v="1"/>
    <n v="1"/>
    <m/>
    <m/>
    <n v="0"/>
    <n v="5"/>
    <n v="2"/>
    <m/>
    <n v="2"/>
    <n v="5"/>
    <n v="4"/>
    <n v="13"/>
  </r>
  <r>
    <x v="3"/>
    <x v="9"/>
    <n v="72"/>
    <n v="39"/>
    <n v="15"/>
    <n v="17.5"/>
    <n v="12"/>
    <n v="27"/>
    <n v="5"/>
    <n v="6"/>
    <m/>
    <n v="2"/>
    <n v="2"/>
    <n v="18"/>
    <n v="3"/>
    <n v="3"/>
    <n v="6"/>
    <n v="9"/>
    <n v="9"/>
    <n v="32"/>
  </r>
  <r>
    <x v="3"/>
    <x v="10"/>
    <n v="12"/>
    <n v="11"/>
    <n v="9"/>
    <n v="14"/>
    <n v="1"/>
    <n v="10"/>
    <m/>
    <m/>
    <m/>
    <m/>
    <n v="0"/>
    <n v="2"/>
    <n v="2"/>
    <m/>
    <n v="2"/>
    <n v="1"/>
    <n v="1"/>
    <n v="11"/>
  </r>
  <r>
    <x v="3"/>
    <x v="11"/>
    <n v="51"/>
    <n v="28"/>
    <n v="19"/>
    <n v="12.38"/>
    <n v="5"/>
    <n v="24"/>
    <n v="2"/>
    <n v="2"/>
    <m/>
    <m/>
    <n v="0"/>
    <n v="13"/>
    <n v="4"/>
    <m/>
    <n v="4"/>
    <n v="2"/>
    <n v="2"/>
    <n v="27"/>
  </r>
  <r>
    <x v="3"/>
    <x v="12"/>
    <n v="467"/>
    <n v="224"/>
    <n v="65"/>
    <n v="11.75"/>
    <n v="100"/>
    <n v="165"/>
    <n v="32"/>
    <n v="26"/>
    <m/>
    <n v="5"/>
    <n v="5"/>
    <n v="122"/>
    <n v="80"/>
    <n v="11"/>
    <n v="91"/>
    <n v="191"/>
    <n v="185"/>
    <n v="212"/>
  </r>
  <r>
    <x v="3"/>
    <x v="13"/>
    <n v="20"/>
    <n v="18"/>
    <n v="7"/>
    <n v="15"/>
    <n v="3"/>
    <n v="10"/>
    <n v="4"/>
    <n v="4"/>
    <m/>
    <m/>
    <n v="0"/>
    <n v="16"/>
    <n v="5"/>
    <m/>
    <n v="5"/>
    <n v="2"/>
    <n v="2"/>
    <n v="11"/>
  </r>
  <r>
    <x v="3"/>
    <x v="14"/>
    <n v="30"/>
    <n v="25"/>
    <n v="10"/>
    <n v="12.36"/>
    <n v="9"/>
    <n v="19"/>
    <n v="4"/>
    <n v="2"/>
    <m/>
    <n v="1"/>
    <n v="1"/>
    <n v="21"/>
    <n v="13"/>
    <m/>
    <n v="13"/>
    <n v="7"/>
    <n v="7"/>
    <n v="24"/>
  </r>
  <r>
    <x v="3"/>
    <x v="15"/>
    <n v="17"/>
    <n v="14"/>
    <n v="7"/>
    <n v="17.5"/>
    <n v="2"/>
    <n v="9"/>
    <n v="2"/>
    <n v="3"/>
    <m/>
    <m/>
    <n v="0"/>
    <n v="5"/>
    <n v="1"/>
    <m/>
    <n v="1"/>
    <m/>
    <m/>
    <n v="12"/>
  </r>
  <r>
    <x v="3"/>
    <x v="16"/>
    <m/>
    <m/>
    <m/>
    <m/>
    <m/>
    <m/>
    <m/>
    <m/>
    <m/>
    <m/>
    <m/>
    <m/>
    <m/>
    <m/>
    <m/>
    <m/>
    <m/>
    <m/>
  </r>
  <r>
    <x v="3"/>
    <x v="17"/>
    <n v="8"/>
    <n v="6"/>
    <n v="2"/>
    <m/>
    <n v="1"/>
    <n v="3"/>
    <n v="3"/>
    <m/>
    <m/>
    <m/>
    <n v="0"/>
    <n v="3"/>
    <n v="1"/>
    <m/>
    <n v="1"/>
    <n v="2"/>
    <n v="2"/>
    <n v="5"/>
  </r>
  <r>
    <x v="3"/>
    <x v="18"/>
    <n v="6"/>
    <n v="5"/>
    <n v="1"/>
    <m/>
    <n v="1"/>
    <n v="2"/>
    <n v="1"/>
    <n v="2"/>
    <m/>
    <m/>
    <n v="0"/>
    <n v="4"/>
    <m/>
    <m/>
    <n v="0"/>
    <n v="1"/>
    <n v="1"/>
    <n v="4"/>
  </r>
  <r>
    <x v="3"/>
    <x v="19"/>
    <n v="21"/>
    <n v="14"/>
    <n v="11"/>
    <n v="12.75"/>
    <n v="1"/>
    <n v="12"/>
    <n v="1"/>
    <n v="1"/>
    <m/>
    <m/>
    <n v="0"/>
    <n v="8"/>
    <n v="2"/>
    <m/>
    <n v="2"/>
    <n v="4"/>
    <n v="3"/>
    <n v="14"/>
  </r>
  <r>
    <x v="3"/>
    <x v="20"/>
    <n v="5"/>
    <n v="1"/>
    <m/>
    <m/>
    <m/>
    <m/>
    <m/>
    <m/>
    <m/>
    <m/>
    <m/>
    <m/>
    <m/>
    <m/>
    <m/>
    <m/>
    <m/>
    <m/>
  </r>
  <r>
    <x v="3"/>
    <x v="21"/>
    <n v="4"/>
    <n v="2"/>
    <m/>
    <m/>
    <m/>
    <m/>
    <m/>
    <m/>
    <m/>
    <m/>
    <m/>
    <m/>
    <m/>
    <m/>
    <m/>
    <m/>
    <m/>
    <m/>
  </r>
  <r>
    <x v="3"/>
    <x v="22"/>
    <n v="11"/>
    <n v="5"/>
    <n v="5"/>
    <n v="18.25"/>
    <m/>
    <n v="5"/>
    <m/>
    <m/>
    <m/>
    <m/>
    <n v="0"/>
    <n v="5"/>
    <n v="1"/>
    <m/>
    <n v="1"/>
    <n v="3"/>
    <n v="2"/>
    <n v="5"/>
  </r>
  <r>
    <x v="3"/>
    <x v="23"/>
    <n v="16"/>
    <n v="10"/>
    <n v="5"/>
    <n v="20"/>
    <n v="2"/>
    <n v="7"/>
    <n v="3"/>
    <m/>
    <m/>
    <m/>
    <n v="0"/>
    <n v="5"/>
    <n v="1"/>
    <m/>
    <n v="1"/>
    <m/>
    <m/>
    <n v="9"/>
  </r>
  <r>
    <x v="3"/>
    <x v="24"/>
    <n v="11"/>
    <n v="9"/>
    <n v="6"/>
    <n v="16.239999999999998"/>
    <n v="2"/>
    <n v="8"/>
    <n v="1"/>
    <m/>
    <m/>
    <m/>
    <n v="0"/>
    <n v="2"/>
    <n v="2"/>
    <m/>
    <n v="2"/>
    <m/>
    <m/>
    <n v="9"/>
  </r>
  <r>
    <x v="3"/>
    <x v="25"/>
    <n v="32"/>
    <n v="16"/>
    <n v="8"/>
    <n v="14"/>
    <n v="4"/>
    <n v="12"/>
    <n v="3"/>
    <n v="1"/>
    <m/>
    <m/>
    <n v="0"/>
    <n v="5"/>
    <n v="3"/>
    <n v="1"/>
    <n v="4"/>
    <n v="5"/>
    <n v="5"/>
    <n v="13"/>
  </r>
  <r>
    <x v="3"/>
    <x v="26"/>
    <n v="22"/>
    <n v="10"/>
    <n v="5"/>
    <m/>
    <n v="3"/>
    <n v="8"/>
    <n v="1"/>
    <m/>
    <m/>
    <m/>
    <n v="0"/>
    <n v="6"/>
    <n v="3"/>
    <n v="1"/>
    <n v="4"/>
    <m/>
    <m/>
    <n v="10"/>
  </r>
  <r>
    <x v="3"/>
    <x v="27"/>
    <n v="681"/>
    <n v="349"/>
    <n v="151"/>
    <n v="11.5"/>
    <n v="90"/>
    <n v="241"/>
    <n v="42"/>
    <n v="63"/>
    <m/>
    <n v="5"/>
    <n v="5"/>
    <n v="249"/>
    <n v="33"/>
    <n v="25"/>
    <n v="58"/>
    <n v="306"/>
    <n v="306"/>
    <n v="340"/>
  </r>
  <r>
    <x v="3"/>
    <x v="28"/>
    <n v="29"/>
    <n v="18"/>
    <n v="7"/>
    <n v="13.4"/>
    <n v="8"/>
    <n v="15"/>
    <n v="2"/>
    <n v="1"/>
    <m/>
    <m/>
    <n v="0"/>
    <n v="10"/>
    <n v="4"/>
    <n v="1"/>
    <n v="5"/>
    <n v="15"/>
    <n v="15"/>
    <n v="12"/>
  </r>
  <r>
    <x v="3"/>
    <x v="29"/>
    <n v="36"/>
    <n v="19"/>
    <n v="9"/>
    <n v="13"/>
    <n v="5"/>
    <n v="14"/>
    <n v="3"/>
    <n v="2"/>
    <m/>
    <m/>
    <n v="0"/>
    <n v="7"/>
    <n v="3"/>
    <n v="2"/>
    <n v="5"/>
    <n v="3"/>
    <n v="3"/>
    <n v="19"/>
  </r>
  <r>
    <x v="3"/>
    <x v="30"/>
    <n v="56"/>
    <n v="40"/>
    <n v="25"/>
    <n v="20"/>
    <n v="7"/>
    <n v="32"/>
    <n v="6"/>
    <n v="2"/>
    <m/>
    <m/>
    <n v="0"/>
    <n v="21"/>
    <n v="4"/>
    <n v="3"/>
    <n v="7"/>
    <n v="37"/>
    <n v="35"/>
    <n v="35"/>
  </r>
  <r>
    <x v="3"/>
    <x v="31"/>
    <n v="174"/>
    <n v="123"/>
    <n v="91"/>
    <n v="24.07"/>
    <n v="21"/>
    <n v="112"/>
    <n v="7"/>
    <n v="4"/>
    <n v="1"/>
    <n v="4"/>
    <n v="5"/>
    <n v="29"/>
    <n v="24"/>
    <n v="3"/>
    <n v="27"/>
    <n v="120"/>
    <n v="120"/>
    <n v="118"/>
  </r>
  <r>
    <x v="3"/>
    <x v="32"/>
    <n v="11"/>
    <n v="7"/>
    <n v="5"/>
    <m/>
    <n v="2"/>
    <n v="7"/>
    <m/>
    <m/>
    <m/>
    <m/>
    <n v="0"/>
    <n v="2"/>
    <n v="1"/>
    <m/>
    <n v="1"/>
    <n v="1"/>
    <n v="1"/>
    <n v="7"/>
  </r>
  <r>
    <x v="3"/>
    <x v="33"/>
    <n v="29"/>
    <n v="20"/>
    <n v="16"/>
    <n v="12"/>
    <n v="2"/>
    <n v="18"/>
    <n v="1"/>
    <n v="1"/>
    <m/>
    <m/>
    <n v="0"/>
    <n v="3"/>
    <n v="4"/>
    <n v="2"/>
    <n v="6"/>
    <n v="18"/>
    <n v="18"/>
    <n v="20"/>
  </r>
  <r>
    <x v="3"/>
    <x v="34"/>
    <n v="40"/>
    <n v="22"/>
    <n v="8"/>
    <n v="17"/>
    <n v="8"/>
    <n v="16"/>
    <n v="6"/>
    <m/>
    <m/>
    <n v="2"/>
    <n v="2"/>
    <n v="13"/>
    <n v="4"/>
    <n v="1"/>
    <n v="5"/>
    <n v="9"/>
    <n v="9"/>
    <n v="21"/>
  </r>
  <r>
    <x v="4"/>
    <x v="0"/>
    <n v="1879"/>
    <n v="1119"/>
    <n v="553"/>
    <n v="14.17"/>
    <n v="309"/>
    <n v="862"/>
    <n v="125"/>
    <n v="132"/>
    <n v="11"/>
    <n v="16"/>
    <n v="27"/>
    <n v="575"/>
    <n v="177"/>
    <n v="54"/>
    <n v="231"/>
    <n v="741"/>
    <n v="709"/>
    <n v="1045"/>
  </r>
  <r>
    <x v="4"/>
    <x v="1"/>
    <n v="46"/>
    <n v="34"/>
    <n v="12"/>
    <n v="15"/>
    <n v="9"/>
    <n v="21"/>
    <n v="9"/>
    <n v="4"/>
    <m/>
    <m/>
    <m/>
    <n v="12"/>
    <m/>
    <m/>
    <m/>
    <n v="1"/>
    <n v="1"/>
    <n v="31"/>
  </r>
  <r>
    <x v="4"/>
    <x v="2"/>
    <m/>
    <m/>
    <m/>
    <m/>
    <m/>
    <m/>
    <m/>
    <m/>
    <m/>
    <m/>
    <m/>
    <m/>
    <m/>
    <m/>
    <m/>
    <m/>
    <m/>
    <m/>
  </r>
  <r>
    <x v="4"/>
    <x v="3"/>
    <n v="1"/>
    <n v="1"/>
    <m/>
    <m/>
    <m/>
    <m/>
    <m/>
    <m/>
    <m/>
    <m/>
    <m/>
    <m/>
    <m/>
    <m/>
    <m/>
    <m/>
    <m/>
    <m/>
  </r>
  <r>
    <x v="4"/>
    <x v="4"/>
    <n v="20"/>
    <n v="10"/>
    <n v="4"/>
    <m/>
    <n v="5"/>
    <n v="9"/>
    <n v="1"/>
    <m/>
    <m/>
    <m/>
    <m/>
    <n v="6"/>
    <m/>
    <m/>
    <m/>
    <n v="2"/>
    <n v="2"/>
    <n v="10"/>
  </r>
  <r>
    <x v="4"/>
    <x v="5"/>
    <n v="59"/>
    <n v="28"/>
    <n v="13"/>
    <n v="12.5"/>
    <n v="10"/>
    <n v="23"/>
    <n v="3"/>
    <n v="2"/>
    <m/>
    <m/>
    <m/>
    <n v="11"/>
    <m/>
    <m/>
    <m/>
    <n v="12"/>
    <n v="12"/>
    <n v="27"/>
  </r>
  <r>
    <x v="4"/>
    <x v="6"/>
    <n v="16"/>
    <n v="14"/>
    <n v="5"/>
    <n v="17.5"/>
    <n v="3"/>
    <n v="8"/>
    <n v="5"/>
    <n v="1"/>
    <m/>
    <m/>
    <m/>
    <n v="5"/>
    <m/>
    <m/>
    <m/>
    <n v="1"/>
    <n v="1"/>
    <n v="12"/>
  </r>
  <r>
    <x v="4"/>
    <x v="7"/>
    <n v="11"/>
    <n v="6"/>
    <n v="2"/>
    <m/>
    <n v="1"/>
    <n v="3"/>
    <n v="1"/>
    <n v="2"/>
    <n v="1"/>
    <m/>
    <n v="1"/>
    <n v="2"/>
    <m/>
    <m/>
    <m/>
    <n v="1"/>
    <m/>
    <n v="5"/>
  </r>
  <r>
    <x v="4"/>
    <x v="8"/>
    <n v="18"/>
    <n v="15"/>
    <n v="4"/>
    <m/>
    <n v="8"/>
    <n v="12"/>
    <n v="2"/>
    <n v="1"/>
    <m/>
    <m/>
    <m/>
    <n v="8"/>
    <m/>
    <m/>
    <m/>
    <n v="3"/>
    <n v="3"/>
    <n v="12"/>
  </r>
  <r>
    <x v="4"/>
    <x v="9"/>
    <n v="60"/>
    <n v="34"/>
    <n v="10"/>
    <n v="16"/>
    <n v="12"/>
    <n v="22"/>
    <n v="4"/>
    <n v="7"/>
    <n v="2"/>
    <m/>
    <n v="2"/>
    <n v="18"/>
    <n v="3"/>
    <m/>
    <n v="3"/>
    <n v="6"/>
    <n v="5"/>
    <n v="32"/>
  </r>
  <r>
    <x v="4"/>
    <x v="10"/>
    <n v="11"/>
    <n v="10"/>
    <n v="8"/>
    <n v="13.5"/>
    <n v="1"/>
    <n v="9"/>
    <n v="1"/>
    <m/>
    <m/>
    <m/>
    <m/>
    <n v="3"/>
    <n v="1"/>
    <m/>
    <n v="1"/>
    <n v="1"/>
    <n v="1"/>
    <n v="10"/>
  </r>
  <r>
    <x v="4"/>
    <x v="11"/>
    <n v="29"/>
    <n v="18"/>
    <n v="16"/>
    <n v="10.984999999999999"/>
    <n v="1"/>
    <n v="17"/>
    <m/>
    <n v="1"/>
    <m/>
    <m/>
    <m/>
    <n v="12"/>
    <n v="3"/>
    <m/>
    <n v="3"/>
    <n v="2"/>
    <n v="2"/>
    <n v="18"/>
  </r>
  <r>
    <x v="4"/>
    <x v="12"/>
    <n v="387"/>
    <n v="253"/>
    <n v="92"/>
    <n v="13"/>
    <n v="105"/>
    <n v="197"/>
    <n v="24"/>
    <n v="32"/>
    <n v="6"/>
    <n v="6"/>
    <n v="12"/>
    <n v="155"/>
    <n v="78"/>
    <n v="12"/>
    <n v="90"/>
    <n v="204"/>
    <n v="188"/>
    <n v="244"/>
  </r>
  <r>
    <x v="4"/>
    <x v="13"/>
    <m/>
    <m/>
    <m/>
    <m/>
    <m/>
    <m/>
    <m/>
    <m/>
    <m/>
    <m/>
    <m/>
    <m/>
    <m/>
    <m/>
    <m/>
    <m/>
    <m/>
    <m/>
  </r>
  <r>
    <x v="4"/>
    <x v="14"/>
    <n v="27"/>
    <n v="27"/>
    <n v="14"/>
    <n v="13"/>
    <n v="12"/>
    <n v="26"/>
    <m/>
    <m/>
    <m/>
    <m/>
    <m/>
    <m/>
    <n v="14"/>
    <m/>
    <n v="14"/>
    <n v="20"/>
    <n v="20"/>
    <n v="24"/>
  </r>
  <r>
    <x v="4"/>
    <x v="15"/>
    <n v="17"/>
    <n v="13"/>
    <n v="7"/>
    <n v="21.574999999999999"/>
    <n v="1"/>
    <n v="8"/>
    <n v="4"/>
    <n v="1"/>
    <m/>
    <m/>
    <m/>
    <n v="5"/>
    <m/>
    <m/>
    <m/>
    <n v="1"/>
    <n v="1"/>
    <n v="11"/>
  </r>
  <r>
    <x v="4"/>
    <x v="16"/>
    <m/>
    <m/>
    <m/>
    <m/>
    <m/>
    <m/>
    <m/>
    <m/>
    <m/>
    <m/>
    <m/>
    <m/>
    <m/>
    <m/>
    <m/>
    <m/>
    <m/>
    <m/>
  </r>
  <r>
    <x v="4"/>
    <x v="17"/>
    <n v="5"/>
    <n v="3"/>
    <m/>
    <m/>
    <m/>
    <m/>
    <m/>
    <m/>
    <m/>
    <m/>
    <m/>
    <m/>
    <m/>
    <m/>
    <m/>
    <m/>
    <m/>
    <m/>
  </r>
  <r>
    <x v="4"/>
    <x v="18"/>
    <n v="9"/>
    <n v="3"/>
    <m/>
    <m/>
    <m/>
    <m/>
    <m/>
    <m/>
    <m/>
    <m/>
    <m/>
    <m/>
    <m/>
    <m/>
    <m/>
    <m/>
    <m/>
    <m/>
  </r>
  <r>
    <x v="4"/>
    <x v="19"/>
    <n v="29"/>
    <n v="23"/>
    <n v="16"/>
    <n v="15.5"/>
    <n v="1"/>
    <n v="17"/>
    <m/>
    <n v="6"/>
    <m/>
    <m/>
    <m/>
    <m/>
    <n v="3"/>
    <m/>
    <n v="3"/>
    <n v="5"/>
    <n v="5"/>
    <n v="22"/>
  </r>
  <r>
    <x v="4"/>
    <x v="20"/>
    <n v="7"/>
    <n v="1"/>
    <m/>
    <m/>
    <m/>
    <m/>
    <m/>
    <m/>
    <m/>
    <m/>
    <m/>
    <m/>
    <m/>
    <m/>
    <m/>
    <m/>
    <m/>
    <m/>
  </r>
  <r>
    <x v="4"/>
    <x v="21"/>
    <n v="5"/>
    <n v="5"/>
    <n v="2"/>
    <m/>
    <n v="3"/>
    <n v="5"/>
    <m/>
    <m/>
    <m/>
    <m/>
    <m/>
    <n v="1"/>
    <m/>
    <m/>
    <m/>
    <m/>
    <m/>
    <n v="4"/>
  </r>
  <r>
    <x v="4"/>
    <x v="22"/>
    <n v="16"/>
    <n v="8"/>
    <n v="7"/>
    <n v="28.75"/>
    <n v="1"/>
    <n v="8"/>
    <m/>
    <m/>
    <m/>
    <m/>
    <m/>
    <m/>
    <n v="3"/>
    <m/>
    <n v="3"/>
    <n v="6"/>
    <n v="4"/>
    <n v="8"/>
  </r>
  <r>
    <x v="4"/>
    <x v="23"/>
    <n v="20"/>
    <n v="14"/>
    <n v="9"/>
    <n v="15.91"/>
    <n v="5"/>
    <n v="14"/>
    <m/>
    <m/>
    <m/>
    <m/>
    <m/>
    <n v="5"/>
    <m/>
    <m/>
    <m/>
    <m/>
    <m/>
    <n v="12"/>
  </r>
  <r>
    <x v="4"/>
    <x v="24"/>
    <n v="12"/>
    <n v="12"/>
    <n v="5"/>
    <n v="11"/>
    <n v="6"/>
    <n v="11"/>
    <m/>
    <n v="1"/>
    <m/>
    <m/>
    <m/>
    <n v="7"/>
    <n v="1"/>
    <m/>
    <n v="1"/>
    <n v="3"/>
    <n v="3"/>
    <n v="12"/>
  </r>
  <r>
    <x v="4"/>
    <x v="25"/>
    <n v="27"/>
    <n v="24"/>
    <n v="12"/>
    <n v="13"/>
    <n v="6"/>
    <n v="18"/>
    <n v="6"/>
    <m/>
    <m/>
    <m/>
    <m/>
    <n v="10"/>
    <m/>
    <m/>
    <m/>
    <n v="11"/>
    <n v="10"/>
    <n v="20"/>
  </r>
  <r>
    <x v="4"/>
    <x v="26"/>
    <n v="17"/>
    <n v="8"/>
    <n v="3"/>
    <m/>
    <n v="2"/>
    <n v="5"/>
    <n v="2"/>
    <n v="2"/>
    <m/>
    <m/>
    <m/>
    <n v="3"/>
    <m/>
    <m/>
    <m/>
    <n v="1"/>
    <n v="1"/>
    <n v="7"/>
  </r>
  <r>
    <x v="4"/>
    <x v="27"/>
    <n v="603"/>
    <n v="287"/>
    <n v="140"/>
    <n v="12.83"/>
    <n v="69"/>
    <n v="209"/>
    <n v="30"/>
    <n v="47"/>
    <m/>
    <m/>
    <m/>
    <n v="186"/>
    <n v="27"/>
    <n v="20"/>
    <n v="47"/>
    <n v="254"/>
    <n v="250"/>
    <n v="272"/>
  </r>
  <r>
    <x v="4"/>
    <x v="28"/>
    <n v="22"/>
    <n v="15"/>
    <n v="9"/>
    <n v="14"/>
    <n v="5"/>
    <n v="14"/>
    <m/>
    <n v="1"/>
    <m/>
    <m/>
    <m/>
    <n v="5"/>
    <n v="2"/>
    <m/>
    <n v="2"/>
    <n v="11"/>
    <n v="11"/>
    <n v="14"/>
  </r>
  <r>
    <x v="4"/>
    <x v="29"/>
    <n v="52"/>
    <n v="21"/>
    <n v="2"/>
    <m/>
    <n v="11"/>
    <n v="13"/>
    <n v="6"/>
    <n v="2"/>
    <m/>
    <m/>
    <m/>
    <n v="11"/>
    <m/>
    <m/>
    <m/>
    <n v="5"/>
    <n v="5"/>
    <n v="20"/>
  </r>
  <r>
    <x v="4"/>
    <x v="30"/>
    <n v="64"/>
    <n v="52"/>
    <n v="27"/>
    <n v="18.5"/>
    <n v="9"/>
    <n v="36"/>
    <n v="8"/>
    <n v="7"/>
    <m/>
    <m/>
    <m/>
    <n v="26"/>
    <n v="6"/>
    <n v="3"/>
    <n v="9"/>
    <n v="47"/>
    <n v="46"/>
    <n v="46"/>
  </r>
  <r>
    <x v="4"/>
    <x v="31"/>
    <n v="174"/>
    <n v="106"/>
    <n v="90"/>
    <n v="24.555"/>
    <n v="7"/>
    <n v="97"/>
    <n v="6"/>
    <n v="2"/>
    <m/>
    <m/>
    <m/>
    <n v="20"/>
    <n v="9"/>
    <n v="8"/>
    <n v="17"/>
    <n v="106"/>
    <n v="105"/>
    <n v="103"/>
  </r>
  <r>
    <x v="4"/>
    <x v="32"/>
    <n v="14"/>
    <n v="10"/>
    <n v="6"/>
    <m/>
    <n v="1"/>
    <n v="7"/>
    <n v="2"/>
    <n v="1"/>
    <m/>
    <m/>
    <m/>
    <n v="5"/>
    <n v="7"/>
    <n v="1"/>
    <n v="8"/>
    <n v="2"/>
    <n v="2"/>
    <n v="8"/>
  </r>
  <r>
    <x v="4"/>
    <x v="33"/>
    <n v="34"/>
    <n v="25"/>
    <n v="16"/>
    <n v="11"/>
    <n v="4"/>
    <n v="20"/>
    <n v="2"/>
    <n v="3"/>
    <m/>
    <m/>
    <m/>
    <m/>
    <m/>
    <m/>
    <m/>
    <n v="24"/>
    <n v="20"/>
    <n v="24"/>
  </r>
  <r>
    <x v="4"/>
    <x v="34"/>
    <n v="41"/>
    <n v="24"/>
    <n v="9"/>
    <n v="16.5"/>
    <n v="7"/>
    <n v="16"/>
    <n v="5"/>
    <n v="3"/>
    <m/>
    <n v="1"/>
    <n v="1"/>
    <n v="14"/>
    <n v="2"/>
    <m/>
    <n v="2"/>
    <n v="7"/>
    <n v="7"/>
    <n v="21"/>
  </r>
  <r>
    <x v="5"/>
    <x v="0"/>
    <n v="1736"/>
    <n v="1196"/>
    <n v="657"/>
    <n v="16.86"/>
    <n v="356"/>
    <n v="1013"/>
    <n v="81"/>
    <n v="100"/>
    <n v="5"/>
    <n v="8"/>
    <n v="13"/>
    <n v="508"/>
    <n v="172"/>
    <n v="26"/>
    <n v="198"/>
    <n v="744"/>
    <n v="722"/>
    <n v="1125"/>
  </r>
  <r>
    <x v="5"/>
    <x v="1"/>
    <n v="56"/>
    <n v="43"/>
    <n v="23"/>
    <n v="16.938749999999999"/>
    <n v="12"/>
    <n v="35"/>
    <n v="3"/>
    <n v="5"/>
    <n v="0"/>
    <n v="0"/>
    <n v="0"/>
    <n v="10"/>
    <n v="2"/>
    <n v="1"/>
    <n v="3"/>
    <n v="2"/>
    <n v="2"/>
    <n v="40"/>
  </r>
  <r>
    <x v="5"/>
    <x v="2"/>
    <m/>
    <m/>
    <m/>
    <m/>
    <m/>
    <m/>
    <m/>
    <m/>
    <m/>
    <m/>
    <m/>
    <m/>
    <m/>
    <m/>
    <m/>
    <m/>
    <m/>
    <m/>
  </r>
  <r>
    <x v="5"/>
    <x v="3"/>
    <m/>
    <m/>
    <m/>
    <m/>
    <m/>
    <m/>
    <m/>
    <m/>
    <m/>
    <m/>
    <m/>
    <m/>
    <m/>
    <m/>
    <m/>
    <m/>
    <m/>
    <m/>
  </r>
  <r>
    <x v="5"/>
    <x v="4"/>
    <n v="17"/>
    <n v="12"/>
    <n v="8"/>
    <n v="19.12"/>
    <n v="1"/>
    <n v="9"/>
    <n v="2"/>
    <n v="1"/>
    <n v="0"/>
    <n v="0"/>
    <n v="0"/>
    <n v="3"/>
    <n v="1"/>
    <n v="0"/>
    <n v="1"/>
    <n v="0"/>
    <n v="0"/>
    <n v="12"/>
  </r>
  <r>
    <x v="5"/>
    <x v="5"/>
    <n v="20"/>
    <n v="10"/>
    <n v="6"/>
    <m/>
    <n v="3"/>
    <n v="9"/>
    <n v="0"/>
    <n v="1"/>
    <n v="0"/>
    <n v="0"/>
    <n v="0"/>
    <n v="4"/>
    <n v="1"/>
    <n v="0"/>
    <n v="1"/>
    <n v="2"/>
    <n v="2"/>
    <n v="10"/>
  </r>
  <r>
    <x v="5"/>
    <x v="6"/>
    <n v="16"/>
    <n v="12"/>
    <n v="6"/>
    <m/>
    <n v="6"/>
    <n v="12"/>
    <n v="0"/>
    <n v="0"/>
    <n v="0"/>
    <n v="0"/>
    <n v="0"/>
    <n v="6"/>
    <n v="0"/>
    <n v="0"/>
    <n v="0"/>
    <n v="1"/>
    <n v="1"/>
    <n v="10"/>
  </r>
  <r>
    <x v="5"/>
    <x v="7"/>
    <m/>
    <m/>
    <m/>
    <m/>
    <m/>
    <m/>
    <m/>
    <m/>
    <m/>
    <m/>
    <m/>
    <m/>
    <m/>
    <m/>
    <m/>
    <m/>
    <m/>
    <m/>
  </r>
  <r>
    <x v="5"/>
    <x v="8"/>
    <n v="20"/>
    <n v="17"/>
    <n v="5"/>
    <n v="19.2"/>
    <n v="6"/>
    <n v="11"/>
    <n v="4"/>
    <n v="2"/>
    <n v="0"/>
    <n v="0"/>
    <n v="0"/>
    <n v="7"/>
    <n v="1"/>
    <n v="0"/>
    <n v="1"/>
    <n v="0"/>
    <n v="0"/>
    <n v="17"/>
  </r>
  <r>
    <x v="5"/>
    <x v="9"/>
    <n v="62"/>
    <n v="45"/>
    <n v="16"/>
    <n v="23.891666666666701"/>
    <n v="19"/>
    <n v="35"/>
    <n v="6"/>
    <n v="5"/>
    <n v="0"/>
    <n v="0"/>
    <n v="0"/>
    <n v="17"/>
    <n v="2"/>
    <n v="0"/>
    <n v="2"/>
    <n v="10"/>
    <n v="10"/>
    <n v="42"/>
  </r>
  <r>
    <x v="5"/>
    <x v="10"/>
    <n v="14"/>
    <n v="13"/>
    <n v="10"/>
    <n v="13.1666666666667"/>
    <n v="2"/>
    <n v="12"/>
    <n v="1"/>
    <n v="1"/>
    <n v="0"/>
    <n v="1"/>
    <n v="1"/>
    <n v="6"/>
    <n v="1"/>
    <n v="0"/>
    <n v="1"/>
    <n v="3"/>
    <n v="3"/>
    <n v="11"/>
  </r>
  <r>
    <x v="5"/>
    <x v="11"/>
    <n v="55"/>
    <n v="47"/>
    <n v="33"/>
    <n v="15.47"/>
    <n v="12"/>
    <n v="45"/>
    <n v="1"/>
    <n v="0"/>
    <n v="0"/>
    <n v="0"/>
    <n v="0"/>
    <n v="17"/>
    <n v="4"/>
    <n v="2"/>
    <n v="6"/>
    <n v="8"/>
    <n v="8"/>
    <n v="44"/>
  </r>
  <r>
    <x v="5"/>
    <x v="12"/>
    <n v="419"/>
    <n v="271"/>
    <n v="101"/>
    <n v="12.341333333333333"/>
    <n v="118"/>
    <n v="219"/>
    <n v="21"/>
    <n v="30"/>
    <n v="1"/>
    <n v="5"/>
    <n v="6"/>
    <n v="144"/>
    <n v="94"/>
    <n v="4"/>
    <n v="98"/>
    <n v="223"/>
    <n v="214"/>
    <n v="255"/>
  </r>
  <r>
    <x v="5"/>
    <x v="13"/>
    <m/>
    <m/>
    <m/>
    <m/>
    <m/>
    <m/>
    <m/>
    <m/>
    <m/>
    <m/>
    <m/>
    <m/>
    <m/>
    <m/>
    <m/>
    <m/>
    <m/>
    <m/>
  </r>
  <r>
    <x v="5"/>
    <x v="14"/>
    <n v="13"/>
    <n v="13"/>
    <n v="6"/>
    <m/>
    <n v="3"/>
    <n v="9"/>
    <n v="2"/>
    <n v="2"/>
    <n v="0"/>
    <n v="0"/>
    <n v="0"/>
    <n v="7"/>
    <n v="4"/>
    <n v="0"/>
    <n v="4"/>
    <n v="4"/>
    <n v="4"/>
    <n v="12"/>
  </r>
  <r>
    <x v="5"/>
    <x v="15"/>
    <n v="12"/>
    <n v="5"/>
    <n v="3"/>
    <m/>
    <n v="2"/>
    <n v="5"/>
    <n v="0"/>
    <n v="0"/>
    <n v="0"/>
    <n v="0"/>
    <n v="0"/>
    <n v="0"/>
    <n v="0"/>
    <n v="0"/>
    <n v="0"/>
    <n v="0"/>
    <n v="0"/>
    <n v="5"/>
  </r>
  <r>
    <x v="5"/>
    <x v="16"/>
    <m/>
    <m/>
    <m/>
    <m/>
    <m/>
    <m/>
    <m/>
    <m/>
    <m/>
    <m/>
    <m/>
    <m/>
    <m/>
    <m/>
    <m/>
    <m/>
    <m/>
    <m/>
  </r>
  <r>
    <x v="5"/>
    <x v="17"/>
    <n v="11"/>
    <n v="9"/>
    <n v="8"/>
    <n v="20"/>
    <n v="0"/>
    <n v="8"/>
    <n v="0"/>
    <n v="1"/>
    <n v="0"/>
    <n v="0"/>
    <n v="0"/>
    <n v="0"/>
    <n v="3"/>
    <n v="0"/>
    <n v="3"/>
    <n v="4"/>
    <n v="4"/>
    <n v="8"/>
  </r>
  <r>
    <x v="5"/>
    <x v="18"/>
    <n v="6"/>
    <n v="5"/>
    <n v="2"/>
    <m/>
    <n v="0"/>
    <n v="2"/>
    <n v="1"/>
    <n v="1"/>
    <n v="0"/>
    <n v="0"/>
    <n v="0"/>
    <n v="4"/>
    <n v="1"/>
    <n v="0"/>
    <n v="1"/>
    <n v="1"/>
    <n v="1"/>
    <n v="3"/>
  </r>
  <r>
    <x v="5"/>
    <x v="19"/>
    <n v="35"/>
    <n v="25"/>
    <n v="14"/>
    <n v="13.6816666666667"/>
    <n v="5"/>
    <n v="19"/>
    <n v="4"/>
    <n v="2"/>
    <n v="0"/>
    <n v="0"/>
    <n v="0"/>
    <n v="8"/>
    <n v="4"/>
    <n v="0"/>
    <n v="4"/>
    <n v="3"/>
    <n v="3"/>
    <n v="23"/>
  </r>
  <r>
    <x v="5"/>
    <x v="20"/>
    <n v="3"/>
    <n v="2"/>
    <m/>
    <m/>
    <m/>
    <m/>
    <m/>
    <m/>
    <m/>
    <m/>
    <m/>
    <m/>
    <m/>
    <m/>
    <m/>
    <m/>
    <m/>
    <m/>
  </r>
  <r>
    <x v="5"/>
    <x v="21"/>
    <n v="1"/>
    <n v="1"/>
    <m/>
    <m/>
    <m/>
    <m/>
    <m/>
    <m/>
    <m/>
    <m/>
    <m/>
    <m/>
    <m/>
    <m/>
    <m/>
    <m/>
    <m/>
    <m/>
  </r>
  <r>
    <x v="5"/>
    <x v="22"/>
    <n v="20"/>
    <n v="14"/>
    <n v="11"/>
    <n v="21.19"/>
    <n v="2"/>
    <n v="13"/>
    <n v="0"/>
    <n v="1"/>
    <n v="0"/>
    <n v="0"/>
    <n v="0"/>
    <n v="5"/>
    <n v="4"/>
    <n v="0"/>
    <n v="4"/>
    <n v="9"/>
    <n v="9"/>
    <n v="13"/>
  </r>
  <r>
    <x v="5"/>
    <x v="23"/>
    <n v="19"/>
    <n v="10"/>
    <n v="3"/>
    <m/>
    <n v="4"/>
    <n v="7"/>
    <n v="3"/>
    <n v="0"/>
    <n v="0"/>
    <n v="0"/>
    <n v="0"/>
    <n v="1"/>
    <n v="0"/>
    <n v="0"/>
    <n v="0"/>
    <n v="2"/>
    <n v="2"/>
    <n v="7"/>
  </r>
  <r>
    <x v="5"/>
    <x v="24"/>
    <n v="6"/>
    <n v="5"/>
    <n v="4"/>
    <m/>
    <n v="1"/>
    <n v="5"/>
    <n v="0"/>
    <n v="0"/>
    <n v="0"/>
    <n v="0"/>
    <n v="0"/>
    <n v="4"/>
    <n v="0"/>
    <n v="1"/>
    <n v="1"/>
    <n v="0"/>
    <n v="0"/>
    <n v="5"/>
  </r>
  <r>
    <x v="5"/>
    <x v="25"/>
    <n v="21"/>
    <n v="16"/>
    <n v="9"/>
    <n v="11.375"/>
    <n v="6"/>
    <n v="15"/>
    <n v="0"/>
    <n v="1"/>
    <n v="0"/>
    <n v="0"/>
    <n v="0"/>
    <n v="2"/>
    <n v="1"/>
    <n v="2"/>
    <n v="3"/>
    <n v="6"/>
    <n v="6"/>
    <n v="16"/>
  </r>
  <r>
    <x v="5"/>
    <x v="26"/>
    <n v="20"/>
    <n v="13"/>
    <n v="9"/>
    <n v="23.375"/>
    <n v="3"/>
    <n v="12"/>
    <n v="1"/>
    <n v="0"/>
    <n v="0"/>
    <n v="0"/>
    <n v="0"/>
    <n v="3"/>
    <n v="2"/>
    <n v="0"/>
    <n v="2"/>
    <n v="0"/>
    <n v="0"/>
    <n v="11"/>
  </r>
  <r>
    <x v="5"/>
    <x v="27"/>
    <n v="502"/>
    <n v="338"/>
    <n v="181"/>
    <n v="12.575277777777799"/>
    <n v="109"/>
    <n v="290"/>
    <n v="16"/>
    <n v="31"/>
    <n v="1"/>
    <n v="1"/>
    <n v="2"/>
    <n v="175"/>
    <n v="16"/>
    <n v="11"/>
    <n v="27"/>
    <n v="285"/>
    <n v="280"/>
    <n v="330"/>
  </r>
  <r>
    <x v="5"/>
    <x v="28"/>
    <n v="22"/>
    <n v="10"/>
    <n v="9"/>
    <n v="11.616666666666699"/>
    <n v="0"/>
    <n v="9"/>
    <n v="1"/>
    <n v="0"/>
    <n v="0"/>
    <n v="0"/>
    <n v="0"/>
    <n v="1"/>
    <n v="2"/>
    <n v="0"/>
    <n v="2"/>
    <n v="7"/>
    <n v="5"/>
    <n v="10"/>
  </r>
  <r>
    <x v="5"/>
    <x v="29"/>
    <n v="13"/>
    <n v="11"/>
    <n v="4"/>
    <m/>
    <n v="5"/>
    <n v="9"/>
    <n v="1"/>
    <n v="1"/>
    <n v="0"/>
    <n v="0"/>
    <n v="0"/>
    <n v="4"/>
    <n v="0"/>
    <n v="0"/>
    <n v="0"/>
    <n v="3"/>
    <n v="3"/>
    <n v="10"/>
  </r>
  <r>
    <x v="5"/>
    <x v="30"/>
    <n v="50"/>
    <n v="36"/>
    <n v="28"/>
    <n v="17.658333333333299"/>
    <n v="3"/>
    <n v="31"/>
    <n v="1"/>
    <n v="4"/>
    <n v="0"/>
    <n v="0"/>
    <n v="0"/>
    <n v="20"/>
    <n v="4"/>
    <n v="1"/>
    <n v="5"/>
    <n v="30"/>
    <n v="28"/>
    <n v="33"/>
  </r>
  <r>
    <x v="5"/>
    <x v="31"/>
    <n v="181"/>
    <n v="113"/>
    <n v="93"/>
    <n v="23.720588235294102"/>
    <n v="9"/>
    <n v="102"/>
    <n v="7"/>
    <n v="4"/>
    <n v="0"/>
    <n v="0"/>
    <n v="0"/>
    <n v="20"/>
    <n v="16"/>
    <n v="3"/>
    <n v="19"/>
    <n v="106"/>
    <n v="106"/>
    <n v="101"/>
  </r>
  <r>
    <x v="5"/>
    <x v="32"/>
    <n v="5"/>
    <n v="3"/>
    <m/>
    <m/>
    <m/>
    <m/>
    <m/>
    <m/>
    <m/>
    <m/>
    <m/>
    <m/>
    <m/>
    <m/>
    <m/>
    <m/>
    <m/>
    <m/>
  </r>
  <r>
    <x v="5"/>
    <x v="33"/>
    <n v="26"/>
    <n v="23"/>
    <n v="18"/>
    <n v="11.4625"/>
    <n v="1"/>
    <n v="19"/>
    <n v="0"/>
    <n v="4"/>
    <n v="0"/>
    <n v="1"/>
    <n v="1"/>
    <n v="3"/>
    <n v="5"/>
    <n v="0"/>
    <n v="5"/>
    <n v="22"/>
    <n v="20"/>
    <n v="22"/>
  </r>
  <r>
    <x v="5"/>
    <x v="34"/>
    <n v="37"/>
    <n v="27"/>
    <n v="15"/>
    <m/>
    <n v="8"/>
    <n v="23"/>
    <n v="3"/>
    <n v="1"/>
    <n v="3"/>
    <n v="0"/>
    <n v="3"/>
    <n v="20"/>
    <n v="3"/>
    <n v="1"/>
    <n v="4"/>
    <n v="8"/>
    <n v="7"/>
    <n v="26"/>
  </r>
  <r>
    <x v="6"/>
    <x v="0"/>
    <n v="1665"/>
    <n v="870"/>
    <n v="529"/>
    <n v="16.34"/>
    <n v="181"/>
    <n v="710"/>
    <n v="95"/>
    <n v="65"/>
    <m/>
    <m/>
    <n v="10"/>
    <n v="388"/>
    <m/>
    <m/>
    <m/>
    <m/>
    <m/>
    <n v="836"/>
  </r>
  <r>
    <x v="6"/>
    <x v="1"/>
    <n v="42"/>
    <n v="22"/>
    <n v="13"/>
    <n v="16.713999999999999"/>
    <n v="5"/>
    <n v="18"/>
    <n v="3"/>
    <n v="1"/>
    <m/>
    <m/>
    <n v="0"/>
    <n v="4"/>
    <m/>
    <m/>
    <m/>
    <m/>
    <m/>
    <n v="21"/>
  </r>
  <r>
    <x v="6"/>
    <x v="2"/>
    <m/>
    <m/>
    <m/>
    <m/>
    <m/>
    <m/>
    <m/>
    <m/>
    <m/>
    <m/>
    <m/>
    <m/>
    <m/>
    <m/>
    <m/>
    <m/>
    <m/>
    <m/>
  </r>
  <r>
    <x v="6"/>
    <x v="3"/>
    <m/>
    <m/>
    <m/>
    <m/>
    <m/>
    <m/>
    <m/>
    <m/>
    <m/>
    <m/>
    <m/>
    <m/>
    <m/>
    <m/>
    <m/>
    <m/>
    <m/>
    <m/>
  </r>
  <r>
    <x v="6"/>
    <x v="4"/>
    <n v="13"/>
    <n v="11"/>
    <n v="7"/>
    <n v="18"/>
    <n v="2"/>
    <n v="9"/>
    <n v="0"/>
    <n v="2"/>
    <m/>
    <m/>
    <n v="0"/>
    <n v="5"/>
    <m/>
    <m/>
    <m/>
    <m/>
    <m/>
    <n v="10"/>
  </r>
  <r>
    <x v="6"/>
    <x v="5"/>
    <n v="23"/>
    <n v="11"/>
    <n v="8"/>
    <n v="17.420000000000002"/>
    <n v="2"/>
    <n v="10"/>
    <n v="1"/>
    <n v="0"/>
    <m/>
    <m/>
    <n v="1"/>
    <n v="2"/>
    <m/>
    <m/>
    <m/>
    <m/>
    <m/>
    <n v="11"/>
  </r>
  <r>
    <x v="6"/>
    <x v="6"/>
    <n v="17"/>
    <n v="6"/>
    <n v="3"/>
    <m/>
    <n v="1"/>
    <n v="4"/>
    <n v="1"/>
    <n v="1"/>
    <m/>
    <m/>
    <n v="0"/>
    <n v="5"/>
    <m/>
    <m/>
    <m/>
    <m/>
    <m/>
    <n v="6"/>
  </r>
  <r>
    <x v="6"/>
    <x v="7"/>
    <m/>
    <m/>
    <m/>
    <m/>
    <m/>
    <m/>
    <m/>
    <m/>
    <m/>
    <m/>
    <m/>
    <m/>
    <m/>
    <m/>
    <m/>
    <m/>
    <m/>
    <m/>
  </r>
  <r>
    <x v="6"/>
    <x v="8"/>
    <n v="20"/>
    <n v="10"/>
    <n v="9"/>
    <n v="17.132860000000001"/>
    <n v="0"/>
    <n v="9"/>
    <n v="1"/>
    <n v="0"/>
    <m/>
    <m/>
    <n v="0"/>
    <n v="2"/>
    <m/>
    <m/>
    <m/>
    <m/>
    <m/>
    <n v="10"/>
  </r>
  <r>
    <x v="6"/>
    <x v="9"/>
    <n v="53"/>
    <n v="25"/>
    <n v="12"/>
    <n v="20.650670000000002"/>
    <n v="8"/>
    <n v="20"/>
    <n v="3"/>
    <n v="2"/>
    <m/>
    <m/>
    <n v="2"/>
    <n v="15"/>
    <m/>
    <m/>
    <m/>
    <m/>
    <m/>
    <n v="21"/>
  </r>
  <r>
    <x v="6"/>
    <x v="10"/>
    <n v="14"/>
    <n v="8"/>
    <n v="6"/>
    <n v="14"/>
    <n v="2"/>
    <n v="8"/>
    <n v="0"/>
    <n v="0"/>
    <m/>
    <m/>
    <n v="0"/>
    <n v="2"/>
    <m/>
    <m/>
    <m/>
    <m/>
    <m/>
    <n v="8"/>
  </r>
  <r>
    <x v="6"/>
    <x v="11"/>
    <n v="66"/>
    <n v="22"/>
    <n v="17"/>
    <n v="15.365830000000001"/>
    <n v="1"/>
    <n v="18"/>
    <n v="2"/>
    <n v="2"/>
    <m/>
    <m/>
    <n v="0"/>
    <n v="13"/>
    <m/>
    <m/>
    <m/>
    <m/>
    <m/>
    <n v="20"/>
  </r>
  <r>
    <x v="6"/>
    <x v="12"/>
    <n v="324"/>
    <n v="150"/>
    <n v="61"/>
    <n v="13.95782"/>
    <n v="56"/>
    <n v="117"/>
    <n v="21"/>
    <n v="12"/>
    <m/>
    <m/>
    <n v="6"/>
    <n v="89"/>
    <m/>
    <m/>
    <m/>
    <m/>
    <m/>
    <n v="149"/>
  </r>
  <r>
    <x v="6"/>
    <x v="13"/>
    <m/>
    <m/>
    <m/>
    <m/>
    <m/>
    <m/>
    <m/>
    <m/>
    <m/>
    <m/>
    <m/>
    <m/>
    <m/>
    <m/>
    <m/>
    <m/>
    <m/>
    <m/>
  </r>
  <r>
    <x v="6"/>
    <x v="14"/>
    <n v="10"/>
    <n v="6"/>
    <n v="2"/>
    <m/>
    <n v="2"/>
    <n v="4"/>
    <n v="2"/>
    <n v="0"/>
    <m/>
    <m/>
    <n v="0"/>
    <n v="4"/>
    <m/>
    <m/>
    <m/>
    <m/>
    <m/>
    <n v="5"/>
  </r>
  <r>
    <x v="6"/>
    <x v="15"/>
    <n v="16"/>
    <n v="13"/>
    <n v="7"/>
    <n v="19.848179999999999"/>
    <n v="4"/>
    <n v="11"/>
    <n v="2"/>
    <n v="0"/>
    <m/>
    <m/>
    <n v="0"/>
    <n v="7"/>
    <m/>
    <m/>
    <m/>
    <m/>
    <m/>
    <n v="13"/>
  </r>
  <r>
    <x v="6"/>
    <x v="16"/>
    <m/>
    <m/>
    <m/>
    <m/>
    <m/>
    <m/>
    <m/>
    <m/>
    <m/>
    <m/>
    <m/>
    <m/>
    <m/>
    <m/>
    <m/>
    <m/>
    <m/>
    <m/>
  </r>
  <r>
    <x v="6"/>
    <x v="17"/>
    <n v="3"/>
    <n v="0"/>
    <m/>
    <m/>
    <m/>
    <m/>
    <m/>
    <m/>
    <m/>
    <m/>
    <m/>
    <m/>
    <m/>
    <m/>
    <m/>
    <m/>
    <m/>
    <m/>
  </r>
  <r>
    <x v="6"/>
    <x v="18"/>
    <n v="3"/>
    <n v="1"/>
    <m/>
    <m/>
    <m/>
    <m/>
    <m/>
    <m/>
    <m/>
    <m/>
    <m/>
    <m/>
    <m/>
    <m/>
    <m/>
    <m/>
    <m/>
    <m/>
  </r>
  <r>
    <x v="6"/>
    <x v="19"/>
    <n v="28"/>
    <n v="22"/>
    <n v="18"/>
    <n v="15.95"/>
    <n v="3"/>
    <n v="21"/>
    <n v="1"/>
    <n v="0"/>
    <m/>
    <m/>
    <n v="0"/>
    <n v="6"/>
    <m/>
    <m/>
    <m/>
    <m/>
    <m/>
    <n v="22"/>
  </r>
  <r>
    <x v="6"/>
    <x v="20"/>
    <n v="10"/>
    <n v="5"/>
    <n v="4"/>
    <m/>
    <n v="0"/>
    <n v="4"/>
    <n v="1"/>
    <n v="0"/>
    <m/>
    <m/>
    <n v="0"/>
    <n v="2"/>
    <m/>
    <m/>
    <m/>
    <m/>
    <m/>
    <n v="4"/>
  </r>
  <r>
    <x v="6"/>
    <x v="21"/>
    <m/>
    <m/>
    <m/>
    <m/>
    <m/>
    <m/>
    <m/>
    <m/>
    <m/>
    <m/>
    <m/>
    <m/>
    <m/>
    <m/>
    <m/>
    <m/>
    <m/>
    <m/>
  </r>
  <r>
    <x v="6"/>
    <x v="22"/>
    <n v="19"/>
    <n v="14"/>
    <n v="14"/>
    <n v="19.435379999999999"/>
    <n v="0"/>
    <n v="14"/>
    <n v="0"/>
    <n v="0"/>
    <m/>
    <m/>
    <n v="0"/>
    <n v="2"/>
    <m/>
    <m/>
    <m/>
    <m/>
    <m/>
    <n v="14"/>
  </r>
  <r>
    <x v="6"/>
    <x v="23"/>
    <n v="12"/>
    <n v="4"/>
    <m/>
    <m/>
    <m/>
    <m/>
    <m/>
    <m/>
    <m/>
    <m/>
    <m/>
    <m/>
    <m/>
    <m/>
    <m/>
    <m/>
    <m/>
    <m/>
  </r>
  <r>
    <x v="6"/>
    <x v="24"/>
    <n v="2"/>
    <n v="2"/>
    <m/>
    <m/>
    <m/>
    <m/>
    <m/>
    <m/>
    <m/>
    <m/>
    <m/>
    <m/>
    <m/>
    <m/>
    <m/>
    <m/>
    <m/>
    <m/>
  </r>
  <r>
    <x v="6"/>
    <x v="25"/>
    <n v="46"/>
    <n v="29"/>
    <n v="18"/>
    <n v="12.182729999999999"/>
    <n v="5"/>
    <n v="23"/>
    <n v="2"/>
    <n v="4"/>
    <m/>
    <m/>
    <n v="0"/>
    <n v="3"/>
    <m/>
    <m/>
    <m/>
    <m/>
    <m/>
    <n v="26"/>
  </r>
  <r>
    <x v="6"/>
    <x v="26"/>
    <n v="16"/>
    <n v="14"/>
    <n v="6"/>
    <n v="23.75"/>
    <n v="4"/>
    <n v="10"/>
    <n v="4"/>
    <n v="0"/>
    <m/>
    <m/>
    <n v="0"/>
    <n v="5"/>
    <m/>
    <m/>
    <m/>
    <m/>
    <m/>
    <n v="13"/>
  </r>
  <r>
    <x v="6"/>
    <x v="27"/>
    <n v="483"/>
    <n v="206"/>
    <n v="114"/>
    <n v="13.67245"/>
    <n v="52"/>
    <n v="166"/>
    <n v="13"/>
    <n v="27"/>
    <m/>
    <m/>
    <n v="0"/>
    <n v="143"/>
    <m/>
    <m/>
    <m/>
    <m/>
    <m/>
    <n v="201"/>
  </r>
  <r>
    <x v="6"/>
    <x v="28"/>
    <n v="14"/>
    <n v="9"/>
    <n v="5"/>
    <n v="12.833299999999999"/>
    <n v="2"/>
    <n v="7"/>
    <n v="2"/>
    <n v="0"/>
    <m/>
    <m/>
    <n v="0"/>
    <n v="4"/>
    <m/>
    <m/>
    <m/>
    <m/>
    <m/>
    <n v="8"/>
  </r>
  <r>
    <x v="6"/>
    <x v="29"/>
    <m/>
    <m/>
    <m/>
    <m/>
    <m/>
    <m/>
    <m/>
    <m/>
    <m/>
    <m/>
    <m/>
    <m/>
    <m/>
    <m/>
    <m/>
    <m/>
    <m/>
    <m/>
  </r>
  <r>
    <x v="6"/>
    <x v="30"/>
    <n v="156"/>
    <n v="102"/>
    <n v="57"/>
    <n v="18.032879999999999"/>
    <n v="15"/>
    <n v="72"/>
    <n v="21"/>
    <n v="9"/>
    <m/>
    <m/>
    <n v="0"/>
    <n v="42"/>
    <m/>
    <m/>
    <m/>
    <m/>
    <m/>
    <n v="92"/>
  </r>
  <r>
    <x v="6"/>
    <x v="31"/>
    <n v="197"/>
    <n v="133"/>
    <n v="121"/>
    <n v="24.71969"/>
    <n v="3"/>
    <n v="124"/>
    <n v="8"/>
    <n v="1"/>
    <m/>
    <m/>
    <n v="0"/>
    <n v="14"/>
    <m/>
    <m/>
    <m/>
    <m/>
    <m/>
    <n v="133"/>
  </r>
  <r>
    <x v="6"/>
    <x v="32"/>
    <n v="39"/>
    <n v="18"/>
    <n v="7"/>
    <n v="16.57583"/>
    <n v="7"/>
    <n v="14"/>
    <n v="1"/>
    <n v="3"/>
    <m/>
    <m/>
    <n v="0"/>
    <n v="10"/>
    <m/>
    <m/>
    <m/>
    <m/>
    <m/>
    <n v="17"/>
  </r>
  <r>
    <x v="6"/>
    <x v="33"/>
    <n v="24"/>
    <n v="21"/>
    <n v="16"/>
    <n v="11.985290000000001"/>
    <n v="2"/>
    <n v="18"/>
    <n v="2"/>
    <n v="1"/>
    <m/>
    <m/>
    <n v="0"/>
    <n v="5"/>
    <m/>
    <m/>
    <m/>
    <m/>
    <m/>
    <n v="21"/>
  </r>
  <r>
    <x v="6"/>
    <x v="34"/>
    <n v="11"/>
    <n v="4"/>
    <m/>
    <m/>
    <m/>
    <m/>
    <m/>
    <m/>
    <m/>
    <m/>
    <m/>
    <m/>
    <m/>
    <m/>
    <m/>
    <m/>
    <m/>
    <m/>
  </r>
  <r>
    <x v="7"/>
    <x v="3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showCalcMbrs="0" useAutoFormatting="1" rowGrandTotals="0" itemPrintTitles="1" createdVersion="3" indent="0" outline="1" outlineData="1" multipleFieldFilters="0">
  <location ref="A3:K286" firstHeaderRow="1" firstDataRow="2" firstDataCol="1"/>
  <pivotFields count="20">
    <pivotField axis="axisRow" showAll="0" sortType="descending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axis="axisRow" showAll="0" sortType="ascending">
      <items count="44">
        <item x="0"/>
        <item x="1"/>
        <item x="2"/>
        <item x="3"/>
        <item x="4"/>
        <item x="5"/>
        <item x="6"/>
        <item x="7"/>
        <item m="1" x="38"/>
        <item x="8"/>
        <item x="9"/>
        <item m="1" x="41"/>
        <item x="10"/>
        <item m="1" x="40"/>
        <item m="1" x="36"/>
        <item x="11"/>
        <item x="12"/>
        <item x="13"/>
        <item m="1" x="37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9"/>
        <item m="1" x="42"/>
        <item x="33"/>
        <item x="34"/>
        <item x="35"/>
        <item t="default"/>
      </items>
    </pivotField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2">
    <field x="1"/>
    <field x="0"/>
  </rowFields>
  <rowItems count="28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2"/>
    </i>
    <i r="1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Program Completers" fld="2" baseField="0" baseItem="0"/>
    <dataField name="Sum of Respondents" fld="3" baseField="0" baseItem="0"/>
    <dataField name="Sum of Total Employed" fld="7" baseField="0" baseItem="0"/>
    <dataField name="Sum of Median Hourly Wage " fld="5" baseField="0" baseItem="0" numFmtId="44"/>
    <dataField name="Sum of Total in Military" fld="12" baseField="0" baseItem="0"/>
    <dataField name="Sum of Continuing Education (Secondary or Post-Secondary)" fld="13" baseField="0" baseItem="0"/>
    <dataField name="Sum of Total in Apprenticeships" fld="16" baseField="0" baseItem="0"/>
    <dataField name="Sum of Took State Licensing Exam" fld="17" baseField="0" baseItem="0"/>
    <dataField name="Sum of Passed State Licensing Exam" fld="18" baseField="0" baseItem="0"/>
    <dataField name="Sum of Instructional Program Met Educational Goals" fld="19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_rels/themeOverride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Theme">
  <a:themeElements>
    <a:clrScheme name="FRCC">
      <a:dk1>
        <a:srgbClr val="000000"/>
      </a:dk1>
      <a:lt1>
        <a:srgbClr val="FFFFFF"/>
      </a:lt1>
      <a:dk2>
        <a:srgbClr val="869F29"/>
      </a:dk2>
      <a:lt2>
        <a:srgbClr val="AFCF7B"/>
      </a:lt2>
      <a:accent1>
        <a:srgbClr val="70A399"/>
      </a:accent1>
      <a:accent2>
        <a:srgbClr val="E3B11F"/>
      </a:accent2>
      <a:accent3>
        <a:srgbClr val="0C4976"/>
      </a:accent3>
      <a:accent4>
        <a:srgbClr val="B70005"/>
      </a:accent4>
      <a:accent5>
        <a:srgbClr val="758FC2"/>
      </a:accent5>
      <a:accent6>
        <a:srgbClr val="46402D"/>
      </a:accent6>
      <a:hlink>
        <a:srgbClr val="A33100"/>
      </a:hlink>
      <a:folHlink>
        <a:srgbClr val="A178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Module">
    <a:dk1>
      <a:sysClr val="windowText" lastClr="000000"/>
    </a:dk1>
    <a:lt1>
      <a:sysClr val="window" lastClr="FFFFFF"/>
    </a:lt1>
    <a:dk2>
      <a:srgbClr val="5A6378"/>
    </a:dk2>
    <a:lt2>
      <a:srgbClr val="D4D4D6"/>
    </a:lt2>
    <a:accent1>
      <a:srgbClr val="F0AD00"/>
    </a:accent1>
    <a:accent2>
      <a:srgbClr val="60B5CC"/>
    </a:accent2>
    <a:accent3>
      <a:srgbClr val="E66C7D"/>
    </a:accent3>
    <a:accent4>
      <a:srgbClr val="6BB76D"/>
    </a:accent4>
    <a:accent5>
      <a:srgbClr val="E88651"/>
    </a:accent5>
    <a:accent6>
      <a:srgbClr val="C64847"/>
    </a:accent6>
    <a:hlink>
      <a:srgbClr val="168BBA"/>
    </a:hlink>
    <a:folHlink>
      <a:srgbClr val="680000"/>
    </a:folHlink>
  </a:clrScheme>
  <a:fontScheme name="Concourse">
    <a:maj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ajorFont>
    <a:minorFont>
      <a:latin typeface="Lucida Sans Unicode"/>
      <a:ea typeface=""/>
      <a:cs typeface=""/>
      <a:font script="Jpan" typeface="ＭＳ Ｐゴシック"/>
      <a:font script="Hang" typeface="맑은 고딕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Uigh" typeface="Microsoft Uighur"/>
    </a:minorFont>
  </a:fontScheme>
  <a:fmtScheme name="Modul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7500"/>
              <a:satMod val="137000"/>
            </a:schemeClr>
          </a:gs>
          <a:gs pos="55000">
            <a:schemeClr val="phClr">
              <a:shade val="69000"/>
              <a:satMod val="137000"/>
            </a:schemeClr>
          </a:gs>
          <a:gs pos="100000">
            <a:schemeClr val="phClr">
              <a:shade val="98000"/>
              <a:satMod val="137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48000" cap="flat" cmpd="thickThin" algn="ctr">
        <a:solidFill>
          <a:schemeClr val="phClr"/>
        </a:solidFill>
        <a:prstDash val="solid"/>
      </a:ln>
      <a:ln w="48500" cap="flat" cmpd="thickThin" algn="ctr">
        <a:solidFill>
          <a:schemeClr val="phClr"/>
        </a:solidFill>
        <a:prstDash val="solid"/>
      </a:ln>
    </a:lnStyleLst>
    <a:effectStyleLst>
      <a:effectStyle>
        <a:effectLst>
          <a:outerShdw blurRad="45000" dist="25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39000" dist="25400" dir="5400000" rotWithShape="0">
            <a:srgbClr val="000000">
              <a:alpha val="38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1800000"/>
          </a:lightRig>
        </a:scene3d>
        <a:sp3d prstMaterial="matte">
          <a:bevelT h="200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8000"/>
              <a:satMod val="300000"/>
            </a:schemeClr>
          </a:gs>
          <a:gs pos="12000">
            <a:schemeClr val="phClr">
              <a:tint val="48000"/>
              <a:satMod val="300000"/>
            </a:schemeClr>
          </a:gs>
          <a:gs pos="20000">
            <a:schemeClr val="phClr">
              <a:tint val="49000"/>
              <a:satMod val="300000"/>
            </a:schemeClr>
          </a:gs>
          <a:gs pos="100000">
            <a:schemeClr val="phClr">
              <a:shade val="30000"/>
            </a:schemeClr>
          </a:gs>
        </a:gsLst>
        <a:path path="circle">
          <a:fillToRect l="10000" t="-25000" r="10000" b="125000"/>
        </a:path>
      </a:gradFill>
      <a:blipFill>
        <a:blip xmlns:r="http://schemas.openxmlformats.org/officeDocument/2006/relationships" r:embed="rId1">
          <a:duotone>
            <a:schemeClr val="phClr">
              <a:shade val="75000"/>
              <a:satMod val="105000"/>
            </a:schemeClr>
            <a:schemeClr val="phClr">
              <a:tint val="95000"/>
              <a:satMod val="105000"/>
            </a:schemeClr>
          </a:duotone>
        </a:blip>
        <a:tile tx="0" ty="0" sx="38000" sy="38000" flip="none" algn="tl"/>
      </a:blip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G246"/>
  <sheetViews>
    <sheetView zoomScaleNormal="100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5.42578125" style="50" bestFit="1" customWidth="1"/>
    <col min="2" max="2" width="9.140625" style="50"/>
    <col min="3" max="3" width="34.140625" style="137" customWidth="1"/>
    <col min="4" max="4" width="5.85546875" style="50" customWidth="1"/>
    <col min="5" max="5" width="5.140625" style="50" customWidth="1"/>
    <col min="6" max="6" width="4.7109375" style="50" customWidth="1"/>
    <col min="7" max="7" width="7.28515625" style="144" customWidth="1"/>
    <col min="8" max="21" width="5.7109375" style="50" customWidth="1"/>
    <col min="22" max="67" width="9.140625" style="67"/>
    <col min="68" max="16384" width="9.140625" style="50"/>
  </cols>
  <sheetData>
    <row r="1" spans="1:189" s="1" customFormat="1" ht="27.75" customHeight="1" thickBot="1" x14ac:dyDescent="0.25">
      <c r="B1" s="1" t="s">
        <v>0</v>
      </c>
      <c r="C1" s="2" t="s">
        <v>1</v>
      </c>
      <c r="D1" s="46" t="s">
        <v>2</v>
      </c>
      <c r="E1" s="138" t="s">
        <v>3</v>
      </c>
      <c r="F1" s="48" t="s">
        <v>4</v>
      </c>
      <c r="G1" s="47" t="s">
        <v>5</v>
      </c>
      <c r="H1" s="4" t="s">
        <v>6</v>
      </c>
      <c r="I1" s="4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4" t="s">
        <v>12</v>
      </c>
      <c r="O1" s="3" t="s">
        <v>13</v>
      </c>
      <c r="P1" s="139" t="s">
        <v>48</v>
      </c>
      <c r="Q1" s="138" t="s">
        <v>14</v>
      </c>
      <c r="R1" s="48" t="s">
        <v>15</v>
      </c>
      <c r="S1" s="48" t="s">
        <v>16</v>
      </c>
      <c r="T1" s="49" t="s">
        <v>17</v>
      </c>
      <c r="U1" s="48" t="s">
        <v>18</v>
      </c>
      <c r="V1" s="140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</row>
    <row r="2" spans="1:189" s="57" customFormat="1" ht="15.75" thickBot="1" x14ac:dyDescent="0.3">
      <c r="A2" s="50" t="b">
        <f>C2=C37</f>
        <v>1</v>
      </c>
      <c r="B2" s="57">
        <v>2013</v>
      </c>
      <c r="C2" s="58" t="s">
        <v>105</v>
      </c>
      <c r="D2" s="59">
        <v>2196</v>
      </c>
      <c r="E2" s="60">
        <v>1239</v>
      </c>
      <c r="F2" s="61">
        <v>598</v>
      </c>
      <c r="G2" s="62">
        <v>14.85</v>
      </c>
      <c r="H2" s="63">
        <v>342</v>
      </c>
      <c r="I2" s="61">
        <v>940</v>
      </c>
      <c r="J2" s="64">
        <v>144</v>
      </c>
      <c r="K2" s="60">
        <v>149</v>
      </c>
      <c r="L2" s="64">
        <v>9</v>
      </c>
      <c r="M2" s="60">
        <v>7</v>
      </c>
      <c r="N2" s="65">
        <v>16</v>
      </c>
      <c r="O2" s="60">
        <v>629</v>
      </c>
      <c r="P2" s="63">
        <v>168</v>
      </c>
      <c r="Q2" s="60">
        <v>76</v>
      </c>
      <c r="R2" s="61">
        <v>244</v>
      </c>
      <c r="S2" s="60">
        <v>620</v>
      </c>
      <c r="T2" s="66">
        <v>601</v>
      </c>
      <c r="U2" s="66">
        <v>1150</v>
      </c>
      <c r="V2" s="67"/>
      <c r="W2" s="68">
        <f t="shared" ref="W2:W17" si="0">S2-E2</f>
        <v>-619</v>
      </c>
      <c r="X2" s="68">
        <f t="shared" ref="X2:X17" si="1">-T2-S2</f>
        <v>-1221</v>
      </c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</row>
    <row r="3" spans="1:189" s="69" customFormat="1" ht="15.75" thickBot="1" x14ac:dyDescent="0.3">
      <c r="A3" s="69" t="b">
        <f>C3=C38</f>
        <v>1</v>
      </c>
      <c r="B3" s="57">
        <v>2013</v>
      </c>
      <c r="C3" s="73" t="s">
        <v>19</v>
      </c>
      <c r="D3" s="103">
        <v>62</v>
      </c>
      <c r="E3" s="104">
        <v>34</v>
      </c>
      <c r="F3" s="103">
        <v>11</v>
      </c>
      <c r="G3" s="105">
        <v>15</v>
      </c>
      <c r="H3" s="103">
        <v>11</v>
      </c>
      <c r="I3" s="106">
        <v>22</v>
      </c>
      <c r="J3" s="103">
        <v>5</v>
      </c>
      <c r="K3" s="104">
        <v>7</v>
      </c>
      <c r="L3" s="103">
        <v>0</v>
      </c>
      <c r="M3" s="104">
        <v>0</v>
      </c>
      <c r="N3" s="107">
        <v>0</v>
      </c>
      <c r="O3" s="104">
        <v>18</v>
      </c>
      <c r="P3" s="103">
        <v>4</v>
      </c>
      <c r="Q3" s="104">
        <v>1</v>
      </c>
      <c r="R3" s="106">
        <v>5</v>
      </c>
      <c r="S3" s="104">
        <v>2</v>
      </c>
      <c r="T3" s="108">
        <v>2</v>
      </c>
      <c r="U3" s="108">
        <v>31</v>
      </c>
      <c r="V3" s="67"/>
      <c r="W3" s="68">
        <f t="shared" si="0"/>
        <v>-32</v>
      </c>
      <c r="X3" s="68">
        <f t="shared" si="1"/>
        <v>-4</v>
      </c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</row>
    <row r="4" spans="1:189" s="69" customFormat="1" ht="15.75" thickBot="1" x14ac:dyDescent="0.3">
      <c r="A4" s="70" t="b">
        <f>C4=C39</f>
        <v>1</v>
      </c>
      <c r="B4" s="57">
        <v>2013</v>
      </c>
      <c r="C4" s="71" t="s">
        <v>97</v>
      </c>
      <c r="D4" s="82">
        <v>1</v>
      </c>
      <c r="E4" s="80">
        <v>0</v>
      </c>
      <c r="F4" s="82"/>
      <c r="G4" s="81"/>
      <c r="H4" s="82"/>
      <c r="I4" s="83"/>
      <c r="J4" s="82"/>
      <c r="K4" s="80"/>
      <c r="L4" s="82"/>
      <c r="M4" s="80"/>
      <c r="N4" s="85"/>
      <c r="O4" s="80"/>
      <c r="P4" s="82"/>
      <c r="Q4" s="80"/>
      <c r="R4" s="83"/>
      <c r="S4" s="80"/>
      <c r="T4" s="84"/>
      <c r="U4" s="84"/>
      <c r="V4" s="67"/>
      <c r="W4" s="68">
        <f t="shared" si="0"/>
        <v>0</v>
      </c>
      <c r="X4" s="68">
        <f t="shared" si="1"/>
        <v>0</v>
      </c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</row>
    <row r="5" spans="1:189" s="69" customFormat="1" ht="15.75" thickBot="1" x14ac:dyDescent="0.3">
      <c r="A5" s="70" t="b">
        <f t="shared" ref="A5:A68" si="2">C5=C40</f>
        <v>1</v>
      </c>
      <c r="B5" s="57">
        <v>2013</v>
      </c>
      <c r="C5" s="74" t="s">
        <v>100</v>
      </c>
      <c r="D5" s="97">
        <v>1</v>
      </c>
      <c r="E5" s="98">
        <v>1</v>
      </c>
      <c r="F5" s="97"/>
      <c r="G5" s="99"/>
      <c r="H5" s="97"/>
      <c r="I5" s="100"/>
      <c r="J5" s="97"/>
      <c r="K5" s="98"/>
      <c r="L5" s="97"/>
      <c r="M5" s="98"/>
      <c r="N5" s="101"/>
      <c r="O5" s="98"/>
      <c r="P5" s="97"/>
      <c r="Q5" s="98"/>
      <c r="R5" s="100"/>
      <c r="S5" s="98"/>
      <c r="T5" s="102"/>
      <c r="U5" s="102"/>
      <c r="V5" s="67"/>
      <c r="W5" s="68">
        <f t="shared" si="0"/>
        <v>-1</v>
      </c>
      <c r="X5" s="68">
        <f t="shared" si="1"/>
        <v>0</v>
      </c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</row>
    <row r="6" spans="1:189" s="69" customFormat="1" ht="15.75" thickBot="1" x14ac:dyDescent="0.3">
      <c r="A6" s="70" t="b">
        <f t="shared" si="2"/>
        <v>1</v>
      </c>
      <c r="B6" s="57">
        <v>2013</v>
      </c>
      <c r="C6" s="72" t="s">
        <v>20</v>
      </c>
      <c r="D6" s="82">
        <v>16</v>
      </c>
      <c r="E6" s="80">
        <v>8</v>
      </c>
      <c r="F6" s="82">
        <v>5</v>
      </c>
      <c r="G6" s="81">
        <v>15</v>
      </c>
      <c r="H6" s="82">
        <v>1</v>
      </c>
      <c r="I6" s="83">
        <v>6</v>
      </c>
      <c r="J6" s="82">
        <v>1</v>
      </c>
      <c r="K6" s="80">
        <v>1</v>
      </c>
      <c r="L6" s="82">
        <v>0</v>
      </c>
      <c r="M6" s="80">
        <v>0</v>
      </c>
      <c r="N6" s="85">
        <v>0</v>
      </c>
      <c r="O6" s="80">
        <v>2</v>
      </c>
      <c r="P6" s="82">
        <v>0</v>
      </c>
      <c r="Q6" s="80">
        <v>0</v>
      </c>
      <c r="R6" s="83">
        <v>0</v>
      </c>
      <c r="S6" s="80">
        <v>0</v>
      </c>
      <c r="T6" s="84">
        <v>0</v>
      </c>
      <c r="U6" s="84">
        <v>7</v>
      </c>
      <c r="V6" s="67"/>
      <c r="W6" s="68">
        <f t="shared" si="0"/>
        <v>-8</v>
      </c>
      <c r="X6" s="68">
        <f t="shared" si="1"/>
        <v>0</v>
      </c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</row>
    <row r="7" spans="1:189" s="69" customFormat="1" ht="15.75" thickBot="1" x14ac:dyDescent="0.3">
      <c r="A7" s="70" t="b">
        <f t="shared" si="2"/>
        <v>1</v>
      </c>
      <c r="B7" s="57">
        <v>2013</v>
      </c>
      <c r="C7" s="75" t="s">
        <v>21</v>
      </c>
      <c r="D7" s="97">
        <v>114</v>
      </c>
      <c r="E7" s="98">
        <v>45</v>
      </c>
      <c r="F7" s="97">
        <v>19</v>
      </c>
      <c r="G7" s="99">
        <v>12</v>
      </c>
      <c r="H7" s="97">
        <v>14</v>
      </c>
      <c r="I7" s="100">
        <v>33</v>
      </c>
      <c r="J7" s="97">
        <v>6</v>
      </c>
      <c r="K7" s="98">
        <v>5</v>
      </c>
      <c r="L7" s="97">
        <v>1</v>
      </c>
      <c r="M7" s="98">
        <v>0</v>
      </c>
      <c r="N7" s="101">
        <v>1</v>
      </c>
      <c r="O7" s="98">
        <v>22</v>
      </c>
      <c r="P7" s="97">
        <v>3</v>
      </c>
      <c r="Q7" s="98">
        <v>1</v>
      </c>
      <c r="R7" s="100">
        <v>4</v>
      </c>
      <c r="S7" s="98">
        <v>10</v>
      </c>
      <c r="T7" s="102">
        <v>10</v>
      </c>
      <c r="U7" s="102">
        <v>44</v>
      </c>
      <c r="V7" s="67"/>
      <c r="W7" s="68">
        <f t="shared" si="0"/>
        <v>-35</v>
      </c>
      <c r="X7" s="68">
        <f t="shared" si="1"/>
        <v>-20</v>
      </c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</row>
    <row r="8" spans="1:189" s="69" customFormat="1" ht="15.75" thickBot="1" x14ac:dyDescent="0.3">
      <c r="A8" s="70" t="b">
        <f t="shared" si="2"/>
        <v>1</v>
      </c>
      <c r="B8" s="57">
        <v>2013</v>
      </c>
      <c r="C8" s="76" t="s">
        <v>22</v>
      </c>
      <c r="D8" s="91">
        <v>108</v>
      </c>
      <c r="E8" s="92">
        <v>61</v>
      </c>
      <c r="F8" s="91">
        <v>32</v>
      </c>
      <c r="G8" s="96">
        <v>14.13</v>
      </c>
      <c r="H8" s="91">
        <v>16</v>
      </c>
      <c r="I8" s="93">
        <v>48</v>
      </c>
      <c r="J8" s="91">
        <v>8</v>
      </c>
      <c r="K8" s="92">
        <v>4</v>
      </c>
      <c r="L8" s="91">
        <v>0</v>
      </c>
      <c r="M8" s="92">
        <v>1</v>
      </c>
      <c r="N8" s="94">
        <v>1</v>
      </c>
      <c r="O8" s="92">
        <v>37</v>
      </c>
      <c r="P8" s="91">
        <v>7</v>
      </c>
      <c r="Q8" s="92">
        <v>3</v>
      </c>
      <c r="R8" s="93">
        <v>10</v>
      </c>
      <c r="S8" s="92">
        <v>8</v>
      </c>
      <c r="T8" s="95">
        <v>8</v>
      </c>
      <c r="U8" s="95">
        <v>57</v>
      </c>
      <c r="V8" s="67"/>
      <c r="W8" s="68">
        <f t="shared" si="0"/>
        <v>-53</v>
      </c>
      <c r="X8" s="68">
        <f t="shared" si="1"/>
        <v>-16</v>
      </c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</row>
    <row r="9" spans="1:189" s="69" customFormat="1" ht="15.75" thickBot="1" x14ac:dyDescent="0.3">
      <c r="A9" s="70" t="b">
        <f t="shared" si="2"/>
        <v>1</v>
      </c>
      <c r="B9" s="57">
        <v>2013</v>
      </c>
      <c r="C9" s="77" t="s">
        <v>23</v>
      </c>
      <c r="D9" s="86">
        <v>10</v>
      </c>
      <c r="E9" s="87">
        <v>6</v>
      </c>
      <c r="F9" s="86">
        <v>3</v>
      </c>
      <c r="G9" s="113"/>
      <c r="H9" s="86">
        <v>2</v>
      </c>
      <c r="I9" s="88">
        <v>5</v>
      </c>
      <c r="J9" s="86">
        <v>1</v>
      </c>
      <c r="K9" s="87">
        <v>0</v>
      </c>
      <c r="L9" s="86">
        <v>0</v>
      </c>
      <c r="M9" s="87">
        <v>0</v>
      </c>
      <c r="N9" s="89">
        <v>0</v>
      </c>
      <c r="O9" s="87">
        <v>1</v>
      </c>
      <c r="P9" s="86">
        <v>0</v>
      </c>
      <c r="Q9" s="87">
        <v>1</v>
      </c>
      <c r="R9" s="88">
        <v>1</v>
      </c>
      <c r="S9" s="87">
        <v>1</v>
      </c>
      <c r="T9" s="90">
        <v>1</v>
      </c>
      <c r="U9" s="90">
        <v>5</v>
      </c>
      <c r="V9" s="67"/>
      <c r="W9" s="68">
        <f t="shared" si="0"/>
        <v>-5</v>
      </c>
      <c r="X9" s="68">
        <f t="shared" si="1"/>
        <v>-2</v>
      </c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</row>
    <row r="10" spans="1:189" s="69" customFormat="1" ht="15.75" thickBot="1" x14ac:dyDescent="0.3">
      <c r="A10" s="70" t="b">
        <f t="shared" si="2"/>
        <v>1</v>
      </c>
      <c r="B10" s="57">
        <v>2013</v>
      </c>
      <c r="C10" s="78" t="s">
        <v>24</v>
      </c>
      <c r="D10" s="79">
        <v>17</v>
      </c>
      <c r="E10" s="80">
        <v>14</v>
      </c>
      <c r="F10" s="82">
        <v>5</v>
      </c>
      <c r="G10" s="81">
        <v>16.25</v>
      </c>
      <c r="H10" s="82">
        <v>7</v>
      </c>
      <c r="I10" s="83">
        <v>12</v>
      </c>
      <c r="J10" s="82">
        <v>2</v>
      </c>
      <c r="K10" s="80">
        <v>0</v>
      </c>
      <c r="L10" s="82">
        <v>0</v>
      </c>
      <c r="M10" s="80">
        <v>0</v>
      </c>
      <c r="N10" s="85">
        <v>0</v>
      </c>
      <c r="O10" s="80">
        <v>3</v>
      </c>
      <c r="P10" s="82">
        <v>1</v>
      </c>
      <c r="Q10" s="80">
        <v>0</v>
      </c>
      <c r="R10" s="83">
        <v>1</v>
      </c>
      <c r="S10" s="80">
        <v>0</v>
      </c>
      <c r="T10" s="84">
        <v>0</v>
      </c>
      <c r="U10" s="84">
        <v>12</v>
      </c>
      <c r="V10" s="67"/>
      <c r="W10" s="68">
        <f t="shared" si="0"/>
        <v>-14</v>
      </c>
      <c r="X10" s="68">
        <f t="shared" si="1"/>
        <v>0</v>
      </c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</row>
    <row r="11" spans="1:189" s="69" customFormat="1" ht="15.75" thickBot="1" x14ac:dyDescent="0.3">
      <c r="A11" s="70" t="b">
        <f t="shared" si="2"/>
        <v>1</v>
      </c>
      <c r="B11" s="57">
        <v>2013</v>
      </c>
      <c r="C11" s="73" t="s">
        <v>98</v>
      </c>
      <c r="D11" s="103">
        <v>169</v>
      </c>
      <c r="E11" s="104">
        <v>112</v>
      </c>
      <c r="F11" s="103">
        <v>39</v>
      </c>
      <c r="G11" s="105">
        <v>18</v>
      </c>
      <c r="H11" s="103">
        <v>30</v>
      </c>
      <c r="I11" s="106">
        <v>69</v>
      </c>
      <c r="J11" s="103">
        <v>25</v>
      </c>
      <c r="K11" s="104">
        <v>18</v>
      </c>
      <c r="L11" s="103">
        <v>0</v>
      </c>
      <c r="M11" s="104">
        <v>0</v>
      </c>
      <c r="N11" s="107">
        <v>0</v>
      </c>
      <c r="O11" s="104">
        <v>61</v>
      </c>
      <c r="P11" s="103">
        <v>8</v>
      </c>
      <c r="Q11" s="104">
        <v>4</v>
      </c>
      <c r="R11" s="106">
        <v>12</v>
      </c>
      <c r="S11" s="104">
        <v>23</v>
      </c>
      <c r="T11" s="108">
        <v>20</v>
      </c>
      <c r="U11" s="108">
        <v>96</v>
      </c>
      <c r="V11" s="67"/>
      <c r="W11" s="68">
        <f t="shared" si="0"/>
        <v>-89</v>
      </c>
      <c r="X11" s="68">
        <f t="shared" si="1"/>
        <v>-43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</row>
    <row r="12" spans="1:189" s="69" customFormat="1" ht="15.75" thickBot="1" x14ac:dyDescent="0.3">
      <c r="A12" s="70" t="b">
        <f t="shared" si="2"/>
        <v>1</v>
      </c>
      <c r="B12" s="57">
        <v>2013</v>
      </c>
      <c r="C12" s="71" t="s">
        <v>25</v>
      </c>
      <c r="D12" s="82">
        <v>28</v>
      </c>
      <c r="E12" s="80">
        <v>23</v>
      </c>
      <c r="F12" s="82">
        <v>15</v>
      </c>
      <c r="G12" s="81">
        <v>14</v>
      </c>
      <c r="H12" s="82">
        <v>4</v>
      </c>
      <c r="I12" s="83">
        <v>19</v>
      </c>
      <c r="J12" s="82">
        <v>2</v>
      </c>
      <c r="K12" s="80">
        <v>2</v>
      </c>
      <c r="L12" s="82">
        <v>0</v>
      </c>
      <c r="M12" s="80">
        <v>0</v>
      </c>
      <c r="N12" s="85">
        <v>0</v>
      </c>
      <c r="O12" s="80">
        <v>11</v>
      </c>
      <c r="P12" s="82">
        <v>2</v>
      </c>
      <c r="Q12" s="80">
        <v>1</v>
      </c>
      <c r="R12" s="83">
        <v>3</v>
      </c>
      <c r="S12" s="80">
        <v>0</v>
      </c>
      <c r="T12" s="84">
        <v>0</v>
      </c>
      <c r="U12" s="84">
        <v>22</v>
      </c>
      <c r="V12" s="67"/>
      <c r="W12" s="68">
        <f t="shared" si="0"/>
        <v>-23</v>
      </c>
      <c r="X12" s="68">
        <f t="shared" si="1"/>
        <v>0</v>
      </c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</row>
    <row r="13" spans="1:189" s="69" customFormat="1" ht="15.75" thickBot="1" x14ac:dyDescent="0.3">
      <c r="A13" s="70" t="b">
        <f t="shared" si="2"/>
        <v>1</v>
      </c>
      <c r="B13" s="57">
        <v>2013</v>
      </c>
      <c r="C13" s="74" t="s">
        <v>26</v>
      </c>
      <c r="D13" s="97">
        <v>52</v>
      </c>
      <c r="E13" s="98">
        <v>28</v>
      </c>
      <c r="F13" s="97">
        <v>23</v>
      </c>
      <c r="G13" s="99">
        <v>12.5</v>
      </c>
      <c r="H13" s="97">
        <v>1</v>
      </c>
      <c r="I13" s="100">
        <v>24</v>
      </c>
      <c r="J13" s="97">
        <v>1</v>
      </c>
      <c r="K13" s="98">
        <v>3</v>
      </c>
      <c r="L13" s="97">
        <v>0</v>
      </c>
      <c r="M13" s="98">
        <v>0</v>
      </c>
      <c r="N13" s="101">
        <v>0</v>
      </c>
      <c r="O13" s="98">
        <v>9</v>
      </c>
      <c r="P13" s="97">
        <v>4</v>
      </c>
      <c r="Q13" s="98">
        <v>0</v>
      </c>
      <c r="R13" s="100">
        <v>4</v>
      </c>
      <c r="S13" s="98">
        <v>4</v>
      </c>
      <c r="T13" s="102">
        <v>4</v>
      </c>
      <c r="U13" s="102">
        <v>28</v>
      </c>
      <c r="V13" s="67"/>
      <c r="W13" s="68">
        <f t="shared" si="0"/>
        <v>-24</v>
      </c>
      <c r="X13" s="68">
        <f t="shared" si="1"/>
        <v>-8</v>
      </c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</row>
    <row r="14" spans="1:189" s="69" customFormat="1" ht="15.75" thickBot="1" x14ac:dyDescent="0.3">
      <c r="A14" s="70" t="b">
        <f t="shared" si="2"/>
        <v>1</v>
      </c>
      <c r="B14" s="57">
        <v>2013</v>
      </c>
      <c r="C14" s="72" t="s">
        <v>27</v>
      </c>
      <c r="D14" s="82">
        <v>325</v>
      </c>
      <c r="E14" s="80">
        <v>152</v>
      </c>
      <c r="F14" s="82">
        <v>56</v>
      </c>
      <c r="G14" s="81">
        <v>12.25</v>
      </c>
      <c r="H14" s="82">
        <v>59</v>
      </c>
      <c r="I14" s="83">
        <v>115</v>
      </c>
      <c r="J14" s="82">
        <v>18</v>
      </c>
      <c r="K14" s="80">
        <v>18</v>
      </c>
      <c r="L14" s="82">
        <v>3</v>
      </c>
      <c r="M14" s="80">
        <v>2</v>
      </c>
      <c r="N14" s="85">
        <v>5</v>
      </c>
      <c r="O14" s="80">
        <v>88</v>
      </c>
      <c r="P14" s="82">
        <v>44</v>
      </c>
      <c r="Q14" s="80">
        <v>10</v>
      </c>
      <c r="R14" s="83">
        <v>54</v>
      </c>
      <c r="S14" s="80">
        <v>129</v>
      </c>
      <c r="T14" s="84">
        <v>122</v>
      </c>
      <c r="U14" s="84">
        <v>149</v>
      </c>
      <c r="V14" s="67"/>
      <c r="W14" s="68">
        <f t="shared" si="0"/>
        <v>-23</v>
      </c>
      <c r="X14" s="68">
        <f t="shared" si="1"/>
        <v>-251</v>
      </c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</row>
    <row r="15" spans="1:189" s="69" customFormat="1" ht="15.75" thickBot="1" x14ac:dyDescent="0.3">
      <c r="A15" s="70" t="b">
        <f t="shared" si="2"/>
        <v>1</v>
      </c>
      <c r="B15" s="57">
        <v>2013</v>
      </c>
      <c r="C15" s="75" t="s">
        <v>103</v>
      </c>
      <c r="D15" s="97">
        <v>35</v>
      </c>
      <c r="E15" s="98">
        <v>31</v>
      </c>
      <c r="F15" s="97">
        <v>14</v>
      </c>
      <c r="G15" s="99">
        <v>18</v>
      </c>
      <c r="H15" s="97">
        <v>10</v>
      </c>
      <c r="I15" s="100">
        <v>24</v>
      </c>
      <c r="J15" s="97">
        <v>7</v>
      </c>
      <c r="K15" s="98">
        <v>0</v>
      </c>
      <c r="L15" s="97">
        <v>0</v>
      </c>
      <c r="M15" s="98">
        <v>0</v>
      </c>
      <c r="N15" s="101">
        <v>0</v>
      </c>
      <c r="O15" s="98">
        <v>10</v>
      </c>
      <c r="P15" s="97">
        <v>4</v>
      </c>
      <c r="Q15" s="98">
        <v>0</v>
      </c>
      <c r="R15" s="100">
        <v>4</v>
      </c>
      <c r="S15" s="98">
        <v>5</v>
      </c>
      <c r="T15" s="102">
        <v>5</v>
      </c>
      <c r="U15" s="102">
        <v>26</v>
      </c>
      <c r="V15" s="67"/>
      <c r="W15" s="68">
        <f t="shared" si="0"/>
        <v>-26</v>
      </c>
      <c r="X15" s="68">
        <f t="shared" si="1"/>
        <v>-10</v>
      </c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</row>
    <row r="16" spans="1:189" s="69" customFormat="1" ht="15.75" thickBot="1" x14ac:dyDescent="0.3">
      <c r="A16" s="70" t="b">
        <f t="shared" si="2"/>
        <v>1</v>
      </c>
      <c r="B16" s="57">
        <v>2013</v>
      </c>
      <c r="C16" s="76" t="s">
        <v>28</v>
      </c>
      <c r="D16" s="91">
        <v>63</v>
      </c>
      <c r="E16" s="92">
        <v>27</v>
      </c>
      <c r="F16" s="91">
        <v>3</v>
      </c>
      <c r="G16" s="96"/>
      <c r="H16" s="91">
        <v>12</v>
      </c>
      <c r="I16" s="93">
        <v>15</v>
      </c>
      <c r="J16" s="91">
        <v>5</v>
      </c>
      <c r="K16" s="92">
        <v>7</v>
      </c>
      <c r="L16" s="91">
        <v>0</v>
      </c>
      <c r="M16" s="92">
        <v>1</v>
      </c>
      <c r="N16" s="94">
        <v>1</v>
      </c>
      <c r="O16" s="92">
        <v>18</v>
      </c>
      <c r="P16" s="91">
        <v>8</v>
      </c>
      <c r="Q16" s="92">
        <v>1</v>
      </c>
      <c r="R16" s="93">
        <v>9</v>
      </c>
      <c r="S16" s="92">
        <v>1</v>
      </c>
      <c r="T16" s="95">
        <v>1</v>
      </c>
      <c r="U16" s="95">
        <v>26</v>
      </c>
      <c r="V16" s="67"/>
      <c r="W16" s="68">
        <f t="shared" si="0"/>
        <v>-26</v>
      </c>
      <c r="X16" s="68">
        <f t="shared" si="1"/>
        <v>-2</v>
      </c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</row>
    <row r="17" spans="1:67" s="69" customFormat="1" ht="15.75" thickBot="1" x14ac:dyDescent="0.3">
      <c r="A17" s="70" t="b">
        <f t="shared" si="2"/>
        <v>1</v>
      </c>
      <c r="B17" s="57">
        <v>2013</v>
      </c>
      <c r="C17" s="77" t="s">
        <v>29</v>
      </c>
      <c r="D17" s="86">
        <v>62</v>
      </c>
      <c r="E17" s="87">
        <v>37</v>
      </c>
      <c r="F17" s="86">
        <v>15</v>
      </c>
      <c r="G17" s="113">
        <v>17.149999999999999</v>
      </c>
      <c r="H17" s="86">
        <v>13</v>
      </c>
      <c r="I17" s="88">
        <v>28</v>
      </c>
      <c r="J17" s="86">
        <v>6</v>
      </c>
      <c r="K17" s="87">
        <v>3</v>
      </c>
      <c r="L17" s="86">
        <v>0</v>
      </c>
      <c r="M17" s="87">
        <v>0</v>
      </c>
      <c r="N17" s="89">
        <v>0</v>
      </c>
      <c r="O17" s="87">
        <v>11</v>
      </c>
      <c r="P17" s="86">
        <v>3</v>
      </c>
      <c r="Q17" s="87">
        <v>1</v>
      </c>
      <c r="R17" s="88">
        <v>4</v>
      </c>
      <c r="S17" s="87">
        <v>0</v>
      </c>
      <c r="T17" s="90">
        <v>0</v>
      </c>
      <c r="U17" s="90">
        <v>32</v>
      </c>
      <c r="V17" s="67"/>
      <c r="W17" s="68">
        <f t="shared" si="0"/>
        <v>-37</v>
      </c>
      <c r="X17" s="68">
        <f t="shared" si="1"/>
        <v>0</v>
      </c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</row>
    <row r="18" spans="1:67" s="69" customFormat="1" ht="15.75" thickBot="1" x14ac:dyDescent="0.3">
      <c r="A18" s="70" t="b">
        <f t="shared" si="2"/>
        <v>1</v>
      </c>
      <c r="B18" s="57">
        <v>2013</v>
      </c>
      <c r="C18" s="78" t="s">
        <v>104</v>
      </c>
      <c r="D18" s="79">
        <v>9</v>
      </c>
      <c r="E18" s="80">
        <v>4</v>
      </c>
      <c r="F18" s="82"/>
      <c r="G18" s="81"/>
      <c r="H18" s="82"/>
      <c r="I18" s="83"/>
      <c r="J18" s="82"/>
      <c r="K18" s="80"/>
      <c r="L18" s="82"/>
      <c r="M18" s="80"/>
      <c r="N18" s="85"/>
      <c r="O18" s="80"/>
      <c r="P18" s="82"/>
      <c r="Q18" s="80"/>
      <c r="R18" s="83"/>
      <c r="S18" s="80"/>
      <c r="T18" s="84"/>
      <c r="U18" s="84"/>
      <c r="V18" s="67"/>
      <c r="W18" s="68"/>
      <c r="X18" s="68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</row>
    <row r="19" spans="1:67" s="69" customFormat="1" ht="15.75" thickBot="1" x14ac:dyDescent="0.3">
      <c r="A19" s="70" t="b">
        <f t="shared" si="2"/>
        <v>1</v>
      </c>
      <c r="B19" s="57">
        <v>2013</v>
      </c>
      <c r="C19" s="73" t="s">
        <v>30</v>
      </c>
      <c r="D19" s="103">
        <v>17</v>
      </c>
      <c r="E19" s="104">
        <v>16</v>
      </c>
      <c r="F19" s="103">
        <v>13</v>
      </c>
      <c r="G19" s="105">
        <v>20.5</v>
      </c>
      <c r="H19" s="103">
        <v>0</v>
      </c>
      <c r="I19" s="106">
        <v>13</v>
      </c>
      <c r="J19" s="103">
        <v>2</v>
      </c>
      <c r="K19" s="104">
        <v>1</v>
      </c>
      <c r="L19" s="103">
        <v>0</v>
      </c>
      <c r="M19" s="104">
        <v>0</v>
      </c>
      <c r="N19" s="107">
        <v>0</v>
      </c>
      <c r="O19" s="104">
        <v>2</v>
      </c>
      <c r="P19" s="103">
        <v>7</v>
      </c>
      <c r="Q19" s="104">
        <v>0</v>
      </c>
      <c r="R19" s="106">
        <v>7</v>
      </c>
      <c r="S19" s="104">
        <v>13</v>
      </c>
      <c r="T19" s="108">
        <v>13</v>
      </c>
      <c r="U19" s="108">
        <v>15</v>
      </c>
      <c r="V19" s="67"/>
      <c r="W19" s="68">
        <f t="shared" ref="W19:W52" si="3">S19-E19</f>
        <v>-3</v>
      </c>
      <c r="X19" s="68">
        <f t="shared" ref="X19:X52" si="4">-T19-S19</f>
        <v>-26</v>
      </c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</row>
    <row r="20" spans="1:67" s="69" customFormat="1" ht="15.75" thickBot="1" x14ac:dyDescent="0.3">
      <c r="A20" s="70" t="b">
        <f t="shared" si="2"/>
        <v>1</v>
      </c>
      <c r="B20" s="57">
        <v>2013</v>
      </c>
      <c r="C20" s="71" t="s">
        <v>31</v>
      </c>
      <c r="D20" s="82">
        <v>37</v>
      </c>
      <c r="E20" s="80">
        <v>25</v>
      </c>
      <c r="F20" s="82">
        <v>6</v>
      </c>
      <c r="G20" s="81"/>
      <c r="H20" s="82">
        <v>5</v>
      </c>
      <c r="I20" s="83">
        <v>11</v>
      </c>
      <c r="J20" s="82">
        <v>1</v>
      </c>
      <c r="K20" s="80">
        <v>13</v>
      </c>
      <c r="L20" s="82">
        <v>0</v>
      </c>
      <c r="M20" s="80">
        <v>0</v>
      </c>
      <c r="N20" s="85">
        <v>0</v>
      </c>
      <c r="O20" s="80">
        <v>17</v>
      </c>
      <c r="P20" s="82">
        <v>5</v>
      </c>
      <c r="Q20" s="80">
        <v>4</v>
      </c>
      <c r="R20" s="83">
        <v>9</v>
      </c>
      <c r="S20" s="80">
        <v>6</v>
      </c>
      <c r="T20" s="84">
        <v>6</v>
      </c>
      <c r="U20" s="84">
        <v>24</v>
      </c>
      <c r="V20" s="67"/>
      <c r="W20" s="68">
        <f t="shared" si="3"/>
        <v>-19</v>
      </c>
      <c r="X20" s="68">
        <f t="shared" si="4"/>
        <v>-12</v>
      </c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</row>
    <row r="21" spans="1:67" s="69" customFormat="1" ht="15.75" thickBot="1" x14ac:dyDescent="0.3">
      <c r="A21" s="70" t="b">
        <f t="shared" si="2"/>
        <v>1</v>
      </c>
      <c r="B21" s="57">
        <v>2013</v>
      </c>
      <c r="C21" s="74" t="s">
        <v>32</v>
      </c>
      <c r="D21" s="97">
        <v>18</v>
      </c>
      <c r="E21" s="98">
        <v>15</v>
      </c>
      <c r="F21" s="97">
        <v>14</v>
      </c>
      <c r="G21" s="99">
        <v>14.35</v>
      </c>
      <c r="H21" s="97">
        <v>0</v>
      </c>
      <c r="I21" s="100">
        <v>14</v>
      </c>
      <c r="J21" s="97">
        <v>0</v>
      </c>
      <c r="K21" s="98">
        <v>1</v>
      </c>
      <c r="L21" s="97">
        <v>0</v>
      </c>
      <c r="M21" s="98">
        <v>0</v>
      </c>
      <c r="N21" s="101">
        <v>0</v>
      </c>
      <c r="O21" s="98">
        <v>2</v>
      </c>
      <c r="P21" s="97">
        <v>3</v>
      </c>
      <c r="Q21" s="98">
        <v>0</v>
      </c>
      <c r="R21" s="100">
        <v>3</v>
      </c>
      <c r="S21" s="98">
        <v>1</v>
      </c>
      <c r="T21" s="102">
        <v>1</v>
      </c>
      <c r="U21" s="102">
        <v>15</v>
      </c>
      <c r="V21" s="67"/>
      <c r="W21" s="68">
        <f t="shared" si="3"/>
        <v>-14</v>
      </c>
      <c r="X21" s="68">
        <f t="shared" si="4"/>
        <v>-2</v>
      </c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</row>
    <row r="22" spans="1:67" s="69" customFormat="1" ht="15.75" thickBot="1" x14ac:dyDescent="0.3">
      <c r="A22" s="70" t="b">
        <f t="shared" si="2"/>
        <v>1</v>
      </c>
      <c r="B22" s="57">
        <v>2013</v>
      </c>
      <c r="C22" s="72" t="s">
        <v>33</v>
      </c>
      <c r="D22" s="82">
        <v>17</v>
      </c>
      <c r="E22" s="80">
        <v>7</v>
      </c>
      <c r="F22" s="82">
        <v>5</v>
      </c>
      <c r="G22" s="81"/>
      <c r="H22" s="82">
        <v>2</v>
      </c>
      <c r="I22" s="83">
        <v>7</v>
      </c>
      <c r="J22" s="82">
        <v>0</v>
      </c>
      <c r="K22" s="80">
        <v>0</v>
      </c>
      <c r="L22" s="82">
        <v>0</v>
      </c>
      <c r="M22" s="80">
        <v>0</v>
      </c>
      <c r="N22" s="85">
        <v>0</v>
      </c>
      <c r="O22" s="80">
        <v>2</v>
      </c>
      <c r="P22" s="82">
        <v>0</v>
      </c>
      <c r="Q22" s="80">
        <v>1</v>
      </c>
      <c r="R22" s="83">
        <v>1</v>
      </c>
      <c r="S22" s="80">
        <v>1</v>
      </c>
      <c r="T22" s="84">
        <v>1</v>
      </c>
      <c r="U22" s="84">
        <v>5</v>
      </c>
      <c r="V22" s="67"/>
      <c r="W22" s="68">
        <f t="shared" si="3"/>
        <v>-6</v>
      </c>
      <c r="X22" s="68">
        <f t="shared" si="4"/>
        <v>-2</v>
      </c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</row>
    <row r="23" spans="1:67" s="69" customFormat="1" ht="15.75" thickBot="1" x14ac:dyDescent="0.3">
      <c r="A23" s="70" t="b">
        <f t="shared" si="2"/>
        <v>1</v>
      </c>
      <c r="B23" s="57">
        <v>2013</v>
      </c>
      <c r="C23" s="75" t="s">
        <v>34</v>
      </c>
      <c r="D23" s="97">
        <v>12</v>
      </c>
      <c r="E23" s="98">
        <v>10</v>
      </c>
      <c r="F23" s="97">
        <v>7</v>
      </c>
      <c r="G23" s="99">
        <v>17</v>
      </c>
      <c r="H23" s="97">
        <v>2</v>
      </c>
      <c r="I23" s="100">
        <v>9</v>
      </c>
      <c r="J23" s="97">
        <v>0</v>
      </c>
      <c r="K23" s="98">
        <v>1</v>
      </c>
      <c r="L23" s="97">
        <v>0</v>
      </c>
      <c r="M23" s="98">
        <v>0</v>
      </c>
      <c r="N23" s="101">
        <v>0</v>
      </c>
      <c r="O23" s="98">
        <v>0</v>
      </c>
      <c r="P23" s="97">
        <v>1</v>
      </c>
      <c r="Q23" s="98">
        <v>2</v>
      </c>
      <c r="R23" s="100">
        <v>3</v>
      </c>
      <c r="S23" s="98">
        <v>3</v>
      </c>
      <c r="T23" s="102">
        <v>3</v>
      </c>
      <c r="U23" s="102">
        <v>10</v>
      </c>
      <c r="V23" s="67"/>
      <c r="W23" s="68">
        <f t="shared" si="3"/>
        <v>-7</v>
      </c>
      <c r="X23" s="68">
        <f t="shared" si="4"/>
        <v>-6</v>
      </c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</row>
    <row r="24" spans="1:67" s="69" customFormat="1" ht="15.75" thickBot="1" x14ac:dyDescent="0.3">
      <c r="A24" s="70" t="b">
        <f t="shared" si="2"/>
        <v>1</v>
      </c>
      <c r="B24" s="57">
        <v>2013</v>
      </c>
      <c r="C24" s="76" t="s">
        <v>35</v>
      </c>
      <c r="D24" s="91">
        <v>14</v>
      </c>
      <c r="E24" s="92">
        <v>4</v>
      </c>
      <c r="F24" s="91"/>
      <c r="G24" s="96"/>
      <c r="H24" s="91"/>
      <c r="I24" s="93"/>
      <c r="J24" s="91"/>
      <c r="K24" s="92"/>
      <c r="L24" s="91"/>
      <c r="M24" s="92"/>
      <c r="N24" s="94"/>
      <c r="O24" s="92"/>
      <c r="P24" s="91"/>
      <c r="Q24" s="92"/>
      <c r="R24" s="93"/>
      <c r="S24" s="92"/>
      <c r="T24" s="95"/>
      <c r="U24" s="95"/>
      <c r="V24" s="67"/>
      <c r="W24" s="68">
        <f t="shared" si="3"/>
        <v>-4</v>
      </c>
      <c r="X24" s="68">
        <f t="shared" si="4"/>
        <v>0</v>
      </c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</row>
    <row r="25" spans="1:67" s="69" customFormat="1" ht="15.75" thickBot="1" x14ac:dyDescent="0.3">
      <c r="A25" s="70" t="b">
        <f t="shared" si="2"/>
        <v>1</v>
      </c>
      <c r="B25" s="57">
        <v>2013</v>
      </c>
      <c r="C25" s="77" t="s">
        <v>36</v>
      </c>
      <c r="D25" s="86">
        <v>34</v>
      </c>
      <c r="E25" s="87">
        <v>24</v>
      </c>
      <c r="F25" s="86">
        <v>9</v>
      </c>
      <c r="G25" s="113">
        <v>15.25</v>
      </c>
      <c r="H25" s="86">
        <v>8</v>
      </c>
      <c r="I25" s="88">
        <v>17</v>
      </c>
      <c r="J25" s="86">
        <v>5</v>
      </c>
      <c r="K25" s="87">
        <v>2</v>
      </c>
      <c r="L25" s="86">
        <v>0</v>
      </c>
      <c r="M25" s="87">
        <v>0</v>
      </c>
      <c r="N25" s="89">
        <v>0</v>
      </c>
      <c r="O25" s="87">
        <v>11</v>
      </c>
      <c r="P25" s="86">
        <v>4</v>
      </c>
      <c r="Q25" s="87">
        <v>0</v>
      </c>
      <c r="R25" s="88">
        <v>4</v>
      </c>
      <c r="S25" s="87">
        <v>1</v>
      </c>
      <c r="T25" s="90">
        <v>1</v>
      </c>
      <c r="U25" s="90">
        <v>19</v>
      </c>
      <c r="V25" s="67"/>
      <c r="W25" s="68">
        <f t="shared" si="3"/>
        <v>-23</v>
      </c>
      <c r="X25" s="68">
        <f t="shared" si="4"/>
        <v>-2</v>
      </c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</row>
    <row r="26" spans="1:67" s="69" customFormat="1" ht="15.75" thickBot="1" x14ac:dyDescent="0.3">
      <c r="A26" s="70" t="b">
        <f t="shared" si="2"/>
        <v>1</v>
      </c>
      <c r="B26" s="57">
        <v>2013</v>
      </c>
      <c r="C26" s="78" t="s">
        <v>37</v>
      </c>
      <c r="D26" s="79"/>
      <c r="E26" s="80"/>
      <c r="F26" s="82"/>
      <c r="G26" s="81"/>
      <c r="H26" s="82"/>
      <c r="I26" s="83"/>
      <c r="J26" s="82"/>
      <c r="K26" s="80"/>
      <c r="L26" s="82"/>
      <c r="M26" s="80"/>
      <c r="N26" s="85"/>
      <c r="O26" s="80"/>
      <c r="P26" s="82"/>
      <c r="Q26" s="80"/>
      <c r="R26" s="83"/>
      <c r="S26" s="80"/>
      <c r="T26" s="84"/>
      <c r="U26" s="84"/>
      <c r="V26" s="67"/>
      <c r="W26" s="68">
        <f t="shared" si="3"/>
        <v>0</v>
      </c>
      <c r="X26" s="68">
        <f t="shared" si="4"/>
        <v>0</v>
      </c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</row>
    <row r="27" spans="1:67" s="69" customFormat="1" ht="15.75" thickBot="1" x14ac:dyDescent="0.3">
      <c r="A27" s="70" t="b">
        <f t="shared" si="2"/>
        <v>1</v>
      </c>
      <c r="B27" s="57">
        <v>2013</v>
      </c>
      <c r="C27" s="73" t="s">
        <v>38</v>
      </c>
      <c r="D27" s="103">
        <v>45</v>
      </c>
      <c r="E27" s="104">
        <v>27</v>
      </c>
      <c r="F27" s="103">
        <v>14</v>
      </c>
      <c r="G27" s="105">
        <v>12.465</v>
      </c>
      <c r="H27" s="103">
        <v>6</v>
      </c>
      <c r="I27" s="106">
        <v>20</v>
      </c>
      <c r="J27" s="103">
        <v>5</v>
      </c>
      <c r="K27" s="104">
        <v>2</v>
      </c>
      <c r="L27" s="103">
        <v>0</v>
      </c>
      <c r="M27" s="104">
        <v>0</v>
      </c>
      <c r="N27" s="107">
        <v>0</v>
      </c>
      <c r="O27" s="104">
        <v>10</v>
      </c>
      <c r="P27" s="103">
        <v>3</v>
      </c>
      <c r="Q27" s="104">
        <v>3</v>
      </c>
      <c r="R27" s="106">
        <v>6</v>
      </c>
      <c r="S27" s="104">
        <v>14</v>
      </c>
      <c r="T27" s="108">
        <v>14</v>
      </c>
      <c r="U27" s="108">
        <v>24</v>
      </c>
      <c r="V27" s="67"/>
      <c r="W27" s="68">
        <f t="shared" si="3"/>
        <v>-13</v>
      </c>
      <c r="X27" s="68">
        <f t="shared" si="4"/>
        <v>-28</v>
      </c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</row>
    <row r="28" spans="1:67" s="69" customFormat="1" ht="15.75" thickBot="1" x14ac:dyDescent="0.3">
      <c r="A28" s="70" t="b">
        <f t="shared" si="2"/>
        <v>1</v>
      </c>
      <c r="B28" s="57">
        <v>2013</v>
      </c>
      <c r="C28" s="71" t="s">
        <v>39</v>
      </c>
      <c r="D28" s="82">
        <v>56</v>
      </c>
      <c r="E28" s="80">
        <v>26</v>
      </c>
      <c r="F28" s="82">
        <v>11</v>
      </c>
      <c r="G28" s="81">
        <v>15.5</v>
      </c>
      <c r="H28" s="82">
        <v>7</v>
      </c>
      <c r="I28" s="83">
        <v>18</v>
      </c>
      <c r="J28" s="82">
        <v>4</v>
      </c>
      <c r="K28" s="80">
        <v>4</v>
      </c>
      <c r="L28" s="82">
        <v>0</v>
      </c>
      <c r="M28" s="80">
        <v>0</v>
      </c>
      <c r="N28" s="85">
        <v>0</v>
      </c>
      <c r="O28" s="80">
        <v>9</v>
      </c>
      <c r="P28" s="82">
        <v>4</v>
      </c>
      <c r="Q28" s="80">
        <v>1</v>
      </c>
      <c r="R28" s="83">
        <v>5</v>
      </c>
      <c r="S28" s="80">
        <v>0</v>
      </c>
      <c r="T28" s="84">
        <v>0</v>
      </c>
      <c r="U28" s="84">
        <v>20</v>
      </c>
      <c r="V28" s="67"/>
      <c r="W28" s="68">
        <f t="shared" si="3"/>
        <v>-26</v>
      </c>
      <c r="X28" s="68">
        <f t="shared" si="4"/>
        <v>0</v>
      </c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</row>
    <row r="29" spans="1:67" s="69" customFormat="1" ht="15.75" thickBot="1" x14ac:dyDescent="0.3">
      <c r="A29" s="70" t="b">
        <f t="shared" si="2"/>
        <v>1</v>
      </c>
      <c r="B29" s="57">
        <v>2013</v>
      </c>
      <c r="C29" s="73" t="s">
        <v>40</v>
      </c>
      <c r="D29" s="103">
        <v>422</v>
      </c>
      <c r="E29" s="104">
        <v>232</v>
      </c>
      <c r="F29" s="103">
        <v>98</v>
      </c>
      <c r="G29" s="105">
        <v>11.5</v>
      </c>
      <c r="H29" s="103">
        <v>78</v>
      </c>
      <c r="I29" s="106">
        <v>176</v>
      </c>
      <c r="J29" s="103">
        <v>22</v>
      </c>
      <c r="K29" s="104">
        <v>32</v>
      </c>
      <c r="L29" s="103">
        <v>0</v>
      </c>
      <c r="M29" s="104">
        <v>2</v>
      </c>
      <c r="N29" s="107">
        <v>2</v>
      </c>
      <c r="O29" s="104">
        <v>158</v>
      </c>
      <c r="P29" s="103">
        <v>17</v>
      </c>
      <c r="Q29" s="104">
        <v>27</v>
      </c>
      <c r="R29" s="106">
        <v>44</v>
      </c>
      <c r="S29" s="104">
        <v>191</v>
      </c>
      <c r="T29" s="108">
        <v>189</v>
      </c>
      <c r="U29" s="108">
        <v>223</v>
      </c>
      <c r="V29" s="67"/>
      <c r="W29" s="68">
        <f t="shared" si="3"/>
        <v>-41</v>
      </c>
      <c r="X29" s="68">
        <f t="shared" si="4"/>
        <v>-380</v>
      </c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</row>
    <row r="30" spans="1:67" s="69" customFormat="1" ht="15.75" thickBot="1" x14ac:dyDescent="0.3">
      <c r="A30" s="70" t="b">
        <f t="shared" si="2"/>
        <v>1</v>
      </c>
      <c r="B30" s="57">
        <v>2013</v>
      </c>
      <c r="C30" s="71" t="s">
        <v>41</v>
      </c>
      <c r="D30" s="82">
        <v>54</v>
      </c>
      <c r="E30" s="80">
        <v>31</v>
      </c>
      <c r="F30" s="82">
        <v>10</v>
      </c>
      <c r="G30" s="81">
        <v>13.75</v>
      </c>
      <c r="H30" s="82">
        <v>13</v>
      </c>
      <c r="I30" s="83">
        <v>23</v>
      </c>
      <c r="J30" s="82">
        <v>5</v>
      </c>
      <c r="K30" s="80">
        <v>3</v>
      </c>
      <c r="L30" s="82">
        <v>1</v>
      </c>
      <c r="M30" s="80">
        <v>0</v>
      </c>
      <c r="N30" s="85">
        <v>1</v>
      </c>
      <c r="O30" s="80">
        <v>8</v>
      </c>
      <c r="P30" s="82">
        <v>1</v>
      </c>
      <c r="Q30" s="80">
        <v>1</v>
      </c>
      <c r="R30" s="83">
        <v>2</v>
      </c>
      <c r="S30" s="80">
        <v>25</v>
      </c>
      <c r="T30" s="84">
        <v>23</v>
      </c>
      <c r="U30" s="84">
        <v>25</v>
      </c>
      <c r="V30" s="67"/>
      <c r="W30" s="68">
        <f t="shared" si="3"/>
        <v>-6</v>
      </c>
      <c r="X30" s="68">
        <f t="shared" si="4"/>
        <v>-48</v>
      </c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</row>
    <row r="31" spans="1:67" s="69" customFormat="1" ht="15.75" thickBot="1" x14ac:dyDescent="0.3">
      <c r="A31" s="70" t="b">
        <f t="shared" si="2"/>
        <v>1</v>
      </c>
      <c r="B31" s="57">
        <v>2013</v>
      </c>
      <c r="C31" s="74" t="s">
        <v>42</v>
      </c>
      <c r="D31" s="97">
        <v>55</v>
      </c>
      <c r="E31" s="98">
        <v>32</v>
      </c>
      <c r="F31" s="97">
        <v>15</v>
      </c>
      <c r="G31" s="99">
        <v>13</v>
      </c>
      <c r="H31" s="97">
        <v>9</v>
      </c>
      <c r="I31" s="100">
        <v>24</v>
      </c>
      <c r="J31" s="97">
        <v>2</v>
      </c>
      <c r="K31" s="98">
        <v>6</v>
      </c>
      <c r="L31" s="97">
        <v>2</v>
      </c>
      <c r="M31" s="98">
        <v>0</v>
      </c>
      <c r="N31" s="101">
        <v>2</v>
      </c>
      <c r="O31" s="98">
        <v>15</v>
      </c>
      <c r="P31" s="97">
        <v>6</v>
      </c>
      <c r="Q31" s="98">
        <v>3</v>
      </c>
      <c r="R31" s="100">
        <v>9</v>
      </c>
      <c r="S31" s="98">
        <v>6</v>
      </c>
      <c r="T31" s="102">
        <v>6</v>
      </c>
      <c r="U31" s="102">
        <v>30</v>
      </c>
      <c r="V31" s="67"/>
      <c r="W31" s="68">
        <f t="shared" si="3"/>
        <v>-26</v>
      </c>
      <c r="X31" s="68">
        <f t="shared" si="4"/>
        <v>-12</v>
      </c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</row>
    <row r="32" spans="1:67" s="69" customFormat="1" ht="15.75" thickBot="1" x14ac:dyDescent="0.3">
      <c r="A32" s="70" t="b">
        <f t="shared" si="2"/>
        <v>1</v>
      </c>
      <c r="B32" s="57">
        <v>2013</v>
      </c>
      <c r="C32" s="72" t="s">
        <v>43</v>
      </c>
      <c r="D32" s="82">
        <v>47</v>
      </c>
      <c r="E32" s="80">
        <v>24</v>
      </c>
      <c r="F32" s="82">
        <v>18</v>
      </c>
      <c r="G32" s="81">
        <v>21</v>
      </c>
      <c r="H32" s="82">
        <v>4</v>
      </c>
      <c r="I32" s="83">
        <v>22</v>
      </c>
      <c r="J32" s="82">
        <v>1</v>
      </c>
      <c r="K32" s="80">
        <v>0</v>
      </c>
      <c r="L32" s="82">
        <v>0</v>
      </c>
      <c r="M32" s="80">
        <v>0</v>
      </c>
      <c r="N32" s="85">
        <v>0</v>
      </c>
      <c r="O32" s="80">
        <v>13</v>
      </c>
      <c r="P32" s="82">
        <v>0</v>
      </c>
      <c r="Q32" s="80">
        <v>1</v>
      </c>
      <c r="R32" s="83">
        <v>1</v>
      </c>
      <c r="S32" s="80">
        <v>22</v>
      </c>
      <c r="T32" s="84">
        <v>22</v>
      </c>
      <c r="U32" s="84">
        <v>21</v>
      </c>
      <c r="V32" s="67"/>
      <c r="W32" s="68">
        <f t="shared" si="3"/>
        <v>-2</v>
      </c>
      <c r="X32" s="68">
        <f t="shared" si="4"/>
        <v>-44</v>
      </c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</row>
    <row r="33" spans="1:67" s="69" customFormat="1" ht="15.75" thickBot="1" x14ac:dyDescent="0.3">
      <c r="A33" s="70" t="b">
        <f t="shared" si="2"/>
        <v>1</v>
      </c>
      <c r="B33" s="57">
        <v>2013</v>
      </c>
      <c r="C33" s="75" t="s">
        <v>44</v>
      </c>
      <c r="D33" s="97">
        <v>167</v>
      </c>
      <c r="E33" s="98">
        <v>109</v>
      </c>
      <c r="F33" s="97">
        <v>94</v>
      </c>
      <c r="G33" s="99">
        <v>25</v>
      </c>
      <c r="H33" s="97">
        <v>8</v>
      </c>
      <c r="I33" s="100">
        <v>102</v>
      </c>
      <c r="J33" s="97">
        <v>2</v>
      </c>
      <c r="K33" s="98">
        <v>5</v>
      </c>
      <c r="L33" s="97">
        <v>0</v>
      </c>
      <c r="M33" s="98">
        <v>0</v>
      </c>
      <c r="N33" s="101">
        <v>0</v>
      </c>
      <c r="O33" s="98">
        <v>45</v>
      </c>
      <c r="P33" s="97">
        <v>16</v>
      </c>
      <c r="Q33" s="98">
        <v>6</v>
      </c>
      <c r="R33" s="100">
        <v>22</v>
      </c>
      <c r="S33" s="98">
        <v>109</v>
      </c>
      <c r="T33" s="102">
        <v>107</v>
      </c>
      <c r="U33" s="102">
        <v>107</v>
      </c>
      <c r="V33" s="67"/>
      <c r="W33" s="68">
        <f t="shared" si="3"/>
        <v>0</v>
      </c>
      <c r="X33" s="68">
        <f t="shared" si="4"/>
        <v>-216</v>
      </c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</row>
    <row r="34" spans="1:67" s="69" customFormat="1" ht="26.25" thickBot="1" x14ac:dyDescent="0.3">
      <c r="A34" s="70" t="b">
        <f t="shared" si="2"/>
        <v>1</v>
      </c>
      <c r="B34" s="57">
        <v>2013</v>
      </c>
      <c r="C34" s="76" t="s">
        <v>99</v>
      </c>
      <c r="D34" s="91">
        <v>7</v>
      </c>
      <c r="E34" s="92">
        <v>5</v>
      </c>
      <c r="F34" s="91">
        <v>0</v>
      </c>
      <c r="G34" s="96"/>
      <c r="H34" s="91">
        <v>3</v>
      </c>
      <c r="I34" s="93">
        <v>3</v>
      </c>
      <c r="J34" s="91">
        <v>0</v>
      </c>
      <c r="K34" s="92">
        <v>2</v>
      </c>
      <c r="L34" s="91">
        <v>0</v>
      </c>
      <c r="M34" s="92">
        <v>0</v>
      </c>
      <c r="N34" s="94">
        <v>0</v>
      </c>
      <c r="O34" s="92">
        <v>2</v>
      </c>
      <c r="P34" s="91">
        <v>4</v>
      </c>
      <c r="Q34" s="92">
        <v>0</v>
      </c>
      <c r="R34" s="93">
        <v>4</v>
      </c>
      <c r="S34" s="92">
        <v>0</v>
      </c>
      <c r="T34" s="95">
        <v>0</v>
      </c>
      <c r="U34" s="95">
        <v>4</v>
      </c>
      <c r="V34" s="67"/>
      <c r="W34" s="68">
        <f t="shared" si="3"/>
        <v>-5</v>
      </c>
      <c r="X34" s="68">
        <f t="shared" si="4"/>
        <v>0</v>
      </c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</row>
    <row r="35" spans="1:67" s="69" customFormat="1" ht="15.75" thickBot="1" x14ac:dyDescent="0.3">
      <c r="A35" s="70" t="b">
        <f t="shared" si="2"/>
        <v>1</v>
      </c>
      <c r="B35" s="57">
        <v>2013</v>
      </c>
      <c r="C35" s="77" t="s">
        <v>45</v>
      </c>
      <c r="D35" s="86">
        <v>57</v>
      </c>
      <c r="E35" s="87">
        <v>22</v>
      </c>
      <c r="F35" s="86">
        <v>12</v>
      </c>
      <c r="G35" s="113">
        <v>13</v>
      </c>
      <c r="H35" s="86">
        <v>4</v>
      </c>
      <c r="I35" s="88">
        <v>16</v>
      </c>
      <c r="J35" s="86">
        <v>1</v>
      </c>
      <c r="K35" s="87">
        <v>5</v>
      </c>
      <c r="L35" s="86">
        <v>0</v>
      </c>
      <c r="M35" s="87">
        <v>0</v>
      </c>
      <c r="N35" s="89">
        <v>0</v>
      </c>
      <c r="O35" s="87">
        <v>8</v>
      </c>
      <c r="P35" s="86">
        <v>3</v>
      </c>
      <c r="Q35" s="87">
        <v>1</v>
      </c>
      <c r="R35" s="88">
        <v>4</v>
      </c>
      <c r="S35" s="87">
        <v>17</v>
      </c>
      <c r="T35" s="90">
        <v>16</v>
      </c>
      <c r="U35" s="90">
        <v>22</v>
      </c>
      <c r="V35" s="67"/>
      <c r="W35" s="68">
        <f t="shared" si="3"/>
        <v>-5</v>
      </c>
      <c r="X35" s="68">
        <f t="shared" si="4"/>
        <v>-33</v>
      </c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</row>
    <row r="36" spans="1:67" s="69" customFormat="1" ht="15.75" thickBot="1" x14ac:dyDescent="0.3">
      <c r="A36" s="70" t="b">
        <f t="shared" si="2"/>
        <v>1</v>
      </c>
      <c r="B36" s="57">
        <v>2013</v>
      </c>
      <c r="C36" s="78" t="s">
        <v>46</v>
      </c>
      <c r="D36" s="79">
        <v>65</v>
      </c>
      <c r="E36" s="80">
        <v>47</v>
      </c>
      <c r="F36" s="82">
        <v>25</v>
      </c>
      <c r="G36" s="81">
        <v>16</v>
      </c>
      <c r="H36" s="82">
        <v>12</v>
      </c>
      <c r="I36" s="83">
        <v>37</v>
      </c>
      <c r="J36" s="82">
        <v>6</v>
      </c>
      <c r="K36" s="80">
        <v>4</v>
      </c>
      <c r="L36" s="82">
        <v>2</v>
      </c>
      <c r="M36" s="80">
        <v>1</v>
      </c>
      <c r="N36" s="85">
        <v>3</v>
      </c>
      <c r="O36" s="80">
        <v>32</v>
      </c>
      <c r="P36" s="82">
        <v>2</v>
      </c>
      <c r="Q36" s="80">
        <v>1</v>
      </c>
      <c r="R36" s="83">
        <v>3</v>
      </c>
      <c r="S36" s="80">
        <v>23</v>
      </c>
      <c r="T36" s="84">
        <v>21</v>
      </c>
      <c r="U36" s="84">
        <v>42</v>
      </c>
      <c r="V36" s="67"/>
      <c r="W36" s="68">
        <f t="shared" si="3"/>
        <v>-24</v>
      </c>
      <c r="X36" s="68">
        <f t="shared" si="4"/>
        <v>-44</v>
      </c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</row>
    <row r="37" spans="1:67" s="57" customFormat="1" ht="15.75" thickBot="1" x14ac:dyDescent="0.3">
      <c r="A37" s="70" t="b">
        <f t="shared" si="2"/>
        <v>1</v>
      </c>
      <c r="B37" s="57">
        <v>2012</v>
      </c>
      <c r="C37" s="58" t="s">
        <v>47</v>
      </c>
      <c r="D37" s="59">
        <v>2257</v>
      </c>
      <c r="E37" s="60">
        <v>1515</v>
      </c>
      <c r="F37" s="61">
        <v>720</v>
      </c>
      <c r="G37" s="62">
        <v>14</v>
      </c>
      <c r="H37" s="63">
        <v>477</v>
      </c>
      <c r="I37" s="61">
        <v>1197</v>
      </c>
      <c r="J37" s="64">
        <v>150</v>
      </c>
      <c r="K37" s="60">
        <v>160</v>
      </c>
      <c r="L37" s="64">
        <v>4</v>
      </c>
      <c r="M37" s="60">
        <v>16</v>
      </c>
      <c r="N37" s="65">
        <v>20</v>
      </c>
      <c r="O37" s="60">
        <v>729</v>
      </c>
      <c r="P37" s="63">
        <v>229</v>
      </c>
      <c r="Q37" s="60">
        <v>57</v>
      </c>
      <c r="R37" s="61">
        <v>286</v>
      </c>
      <c r="S37" s="60">
        <v>906</v>
      </c>
      <c r="T37" s="66">
        <v>872</v>
      </c>
      <c r="U37" s="66">
        <v>1417</v>
      </c>
      <c r="V37" s="67"/>
      <c r="W37" s="68">
        <f t="shared" si="3"/>
        <v>-609</v>
      </c>
      <c r="X37" s="68">
        <f t="shared" si="4"/>
        <v>-1778</v>
      </c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</row>
    <row r="38" spans="1:67" s="69" customFormat="1" ht="15.75" thickBot="1" x14ac:dyDescent="0.3">
      <c r="A38" s="70" t="b">
        <f t="shared" si="2"/>
        <v>1</v>
      </c>
      <c r="B38" s="57">
        <v>2012</v>
      </c>
      <c r="C38" s="73" t="s">
        <v>19</v>
      </c>
      <c r="D38" s="103">
        <v>88</v>
      </c>
      <c r="E38" s="104">
        <v>67</v>
      </c>
      <c r="F38" s="103">
        <v>28</v>
      </c>
      <c r="G38" s="105">
        <v>17.13</v>
      </c>
      <c r="H38" s="103">
        <v>23</v>
      </c>
      <c r="I38" s="106">
        <v>51</v>
      </c>
      <c r="J38" s="103">
        <v>10</v>
      </c>
      <c r="K38" s="104">
        <v>6</v>
      </c>
      <c r="L38" s="103"/>
      <c r="M38" s="104"/>
      <c r="N38" s="107">
        <v>0</v>
      </c>
      <c r="O38" s="104">
        <v>26</v>
      </c>
      <c r="P38" s="103">
        <v>3</v>
      </c>
      <c r="Q38" s="104">
        <v>1</v>
      </c>
      <c r="R38" s="106">
        <v>4</v>
      </c>
      <c r="S38" s="104">
        <v>8</v>
      </c>
      <c r="T38" s="108">
        <v>8</v>
      </c>
      <c r="U38" s="108">
        <v>61</v>
      </c>
      <c r="V38" s="67"/>
      <c r="W38" s="68">
        <f t="shared" si="3"/>
        <v>-59</v>
      </c>
      <c r="X38" s="68">
        <f t="shared" si="4"/>
        <v>-16</v>
      </c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</row>
    <row r="39" spans="1:67" ht="15.75" thickBot="1" x14ac:dyDescent="0.3">
      <c r="A39" s="70" t="b">
        <f t="shared" si="2"/>
        <v>1</v>
      </c>
      <c r="B39" s="57">
        <v>2012</v>
      </c>
      <c r="C39" s="71" t="s">
        <v>97</v>
      </c>
      <c r="D39" s="82">
        <v>1</v>
      </c>
      <c r="E39" s="80">
        <v>1</v>
      </c>
      <c r="F39" s="82"/>
      <c r="G39" s="81"/>
      <c r="H39" s="82"/>
      <c r="I39" s="83"/>
      <c r="J39" s="82"/>
      <c r="K39" s="80"/>
      <c r="L39" s="82"/>
      <c r="M39" s="80"/>
      <c r="N39" s="85"/>
      <c r="O39" s="80"/>
      <c r="P39" s="82"/>
      <c r="Q39" s="80"/>
      <c r="R39" s="83"/>
      <c r="S39" s="80"/>
      <c r="T39" s="84"/>
      <c r="U39" s="84"/>
      <c r="W39" s="68">
        <f t="shared" si="3"/>
        <v>-1</v>
      </c>
      <c r="X39" s="68">
        <f t="shared" si="4"/>
        <v>0</v>
      </c>
    </row>
    <row r="40" spans="1:67" ht="15.75" thickBot="1" x14ac:dyDescent="0.3">
      <c r="A40" s="70" t="b">
        <f t="shared" si="2"/>
        <v>1</v>
      </c>
      <c r="B40" s="57">
        <v>2012</v>
      </c>
      <c r="C40" s="74" t="s">
        <v>100</v>
      </c>
      <c r="D40" s="97">
        <v>2</v>
      </c>
      <c r="E40" s="98">
        <v>2</v>
      </c>
      <c r="F40" s="97"/>
      <c r="G40" s="99"/>
      <c r="H40" s="97"/>
      <c r="I40" s="100"/>
      <c r="J40" s="97"/>
      <c r="K40" s="98"/>
      <c r="L40" s="97"/>
      <c r="M40" s="98"/>
      <c r="N40" s="101"/>
      <c r="O40" s="98"/>
      <c r="P40" s="97"/>
      <c r="Q40" s="98"/>
      <c r="R40" s="100"/>
      <c r="S40" s="98"/>
      <c r="T40" s="102"/>
      <c r="U40" s="102"/>
      <c r="W40" s="68">
        <f t="shared" si="3"/>
        <v>-2</v>
      </c>
      <c r="X40" s="68">
        <f t="shared" si="4"/>
        <v>0</v>
      </c>
    </row>
    <row r="41" spans="1:67" ht="15.75" thickBot="1" x14ac:dyDescent="0.3">
      <c r="A41" s="70" t="b">
        <f t="shared" si="2"/>
        <v>1</v>
      </c>
      <c r="B41" s="57">
        <v>2012</v>
      </c>
      <c r="C41" s="72" t="s">
        <v>20</v>
      </c>
      <c r="D41" s="82">
        <v>17</v>
      </c>
      <c r="E41" s="80">
        <v>17</v>
      </c>
      <c r="F41" s="82">
        <v>7</v>
      </c>
      <c r="G41" s="81">
        <v>18.03</v>
      </c>
      <c r="H41" s="82">
        <v>7</v>
      </c>
      <c r="I41" s="83">
        <v>14</v>
      </c>
      <c r="J41" s="82">
        <v>1</v>
      </c>
      <c r="K41" s="80">
        <v>2</v>
      </c>
      <c r="L41" s="82"/>
      <c r="M41" s="80"/>
      <c r="N41" s="85">
        <v>0</v>
      </c>
      <c r="O41" s="80">
        <v>7</v>
      </c>
      <c r="P41" s="82"/>
      <c r="Q41" s="80"/>
      <c r="R41" s="83">
        <v>0</v>
      </c>
      <c r="S41" s="80">
        <v>2</v>
      </c>
      <c r="T41" s="84">
        <v>2</v>
      </c>
      <c r="U41" s="84">
        <v>17</v>
      </c>
      <c r="W41" s="68">
        <f t="shared" si="3"/>
        <v>-15</v>
      </c>
      <c r="X41" s="68">
        <f t="shared" si="4"/>
        <v>-4</v>
      </c>
    </row>
    <row r="42" spans="1:67" ht="15.75" thickBot="1" x14ac:dyDescent="0.3">
      <c r="A42" s="70" t="b">
        <f t="shared" si="2"/>
        <v>1</v>
      </c>
      <c r="B42" s="57">
        <v>2012</v>
      </c>
      <c r="C42" s="75" t="s">
        <v>21</v>
      </c>
      <c r="D42" s="97">
        <v>137</v>
      </c>
      <c r="E42" s="98">
        <v>79</v>
      </c>
      <c r="F42" s="97">
        <v>44</v>
      </c>
      <c r="G42" s="99">
        <v>13.72</v>
      </c>
      <c r="H42" s="97">
        <v>19</v>
      </c>
      <c r="I42" s="100">
        <v>63</v>
      </c>
      <c r="J42" s="97">
        <v>9</v>
      </c>
      <c r="K42" s="98">
        <v>7</v>
      </c>
      <c r="L42" s="97"/>
      <c r="M42" s="98">
        <v>1</v>
      </c>
      <c r="N42" s="101">
        <v>1</v>
      </c>
      <c r="O42" s="98">
        <v>22</v>
      </c>
      <c r="P42" s="97">
        <v>2</v>
      </c>
      <c r="Q42" s="98">
        <v>5</v>
      </c>
      <c r="R42" s="100">
        <v>7</v>
      </c>
      <c r="S42" s="98">
        <v>47</v>
      </c>
      <c r="T42" s="102">
        <v>44</v>
      </c>
      <c r="U42" s="102">
        <v>77</v>
      </c>
      <c r="W42" s="68">
        <f t="shared" si="3"/>
        <v>-32</v>
      </c>
      <c r="X42" s="68">
        <f t="shared" si="4"/>
        <v>-91</v>
      </c>
    </row>
    <row r="43" spans="1:67" ht="15.75" thickBot="1" x14ac:dyDescent="0.3">
      <c r="A43" s="70" t="b">
        <f t="shared" si="2"/>
        <v>1</v>
      </c>
      <c r="B43" s="57">
        <v>2012</v>
      </c>
      <c r="C43" s="76" t="s">
        <v>22</v>
      </c>
      <c r="D43" s="91">
        <v>65</v>
      </c>
      <c r="E43" s="92">
        <v>55</v>
      </c>
      <c r="F43" s="91">
        <v>25</v>
      </c>
      <c r="G43" s="96">
        <v>13.62</v>
      </c>
      <c r="H43" s="91">
        <v>16</v>
      </c>
      <c r="I43" s="93">
        <v>41</v>
      </c>
      <c r="J43" s="91">
        <v>9</v>
      </c>
      <c r="K43" s="92">
        <v>4</v>
      </c>
      <c r="L43" s="91"/>
      <c r="M43" s="92">
        <v>1</v>
      </c>
      <c r="N43" s="94">
        <v>1</v>
      </c>
      <c r="O43" s="92">
        <v>22</v>
      </c>
      <c r="P43" s="91">
        <v>5</v>
      </c>
      <c r="Q43" s="92"/>
      <c r="R43" s="93">
        <v>5</v>
      </c>
      <c r="S43" s="92">
        <v>15</v>
      </c>
      <c r="T43" s="95">
        <v>15</v>
      </c>
      <c r="U43" s="95">
        <v>53</v>
      </c>
      <c r="W43" s="68">
        <f t="shared" si="3"/>
        <v>-40</v>
      </c>
      <c r="X43" s="68">
        <f t="shared" si="4"/>
        <v>-30</v>
      </c>
    </row>
    <row r="44" spans="1:67" ht="15.75" thickBot="1" x14ac:dyDescent="0.3">
      <c r="A44" s="70" t="b">
        <f t="shared" si="2"/>
        <v>1</v>
      </c>
      <c r="B44" s="57">
        <v>2012</v>
      </c>
      <c r="C44" s="77" t="s">
        <v>23</v>
      </c>
      <c r="D44" s="86">
        <v>13</v>
      </c>
      <c r="E44" s="87">
        <v>8</v>
      </c>
      <c r="F44" s="86">
        <v>3</v>
      </c>
      <c r="G44" s="113"/>
      <c r="H44" s="86">
        <v>3</v>
      </c>
      <c r="I44" s="88">
        <v>6</v>
      </c>
      <c r="J44" s="86">
        <v>2</v>
      </c>
      <c r="K44" s="87"/>
      <c r="L44" s="86"/>
      <c r="M44" s="87"/>
      <c r="N44" s="89">
        <v>0</v>
      </c>
      <c r="O44" s="87">
        <v>4</v>
      </c>
      <c r="P44" s="86">
        <v>1</v>
      </c>
      <c r="Q44" s="87"/>
      <c r="R44" s="88">
        <v>1</v>
      </c>
      <c r="S44" s="87">
        <v>1</v>
      </c>
      <c r="T44" s="90">
        <v>1</v>
      </c>
      <c r="U44" s="90">
        <v>8</v>
      </c>
      <c r="W44" s="68">
        <f t="shared" si="3"/>
        <v>-7</v>
      </c>
      <c r="X44" s="68">
        <f t="shared" si="4"/>
        <v>-2</v>
      </c>
    </row>
    <row r="45" spans="1:67" ht="15.75" thickBot="1" x14ac:dyDescent="0.3">
      <c r="A45" s="70" t="b">
        <f t="shared" si="2"/>
        <v>1</v>
      </c>
      <c r="B45" s="57">
        <v>2012</v>
      </c>
      <c r="C45" s="78" t="s">
        <v>24</v>
      </c>
      <c r="D45" s="79">
        <v>25</v>
      </c>
      <c r="E45" s="80">
        <v>21</v>
      </c>
      <c r="F45" s="82">
        <v>8</v>
      </c>
      <c r="G45" s="81">
        <v>15.75</v>
      </c>
      <c r="H45" s="82">
        <v>10</v>
      </c>
      <c r="I45" s="83">
        <v>18</v>
      </c>
      <c r="J45" s="82">
        <v>2</v>
      </c>
      <c r="K45" s="80">
        <v>1</v>
      </c>
      <c r="L45" s="82"/>
      <c r="M45" s="80"/>
      <c r="N45" s="85">
        <v>0</v>
      </c>
      <c r="O45" s="80">
        <v>12</v>
      </c>
      <c r="P45" s="82">
        <v>2</v>
      </c>
      <c r="Q45" s="80"/>
      <c r="R45" s="83">
        <v>2</v>
      </c>
      <c r="S45" s="80">
        <v>2</v>
      </c>
      <c r="T45" s="84">
        <v>2</v>
      </c>
      <c r="U45" s="84">
        <v>19</v>
      </c>
      <c r="W45" s="68">
        <f t="shared" si="3"/>
        <v>-19</v>
      </c>
      <c r="X45" s="68">
        <f t="shared" si="4"/>
        <v>-4</v>
      </c>
    </row>
    <row r="46" spans="1:67" ht="15.75" thickBot="1" x14ac:dyDescent="0.3">
      <c r="A46" s="70" t="b">
        <f t="shared" si="2"/>
        <v>1</v>
      </c>
      <c r="B46" s="57">
        <v>2012</v>
      </c>
      <c r="C46" s="73" t="s">
        <v>98</v>
      </c>
      <c r="D46" s="103">
        <v>120</v>
      </c>
      <c r="E46" s="104">
        <v>82</v>
      </c>
      <c r="F46" s="103">
        <v>40</v>
      </c>
      <c r="G46" s="105">
        <v>13.3</v>
      </c>
      <c r="H46" s="103">
        <v>25</v>
      </c>
      <c r="I46" s="106">
        <v>65</v>
      </c>
      <c r="J46" s="103">
        <v>13</v>
      </c>
      <c r="K46" s="104">
        <v>4</v>
      </c>
      <c r="L46" s="103">
        <v>1</v>
      </c>
      <c r="M46" s="104"/>
      <c r="N46" s="107">
        <v>1</v>
      </c>
      <c r="O46" s="104">
        <v>48</v>
      </c>
      <c r="P46" s="103">
        <v>10</v>
      </c>
      <c r="Q46" s="104">
        <v>1</v>
      </c>
      <c r="R46" s="106">
        <v>11</v>
      </c>
      <c r="S46" s="104">
        <v>11</v>
      </c>
      <c r="T46" s="108">
        <v>9</v>
      </c>
      <c r="U46" s="108">
        <v>73</v>
      </c>
      <c r="W46" s="68">
        <f t="shared" si="3"/>
        <v>-71</v>
      </c>
      <c r="X46" s="68">
        <f t="shared" si="4"/>
        <v>-20</v>
      </c>
    </row>
    <row r="47" spans="1:67" ht="15.75" thickBot="1" x14ac:dyDescent="0.3">
      <c r="A47" s="70" t="b">
        <f t="shared" si="2"/>
        <v>1</v>
      </c>
      <c r="B47" s="57">
        <v>2012</v>
      </c>
      <c r="C47" s="71" t="s">
        <v>25</v>
      </c>
      <c r="D47" s="82">
        <v>15</v>
      </c>
      <c r="E47" s="80">
        <v>14</v>
      </c>
      <c r="F47" s="82">
        <v>11</v>
      </c>
      <c r="G47" s="81">
        <v>13.5</v>
      </c>
      <c r="H47" s="82"/>
      <c r="I47" s="83">
        <v>11</v>
      </c>
      <c r="J47" s="82"/>
      <c r="K47" s="80">
        <v>3</v>
      </c>
      <c r="L47" s="82"/>
      <c r="M47" s="80"/>
      <c r="N47" s="85">
        <v>0</v>
      </c>
      <c r="O47" s="80">
        <v>5</v>
      </c>
      <c r="P47" s="82">
        <v>7</v>
      </c>
      <c r="Q47" s="80"/>
      <c r="R47" s="83">
        <v>7</v>
      </c>
      <c r="S47" s="80">
        <v>2</v>
      </c>
      <c r="T47" s="84">
        <v>2</v>
      </c>
      <c r="U47" s="84">
        <v>13</v>
      </c>
      <c r="W47" s="68">
        <f t="shared" si="3"/>
        <v>-12</v>
      </c>
      <c r="X47" s="68">
        <f t="shared" si="4"/>
        <v>-4</v>
      </c>
    </row>
    <row r="48" spans="1:67" ht="15.75" thickBot="1" x14ac:dyDescent="0.3">
      <c r="A48" s="70" t="b">
        <f t="shared" si="2"/>
        <v>1</v>
      </c>
      <c r="B48" s="57">
        <v>2012</v>
      </c>
      <c r="C48" s="74" t="s">
        <v>26</v>
      </c>
      <c r="D48" s="97">
        <v>37</v>
      </c>
      <c r="E48" s="98">
        <v>22</v>
      </c>
      <c r="F48" s="97">
        <v>15</v>
      </c>
      <c r="G48" s="99">
        <v>14</v>
      </c>
      <c r="H48" s="97">
        <v>3</v>
      </c>
      <c r="I48" s="100">
        <v>18</v>
      </c>
      <c r="J48" s="97">
        <v>1</v>
      </c>
      <c r="K48" s="98">
        <v>3</v>
      </c>
      <c r="L48" s="97"/>
      <c r="M48" s="98"/>
      <c r="N48" s="101">
        <v>0</v>
      </c>
      <c r="O48" s="98">
        <v>15</v>
      </c>
      <c r="P48" s="97">
        <v>2</v>
      </c>
      <c r="Q48" s="98"/>
      <c r="R48" s="100">
        <v>2</v>
      </c>
      <c r="S48" s="98">
        <v>2</v>
      </c>
      <c r="T48" s="102">
        <v>1</v>
      </c>
      <c r="U48" s="102">
        <v>22</v>
      </c>
      <c r="W48" s="68">
        <f t="shared" si="3"/>
        <v>-20</v>
      </c>
      <c r="X48" s="68">
        <f t="shared" si="4"/>
        <v>-3</v>
      </c>
    </row>
    <row r="49" spans="1:189" ht="15.75" thickBot="1" x14ac:dyDescent="0.3">
      <c r="A49" s="70" t="b">
        <f t="shared" si="2"/>
        <v>1</v>
      </c>
      <c r="B49" s="57">
        <v>2012</v>
      </c>
      <c r="C49" s="72" t="s">
        <v>27</v>
      </c>
      <c r="D49" s="82">
        <v>363</v>
      </c>
      <c r="E49" s="80">
        <v>215</v>
      </c>
      <c r="F49" s="82">
        <v>72</v>
      </c>
      <c r="G49" s="81">
        <v>12</v>
      </c>
      <c r="H49" s="82">
        <v>102</v>
      </c>
      <c r="I49" s="83">
        <v>174</v>
      </c>
      <c r="J49" s="82">
        <v>20</v>
      </c>
      <c r="K49" s="80">
        <v>20</v>
      </c>
      <c r="L49" s="82">
        <v>3</v>
      </c>
      <c r="M49" s="80">
        <v>4</v>
      </c>
      <c r="N49" s="85">
        <v>7</v>
      </c>
      <c r="O49" s="80">
        <v>112</v>
      </c>
      <c r="P49" s="82">
        <v>83</v>
      </c>
      <c r="Q49" s="80">
        <v>13</v>
      </c>
      <c r="R49" s="83">
        <v>96</v>
      </c>
      <c r="S49" s="80">
        <v>195</v>
      </c>
      <c r="T49" s="84">
        <v>187</v>
      </c>
      <c r="U49" s="84">
        <v>209</v>
      </c>
      <c r="W49" s="68">
        <f t="shared" si="3"/>
        <v>-20</v>
      </c>
      <c r="X49" s="68">
        <f t="shared" si="4"/>
        <v>-382</v>
      </c>
    </row>
    <row r="50" spans="1:189" ht="15.75" thickBot="1" x14ac:dyDescent="0.3">
      <c r="A50" s="70" t="b">
        <f t="shared" si="2"/>
        <v>1</v>
      </c>
      <c r="B50" s="57">
        <v>2012</v>
      </c>
      <c r="C50" s="75" t="s">
        <v>103</v>
      </c>
      <c r="D50" s="97">
        <v>46</v>
      </c>
      <c r="E50" s="98">
        <v>27</v>
      </c>
      <c r="F50" s="97">
        <v>9</v>
      </c>
      <c r="G50" s="99">
        <v>16.5</v>
      </c>
      <c r="H50" s="97">
        <v>15</v>
      </c>
      <c r="I50" s="100">
        <v>24</v>
      </c>
      <c r="J50" s="97">
        <v>3</v>
      </c>
      <c r="K50" s="98"/>
      <c r="L50" s="97"/>
      <c r="M50" s="98">
        <v>1</v>
      </c>
      <c r="N50" s="101">
        <v>1</v>
      </c>
      <c r="O50" s="98">
        <v>8</v>
      </c>
      <c r="P50" s="97">
        <v>2</v>
      </c>
      <c r="Q50" s="98"/>
      <c r="R50" s="100">
        <v>2</v>
      </c>
      <c r="S50" s="98">
        <v>2</v>
      </c>
      <c r="T50" s="102">
        <v>2</v>
      </c>
      <c r="U50" s="102">
        <v>16</v>
      </c>
      <c r="W50" s="68">
        <f t="shared" si="3"/>
        <v>-25</v>
      </c>
      <c r="X50" s="68">
        <f t="shared" si="4"/>
        <v>-4</v>
      </c>
    </row>
    <row r="51" spans="1:189" ht="15.75" thickBot="1" x14ac:dyDescent="0.3">
      <c r="A51" s="70" t="b">
        <f t="shared" si="2"/>
        <v>1</v>
      </c>
      <c r="B51" s="57">
        <v>2012</v>
      </c>
      <c r="C51" s="76" t="s">
        <v>28</v>
      </c>
      <c r="D51" s="91">
        <v>39</v>
      </c>
      <c r="E51" s="92">
        <v>22</v>
      </c>
      <c r="F51" s="91">
        <v>7</v>
      </c>
      <c r="G51" s="96">
        <v>13.5</v>
      </c>
      <c r="H51" s="91">
        <v>9</v>
      </c>
      <c r="I51" s="93">
        <v>16</v>
      </c>
      <c r="J51" s="91">
        <v>2</v>
      </c>
      <c r="K51" s="92">
        <v>4</v>
      </c>
      <c r="L51" s="91"/>
      <c r="M51" s="92"/>
      <c r="N51" s="94">
        <v>0</v>
      </c>
      <c r="O51" s="92">
        <v>12</v>
      </c>
      <c r="P51" s="91">
        <v>7</v>
      </c>
      <c r="Q51" s="92"/>
      <c r="R51" s="93">
        <v>7</v>
      </c>
      <c r="S51" s="92"/>
      <c r="T51" s="95"/>
      <c r="U51" s="95">
        <v>21</v>
      </c>
      <c r="W51" s="68">
        <f t="shared" si="3"/>
        <v>-22</v>
      </c>
      <c r="X51" s="68">
        <f t="shared" si="4"/>
        <v>0</v>
      </c>
    </row>
    <row r="52" spans="1:189" ht="15.75" thickBot="1" x14ac:dyDescent="0.3">
      <c r="A52" s="70" t="b">
        <f t="shared" si="2"/>
        <v>1</v>
      </c>
      <c r="B52" s="57">
        <v>2012</v>
      </c>
      <c r="C52" s="77" t="s">
        <v>29</v>
      </c>
      <c r="D52" s="86">
        <v>34</v>
      </c>
      <c r="E52" s="87">
        <v>25</v>
      </c>
      <c r="F52" s="86">
        <v>14</v>
      </c>
      <c r="G52" s="113">
        <v>17</v>
      </c>
      <c r="H52" s="86">
        <v>9</v>
      </c>
      <c r="I52" s="88">
        <v>23</v>
      </c>
      <c r="J52" s="86">
        <v>2</v>
      </c>
      <c r="K52" s="87"/>
      <c r="L52" s="86"/>
      <c r="M52" s="87">
        <v>1</v>
      </c>
      <c r="N52" s="89">
        <v>1</v>
      </c>
      <c r="O52" s="87">
        <v>11</v>
      </c>
      <c r="P52" s="86">
        <v>6</v>
      </c>
      <c r="Q52" s="87">
        <v>2</v>
      </c>
      <c r="R52" s="88">
        <v>8</v>
      </c>
      <c r="S52" s="87">
        <v>1</v>
      </c>
      <c r="T52" s="90"/>
      <c r="U52" s="90">
        <v>22</v>
      </c>
      <c r="W52" s="68">
        <f t="shared" si="3"/>
        <v>-24</v>
      </c>
      <c r="X52" s="68">
        <f t="shared" si="4"/>
        <v>-1</v>
      </c>
    </row>
    <row r="53" spans="1:189" ht="15.75" thickBot="1" x14ac:dyDescent="0.3">
      <c r="A53" s="70" t="b">
        <f t="shared" si="2"/>
        <v>1</v>
      </c>
      <c r="B53" s="57">
        <v>2012</v>
      </c>
      <c r="C53" s="78" t="s">
        <v>104</v>
      </c>
      <c r="D53" s="79"/>
      <c r="E53" s="80"/>
      <c r="F53" s="82"/>
      <c r="G53" s="81"/>
      <c r="H53" s="82"/>
      <c r="I53" s="83"/>
      <c r="J53" s="82"/>
      <c r="K53" s="80"/>
      <c r="L53" s="82"/>
      <c r="M53" s="80"/>
      <c r="N53" s="85"/>
      <c r="O53" s="80"/>
      <c r="P53" s="82"/>
      <c r="Q53" s="80"/>
      <c r="R53" s="83"/>
      <c r="S53" s="80"/>
      <c r="T53" s="84"/>
      <c r="U53" s="84"/>
      <c r="W53" s="68"/>
      <c r="X53" s="68"/>
    </row>
    <row r="54" spans="1:189" ht="15.75" thickBot="1" x14ac:dyDescent="0.3">
      <c r="A54" s="70" t="b">
        <f t="shared" si="2"/>
        <v>1</v>
      </c>
      <c r="B54" s="57">
        <v>2012</v>
      </c>
      <c r="C54" s="73" t="s">
        <v>30</v>
      </c>
      <c r="D54" s="103">
        <v>8</v>
      </c>
      <c r="E54" s="104">
        <v>8</v>
      </c>
      <c r="F54" s="103">
        <v>6</v>
      </c>
      <c r="G54" s="105">
        <v>18.5</v>
      </c>
      <c r="H54" s="103">
        <v>1</v>
      </c>
      <c r="I54" s="106">
        <v>7</v>
      </c>
      <c r="J54" s="103"/>
      <c r="K54" s="104">
        <v>1</v>
      </c>
      <c r="L54" s="103"/>
      <c r="M54" s="104"/>
      <c r="N54" s="107">
        <v>0</v>
      </c>
      <c r="O54" s="104">
        <v>6</v>
      </c>
      <c r="P54" s="103">
        <v>3</v>
      </c>
      <c r="Q54" s="104"/>
      <c r="R54" s="106">
        <v>3</v>
      </c>
      <c r="S54" s="104">
        <v>8</v>
      </c>
      <c r="T54" s="108">
        <v>5</v>
      </c>
      <c r="U54" s="108">
        <v>8</v>
      </c>
      <c r="W54" s="68">
        <f t="shared" ref="W54:W87" si="5">S54-E54</f>
        <v>0</v>
      </c>
      <c r="X54" s="68">
        <f t="shared" ref="X54:X87" si="6">-T54-S54</f>
        <v>-13</v>
      </c>
    </row>
    <row r="55" spans="1:189" ht="15.75" thickBot="1" x14ac:dyDescent="0.3">
      <c r="A55" s="70" t="b">
        <f t="shared" si="2"/>
        <v>1</v>
      </c>
      <c r="B55" s="57">
        <v>2012</v>
      </c>
      <c r="C55" s="71" t="s">
        <v>31</v>
      </c>
      <c r="D55" s="82">
        <v>20</v>
      </c>
      <c r="E55" s="80">
        <v>12</v>
      </c>
      <c r="F55" s="82">
        <v>4</v>
      </c>
      <c r="G55" s="81"/>
      <c r="H55" s="82">
        <v>5</v>
      </c>
      <c r="I55" s="83">
        <v>9</v>
      </c>
      <c r="J55" s="82">
        <v>1</v>
      </c>
      <c r="K55" s="80">
        <v>2</v>
      </c>
      <c r="L55" s="82"/>
      <c r="M55" s="80"/>
      <c r="N55" s="85">
        <v>0</v>
      </c>
      <c r="O55" s="80">
        <v>7</v>
      </c>
      <c r="P55" s="82">
        <v>2</v>
      </c>
      <c r="Q55" s="80">
        <v>1</v>
      </c>
      <c r="R55" s="83">
        <v>3</v>
      </c>
      <c r="S55" s="80">
        <v>2</v>
      </c>
      <c r="T55" s="84">
        <v>2</v>
      </c>
      <c r="U55" s="84">
        <v>11</v>
      </c>
      <c r="W55" s="68">
        <f t="shared" si="5"/>
        <v>-10</v>
      </c>
      <c r="X55" s="68">
        <f t="shared" si="6"/>
        <v>-4</v>
      </c>
    </row>
    <row r="56" spans="1:189" ht="15.75" thickBot="1" x14ac:dyDescent="0.3">
      <c r="A56" s="70" t="b">
        <f t="shared" si="2"/>
        <v>1</v>
      </c>
      <c r="B56" s="57">
        <v>2012</v>
      </c>
      <c r="C56" s="74" t="s">
        <v>32</v>
      </c>
      <c r="D56" s="97">
        <v>18</v>
      </c>
      <c r="E56" s="98">
        <v>12</v>
      </c>
      <c r="F56" s="97">
        <v>9</v>
      </c>
      <c r="G56" s="99">
        <v>14</v>
      </c>
      <c r="H56" s="97"/>
      <c r="I56" s="100">
        <v>9</v>
      </c>
      <c r="J56" s="97">
        <v>3</v>
      </c>
      <c r="K56" s="98"/>
      <c r="L56" s="97"/>
      <c r="M56" s="98"/>
      <c r="N56" s="101">
        <v>0</v>
      </c>
      <c r="O56" s="98">
        <v>3</v>
      </c>
      <c r="P56" s="97">
        <v>1</v>
      </c>
      <c r="Q56" s="98"/>
      <c r="R56" s="100">
        <v>1</v>
      </c>
      <c r="S56" s="98">
        <v>2</v>
      </c>
      <c r="T56" s="102">
        <v>2</v>
      </c>
      <c r="U56" s="102">
        <v>12</v>
      </c>
      <c r="W56" s="68">
        <f t="shared" si="5"/>
        <v>-10</v>
      </c>
      <c r="X56" s="68">
        <f t="shared" si="6"/>
        <v>-4</v>
      </c>
    </row>
    <row r="57" spans="1:189" ht="15.75" thickBot="1" x14ac:dyDescent="0.3">
      <c r="A57" s="70" t="b">
        <f t="shared" si="2"/>
        <v>1</v>
      </c>
      <c r="B57" s="57">
        <v>2012</v>
      </c>
      <c r="C57" s="72" t="s">
        <v>33</v>
      </c>
      <c r="D57" s="82">
        <v>10</v>
      </c>
      <c r="E57" s="80">
        <v>6</v>
      </c>
      <c r="F57" s="82">
        <v>1</v>
      </c>
      <c r="G57" s="81"/>
      <c r="H57" s="82">
        <v>3</v>
      </c>
      <c r="I57" s="83">
        <v>4</v>
      </c>
      <c r="J57" s="82"/>
      <c r="K57" s="80">
        <v>2</v>
      </c>
      <c r="L57" s="82"/>
      <c r="M57" s="80"/>
      <c r="N57" s="85">
        <v>0</v>
      </c>
      <c r="O57" s="80">
        <v>1</v>
      </c>
      <c r="P57" s="82"/>
      <c r="Q57" s="80">
        <v>1</v>
      </c>
      <c r="R57" s="83">
        <v>1</v>
      </c>
      <c r="S57" s="80">
        <v>1</v>
      </c>
      <c r="T57" s="84">
        <v>1</v>
      </c>
      <c r="U57" s="84">
        <v>3</v>
      </c>
      <c r="W57" s="68">
        <f t="shared" si="5"/>
        <v>-5</v>
      </c>
      <c r="X57" s="68">
        <f t="shared" si="6"/>
        <v>-2</v>
      </c>
    </row>
    <row r="58" spans="1:189" ht="15.75" thickBot="1" x14ac:dyDescent="0.3">
      <c r="A58" s="70" t="b">
        <f t="shared" si="2"/>
        <v>1</v>
      </c>
      <c r="B58" s="57">
        <v>2012</v>
      </c>
      <c r="C58" s="75" t="s">
        <v>34</v>
      </c>
      <c r="D58" s="97">
        <v>11</v>
      </c>
      <c r="E58" s="98">
        <v>11</v>
      </c>
      <c r="F58" s="97">
        <v>8</v>
      </c>
      <c r="G58" s="99">
        <v>17.5</v>
      </c>
      <c r="H58" s="97"/>
      <c r="I58" s="100">
        <v>8</v>
      </c>
      <c r="J58" s="97">
        <v>1</v>
      </c>
      <c r="K58" s="98">
        <v>2</v>
      </c>
      <c r="L58" s="97"/>
      <c r="M58" s="98"/>
      <c r="N58" s="101">
        <v>0</v>
      </c>
      <c r="O58" s="98">
        <v>2</v>
      </c>
      <c r="P58" s="97"/>
      <c r="Q58" s="98"/>
      <c r="R58" s="100">
        <v>0</v>
      </c>
      <c r="S58" s="98">
        <v>2</v>
      </c>
      <c r="T58" s="102">
        <v>2</v>
      </c>
      <c r="U58" s="102">
        <v>11</v>
      </c>
      <c r="W58" s="68">
        <f t="shared" si="5"/>
        <v>-9</v>
      </c>
      <c r="X58" s="68">
        <f t="shared" si="6"/>
        <v>-4</v>
      </c>
    </row>
    <row r="59" spans="1:189" s="112" customFormat="1" ht="15.75" thickBot="1" x14ac:dyDescent="0.3">
      <c r="A59" s="70" t="b">
        <f t="shared" si="2"/>
        <v>1</v>
      </c>
      <c r="B59" s="57">
        <v>2012</v>
      </c>
      <c r="C59" s="76" t="s">
        <v>35</v>
      </c>
      <c r="D59" s="91">
        <v>19</v>
      </c>
      <c r="E59" s="92">
        <v>13</v>
      </c>
      <c r="F59" s="91">
        <v>8</v>
      </c>
      <c r="G59" s="96">
        <v>20</v>
      </c>
      <c r="H59" s="91">
        <v>3</v>
      </c>
      <c r="I59" s="93">
        <v>11</v>
      </c>
      <c r="J59" s="91">
        <v>1</v>
      </c>
      <c r="K59" s="92">
        <v>1</v>
      </c>
      <c r="L59" s="91"/>
      <c r="M59" s="92"/>
      <c r="N59" s="94">
        <v>0</v>
      </c>
      <c r="O59" s="92">
        <v>2</v>
      </c>
      <c r="P59" s="91">
        <v>2</v>
      </c>
      <c r="Q59" s="92"/>
      <c r="R59" s="93">
        <v>2</v>
      </c>
      <c r="S59" s="92">
        <v>10</v>
      </c>
      <c r="T59" s="95">
        <v>3</v>
      </c>
      <c r="U59" s="95">
        <v>7</v>
      </c>
      <c r="V59" s="109"/>
      <c r="W59" s="68">
        <f t="shared" si="5"/>
        <v>-3</v>
      </c>
      <c r="X59" s="68">
        <f t="shared" si="6"/>
        <v>-13</v>
      </c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10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  <c r="DB59" s="111"/>
      <c r="DC59" s="111"/>
      <c r="DD59" s="111"/>
      <c r="DE59" s="111"/>
      <c r="DF59" s="111"/>
      <c r="DG59" s="111"/>
      <c r="DH59" s="111"/>
      <c r="DI59" s="111"/>
      <c r="DJ59" s="111"/>
      <c r="DK59" s="111"/>
      <c r="DL59" s="111"/>
      <c r="DM59" s="111"/>
      <c r="DN59" s="111"/>
      <c r="DO59" s="111"/>
      <c r="DP59" s="111"/>
      <c r="DQ59" s="111"/>
      <c r="DR59" s="111"/>
      <c r="DS59" s="111"/>
      <c r="DT59" s="111"/>
      <c r="DU59" s="111"/>
      <c r="DV59" s="111"/>
      <c r="DW59" s="111"/>
      <c r="DX59" s="111"/>
      <c r="DY59" s="111"/>
      <c r="DZ59" s="111"/>
      <c r="EA59" s="111"/>
      <c r="EB59" s="111"/>
      <c r="EC59" s="111"/>
      <c r="ED59" s="111"/>
      <c r="EE59" s="111"/>
      <c r="EF59" s="111"/>
      <c r="EG59" s="111"/>
      <c r="EH59" s="111"/>
      <c r="EI59" s="111"/>
      <c r="EJ59" s="111"/>
      <c r="EK59" s="111"/>
      <c r="EL59" s="111"/>
      <c r="EM59" s="111"/>
      <c r="EN59" s="111"/>
      <c r="EO59" s="111"/>
      <c r="EP59" s="111"/>
      <c r="EQ59" s="111"/>
      <c r="ER59" s="111"/>
      <c r="ES59" s="111"/>
      <c r="ET59" s="111"/>
      <c r="EU59" s="111"/>
      <c r="EV59" s="111"/>
      <c r="EW59" s="111"/>
      <c r="EX59" s="111"/>
      <c r="EY59" s="111"/>
      <c r="EZ59" s="111"/>
      <c r="FA59" s="111"/>
      <c r="FB59" s="111"/>
      <c r="FC59" s="111"/>
      <c r="FD59" s="111"/>
      <c r="FE59" s="111"/>
      <c r="FF59" s="111"/>
      <c r="FG59" s="111"/>
      <c r="FH59" s="111"/>
      <c r="FI59" s="111"/>
      <c r="FJ59" s="111"/>
      <c r="FK59" s="111"/>
      <c r="FL59" s="111"/>
      <c r="FM59" s="111"/>
      <c r="FN59" s="111"/>
      <c r="FO59" s="111"/>
      <c r="FP59" s="111"/>
      <c r="FQ59" s="111"/>
      <c r="FR59" s="111"/>
      <c r="FS59" s="111"/>
      <c r="FT59" s="111"/>
      <c r="FU59" s="111"/>
      <c r="FV59" s="111"/>
      <c r="FW59" s="111"/>
      <c r="FX59" s="111"/>
      <c r="FY59" s="111"/>
      <c r="FZ59" s="111"/>
      <c r="GA59" s="111"/>
      <c r="GB59" s="111"/>
      <c r="GC59" s="111"/>
      <c r="GD59" s="111"/>
      <c r="GE59" s="111"/>
      <c r="GF59" s="111"/>
      <c r="GG59" s="111"/>
    </row>
    <row r="60" spans="1:189" ht="15.75" thickBot="1" x14ac:dyDescent="0.3">
      <c r="A60" s="70" t="b">
        <f t="shared" si="2"/>
        <v>1</v>
      </c>
      <c r="B60" s="57">
        <v>2012</v>
      </c>
      <c r="C60" s="77" t="s">
        <v>36</v>
      </c>
      <c r="D60" s="86">
        <v>34</v>
      </c>
      <c r="E60" s="87">
        <v>34</v>
      </c>
      <c r="F60" s="86">
        <v>13</v>
      </c>
      <c r="G60" s="113">
        <v>16.5</v>
      </c>
      <c r="H60" s="86">
        <v>11</v>
      </c>
      <c r="I60" s="88">
        <v>24</v>
      </c>
      <c r="J60" s="86">
        <v>9</v>
      </c>
      <c r="K60" s="87">
        <v>1</v>
      </c>
      <c r="L60" s="86"/>
      <c r="M60" s="87"/>
      <c r="N60" s="89">
        <v>0</v>
      </c>
      <c r="O60" s="87">
        <v>4</v>
      </c>
      <c r="P60" s="86">
        <v>2</v>
      </c>
      <c r="Q60" s="87">
        <v>1</v>
      </c>
      <c r="R60" s="88">
        <v>3</v>
      </c>
      <c r="S60" s="87">
        <v>4</v>
      </c>
      <c r="T60" s="90">
        <v>4</v>
      </c>
      <c r="U60" s="90">
        <v>26</v>
      </c>
      <c r="W60" s="68">
        <f t="shared" si="5"/>
        <v>-30</v>
      </c>
      <c r="X60" s="68">
        <f t="shared" si="6"/>
        <v>-8</v>
      </c>
    </row>
    <row r="61" spans="1:189" ht="15.75" thickBot="1" x14ac:dyDescent="0.3">
      <c r="A61" s="70" t="b">
        <f t="shared" si="2"/>
        <v>1</v>
      </c>
      <c r="B61" s="57">
        <v>2012</v>
      </c>
      <c r="C61" s="78" t="s">
        <v>37</v>
      </c>
      <c r="D61" s="79"/>
      <c r="E61" s="80"/>
      <c r="F61" s="82"/>
      <c r="G61" s="81"/>
      <c r="H61" s="82"/>
      <c r="I61" s="83"/>
      <c r="J61" s="82"/>
      <c r="K61" s="80"/>
      <c r="L61" s="82"/>
      <c r="M61" s="80"/>
      <c r="N61" s="85"/>
      <c r="O61" s="80"/>
      <c r="P61" s="82"/>
      <c r="Q61" s="80"/>
      <c r="R61" s="83"/>
      <c r="S61" s="80"/>
      <c r="T61" s="84"/>
      <c r="U61" s="84"/>
      <c r="W61" s="68">
        <f t="shared" si="5"/>
        <v>0</v>
      </c>
      <c r="X61" s="68">
        <f t="shared" si="6"/>
        <v>0</v>
      </c>
    </row>
    <row r="62" spans="1:189" ht="15.75" thickBot="1" x14ac:dyDescent="0.3">
      <c r="A62" s="70" t="b">
        <f t="shared" si="2"/>
        <v>1</v>
      </c>
      <c r="B62" s="57">
        <v>2012</v>
      </c>
      <c r="C62" s="73" t="s">
        <v>38</v>
      </c>
      <c r="D62" s="103">
        <v>83</v>
      </c>
      <c r="E62" s="104">
        <v>60</v>
      </c>
      <c r="F62" s="103">
        <v>21</v>
      </c>
      <c r="G62" s="105">
        <v>12</v>
      </c>
      <c r="H62" s="103">
        <v>19</v>
      </c>
      <c r="I62" s="106">
        <v>40</v>
      </c>
      <c r="J62" s="103">
        <v>11</v>
      </c>
      <c r="K62" s="104">
        <v>7</v>
      </c>
      <c r="L62" s="103"/>
      <c r="M62" s="104"/>
      <c r="N62" s="107">
        <v>0</v>
      </c>
      <c r="O62" s="104">
        <v>11</v>
      </c>
      <c r="P62" s="103">
        <v>15</v>
      </c>
      <c r="Q62" s="104">
        <v>3</v>
      </c>
      <c r="R62" s="106">
        <v>18</v>
      </c>
      <c r="S62" s="104">
        <v>15</v>
      </c>
      <c r="T62" s="108">
        <v>14</v>
      </c>
      <c r="U62" s="108">
        <v>52</v>
      </c>
      <c r="W62" s="68">
        <f t="shared" si="5"/>
        <v>-45</v>
      </c>
      <c r="X62" s="68">
        <f t="shared" si="6"/>
        <v>-29</v>
      </c>
    </row>
    <row r="63" spans="1:189" ht="15.75" thickBot="1" x14ac:dyDescent="0.3">
      <c r="A63" s="70" t="b">
        <f t="shared" si="2"/>
        <v>1</v>
      </c>
      <c r="B63" s="57">
        <v>2012</v>
      </c>
      <c r="C63" s="71" t="s">
        <v>39</v>
      </c>
      <c r="D63" s="82">
        <v>38</v>
      </c>
      <c r="E63" s="80">
        <v>12</v>
      </c>
      <c r="F63" s="82">
        <v>8</v>
      </c>
      <c r="G63" s="81">
        <v>21</v>
      </c>
      <c r="H63" s="82">
        <v>2</v>
      </c>
      <c r="I63" s="83">
        <v>10</v>
      </c>
      <c r="J63" s="82">
        <v>1</v>
      </c>
      <c r="K63" s="80">
        <v>1</v>
      </c>
      <c r="L63" s="82"/>
      <c r="M63" s="80"/>
      <c r="N63" s="85">
        <v>0</v>
      </c>
      <c r="O63" s="80">
        <v>2</v>
      </c>
      <c r="P63" s="82"/>
      <c r="Q63" s="80">
        <v>1</v>
      </c>
      <c r="R63" s="83">
        <v>1</v>
      </c>
      <c r="S63" s="80">
        <v>1</v>
      </c>
      <c r="T63" s="84">
        <v>1</v>
      </c>
      <c r="U63" s="84">
        <v>10</v>
      </c>
      <c r="W63" s="68">
        <f t="shared" si="5"/>
        <v>-11</v>
      </c>
      <c r="X63" s="68">
        <f t="shared" si="6"/>
        <v>-2</v>
      </c>
    </row>
    <row r="64" spans="1:189" ht="15.75" thickBot="1" x14ac:dyDescent="0.3">
      <c r="A64" s="70" t="b">
        <f t="shared" si="2"/>
        <v>1</v>
      </c>
      <c r="B64" s="57">
        <v>2012</v>
      </c>
      <c r="C64" s="73" t="s">
        <v>40</v>
      </c>
      <c r="D64" s="103">
        <v>544</v>
      </c>
      <c r="E64" s="104">
        <v>322</v>
      </c>
      <c r="F64" s="103">
        <v>125</v>
      </c>
      <c r="G64" s="105">
        <v>11.65</v>
      </c>
      <c r="H64" s="103">
        <v>106</v>
      </c>
      <c r="I64" s="106">
        <v>231</v>
      </c>
      <c r="J64" s="103">
        <v>30</v>
      </c>
      <c r="K64" s="104">
        <v>59</v>
      </c>
      <c r="L64" s="103"/>
      <c r="M64" s="104">
        <v>4</v>
      </c>
      <c r="N64" s="107">
        <v>4</v>
      </c>
      <c r="O64" s="104">
        <v>225</v>
      </c>
      <c r="P64" s="103">
        <v>21</v>
      </c>
      <c r="Q64" s="104">
        <v>17</v>
      </c>
      <c r="R64" s="106">
        <v>38</v>
      </c>
      <c r="S64" s="104">
        <v>281</v>
      </c>
      <c r="T64" s="108">
        <v>278</v>
      </c>
      <c r="U64" s="108">
        <v>314</v>
      </c>
      <c r="W64" s="68">
        <f t="shared" si="5"/>
        <v>-41</v>
      </c>
      <c r="X64" s="68">
        <f t="shared" si="6"/>
        <v>-559</v>
      </c>
    </row>
    <row r="65" spans="1:67" ht="15.75" thickBot="1" x14ac:dyDescent="0.3">
      <c r="A65" s="70" t="b">
        <f t="shared" si="2"/>
        <v>1</v>
      </c>
      <c r="B65" s="57">
        <v>2012</v>
      </c>
      <c r="C65" s="71" t="s">
        <v>41</v>
      </c>
      <c r="D65" s="82">
        <v>53</v>
      </c>
      <c r="E65" s="80">
        <v>40</v>
      </c>
      <c r="F65" s="82">
        <v>24</v>
      </c>
      <c r="G65" s="81">
        <v>13</v>
      </c>
      <c r="H65" s="82">
        <v>10</v>
      </c>
      <c r="I65" s="83">
        <v>34</v>
      </c>
      <c r="J65" s="82">
        <v>5</v>
      </c>
      <c r="K65" s="80">
        <v>1</v>
      </c>
      <c r="L65" s="82"/>
      <c r="M65" s="80"/>
      <c r="N65" s="85">
        <v>0</v>
      </c>
      <c r="O65" s="80">
        <v>17</v>
      </c>
      <c r="P65" s="82">
        <v>13</v>
      </c>
      <c r="Q65" s="80"/>
      <c r="R65" s="83">
        <v>13</v>
      </c>
      <c r="S65" s="80">
        <v>35</v>
      </c>
      <c r="T65" s="84">
        <v>34</v>
      </c>
      <c r="U65" s="84">
        <v>37</v>
      </c>
      <c r="W65" s="68">
        <f t="shared" si="5"/>
        <v>-5</v>
      </c>
      <c r="X65" s="68">
        <f t="shared" si="6"/>
        <v>-69</v>
      </c>
    </row>
    <row r="66" spans="1:67" ht="15.75" thickBot="1" x14ac:dyDescent="0.3">
      <c r="A66" s="70" t="b">
        <f t="shared" si="2"/>
        <v>1</v>
      </c>
      <c r="B66" s="57">
        <v>2012</v>
      </c>
      <c r="C66" s="74" t="s">
        <v>42</v>
      </c>
      <c r="D66" s="97">
        <v>50</v>
      </c>
      <c r="E66" s="98">
        <v>30</v>
      </c>
      <c r="F66" s="97">
        <v>10</v>
      </c>
      <c r="G66" s="99">
        <v>12.13</v>
      </c>
      <c r="H66" s="97">
        <v>11</v>
      </c>
      <c r="I66" s="100">
        <v>21</v>
      </c>
      <c r="J66" s="97">
        <v>4</v>
      </c>
      <c r="K66" s="98">
        <v>5</v>
      </c>
      <c r="L66" s="97"/>
      <c r="M66" s="98"/>
      <c r="N66" s="101">
        <v>0</v>
      </c>
      <c r="O66" s="98">
        <v>14</v>
      </c>
      <c r="P66" s="97">
        <v>1</v>
      </c>
      <c r="Q66" s="98">
        <v>1</v>
      </c>
      <c r="R66" s="100">
        <v>2</v>
      </c>
      <c r="S66" s="98">
        <v>14</v>
      </c>
      <c r="T66" s="102">
        <v>14</v>
      </c>
      <c r="U66" s="102">
        <v>30</v>
      </c>
      <c r="W66" s="68">
        <f t="shared" si="5"/>
        <v>-16</v>
      </c>
      <c r="X66" s="68">
        <f t="shared" si="6"/>
        <v>-28</v>
      </c>
    </row>
    <row r="67" spans="1:67" ht="15.75" thickBot="1" x14ac:dyDescent="0.3">
      <c r="A67" s="70" t="b">
        <f t="shared" si="2"/>
        <v>1</v>
      </c>
      <c r="B67" s="57">
        <v>2012</v>
      </c>
      <c r="C67" s="72" t="s">
        <v>43</v>
      </c>
      <c r="D67" s="82">
        <v>63</v>
      </c>
      <c r="E67" s="80">
        <v>42</v>
      </c>
      <c r="F67" s="82">
        <v>34</v>
      </c>
      <c r="G67" s="81">
        <v>21.75</v>
      </c>
      <c r="H67" s="82">
        <v>4</v>
      </c>
      <c r="I67" s="83">
        <v>38</v>
      </c>
      <c r="J67" s="82">
        <v>1</v>
      </c>
      <c r="K67" s="80">
        <v>3</v>
      </c>
      <c r="L67" s="82"/>
      <c r="M67" s="80"/>
      <c r="N67" s="85">
        <v>0</v>
      </c>
      <c r="O67" s="80">
        <v>16</v>
      </c>
      <c r="P67" s="82">
        <v>2</v>
      </c>
      <c r="Q67" s="80">
        <v>1</v>
      </c>
      <c r="R67" s="83">
        <v>3</v>
      </c>
      <c r="S67" s="80">
        <v>38</v>
      </c>
      <c r="T67" s="84">
        <v>36</v>
      </c>
      <c r="U67" s="84">
        <v>36</v>
      </c>
      <c r="W67" s="68">
        <f t="shared" si="5"/>
        <v>-4</v>
      </c>
      <c r="X67" s="68">
        <f t="shared" si="6"/>
        <v>-74</v>
      </c>
    </row>
    <row r="68" spans="1:67" ht="15.75" thickBot="1" x14ac:dyDescent="0.3">
      <c r="A68" s="70" t="b">
        <f t="shared" si="2"/>
        <v>1</v>
      </c>
      <c r="B68" s="57">
        <v>2012</v>
      </c>
      <c r="C68" s="75" t="s">
        <v>44</v>
      </c>
      <c r="D68" s="97">
        <v>176</v>
      </c>
      <c r="E68" s="98">
        <v>147</v>
      </c>
      <c r="F68" s="97">
        <v>126</v>
      </c>
      <c r="G68" s="99">
        <v>24</v>
      </c>
      <c r="H68" s="97">
        <v>12</v>
      </c>
      <c r="I68" s="100">
        <v>138</v>
      </c>
      <c r="J68" s="97">
        <v>3</v>
      </c>
      <c r="K68" s="98">
        <v>5</v>
      </c>
      <c r="L68" s="97"/>
      <c r="M68" s="98"/>
      <c r="N68" s="101">
        <v>0</v>
      </c>
      <c r="O68" s="98">
        <v>42</v>
      </c>
      <c r="P68" s="97">
        <v>12</v>
      </c>
      <c r="Q68" s="98">
        <v>3</v>
      </c>
      <c r="R68" s="100">
        <v>15</v>
      </c>
      <c r="S68" s="98">
        <v>144</v>
      </c>
      <c r="T68" s="102">
        <v>144</v>
      </c>
      <c r="U68" s="102">
        <v>142</v>
      </c>
      <c r="W68" s="68">
        <f t="shared" si="5"/>
        <v>-3</v>
      </c>
      <c r="X68" s="68">
        <f t="shared" si="6"/>
        <v>-288</v>
      </c>
    </row>
    <row r="69" spans="1:67" ht="26.25" thickBot="1" x14ac:dyDescent="0.3">
      <c r="A69" s="70" t="b">
        <f t="shared" ref="A69:A132" si="7">C69=C104</f>
        <v>1</v>
      </c>
      <c r="B69" s="57">
        <v>2012</v>
      </c>
      <c r="C69" s="76" t="s">
        <v>99</v>
      </c>
      <c r="D69" s="91">
        <v>13</v>
      </c>
      <c r="E69" s="92">
        <v>12</v>
      </c>
      <c r="F69" s="91"/>
      <c r="G69" s="96"/>
      <c r="H69" s="91">
        <v>11</v>
      </c>
      <c r="I69" s="93">
        <v>11</v>
      </c>
      <c r="J69" s="91"/>
      <c r="K69" s="92"/>
      <c r="L69" s="91"/>
      <c r="M69" s="92"/>
      <c r="N69" s="94">
        <v>0</v>
      </c>
      <c r="O69" s="92">
        <v>6</v>
      </c>
      <c r="P69" s="91">
        <v>8</v>
      </c>
      <c r="Q69" s="92"/>
      <c r="R69" s="93">
        <v>8</v>
      </c>
      <c r="S69" s="92">
        <v>1</v>
      </c>
      <c r="T69" s="95">
        <v>1</v>
      </c>
      <c r="U69" s="95">
        <v>10</v>
      </c>
      <c r="W69" s="68">
        <f t="shared" si="5"/>
        <v>-11</v>
      </c>
      <c r="X69" s="68">
        <f t="shared" si="6"/>
        <v>-2</v>
      </c>
    </row>
    <row r="70" spans="1:67" ht="15.75" thickBot="1" x14ac:dyDescent="0.3">
      <c r="A70" s="70" t="b">
        <f t="shared" si="7"/>
        <v>1</v>
      </c>
      <c r="B70" s="57">
        <v>2012</v>
      </c>
      <c r="C70" s="77" t="s">
        <v>45</v>
      </c>
      <c r="D70" s="86">
        <v>62</v>
      </c>
      <c r="E70" s="87">
        <v>49</v>
      </c>
      <c r="F70" s="86">
        <v>16</v>
      </c>
      <c r="G70" s="113">
        <v>10</v>
      </c>
      <c r="H70" s="86">
        <v>14</v>
      </c>
      <c r="I70" s="88">
        <v>30</v>
      </c>
      <c r="J70" s="86">
        <v>5</v>
      </c>
      <c r="K70" s="87">
        <v>14</v>
      </c>
      <c r="L70" s="86"/>
      <c r="M70" s="87">
        <v>3</v>
      </c>
      <c r="N70" s="89">
        <v>3</v>
      </c>
      <c r="O70" s="87">
        <v>29</v>
      </c>
      <c r="P70" s="86">
        <v>14</v>
      </c>
      <c r="Q70" s="87">
        <v>5</v>
      </c>
      <c r="R70" s="88">
        <v>19</v>
      </c>
      <c r="S70" s="87">
        <v>30</v>
      </c>
      <c r="T70" s="90">
        <v>28</v>
      </c>
      <c r="U70" s="90">
        <v>48</v>
      </c>
      <c r="W70" s="68">
        <f t="shared" si="5"/>
        <v>-19</v>
      </c>
      <c r="X70" s="68">
        <f t="shared" si="6"/>
        <v>-58</v>
      </c>
    </row>
    <row r="71" spans="1:67" ht="15.75" thickBot="1" x14ac:dyDescent="0.3">
      <c r="A71" s="70" t="b">
        <f t="shared" si="7"/>
        <v>1</v>
      </c>
      <c r="B71" s="57">
        <v>2012</v>
      </c>
      <c r="C71" s="78" t="s">
        <v>46</v>
      </c>
      <c r="D71" s="79">
        <v>53</v>
      </c>
      <c r="E71" s="80">
        <v>48</v>
      </c>
      <c r="F71" s="82">
        <v>23</v>
      </c>
      <c r="G71" s="81">
        <v>20</v>
      </c>
      <c r="H71" s="82">
        <v>23</v>
      </c>
      <c r="I71" s="83">
        <v>46</v>
      </c>
      <c r="J71" s="82"/>
      <c r="K71" s="80">
        <v>2</v>
      </c>
      <c r="L71" s="82"/>
      <c r="M71" s="80">
        <v>1</v>
      </c>
      <c r="N71" s="85">
        <v>1</v>
      </c>
      <c r="O71" s="80">
        <v>38</v>
      </c>
      <c r="P71" s="82">
        <v>3</v>
      </c>
      <c r="Q71" s="80">
        <v>1</v>
      </c>
      <c r="R71" s="83">
        <v>4</v>
      </c>
      <c r="S71" s="80">
        <v>28</v>
      </c>
      <c r="T71" s="84">
        <v>28</v>
      </c>
      <c r="U71" s="84">
        <v>46</v>
      </c>
      <c r="W71" s="68">
        <f t="shared" si="5"/>
        <v>-20</v>
      </c>
      <c r="X71" s="68">
        <f t="shared" si="6"/>
        <v>-56</v>
      </c>
    </row>
    <row r="72" spans="1:67" s="57" customFormat="1" ht="15.75" thickBot="1" x14ac:dyDescent="0.3">
      <c r="A72" s="70" t="b">
        <f t="shared" si="7"/>
        <v>1</v>
      </c>
      <c r="B72" s="57">
        <v>2011</v>
      </c>
      <c r="C72" s="114" t="s">
        <v>47</v>
      </c>
      <c r="D72" s="115">
        <v>2169</v>
      </c>
      <c r="E72" s="116">
        <v>1205</v>
      </c>
      <c r="F72" s="115">
        <v>584</v>
      </c>
      <c r="G72" s="141">
        <v>14.2</v>
      </c>
      <c r="H72" s="115">
        <v>329</v>
      </c>
      <c r="I72" s="116">
        <v>913</v>
      </c>
      <c r="J72" s="115">
        <v>150</v>
      </c>
      <c r="K72" s="116">
        <v>129</v>
      </c>
      <c r="L72" s="115">
        <v>8</v>
      </c>
      <c r="M72" s="116">
        <v>9</v>
      </c>
      <c r="N72" s="115">
        <v>17</v>
      </c>
      <c r="O72" s="116">
        <v>538</v>
      </c>
      <c r="P72" s="115">
        <v>188</v>
      </c>
      <c r="Q72" s="116">
        <v>55</v>
      </c>
      <c r="R72" s="116">
        <v>243</v>
      </c>
      <c r="S72" s="117">
        <v>765</v>
      </c>
      <c r="T72" s="118">
        <v>747</v>
      </c>
      <c r="U72" s="118">
        <v>1079</v>
      </c>
      <c r="V72" s="67"/>
      <c r="W72" s="68">
        <f t="shared" si="5"/>
        <v>-440</v>
      </c>
      <c r="X72" s="68">
        <f t="shared" si="6"/>
        <v>-1512</v>
      </c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</row>
    <row r="73" spans="1:67" ht="15.75" thickBot="1" x14ac:dyDescent="0.3">
      <c r="A73" s="70" t="b">
        <f t="shared" si="7"/>
        <v>1</v>
      </c>
      <c r="B73" s="57">
        <v>2011</v>
      </c>
      <c r="C73" s="73" t="s">
        <v>19</v>
      </c>
      <c r="D73" s="103">
        <v>66</v>
      </c>
      <c r="E73" s="104">
        <v>49</v>
      </c>
      <c r="F73" s="103">
        <v>20</v>
      </c>
      <c r="G73" s="105">
        <v>13</v>
      </c>
      <c r="H73" s="103">
        <v>12</v>
      </c>
      <c r="I73" s="106">
        <v>32</v>
      </c>
      <c r="J73" s="103">
        <v>8</v>
      </c>
      <c r="K73" s="104">
        <v>8</v>
      </c>
      <c r="L73" s="103">
        <v>1</v>
      </c>
      <c r="M73" s="104">
        <v>0</v>
      </c>
      <c r="N73" s="107">
        <v>1</v>
      </c>
      <c r="O73" s="104">
        <v>14</v>
      </c>
      <c r="P73" s="103">
        <v>2</v>
      </c>
      <c r="Q73" s="104">
        <v>0</v>
      </c>
      <c r="R73" s="106">
        <v>2</v>
      </c>
      <c r="S73" s="104">
        <v>2</v>
      </c>
      <c r="T73" s="108">
        <v>1</v>
      </c>
      <c r="U73" s="108">
        <v>44</v>
      </c>
      <c r="W73" s="68">
        <f t="shared" si="5"/>
        <v>-47</v>
      </c>
      <c r="X73" s="68">
        <f t="shared" si="6"/>
        <v>-3</v>
      </c>
    </row>
    <row r="74" spans="1:67" ht="15.75" thickBot="1" x14ac:dyDescent="0.3">
      <c r="A74" s="70" t="b">
        <f t="shared" si="7"/>
        <v>1</v>
      </c>
      <c r="B74" s="57">
        <v>2011</v>
      </c>
      <c r="C74" s="71" t="s">
        <v>97</v>
      </c>
      <c r="D74" s="82"/>
      <c r="E74" s="80"/>
      <c r="F74" s="82"/>
      <c r="G74" s="81"/>
      <c r="H74" s="82"/>
      <c r="I74" s="83"/>
      <c r="J74" s="82"/>
      <c r="K74" s="80"/>
      <c r="L74" s="82"/>
      <c r="M74" s="80"/>
      <c r="N74" s="85"/>
      <c r="O74" s="80"/>
      <c r="P74" s="82"/>
      <c r="Q74" s="80"/>
      <c r="R74" s="83"/>
      <c r="S74" s="80"/>
      <c r="T74" s="84"/>
      <c r="U74" s="84"/>
      <c r="W74" s="68">
        <f t="shared" si="5"/>
        <v>0</v>
      </c>
      <c r="X74" s="68">
        <f t="shared" si="6"/>
        <v>0</v>
      </c>
    </row>
    <row r="75" spans="1:67" ht="15.75" thickBot="1" x14ac:dyDescent="0.3">
      <c r="A75" s="70" t="b">
        <f t="shared" si="7"/>
        <v>1</v>
      </c>
      <c r="B75" s="57">
        <v>2011</v>
      </c>
      <c r="C75" s="74" t="s">
        <v>100</v>
      </c>
      <c r="D75" s="97">
        <v>3</v>
      </c>
      <c r="E75" s="98">
        <v>0</v>
      </c>
      <c r="F75" s="97"/>
      <c r="G75" s="99"/>
      <c r="H75" s="97"/>
      <c r="I75" s="100"/>
      <c r="J75" s="97"/>
      <c r="K75" s="98"/>
      <c r="L75" s="97"/>
      <c r="M75" s="98"/>
      <c r="N75" s="101"/>
      <c r="O75" s="98"/>
      <c r="P75" s="97"/>
      <c r="Q75" s="98"/>
      <c r="R75" s="100"/>
      <c r="S75" s="98"/>
      <c r="T75" s="102"/>
      <c r="U75" s="102"/>
      <c r="W75" s="68">
        <f t="shared" si="5"/>
        <v>0</v>
      </c>
      <c r="X75" s="68">
        <f t="shared" si="6"/>
        <v>0</v>
      </c>
    </row>
    <row r="76" spans="1:67" ht="15.75" thickBot="1" x14ac:dyDescent="0.3">
      <c r="A76" s="70" t="b">
        <f t="shared" si="7"/>
        <v>1</v>
      </c>
      <c r="B76" s="57">
        <v>2011</v>
      </c>
      <c r="C76" s="72" t="s">
        <v>20</v>
      </c>
      <c r="D76" s="82">
        <v>15</v>
      </c>
      <c r="E76" s="80">
        <v>9</v>
      </c>
      <c r="F76" s="82">
        <v>5</v>
      </c>
      <c r="G76" s="81"/>
      <c r="H76" s="82">
        <v>2</v>
      </c>
      <c r="I76" s="83">
        <v>7</v>
      </c>
      <c r="J76" s="82">
        <v>2</v>
      </c>
      <c r="K76" s="80">
        <v>0</v>
      </c>
      <c r="L76" s="82">
        <v>0</v>
      </c>
      <c r="M76" s="80">
        <v>0</v>
      </c>
      <c r="N76" s="85">
        <v>0</v>
      </c>
      <c r="O76" s="80">
        <v>1</v>
      </c>
      <c r="P76" s="82">
        <v>0</v>
      </c>
      <c r="Q76" s="80">
        <v>0</v>
      </c>
      <c r="R76" s="83">
        <v>0</v>
      </c>
      <c r="S76" s="80">
        <v>1</v>
      </c>
      <c r="T76" s="84">
        <v>0</v>
      </c>
      <c r="U76" s="84">
        <v>8</v>
      </c>
      <c r="W76" s="68">
        <f t="shared" si="5"/>
        <v>-8</v>
      </c>
      <c r="X76" s="68">
        <f t="shared" si="6"/>
        <v>-1</v>
      </c>
    </row>
    <row r="77" spans="1:67" ht="15.75" thickBot="1" x14ac:dyDescent="0.3">
      <c r="A77" s="70" t="b">
        <f t="shared" si="7"/>
        <v>1</v>
      </c>
      <c r="B77" s="57">
        <v>2011</v>
      </c>
      <c r="C77" s="75" t="s">
        <v>21</v>
      </c>
      <c r="D77" s="97">
        <v>104</v>
      </c>
      <c r="E77" s="98">
        <v>60</v>
      </c>
      <c r="F77" s="97">
        <v>35</v>
      </c>
      <c r="G77" s="99">
        <v>10.130000000000001</v>
      </c>
      <c r="H77" s="97">
        <v>11</v>
      </c>
      <c r="I77" s="100">
        <v>46</v>
      </c>
      <c r="J77" s="97">
        <v>9</v>
      </c>
      <c r="K77" s="98">
        <v>5</v>
      </c>
      <c r="L77" s="97">
        <v>1</v>
      </c>
      <c r="M77" s="98">
        <v>0</v>
      </c>
      <c r="N77" s="101">
        <v>1</v>
      </c>
      <c r="O77" s="98">
        <v>37</v>
      </c>
      <c r="P77" s="97">
        <v>2</v>
      </c>
      <c r="Q77" s="98">
        <v>2</v>
      </c>
      <c r="R77" s="100">
        <v>4</v>
      </c>
      <c r="S77" s="98">
        <v>13</v>
      </c>
      <c r="T77" s="102">
        <v>13</v>
      </c>
      <c r="U77" s="102">
        <v>59</v>
      </c>
      <c r="W77" s="68">
        <f t="shared" si="5"/>
        <v>-47</v>
      </c>
      <c r="X77" s="68">
        <f t="shared" si="6"/>
        <v>-26</v>
      </c>
    </row>
    <row r="78" spans="1:67" ht="15.75" thickBot="1" x14ac:dyDescent="0.3">
      <c r="A78" s="70" t="b">
        <f t="shared" si="7"/>
        <v>1</v>
      </c>
      <c r="B78" s="57">
        <v>2011</v>
      </c>
      <c r="C78" s="76" t="s">
        <v>22</v>
      </c>
      <c r="D78" s="91">
        <v>156</v>
      </c>
      <c r="E78" s="92">
        <v>85</v>
      </c>
      <c r="F78" s="91">
        <v>31</v>
      </c>
      <c r="G78" s="96">
        <v>15</v>
      </c>
      <c r="H78" s="91">
        <v>19</v>
      </c>
      <c r="I78" s="93">
        <v>50</v>
      </c>
      <c r="J78" s="91">
        <v>12</v>
      </c>
      <c r="K78" s="92">
        <v>23</v>
      </c>
      <c r="L78" s="91">
        <v>0</v>
      </c>
      <c r="M78" s="92">
        <v>0</v>
      </c>
      <c r="N78" s="94">
        <v>0</v>
      </c>
      <c r="O78" s="92">
        <v>36</v>
      </c>
      <c r="P78" s="91">
        <v>6</v>
      </c>
      <c r="Q78" s="92">
        <v>7</v>
      </c>
      <c r="R78" s="93">
        <v>13</v>
      </c>
      <c r="S78" s="92">
        <v>12</v>
      </c>
      <c r="T78" s="95">
        <v>10</v>
      </c>
      <c r="U78" s="95">
        <v>58</v>
      </c>
      <c r="W78" s="68">
        <f t="shared" si="5"/>
        <v>-73</v>
      </c>
      <c r="X78" s="68">
        <f t="shared" si="6"/>
        <v>-22</v>
      </c>
    </row>
    <row r="79" spans="1:67" ht="15.75" thickBot="1" x14ac:dyDescent="0.3">
      <c r="A79" s="70" t="b">
        <f t="shared" si="7"/>
        <v>1</v>
      </c>
      <c r="B79" s="57">
        <v>2011</v>
      </c>
      <c r="C79" s="77" t="s">
        <v>23</v>
      </c>
      <c r="D79" s="86">
        <v>6</v>
      </c>
      <c r="E79" s="87">
        <v>2</v>
      </c>
      <c r="F79" s="86"/>
      <c r="G79" s="113"/>
      <c r="H79" s="86"/>
      <c r="I79" s="88"/>
      <c r="J79" s="86"/>
      <c r="K79" s="87"/>
      <c r="L79" s="86"/>
      <c r="M79" s="87"/>
      <c r="N79" s="89"/>
      <c r="O79" s="87"/>
      <c r="P79" s="86"/>
      <c r="Q79" s="87"/>
      <c r="R79" s="88"/>
      <c r="S79" s="87"/>
      <c r="T79" s="90"/>
      <c r="U79" s="90"/>
      <c r="W79" s="68">
        <f t="shared" si="5"/>
        <v>-2</v>
      </c>
      <c r="X79" s="68">
        <f t="shared" si="6"/>
        <v>0</v>
      </c>
    </row>
    <row r="80" spans="1:67" ht="15.75" thickBot="1" x14ac:dyDescent="0.3">
      <c r="A80" s="70" t="b">
        <f t="shared" si="7"/>
        <v>1</v>
      </c>
      <c r="B80" s="57">
        <v>2011</v>
      </c>
      <c r="C80" s="78" t="s">
        <v>24</v>
      </c>
      <c r="D80" s="79">
        <v>23</v>
      </c>
      <c r="E80" s="80">
        <v>16</v>
      </c>
      <c r="F80" s="82">
        <v>5</v>
      </c>
      <c r="G80" s="81">
        <v>15</v>
      </c>
      <c r="H80" s="82">
        <v>6</v>
      </c>
      <c r="I80" s="83">
        <v>11</v>
      </c>
      <c r="J80" s="82">
        <v>5</v>
      </c>
      <c r="K80" s="80">
        <v>0</v>
      </c>
      <c r="L80" s="82">
        <v>0</v>
      </c>
      <c r="M80" s="80">
        <v>0</v>
      </c>
      <c r="N80" s="85">
        <v>0</v>
      </c>
      <c r="O80" s="80">
        <v>3</v>
      </c>
      <c r="P80" s="82">
        <v>1</v>
      </c>
      <c r="Q80" s="80">
        <v>1</v>
      </c>
      <c r="R80" s="83">
        <v>2</v>
      </c>
      <c r="S80" s="80">
        <v>5</v>
      </c>
      <c r="T80" s="84">
        <v>5</v>
      </c>
      <c r="U80" s="84">
        <v>13</v>
      </c>
      <c r="W80" s="68">
        <f t="shared" si="5"/>
        <v>-11</v>
      </c>
      <c r="X80" s="68">
        <f t="shared" si="6"/>
        <v>-10</v>
      </c>
    </row>
    <row r="81" spans="1:24" ht="15.75" thickBot="1" x14ac:dyDescent="0.3">
      <c r="A81" s="70" t="b">
        <f t="shared" si="7"/>
        <v>1</v>
      </c>
      <c r="B81" s="57">
        <v>2011</v>
      </c>
      <c r="C81" s="73" t="s">
        <v>98</v>
      </c>
      <c r="D81" s="103">
        <v>84</v>
      </c>
      <c r="E81" s="104">
        <v>48</v>
      </c>
      <c r="F81" s="103">
        <v>24</v>
      </c>
      <c r="G81" s="105">
        <v>15.38</v>
      </c>
      <c r="H81" s="103">
        <v>14</v>
      </c>
      <c r="I81" s="106">
        <v>38</v>
      </c>
      <c r="J81" s="103">
        <v>6</v>
      </c>
      <c r="K81" s="104">
        <v>4</v>
      </c>
      <c r="L81" s="103">
        <v>0</v>
      </c>
      <c r="M81" s="104">
        <v>0</v>
      </c>
      <c r="N81" s="107">
        <v>0</v>
      </c>
      <c r="O81" s="104">
        <v>22</v>
      </c>
      <c r="P81" s="103">
        <v>5</v>
      </c>
      <c r="Q81" s="104">
        <v>3</v>
      </c>
      <c r="R81" s="106">
        <v>8</v>
      </c>
      <c r="S81" s="104">
        <v>8</v>
      </c>
      <c r="T81" s="108">
        <v>8</v>
      </c>
      <c r="U81" s="108">
        <v>40</v>
      </c>
      <c r="W81" s="68">
        <f t="shared" si="5"/>
        <v>-40</v>
      </c>
      <c r="X81" s="68">
        <f t="shared" si="6"/>
        <v>-16</v>
      </c>
    </row>
    <row r="82" spans="1:24" ht="15.75" thickBot="1" x14ac:dyDescent="0.3">
      <c r="A82" s="70" t="b">
        <f t="shared" si="7"/>
        <v>1</v>
      </c>
      <c r="B82" s="57">
        <v>2011</v>
      </c>
      <c r="C82" s="71" t="s">
        <v>25</v>
      </c>
      <c r="D82" s="82">
        <v>13</v>
      </c>
      <c r="E82" s="80">
        <v>13</v>
      </c>
      <c r="F82" s="82">
        <v>11</v>
      </c>
      <c r="G82" s="81">
        <v>13</v>
      </c>
      <c r="H82" s="82">
        <v>1</v>
      </c>
      <c r="I82" s="83">
        <v>12</v>
      </c>
      <c r="J82" s="82">
        <v>0</v>
      </c>
      <c r="K82" s="80">
        <v>1</v>
      </c>
      <c r="L82" s="82">
        <v>0</v>
      </c>
      <c r="M82" s="80">
        <v>0</v>
      </c>
      <c r="N82" s="85">
        <v>0</v>
      </c>
      <c r="O82" s="80">
        <v>3</v>
      </c>
      <c r="P82" s="82">
        <v>1</v>
      </c>
      <c r="Q82" s="80">
        <v>0</v>
      </c>
      <c r="R82" s="83">
        <v>1</v>
      </c>
      <c r="S82" s="80">
        <v>4</v>
      </c>
      <c r="T82" s="84">
        <v>4</v>
      </c>
      <c r="U82" s="84">
        <v>12</v>
      </c>
      <c r="W82" s="68">
        <f t="shared" si="5"/>
        <v>-9</v>
      </c>
      <c r="X82" s="68">
        <f t="shared" si="6"/>
        <v>-8</v>
      </c>
    </row>
    <row r="83" spans="1:24" ht="15.75" thickBot="1" x14ac:dyDescent="0.3">
      <c r="A83" s="70" t="b">
        <f t="shared" si="7"/>
        <v>1</v>
      </c>
      <c r="B83" s="57">
        <v>2011</v>
      </c>
      <c r="C83" s="74" t="s">
        <v>26</v>
      </c>
      <c r="D83" s="97">
        <v>40</v>
      </c>
      <c r="E83" s="98">
        <v>13</v>
      </c>
      <c r="F83" s="97">
        <v>10</v>
      </c>
      <c r="G83" s="99">
        <v>11</v>
      </c>
      <c r="H83" s="97">
        <v>0</v>
      </c>
      <c r="I83" s="100">
        <v>10</v>
      </c>
      <c r="J83" s="97">
        <v>1</v>
      </c>
      <c r="K83" s="98">
        <v>2</v>
      </c>
      <c r="L83" s="97">
        <v>0</v>
      </c>
      <c r="M83" s="98">
        <v>0</v>
      </c>
      <c r="N83" s="101">
        <v>0</v>
      </c>
      <c r="O83" s="98">
        <v>9</v>
      </c>
      <c r="P83" s="97">
        <v>0</v>
      </c>
      <c r="Q83" s="98">
        <v>1</v>
      </c>
      <c r="R83" s="100">
        <v>1</v>
      </c>
      <c r="S83" s="98">
        <v>3</v>
      </c>
      <c r="T83" s="102">
        <v>3</v>
      </c>
      <c r="U83" s="102">
        <v>12</v>
      </c>
      <c r="W83" s="68">
        <f t="shared" si="5"/>
        <v>-10</v>
      </c>
      <c r="X83" s="68">
        <f t="shared" si="6"/>
        <v>-6</v>
      </c>
    </row>
    <row r="84" spans="1:24" ht="15.75" thickBot="1" x14ac:dyDescent="0.3">
      <c r="A84" s="70" t="b">
        <f t="shared" si="7"/>
        <v>1</v>
      </c>
      <c r="B84" s="57">
        <v>2011</v>
      </c>
      <c r="C84" s="72" t="s">
        <v>27</v>
      </c>
      <c r="D84" s="82">
        <v>395</v>
      </c>
      <c r="E84" s="80">
        <v>185</v>
      </c>
      <c r="F84" s="82">
        <v>52</v>
      </c>
      <c r="G84" s="81">
        <v>12</v>
      </c>
      <c r="H84" s="82">
        <v>91</v>
      </c>
      <c r="I84" s="83">
        <v>143</v>
      </c>
      <c r="J84" s="82">
        <v>25</v>
      </c>
      <c r="K84" s="80">
        <v>17</v>
      </c>
      <c r="L84" s="82">
        <v>2</v>
      </c>
      <c r="M84" s="80">
        <v>7</v>
      </c>
      <c r="N84" s="85">
        <v>9</v>
      </c>
      <c r="O84" s="80">
        <v>107</v>
      </c>
      <c r="P84" s="82">
        <v>63</v>
      </c>
      <c r="Q84" s="80">
        <v>14</v>
      </c>
      <c r="R84" s="83">
        <v>77</v>
      </c>
      <c r="S84" s="80">
        <v>160</v>
      </c>
      <c r="T84" s="84">
        <v>157</v>
      </c>
      <c r="U84" s="84">
        <v>175</v>
      </c>
      <c r="W84" s="68">
        <f t="shared" si="5"/>
        <v>-25</v>
      </c>
      <c r="X84" s="68">
        <f t="shared" si="6"/>
        <v>-317</v>
      </c>
    </row>
    <row r="85" spans="1:24" ht="15.75" thickBot="1" x14ac:dyDescent="0.3">
      <c r="A85" s="70" t="b">
        <f t="shared" si="7"/>
        <v>1</v>
      </c>
      <c r="B85" s="57">
        <v>2011</v>
      </c>
      <c r="C85" s="75" t="s">
        <v>103</v>
      </c>
      <c r="D85" s="97">
        <v>29</v>
      </c>
      <c r="E85" s="98">
        <v>20</v>
      </c>
      <c r="F85" s="97">
        <v>9</v>
      </c>
      <c r="G85" s="99">
        <v>15.75</v>
      </c>
      <c r="H85" s="97">
        <v>6</v>
      </c>
      <c r="I85" s="100">
        <v>15</v>
      </c>
      <c r="J85" s="97">
        <v>4</v>
      </c>
      <c r="K85" s="98">
        <v>1</v>
      </c>
      <c r="L85" s="97">
        <v>0</v>
      </c>
      <c r="M85" s="98">
        <v>0</v>
      </c>
      <c r="N85" s="101">
        <v>0</v>
      </c>
      <c r="O85" s="98">
        <v>3</v>
      </c>
      <c r="P85" s="97">
        <v>3</v>
      </c>
      <c r="Q85" s="98">
        <v>0</v>
      </c>
      <c r="R85" s="100">
        <v>3</v>
      </c>
      <c r="S85" s="98">
        <v>0</v>
      </c>
      <c r="T85" s="102">
        <v>0</v>
      </c>
      <c r="U85" s="102">
        <v>15</v>
      </c>
      <c r="W85" s="68">
        <f t="shared" si="5"/>
        <v>-20</v>
      </c>
      <c r="X85" s="68">
        <f t="shared" si="6"/>
        <v>0</v>
      </c>
    </row>
    <row r="86" spans="1:24" ht="15.75" thickBot="1" x14ac:dyDescent="0.3">
      <c r="A86" s="70" t="b">
        <f t="shared" si="7"/>
        <v>1</v>
      </c>
      <c r="B86" s="57">
        <v>2011</v>
      </c>
      <c r="C86" s="76" t="s">
        <v>28</v>
      </c>
      <c r="D86" s="91">
        <v>50</v>
      </c>
      <c r="E86" s="92">
        <v>32</v>
      </c>
      <c r="F86" s="91">
        <v>13</v>
      </c>
      <c r="G86" s="96">
        <v>13</v>
      </c>
      <c r="H86" s="91">
        <v>10</v>
      </c>
      <c r="I86" s="93">
        <v>23</v>
      </c>
      <c r="J86" s="91">
        <v>4</v>
      </c>
      <c r="K86" s="92">
        <v>4</v>
      </c>
      <c r="L86" s="91">
        <v>1</v>
      </c>
      <c r="M86" s="92">
        <v>0</v>
      </c>
      <c r="N86" s="94">
        <v>1</v>
      </c>
      <c r="O86" s="92">
        <v>25</v>
      </c>
      <c r="P86" s="91">
        <v>15</v>
      </c>
      <c r="Q86" s="92">
        <v>1</v>
      </c>
      <c r="R86" s="93">
        <v>16</v>
      </c>
      <c r="S86" s="92">
        <v>8</v>
      </c>
      <c r="T86" s="95">
        <v>8</v>
      </c>
      <c r="U86" s="95">
        <v>30</v>
      </c>
      <c r="W86" s="68">
        <f t="shared" si="5"/>
        <v>-24</v>
      </c>
      <c r="X86" s="68">
        <f t="shared" si="6"/>
        <v>-16</v>
      </c>
    </row>
    <row r="87" spans="1:24" ht="15.75" thickBot="1" x14ac:dyDescent="0.3">
      <c r="A87" s="70" t="b">
        <f t="shared" si="7"/>
        <v>1</v>
      </c>
      <c r="B87" s="57">
        <v>2011</v>
      </c>
      <c r="C87" s="77" t="s">
        <v>29</v>
      </c>
      <c r="D87" s="86">
        <v>31</v>
      </c>
      <c r="E87" s="87">
        <v>13</v>
      </c>
      <c r="F87" s="86">
        <v>4</v>
      </c>
      <c r="G87" s="113"/>
      <c r="H87" s="86">
        <v>3</v>
      </c>
      <c r="I87" s="88">
        <v>7</v>
      </c>
      <c r="J87" s="86">
        <v>5</v>
      </c>
      <c r="K87" s="87">
        <v>1</v>
      </c>
      <c r="L87" s="86">
        <v>0</v>
      </c>
      <c r="M87" s="87">
        <v>0</v>
      </c>
      <c r="N87" s="89">
        <v>0</v>
      </c>
      <c r="O87" s="87">
        <v>4</v>
      </c>
      <c r="P87" s="86">
        <v>1</v>
      </c>
      <c r="Q87" s="87">
        <v>1</v>
      </c>
      <c r="R87" s="88">
        <v>2</v>
      </c>
      <c r="S87" s="87">
        <v>5</v>
      </c>
      <c r="T87" s="90">
        <v>5</v>
      </c>
      <c r="U87" s="90">
        <v>10</v>
      </c>
      <c r="W87" s="68">
        <f t="shared" si="5"/>
        <v>-8</v>
      </c>
      <c r="X87" s="68">
        <f t="shared" si="6"/>
        <v>-10</v>
      </c>
    </row>
    <row r="88" spans="1:24" ht="15.75" thickBot="1" x14ac:dyDescent="0.3">
      <c r="A88" s="70" t="b">
        <f t="shared" si="7"/>
        <v>1</v>
      </c>
      <c r="B88" s="57">
        <v>2011</v>
      </c>
      <c r="C88" s="78" t="s">
        <v>104</v>
      </c>
      <c r="D88" s="79"/>
      <c r="E88" s="80"/>
      <c r="F88" s="82"/>
      <c r="G88" s="81"/>
      <c r="H88" s="82"/>
      <c r="I88" s="83"/>
      <c r="J88" s="82"/>
      <c r="K88" s="80"/>
      <c r="L88" s="82"/>
      <c r="M88" s="80"/>
      <c r="N88" s="85"/>
      <c r="O88" s="80"/>
      <c r="P88" s="82"/>
      <c r="Q88" s="80"/>
      <c r="R88" s="83"/>
      <c r="S88" s="80"/>
      <c r="T88" s="84"/>
      <c r="U88" s="84"/>
      <c r="W88" s="68"/>
      <c r="X88" s="68"/>
    </row>
    <row r="89" spans="1:24" ht="15.75" thickBot="1" x14ac:dyDescent="0.3">
      <c r="A89" s="70" t="b">
        <f t="shared" si="7"/>
        <v>1</v>
      </c>
      <c r="B89" s="57">
        <v>2011</v>
      </c>
      <c r="C89" s="73" t="s">
        <v>30</v>
      </c>
      <c r="D89" s="103">
        <v>5</v>
      </c>
      <c r="E89" s="104">
        <v>3</v>
      </c>
      <c r="F89" s="103"/>
      <c r="G89" s="105"/>
      <c r="H89" s="103"/>
      <c r="I89" s="106"/>
      <c r="J89" s="103"/>
      <c r="K89" s="104"/>
      <c r="L89" s="103"/>
      <c r="M89" s="104"/>
      <c r="N89" s="107"/>
      <c r="O89" s="104"/>
      <c r="P89" s="103"/>
      <c r="Q89" s="104"/>
      <c r="R89" s="106"/>
      <c r="S89" s="104"/>
      <c r="T89" s="108"/>
      <c r="U89" s="108"/>
      <c r="W89" s="68">
        <f t="shared" ref="W89:W122" si="8">S89-E89</f>
        <v>-3</v>
      </c>
      <c r="X89" s="68">
        <f t="shared" ref="X89:X122" si="9">-T89-S89</f>
        <v>0</v>
      </c>
    </row>
    <row r="90" spans="1:24" ht="15.75" thickBot="1" x14ac:dyDescent="0.3">
      <c r="A90" s="70" t="b">
        <f t="shared" si="7"/>
        <v>1</v>
      </c>
      <c r="B90" s="57">
        <v>2011</v>
      </c>
      <c r="C90" s="71" t="s">
        <v>31</v>
      </c>
      <c r="D90" s="82">
        <v>9</v>
      </c>
      <c r="E90" s="80">
        <v>6</v>
      </c>
      <c r="F90" s="82">
        <v>2</v>
      </c>
      <c r="G90" s="81"/>
      <c r="H90" s="82">
        <v>3</v>
      </c>
      <c r="I90" s="83">
        <v>5</v>
      </c>
      <c r="J90" s="82">
        <v>0</v>
      </c>
      <c r="K90" s="80">
        <v>1</v>
      </c>
      <c r="L90" s="82">
        <v>0</v>
      </c>
      <c r="M90" s="80">
        <v>0</v>
      </c>
      <c r="N90" s="85">
        <v>0</v>
      </c>
      <c r="O90" s="80">
        <v>2</v>
      </c>
      <c r="P90" s="82">
        <v>1</v>
      </c>
      <c r="Q90" s="80">
        <v>1</v>
      </c>
      <c r="R90" s="83">
        <v>2</v>
      </c>
      <c r="S90" s="80">
        <v>1</v>
      </c>
      <c r="T90" s="84">
        <v>1</v>
      </c>
      <c r="U90" s="84">
        <v>5</v>
      </c>
      <c r="W90" s="68">
        <f t="shared" si="8"/>
        <v>-5</v>
      </c>
      <c r="X90" s="68">
        <f t="shared" si="9"/>
        <v>-2</v>
      </c>
    </row>
    <row r="91" spans="1:24" ht="15.75" thickBot="1" x14ac:dyDescent="0.3">
      <c r="A91" s="70" t="b">
        <f t="shared" si="7"/>
        <v>1</v>
      </c>
      <c r="B91" s="57">
        <v>2011</v>
      </c>
      <c r="C91" s="74" t="s">
        <v>32</v>
      </c>
      <c r="D91" s="97">
        <v>22</v>
      </c>
      <c r="E91" s="98">
        <v>11</v>
      </c>
      <c r="F91" s="97">
        <v>9</v>
      </c>
      <c r="G91" s="99">
        <v>16.5</v>
      </c>
      <c r="H91" s="97">
        <v>2</v>
      </c>
      <c r="I91" s="100">
        <v>11</v>
      </c>
      <c r="J91" s="97">
        <v>0</v>
      </c>
      <c r="K91" s="98">
        <v>0</v>
      </c>
      <c r="L91" s="97">
        <v>0</v>
      </c>
      <c r="M91" s="98">
        <v>0</v>
      </c>
      <c r="N91" s="101">
        <v>0</v>
      </c>
      <c r="O91" s="98">
        <v>2</v>
      </c>
      <c r="P91" s="97">
        <v>4</v>
      </c>
      <c r="Q91" s="98">
        <v>0</v>
      </c>
      <c r="R91" s="100">
        <v>4</v>
      </c>
      <c r="S91" s="98">
        <v>1</v>
      </c>
      <c r="T91" s="102">
        <v>1</v>
      </c>
      <c r="U91" s="102">
        <v>10</v>
      </c>
      <c r="W91" s="68">
        <f t="shared" si="8"/>
        <v>-10</v>
      </c>
      <c r="X91" s="68">
        <f t="shared" si="9"/>
        <v>-2</v>
      </c>
    </row>
    <row r="92" spans="1:24" ht="15.75" thickBot="1" x14ac:dyDescent="0.3">
      <c r="A92" s="70" t="b">
        <f t="shared" si="7"/>
        <v>1</v>
      </c>
      <c r="B92" s="57">
        <v>2011</v>
      </c>
      <c r="C92" s="72" t="s">
        <v>33</v>
      </c>
      <c r="D92" s="82">
        <v>9</v>
      </c>
      <c r="E92" s="80">
        <v>8</v>
      </c>
      <c r="F92" s="82">
        <v>6</v>
      </c>
      <c r="G92" s="81">
        <v>12</v>
      </c>
      <c r="H92" s="82">
        <v>0</v>
      </c>
      <c r="I92" s="83">
        <v>6</v>
      </c>
      <c r="J92" s="82">
        <v>2</v>
      </c>
      <c r="K92" s="80">
        <v>0</v>
      </c>
      <c r="L92" s="82">
        <v>0</v>
      </c>
      <c r="M92" s="80">
        <v>0</v>
      </c>
      <c r="N92" s="85">
        <v>0</v>
      </c>
      <c r="O92" s="80">
        <v>2</v>
      </c>
      <c r="P92" s="82">
        <v>1</v>
      </c>
      <c r="Q92" s="80">
        <v>0</v>
      </c>
      <c r="R92" s="83">
        <v>1</v>
      </c>
      <c r="S92" s="80">
        <v>1</v>
      </c>
      <c r="T92" s="84">
        <v>1</v>
      </c>
      <c r="U92" s="84">
        <v>6</v>
      </c>
      <c r="W92" s="68">
        <f t="shared" si="8"/>
        <v>-7</v>
      </c>
      <c r="X92" s="68">
        <f t="shared" si="9"/>
        <v>-2</v>
      </c>
    </row>
    <row r="93" spans="1:24" ht="15.75" thickBot="1" x14ac:dyDescent="0.3">
      <c r="A93" s="70" t="b">
        <f t="shared" si="7"/>
        <v>1</v>
      </c>
      <c r="B93" s="57">
        <v>2011</v>
      </c>
      <c r="C93" s="75" t="s">
        <v>34</v>
      </c>
      <c r="D93" s="97">
        <v>2</v>
      </c>
      <c r="E93" s="98">
        <v>1</v>
      </c>
      <c r="F93" s="97"/>
      <c r="G93" s="99"/>
      <c r="H93" s="97"/>
      <c r="I93" s="100"/>
      <c r="J93" s="97"/>
      <c r="K93" s="98"/>
      <c r="L93" s="97"/>
      <c r="M93" s="98"/>
      <c r="N93" s="101"/>
      <c r="O93" s="98"/>
      <c r="P93" s="97"/>
      <c r="Q93" s="98"/>
      <c r="R93" s="100"/>
      <c r="S93" s="98"/>
      <c r="T93" s="102"/>
      <c r="U93" s="102"/>
      <c r="W93" s="68">
        <f t="shared" si="8"/>
        <v>-1</v>
      </c>
      <c r="X93" s="68">
        <f t="shared" si="9"/>
        <v>0</v>
      </c>
    </row>
    <row r="94" spans="1:24" ht="15.75" thickBot="1" x14ac:dyDescent="0.3">
      <c r="A94" s="70" t="b">
        <f t="shared" si="7"/>
        <v>1</v>
      </c>
      <c r="B94" s="57">
        <v>2011</v>
      </c>
      <c r="C94" s="76" t="s">
        <v>35</v>
      </c>
      <c r="D94" s="91">
        <v>13</v>
      </c>
      <c r="E94" s="92">
        <v>8</v>
      </c>
      <c r="F94" s="91">
        <v>7</v>
      </c>
      <c r="G94" s="96">
        <v>15</v>
      </c>
      <c r="H94" s="91">
        <v>1</v>
      </c>
      <c r="I94" s="93">
        <v>8</v>
      </c>
      <c r="J94" s="91">
        <v>0</v>
      </c>
      <c r="K94" s="92">
        <v>0</v>
      </c>
      <c r="L94" s="91">
        <v>1</v>
      </c>
      <c r="M94" s="92">
        <v>0</v>
      </c>
      <c r="N94" s="94">
        <v>1</v>
      </c>
      <c r="O94" s="92">
        <v>4</v>
      </c>
      <c r="P94" s="91">
        <v>3</v>
      </c>
      <c r="Q94" s="92">
        <v>0</v>
      </c>
      <c r="R94" s="93">
        <v>3</v>
      </c>
      <c r="S94" s="92">
        <v>7</v>
      </c>
      <c r="T94" s="95">
        <v>7</v>
      </c>
      <c r="U94" s="95">
        <v>5</v>
      </c>
      <c r="W94" s="68">
        <f t="shared" si="8"/>
        <v>-1</v>
      </c>
      <c r="X94" s="68">
        <f t="shared" si="9"/>
        <v>-14</v>
      </c>
    </row>
    <row r="95" spans="1:24" ht="15.75" thickBot="1" x14ac:dyDescent="0.3">
      <c r="A95" s="70" t="b">
        <f t="shared" si="7"/>
        <v>1</v>
      </c>
      <c r="B95" s="57">
        <v>2011</v>
      </c>
      <c r="C95" s="77" t="s">
        <v>36</v>
      </c>
      <c r="D95" s="86">
        <v>24</v>
      </c>
      <c r="E95" s="87">
        <v>19</v>
      </c>
      <c r="F95" s="86">
        <v>6</v>
      </c>
      <c r="G95" s="113">
        <v>15.25</v>
      </c>
      <c r="H95" s="86">
        <v>8</v>
      </c>
      <c r="I95" s="88">
        <v>14</v>
      </c>
      <c r="J95" s="86">
        <v>4</v>
      </c>
      <c r="K95" s="87">
        <v>1</v>
      </c>
      <c r="L95" s="86">
        <v>0</v>
      </c>
      <c r="M95" s="87">
        <v>0</v>
      </c>
      <c r="N95" s="89">
        <v>0</v>
      </c>
      <c r="O95" s="87">
        <v>3</v>
      </c>
      <c r="P95" s="86">
        <v>3</v>
      </c>
      <c r="Q95" s="87">
        <v>1</v>
      </c>
      <c r="R95" s="88">
        <v>4</v>
      </c>
      <c r="S95" s="87">
        <v>15</v>
      </c>
      <c r="T95" s="90">
        <v>15</v>
      </c>
      <c r="U95" s="90">
        <v>18</v>
      </c>
      <c r="W95" s="68">
        <f t="shared" si="8"/>
        <v>-4</v>
      </c>
      <c r="X95" s="68">
        <f t="shared" si="9"/>
        <v>-30</v>
      </c>
    </row>
    <row r="96" spans="1:24" ht="15.75" thickBot="1" x14ac:dyDescent="0.3">
      <c r="A96" s="70" t="b">
        <f t="shared" si="7"/>
        <v>1</v>
      </c>
      <c r="B96" s="57">
        <v>2011</v>
      </c>
      <c r="C96" s="78" t="s">
        <v>37</v>
      </c>
      <c r="D96" s="79">
        <v>2</v>
      </c>
      <c r="E96" s="80">
        <v>1</v>
      </c>
      <c r="F96" s="82"/>
      <c r="G96" s="81"/>
      <c r="H96" s="82"/>
      <c r="I96" s="83"/>
      <c r="J96" s="82"/>
      <c r="K96" s="80"/>
      <c r="L96" s="82"/>
      <c r="M96" s="80"/>
      <c r="N96" s="85"/>
      <c r="O96" s="80"/>
      <c r="P96" s="82"/>
      <c r="Q96" s="80"/>
      <c r="R96" s="83"/>
      <c r="S96" s="80"/>
      <c r="T96" s="84"/>
      <c r="U96" s="84"/>
      <c r="W96" s="68">
        <f t="shared" si="8"/>
        <v>-1</v>
      </c>
      <c r="X96" s="68">
        <f t="shared" si="9"/>
        <v>0</v>
      </c>
    </row>
    <row r="97" spans="1:67" ht="15.75" thickBot="1" x14ac:dyDescent="0.3">
      <c r="A97" s="70" t="b">
        <f t="shared" si="7"/>
        <v>1</v>
      </c>
      <c r="B97" s="57">
        <v>2011</v>
      </c>
      <c r="C97" s="73" t="s">
        <v>38</v>
      </c>
      <c r="D97" s="103">
        <v>48</v>
      </c>
      <c r="E97" s="104">
        <v>39</v>
      </c>
      <c r="F97" s="103">
        <v>18</v>
      </c>
      <c r="G97" s="105">
        <v>13.25</v>
      </c>
      <c r="H97" s="103">
        <v>10</v>
      </c>
      <c r="I97" s="106">
        <v>28</v>
      </c>
      <c r="J97" s="103">
        <v>8</v>
      </c>
      <c r="K97" s="104">
        <v>3</v>
      </c>
      <c r="L97" s="103">
        <v>0</v>
      </c>
      <c r="M97" s="104">
        <v>1</v>
      </c>
      <c r="N97" s="107">
        <v>1</v>
      </c>
      <c r="O97" s="104">
        <v>7</v>
      </c>
      <c r="P97" s="103">
        <v>7</v>
      </c>
      <c r="Q97" s="104">
        <v>1</v>
      </c>
      <c r="R97" s="106">
        <v>8</v>
      </c>
      <c r="S97" s="104">
        <v>27</v>
      </c>
      <c r="T97" s="108">
        <v>27</v>
      </c>
      <c r="U97" s="108">
        <v>36</v>
      </c>
      <c r="W97" s="68">
        <f t="shared" si="8"/>
        <v>-12</v>
      </c>
      <c r="X97" s="68">
        <f t="shared" si="9"/>
        <v>-54</v>
      </c>
    </row>
    <row r="98" spans="1:67" ht="15.75" thickBot="1" x14ac:dyDescent="0.3">
      <c r="A98" s="70" t="b">
        <f t="shared" si="7"/>
        <v>1</v>
      </c>
      <c r="B98" s="57">
        <v>2011</v>
      </c>
      <c r="C98" s="71" t="s">
        <v>39</v>
      </c>
      <c r="D98" s="82">
        <v>27</v>
      </c>
      <c r="E98" s="80">
        <v>17</v>
      </c>
      <c r="F98" s="82">
        <v>8</v>
      </c>
      <c r="G98" s="81">
        <v>14.36</v>
      </c>
      <c r="H98" s="82">
        <v>8</v>
      </c>
      <c r="I98" s="83">
        <v>16</v>
      </c>
      <c r="J98" s="82">
        <v>0</v>
      </c>
      <c r="K98" s="80">
        <v>0</v>
      </c>
      <c r="L98" s="82">
        <v>0</v>
      </c>
      <c r="M98" s="80">
        <v>1</v>
      </c>
      <c r="N98" s="85">
        <v>1</v>
      </c>
      <c r="O98" s="80">
        <v>2</v>
      </c>
      <c r="P98" s="82">
        <v>2</v>
      </c>
      <c r="Q98" s="80">
        <v>0</v>
      </c>
      <c r="R98" s="83">
        <v>2</v>
      </c>
      <c r="S98" s="80">
        <v>7</v>
      </c>
      <c r="T98" s="84">
        <v>7</v>
      </c>
      <c r="U98" s="84">
        <v>15</v>
      </c>
      <c r="W98" s="68">
        <f t="shared" si="8"/>
        <v>-10</v>
      </c>
      <c r="X98" s="68">
        <f t="shared" si="9"/>
        <v>-14</v>
      </c>
    </row>
    <row r="99" spans="1:67" ht="15.75" thickBot="1" x14ac:dyDescent="0.3">
      <c r="A99" s="70" t="b">
        <f t="shared" si="7"/>
        <v>1</v>
      </c>
      <c r="B99" s="57">
        <v>2011</v>
      </c>
      <c r="C99" s="73" t="s">
        <v>40</v>
      </c>
      <c r="D99" s="103">
        <v>556</v>
      </c>
      <c r="E99" s="104">
        <v>295</v>
      </c>
      <c r="F99" s="103">
        <v>146</v>
      </c>
      <c r="G99" s="105">
        <v>12.28</v>
      </c>
      <c r="H99" s="103">
        <v>81</v>
      </c>
      <c r="I99" s="106">
        <v>227</v>
      </c>
      <c r="J99" s="103">
        <v>25</v>
      </c>
      <c r="K99" s="104">
        <v>41</v>
      </c>
      <c r="L99" s="103">
        <v>1</v>
      </c>
      <c r="M99" s="104">
        <v>0</v>
      </c>
      <c r="N99" s="107">
        <v>1</v>
      </c>
      <c r="O99" s="104">
        <v>177</v>
      </c>
      <c r="P99" s="103">
        <v>28</v>
      </c>
      <c r="Q99" s="104">
        <v>14</v>
      </c>
      <c r="R99" s="106">
        <v>42</v>
      </c>
      <c r="S99" s="104">
        <v>264</v>
      </c>
      <c r="T99" s="108">
        <v>261</v>
      </c>
      <c r="U99" s="108">
        <v>285</v>
      </c>
      <c r="W99" s="68">
        <f t="shared" si="8"/>
        <v>-31</v>
      </c>
      <c r="X99" s="68">
        <f t="shared" si="9"/>
        <v>-525</v>
      </c>
    </row>
    <row r="100" spans="1:67" ht="15.75" thickBot="1" x14ac:dyDescent="0.3">
      <c r="A100" s="70" t="b">
        <f t="shared" si="7"/>
        <v>1</v>
      </c>
      <c r="B100" s="57">
        <v>2011</v>
      </c>
      <c r="C100" s="71" t="s">
        <v>41</v>
      </c>
      <c r="D100" s="82">
        <v>41</v>
      </c>
      <c r="E100" s="80">
        <v>29</v>
      </c>
      <c r="F100" s="82">
        <v>10</v>
      </c>
      <c r="G100" s="81">
        <v>13.55</v>
      </c>
      <c r="H100" s="82">
        <v>14</v>
      </c>
      <c r="I100" s="83">
        <v>24</v>
      </c>
      <c r="J100" s="82">
        <v>3</v>
      </c>
      <c r="K100" s="80">
        <v>2</v>
      </c>
      <c r="L100" s="82">
        <v>0</v>
      </c>
      <c r="M100" s="80">
        <v>0</v>
      </c>
      <c r="N100" s="85">
        <v>0</v>
      </c>
      <c r="O100" s="80">
        <v>6</v>
      </c>
      <c r="P100" s="82">
        <v>7</v>
      </c>
      <c r="Q100" s="80">
        <v>3</v>
      </c>
      <c r="R100" s="83">
        <v>10</v>
      </c>
      <c r="S100" s="80">
        <v>25</v>
      </c>
      <c r="T100" s="84">
        <v>24</v>
      </c>
      <c r="U100" s="84">
        <v>15</v>
      </c>
      <c r="W100" s="68">
        <f t="shared" si="8"/>
        <v>-4</v>
      </c>
      <c r="X100" s="68">
        <f t="shared" si="9"/>
        <v>-49</v>
      </c>
    </row>
    <row r="101" spans="1:67" ht="15.75" thickBot="1" x14ac:dyDescent="0.3">
      <c r="A101" s="70" t="b">
        <f t="shared" si="7"/>
        <v>1</v>
      </c>
      <c r="B101" s="57">
        <v>2011</v>
      </c>
      <c r="C101" s="74" t="s">
        <v>42</v>
      </c>
      <c r="D101" s="97">
        <v>64</v>
      </c>
      <c r="E101" s="98">
        <v>30</v>
      </c>
      <c r="F101" s="97">
        <v>9</v>
      </c>
      <c r="G101" s="99">
        <v>12</v>
      </c>
      <c r="H101" s="97">
        <v>9</v>
      </c>
      <c r="I101" s="100">
        <v>18</v>
      </c>
      <c r="J101" s="97">
        <v>9</v>
      </c>
      <c r="K101" s="98">
        <v>3</v>
      </c>
      <c r="L101" s="97">
        <v>0</v>
      </c>
      <c r="M101" s="98">
        <v>0</v>
      </c>
      <c r="N101" s="101">
        <v>0</v>
      </c>
      <c r="O101" s="98">
        <v>14</v>
      </c>
      <c r="P101" s="97">
        <v>5</v>
      </c>
      <c r="Q101" s="98">
        <v>1</v>
      </c>
      <c r="R101" s="100">
        <v>6</v>
      </c>
      <c r="S101" s="98">
        <v>12</v>
      </c>
      <c r="T101" s="102">
        <v>12</v>
      </c>
      <c r="U101" s="102">
        <v>27</v>
      </c>
      <c r="W101" s="68">
        <f t="shared" si="8"/>
        <v>-18</v>
      </c>
      <c r="X101" s="68">
        <f t="shared" si="9"/>
        <v>-24</v>
      </c>
    </row>
    <row r="102" spans="1:67" ht="15.75" thickBot="1" x14ac:dyDescent="0.3">
      <c r="A102" s="70" t="b">
        <f t="shared" si="7"/>
        <v>1</v>
      </c>
      <c r="B102" s="57">
        <v>2011</v>
      </c>
      <c r="C102" s="72" t="s">
        <v>43</v>
      </c>
      <c r="D102" s="82">
        <v>64</v>
      </c>
      <c r="E102" s="80">
        <v>33</v>
      </c>
      <c r="F102" s="82">
        <v>25</v>
      </c>
      <c r="G102" s="81">
        <v>22</v>
      </c>
      <c r="H102" s="82">
        <v>2</v>
      </c>
      <c r="I102" s="83">
        <v>27</v>
      </c>
      <c r="J102" s="82">
        <v>3</v>
      </c>
      <c r="K102" s="80">
        <v>2</v>
      </c>
      <c r="L102" s="82">
        <v>0</v>
      </c>
      <c r="M102" s="80">
        <v>0</v>
      </c>
      <c r="N102" s="85">
        <v>0</v>
      </c>
      <c r="O102" s="80">
        <v>12</v>
      </c>
      <c r="P102" s="82">
        <v>3</v>
      </c>
      <c r="Q102" s="80">
        <v>0</v>
      </c>
      <c r="R102" s="83">
        <v>3</v>
      </c>
      <c r="S102" s="80">
        <v>33</v>
      </c>
      <c r="T102" s="84">
        <v>33</v>
      </c>
      <c r="U102" s="84">
        <v>30</v>
      </c>
      <c r="W102" s="68">
        <f t="shared" si="8"/>
        <v>0</v>
      </c>
      <c r="X102" s="68">
        <f t="shared" si="9"/>
        <v>-66</v>
      </c>
    </row>
    <row r="103" spans="1:67" ht="15.75" thickBot="1" x14ac:dyDescent="0.3">
      <c r="A103" s="70" t="b">
        <f t="shared" si="7"/>
        <v>1</v>
      </c>
      <c r="B103" s="57">
        <v>2011</v>
      </c>
      <c r="C103" s="75" t="s">
        <v>44</v>
      </c>
      <c r="D103" s="97">
        <v>180</v>
      </c>
      <c r="E103" s="98">
        <v>111</v>
      </c>
      <c r="F103" s="97">
        <v>87</v>
      </c>
      <c r="G103" s="99">
        <v>24.5</v>
      </c>
      <c r="H103" s="97">
        <v>8</v>
      </c>
      <c r="I103" s="100">
        <v>95</v>
      </c>
      <c r="J103" s="97">
        <v>6</v>
      </c>
      <c r="K103" s="98">
        <v>4</v>
      </c>
      <c r="L103" s="97">
        <v>1</v>
      </c>
      <c r="M103" s="98">
        <v>0</v>
      </c>
      <c r="N103" s="101">
        <v>1</v>
      </c>
      <c r="O103" s="98">
        <v>24</v>
      </c>
      <c r="P103" s="97">
        <v>14</v>
      </c>
      <c r="Q103" s="98">
        <v>1</v>
      </c>
      <c r="R103" s="100">
        <v>15</v>
      </c>
      <c r="S103" s="98">
        <v>111</v>
      </c>
      <c r="T103" s="102">
        <v>111</v>
      </c>
      <c r="U103" s="102">
        <v>103</v>
      </c>
      <c r="W103" s="68">
        <f t="shared" si="8"/>
        <v>0</v>
      </c>
      <c r="X103" s="68">
        <f t="shared" si="9"/>
        <v>-222</v>
      </c>
    </row>
    <row r="104" spans="1:67" ht="26.25" thickBot="1" x14ac:dyDescent="0.3">
      <c r="A104" s="70" t="b">
        <f t="shared" si="7"/>
        <v>1</v>
      </c>
      <c r="B104" s="57">
        <v>2011</v>
      </c>
      <c r="C104" s="76" t="s">
        <v>99</v>
      </c>
      <c r="D104" s="91">
        <v>13</v>
      </c>
      <c r="E104" s="92">
        <v>9</v>
      </c>
      <c r="F104" s="91">
        <v>4</v>
      </c>
      <c r="G104" s="96"/>
      <c r="H104" s="91">
        <v>2</v>
      </c>
      <c r="I104" s="93">
        <v>6</v>
      </c>
      <c r="J104" s="91">
        <v>1</v>
      </c>
      <c r="K104" s="92">
        <v>1</v>
      </c>
      <c r="L104" s="91">
        <v>0</v>
      </c>
      <c r="M104" s="92">
        <v>0</v>
      </c>
      <c r="N104" s="94">
        <v>0</v>
      </c>
      <c r="O104" s="92">
        <v>3</v>
      </c>
      <c r="P104" s="91">
        <v>6</v>
      </c>
      <c r="Q104" s="92">
        <v>0</v>
      </c>
      <c r="R104" s="93">
        <v>6</v>
      </c>
      <c r="S104" s="92">
        <v>0</v>
      </c>
      <c r="T104" s="95">
        <v>0</v>
      </c>
      <c r="U104" s="95">
        <v>9</v>
      </c>
      <c r="W104" s="68">
        <f t="shared" si="8"/>
        <v>-9</v>
      </c>
      <c r="X104" s="68">
        <f t="shared" si="9"/>
        <v>0</v>
      </c>
    </row>
    <row r="105" spans="1:67" ht="15.75" thickBot="1" x14ac:dyDescent="0.3">
      <c r="A105" s="70" t="b">
        <f t="shared" si="7"/>
        <v>1</v>
      </c>
      <c r="B105" s="57">
        <v>2011</v>
      </c>
      <c r="C105" s="77" t="s">
        <v>45</v>
      </c>
      <c r="D105" s="86">
        <v>43</v>
      </c>
      <c r="E105" s="87">
        <v>26</v>
      </c>
      <c r="F105" s="86">
        <v>17</v>
      </c>
      <c r="G105" s="113">
        <v>11</v>
      </c>
      <c r="H105" s="86">
        <v>3</v>
      </c>
      <c r="I105" s="88">
        <v>20</v>
      </c>
      <c r="J105" s="86">
        <v>6</v>
      </c>
      <c r="K105" s="87">
        <v>0</v>
      </c>
      <c r="L105" s="86">
        <v>0</v>
      </c>
      <c r="M105" s="87">
        <v>0</v>
      </c>
      <c r="N105" s="89">
        <v>0</v>
      </c>
      <c r="O105" s="87">
        <v>10</v>
      </c>
      <c r="P105" s="86">
        <v>1</v>
      </c>
      <c r="Q105" s="87">
        <v>2</v>
      </c>
      <c r="R105" s="88">
        <v>3</v>
      </c>
      <c r="S105" s="87">
        <v>19</v>
      </c>
      <c r="T105" s="90">
        <v>18</v>
      </c>
      <c r="U105" s="90">
        <v>22</v>
      </c>
      <c r="W105" s="68">
        <f t="shared" si="8"/>
        <v>-7</v>
      </c>
      <c r="X105" s="68">
        <f t="shared" si="9"/>
        <v>-37</v>
      </c>
    </row>
    <row r="106" spans="1:67" ht="15.75" thickBot="1" x14ac:dyDescent="0.3">
      <c r="A106" s="70" t="b">
        <f t="shared" si="7"/>
        <v>1</v>
      </c>
      <c r="B106" s="57">
        <v>2011</v>
      </c>
      <c r="C106" s="78" t="s">
        <v>46</v>
      </c>
      <c r="D106" s="79">
        <v>31</v>
      </c>
      <c r="E106" s="80">
        <v>13</v>
      </c>
      <c r="F106" s="82">
        <v>8</v>
      </c>
      <c r="G106" s="81">
        <v>20</v>
      </c>
      <c r="H106" s="82">
        <v>2</v>
      </c>
      <c r="I106" s="83">
        <v>10</v>
      </c>
      <c r="J106" s="82">
        <v>1</v>
      </c>
      <c r="K106" s="80">
        <v>2</v>
      </c>
      <c r="L106" s="82">
        <v>0</v>
      </c>
      <c r="M106" s="80">
        <v>0</v>
      </c>
      <c r="N106" s="85">
        <v>0</v>
      </c>
      <c r="O106" s="80">
        <v>4</v>
      </c>
      <c r="P106" s="82">
        <v>1</v>
      </c>
      <c r="Q106" s="80">
        <v>1</v>
      </c>
      <c r="R106" s="83">
        <v>2</v>
      </c>
      <c r="S106" s="80">
        <v>5</v>
      </c>
      <c r="T106" s="84">
        <v>5</v>
      </c>
      <c r="U106" s="84">
        <v>11</v>
      </c>
      <c r="W106" s="68">
        <f t="shared" si="8"/>
        <v>-8</v>
      </c>
      <c r="X106" s="68">
        <f t="shared" si="9"/>
        <v>-10</v>
      </c>
    </row>
    <row r="107" spans="1:67" s="57" customFormat="1" ht="15.75" thickBot="1" x14ac:dyDescent="0.3">
      <c r="A107" s="70" t="b">
        <f t="shared" si="7"/>
        <v>1</v>
      </c>
      <c r="B107" s="57">
        <v>2010</v>
      </c>
      <c r="C107" s="114" t="s">
        <v>47</v>
      </c>
      <c r="D107" s="115">
        <v>2072</v>
      </c>
      <c r="E107" s="116">
        <v>1173</v>
      </c>
      <c r="F107" s="115">
        <v>543</v>
      </c>
      <c r="G107" s="141">
        <v>14.7</v>
      </c>
      <c r="H107" s="115">
        <v>337</v>
      </c>
      <c r="I107" s="116">
        <v>880</v>
      </c>
      <c r="J107" s="115">
        <v>151</v>
      </c>
      <c r="K107" s="116">
        <v>134</v>
      </c>
      <c r="L107" s="115">
        <v>1</v>
      </c>
      <c r="M107" s="116">
        <v>22</v>
      </c>
      <c r="N107" s="115">
        <v>23</v>
      </c>
      <c r="O107" s="116">
        <v>650</v>
      </c>
      <c r="P107" s="115">
        <v>203</v>
      </c>
      <c r="Q107" s="116">
        <v>60</v>
      </c>
      <c r="R107" s="116">
        <v>263</v>
      </c>
      <c r="S107" s="116">
        <v>731</v>
      </c>
      <c r="T107" s="118">
        <v>731</v>
      </c>
      <c r="U107" s="118">
        <v>1096</v>
      </c>
      <c r="V107" s="67"/>
      <c r="W107" s="68">
        <f t="shared" si="8"/>
        <v>-442</v>
      </c>
      <c r="X107" s="68">
        <f t="shared" si="9"/>
        <v>-1462</v>
      </c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</row>
    <row r="108" spans="1:67" ht="15.75" thickBot="1" x14ac:dyDescent="0.3">
      <c r="A108" s="70" t="b">
        <f t="shared" si="7"/>
        <v>1</v>
      </c>
      <c r="B108" s="57">
        <v>2010</v>
      </c>
      <c r="C108" s="73" t="s">
        <v>19</v>
      </c>
      <c r="D108" s="103">
        <v>46</v>
      </c>
      <c r="E108" s="104">
        <v>37</v>
      </c>
      <c r="F108" s="103">
        <v>13</v>
      </c>
      <c r="G108" s="105">
        <v>12.25</v>
      </c>
      <c r="H108" s="103">
        <v>15</v>
      </c>
      <c r="I108" s="106">
        <v>28</v>
      </c>
      <c r="J108" s="103">
        <v>5</v>
      </c>
      <c r="K108" s="104">
        <v>3</v>
      </c>
      <c r="L108" s="103"/>
      <c r="M108" s="104">
        <v>1</v>
      </c>
      <c r="N108" s="107">
        <v>1</v>
      </c>
      <c r="O108" s="104">
        <v>21</v>
      </c>
      <c r="P108" s="103"/>
      <c r="Q108" s="104">
        <v>1</v>
      </c>
      <c r="R108" s="106">
        <v>1</v>
      </c>
      <c r="S108" s="104">
        <v>7</v>
      </c>
      <c r="T108" s="108">
        <v>7</v>
      </c>
      <c r="U108" s="108">
        <v>33</v>
      </c>
      <c r="W108" s="68">
        <f t="shared" si="8"/>
        <v>-30</v>
      </c>
      <c r="X108" s="68">
        <f t="shared" si="9"/>
        <v>-14</v>
      </c>
    </row>
    <row r="109" spans="1:67" ht="15.75" thickBot="1" x14ac:dyDescent="0.3">
      <c r="A109" s="70" t="b">
        <f t="shared" si="7"/>
        <v>1</v>
      </c>
      <c r="B109" s="57">
        <v>2010</v>
      </c>
      <c r="C109" s="71" t="s">
        <v>97</v>
      </c>
      <c r="D109" s="82"/>
      <c r="E109" s="80"/>
      <c r="F109" s="82"/>
      <c r="G109" s="81"/>
      <c r="H109" s="82"/>
      <c r="I109" s="83"/>
      <c r="J109" s="82"/>
      <c r="K109" s="80"/>
      <c r="L109" s="82"/>
      <c r="M109" s="80"/>
      <c r="N109" s="85"/>
      <c r="O109" s="80"/>
      <c r="P109" s="82"/>
      <c r="Q109" s="80"/>
      <c r="R109" s="83"/>
      <c r="S109" s="80"/>
      <c r="T109" s="84"/>
      <c r="U109" s="84"/>
      <c r="W109" s="68">
        <f t="shared" si="8"/>
        <v>0</v>
      </c>
      <c r="X109" s="68">
        <f t="shared" si="9"/>
        <v>0</v>
      </c>
    </row>
    <row r="110" spans="1:67" ht="15.75" thickBot="1" x14ac:dyDescent="0.3">
      <c r="A110" s="70" t="b">
        <f t="shared" si="7"/>
        <v>1</v>
      </c>
      <c r="B110" s="57">
        <v>2010</v>
      </c>
      <c r="C110" s="74" t="s">
        <v>100</v>
      </c>
      <c r="D110" s="97">
        <v>2</v>
      </c>
      <c r="E110" s="98">
        <v>1</v>
      </c>
      <c r="F110" s="97"/>
      <c r="G110" s="99"/>
      <c r="H110" s="97"/>
      <c r="I110" s="100"/>
      <c r="J110" s="97"/>
      <c r="K110" s="98"/>
      <c r="L110" s="97"/>
      <c r="M110" s="98"/>
      <c r="N110" s="101"/>
      <c r="O110" s="98"/>
      <c r="P110" s="97"/>
      <c r="Q110" s="98"/>
      <c r="R110" s="100"/>
      <c r="S110" s="98"/>
      <c r="T110" s="102"/>
      <c r="U110" s="102"/>
      <c r="W110" s="68">
        <f t="shared" si="8"/>
        <v>-1</v>
      </c>
      <c r="X110" s="68">
        <f t="shared" si="9"/>
        <v>0</v>
      </c>
    </row>
    <row r="111" spans="1:67" ht="15.75" thickBot="1" x14ac:dyDescent="0.3">
      <c r="A111" s="70" t="b">
        <f t="shared" si="7"/>
        <v>1</v>
      </c>
      <c r="B111" s="57">
        <v>2010</v>
      </c>
      <c r="C111" s="72" t="s">
        <v>20</v>
      </c>
      <c r="D111" s="82">
        <v>12</v>
      </c>
      <c r="E111" s="80">
        <v>8</v>
      </c>
      <c r="F111" s="82">
        <v>2</v>
      </c>
      <c r="G111" s="81"/>
      <c r="H111" s="82">
        <v>3</v>
      </c>
      <c r="I111" s="83">
        <v>5</v>
      </c>
      <c r="J111" s="82">
        <v>1</v>
      </c>
      <c r="K111" s="80">
        <v>2</v>
      </c>
      <c r="L111" s="82"/>
      <c r="M111" s="80"/>
      <c r="N111" s="85">
        <v>0</v>
      </c>
      <c r="O111" s="80">
        <v>2</v>
      </c>
      <c r="P111" s="82"/>
      <c r="Q111" s="80">
        <v>1</v>
      </c>
      <c r="R111" s="83">
        <v>1</v>
      </c>
      <c r="S111" s="80">
        <v>1</v>
      </c>
      <c r="T111" s="84">
        <v>1</v>
      </c>
      <c r="U111" s="84">
        <v>7</v>
      </c>
      <c r="W111" s="68">
        <f t="shared" si="8"/>
        <v>-7</v>
      </c>
      <c r="X111" s="68">
        <f t="shared" si="9"/>
        <v>-2</v>
      </c>
    </row>
    <row r="112" spans="1:67" ht="15.75" thickBot="1" x14ac:dyDescent="0.3">
      <c r="A112" s="70" t="b">
        <f t="shared" si="7"/>
        <v>1</v>
      </c>
      <c r="B112" s="57">
        <v>2010</v>
      </c>
      <c r="C112" s="75" t="s">
        <v>21</v>
      </c>
      <c r="D112" s="97">
        <v>72</v>
      </c>
      <c r="E112" s="98">
        <v>38</v>
      </c>
      <c r="F112" s="97">
        <v>15</v>
      </c>
      <c r="G112" s="99">
        <v>14</v>
      </c>
      <c r="H112" s="97">
        <v>7</v>
      </c>
      <c r="I112" s="100">
        <v>22</v>
      </c>
      <c r="J112" s="97">
        <v>10</v>
      </c>
      <c r="K112" s="98">
        <v>6</v>
      </c>
      <c r="L112" s="97"/>
      <c r="M112" s="98">
        <v>1</v>
      </c>
      <c r="N112" s="101">
        <v>1</v>
      </c>
      <c r="O112" s="98">
        <v>28</v>
      </c>
      <c r="P112" s="97">
        <v>1</v>
      </c>
      <c r="Q112" s="98">
        <v>1</v>
      </c>
      <c r="R112" s="100">
        <v>2</v>
      </c>
      <c r="S112" s="98">
        <v>15</v>
      </c>
      <c r="T112" s="102">
        <v>15</v>
      </c>
      <c r="U112" s="102">
        <v>34</v>
      </c>
      <c r="W112" s="68">
        <f t="shared" si="8"/>
        <v>-23</v>
      </c>
      <c r="X112" s="68">
        <f t="shared" si="9"/>
        <v>-30</v>
      </c>
    </row>
    <row r="113" spans="1:189" ht="15.75" thickBot="1" x14ac:dyDescent="0.3">
      <c r="A113" s="70" t="b">
        <f t="shared" si="7"/>
        <v>1</v>
      </c>
      <c r="B113" s="57">
        <v>2010</v>
      </c>
      <c r="C113" s="76" t="s">
        <v>22</v>
      </c>
      <c r="D113" s="91">
        <v>50</v>
      </c>
      <c r="E113" s="92">
        <v>33</v>
      </c>
      <c r="F113" s="91">
        <v>15</v>
      </c>
      <c r="G113" s="96">
        <v>18</v>
      </c>
      <c r="H113" s="91">
        <v>14</v>
      </c>
      <c r="I113" s="93">
        <v>29</v>
      </c>
      <c r="J113" s="91">
        <v>2</v>
      </c>
      <c r="K113" s="92">
        <v>2</v>
      </c>
      <c r="L113" s="91"/>
      <c r="M113" s="92">
        <v>1</v>
      </c>
      <c r="N113" s="94">
        <v>1</v>
      </c>
      <c r="O113" s="92">
        <v>20</v>
      </c>
      <c r="P113" s="91">
        <v>1</v>
      </c>
      <c r="Q113" s="92">
        <v>1</v>
      </c>
      <c r="R113" s="93">
        <v>2</v>
      </c>
      <c r="S113" s="92">
        <v>4</v>
      </c>
      <c r="T113" s="95">
        <v>4</v>
      </c>
      <c r="U113" s="95">
        <v>31</v>
      </c>
      <c r="W113" s="68">
        <f t="shared" si="8"/>
        <v>-29</v>
      </c>
      <c r="X113" s="68">
        <f t="shared" si="9"/>
        <v>-8</v>
      </c>
    </row>
    <row r="114" spans="1:189" ht="15.75" thickBot="1" x14ac:dyDescent="0.3">
      <c r="A114" s="70" t="b">
        <f t="shared" si="7"/>
        <v>1</v>
      </c>
      <c r="B114" s="57">
        <v>2010</v>
      </c>
      <c r="C114" s="77" t="s">
        <v>23</v>
      </c>
      <c r="D114" s="86">
        <v>6</v>
      </c>
      <c r="E114" s="87">
        <v>4</v>
      </c>
      <c r="F114" s="86"/>
      <c r="G114" s="113"/>
      <c r="H114" s="86"/>
      <c r="I114" s="88"/>
      <c r="J114" s="86"/>
      <c r="K114" s="87"/>
      <c r="L114" s="86"/>
      <c r="M114" s="87"/>
      <c r="N114" s="89"/>
      <c r="O114" s="87"/>
      <c r="P114" s="86"/>
      <c r="Q114" s="87"/>
      <c r="R114" s="88"/>
      <c r="S114" s="87"/>
      <c r="T114" s="90"/>
      <c r="U114" s="90"/>
      <c r="W114" s="68">
        <f t="shared" si="8"/>
        <v>-4</v>
      </c>
      <c r="X114" s="68">
        <f t="shared" si="9"/>
        <v>0</v>
      </c>
    </row>
    <row r="115" spans="1:189" ht="15.75" thickBot="1" x14ac:dyDescent="0.3">
      <c r="A115" s="70" t="b">
        <f t="shared" si="7"/>
        <v>1</v>
      </c>
      <c r="B115" s="57">
        <v>2010</v>
      </c>
      <c r="C115" s="78" t="s">
        <v>24</v>
      </c>
      <c r="D115" s="79">
        <v>21</v>
      </c>
      <c r="E115" s="80">
        <v>15</v>
      </c>
      <c r="F115" s="82">
        <v>8</v>
      </c>
      <c r="G115" s="81">
        <v>16</v>
      </c>
      <c r="H115" s="82">
        <v>5</v>
      </c>
      <c r="I115" s="83">
        <v>13</v>
      </c>
      <c r="J115" s="82">
        <v>1</v>
      </c>
      <c r="K115" s="80">
        <v>1</v>
      </c>
      <c r="L115" s="82"/>
      <c r="M115" s="80"/>
      <c r="N115" s="85">
        <v>0</v>
      </c>
      <c r="O115" s="80">
        <v>5</v>
      </c>
      <c r="P115" s="82">
        <v>2</v>
      </c>
      <c r="Q115" s="80"/>
      <c r="R115" s="83">
        <v>2</v>
      </c>
      <c r="S115" s="80">
        <v>5</v>
      </c>
      <c r="T115" s="84">
        <v>4</v>
      </c>
      <c r="U115" s="84">
        <v>13</v>
      </c>
      <c r="W115" s="68">
        <f t="shared" si="8"/>
        <v>-10</v>
      </c>
      <c r="X115" s="68">
        <f t="shared" si="9"/>
        <v>-9</v>
      </c>
    </row>
    <row r="116" spans="1:189" ht="15.75" thickBot="1" x14ac:dyDescent="0.3">
      <c r="A116" s="70" t="b">
        <f t="shared" si="7"/>
        <v>1</v>
      </c>
      <c r="B116" s="119">
        <v>2010</v>
      </c>
      <c r="C116" s="73" t="s">
        <v>98</v>
      </c>
      <c r="D116" s="103">
        <v>72</v>
      </c>
      <c r="E116" s="104">
        <v>39</v>
      </c>
      <c r="F116" s="103">
        <v>15</v>
      </c>
      <c r="G116" s="105">
        <v>17.5</v>
      </c>
      <c r="H116" s="103">
        <v>12</v>
      </c>
      <c r="I116" s="106">
        <v>27</v>
      </c>
      <c r="J116" s="103">
        <v>5</v>
      </c>
      <c r="K116" s="104">
        <v>6</v>
      </c>
      <c r="L116" s="103"/>
      <c r="M116" s="104">
        <v>2</v>
      </c>
      <c r="N116" s="107">
        <v>2</v>
      </c>
      <c r="O116" s="104">
        <v>18</v>
      </c>
      <c r="P116" s="103">
        <v>3</v>
      </c>
      <c r="Q116" s="104">
        <v>3</v>
      </c>
      <c r="R116" s="106">
        <v>6</v>
      </c>
      <c r="S116" s="104">
        <v>9</v>
      </c>
      <c r="T116" s="108">
        <v>9</v>
      </c>
      <c r="U116" s="108">
        <v>32</v>
      </c>
      <c r="V116" s="120"/>
      <c r="W116" s="68">
        <f t="shared" si="8"/>
        <v>-30</v>
      </c>
      <c r="X116" s="68">
        <f t="shared" si="9"/>
        <v>-18</v>
      </c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  <c r="DM116" s="69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69"/>
      <c r="EJ116" s="69"/>
      <c r="EK116" s="69"/>
      <c r="EL116" s="69"/>
      <c r="EM116" s="69"/>
      <c r="EN116" s="69"/>
      <c r="EO116" s="69"/>
      <c r="EP116" s="69"/>
      <c r="EQ116" s="69"/>
      <c r="ER116" s="69"/>
      <c r="ES116" s="69"/>
      <c r="ET116" s="69"/>
      <c r="EU116" s="69"/>
      <c r="EV116" s="69"/>
      <c r="EW116" s="69"/>
      <c r="EX116" s="69"/>
      <c r="EY116" s="69"/>
      <c r="EZ116" s="69"/>
      <c r="FA116" s="69"/>
      <c r="FB116" s="69"/>
      <c r="FC116" s="69"/>
      <c r="FD116" s="69"/>
      <c r="FE116" s="69"/>
      <c r="FF116" s="69"/>
      <c r="FG116" s="69"/>
      <c r="FH116" s="69"/>
      <c r="FI116" s="69"/>
      <c r="FJ116" s="69"/>
      <c r="FK116" s="69"/>
      <c r="FL116" s="69"/>
      <c r="FM116" s="69"/>
      <c r="FN116" s="69"/>
      <c r="FO116" s="69"/>
      <c r="FP116" s="69"/>
      <c r="FQ116" s="69"/>
      <c r="FR116" s="69"/>
      <c r="FS116" s="69"/>
      <c r="FT116" s="69"/>
      <c r="FU116" s="69"/>
      <c r="FV116" s="69"/>
      <c r="FW116" s="69"/>
      <c r="FX116" s="69"/>
      <c r="FY116" s="69"/>
      <c r="FZ116" s="69"/>
      <c r="GA116" s="69"/>
      <c r="GB116" s="69"/>
      <c r="GC116" s="69"/>
      <c r="GD116" s="69"/>
      <c r="GE116" s="69"/>
      <c r="GF116" s="69"/>
      <c r="GG116" s="69"/>
    </row>
    <row r="117" spans="1:189" s="69" customFormat="1" ht="15.75" thickBot="1" x14ac:dyDescent="0.3">
      <c r="A117" s="70" t="b">
        <f t="shared" si="7"/>
        <v>1</v>
      </c>
      <c r="B117" s="57">
        <v>2010</v>
      </c>
      <c r="C117" s="71" t="s">
        <v>25</v>
      </c>
      <c r="D117" s="82">
        <v>12</v>
      </c>
      <c r="E117" s="80">
        <v>11</v>
      </c>
      <c r="F117" s="82">
        <v>9</v>
      </c>
      <c r="G117" s="81">
        <v>14</v>
      </c>
      <c r="H117" s="82">
        <v>1</v>
      </c>
      <c r="I117" s="83">
        <v>10</v>
      </c>
      <c r="J117" s="82"/>
      <c r="K117" s="80"/>
      <c r="L117" s="82"/>
      <c r="M117" s="80"/>
      <c r="N117" s="85">
        <v>0</v>
      </c>
      <c r="O117" s="80">
        <v>2</v>
      </c>
      <c r="P117" s="82">
        <v>2</v>
      </c>
      <c r="Q117" s="80"/>
      <c r="R117" s="83">
        <v>2</v>
      </c>
      <c r="S117" s="80">
        <v>1</v>
      </c>
      <c r="T117" s="84">
        <v>1</v>
      </c>
      <c r="U117" s="84">
        <v>11</v>
      </c>
      <c r="V117" s="67"/>
      <c r="W117" s="68">
        <f t="shared" si="8"/>
        <v>-10</v>
      </c>
      <c r="X117" s="68">
        <f t="shared" si="9"/>
        <v>-2</v>
      </c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  <c r="DD117" s="50"/>
      <c r="DE117" s="50"/>
      <c r="DF117" s="50"/>
      <c r="DG117" s="50"/>
      <c r="DH117" s="50"/>
      <c r="DI117" s="50"/>
      <c r="DJ117" s="50"/>
      <c r="DK117" s="50"/>
      <c r="DL117" s="50"/>
      <c r="DM117" s="50"/>
      <c r="DN117" s="50"/>
      <c r="DO117" s="50"/>
      <c r="DP117" s="50"/>
      <c r="DQ117" s="50"/>
      <c r="DR117" s="50"/>
      <c r="DS117" s="50"/>
      <c r="DT117" s="50"/>
      <c r="DU117" s="50"/>
      <c r="DV117" s="50"/>
      <c r="DW117" s="50"/>
      <c r="DX117" s="50"/>
      <c r="DY117" s="50"/>
      <c r="DZ117" s="50"/>
      <c r="EA117" s="50"/>
      <c r="EB117" s="50"/>
      <c r="EC117" s="50"/>
      <c r="ED117" s="50"/>
      <c r="EE117" s="50"/>
      <c r="EF117" s="50"/>
      <c r="EG117" s="50"/>
      <c r="EH117" s="50"/>
      <c r="EI117" s="50"/>
      <c r="EJ117" s="50"/>
      <c r="EK117" s="50"/>
      <c r="EL117" s="50"/>
      <c r="EM117" s="50"/>
      <c r="EN117" s="50"/>
      <c r="EO117" s="50"/>
      <c r="EP117" s="50"/>
      <c r="EQ117" s="50"/>
      <c r="ER117" s="50"/>
      <c r="ES117" s="50"/>
      <c r="ET117" s="50"/>
      <c r="EU117" s="50"/>
      <c r="EV117" s="50"/>
      <c r="EW117" s="50"/>
      <c r="EX117" s="50"/>
      <c r="EY117" s="50"/>
      <c r="EZ117" s="50"/>
      <c r="FA117" s="50"/>
      <c r="FB117" s="50"/>
      <c r="FC117" s="50"/>
      <c r="FD117" s="50"/>
      <c r="FE117" s="50"/>
      <c r="FF117" s="50"/>
      <c r="FG117" s="50"/>
      <c r="FH117" s="50"/>
      <c r="FI117" s="50"/>
      <c r="FJ117" s="50"/>
      <c r="FK117" s="50"/>
      <c r="FL117" s="50"/>
      <c r="FM117" s="50"/>
      <c r="FN117" s="50"/>
      <c r="FO117" s="50"/>
      <c r="FP117" s="50"/>
      <c r="FQ117" s="50"/>
      <c r="FR117" s="50"/>
      <c r="FS117" s="50"/>
      <c r="FT117" s="50"/>
      <c r="FU117" s="50"/>
      <c r="FV117" s="50"/>
      <c r="FW117" s="50"/>
      <c r="FX117" s="50"/>
      <c r="FY117" s="50"/>
      <c r="FZ117" s="50"/>
      <c r="GA117" s="50"/>
      <c r="GB117" s="50"/>
      <c r="GC117" s="50"/>
      <c r="GD117" s="50"/>
      <c r="GE117" s="50"/>
      <c r="GF117" s="50"/>
      <c r="GG117" s="50"/>
    </row>
    <row r="118" spans="1:189" ht="15.75" thickBot="1" x14ac:dyDescent="0.3">
      <c r="A118" s="70" t="b">
        <f t="shared" si="7"/>
        <v>1</v>
      </c>
      <c r="B118" s="57">
        <v>2010</v>
      </c>
      <c r="C118" s="74" t="s">
        <v>26</v>
      </c>
      <c r="D118" s="97">
        <v>51</v>
      </c>
      <c r="E118" s="98">
        <v>28</v>
      </c>
      <c r="F118" s="97">
        <v>19</v>
      </c>
      <c r="G118" s="99">
        <v>12.38</v>
      </c>
      <c r="H118" s="97">
        <v>5</v>
      </c>
      <c r="I118" s="100">
        <v>24</v>
      </c>
      <c r="J118" s="97">
        <v>2</v>
      </c>
      <c r="K118" s="98">
        <v>2</v>
      </c>
      <c r="L118" s="97"/>
      <c r="M118" s="98"/>
      <c r="N118" s="101">
        <v>0</v>
      </c>
      <c r="O118" s="98">
        <v>13</v>
      </c>
      <c r="P118" s="97">
        <v>4</v>
      </c>
      <c r="Q118" s="98"/>
      <c r="R118" s="100">
        <v>4</v>
      </c>
      <c r="S118" s="98">
        <v>2</v>
      </c>
      <c r="T118" s="102">
        <v>2</v>
      </c>
      <c r="U118" s="102">
        <v>27</v>
      </c>
      <c r="W118" s="68">
        <f t="shared" si="8"/>
        <v>-26</v>
      </c>
      <c r="X118" s="68">
        <f t="shared" si="9"/>
        <v>-4</v>
      </c>
    </row>
    <row r="119" spans="1:189" ht="15.75" thickBot="1" x14ac:dyDescent="0.3">
      <c r="A119" s="70" t="b">
        <f t="shared" si="7"/>
        <v>1</v>
      </c>
      <c r="B119" s="57">
        <v>2010</v>
      </c>
      <c r="C119" s="72" t="s">
        <v>27</v>
      </c>
      <c r="D119" s="82">
        <v>467</v>
      </c>
      <c r="E119" s="80">
        <v>224</v>
      </c>
      <c r="F119" s="82">
        <v>65</v>
      </c>
      <c r="G119" s="81">
        <v>11.75</v>
      </c>
      <c r="H119" s="82">
        <v>100</v>
      </c>
      <c r="I119" s="83">
        <v>165</v>
      </c>
      <c r="J119" s="82">
        <v>32</v>
      </c>
      <c r="K119" s="80">
        <v>26</v>
      </c>
      <c r="L119" s="82"/>
      <c r="M119" s="80">
        <v>5</v>
      </c>
      <c r="N119" s="85">
        <v>5</v>
      </c>
      <c r="O119" s="80">
        <v>122</v>
      </c>
      <c r="P119" s="82">
        <v>80</v>
      </c>
      <c r="Q119" s="80">
        <v>11</v>
      </c>
      <c r="R119" s="83">
        <v>91</v>
      </c>
      <c r="S119" s="80">
        <v>191</v>
      </c>
      <c r="T119" s="84">
        <v>185</v>
      </c>
      <c r="U119" s="84">
        <v>212</v>
      </c>
      <c r="W119" s="68">
        <f t="shared" si="8"/>
        <v>-33</v>
      </c>
      <c r="X119" s="68">
        <f t="shared" si="9"/>
        <v>-376</v>
      </c>
    </row>
    <row r="120" spans="1:189" ht="15.75" thickBot="1" x14ac:dyDescent="0.3">
      <c r="A120" s="70" t="b">
        <f t="shared" si="7"/>
        <v>1</v>
      </c>
      <c r="B120" s="57">
        <v>2010</v>
      </c>
      <c r="C120" s="75" t="s">
        <v>103</v>
      </c>
      <c r="D120" s="97">
        <v>20</v>
      </c>
      <c r="E120" s="98">
        <v>18</v>
      </c>
      <c r="F120" s="97">
        <v>7</v>
      </c>
      <c r="G120" s="99">
        <v>15</v>
      </c>
      <c r="H120" s="97">
        <v>3</v>
      </c>
      <c r="I120" s="100">
        <v>10</v>
      </c>
      <c r="J120" s="97">
        <v>4</v>
      </c>
      <c r="K120" s="98">
        <v>4</v>
      </c>
      <c r="L120" s="97"/>
      <c r="M120" s="98"/>
      <c r="N120" s="101">
        <v>0</v>
      </c>
      <c r="O120" s="98">
        <v>16</v>
      </c>
      <c r="P120" s="97">
        <v>5</v>
      </c>
      <c r="Q120" s="98"/>
      <c r="R120" s="100">
        <v>5</v>
      </c>
      <c r="S120" s="98">
        <v>2</v>
      </c>
      <c r="T120" s="102">
        <v>2</v>
      </c>
      <c r="U120" s="102">
        <v>11</v>
      </c>
      <c r="W120" s="68">
        <f t="shared" si="8"/>
        <v>-16</v>
      </c>
      <c r="X120" s="68">
        <f t="shared" si="9"/>
        <v>-4</v>
      </c>
    </row>
    <row r="121" spans="1:189" ht="15.75" thickBot="1" x14ac:dyDescent="0.3">
      <c r="A121" s="70" t="b">
        <f t="shared" si="7"/>
        <v>1</v>
      </c>
      <c r="B121" s="57">
        <v>2010</v>
      </c>
      <c r="C121" s="76" t="s">
        <v>28</v>
      </c>
      <c r="D121" s="91">
        <v>30</v>
      </c>
      <c r="E121" s="92">
        <v>25</v>
      </c>
      <c r="F121" s="91">
        <v>10</v>
      </c>
      <c r="G121" s="96">
        <v>12.36</v>
      </c>
      <c r="H121" s="91">
        <v>9</v>
      </c>
      <c r="I121" s="93">
        <v>19</v>
      </c>
      <c r="J121" s="91">
        <v>4</v>
      </c>
      <c r="K121" s="92">
        <v>2</v>
      </c>
      <c r="L121" s="91"/>
      <c r="M121" s="92">
        <v>1</v>
      </c>
      <c r="N121" s="94">
        <v>1</v>
      </c>
      <c r="O121" s="92">
        <v>21</v>
      </c>
      <c r="P121" s="91">
        <v>13</v>
      </c>
      <c r="Q121" s="92"/>
      <c r="R121" s="93">
        <v>13</v>
      </c>
      <c r="S121" s="92">
        <v>7</v>
      </c>
      <c r="T121" s="95">
        <v>7</v>
      </c>
      <c r="U121" s="95">
        <v>24</v>
      </c>
      <c r="W121" s="68">
        <f t="shared" si="8"/>
        <v>-18</v>
      </c>
      <c r="X121" s="68">
        <f t="shared" si="9"/>
        <v>-14</v>
      </c>
    </row>
    <row r="122" spans="1:189" ht="15.75" thickBot="1" x14ac:dyDescent="0.3">
      <c r="A122" s="70" t="b">
        <f t="shared" si="7"/>
        <v>1</v>
      </c>
      <c r="B122" s="57">
        <v>2010</v>
      </c>
      <c r="C122" s="77" t="s">
        <v>29</v>
      </c>
      <c r="D122" s="86">
        <v>17</v>
      </c>
      <c r="E122" s="87">
        <v>14</v>
      </c>
      <c r="F122" s="86">
        <v>7</v>
      </c>
      <c r="G122" s="113">
        <v>17.5</v>
      </c>
      <c r="H122" s="86">
        <v>2</v>
      </c>
      <c r="I122" s="88">
        <v>9</v>
      </c>
      <c r="J122" s="86">
        <v>2</v>
      </c>
      <c r="K122" s="87">
        <v>3</v>
      </c>
      <c r="L122" s="86"/>
      <c r="M122" s="87"/>
      <c r="N122" s="89">
        <v>0</v>
      </c>
      <c r="O122" s="87">
        <v>5</v>
      </c>
      <c r="P122" s="86">
        <v>1</v>
      </c>
      <c r="Q122" s="87"/>
      <c r="R122" s="88">
        <v>1</v>
      </c>
      <c r="S122" s="87"/>
      <c r="T122" s="90"/>
      <c r="U122" s="90">
        <v>12</v>
      </c>
      <c r="W122" s="68">
        <f t="shared" si="8"/>
        <v>-14</v>
      </c>
      <c r="X122" s="68">
        <f t="shared" si="9"/>
        <v>0</v>
      </c>
    </row>
    <row r="123" spans="1:189" ht="15.75" thickBot="1" x14ac:dyDescent="0.3">
      <c r="A123" s="70" t="b">
        <f t="shared" si="7"/>
        <v>1</v>
      </c>
      <c r="B123" s="57">
        <v>2010</v>
      </c>
      <c r="C123" s="78" t="s">
        <v>104</v>
      </c>
      <c r="D123" s="79"/>
      <c r="E123" s="80"/>
      <c r="F123" s="82"/>
      <c r="G123" s="81"/>
      <c r="H123" s="82"/>
      <c r="I123" s="83"/>
      <c r="J123" s="82"/>
      <c r="K123" s="80"/>
      <c r="L123" s="82"/>
      <c r="M123" s="80"/>
      <c r="N123" s="85"/>
      <c r="O123" s="80"/>
      <c r="P123" s="82"/>
      <c r="Q123" s="80"/>
      <c r="R123" s="83"/>
      <c r="S123" s="80"/>
      <c r="T123" s="84"/>
      <c r="U123" s="84"/>
      <c r="W123" s="68"/>
      <c r="X123" s="68"/>
    </row>
    <row r="124" spans="1:189" ht="15.75" thickBot="1" x14ac:dyDescent="0.3">
      <c r="A124" s="70" t="b">
        <f t="shared" si="7"/>
        <v>1</v>
      </c>
      <c r="B124" s="57">
        <v>2010</v>
      </c>
      <c r="C124" s="73" t="s">
        <v>30</v>
      </c>
      <c r="D124" s="103">
        <v>8</v>
      </c>
      <c r="E124" s="104">
        <v>6</v>
      </c>
      <c r="F124" s="103">
        <v>2</v>
      </c>
      <c r="G124" s="105"/>
      <c r="H124" s="103">
        <v>1</v>
      </c>
      <c r="I124" s="106">
        <v>3</v>
      </c>
      <c r="J124" s="103">
        <v>3</v>
      </c>
      <c r="K124" s="104"/>
      <c r="L124" s="103"/>
      <c r="M124" s="104"/>
      <c r="N124" s="107">
        <v>0</v>
      </c>
      <c r="O124" s="104">
        <v>3</v>
      </c>
      <c r="P124" s="103">
        <v>1</v>
      </c>
      <c r="Q124" s="104"/>
      <c r="R124" s="106">
        <v>1</v>
      </c>
      <c r="S124" s="104">
        <v>2</v>
      </c>
      <c r="T124" s="108">
        <v>2</v>
      </c>
      <c r="U124" s="108">
        <v>5</v>
      </c>
      <c r="W124" s="68">
        <f t="shared" ref="W124:W157" si="10">S124-E124</f>
        <v>-4</v>
      </c>
      <c r="X124" s="68">
        <f t="shared" ref="X124:X157" si="11">-T124-S124</f>
        <v>-4</v>
      </c>
    </row>
    <row r="125" spans="1:189" ht="15.75" thickBot="1" x14ac:dyDescent="0.3">
      <c r="A125" s="70" t="b">
        <f t="shared" si="7"/>
        <v>1</v>
      </c>
      <c r="B125" s="57">
        <v>2010</v>
      </c>
      <c r="C125" s="71" t="s">
        <v>31</v>
      </c>
      <c r="D125" s="82">
        <v>6</v>
      </c>
      <c r="E125" s="80">
        <v>5</v>
      </c>
      <c r="F125" s="82">
        <v>1</v>
      </c>
      <c r="G125" s="81"/>
      <c r="H125" s="82">
        <v>1</v>
      </c>
      <c r="I125" s="83">
        <v>2</v>
      </c>
      <c r="J125" s="82">
        <v>1</v>
      </c>
      <c r="K125" s="80">
        <v>2</v>
      </c>
      <c r="L125" s="82"/>
      <c r="M125" s="80"/>
      <c r="N125" s="85">
        <v>0</v>
      </c>
      <c r="O125" s="80">
        <v>4</v>
      </c>
      <c r="P125" s="82"/>
      <c r="Q125" s="80"/>
      <c r="R125" s="83">
        <v>0</v>
      </c>
      <c r="S125" s="80">
        <v>1</v>
      </c>
      <c r="T125" s="84">
        <v>1</v>
      </c>
      <c r="U125" s="84">
        <v>4</v>
      </c>
      <c r="W125" s="68">
        <f t="shared" si="10"/>
        <v>-4</v>
      </c>
      <c r="X125" s="68">
        <f t="shared" si="11"/>
        <v>-2</v>
      </c>
    </row>
    <row r="126" spans="1:189" ht="15.75" thickBot="1" x14ac:dyDescent="0.3">
      <c r="A126" s="70" t="b">
        <f t="shared" si="7"/>
        <v>1</v>
      </c>
      <c r="B126" s="57">
        <v>2010</v>
      </c>
      <c r="C126" s="74" t="s">
        <v>32</v>
      </c>
      <c r="D126" s="97">
        <v>21</v>
      </c>
      <c r="E126" s="98">
        <v>14</v>
      </c>
      <c r="F126" s="97">
        <v>11</v>
      </c>
      <c r="G126" s="99">
        <v>12.75</v>
      </c>
      <c r="H126" s="97">
        <v>1</v>
      </c>
      <c r="I126" s="100">
        <v>12</v>
      </c>
      <c r="J126" s="97">
        <v>1</v>
      </c>
      <c r="K126" s="98">
        <v>1</v>
      </c>
      <c r="L126" s="97"/>
      <c r="M126" s="98"/>
      <c r="N126" s="101">
        <v>0</v>
      </c>
      <c r="O126" s="98">
        <v>8</v>
      </c>
      <c r="P126" s="97">
        <v>2</v>
      </c>
      <c r="Q126" s="98"/>
      <c r="R126" s="100">
        <v>2</v>
      </c>
      <c r="S126" s="98">
        <v>4</v>
      </c>
      <c r="T126" s="102">
        <v>3</v>
      </c>
      <c r="U126" s="102">
        <v>14</v>
      </c>
      <c r="W126" s="68">
        <f t="shared" si="10"/>
        <v>-10</v>
      </c>
      <c r="X126" s="68">
        <f t="shared" si="11"/>
        <v>-7</v>
      </c>
    </row>
    <row r="127" spans="1:189" ht="15.75" thickBot="1" x14ac:dyDescent="0.3">
      <c r="A127" s="70" t="b">
        <f t="shared" si="7"/>
        <v>1</v>
      </c>
      <c r="B127" s="57">
        <v>2010</v>
      </c>
      <c r="C127" s="72" t="s">
        <v>33</v>
      </c>
      <c r="D127" s="82">
        <v>5</v>
      </c>
      <c r="E127" s="80">
        <v>1</v>
      </c>
      <c r="F127" s="82"/>
      <c r="G127" s="81"/>
      <c r="H127" s="82"/>
      <c r="I127" s="83"/>
      <c r="J127" s="82"/>
      <c r="K127" s="80"/>
      <c r="L127" s="82"/>
      <c r="M127" s="80"/>
      <c r="N127" s="85"/>
      <c r="O127" s="80"/>
      <c r="P127" s="82"/>
      <c r="Q127" s="80"/>
      <c r="R127" s="83"/>
      <c r="S127" s="80"/>
      <c r="T127" s="84"/>
      <c r="U127" s="84"/>
      <c r="W127" s="68">
        <f t="shared" si="10"/>
        <v>-1</v>
      </c>
      <c r="X127" s="68">
        <f t="shared" si="11"/>
        <v>0</v>
      </c>
    </row>
    <row r="128" spans="1:189" ht="15.75" thickBot="1" x14ac:dyDescent="0.3">
      <c r="A128" s="70" t="b">
        <f t="shared" si="7"/>
        <v>1</v>
      </c>
      <c r="B128" s="57">
        <v>2010</v>
      </c>
      <c r="C128" s="75" t="s">
        <v>34</v>
      </c>
      <c r="D128" s="97">
        <v>4</v>
      </c>
      <c r="E128" s="98">
        <v>2</v>
      </c>
      <c r="F128" s="97"/>
      <c r="G128" s="99"/>
      <c r="H128" s="97"/>
      <c r="I128" s="100"/>
      <c r="J128" s="97"/>
      <c r="K128" s="98"/>
      <c r="L128" s="97"/>
      <c r="M128" s="98"/>
      <c r="N128" s="101"/>
      <c r="O128" s="98"/>
      <c r="P128" s="97"/>
      <c r="Q128" s="98"/>
      <c r="R128" s="100"/>
      <c r="S128" s="98"/>
      <c r="T128" s="102"/>
      <c r="U128" s="102"/>
      <c r="W128" s="68">
        <f t="shared" si="10"/>
        <v>-2</v>
      </c>
      <c r="X128" s="68">
        <f t="shared" si="11"/>
        <v>0</v>
      </c>
    </row>
    <row r="129" spans="1:67" ht="15.75" thickBot="1" x14ac:dyDescent="0.3">
      <c r="A129" s="70" t="b">
        <f t="shared" si="7"/>
        <v>1</v>
      </c>
      <c r="B129" s="119">
        <v>2010</v>
      </c>
      <c r="C129" s="76" t="s">
        <v>35</v>
      </c>
      <c r="D129" s="91">
        <v>11</v>
      </c>
      <c r="E129" s="92">
        <v>5</v>
      </c>
      <c r="F129" s="91">
        <v>5</v>
      </c>
      <c r="G129" s="96">
        <v>18.25</v>
      </c>
      <c r="H129" s="91"/>
      <c r="I129" s="93">
        <v>5</v>
      </c>
      <c r="J129" s="91"/>
      <c r="K129" s="92"/>
      <c r="L129" s="91"/>
      <c r="M129" s="92"/>
      <c r="N129" s="94">
        <v>0</v>
      </c>
      <c r="O129" s="92">
        <v>5</v>
      </c>
      <c r="P129" s="91">
        <v>1</v>
      </c>
      <c r="Q129" s="92"/>
      <c r="R129" s="93">
        <v>1</v>
      </c>
      <c r="S129" s="92">
        <v>3</v>
      </c>
      <c r="T129" s="95">
        <v>2</v>
      </c>
      <c r="U129" s="95">
        <v>5</v>
      </c>
      <c r="W129" s="68">
        <f t="shared" si="10"/>
        <v>-2</v>
      </c>
      <c r="X129" s="68">
        <f t="shared" si="11"/>
        <v>-5</v>
      </c>
    </row>
    <row r="130" spans="1:67" ht="15.75" thickBot="1" x14ac:dyDescent="0.3">
      <c r="A130" s="70" t="b">
        <f t="shared" si="7"/>
        <v>1</v>
      </c>
      <c r="B130" s="57">
        <v>2010</v>
      </c>
      <c r="C130" s="77" t="s">
        <v>36</v>
      </c>
      <c r="D130" s="86">
        <v>16</v>
      </c>
      <c r="E130" s="87">
        <v>10</v>
      </c>
      <c r="F130" s="86">
        <v>5</v>
      </c>
      <c r="G130" s="113">
        <v>20</v>
      </c>
      <c r="H130" s="86">
        <v>2</v>
      </c>
      <c r="I130" s="88">
        <v>7</v>
      </c>
      <c r="J130" s="86">
        <v>3</v>
      </c>
      <c r="K130" s="87"/>
      <c r="L130" s="86"/>
      <c r="M130" s="87"/>
      <c r="N130" s="89">
        <v>0</v>
      </c>
      <c r="O130" s="87">
        <v>5</v>
      </c>
      <c r="P130" s="86">
        <v>1</v>
      </c>
      <c r="Q130" s="87"/>
      <c r="R130" s="88">
        <v>1</v>
      </c>
      <c r="S130" s="87"/>
      <c r="T130" s="90"/>
      <c r="U130" s="90">
        <v>9</v>
      </c>
      <c r="W130" s="68">
        <f t="shared" si="10"/>
        <v>-10</v>
      </c>
      <c r="X130" s="68">
        <f t="shared" si="11"/>
        <v>0</v>
      </c>
    </row>
    <row r="131" spans="1:67" ht="15.75" thickBot="1" x14ac:dyDescent="0.3">
      <c r="A131" s="70" t="b">
        <f t="shared" si="7"/>
        <v>1</v>
      </c>
      <c r="B131" s="57">
        <v>2010</v>
      </c>
      <c r="C131" s="78" t="s">
        <v>37</v>
      </c>
      <c r="D131" s="79">
        <v>11</v>
      </c>
      <c r="E131" s="80">
        <v>9</v>
      </c>
      <c r="F131" s="82">
        <v>6</v>
      </c>
      <c r="G131" s="81">
        <v>16.239999999999998</v>
      </c>
      <c r="H131" s="82">
        <v>2</v>
      </c>
      <c r="I131" s="83">
        <v>8</v>
      </c>
      <c r="J131" s="82">
        <v>1</v>
      </c>
      <c r="K131" s="80"/>
      <c r="L131" s="82"/>
      <c r="M131" s="80"/>
      <c r="N131" s="85">
        <v>0</v>
      </c>
      <c r="O131" s="80">
        <v>2</v>
      </c>
      <c r="P131" s="82">
        <v>2</v>
      </c>
      <c r="Q131" s="80"/>
      <c r="R131" s="83">
        <v>2</v>
      </c>
      <c r="S131" s="80"/>
      <c r="T131" s="84"/>
      <c r="U131" s="84">
        <v>9</v>
      </c>
      <c r="W131" s="68">
        <f t="shared" si="10"/>
        <v>-9</v>
      </c>
      <c r="X131" s="68">
        <f t="shared" si="11"/>
        <v>0</v>
      </c>
    </row>
    <row r="132" spans="1:67" ht="15.75" thickBot="1" x14ac:dyDescent="0.3">
      <c r="A132" s="70" t="b">
        <f t="shared" si="7"/>
        <v>1</v>
      </c>
      <c r="B132" s="57">
        <v>2010</v>
      </c>
      <c r="C132" s="73" t="s">
        <v>38</v>
      </c>
      <c r="D132" s="103">
        <v>32</v>
      </c>
      <c r="E132" s="104">
        <v>16</v>
      </c>
      <c r="F132" s="103">
        <v>8</v>
      </c>
      <c r="G132" s="105">
        <v>14</v>
      </c>
      <c r="H132" s="103">
        <v>4</v>
      </c>
      <c r="I132" s="106">
        <v>12</v>
      </c>
      <c r="J132" s="103">
        <v>3</v>
      </c>
      <c r="K132" s="104">
        <v>1</v>
      </c>
      <c r="L132" s="103"/>
      <c r="M132" s="104"/>
      <c r="N132" s="107">
        <v>0</v>
      </c>
      <c r="O132" s="104">
        <v>5</v>
      </c>
      <c r="P132" s="103">
        <v>3</v>
      </c>
      <c r="Q132" s="104">
        <v>1</v>
      </c>
      <c r="R132" s="106">
        <v>4</v>
      </c>
      <c r="S132" s="104">
        <v>5</v>
      </c>
      <c r="T132" s="108">
        <v>5</v>
      </c>
      <c r="U132" s="108">
        <v>13</v>
      </c>
      <c r="W132" s="68">
        <f t="shared" si="10"/>
        <v>-11</v>
      </c>
      <c r="X132" s="68">
        <f t="shared" si="11"/>
        <v>-10</v>
      </c>
    </row>
    <row r="133" spans="1:67" ht="15.75" thickBot="1" x14ac:dyDescent="0.3">
      <c r="A133" s="70" t="b">
        <f t="shared" ref="A133:A196" si="12">C133=C168</f>
        <v>1</v>
      </c>
      <c r="B133" s="57">
        <v>2010</v>
      </c>
      <c r="C133" s="71" t="s">
        <v>39</v>
      </c>
      <c r="D133" s="82">
        <v>22</v>
      </c>
      <c r="E133" s="80">
        <v>10</v>
      </c>
      <c r="F133" s="82">
        <v>5</v>
      </c>
      <c r="G133" s="81"/>
      <c r="H133" s="82">
        <v>3</v>
      </c>
      <c r="I133" s="83">
        <v>8</v>
      </c>
      <c r="J133" s="82">
        <v>1</v>
      </c>
      <c r="K133" s="80"/>
      <c r="L133" s="82"/>
      <c r="M133" s="80"/>
      <c r="N133" s="85">
        <v>0</v>
      </c>
      <c r="O133" s="80">
        <v>6</v>
      </c>
      <c r="P133" s="82">
        <v>3</v>
      </c>
      <c r="Q133" s="80">
        <v>1</v>
      </c>
      <c r="R133" s="83">
        <v>4</v>
      </c>
      <c r="S133" s="80"/>
      <c r="T133" s="84"/>
      <c r="U133" s="84">
        <v>10</v>
      </c>
      <c r="W133" s="68">
        <f t="shared" si="10"/>
        <v>-10</v>
      </c>
      <c r="X133" s="68">
        <f t="shared" si="11"/>
        <v>0</v>
      </c>
    </row>
    <row r="134" spans="1:67" ht="15.75" thickBot="1" x14ac:dyDescent="0.3">
      <c r="A134" s="70" t="b">
        <f t="shared" si="12"/>
        <v>1</v>
      </c>
      <c r="B134" s="57">
        <v>2010</v>
      </c>
      <c r="C134" s="73" t="s">
        <v>40</v>
      </c>
      <c r="D134" s="103">
        <v>681</v>
      </c>
      <c r="E134" s="104">
        <v>349</v>
      </c>
      <c r="F134" s="103">
        <v>151</v>
      </c>
      <c r="G134" s="105">
        <v>11.5</v>
      </c>
      <c r="H134" s="103">
        <v>90</v>
      </c>
      <c r="I134" s="106">
        <v>241</v>
      </c>
      <c r="J134" s="103">
        <v>42</v>
      </c>
      <c r="K134" s="104">
        <v>63</v>
      </c>
      <c r="L134" s="103"/>
      <c r="M134" s="104">
        <v>5</v>
      </c>
      <c r="N134" s="107">
        <v>5</v>
      </c>
      <c r="O134" s="104">
        <v>249</v>
      </c>
      <c r="P134" s="103">
        <v>33</v>
      </c>
      <c r="Q134" s="104">
        <v>25</v>
      </c>
      <c r="R134" s="106">
        <v>58</v>
      </c>
      <c r="S134" s="104">
        <v>306</v>
      </c>
      <c r="T134" s="108">
        <v>306</v>
      </c>
      <c r="U134" s="108">
        <v>340</v>
      </c>
      <c r="W134" s="68">
        <f t="shared" si="10"/>
        <v>-43</v>
      </c>
      <c r="X134" s="68">
        <f t="shared" si="11"/>
        <v>-612</v>
      </c>
    </row>
    <row r="135" spans="1:67" ht="15.75" thickBot="1" x14ac:dyDescent="0.3">
      <c r="A135" s="70" t="b">
        <f t="shared" si="12"/>
        <v>1</v>
      </c>
      <c r="B135" s="57">
        <v>2010</v>
      </c>
      <c r="C135" s="71" t="s">
        <v>41</v>
      </c>
      <c r="D135" s="82">
        <v>29</v>
      </c>
      <c r="E135" s="80">
        <v>18</v>
      </c>
      <c r="F135" s="82">
        <v>7</v>
      </c>
      <c r="G135" s="81">
        <v>13.4</v>
      </c>
      <c r="H135" s="82">
        <v>8</v>
      </c>
      <c r="I135" s="83">
        <v>15</v>
      </c>
      <c r="J135" s="82">
        <v>2</v>
      </c>
      <c r="K135" s="80">
        <v>1</v>
      </c>
      <c r="L135" s="82"/>
      <c r="M135" s="80"/>
      <c r="N135" s="85">
        <v>0</v>
      </c>
      <c r="O135" s="80">
        <v>10</v>
      </c>
      <c r="P135" s="82">
        <v>4</v>
      </c>
      <c r="Q135" s="80">
        <v>1</v>
      </c>
      <c r="R135" s="83">
        <v>5</v>
      </c>
      <c r="S135" s="80">
        <v>15</v>
      </c>
      <c r="T135" s="84">
        <v>15</v>
      </c>
      <c r="U135" s="84">
        <v>12</v>
      </c>
      <c r="W135" s="68">
        <f t="shared" si="10"/>
        <v>-3</v>
      </c>
      <c r="X135" s="68">
        <f t="shared" si="11"/>
        <v>-30</v>
      </c>
    </row>
    <row r="136" spans="1:67" ht="15.75" thickBot="1" x14ac:dyDescent="0.3">
      <c r="A136" s="70" t="b">
        <f t="shared" si="12"/>
        <v>1</v>
      </c>
      <c r="B136" s="57">
        <v>2010</v>
      </c>
      <c r="C136" s="74" t="s">
        <v>42</v>
      </c>
      <c r="D136" s="97">
        <v>36</v>
      </c>
      <c r="E136" s="98">
        <v>19</v>
      </c>
      <c r="F136" s="97">
        <v>9</v>
      </c>
      <c r="G136" s="99">
        <v>13</v>
      </c>
      <c r="H136" s="97">
        <v>5</v>
      </c>
      <c r="I136" s="100">
        <v>14</v>
      </c>
      <c r="J136" s="97">
        <v>3</v>
      </c>
      <c r="K136" s="98">
        <v>2</v>
      </c>
      <c r="L136" s="97"/>
      <c r="M136" s="98"/>
      <c r="N136" s="101">
        <v>0</v>
      </c>
      <c r="O136" s="98">
        <v>7</v>
      </c>
      <c r="P136" s="97">
        <v>3</v>
      </c>
      <c r="Q136" s="98">
        <v>2</v>
      </c>
      <c r="R136" s="100">
        <v>5</v>
      </c>
      <c r="S136" s="98">
        <v>3</v>
      </c>
      <c r="T136" s="102">
        <v>3</v>
      </c>
      <c r="U136" s="102">
        <v>19</v>
      </c>
      <c r="W136" s="68">
        <f t="shared" si="10"/>
        <v>-16</v>
      </c>
      <c r="X136" s="68">
        <f t="shared" si="11"/>
        <v>-6</v>
      </c>
    </row>
    <row r="137" spans="1:67" ht="15.75" thickBot="1" x14ac:dyDescent="0.3">
      <c r="A137" s="70" t="b">
        <f t="shared" si="12"/>
        <v>1</v>
      </c>
      <c r="B137" s="57">
        <v>2010</v>
      </c>
      <c r="C137" s="72" t="s">
        <v>43</v>
      </c>
      <c r="D137" s="82">
        <v>56</v>
      </c>
      <c r="E137" s="80">
        <v>40</v>
      </c>
      <c r="F137" s="82">
        <v>25</v>
      </c>
      <c r="G137" s="81">
        <v>20</v>
      </c>
      <c r="H137" s="82">
        <v>7</v>
      </c>
      <c r="I137" s="83">
        <v>32</v>
      </c>
      <c r="J137" s="82">
        <v>6</v>
      </c>
      <c r="K137" s="80">
        <v>2</v>
      </c>
      <c r="L137" s="82"/>
      <c r="M137" s="80"/>
      <c r="N137" s="85">
        <v>0</v>
      </c>
      <c r="O137" s="80">
        <v>21</v>
      </c>
      <c r="P137" s="82">
        <v>4</v>
      </c>
      <c r="Q137" s="80">
        <v>3</v>
      </c>
      <c r="R137" s="83">
        <v>7</v>
      </c>
      <c r="S137" s="80">
        <v>37</v>
      </c>
      <c r="T137" s="84">
        <v>35</v>
      </c>
      <c r="U137" s="84">
        <v>35</v>
      </c>
      <c r="W137" s="68">
        <f t="shared" si="10"/>
        <v>-3</v>
      </c>
      <c r="X137" s="68">
        <f t="shared" si="11"/>
        <v>-72</v>
      </c>
    </row>
    <row r="138" spans="1:67" ht="15.75" thickBot="1" x14ac:dyDescent="0.3">
      <c r="A138" s="70" t="b">
        <f t="shared" si="12"/>
        <v>1</v>
      </c>
      <c r="B138" s="57">
        <v>2010</v>
      </c>
      <c r="C138" s="75" t="s">
        <v>44</v>
      </c>
      <c r="D138" s="97">
        <v>174</v>
      </c>
      <c r="E138" s="98">
        <v>123</v>
      </c>
      <c r="F138" s="97">
        <v>91</v>
      </c>
      <c r="G138" s="99">
        <v>24.07</v>
      </c>
      <c r="H138" s="97">
        <v>21</v>
      </c>
      <c r="I138" s="100">
        <v>112</v>
      </c>
      <c r="J138" s="97">
        <v>7</v>
      </c>
      <c r="K138" s="98">
        <v>4</v>
      </c>
      <c r="L138" s="97">
        <v>1</v>
      </c>
      <c r="M138" s="98">
        <v>4</v>
      </c>
      <c r="N138" s="101">
        <v>5</v>
      </c>
      <c r="O138" s="98">
        <v>29</v>
      </c>
      <c r="P138" s="97">
        <v>24</v>
      </c>
      <c r="Q138" s="98">
        <v>3</v>
      </c>
      <c r="R138" s="100">
        <v>27</v>
      </c>
      <c r="S138" s="98">
        <v>120</v>
      </c>
      <c r="T138" s="102">
        <v>120</v>
      </c>
      <c r="U138" s="102">
        <v>118</v>
      </c>
      <c r="W138" s="68">
        <f t="shared" si="10"/>
        <v>-3</v>
      </c>
      <c r="X138" s="68">
        <f t="shared" si="11"/>
        <v>-240</v>
      </c>
    </row>
    <row r="139" spans="1:67" ht="26.25" thickBot="1" x14ac:dyDescent="0.3">
      <c r="A139" s="70" t="b">
        <f t="shared" si="12"/>
        <v>1</v>
      </c>
      <c r="B139" s="57">
        <v>2010</v>
      </c>
      <c r="C139" s="76" t="s">
        <v>99</v>
      </c>
      <c r="D139" s="91">
        <v>11</v>
      </c>
      <c r="E139" s="92">
        <v>7</v>
      </c>
      <c r="F139" s="91">
        <v>5</v>
      </c>
      <c r="G139" s="96"/>
      <c r="H139" s="91">
        <v>2</v>
      </c>
      <c r="I139" s="93">
        <v>7</v>
      </c>
      <c r="J139" s="91"/>
      <c r="K139" s="92"/>
      <c r="L139" s="91"/>
      <c r="M139" s="92"/>
      <c r="N139" s="94">
        <v>0</v>
      </c>
      <c r="O139" s="92">
        <v>2</v>
      </c>
      <c r="P139" s="91">
        <v>1</v>
      </c>
      <c r="Q139" s="92"/>
      <c r="R139" s="93">
        <v>1</v>
      </c>
      <c r="S139" s="92">
        <v>1</v>
      </c>
      <c r="T139" s="95">
        <v>1</v>
      </c>
      <c r="U139" s="95">
        <v>7</v>
      </c>
      <c r="W139" s="68">
        <f t="shared" si="10"/>
        <v>-6</v>
      </c>
      <c r="X139" s="68">
        <f t="shared" si="11"/>
        <v>-2</v>
      </c>
    </row>
    <row r="140" spans="1:67" ht="15.75" thickBot="1" x14ac:dyDescent="0.3">
      <c r="A140" s="70" t="b">
        <f t="shared" si="12"/>
        <v>1</v>
      </c>
      <c r="B140" s="57">
        <v>2010</v>
      </c>
      <c r="C140" s="77" t="s">
        <v>45</v>
      </c>
      <c r="D140" s="86">
        <v>29</v>
      </c>
      <c r="E140" s="87">
        <v>20</v>
      </c>
      <c r="F140" s="86">
        <v>16</v>
      </c>
      <c r="G140" s="113">
        <v>12</v>
      </c>
      <c r="H140" s="86">
        <v>2</v>
      </c>
      <c r="I140" s="88">
        <v>18</v>
      </c>
      <c r="J140" s="86">
        <v>1</v>
      </c>
      <c r="K140" s="87">
        <v>1</v>
      </c>
      <c r="L140" s="86"/>
      <c r="M140" s="87"/>
      <c r="N140" s="89">
        <v>0</v>
      </c>
      <c r="O140" s="87">
        <v>3</v>
      </c>
      <c r="P140" s="86">
        <v>4</v>
      </c>
      <c r="Q140" s="87">
        <v>2</v>
      </c>
      <c r="R140" s="88">
        <v>6</v>
      </c>
      <c r="S140" s="87">
        <v>18</v>
      </c>
      <c r="T140" s="90">
        <v>18</v>
      </c>
      <c r="U140" s="90">
        <v>20</v>
      </c>
      <c r="W140" s="68">
        <f t="shared" si="10"/>
        <v>-2</v>
      </c>
      <c r="X140" s="68">
        <f t="shared" si="11"/>
        <v>-36</v>
      </c>
    </row>
    <row r="141" spans="1:67" ht="15.75" thickBot="1" x14ac:dyDescent="0.3">
      <c r="A141" s="70" t="b">
        <f t="shared" si="12"/>
        <v>1</v>
      </c>
      <c r="B141" s="57">
        <v>2010</v>
      </c>
      <c r="C141" s="78" t="s">
        <v>46</v>
      </c>
      <c r="D141" s="79">
        <v>40</v>
      </c>
      <c r="E141" s="80">
        <v>22</v>
      </c>
      <c r="F141" s="82">
        <v>8</v>
      </c>
      <c r="G141" s="81">
        <v>17</v>
      </c>
      <c r="H141" s="82">
        <v>8</v>
      </c>
      <c r="I141" s="83">
        <v>16</v>
      </c>
      <c r="J141" s="82">
        <v>6</v>
      </c>
      <c r="K141" s="80"/>
      <c r="L141" s="82"/>
      <c r="M141" s="80">
        <v>2</v>
      </c>
      <c r="N141" s="85">
        <v>2</v>
      </c>
      <c r="O141" s="80">
        <v>13</v>
      </c>
      <c r="P141" s="82">
        <v>4</v>
      </c>
      <c r="Q141" s="80">
        <v>1</v>
      </c>
      <c r="R141" s="83">
        <v>5</v>
      </c>
      <c r="S141" s="80">
        <v>9</v>
      </c>
      <c r="T141" s="84">
        <v>9</v>
      </c>
      <c r="U141" s="84">
        <v>21</v>
      </c>
      <c r="W141" s="68">
        <f t="shared" si="10"/>
        <v>-13</v>
      </c>
      <c r="X141" s="68">
        <f t="shared" si="11"/>
        <v>-18</v>
      </c>
    </row>
    <row r="142" spans="1:67" s="57" customFormat="1" ht="15.75" thickBot="1" x14ac:dyDescent="0.3">
      <c r="A142" s="70" t="b">
        <f t="shared" si="12"/>
        <v>1</v>
      </c>
      <c r="B142" s="57">
        <v>2009</v>
      </c>
      <c r="C142" s="114" t="s">
        <v>47</v>
      </c>
      <c r="D142" s="121">
        <v>1879</v>
      </c>
      <c r="E142" s="117">
        <v>1119</v>
      </c>
      <c r="F142" s="121">
        <v>553</v>
      </c>
      <c r="G142" s="142">
        <v>14.17</v>
      </c>
      <c r="H142" s="121">
        <v>309</v>
      </c>
      <c r="I142" s="117">
        <v>862</v>
      </c>
      <c r="J142" s="121">
        <v>125</v>
      </c>
      <c r="K142" s="117">
        <v>132</v>
      </c>
      <c r="L142" s="121">
        <v>11</v>
      </c>
      <c r="M142" s="117">
        <v>16</v>
      </c>
      <c r="N142" s="121">
        <v>27</v>
      </c>
      <c r="O142" s="117">
        <v>575</v>
      </c>
      <c r="P142" s="121">
        <v>177</v>
      </c>
      <c r="Q142" s="117">
        <v>54</v>
      </c>
      <c r="R142" s="117">
        <v>231</v>
      </c>
      <c r="S142" s="117">
        <v>741</v>
      </c>
      <c r="T142" s="122">
        <v>709</v>
      </c>
      <c r="U142" s="122">
        <v>1045</v>
      </c>
      <c r="V142" s="67"/>
      <c r="W142" s="68">
        <f t="shared" si="10"/>
        <v>-378</v>
      </c>
      <c r="X142" s="68">
        <f t="shared" si="11"/>
        <v>-1450</v>
      </c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</row>
    <row r="143" spans="1:67" ht="15.75" thickBot="1" x14ac:dyDescent="0.3">
      <c r="A143" s="70" t="b">
        <f t="shared" si="12"/>
        <v>1</v>
      </c>
      <c r="B143" s="57">
        <v>2009</v>
      </c>
      <c r="C143" s="73" t="s">
        <v>19</v>
      </c>
      <c r="D143" s="103">
        <v>46</v>
      </c>
      <c r="E143" s="104">
        <v>34</v>
      </c>
      <c r="F143" s="103">
        <v>12</v>
      </c>
      <c r="G143" s="105">
        <v>15</v>
      </c>
      <c r="H143" s="103">
        <v>9</v>
      </c>
      <c r="I143" s="106">
        <v>21</v>
      </c>
      <c r="J143" s="103">
        <v>9</v>
      </c>
      <c r="K143" s="104">
        <v>4</v>
      </c>
      <c r="L143" s="103"/>
      <c r="M143" s="104"/>
      <c r="N143" s="107"/>
      <c r="O143" s="104">
        <v>12</v>
      </c>
      <c r="P143" s="103"/>
      <c r="Q143" s="104"/>
      <c r="R143" s="106"/>
      <c r="S143" s="104">
        <v>1</v>
      </c>
      <c r="T143" s="108">
        <v>1</v>
      </c>
      <c r="U143" s="108">
        <v>31</v>
      </c>
      <c r="W143" s="68">
        <f t="shared" si="10"/>
        <v>-33</v>
      </c>
      <c r="X143" s="68">
        <f t="shared" si="11"/>
        <v>-2</v>
      </c>
    </row>
    <row r="144" spans="1:67" ht="15.75" thickBot="1" x14ac:dyDescent="0.3">
      <c r="A144" s="70" t="b">
        <f t="shared" si="12"/>
        <v>1</v>
      </c>
      <c r="B144" s="57">
        <v>2009</v>
      </c>
      <c r="C144" s="71" t="s">
        <v>97</v>
      </c>
      <c r="D144" s="82"/>
      <c r="E144" s="80"/>
      <c r="F144" s="82"/>
      <c r="G144" s="81"/>
      <c r="H144" s="82"/>
      <c r="I144" s="83"/>
      <c r="J144" s="82"/>
      <c r="K144" s="80"/>
      <c r="L144" s="82"/>
      <c r="M144" s="80"/>
      <c r="N144" s="85"/>
      <c r="O144" s="80"/>
      <c r="P144" s="82"/>
      <c r="Q144" s="80"/>
      <c r="R144" s="83"/>
      <c r="S144" s="80"/>
      <c r="T144" s="84"/>
      <c r="U144" s="84"/>
      <c r="W144" s="68">
        <f t="shared" si="10"/>
        <v>0</v>
      </c>
      <c r="X144" s="68">
        <f t="shared" si="11"/>
        <v>0</v>
      </c>
    </row>
    <row r="145" spans="1:24" ht="15.75" thickBot="1" x14ac:dyDescent="0.3">
      <c r="A145" s="70" t="b">
        <f t="shared" si="12"/>
        <v>1</v>
      </c>
      <c r="B145" s="57">
        <v>2009</v>
      </c>
      <c r="C145" s="74" t="s">
        <v>100</v>
      </c>
      <c r="D145" s="97">
        <v>1</v>
      </c>
      <c r="E145" s="98">
        <v>1</v>
      </c>
      <c r="F145" s="97"/>
      <c r="G145" s="99"/>
      <c r="H145" s="97"/>
      <c r="I145" s="100"/>
      <c r="J145" s="97"/>
      <c r="K145" s="98"/>
      <c r="L145" s="97"/>
      <c r="M145" s="98"/>
      <c r="N145" s="101"/>
      <c r="O145" s="98"/>
      <c r="P145" s="97"/>
      <c r="Q145" s="98"/>
      <c r="R145" s="100"/>
      <c r="S145" s="98"/>
      <c r="T145" s="102"/>
      <c r="U145" s="102"/>
      <c r="W145" s="68">
        <f t="shared" si="10"/>
        <v>-1</v>
      </c>
      <c r="X145" s="68">
        <f t="shared" si="11"/>
        <v>0</v>
      </c>
    </row>
    <row r="146" spans="1:24" ht="15.75" thickBot="1" x14ac:dyDescent="0.3">
      <c r="A146" s="70" t="b">
        <f t="shared" si="12"/>
        <v>1</v>
      </c>
      <c r="B146" s="57">
        <v>2009</v>
      </c>
      <c r="C146" s="72" t="s">
        <v>20</v>
      </c>
      <c r="D146" s="82">
        <v>20</v>
      </c>
      <c r="E146" s="80">
        <v>10</v>
      </c>
      <c r="F146" s="82">
        <v>4</v>
      </c>
      <c r="G146" s="81"/>
      <c r="H146" s="82">
        <v>5</v>
      </c>
      <c r="I146" s="83">
        <v>9</v>
      </c>
      <c r="J146" s="82">
        <v>1</v>
      </c>
      <c r="K146" s="80"/>
      <c r="L146" s="82"/>
      <c r="M146" s="80"/>
      <c r="N146" s="85"/>
      <c r="O146" s="80">
        <v>6</v>
      </c>
      <c r="P146" s="82"/>
      <c r="Q146" s="80"/>
      <c r="R146" s="83"/>
      <c r="S146" s="80">
        <v>2</v>
      </c>
      <c r="T146" s="84">
        <v>2</v>
      </c>
      <c r="U146" s="84">
        <v>10</v>
      </c>
      <c r="W146" s="68">
        <f t="shared" si="10"/>
        <v>-8</v>
      </c>
      <c r="X146" s="68">
        <f t="shared" si="11"/>
        <v>-4</v>
      </c>
    </row>
    <row r="147" spans="1:24" ht="15.75" thickBot="1" x14ac:dyDescent="0.3">
      <c r="A147" s="70" t="b">
        <f t="shared" si="12"/>
        <v>1</v>
      </c>
      <c r="B147" s="57">
        <v>2009</v>
      </c>
      <c r="C147" s="75" t="s">
        <v>21</v>
      </c>
      <c r="D147" s="97">
        <v>59</v>
      </c>
      <c r="E147" s="98">
        <v>28</v>
      </c>
      <c r="F147" s="97">
        <v>13</v>
      </c>
      <c r="G147" s="99">
        <v>12.5</v>
      </c>
      <c r="H147" s="97">
        <v>10</v>
      </c>
      <c r="I147" s="100">
        <v>23</v>
      </c>
      <c r="J147" s="97">
        <v>3</v>
      </c>
      <c r="K147" s="98">
        <v>2</v>
      </c>
      <c r="L147" s="97"/>
      <c r="M147" s="98"/>
      <c r="N147" s="101"/>
      <c r="O147" s="98">
        <v>11</v>
      </c>
      <c r="P147" s="97"/>
      <c r="Q147" s="98"/>
      <c r="R147" s="100"/>
      <c r="S147" s="98">
        <v>12</v>
      </c>
      <c r="T147" s="102">
        <v>12</v>
      </c>
      <c r="U147" s="102">
        <v>27</v>
      </c>
      <c r="W147" s="68">
        <f t="shared" si="10"/>
        <v>-16</v>
      </c>
      <c r="X147" s="68">
        <f t="shared" si="11"/>
        <v>-24</v>
      </c>
    </row>
    <row r="148" spans="1:24" ht="15.75" thickBot="1" x14ac:dyDescent="0.3">
      <c r="A148" s="70" t="b">
        <f t="shared" si="12"/>
        <v>1</v>
      </c>
      <c r="B148" s="57">
        <v>2009</v>
      </c>
      <c r="C148" s="76" t="s">
        <v>22</v>
      </c>
      <c r="D148" s="91">
        <v>16</v>
      </c>
      <c r="E148" s="92">
        <v>14</v>
      </c>
      <c r="F148" s="91">
        <v>5</v>
      </c>
      <c r="G148" s="96">
        <v>17.5</v>
      </c>
      <c r="H148" s="91">
        <v>3</v>
      </c>
      <c r="I148" s="93">
        <v>8</v>
      </c>
      <c r="J148" s="91">
        <v>5</v>
      </c>
      <c r="K148" s="92">
        <v>1</v>
      </c>
      <c r="L148" s="91"/>
      <c r="M148" s="92"/>
      <c r="N148" s="94"/>
      <c r="O148" s="92">
        <v>5</v>
      </c>
      <c r="P148" s="91"/>
      <c r="Q148" s="92"/>
      <c r="R148" s="93"/>
      <c r="S148" s="92">
        <v>1</v>
      </c>
      <c r="T148" s="95">
        <v>1</v>
      </c>
      <c r="U148" s="95">
        <v>12</v>
      </c>
      <c r="W148" s="68">
        <f t="shared" si="10"/>
        <v>-13</v>
      </c>
      <c r="X148" s="68">
        <f t="shared" si="11"/>
        <v>-2</v>
      </c>
    </row>
    <row r="149" spans="1:24" ht="15.75" thickBot="1" x14ac:dyDescent="0.3">
      <c r="A149" s="70" t="b">
        <f t="shared" si="12"/>
        <v>1</v>
      </c>
      <c r="B149" s="57">
        <v>2009</v>
      </c>
      <c r="C149" s="77" t="s">
        <v>23</v>
      </c>
      <c r="D149" s="86">
        <v>11</v>
      </c>
      <c r="E149" s="87">
        <v>6</v>
      </c>
      <c r="F149" s="86">
        <v>2</v>
      </c>
      <c r="G149" s="113"/>
      <c r="H149" s="86">
        <v>1</v>
      </c>
      <c r="I149" s="88">
        <v>3</v>
      </c>
      <c r="J149" s="86">
        <v>1</v>
      </c>
      <c r="K149" s="87">
        <v>2</v>
      </c>
      <c r="L149" s="86">
        <v>1</v>
      </c>
      <c r="M149" s="87"/>
      <c r="N149" s="89">
        <v>1</v>
      </c>
      <c r="O149" s="87">
        <v>2</v>
      </c>
      <c r="P149" s="86"/>
      <c r="Q149" s="87"/>
      <c r="R149" s="88"/>
      <c r="S149" s="87">
        <v>1</v>
      </c>
      <c r="T149" s="90"/>
      <c r="U149" s="90">
        <v>5</v>
      </c>
      <c r="W149" s="68">
        <f t="shared" si="10"/>
        <v>-5</v>
      </c>
      <c r="X149" s="68">
        <f t="shared" si="11"/>
        <v>-1</v>
      </c>
    </row>
    <row r="150" spans="1:24" ht="15.75" thickBot="1" x14ac:dyDescent="0.3">
      <c r="A150" s="70" t="b">
        <f t="shared" si="12"/>
        <v>1</v>
      </c>
      <c r="B150" s="57">
        <v>2009</v>
      </c>
      <c r="C150" s="78" t="s">
        <v>24</v>
      </c>
      <c r="D150" s="79">
        <v>18</v>
      </c>
      <c r="E150" s="80">
        <v>15</v>
      </c>
      <c r="F150" s="82">
        <v>4</v>
      </c>
      <c r="G150" s="81"/>
      <c r="H150" s="82">
        <v>8</v>
      </c>
      <c r="I150" s="83">
        <v>12</v>
      </c>
      <c r="J150" s="82">
        <v>2</v>
      </c>
      <c r="K150" s="80">
        <v>1</v>
      </c>
      <c r="L150" s="82"/>
      <c r="M150" s="80"/>
      <c r="N150" s="85"/>
      <c r="O150" s="80">
        <v>8</v>
      </c>
      <c r="P150" s="82"/>
      <c r="Q150" s="80"/>
      <c r="R150" s="83"/>
      <c r="S150" s="80">
        <v>3</v>
      </c>
      <c r="T150" s="84">
        <v>3</v>
      </c>
      <c r="U150" s="84">
        <v>12</v>
      </c>
      <c r="W150" s="68">
        <f t="shared" si="10"/>
        <v>-12</v>
      </c>
      <c r="X150" s="68">
        <f t="shared" si="11"/>
        <v>-6</v>
      </c>
    </row>
    <row r="151" spans="1:24" ht="15.75" thickBot="1" x14ac:dyDescent="0.3">
      <c r="A151" s="70" t="b">
        <f t="shared" si="12"/>
        <v>1</v>
      </c>
      <c r="B151" s="57">
        <v>2009</v>
      </c>
      <c r="C151" s="73" t="s">
        <v>98</v>
      </c>
      <c r="D151" s="103">
        <v>60</v>
      </c>
      <c r="E151" s="104">
        <v>34</v>
      </c>
      <c r="F151" s="103">
        <v>10</v>
      </c>
      <c r="G151" s="105">
        <v>16</v>
      </c>
      <c r="H151" s="103">
        <v>12</v>
      </c>
      <c r="I151" s="106">
        <v>22</v>
      </c>
      <c r="J151" s="103">
        <v>4</v>
      </c>
      <c r="K151" s="104">
        <v>7</v>
      </c>
      <c r="L151" s="103">
        <v>2</v>
      </c>
      <c r="M151" s="104"/>
      <c r="N151" s="107">
        <v>2</v>
      </c>
      <c r="O151" s="104">
        <v>18</v>
      </c>
      <c r="P151" s="103">
        <v>3</v>
      </c>
      <c r="Q151" s="104"/>
      <c r="R151" s="106">
        <v>3</v>
      </c>
      <c r="S151" s="104">
        <v>6</v>
      </c>
      <c r="T151" s="108">
        <v>5</v>
      </c>
      <c r="U151" s="108">
        <v>32</v>
      </c>
      <c r="W151" s="68">
        <f t="shared" si="10"/>
        <v>-28</v>
      </c>
      <c r="X151" s="68">
        <f t="shared" si="11"/>
        <v>-11</v>
      </c>
    </row>
    <row r="152" spans="1:24" ht="15.75" thickBot="1" x14ac:dyDescent="0.3">
      <c r="A152" s="70" t="b">
        <f t="shared" si="12"/>
        <v>1</v>
      </c>
      <c r="B152" s="57">
        <v>2009</v>
      </c>
      <c r="C152" s="71" t="s">
        <v>25</v>
      </c>
      <c r="D152" s="82">
        <v>11</v>
      </c>
      <c r="E152" s="80">
        <v>10</v>
      </c>
      <c r="F152" s="82">
        <v>8</v>
      </c>
      <c r="G152" s="81">
        <v>13.5</v>
      </c>
      <c r="H152" s="82">
        <v>1</v>
      </c>
      <c r="I152" s="83">
        <v>9</v>
      </c>
      <c r="J152" s="82">
        <v>1</v>
      </c>
      <c r="K152" s="80"/>
      <c r="L152" s="82"/>
      <c r="M152" s="80"/>
      <c r="N152" s="85"/>
      <c r="O152" s="80">
        <v>3</v>
      </c>
      <c r="P152" s="82">
        <v>1</v>
      </c>
      <c r="Q152" s="80"/>
      <c r="R152" s="83">
        <v>1</v>
      </c>
      <c r="S152" s="80">
        <v>1</v>
      </c>
      <c r="T152" s="84">
        <v>1</v>
      </c>
      <c r="U152" s="84">
        <v>10</v>
      </c>
      <c r="W152" s="68">
        <f t="shared" si="10"/>
        <v>-9</v>
      </c>
      <c r="X152" s="68">
        <f t="shared" si="11"/>
        <v>-2</v>
      </c>
    </row>
    <row r="153" spans="1:24" ht="15.75" thickBot="1" x14ac:dyDescent="0.3">
      <c r="A153" s="70" t="b">
        <f t="shared" si="12"/>
        <v>1</v>
      </c>
      <c r="B153" s="57">
        <v>2009</v>
      </c>
      <c r="C153" s="74" t="s">
        <v>26</v>
      </c>
      <c r="D153" s="97">
        <v>29</v>
      </c>
      <c r="E153" s="98">
        <v>18</v>
      </c>
      <c r="F153" s="97">
        <v>16</v>
      </c>
      <c r="G153" s="99">
        <v>10.984999999999999</v>
      </c>
      <c r="H153" s="97">
        <v>1</v>
      </c>
      <c r="I153" s="100">
        <v>17</v>
      </c>
      <c r="J153" s="97"/>
      <c r="K153" s="98">
        <v>1</v>
      </c>
      <c r="L153" s="97"/>
      <c r="M153" s="98"/>
      <c r="N153" s="101"/>
      <c r="O153" s="98">
        <v>12</v>
      </c>
      <c r="P153" s="97">
        <v>3</v>
      </c>
      <c r="Q153" s="98"/>
      <c r="R153" s="100">
        <v>3</v>
      </c>
      <c r="S153" s="98">
        <v>2</v>
      </c>
      <c r="T153" s="102">
        <v>2</v>
      </c>
      <c r="U153" s="102">
        <v>18</v>
      </c>
      <c r="W153" s="68">
        <f t="shared" si="10"/>
        <v>-16</v>
      </c>
      <c r="X153" s="68">
        <f t="shared" si="11"/>
        <v>-4</v>
      </c>
    </row>
    <row r="154" spans="1:24" ht="15.75" thickBot="1" x14ac:dyDescent="0.3">
      <c r="A154" s="70" t="b">
        <f t="shared" si="12"/>
        <v>1</v>
      </c>
      <c r="B154" s="57">
        <v>2009</v>
      </c>
      <c r="C154" s="72" t="s">
        <v>27</v>
      </c>
      <c r="D154" s="82">
        <v>387</v>
      </c>
      <c r="E154" s="80">
        <v>253</v>
      </c>
      <c r="F154" s="82">
        <v>92</v>
      </c>
      <c r="G154" s="81">
        <v>13</v>
      </c>
      <c r="H154" s="82">
        <v>105</v>
      </c>
      <c r="I154" s="83">
        <v>197</v>
      </c>
      <c r="J154" s="82">
        <v>24</v>
      </c>
      <c r="K154" s="80">
        <v>32</v>
      </c>
      <c r="L154" s="82">
        <v>6</v>
      </c>
      <c r="M154" s="80">
        <v>6</v>
      </c>
      <c r="N154" s="85">
        <v>12</v>
      </c>
      <c r="O154" s="80">
        <v>155</v>
      </c>
      <c r="P154" s="82">
        <v>78</v>
      </c>
      <c r="Q154" s="80">
        <v>12</v>
      </c>
      <c r="R154" s="83">
        <v>90</v>
      </c>
      <c r="S154" s="80">
        <v>204</v>
      </c>
      <c r="T154" s="84">
        <v>188</v>
      </c>
      <c r="U154" s="84">
        <v>244</v>
      </c>
      <c r="W154" s="68">
        <f t="shared" si="10"/>
        <v>-49</v>
      </c>
      <c r="X154" s="68">
        <f t="shared" si="11"/>
        <v>-392</v>
      </c>
    </row>
    <row r="155" spans="1:24" ht="15.75" thickBot="1" x14ac:dyDescent="0.3">
      <c r="A155" s="70" t="b">
        <f t="shared" si="12"/>
        <v>1</v>
      </c>
      <c r="B155" s="57">
        <v>2009</v>
      </c>
      <c r="C155" s="75" t="s">
        <v>103</v>
      </c>
      <c r="D155" s="97"/>
      <c r="E155" s="98"/>
      <c r="F155" s="97"/>
      <c r="G155" s="99"/>
      <c r="H155" s="97"/>
      <c r="I155" s="100"/>
      <c r="J155" s="97"/>
      <c r="K155" s="98"/>
      <c r="L155" s="97"/>
      <c r="M155" s="98"/>
      <c r="N155" s="101"/>
      <c r="O155" s="98"/>
      <c r="P155" s="97"/>
      <c r="Q155" s="98"/>
      <c r="R155" s="100"/>
      <c r="S155" s="98"/>
      <c r="T155" s="102"/>
      <c r="U155" s="102"/>
      <c r="W155" s="68">
        <f t="shared" si="10"/>
        <v>0</v>
      </c>
      <c r="X155" s="68">
        <f t="shared" si="11"/>
        <v>0</v>
      </c>
    </row>
    <row r="156" spans="1:24" ht="15.75" thickBot="1" x14ac:dyDescent="0.3">
      <c r="A156" s="70" t="b">
        <f t="shared" si="12"/>
        <v>1</v>
      </c>
      <c r="B156" s="57">
        <v>2009</v>
      </c>
      <c r="C156" s="76" t="s">
        <v>28</v>
      </c>
      <c r="D156" s="91">
        <v>27</v>
      </c>
      <c r="E156" s="92">
        <v>27</v>
      </c>
      <c r="F156" s="91">
        <v>14</v>
      </c>
      <c r="G156" s="96">
        <v>13</v>
      </c>
      <c r="H156" s="91">
        <v>12</v>
      </c>
      <c r="I156" s="93">
        <v>26</v>
      </c>
      <c r="J156" s="91"/>
      <c r="K156" s="92"/>
      <c r="L156" s="91"/>
      <c r="M156" s="92"/>
      <c r="N156" s="94"/>
      <c r="O156" s="92"/>
      <c r="P156" s="91">
        <v>14</v>
      </c>
      <c r="Q156" s="92"/>
      <c r="R156" s="93">
        <v>14</v>
      </c>
      <c r="S156" s="92">
        <v>20</v>
      </c>
      <c r="T156" s="95">
        <v>20</v>
      </c>
      <c r="U156" s="95">
        <v>24</v>
      </c>
      <c r="W156" s="68">
        <f t="shared" si="10"/>
        <v>-7</v>
      </c>
      <c r="X156" s="68">
        <f t="shared" si="11"/>
        <v>-40</v>
      </c>
    </row>
    <row r="157" spans="1:24" ht="15.75" thickBot="1" x14ac:dyDescent="0.3">
      <c r="A157" s="70" t="b">
        <f t="shared" si="12"/>
        <v>1</v>
      </c>
      <c r="B157" s="57">
        <v>2009</v>
      </c>
      <c r="C157" s="77" t="s">
        <v>29</v>
      </c>
      <c r="D157" s="86">
        <v>17</v>
      </c>
      <c r="E157" s="87">
        <v>13</v>
      </c>
      <c r="F157" s="86">
        <v>7</v>
      </c>
      <c r="G157" s="113">
        <v>21.574999999999999</v>
      </c>
      <c r="H157" s="86">
        <v>1</v>
      </c>
      <c r="I157" s="88">
        <v>8</v>
      </c>
      <c r="J157" s="86">
        <v>4</v>
      </c>
      <c r="K157" s="87">
        <v>1</v>
      </c>
      <c r="L157" s="86"/>
      <c r="M157" s="87"/>
      <c r="N157" s="89"/>
      <c r="O157" s="87">
        <v>5</v>
      </c>
      <c r="P157" s="86"/>
      <c r="Q157" s="87"/>
      <c r="R157" s="88"/>
      <c r="S157" s="87">
        <v>1</v>
      </c>
      <c r="T157" s="90">
        <v>1</v>
      </c>
      <c r="U157" s="90">
        <v>11</v>
      </c>
      <c r="W157" s="68">
        <f t="shared" si="10"/>
        <v>-12</v>
      </c>
      <c r="X157" s="68">
        <f t="shared" si="11"/>
        <v>-2</v>
      </c>
    </row>
    <row r="158" spans="1:24" ht="15.75" thickBot="1" x14ac:dyDescent="0.3">
      <c r="A158" s="70" t="b">
        <f t="shared" si="12"/>
        <v>1</v>
      </c>
      <c r="B158" s="57">
        <v>2009</v>
      </c>
      <c r="C158" s="78" t="s">
        <v>104</v>
      </c>
      <c r="D158" s="79"/>
      <c r="E158" s="80"/>
      <c r="F158" s="82"/>
      <c r="G158" s="81"/>
      <c r="H158" s="82"/>
      <c r="I158" s="83"/>
      <c r="J158" s="82"/>
      <c r="K158" s="80"/>
      <c r="L158" s="82"/>
      <c r="M158" s="80"/>
      <c r="N158" s="85"/>
      <c r="O158" s="80"/>
      <c r="P158" s="82"/>
      <c r="Q158" s="80"/>
      <c r="R158" s="83"/>
      <c r="S158" s="80"/>
      <c r="T158" s="84"/>
      <c r="U158" s="84"/>
      <c r="W158" s="68"/>
      <c r="X158" s="68"/>
    </row>
    <row r="159" spans="1:24" ht="15.75" thickBot="1" x14ac:dyDescent="0.3">
      <c r="A159" s="70" t="b">
        <f t="shared" si="12"/>
        <v>1</v>
      </c>
      <c r="B159" s="57">
        <v>2009</v>
      </c>
      <c r="C159" s="73" t="s">
        <v>30</v>
      </c>
      <c r="D159" s="103">
        <v>5</v>
      </c>
      <c r="E159" s="104">
        <v>3</v>
      </c>
      <c r="F159" s="103"/>
      <c r="G159" s="105"/>
      <c r="H159" s="103"/>
      <c r="I159" s="106"/>
      <c r="J159" s="103"/>
      <c r="K159" s="104"/>
      <c r="L159" s="103"/>
      <c r="M159" s="104"/>
      <c r="N159" s="107"/>
      <c r="O159" s="104"/>
      <c r="P159" s="103"/>
      <c r="Q159" s="104"/>
      <c r="R159" s="106"/>
      <c r="S159" s="104"/>
      <c r="T159" s="108"/>
      <c r="U159" s="108"/>
      <c r="W159" s="68">
        <f t="shared" ref="W159:W192" si="13">S159-E159</f>
        <v>-3</v>
      </c>
      <c r="X159" s="68">
        <f t="shared" ref="X159:X192" si="14">-T159-S159</f>
        <v>0</v>
      </c>
    </row>
    <row r="160" spans="1:24" ht="15.75" thickBot="1" x14ac:dyDescent="0.3">
      <c r="A160" s="70" t="b">
        <f t="shared" si="12"/>
        <v>1</v>
      </c>
      <c r="B160" s="57">
        <v>2009</v>
      </c>
      <c r="C160" s="71" t="s">
        <v>31</v>
      </c>
      <c r="D160" s="82">
        <v>9</v>
      </c>
      <c r="E160" s="80">
        <v>3</v>
      </c>
      <c r="F160" s="82"/>
      <c r="G160" s="81"/>
      <c r="H160" s="82"/>
      <c r="I160" s="83"/>
      <c r="J160" s="82"/>
      <c r="K160" s="80"/>
      <c r="L160" s="82"/>
      <c r="M160" s="80"/>
      <c r="N160" s="85"/>
      <c r="O160" s="80"/>
      <c r="P160" s="82"/>
      <c r="Q160" s="80"/>
      <c r="R160" s="83"/>
      <c r="S160" s="80"/>
      <c r="T160" s="84"/>
      <c r="U160" s="84"/>
      <c r="W160" s="68">
        <f t="shared" si="13"/>
        <v>-3</v>
      </c>
      <c r="X160" s="68">
        <f t="shared" si="14"/>
        <v>0</v>
      </c>
    </row>
    <row r="161" spans="1:24" ht="15.75" thickBot="1" x14ac:dyDescent="0.3">
      <c r="A161" s="70" t="b">
        <f t="shared" si="12"/>
        <v>1</v>
      </c>
      <c r="B161" s="57">
        <v>2009</v>
      </c>
      <c r="C161" s="74" t="s">
        <v>32</v>
      </c>
      <c r="D161" s="97">
        <v>29</v>
      </c>
      <c r="E161" s="98">
        <v>23</v>
      </c>
      <c r="F161" s="97">
        <v>16</v>
      </c>
      <c r="G161" s="99">
        <v>15.5</v>
      </c>
      <c r="H161" s="97">
        <v>1</v>
      </c>
      <c r="I161" s="100">
        <v>17</v>
      </c>
      <c r="J161" s="97"/>
      <c r="K161" s="98">
        <v>6</v>
      </c>
      <c r="L161" s="97"/>
      <c r="M161" s="98"/>
      <c r="N161" s="101"/>
      <c r="O161" s="98"/>
      <c r="P161" s="97">
        <v>3</v>
      </c>
      <c r="Q161" s="98"/>
      <c r="R161" s="100">
        <v>3</v>
      </c>
      <c r="S161" s="98">
        <v>5</v>
      </c>
      <c r="T161" s="102">
        <v>5</v>
      </c>
      <c r="U161" s="102">
        <v>22</v>
      </c>
      <c r="W161" s="68">
        <f t="shared" si="13"/>
        <v>-18</v>
      </c>
      <c r="X161" s="68">
        <f t="shared" si="14"/>
        <v>-10</v>
      </c>
    </row>
    <row r="162" spans="1:24" ht="15.75" thickBot="1" x14ac:dyDescent="0.3">
      <c r="A162" s="70" t="b">
        <f t="shared" si="12"/>
        <v>1</v>
      </c>
      <c r="B162" s="57">
        <v>2009</v>
      </c>
      <c r="C162" s="72" t="s">
        <v>33</v>
      </c>
      <c r="D162" s="82">
        <v>7</v>
      </c>
      <c r="E162" s="80">
        <v>1</v>
      </c>
      <c r="F162" s="82"/>
      <c r="G162" s="81"/>
      <c r="H162" s="82"/>
      <c r="I162" s="83"/>
      <c r="J162" s="82"/>
      <c r="K162" s="80"/>
      <c r="L162" s="82"/>
      <c r="M162" s="80"/>
      <c r="N162" s="85"/>
      <c r="O162" s="80"/>
      <c r="P162" s="82"/>
      <c r="Q162" s="80"/>
      <c r="R162" s="83"/>
      <c r="S162" s="80"/>
      <c r="T162" s="84"/>
      <c r="U162" s="84"/>
      <c r="W162" s="68">
        <f t="shared" si="13"/>
        <v>-1</v>
      </c>
      <c r="X162" s="68">
        <f t="shared" si="14"/>
        <v>0</v>
      </c>
    </row>
    <row r="163" spans="1:24" ht="15.75" thickBot="1" x14ac:dyDescent="0.3">
      <c r="A163" s="70" t="b">
        <f t="shared" si="12"/>
        <v>1</v>
      </c>
      <c r="B163" s="57">
        <v>2009</v>
      </c>
      <c r="C163" s="75" t="s">
        <v>34</v>
      </c>
      <c r="D163" s="97">
        <v>5</v>
      </c>
      <c r="E163" s="98">
        <v>5</v>
      </c>
      <c r="F163" s="97">
        <v>2</v>
      </c>
      <c r="G163" s="99"/>
      <c r="H163" s="97">
        <v>3</v>
      </c>
      <c r="I163" s="100">
        <v>5</v>
      </c>
      <c r="J163" s="97"/>
      <c r="K163" s="98"/>
      <c r="L163" s="97"/>
      <c r="M163" s="98"/>
      <c r="N163" s="101"/>
      <c r="O163" s="98">
        <v>1</v>
      </c>
      <c r="P163" s="97"/>
      <c r="Q163" s="98"/>
      <c r="R163" s="100"/>
      <c r="S163" s="98"/>
      <c r="T163" s="102"/>
      <c r="U163" s="102">
        <v>4</v>
      </c>
      <c r="W163" s="68">
        <f t="shared" si="13"/>
        <v>-5</v>
      </c>
      <c r="X163" s="68">
        <f t="shared" si="14"/>
        <v>0</v>
      </c>
    </row>
    <row r="164" spans="1:24" ht="15.75" thickBot="1" x14ac:dyDescent="0.3">
      <c r="A164" s="70" t="b">
        <f t="shared" si="12"/>
        <v>1</v>
      </c>
      <c r="B164" s="57">
        <v>2009</v>
      </c>
      <c r="C164" s="76" t="s">
        <v>35</v>
      </c>
      <c r="D164" s="91">
        <v>16</v>
      </c>
      <c r="E164" s="92">
        <v>8</v>
      </c>
      <c r="F164" s="91">
        <v>7</v>
      </c>
      <c r="G164" s="96">
        <v>28.75</v>
      </c>
      <c r="H164" s="91">
        <v>1</v>
      </c>
      <c r="I164" s="93">
        <v>8</v>
      </c>
      <c r="J164" s="91"/>
      <c r="K164" s="92"/>
      <c r="L164" s="91"/>
      <c r="M164" s="92"/>
      <c r="N164" s="94"/>
      <c r="O164" s="92"/>
      <c r="P164" s="91">
        <v>3</v>
      </c>
      <c r="Q164" s="92"/>
      <c r="R164" s="93">
        <v>3</v>
      </c>
      <c r="S164" s="92">
        <v>6</v>
      </c>
      <c r="T164" s="95">
        <v>4</v>
      </c>
      <c r="U164" s="95">
        <v>8</v>
      </c>
      <c r="W164" s="68">
        <f t="shared" si="13"/>
        <v>-2</v>
      </c>
      <c r="X164" s="68">
        <f t="shared" si="14"/>
        <v>-10</v>
      </c>
    </row>
    <row r="165" spans="1:24" ht="15.75" thickBot="1" x14ac:dyDescent="0.3">
      <c r="A165" s="70" t="b">
        <f t="shared" si="12"/>
        <v>1</v>
      </c>
      <c r="B165" s="57">
        <v>2009</v>
      </c>
      <c r="C165" s="77" t="s">
        <v>36</v>
      </c>
      <c r="D165" s="86">
        <v>20</v>
      </c>
      <c r="E165" s="87">
        <v>14</v>
      </c>
      <c r="F165" s="86">
        <v>9</v>
      </c>
      <c r="G165" s="113">
        <v>15.91</v>
      </c>
      <c r="H165" s="86">
        <v>5</v>
      </c>
      <c r="I165" s="88">
        <v>14</v>
      </c>
      <c r="J165" s="86"/>
      <c r="K165" s="87"/>
      <c r="L165" s="86"/>
      <c r="M165" s="87"/>
      <c r="N165" s="89"/>
      <c r="O165" s="87">
        <v>5</v>
      </c>
      <c r="P165" s="86"/>
      <c r="Q165" s="87"/>
      <c r="R165" s="88"/>
      <c r="S165" s="87"/>
      <c r="T165" s="90"/>
      <c r="U165" s="90">
        <v>12</v>
      </c>
      <c r="W165" s="68">
        <f t="shared" si="13"/>
        <v>-14</v>
      </c>
      <c r="X165" s="68">
        <f t="shared" si="14"/>
        <v>0</v>
      </c>
    </row>
    <row r="166" spans="1:24" ht="15.75" thickBot="1" x14ac:dyDescent="0.3">
      <c r="A166" s="70" t="b">
        <f t="shared" si="12"/>
        <v>1</v>
      </c>
      <c r="B166" s="57">
        <v>2009</v>
      </c>
      <c r="C166" s="78" t="s">
        <v>37</v>
      </c>
      <c r="D166" s="79">
        <v>12</v>
      </c>
      <c r="E166" s="80">
        <v>12</v>
      </c>
      <c r="F166" s="82">
        <v>5</v>
      </c>
      <c r="G166" s="81">
        <v>11</v>
      </c>
      <c r="H166" s="82">
        <v>6</v>
      </c>
      <c r="I166" s="83">
        <v>11</v>
      </c>
      <c r="J166" s="82"/>
      <c r="K166" s="80">
        <v>1</v>
      </c>
      <c r="L166" s="82"/>
      <c r="M166" s="80"/>
      <c r="N166" s="85"/>
      <c r="O166" s="80">
        <v>7</v>
      </c>
      <c r="P166" s="82">
        <v>1</v>
      </c>
      <c r="Q166" s="80"/>
      <c r="R166" s="83">
        <v>1</v>
      </c>
      <c r="S166" s="80">
        <v>3</v>
      </c>
      <c r="T166" s="84">
        <v>3</v>
      </c>
      <c r="U166" s="84">
        <v>12</v>
      </c>
      <c r="W166" s="68">
        <f t="shared" si="13"/>
        <v>-9</v>
      </c>
      <c r="X166" s="68">
        <f t="shared" si="14"/>
        <v>-6</v>
      </c>
    </row>
    <row r="167" spans="1:24" ht="15.75" thickBot="1" x14ac:dyDescent="0.3">
      <c r="A167" s="70" t="b">
        <f t="shared" si="12"/>
        <v>1</v>
      </c>
      <c r="B167" s="57">
        <v>2009</v>
      </c>
      <c r="C167" s="73" t="s">
        <v>38</v>
      </c>
      <c r="D167" s="103">
        <v>27</v>
      </c>
      <c r="E167" s="104">
        <v>24</v>
      </c>
      <c r="F167" s="103">
        <v>12</v>
      </c>
      <c r="G167" s="105">
        <v>13</v>
      </c>
      <c r="H167" s="103">
        <v>6</v>
      </c>
      <c r="I167" s="106">
        <v>18</v>
      </c>
      <c r="J167" s="103">
        <v>6</v>
      </c>
      <c r="K167" s="104"/>
      <c r="L167" s="103"/>
      <c r="M167" s="104"/>
      <c r="N167" s="107"/>
      <c r="O167" s="104">
        <v>10</v>
      </c>
      <c r="P167" s="103"/>
      <c r="Q167" s="104"/>
      <c r="R167" s="106"/>
      <c r="S167" s="104">
        <v>11</v>
      </c>
      <c r="T167" s="108">
        <v>10</v>
      </c>
      <c r="U167" s="108">
        <v>20</v>
      </c>
      <c r="W167" s="68">
        <f t="shared" si="13"/>
        <v>-13</v>
      </c>
      <c r="X167" s="68">
        <f t="shared" si="14"/>
        <v>-21</v>
      </c>
    </row>
    <row r="168" spans="1:24" ht="15.75" thickBot="1" x14ac:dyDescent="0.3">
      <c r="A168" s="70" t="b">
        <f t="shared" si="12"/>
        <v>1</v>
      </c>
      <c r="B168" s="57">
        <v>2009</v>
      </c>
      <c r="C168" s="71" t="s">
        <v>39</v>
      </c>
      <c r="D168" s="82">
        <v>17</v>
      </c>
      <c r="E168" s="80">
        <v>8</v>
      </c>
      <c r="F168" s="82">
        <v>3</v>
      </c>
      <c r="G168" s="81"/>
      <c r="H168" s="82">
        <v>2</v>
      </c>
      <c r="I168" s="83">
        <v>5</v>
      </c>
      <c r="J168" s="82">
        <v>2</v>
      </c>
      <c r="K168" s="80">
        <v>2</v>
      </c>
      <c r="L168" s="82"/>
      <c r="M168" s="80"/>
      <c r="N168" s="85"/>
      <c r="O168" s="80">
        <v>3</v>
      </c>
      <c r="P168" s="82"/>
      <c r="Q168" s="80"/>
      <c r="R168" s="83"/>
      <c r="S168" s="80">
        <v>1</v>
      </c>
      <c r="T168" s="84">
        <v>1</v>
      </c>
      <c r="U168" s="84">
        <v>7</v>
      </c>
      <c r="W168" s="68">
        <f t="shared" si="13"/>
        <v>-7</v>
      </c>
      <c r="X168" s="68">
        <f t="shared" si="14"/>
        <v>-2</v>
      </c>
    </row>
    <row r="169" spans="1:24" ht="15.75" thickBot="1" x14ac:dyDescent="0.3">
      <c r="A169" s="70" t="b">
        <f t="shared" si="12"/>
        <v>1</v>
      </c>
      <c r="B169" s="57">
        <v>2009</v>
      </c>
      <c r="C169" s="73" t="s">
        <v>40</v>
      </c>
      <c r="D169" s="103">
        <v>603</v>
      </c>
      <c r="E169" s="104">
        <v>287</v>
      </c>
      <c r="F169" s="103">
        <v>140</v>
      </c>
      <c r="G169" s="105">
        <v>12.83</v>
      </c>
      <c r="H169" s="103">
        <v>69</v>
      </c>
      <c r="I169" s="106">
        <v>209</v>
      </c>
      <c r="J169" s="103">
        <v>30</v>
      </c>
      <c r="K169" s="104">
        <v>47</v>
      </c>
      <c r="L169" s="103"/>
      <c r="M169" s="104"/>
      <c r="N169" s="107"/>
      <c r="O169" s="104">
        <v>186</v>
      </c>
      <c r="P169" s="103">
        <v>27</v>
      </c>
      <c r="Q169" s="104">
        <v>20</v>
      </c>
      <c r="R169" s="106">
        <v>47</v>
      </c>
      <c r="S169" s="104">
        <v>254</v>
      </c>
      <c r="T169" s="108">
        <v>250</v>
      </c>
      <c r="U169" s="108">
        <v>272</v>
      </c>
      <c r="W169" s="68">
        <f t="shared" si="13"/>
        <v>-33</v>
      </c>
      <c r="X169" s="68">
        <f t="shared" si="14"/>
        <v>-504</v>
      </c>
    </row>
    <row r="170" spans="1:24" ht="15.75" thickBot="1" x14ac:dyDescent="0.3">
      <c r="A170" s="70" t="b">
        <f t="shared" si="12"/>
        <v>1</v>
      </c>
      <c r="B170" s="57">
        <v>2009</v>
      </c>
      <c r="C170" s="71" t="s">
        <v>41</v>
      </c>
      <c r="D170" s="82">
        <v>22</v>
      </c>
      <c r="E170" s="80">
        <v>15</v>
      </c>
      <c r="F170" s="82">
        <v>9</v>
      </c>
      <c r="G170" s="81">
        <v>14</v>
      </c>
      <c r="H170" s="82">
        <v>5</v>
      </c>
      <c r="I170" s="83">
        <v>14</v>
      </c>
      <c r="J170" s="82"/>
      <c r="K170" s="80">
        <v>1</v>
      </c>
      <c r="L170" s="82"/>
      <c r="M170" s="80"/>
      <c r="N170" s="85"/>
      <c r="O170" s="80">
        <v>5</v>
      </c>
      <c r="P170" s="82">
        <v>2</v>
      </c>
      <c r="Q170" s="80"/>
      <c r="R170" s="83">
        <v>2</v>
      </c>
      <c r="S170" s="80">
        <v>11</v>
      </c>
      <c r="T170" s="84">
        <v>11</v>
      </c>
      <c r="U170" s="84">
        <v>14</v>
      </c>
      <c r="W170" s="68">
        <f t="shared" si="13"/>
        <v>-4</v>
      </c>
      <c r="X170" s="68">
        <f t="shared" si="14"/>
        <v>-22</v>
      </c>
    </row>
    <row r="171" spans="1:24" ht="15.75" thickBot="1" x14ac:dyDescent="0.3">
      <c r="A171" s="70" t="b">
        <f t="shared" si="12"/>
        <v>1</v>
      </c>
      <c r="B171" s="57">
        <v>2009</v>
      </c>
      <c r="C171" s="74" t="s">
        <v>42</v>
      </c>
      <c r="D171" s="97">
        <v>52</v>
      </c>
      <c r="E171" s="98">
        <v>21</v>
      </c>
      <c r="F171" s="97">
        <v>2</v>
      </c>
      <c r="G171" s="99"/>
      <c r="H171" s="97">
        <v>11</v>
      </c>
      <c r="I171" s="100">
        <v>13</v>
      </c>
      <c r="J171" s="97">
        <v>6</v>
      </c>
      <c r="K171" s="98">
        <v>2</v>
      </c>
      <c r="L171" s="97"/>
      <c r="M171" s="98"/>
      <c r="N171" s="101"/>
      <c r="O171" s="98">
        <v>11</v>
      </c>
      <c r="P171" s="97"/>
      <c r="Q171" s="98"/>
      <c r="R171" s="100"/>
      <c r="S171" s="98">
        <v>5</v>
      </c>
      <c r="T171" s="102">
        <v>5</v>
      </c>
      <c r="U171" s="102">
        <v>20</v>
      </c>
      <c r="W171" s="68">
        <f t="shared" si="13"/>
        <v>-16</v>
      </c>
      <c r="X171" s="68">
        <f t="shared" si="14"/>
        <v>-10</v>
      </c>
    </row>
    <row r="172" spans="1:24" ht="15.75" thickBot="1" x14ac:dyDescent="0.3">
      <c r="A172" s="70" t="b">
        <f t="shared" si="12"/>
        <v>1</v>
      </c>
      <c r="B172" s="57">
        <v>2009</v>
      </c>
      <c r="C172" s="72" t="s">
        <v>43</v>
      </c>
      <c r="D172" s="82">
        <v>64</v>
      </c>
      <c r="E172" s="80">
        <v>52</v>
      </c>
      <c r="F172" s="82">
        <v>27</v>
      </c>
      <c r="G172" s="81">
        <v>18.5</v>
      </c>
      <c r="H172" s="82">
        <v>9</v>
      </c>
      <c r="I172" s="83">
        <v>36</v>
      </c>
      <c r="J172" s="82">
        <v>8</v>
      </c>
      <c r="K172" s="80">
        <v>7</v>
      </c>
      <c r="L172" s="82"/>
      <c r="M172" s="80"/>
      <c r="N172" s="85"/>
      <c r="O172" s="80">
        <v>26</v>
      </c>
      <c r="P172" s="82">
        <v>6</v>
      </c>
      <c r="Q172" s="80">
        <v>3</v>
      </c>
      <c r="R172" s="83">
        <v>9</v>
      </c>
      <c r="S172" s="80">
        <v>47</v>
      </c>
      <c r="T172" s="84">
        <v>46</v>
      </c>
      <c r="U172" s="84">
        <v>46</v>
      </c>
      <c r="W172" s="68">
        <f t="shared" si="13"/>
        <v>-5</v>
      </c>
      <c r="X172" s="68">
        <f t="shared" si="14"/>
        <v>-93</v>
      </c>
    </row>
    <row r="173" spans="1:24" ht="15.75" thickBot="1" x14ac:dyDescent="0.3">
      <c r="A173" s="70" t="b">
        <f t="shared" si="12"/>
        <v>1</v>
      </c>
      <c r="B173" s="57">
        <v>2009</v>
      </c>
      <c r="C173" s="75" t="s">
        <v>44</v>
      </c>
      <c r="D173" s="97">
        <v>174</v>
      </c>
      <c r="E173" s="98">
        <v>106</v>
      </c>
      <c r="F173" s="97">
        <v>90</v>
      </c>
      <c r="G173" s="99">
        <v>24.555</v>
      </c>
      <c r="H173" s="97">
        <v>7</v>
      </c>
      <c r="I173" s="100">
        <v>97</v>
      </c>
      <c r="J173" s="97">
        <v>6</v>
      </c>
      <c r="K173" s="98">
        <v>2</v>
      </c>
      <c r="L173" s="97"/>
      <c r="M173" s="98"/>
      <c r="N173" s="101"/>
      <c r="O173" s="98">
        <v>20</v>
      </c>
      <c r="P173" s="97">
        <v>9</v>
      </c>
      <c r="Q173" s="98">
        <v>8</v>
      </c>
      <c r="R173" s="100">
        <v>17</v>
      </c>
      <c r="S173" s="98">
        <v>106</v>
      </c>
      <c r="T173" s="102">
        <v>105</v>
      </c>
      <c r="U173" s="102">
        <v>103</v>
      </c>
      <c r="W173" s="68">
        <f t="shared" si="13"/>
        <v>0</v>
      </c>
      <c r="X173" s="68">
        <f t="shared" si="14"/>
        <v>-211</v>
      </c>
    </row>
    <row r="174" spans="1:24" ht="26.25" thickBot="1" x14ac:dyDescent="0.3">
      <c r="A174" s="70" t="b">
        <f t="shared" si="12"/>
        <v>1</v>
      </c>
      <c r="B174" s="57">
        <v>2009</v>
      </c>
      <c r="C174" s="76" t="s">
        <v>99</v>
      </c>
      <c r="D174" s="91">
        <v>14</v>
      </c>
      <c r="E174" s="92">
        <v>10</v>
      </c>
      <c r="F174" s="91">
        <v>6</v>
      </c>
      <c r="G174" s="96"/>
      <c r="H174" s="91">
        <v>1</v>
      </c>
      <c r="I174" s="93">
        <v>7</v>
      </c>
      <c r="J174" s="91">
        <v>2</v>
      </c>
      <c r="K174" s="92">
        <v>1</v>
      </c>
      <c r="L174" s="91"/>
      <c r="M174" s="92"/>
      <c r="N174" s="94"/>
      <c r="O174" s="92">
        <v>5</v>
      </c>
      <c r="P174" s="91">
        <v>7</v>
      </c>
      <c r="Q174" s="92">
        <v>1</v>
      </c>
      <c r="R174" s="93">
        <v>8</v>
      </c>
      <c r="S174" s="92">
        <v>2</v>
      </c>
      <c r="T174" s="95">
        <v>2</v>
      </c>
      <c r="U174" s="95">
        <v>8</v>
      </c>
      <c r="W174" s="68">
        <f t="shared" si="13"/>
        <v>-8</v>
      </c>
      <c r="X174" s="68">
        <f t="shared" si="14"/>
        <v>-4</v>
      </c>
    </row>
    <row r="175" spans="1:24" ht="15.75" thickBot="1" x14ac:dyDescent="0.3">
      <c r="A175" s="70" t="b">
        <f t="shared" si="12"/>
        <v>1</v>
      </c>
      <c r="B175" s="57">
        <v>2009</v>
      </c>
      <c r="C175" s="77" t="s">
        <v>45</v>
      </c>
      <c r="D175" s="86">
        <v>34</v>
      </c>
      <c r="E175" s="87">
        <v>25</v>
      </c>
      <c r="F175" s="86">
        <v>16</v>
      </c>
      <c r="G175" s="113">
        <v>11</v>
      </c>
      <c r="H175" s="86">
        <v>4</v>
      </c>
      <c r="I175" s="88">
        <v>20</v>
      </c>
      <c r="J175" s="86">
        <v>2</v>
      </c>
      <c r="K175" s="87">
        <v>3</v>
      </c>
      <c r="L175" s="86"/>
      <c r="M175" s="87"/>
      <c r="N175" s="89"/>
      <c r="O175" s="87"/>
      <c r="P175" s="86"/>
      <c r="Q175" s="87"/>
      <c r="R175" s="88"/>
      <c r="S175" s="87">
        <v>24</v>
      </c>
      <c r="T175" s="90">
        <v>20</v>
      </c>
      <c r="U175" s="90">
        <v>24</v>
      </c>
      <c r="W175" s="68">
        <f t="shared" si="13"/>
        <v>-1</v>
      </c>
      <c r="X175" s="68">
        <f t="shared" si="14"/>
        <v>-44</v>
      </c>
    </row>
    <row r="176" spans="1:24" ht="15.75" thickBot="1" x14ac:dyDescent="0.3">
      <c r="A176" s="70" t="b">
        <f t="shared" si="12"/>
        <v>1</v>
      </c>
      <c r="B176" s="57">
        <v>2009</v>
      </c>
      <c r="C176" s="78" t="s">
        <v>46</v>
      </c>
      <c r="D176" s="79">
        <v>41</v>
      </c>
      <c r="E176" s="80">
        <v>24</v>
      </c>
      <c r="F176" s="82">
        <v>9</v>
      </c>
      <c r="G176" s="81">
        <v>16.5</v>
      </c>
      <c r="H176" s="82">
        <v>7</v>
      </c>
      <c r="I176" s="83">
        <v>16</v>
      </c>
      <c r="J176" s="82">
        <v>5</v>
      </c>
      <c r="K176" s="80">
        <v>3</v>
      </c>
      <c r="L176" s="82"/>
      <c r="M176" s="80">
        <v>1</v>
      </c>
      <c r="N176" s="85">
        <v>1</v>
      </c>
      <c r="O176" s="80">
        <v>14</v>
      </c>
      <c r="P176" s="82">
        <v>2</v>
      </c>
      <c r="Q176" s="80"/>
      <c r="R176" s="83">
        <v>2</v>
      </c>
      <c r="S176" s="80">
        <v>7</v>
      </c>
      <c r="T176" s="84">
        <v>7</v>
      </c>
      <c r="U176" s="84">
        <v>21</v>
      </c>
      <c r="W176" s="68">
        <f t="shared" si="13"/>
        <v>-17</v>
      </c>
      <c r="X176" s="68">
        <f t="shared" si="14"/>
        <v>-14</v>
      </c>
    </row>
    <row r="177" spans="1:67" s="57" customFormat="1" ht="15.75" thickBot="1" x14ac:dyDescent="0.3">
      <c r="A177" s="70" t="b">
        <f t="shared" si="12"/>
        <v>1</v>
      </c>
      <c r="B177" s="57">
        <v>2008</v>
      </c>
      <c r="C177" s="123" t="s">
        <v>47</v>
      </c>
      <c r="D177" s="124">
        <v>1736</v>
      </c>
      <c r="E177" s="125">
        <v>1196</v>
      </c>
      <c r="F177" s="124">
        <v>657</v>
      </c>
      <c r="G177" s="126">
        <v>16.86</v>
      </c>
      <c r="H177" s="124">
        <v>356</v>
      </c>
      <c r="I177" s="125">
        <v>1013</v>
      </c>
      <c r="J177" s="124">
        <v>81</v>
      </c>
      <c r="K177" s="125">
        <v>100</v>
      </c>
      <c r="L177" s="124">
        <v>5</v>
      </c>
      <c r="M177" s="125">
        <v>8</v>
      </c>
      <c r="N177" s="124">
        <v>13</v>
      </c>
      <c r="O177" s="125">
        <v>508</v>
      </c>
      <c r="P177" s="124">
        <v>172</v>
      </c>
      <c r="Q177" s="125">
        <v>26</v>
      </c>
      <c r="R177" s="125">
        <v>198</v>
      </c>
      <c r="S177" s="125">
        <v>744</v>
      </c>
      <c r="T177" s="127">
        <v>722</v>
      </c>
      <c r="U177" s="127">
        <v>1125</v>
      </c>
      <c r="V177" s="67"/>
      <c r="W177" s="68">
        <f t="shared" si="13"/>
        <v>-452</v>
      </c>
      <c r="X177" s="68">
        <f t="shared" si="14"/>
        <v>-1466</v>
      </c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</row>
    <row r="178" spans="1:67" ht="15.75" thickBot="1" x14ac:dyDescent="0.3">
      <c r="A178" s="70" t="b">
        <f t="shared" si="12"/>
        <v>1</v>
      </c>
      <c r="B178" s="57">
        <v>2008</v>
      </c>
      <c r="C178" s="73" t="s">
        <v>19</v>
      </c>
      <c r="D178" s="103">
        <v>56</v>
      </c>
      <c r="E178" s="104">
        <v>43</v>
      </c>
      <c r="F178" s="103">
        <v>23</v>
      </c>
      <c r="G178" s="105">
        <v>16.938749999999999</v>
      </c>
      <c r="H178" s="103">
        <v>12</v>
      </c>
      <c r="I178" s="106">
        <v>35</v>
      </c>
      <c r="J178" s="103">
        <v>3</v>
      </c>
      <c r="K178" s="104">
        <v>5</v>
      </c>
      <c r="L178" s="103">
        <v>0</v>
      </c>
      <c r="M178" s="104">
        <v>0</v>
      </c>
      <c r="N178" s="107">
        <v>0</v>
      </c>
      <c r="O178" s="104">
        <v>10</v>
      </c>
      <c r="P178" s="103">
        <v>2</v>
      </c>
      <c r="Q178" s="104">
        <v>1</v>
      </c>
      <c r="R178" s="106">
        <v>3</v>
      </c>
      <c r="S178" s="104">
        <v>2</v>
      </c>
      <c r="T178" s="108">
        <v>2</v>
      </c>
      <c r="U178" s="108">
        <v>40</v>
      </c>
      <c r="W178" s="68">
        <f t="shared" si="13"/>
        <v>-41</v>
      </c>
      <c r="X178" s="68">
        <f t="shared" si="14"/>
        <v>-4</v>
      </c>
    </row>
    <row r="179" spans="1:67" ht="15.75" thickBot="1" x14ac:dyDescent="0.3">
      <c r="A179" s="70" t="b">
        <f t="shared" si="12"/>
        <v>1</v>
      </c>
      <c r="B179" s="57">
        <v>2008</v>
      </c>
      <c r="C179" s="71" t="s">
        <v>97</v>
      </c>
      <c r="D179" s="82"/>
      <c r="E179" s="80"/>
      <c r="F179" s="82"/>
      <c r="G179" s="81"/>
      <c r="H179" s="82"/>
      <c r="I179" s="83"/>
      <c r="J179" s="82"/>
      <c r="K179" s="80"/>
      <c r="L179" s="82"/>
      <c r="M179" s="80"/>
      <c r="N179" s="85"/>
      <c r="O179" s="80"/>
      <c r="P179" s="82"/>
      <c r="Q179" s="80"/>
      <c r="R179" s="83"/>
      <c r="S179" s="80"/>
      <c r="T179" s="84"/>
      <c r="U179" s="84"/>
      <c r="W179" s="68">
        <f t="shared" si="13"/>
        <v>0</v>
      </c>
      <c r="X179" s="68">
        <f t="shared" si="14"/>
        <v>0</v>
      </c>
    </row>
    <row r="180" spans="1:67" ht="15.75" thickBot="1" x14ac:dyDescent="0.3">
      <c r="A180" s="70" t="b">
        <f t="shared" si="12"/>
        <v>1</v>
      </c>
      <c r="B180" s="57">
        <v>2008</v>
      </c>
      <c r="C180" s="74" t="s">
        <v>100</v>
      </c>
      <c r="D180" s="97"/>
      <c r="E180" s="98"/>
      <c r="F180" s="97"/>
      <c r="G180" s="99"/>
      <c r="H180" s="97"/>
      <c r="I180" s="100"/>
      <c r="J180" s="97"/>
      <c r="K180" s="98"/>
      <c r="L180" s="97"/>
      <c r="M180" s="98"/>
      <c r="N180" s="101"/>
      <c r="O180" s="98"/>
      <c r="P180" s="97"/>
      <c r="Q180" s="98"/>
      <c r="R180" s="100"/>
      <c r="S180" s="98"/>
      <c r="T180" s="102"/>
      <c r="U180" s="102"/>
      <c r="W180" s="68">
        <f t="shared" si="13"/>
        <v>0</v>
      </c>
      <c r="X180" s="68">
        <f t="shared" si="14"/>
        <v>0</v>
      </c>
    </row>
    <row r="181" spans="1:67" ht="15.75" thickBot="1" x14ac:dyDescent="0.3">
      <c r="A181" s="70" t="b">
        <f t="shared" si="12"/>
        <v>1</v>
      </c>
      <c r="B181" s="57">
        <v>2008</v>
      </c>
      <c r="C181" s="72" t="s">
        <v>20</v>
      </c>
      <c r="D181" s="82">
        <v>17</v>
      </c>
      <c r="E181" s="80">
        <v>12</v>
      </c>
      <c r="F181" s="82">
        <v>8</v>
      </c>
      <c r="G181" s="81">
        <v>19.12</v>
      </c>
      <c r="H181" s="82">
        <v>1</v>
      </c>
      <c r="I181" s="83">
        <v>9</v>
      </c>
      <c r="J181" s="82">
        <v>2</v>
      </c>
      <c r="K181" s="80">
        <v>1</v>
      </c>
      <c r="L181" s="82">
        <v>0</v>
      </c>
      <c r="M181" s="80">
        <v>0</v>
      </c>
      <c r="N181" s="85">
        <v>0</v>
      </c>
      <c r="O181" s="80">
        <v>3</v>
      </c>
      <c r="P181" s="82">
        <v>1</v>
      </c>
      <c r="Q181" s="80">
        <v>0</v>
      </c>
      <c r="R181" s="83">
        <v>1</v>
      </c>
      <c r="S181" s="80">
        <v>0</v>
      </c>
      <c r="T181" s="84">
        <v>0</v>
      </c>
      <c r="U181" s="84">
        <v>12</v>
      </c>
      <c r="W181" s="68">
        <f t="shared" si="13"/>
        <v>-12</v>
      </c>
      <c r="X181" s="68">
        <f t="shared" si="14"/>
        <v>0</v>
      </c>
    </row>
    <row r="182" spans="1:67" ht="15.75" thickBot="1" x14ac:dyDescent="0.3">
      <c r="A182" s="70" t="b">
        <f t="shared" si="12"/>
        <v>1</v>
      </c>
      <c r="B182" s="57">
        <v>2008</v>
      </c>
      <c r="C182" s="75" t="s">
        <v>21</v>
      </c>
      <c r="D182" s="97">
        <v>20</v>
      </c>
      <c r="E182" s="98">
        <v>10</v>
      </c>
      <c r="F182" s="97">
        <v>6</v>
      </c>
      <c r="G182" s="99"/>
      <c r="H182" s="97">
        <v>3</v>
      </c>
      <c r="I182" s="100">
        <v>9</v>
      </c>
      <c r="J182" s="97">
        <v>0</v>
      </c>
      <c r="K182" s="98">
        <v>1</v>
      </c>
      <c r="L182" s="97">
        <v>0</v>
      </c>
      <c r="M182" s="98">
        <v>0</v>
      </c>
      <c r="N182" s="101">
        <v>0</v>
      </c>
      <c r="O182" s="98">
        <v>4</v>
      </c>
      <c r="P182" s="97">
        <v>1</v>
      </c>
      <c r="Q182" s="98">
        <v>0</v>
      </c>
      <c r="R182" s="100">
        <v>1</v>
      </c>
      <c r="S182" s="98">
        <v>2</v>
      </c>
      <c r="T182" s="102">
        <v>2</v>
      </c>
      <c r="U182" s="102">
        <v>10</v>
      </c>
      <c r="W182" s="68">
        <f t="shared" si="13"/>
        <v>-8</v>
      </c>
      <c r="X182" s="68">
        <f t="shared" si="14"/>
        <v>-4</v>
      </c>
    </row>
    <row r="183" spans="1:67" ht="15.75" thickBot="1" x14ac:dyDescent="0.3">
      <c r="A183" s="70" t="b">
        <f t="shared" si="12"/>
        <v>1</v>
      </c>
      <c r="B183" s="57">
        <v>2008</v>
      </c>
      <c r="C183" s="76" t="s">
        <v>22</v>
      </c>
      <c r="D183" s="91">
        <v>16</v>
      </c>
      <c r="E183" s="92">
        <v>12</v>
      </c>
      <c r="F183" s="91">
        <v>6</v>
      </c>
      <c r="G183" s="96"/>
      <c r="H183" s="91">
        <v>6</v>
      </c>
      <c r="I183" s="93">
        <v>12</v>
      </c>
      <c r="J183" s="91">
        <v>0</v>
      </c>
      <c r="K183" s="92">
        <v>0</v>
      </c>
      <c r="L183" s="91">
        <v>0</v>
      </c>
      <c r="M183" s="92">
        <v>0</v>
      </c>
      <c r="N183" s="94">
        <v>0</v>
      </c>
      <c r="O183" s="92">
        <v>6</v>
      </c>
      <c r="P183" s="91">
        <v>0</v>
      </c>
      <c r="Q183" s="92">
        <v>0</v>
      </c>
      <c r="R183" s="93">
        <v>0</v>
      </c>
      <c r="S183" s="92">
        <v>1</v>
      </c>
      <c r="T183" s="95">
        <v>1</v>
      </c>
      <c r="U183" s="95">
        <v>10</v>
      </c>
      <c r="W183" s="68">
        <f t="shared" si="13"/>
        <v>-11</v>
      </c>
      <c r="X183" s="68">
        <f t="shared" si="14"/>
        <v>-2</v>
      </c>
    </row>
    <row r="184" spans="1:67" ht="15.75" thickBot="1" x14ac:dyDescent="0.3">
      <c r="A184" s="70" t="b">
        <f t="shared" si="12"/>
        <v>1</v>
      </c>
      <c r="B184" s="57">
        <v>2008</v>
      </c>
      <c r="C184" s="77" t="s">
        <v>23</v>
      </c>
      <c r="D184" s="86"/>
      <c r="E184" s="87"/>
      <c r="F184" s="86"/>
      <c r="G184" s="113"/>
      <c r="H184" s="86"/>
      <c r="I184" s="88"/>
      <c r="J184" s="86"/>
      <c r="K184" s="87"/>
      <c r="L184" s="86"/>
      <c r="M184" s="87"/>
      <c r="N184" s="89"/>
      <c r="O184" s="87"/>
      <c r="P184" s="86"/>
      <c r="Q184" s="87"/>
      <c r="R184" s="88"/>
      <c r="S184" s="87"/>
      <c r="T184" s="90"/>
      <c r="U184" s="90"/>
      <c r="W184" s="68">
        <f t="shared" si="13"/>
        <v>0</v>
      </c>
      <c r="X184" s="68">
        <f t="shared" si="14"/>
        <v>0</v>
      </c>
    </row>
    <row r="185" spans="1:67" ht="15.75" thickBot="1" x14ac:dyDescent="0.3">
      <c r="A185" s="70" t="b">
        <f t="shared" si="12"/>
        <v>1</v>
      </c>
      <c r="B185" s="57">
        <v>2008</v>
      </c>
      <c r="C185" s="78" t="s">
        <v>24</v>
      </c>
      <c r="D185" s="79">
        <v>20</v>
      </c>
      <c r="E185" s="80">
        <v>17</v>
      </c>
      <c r="F185" s="82">
        <v>5</v>
      </c>
      <c r="G185" s="81">
        <v>19.2</v>
      </c>
      <c r="H185" s="82">
        <v>6</v>
      </c>
      <c r="I185" s="83">
        <v>11</v>
      </c>
      <c r="J185" s="82">
        <v>4</v>
      </c>
      <c r="K185" s="80">
        <v>2</v>
      </c>
      <c r="L185" s="82">
        <v>0</v>
      </c>
      <c r="M185" s="80">
        <v>0</v>
      </c>
      <c r="N185" s="85">
        <v>0</v>
      </c>
      <c r="O185" s="80">
        <v>7</v>
      </c>
      <c r="P185" s="82">
        <v>1</v>
      </c>
      <c r="Q185" s="80">
        <v>0</v>
      </c>
      <c r="R185" s="83">
        <v>1</v>
      </c>
      <c r="S185" s="80">
        <v>0</v>
      </c>
      <c r="T185" s="84">
        <v>0</v>
      </c>
      <c r="U185" s="84">
        <v>17</v>
      </c>
      <c r="W185" s="68">
        <f t="shared" si="13"/>
        <v>-17</v>
      </c>
      <c r="X185" s="68">
        <f t="shared" si="14"/>
        <v>0</v>
      </c>
    </row>
    <row r="186" spans="1:67" ht="15.75" thickBot="1" x14ac:dyDescent="0.3">
      <c r="A186" s="70" t="b">
        <f t="shared" si="12"/>
        <v>1</v>
      </c>
      <c r="B186" s="57">
        <v>2008</v>
      </c>
      <c r="C186" s="73" t="s">
        <v>98</v>
      </c>
      <c r="D186" s="103">
        <v>62</v>
      </c>
      <c r="E186" s="104">
        <v>45</v>
      </c>
      <c r="F186" s="103">
        <v>16</v>
      </c>
      <c r="G186" s="105">
        <v>23.891666666666701</v>
      </c>
      <c r="H186" s="103">
        <v>19</v>
      </c>
      <c r="I186" s="106">
        <v>35</v>
      </c>
      <c r="J186" s="103">
        <v>6</v>
      </c>
      <c r="K186" s="104">
        <v>5</v>
      </c>
      <c r="L186" s="103">
        <v>0</v>
      </c>
      <c r="M186" s="104">
        <v>0</v>
      </c>
      <c r="N186" s="107">
        <v>0</v>
      </c>
      <c r="O186" s="104">
        <v>17</v>
      </c>
      <c r="P186" s="103">
        <v>2</v>
      </c>
      <c r="Q186" s="104">
        <v>0</v>
      </c>
      <c r="R186" s="106">
        <v>2</v>
      </c>
      <c r="S186" s="104">
        <v>10</v>
      </c>
      <c r="T186" s="108">
        <v>10</v>
      </c>
      <c r="U186" s="108">
        <v>42</v>
      </c>
      <c r="W186" s="68">
        <f t="shared" si="13"/>
        <v>-35</v>
      </c>
      <c r="X186" s="68">
        <f t="shared" si="14"/>
        <v>-20</v>
      </c>
    </row>
    <row r="187" spans="1:67" ht="15.75" thickBot="1" x14ac:dyDescent="0.3">
      <c r="A187" s="70" t="b">
        <f t="shared" si="12"/>
        <v>1</v>
      </c>
      <c r="B187" s="57">
        <v>2008</v>
      </c>
      <c r="C187" s="71" t="s">
        <v>25</v>
      </c>
      <c r="D187" s="82">
        <v>14</v>
      </c>
      <c r="E187" s="80">
        <v>13</v>
      </c>
      <c r="F187" s="82">
        <v>10</v>
      </c>
      <c r="G187" s="81">
        <v>13.1666666666667</v>
      </c>
      <c r="H187" s="82">
        <v>2</v>
      </c>
      <c r="I187" s="83">
        <v>12</v>
      </c>
      <c r="J187" s="82">
        <v>1</v>
      </c>
      <c r="K187" s="80">
        <v>1</v>
      </c>
      <c r="L187" s="82">
        <v>0</v>
      </c>
      <c r="M187" s="80">
        <v>1</v>
      </c>
      <c r="N187" s="85">
        <v>1</v>
      </c>
      <c r="O187" s="80">
        <v>6</v>
      </c>
      <c r="P187" s="82">
        <v>1</v>
      </c>
      <c r="Q187" s="80">
        <v>0</v>
      </c>
      <c r="R187" s="83">
        <v>1</v>
      </c>
      <c r="S187" s="80">
        <v>3</v>
      </c>
      <c r="T187" s="84">
        <v>3</v>
      </c>
      <c r="U187" s="84">
        <v>11</v>
      </c>
      <c r="W187" s="68">
        <f t="shared" si="13"/>
        <v>-10</v>
      </c>
      <c r="X187" s="68">
        <f t="shared" si="14"/>
        <v>-6</v>
      </c>
    </row>
    <row r="188" spans="1:67" ht="15.75" thickBot="1" x14ac:dyDescent="0.3">
      <c r="A188" s="70" t="b">
        <f t="shared" si="12"/>
        <v>1</v>
      </c>
      <c r="B188" s="57">
        <v>2008</v>
      </c>
      <c r="C188" s="74" t="s">
        <v>26</v>
      </c>
      <c r="D188" s="97">
        <v>55</v>
      </c>
      <c r="E188" s="98">
        <v>47</v>
      </c>
      <c r="F188" s="97">
        <v>33</v>
      </c>
      <c r="G188" s="99">
        <v>15.47</v>
      </c>
      <c r="H188" s="97">
        <v>12</v>
      </c>
      <c r="I188" s="100">
        <v>45</v>
      </c>
      <c r="J188" s="97">
        <v>1</v>
      </c>
      <c r="K188" s="98">
        <v>0</v>
      </c>
      <c r="L188" s="97">
        <v>0</v>
      </c>
      <c r="M188" s="98">
        <v>0</v>
      </c>
      <c r="N188" s="101">
        <v>0</v>
      </c>
      <c r="O188" s="98">
        <v>17</v>
      </c>
      <c r="P188" s="97">
        <v>4</v>
      </c>
      <c r="Q188" s="98">
        <v>2</v>
      </c>
      <c r="R188" s="100">
        <v>6</v>
      </c>
      <c r="S188" s="98">
        <v>8</v>
      </c>
      <c r="T188" s="102">
        <v>8</v>
      </c>
      <c r="U188" s="102">
        <v>44</v>
      </c>
      <c r="W188" s="68">
        <f t="shared" si="13"/>
        <v>-39</v>
      </c>
      <c r="X188" s="68">
        <f t="shared" si="14"/>
        <v>-16</v>
      </c>
    </row>
    <row r="189" spans="1:67" ht="15.75" thickBot="1" x14ac:dyDescent="0.3">
      <c r="A189" s="70" t="b">
        <f t="shared" si="12"/>
        <v>1</v>
      </c>
      <c r="B189" s="57">
        <v>2008</v>
      </c>
      <c r="C189" s="72" t="s">
        <v>27</v>
      </c>
      <c r="D189" s="82">
        <v>419</v>
      </c>
      <c r="E189" s="80">
        <v>271</v>
      </c>
      <c r="F189" s="82">
        <v>101</v>
      </c>
      <c r="G189" s="81">
        <v>12.341333333333333</v>
      </c>
      <c r="H189" s="82">
        <v>118</v>
      </c>
      <c r="I189" s="83">
        <v>219</v>
      </c>
      <c r="J189" s="82">
        <v>21</v>
      </c>
      <c r="K189" s="80">
        <v>30</v>
      </c>
      <c r="L189" s="82">
        <v>1</v>
      </c>
      <c r="M189" s="80">
        <v>5</v>
      </c>
      <c r="N189" s="85">
        <v>6</v>
      </c>
      <c r="O189" s="80">
        <v>144</v>
      </c>
      <c r="P189" s="82">
        <v>94</v>
      </c>
      <c r="Q189" s="80">
        <v>4</v>
      </c>
      <c r="R189" s="83">
        <v>98</v>
      </c>
      <c r="S189" s="80">
        <v>223</v>
      </c>
      <c r="T189" s="84">
        <v>214</v>
      </c>
      <c r="U189" s="84">
        <v>255</v>
      </c>
      <c r="W189" s="68">
        <f t="shared" si="13"/>
        <v>-48</v>
      </c>
      <c r="X189" s="68">
        <f t="shared" si="14"/>
        <v>-437</v>
      </c>
    </row>
    <row r="190" spans="1:67" ht="15.75" thickBot="1" x14ac:dyDescent="0.3">
      <c r="A190" s="70" t="b">
        <f t="shared" si="12"/>
        <v>1</v>
      </c>
      <c r="B190" s="57">
        <v>2008</v>
      </c>
      <c r="C190" s="75" t="s">
        <v>103</v>
      </c>
      <c r="D190" s="97"/>
      <c r="E190" s="98"/>
      <c r="F190" s="97"/>
      <c r="G190" s="99"/>
      <c r="H190" s="97"/>
      <c r="I190" s="100"/>
      <c r="J190" s="97"/>
      <c r="K190" s="98"/>
      <c r="L190" s="97"/>
      <c r="M190" s="98"/>
      <c r="N190" s="101"/>
      <c r="O190" s="98"/>
      <c r="P190" s="97"/>
      <c r="Q190" s="98"/>
      <c r="R190" s="100"/>
      <c r="S190" s="98"/>
      <c r="T190" s="102"/>
      <c r="U190" s="102"/>
      <c r="W190" s="68">
        <f t="shared" si="13"/>
        <v>0</v>
      </c>
      <c r="X190" s="68">
        <f t="shared" si="14"/>
        <v>0</v>
      </c>
    </row>
    <row r="191" spans="1:67" ht="15.75" thickBot="1" x14ac:dyDescent="0.3">
      <c r="A191" s="70" t="b">
        <f t="shared" si="12"/>
        <v>1</v>
      </c>
      <c r="B191" s="57">
        <v>2008</v>
      </c>
      <c r="C191" s="76" t="s">
        <v>28</v>
      </c>
      <c r="D191" s="91">
        <v>13</v>
      </c>
      <c r="E191" s="92">
        <v>13</v>
      </c>
      <c r="F191" s="91">
        <v>6</v>
      </c>
      <c r="G191" s="96"/>
      <c r="H191" s="91">
        <v>3</v>
      </c>
      <c r="I191" s="93">
        <v>9</v>
      </c>
      <c r="J191" s="91">
        <v>2</v>
      </c>
      <c r="K191" s="92">
        <v>2</v>
      </c>
      <c r="L191" s="91">
        <v>0</v>
      </c>
      <c r="M191" s="92">
        <v>0</v>
      </c>
      <c r="N191" s="94">
        <v>0</v>
      </c>
      <c r="O191" s="92">
        <v>7</v>
      </c>
      <c r="P191" s="91">
        <v>4</v>
      </c>
      <c r="Q191" s="92">
        <v>0</v>
      </c>
      <c r="R191" s="93">
        <v>4</v>
      </c>
      <c r="S191" s="92">
        <v>4</v>
      </c>
      <c r="T191" s="95">
        <v>4</v>
      </c>
      <c r="U191" s="95">
        <v>12</v>
      </c>
      <c r="W191" s="68">
        <f t="shared" si="13"/>
        <v>-9</v>
      </c>
      <c r="X191" s="68">
        <f t="shared" si="14"/>
        <v>-8</v>
      </c>
    </row>
    <row r="192" spans="1:67" ht="15.75" thickBot="1" x14ac:dyDescent="0.3">
      <c r="A192" s="70" t="b">
        <f t="shared" si="12"/>
        <v>1</v>
      </c>
      <c r="B192" s="57">
        <v>2008</v>
      </c>
      <c r="C192" s="77" t="s">
        <v>29</v>
      </c>
      <c r="D192" s="86">
        <v>12</v>
      </c>
      <c r="E192" s="87">
        <v>5</v>
      </c>
      <c r="F192" s="86">
        <v>3</v>
      </c>
      <c r="G192" s="113"/>
      <c r="H192" s="86">
        <v>2</v>
      </c>
      <c r="I192" s="88">
        <v>5</v>
      </c>
      <c r="J192" s="86">
        <v>0</v>
      </c>
      <c r="K192" s="87">
        <v>0</v>
      </c>
      <c r="L192" s="86">
        <v>0</v>
      </c>
      <c r="M192" s="87">
        <v>0</v>
      </c>
      <c r="N192" s="89">
        <v>0</v>
      </c>
      <c r="O192" s="87">
        <v>0</v>
      </c>
      <c r="P192" s="86">
        <v>0</v>
      </c>
      <c r="Q192" s="87">
        <v>0</v>
      </c>
      <c r="R192" s="88">
        <v>0</v>
      </c>
      <c r="S192" s="87">
        <v>0</v>
      </c>
      <c r="T192" s="90">
        <v>0</v>
      </c>
      <c r="U192" s="90">
        <v>5</v>
      </c>
      <c r="W192" s="68">
        <f t="shared" si="13"/>
        <v>-5</v>
      </c>
      <c r="X192" s="68">
        <f t="shared" si="14"/>
        <v>0</v>
      </c>
    </row>
    <row r="193" spans="1:189" ht="15.75" thickBot="1" x14ac:dyDescent="0.3">
      <c r="A193" s="70" t="b">
        <f t="shared" si="12"/>
        <v>1</v>
      </c>
      <c r="B193" s="57">
        <v>2008</v>
      </c>
      <c r="C193" s="78" t="s">
        <v>104</v>
      </c>
      <c r="D193" s="79"/>
      <c r="E193" s="80"/>
      <c r="F193" s="82"/>
      <c r="G193" s="81"/>
      <c r="H193" s="82"/>
      <c r="I193" s="83"/>
      <c r="J193" s="82"/>
      <c r="K193" s="80"/>
      <c r="L193" s="82"/>
      <c r="M193" s="80"/>
      <c r="N193" s="85"/>
      <c r="O193" s="80"/>
      <c r="P193" s="82"/>
      <c r="Q193" s="80"/>
      <c r="R193" s="83"/>
      <c r="S193" s="80"/>
      <c r="T193" s="84"/>
      <c r="U193" s="84"/>
      <c r="W193" s="68"/>
      <c r="X193" s="68"/>
    </row>
    <row r="194" spans="1:189" ht="15.75" thickBot="1" x14ac:dyDescent="0.3">
      <c r="A194" s="70" t="b">
        <f t="shared" si="12"/>
        <v>1</v>
      </c>
      <c r="B194" s="57">
        <v>2008</v>
      </c>
      <c r="C194" s="73" t="s">
        <v>30</v>
      </c>
      <c r="D194" s="103">
        <v>11</v>
      </c>
      <c r="E194" s="104">
        <v>9</v>
      </c>
      <c r="F194" s="103">
        <v>8</v>
      </c>
      <c r="G194" s="105">
        <v>20</v>
      </c>
      <c r="H194" s="103">
        <v>0</v>
      </c>
      <c r="I194" s="106">
        <v>8</v>
      </c>
      <c r="J194" s="103">
        <v>0</v>
      </c>
      <c r="K194" s="104">
        <v>1</v>
      </c>
      <c r="L194" s="103">
        <v>0</v>
      </c>
      <c r="M194" s="104">
        <v>0</v>
      </c>
      <c r="N194" s="107">
        <v>0</v>
      </c>
      <c r="O194" s="104">
        <v>0</v>
      </c>
      <c r="P194" s="103">
        <v>3</v>
      </c>
      <c r="Q194" s="104">
        <v>0</v>
      </c>
      <c r="R194" s="106">
        <v>3</v>
      </c>
      <c r="S194" s="104">
        <v>4</v>
      </c>
      <c r="T194" s="108">
        <v>4</v>
      </c>
      <c r="U194" s="108">
        <v>8</v>
      </c>
      <c r="W194" s="68">
        <f t="shared" ref="W194:W227" si="15">S194-E194</f>
        <v>-5</v>
      </c>
      <c r="X194" s="68">
        <f t="shared" ref="X194:X227" si="16">-T194-S194</f>
        <v>-8</v>
      </c>
    </row>
    <row r="195" spans="1:189" ht="15.75" thickBot="1" x14ac:dyDescent="0.3">
      <c r="A195" s="70" t="b">
        <f t="shared" si="12"/>
        <v>1</v>
      </c>
      <c r="B195" s="57">
        <v>2008</v>
      </c>
      <c r="C195" s="71" t="s">
        <v>31</v>
      </c>
      <c r="D195" s="82">
        <v>6</v>
      </c>
      <c r="E195" s="80">
        <v>5</v>
      </c>
      <c r="F195" s="82">
        <v>2</v>
      </c>
      <c r="G195" s="81"/>
      <c r="H195" s="82">
        <v>0</v>
      </c>
      <c r="I195" s="83">
        <v>2</v>
      </c>
      <c r="J195" s="82">
        <v>1</v>
      </c>
      <c r="K195" s="80">
        <v>1</v>
      </c>
      <c r="L195" s="82">
        <v>0</v>
      </c>
      <c r="M195" s="80">
        <v>0</v>
      </c>
      <c r="N195" s="85">
        <v>0</v>
      </c>
      <c r="O195" s="80">
        <v>4</v>
      </c>
      <c r="P195" s="82">
        <v>1</v>
      </c>
      <c r="Q195" s="80">
        <v>0</v>
      </c>
      <c r="R195" s="83">
        <v>1</v>
      </c>
      <c r="S195" s="80">
        <v>1</v>
      </c>
      <c r="T195" s="84">
        <v>1</v>
      </c>
      <c r="U195" s="84">
        <v>3</v>
      </c>
      <c r="W195" s="68">
        <f t="shared" si="15"/>
        <v>-4</v>
      </c>
      <c r="X195" s="68">
        <f t="shared" si="16"/>
        <v>-2</v>
      </c>
    </row>
    <row r="196" spans="1:189" ht="15.75" thickBot="1" x14ac:dyDescent="0.3">
      <c r="A196" s="70" t="b">
        <f t="shared" si="12"/>
        <v>1</v>
      </c>
      <c r="B196" s="57">
        <v>2008</v>
      </c>
      <c r="C196" s="74" t="s">
        <v>32</v>
      </c>
      <c r="D196" s="97">
        <v>35</v>
      </c>
      <c r="E196" s="98">
        <v>25</v>
      </c>
      <c r="F196" s="97">
        <v>14</v>
      </c>
      <c r="G196" s="99">
        <v>13.6816666666667</v>
      </c>
      <c r="H196" s="97">
        <v>5</v>
      </c>
      <c r="I196" s="100">
        <v>19</v>
      </c>
      <c r="J196" s="97">
        <v>4</v>
      </c>
      <c r="K196" s="98">
        <v>2</v>
      </c>
      <c r="L196" s="97">
        <v>0</v>
      </c>
      <c r="M196" s="98">
        <v>0</v>
      </c>
      <c r="N196" s="101">
        <v>0</v>
      </c>
      <c r="O196" s="98">
        <v>8</v>
      </c>
      <c r="P196" s="97">
        <v>4</v>
      </c>
      <c r="Q196" s="98">
        <v>0</v>
      </c>
      <c r="R196" s="100">
        <v>4</v>
      </c>
      <c r="S196" s="98">
        <v>3</v>
      </c>
      <c r="T196" s="102">
        <v>3</v>
      </c>
      <c r="U196" s="102">
        <v>23</v>
      </c>
      <c r="W196" s="68">
        <f t="shared" si="15"/>
        <v>-22</v>
      </c>
      <c r="X196" s="68">
        <f t="shared" si="16"/>
        <v>-6</v>
      </c>
    </row>
    <row r="197" spans="1:189" ht="15.75" thickBot="1" x14ac:dyDescent="0.3">
      <c r="A197" s="70" t="b">
        <f t="shared" ref="A197:A211" si="17">C197=C232</f>
        <v>1</v>
      </c>
      <c r="B197" s="57">
        <v>2008</v>
      </c>
      <c r="C197" s="72" t="s">
        <v>33</v>
      </c>
      <c r="D197" s="82">
        <v>3</v>
      </c>
      <c r="E197" s="80">
        <v>2</v>
      </c>
      <c r="F197" s="82"/>
      <c r="G197" s="81"/>
      <c r="H197" s="82"/>
      <c r="I197" s="83"/>
      <c r="J197" s="82"/>
      <c r="K197" s="80"/>
      <c r="L197" s="82"/>
      <c r="M197" s="80"/>
      <c r="N197" s="85"/>
      <c r="O197" s="80"/>
      <c r="P197" s="82"/>
      <c r="Q197" s="80"/>
      <c r="R197" s="83"/>
      <c r="S197" s="80"/>
      <c r="T197" s="84"/>
      <c r="U197" s="84"/>
      <c r="W197" s="68">
        <f t="shared" si="15"/>
        <v>-2</v>
      </c>
      <c r="X197" s="68">
        <f t="shared" si="16"/>
        <v>0</v>
      </c>
    </row>
    <row r="198" spans="1:189" ht="15.75" thickBot="1" x14ac:dyDescent="0.3">
      <c r="A198" s="70" t="b">
        <f t="shared" si="17"/>
        <v>1</v>
      </c>
      <c r="B198" s="57">
        <v>2008</v>
      </c>
      <c r="C198" s="75" t="s">
        <v>34</v>
      </c>
      <c r="D198" s="97">
        <v>1</v>
      </c>
      <c r="E198" s="98">
        <v>1</v>
      </c>
      <c r="F198" s="97"/>
      <c r="G198" s="99"/>
      <c r="H198" s="97"/>
      <c r="I198" s="100"/>
      <c r="J198" s="97"/>
      <c r="K198" s="98"/>
      <c r="L198" s="97"/>
      <c r="M198" s="98"/>
      <c r="N198" s="101"/>
      <c r="O198" s="98"/>
      <c r="P198" s="97"/>
      <c r="Q198" s="98"/>
      <c r="R198" s="100"/>
      <c r="S198" s="98"/>
      <c r="T198" s="102"/>
      <c r="U198" s="102"/>
      <c r="W198" s="68">
        <f t="shared" si="15"/>
        <v>-1</v>
      </c>
      <c r="X198" s="68">
        <f t="shared" si="16"/>
        <v>0</v>
      </c>
    </row>
    <row r="199" spans="1:189" ht="15.75" thickBot="1" x14ac:dyDescent="0.3">
      <c r="A199" s="70" t="b">
        <f t="shared" si="17"/>
        <v>1</v>
      </c>
      <c r="B199" s="57">
        <v>2008</v>
      </c>
      <c r="C199" s="76" t="s">
        <v>35</v>
      </c>
      <c r="D199" s="91">
        <v>20</v>
      </c>
      <c r="E199" s="92">
        <v>14</v>
      </c>
      <c r="F199" s="91">
        <v>11</v>
      </c>
      <c r="G199" s="96">
        <v>21.19</v>
      </c>
      <c r="H199" s="91">
        <v>2</v>
      </c>
      <c r="I199" s="93">
        <v>13</v>
      </c>
      <c r="J199" s="91">
        <v>0</v>
      </c>
      <c r="K199" s="92">
        <v>1</v>
      </c>
      <c r="L199" s="91">
        <v>0</v>
      </c>
      <c r="M199" s="92">
        <v>0</v>
      </c>
      <c r="N199" s="94">
        <v>0</v>
      </c>
      <c r="O199" s="92">
        <v>5</v>
      </c>
      <c r="P199" s="91">
        <v>4</v>
      </c>
      <c r="Q199" s="92">
        <v>0</v>
      </c>
      <c r="R199" s="93">
        <v>4</v>
      </c>
      <c r="S199" s="92">
        <v>9</v>
      </c>
      <c r="T199" s="95">
        <v>9</v>
      </c>
      <c r="U199" s="95">
        <v>13</v>
      </c>
      <c r="W199" s="68">
        <f t="shared" si="15"/>
        <v>-5</v>
      </c>
      <c r="X199" s="68">
        <f t="shared" si="16"/>
        <v>-18</v>
      </c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  <c r="CJ199" s="128"/>
      <c r="CK199" s="128"/>
      <c r="CL199" s="128"/>
      <c r="CM199" s="128"/>
      <c r="CN199" s="128"/>
      <c r="CO199" s="128"/>
      <c r="CP199" s="128"/>
      <c r="CQ199" s="128"/>
      <c r="CR199" s="128"/>
      <c r="CS199" s="128"/>
      <c r="CT199" s="128"/>
      <c r="CU199" s="128"/>
      <c r="CV199" s="128"/>
      <c r="CW199" s="128"/>
      <c r="CX199" s="128"/>
      <c r="CY199" s="128"/>
      <c r="CZ199" s="128"/>
      <c r="DA199" s="128"/>
      <c r="DB199" s="128"/>
      <c r="DC199" s="128"/>
      <c r="DD199" s="128"/>
      <c r="DE199" s="128"/>
      <c r="DF199" s="128"/>
      <c r="DG199" s="128"/>
      <c r="DH199" s="128"/>
      <c r="DI199" s="128"/>
      <c r="DJ199" s="128"/>
      <c r="DK199" s="128"/>
      <c r="DL199" s="128"/>
      <c r="DM199" s="128"/>
      <c r="DN199" s="128"/>
      <c r="DO199" s="128"/>
      <c r="DP199" s="128"/>
      <c r="DQ199" s="128"/>
      <c r="DR199" s="128"/>
      <c r="DS199" s="128"/>
      <c r="DT199" s="128"/>
      <c r="DU199" s="128"/>
      <c r="DV199" s="128"/>
      <c r="DW199" s="128"/>
      <c r="DX199" s="128"/>
      <c r="DY199" s="128"/>
      <c r="DZ199" s="128"/>
      <c r="EA199" s="128"/>
      <c r="EB199" s="128"/>
      <c r="EC199" s="128"/>
      <c r="ED199" s="128"/>
      <c r="EE199" s="128"/>
      <c r="EF199" s="128"/>
      <c r="EG199" s="128"/>
      <c r="EH199" s="128"/>
      <c r="EI199" s="128"/>
      <c r="EJ199" s="128"/>
      <c r="EK199" s="128"/>
      <c r="EL199" s="128"/>
      <c r="EM199" s="128"/>
      <c r="EN199" s="128"/>
      <c r="EO199" s="128"/>
      <c r="EP199" s="128"/>
      <c r="EQ199" s="128"/>
      <c r="ER199" s="128"/>
      <c r="ES199" s="128"/>
      <c r="ET199" s="128"/>
      <c r="EU199" s="128"/>
      <c r="EV199" s="128"/>
      <c r="EW199" s="128"/>
      <c r="EX199" s="128"/>
      <c r="EY199" s="128"/>
      <c r="EZ199" s="128"/>
      <c r="FA199" s="128"/>
      <c r="FB199" s="128"/>
      <c r="FC199" s="128"/>
      <c r="FD199" s="128"/>
      <c r="FE199" s="128"/>
      <c r="FF199" s="128"/>
      <c r="FG199" s="128"/>
      <c r="FH199" s="128"/>
      <c r="FI199" s="128"/>
      <c r="FJ199" s="128"/>
      <c r="FK199" s="128"/>
      <c r="FL199" s="128"/>
      <c r="FM199" s="128"/>
      <c r="FN199" s="128"/>
      <c r="FO199" s="128"/>
      <c r="FP199" s="128"/>
      <c r="FQ199" s="128"/>
      <c r="FR199" s="128"/>
      <c r="FS199" s="128"/>
      <c r="FT199" s="128"/>
      <c r="FU199" s="128"/>
      <c r="FV199" s="128"/>
      <c r="FW199" s="128"/>
      <c r="FX199" s="128"/>
      <c r="FY199" s="128"/>
      <c r="FZ199" s="128"/>
      <c r="GA199" s="128"/>
      <c r="GB199" s="128"/>
      <c r="GC199" s="128"/>
      <c r="GD199" s="128"/>
      <c r="GE199" s="128"/>
      <c r="GF199" s="128"/>
      <c r="GG199" s="128"/>
    </row>
    <row r="200" spans="1:189" ht="15.75" thickBot="1" x14ac:dyDescent="0.3">
      <c r="A200" s="70" t="b">
        <f t="shared" si="17"/>
        <v>1</v>
      </c>
      <c r="B200" s="57">
        <v>2008</v>
      </c>
      <c r="C200" s="77" t="s">
        <v>36</v>
      </c>
      <c r="D200" s="86">
        <v>19</v>
      </c>
      <c r="E200" s="87">
        <v>10</v>
      </c>
      <c r="F200" s="86">
        <v>3</v>
      </c>
      <c r="G200" s="113"/>
      <c r="H200" s="86">
        <v>4</v>
      </c>
      <c r="I200" s="88">
        <v>7</v>
      </c>
      <c r="J200" s="86">
        <v>3</v>
      </c>
      <c r="K200" s="87">
        <v>0</v>
      </c>
      <c r="L200" s="86">
        <v>0</v>
      </c>
      <c r="M200" s="87">
        <v>0</v>
      </c>
      <c r="N200" s="89">
        <v>0</v>
      </c>
      <c r="O200" s="87">
        <v>1</v>
      </c>
      <c r="P200" s="86">
        <v>0</v>
      </c>
      <c r="Q200" s="87">
        <v>0</v>
      </c>
      <c r="R200" s="88">
        <v>0</v>
      </c>
      <c r="S200" s="87">
        <v>2</v>
      </c>
      <c r="T200" s="90">
        <v>2</v>
      </c>
      <c r="U200" s="90">
        <v>7</v>
      </c>
      <c r="W200" s="68">
        <f t="shared" si="15"/>
        <v>-8</v>
      </c>
      <c r="X200" s="68">
        <f t="shared" si="16"/>
        <v>-4</v>
      </c>
    </row>
    <row r="201" spans="1:189" ht="15.75" thickBot="1" x14ac:dyDescent="0.3">
      <c r="A201" s="70" t="b">
        <f t="shared" si="17"/>
        <v>1</v>
      </c>
      <c r="B201" s="57">
        <v>2008</v>
      </c>
      <c r="C201" s="78" t="s">
        <v>37</v>
      </c>
      <c r="D201" s="79">
        <v>6</v>
      </c>
      <c r="E201" s="80">
        <v>5</v>
      </c>
      <c r="F201" s="82">
        <v>4</v>
      </c>
      <c r="G201" s="81"/>
      <c r="H201" s="82">
        <v>1</v>
      </c>
      <c r="I201" s="83">
        <v>5</v>
      </c>
      <c r="J201" s="82">
        <v>0</v>
      </c>
      <c r="K201" s="80">
        <v>0</v>
      </c>
      <c r="L201" s="82">
        <v>0</v>
      </c>
      <c r="M201" s="80">
        <v>0</v>
      </c>
      <c r="N201" s="85">
        <v>0</v>
      </c>
      <c r="O201" s="80">
        <v>4</v>
      </c>
      <c r="P201" s="82">
        <v>0</v>
      </c>
      <c r="Q201" s="80">
        <v>1</v>
      </c>
      <c r="R201" s="83">
        <v>1</v>
      </c>
      <c r="S201" s="80">
        <v>0</v>
      </c>
      <c r="T201" s="84">
        <v>0</v>
      </c>
      <c r="U201" s="84">
        <v>5</v>
      </c>
      <c r="W201" s="68">
        <f t="shared" si="15"/>
        <v>-5</v>
      </c>
      <c r="X201" s="68">
        <f t="shared" si="16"/>
        <v>0</v>
      </c>
    </row>
    <row r="202" spans="1:189" ht="15.75" thickBot="1" x14ac:dyDescent="0.3">
      <c r="A202" s="70" t="b">
        <f t="shared" si="17"/>
        <v>1</v>
      </c>
      <c r="B202" s="57">
        <v>2008</v>
      </c>
      <c r="C202" s="73" t="s">
        <v>38</v>
      </c>
      <c r="D202" s="103">
        <v>21</v>
      </c>
      <c r="E202" s="104">
        <v>16</v>
      </c>
      <c r="F202" s="103">
        <v>9</v>
      </c>
      <c r="G202" s="105">
        <v>11.375</v>
      </c>
      <c r="H202" s="103">
        <v>6</v>
      </c>
      <c r="I202" s="106">
        <v>15</v>
      </c>
      <c r="J202" s="103">
        <v>0</v>
      </c>
      <c r="K202" s="104">
        <v>1</v>
      </c>
      <c r="L202" s="103">
        <v>0</v>
      </c>
      <c r="M202" s="104">
        <v>0</v>
      </c>
      <c r="N202" s="107">
        <v>0</v>
      </c>
      <c r="O202" s="104">
        <v>2</v>
      </c>
      <c r="P202" s="103">
        <v>1</v>
      </c>
      <c r="Q202" s="104">
        <v>2</v>
      </c>
      <c r="R202" s="106">
        <v>3</v>
      </c>
      <c r="S202" s="104">
        <v>6</v>
      </c>
      <c r="T202" s="108">
        <v>6</v>
      </c>
      <c r="U202" s="108">
        <v>16</v>
      </c>
      <c r="W202" s="68">
        <f t="shared" si="15"/>
        <v>-10</v>
      </c>
      <c r="X202" s="68">
        <f t="shared" si="16"/>
        <v>-12</v>
      </c>
    </row>
    <row r="203" spans="1:189" ht="15.75" thickBot="1" x14ac:dyDescent="0.3">
      <c r="A203" s="70" t="b">
        <f t="shared" si="17"/>
        <v>1</v>
      </c>
      <c r="B203" s="57">
        <v>2008</v>
      </c>
      <c r="C203" s="71" t="s">
        <v>39</v>
      </c>
      <c r="D203" s="82">
        <v>20</v>
      </c>
      <c r="E203" s="80">
        <v>13</v>
      </c>
      <c r="F203" s="82">
        <v>9</v>
      </c>
      <c r="G203" s="81">
        <v>23.375</v>
      </c>
      <c r="H203" s="82">
        <v>3</v>
      </c>
      <c r="I203" s="83">
        <v>12</v>
      </c>
      <c r="J203" s="82">
        <v>1</v>
      </c>
      <c r="K203" s="80">
        <v>0</v>
      </c>
      <c r="L203" s="82">
        <v>0</v>
      </c>
      <c r="M203" s="80">
        <v>0</v>
      </c>
      <c r="N203" s="85">
        <v>0</v>
      </c>
      <c r="O203" s="80">
        <v>3</v>
      </c>
      <c r="P203" s="82">
        <v>2</v>
      </c>
      <c r="Q203" s="80">
        <v>0</v>
      </c>
      <c r="R203" s="83">
        <v>2</v>
      </c>
      <c r="S203" s="80">
        <v>0</v>
      </c>
      <c r="T203" s="84">
        <v>0</v>
      </c>
      <c r="U203" s="84">
        <v>11</v>
      </c>
      <c r="W203" s="68">
        <f t="shared" si="15"/>
        <v>-13</v>
      </c>
      <c r="X203" s="68">
        <f t="shared" si="16"/>
        <v>0</v>
      </c>
    </row>
    <row r="204" spans="1:189" ht="15.75" thickBot="1" x14ac:dyDescent="0.3">
      <c r="A204" s="70" t="b">
        <f t="shared" si="17"/>
        <v>1</v>
      </c>
      <c r="B204" s="57">
        <v>2008</v>
      </c>
      <c r="C204" s="73" t="s">
        <v>40</v>
      </c>
      <c r="D204" s="103">
        <v>502</v>
      </c>
      <c r="E204" s="104">
        <v>338</v>
      </c>
      <c r="F204" s="103">
        <v>181</v>
      </c>
      <c r="G204" s="105">
        <v>12.575277777777799</v>
      </c>
      <c r="H204" s="103">
        <v>109</v>
      </c>
      <c r="I204" s="106">
        <v>290</v>
      </c>
      <c r="J204" s="103">
        <v>16</v>
      </c>
      <c r="K204" s="104">
        <v>31</v>
      </c>
      <c r="L204" s="103">
        <v>1</v>
      </c>
      <c r="M204" s="104">
        <v>1</v>
      </c>
      <c r="N204" s="107">
        <v>2</v>
      </c>
      <c r="O204" s="104">
        <v>175</v>
      </c>
      <c r="P204" s="103">
        <v>16</v>
      </c>
      <c r="Q204" s="104">
        <v>11</v>
      </c>
      <c r="R204" s="106">
        <v>27</v>
      </c>
      <c r="S204" s="104">
        <v>285</v>
      </c>
      <c r="T204" s="108">
        <v>280</v>
      </c>
      <c r="U204" s="108">
        <v>330</v>
      </c>
      <c r="W204" s="68">
        <f t="shared" si="15"/>
        <v>-53</v>
      </c>
      <c r="X204" s="68">
        <f t="shared" si="16"/>
        <v>-565</v>
      </c>
    </row>
    <row r="205" spans="1:189" ht="15.75" thickBot="1" x14ac:dyDescent="0.3">
      <c r="A205" s="70" t="b">
        <f t="shared" si="17"/>
        <v>1</v>
      </c>
      <c r="B205" s="57">
        <v>2008</v>
      </c>
      <c r="C205" s="71" t="s">
        <v>41</v>
      </c>
      <c r="D205" s="82">
        <v>22</v>
      </c>
      <c r="E205" s="80">
        <v>10</v>
      </c>
      <c r="F205" s="82">
        <v>9</v>
      </c>
      <c r="G205" s="81">
        <v>11.616666666666699</v>
      </c>
      <c r="H205" s="82">
        <v>0</v>
      </c>
      <c r="I205" s="83">
        <v>9</v>
      </c>
      <c r="J205" s="82">
        <v>1</v>
      </c>
      <c r="K205" s="80">
        <v>0</v>
      </c>
      <c r="L205" s="82">
        <v>0</v>
      </c>
      <c r="M205" s="80">
        <v>0</v>
      </c>
      <c r="N205" s="85">
        <v>0</v>
      </c>
      <c r="O205" s="80">
        <v>1</v>
      </c>
      <c r="P205" s="82">
        <v>2</v>
      </c>
      <c r="Q205" s="80">
        <v>0</v>
      </c>
      <c r="R205" s="83">
        <v>2</v>
      </c>
      <c r="S205" s="80">
        <v>7</v>
      </c>
      <c r="T205" s="84">
        <v>5</v>
      </c>
      <c r="U205" s="84">
        <v>10</v>
      </c>
      <c r="W205" s="68">
        <f t="shared" si="15"/>
        <v>-3</v>
      </c>
      <c r="X205" s="68">
        <f t="shared" si="16"/>
        <v>-12</v>
      </c>
    </row>
    <row r="206" spans="1:189" ht="15.75" thickBot="1" x14ac:dyDescent="0.3">
      <c r="A206" s="70" t="b">
        <f t="shared" si="17"/>
        <v>1</v>
      </c>
      <c r="B206" s="57">
        <v>2008</v>
      </c>
      <c r="C206" s="74" t="s">
        <v>42</v>
      </c>
      <c r="D206" s="97">
        <v>13</v>
      </c>
      <c r="E206" s="98">
        <v>11</v>
      </c>
      <c r="F206" s="97">
        <v>4</v>
      </c>
      <c r="G206" s="99"/>
      <c r="H206" s="97">
        <v>5</v>
      </c>
      <c r="I206" s="100">
        <v>9</v>
      </c>
      <c r="J206" s="97">
        <v>1</v>
      </c>
      <c r="K206" s="98">
        <v>1</v>
      </c>
      <c r="L206" s="97">
        <v>0</v>
      </c>
      <c r="M206" s="98">
        <v>0</v>
      </c>
      <c r="N206" s="101">
        <v>0</v>
      </c>
      <c r="O206" s="98">
        <v>4</v>
      </c>
      <c r="P206" s="97">
        <v>0</v>
      </c>
      <c r="Q206" s="98">
        <v>0</v>
      </c>
      <c r="R206" s="100">
        <v>0</v>
      </c>
      <c r="S206" s="98">
        <v>3</v>
      </c>
      <c r="T206" s="102">
        <v>3</v>
      </c>
      <c r="U206" s="102">
        <v>10</v>
      </c>
      <c r="W206" s="68">
        <f t="shared" si="15"/>
        <v>-8</v>
      </c>
      <c r="X206" s="68">
        <f t="shared" si="16"/>
        <v>-6</v>
      </c>
    </row>
    <row r="207" spans="1:189" ht="15.75" thickBot="1" x14ac:dyDescent="0.3">
      <c r="A207" s="70" t="b">
        <f t="shared" si="17"/>
        <v>1</v>
      </c>
      <c r="B207" s="57">
        <v>2008</v>
      </c>
      <c r="C207" s="72" t="s">
        <v>43</v>
      </c>
      <c r="D207" s="82">
        <v>50</v>
      </c>
      <c r="E207" s="80">
        <v>36</v>
      </c>
      <c r="F207" s="82">
        <v>28</v>
      </c>
      <c r="G207" s="81">
        <v>17.658333333333299</v>
      </c>
      <c r="H207" s="82">
        <v>3</v>
      </c>
      <c r="I207" s="83">
        <v>31</v>
      </c>
      <c r="J207" s="82">
        <v>1</v>
      </c>
      <c r="K207" s="80">
        <v>4</v>
      </c>
      <c r="L207" s="82">
        <v>0</v>
      </c>
      <c r="M207" s="80">
        <v>0</v>
      </c>
      <c r="N207" s="85">
        <v>0</v>
      </c>
      <c r="O207" s="80">
        <v>20</v>
      </c>
      <c r="P207" s="82">
        <v>4</v>
      </c>
      <c r="Q207" s="80">
        <v>1</v>
      </c>
      <c r="R207" s="83">
        <v>5</v>
      </c>
      <c r="S207" s="80">
        <v>30</v>
      </c>
      <c r="T207" s="84">
        <v>28</v>
      </c>
      <c r="U207" s="84">
        <v>33</v>
      </c>
      <c r="W207" s="68">
        <f t="shared" si="15"/>
        <v>-6</v>
      </c>
      <c r="X207" s="68">
        <f t="shared" si="16"/>
        <v>-58</v>
      </c>
    </row>
    <row r="208" spans="1:189" ht="15.75" thickBot="1" x14ac:dyDescent="0.3">
      <c r="A208" s="70" t="b">
        <f t="shared" si="17"/>
        <v>1</v>
      </c>
      <c r="B208" s="57">
        <v>2008</v>
      </c>
      <c r="C208" s="75" t="s">
        <v>44</v>
      </c>
      <c r="D208" s="97">
        <v>181</v>
      </c>
      <c r="E208" s="98">
        <v>113</v>
      </c>
      <c r="F208" s="97">
        <v>93</v>
      </c>
      <c r="G208" s="99">
        <v>23.720588235294102</v>
      </c>
      <c r="H208" s="97">
        <v>9</v>
      </c>
      <c r="I208" s="100">
        <v>102</v>
      </c>
      <c r="J208" s="97">
        <v>7</v>
      </c>
      <c r="K208" s="98">
        <v>4</v>
      </c>
      <c r="L208" s="97">
        <v>0</v>
      </c>
      <c r="M208" s="98">
        <v>0</v>
      </c>
      <c r="N208" s="101">
        <v>0</v>
      </c>
      <c r="O208" s="98">
        <v>20</v>
      </c>
      <c r="P208" s="97">
        <v>16</v>
      </c>
      <c r="Q208" s="98">
        <v>3</v>
      </c>
      <c r="R208" s="100">
        <v>19</v>
      </c>
      <c r="S208" s="98">
        <v>106</v>
      </c>
      <c r="T208" s="102">
        <v>106</v>
      </c>
      <c r="U208" s="102">
        <v>101</v>
      </c>
      <c r="W208" s="68">
        <f t="shared" si="15"/>
        <v>-7</v>
      </c>
      <c r="X208" s="68">
        <f t="shared" si="16"/>
        <v>-212</v>
      </c>
    </row>
    <row r="209" spans="1:24" ht="26.25" thickBot="1" x14ac:dyDescent="0.3">
      <c r="A209" s="70" t="b">
        <f t="shared" si="17"/>
        <v>1</v>
      </c>
      <c r="B209" s="57">
        <v>2008</v>
      </c>
      <c r="C209" s="76" t="s">
        <v>99</v>
      </c>
      <c r="D209" s="91">
        <v>5</v>
      </c>
      <c r="E209" s="92">
        <v>3</v>
      </c>
      <c r="F209" s="91"/>
      <c r="G209" s="96"/>
      <c r="H209" s="91"/>
      <c r="I209" s="93"/>
      <c r="J209" s="91"/>
      <c r="K209" s="92"/>
      <c r="L209" s="91"/>
      <c r="M209" s="92"/>
      <c r="N209" s="94"/>
      <c r="O209" s="92"/>
      <c r="P209" s="91"/>
      <c r="Q209" s="92"/>
      <c r="R209" s="93"/>
      <c r="S209" s="92"/>
      <c r="T209" s="95"/>
      <c r="U209" s="95"/>
      <c r="W209" s="68">
        <f t="shared" si="15"/>
        <v>-3</v>
      </c>
      <c r="X209" s="68">
        <f t="shared" si="16"/>
        <v>0</v>
      </c>
    </row>
    <row r="210" spans="1:24" ht="15.75" thickBot="1" x14ac:dyDescent="0.3">
      <c r="A210" s="70" t="b">
        <f t="shared" si="17"/>
        <v>1</v>
      </c>
      <c r="B210" s="57">
        <v>2008</v>
      </c>
      <c r="C210" s="77" t="s">
        <v>45</v>
      </c>
      <c r="D210" s="86">
        <v>26</v>
      </c>
      <c r="E210" s="87">
        <v>23</v>
      </c>
      <c r="F210" s="86">
        <v>18</v>
      </c>
      <c r="G210" s="113">
        <v>11.4625</v>
      </c>
      <c r="H210" s="86">
        <v>1</v>
      </c>
      <c r="I210" s="88">
        <v>19</v>
      </c>
      <c r="J210" s="86">
        <v>0</v>
      </c>
      <c r="K210" s="87">
        <v>4</v>
      </c>
      <c r="L210" s="86">
        <v>0</v>
      </c>
      <c r="M210" s="87">
        <v>1</v>
      </c>
      <c r="N210" s="89">
        <v>1</v>
      </c>
      <c r="O210" s="87">
        <v>3</v>
      </c>
      <c r="P210" s="86">
        <v>5</v>
      </c>
      <c r="Q210" s="87">
        <v>0</v>
      </c>
      <c r="R210" s="88">
        <v>5</v>
      </c>
      <c r="S210" s="87">
        <v>22</v>
      </c>
      <c r="T210" s="90">
        <v>20</v>
      </c>
      <c r="U210" s="90">
        <v>22</v>
      </c>
      <c r="W210" s="68">
        <f t="shared" si="15"/>
        <v>-1</v>
      </c>
      <c r="X210" s="68">
        <f t="shared" si="16"/>
        <v>-42</v>
      </c>
    </row>
    <row r="211" spans="1:24" ht="15.75" thickBot="1" x14ac:dyDescent="0.3">
      <c r="A211" s="70" t="b">
        <f t="shared" si="17"/>
        <v>1</v>
      </c>
      <c r="B211" s="57">
        <v>2008</v>
      </c>
      <c r="C211" s="78" t="s">
        <v>46</v>
      </c>
      <c r="D211" s="79">
        <v>37</v>
      </c>
      <c r="E211" s="80">
        <v>27</v>
      </c>
      <c r="F211" s="82">
        <v>15</v>
      </c>
      <c r="G211" s="81"/>
      <c r="H211" s="82">
        <v>8</v>
      </c>
      <c r="I211" s="83">
        <v>23</v>
      </c>
      <c r="J211" s="82">
        <v>3</v>
      </c>
      <c r="K211" s="80">
        <v>1</v>
      </c>
      <c r="L211" s="82">
        <v>3</v>
      </c>
      <c r="M211" s="80">
        <v>0</v>
      </c>
      <c r="N211" s="85">
        <v>3</v>
      </c>
      <c r="O211" s="80">
        <v>20</v>
      </c>
      <c r="P211" s="82">
        <v>3</v>
      </c>
      <c r="Q211" s="80">
        <v>1</v>
      </c>
      <c r="R211" s="83">
        <v>4</v>
      </c>
      <c r="S211" s="80">
        <v>8</v>
      </c>
      <c r="T211" s="84">
        <v>7</v>
      </c>
      <c r="U211" s="84">
        <v>26</v>
      </c>
      <c r="W211" s="68">
        <f t="shared" si="15"/>
        <v>-19</v>
      </c>
      <c r="X211" s="68">
        <f t="shared" si="16"/>
        <v>-15</v>
      </c>
    </row>
    <row r="212" spans="1:24" ht="15.75" thickBot="1" x14ac:dyDescent="0.3">
      <c r="A212" s="70"/>
      <c r="B212" s="57">
        <v>2007</v>
      </c>
      <c r="C212" s="123" t="s">
        <v>47</v>
      </c>
      <c r="D212" s="129">
        <v>1665</v>
      </c>
      <c r="E212" s="130">
        <v>870</v>
      </c>
      <c r="F212" s="131">
        <v>529</v>
      </c>
      <c r="G212" s="143">
        <v>16.34</v>
      </c>
      <c r="H212" s="132">
        <v>181</v>
      </c>
      <c r="I212" s="133">
        <v>710</v>
      </c>
      <c r="J212" s="131">
        <v>95</v>
      </c>
      <c r="K212" s="130">
        <v>65</v>
      </c>
      <c r="L212" s="134"/>
      <c r="M212" s="133"/>
      <c r="N212" s="131">
        <v>10</v>
      </c>
      <c r="O212" s="130">
        <v>388</v>
      </c>
      <c r="P212" s="131"/>
      <c r="Q212" s="133"/>
      <c r="R212" s="133"/>
      <c r="S212" s="133"/>
      <c r="T212" s="135"/>
      <c r="U212" s="136">
        <v>836</v>
      </c>
      <c r="W212" s="68">
        <f t="shared" si="15"/>
        <v>-870</v>
      </c>
      <c r="X212" s="68">
        <f t="shared" si="16"/>
        <v>0</v>
      </c>
    </row>
    <row r="213" spans="1:24" ht="15.75" thickBot="1" x14ac:dyDescent="0.3">
      <c r="A213" s="70"/>
      <c r="B213" s="57">
        <v>2007</v>
      </c>
      <c r="C213" s="73" t="s">
        <v>19</v>
      </c>
      <c r="D213" s="103">
        <v>42</v>
      </c>
      <c r="E213" s="104">
        <v>22</v>
      </c>
      <c r="F213" s="103">
        <v>13</v>
      </c>
      <c r="G213" s="105">
        <v>16.713999999999999</v>
      </c>
      <c r="H213" s="103">
        <v>5</v>
      </c>
      <c r="I213" s="106">
        <v>18</v>
      </c>
      <c r="J213" s="103">
        <v>3</v>
      </c>
      <c r="K213" s="104">
        <v>1</v>
      </c>
      <c r="L213" s="103"/>
      <c r="M213" s="104"/>
      <c r="N213" s="107">
        <v>0</v>
      </c>
      <c r="O213" s="104">
        <v>4</v>
      </c>
      <c r="P213" s="103"/>
      <c r="Q213" s="104"/>
      <c r="R213" s="106"/>
      <c r="S213" s="104"/>
      <c r="T213" s="108"/>
      <c r="U213" s="108">
        <v>21</v>
      </c>
      <c r="W213" s="68">
        <f t="shared" si="15"/>
        <v>-22</v>
      </c>
      <c r="X213" s="68">
        <f t="shared" si="16"/>
        <v>0</v>
      </c>
    </row>
    <row r="214" spans="1:24" ht="15.75" thickBot="1" x14ac:dyDescent="0.3">
      <c r="A214" s="70"/>
      <c r="B214" s="57">
        <v>2007</v>
      </c>
      <c r="C214" s="71" t="s">
        <v>97</v>
      </c>
      <c r="D214" s="82"/>
      <c r="E214" s="80"/>
      <c r="F214" s="82"/>
      <c r="G214" s="81"/>
      <c r="H214" s="82"/>
      <c r="I214" s="83"/>
      <c r="J214" s="82"/>
      <c r="K214" s="80"/>
      <c r="L214" s="82"/>
      <c r="M214" s="80"/>
      <c r="N214" s="85"/>
      <c r="O214" s="80"/>
      <c r="P214" s="82"/>
      <c r="Q214" s="80"/>
      <c r="R214" s="83"/>
      <c r="S214" s="80"/>
      <c r="T214" s="84"/>
      <c r="U214" s="84"/>
      <c r="W214" s="68">
        <f t="shared" si="15"/>
        <v>0</v>
      </c>
      <c r="X214" s="68">
        <f t="shared" si="16"/>
        <v>0</v>
      </c>
    </row>
    <row r="215" spans="1:24" ht="15.75" thickBot="1" x14ac:dyDescent="0.3">
      <c r="A215" s="70"/>
      <c r="B215" s="57">
        <v>2007</v>
      </c>
      <c r="C215" s="74" t="s">
        <v>100</v>
      </c>
      <c r="D215" s="97"/>
      <c r="E215" s="98"/>
      <c r="F215" s="97"/>
      <c r="G215" s="99"/>
      <c r="H215" s="97"/>
      <c r="I215" s="100"/>
      <c r="J215" s="97"/>
      <c r="K215" s="98"/>
      <c r="L215" s="97"/>
      <c r="M215" s="98"/>
      <c r="N215" s="101"/>
      <c r="O215" s="98"/>
      <c r="P215" s="97"/>
      <c r="Q215" s="98"/>
      <c r="R215" s="100"/>
      <c r="S215" s="98"/>
      <c r="T215" s="102"/>
      <c r="U215" s="102"/>
      <c r="W215" s="68">
        <f t="shared" si="15"/>
        <v>0</v>
      </c>
      <c r="X215" s="68">
        <f t="shared" si="16"/>
        <v>0</v>
      </c>
    </row>
    <row r="216" spans="1:24" ht="15.75" thickBot="1" x14ac:dyDescent="0.3">
      <c r="A216" s="70"/>
      <c r="B216" s="57">
        <v>2007</v>
      </c>
      <c r="C216" s="72" t="s">
        <v>20</v>
      </c>
      <c r="D216" s="82">
        <v>13</v>
      </c>
      <c r="E216" s="80">
        <v>11</v>
      </c>
      <c r="F216" s="82">
        <v>7</v>
      </c>
      <c r="G216" s="81">
        <v>18</v>
      </c>
      <c r="H216" s="82">
        <v>2</v>
      </c>
      <c r="I216" s="83">
        <v>9</v>
      </c>
      <c r="J216" s="82">
        <v>0</v>
      </c>
      <c r="K216" s="80">
        <v>2</v>
      </c>
      <c r="L216" s="82"/>
      <c r="M216" s="80"/>
      <c r="N216" s="85">
        <v>0</v>
      </c>
      <c r="O216" s="80">
        <v>5</v>
      </c>
      <c r="P216" s="82"/>
      <c r="Q216" s="80"/>
      <c r="R216" s="83"/>
      <c r="S216" s="80"/>
      <c r="T216" s="84"/>
      <c r="U216" s="84">
        <v>10</v>
      </c>
      <c r="W216" s="68">
        <f t="shared" si="15"/>
        <v>-11</v>
      </c>
      <c r="X216" s="68">
        <f t="shared" si="16"/>
        <v>0</v>
      </c>
    </row>
    <row r="217" spans="1:24" ht="15.75" thickBot="1" x14ac:dyDescent="0.3">
      <c r="A217" s="70"/>
      <c r="B217" s="57">
        <v>2007</v>
      </c>
      <c r="C217" s="75" t="s">
        <v>21</v>
      </c>
      <c r="D217" s="97">
        <v>23</v>
      </c>
      <c r="E217" s="98">
        <v>11</v>
      </c>
      <c r="F217" s="97">
        <v>8</v>
      </c>
      <c r="G217" s="99">
        <v>17.420000000000002</v>
      </c>
      <c r="H217" s="97">
        <v>2</v>
      </c>
      <c r="I217" s="100">
        <v>10</v>
      </c>
      <c r="J217" s="97">
        <v>1</v>
      </c>
      <c r="K217" s="98">
        <v>0</v>
      </c>
      <c r="L217" s="97"/>
      <c r="M217" s="98"/>
      <c r="N217" s="101">
        <v>1</v>
      </c>
      <c r="O217" s="98">
        <v>2</v>
      </c>
      <c r="P217" s="97"/>
      <c r="Q217" s="98"/>
      <c r="R217" s="100"/>
      <c r="S217" s="98"/>
      <c r="T217" s="102"/>
      <c r="U217" s="102">
        <v>11</v>
      </c>
      <c r="W217" s="68">
        <f t="shared" si="15"/>
        <v>-11</v>
      </c>
      <c r="X217" s="68">
        <f t="shared" si="16"/>
        <v>0</v>
      </c>
    </row>
    <row r="218" spans="1:24" ht="15.75" thickBot="1" x14ac:dyDescent="0.3">
      <c r="A218" s="70"/>
      <c r="B218" s="57">
        <v>2007</v>
      </c>
      <c r="C218" s="76" t="s">
        <v>22</v>
      </c>
      <c r="D218" s="91">
        <v>17</v>
      </c>
      <c r="E218" s="92">
        <v>6</v>
      </c>
      <c r="F218" s="91">
        <v>3</v>
      </c>
      <c r="G218" s="96"/>
      <c r="H218" s="91">
        <v>1</v>
      </c>
      <c r="I218" s="93">
        <v>4</v>
      </c>
      <c r="J218" s="91">
        <v>1</v>
      </c>
      <c r="K218" s="92">
        <v>1</v>
      </c>
      <c r="L218" s="91"/>
      <c r="M218" s="92"/>
      <c r="N218" s="94">
        <v>0</v>
      </c>
      <c r="O218" s="92">
        <v>5</v>
      </c>
      <c r="P218" s="91"/>
      <c r="Q218" s="92"/>
      <c r="R218" s="93"/>
      <c r="S218" s="92"/>
      <c r="T218" s="95"/>
      <c r="U218" s="95">
        <v>6</v>
      </c>
      <c r="W218" s="68">
        <f t="shared" si="15"/>
        <v>-6</v>
      </c>
      <c r="X218" s="68">
        <f t="shared" si="16"/>
        <v>0</v>
      </c>
    </row>
    <row r="219" spans="1:24" ht="15.75" thickBot="1" x14ac:dyDescent="0.3">
      <c r="A219" s="70"/>
      <c r="B219" s="57">
        <v>2007</v>
      </c>
      <c r="C219" s="77" t="s">
        <v>23</v>
      </c>
      <c r="D219" s="86"/>
      <c r="E219" s="87"/>
      <c r="F219" s="86"/>
      <c r="G219" s="113"/>
      <c r="H219" s="86"/>
      <c r="I219" s="88"/>
      <c r="J219" s="86"/>
      <c r="K219" s="87"/>
      <c r="L219" s="86"/>
      <c r="M219" s="87"/>
      <c r="N219" s="89"/>
      <c r="O219" s="87"/>
      <c r="P219" s="86"/>
      <c r="Q219" s="87"/>
      <c r="R219" s="88"/>
      <c r="S219" s="87"/>
      <c r="T219" s="90"/>
      <c r="U219" s="90"/>
      <c r="W219" s="68">
        <f t="shared" si="15"/>
        <v>0</v>
      </c>
      <c r="X219" s="68">
        <f t="shared" si="16"/>
        <v>0</v>
      </c>
    </row>
    <row r="220" spans="1:24" ht="15.75" thickBot="1" x14ac:dyDescent="0.3">
      <c r="A220" s="70"/>
      <c r="B220" s="57">
        <v>2007</v>
      </c>
      <c r="C220" s="78" t="s">
        <v>24</v>
      </c>
      <c r="D220" s="79">
        <v>20</v>
      </c>
      <c r="E220" s="80">
        <v>10</v>
      </c>
      <c r="F220" s="82">
        <v>9</v>
      </c>
      <c r="G220" s="81">
        <v>17.132860000000001</v>
      </c>
      <c r="H220" s="82">
        <v>0</v>
      </c>
      <c r="I220" s="83">
        <v>9</v>
      </c>
      <c r="J220" s="82">
        <v>1</v>
      </c>
      <c r="K220" s="80">
        <v>0</v>
      </c>
      <c r="L220" s="82"/>
      <c r="M220" s="80"/>
      <c r="N220" s="85">
        <v>0</v>
      </c>
      <c r="O220" s="80">
        <v>2</v>
      </c>
      <c r="P220" s="82"/>
      <c r="Q220" s="80"/>
      <c r="R220" s="83"/>
      <c r="S220" s="80"/>
      <c r="T220" s="84"/>
      <c r="U220" s="84">
        <v>10</v>
      </c>
      <c r="W220" s="68">
        <f t="shared" si="15"/>
        <v>-10</v>
      </c>
      <c r="X220" s="68">
        <f t="shared" si="16"/>
        <v>0</v>
      </c>
    </row>
    <row r="221" spans="1:24" ht="15.75" thickBot="1" x14ac:dyDescent="0.3">
      <c r="A221" s="70"/>
      <c r="B221" s="57">
        <v>2007</v>
      </c>
      <c r="C221" s="73" t="s">
        <v>98</v>
      </c>
      <c r="D221" s="103">
        <v>53</v>
      </c>
      <c r="E221" s="104">
        <v>25</v>
      </c>
      <c r="F221" s="103">
        <v>12</v>
      </c>
      <c r="G221" s="105">
        <v>20.650670000000002</v>
      </c>
      <c r="H221" s="103">
        <v>8</v>
      </c>
      <c r="I221" s="106">
        <v>20</v>
      </c>
      <c r="J221" s="103">
        <v>3</v>
      </c>
      <c r="K221" s="104">
        <v>2</v>
      </c>
      <c r="L221" s="103"/>
      <c r="M221" s="104"/>
      <c r="N221" s="107">
        <v>2</v>
      </c>
      <c r="O221" s="104">
        <v>15</v>
      </c>
      <c r="P221" s="103"/>
      <c r="Q221" s="104"/>
      <c r="R221" s="106"/>
      <c r="S221" s="104"/>
      <c r="T221" s="108"/>
      <c r="U221" s="108">
        <v>21</v>
      </c>
      <c r="W221" s="68">
        <f t="shared" si="15"/>
        <v>-25</v>
      </c>
      <c r="X221" s="68">
        <f t="shared" si="16"/>
        <v>0</v>
      </c>
    </row>
    <row r="222" spans="1:24" ht="15.75" thickBot="1" x14ac:dyDescent="0.3">
      <c r="A222" s="70"/>
      <c r="B222" s="57">
        <v>2007</v>
      </c>
      <c r="C222" s="71" t="s">
        <v>25</v>
      </c>
      <c r="D222" s="82">
        <v>14</v>
      </c>
      <c r="E222" s="80">
        <v>8</v>
      </c>
      <c r="F222" s="82">
        <v>6</v>
      </c>
      <c r="G222" s="81">
        <v>14</v>
      </c>
      <c r="H222" s="82">
        <v>2</v>
      </c>
      <c r="I222" s="83">
        <v>8</v>
      </c>
      <c r="J222" s="82">
        <v>0</v>
      </c>
      <c r="K222" s="80">
        <v>0</v>
      </c>
      <c r="L222" s="82"/>
      <c r="M222" s="80"/>
      <c r="N222" s="85">
        <v>0</v>
      </c>
      <c r="O222" s="80">
        <v>2</v>
      </c>
      <c r="P222" s="82"/>
      <c r="Q222" s="80"/>
      <c r="R222" s="83"/>
      <c r="S222" s="80"/>
      <c r="T222" s="84"/>
      <c r="U222" s="84">
        <v>8</v>
      </c>
      <c r="W222" s="68">
        <f t="shared" si="15"/>
        <v>-8</v>
      </c>
      <c r="X222" s="68">
        <f t="shared" si="16"/>
        <v>0</v>
      </c>
    </row>
    <row r="223" spans="1:24" ht="15.75" thickBot="1" x14ac:dyDescent="0.3">
      <c r="A223" s="70"/>
      <c r="B223" s="57">
        <v>2007</v>
      </c>
      <c r="C223" s="74" t="s">
        <v>26</v>
      </c>
      <c r="D223" s="97">
        <v>66</v>
      </c>
      <c r="E223" s="98">
        <v>22</v>
      </c>
      <c r="F223" s="97">
        <v>17</v>
      </c>
      <c r="G223" s="99">
        <v>15.365830000000001</v>
      </c>
      <c r="H223" s="97">
        <v>1</v>
      </c>
      <c r="I223" s="100">
        <v>18</v>
      </c>
      <c r="J223" s="97">
        <v>2</v>
      </c>
      <c r="K223" s="98">
        <v>2</v>
      </c>
      <c r="L223" s="97"/>
      <c r="M223" s="98"/>
      <c r="N223" s="101">
        <v>0</v>
      </c>
      <c r="O223" s="98">
        <v>13</v>
      </c>
      <c r="P223" s="97"/>
      <c r="Q223" s="98"/>
      <c r="R223" s="100"/>
      <c r="S223" s="98"/>
      <c r="T223" s="102"/>
      <c r="U223" s="102">
        <v>20</v>
      </c>
      <c r="W223" s="68">
        <f t="shared" si="15"/>
        <v>-22</v>
      </c>
      <c r="X223" s="68">
        <f t="shared" si="16"/>
        <v>0</v>
      </c>
    </row>
    <row r="224" spans="1:24" ht="15.75" thickBot="1" x14ac:dyDescent="0.3">
      <c r="A224" s="70"/>
      <c r="B224" s="57">
        <v>2007</v>
      </c>
      <c r="C224" s="72" t="s">
        <v>27</v>
      </c>
      <c r="D224" s="82">
        <v>324</v>
      </c>
      <c r="E224" s="80">
        <v>150</v>
      </c>
      <c r="F224" s="82">
        <v>61</v>
      </c>
      <c r="G224" s="81">
        <v>13.95782</v>
      </c>
      <c r="H224" s="82">
        <v>56</v>
      </c>
      <c r="I224" s="83">
        <v>117</v>
      </c>
      <c r="J224" s="82">
        <v>21</v>
      </c>
      <c r="K224" s="80">
        <v>12</v>
      </c>
      <c r="L224" s="82"/>
      <c r="M224" s="80"/>
      <c r="N224" s="85">
        <v>6</v>
      </c>
      <c r="O224" s="80">
        <v>89</v>
      </c>
      <c r="P224" s="82"/>
      <c r="Q224" s="80"/>
      <c r="R224" s="83"/>
      <c r="S224" s="80"/>
      <c r="T224" s="84"/>
      <c r="U224" s="84">
        <v>149</v>
      </c>
      <c r="W224" s="68">
        <f t="shared" si="15"/>
        <v>-150</v>
      </c>
      <c r="X224" s="68">
        <f t="shared" si="16"/>
        <v>0</v>
      </c>
    </row>
    <row r="225" spans="1:24" ht="15.75" thickBot="1" x14ac:dyDescent="0.3">
      <c r="A225" s="70"/>
      <c r="B225" s="57">
        <v>2007</v>
      </c>
      <c r="C225" s="75" t="s">
        <v>103</v>
      </c>
      <c r="D225" s="97"/>
      <c r="E225" s="98"/>
      <c r="F225" s="97"/>
      <c r="G225" s="99"/>
      <c r="H225" s="97"/>
      <c r="I225" s="100"/>
      <c r="J225" s="97"/>
      <c r="K225" s="98"/>
      <c r="L225" s="97"/>
      <c r="M225" s="98"/>
      <c r="N225" s="101"/>
      <c r="O225" s="98"/>
      <c r="P225" s="97"/>
      <c r="Q225" s="98"/>
      <c r="R225" s="100"/>
      <c r="S225" s="98"/>
      <c r="T225" s="102"/>
      <c r="U225" s="102"/>
      <c r="W225" s="68">
        <f t="shared" si="15"/>
        <v>0</v>
      </c>
      <c r="X225" s="68">
        <f t="shared" si="16"/>
        <v>0</v>
      </c>
    </row>
    <row r="226" spans="1:24" ht="15.75" thickBot="1" x14ac:dyDescent="0.3">
      <c r="A226" s="70"/>
      <c r="B226" s="57">
        <v>2007</v>
      </c>
      <c r="C226" s="76" t="s">
        <v>28</v>
      </c>
      <c r="D226" s="91">
        <v>10</v>
      </c>
      <c r="E226" s="92">
        <v>6</v>
      </c>
      <c r="F226" s="91">
        <v>2</v>
      </c>
      <c r="G226" s="96"/>
      <c r="H226" s="91">
        <v>2</v>
      </c>
      <c r="I226" s="93">
        <v>4</v>
      </c>
      <c r="J226" s="91">
        <v>2</v>
      </c>
      <c r="K226" s="92">
        <v>0</v>
      </c>
      <c r="L226" s="91"/>
      <c r="M226" s="92"/>
      <c r="N226" s="94">
        <v>0</v>
      </c>
      <c r="O226" s="92">
        <v>4</v>
      </c>
      <c r="P226" s="91"/>
      <c r="Q226" s="92"/>
      <c r="R226" s="93"/>
      <c r="S226" s="92"/>
      <c r="T226" s="95"/>
      <c r="U226" s="95">
        <v>5</v>
      </c>
      <c r="W226" s="68">
        <f t="shared" si="15"/>
        <v>-6</v>
      </c>
      <c r="X226" s="68">
        <f t="shared" si="16"/>
        <v>0</v>
      </c>
    </row>
    <row r="227" spans="1:24" ht="15.75" thickBot="1" x14ac:dyDescent="0.3">
      <c r="A227" s="70"/>
      <c r="B227" s="57">
        <v>2007</v>
      </c>
      <c r="C227" s="77" t="s">
        <v>29</v>
      </c>
      <c r="D227" s="86">
        <v>16</v>
      </c>
      <c r="E227" s="87">
        <v>13</v>
      </c>
      <c r="F227" s="86">
        <v>7</v>
      </c>
      <c r="G227" s="113">
        <v>19.848179999999999</v>
      </c>
      <c r="H227" s="86">
        <v>4</v>
      </c>
      <c r="I227" s="88">
        <v>11</v>
      </c>
      <c r="J227" s="86">
        <v>2</v>
      </c>
      <c r="K227" s="87">
        <v>0</v>
      </c>
      <c r="L227" s="86"/>
      <c r="M227" s="87"/>
      <c r="N227" s="89">
        <v>0</v>
      </c>
      <c r="O227" s="87">
        <v>7</v>
      </c>
      <c r="P227" s="86"/>
      <c r="Q227" s="87"/>
      <c r="R227" s="88"/>
      <c r="S227" s="87"/>
      <c r="T227" s="90"/>
      <c r="U227" s="90">
        <v>13</v>
      </c>
      <c r="W227" s="68">
        <f t="shared" si="15"/>
        <v>-13</v>
      </c>
      <c r="X227" s="68">
        <f t="shared" si="16"/>
        <v>0</v>
      </c>
    </row>
    <row r="228" spans="1:24" ht="15.75" thickBot="1" x14ac:dyDescent="0.3">
      <c r="A228" s="70"/>
      <c r="B228" s="57">
        <v>2007</v>
      </c>
      <c r="C228" s="78" t="s">
        <v>104</v>
      </c>
      <c r="D228" s="79"/>
      <c r="E228" s="80"/>
      <c r="F228" s="82"/>
      <c r="G228" s="81"/>
      <c r="H228" s="82"/>
      <c r="I228" s="83"/>
      <c r="J228" s="82"/>
      <c r="K228" s="80"/>
      <c r="L228" s="82"/>
      <c r="M228" s="80"/>
      <c r="N228" s="85"/>
      <c r="O228" s="80"/>
      <c r="P228" s="82"/>
      <c r="Q228" s="80"/>
      <c r="R228" s="83"/>
      <c r="S228" s="80"/>
      <c r="T228" s="84"/>
      <c r="U228" s="84"/>
      <c r="W228" s="68"/>
      <c r="X228" s="68"/>
    </row>
    <row r="229" spans="1:24" ht="15.75" thickBot="1" x14ac:dyDescent="0.3">
      <c r="A229" s="70"/>
      <c r="B229" s="57">
        <v>2007</v>
      </c>
      <c r="C229" s="73" t="s">
        <v>30</v>
      </c>
      <c r="D229" s="103">
        <v>3</v>
      </c>
      <c r="E229" s="104">
        <v>0</v>
      </c>
      <c r="F229" s="103"/>
      <c r="G229" s="105"/>
      <c r="H229" s="103"/>
      <c r="I229" s="106"/>
      <c r="J229" s="103"/>
      <c r="K229" s="104"/>
      <c r="L229" s="103"/>
      <c r="M229" s="104"/>
      <c r="N229" s="107"/>
      <c r="O229" s="104"/>
      <c r="P229" s="103"/>
      <c r="Q229" s="104"/>
      <c r="R229" s="106"/>
      <c r="S229" s="104"/>
      <c r="T229" s="108"/>
      <c r="U229" s="108"/>
      <c r="W229" s="68">
        <f t="shared" ref="W229:W246" si="18">S229-E229</f>
        <v>0</v>
      </c>
      <c r="X229" s="68">
        <f t="shared" ref="X229:X246" si="19">-T229-S229</f>
        <v>0</v>
      </c>
    </row>
    <row r="230" spans="1:24" ht="15.75" thickBot="1" x14ac:dyDescent="0.3">
      <c r="A230" s="70"/>
      <c r="B230" s="57">
        <v>2007</v>
      </c>
      <c r="C230" s="71" t="s">
        <v>31</v>
      </c>
      <c r="D230" s="82">
        <v>3</v>
      </c>
      <c r="E230" s="80">
        <v>1</v>
      </c>
      <c r="F230" s="82"/>
      <c r="G230" s="81"/>
      <c r="H230" s="82"/>
      <c r="I230" s="83"/>
      <c r="J230" s="82"/>
      <c r="K230" s="80"/>
      <c r="L230" s="82"/>
      <c r="M230" s="80"/>
      <c r="N230" s="85"/>
      <c r="O230" s="80"/>
      <c r="P230" s="82"/>
      <c r="Q230" s="80"/>
      <c r="R230" s="83"/>
      <c r="S230" s="80"/>
      <c r="T230" s="84"/>
      <c r="U230" s="84"/>
      <c r="W230" s="68">
        <f t="shared" si="18"/>
        <v>-1</v>
      </c>
      <c r="X230" s="68">
        <f t="shared" si="19"/>
        <v>0</v>
      </c>
    </row>
    <row r="231" spans="1:24" ht="15.75" thickBot="1" x14ac:dyDescent="0.3">
      <c r="A231" s="70"/>
      <c r="B231" s="57">
        <v>2007</v>
      </c>
      <c r="C231" s="74" t="s">
        <v>32</v>
      </c>
      <c r="D231" s="97">
        <v>28</v>
      </c>
      <c r="E231" s="98">
        <v>22</v>
      </c>
      <c r="F231" s="97">
        <v>18</v>
      </c>
      <c r="G231" s="99">
        <v>15.95</v>
      </c>
      <c r="H231" s="97">
        <v>3</v>
      </c>
      <c r="I231" s="100">
        <v>21</v>
      </c>
      <c r="J231" s="97">
        <v>1</v>
      </c>
      <c r="K231" s="98">
        <v>0</v>
      </c>
      <c r="L231" s="97"/>
      <c r="M231" s="98"/>
      <c r="N231" s="101">
        <v>0</v>
      </c>
      <c r="O231" s="98">
        <v>6</v>
      </c>
      <c r="P231" s="97"/>
      <c r="Q231" s="98"/>
      <c r="R231" s="100"/>
      <c r="S231" s="98"/>
      <c r="T231" s="102"/>
      <c r="U231" s="102">
        <v>22</v>
      </c>
      <c r="W231" s="68">
        <f t="shared" si="18"/>
        <v>-22</v>
      </c>
      <c r="X231" s="68">
        <f t="shared" si="19"/>
        <v>0</v>
      </c>
    </row>
    <row r="232" spans="1:24" ht="15.75" thickBot="1" x14ac:dyDescent="0.3">
      <c r="A232" s="70"/>
      <c r="B232" s="57">
        <v>2007</v>
      </c>
      <c r="C232" s="72" t="s">
        <v>33</v>
      </c>
      <c r="D232" s="82">
        <v>10</v>
      </c>
      <c r="E232" s="80">
        <v>5</v>
      </c>
      <c r="F232" s="82">
        <v>4</v>
      </c>
      <c r="G232" s="81"/>
      <c r="H232" s="82">
        <v>0</v>
      </c>
      <c r="I232" s="83">
        <v>4</v>
      </c>
      <c r="J232" s="82">
        <v>1</v>
      </c>
      <c r="K232" s="80">
        <v>0</v>
      </c>
      <c r="L232" s="82"/>
      <c r="M232" s="80"/>
      <c r="N232" s="85">
        <v>0</v>
      </c>
      <c r="O232" s="80">
        <v>2</v>
      </c>
      <c r="P232" s="82"/>
      <c r="Q232" s="80"/>
      <c r="R232" s="83"/>
      <c r="S232" s="80"/>
      <c r="T232" s="84"/>
      <c r="U232" s="84">
        <v>4</v>
      </c>
      <c r="W232" s="68">
        <f t="shared" si="18"/>
        <v>-5</v>
      </c>
      <c r="X232" s="68">
        <f t="shared" si="19"/>
        <v>0</v>
      </c>
    </row>
    <row r="233" spans="1:24" ht="15.75" thickBot="1" x14ac:dyDescent="0.3">
      <c r="A233" s="70"/>
      <c r="B233" s="57">
        <v>2007</v>
      </c>
      <c r="C233" s="75" t="s">
        <v>34</v>
      </c>
      <c r="D233" s="97"/>
      <c r="E233" s="98"/>
      <c r="F233" s="97"/>
      <c r="G233" s="99"/>
      <c r="H233" s="97"/>
      <c r="I233" s="100"/>
      <c r="J233" s="97"/>
      <c r="K233" s="98"/>
      <c r="L233" s="97"/>
      <c r="M233" s="98"/>
      <c r="N233" s="101"/>
      <c r="O233" s="98"/>
      <c r="P233" s="97"/>
      <c r="Q233" s="98"/>
      <c r="R233" s="100"/>
      <c r="S233" s="98"/>
      <c r="T233" s="102"/>
      <c r="U233" s="102"/>
      <c r="W233" s="68">
        <f t="shared" si="18"/>
        <v>0</v>
      </c>
      <c r="X233" s="68">
        <f t="shared" si="19"/>
        <v>0</v>
      </c>
    </row>
    <row r="234" spans="1:24" ht="15.75" thickBot="1" x14ac:dyDescent="0.3">
      <c r="A234" s="70"/>
      <c r="B234" s="57">
        <v>2007</v>
      </c>
      <c r="C234" s="76" t="s">
        <v>35</v>
      </c>
      <c r="D234" s="91">
        <v>19</v>
      </c>
      <c r="E234" s="92">
        <v>14</v>
      </c>
      <c r="F234" s="91">
        <v>14</v>
      </c>
      <c r="G234" s="96">
        <v>19.435379999999999</v>
      </c>
      <c r="H234" s="91">
        <v>0</v>
      </c>
      <c r="I234" s="93">
        <v>14</v>
      </c>
      <c r="J234" s="91">
        <v>0</v>
      </c>
      <c r="K234" s="92">
        <v>0</v>
      </c>
      <c r="L234" s="91"/>
      <c r="M234" s="92"/>
      <c r="N234" s="94">
        <v>0</v>
      </c>
      <c r="O234" s="92">
        <v>2</v>
      </c>
      <c r="P234" s="91"/>
      <c r="Q234" s="92"/>
      <c r="R234" s="93"/>
      <c r="S234" s="92"/>
      <c r="T234" s="95"/>
      <c r="U234" s="95">
        <v>14</v>
      </c>
      <c r="W234" s="68">
        <f t="shared" si="18"/>
        <v>-14</v>
      </c>
      <c r="X234" s="68">
        <f t="shared" si="19"/>
        <v>0</v>
      </c>
    </row>
    <row r="235" spans="1:24" ht="15.75" thickBot="1" x14ac:dyDescent="0.3">
      <c r="A235" s="70"/>
      <c r="B235" s="57">
        <v>2007</v>
      </c>
      <c r="C235" s="77" t="s">
        <v>36</v>
      </c>
      <c r="D235" s="86">
        <v>12</v>
      </c>
      <c r="E235" s="87">
        <v>4</v>
      </c>
      <c r="F235" s="86"/>
      <c r="G235" s="113"/>
      <c r="H235" s="86"/>
      <c r="I235" s="88"/>
      <c r="J235" s="86"/>
      <c r="K235" s="87"/>
      <c r="L235" s="86"/>
      <c r="M235" s="87"/>
      <c r="N235" s="89"/>
      <c r="O235" s="87"/>
      <c r="P235" s="86"/>
      <c r="Q235" s="87"/>
      <c r="R235" s="88"/>
      <c r="S235" s="87"/>
      <c r="T235" s="90"/>
      <c r="U235" s="90"/>
      <c r="W235" s="68">
        <f t="shared" si="18"/>
        <v>-4</v>
      </c>
      <c r="X235" s="68">
        <f t="shared" si="19"/>
        <v>0</v>
      </c>
    </row>
    <row r="236" spans="1:24" ht="15.75" thickBot="1" x14ac:dyDescent="0.3">
      <c r="A236" s="70"/>
      <c r="B236" s="57">
        <v>2007</v>
      </c>
      <c r="C236" s="78" t="s">
        <v>37</v>
      </c>
      <c r="D236" s="79">
        <v>2</v>
      </c>
      <c r="E236" s="80">
        <v>2</v>
      </c>
      <c r="F236" s="82"/>
      <c r="G236" s="81"/>
      <c r="H236" s="82"/>
      <c r="I236" s="83"/>
      <c r="J236" s="82"/>
      <c r="K236" s="80"/>
      <c r="L236" s="82"/>
      <c r="M236" s="80"/>
      <c r="N236" s="85"/>
      <c r="O236" s="80"/>
      <c r="P236" s="82"/>
      <c r="Q236" s="80"/>
      <c r="R236" s="83"/>
      <c r="S236" s="80"/>
      <c r="T236" s="84"/>
      <c r="U236" s="84"/>
      <c r="W236" s="68">
        <f t="shared" si="18"/>
        <v>-2</v>
      </c>
      <c r="X236" s="68">
        <f t="shared" si="19"/>
        <v>0</v>
      </c>
    </row>
    <row r="237" spans="1:24" ht="15.75" thickBot="1" x14ac:dyDescent="0.3">
      <c r="B237" s="57">
        <v>2007</v>
      </c>
      <c r="C237" s="73" t="s">
        <v>38</v>
      </c>
      <c r="D237" s="103">
        <v>46</v>
      </c>
      <c r="E237" s="104">
        <v>29</v>
      </c>
      <c r="F237" s="103">
        <v>18</v>
      </c>
      <c r="G237" s="105">
        <v>12.182729999999999</v>
      </c>
      <c r="H237" s="103">
        <v>5</v>
      </c>
      <c r="I237" s="106">
        <v>23</v>
      </c>
      <c r="J237" s="103">
        <v>2</v>
      </c>
      <c r="K237" s="104">
        <v>4</v>
      </c>
      <c r="L237" s="103"/>
      <c r="M237" s="104"/>
      <c r="N237" s="107">
        <v>0</v>
      </c>
      <c r="O237" s="104">
        <v>3</v>
      </c>
      <c r="P237" s="103"/>
      <c r="Q237" s="104"/>
      <c r="R237" s="106"/>
      <c r="S237" s="104"/>
      <c r="T237" s="108"/>
      <c r="U237" s="108">
        <v>26</v>
      </c>
      <c r="W237" s="68">
        <f t="shared" si="18"/>
        <v>-29</v>
      </c>
      <c r="X237" s="68">
        <f t="shared" si="19"/>
        <v>0</v>
      </c>
    </row>
    <row r="238" spans="1:24" ht="15.75" thickBot="1" x14ac:dyDescent="0.3">
      <c r="B238" s="57">
        <v>2007</v>
      </c>
      <c r="C238" s="71" t="s">
        <v>39</v>
      </c>
      <c r="D238" s="82">
        <v>16</v>
      </c>
      <c r="E238" s="80">
        <v>14</v>
      </c>
      <c r="F238" s="82">
        <v>6</v>
      </c>
      <c r="G238" s="81">
        <v>23.75</v>
      </c>
      <c r="H238" s="82">
        <v>4</v>
      </c>
      <c r="I238" s="83">
        <v>10</v>
      </c>
      <c r="J238" s="82">
        <v>4</v>
      </c>
      <c r="K238" s="80">
        <v>0</v>
      </c>
      <c r="L238" s="82"/>
      <c r="M238" s="80"/>
      <c r="N238" s="85">
        <v>0</v>
      </c>
      <c r="O238" s="80">
        <v>5</v>
      </c>
      <c r="P238" s="82"/>
      <c r="Q238" s="80"/>
      <c r="R238" s="83"/>
      <c r="S238" s="80"/>
      <c r="T238" s="84"/>
      <c r="U238" s="84">
        <v>13</v>
      </c>
      <c r="W238" s="68">
        <f t="shared" si="18"/>
        <v>-14</v>
      </c>
      <c r="X238" s="68">
        <f t="shared" si="19"/>
        <v>0</v>
      </c>
    </row>
    <row r="239" spans="1:24" ht="15.75" thickBot="1" x14ac:dyDescent="0.3">
      <c r="B239" s="57">
        <v>2007</v>
      </c>
      <c r="C239" s="73" t="s">
        <v>40</v>
      </c>
      <c r="D239" s="103">
        <v>483</v>
      </c>
      <c r="E239" s="104">
        <v>206</v>
      </c>
      <c r="F239" s="103">
        <v>114</v>
      </c>
      <c r="G239" s="105">
        <v>13.67245</v>
      </c>
      <c r="H239" s="103">
        <v>52</v>
      </c>
      <c r="I239" s="106">
        <v>166</v>
      </c>
      <c r="J239" s="103">
        <v>13</v>
      </c>
      <c r="K239" s="104">
        <v>27</v>
      </c>
      <c r="L239" s="103"/>
      <c r="M239" s="104"/>
      <c r="N239" s="107">
        <v>0</v>
      </c>
      <c r="O239" s="104">
        <v>143</v>
      </c>
      <c r="P239" s="103"/>
      <c r="Q239" s="104"/>
      <c r="R239" s="106"/>
      <c r="S239" s="104"/>
      <c r="T239" s="108"/>
      <c r="U239" s="108">
        <v>201</v>
      </c>
      <c r="W239" s="68">
        <f t="shared" si="18"/>
        <v>-206</v>
      </c>
      <c r="X239" s="68">
        <f t="shared" si="19"/>
        <v>0</v>
      </c>
    </row>
    <row r="240" spans="1:24" ht="15.75" thickBot="1" x14ac:dyDescent="0.3">
      <c r="B240" s="57">
        <v>2007</v>
      </c>
      <c r="C240" s="71" t="s">
        <v>41</v>
      </c>
      <c r="D240" s="82">
        <v>14</v>
      </c>
      <c r="E240" s="80">
        <v>9</v>
      </c>
      <c r="F240" s="82">
        <v>5</v>
      </c>
      <c r="G240" s="81">
        <v>12.833299999999999</v>
      </c>
      <c r="H240" s="82">
        <v>2</v>
      </c>
      <c r="I240" s="83">
        <v>7</v>
      </c>
      <c r="J240" s="82">
        <v>2</v>
      </c>
      <c r="K240" s="80">
        <v>0</v>
      </c>
      <c r="L240" s="82"/>
      <c r="M240" s="80"/>
      <c r="N240" s="85">
        <v>0</v>
      </c>
      <c r="O240" s="80">
        <v>4</v>
      </c>
      <c r="P240" s="82"/>
      <c r="Q240" s="80"/>
      <c r="R240" s="83"/>
      <c r="S240" s="80"/>
      <c r="T240" s="84"/>
      <c r="U240" s="84">
        <v>8</v>
      </c>
      <c r="W240" s="68">
        <f t="shared" si="18"/>
        <v>-9</v>
      </c>
      <c r="X240" s="68">
        <f t="shared" si="19"/>
        <v>0</v>
      </c>
    </row>
    <row r="241" spans="2:24" ht="15.75" thickBot="1" x14ac:dyDescent="0.3">
      <c r="B241" s="57">
        <v>2007</v>
      </c>
      <c r="C241" s="74" t="s">
        <v>42</v>
      </c>
      <c r="D241" s="97"/>
      <c r="E241" s="98"/>
      <c r="F241" s="97"/>
      <c r="G241" s="99"/>
      <c r="H241" s="97"/>
      <c r="I241" s="100"/>
      <c r="J241" s="97"/>
      <c r="K241" s="98"/>
      <c r="L241" s="97"/>
      <c r="M241" s="98"/>
      <c r="N241" s="101"/>
      <c r="O241" s="98"/>
      <c r="P241" s="97"/>
      <c r="Q241" s="98"/>
      <c r="R241" s="100"/>
      <c r="S241" s="98"/>
      <c r="T241" s="102"/>
      <c r="U241" s="102"/>
      <c r="W241" s="68">
        <f t="shared" si="18"/>
        <v>0</v>
      </c>
      <c r="X241" s="68">
        <f t="shared" si="19"/>
        <v>0</v>
      </c>
    </row>
    <row r="242" spans="2:24" ht="15.75" thickBot="1" x14ac:dyDescent="0.3">
      <c r="B242" s="57">
        <v>2007</v>
      </c>
      <c r="C242" s="72" t="s">
        <v>43</v>
      </c>
      <c r="D242" s="82">
        <v>156</v>
      </c>
      <c r="E242" s="80">
        <v>102</v>
      </c>
      <c r="F242" s="82">
        <v>57</v>
      </c>
      <c r="G242" s="81">
        <v>18.032879999999999</v>
      </c>
      <c r="H242" s="82">
        <v>15</v>
      </c>
      <c r="I242" s="83">
        <v>72</v>
      </c>
      <c r="J242" s="82">
        <v>21</v>
      </c>
      <c r="K242" s="80">
        <v>9</v>
      </c>
      <c r="L242" s="82"/>
      <c r="M242" s="80"/>
      <c r="N242" s="85">
        <v>0</v>
      </c>
      <c r="O242" s="80">
        <v>42</v>
      </c>
      <c r="P242" s="82"/>
      <c r="Q242" s="80"/>
      <c r="R242" s="83"/>
      <c r="S242" s="80"/>
      <c r="T242" s="84"/>
      <c r="U242" s="84">
        <v>92</v>
      </c>
      <c r="W242" s="68">
        <f t="shared" si="18"/>
        <v>-102</v>
      </c>
      <c r="X242" s="68">
        <f t="shared" si="19"/>
        <v>0</v>
      </c>
    </row>
    <row r="243" spans="2:24" ht="15.75" thickBot="1" x14ac:dyDescent="0.3">
      <c r="B243" s="57">
        <v>2007</v>
      </c>
      <c r="C243" s="75" t="s">
        <v>44</v>
      </c>
      <c r="D243" s="97">
        <v>197</v>
      </c>
      <c r="E243" s="98">
        <v>133</v>
      </c>
      <c r="F243" s="97">
        <v>121</v>
      </c>
      <c r="G243" s="99">
        <v>24.71969</v>
      </c>
      <c r="H243" s="97">
        <v>3</v>
      </c>
      <c r="I243" s="100">
        <v>124</v>
      </c>
      <c r="J243" s="97">
        <v>8</v>
      </c>
      <c r="K243" s="98">
        <v>1</v>
      </c>
      <c r="L243" s="97"/>
      <c r="M243" s="98"/>
      <c r="N243" s="101">
        <v>0</v>
      </c>
      <c r="O243" s="98">
        <v>14</v>
      </c>
      <c r="P243" s="97"/>
      <c r="Q243" s="98"/>
      <c r="R243" s="100"/>
      <c r="S243" s="98"/>
      <c r="T243" s="102"/>
      <c r="U243" s="102">
        <v>133</v>
      </c>
      <c r="W243" s="68">
        <f t="shared" si="18"/>
        <v>-133</v>
      </c>
      <c r="X243" s="68">
        <f t="shared" si="19"/>
        <v>0</v>
      </c>
    </row>
    <row r="244" spans="2:24" ht="26.25" thickBot="1" x14ac:dyDescent="0.3">
      <c r="B244" s="57">
        <v>2007</v>
      </c>
      <c r="C244" s="76" t="s">
        <v>99</v>
      </c>
      <c r="D244" s="91">
        <v>39</v>
      </c>
      <c r="E244" s="92">
        <v>18</v>
      </c>
      <c r="F244" s="91">
        <v>7</v>
      </c>
      <c r="G244" s="96">
        <v>16.57583</v>
      </c>
      <c r="H244" s="91">
        <v>7</v>
      </c>
      <c r="I244" s="93">
        <v>14</v>
      </c>
      <c r="J244" s="91">
        <v>1</v>
      </c>
      <c r="K244" s="92">
        <v>3</v>
      </c>
      <c r="L244" s="91"/>
      <c r="M244" s="92"/>
      <c r="N244" s="94">
        <v>0</v>
      </c>
      <c r="O244" s="92">
        <v>10</v>
      </c>
      <c r="P244" s="91"/>
      <c r="Q244" s="92"/>
      <c r="R244" s="93"/>
      <c r="S244" s="92"/>
      <c r="T244" s="95"/>
      <c r="U244" s="95">
        <v>17</v>
      </c>
      <c r="W244" s="68">
        <f t="shared" si="18"/>
        <v>-18</v>
      </c>
      <c r="X244" s="68">
        <f t="shared" si="19"/>
        <v>0</v>
      </c>
    </row>
    <row r="245" spans="2:24" ht="15.75" thickBot="1" x14ac:dyDescent="0.3">
      <c r="B245" s="57">
        <v>2007</v>
      </c>
      <c r="C245" s="77" t="s">
        <v>45</v>
      </c>
      <c r="D245" s="86">
        <v>24</v>
      </c>
      <c r="E245" s="87">
        <v>21</v>
      </c>
      <c r="F245" s="86">
        <v>16</v>
      </c>
      <c r="G245" s="113">
        <v>11.985290000000001</v>
      </c>
      <c r="H245" s="86">
        <v>2</v>
      </c>
      <c r="I245" s="88">
        <v>18</v>
      </c>
      <c r="J245" s="86">
        <v>2</v>
      </c>
      <c r="K245" s="87">
        <v>1</v>
      </c>
      <c r="L245" s="86"/>
      <c r="M245" s="87"/>
      <c r="N245" s="89">
        <v>0</v>
      </c>
      <c r="O245" s="87">
        <v>5</v>
      </c>
      <c r="P245" s="86"/>
      <c r="Q245" s="87"/>
      <c r="R245" s="88"/>
      <c r="S245" s="87"/>
      <c r="T245" s="90"/>
      <c r="U245" s="90">
        <v>21</v>
      </c>
      <c r="W245" s="68">
        <f t="shared" si="18"/>
        <v>-21</v>
      </c>
      <c r="X245" s="68">
        <f t="shared" si="19"/>
        <v>0</v>
      </c>
    </row>
    <row r="246" spans="2:24" ht="15.75" thickBot="1" x14ac:dyDescent="0.3">
      <c r="B246" s="57">
        <v>2007</v>
      </c>
      <c r="C246" s="78" t="s">
        <v>46</v>
      </c>
      <c r="D246" s="79">
        <v>11</v>
      </c>
      <c r="E246" s="80">
        <v>4</v>
      </c>
      <c r="F246" s="82"/>
      <c r="G246" s="81"/>
      <c r="H246" s="82"/>
      <c r="I246" s="83"/>
      <c r="J246" s="82"/>
      <c r="K246" s="80"/>
      <c r="L246" s="82"/>
      <c r="M246" s="80"/>
      <c r="N246" s="85"/>
      <c r="O246" s="80"/>
      <c r="P246" s="82"/>
      <c r="Q246" s="80"/>
      <c r="R246" s="83"/>
      <c r="S246" s="80"/>
      <c r="T246" s="84"/>
      <c r="U246" s="84"/>
      <c r="W246" s="68">
        <f t="shared" si="18"/>
        <v>-4</v>
      </c>
      <c r="X246" s="68">
        <f t="shared" si="19"/>
        <v>0</v>
      </c>
    </row>
  </sheetData>
  <autoFilter ref="A1:GG246"/>
  <sortState ref="A2:GG246">
    <sortCondition descending="1" ref="B2:B246"/>
    <sortCondition ref="C2:C246"/>
  </sortState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6"/>
  <sheetViews>
    <sheetView workbookViewId="0">
      <pane xSplit="1" topLeftCell="B1" activePane="topRight" state="frozen"/>
      <selection pane="topRight" activeCell="F13" sqref="F13"/>
    </sheetView>
  </sheetViews>
  <sheetFormatPr defaultRowHeight="15" x14ac:dyDescent="0.25"/>
  <cols>
    <col min="1" max="1" width="37.5703125" style="52" customWidth="1"/>
    <col min="2" max="2" width="26.28515625" style="52" bestFit="1" customWidth="1"/>
    <col min="3" max="3" width="19.42578125" style="52" bestFit="1" customWidth="1"/>
    <col min="4" max="4" width="21.7109375" style="52" bestFit="1" customWidth="1"/>
    <col min="5" max="5" width="27.28515625" style="56" bestFit="1" customWidth="1"/>
    <col min="6" max="6" width="22" style="52" bestFit="1" customWidth="1"/>
    <col min="7" max="7" width="55.42578125" style="52" bestFit="1" customWidth="1"/>
    <col min="8" max="8" width="29.7109375" style="52" bestFit="1" customWidth="1"/>
    <col min="9" max="9" width="31.28515625" style="52" bestFit="1" customWidth="1"/>
    <col min="10" max="10" width="33.140625" style="52" bestFit="1" customWidth="1"/>
    <col min="11" max="11" width="48.140625" style="52" bestFit="1" customWidth="1"/>
    <col min="12" max="16384" width="9.140625" style="52"/>
  </cols>
  <sheetData>
    <row r="3" spans="1:11" x14ac:dyDescent="0.25">
      <c r="B3" s="53" t="s">
        <v>52</v>
      </c>
      <c r="E3" s="52"/>
    </row>
    <row r="4" spans="1:11" x14ac:dyDescent="0.25">
      <c r="A4" s="53" t="s">
        <v>49</v>
      </c>
      <c r="B4" s="52" t="s">
        <v>51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  <c r="K4" s="52" t="s">
        <v>61</v>
      </c>
    </row>
    <row r="5" spans="1:11" x14ac:dyDescent="0.25">
      <c r="A5" s="54" t="s">
        <v>105</v>
      </c>
      <c r="B5" s="55">
        <v>13974</v>
      </c>
      <c r="C5" s="55">
        <v>8317</v>
      </c>
      <c r="D5" s="55">
        <v>6515</v>
      </c>
      <c r="E5" s="56">
        <v>105.12</v>
      </c>
      <c r="F5" s="55">
        <v>126</v>
      </c>
      <c r="G5" s="55">
        <v>4017</v>
      </c>
      <c r="H5" s="55">
        <v>1465</v>
      </c>
      <c r="I5" s="55">
        <v>4507</v>
      </c>
      <c r="J5" s="55">
        <v>4382</v>
      </c>
      <c r="K5" s="55">
        <v>7748</v>
      </c>
    </row>
    <row r="6" spans="1:11" x14ac:dyDescent="0.25">
      <c r="A6" s="54">
        <v>2013</v>
      </c>
      <c r="B6" s="55">
        <v>2196</v>
      </c>
      <c r="C6" s="55">
        <v>1239</v>
      </c>
      <c r="D6" s="55">
        <v>940</v>
      </c>
      <c r="E6" s="56">
        <v>14.85</v>
      </c>
      <c r="F6" s="55">
        <v>16</v>
      </c>
      <c r="G6" s="55">
        <v>629</v>
      </c>
      <c r="H6" s="55">
        <v>244</v>
      </c>
      <c r="I6" s="55">
        <v>620</v>
      </c>
      <c r="J6" s="55">
        <v>601</v>
      </c>
      <c r="K6" s="55">
        <v>1150</v>
      </c>
    </row>
    <row r="7" spans="1:11" x14ac:dyDescent="0.25">
      <c r="A7" s="54">
        <v>2012</v>
      </c>
      <c r="B7" s="55">
        <v>2257</v>
      </c>
      <c r="C7" s="55">
        <v>1515</v>
      </c>
      <c r="D7" s="55">
        <v>1197</v>
      </c>
      <c r="E7" s="56">
        <v>14</v>
      </c>
      <c r="F7" s="55">
        <v>20</v>
      </c>
      <c r="G7" s="55">
        <v>729</v>
      </c>
      <c r="H7" s="55">
        <v>286</v>
      </c>
      <c r="I7" s="55">
        <v>906</v>
      </c>
      <c r="J7" s="55">
        <v>872</v>
      </c>
      <c r="K7" s="55">
        <v>1417</v>
      </c>
    </row>
    <row r="8" spans="1:11" x14ac:dyDescent="0.25">
      <c r="A8" s="54">
        <v>2011</v>
      </c>
      <c r="B8" s="55">
        <v>2169</v>
      </c>
      <c r="C8" s="55">
        <v>1205</v>
      </c>
      <c r="D8" s="55">
        <v>913</v>
      </c>
      <c r="E8" s="56">
        <v>14.2</v>
      </c>
      <c r="F8" s="55">
        <v>17</v>
      </c>
      <c r="G8" s="55">
        <v>538</v>
      </c>
      <c r="H8" s="55">
        <v>243</v>
      </c>
      <c r="I8" s="55">
        <v>765</v>
      </c>
      <c r="J8" s="55">
        <v>747</v>
      </c>
      <c r="K8" s="55">
        <v>1079</v>
      </c>
    </row>
    <row r="9" spans="1:11" x14ac:dyDescent="0.25">
      <c r="A9" s="54">
        <v>2010</v>
      </c>
      <c r="B9" s="55">
        <v>2072</v>
      </c>
      <c r="C9" s="55">
        <v>1173</v>
      </c>
      <c r="D9" s="55">
        <v>880</v>
      </c>
      <c r="E9" s="56">
        <v>14.7</v>
      </c>
      <c r="F9" s="55">
        <v>23</v>
      </c>
      <c r="G9" s="55">
        <v>650</v>
      </c>
      <c r="H9" s="55">
        <v>263</v>
      </c>
      <c r="I9" s="55">
        <v>731</v>
      </c>
      <c r="J9" s="55">
        <v>731</v>
      </c>
      <c r="K9" s="55">
        <v>1096</v>
      </c>
    </row>
    <row r="10" spans="1:11" x14ac:dyDescent="0.25">
      <c r="A10" s="54">
        <v>2009</v>
      </c>
      <c r="B10" s="55">
        <v>1879</v>
      </c>
      <c r="C10" s="55">
        <v>1119</v>
      </c>
      <c r="D10" s="55">
        <v>862</v>
      </c>
      <c r="E10" s="56">
        <v>14.17</v>
      </c>
      <c r="F10" s="55">
        <v>27</v>
      </c>
      <c r="G10" s="55">
        <v>575</v>
      </c>
      <c r="H10" s="55">
        <v>231</v>
      </c>
      <c r="I10" s="55">
        <v>741</v>
      </c>
      <c r="J10" s="55">
        <v>709</v>
      </c>
      <c r="K10" s="55">
        <v>1045</v>
      </c>
    </row>
    <row r="11" spans="1:11" x14ac:dyDescent="0.25">
      <c r="A11" s="54">
        <v>2008</v>
      </c>
      <c r="B11" s="55">
        <v>1736</v>
      </c>
      <c r="C11" s="55">
        <v>1196</v>
      </c>
      <c r="D11" s="55">
        <v>1013</v>
      </c>
      <c r="E11" s="56">
        <v>16.86</v>
      </c>
      <c r="F11" s="55">
        <v>13</v>
      </c>
      <c r="G11" s="55">
        <v>508</v>
      </c>
      <c r="H11" s="55">
        <v>198</v>
      </c>
      <c r="I11" s="55">
        <v>744</v>
      </c>
      <c r="J11" s="55">
        <v>722</v>
      </c>
      <c r="K11" s="55">
        <v>1125</v>
      </c>
    </row>
    <row r="12" spans="1:11" x14ac:dyDescent="0.25">
      <c r="A12" s="54">
        <v>2007</v>
      </c>
      <c r="B12" s="55">
        <v>1665</v>
      </c>
      <c r="C12" s="55">
        <v>870</v>
      </c>
      <c r="D12" s="55">
        <v>710</v>
      </c>
      <c r="E12" s="56">
        <v>16.34</v>
      </c>
      <c r="F12" s="55">
        <v>10</v>
      </c>
      <c r="G12" s="55">
        <v>388</v>
      </c>
      <c r="H12" s="55"/>
      <c r="I12" s="55"/>
      <c r="J12" s="55"/>
      <c r="K12" s="55">
        <v>836</v>
      </c>
    </row>
    <row r="13" spans="1:11" x14ac:dyDescent="0.25">
      <c r="A13" s="54" t="s">
        <v>19</v>
      </c>
      <c r="B13" s="55">
        <v>406</v>
      </c>
      <c r="C13" s="55">
        <v>286</v>
      </c>
      <c r="D13" s="55">
        <v>207</v>
      </c>
      <c r="E13" s="56">
        <v>106.03274999999999</v>
      </c>
      <c r="F13" s="55">
        <v>2</v>
      </c>
      <c r="G13" s="55">
        <v>105</v>
      </c>
      <c r="H13" s="55">
        <v>15</v>
      </c>
      <c r="I13" s="55">
        <v>22</v>
      </c>
      <c r="J13" s="55">
        <v>21</v>
      </c>
      <c r="K13" s="55">
        <v>261</v>
      </c>
    </row>
    <row r="14" spans="1:11" x14ac:dyDescent="0.25">
      <c r="A14" s="54">
        <v>2013</v>
      </c>
      <c r="B14" s="55">
        <v>62</v>
      </c>
      <c r="C14" s="55">
        <v>34</v>
      </c>
      <c r="D14" s="55">
        <v>22</v>
      </c>
      <c r="E14" s="56">
        <v>15</v>
      </c>
      <c r="F14" s="55">
        <v>0</v>
      </c>
      <c r="G14" s="55">
        <v>18</v>
      </c>
      <c r="H14" s="55">
        <v>5</v>
      </c>
      <c r="I14" s="55">
        <v>2</v>
      </c>
      <c r="J14" s="55">
        <v>2</v>
      </c>
      <c r="K14" s="55">
        <v>31</v>
      </c>
    </row>
    <row r="15" spans="1:11" x14ac:dyDescent="0.25">
      <c r="A15" s="54">
        <v>2012</v>
      </c>
      <c r="B15" s="55">
        <v>88</v>
      </c>
      <c r="C15" s="55">
        <v>67</v>
      </c>
      <c r="D15" s="55">
        <v>51</v>
      </c>
      <c r="E15" s="56">
        <v>17.13</v>
      </c>
      <c r="F15" s="55">
        <v>0</v>
      </c>
      <c r="G15" s="55">
        <v>26</v>
      </c>
      <c r="H15" s="55">
        <v>4</v>
      </c>
      <c r="I15" s="55">
        <v>8</v>
      </c>
      <c r="J15" s="55">
        <v>8</v>
      </c>
      <c r="K15" s="55">
        <v>61</v>
      </c>
    </row>
    <row r="16" spans="1:11" x14ac:dyDescent="0.25">
      <c r="A16" s="54">
        <v>2011</v>
      </c>
      <c r="B16" s="55">
        <v>66</v>
      </c>
      <c r="C16" s="55">
        <v>49</v>
      </c>
      <c r="D16" s="55">
        <v>32</v>
      </c>
      <c r="E16" s="56">
        <v>13</v>
      </c>
      <c r="F16" s="55">
        <v>1</v>
      </c>
      <c r="G16" s="55">
        <v>14</v>
      </c>
      <c r="H16" s="55">
        <v>2</v>
      </c>
      <c r="I16" s="55">
        <v>2</v>
      </c>
      <c r="J16" s="55">
        <v>1</v>
      </c>
      <c r="K16" s="55">
        <v>44</v>
      </c>
    </row>
    <row r="17" spans="1:11" x14ac:dyDescent="0.25">
      <c r="A17" s="54">
        <v>2010</v>
      </c>
      <c r="B17" s="55">
        <v>46</v>
      </c>
      <c r="C17" s="55">
        <v>37</v>
      </c>
      <c r="D17" s="55">
        <v>28</v>
      </c>
      <c r="E17" s="56">
        <v>12.25</v>
      </c>
      <c r="F17" s="55">
        <v>1</v>
      </c>
      <c r="G17" s="55">
        <v>21</v>
      </c>
      <c r="H17" s="55">
        <v>1</v>
      </c>
      <c r="I17" s="55">
        <v>7</v>
      </c>
      <c r="J17" s="55">
        <v>7</v>
      </c>
      <c r="K17" s="55">
        <v>33</v>
      </c>
    </row>
    <row r="18" spans="1:11" x14ac:dyDescent="0.25">
      <c r="A18" s="54">
        <v>2009</v>
      </c>
      <c r="B18" s="55">
        <v>46</v>
      </c>
      <c r="C18" s="55">
        <v>34</v>
      </c>
      <c r="D18" s="55">
        <v>21</v>
      </c>
      <c r="E18" s="56">
        <v>15</v>
      </c>
      <c r="F18" s="55"/>
      <c r="G18" s="55">
        <v>12</v>
      </c>
      <c r="H18" s="55"/>
      <c r="I18" s="55">
        <v>1</v>
      </c>
      <c r="J18" s="55">
        <v>1</v>
      </c>
      <c r="K18" s="55">
        <v>31</v>
      </c>
    </row>
    <row r="19" spans="1:11" x14ac:dyDescent="0.25">
      <c r="A19" s="54">
        <v>2008</v>
      </c>
      <c r="B19" s="55">
        <v>56</v>
      </c>
      <c r="C19" s="55">
        <v>43</v>
      </c>
      <c r="D19" s="55">
        <v>35</v>
      </c>
      <c r="E19" s="56">
        <v>16.938749999999999</v>
      </c>
      <c r="F19" s="55">
        <v>0</v>
      </c>
      <c r="G19" s="55">
        <v>10</v>
      </c>
      <c r="H19" s="55">
        <v>3</v>
      </c>
      <c r="I19" s="55">
        <v>2</v>
      </c>
      <c r="J19" s="55">
        <v>2</v>
      </c>
      <c r="K19" s="55">
        <v>40</v>
      </c>
    </row>
    <row r="20" spans="1:11" x14ac:dyDescent="0.25">
      <c r="A20" s="54">
        <v>2007</v>
      </c>
      <c r="B20" s="55">
        <v>42</v>
      </c>
      <c r="C20" s="55">
        <v>22</v>
      </c>
      <c r="D20" s="55">
        <v>18</v>
      </c>
      <c r="E20" s="56">
        <v>16.713999999999999</v>
      </c>
      <c r="F20" s="55">
        <v>0</v>
      </c>
      <c r="G20" s="55">
        <v>4</v>
      </c>
      <c r="H20" s="55"/>
      <c r="I20" s="55"/>
      <c r="J20" s="55"/>
      <c r="K20" s="55">
        <v>21</v>
      </c>
    </row>
    <row r="21" spans="1:11" x14ac:dyDescent="0.25">
      <c r="A21" s="54" t="s">
        <v>97</v>
      </c>
      <c r="B21" s="55">
        <v>2</v>
      </c>
      <c r="C21" s="55">
        <v>1</v>
      </c>
      <c r="D21" s="55"/>
      <c r="F21" s="55"/>
      <c r="G21" s="55"/>
      <c r="H21" s="55"/>
      <c r="I21" s="55"/>
      <c r="J21" s="55"/>
      <c r="K21" s="55"/>
    </row>
    <row r="22" spans="1:11" x14ac:dyDescent="0.25">
      <c r="A22" s="54">
        <v>2013</v>
      </c>
      <c r="B22" s="55">
        <v>1</v>
      </c>
      <c r="C22" s="55">
        <v>0</v>
      </c>
      <c r="D22" s="55"/>
      <c r="F22" s="55"/>
      <c r="G22" s="55"/>
      <c r="H22" s="55"/>
      <c r="I22" s="55"/>
      <c r="J22" s="55"/>
      <c r="K22" s="55"/>
    </row>
    <row r="23" spans="1:11" x14ac:dyDescent="0.25">
      <c r="A23" s="54">
        <v>2012</v>
      </c>
      <c r="B23" s="55">
        <v>1</v>
      </c>
      <c r="C23" s="55">
        <v>1</v>
      </c>
      <c r="D23" s="55"/>
      <c r="F23" s="55"/>
      <c r="G23" s="55"/>
      <c r="H23" s="55"/>
      <c r="I23" s="55"/>
      <c r="J23" s="55"/>
      <c r="K23" s="55"/>
    </row>
    <row r="24" spans="1:11" x14ac:dyDescent="0.25">
      <c r="A24" s="54">
        <v>2011</v>
      </c>
      <c r="B24" s="55"/>
      <c r="C24" s="55"/>
      <c r="D24" s="55"/>
      <c r="F24" s="55"/>
      <c r="G24" s="55"/>
      <c r="H24" s="55"/>
      <c r="I24" s="55"/>
      <c r="J24" s="55"/>
      <c r="K24" s="55"/>
    </row>
    <row r="25" spans="1:11" x14ac:dyDescent="0.25">
      <c r="A25" s="54">
        <v>2010</v>
      </c>
      <c r="B25" s="55"/>
      <c r="C25" s="55"/>
      <c r="D25" s="55"/>
      <c r="F25" s="55"/>
      <c r="G25" s="55"/>
      <c r="H25" s="55"/>
      <c r="I25" s="55"/>
      <c r="J25" s="55"/>
      <c r="K25" s="55"/>
    </row>
    <row r="26" spans="1:11" x14ac:dyDescent="0.25">
      <c r="A26" s="54">
        <v>2009</v>
      </c>
      <c r="B26" s="55"/>
      <c r="C26" s="55"/>
      <c r="D26" s="55"/>
      <c r="F26" s="55"/>
      <c r="G26" s="55"/>
      <c r="H26" s="55"/>
      <c r="I26" s="55"/>
      <c r="J26" s="55"/>
      <c r="K26" s="55"/>
    </row>
    <row r="27" spans="1:11" x14ac:dyDescent="0.25">
      <c r="A27" s="54">
        <v>2008</v>
      </c>
      <c r="B27" s="55"/>
      <c r="C27" s="55"/>
      <c r="D27" s="55"/>
      <c r="F27" s="55"/>
      <c r="G27" s="55"/>
      <c r="H27" s="55"/>
      <c r="I27" s="55"/>
      <c r="J27" s="55"/>
      <c r="K27" s="55"/>
    </row>
    <row r="28" spans="1:11" x14ac:dyDescent="0.25">
      <c r="A28" s="54">
        <v>2007</v>
      </c>
      <c r="B28" s="55"/>
      <c r="C28" s="55"/>
      <c r="D28" s="55"/>
      <c r="F28" s="55"/>
      <c r="G28" s="55"/>
      <c r="H28" s="55"/>
      <c r="I28" s="55"/>
      <c r="J28" s="55"/>
      <c r="K28" s="55"/>
    </row>
    <row r="29" spans="1:11" x14ac:dyDescent="0.25">
      <c r="A29" s="54" t="s">
        <v>100</v>
      </c>
      <c r="B29" s="55">
        <v>9</v>
      </c>
      <c r="C29" s="55">
        <v>5</v>
      </c>
      <c r="D29" s="55"/>
      <c r="F29" s="55"/>
      <c r="G29" s="55"/>
      <c r="H29" s="55"/>
      <c r="I29" s="55"/>
      <c r="J29" s="55"/>
      <c r="K29" s="55"/>
    </row>
    <row r="30" spans="1:11" x14ac:dyDescent="0.25">
      <c r="A30" s="54">
        <v>2013</v>
      </c>
      <c r="B30" s="55">
        <v>1</v>
      </c>
      <c r="C30" s="55">
        <v>1</v>
      </c>
      <c r="D30" s="55"/>
      <c r="F30" s="55"/>
      <c r="G30" s="55"/>
      <c r="H30" s="55"/>
      <c r="I30" s="55"/>
      <c r="J30" s="55"/>
      <c r="K30" s="55"/>
    </row>
    <row r="31" spans="1:11" x14ac:dyDescent="0.25">
      <c r="A31" s="54">
        <v>2012</v>
      </c>
      <c r="B31" s="55">
        <v>2</v>
      </c>
      <c r="C31" s="55">
        <v>2</v>
      </c>
      <c r="D31" s="55"/>
      <c r="F31" s="55"/>
      <c r="G31" s="55"/>
      <c r="H31" s="55"/>
      <c r="I31" s="55"/>
      <c r="J31" s="55"/>
      <c r="K31" s="55"/>
    </row>
    <row r="32" spans="1:11" x14ac:dyDescent="0.25">
      <c r="A32" s="54">
        <v>2011</v>
      </c>
      <c r="B32" s="55">
        <v>3</v>
      </c>
      <c r="C32" s="55">
        <v>0</v>
      </c>
      <c r="D32" s="55"/>
      <c r="F32" s="55"/>
      <c r="G32" s="55"/>
      <c r="H32" s="55"/>
      <c r="I32" s="55"/>
      <c r="J32" s="55"/>
      <c r="K32" s="55"/>
    </row>
    <row r="33" spans="1:11" x14ac:dyDescent="0.25">
      <c r="A33" s="54">
        <v>2010</v>
      </c>
      <c r="B33" s="55">
        <v>2</v>
      </c>
      <c r="C33" s="55">
        <v>1</v>
      </c>
      <c r="D33" s="55"/>
      <c r="F33" s="55"/>
      <c r="G33" s="55"/>
      <c r="H33" s="55"/>
      <c r="I33" s="55"/>
      <c r="J33" s="55"/>
      <c r="K33" s="55"/>
    </row>
    <row r="34" spans="1:11" x14ac:dyDescent="0.25">
      <c r="A34" s="54">
        <v>2009</v>
      </c>
      <c r="B34" s="55">
        <v>1</v>
      </c>
      <c r="C34" s="55">
        <v>1</v>
      </c>
      <c r="D34" s="55"/>
      <c r="F34" s="55"/>
      <c r="G34" s="55"/>
      <c r="H34" s="55"/>
      <c r="I34" s="55"/>
      <c r="J34" s="55"/>
      <c r="K34" s="55"/>
    </row>
    <row r="35" spans="1:11" x14ac:dyDescent="0.25">
      <c r="A35" s="54">
        <v>2008</v>
      </c>
      <c r="B35" s="55"/>
      <c r="C35" s="55"/>
      <c r="D35" s="55"/>
      <c r="F35" s="55"/>
      <c r="G35" s="55"/>
      <c r="H35" s="55"/>
      <c r="I35" s="55"/>
      <c r="J35" s="55"/>
      <c r="K35" s="55"/>
    </row>
    <row r="36" spans="1:11" x14ac:dyDescent="0.25">
      <c r="A36" s="54">
        <v>2007</v>
      </c>
      <c r="B36" s="55"/>
      <c r="C36" s="55"/>
      <c r="D36" s="55"/>
      <c r="F36" s="55"/>
      <c r="G36" s="55"/>
      <c r="H36" s="55"/>
      <c r="I36" s="55"/>
      <c r="J36" s="55"/>
      <c r="K36" s="55"/>
    </row>
    <row r="37" spans="1:11" x14ac:dyDescent="0.25">
      <c r="A37" s="54" t="s">
        <v>20</v>
      </c>
      <c r="B37" s="55">
        <v>110</v>
      </c>
      <c r="C37" s="55">
        <v>75</v>
      </c>
      <c r="D37" s="55">
        <v>59</v>
      </c>
      <c r="E37" s="56">
        <v>70.150000000000006</v>
      </c>
      <c r="F37" s="55">
        <v>0</v>
      </c>
      <c r="G37" s="55">
        <v>26</v>
      </c>
      <c r="H37" s="55">
        <v>2</v>
      </c>
      <c r="I37" s="55">
        <v>6</v>
      </c>
      <c r="J37" s="55">
        <v>5</v>
      </c>
      <c r="K37" s="55">
        <v>71</v>
      </c>
    </row>
    <row r="38" spans="1:11" x14ac:dyDescent="0.25">
      <c r="A38" s="54">
        <v>2013</v>
      </c>
      <c r="B38" s="55">
        <v>16</v>
      </c>
      <c r="C38" s="55">
        <v>8</v>
      </c>
      <c r="D38" s="55">
        <v>6</v>
      </c>
      <c r="E38" s="56">
        <v>15</v>
      </c>
      <c r="F38" s="55">
        <v>0</v>
      </c>
      <c r="G38" s="55">
        <v>2</v>
      </c>
      <c r="H38" s="55">
        <v>0</v>
      </c>
      <c r="I38" s="55">
        <v>0</v>
      </c>
      <c r="J38" s="55">
        <v>0</v>
      </c>
      <c r="K38" s="55">
        <v>7</v>
      </c>
    </row>
    <row r="39" spans="1:11" x14ac:dyDescent="0.25">
      <c r="A39" s="54">
        <v>2012</v>
      </c>
      <c r="B39" s="55">
        <v>17</v>
      </c>
      <c r="C39" s="55">
        <v>17</v>
      </c>
      <c r="D39" s="55">
        <v>14</v>
      </c>
      <c r="E39" s="56">
        <v>18.03</v>
      </c>
      <c r="F39" s="55">
        <v>0</v>
      </c>
      <c r="G39" s="55">
        <v>7</v>
      </c>
      <c r="H39" s="55">
        <v>0</v>
      </c>
      <c r="I39" s="55">
        <v>2</v>
      </c>
      <c r="J39" s="55">
        <v>2</v>
      </c>
      <c r="K39" s="55">
        <v>17</v>
      </c>
    </row>
    <row r="40" spans="1:11" x14ac:dyDescent="0.25">
      <c r="A40" s="54">
        <v>2011</v>
      </c>
      <c r="B40" s="55">
        <v>15</v>
      </c>
      <c r="C40" s="55">
        <v>9</v>
      </c>
      <c r="D40" s="55">
        <v>7</v>
      </c>
      <c r="F40" s="55">
        <v>0</v>
      </c>
      <c r="G40" s="55">
        <v>1</v>
      </c>
      <c r="H40" s="55">
        <v>0</v>
      </c>
      <c r="I40" s="55">
        <v>1</v>
      </c>
      <c r="J40" s="55">
        <v>0</v>
      </c>
      <c r="K40" s="55">
        <v>8</v>
      </c>
    </row>
    <row r="41" spans="1:11" x14ac:dyDescent="0.25">
      <c r="A41" s="54">
        <v>2010</v>
      </c>
      <c r="B41" s="55">
        <v>12</v>
      </c>
      <c r="C41" s="55">
        <v>8</v>
      </c>
      <c r="D41" s="55">
        <v>5</v>
      </c>
      <c r="F41" s="55">
        <v>0</v>
      </c>
      <c r="G41" s="55">
        <v>2</v>
      </c>
      <c r="H41" s="55">
        <v>1</v>
      </c>
      <c r="I41" s="55">
        <v>1</v>
      </c>
      <c r="J41" s="55">
        <v>1</v>
      </c>
      <c r="K41" s="55">
        <v>7</v>
      </c>
    </row>
    <row r="42" spans="1:11" x14ac:dyDescent="0.25">
      <c r="A42" s="54">
        <v>2009</v>
      </c>
      <c r="B42" s="55">
        <v>20</v>
      </c>
      <c r="C42" s="55">
        <v>10</v>
      </c>
      <c r="D42" s="55">
        <v>9</v>
      </c>
      <c r="F42" s="55"/>
      <c r="G42" s="55">
        <v>6</v>
      </c>
      <c r="H42" s="55"/>
      <c r="I42" s="55">
        <v>2</v>
      </c>
      <c r="J42" s="55">
        <v>2</v>
      </c>
      <c r="K42" s="55">
        <v>10</v>
      </c>
    </row>
    <row r="43" spans="1:11" x14ac:dyDescent="0.25">
      <c r="A43" s="54">
        <v>2008</v>
      </c>
      <c r="B43" s="55">
        <v>17</v>
      </c>
      <c r="C43" s="55">
        <v>12</v>
      </c>
      <c r="D43" s="55">
        <v>9</v>
      </c>
      <c r="E43" s="56">
        <v>19.12</v>
      </c>
      <c r="F43" s="55">
        <v>0</v>
      </c>
      <c r="G43" s="55">
        <v>3</v>
      </c>
      <c r="H43" s="55">
        <v>1</v>
      </c>
      <c r="I43" s="55">
        <v>0</v>
      </c>
      <c r="J43" s="55">
        <v>0</v>
      </c>
      <c r="K43" s="55">
        <v>12</v>
      </c>
    </row>
    <row r="44" spans="1:11" x14ac:dyDescent="0.25">
      <c r="A44" s="54">
        <v>2007</v>
      </c>
      <c r="B44" s="55">
        <v>13</v>
      </c>
      <c r="C44" s="55">
        <v>11</v>
      </c>
      <c r="D44" s="55">
        <v>9</v>
      </c>
      <c r="E44" s="56">
        <v>18</v>
      </c>
      <c r="F44" s="55">
        <v>0</v>
      </c>
      <c r="G44" s="55">
        <v>5</v>
      </c>
      <c r="H44" s="55"/>
      <c r="I44" s="55"/>
      <c r="J44" s="55"/>
      <c r="K44" s="55">
        <v>10</v>
      </c>
    </row>
    <row r="45" spans="1:11" x14ac:dyDescent="0.25">
      <c r="A45" s="54" t="s">
        <v>21</v>
      </c>
      <c r="B45" s="55">
        <v>529</v>
      </c>
      <c r="C45" s="55">
        <v>271</v>
      </c>
      <c r="D45" s="55">
        <v>206</v>
      </c>
      <c r="E45" s="56">
        <v>79.77000000000001</v>
      </c>
      <c r="F45" s="55">
        <v>5</v>
      </c>
      <c r="G45" s="55">
        <v>126</v>
      </c>
      <c r="H45" s="55">
        <v>18</v>
      </c>
      <c r="I45" s="55">
        <v>99</v>
      </c>
      <c r="J45" s="55">
        <v>96</v>
      </c>
      <c r="K45" s="55">
        <v>262</v>
      </c>
    </row>
    <row r="46" spans="1:11" x14ac:dyDescent="0.25">
      <c r="A46" s="54">
        <v>2013</v>
      </c>
      <c r="B46" s="55">
        <v>114</v>
      </c>
      <c r="C46" s="55">
        <v>45</v>
      </c>
      <c r="D46" s="55">
        <v>33</v>
      </c>
      <c r="E46" s="56">
        <v>12</v>
      </c>
      <c r="F46" s="55">
        <v>1</v>
      </c>
      <c r="G46" s="55">
        <v>22</v>
      </c>
      <c r="H46" s="55">
        <v>4</v>
      </c>
      <c r="I46" s="55">
        <v>10</v>
      </c>
      <c r="J46" s="55">
        <v>10</v>
      </c>
      <c r="K46" s="55">
        <v>44</v>
      </c>
    </row>
    <row r="47" spans="1:11" x14ac:dyDescent="0.25">
      <c r="A47" s="54">
        <v>2012</v>
      </c>
      <c r="B47" s="55">
        <v>137</v>
      </c>
      <c r="C47" s="55">
        <v>79</v>
      </c>
      <c r="D47" s="55">
        <v>63</v>
      </c>
      <c r="E47" s="56">
        <v>13.72</v>
      </c>
      <c r="F47" s="55">
        <v>1</v>
      </c>
      <c r="G47" s="55">
        <v>22</v>
      </c>
      <c r="H47" s="55">
        <v>7</v>
      </c>
      <c r="I47" s="55">
        <v>47</v>
      </c>
      <c r="J47" s="55">
        <v>44</v>
      </c>
      <c r="K47" s="55">
        <v>77</v>
      </c>
    </row>
    <row r="48" spans="1:11" x14ac:dyDescent="0.25">
      <c r="A48" s="54">
        <v>2011</v>
      </c>
      <c r="B48" s="55">
        <v>104</v>
      </c>
      <c r="C48" s="55">
        <v>60</v>
      </c>
      <c r="D48" s="55">
        <v>46</v>
      </c>
      <c r="E48" s="56">
        <v>10.130000000000001</v>
      </c>
      <c r="F48" s="55">
        <v>1</v>
      </c>
      <c r="G48" s="55">
        <v>37</v>
      </c>
      <c r="H48" s="55">
        <v>4</v>
      </c>
      <c r="I48" s="55">
        <v>13</v>
      </c>
      <c r="J48" s="55">
        <v>13</v>
      </c>
      <c r="K48" s="55">
        <v>59</v>
      </c>
    </row>
    <row r="49" spans="1:11" x14ac:dyDescent="0.25">
      <c r="A49" s="54">
        <v>2010</v>
      </c>
      <c r="B49" s="55">
        <v>72</v>
      </c>
      <c r="C49" s="55">
        <v>38</v>
      </c>
      <c r="D49" s="55">
        <v>22</v>
      </c>
      <c r="E49" s="56">
        <v>14</v>
      </c>
      <c r="F49" s="55">
        <v>1</v>
      </c>
      <c r="G49" s="55">
        <v>28</v>
      </c>
      <c r="H49" s="55">
        <v>2</v>
      </c>
      <c r="I49" s="55">
        <v>15</v>
      </c>
      <c r="J49" s="55">
        <v>15</v>
      </c>
      <c r="K49" s="55">
        <v>34</v>
      </c>
    </row>
    <row r="50" spans="1:11" x14ac:dyDescent="0.25">
      <c r="A50" s="54">
        <v>2009</v>
      </c>
      <c r="B50" s="55">
        <v>59</v>
      </c>
      <c r="C50" s="55">
        <v>28</v>
      </c>
      <c r="D50" s="55">
        <v>23</v>
      </c>
      <c r="E50" s="56">
        <v>12.5</v>
      </c>
      <c r="F50" s="55"/>
      <c r="G50" s="55">
        <v>11</v>
      </c>
      <c r="H50" s="55"/>
      <c r="I50" s="55">
        <v>12</v>
      </c>
      <c r="J50" s="55">
        <v>12</v>
      </c>
      <c r="K50" s="55">
        <v>27</v>
      </c>
    </row>
    <row r="51" spans="1:11" x14ac:dyDescent="0.25">
      <c r="A51" s="54">
        <v>2008</v>
      </c>
      <c r="B51" s="55">
        <v>20</v>
      </c>
      <c r="C51" s="55">
        <v>10</v>
      </c>
      <c r="D51" s="55">
        <v>9</v>
      </c>
      <c r="F51" s="55">
        <v>0</v>
      </c>
      <c r="G51" s="55">
        <v>4</v>
      </c>
      <c r="H51" s="55">
        <v>1</v>
      </c>
      <c r="I51" s="55">
        <v>2</v>
      </c>
      <c r="J51" s="55">
        <v>2</v>
      </c>
      <c r="K51" s="55">
        <v>10</v>
      </c>
    </row>
    <row r="52" spans="1:11" x14ac:dyDescent="0.25">
      <c r="A52" s="54">
        <v>2007</v>
      </c>
      <c r="B52" s="55">
        <v>23</v>
      </c>
      <c r="C52" s="55">
        <v>11</v>
      </c>
      <c r="D52" s="55">
        <v>10</v>
      </c>
      <c r="E52" s="56">
        <v>17.420000000000002</v>
      </c>
      <c r="F52" s="55">
        <v>1</v>
      </c>
      <c r="G52" s="55">
        <v>2</v>
      </c>
      <c r="H52" s="55"/>
      <c r="I52" s="55"/>
      <c r="J52" s="55"/>
      <c r="K52" s="55">
        <v>11</v>
      </c>
    </row>
    <row r="53" spans="1:11" x14ac:dyDescent="0.25">
      <c r="A53" s="54" t="s">
        <v>22</v>
      </c>
      <c r="B53" s="55">
        <v>428</v>
      </c>
      <c r="C53" s="55">
        <v>266</v>
      </c>
      <c r="D53" s="55">
        <v>192</v>
      </c>
      <c r="E53" s="56">
        <v>78.25</v>
      </c>
      <c r="F53" s="55">
        <v>3</v>
      </c>
      <c r="G53" s="55">
        <v>131</v>
      </c>
      <c r="H53" s="55">
        <v>30</v>
      </c>
      <c r="I53" s="55">
        <v>41</v>
      </c>
      <c r="J53" s="55">
        <v>39</v>
      </c>
      <c r="K53" s="55">
        <v>227</v>
      </c>
    </row>
    <row r="54" spans="1:11" x14ac:dyDescent="0.25">
      <c r="A54" s="54">
        <v>2013</v>
      </c>
      <c r="B54" s="55">
        <v>108</v>
      </c>
      <c r="C54" s="55">
        <v>61</v>
      </c>
      <c r="D54" s="55">
        <v>48</v>
      </c>
      <c r="E54" s="56">
        <v>14.13</v>
      </c>
      <c r="F54" s="55">
        <v>1</v>
      </c>
      <c r="G54" s="55">
        <v>37</v>
      </c>
      <c r="H54" s="55">
        <v>10</v>
      </c>
      <c r="I54" s="55">
        <v>8</v>
      </c>
      <c r="J54" s="55">
        <v>8</v>
      </c>
      <c r="K54" s="55">
        <v>57</v>
      </c>
    </row>
    <row r="55" spans="1:11" x14ac:dyDescent="0.25">
      <c r="A55" s="54">
        <v>2012</v>
      </c>
      <c r="B55" s="55">
        <v>65</v>
      </c>
      <c r="C55" s="55">
        <v>55</v>
      </c>
      <c r="D55" s="55">
        <v>41</v>
      </c>
      <c r="E55" s="56">
        <v>13.62</v>
      </c>
      <c r="F55" s="55">
        <v>1</v>
      </c>
      <c r="G55" s="55">
        <v>22</v>
      </c>
      <c r="H55" s="55">
        <v>5</v>
      </c>
      <c r="I55" s="55">
        <v>15</v>
      </c>
      <c r="J55" s="55">
        <v>15</v>
      </c>
      <c r="K55" s="55">
        <v>53</v>
      </c>
    </row>
    <row r="56" spans="1:11" x14ac:dyDescent="0.25">
      <c r="A56" s="54">
        <v>2011</v>
      </c>
      <c r="B56" s="55">
        <v>156</v>
      </c>
      <c r="C56" s="55">
        <v>85</v>
      </c>
      <c r="D56" s="55">
        <v>50</v>
      </c>
      <c r="E56" s="56">
        <v>15</v>
      </c>
      <c r="F56" s="55">
        <v>0</v>
      </c>
      <c r="G56" s="55">
        <v>36</v>
      </c>
      <c r="H56" s="55">
        <v>13</v>
      </c>
      <c r="I56" s="55">
        <v>12</v>
      </c>
      <c r="J56" s="55">
        <v>10</v>
      </c>
      <c r="K56" s="55">
        <v>58</v>
      </c>
    </row>
    <row r="57" spans="1:11" x14ac:dyDescent="0.25">
      <c r="A57" s="54">
        <v>2010</v>
      </c>
      <c r="B57" s="55">
        <v>50</v>
      </c>
      <c r="C57" s="55">
        <v>33</v>
      </c>
      <c r="D57" s="55">
        <v>29</v>
      </c>
      <c r="E57" s="56">
        <v>18</v>
      </c>
      <c r="F57" s="55">
        <v>1</v>
      </c>
      <c r="G57" s="55">
        <v>20</v>
      </c>
      <c r="H57" s="55">
        <v>2</v>
      </c>
      <c r="I57" s="55">
        <v>4</v>
      </c>
      <c r="J57" s="55">
        <v>4</v>
      </c>
      <c r="K57" s="55">
        <v>31</v>
      </c>
    </row>
    <row r="58" spans="1:11" x14ac:dyDescent="0.25">
      <c r="A58" s="54">
        <v>2009</v>
      </c>
      <c r="B58" s="55">
        <v>16</v>
      </c>
      <c r="C58" s="55">
        <v>14</v>
      </c>
      <c r="D58" s="55">
        <v>8</v>
      </c>
      <c r="E58" s="56">
        <v>17.5</v>
      </c>
      <c r="F58" s="55"/>
      <c r="G58" s="55">
        <v>5</v>
      </c>
      <c r="H58" s="55"/>
      <c r="I58" s="55">
        <v>1</v>
      </c>
      <c r="J58" s="55">
        <v>1</v>
      </c>
      <c r="K58" s="55">
        <v>12</v>
      </c>
    </row>
    <row r="59" spans="1:11" x14ac:dyDescent="0.25">
      <c r="A59" s="54">
        <v>2008</v>
      </c>
      <c r="B59" s="55">
        <v>16</v>
      </c>
      <c r="C59" s="55">
        <v>12</v>
      </c>
      <c r="D59" s="55">
        <v>12</v>
      </c>
      <c r="F59" s="55">
        <v>0</v>
      </c>
      <c r="G59" s="55">
        <v>6</v>
      </c>
      <c r="H59" s="55">
        <v>0</v>
      </c>
      <c r="I59" s="55">
        <v>1</v>
      </c>
      <c r="J59" s="55">
        <v>1</v>
      </c>
      <c r="K59" s="55">
        <v>10</v>
      </c>
    </row>
    <row r="60" spans="1:11" x14ac:dyDescent="0.25">
      <c r="A60" s="54">
        <v>2007</v>
      </c>
      <c r="B60" s="55">
        <v>17</v>
      </c>
      <c r="C60" s="55">
        <v>6</v>
      </c>
      <c r="D60" s="55">
        <v>4</v>
      </c>
      <c r="F60" s="55">
        <v>0</v>
      </c>
      <c r="G60" s="55">
        <v>5</v>
      </c>
      <c r="H60" s="55"/>
      <c r="I60" s="55"/>
      <c r="J60" s="55"/>
      <c r="K60" s="55">
        <v>6</v>
      </c>
    </row>
    <row r="61" spans="1:11" x14ac:dyDescent="0.25">
      <c r="A61" s="54" t="s">
        <v>23</v>
      </c>
      <c r="B61" s="55">
        <v>46</v>
      </c>
      <c r="C61" s="55">
        <v>26</v>
      </c>
      <c r="D61" s="55">
        <v>14</v>
      </c>
      <c r="F61" s="55">
        <v>1</v>
      </c>
      <c r="G61" s="55">
        <v>7</v>
      </c>
      <c r="H61" s="55">
        <v>2</v>
      </c>
      <c r="I61" s="55">
        <v>3</v>
      </c>
      <c r="J61" s="55">
        <v>2</v>
      </c>
      <c r="K61" s="55">
        <v>18</v>
      </c>
    </row>
    <row r="62" spans="1:11" x14ac:dyDescent="0.25">
      <c r="A62" s="54">
        <v>2013</v>
      </c>
      <c r="B62" s="55">
        <v>10</v>
      </c>
      <c r="C62" s="55">
        <v>6</v>
      </c>
      <c r="D62" s="55">
        <v>5</v>
      </c>
      <c r="F62" s="55">
        <v>0</v>
      </c>
      <c r="G62" s="55">
        <v>1</v>
      </c>
      <c r="H62" s="55">
        <v>1</v>
      </c>
      <c r="I62" s="55">
        <v>1</v>
      </c>
      <c r="J62" s="55">
        <v>1</v>
      </c>
      <c r="K62" s="55">
        <v>5</v>
      </c>
    </row>
    <row r="63" spans="1:11" x14ac:dyDescent="0.25">
      <c r="A63" s="54">
        <v>2012</v>
      </c>
      <c r="B63" s="55">
        <v>13</v>
      </c>
      <c r="C63" s="55">
        <v>8</v>
      </c>
      <c r="D63" s="55">
        <v>6</v>
      </c>
      <c r="F63" s="55">
        <v>0</v>
      </c>
      <c r="G63" s="55">
        <v>4</v>
      </c>
      <c r="H63" s="55">
        <v>1</v>
      </c>
      <c r="I63" s="55">
        <v>1</v>
      </c>
      <c r="J63" s="55">
        <v>1</v>
      </c>
      <c r="K63" s="55">
        <v>8</v>
      </c>
    </row>
    <row r="64" spans="1:11" x14ac:dyDescent="0.25">
      <c r="A64" s="54">
        <v>2011</v>
      </c>
      <c r="B64" s="55">
        <v>6</v>
      </c>
      <c r="C64" s="55">
        <v>2</v>
      </c>
      <c r="D64" s="55"/>
      <c r="F64" s="55"/>
      <c r="G64" s="55"/>
      <c r="H64" s="55"/>
      <c r="I64" s="55"/>
      <c r="J64" s="55"/>
      <c r="K64" s="55"/>
    </row>
    <row r="65" spans="1:11" x14ac:dyDescent="0.25">
      <c r="A65" s="54">
        <v>2010</v>
      </c>
      <c r="B65" s="55">
        <v>6</v>
      </c>
      <c r="C65" s="55">
        <v>4</v>
      </c>
      <c r="D65" s="55"/>
      <c r="F65" s="55"/>
      <c r="G65" s="55"/>
      <c r="H65" s="55"/>
      <c r="I65" s="55"/>
      <c r="J65" s="55"/>
      <c r="K65" s="55"/>
    </row>
    <row r="66" spans="1:11" x14ac:dyDescent="0.25">
      <c r="A66" s="54">
        <v>2009</v>
      </c>
      <c r="B66" s="55">
        <v>11</v>
      </c>
      <c r="C66" s="55">
        <v>6</v>
      </c>
      <c r="D66" s="55">
        <v>3</v>
      </c>
      <c r="F66" s="55">
        <v>1</v>
      </c>
      <c r="G66" s="55">
        <v>2</v>
      </c>
      <c r="H66" s="55"/>
      <c r="I66" s="55">
        <v>1</v>
      </c>
      <c r="J66" s="55"/>
      <c r="K66" s="55">
        <v>5</v>
      </c>
    </row>
    <row r="67" spans="1:11" x14ac:dyDescent="0.25">
      <c r="A67" s="54">
        <v>2008</v>
      </c>
      <c r="B67" s="55"/>
      <c r="C67" s="55"/>
      <c r="D67" s="55"/>
      <c r="F67" s="55"/>
      <c r="G67" s="55"/>
      <c r="H67" s="55"/>
      <c r="I67" s="55"/>
      <c r="J67" s="55"/>
      <c r="K67" s="55"/>
    </row>
    <row r="68" spans="1:11" x14ac:dyDescent="0.25">
      <c r="A68" s="54">
        <v>2007</v>
      </c>
      <c r="B68" s="55"/>
      <c r="C68" s="55"/>
      <c r="D68" s="55"/>
      <c r="F68" s="55"/>
      <c r="G68" s="55"/>
      <c r="H68" s="55"/>
      <c r="I68" s="55"/>
      <c r="J68" s="55"/>
      <c r="K68" s="55"/>
    </row>
    <row r="69" spans="1:11" x14ac:dyDescent="0.25">
      <c r="A69" s="54" t="s">
        <v>24</v>
      </c>
      <c r="B69" s="55">
        <v>144</v>
      </c>
      <c r="C69" s="55">
        <v>108</v>
      </c>
      <c r="D69" s="55">
        <v>86</v>
      </c>
      <c r="E69" s="56">
        <v>99.332860000000011</v>
      </c>
      <c r="F69" s="55">
        <v>0</v>
      </c>
      <c r="G69" s="55">
        <v>40</v>
      </c>
      <c r="H69" s="55">
        <v>8</v>
      </c>
      <c r="I69" s="55">
        <v>15</v>
      </c>
      <c r="J69" s="55">
        <v>14</v>
      </c>
      <c r="K69" s="55">
        <v>96</v>
      </c>
    </row>
    <row r="70" spans="1:11" x14ac:dyDescent="0.25">
      <c r="A70" s="54">
        <v>2013</v>
      </c>
      <c r="B70" s="55">
        <v>17</v>
      </c>
      <c r="C70" s="55">
        <v>14</v>
      </c>
      <c r="D70" s="55">
        <v>12</v>
      </c>
      <c r="E70" s="56">
        <v>16.25</v>
      </c>
      <c r="F70" s="55">
        <v>0</v>
      </c>
      <c r="G70" s="55">
        <v>3</v>
      </c>
      <c r="H70" s="55">
        <v>1</v>
      </c>
      <c r="I70" s="55">
        <v>0</v>
      </c>
      <c r="J70" s="55">
        <v>0</v>
      </c>
      <c r="K70" s="55">
        <v>12</v>
      </c>
    </row>
    <row r="71" spans="1:11" x14ac:dyDescent="0.25">
      <c r="A71" s="54">
        <v>2012</v>
      </c>
      <c r="B71" s="55">
        <v>25</v>
      </c>
      <c r="C71" s="55">
        <v>21</v>
      </c>
      <c r="D71" s="55">
        <v>18</v>
      </c>
      <c r="E71" s="56">
        <v>15.75</v>
      </c>
      <c r="F71" s="55">
        <v>0</v>
      </c>
      <c r="G71" s="55">
        <v>12</v>
      </c>
      <c r="H71" s="55">
        <v>2</v>
      </c>
      <c r="I71" s="55">
        <v>2</v>
      </c>
      <c r="J71" s="55">
        <v>2</v>
      </c>
      <c r="K71" s="55">
        <v>19</v>
      </c>
    </row>
    <row r="72" spans="1:11" x14ac:dyDescent="0.25">
      <c r="A72" s="54">
        <v>2011</v>
      </c>
      <c r="B72" s="55">
        <v>23</v>
      </c>
      <c r="C72" s="55">
        <v>16</v>
      </c>
      <c r="D72" s="55">
        <v>11</v>
      </c>
      <c r="E72" s="56">
        <v>15</v>
      </c>
      <c r="F72" s="55">
        <v>0</v>
      </c>
      <c r="G72" s="55">
        <v>3</v>
      </c>
      <c r="H72" s="55">
        <v>2</v>
      </c>
      <c r="I72" s="55">
        <v>5</v>
      </c>
      <c r="J72" s="55">
        <v>5</v>
      </c>
      <c r="K72" s="55">
        <v>13</v>
      </c>
    </row>
    <row r="73" spans="1:11" x14ac:dyDescent="0.25">
      <c r="A73" s="54">
        <v>2010</v>
      </c>
      <c r="B73" s="55">
        <v>21</v>
      </c>
      <c r="C73" s="55">
        <v>15</v>
      </c>
      <c r="D73" s="55">
        <v>13</v>
      </c>
      <c r="E73" s="56">
        <v>16</v>
      </c>
      <c r="F73" s="55">
        <v>0</v>
      </c>
      <c r="G73" s="55">
        <v>5</v>
      </c>
      <c r="H73" s="55">
        <v>2</v>
      </c>
      <c r="I73" s="55">
        <v>5</v>
      </c>
      <c r="J73" s="55">
        <v>4</v>
      </c>
      <c r="K73" s="55">
        <v>13</v>
      </c>
    </row>
    <row r="74" spans="1:11" x14ac:dyDescent="0.25">
      <c r="A74" s="54">
        <v>2009</v>
      </c>
      <c r="B74" s="55">
        <v>18</v>
      </c>
      <c r="C74" s="55">
        <v>15</v>
      </c>
      <c r="D74" s="55">
        <v>12</v>
      </c>
      <c r="F74" s="55"/>
      <c r="G74" s="55">
        <v>8</v>
      </c>
      <c r="H74" s="55"/>
      <c r="I74" s="55">
        <v>3</v>
      </c>
      <c r="J74" s="55">
        <v>3</v>
      </c>
      <c r="K74" s="55">
        <v>12</v>
      </c>
    </row>
    <row r="75" spans="1:11" x14ac:dyDescent="0.25">
      <c r="A75" s="54">
        <v>2008</v>
      </c>
      <c r="B75" s="55">
        <v>20</v>
      </c>
      <c r="C75" s="55">
        <v>17</v>
      </c>
      <c r="D75" s="55">
        <v>11</v>
      </c>
      <c r="E75" s="56">
        <v>19.2</v>
      </c>
      <c r="F75" s="55">
        <v>0</v>
      </c>
      <c r="G75" s="55">
        <v>7</v>
      </c>
      <c r="H75" s="55">
        <v>1</v>
      </c>
      <c r="I75" s="55">
        <v>0</v>
      </c>
      <c r="J75" s="55">
        <v>0</v>
      </c>
      <c r="K75" s="55">
        <v>17</v>
      </c>
    </row>
    <row r="76" spans="1:11" x14ac:dyDescent="0.25">
      <c r="A76" s="54">
        <v>2007</v>
      </c>
      <c r="B76" s="55">
        <v>20</v>
      </c>
      <c r="C76" s="55">
        <v>10</v>
      </c>
      <c r="D76" s="55">
        <v>9</v>
      </c>
      <c r="E76" s="56">
        <v>17.132860000000001</v>
      </c>
      <c r="F76" s="55">
        <v>0</v>
      </c>
      <c r="G76" s="55">
        <v>2</v>
      </c>
      <c r="H76" s="55"/>
      <c r="I76" s="55"/>
      <c r="J76" s="55"/>
      <c r="K76" s="55">
        <v>10</v>
      </c>
    </row>
    <row r="77" spans="1:11" x14ac:dyDescent="0.25">
      <c r="A77" s="54" t="s">
        <v>98</v>
      </c>
      <c r="B77" s="55">
        <v>620</v>
      </c>
      <c r="C77" s="55">
        <v>385</v>
      </c>
      <c r="D77" s="55">
        <v>276</v>
      </c>
      <c r="E77" s="56">
        <v>124.72233666666672</v>
      </c>
      <c r="F77" s="55">
        <v>7</v>
      </c>
      <c r="G77" s="55">
        <v>199</v>
      </c>
      <c r="H77" s="55">
        <v>42</v>
      </c>
      <c r="I77" s="55">
        <v>67</v>
      </c>
      <c r="J77" s="55">
        <v>61</v>
      </c>
      <c r="K77" s="55">
        <v>336</v>
      </c>
    </row>
    <row r="78" spans="1:11" x14ac:dyDescent="0.25">
      <c r="A78" s="54">
        <v>2013</v>
      </c>
      <c r="B78" s="55">
        <v>169</v>
      </c>
      <c r="C78" s="55">
        <v>112</v>
      </c>
      <c r="D78" s="55">
        <v>69</v>
      </c>
      <c r="E78" s="56">
        <v>18</v>
      </c>
      <c r="F78" s="55">
        <v>0</v>
      </c>
      <c r="G78" s="55">
        <v>61</v>
      </c>
      <c r="H78" s="55">
        <v>12</v>
      </c>
      <c r="I78" s="55">
        <v>23</v>
      </c>
      <c r="J78" s="55">
        <v>20</v>
      </c>
      <c r="K78" s="55">
        <v>96</v>
      </c>
    </row>
    <row r="79" spans="1:11" x14ac:dyDescent="0.25">
      <c r="A79" s="54">
        <v>2012</v>
      </c>
      <c r="B79" s="55">
        <v>120</v>
      </c>
      <c r="C79" s="55">
        <v>82</v>
      </c>
      <c r="D79" s="55">
        <v>65</v>
      </c>
      <c r="E79" s="56">
        <v>13.3</v>
      </c>
      <c r="F79" s="55">
        <v>1</v>
      </c>
      <c r="G79" s="55">
        <v>48</v>
      </c>
      <c r="H79" s="55">
        <v>11</v>
      </c>
      <c r="I79" s="55">
        <v>11</v>
      </c>
      <c r="J79" s="55">
        <v>9</v>
      </c>
      <c r="K79" s="55">
        <v>73</v>
      </c>
    </row>
    <row r="80" spans="1:11" x14ac:dyDescent="0.25">
      <c r="A80" s="54">
        <v>2011</v>
      </c>
      <c r="B80" s="55">
        <v>84</v>
      </c>
      <c r="C80" s="55">
        <v>48</v>
      </c>
      <c r="D80" s="55">
        <v>38</v>
      </c>
      <c r="E80" s="56">
        <v>15.38</v>
      </c>
      <c r="F80" s="55">
        <v>0</v>
      </c>
      <c r="G80" s="55">
        <v>22</v>
      </c>
      <c r="H80" s="55">
        <v>8</v>
      </c>
      <c r="I80" s="55">
        <v>8</v>
      </c>
      <c r="J80" s="55">
        <v>8</v>
      </c>
      <c r="K80" s="55">
        <v>40</v>
      </c>
    </row>
    <row r="81" spans="1:11" x14ac:dyDescent="0.25">
      <c r="A81" s="54">
        <v>2010</v>
      </c>
      <c r="B81" s="55">
        <v>72</v>
      </c>
      <c r="C81" s="55">
        <v>39</v>
      </c>
      <c r="D81" s="55">
        <v>27</v>
      </c>
      <c r="E81" s="56">
        <v>17.5</v>
      </c>
      <c r="F81" s="55">
        <v>2</v>
      </c>
      <c r="G81" s="55">
        <v>18</v>
      </c>
      <c r="H81" s="55">
        <v>6</v>
      </c>
      <c r="I81" s="55">
        <v>9</v>
      </c>
      <c r="J81" s="55">
        <v>9</v>
      </c>
      <c r="K81" s="55">
        <v>32</v>
      </c>
    </row>
    <row r="82" spans="1:11" x14ac:dyDescent="0.25">
      <c r="A82" s="54">
        <v>2009</v>
      </c>
      <c r="B82" s="55">
        <v>60</v>
      </c>
      <c r="C82" s="55">
        <v>34</v>
      </c>
      <c r="D82" s="55">
        <v>22</v>
      </c>
      <c r="E82" s="56">
        <v>16</v>
      </c>
      <c r="F82" s="55">
        <v>2</v>
      </c>
      <c r="G82" s="55">
        <v>18</v>
      </c>
      <c r="H82" s="55">
        <v>3</v>
      </c>
      <c r="I82" s="55">
        <v>6</v>
      </c>
      <c r="J82" s="55">
        <v>5</v>
      </c>
      <c r="K82" s="55">
        <v>32</v>
      </c>
    </row>
    <row r="83" spans="1:11" x14ac:dyDescent="0.25">
      <c r="A83" s="54">
        <v>2008</v>
      </c>
      <c r="B83" s="55">
        <v>62</v>
      </c>
      <c r="C83" s="55">
        <v>45</v>
      </c>
      <c r="D83" s="55">
        <v>35</v>
      </c>
      <c r="E83" s="56">
        <v>23.891666666666701</v>
      </c>
      <c r="F83" s="55">
        <v>0</v>
      </c>
      <c r="G83" s="55">
        <v>17</v>
      </c>
      <c r="H83" s="55">
        <v>2</v>
      </c>
      <c r="I83" s="55">
        <v>10</v>
      </c>
      <c r="J83" s="55">
        <v>10</v>
      </c>
      <c r="K83" s="55">
        <v>42</v>
      </c>
    </row>
    <row r="84" spans="1:11" x14ac:dyDescent="0.25">
      <c r="A84" s="54">
        <v>2007</v>
      </c>
      <c r="B84" s="55">
        <v>53</v>
      </c>
      <c r="C84" s="55">
        <v>25</v>
      </c>
      <c r="D84" s="55">
        <v>20</v>
      </c>
      <c r="E84" s="56">
        <v>20.650670000000002</v>
      </c>
      <c r="F84" s="55">
        <v>2</v>
      </c>
      <c r="G84" s="55">
        <v>15</v>
      </c>
      <c r="H84" s="55"/>
      <c r="I84" s="55"/>
      <c r="J84" s="55"/>
      <c r="K84" s="55">
        <v>21</v>
      </c>
    </row>
    <row r="85" spans="1:11" x14ac:dyDescent="0.25">
      <c r="A85" s="54" t="s">
        <v>25</v>
      </c>
      <c r="B85" s="55">
        <v>107</v>
      </c>
      <c r="C85" s="55">
        <v>92</v>
      </c>
      <c r="D85" s="55">
        <v>81</v>
      </c>
      <c r="E85" s="56">
        <v>95.1666666666667</v>
      </c>
      <c r="F85" s="55">
        <v>1</v>
      </c>
      <c r="G85" s="55">
        <v>32</v>
      </c>
      <c r="H85" s="55">
        <v>15</v>
      </c>
      <c r="I85" s="55">
        <v>11</v>
      </c>
      <c r="J85" s="55">
        <v>11</v>
      </c>
      <c r="K85" s="55">
        <v>87</v>
      </c>
    </row>
    <row r="86" spans="1:11" x14ac:dyDescent="0.25">
      <c r="A86" s="54">
        <v>2013</v>
      </c>
      <c r="B86" s="55">
        <v>28</v>
      </c>
      <c r="C86" s="55">
        <v>23</v>
      </c>
      <c r="D86" s="55">
        <v>19</v>
      </c>
      <c r="E86" s="56">
        <v>14</v>
      </c>
      <c r="F86" s="55">
        <v>0</v>
      </c>
      <c r="G86" s="55">
        <v>11</v>
      </c>
      <c r="H86" s="55">
        <v>3</v>
      </c>
      <c r="I86" s="55">
        <v>0</v>
      </c>
      <c r="J86" s="55">
        <v>0</v>
      </c>
      <c r="K86" s="55">
        <v>22</v>
      </c>
    </row>
    <row r="87" spans="1:11" x14ac:dyDescent="0.25">
      <c r="A87" s="54">
        <v>2012</v>
      </c>
      <c r="B87" s="55">
        <v>15</v>
      </c>
      <c r="C87" s="55">
        <v>14</v>
      </c>
      <c r="D87" s="55">
        <v>11</v>
      </c>
      <c r="E87" s="56">
        <v>13.5</v>
      </c>
      <c r="F87" s="55">
        <v>0</v>
      </c>
      <c r="G87" s="55">
        <v>5</v>
      </c>
      <c r="H87" s="55">
        <v>7</v>
      </c>
      <c r="I87" s="55">
        <v>2</v>
      </c>
      <c r="J87" s="55">
        <v>2</v>
      </c>
      <c r="K87" s="55">
        <v>13</v>
      </c>
    </row>
    <row r="88" spans="1:11" x14ac:dyDescent="0.25">
      <c r="A88" s="54">
        <v>2011</v>
      </c>
      <c r="B88" s="55">
        <v>13</v>
      </c>
      <c r="C88" s="55">
        <v>13</v>
      </c>
      <c r="D88" s="55">
        <v>12</v>
      </c>
      <c r="E88" s="56">
        <v>13</v>
      </c>
      <c r="F88" s="55">
        <v>0</v>
      </c>
      <c r="G88" s="55">
        <v>3</v>
      </c>
      <c r="H88" s="55">
        <v>1</v>
      </c>
      <c r="I88" s="55">
        <v>4</v>
      </c>
      <c r="J88" s="55">
        <v>4</v>
      </c>
      <c r="K88" s="55">
        <v>12</v>
      </c>
    </row>
    <row r="89" spans="1:11" x14ac:dyDescent="0.25">
      <c r="A89" s="54">
        <v>2010</v>
      </c>
      <c r="B89" s="55">
        <v>12</v>
      </c>
      <c r="C89" s="55">
        <v>11</v>
      </c>
      <c r="D89" s="55">
        <v>10</v>
      </c>
      <c r="E89" s="56">
        <v>14</v>
      </c>
      <c r="F89" s="55">
        <v>0</v>
      </c>
      <c r="G89" s="55">
        <v>2</v>
      </c>
      <c r="H89" s="55">
        <v>2</v>
      </c>
      <c r="I89" s="55">
        <v>1</v>
      </c>
      <c r="J89" s="55">
        <v>1</v>
      </c>
      <c r="K89" s="55">
        <v>11</v>
      </c>
    </row>
    <row r="90" spans="1:11" x14ac:dyDescent="0.25">
      <c r="A90" s="54">
        <v>2009</v>
      </c>
      <c r="B90" s="55">
        <v>11</v>
      </c>
      <c r="C90" s="55">
        <v>10</v>
      </c>
      <c r="D90" s="55">
        <v>9</v>
      </c>
      <c r="E90" s="56">
        <v>13.5</v>
      </c>
      <c r="F90" s="55"/>
      <c r="G90" s="55">
        <v>3</v>
      </c>
      <c r="H90" s="55">
        <v>1</v>
      </c>
      <c r="I90" s="55">
        <v>1</v>
      </c>
      <c r="J90" s="55">
        <v>1</v>
      </c>
      <c r="K90" s="55">
        <v>10</v>
      </c>
    </row>
    <row r="91" spans="1:11" x14ac:dyDescent="0.25">
      <c r="A91" s="54">
        <v>2008</v>
      </c>
      <c r="B91" s="55">
        <v>14</v>
      </c>
      <c r="C91" s="55">
        <v>13</v>
      </c>
      <c r="D91" s="55">
        <v>12</v>
      </c>
      <c r="E91" s="56">
        <v>13.1666666666667</v>
      </c>
      <c r="F91" s="55">
        <v>1</v>
      </c>
      <c r="G91" s="55">
        <v>6</v>
      </c>
      <c r="H91" s="55">
        <v>1</v>
      </c>
      <c r="I91" s="55">
        <v>3</v>
      </c>
      <c r="J91" s="55">
        <v>3</v>
      </c>
      <c r="K91" s="55">
        <v>11</v>
      </c>
    </row>
    <row r="92" spans="1:11" x14ac:dyDescent="0.25">
      <c r="A92" s="54">
        <v>2007</v>
      </c>
      <c r="B92" s="55">
        <v>14</v>
      </c>
      <c r="C92" s="55">
        <v>8</v>
      </c>
      <c r="D92" s="55">
        <v>8</v>
      </c>
      <c r="E92" s="56">
        <v>14</v>
      </c>
      <c r="F92" s="55">
        <v>0</v>
      </c>
      <c r="G92" s="55">
        <v>2</v>
      </c>
      <c r="H92" s="55"/>
      <c r="I92" s="55"/>
      <c r="J92" s="55"/>
      <c r="K92" s="55">
        <v>8</v>
      </c>
    </row>
    <row r="93" spans="1:11" x14ac:dyDescent="0.25">
      <c r="A93" s="54" t="s">
        <v>26</v>
      </c>
      <c r="B93" s="55">
        <v>330</v>
      </c>
      <c r="C93" s="55">
        <v>178</v>
      </c>
      <c r="D93" s="55">
        <v>156</v>
      </c>
      <c r="E93" s="56">
        <v>91.700830000000011</v>
      </c>
      <c r="F93" s="55">
        <v>0</v>
      </c>
      <c r="G93" s="55">
        <v>88</v>
      </c>
      <c r="H93" s="55">
        <v>20</v>
      </c>
      <c r="I93" s="55">
        <v>21</v>
      </c>
      <c r="J93" s="55">
        <v>20</v>
      </c>
      <c r="K93" s="55">
        <v>171</v>
      </c>
    </row>
    <row r="94" spans="1:11" x14ac:dyDescent="0.25">
      <c r="A94" s="54">
        <v>2013</v>
      </c>
      <c r="B94" s="55">
        <v>52</v>
      </c>
      <c r="C94" s="55">
        <v>28</v>
      </c>
      <c r="D94" s="55">
        <v>24</v>
      </c>
      <c r="E94" s="56">
        <v>12.5</v>
      </c>
      <c r="F94" s="55">
        <v>0</v>
      </c>
      <c r="G94" s="55">
        <v>9</v>
      </c>
      <c r="H94" s="55">
        <v>4</v>
      </c>
      <c r="I94" s="55">
        <v>4</v>
      </c>
      <c r="J94" s="55">
        <v>4</v>
      </c>
      <c r="K94" s="55">
        <v>28</v>
      </c>
    </row>
    <row r="95" spans="1:11" x14ac:dyDescent="0.25">
      <c r="A95" s="54">
        <v>2012</v>
      </c>
      <c r="B95" s="55">
        <v>37</v>
      </c>
      <c r="C95" s="55">
        <v>22</v>
      </c>
      <c r="D95" s="55">
        <v>18</v>
      </c>
      <c r="E95" s="56">
        <v>14</v>
      </c>
      <c r="F95" s="55">
        <v>0</v>
      </c>
      <c r="G95" s="55">
        <v>15</v>
      </c>
      <c r="H95" s="55">
        <v>2</v>
      </c>
      <c r="I95" s="55">
        <v>2</v>
      </c>
      <c r="J95" s="55">
        <v>1</v>
      </c>
      <c r="K95" s="55">
        <v>22</v>
      </c>
    </row>
    <row r="96" spans="1:11" x14ac:dyDescent="0.25">
      <c r="A96" s="54">
        <v>2011</v>
      </c>
      <c r="B96" s="55">
        <v>40</v>
      </c>
      <c r="C96" s="55">
        <v>13</v>
      </c>
      <c r="D96" s="55">
        <v>10</v>
      </c>
      <c r="E96" s="56">
        <v>11</v>
      </c>
      <c r="F96" s="55">
        <v>0</v>
      </c>
      <c r="G96" s="55">
        <v>9</v>
      </c>
      <c r="H96" s="55">
        <v>1</v>
      </c>
      <c r="I96" s="55">
        <v>3</v>
      </c>
      <c r="J96" s="55">
        <v>3</v>
      </c>
      <c r="K96" s="55">
        <v>12</v>
      </c>
    </row>
    <row r="97" spans="1:11" x14ac:dyDescent="0.25">
      <c r="A97" s="54">
        <v>2010</v>
      </c>
      <c r="B97" s="55">
        <v>51</v>
      </c>
      <c r="C97" s="55">
        <v>28</v>
      </c>
      <c r="D97" s="55">
        <v>24</v>
      </c>
      <c r="E97" s="56">
        <v>12.38</v>
      </c>
      <c r="F97" s="55">
        <v>0</v>
      </c>
      <c r="G97" s="55">
        <v>13</v>
      </c>
      <c r="H97" s="55">
        <v>4</v>
      </c>
      <c r="I97" s="55">
        <v>2</v>
      </c>
      <c r="J97" s="55">
        <v>2</v>
      </c>
      <c r="K97" s="55">
        <v>27</v>
      </c>
    </row>
    <row r="98" spans="1:11" x14ac:dyDescent="0.25">
      <c r="A98" s="54">
        <v>2009</v>
      </c>
      <c r="B98" s="55">
        <v>29</v>
      </c>
      <c r="C98" s="55">
        <v>18</v>
      </c>
      <c r="D98" s="55">
        <v>17</v>
      </c>
      <c r="E98" s="56">
        <v>10.984999999999999</v>
      </c>
      <c r="F98" s="55"/>
      <c r="G98" s="55">
        <v>12</v>
      </c>
      <c r="H98" s="55">
        <v>3</v>
      </c>
      <c r="I98" s="55">
        <v>2</v>
      </c>
      <c r="J98" s="55">
        <v>2</v>
      </c>
      <c r="K98" s="55">
        <v>18</v>
      </c>
    </row>
    <row r="99" spans="1:11" x14ac:dyDescent="0.25">
      <c r="A99" s="54">
        <v>2008</v>
      </c>
      <c r="B99" s="55">
        <v>55</v>
      </c>
      <c r="C99" s="55">
        <v>47</v>
      </c>
      <c r="D99" s="55">
        <v>45</v>
      </c>
      <c r="E99" s="56">
        <v>15.47</v>
      </c>
      <c r="F99" s="55">
        <v>0</v>
      </c>
      <c r="G99" s="55">
        <v>17</v>
      </c>
      <c r="H99" s="55">
        <v>6</v>
      </c>
      <c r="I99" s="55">
        <v>8</v>
      </c>
      <c r="J99" s="55">
        <v>8</v>
      </c>
      <c r="K99" s="55">
        <v>44</v>
      </c>
    </row>
    <row r="100" spans="1:11" x14ac:dyDescent="0.25">
      <c r="A100" s="54">
        <v>2007</v>
      </c>
      <c r="B100" s="55">
        <v>66</v>
      </c>
      <c r="C100" s="55">
        <v>22</v>
      </c>
      <c r="D100" s="55">
        <v>18</v>
      </c>
      <c r="E100" s="56">
        <v>15.365830000000001</v>
      </c>
      <c r="F100" s="55">
        <v>0</v>
      </c>
      <c r="G100" s="55">
        <v>13</v>
      </c>
      <c r="H100" s="55"/>
      <c r="I100" s="55"/>
      <c r="J100" s="55"/>
      <c r="K100" s="55">
        <v>20</v>
      </c>
    </row>
    <row r="101" spans="1:11" x14ac:dyDescent="0.25">
      <c r="A101" s="54" t="s">
        <v>27</v>
      </c>
      <c r="B101" s="55">
        <v>2680</v>
      </c>
      <c r="C101" s="55">
        <v>1450</v>
      </c>
      <c r="D101" s="55">
        <v>1130</v>
      </c>
      <c r="E101" s="56">
        <v>87.299153333333336</v>
      </c>
      <c r="F101" s="55">
        <v>50</v>
      </c>
      <c r="G101" s="55">
        <v>817</v>
      </c>
      <c r="H101" s="55">
        <v>506</v>
      </c>
      <c r="I101" s="55">
        <v>1102</v>
      </c>
      <c r="J101" s="55">
        <v>1053</v>
      </c>
      <c r="K101" s="55">
        <v>1393</v>
      </c>
    </row>
    <row r="102" spans="1:11" x14ac:dyDescent="0.25">
      <c r="A102" s="54">
        <v>2013</v>
      </c>
      <c r="B102" s="55">
        <v>325</v>
      </c>
      <c r="C102" s="55">
        <v>152</v>
      </c>
      <c r="D102" s="55">
        <v>115</v>
      </c>
      <c r="E102" s="56">
        <v>12.25</v>
      </c>
      <c r="F102" s="55">
        <v>5</v>
      </c>
      <c r="G102" s="55">
        <v>88</v>
      </c>
      <c r="H102" s="55">
        <v>54</v>
      </c>
      <c r="I102" s="55">
        <v>129</v>
      </c>
      <c r="J102" s="55">
        <v>122</v>
      </c>
      <c r="K102" s="55">
        <v>149</v>
      </c>
    </row>
    <row r="103" spans="1:11" x14ac:dyDescent="0.25">
      <c r="A103" s="54">
        <v>2012</v>
      </c>
      <c r="B103" s="55">
        <v>363</v>
      </c>
      <c r="C103" s="55">
        <v>215</v>
      </c>
      <c r="D103" s="55">
        <v>174</v>
      </c>
      <c r="E103" s="56">
        <v>12</v>
      </c>
      <c r="F103" s="55">
        <v>7</v>
      </c>
      <c r="G103" s="55">
        <v>112</v>
      </c>
      <c r="H103" s="55">
        <v>96</v>
      </c>
      <c r="I103" s="55">
        <v>195</v>
      </c>
      <c r="J103" s="55">
        <v>187</v>
      </c>
      <c r="K103" s="55">
        <v>209</v>
      </c>
    </row>
    <row r="104" spans="1:11" x14ac:dyDescent="0.25">
      <c r="A104" s="54">
        <v>2011</v>
      </c>
      <c r="B104" s="55">
        <v>395</v>
      </c>
      <c r="C104" s="55">
        <v>185</v>
      </c>
      <c r="D104" s="55">
        <v>143</v>
      </c>
      <c r="E104" s="56">
        <v>12</v>
      </c>
      <c r="F104" s="55">
        <v>9</v>
      </c>
      <c r="G104" s="55">
        <v>107</v>
      </c>
      <c r="H104" s="55">
        <v>77</v>
      </c>
      <c r="I104" s="55">
        <v>160</v>
      </c>
      <c r="J104" s="55">
        <v>157</v>
      </c>
      <c r="K104" s="55">
        <v>175</v>
      </c>
    </row>
    <row r="105" spans="1:11" x14ac:dyDescent="0.25">
      <c r="A105" s="54">
        <v>2010</v>
      </c>
      <c r="B105" s="55">
        <v>467</v>
      </c>
      <c r="C105" s="55">
        <v>224</v>
      </c>
      <c r="D105" s="55">
        <v>165</v>
      </c>
      <c r="E105" s="56">
        <v>11.75</v>
      </c>
      <c r="F105" s="55">
        <v>5</v>
      </c>
      <c r="G105" s="55">
        <v>122</v>
      </c>
      <c r="H105" s="55">
        <v>91</v>
      </c>
      <c r="I105" s="55">
        <v>191</v>
      </c>
      <c r="J105" s="55">
        <v>185</v>
      </c>
      <c r="K105" s="55">
        <v>212</v>
      </c>
    </row>
    <row r="106" spans="1:11" x14ac:dyDescent="0.25">
      <c r="A106" s="54">
        <v>2009</v>
      </c>
      <c r="B106" s="55">
        <v>387</v>
      </c>
      <c r="C106" s="55">
        <v>253</v>
      </c>
      <c r="D106" s="55">
        <v>197</v>
      </c>
      <c r="E106" s="56">
        <v>13</v>
      </c>
      <c r="F106" s="55">
        <v>12</v>
      </c>
      <c r="G106" s="55">
        <v>155</v>
      </c>
      <c r="H106" s="55">
        <v>90</v>
      </c>
      <c r="I106" s="55">
        <v>204</v>
      </c>
      <c r="J106" s="55">
        <v>188</v>
      </c>
      <c r="K106" s="55">
        <v>244</v>
      </c>
    </row>
    <row r="107" spans="1:11" x14ac:dyDescent="0.25">
      <c r="A107" s="54">
        <v>2008</v>
      </c>
      <c r="B107" s="55">
        <v>419</v>
      </c>
      <c r="C107" s="55">
        <v>271</v>
      </c>
      <c r="D107" s="55">
        <v>219</v>
      </c>
      <c r="E107" s="56">
        <v>12.341333333333333</v>
      </c>
      <c r="F107" s="55">
        <v>6</v>
      </c>
      <c r="G107" s="55">
        <v>144</v>
      </c>
      <c r="H107" s="55">
        <v>98</v>
      </c>
      <c r="I107" s="55">
        <v>223</v>
      </c>
      <c r="J107" s="55">
        <v>214</v>
      </c>
      <c r="K107" s="55">
        <v>255</v>
      </c>
    </row>
    <row r="108" spans="1:11" x14ac:dyDescent="0.25">
      <c r="A108" s="54">
        <v>2007</v>
      </c>
      <c r="B108" s="55">
        <v>324</v>
      </c>
      <c r="C108" s="55">
        <v>150</v>
      </c>
      <c r="D108" s="55">
        <v>117</v>
      </c>
      <c r="E108" s="56">
        <v>13.95782</v>
      </c>
      <c r="F108" s="55">
        <v>6</v>
      </c>
      <c r="G108" s="55">
        <v>89</v>
      </c>
      <c r="H108" s="55"/>
      <c r="I108" s="55"/>
      <c r="J108" s="55"/>
      <c r="K108" s="55">
        <v>149</v>
      </c>
    </row>
    <row r="109" spans="1:11" x14ac:dyDescent="0.25">
      <c r="A109" s="54" t="s">
        <v>103</v>
      </c>
      <c r="B109" s="55">
        <v>130</v>
      </c>
      <c r="C109" s="55">
        <v>96</v>
      </c>
      <c r="D109" s="55">
        <v>73</v>
      </c>
      <c r="E109" s="56">
        <v>65.25</v>
      </c>
      <c r="F109" s="55">
        <v>1</v>
      </c>
      <c r="G109" s="55">
        <v>37</v>
      </c>
      <c r="H109" s="55">
        <v>14</v>
      </c>
      <c r="I109" s="55">
        <v>9</v>
      </c>
      <c r="J109" s="55">
        <v>9</v>
      </c>
      <c r="K109" s="55">
        <v>68</v>
      </c>
    </row>
    <row r="110" spans="1:11" x14ac:dyDescent="0.25">
      <c r="A110" s="54">
        <v>2013</v>
      </c>
      <c r="B110" s="55">
        <v>35</v>
      </c>
      <c r="C110" s="55">
        <v>31</v>
      </c>
      <c r="D110" s="55">
        <v>24</v>
      </c>
      <c r="E110" s="56">
        <v>18</v>
      </c>
      <c r="F110" s="55">
        <v>0</v>
      </c>
      <c r="G110" s="55">
        <v>10</v>
      </c>
      <c r="H110" s="55">
        <v>4</v>
      </c>
      <c r="I110" s="55">
        <v>5</v>
      </c>
      <c r="J110" s="55">
        <v>5</v>
      </c>
      <c r="K110" s="55">
        <v>26</v>
      </c>
    </row>
    <row r="111" spans="1:11" x14ac:dyDescent="0.25">
      <c r="A111" s="54">
        <v>2012</v>
      </c>
      <c r="B111" s="55">
        <v>46</v>
      </c>
      <c r="C111" s="55">
        <v>27</v>
      </c>
      <c r="D111" s="55">
        <v>24</v>
      </c>
      <c r="E111" s="56">
        <v>16.5</v>
      </c>
      <c r="F111" s="55">
        <v>1</v>
      </c>
      <c r="G111" s="55">
        <v>8</v>
      </c>
      <c r="H111" s="55">
        <v>2</v>
      </c>
      <c r="I111" s="55">
        <v>2</v>
      </c>
      <c r="J111" s="55">
        <v>2</v>
      </c>
      <c r="K111" s="55">
        <v>16</v>
      </c>
    </row>
    <row r="112" spans="1:11" x14ac:dyDescent="0.25">
      <c r="A112" s="54">
        <v>2011</v>
      </c>
      <c r="B112" s="55">
        <v>29</v>
      </c>
      <c r="C112" s="55">
        <v>20</v>
      </c>
      <c r="D112" s="55">
        <v>15</v>
      </c>
      <c r="E112" s="56">
        <v>15.75</v>
      </c>
      <c r="F112" s="55">
        <v>0</v>
      </c>
      <c r="G112" s="55">
        <v>3</v>
      </c>
      <c r="H112" s="55">
        <v>3</v>
      </c>
      <c r="I112" s="55">
        <v>0</v>
      </c>
      <c r="J112" s="55">
        <v>0</v>
      </c>
      <c r="K112" s="55">
        <v>15</v>
      </c>
    </row>
    <row r="113" spans="1:11" x14ac:dyDescent="0.25">
      <c r="A113" s="54">
        <v>2010</v>
      </c>
      <c r="B113" s="55">
        <v>20</v>
      </c>
      <c r="C113" s="55">
        <v>18</v>
      </c>
      <c r="D113" s="55">
        <v>10</v>
      </c>
      <c r="E113" s="56">
        <v>15</v>
      </c>
      <c r="F113" s="55">
        <v>0</v>
      </c>
      <c r="G113" s="55">
        <v>16</v>
      </c>
      <c r="H113" s="55">
        <v>5</v>
      </c>
      <c r="I113" s="55">
        <v>2</v>
      </c>
      <c r="J113" s="55">
        <v>2</v>
      </c>
      <c r="K113" s="55">
        <v>11</v>
      </c>
    </row>
    <row r="114" spans="1:11" x14ac:dyDescent="0.25">
      <c r="A114" s="54">
        <v>2009</v>
      </c>
      <c r="B114" s="55"/>
      <c r="C114" s="55"/>
      <c r="D114" s="55"/>
      <c r="F114" s="55"/>
      <c r="G114" s="55"/>
      <c r="H114" s="55"/>
      <c r="I114" s="55"/>
      <c r="J114" s="55"/>
      <c r="K114" s="55"/>
    </row>
    <row r="115" spans="1:11" x14ac:dyDescent="0.25">
      <c r="A115" s="54">
        <v>2008</v>
      </c>
      <c r="B115" s="55"/>
      <c r="C115" s="55"/>
      <c r="D115" s="55"/>
      <c r="F115" s="55"/>
      <c r="G115" s="55"/>
      <c r="H115" s="55"/>
      <c r="I115" s="55"/>
      <c r="J115" s="55"/>
      <c r="K115" s="55"/>
    </row>
    <row r="116" spans="1:11" x14ac:dyDescent="0.25">
      <c r="A116" s="54">
        <v>2007</v>
      </c>
      <c r="B116" s="55"/>
      <c r="C116" s="55"/>
      <c r="D116" s="55"/>
      <c r="F116" s="55"/>
      <c r="G116" s="55"/>
      <c r="H116" s="55"/>
      <c r="I116" s="55"/>
      <c r="J116" s="55"/>
      <c r="K116" s="55"/>
    </row>
    <row r="117" spans="1:11" x14ac:dyDescent="0.25">
      <c r="A117" s="54" t="s">
        <v>28</v>
      </c>
      <c r="B117" s="55">
        <v>232</v>
      </c>
      <c r="C117" s="55">
        <v>152</v>
      </c>
      <c r="D117" s="55">
        <v>112</v>
      </c>
      <c r="E117" s="56">
        <v>51.86</v>
      </c>
      <c r="F117" s="55">
        <v>3</v>
      </c>
      <c r="G117" s="55">
        <v>87</v>
      </c>
      <c r="H117" s="55">
        <v>63</v>
      </c>
      <c r="I117" s="55">
        <v>40</v>
      </c>
      <c r="J117" s="55">
        <v>40</v>
      </c>
      <c r="K117" s="55">
        <v>142</v>
      </c>
    </row>
    <row r="118" spans="1:11" x14ac:dyDescent="0.25">
      <c r="A118" s="54">
        <v>2013</v>
      </c>
      <c r="B118" s="55">
        <v>63</v>
      </c>
      <c r="C118" s="55">
        <v>27</v>
      </c>
      <c r="D118" s="55">
        <v>15</v>
      </c>
      <c r="F118" s="55">
        <v>1</v>
      </c>
      <c r="G118" s="55">
        <v>18</v>
      </c>
      <c r="H118" s="55">
        <v>9</v>
      </c>
      <c r="I118" s="55">
        <v>1</v>
      </c>
      <c r="J118" s="55">
        <v>1</v>
      </c>
      <c r="K118" s="55">
        <v>26</v>
      </c>
    </row>
    <row r="119" spans="1:11" x14ac:dyDescent="0.25">
      <c r="A119" s="54">
        <v>2012</v>
      </c>
      <c r="B119" s="55">
        <v>39</v>
      </c>
      <c r="C119" s="55">
        <v>22</v>
      </c>
      <c r="D119" s="55">
        <v>16</v>
      </c>
      <c r="E119" s="56">
        <v>13.5</v>
      </c>
      <c r="F119" s="55">
        <v>0</v>
      </c>
      <c r="G119" s="55">
        <v>12</v>
      </c>
      <c r="H119" s="55">
        <v>7</v>
      </c>
      <c r="I119" s="55"/>
      <c r="J119" s="55"/>
      <c r="K119" s="55">
        <v>21</v>
      </c>
    </row>
    <row r="120" spans="1:11" x14ac:dyDescent="0.25">
      <c r="A120" s="54">
        <v>2011</v>
      </c>
      <c r="B120" s="55">
        <v>50</v>
      </c>
      <c r="C120" s="55">
        <v>32</v>
      </c>
      <c r="D120" s="55">
        <v>23</v>
      </c>
      <c r="E120" s="56">
        <v>13</v>
      </c>
      <c r="F120" s="55">
        <v>1</v>
      </c>
      <c r="G120" s="55">
        <v>25</v>
      </c>
      <c r="H120" s="55">
        <v>16</v>
      </c>
      <c r="I120" s="55">
        <v>8</v>
      </c>
      <c r="J120" s="55">
        <v>8</v>
      </c>
      <c r="K120" s="55">
        <v>30</v>
      </c>
    </row>
    <row r="121" spans="1:11" x14ac:dyDescent="0.25">
      <c r="A121" s="54">
        <v>2010</v>
      </c>
      <c r="B121" s="55">
        <v>30</v>
      </c>
      <c r="C121" s="55">
        <v>25</v>
      </c>
      <c r="D121" s="55">
        <v>19</v>
      </c>
      <c r="E121" s="56">
        <v>12.36</v>
      </c>
      <c r="F121" s="55">
        <v>1</v>
      </c>
      <c r="G121" s="55">
        <v>21</v>
      </c>
      <c r="H121" s="55">
        <v>13</v>
      </c>
      <c r="I121" s="55">
        <v>7</v>
      </c>
      <c r="J121" s="55">
        <v>7</v>
      </c>
      <c r="K121" s="55">
        <v>24</v>
      </c>
    </row>
    <row r="122" spans="1:11" x14ac:dyDescent="0.25">
      <c r="A122" s="54">
        <v>2009</v>
      </c>
      <c r="B122" s="55">
        <v>27</v>
      </c>
      <c r="C122" s="55">
        <v>27</v>
      </c>
      <c r="D122" s="55">
        <v>26</v>
      </c>
      <c r="E122" s="56">
        <v>13</v>
      </c>
      <c r="F122" s="55"/>
      <c r="G122" s="55"/>
      <c r="H122" s="55">
        <v>14</v>
      </c>
      <c r="I122" s="55">
        <v>20</v>
      </c>
      <c r="J122" s="55">
        <v>20</v>
      </c>
      <c r="K122" s="55">
        <v>24</v>
      </c>
    </row>
    <row r="123" spans="1:11" x14ac:dyDescent="0.25">
      <c r="A123" s="54">
        <v>2008</v>
      </c>
      <c r="B123" s="55">
        <v>13</v>
      </c>
      <c r="C123" s="55">
        <v>13</v>
      </c>
      <c r="D123" s="55">
        <v>9</v>
      </c>
      <c r="F123" s="55">
        <v>0</v>
      </c>
      <c r="G123" s="55">
        <v>7</v>
      </c>
      <c r="H123" s="55">
        <v>4</v>
      </c>
      <c r="I123" s="55">
        <v>4</v>
      </c>
      <c r="J123" s="55">
        <v>4</v>
      </c>
      <c r="K123" s="55">
        <v>12</v>
      </c>
    </row>
    <row r="124" spans="1:11" x14ac:dyDescent="0.25">
      <c r="A124" s="54">
        <v>2007</v>
      </c>
      <c r="B124" s="55">
        <v>10</v>
      </c>
      <c r="C124" s="55">
        <v>6</v>
      </c>
      <c r="D124" s="55">
        <v>4</v>
      </c>
      <c r="F124" s="55">
        <v>0</v>
      </c>
      <c r="G124" s="55">
        <v>4</v>
      </c>
      <c r="H124" s="55"/>
      <c r="I124" s="55"/>
      <c r="J124" s="55"/>
      <c r="K124" s="55">
        <v>5</v>
      </c>
    </row>
    <row r="125" spans="1:11" x14ac:dyDescent="0.25">
      <c r="A125" s="54" t="s">
        <v>29</v>
      </c>
      <c r="B125" s="55">
        <v>189</v>
      </c>
      <c r="C125" s="55">
        <v>120</v>
      </c>
      <c r="D125" s="55">
        <v>91</v>
      </c>
      <c r="E125" s="56">
        <v>93.073179999999994</v>
      </c>
      <c r="F125" s="55">
        <v>1</v>
      </c>
      <c r="G125" s="55">
        <v>43</v>
      </c>
      <c r="H125" s="55">
        <v>15</v>
      </c>
      <c r="I125" s="55">
        <v>7</v>
      </c>
      <c r="J125" s="55">
        <v>6</v>
      </c>
      <c r="K125" s="55">
        <v>105</v>
      </c>
    </row>
    <row r="126" spans="1:11" x14ac:dyDescent="0.25">
      <c r="A126" s="54">
        <v>2013</v>
      </c>
      <c r="B126" s="55">
        <v>62</v>
      </c>
      <c r="C126" s="55">
        <v>37</v>
      </c>
      <c r="D126" s="55">
        <v>28</v>
      </c>
      <c r="E126" s="56">
        <v>17.149999999999999</v>
      </c>
      <c r="F126" s="55">
        <v>0</v>
      </c>
      <c r="G126" s="55">
        <v>11</v>
      </c>
      <c r="H126" s="55">
        <v>4</v>
      </c>
      <c r="I126" s="55">
        <v>0</v>
      </c>
      <c r="J126" s="55">
        <v>0</v>
      </c>
      <c r="K126" s="55">
        <v>32</v>
      </c>
    </row>
    <row r="127" spans="1:11" x14ac:dyDescent="0.25">
      <c r="A127" s="54">
        <v>2012</v>
      </c>
      <c r="B127" s="55">
        <v>34</v>
      </c>
      <c r="C127" s="55">
        <v>25</v>
      </c>
      <c r="D127" s="55">
        <v>23</v>
      </c>
      <c r="E127" s="56">
        <v>17</v>
      </c>
      <c r="F127" s="55">
        <v>1</v>
      </c>
      <c r="G127" s="55">
        <v>11</v>
      </c>
      <c r="H127" s="55">
        <v>8</v>
      </c>
      <c r="I127" s="55">
        <v>1</v>
      </c>
      <c r="J127" s="55"/>
      <c r="K127" s="55">
        <v>22</v>
      </c>
    </row>
    <row r="128" spans="1:11" x14ac:dyDescent="0.25">
      <c r="A128" s="54">
        <v>2011</v>
      </c>
      <c r="B128" s="55">
        <v>31</v>
      </c>
      <c r="C128" s="55">
        <v>13</v>
      </c>
      <c r="D128" s="55">
        <v>7</v>
      </c>
      <c r="F128" s="55">
        <v>0</v>
      </c>
      <c r="G128" s="55">
        <v>4</v>
      </c>
      <c r="H128" s="55">
        <v>2</v>
      </c>
      <c r="I128" s="55">
        <v>5</v>
      </c>
      <c r="J128" s="55">
        <v>5</v>
      </c>
      <c r="K128" s="55">
        <v>10</v>
      </c>
    </row>
    <row r="129" spans="1:11" x14ac:dyDescent="0.25">
      <c r="A129" s="54">
        <v>2010</v>
      </c>
      <c r="B129" s="55">
        <v>17</v>
      </c>
      <c r="C129" s="55">
        <v>14</v>
      </c>
      <c r="D129" s="55">
        <v>9</v>
      </c>
      <c r="E129" s="56">
        <v>17.5</v>
      </c>
      <c r="F129" s="55">
        <v>0</v>
      </c>
      <c r="G129" s="55">
        <v>5</v>
      </c>
      <c r="H129" s="55">
        <v>1</v>
      </c>
      <c r="I129" s="55"/>
      <c r="J129" s="55"/>
      <c r="K129" s="55">
        <v>12</v>
      </c>
    </row>
    <row r="130" spans="1:11" x14ac:dyDescent="0.25">
      <c r="A130" s="54">
        <v>2009</v>
      </c>
      <c r="B130" s="55">
        <v>17</v>
      </c>
      <c r="C130" s="55">
        <v>13</v>
      </c>
      <c r="D130" s="55">
        <v>8</v>
      </c>
      <c r="E130" s="56">
        <v>21.574999999999999</v>
      </c>
      <c r="F130" s="55"/>
      <c r="G130" s="55">
        <v>5</v>
      </c>
      <c r="H130" s="55"/>
      <c r="I130" s="55">
        <v>1</v>
      </c>
      <c r="J130" s="55">
        <v>1</v>
      </c>
      <c r="K130" s="55">
        <v>11</v>
      </c>
    </row>
    <row r="131" spans="1:11" x14ac:dyDescent="0.25">
      <c r="A131" s="54">
        <v>2008</v>
      </c>
      <c r="B131" s="55">
        <v>12</v>
      </c>
      <c r="C131" s="55">
        <v>5</v>
      </c>
      <c r="D131" s="55">
        <v>5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5</v>
      </c>
    </row>
    <row r="132" spans="1:11" x14ac:dyDescent="0.25">
      <c r="A132" s="54">
        <v>2007</v>
      </c>
      <c r="B132" s="55">
        <v>16</v>
      </c>
      <c r="C132" s="55">
        <v>13</v>
      </c>
      <c r="D132" s="55">
        <v>11</v>
      </c>
      <c r="E132" s="56">
        <v>19.848179999999999</v>
      </c>
      <c r="F132" s="55">
        <v>0</v>
      </c>
      <c r="G132" s="55">
        <v>7</v>
      </c>
      <c r="H132" s="55"/>
      <c r="I132" s="55"/>
      <c r="J132" s="55"/>
      <c r="K132" s="55">
        <v>13</v>
      </c>
    </row>
    <row r="133" spans="1:11" x14ac:dyDescent="0.25">
      <c r="A133" s="54" t="s">
        <v>104</v>
      </c>
      <c r="B133" s="55">
        <v>9</v>
      </c>
      <c r="C133" s="55">
        <v>4</v>
      </c>
      <c r="D133" s="55"/>
      <c r="F133" s="55"/>
      <c r="G133" s="55"/>
      <c r="H133" s="55"/>
      <c r="I133" s="55"/>
      <c r="J133" s="55"/>
      <c r="K133" s="55"/>
    </row>
    <row r="134" spans="1:11" x14ac:dyDescent="0.25">
      <c r="A134" s="54">
        <v>2013</v>
      </c>
      <c r="B134" s="55">
        <v>9</v>
      </c>
      <c r="C134" s="55">
        <v>4</v>
      </c>
      <c r="D134" s="55"/>
      <c r="F134" s="55"/>
      <c r="G134" s="55"/>
      <c r="H134" s="55"/>
      <c r="I134" s="55"/>
      <c r="J134" s="55"/>
      <c r="K134" s="55"/>
    </row>
    <row r="135" spans="1:11" x14ac:dyDescent="0.25">
      <c r="A135" s="54">
        <v>2012</v>
      </c>
      <c r="B135" s="55"/>
      <c r="C135" s="55"/>
      <c r="D135" s="55"/>
      <c r="F135" s="55"/>
      <c r="G135" s="55"/>
      <c r="H135" s="55"/>
      <c r="I135" s="55"/>
      <c r="J135" s="55"/>
      <c r="K135" s="55"/>
    </row>
    <row r="136" spans="1:11" x14ac:dyDescent="0.25">
      <c r="A136" s="54">
        <v>2011</v>
      </c>
      <c r="B136" s="55"/>
      <c r="C136" s="55"/>
      <c r="D136" s="55"/>
      <c r="F136" s="55"/>
      <c r="G136" s="55"/>
      <c r="H136" s="55"/>
      <c r="I136" s="55"/>
      <c r="J136" s="55"/>
      <c r="K136" s="55"/>
    </row>
    <row r="137" spans="1:11" x14ac:dyDescent="0.25">
      <c r="A137" s="54">
        <v>2010</v>
      </c>
      <c r="B137" s="55"/>
      <c r="C137" s="55"/>
      <c r="D137" s="55"/>
      <c r="F137" s="55"/>
      <c r="G137" s="55"/>
      <c r="H137" s="55"/>
      <c r="I137" s="55"/>
      <c r="J137" s="55"/>
      <c r="K137" s="55"/>
    </row>
    <row r="138" spans="1:11" x14ac:dyDescent="0.25">
      <c r="A138" s="54">
        <v>2009</v>
      </c>
      <c r="B138" s="55"/>
      <c r="C138" s="55"/>
      <c r="D138" s="55"/>
      <c r="F138" s="55"/>
      <c r="G138" s="55"/>
      <c r="H138" s="55"/>
      <c r="I138" s="55"/>
      <c r="J138" s="55"/>
      <c r="K138" s="55"/>
    </row>
    <row r="139" spans="1:11" x14ac:dyDescent="0.25">
      <c r="A139" s="54">
        <v>2008</v>
      </c>
      <c r="B139" s="55"/>
      <c r="C139" s="55"/>
      <c r="D139" s="55"/>
      <c r="F139" s="55"/>
      <c r="G139" s="55"/>
      <c r="H139" s="55"/>
      <c r="I139" s="55"/>
      <c r="J139" s="55"/>
      <c r="K139" s="55"/>
    </row>
    <row r="140" spans="1:11" x14ac:dyDescent="0.25">
      <c r="A140" s="54">
        <v>2007</v>
      </c>
      <c r="B140" s="55"/>
      <c r="C140" s="55"/>
      <c r="D140" s="55"/>
      <c r="F140" s="55"/>
      <c r="G140" s="55"/>
      <c r="H140" s="55"/>
      <c r="I140" s="55"/>
      <c r="J140" s="55"/>
      <c r="K140" s="55"/>
    </row>
    <row r="141" spans="1:11" x14ac:dyDescent="0.25">
      <c r="A141" s="54" t="s">
        <v>30</v>
      </c>
      <c r="B141" s="55">
        <v>57</v>
      </c>
      <c r="C141" s="55">
        <v>45</v>
      </c>
      <c r="D141" s="55">
        <v>31</v>
      </c>
      <c r="E141" s="56">
        <v>59</v>
      </c>
      <c r="F141" s="55">
        <v>0</v>
      </c>
      <c r="G141" s="55">
        <v>11</v>
      </c>
      <c r="H141" s="55">
        <v>14</v>
      </c>
      <c r="I141" s="55">
        <v>27</v>
      </c>
      <c r="J141" s="55">
        <v>24</v>
      </c>
      <c r="K141" s="55">
        <v>36</v>
      </c>
    </row>
    <row r="142" spans="1:11" x14ac:dyDescent="0.25">
      <c r="A142" s="54">
        <v>2013</v>
      </c>
      <c r="B142" s="55">
        <v>17</v>
      </c>
      <c r="C142" s="55">
        <v>16</v>
      </c>
      <c r="D142" s="55">
        <v>13</v>
      </c>
      <c r="E142" s="56">
        <v>20.5</v>
      </c>
      <c r="F142" s="55">
        <v>0</v>
      </c>
      <c r="G142" s="55">
        <v>2</v>
      </c>
      <c r="H142" s="55">
        <v>7</v>
      </c>
      <c r="I142" s="55">
        <v>13</v>
      </c>
      <c r="J142" s="55">
        <v>13</v>
      </c>
      <c r="K142" s="55">
        <v>15</v>
      </c>
    </row>
    <row r="143" spans="1:11" x14ac:dyDescent="0.25">
      <c r="A143" s="54">
        <v>2012</v>
      </c>
      <c r="B143" s="55">
        <v>8</v>
      </c>
      <c r="C143" s="55">
        <v>8</v>
      </c>
      <c r="D143" s="55">
        <v>7</v>
      </c>
      <c r="E143" s="56">
        <v>18.5</v>
      </c>
      <c r="F143" s="55">
        <v>0</v>
      </c>
      <c r="G143" s="55">
        <v>6</v>
      </c>
      <c r="H143" s="55">
        <v>3</v>
      </c>
      <c r="I143" s="55">
        <v>8</v>
      </c>
      <c r="J143" s="55">
        <v>5</v>
      </c>
      <c r="K143" s="55">
        <v>8</v>
      </c>
    </row>
    <row r="144" spans="1:11" x14ac:dyDescent="0.25">
      <c r="A144" s="54">
        <v>2011</v>
      </c>
      <c r="B144" s="55">
        <v>5</v>
      </c>
      <c r="C144" s="55">
        <v>3</v>
      </c>
      <c r="D144" s="55"/>
      <c r="F144" s="55"/>
      <c r="G144" s="55"/>
      <c r="H144" s="55"/>
      <c r="I144" s="55"/>
      <c r="J144" s="55"/>
      <c r="K144" s="55"/>
    </row>
    <row r="145" spans="1:11" x14ac:dyDescent="0.25">
      <c r="A145" s="54">
        <v>2010</v>
      </c>
      <c r="B145" s="55">
        <v>8</v>
      </c>
      <c r="C145" s="55">
        <v>6</v>
      </c>
      <c r="D145" s="55">
        <v>3</v>
      </c>
      <c r="F145" s="55">
        <v>0</v>
      </c>
      <c r="G145" s="55">
        <v>3</v>
      </c>
      <c r="H145" s="55">
        <v>1</v>
      </c>
      <c r="I145" s="55">
        <v>2</v>
      </c>
      <c r="J145" s="55">
        <v>2</v>
      </c>
      <c r="K145" s="55">
        <v>5</v>
      </c>
    </row>
    <row r="146" spans="1:11" x14ac:dyDescent="0.25">
      <c r="A146" s="54">
        <v>2009</v>
      </c>
      <c r="B146" s="55">
        <v>5</v>
      </c>
      <c r="C146" s="55">
        <v>3</v>
      </c>
      <c r="D146" s="55"/>
      <c r="F146" s="55"/>
      <c r="G146" s="55"/>
      <c r="H146" s="55"/>
      <c r="I146" s="55"/>
      <c r="J146" s="55"/>
      <c r="K146" s="55"/>
    </row>
    <row r="147" spans="1:11" x14ac:dyDescent="0.25">
      <c r="A147" s="54">
        <v>2008</v>
      </c>
      <c r="B147" s="55">
        <v>11</v>
      </c>
      <c r="C147" s="55">
        <v>9</v>
      </c>
      <c r="D147" s="55">
        <v>8</v>
      </c>
      <c r="E147" s="56">
        <v>20</v>
      </c>
      <c r="F147" s="55">
        <v>0</v>
      </c>
      <c r="G147" s="55">
        <v>0</v>
      </c>
      <c r="H147" s="55">
        <v>3</v>
      </c>
      <c r="I147" s="55">
        <v>4</v>
      </c>
      <c r="J147" s="55">
        <v>4</v>
      </c>
      <c r="K147" s="55">
        <v>8</v>
      </c>
    </row>
    <row r="148" spans="1:11" x14ac:dyDescent="0.25">
      <c r="A148" s="54">
        <v>2007</v>
      </c>
      <c r="B148" s="55">
        <v>3</v>
      </c>
      <c r="C148" s="55">
        <v>0</v>
      </c>
      <c r="D148" s="55"/>
      <c r="F148" s="55"/>
      <c r="G148" s="55"/>
      <c r="H148" s="55"/>
      <c r="I148" s="55"/>
      <c r="J148" s="55"/>
      <c r="K148" s="55"/>
    </row>
    <row r="149" spans="1:11" x14ac:dyDescent="0.25">
      <c r="A149" s="54" t="s">
        <v>31</v>
      </c>
      <c r="B149" s="55">
        <v>90</v>
      </c>
      <c r="C149" s="55">
        <v>57</v>
      </c>
      <c r="D149" s="55">
        <v>29</v>
      </c>
      <c r="F149" s="55">
        <v>0</v>
      </c>
      <c r="G149" s="55">
        <v>34</v>
      </c>
      <c r="H149" s="55">
        <v>15</v>
      </c>
      <c r="I149" s="55">
        <v>11</v>
      </c>
      <c r="J149" s="55">
        <v>11</v>
      </c>
      <c r="K149" s="55">
        <v>47</v>
      </c>
    </row>
    <row r="150" spans="1:11" x14ac:dyDescent="0.25">
      <c r="A150" s="54">
        <v>2013</v>
      </c>
      <c r="B150" s="55">
        <v>37</v>
      </c>
      <c r="C150" s="55">
        <v>25</v>
      </c>
      <c r="D150" s="55">
        <v>11</v>
      </c>
      <c r="F150" s="55">
        <v>0</v>
      </c>
      <c r="G150" s="55">
        <v>17</v>
      </c>
      <c r="H150" s="55">
        <v>9</v>
      </c>
      <c r="I150" s="55">
        <v>6</v>
      </c>
      <c r="J150" s="55">
        <v>6</v>
      </c>
      <c r="K150" s="55">
        <v>24</v>
      </c>
    </row>
    <row r="151" spans="1:11" x14ac:dyDescent="0.25">
      <c r="A151" s="54">
        <v>2012</v>
      </c>
      <c r="B151" s="55">
        <v>20</v>
      </c>
      <c r="C151" s="55">
        <v>12</v>
      </c>
      <c r="D151" s="55">
        <v>9</v>
      </c>
      <c r="F151" s="55">
        <v>0</v>
      </c>
      <c r="G151" s="55">
        <v>7</v>
      </c>
      <c r="H151" s="55">
        <v>3</v>
      </c>
      <c r="I151" s="55">
        <v>2</v>
      </c>
      <c r="J151" s="55">
        <v>2</v>
      </c>
      <c r="K151" s="55">
        <v>11</v>
      </c>
    </row>
    <row r="152" spans="1:11" x14ac:dyDescent="0.25">
      <c r="A152" s="54">
        <v>2011</v>
      </c>
      <c r="B152" s="55">
        <v>9</v>
      </c>
      <c r="C152" s="55">
        <v>6</v>
      </c>
      <c r="D152" s="55">
        <v>5</v>
      </c>
      <c r="F152" s="55">
        <v>0</v>
      </c>
      <c r="G152" s="55">
        <v>2</v>
      </c>
      <c r="H152" s="55">
        <v>2</v>
      </c>
      <c r="I152" s="55">
        <v>1</v>
      </c>
      <c r="J152" s="55">
        <v>1</v>
      </c>
      <c r="K152" s="55">
        <v>5</v>
      </c>
    </row>
    <row r="153" spans="1:11" x14ac:dyDescent="0.25">
      <c r="A153" s="54">
        <v>2010</v>
      </c>
      <c r="B153" s="55">
        <v>6</v>
      </c>
      <c r="C153" s="55">
        <v>5</v>
      </c>
      <c r="D153" s="55">
        <v>2</v>
      </c>
      <c r="F153" s="55">
        <v>0</v>
      </c>
      <c r="G153" s="55">
        <v>4</v>
      </c>
      <c r="H153" s="55">
        <v>0</v>
      </c>
      <c r="I153" s="55">
        <v>1</v>
      </c>
      <c r="J153" s="55">
        <v>1</v>
      </c>
      <c r="K153" s="55">
        <v>4</v>
      </c>
    </row>
    <row r="154" spans="1:11" x14ac:dyDescent="0.25">
      <c r="A154" s="54">
        <v>2009</v>
      </c>
      <c r="B154" s="55">
        <v>9</v>
      </c>
      <c r="C154" s="55">
        <v>3</v>
      </c>
      <c r="D154" s="55"/>
      <c r="F154" s="55"/>
      <c r="G154" s="55"/>
      <c r="H154" s="55"/>
      <c r="I154" s="55"/>
      <c r="J154" s="55"/>
      <c r="K154" s="55"/>
    </row>
    <row r="155" spans="1:11" x14ac:dyDescent="0.25">
      <c r="A155" s="54">
        <v>2008</v>
      </c>
      <c r="B155" s="55">
        <v>6</v>
      </c>
      <c r="C155" s="55">
        <v>5</v>
      </c>
      <c r="D155" s="55">
        <v>2</v>
      </c>
      <c r="F155" s="55">
        <v>0</v>
      </c>
      <c r="G155" s="55">
        <v>4</v>
      </c>
      <c r="H155" s="55">
        <v>1</v>
      </c>
      <c r="I155" s="55">
        <v>1</v>
      </c>
      <c r="J155" s="55">
        <v>1</v>
      </c>
      <c r="K155" s="55">
        <v>3</v>
      </c>
    </row>
    <row r="156" spans="1:11" x14ac:dyDescent="0.25">
      <c r="A156" s="54">
        <v>2007</v>
      </c>
      <c r="B156" s="55">
        <v>3</v>
      </c>
      <c r="C156" s="55">
        <v>1</v>
      </c>
      <c r="D156" s="55"/>
      <c r="F156" s="55"/>
      <c r="G156" s="55"/>
      <c r="H156" s="55"/>
      <c r="I156" s="55"/>
      <c r="J156" s="55"/>
      <c r="K156" s="55"/>
    </row>
    <row r="157" spans="1:11" x14ac:dyDescent="0.25">
      <c r="A157" s="54" t="s">
        <v>32</v>
      </c>
      <c r="B157" s="55">
        <v>171</v>
      </c>
      <c r="C157" s="55">
        <v>122</v>
      </c>
      <c r="D157" s="55">
        <v>103</v>
      </c>
      <c r="E157" s="56">
        <v>102.7316666666667</v>
      </c>
      <c r="F157" s="55">
        <v>0</v>
      </c>
      <c r="G157" s="55">
        <v>29</v>
      </c>
      <c r="H157" s="55">
        <v>17</v>
      </c>
      <c r="I157" s="55">
        <v>16</v>
      </c>
      <c r="J157" s="55">
        <v>15</v>
      </c>
      <c r="K157" s="55">
        <v>118</v>
      </c>
    </row>
    <row r="158" spans="1:11" x14ac:dyDescent="0.25">
      <c r="A158" s="54">
        <v>2013</v>
      </c>
      <c r="B158" s="55">
        <v>18</v>
      </c>
      <c r="C158" s="55">
        <v>15</v>
      </c>
      <c r="D158" s="55">
        <v>14</v>
      </c>
      <c r="E158" s="56">
        <v>14.35</v>
      </c>
      <c r="F158" s="55">
        <v>0</v>
      </c>
      <c r="G158" s="55">
        <v>2</v>
      </c>
      <c r="H158" s="55">
        <v>3</v>
      </c>
      <c r="I158" s="55">
        <v>1</v>
      </c>
      <c r="J158" s="55">
        <v>1</v>
      </c>
      <c r="K158" s="55">
        <v>15</v>
      </c>
    </row>
    <row r="159" spans="1:11" x14ac:dyDescent="0.25">
      <c r="A159" s="54">
        <v>2012</v>
      </c>
      <c r="B159" s="55">
        <v>18</v>
      </c>
      <c r="C159" s="55">
        <v>12</v>
      </c>
      <c r="D159" s="55">
        <v>9</v>
      </c>
      <c r="E159" s="56">
        <v>14</v>
      </c>
      <c r="F159" s="55">
        <v>0</v>
      </c>
      <c r="G159" s="55">
        <v>3</v>
      </c>
      <c r="H159" s="55">
        <v>1</v>
      </c>
      <c r="I159" s="55">
        <v>2</v>
      </c>
      <c r="J159" s="55">
        <v>2</v>
      </c>
      <c r="K159" s="55">
        <v>12</v>
      </c>
    </row>
    <row r="160" spans="1:11" x14ac:dyDescent="0.25">
      <c r="A160" s="54">
        <v>2011</v>
      </c>
      <c r="B160" s="55">
        <v>22</v>
      </c>
      <c r="C160" s="55">
        <v>11</v>
      </c>
      <c r="D160" s="55">
        <v>11</v>
      </c>
      <c r="E160" s="56">
        <v>16.5</v>
      </c>
      <c r="F160" s="55">
        <v>0</v>
      </c>
      <c r="G160" s="55">
        <v>2</v>
      </c>
      <c r="H160" s="55">
        <v>4</v>
      </c>
      <c r="I160" s="55">
        <v>1</v>
      </c>
      <c r="J160" s="55">
        <v>1</v>
      </c>
      <c r="K160" s="55">
        <v>10</v>
      </c>
    </row>
    <row r="161" spans="1:11" x14ac:dyDescent="0.25">
      <c r="A161" s="54">
        <v>2010</v>
      </c>
      <c r="B161" s="55">
        <v>21</v>
      </c>
      <c r="C161" s="55">
        <v>14</v>
      </c>
      <c r="D161" s="55">
        <v>12</v>
      </c>
      <c r="E161" s="56">
        <v>12.75</v>
      </c>
      <c r="F161" s="55">
        <v>0</v>
      </c>
      <c r="G161" s="55">
        <v>8</v>
      </c>
      <c r="H161" s="55">
        <v>2</v>
      </c>
      <c r="I161" s="55">
        <v>4</v>
      </c>
      <c r="J161" s="55">
        <v>3</v>
      </c>
      <c r="K161" s="55">
        <v>14</v>
      </c>
    </row>
    <row r="162" spans="1:11" x14ac:dyDescent="0.25">
      <c r="A162" s="54">
        <v>2009</v>
      </c>
      <c r="B162" s="55">
        <v>29</v>
      </c>
      <c r="C162" s="55">
        <v>23</v>
      </c>
      <c r="D162" s="55">
        <v>17</v>
      </c>
      <c r="E162" s="56">
        <v>15.5</v>
      </c>
      <c r="F162" s="55"/>
      <c r="G162" s="55"/>
      <c r="H162" s="55">
        <v>3</v>
      </c>
      <c r="I162" s="55">
        <v>5</v>
      </c>
      <c r="J162" s="55">
        <v>5</v>
      </c>
      <c r="K162" s="55">
        <v>22</v>
      </c>
    </row>
    <row r="163" spans="1:11" x14ac:dyDescent="0.25">
      <c r="A163" s="54">
        <v>2008</v>
      </c>
      <c r="B163" s="55">
        <v>35</v>
      </c>
      <c r="C163" s="55">
        <v>25</v>
      </c>
      <c r="D163" s="55">
        <v>19</v>
      </c>
      <c r="E163" s="56">
        <v>13.6816666666667</v>
      </c>
      <c r="F163" s="55">
        <v>0</v>
      </c>
      <c r="G163" s="55">
        <v>8</v>
      </c>
      <c r="H163" s="55">
        <v>4</v>
      </c>
      <c r="I163" s="55">
        <v>3</v>
      </c>
      <c r="J163" s="55">
        <v>3</v>
      </c>
      <c r="K163" s="55">
        <v>23</v>
      </c>
    </row>
    <row r="164" spans="1:11" x14ac:dyDescent="0.25">
      <c r="A164" s="54">
        <v>2007</v>
      </c>
      <c r="B164" s="55">
        <v>28</v>
      </c>
      <c r="C164" s="55">
        <v>22</v>
      </c>
      <c r="D164" s="55">
        <v>21</v>
      </c>
      <c r="E164" s="56">
        <v>15.95</v>
      </c>
      <c r="F164" s="55">
        <v>0</v>
      </c>
      <c r="G164" s="55">
        <v>6</v>
      </c>
      <c r="H164" s="55"/>
      <c r="I164" s="55"/>
      <c r="J164" s="55"/>
      <c r="K164" s="55">
        <v>22</v>
      </c>
    </row>
    <row r="165" spans="1:11" x14ac:dyDescent="0.25">
      <c r="A165" s="54" t="s">
        <v>33</v>
      </c>
      <c r="B165" s="55">
        <v>61</v>
      </c>
      <c r="C165" s="55">
        <v>30</v>
      </c>
      <c r="D165" s="55">
        <v>21</v>
      </c>
      <c r="E165" s="56">
        <v>12</v>
      </c>
      <c r="F165" s="55">
        <v>0</v>
      </c>
      <c r="G165" s="55">
        <v>7</v>
      </c>
      <c r="H165" s="55">
        <v>3</v>
      </c>
      <c r="I165" s="55">
        <v>3</v>
      </c>
      <c r="J165" s="55">
        <v>3</v>
      </c>
      <c r="K165" s="55">
        <v>18</v>
      </c>
    </row>
    <row r="166" spans="1:11" x14ac:dyDescent="0.25">
      <c r="A166" s="54">
        <v>2013</v>
      </c>
      <c r="B166" s="55">
        <v>17</v>
      </c>
      <c r="C166" s="55">
        <v>7</v>
      </c>
      <c r="D166" s="55">
        <v>7</v>
      </c>
      <c r="F166" s="55">
        <v>0</v>
      </c>
      <c r="G166" s="55">
        <v>2</v>
      </c>
      <c r="H166" s="55">
        <v>1</v>
      </c>
      <c r="I166" s="55">
        <v>1</v>
      </c>
      <c r="J166" s="55">
        <v>1</v>
      </c>
      <c r="K166" s="55">
        <v>5</v>
      </c>
    </row>
    <row r="167" spans="1:11" x14ac:dyDescent="0.25">
      <c r="A167" s="54">
        <v>2012</v>
      </c>
      <c r="B167" s="55">
        <v>10</v>
      </c>
      <c r="C167" s="55">
        <v>6</v>
      </c>
      <c r="D167" s="55">
        <v>4</v>
      </c>
      <c r="F167" s="55">
        <v>0</v>
      </c>
      <c r="G167" s="55">
        <v>1</v>
      </c>
      <c r="H167" s="55">
        <v>1</v>
      </c>
      <c r="I167" s="55">
        <v>1</v>
      </c>
      <c r="J167" s="55">
        <v>1</v>
      </c>
      <c r="K167" s="55">
        <v>3</v>
      </c>
    </row>
    <row r="168" spans="1:11" x14ac:dyDescent="0.25">
      <c r="A168" s="54">
        <v>2011</v>
      </c>
      <c r="B168" s="55">
        <v>9</v>
      </c>
      <c r="C168" s="55">
        <v>8</v>
      </c>
      <c r="D168" s="55">
        <v>6</v>
      </c>
      <c r="E168" s="56">
        <v>12</v>
      </c>
      <c r="F168" s="55">
        <v>0</v>
      </c>
      <c r="G168" s="55">
        <v>2</v>
      </c>
      <c r="H168" s="55">
        <v>1</v>
      </c>
      <c r="I168" s="55">
        <v>1</v>
      </c>
      <c r="J168" s="55">
        <v>1</v>
      </c>
      <c r="K168" s="55">
        <v>6</v>
      </c>
    </row>
    <row r="169" spans="1:11" x14ac:dyDescent="0.25">
      <c r="A169" s="54">
        <v>2010</v>
      </c>
      <c r="B169" s="55">
        <v>5</v>
      </c>
      <c r="C169" s="55">
        <v>1</v>
      </c>
      <c r="D169" s="55"/>
      <c r="F169" s="55"/>
      <c r="G169" s="55"/>
      <c r="H169" s="55"/>
      <c r="I169" s="55"/>
      <c r="J169" s="55"/>
      <c r="K169" s="55"/>
    </row>
    <row r="170" spans="1:11" x14ac:dyDescent="0.25">
      <c r="A170" s="54">
        <v>2009</v>
      </c>
      <c r="B170" s="55">
        <v>7</v>
      </c>
      <c r="C170" s="55">
        <v>1</v>
      </c>
      <c r="D170" s="55"/>
      <c r="F170" s="55"/>
      <c r="G170" s="55"/>
      <c r="H170" s="55"/>
      <c r="I170" s="55"/>
      <c r="J170" s="55"/>
      <c r="K170" s="55"/>
    </row>
    <row r="171" spans="1:11" x14ac:dyDescent="0.25">
      <c r="A171" s="54">
        <v>2008</v>
      </c>
      <c r="B171" s="55">
        <v>3</v>
      </c>
      <c r="C171" s="55">
        <v>2</v>
      </c>
      <c r="D171" s="55"/>
      <c r="F171" s="55"/>
      <c r="G171" s="55"/>
      <c r="H171" s="55"/>
      <c r="I171" s="55"/>
      <c r="J171" s="55"/>
      <c r="K171" s="55"/>
    </row>
    <row r="172" spans="1:11" x14ac:dyDescent="0.25">
      <c r="A172" s="54">
        <v>2007</v>
      </c>
      <c r="B172" s="55">
        <v>10</v>
      </c>
      <c r="C172" s="55">
        <v>5</v>
      </c>
      <c r="D172" s="55">
        <v>4</v>
      </c>
      <c r="F172" s="55">
        <v>0</v>
      </c>
      <c r="G172" s="55">
        <v>2</v>
      </c>
      <c r="H172" s="55"/>
      <c r="I172" s="55"/>
      <c r="J172" s="55"/>
      <c r="K172" s="55">
        <v>4</v>
      </c>
    </row>
    <row r="173" spans="1:11" x14ac:dyDescent="0.25">
      <c r="A173" s="54" t="s">
        <v>34</v>
      </c>
      <c r="B173" s="55">
        <v>35</v>
      </c>
      <c r="C173" s="55">
        <v>30</v>
      </c>
      <c r="D173" s="55">
        <v>22</v>
      </c>
      <c r="E173" s="56">
        <v>34.5</v>
      </c>
      <c r="F173" s="55">
        <v>0</v>
      </c>
      <c r="G173" s="55">
        <v>3</v>
      </c>
      <c r="H173" s="55">
        <v>3</v>
      </c>
      <c r="I173" s="55">
        <v>5</v>
      </c>
      <c r="J173" s="55">
        <v>5</v>
      </c>
      <c r="K173" s="55">
        <v>25</v>
      </c>
    </row>
    <row r="174" spans="1:11" x14ac:dyDescent="0.25">
      <c r="A174" s="54">
        <v>2013</v>
      </c>
      <c r="B174" s="55">
        <v>12</v>
      </c>
      <c r="C174" s="55">
        <v>10</v>
      </c>
      <c r="D174" s="55">
        <v>9</v>
      </c>
      <c r="E174" s="56">
        <v>17</v>
      </c>
      <c r="F174" s="55">
        <v>0</v>
      </c>
      <c r="G174" s="55">
        <v>0</v>
      </c>
      <c r="H174" s="55">
        <v>3</v>
      </c>
      <c r="I174" s="55">
        <v>3</v>
      </c>
      <c r="J174" s="55">
        <v>3</v>
      </c>
      <c r="K174" s="55">
        <v>10</v>
      </c>
    </row>
    <row r="175" spans="1:11" x14ac:dyDescent="0.25">
      <c r="A175" s="54">
        <v>2012</v>
      </c>
      <c r="B175" s="55">
        <v>11</v>
      </c>
      <c r="C175" s="55">
        <v>11</v>
      </c>
      <c r="D175" s="55">
        <v>8</v>
      </c>
      <c r="E175" s="56">
        <v>17.5</v>
      </c>
      <c r="F175" s="55">
        <v>0</v>
      </c>
      <c r="G175" s="55">
        <v>2</v>
      </c>
      <c r="H175" s="55">
        <v>0</v>
      </c>
      <c r="I175" s="55">
        <v>2</v>
      </c>
      <c r="J175" s="55">
        <v>2</v>
      </c>
      <c r="K175" s="55">
        <v>11</v>
      </c>
    </row>
    <row r="176" spans="1:11" x14ac:dyDescent="0.25">
      <c r="A176" s="54">
        <v>2011</v>
      </c>
      <c r="B176" s="55">
        <v>2</v>
      </c>
      <c r="C176" s="55">
        <v>1</v>
      </c>
      <c r="D176" s="55"/>
      <c r="F176" s="55"/>
      <c r="G176" s="55"/>
      <c r="H176" s="55"/>
      <c r="I176" s="55"/>
      <c r="J176" s="55"/>
      <c r="K176" s="55"/>
    </row>
    <row r="177" spans="1:11" x14ac:dyDescent="0.25">
      <c r="A177" s="54">
        <v>2010</v>
      </c>
      <c r="B177" s="55">
        <v>4</v>
      </c>
      <c r="C177" s="55">
        <v>2</v>
      </c>
      <c r="D177" s="55"/>
      <c r="F177" s="55"/>
      <c r="G177" s="55"/>
      <c r="H177" s="55"/>
      <c r="I177" s="55"/>
      <c r="J177" s="55"/>
      <c r="K177" s="55"/>
    </row>
    <row r="178" spans="1:11" x14ac:dyDescent="0.25">
      <c r="A178" s="54">
        <v>2009</v>
      </c>
      <c r="B178" s="55">
        <v>5</v>
      </c>
      <c r="C178" s="55">
        <v>5</v>
      </c>
      <c r="D178" s="55">
        <v>5</v>
      </c>
      <c r="F178" s="55"/>
      <c r="G178" s="55">
        <v>1</v>
      </c>
      <c r="H178" s="55"/>
      <c r="I178" s="55"/>
      <c r="J178" s="55"/>
      <c r="K178" s="55">
        <v>4</v>
      </c>
    </row>
    <row r="179" spans="1:11" x14ac:dyDescent="0.25">
      <c r="A179" s="54">
        <v>2008</v>
      </c>
      <c r="B179" s="55">
        <v>1</v>
      </c>
      <c r="C179" s="55">
        <v>1</v>
      </c>
      <c r="D179" s="55"/>
      <c r="F179" s="55"/>
      <c r="G179" s="55"/>
      <c r="H179" s="55"/>
      <c r="I179" s="55"/>
      <c r="J179" s="55"/>
      <c r="K179" s="55"/>
    </row>
    <row r="180" spans="1:11" x14ac:dyDescent="0.25">
      <c r="A180" s="54">
        <v>2007</v>
      </c>
      <c r="B180" s="55"/>
      <c r="C180" s="55"/>
      <c r="D180" s="55"/>
      <c r="F180" s="55"/>
      <c r="G180" s="55"/>
      <c r="H180" s="55"/>
      <c r="I180" s="55"/>
      <c r="J180" s="55"/>
      <c r="K180" s="55"/>
    </row>
    <row r="181" spans="1:11" x14ac:dyDescent="0.25">
      <c r="A181" s="54" t="s">
        <v>35</v>
      </c>
      <c r="B181" s="55">
        <v>112</v>
      </c>
      <c r="C181" s="55">
        <v>66</v>
      </c>
      <c r="D181" s="55">
        <v>59</v>
      </c>
      <c r="E181" s="56">
        <v>122.62537999999999</v>
      </c>
      <c r="F181" s="55">
        <v>1</v>
      </c>
      <c r="G181" s="55">
        <v>18</v>
      </c>
      <c r="H181" s="55">
        <v>13</v>
      </c>
      <c r="I181" s="55">
        <v>35</v>
      </c>
      <c r="J181" s="55">
        <v>25</v>
      </c>
      <c r="K181" s="55">
        <v>52</v>
      </c>
    </row>
    <row r="182" spans="1:11" x14ac:dyDescent="0.25">
      <c r="A182" s="54">
        <v>2013</v>
      </c>
      <c r="B182" s="55">
        <v>14</v>
      </c>
      <c r="C182" s="55">
        <v>4</v>
      </c>
      <c r="D182" s="55"/>
      <c r="F182" s="55"/>
      <c r="G182" s="55"/>
      <c r="H182" s="55"/>
      <c r="I182" s="55"/>
      <c r="J182" s="55"/>
      <c r="K182" s="55"/>
    </row>
    <row r="183" spans="1:11" x14ac:dyDescent="0.25">
      <c r="A183" s="54">
        <v>2012</v>
      </c>
      <c r="B183" s="55">
        <v>19</v>
      </c>
      <c r="C183" s="55">
        <v>13</v>
      </c>
      <c r="D183" s="55">
        <v>11</v>
      </c>
      <c r="E183" s="56">
        <v>20</v>
      </c>
      <c r="F183" s="55">
        <v>0</v>
      </c>
      <c r="G183" s="55">
        <v>2</v>
      </c>
      <c r="H183" s="55">
        <v>2</v>
      </c>
      <c r="I183" s="55">
        <v>10</v>
      </c>
      <c r="J183" s="55">
        <v>3</v>
      </c>
      <c r="K183" s="55">
        <v>7</v>
      </c>
    </row>
    <row r="184" spans="1:11" x14ac:dyDescent="0.25">
      <c r="A184" s="54">
        <v>2011</v>
      </c>
      <c r="B184" s="55">
        <v>13</v>
      </c>
      <c r="C184" s="55">
        <v>8</v>
      </c>
      <c r="D184" s="55">
        <v>8</v>
      </c>
      <c r="E184" s="56">
        <v>15</v>
      </c>
      <c r="F184" s="55">
        <v>1</v>
      </c>
      <c r="G184" s="55">
        <v>4</v>
      </c>
      <c r="H184" s="55">
        <v>3</v>
      </c>
      <c r="I184" s="55">
        <v>7</v>
      </c>
      <c r="J184" s="55">
        <v>7</v>
      </c>
      <c r="K184" s="55">
        <v>5</v>
      </c>
    </row>
    <row r="185" spans="1:11" x14ac:dyDescent="0.25">
      <c r="A185" s="54">
        <v>2010</v>
      </c>
      <c r="B185" s="55">
        <v>11</v>
      </c>
      <c r="C185" s="55">
        <v>5</v>
      </c>
      <c r="D185" s="55">
        <v>5</v>
      </c>
      <c r="E185" s="56">
        <v>18.25</v>
      </c>
      <c r="F185" s="55">
        <v>0</v>
      </c>
      <c r="G185" s="55">
        <v>5</v>
      </c>
      <c r="H185" s="55">
        <v>1</v>
      </c>
      <c r="I185" s="55">
        <v>3</v>
      </c>
      <c r="J185" s="55">
        <v>2</v>
      </c>
      <c r="K185" s="55">
        <v>5</v>
      </c>
    </row>
    <row r="186" spans="1:11" x14ac:dyDescent="0.25">
      <c r="A186" s="54">
        <v>2009</v>
      </c>
      <c r="B186" s="55">
        <v>16</v>
      </c>
      <c r="C186" s="55">
        <v>8</v>
      </c>
      <c r="D186" s="55">
        <v>8</v>
      </c>
      <c r="E186" s="56">
        <v>28.75</v>
      </c>
      <c r="F186" s="55"/>
      <c r="G186" s="55"/>
      <c r="H186" s="55">
        <v>3</v>
      </c>
      <c r="I186" s="55">
        <v>6</v>
      </c>
      <c r="J186" s="55">
        <v>4</v>
      </c>
      <c r="K186" s="55">
        <v>8</v>
      </c>
    </row>
    <row r="187" spans="1:11" x14ac:dyDescent="0.25">
      <c r="A187" s="54">
        <v>2008</v>
      </c>
      <c r="B187" s="55">
        <v>20</v>
      </c>
      <c r="C187" s="55">
        <v>14</v>
      </c>
      <c r="D187" s="55">
        <v>13</v>
      </c>
      <c r="E187" s="56">
        <v>21.19</v>
      </c>
      <c r="F187" s="55">
        <v>0</v>
      </c>
      <c r="G187" s="55">
        <v>5</v>
      </c>
      <c r="H187" s="55">
        <v>4</v>
      </c>
      <c r="I187" s="55">
        <v>9</v>
      </c>
      <c r="J187" s="55">
        <v>9</v>
      </c>
      <c r="K187" s="55">
        <v>13</v>
      </c>
    </row>
    <row r="188" spans="1:11" x14ac:dyDescent="0.25">
      <c r="A188" s="54">
        <v>2007</v>
      </c>
      <c r="B188" s="55">
        <v>19</v>
      </c>
      <c r="C188" s="55">
        <v>14</v>
      </c>
      <c r="D188" s="55">
        <v>14</v>
      </c>
      <c r="E188" s="56">
        <v>19.435379999999999</v>
      </c>
      <c r="F188" s="55">
        <v>0</v>
      </c>
      <c r="G188" s="55">
        <v>2</v>
      </c>
      <c r="H188" s="55"/>
      <c r="I188" s="55"/>
      <c r="J188" s="55"/>
      <c r="K188" s="55">
        <v>14</v>
      </c>
    </row>
    <row r="189" spans="1:11" x14ac:dyDescent="0.25">
      <c r="A189" s="54" t="s">
        <v>36</v>
      </c>
      <c r="B189" s="55">
        <v>159</v>
      </c>
      <c r="C189" s="55">
        <v>115</v>
      </c>
      <c r="D189" s="55">
        <v>83</v>
      </c>
      <c r="E189" s="56">
        <v>82.91</v>
      </c>
      <c r="F189" s="55">
        <v>0</v>
      </c>
      <c r="G189" s="55">
        <v>29</v>
      </c>
      <c r="H189" s="55">
        <v>12</v>
      </c>
      <c r="I189" s="55">
        <v>22</v>
      </c>
      <c r="J189" s="55">
        <v>22</v>
      </c>
      <c r="K189" s="55">
        <v>91</v>
      </c>
    </row>
    <row r="190" spans="1:11" x14ac:dyDescent="0.25">
      <c r="A190" s="54">
        <v>2013</v>
      </c>
      <c r="B190" s="55">
        <v>34</v>
      </c>
      <c r="C190" s="55">
        <v>24</v>
      </c>
      <c r="D190" s="55">
        <v>17</v>
      </c>
      <c r="E190" s="56">
        <v>15.25</v>
      </c>
      <c r="F190" s="55">
        <v>0</v>
      </c>
      <c r="G190" s="55">
        <v>11</v>
      </c>
      <c r="H190" s="55">
        <v>4</v>
      </c>
      <c r="I190" s="55">
        <v>1</v>
      </c>
      <c r="J190" s="55">
        <v>1</v>
      </c>
      <c r="K190" s="55">
        <v>19</v>
      </c>
    </row>
    <row r="191" spans="1:11" x14ac:dyDescent="0.25">
      <c r="A191" s="54">
        <v>2012</v>
      </c>
      <c r="B191" s="55">
        <v>34</v>
      </c>
      <c r="C191" s="55">
        <v>34</v>
      </c>
      <c r="D191" s="55">
        <v>24</v>
      </c>
      <c r="E191" s="56">
        <v>16.5</v>
      </c>
      <c r="F191" s="55">
        <v>0</v>
      </c>
      <c r="G191" s="55">
        <v>4</v>
      </c>
      <c r="H191" s="55">
        <v>3</v>
      </c>
      <c r="I191" s="55">
        <v>4</v>
      </c>
      <c r="J191" s="55">
        <v>4</v>
      </c>
      <c r="K191" s="55">
        <v>26</v>
      </c>
    </row>
    <row r="192" spans="1:11" x14ac:dyDescent="0.25">
      <c r="A192" s="54">
        <v>2011</v>
      </c>
      <c r="B192" s="55">
        <v>24</v>
      </c>
      <c r="C192" s="55">
        <v>19</v>
      </c>
      <c r="D192" s="55">
        <v>14</v>
      </c>
      <c r="E192" s="56">
        <v>15.25</v>
      </c>
      <c r="F192" s="55">
        <v>0</v>
      </c>
      <c r="G192" s="55">
        <v>3</v>
      </c>
      <c r="H192" s="55">
        <v>4</v>
      </c>
      <c r="I192" s="55">
        <v>15</v>
      </c>
      <c r="J192" s="55">
        <v>15</v>
      </c>
      <c r="K192" s="55">
        <v>18</v>
      </c>
    </row>
    <row r="193" spans="1:11" x14ac:dyDescent="0.25">
      <c r="A193" s="54">
        <v>2010</v>
      </c>
      <c r="B193" s="55">
        <v>16</v>
      </c>
      <c r="C193" s="55">
        <v>10</v>
      </c>
      <c r="D193" s="55">
        <v>7</v>
      </c>
      <c r="E193" s="56">
        <v>20</v>
      </c>
      <c r="F193" s="55">
        <v>0</v>
      </c>
      <c r="G193" s="55">
        <v>5</v>
      </c>
      <c r="H193" s="55">
        <v>1</v>
      </c>
      <c r="I193" s="55"/>
      <c r="J193" s="55"/>
      <c r="K193" s="55">
        <v>9</v>
      </c>
    </row>
    <row r="194" spans="1:11" x14ac:dyDescent="0.25">
      <c r="A194" s="54">
        <v>2009</v>
      </c>
      <c r="B194" s="55">
        <v>20</v>
      </c>
      <c r="C194" s="55">
        <v>14</v>
      </c>
      <c r="D194" s="55">
        <v>14</v>
      </c>
      <c r="E194" s="56">
        <v>15.91</v>
      </c>
      <c r="F194" s="55"/>
      <c r="G194" s="55">
        <v>5</v>
      </c>
      <c r="H194" s="55"/>
      <c r="I194" s="55"/>
      <c r="J194" s="55"/>
      <c r="K194" s="55">
        <v>12</v>
      </c>
    </row>
    <row r="195" spans="1:11" x14ac:dyDescent="0.25">
      <c r="A195" s="54">
        <v>2008</v>
      </c>
      <c r="B195" s="55">
        <v>19</v>
      </c>
      <c r="C195" s="55">
        <v>10</v>
      </c>
      <c r="D195" s="55">
        <v>7</v>
      </c>
      <c r="F195" s="55">
        <v>0</v>
      </c>
      <c r="G195" s="55">
        <v>1</v>
      </c>
      <c r="H195" s="55">
        <v>0</v>
      </c>
      <c r="I195" s="55">
        <v>2</v>
      </c>
      <c r="J195" s="55">
        <v>2</v>
      </c>
      <c r="K195" s="55">
        <v>7</v>
      </c>
    </row>
    <row r="196" spans="1:11" x14ac:dyDescent="0.25">
      <c r="A196" s="54">
        <v>2007</v>
      </c>
      <c r="B196" s="55">
        <v>12</v>
      </c>
      <c r="C196" s="55">
        <v>4</v>
      </c>
      <c r="D196" s="55"/>
      <c r="F196" s="55"/>
      <c r="G196" s="55"/>
      <c r="H196" s="55"/>
      <c r="I196" s="55"/>
      <c r="J196" s="55"/>
      <c r="K196" s="55"/>
    </row>
    <row r="197" spans="1:11" x14ac:dyDescent="0.25">
      <c r="A197" s="54" t="s">
        <v>37</v>
      </c>
      <c r="B197" s="55">
        <v>33</v>
      </c>
      <c r="C197" s="55">
        <v>29</v>
      </c>
      <c r="D197" s="55">
        <v>24</v>
      </c>
      <c r="E197" s="56">
        <v>27.24</v>
      </c>
      <c r="F197" s="55">
        <v>0</v>
      </c>
      <c r="G197" s="55">
        <v>13</v>
      </c>
      <c r="H197" s="55">
        <v>4</v>
      </c>
      <c r="I197" s="55">
        <v>3</v>
      </c>
      <c r="J197" s="55">
        <v>3</v>
      </c>
      <c r="K197" s="55">
        <v>26</v>
      </c>
    </row>
    <row r="198" spans="1:11" x14ac:dyDescent="0.25">
      <c r="A198" s="54">
        <v>2013</v>
      </c>
      <c r="B198" s="55"/>
      <c r="C198" s="55"/>
      <c r="D198" s="55"/>
      <c r="F198" s="55"/>
      <c r="G198" s="55"/>
      <c r="H198" s="55"/>
      <c r="I198" s="55"/>
      <c r="J198" s="55"/>
      <c r="K198" s="55"/>
    </row>
    <row r="199" spans="1:11" x14ac:dyDescent="0.25">
      <c r="A199" s="54">
        <v>2012</v>
      </c>
      <c r="B199" s="55"/>
      <c r="C199" s="55"/>
      <c r="D199" s="55"/>
      <c r="F199" s="55"/>
      <c r="G199" s="55"/>
      <c r="H199" s="55"/>
      <c r="I199" s="55"/>
      <c r="J199" s="55"/>
      <c r="K199" s="55"/>
    </row>
    <row r="200" spans="1:11" x14ac:dyDescent="0.25">
      <c r="A200" s="54">
        <v>2011</v>
      </c>
      <c r="B200" s="55">
        <v>2</v>
      </c>
      <c r="C200" s="55">
        <v>1</v>
      </c>
      <c r="D200" s="55"/>
      <c r="F200" s="55"/>
      <c r="G200" s="55"/>
      <c r="H200" s="55"/>
      <c r="I200" s="55"/>
      <c r="J200" s="55"/>
      <c r="K200" s="55"/>
    </row>
    <row r="201" spans="1:11" x14ac:dyDescent="0.25">
      <c r="A201" s="54">
        <v>2010</v>
      </c>
      <c r="B201" s="55">
        <v>11</v>
      </c>
      <c r="C201" s="55">
        <v>9</v>
      </c>
      <c r="D201" s="55">
        <v>8</v>
      </c>
      <c r="E201" s="56">
        <v>16.239999999999998</v>
      </c>
      <c r="F201" s="55">
        <v>0</v>
      </c>
      <c r="G201" s="55">
        <v>2</v>
      </c>
      <c r="H201" s="55">
        <v>2</v>
      </c>
      <c r="I201" s="55"/>
      <c r="J201" s="55"/>
      <c r="K201" s="55">
        <v>9</v>
      </c>
    </row>
    <row r="202" spans="1:11" x14ac:dyDescent="0.25">
      <c r="A202" s="54">
        <v>2009</v>
      </c>
      <c r="B202" s="55">
        <v>12</v>
      </c>
      <c r="C202" s="55">
        <v>12</v>
      </c>
      <c r="D202" s="55">
        <v>11</v>
      </c>
      <c r="E202" s="56">
        <v>11</v>
      </c>
      <c r="F202" s="55"/>
      <c r="G202" s="55">
        <v>7</v>
      </c>
      <c r="H202" s="55">
        <v>1</v>
      </c>
      <c r="I202" s="55">
        <v>3</v>
      </c>
      <c r="J202" s="55">
        <v>3</v>
      </c>
      <c r="K202" s="55">
        <v>12</v>
      </c>
    </row>
    <row r="203" spans="1:11" x14ac:dyDescent="0.25">
      <c r="A203" s="54">
        <v>2008</v>
      </c>
      <c r="B203" s="55">
        <v>6</v>
      </c>
      <c r="C203" s="55">
        <v>5</v>
      </c>
      <c r="D203" s="55">
        <v>5</v>
      </c>
      <c r="F203" s="55">
        <v>0</v>
      </c>
      <c r="G203" s="55">
        <v>4</v>
      </c>
      <c r="H203" s="55">
        <v>1</v>
      </c>
      <c r="I203" s="55">
        <v>0</v>
      </c>
      <c r="J203" s="55">
        <v>0</v>
      </c>
      <c r="K203" s="55">
        <v>5</v>
      </c>
    </row>
    <row r="204" spans="1:11" x14ac:dyDescent="0.25">
      <c r="A204" s="54">
        <v>2007</v>
      </c>
      <c r="B204" s="55">
        <v>2</v>
      </c>
      <c r="C204" s="55">
        <v>2</v>
      </c>
      <c r="D204" s="55"/>
      <c r="F204" s="55"/>
      <c r="G204" s="55"/>
      <c r="H204" s="55"/>
      <c r="I204" s="55"/>
      <c r="J204" s="55"/>
      <c r="K204" s="55"/>
    </row>
    <row r="205" spans="1:11" x14ac:dyDescent="0.25">
      <c r="A205" s="54" t="s">
        <v>38</v>
      </c>
      <c r="B205" s="55">
        <v>302</v>
      </c>
      <c r="C205" s="55">
        <v>211</v>
      </c>
      <c r="D205" s="55">
        <v>156</v>
      </c>
      <c r="E205" s="56">
        <v>88.272729999999996</v>
      </c>
      <c r="F205" s="55">
        <v>1</v>
      </c>
      <c r="G205" s="55">
        <v>48</v>
      </c>
      <c r="H205" s="55">
        <v>39</v>
      </c>
      <c r="I205" s="55">
        <v>78</v>
      </c>
      <c r="J205" s="55">
        <v>76</v>
      </c>
      <c r="K205" s="55">
        <v>187</v>
      </c>
    </row>
    <row r="206" spans="1:11" x14ac:dyDescent="0.25">
      <c r="A206" s="54">
        <v>2013</v>
      </c>
      <c r="B206" s="55">
        <v>45</v>
      </c>
      <c r="C206" s="55">
        <v>27</v>
      </c>
      <c r="D206" s="55">
        <v>20</v>
      </c>
      <c r="E206" s="56">
        <v>12.465</v>
      </c>
      <c r="F206" s="55">
        <v>0</v>
      </c>
      <c r="G206" s="55">
        <v>10</v>
      </c>
      <c r="H206" s="55">
        <v>6</v>
      </c>
      <c r="I206" s="55">
        <v>14</v>
      </c>
      <c r="J206" s="55">
        <v>14</v>
      </c>
      <c r="K206" s="55">
        <v>24</v>
      </c>
    </row>
    <row r="207" spans="1:11" x14ac:dyDescent="0.25">
      <c r="A207" s="54">
        <v>2012</v>
      </c>
      <c r="B207" s="55">
        <v>83</v>
      </c>
      <c r="C207" s="55">
        <v>60</v>
      </c>
      <c r="D207" s="55">
        <v>40</v>
      </c>
      <c r="E207" s="56">
        <v>12</v>
      </c>
      <c r="F207" s="55">
        <v>0</v>
      </c>
      <c r="G207" s="55">
        <v>11</v>
      </c>
      <c r="H207" s="55">
        <v>18</v>
      </c>
      <c r="I207" s="55">
        <v>15</v>
      </c>
      <c r="J207" s="55">
        <v>14</v>
      </c>
      <c r="K207" s="55">
        <v>52</v>
      </c>
    </row>
    <row r="208" spans="1:11" x14ac:dyDescent="0.25">
      <c r="A208" s="54">
        <v>2011</v>
      </c>
      <c r="B208" s="55">
        <v>48</v>
      </c>
      <c r="C208" s="55">
        <v>39</v>
      </c>
      <c r="D208" s="55">
        <v>28</v>
      </c>
      <c r="E208" s="56">
        <v>13.25</v>
      </c>
      <c r="F208" s="55">
        <v>1</v>
      </c>
      <c r="G208" s="55">
        <v>7</v>
      </c>
      <c r="H208" s="55">
        <v>8</v>
      </c>
      <c r="I208" s="55">
        <v>27</v>
      </c>
      <c r="J208" s="55">
        <v>27</v>
      </c>
      <c r="K208" s="55">
        <v>36</v>
      </c>
    </row>
    <row r="209" spans="1:11" x14ac:dyDescent="0.25">
      <c r="A209" s="54">
        <v>2010</v>
      </c>
      <c r="B209" s="55">
        <v>32</v>
      </c>
      <c r="C209" s="55">
        <v>16</v>
      </c>
      <c r="D209" s="55">
        <v>12</v>
      </c>
      <c r="E209" s="56">
        <v>14</v>
      </c>
      <c r="F209" s="55">
        <v>0</v>
      </c>
      <c r="G209" s="55">
        <v>5</v>
      </c>
      <c r="H209" s="55">
        <v>4</v>
      </c>
      <c r="I209" s="55">
        <v>5</v>
      </c>
      <c r="J209" s="55">
        <v>5</v>
      </c>
      <c r="K209" s="55">
        <v>13</v>
      </c>
    </row>
    <row r="210" spans="1:11" x14ac:dyDescent="0.25">
      <c r="A210" s="54">
        <v>2009</v>
      </c>
      <c r="B210" s="55">
        <v>27</v>
      </c>
      <c r="C210" s="55">
        <v>24</v>
      </c>
      <c r="D210" s="55">
        <v>18</v>
      </c>
      <c r="E210" s="56">
        <v>13</v>
      </c>
      <c r="F210" s="55"/>
      <c r="G210" s="55">
        <v>10</v>
      </c>
      <c r="H210" s="55"/>
      <c r="I210" s="55">
        <v>11</v>
      </c>
      <c r="J210" s="55">
        <v>10</v>
      </c>
      <c r="K210" s="55">
        <v>20</v>
      </c>
    </row>
    <row r="211" spans="1:11" x14ac:dyDescent="0.25">
      <c r="A211" s="54">
        <v>2008</v>
      </c>
      <c r="B211" s="55">
        <v>21</v>
      </c>
      <c r="C211" s="55">
        <v>16</v>
      </c>
      <c r="D211" s="55">
        <v>15</v>
      </c>
      <c r="E211" s="56">
        <v>11.375</v>
      </c>
      <c r="F211" s="55">
        <v>0</v>
      </c>
      <c r="G211" s="55">
        <v>2</v>
      </c>
      <c r="H211" s="55">
        <v>3</v>
      </c>
      <c r="I211" s="55">
        <v>6</v>
      </c>
      <c r="J211" s="55">
        <v>6</v>
      </c>
      <c r="K211" s="55">
        <v>16</v>
      </c>
    </row>
    <row r="212" spans="1:11" x14ac:dyDescent="0.25">
      <c r="A212" s="54">
        <v>2007</v>
      </c>
      <c r="B212" s="55">
        <v>46</v>
      </c>
      <c r="C212" s="55">
        <v>29</v>
      </c>
      <c r="D212" s="55">
        <v>23</v>
      </c>
      <c r="E212" s="56">
        <v>12.182729999999999</v>
      </c>
      <c r="F212" s="55">
        <v>0</v>
      </c>
      <c r="G212" s="55">
        <v>3</v>
      </c>
      <c r="H212" s="55"/>
      <c r="I212" s="55"/>
      <c r="J212" s="55"/>
      <c r="K212" s="55">
        <v>26</v>
      </c>
    </row>
    <row r="213" spans="1:11" x14ac:dyDescent="0.25">
      <c r="A213" s="54" t="s">
        <v>39</v>
      </c>
      <c r="B213" s="55">
        <v>196</v>
      </c>
      <c r="C213" s="55">
        <v>100</v>
      </c>
      <c r="D213" s="55">
        <v>79</v>
      </c>
      <c r="E213" s="56">
        <v>97.984999999999999</v>
      </c>
      <c r="F213" s="55">
        <v>1</v>
      </c>
      <c r="G213" s="55">
        <v>30</v>
      </c>
      <c r="H213" s="55">
        <v>14</v>
      </c>
      <c r="I213" s="55">
        <v>9</v>
      </c>
      <c r="J213" s="55">
        <v>9</v>
      </c>
      <c r="K213" s="55">
        <v>86</v>
      </c>
    </row>
    <row r="214" spans="1:11" x14ac:dyDescent="0.25">
      <c r="A214" s="54">
        <v>2013</v>
      </c>
      <c r="B214" s="55">
        <v>56</v>
      </c>
      <c r="C214" s="55">
        <v>26</v>
      </c>
      <c r="D214" s="55">
        <v>18</v>
      </c>
      <c r="E214" s="56">
        <v>15.5</v>
      </c>
      <c r="F214" s="55">
        <v>0</v>
      </c>
      <c r="G214" s="55">
        <v>9</v>
      </c>
      <c r="H214" s="55">
        <v>5</v>
      </c>
      <c r="I214" s="55">
        <v>0</v>
      </c>
      <c r="J214" s="55">
        <v>0</v>
      </c>
      <c r="K214" s="55">
        <v>20</v>
      </c>
    </row>
    <row r="215" spans="1:11" x14ac:dyDescent="0.25">
      <c r="A215" s="54">
        <v>2012</v>
      </c>
      <c r="B215" s="55">
        <v>38</v>
      </c>
      <c r="C215" s="55">
        <v>12</v>
      </c>
      <c r="D215" s="55">
        <v>10</v>
      </c>
      <c r="E215" s="56">
        <v>21</v>
      </c>
      <c r="F215" s="55">
        <v>0</v>
      </c>
      <c r="G215" s="55">
        <v>2</v>
      </c>
      <c r="H215" s="55">
        <v>1</v>
      </c>
      <c r="I215" s="55">
        <v>1</v>
      </c>
      <c r="J215" s="55">
        <v>1</v>
      </c>
      <c r="K215" s="55">
        <v>10</v>
      </c>
    </row>
    <row r="216" spans="1:11" x14ac:dyDescent="0.25">
      <c r="A216" s="54">
        <v>2011</v>
      </c>
      <c r="B216" s="55">
        <v>27</v>
      </c>
      <c r="C216" s="55">
        <v>17</v>
      </c>
      <c r="D216" s="55">
        <v>16</v>
      </c>
      <c r="E216" s="56">
        <v>14.36</v>
      </c>
      <c r="F216" s="55">
        <v>1</v>
      </c>
      <c r="G216" s="55">
        <v>2</v>
      </c>
      <c r="H216" s="55">
        <v>2</v>
      </c>
      <c r="I216" s="55">
        <v>7</v>
      </c>
      <c r="J216" s="55">
        <v>7</v>
      </c>
      <c r="K216" s="55">
        <v>15</v>
      </c>
    </row>
    <row r="217" spans="1:11" x14ac:dyDescent="0.25">
      <c r="A217" s="54">
        <v>2010</v>
      </c>
      <c r="B217" s="55">
        <v>22</v>
      </c>
      <c r="C217" s="55">
        <v>10</v>
      </c>
      <c r="D217" s="55">
        <v>8</v>
      </c>
      <c r="F217" s="55">
        <v>0</v>
      </c>
      <c r="G217" s="55">
        <v>6</v>
      </c>
      <c r="H217" s="55">
        <v>4</v>
      </c>
      <c r="I217" s="55"/>
      <c r="J217" s="55"/>
      <c r="K217" s="55">
        <v>10</v>
      </c>
    </row>
    <row r="218" spans="1:11" x14ac:dyDescent="0.25">
      <c r="A218" s="54">
        <v>2009</v>
      </c>
      <c r="B218" s="55">
        <v>17</v>
      </c>
      <c r="C218" s="55">
        <v>8</v>
      </c>
      <c r="D218" s="55">
        <v>5</v>
      </c>
      <c r="F218" s="55"/>
      <c r="G218" s="55">
        <v>3</v>
      </c>
      <c r="H218" s="55"/>
      <c r="I218" s="55">
        <v>1</v>
      </c>
      <c r="J218" s="55">
        <v>1</v>
      </c>
      <c r="K218" s="55">
        <v>7</v>
      </c>
    </row>
    <row r="219" spans="1:11" x14ac:dyDescent="0.25">
      <c r="A219" s="54">
        <v>2008</v>
      </c>
      <c r="B219" s="55">
        <v>20</v>
      </c>
      <c r="C219" s="55">
        <v>13</v>
      </c>
      <c r="D219" s="55">
        <v>12</v>
      </c>
      <c r="E219" s="56">
        <v>23.375</v>
      </c>
      <c r="F219" s="55">
        <v>0</v>
      </c>
      <c r="G219" s="55">
        <v>3</v>
      </c>
      <c r="H219" s="55">
        <v>2</v>
      </c>
      <c r="I219" s="55">
        <v>0</v>
      </c>
      <c r="J219" s="55">
        <v>0</v>
      </c>
      <c r="K219" s="55">
        <v>11</v>
      </c>
    </row>
    <row r="220" spans="1:11" x14ac:dyDescent="0.25">
      <c r="A220" s="54">
        <v>2007</v>
      </c>
      <c r="B220" s="55">
        <v>16</v>
      </c>
      <c r="C220" s="55">
        <v>14</v>
      </c>
      <c r="D220" s="55">
        <v>10</v>
      </c>
      <c r="E220" s="56">
        <v>23.75</v>
      </c>
      <c r="F220" s="55">
        <v>0</v>
      </c>
      <c r="G220" s="55">
        <v>5</v>
      </c>
      <c r="H220" s="55"/>
      <c r="I220" s="55"/>
      <c r="J220" s="55"/>
      <c r="K220" s="55">
        <v>13</v>
      </c>
    </row>
    <row r="221" spans="1:11" x14ac:dyDescent="0.25">
      <c r="A221" s="54" t="s">
        <v>40</v>
      </c>
      <c r="B221" s="55">
        <v>3791</v>
      </c>
      <c r="C221" s="55">
        <v>2029</v>
      </c>
      <c r="D221" s="55">
        <v>1540</v>
      </c>
      <c r="E221" s="56">
        <v>86.007727777777802</v>
      </c>
      <c r="F221" s="55">
        <v>14</v>
      </c>
      <c r="G221" s="55">
        <v>1313</v>
      </c>
      <c r="H221" s="55">
        <v>256</v>
      </c>
      <c r="I221" s="55">
        <v>1581</v>
      </c>
      <c r="J221" s="55">
        <v>1564</v>
      </c>
      <c r="K221" s="55">
        <v>1965</v>
      </c>
    </row>
    <row r="222" spans="1:11" x14ac:dyDescent="0.25">
      <c r="A222" s="54">
        <v>2013</v>
      </c>
      <c r="B222" s="55">
        <v>422</v>
      </c>
      <c r="C222" s="55">
        <v>232</v>
      </c>
      <c r="D222" s="55">
        <v>176</v>
      </c>
      <c r="E222" s="56">
        <v>11.5</v>
      </c>
      <c r="F222" s="55">
        <v>2</v>
      </c>
      <c r="G222" s="55">
        <v>158</v>
      </c>
      <c r="H222" s="55">
        <v>44</v>
      </c>
      <c r="I222" s="55">
        <v>191</v>
      </c>
      <c r="J222" s="55">
        <v>189</v>
      </c>
      <c r="K222" s="55">
        <v>223</v>
      </c>
    </row>
    <row r="223" spans="1:11" x14ac:dyDescent="0.25">
      <c r="A223" s="54">
        <v>2012</v>
      </c>
      <c r="B223" s="55">
        <v>544</v>
      </c>
      <c r="C223" s="55">
        <v>322</v>
      </c>
      <c r="D223" s="55">
        <v>231</v>
      </c>
      <c r="E223" s="56">
        <v>11.65</v>
      </c>
      <c r="F223" s="55">
        <v>4</v>
      </c>
      <c r="G223" s="55">
        <v>225</v>
      </c>
      <c r="H223" s="55">
        <v>38</v>
      </c>
      <c r="I223" s="55">
        <v>281</v>
      </c>
      <c r="J223" s="55">
        <v>278</v>
      </c>
      <c r="K223" s="55">
        <v>314</v>
      </c>
    </row>
    <row r="224" spans="1:11" x14ac:dyDescent="0.25">
      <c r="A224" s="54">
        <v>2011</v>
      </c>
      <c r="B224" s="55">
        <v>556</v>
      </c>
      <c r="C224" s="55">
        <v>295</v>
      </c>
      <c r="D224" s="55">
        <v>227</v>
      </c>
      <c r="E224" s="56">
        <v>12.28</v>
      </c>
      <c r="F224" s="55">
        <v>1</v>
      </c>
      <c r="G224" s="55">
        <v>177</v>
      </c>
      <c r="H224" s="55">
        <v>42</v>
      </c>
      <c r="I224" s="55">
        <v>264</v>
      </c>
      <c r="J224" s="55">
        <v>261</v>
      </c>
      <c r="K224" s="55">
        <v>285</v>
      </c>
    </row>
    <row r="225" spans="1:11" x14ac:dyDescent="0.25">
      <c r="A225" s="54">
        <v>2010</v>
      </c>
      <c r="B225" s="55">
        <v>681</v>
      </c>
      <c r="C225" s="55">
        <v>349</v>
      </c>
      <c r="D225" s="55">
        <v>241</v>
      </c>
      <c r="E225" s="56">
        <v>11.5</v>
      </c>
      <c r="F225" s="55">
        <v>5</v>
      </c>
      <c r="G225" s="55">
        <v>249</v>
      </c>
      <c r="H225" s="55">
        <v>58</v>
      </c>
      <c r="I225" s="55">
        <v>306</v>
      </c>
      <c r="J225" s="55">
        <v>306</v>
      </c>
      <c r="K225" s="55">
        <v>340</v>
      </c>
    </row>
    <row r="226" spans="1:11" x14ac:dyDescent="0.25">
      <c r="A226" s="54">
        <v>2009</v>
      </c>
      <c r="B226" s="55">
        <v>603</v>
      </c>
      <c r="C226" s="55">
        <v>287</v>
      </c>
      <c r="D226" s="55">
        <v>209</v>
      </c>
      <c r="E226" s="56">
        <v>12.83</v>
      </c>
      <c r="F226" s="55"/>
      <c r="G226" s="55">
        <v>186</v>
      </c>
      <c r="H226" s="55">
        <v>47</v>
      </c>
      <c r="I226" s="55">
        <v>254</v>
      </c>
      <c r="J226" s="55">
        <v>250</v>
      </c>
      <c r="K226" s="55">
        <v>272</v>
      </c>
    </row>
    <row r="227" spans="1:11" x14ac:dyDescent="0.25">
      <c r="A227" s="54">
        <v>2008</v>
      </c>
      <c r="B227" s="55">
        <v>502</v>
      </c>
      <c r="C227" s="55">
        <v>338</v>
      </c>
      <c r="D227" s="55">
        <v>290</v>
      </c>
      <c r="E227" s="56">
        <v>12.575277777777799</v>
      </c>
      <c r="F227" s="55">
        <v>2</v>
      </c>
      <c r="G227" s="55">
        <v>175</v>
      </c>
      <c r="H227" s="55">
        <v>27</v>
      </c>
      <c r="I227" s="55">
        <v>285</v>
      </c>
      <c r="J227" s="55">
        <v>280</v>
      </c>
      <c r="K227" s="55">
        <v>330</v>
      </c>
    </row>
    <row r="228" spans="1:11" x14ac:dyDescent="0.25">
      <c r="A228" s="54">
        <v>2007</v>
      </c>
      <c r="B228" s="55">
        <v>483</v>
      </c>
      <c r="C228" s="55">
        <v>206</v>
      </c>
      <c r="D228" s="55">
        <v>166</v>
      </c>
      <c r="E228" s="56">
        <v>13.67245</v>
      </c>
      <c r="F228" s="55">
        <v>0</v>
      </c>
      <c r="G228" s="55">
        <v>143</v>
      </c>
      <c r="H228" s="55"/>
      <c r="I228" s="55"/>
      <c r="J228" s="55"/>
      <c r="K228" s="55">
        <v>201</v>
      </c>
    </row>
    <row r="229" spans="1:11" x14ac:dyDescent="0.25">
      <c r="A229" s="54" t="s">
        <v>41</v>
      </c>
      <c r="B229" s="55">
        <v>235</v>
      </c>
      <c r="C229" s="55">
        <v>152</v>
      </c>
      <c r="D229" s="55">
        <v>126</v>
      </c>
      <c r="E229" s="56">
        <v>92.149966666666685</v>
      </c>
      <c r="F229" s="55">
        <v>1</v>
      </c>
      <c r="G229" s="55">
        <v>51</v>
      </c>
      <c r="H229" s="55">
        <v>34</v>
      </c>
      <c r="I229" s="55">
        <v>118</v>
      </c>
      <c r="J229" s="55">
        <v>112</v>
      </c>
      <c r="K229" s="55">
        <v>121</v>
      </c>
    </row>
    <row r="230" spans="1:11" x14ac:dyDescent="0.25">
      <c r="A230" s="54">
        <v>2013</v>
      </c>
      <c r="B230" s="55">
        <v>54</v>
      </c>
      <c r="C230" s="55">
        <v>31</v>
      </c>
      <c r="D230" s="55">
        <v>23</v>
      </c>
      <c r="E230" s="56">
        <v>13.75</v>
      </c>
      <c r="F230" s="55">
        <v>1</v>
      </c>
      <c r="G230" s="55">
        <v>8</v>
      </c>
      <c r="H230" s="55">
        <v>2</v>
      </c>
      <c r="I230" s="55">
        <v>25</v>
      </c>
      <c r="J230" s="55">
        <v>23</v>
      </c>
      <c r="K230" s="55">
        <v>25</v>
      </c>
    </row>
    <row r="231" spans="1:11" x14ac:dyDescent="0.25">
      <c r="A231" s="54">
        <v>2012</v>
      </c>
      <c r="B231" s="55">
        <v>53</v>
      </c>
      <c r="C231" s="55">
        <v>40</v>
      </c>
      <c r="D231" s="55">
        <v>34</v>
      </c>
      <c r="E231" s="56">
        <v>13</v>
      </c>
      <c r="F231" s="55">
        <v>0</v>
      </c>
      <c r="G231" s="55">
        <v>17</v>
      </c>
      <c r="H231" s="55">
        <v>13</v>
      </c>
      <c r="I231" s="55">
        <v>35</v>
      </c>
      <c r="J231" s="55">
        <v>34</v>
      </c>
      <c r="K231" s="55">
        <v>37</v>
      </c>
    </row>
    <row r="232" spans="1:11" x14ac:dyDescent="0.25">
      <c r="A232" s="54">
        <v>2011</v>
      </c>
      <c r="B232" s="55">
        <v>41</v>
      </c>
      <c r="C232" s="55">
        <v>29</v>
      </c>
      <c r="D232" s="55">
        <v>24</v>
      </c>
      <c r="E232" s="56">
        <v>13.55</v>
      </c>
      <c r="F232" s="55">
        <v>0</v>
      </c>
      <c r="G232" s="55">
        <v>6</v>
      </c>
      <c r="H232" s="55">
        <v>10</v>
      </c>
      <c r="I232" s="55">
        <v>25</v>
      </c>
      <c r="J232" s="55">
        <v>24</v>
      </c>
      <c r="K232" s="55">
        <v>15</v>
      </c>
    </row>
    <row r="233" spans="1:11" x14ac:dyDescent="0.25">
      <c r="A233" s="54">
        <v>2010</v>
      </c>
      <c r="B233" s="55">
        <v>29</v>
      </c>
      <c r="C233" s="55">
        <v>18</v>
      </c>
      <c r="D233" s="55">
        <v>15</v>
      </c>
      <c r="E233" s="56">
        <v>13.4</v>
      </c>
      <c r="F233" s="55">
        <v>0</v>
      </c>
      <c r="G233" s="55">
        <v>10</v>
      </c>
      <c r="H233" s="55">
        <v>5</v>
      </c>
      <c r="I233" s="55">
        <v>15</v>
      </c>
      <c r="J233" s="55">
        <v>15</v>
      </c>
      <c r="K233" s="55">
        <v>12</v>
      </c>
    </row>
    <row r="234" spans="1:11" x14ac:dyDescent="0.25">
      <c r="A234" s="54">
        <v>2009</v>
      </c>
      <c r="B234" s="55">
        <v>22</v>
      </c>
      <c r="C234" s="55">
        <v>15</v>
      </c>
      <c r="D234" s="55">
        <v>14</v>
      </c>
      <c r="E234" s="56">
        <v>14</v>
      </c>
      <c r="F234" s="55"/>
      <c r="G234" s="55">
        <v>5</v>
      </c>
      <c r="H234" s="55">
        <v>2</v>
      </c>
      <c r="I234" s="55">
        <v>11</v>
      </c>
      <c r="J234" s="55">
        <v>11</v>
      </c>
      <c r="K234" s="55">
        <v>14</v>
      </c>
    </row>
    <row r="235" spans="1:11" x14ac:dyDescent="0.25">
      <c r="A235" s="54">
        <v>2008</v>
      </c>
      <c r="B235" s="55">
        <v>22</v>
      </c>
      <c r="C235" s="55">
        <v>10</v>
      </c>
      <c r="D235" s="55">
        <v>9</v>
      </c>
      <c r="E235" s="56">
        <v>11.616666666666699</v>
      </c>
      <c r="F235" s="55">
        <v>0</v>
      </c>
      <c r="G235" s="55">
        <v>1</v>
      </c>
      <c r="H235" s="55">
        <v>2</v>
      </c>
      <c r="I235" s="55">
        <v>7</v>
      </c>
      <c r="J235" s="55">
        <v>5</v>
      </c>
      <c r="K235" s="55">
        <v>10</v>
      </c>
    </row>
    <row r="236" spans="1:11" x14ac:dyDescent="0.25">
      <c r="A236" s="54">
        <v>2007</v>
      </c>
      <c r="B236" s="55">
        <v>14</v>
      </c>
      <c r="C236" s="55">
        <v>9</v>
      </c>
      <c r="D236" s="55">
        <v>7</v>
      </c>
      <c r="E236" s="56">
        <v>12.833299999999999</v>
      </c>
      <c r="F236" s="55">
        <v>0</v>
      </c>
      <c r="G236" s="55">
        <v>4</v>
      </c>
      <c r="H236" s="55"/>
      <c r="I236" s="55"/>
      <c r="J236" s="55"/>
      <c r="K236" s="55">
        <v>8</v>
      </c>
    </row>
    <row r="237" spans="1:11" x14ac:dyDescent="0.25">
      <c r="A237" s="54" t="s">
        <v>42</v>
      </c>
      <c r="B237" s="55">
        <v>270</v>
      </c>
      <c r="C237" s="55">
        <v>143</v>
      </c>
      <c r="D237" s="55">
        <v>99</v>
      </c>
      <c r="E237" s="56">
        <v>50.13</v>
      </c>
      <c r="F237" s="55">
        <v>2</v>
      </c>
      <c r="G237" s="55">
        <v>65</v>
      </c>
      <c r="H237" s="55">
        <v>22</v>
      </c>
      <c r="I237" s="55">
        <v>43</v>
      </c>
      <c r="J237" s="55">
        <v>43</v>
      </c>
      <c r="K237" s="55">
        <v>136</v>
      </c>
    </row>
    <row r="238" spans="1:11" x14ac:dyDescent="0.25">
      <c r="A238" s="54">
        <v>2013</v>
      </c>
      <c r="B238" s="55">
        <v>55</v>
      </c>
      <c r="C238" s="55">
        <v>32</v>
      </c>
      <c r="D238" s="55">
        <v>24</v>
      </c>
      <c r="E238" s="56">
        <v>13</v>
      </c>
      <c r="F238" s="55">
        <v>2</v>
      </c>
      <c r="G238" s="55">
        <v>15</v>
      </c>
      <c r="H238" s="55">
        <v>9</v>
      </c>
      <c r="I238" s="55">
        <v>6</v>
      </c>
      <c r="J238" s="55">
        <v>6</v>
      </c>
      <c r="K238" s="55">
        <v>30</v>
      </c>
    </row>
    <row r="239" spans="1:11" x14ac:dyDescent="0.25">
      <c r="A239" s="54">
        <v>2012</v>
      </c>
      <c r="B239" s="55">
        <v>50</v>
      </c>
      <c r="C239" s="55">
        <v>30</v>
      </c>
      <c r="D239" s="55">
        <v>21</v>
      </c>
      <c r="E239" s="56">
        <v>12.13</v>
      </c>
      <c r="F239" s="55">
        <v>0</v>
      </c>
      <c r="G239" s="55">
        <v>14</v>
      </c>
      <c r="H239" s="55">
        <v>2</v>
      </c>
      <c r="I239" s="55">
        <v>14</v>
      </c>
      <c r="J239" s="55">
        <v>14</v>
      </c>
      <c r="K239" s="55">
        <v>30</v>
      </c>
    </row>
    <row r="240" spans="1:11" x14ac:dyDescent="0.25">
      <c r="A240" s="54">
        <v>2011</v>
      </c>
      <c r="B240" s="55">
        <v>64</v>
      </c>
      <c r="C240" s="55">
        <v>30</v>
      </c>
      <c r="D240" s="55">
        <v>18</v>
      </c>
      <c r="E240" s="56">
        <v>12</v>
      </c>
      <c r="F240" s="55">
        <v>0</v>
      </c>
      <c r="G240" s="55">
        <v>14</v>
      </c>
      <c r="H240" s="55">
        <v>6</v>
      </c>
      <c r="I240" s="55">
        <v>12</v>
      </c>
      <c r="J240" s="55">
        <v>12</v>
      </c>
      <c r="K240" s="55">
        <v>27</v>
      </c>
    </row>
    <row r="241" spans="1:11" x14ac:dyDescent="0.25">
      <c r="A241" s="54">
        <v>2010</v>
      </c>
      <c r="B241" s="55">
        <v>36</v>
      </c>
      <c r="C241" s="55">
        <v>19</v>
      </c>
      <c r="D241" s="55">
        <v>14</v>
      </c>
      <c r="E241" s="56">
        <v>13</v>
      </c>
      <c r="F241" s="55">
        <v>0</v>
      </c>
      <c r="G241" s="55">
        <v>7</v>
      </c>
      <c r="H241" s="55">
        <v>5</v>
      </c>
      <c r="I241" s="55">
        <v>3</v>
      </c>
      <c r="J241" s="55">
        <v>3</v>
      </c>
      <c r="K241" s="55">
        <v>19</v>
      </c>
    </row>
    <row r="242" spans="1:11" x14ac:dyDescent="0.25">
      <c r="A242" s="54">
        <v>2009</v>
      </c>
      <c r="B242" s="55">
        <v>52</v>
      </c>
      <c r="C242" s="55">
        <v>21</v>
      </c>
      <c r="D242" s="55">
        <v>13</v>
      </c>
      <c r="F242" s="55"/>
      <c r="G242" s="55">
        <v>11</v>
      </c>
      <c r="H242" s="55"/>
      <c r="I242" s="55">
        <v>5</v>
      </c>
      <c r="J242" s="55">
        <v>5</v>
      </c>
      <c r="K242" s="55">
        <v>20</v>
      </c>
    </row>
    <row r="243" spans="1:11" x14ac:dyDescent="0.25">
      <c r="A243" s="54">
        <v>2008</v>
      </c>
      <c r="B243" s="55">
        <v>13</v>
      </c>
      <c r="C243" s="55">
        <v>11</v>
      </c>
      <c r="D243" s="55">
        <v>9</v>
      </c>
      <c r="F243" s="55">
        <v>0</v>
      </c>
      <c r="G243" s="55">
        <v>4</v>
      </c>
      <c r="H243" s="55">
        <v>0</v>
      </c>
      <c r="I243" s="55">
        <v>3</v>
      </c>
      <c r="J243" s="55">
        <v>3</v>
      </c>
      <c r="K243" s="55">
        <v>10</v>
      </c>
    </row>
    <row r="244" spans="1:11" x14ac:dyDescent="0.25">
      <c r="A244" s="54">
        <v>2007</v>
      </c>
      <c r="B244" s="55"/>
      <c r="C244" s="55"/>
      <c r="D244" s="55"/>
      <c r="F244" s="55"/>
      <c r="G244" s="55"/>
      <c r="H244" s="55"/>
      <c r="I244" s="55"/>
      <c r="J244" s="55"/>
      <c r="K244" s="55"/>
    </row>
    <row r="245" spans="1:11" x14ac:dyDescent="0.25">
      <c r="A245" s="54" t="s">
        <v>43</v>
      </c>
      <c r="B245" s="55">
        <v>500</v>
      </c>
      <c r="C245" s="55">
        <v>329</v>
      </c>
      <c r="D245" s="55">
        <v>258</v>
      </c>
      <c r="E245" s="56">
        <v>138.94121333333331</v>
      </c>
      <c r="F245" s="55">
        <v>0</v>
      </c>
      <c r="G245" s="55">
        <v>150</v>
      </c>
      <c r="H245" s="55">
        <v>28</v>
      </c>
      <c r="I245" s="55">
        <v>207</v>
      </c>
      <c r="J245" s="55">
        <v>200</v>
      </c>
      <c r="K245" s="55">
        <v>293</v>
      </c>
    </row>
    <row r="246" spans="1:11" x14ac:dyDescent="0.25">
      <c r="A246" s="54">
        <v>2013</v>
      </c>
      <c r="B246" s="55">
        <v>47</v>
      </c>
      <c r="C246" s="55">
        <v>24</v>
      </c>
      <c r="D246" s="55">
        <v>22</v>
      </c>
      <c r="E246" s="56">
        <v>21</v>
      </c>
      <c r="F246" s="55">
        <v>0</v>
      </c>
      <c r="G246" s="55">
        <v>13</v>
      </c>
      <c r="H246" s="55">
        <v>1</v>
      </c>
      <c r="I246" s="55">
        <v>22</v>
      </c>
      <c r="J246" s="55">
        <v>22</v>
      </c>
      <c r="K246" s="55">
        <v>21</v>
      </c>
    </row>
    <row r="247" spans="1:11" x14ac:dyDescent="0.25">
      <c r="A247" s="54">
        <v>2012</v>
      </c>
      <c r="B247" s="55">
        <v>63</v>
      </c>
      <c r="C247" s="55">
        <v>42</v>
      </c>
      <c r="D247" s="55">
        <v>38</v>
      </c>
      <c r="E247" s="56">
        <v>21.75</v>
      </c>
      <c r="F247" s="55">
        <v>0</v>
      </c>
      <c r="G247" s="55">
        <v>16</v>
      </c>
      <c r="H247" s="55">
        <v>3</v>
      </c>
      <c r="I247" s="55">
        <v>38</v>
      </c>
      <c r="J247" s="55">
        <v>36</v>
      </c>
      <c r="K247" s="55">
        <v>36</v>
      </c>
    </row>
    <row r="248" spans="1:11" x14ac:dyDescent="0.25">
      <c r="A248" s="54">
        <v>2011</v>
      </c>
      <c r="B248" s="55">
        <v>64</v>
      </c>
      <c r="C248" s="55">
        <v>33</v>
      </c>
      <c r="D248" s="55">
        <v>27</v>
      </c>
      <c r="E248" s="56">
        <v>22</v>
      </c>
      <c r="F248" s="55">
        <v>0</v>
      </c>
      <c r="G248" s="55">
        <v>12</v>
      </c>
      <c r="H248" s="55">
        <v>3</v>
      </c>
      <c r="I248" s="55">
        <v>33</v>
      </c>
      <c r="J248" s="55">
        <v>33</v>
      </c>
      <c r="K248" s="55">
        <v>30</v>
      </c>
    </row>
    <row r="249" spans="1:11" x14ac:dyDescent="0.25">
      <c r="A249" s="54">
        <v>2010</v>
      </c>
      <c r="B249" s="55">
        <v>56</v>
      </c>
      <c r="C249" s="55">
        <v>40</v>
      </c>
      <c r="D249" s="55">
        <v>32</v>
      </c>
      <c r="E249" s="56">
        <v>20</v>
      </c>
      <c r="F249" s="55">
        <v>0</v>
      </c>
      <c r="G249" s="55">
        <v>21</v>
      </c>
      <c r="H249" s="55">
        <v>7</v>
      </c>
      <c r="I249" s="55">
        <v>37</v>
      </c>
      <c r="J249" s="55">
        <v>35</v>
      </c>
      <c r="K249" s="55">
        <v>35</v>
      </c>
    </row>
    <row r="250" spans="1:11" x14ac:dyDescent="0.25">
      <c r="A250" s="54">
        <v>2009</v>
      </c>
      <c r="B250" s="55">
        <v>64</v>
      </c>
      <c r="C250" s="55">
        <v>52</v>
      </c>
      <c r="D250" s="55">
        <v>36</v>
      </c>
      <c r="E250" s="56">
        <v>18.5</v>
      </c>
      <c r="F250" s="55"/>
      <c r="G250" s="55">
        <v>26</v>
      </c>
      <c r="H250" s="55">
        <v>9</v>
      </c>
      <c r="I250" s="55">
        <v>47</v>
      </c>
      <c r="J250" s="55">
        <v>46</v>
      </c>
      <c r="K250" s="55">
        <v>46</v>
      </c>
    </row>
    <row r="251" spans="1:11" x14ac:dyDescent="0.25">
      <c r="A251" s="54">
        <v>2008</v>
      </c>
      <c r="B251" s="55">
        <v>50</v>
      </c>
      <c r="C251" s="55">
        <v>36</v>
      </c>
      <c r="D251" s="55">
        <v>31</v>
      </c>
      <c r="E251" s="56">
        <v>17.658333333333299</v>
      </c>
      <c r="F251" s="55">
        <v>0</v>
      </c>
      <c r="G251" s="55">
        <v>20</v>
      </c>
      <c r="H251" s="55">
        <v>5</v>
      </c>
      <c r="I251" s="55">
        <v>30</v>
      </c>
      <c r="J251" s="55">
        <v>28</v>
      </c>
      <c r="K251" s="55">
        <v>33</v>
      </c>
    </row>
    <row r="252" spans="1:11" x14ac:dyDescent="0.25">
      <c r="A252" s="54">
        <v>2007</v>
      </c>
      <c r="B252" s="55">
        <v>156</v>
      </c>
      <c r="C252" s="55">
        <v>102</v>
      </c>
      <c r="D252" s="55">
        <v>72</v>
      </c>
      <c r="E252" s="56">
        <v>18.032879999999999</v>
      </c>
      <c r="F252" s="55">
        <v>0</v>
      </c>
      <c r="G252" s="55">
        <v>42</v>
      </c>
      <c r="H252" s="55"/>
      <c r="I252" s="55"/>
      <c r="J252" s="55"/>
      <c r="K252" s="55">
        <v>92</v>
      </c>
    </row>
    <row r="253" spans="1:11" x14ac:dyDescent="0.25">
      <c r="A253" s="54" t="s">
        <v>44</v>
      </c>
      <c r="B253" s="55">
        <v>1249</v>
      </c>
      <c r="C253" s="55">
        <v>842</v>
      </c>
      <c r="D253" s="55">
        <v>770</v>
      </c>
      <c r="E253" s="56">
        <v>170.5652782352941</v>
      </c>
      <c r="F253" s="55">
        <v>6</v>
      </c>
      <c r="G253" s="55">
        <v>194</v>
      </c>
      <c r="H253" s="55">
        <v>115</v>
      </c>
      <c r="I253" s="55">
        <v>696</v>
      </c>
      <c r="J253" s="55">
        <v>693</v>
      </c>
      <c r="K253" s="55">
        <v>807</v>
      </c>
    </row>
    <row r="254" spans="1:11" x14ac:dyDescent="0.25">
      <c r="A254" s="54">
        <v>2013</v>
      </c>
      <c r="B254" s="55">
        <v>167</v>
      </c>
      <c r="C254" s="55">
        <v>109</v>
      </c>
      <c r="D254" s="55">
        <v>102</v>
      </c>
      <c r="E254" s="56">
        <v>25</v>
      </c>
      <c r="F254" s="55">
        <v>0</v>
      </c>
      <c r="G254" s="55">
        <v>45</v>
      </c>
      <c r="H254" s="55">
        <v>22</v>
      </c>
      <c r="I254" s="55">
        <v>109</v>
      </c>
      <c r="J254" s="55">
        <v>107</v>
      </c>
      <c r="K254" s="55">
        <v>107</v>
      </c>
    </row>
    <row r="255" spans="1:11" x14ac:dyDescent="0.25">
      <c r="A255" s="54">
        <v>2012</v>
      </c>
      <c r="B255" s="55">
        <v>176</v>
      </c>
      <c r="C255" s="55">
        <v>147</v>
      </c>
      <c r="D255" s="55">
        <v>138</v>
      </c>
      <c r="E255" s="56">
        <v>24</v>
      </c>
      <c r="F255" s="55">
        <v>0</v>
      </c>
      <c r="G255" s="55">
        <v>42</v>
      </c>
      <c r="H255" s="55">
        <v>15</v>
      </c>
      <c r="I255" s="55">
        <v>144</v>
      </c>
      <c r="J255" s="55">
        <v>144</v>
      </c>
      <c r="K255" s="55">
        <v>142</v>
      </c>
    </row>
    <row r="256" spans="1:11" x14ac:dyDescent="0.25">
      <c r="A256" s="54">
        <v>2011</v>
      </c>
      <c r="B256" s="55">
        <v>180</v>
      </c>
      <c r="C256" s="55">
        <v>111</v>
      </c>
      <c r="D256" s="55">
        <v>95</v>
      </c>
      <c r="E256" s="56">
        <v>24.5</v>
      </c>
      <c r="F256" s="55">
        <v>1</v>
      </c>
      <c r="G256" s="55">
        <v>24</v>
      </c>
      <c r="H256" s="55">
        <v>15</v>
      </c>
      <c r="I256" s="55">
        <v>111</v>
      </c>
      <c r="J256" s="55">
        <v>111</v>
      </c>
      <c r="K256" s="55">
        <v>103</v>
      </c>
    </row>
    <row r="257" spans="1:11" x14ac:dyDescent="0.25">
      <c r="A257" s="54">
        <v>2010</v>
      </c>
      <c r="B257" s="55">
        <v>174</v>
      </c>
      <c r="C257" s="55">
        <v>123</v>
      </c>
      <c r="D257" s="55">
        <v>112</v>
      </c>
      <c r="E257" s="56">
        <v>24.07</v>
      </c>
      <c r="F257" s="55">
        <v>5</v>
      </c>
      <c r="G257" s="55">
        <v>29</v>
      </c>
      <c r="H257" s="55">
        <v>27</v>
      </c>
      <c r="I257" s="55">
        <v>120</v>
      </c>
      <c r="J257" s="55">
        <v>120</v>
      </c>
      <c r="K257" s="55">
        <v>118</v>
      </c>
    </row>
    <row r="258" spans="1:11" x14ac:dyDescent="0.25">
      <c r="A258" s="54">
        <v>2009</v>
      </c>
      <c r="B258" s="55">
        <v>174</v>
      </c>
      <c r="C258" s="55">
        <v>106</v>
      </c>
      <c r="D258" s="55">
        <v>97</v>
      </c>
      <c r="E258" s="56">
        <v>24.555</v>
      </c>
      <c r="F258" s="55"/>
      <c r="G258" s="55">
        <v>20</v>
      </c>
      <c r="H258" s="55">
        <v>17</v>
      </c>
      <c r="I258" s="55">
        <v>106</v>
      </c>
      <c r="J258" s="55">
        <v>105</v>
      </c>
      <c r="K258" s="55">
        <v>103</v>
      </c>
    </row>
    <row r="259" spans="1:11" x14ac:dyDescent="0.25">
      <c r="A259" s="54">
        <v>2008</v>
      </c>
      <c r="B259" s="55">
        <v>181</v>
      </c>
      <c r="C259" s="55">
        <v>113</v>
      </c>
      <c r="D259" s="55">
        <v>102</v>
      </c>
      <c r="E259" s="56">
        <v>23.720588235294102</v>
      </c>
      <c r="F259" s="55">
        <v>0</v>
      </c>
      <c r="G259" s="55">
        <v>20</v>
      </c>
      <c r="H259" s="55">
        <v>19</v>
      </c>
      <c r="I259" s="55">
        <v>106</v>
      </c>
      <c r="J259" s="55">
        <v>106</v>
      </c>
      <c r="K259" s="55">
        <v>101</v>
      </c>
    </row>
    <row r="260" spans="1:11" x14ac:dyDescent="0.25">
      <c r="A260" s="54">
        <v>2007</v>
      </c>
      <c r="B260" s="55">
        <v>197</v>
      </c>
      <c r="C260" s="55">
        <v>133</v>
      </c>
      <c r="D260" s="55">
        <v>124</v>
      </c>
      <c r="E260" s="56">
        <v>24.71969</v>
      </c>
      <c r="F260" s="55">
        <v>0</v>
      </c>
      <c r="G260" s="55">
        <v>14</v>
      </c>
      <c r="H260" s="55"/>
      <c r="I260" s="55"/>
      <c r="J260" s="55"/>
      <c r="K260" s="55">
        <v>133</v>
      </c>
    </row>
    <row r="261" spans="1:11" x14ac:dyDescent="0.25">
      <c r="A261" s="54" t="s">
        <v>99</v>
      </c>
      <c r="B261" s="55">
        <v>102</v>
      </c>
      <c r="C261" s="55">
        <v>64</v>
      </c>
      <c r="D261" s="55">
        <v>48</v>
      </c>
      <c r="E261" s="56">
        <v>16.57583</v>
      </c>
      <c r="F261" s="55">
        <v>0</v>
      </c>
      <c r="G261" s="55">
        <v>28</v>
      </c>
      <c r="H261" s="55">
        <v>27</v>
      </c>
      <c r="I261" s="55">
        <v>4</v>
      </c>
      <c r="J261" s="55">
        <v>4</v>
      </c>
      <c r="K261" s="55">
        <v>55</v>
      </c>
    </row>
    <row r="262" spans="1:11" x14ac:dyDescent="0.25">
      <c r="A262" s="54">
        <v>2013</v>
      </c>
      <c r="B262" s="55">
        <v>7</v>
      </c>
      <c r="C262" s="55">
        <v>5</v>
      </c>
      <c r="D262" s="55">
        <v>3</v>
      </c>
      <c r="F262" s="55">
        <v>0</v>
      </c>
      <c r="G262" s="55">
        <v>2</v>
      </c>
      <c r="H262" s="55">
        <v>4</v>
      </c>
      <c r="I262" s="55">
        <v>0</v>
      </c>
      <c r="J262" s="55">
        <v>0</v>
      </c>
      <c r="K262" s="55">
        <v>4</v>
      </c>
    </row>
    <row r="263" spans="1:11" x14ac:dyDescent="0.25">
      <c r="A263" s="54">
        <v>2012</v>
      </c>
      <c r="B263" s="55">
        <v>13</v>
      </c>
      <c r="C263" s="55">
        <v>12</v>
      </c>
      <c r="D263" s="55">
        <v>11</v>
      </c>
      <c r="F263" s="55">
        <v>0</v>
      </c>
      <c r="G263" s="55">
        <v>6</v>
      </c>
      <c r="H263" s="55">
        <v>8</v>
      </c>
      <c r="I263" s="55">
        <v>1</v>
      </c>
      <c r="J263" s="55">
        <v>1</v>
      </c>
      <c r="K263" s="55">
        <v>10</v>
      </c>
    </row>
    <row r="264" spans="1:11" x14ac:dyDescent="0.25">
      <c r="A264" s="54">
        <v>2011</v>
      </c>
      <c r="B264" s="55">
        <v>13</v>
      </c>
      <c r="C264" s="55">
        <v>9</v>
      </c>
      <c r="D264" s="55">
        <v>6</v>
      </c>
      <c r="F264" s="55">
        <v>0</v>
      </c>
      <c r="G264" s="55">
        <v>3</v>
      </c>
      <c r="H264" s="55">
        <v>6</v>
      </c>
      <c r="I264" s="55">
        <v>0</v>
      </c>
      <c r="J264" s="55">
        <v>0</v>
      </c>
      <c r="K264" s="55">
        <v>9</v>
      </c>
    </row>
    <row r="265" spans="1:11" x14ac:dyDescent="0.25">
      <c r="A265" s="54">
        <v>2010</v>
      </c>
      <c r="B265" s="55">
        <v>11</v>
      </c>
      <c r="C265" s="55">
        <v>7</v>
      </c>
      <c r="D265" s="55">
        <v>7</v>
      </c>
      <c r="F265" s="55">
        <v>0</v>
      </c>
      <c r="G265" s="55">
        <v>2</v>
      </c>
      <c r="H265" s="55">
        <v>1</v>
      </c>
      <c r="I265" s="55">
        <v>1</v>
      </c>
      <c r="J265" s="55">
        <v>1</v>
      </c>
      <c r="K265" s="55">
        <v>7</v>
      </c>
    </row>
    <row r="266" spans="1:11" x14ac:dyDescent="0.25">
      <c r="A266" s="54">
        <v>2009</v>
      </c>
      <c r="B266" s="55">
        <v>14</v>
      </c>
      <c r="C266" s="55">
        <v>10</v>
      </c>
      <c r="D266" s="55">
        <v>7</v>
      </c>
      <c r="F266" s="55"/>
      <c r="G266" s="55">
        <v>5</v>
      </c>
      <c r="H266" s="55">
        <v>8</v>
      </c>
      <c r="I266" s="55">
        <v>2</v>
      </c>
      <c r="J266" s="55">
        <v>2</v>
      </c>
      <c r="K266" s="55">
        <v>8</v>
      </c>
    </row>
    <row r="267" spans="1:11" x14ac:dyDescent="0.25">
      <c r="A267" s="54">
        <v>2008</v>
      </c>
      <c r="B267" s="55">
        <v>5</v>
      </c>
      <c r="C267" s="55">
        <v>3</v>
      </c>
      <c r="D267" s="55"/>
      <c r="F267" s="55"/>
      <c r="G267" s="55"/>
      <c r="H267" s="55"/>
      <c r="I267" s="55"/>
      <c r="J267" s="55"/>
      <c r="K267" s="55"/>
    </row>
    <row r="268" spans="1:11" x14ac:dyDescent="0.25">
      <c r="A268" s="54">
        <v>2007</v>
      </c>
      <c r="B268" s="55">
        <v>39</v>
      </c>
      <c r="C268" s="55">
        <v>18</v>
      </c>
      <c r="D268" s="55">
        <v>14</v>
      </c>
      <c r="E268" s="56">
        <v>16.57583</v>
      </c>
      <c r="F268" s="55">
        <v>0</v>
      </c>
      <c r="G268" s="55">
        <v>10</v>
      </c>
      <c r="H268" s="55"/>
      <c r="I268" s="55"/>
      <c r="J268" s="55"/>
      <c r="K268" s="55">
        <v>17</v>
      </c>
    </row>
    <row r="269" spans="1:11" x14ac:dyDescent="0.25">
      <c r="A269" s="54" t="s">
        <v>45</v>
      </c>
      <c r="B269" s="55">
        <v>275</v>
      </c>
      <c r="C269" s="55">
        <v>186</v>
      </c>
      <c r="D269" s="55">
        <v>141</v>
      </c>
      <c r="E269" s="56">
        <v>80.447790000000012</v>
      </c>
      <c r="F269" s="55">
        <v>4</v>
      </c>
      <c r="G269" s="55">
        <v>58</v>
      </c>
      <c r="H269" s="55">
        <v>37</v>
      </c>
      <c r="I269" s="55">
        <v>130</v>
      </c>
      <c r="J269" s="55">
        <v>120</v>
      </c>
      <c r="K269" s="55">
        <v>179</v>
      </c>
    </row>
    <row r="270" spans="1:11" x14ac:dyDescent="0.25">
      <c r="A270" s="54">
        <v>2013</v>
      </c>
      <c r="B270" s="55">
        <v>57</v>
      </c>
      <c r="C270" s="55">
        <v>22</v>
      </c>
      <c r="D270" s="55">
        <v>16</v>
      </c>
      <c r="E270" s="56">
        <v>13</v>
      </c>
      <c r="F270" s="55">
        <v>0</v>
      </c>
      <c r="G270" s="55">
        <v>8</v>
      </c>
      <c r="H270" s="55">
        <v>4</v>
      </c>
      <c r="I270" s="55">
        <v>17</v>
      </c>
      <c r="J270" s="55">
        <v>16</v>
      </c>
      <c r="K270" s="55">
        <v>22</v>
      </c>
    </row>
    <row r="271" spans="1:11" x14ac:dyDescent="0.25">
      <c r="A271" s="54">
        <v>2012</v>
      </c>
      <c r="B271" s="55">
        <v>62</v>
      </c>
      <c r="C271" s="55">
        <v>49</v>
      </c>
      <c r="D271" s="55">
        <v>30</v>
      </c>
      <c r="E271" s="56">
        <v>10</v>
      </c>
      <c r="F271" s="55">
        <v>3</v>
      </c>
      <c r="G271" s="55">
        <v>29</v>
      </c>
      <c r="H271" s="55">
        <v>19</v>
      </c>
      <c r="I271" s="55">
        <v>30</v>
      </c>
      <c r="J271" s="55">
        <v>28</v>
      </c>
      <c r="K271" s="55">
        <v>48</v>
      </c>
    </row>
    <row r="272" spans="1:11" x14ac:dyDescent="0.25">
      <c r="A272" s="54">
        <v>2011</v>
      </c>
      <c r="B272" s="55">
        <v>43</v>
      </c>
      <c r="C272" s="55">
        <v>26</v>
      </c>
      <c r="D272" s="55">
        <v>20</v>
      </c>
      <c r="E272" s="56">
        <v>11</v>
      </c>
      <c r="F272" s="55">
        <v>0</v>
      </c>
      <c r="G272" s="55">
        <v>10</v>
      </c>
      <c r="H272" s="55">
        <v>3</v>
      </c>
      <c r="I272" s="55">
        <v>19</v>
      </c>
      <c r="J272" s="55">
        <v>18</v>
      </c>
      <c r="K272" s="55">
        <v>22</v>
      </c>
    </row>
    <row r="273" spans="1:11" x14ac:dyDescent="0.25">
      <c r="A273" s="54">
        <v>2010</v>
      </c>
      <c r="B273" s="55">
        <v>29</v>
      </c>
      <c r="C273" s="55">
        <v>20</v>
      </c>
      <c r="D273" s="55">
        <v>18</v>
      </c>
      <c r="E273" s="56">
        <v>12</v>
      </c>
      <c r="F273" s="55">
        <v>0</v>
      </c>
      <c r="G273" s="55">
        <v>3</v>
      </c>
      <c r="H273" s="55">
        <v>6</v>
      </c>
      <c r="I273" s="55">
        <v>18</v>
      </c>
      <c r="J273" s="55">
        <v>18</v>
      </c>
      <c r="K273" s="55">
        <v>20</v>
      </c>
    </row>
    <row r="274" spans="1:11" x14ac:dyDescent="0.25">
      <c r="A274" s="54">
        <v>2009</v>
      </c>
      <c r="B274" s="55">
        <v>34</v>
      </c>
      <c r="C274" s="55">
        <v>25</v>
      </c>
      <c r="D274" s="55">
        <v>20</v>
      </c>
      <c r="E274" s="56">
        <v>11</v>
      </c>
      <c r="F274" s="55"/>
      <c r="G274" s="55"/>
      <c r="H274" s="55"/>
      <c r="I274" s="55">
        <v>24</v>
      </c>
      <c r="J274" s="55">
        <v>20</v>
      </c>
      <c r="K274" s="55">
        <v>24</v>
      </c>
    </row>
    <row r="275" spans="1:11" x14ac:dyDescent="0.25">
      <c r="A275" s="54">
        <v>2008</v>
      </c>
      <c r="B275" s="55">
        <v>26</v>
      </c>
      <c r="C275" s="55">
        <v>23</v>
      </c>
      <c r="D275" s="55">
        <v>19</v>
      </c>
      <c r="E275" s="56">
        <v>11.4625</v>
      </c>
      <c r="F275" s="55">
        <v>1</v>
      </c>
      <c r="G275" s="55">
        <v>3</v>
      </c>
      <c r="H275" s="55">
        <v>5</v>
      </c>
      <c r="I275" s="55">
        <v>22</v>
      </c>
      <c r="J275" s="55">
        <v>20</v>
      </c>
      <c r="K275" s="55">
        <v>22</v>
      </c>
    </row>
    <row r="276" spans="1:11" x14ac:dyDescent="0.25">
      <c r="A276" s="54">
        <v>2007</v>
      </c>
      <c r="B276" s="55">
        <v>24</v>
      </c>
      <c r="C276" s="55">
        <v>21</v>
      </c>
      <c r="D276" s="55">
        <v>18</v>
      </c>
      <c r="E276" s="56">
        <v>11.985290000000001</v>
      </c>
      <c r="F276" s="55">
        <v>0</v>
      </c>
      <c r="G276" s="55">
        <v>5</v>
      </c>
      <c r="H276" s="55"/>
      <c r="I276" s="55"/>
      <c r="J276" s="55"/>
      <c r="K276" s="55">
        <v>21</v>
      </c>
    </row>
    <row r="277" spans="1:11" x14ac:dyDescent="0.25">
      <c r="A277" s="54" t="s">
        <v>46</v>
      </c>
      <c r="B277" s="55">
        <v>278</v>
      </c>
      <c r="C277" s="55">
        <v>185</v>
      </c>
      <c r="D277" s="55">
        <v>148</v>
      </c>
      <c r="E277" s="56">
        <v>89.5</v>
      </c>
      <c r="F277" s="55">
        <v>10</v>
      </c>
      <c r="G277" s="55">
        <v>121</v>
      </c>
      <c r="H277" s="55">
        <v>20</v>
      </c>
      <c r="I277" s="55">
        <v>80</v>
      </c>
      <c r="J277" s="55">
        <v>77</v>
      </c>
      <c r="K277" s="55">
        <v>167</v>
      </c>
    </row>
    <row r="278" spans="1:11" x14ac:dyDescent="0.25">
      <c r="A278" s="54">
        <v>2013</v>
      </c>
      <c r="B278" s="55">
        <v>65</v>
      </c>
      <c r="C278" s="55">
        <v>47</v>
      </c>
      <c r="D278" s="55">
        <v>37</v>
      </c>
      <c r="E278" s="56">
        <v>16</v>
      </c>
      <c r="F278" s="55">
        <v>3</v>
      </c>
      <c r="G278" s="55">
        <v>32</v>
      </c>
      <c r="H278" s="55">
        <v>3</v>
      </c>
      <c r="I278" s="55">
        <v>23</v>
      </c>
      <c r="J278" s="55">
        <v>21</v>
      </c>
      <c r="K278" s="55">
        <v>42</v>
      </c>
    </row>
    <row r="279" spans="1:11" x14ac:dyDescent="0.25">
      <c r="A279" s="54">
        <v>2012</v>
      </c>
      <c r="B279" s="55">
        <v>53</v>
      </c>
      <c r="C279" s="55">
        <v>48</v>
      </c>
      <c r="D279" s="55">
        <v>46</v>
      </c>
      <c r="E279" s="56">
        <v>20</v>
      </c>
      <c r="F279" s="55">
        <v>1</v>
      </c>
      <c r="G279" s="55">
        <v>38</v>
      </c>
      <c r="H279" s="55">
        <v>4</v>
      </c>
      <c r="I279" s="55">
        <v>28</v>
      </c>
      <c r="J279" s="55">
        <v>28</v>
      </c>
      <c r="K279" s="55">
        <v>46</v>
      </c>
    </row>
    <row r="280" spans="1:11" x14ac:dyDescent="0.25">
      <c r="A280" s="54">
        <v>2011</v>
      </c>
      <c r="B280" s="55">
        <v>31</v>
      </c>
      <c r="C280" s="55">
        <v>13</v>
      </c>
      <c r="D280" s="55">
        <v>10</v>
      </c>
      <c r="E280" s="56">
        <v>20</v>
      </c>
      <c r="F280" s="55">
        <v>0</v>
      </c>
      <c r="G280" s="55">
        <v>4</v>
      </c>
      <c r="H280" s="55">
        <v>2</v>
      </c>
      <c r="I280" s="55">
        <v>5</v>
      </c>
      <c r="J280" s="55">
        <v>5</v>
      </c>
      <c r="K280" s="55">
        <v>11</v>
      </c>
    </row>
    <row r="281" spans="1:11" x14ac:dyDescent="0.25">
      <c r="A281" s="54">
        <v>2010</v>
      </c>
      <c r="B281" s="55">
        <v>40</v>
      </c>
      <c r="C281" s="55">
        <v>22</v>
      </c>
      <c r="D281" s="55">
        <v>16</v>
      </c>
      <c r="E281" s="56">
        <v>17</v>
      </c>
      <c r="F281" s="55">
        <v>2</v>
      </c>
      <c r="G281" s="55">
        <v>13</v>
      </c>
      <c r="H281" s="55">
        <v>5</v>
      </c>
      <c r="I281" s="55">
        <v>9</v>
      </c>
      <c r="J281" s="55">
        <v>9</v>
      </c>
      <c r="K281" s="55">
        <v>21</v>
      </c>
    </row>
    <row r="282" spans="1:11" x14ac:dyDescent="0.25">
      <c r="A282" s="54">
        <v>2009</v>
      </c>
      <c r="B282" s="55">
        <v>41</v>
      </c>
      <c r="C282" s="55">
        <v>24</v>
      </c>
      <c r="D282" s="55">
        <v>16</v>
      </c>
      <c r="E282" s="56">
        <v>16.5</v>
      </c>
      <c r="F282" s="55">
        <v>1</v>
      </c>
      <c r="G282" s="55">
        <v>14</v>
      </c>
      <c r="H282" s="55">
        <v>2</v>
      </c>
      <c r="I282" s="55">
        <v>7</v>
      </c>
      <c r="J282" s="55">
        <v>7</v>
      </c>
      <c r="K282" s="55">
        <v>21</v>
      </c>
    </row>
    <row r="283" spans="1:11" x14ac:dyDescent="0.25">
      <c r="A283" s="54">
        <v>2008</v>
      </c>
      <c r="B283" s="55">
        <v>37</v>
      </c>
      <c r="C283" s="55">
        <v>27</v>
      </c>
      <c r="D283" s="55">
        <v>23</v>
      </c>
      <c r="F283" s="55">
        <v>3</v>
      </c>
      <c r="G283" s="55">
        <v>20</v>
      </c>
      <c r="H283" s="55">
        <v>4</v>
      </c>
      <c r="I283" s="55">
        <v>8</v>
      </c>
      <c r="J283" s="55">
        <v>7</v>
      </c>
      <c r="K283" s="55">
        <v>26</v>
      </c>
    </row>
    <row r="284" spans="1:11" x14ac:dyDescent="0.25">
      <c r="A284" s="54">
        <v>2007</v>
      </c>
      <c r="B284" s="55">
        <v>11</v>
      </c>
      <c r="C284" s="55">
        <v>4</v>
      </c>
      <c r="D284" s="55"/>
      <c r="F284" s="55"/>
      <c r="G284" s="55"/>
      <c r="H284" s="55"/>
      <c r="I284" s="55"/>
      <c r="J284" s="55"/>
      <c r="K284" s="55"/>
    </row>
    <row r="285" spans="1:11" x14ac:dyDescent="0.25">
      <c r="A285" s="54" t="s">
        <v>50</v>
      </c>
      <c r="B285" s="55"/>
      <c r="C285" s="55"/>
      <c r="D285" s="55"/>
      <c r="F285" s="55"/>
      <c r="G285" s="55"/>
      <c r="H285" s="55"/>
      <c r="I285" s="55"/>
      <c r="J285" s="55"/>
      <c r="K285" s="55"/>
    </row>
    <row r="286" spans="1:11" x14ac:dyDescent="0.25">
      <c r="A286" s="54" t="s">
        <v>50</v>
      </c>
      <c r="B286" s="55"/>
      <c r="C286" s="55"/>
      <c r="D286" s="55"/>
      <c r="F286" s="55"/>
      <c r="G286" s="55"/>
      <c r="H286" s="55"/>
      <c r="I286" s="55"/>
      <c r="J286" s="55"/>
      <c r="K286" s="55"/>
    </row>
  </sheetData>
  <pageMargins left="0.7" right="0.7" top="0.75" bottom="0.75" header="0.3" footer="0.3"/>
  <pageSetup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"/>
  <sheetViews>
    <sheetView topLeftCell="A10" workbookViewId="0">
      <selection activeCell="B38" sqref="B38"/>
    </sheetView>
  </sheetViews>
  <sheetFormatPr defaultRowHeight="15" x14ac:dyDescent="0.25"/>
  <cols>
    <col min="2" max="2" width="64.140625" customWidth="1"/>
    <col min="3" max="3" width="5.28515625" customWidth="1"/>
    <col min="4" max="4" width="46.28515625" customWidth="1"/>
  </cols>
  <sheetData>
    <row r="1" spans="2:4" ht="33.75" customHeight="1" x14ac:dyDescent="0.25">
      <c r="D1" s="41" t="str">
        <f>Options!D6</f>
        <v xml:space="preserve"> TOTAL</v>
      </c>
    </row>
    <row r="2" spans="2:4" x14ac:dyDescent="0.25">
      <c r="D2" s="39" t="s">
        <v>96</v>
      </c>
    </row>
    <row r="5" spans="2:4" x14ac:dyDescent="0.25">
      <c r="B5" s="36" t="s">
        <v>86</v>
      </c>
    </row>
    <row r="6" spans="2:4" x14ac:dyDescent="0.25">
      <c r="B6" s="38" t="str">
        <f>"Program Completers &amp; Respondents"</f>
        <v>Program Completers &amp; Respondents</v>
      </c>
    </row>
    <row r="9" spans="2:4" x14ac:dyDescent="0.25">
      <c r="B9" s="36" t="s">
        <v>87</v>
      </c>
    </row>
    <row r="10" spans="2:4" x14ac:dyDescent="0.25">
      <c r="B10" s="38" t="str">
        <f>"Response Rates"</f>
        <v>Response Rates</v>
      </c>
    </row>
    <row r="13" spans="2:4" x14ac:dyDescent="0.25">
      <c r="B13" s="36" t="s">
        <v>88</v>
      </c>
    </row>
    <row r="14" spans="2:4" x14ac:dyDescent="0.25">
      <c r="B14" s="37" t="str">
        <f>"Total Employed %"</f>
        <v>Total Employed %</v>
      </c>
    </row>
    <row r="17" spans="2:2" x14ac:dyDescent="0.25">
      <c r="B17" s="36" t="s">
        <v>94</v>
      </c>
    </row>
    <row r="18" spans="2:2" x14ac:dyDescent="0.25">
      <c r="B18" s="37" t="str">
        <f>"Average Hourly Wage"</f>
        <v>Average Hourly Wage</v>
      </c>
    </row>
    <row r="21" spans="2:2" x14ac:dyDescent="0.25">
      <c r="B21" s="36" t="s">
        <v>89</v>
      </c>
    </row>
    <row r="22" spans="2:2" x14ac:dyDescent="0.25">
      <c r="B22" s="37" t="str">
        <f>"Total in Military"</f>
        <v>Total in Military</v>
      </c>
    </row>
    <row r="25" spans="2:2" x14ac:dyDescent="0.25">
      <c r="B25" s="36" t="s">
        <v>90</v>
      </c>
    </row>
    <row r="26" spans="2:2" x14ac:dyDescent="0.25">
      <c r="B26" s="37" t="str">
        <f>"Students Continuing their Education %"</f>
        <v>Students Continuing their Education %</v>
      </c>
    </row>
    <row r="29" spans="2:2" x14ac:dyDescent="0.25">
      <c r="B29" s="36" t="s">
        <v>91</v>
      </c>
    </row>
    <row r="30" spans="2:2" x14ac:dyDescent="0.25">
      <c r="B30" s="37" t="str">
        <f>"Total Apprenticeships %"</f>
        <v>Total Apprenticeships %</v>
      </c>
    </row>
    <row r="33" spans="2:4" x14ac:dyDescent="0.25">
      <c r="B33" s="36" t="s">
        <v>92</v>
      </c>
    </row>
    <row r="34" spans="2:4" x14ac:dyDescent="0.25">
      <c r="B34" s="37" t="str">
        <f>"State Licensing Exam"</f>
        <v>State Licensing Exam</v>
      </c>
      <c r="D34" s="50"/>
    </row>
    <row r="36" spans="2:4" x14ac:dyDescent="0.25">
      <c r="B36" s="36" t="s">
        <v>93</v>
      </c>
    </row>
    <row r="37" spans="2:4" x14ac:dyDescent="0.25">
      <c r="B37" s="37" t="str">
        <f>"Program Met Students Instructional Goals %"</f>
        <v>Program Met Students Instructional Goals %</v>
      </c>
    </row>
    <row r="39" spans="2:4" x14ac:dyDescent="0.25">
      <c r="B39" s="36" t="s">
        <v>95</v>
      </c>
    </row>
    <row r="40" spans="2:4" x14ac:dyDescent="0.25">
      <c r="B40" s="40" t="str">
        <f xml:space="preserve"> "Program Completers &amp; Response Rate %"</f>
        <v>Program Completers &amp; Response Rate %</v>
      </c>
    </row>
    <row r="42" spans="2:4" x14ac:dyDescent="0.25">
      <c r="B42" s="8"/>
    </row>
    <row r="43" spans="2:4" x14ac:dyDescent="0.25">
      <c r="B43" s="8"/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C73"/>
  <sheetViews>
    <sheetView topLeftCell="I1" workbookViewId="0">
      <selection activeCell="Q11" sqref="Q11"/>
    </sheetView>
  </sheetViews>
  <sheetFormatPr defaultRowHeight="15" x14ac:dyDescent="0.25"/>
  <cols>
    <col min="3" max="3" width="73" customWidth="1"/>
    <col min="4" max="4" width="34.42578125" customWidth="1"/>
    <col min="5" max="5" width="12.7109375" customWidth="1"/>
    <col min="6" max="6" width="25.140625" customWidth="1"/>
    <col min="7" max="7" width="19" customWidth="1"/>
    <col min="9" max="9" width="26.7109375" customWidth="1"/>
    <col min="10" max="11" width="9.140625" hidden="1" customWidth="1"/>
    <col min="12" max="12" width="19.28515625" customWidth="1"/>
    <col min="13" max="13" width="19.42578125" customWidth="1"/>
    <col min="14" max="14" width="17.5703125" customWidth="1"/>
    <col min="15" max="15" width="19" customWidth="1"/>
    <col min="16" max="16" width="20.140625" customWidth="1"/>
    <col min="17" max="17" width="17" customWidth="1"/>
    <col min="18" max="18" width="19.85546875" customWidth="1"/>
    <col min="19" max="19" width="20.28515625" customWidth="1"/>
    <col min="20" max="20" width="23.5703125" customWidth="1"/>
    <col min="21" max="21" width="19.7109375" customWidth="1"/>
    <col min="22" max="22" width="23" customWidth="1"/>
    <col min="23" max="23" width="25.28515625" customWidth="1"/>
    <col min="24" max="25" width="27.28515625" customWidth="1"/>
    <col min="26" max="27" width="24" customWidth="1"/>
    <col min="28" max="29" width="26.42578125" customWidth="1"/>
  </cols>
  <sheetData>
    <row r="3" spans="3:29" x14ac:dyDescent="0.25">
      <c r="L3" s="145" t="s">
        <v>68</v>
      </c>
      <c r="M3" s="145"/>
      <c r="N3" s="145"/>
      <c r="O3" s="145"/>
      <c r="P3" s="145"/>
      <c r="Q3" s="145"/>
      <c r="R3" s="145"/>
    </row>
    <row r="4" spans="3:29" x14ac:dyDescent="0.25">
      <c r="C4" s="11" t="s">
        <v>62</v>
      </c>
      <c r="D4" s="23" t="s">
        <v>64</v>
      </c>
      <c r="E4" s="8"/>
      <c r="F4" s="20" t="s">
        <v>65</v>
      </c>
      <c r="G4" s="21" t="s">
        <v>66</v>
      </c>
      <c r="H4" s="12"/>
      <c r="J4" s="18"/>
      <c r="K4" s="19"/>
      <c r="L4" s="30" t="s">
        <v>67</v>
      </c>
      <c r="M4" s="29" t="s">
        <v>69</v>
      </c>
      <c r="N4" s="29" t="s">
        <v>70</v>
      </c>
      <c r="O4" s="31" t="s">
        <v>71</v>
      </c>
      <c r="P4" s="31" t="s">
        <v>73</v>
      </c>
      <c r="Q4" s="31" t="s">
        <v>72</v>
      </c>
      <c r="R4" s="31" t="s">
        <v>74</v>
      </c>
      <c r="S4" s="31" t="s">
        <v>75</v>
      </c>
      <c r="T4" s="31" t="s">
        <v>76</v>
      </c>
      <c r="U4" s="31" t="s">
        <v>77</v>
      </c>
      <c r="V4" s="32" t="s">
        <v>78</v>
      </c>
      <c r="W4" s="32" t="s">
        <v>82</v>
      </c>
      <c r="X4" s="31" t="s">
        <v>79</v>
      </c>
      <c r="Y4" s="31" t="s">
        <v>83</v>
      </c>
      <c r="Z4" s="31" t="s">
        <v>80</v>
      </c>
      <c r="AA4" s="31" t="s">
        <v>84</v>
      </c>
      <c r="AB4" s="31" t="s">
        <v>81</v>
      </c>
      <c r="AC4" s="31" t="s">
        <v>85</v>
      </c>
    </row>
    <row r="5" spans="3:29" x14ac:dyDescent="0.25">
      <c r="C5" s="10" t="s">
        <v>47</v>
      </c>
      <c r="D5" s="25">
        <v>1</v>
      </c>
      <c r="E5" s="8"/>
      <c r="F5" s="15">
        <v>2007</v>
      </c>
      <c r="G5" s="25">
        <v>1</v>
      </c>
      <c r="I5" s="27">
        <f>$F5</f>
        <v>2007</v>
      </c>
      <c r="J5" s="16"/>
      <c r="K5" s="17"/>
      <c r="L5" s="26">
        <f>GETPIVOTDATA("Sum of Program Completers",'Pivot Data'!$A$3,"YEAR",$I5,"PROGRAM",$D$6)</f>
        <v>1665</v>
      </c>
      <c r="M5" s="9">
        <f>GETPIVOTDATA("Sum of Respondents",'Pivot Data'!$A$3,"YEAR",$I5,"PROGRAM",$D$6)</f>
        <v>870</v>
      </c>
      <c r="N5" s="28">
        <f>IF($L5&gt;4,$M5/$L5,"")</f>
        <v>0.52252252252252251</v>
      </c>
      <c r="O5" s="26">
        <f>GETPIVOTDATA("Sum of Total Employed",'Pivot Data'!$A$3,"YEAR",$I5,"PROGRAM",$D$6)</f>
        <v>710</v>
      </c>
      <c r="P5" s="33">
        <f>IF($M5&gt;4,$O5/$M5, " ")</f>
        <v>0.81609195402298851</v>
      </c>
      <c r="Q5" s="34">
        <f>GETPIVOTDATA("Sum of Median Hourly Wage ",'Pivot Data'!$A$3,"YEAR",$I5,"PROGRAM",$D$6)</f>
        <v>16.34</v>
      </c>
      <c r="R5" s="26">
        <f>GETPIVOTDATA("Sum of Total in Military",'Pivot Data'!$A$3,"YEAR",$I5,"PROGRAM",$D$6)</f>
        <v>10</v>
      </c>
      <c r="S5" s="33">
        <f>IF($M5&gt;4, $R5/$M5, " ")</f>
        <v>1.1494252873563218E-2</v>
      </c>
      <c r="T5" s="26">
        <f>GETPIVOTDATA("Sum of Continuing Education (Secondary or Post-Secondary)",'Pivot Data'!$A$3,"YEAR",$I5,"PROGRAM",$D$6)</f>
        <v>388</v>
      </c>
      <c r="U5" s="33">
        <f>IF($M5&gt;4, $T5/$M5, " ")</f>
        <v>0.4459770114942529</v>
      </c>
      <c r="V5" s="26">
        <f>GETPIVOTDATA("Sum of Total in Apprenticeships",'Pivot Data'!$A$3,"YEAR",$I5,"PROGRAM",$D$6)</f>
        <v>0</v>
      </c>
      <c r="W5" s="33">
        <f>IF($M5&gt;4,$V5/$M5,"")</f>
        <v>0</v>
      </c>
      <c r="X5" s="26">
        <f>GETPIVOTDATA("Sum of Took State Licensing Exam",'Pivot Data'!$A$3,"YEAR",$I5,"PROGRAM",$D$6)</f>
        <v>0</v>
      </c>
      <c r="Y5" s="35">
        <f>IF($M5&gt;4,$X5/$M5, "")</f>
        <v>0</v>
      </c>
      <c r="Z5" s="26">
        <f>GETPIVOTDATA("Sum of Passed State Licensing Exam",'Pivot Data'!$A$3,"YEAR",$I5,"PROGRAM",$D$6)</f>
        <v>0</v>
      </c>
      <c r="AA5" s="35" t="str">
        <f>IF($X5&gt;4, $Z5/$X5, "")</f>
        <v/>
      </c>
      <c r="AB5" s="26">
        <f>GETPIVOTDATA("Sum of Instructional Program Met Educational Goals",'Pivot Data'!$A$3,"YEAR",$I5,"PROGRAM",$D$6)</f>
        <v>836</v>
      </c>
      <c r="AC5" s="35">
        <f>IF($M5&gt;4,$AB5/$M5,"")</f>
        <v>0.96091954022988502</v>
      </c>
    </row>
    <row r="6" spans="3:29" x14ac:dyDescent="0.25">
      <c r="C6" s="10" t="s">
        <v>19</v>
      </c>
      <c r="D6" s="24" t="str">
        <f>INDEX(C5:C41,D5)</f>
        <v xml:space="preserve"> TOTAL</v>
      </c>
      <c r="E6" s="8"/>
      <c r="F6" s="15">
        <v>2008</v>
      </c>
      <c r="G6" s="24">
        <f>INDEX(F5:F11,G5)</f>
        <v>2007</v>
      </c>
      <c r="I6" s="27">
        <f>$F6</f>
        <v>2008</v>
      </c>
      <c r="J6" s="13"/>
      <c r="K6" s="14"/>
      <c r="L6" s="26">
        <f>GETPIVOTDATA("Sum of Program Completers",'Pivot Data'!$A$3,"YEAR",$I6,"PROGRAM",$D$6)</f>
        <v>1736</v>
      </c>
      <c r="M6" s="9">
        <f>GETPIVOTDATA("Sum of Respondents",'Pivot Data'!$A$3,"YEAR",$I6,"PROGRAM",$D$6)</f>
        <v>1196</v>
      </c>
      <c r="N6" s="28">
        <f t="shared" ref="N6:N11" si="0">IF($L6&gt;4,$M6/$L6,"")</f>
        <v>0.68894009216589858</v>
      </c>
      <c r="O6" s="26">
        <f>GETPIVOTDATA("Sum of Total Employed",'Pivot Data'!$A$3,"YEAR",$I6,"PROGRAM",$D$6)</f>
        <v>1013</v>
      </c>
      <c r="P6" s="33">
        <f t="shared" ref="P6:P11" si="1">IF($M6&gt;4,$O6/$M6, " ")</f>
        <v>0.84698996655518399</v>
      </c>
      <c r="Q6" s="34">
        <f>GETPIVOTDATA("Sum of Median Hourly Wage ",'Pivot Data'!$A$3,"YEAR",$I6,"PROGRAM",$D$6)</f>
        <v>16.86</v>
      </c>
      <c r="R6" s="26">
        <f>GETPIVOTDATA("Sum of Total in Military",'Pivot Data'!$A$3,"YEAR",$I6,"PROGRAM",$D$6)</f>
        <v>13</v>
      </c>
      <c r="S6" s="33">
        <f t="shared" ref="S6:S10" si="2">IF($M6&gt;4, $R6/$M6, " ")</f>
        <v>1.0869565217391304E-2</v>
      </c>
      <c r="T6" s="26">
        <f>GETPIVOTDATA("Sum of Continuing Education (Secondary or Post-Secondary)",'Pivot Data'!$A$3,"YEAR",$I6,"PROGRAM",$D$6)</f>
        <v>508</v>
      </c>
      <c r="U6" s="33">
        <f t="shared" ref="U6:U11" si="3">IF($M6&gt;4, $T6/$M6, " ")</f>
        <v>0.42474916387959866</v>
      </c>
      <c r="V6" s="26">
        <f>GETPIVOTDATA("Sum of Total in Apprenticeships",'Pivot Data'!$A$3,"YEAR",$I6,"PROGRAM",$D$6)</f>
        <v>198</v>
      </c>
      <c r="W6" s="33">
        <f t="shared" ref="W6:W11" si="4">IF($M6&gt;4,$V6/$M6,"")</f>
        <v>0.16555183946488294</v>
      </c>
      <c r="X6" s="26">
        <f>GETPIVOTDATA("Sum of Took State Licensing Exam",'Pivot Data'!$A$3,"YEAR",$I6,"PROGRAM",$D$6)</f>
        <v>744</v>
      </c>
      <c r="Y6" s="35">
        <f t="shared" ref="Y6:Y11" si="5">IF($M6&gt;4,$X6/$M6, "")</f>
        <v>0.62207357859531776</v>
      </c>
      <c r="Z6" s="26">
        <f>GETPIVOTDATA("Sum of Passed State Licensing Exam",'Pivot Data'!$A$3,"YEAR",$I6,"PROGRAM",$D$6)</f>
        <v>722</v>
      </c>
      <c r="AA6" s="35">
        <f t="shared" ref="AA6:AA11" si="6">IF($X6&gt;4, $Z6/$X6, "")</f>
        <v>0.97043010752688175</v>
      </c>
      <c r="AB6" s="26">
        <f>GETPIVOTDATA("Sum of Instructional Program Met Educational Goals",'Pivot Data'!$A$3,"YEAR",$I6,"PROGRAM",$D$6)</f>
        <v>1125</v>
      </c>
      <c r="AC6" s="35">
        <f t="shared" ref="AC6:AC11" si="7">IF($M6&gt;4,$AB6/$M6,"")</f>
        <v>0.94063545150501671</v>
      </c>
    </row>
    <row r="7" spans="3:29" x14ac:dyDescent="0.25">
      <c r="C7" s="10" t="s">
        <v>97</v>
      </c>
      <c r="F7" s="22">
        <v>2009</v>
      </c>
      <c r="I7" s="27">
        <f t="shared" ref="I7:I9" si="8">$F7</f>
        <v>2009</v>
      </c>
      <c r="J7" s="13"/>
      <c r="K7" s="14"/>
      <c r="L7" s="26">
        <f>GETPIVOTDATA("Sum of Program Completers",'Pivot Data'!$A$3,"YEAR",$I7,"PROGRAM",$D$6)</f>
        <v>1879</v>
      </c>
      <c r="M7" s="9">
        <f>GETPIVOTDATA("Sum of Respondents",'Pivot Data'!$A$3,"YEAR",$I7,"PROGRAM",$D$6)</f>
        <v>1119</v>
      </c>
      <c r="N7" s="28">
        <f t="shared" si="0"/>
        <v>0.59552953698775946</v>
      </c>
      <c r="O7" s="26">
        <f>GETPIVOTDATA("Sum of Total Employed",'Pivot Data'!$A$3,"YEAR",$I7,"PROGRAM",$D$6)</f>
        <v>862</v>
      </c>
      <c r="P7" s="33">
        <f t="shared" si="1"/>
        <v>0.77033065236818588</v>
      </c>
      <c r="Q7" s="34">
        <f>GETPIVOTDATA("Sum of Median Hourly Wage ",'Pivot Data'!$A$3,"YEAR",$I7,"PROGRAM",$D$6)</f>
        <v>14.17</v>
      </c>
      <c r="R7" s="26">
        <f>GETPIVOTDATA("Sum of Total in Military",'Pivot Data'!$A$3,"YEAR",$I7,"PROGRAM",$D$6)</f>
        <v>27</v>
      </c>
      <c r="S7" s="33">
        <f t="shared" si="2"/>
        <v>2.4128686327077747E-2</v>
      </c>
      <c r="T7" s="26">
        <f>GETPIVOTDATA("Sum of Continuing Education (Secondary or Post-Secondary)",'Pivot Data'!$A$3,"YEAR",$I7,"PROGRAM",$D$6)</f>
        <v>575</v>
      </c>
      <c r="U7" s="33">
        <f t="shared" si="3"/>
        <v>0.5138516532618409</v>
      </c>
      <c r="V7" s="26">
        <f>GETPIVOTDATA("Sum of Total in Apprenticeships",'Pivot Data'!$A$3,"YEAR",$I7,"PROGRAM",$D$6)</f>
        <v>231</v>
      </c>
      <c r="W7" s="33">
        <f t="shared" si="4"/>
        <v>0.2064343163538874</v>
      </c>
      <c r="X7" s="26">
        <f>GETPIVOTDATA("Sum of Took State Licensing Exam",'Pivot Data'!$A$3,"YEAR",$I7,"PROGRAM",$D$6)</f>
        <v>741</v>
      </c>
      <c r="Y7" s="35">
        <f t="shared" si="5"/>
        <v>0.66219839142091153</v>
      </c>
      <c r="Z7" s="26">
        <f>GETPIVOTDATA("Sum of Passed State Licensing Exam",'Pivot Data'!$A$3,"YEAR",$I7,"PROGRAM",$D$6)</f>
        <v>709</v>
      </c>
      <c r="AA7" s="35">
        <f t="shared" si="6"/>
        <v>0.95681511470985159</v>
      </c>
      <c r="AB7" s="26">
        <f>GETPIVOTDATA("Sum of Instructional Program Met Educational Goals",'Pivot Data'!$A$3,"YEAR",$I7,"PROGRAM",$D$6)</f>
        <v>1045</v>
      </c>
      <c r="AC7" s="35">
        <f t="shared" si="7"/>
        <v>0.93386952636282394</v>
      </c>
    </row>
    <row r="8" spans="3:29" x14ac:dyDescent="0.25">
      <c r="C8" s="10" t="s">
        <v>100</v>
      </c>
      <c r="F8" s="22">
        <v>2010</v>
      </c>
      <c r="I8" s="27">
        <f t="shared" si="8"/>
        <v>2010</v>
      </c>
      <c r="J8" s="13"/>
      <c r="K8" s="14"/>
      <c r="L8" s="26">
        <f>GETPIVOTDATA("Sum of Program Completers",'Pivot Data'!$A$3,"YEAR",$I8,"PROGRAM",$D$6)</f>
        <v>2072</v>
      </c>
      <c r="M8" s="9">
        <f>GETPIVOTDATA("Sum of Respondents",'Pivot Data'!$A$3,"YEAR",$I8,"PROGRAM",$D$6)</f>
        <v>1173</v>
      </c>
      <c r="N8" s="28">
        <f t="shared" si="0"/>
        <v>0.56611969111969107</v>
      </c>
      <c r="O8" s="26">
        <f>GETPIVOTDATA("Sum of Total Employed",'Pivot Data'!$A$3,"YEAR",$I8,"PROGRAM",$D$6)</f>
        <v>880</v>
      </c>
      <c r="P8" s="33">
        <f t="shared" si="1"/>
        <v>0.75021312872975277</v>
      </c>
      <c r="Q8" s="34">
        <f>GETPIVOTDATA("Sum of Median Hourly Wage ",'Pivot Data'!$A$3,"YEAR",$I8,"PROGRAM",$D$6)</f>
        <v>14.7</v>
      </c>
      <c r="R8" s="26">
        <f>GETPIVOTDATA("Sum of Total in Military",'Pivot Data'!$A$3,"YEAR",$I8,"PROGRAM",$D$6)</f>
        <v>23</v>
      </c>
      <c r="S8" s="33">
        <f t="shared" si="2"/>
        <v>1.9607843137254902E-2</v>
      </c>
      <c r="T8" s="26">
        <f>GETPIVOTDATA("Sum of Continuing Education (Secondary or Post-Secondary)",'Pivot Data'!$A$3,"YEAR",$I8,"PROGRAM",$D$6)</f>
        <v>650</v>
      </c>
      <c r="U8" s="33">
        <f t="shared" si="3"/>
        <v>0.55413469735720378</v>
      </c>
      <c r="V8" s="26">
        <f>GETPIVOTDATA("Sum of Total in Apprenticeships",'Pivot Data'!$A$3,"YEAR",$I8,"PROGRAM",$D$6)</f>
        <v>263</v>
      </c>
      <c r="W8" s="33">
        <f t="shared" si="4"/>
        <v>0.22421142369991476</v>
      </c>
      <c r="X8" s="26">
        <f>GETPIVOTDATA("Sum of Took State Licensing Exam",'Pivot Data'!$A$3,"YEAR",$I8,"PROGRAM",$D$6)</f>
        <v>731</v>
      </c>
      <c r="Y8" s="35">
        <f t="shared" si="5"/>
        <v>0.62318840579710144</v>
      </c>
      <c r="Z8" s="26">
        <f>GETPIVOTDATA("Sum of Passed State Licensing Exam",'Pivot Data'!$A$3,"YEAR",$I8,"PROGRAM",$D$6)</f>
        <v>731</v>
      </c>
      <c r="AA8" s="35">
        <f t="shared" si="6"/>
        <v>1</v>
      </c>
      <c r="AB8" s="26">
        <f>GETPIVOTDATA("Sum of Instructional Program Met Educational Goals",'Pivot Data'!$A$3,"YEAR",$I8,"PROGRAM",$D$6)</f>
        <v>1096</v>
      </c>
      <c r="AC8" s="35">
        <f t="shared" si="7"/>
        <v>0.93435635123614669</v>
      </c>
    </row>
    <row r="9" spans="3:29" x14ac:dyDescent="0.25">
      <c r="C9" s="10" t="s">
        <v>20</v>
      </c>
      <c r="F9" s="22">
        <v>2011</v>
      </c>
      <c r="I9" s="27">
        <f t="shared" si="8"/>
        <v>2011</v>
      </c>
      <c r="J9" s="13"/>
      <c r="K9" s="14"/>
      <c r="L9" s="26">
        <f>GETPIVOTDATA("Sum of Program Completers",'Pivot Data'!$A$3,"YEAR",$I9,"PROGRAM",$D$6)</f>
        <v>2169</v>
      </c>
      <c r="M9" s="9">
        <f>GETPIVOTDATA("Sum of Respondents",'Pivot Data'!$A$3,"YEAR",$I9,"PROGRAM",$D$6)</f>
        <v>1205</v>
      </c>
      <c r="N9" s="28">
        <f t="shared" si="0"/>
        <v>0.55555555555555558</v>
      </c>
      <c r="O9" s="26">
        <f>GETPIVOTDATA("Sum of Total Employed",'Pivot Data'!$A$3,"YEAR",$I9,"PROGRAM",$D$6)</f>
        <v>913</v>
      </c>
      <c r="P9" s="33">
        <f t="shared" si="1"/>
        <v>0.75767634854771782</v>
      </c>
      <c r="Q9" s="34">
        <f>GETPIVOTDATA("Sum of Median Hourly Wage ",'Pivot Data'!$A$3,"YEAR",$I9,"PROGRAM",$D$6)</f>
        <v>14.2</v>
      </c>
      <c r="R9" s="26">
        <f>GETPIVOTDATA("Sum of Total in Military",'Pivot Data'!$A$3,"YEAR",$I9,"PROGRAM",$D$6)</f>
        <v>17</v>
      </c>
      <c r="S9" s="33">
        <f t="shared" si="2"/>
        <v>1.4107883817427386E-2</v>
      </c>
      <c r="T9" s="26">
        <f>GETPIVOTDATA("Sum of Continuing Education (Secondary or Post-Secondary)",'Pivot Data'!$A$3,"YEAR",$I9,"PROGRAM",$D$6)</f>
        <v>538</v>
      </c>
      <c r="U9" s="33">
        <f t="shared" si="3"/>
        <v>0.44647302904564318</v>
      </c>
      <c r="V9" s="26">
        <f>GETPIVOTDATA("Sum of Total in Apprenticeships",'Pivot Data'!$A$3,"YEAR",$I9,"PROGRAM",$D$6)</f>
        <v>243</v>
      </c>
      <c r="W9" s="33">
        <f t="shared" si="4"/>
        <v>0.2016597510373444</v>
      </c>
      <c r="X9" s="26">
        <f>GETPIVOTDATA("Sum of Took State Licensing Exam",'Pivot Data'!$A$3,"YEAR",$I9,"PROGRAM",$D$6)</f>
        <v>765</v>
      </c>
      <c r="Y9" s="35">
        <f t="shared" si="5"/>
        <v>0.63485477178423233</v>
      </c>
      <c r="Z9" s="26">
        <f>GETPIVOTDATA("Sum of Passed State Licensing Exam",'Pivot Data'!$A$3,"YEAR",$I9,"PROGRAM",$D$6)</f>
        <v>747</v>
      </c>
      <c r="AA9" s="35">
        <f t="shared" si="6"/>
        <v>0.97647058823529409</v>
      </c>
      <c r="AB9" s="26">
        <f>GETPIVOTDATA("Sum of Instructional Program Met Educational Goals",'Pivot Data'!$A$3,"YEAR",$I9,"PROGRAM",$D$6)</f>
        <v>1079</v>
      </c>
      <c r="AC9" s="35">
        <f t="shared" si="7"/>
        <v>0.89543568464730294</v>
      </c>
    </row>
    <row r="10" spans="3:29" x14ac:dyDescent="0.25">
      <c r="C10" s="10" t="s">
        <v>21</v>
      </c>
      <c r="F10" s="22">
        <v>2012</v>
      </c>
      <c r="I10" s="27">
        <f>$F10</f>
        <v>2012</v>
      </c>
      <c r="L10" s="26">
        <f>GETPIVOTDATA("Sum of Program Completers",'Pivot Data'!$A$3,"YEAR",$I10,"PROGRAM",$D$6)</f>
        <v>2257</v>
      </c>
      <c r="M10" s="9">
        <f>GETPIVOTDATA("Sum of Respondents",'Pivot Data'!$A$3,"YEAR",$I10,"PROGRAM",$D$6)</f>
        <v>1515</v>
      </c>
      <c r="N10" s="28">
        <f t="shared" si="0"/>
        <v>0.67124501550731064</v>
      </c>
      <c r="O10" s="26">
        <f>GETPIVOTDATA("Sum of Total Employed",'Pivot Data'!$A$3,"YEAR",$I10,"PROGRAM",$D$6)</f>
        <v>1197</v>
      </c>
      <c r="P10" s="33">
        <f t="shared" si="1"/>
        <v>0.79009900990099013</v>
      </c>
      <c r="Q10" s="34">
        <f>GETPIVOTDATA("Sum of Median Hourly Wage ",'Pivot Data'!$A$3,"YEAR",$I10,"PROGRAM",$D$6)</f>
        <v>14</v>
      </c>
      <c r="R10" s="26">
        <f>GETPIVOTDATA("Sum of Total in Military",'Pivot Data'!$A$3,"YEAR",$I10,"PROGRAM",$D$6)</f>
        <v>20</v>
      </c>
      <c r="S10" s="33">
        <f t="shared" si="2"/>
        <v>1.3201320132013201E-2</v>
      </c>
      <c r="T10" s="26">
        <f>GETPIVOTDATA("Sum of Continuing Education (Secondary or Post-Secondary)",'Pivot Data'!$A$3,"YEAR",$I10,"PROGRAM",$D$6)</f>
        <v>729</v>
      </c>
      <c r="U10" s="33">
        <f t="shared" si="3"/>
        <v>0.48118811881188117</v>
      </c>
      <c r="V10" s="26">
        <f>GETPIVOTDATA("Sum of Total in Apprenticeships",'Pivot Data'!$A$3,"YEAR",$I10,"PROGRAM",$D$6)</f>
        <v>286</v>
      </c>
      <c r="W10" s="33">
        <f t="shared" si="4"/>
        <v>0.18877887788778877</v>
      </c>
      <c r="X10" s="26">
        <f>GETPIVOTDATA("Sum of Took State Licensing Exam",'Pivot Data'!$A$3,"YEAR",$I10,"PROGRAM",$D$6)</f>
        <v>906</v>
      </c>
      <c r="Y10" s="35">
        <f t="shared" si="5"/>
        <v>0.598019801980198</v>
      </c>
      <c r="Z10" s="26">
        <f>GETPIVOTDATA("Sum of Passed State Licensing Exam",'Pivot Data'!$A$3,"YEAR",$I10,"PROGRAM",$D$6)</f>
        <v>872</v>
      </c>
      <c r="AA10" s="35">
        <f t="shared" si="6"/>
        <v>0.96247240618101548</v>
      </c>
      <c r="AB10" s="26">
        <f>GETPIVOTDATA("Sum of Instructional Program Met Educational Goals",'Pivot Data'!$A$3,"YEAR",$I10,"PROGRAM",$D$6)</f>
        <v>1417</v>
      </c>
      <c r="AC10" s="35">
        <f t="shared" si="7"/>
        <v>0.93531353135313533</v>
      </c>
    </row>
    <row r="11" spans="3:29" x14ac:dyDescent="0.25">
      <c r="C11" s="10" t="s">
        <v>22</v>
      </c>
      <c r="F11" s="22">
        <v>2013</v>
      </c>
      <c r="I11" s="27">
        <f>$F11</f>
        <v>2013</v>
      </c>
      <c r="L11" s="26">
        <f>GETPIVOTDATA("Sum of Program Completers",'Pivot Data'!$A$3,"YEAR",$I11,"PROGRAM",$D$6)</f>
        <v>2196</v>
      </c>
      <c r="M11" s="9">
        <f>GETPIVOTDATA("Sum of Respondents",'Pivot Data'!$A$3,"YEAR",$I11,"PROGRAM",$D$6)</f>
        <v>1239</v>
      </c>
      <c r="N11" s="28">
        <f t="shared" si="0"/>
        <v>0.56420765027322406</v>
      </c>
      <c r="O11" s="26">
        <f>GETPIVOTDATA("Sum of Total Employed",'Pivot Data'!$A$3,"YEAR",$I11,"PROGRAM",$D$6)</f>
        <v>940</v>
      </c>
      <c r="P11" s="33">
        <f t="shared" si="1"/>
        <v>0.75867635189669091</v>
      </c>
      <c r="Q11" s="34">
        <f>GETPIVOTDATA("Sum of Median Hourly Wage ",'Pivot Data'!$A$3,"YEAR",$I11,"PROGRAM",$D$6)</f>
        <v>14.85</v>
      </c>
      <c r="R11" s="26">
        <f>GETPIVOTDATA("Sum of Total in Military",'Pivot Data'!$A$3,"YEAR",$I11,"PROGRAM",$D$6)</f>
        <v>16</v>
      </c>
      <c r="S11" s="33">
        <f>IF($M11&gt;4, $R11/$M11, " ")</f>
        <v>1.29136400322841E-2</v>
      </c>
      <c r="T11" s="26">
        <f>GETPIVOTDATA("Sum of Continuing Education (Secondary or Post-Secondary)",'Pivot Data'!$A$3,"YEAR",$I11,"PROGRAM",$D$6)</f>
        <v>629</v>
      </c>
      <c r="U11" s="33">
        <f t="shared" si="3"/>
        <v>0.50766747376916865</v>
      </c>
      <c r="V11" s="26">
        <f>GETPIVOTDATA("Sum of Total in Apprenticeships",'Pivot Data'!$A$3,"YEAR",$I11,"PROGRAM",$D$6)</f>
        <v>244</v>
      </c>
      <c r="W11" s="33">
        <f t="shared" si="4"/>
        <v>0.19693301049233253</v>
      </c>
      <c r="X11" s="26">
        <f>GETPIVOTDATA("Sum of Took State Licensing Exam",'Pivot Data'!$A$3,"YEAR",$I11,"PROGRAM",$D$6)</f>
        <v>620</v>
      </c>
      <c r="Y11" s="35">
        <f t="shared" si="5"/>
        <v>0.50040355125100888</v>
      </c>
      <c r="Z11" s="26">
        <f>GETPIVOTDATA("Sum of Passed State Licensing Exam",'Pivot Data'!$A$3,"YEAR",$I11,"PROGRAM",$D$6)</f>
        <v>601</v>
      </c>
      <c r="AA11" s="35">
        <f t="shared" si="6"/>
        <v>0.96935483870967742</v>
      </c>
      <c r="AB11" s="26">
        <f>GETPIVOTDATA("Sum of Instructional Program Met Educational Goals",'Pivot Data'!$A$3,"YEAR",$I11,"PROGRAM",$D$6)</f>
        <v>1150</v>
      </c>
      <c r="AC11" s="35">
        <f t="shared" si="7"/>
        <v>0.92816787732041972</v>
      </c>
    </row>
    <row r="12" spans="3:29" x14ac:dyDescent="0.25">
      <c r="C12" s="10" t="s">
        <v>23</v>
      </c>
    </row>
    <row r="13" spans="3:29" x14ac:dyDescent="0.25">
      <c r="C13" s="10" t="s">
        <v>24</v>
      </c>
    </row>
    <row r="14" spans="3:29" x14ac:dyDescent="0.25">
      <c r="C14" s="10" t="s">
        <v>98</v>
      </c>
    </row>
    <row r="15" spans="3:29" x14ac:dyDescent="0.25">
      <c r="C15" s="10" t="s">
        <v>25</v>
      </c>
    </row>
    <row r="16" spans="3:29" x14ac:dyDescent="0.25">
      <c r="C16" s="10" t="s">
        <v>63</v>
      </c>
    </row>
    <row r="17" spans="3:3" x14ac:dyDescent="0.25">
      <c r="C17" s="10" t="s">
        <v>26</v>
      </c>
    </row>
    <row r="18" spans="3:3" x14ac:dyDescent="0.25">
      <c r="C18" s="10" t="s">
        <v>27</v>
      </c>
    </row>
    <row r="19" spans="3:3" x14ac:dyDescent="0.25">
      <c r="C19" s="10" t="s">
        <v>103</v>
      </c>
    </row>
    <row r="20" spans="3:3" x14ac:dyDescent="0.25">
      <c r="C20" s="10" t="s">
        <v>28</v>
      </c>
    </row>
    <row r="21" spans="3:3" x14ac:dyDescent="0.25">
      <c r="C21" s="10" t="s">
        <v>29</v>
      </c>
    </row>
    <row r="22" spans="3:3" x14ac:dyDescent="0.25">
      <c r="C22" s="10" t="s">
        <v>30</v>
      </c>
    </row>
    <row r="23" spans="3:3" x14ac:dyDescent="0.25">
      <c r="C23" s="10" t="s">
        <v>31</v>
      </c>
    </row>
    <row r="24" spans="3:3" x14ac:dyDescent="0.25">
      <c r="C24" s="10" t="s">
        <v>32</v>
      </c>
    </row>
    <row r="25" spans="3:3" x14ac:dyDescent="0.25">
      <c r="C25" s="10" t="s">
        <v>33</v>
      </c>
    </row>
    <row r="26" spans="3:3" x14ac:dyDescent="0.25">
      <c r="C26" s="10" t="s">
        <v>34</v>
      </c>
    </row>
    <row r="27" spans="3:3" x14ac:dyDescent="0.25">
      <c r="C27" s="10" t="s">
        <v>35</v>
      </c>
    </row>
    <row r="28" spans="3:3" x14ac:dyDescent="0.25">
      <c r="C28" s="10" t="s">
        <v>36</v>
      </c>
    </row>
    <row r="29" spans="3:3" x14ac:dyDescent="0.25">
      <c r="C29" s="10" t="s">
        <v>37</v>
      </c>
    </row>
    <row r="30" spans="3:3" x14ac:dyDescent="0.25">
      <c r="C30" s="10" t="s">
        <v>38</v>
      </c>
    </row>
    <row r="31" spans="3:3" x14ac:dyDescent="0.25">
      <c r="C31" s="10" t="s">
        <v>39</v>
      </c>
    </row>
    <row r="32" spans="3:3" x14ac:dyDescent="0.25">
      <c r="C32" s="10" t="s">
        <v>40</v>
      </c>
    </row>
    <row r="33" spans="3:3" x14ac:dyDescent="0.25">
      <c r="C33" s="10" t="s">
        <v>41</v>
      </c>
    </row>
    <row r="34" spans="3:3" x14ac:dyDescent="0.25">
      <c r="C34" s="10" t="s">
        <v>42</v>
      </c>
    </row>
    <row r="35" spans="3:3" x14ac:dyDescent="0.25">
      <c r="C35" s="10" t="s">
        <v>43</v>
      </c>
    </row>
    <row r="36" spans="3:3" x14ac:dyDescent="0.25">
      <c r="C36" s="10" t="s">
        <v>44</v>
      </c>
    </row>
    <row r="37" spans="3:3" x14ac:dyDescent="0.25">
      <c r="C37" s="42" t="s">
        <v>99</v>
      </c>
    </row>
    <row r="38" spans="3:3" x14ac:dyDescent="0.25">
      <c r="C38" s="10" t="s">
        <v>45</v>
      </c>
    </row>
    <row r="39" spans="3:3" x14ac:dyDescent="0.25">
      <c r="C39" s="44" t="s">
        <v>46</v>
      </c>
    </row>
    <row r="40" spans="3:3" x14ac:dyDescent="0.25">
      <c r="C40" s="8"/>
    </row>
    <row r="41" spans="3:3" x14ac:dyDescent="0.25">
      <c r="C41" s="8"/>
    </row>
    <row r="42" spans="3:3" x14ac:dyDescent="0.25">
      <c r="C42" s="8"/>
    </row>
    <row r="43" spans="3:3" x14ac:dyDescent="0.25">
      <c r="C43" s="8"/>
    </row>
    <row r="44" spans="3:3" x14ac:dyDescent="0.25">
      <c r="C44" s="8"/>
    </row>
    <row r="45" spans="3:3" x14ac:dyDescent="0.25">
      <c r="C45" s="8"/>
    </row>
    <row r="46" spans="3:3" x14ac:dyDescent="0.25">
      <c r="C46" s="8"/>
    </row>
    <row r="47" spans="3:3" x14ac:dyDescent="0.25">
      <c r="C47" s="8"/>
    </row>
    <row r="48" spans="3:3" x14ac:dyDescent="0.25">
      <c r="C48" s="8"/>
    </row>
    <row r="49" spans="3:3" x14ac:dyDescent="0.25">
      <c r="C49" s="8"/>
    </row>
    <row r="50" spans="3:3" x14ac:dyDescent="0.25">
      <c r="C50" s="8"/>
    </row>
    <row r="51" spans="3:3" x14ac:dyDescent="0.25">
      <c r="C51" s="8"/>
    </row>
    <row r="52" spans="3:3" x14ac:dyDescent="0.25">
      <c r="C52" s="8"/>
    </row>
    <row r="53" spans="3:3" x14ac:dyDescent="0.25">
      <c r="C53" s="8"/>
    </row>
    <row r="54" spans="3:3" x14ac:dyDescent="0.25">
      <c r="C54" s="8"/>
    </row>
    <row r="55" spans="3:3" x14ac:dyDescent="0.25">
      <c r="C55" s="8"/>
    </row>
    <row r="56" spans="3:3" x14ac:dyDescent="0.25">
      <c r="C56" s="8"/>
    </row>
    <row r="57" spans="3:3" x14ac:dyDescent="0.25">
      <c r="C57" s="8"/>
    </row>
    <row r="58" spans="3:3" x14ac:dyDescent="0.25">
      <c r="C58" s="8"/>
    </row>
    <row r="59" spans="3:3" x14ac:dyDescent="0.25">
      <c r="C59" s="8"/>
    </row>
    <row r="60" spans="3:3" x14ac:dyDescent="0.25">
      <c r="C60" s="8"/>
    </row>
    <row r="61" spans="3:3" x14ac:dyDescent="0.25">
      <c r="C61" s="8"/>
    </row>
    <row r="62" spans="3:3" x14ac:dyDescent="0.25">
      <c r="C62" s="8"/>
    </row>
    <row r="63" spans="3:3" x14ac:dyDescent="0.25">
      <c r="C63" s="8"/>
    </row>
    <row r="64" spans="3:3" x14ac:dyDescent="0.25">
      <c r="C64" s="8"/>
    </row>
    <row r="65" spans="3:3" x14ac:dyDescent="0.25">
      <c r="C65" s="8"/>
    </row>
    <row r="66" spans="3:3" x14ac:dyDescent="0.25">
      <c r="C66" s="8"/>
    </row>
    <row r="67" spans="3:3" x14ac:dyDescent="0.25">
      <c r="C67" s="8"/>
    </row>
    <row r="68" spans="3:3" x14ac:dyDescent="0.25">
      <c r="C68" s="8"/>
    </row>
    <row r="69" spans="3:3" x14ac:dyDescent="0.25">
      <c r="C69" s="8"/>
    </row>
    <row r="70" spans="3:3" x14ac:dyDescent="0.25">
      <c r="C70" s="8"/>
    </row>
    <row r="71" spans="3:3" x14ac:dyDescent="0.25">
      <c r="C71" s="8"/>
    </row>
    <row r="72" spans="3:3" x14ac:dyDescent="0.25">
      <c r="C72" s="8"/>
    </row>
    <row r="73" spans="3:3" x14ac:dyDescent="0.25">
      <c r="C73" s="8"/>
    </row>
  </sheetData>
  <sortState ref="C5:D39">
    <sortCondition ref="C4"/>
  </sortState>
  <mergeCells count="1">
    <mergeCell ref="L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B1:J46"/>
  <sheetViews>
    <sheetView showGridLines="0" showRowColHeaders="0" tabSelected="1" workbookViewId="0"/>
  </sheetViews>
  <sheetFormatPr defaultRowHeight="15" x14ac:dyDescent="0.25"/>
  <cols>
    <col min="1" max="1" width="9.140625" customWidth="1"/>
    <col min="11" max="11" width="6.28515625" customWidth="1"/>
  </cols>
  <sheetData>
    <row r="1" spans="2:10" ht="44.1" customHeight="1" x14ac:dyDescent="0.25">
      <c r="B1" s="146" t="s">
        <v>102</v>
      </c>
      <c r="C1" s="146"/>
      <c r="D1" s="146"/>
      <c r="E1" s="146"/>
      <c r="F1" s="146"/>
      <c r="G1" s="146"/>
      <c r="H1" s="146"/>
      <c r="I1" s="146"/>
      <c r="J1" s="146"/>
    </row>
    <row r="18" spans="2:2" x14ac:dyDescent="0.25">
      <c r="B18" t="s">
        <v>106</v>
      </c>
    </row>
    <row r="19" spans="2:2" x14ac:dyDescent="0.25">
      <c r="B19" t="s">
        <v>107</v>
      </c>
    </row>
    <row r="20" spans="2:2" x14ac:dyDescent="0.25">
      <c r="B20" t="s">
        <v>108</v>
      </c>
    </row>
    <row r="21" spans="2:2" x14ac:dyDescent="0.25">
      <c r="B21" t="s">
        <v>109</v>
      </c>
    </row>
    <row r="22" spans="2:2" x14ac:dyDescent="0.25">
      <c r="B22" t="s">
        <v>110</v>
      </c>
    </row>
    <row r="24" spans="2:2" x14ac:dyDescent="0.25">
      <c r="B24" t="s">
        <v>111</v>
      </c>
    </row>
    <row r="25" spans="2:2" x14ac:dyDescent="0.25">
      <c r="B25" t="s">
        <v>112</v>
      </c>
    </row>
    <row r="26" spans="2:2" x14ac:dyDescent="0.25">
      <c r="B26" t="s">
        <v>113</v>
      </c>
    </row>
    <row r="28" spans="2:2" x14ac:dyDescent="0.25">
      <c r="B28" t="s">
        <v>114</v>
      </c>
    </row>
    <row r="29" spans="2:2" x14ac:dyDescent="0.25">
      <c r="B29" t="s">
        <v>115</v>
      </c>
    </row>
    <row r="30" spans="2:2" x14ac:dyDescent="0.25">
      <c r="B30" t="s">
        <v>116</v>
      </c>
    </row>
    <row r="31" spans="2:2" x14ac:dyDescent="0.25">
      <c r="B31" t="s">
        <v>117</v>
      </c>
    </row>
    <row r="32" spans="2:2" x14ac:dyDescent="0.25">
      <c r="B32" t="s">
        <v>118</v>
      </c>
    </row>
    <row r="34" spans="2:2" x14ac:dyDescent="0.25">
      <c r="B34" t="s">
        <v>119</v>
      </c>
    </row>
    <row r="36" spans="2:2" x14ac:dyDescent="0.25">
      <c r="B36" t="s">
        <v>120</v>
      </c>
    </row>
    <row r="37" spans="2:2" x14ac:dyDescent="0.25">
      <c r="B37" t="s">
        <v>121</v>
      </c>
    </row>
    <row r="38" spans="2:2" x14ac:dyDescent="0.25">
      <c r="B38" t="s">
        <v>122</v>
      </c>
    </row>
    <row r="39" spans="2:2" x14ac:dyDescent="0.25">
      <c r="B39" t="s">
        <v>123</v>
      </c>
    </row>
    <row r="40" spans="2:2" x14ac:dyDescent="0.25">
      <c r="B40" t="s">
        <v>122</v>
      </c>
    </row>
    <row r="41" spans="2:2" x14ac:dyDescent="0.25">
      <c r="B41" t="s">
        <v>124</v>
      </c>
    </row>
    <row r="43" spans="2:2" x14ac:dyDescent="0.25">
      <c r="B43" t="s">
        <v>125</v>
      </c>
    </row>
    <row r="44" spans="2:2" x14ac:dyDescent="0.25">
      <c r="B44" t="s">
        <v>126</v>
      </c>
    </row>
    <row r="45" spans="2:2" x14ac:dyDescent="0.25">
      <c r="B45" t="s">
        <v>127</v>
      </c>
    </row>
    <row r="46" spans="2:2" x14ac:dyDescent="0.25">
      <c r="B46" t="s">
        <v>128</v>
      </c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C4976"/>
  </sheetPr>
  <dimension ref="D1:G34"/>
  <sheetViews>
    <sheetView showGridLines="0" showRowColHeaders="0" workbookViewId="0">
      <selection activeCell="U24" sqref="U24"/>
    </sheetView>
  </sheetViews>
  <sheetFormatPr defaultRowHeight="15" x14ac:dyDescent="0.25"/>
  <cols>
    <col min="1" max="3" width="1.7109375" customWidth="1"/>
    <col min="4" max="10" width="9.42578125" customWidth="1"/>
    <col min="11" max="11" width="5.7109375" customWidth="1"/>
    <col min="12" max="17" width="9.42578125" customWidth="1"/>
  </cols>
  <sheetData>
    <row r="1" spans="4:7" ht="30" customHeight="1" x14ac:dyDescent="0.35">
      <c r="D1" s="51" t="str">
        <f>'Chart Titles'!D1</f>
        <v xml:space="preserve"> TOTAL</v>
      </c>
    </row>
    <row r="2" spans="4:7" ht="15" customHeight="1" x14ac:dyDescent="0.25"/>
    <row r="3" spans="4:7" ht="15" customHeight="1" x14ac:dyDescent="0.25"/>
    <row r="4" spans="4:7" ht="15" customHeight="1" x14ac:dyDescent="0.25"/>
    <row r="5" spans="4:7" ht="15" customHeight="1" x14ac:dyDescent="0.25">
      <c r="G5" s="12"/>
    </row>
    <row r="6" spans="4:7" ht="15" customHeight="1" x14ac:dyDescent="0.25"/>
    <row r="7" spans="4:7" ht="15" customHeight="1" x14ac:dyDescent="0.25"/>
    <row r="8" spans="4:7" ht="15" customHeight="1" x14ac:dyDescent="0.25"/>
    <row r="9" spans="4:7" ht="15" customHeight="1" x14ac:dyDescent="0.25"/>
    <row r="10" spans="4:7" ht="15" customHeight="1" x14ac:dyDescent="0.25"/>
    <row r="11" spans="4:7" ht="15" customHeight="1" x14ac:dyDescent="0.25"/>
    <row r="12" spans="4:7" ht="15" customHeight="1" x14ac:dyDescent="0.25"/>
    <row r="13" spans="4:7" ht="15" customHeight="1" x14ac:dyDescent="0.25"/>
    <row r="14" spans="4:7" ht="15" customHeight="1" x14ac:dyDescent="0.25"/>
    <row r="15" spans="4:7" ht="15" customHeight="1" x14ac:dyDescent="0.25"/>
    <row r="16" spans="4:7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/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>
      <c r="D32" s="43" t="s">
        <v>101</v>
      </c>
    </row>
    <row r="33" ht="15" customHeight="1" x14ac:dyDescent="0.25"/>
    <row r="34" ht="15" customHeight="1" x14ac:dyDescent="0.25"/>
  </sheetData>
  <sheetProtection password="CECF" sheet="1" objects="1" scenarios="1"/>
  <pageMargins left="0.7" right="0.7" top="0.75" bottom="0.75" header="0.3" footer="0.3"/>
  <pageSetup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6</xdr:col>
                    <xdr:colOff>171450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C4976"/>
  </sheetPr>
  <dimension ref="D1:D34"/>
  <sheetViews>
    <sheetView showGridLines="0" showRowColHeaders="0" workbookViewId="0">
      <selection activeCell="W30" sqref="W30"/>
    </sheetView>
  </sheetViews>
  <sheetFormatPr defaultRowHeight="15" x14ac:dyDescent="0.25"/>
  <cols>
    <col min="1" max="3" width="1.7109375" customWidth="1"/>
    <col min="4" max="10" width="9.42578125" customWidth="1"/>
    <col min="11" max="11" width="5.7109375" customWidth="1"/>
    <col min="12" max="19" width="9.42578125" customWidth="1"/>
  </cols>
  <sheetData>
    <row r="1" spans="4:4" ht="30" customHeight="1" x14ac:dyDescent="0.35">
      <c r="D1" s="51" t="str">
        <f>'Chart Titles'!D1</f>
        <v xml:space="preserve"> TOTAL</v>
      </c>
    </row>
    <row r="2" spans="4:4" ht="15" customHeight="1" x14ac:dyDescent="0.25"/>
    <row r="3" spans="4:4" ht="15" customHeight="1" x14ac:dyDescent="0.25"/>
    <row r="4" spans="4:4" ht="15" customHeight="1" x14ac:dyDescent="0.25"/>
    <row r="5" spans="4:4" ht="15" customHeight="1" x14ac:dyDescent="0.25"/>
    <row r="6" spans="4:4" ht="15" customHeight="1" x14ac:dyDescent="0.25"/>
    <row r="7" spans="4:4" ht="15" customHeight="1" x14ac:dyDescent="0.25"/>
    <row r="8" spans="4:4" ht="15" customHeight="1" x14ac:dyDescent="0.25"/>
    <row r="9" spans="4:4" ht="15" customHeight="1" x14ac:dyDescent="0.25"/>
    <row r="10" spans="4:4" ht="15" customHeight="1" x14ac:dyDescent="0.25"/>
    <row r="11" spans="4:4" ht="15" customHeight="1" x14ac:dyDescent="0.25"/>
    <row r="12" spans="4:4" ht="15" customHeight="1" x14ac:dyDescent="0.25"/>
    <row r="13" spans="4:4" ht="15" customHeight="1" x14ac:dyDescent="0.25"/>
    <row r="14" spans="4:4" ht="15" customHeight="1" x14ac:dyDescent="0.25"/>
    <row r="15" spans="4:4" ht="15" customHeight="1" x14ac:dyDescent="0.25"/>
    <row r="16" spans="4:4" ht="15" customHeight="1" x14ac:dyDescent="0.25"/>
    <row r="17" spans="4:4" ht="15" customHeight="1" x14ac:dyDescent="0.25"/>
    <row r="18" spans="4:4" ht="15" customHeight="1" x14ac:dyDescent="0.25"/>
    <row r="19" spans="4:4" ht="15" customHeight="1" x14ac:dyDescent="0.25"/>
    <row r="20" spans="4:4" ht="15" customHeight="1" x14ac:dyDescent="0.25"/>
    <row r="21" spans="4:4" ht="15" customHeight="1" x14ac:dyDescent="0.25"/>
    <row r="22" spans="4:4" ht="15" customHeight="1" x14ac:dyDescent="0.25"/>
    <row r="23" spans="4:4" ht="15" customHeight="1" x14ac:dyDescent="0.25"/>
    <row r="24" spans="4:4" ht="15" customHeight="1" x14ac:dyDescent="0.25"/>
    <row r="25" spans="4:4" ht="15" customHeight="1" x14ac:dyDescent="0.25"/>
    <row r="26" spans="4:4" ht="15" customHeight="1" x14ac:dyDescent="0.25"/>
    <row r="27" spans="4:4" ht="15" customHeight="1" x14ac:dyDescent="0.25"/>
    <row r="28" spans="4:4" ht="15" customHeight="1" x14ac:dyDescent="0.25"/>
    <row r="29" spans="4:4" ht="15" customHeight="1" x14ac:dyDescent="0.25"/>
    <row r="30" spans="4:4" ht="15" customHeight="1" x14ac:dyDescent="0.25"/>
    <row r="31" spans="4:4" ht="15" customHeight="1" x14ac:dyDescent="0.25"/>
    <row r="32" spans="4:4" ht="15" customHeight="1" x14ac:dyDescent="0.25">
      <c r="D32" s="43" t="s">
        <v>101</v>
      </c>
    </row>
    <row r="33" ht="15" customHeight="1" x14ac:dyDescent="0.25"/>
    <row r="34" ht="15" customHeight="1" x14ac:dyDescent="0.25"/>
  </sheetData>
  <sheetProtection password="CECF" sheet="1" objects="1" scenario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Drop Down 1">
              <controlPr defaultSize="0" autoLin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6</xdr:col>
                    <xdr:colOff>171450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Pivot Data</vt:lpstr>
      <vt:lpstr>Chart Titles</vt:lpstr>
      <vt:lpstr>Options</vt:lpstr>
      <vt:lpstr>Introduction</vt:lpstr>
      <vt:lpstr>Main</vt:lpstr>
      <vt:lpstr>Success</vt:lpstr>
    </vt:vector>
  </TitlesOfParts>
  <Company>Front Range Community College, Westminster Campus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Wallace, Kim</cp:lastModifiedBy>
  <dcterms:created xsi:type="dcterms:W3CDTF">2013-03-13T15:59:02Z</dcterms:created>
  <dcterms:modified xsi:type="dcterms:W3CDTF">2014-08-20T14:07:14Z</dcterms:modified>
</cp:coreProperties>
</file>