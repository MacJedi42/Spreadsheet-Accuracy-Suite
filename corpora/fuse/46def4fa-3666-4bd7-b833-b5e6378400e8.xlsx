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410" windowWidth="7935" windowHeight="6555"/>
  </bookViews>
  <sheets>
    <sheet name="Ch 5 Table" sheetId="1" r:id="rId1"/>
    <sheet name="Table Notes" sheetId="10" r:id="rId2"/>
  </sheets>
  <definedNames>
    <definedName name="_xlnm._FilterDatabase" localSheetId="0" hidden="1">'Ch 5 Table'!$A$2:$AI$1127</definedName>
    <definedName name="Table_with_LTR_Ratios_1_and_2">'Ch 5 Table'!$A$2:$AI$1124</definedName>
  </definedNames>
  <calcPr calcId="145621"/>
</workbook>
</file>

<file path=xl/calcChain.xml><?xml version="1.0" encoding="utf-8"?>
<calcChain xmlns="http://schemas.openxmlformats.org/spreadsheetml/2006/main">
  <c r="T209" i="1" l="1"/>
  <c r="T228" i="1"/>
  <c r="T223" i="1"/>
  <c r="H27" i="1" l="1"/>
  <c r="H26" i="1"/>
  <c r="H905" i="1"/>
  <c r="H906" i="1"/>
  <c r="H907" i="1"/>
  <c r="H908" i="1"/>
  <c r="H904" i="1"/>
  <c r="H273" i="1"/>
  <c r="H274" i="1"/>
  <c r="H275" i="1"/>
  <c r="H276" i="1"/>
  <c r="H277" i="1"/>
  <c r="H272" i="1"/>
  <c r="H830" i="1"/>
  <c r="H831" i="1"/>
  <c r="H832" i="1"/>
  <c r="H833" i="1"/>
  <c r="H829" i="1"/>
  <c r="H315" i="1"/>
  <c r="H316" i="1"/>
  <c r="H317" i="1"/>
  <c r="H318" i="1"/>
  <c r="H319" i="1"/>
  <c r="H314" i="1"/>
  <c r="H78" i="1"/>
  <c r="H79" i="1"/>
  <c r="H80" i="1"/>
  <c r="H81" i="1"/>
  <c r="H77" i="1"/>
  <c r="H957" i="1"/>
  <c r="H958" i="1"/>
  <c r="H959" i="1"/>
  <c r="H956" i="1"/>
  <c r="H123" i="1"/>
  <c r="H124" i="1"/>
  <c r="H125" i="1"/>
  <c r="H126" i="1"/>
  <c r="H122" i="1"/>
  <c r="H47" i="1"/>
  <c r="H49" i="1"/>
  <c r="H50" i="1"/>
  <c r="H51" i="1"/>
  <c r="H48" i="1"/>
</calcChain>
</file>

<file path=xl/sharedStrings.xml><?xml version="1.0" encoding="utf-8"?>
<sst xmlns="http://schemas.openxmlformats.org/spreadsheetml/2006/main" count="20015" uniqueCount="3813">
  <si>
    <t>Commodity Code</t>
  </si>
  <si>
    <t>Contract Name</t>
  </si>
  <si>
    <t>Contract Size</t>
  </si>
  <si>
    <t>Contract Units</t>
  </si>
  <si>
    <t>Rule Chapter</t>
  </si>
  <si>
    <t>Group</t>
  </si>
  <si>
    <t>Diminishing Balance Contract</t>
  </si>
  <si>
    <t>Settlement</t>
  </si>
  <si>
    <t>Type</t>
  </si>
  <si>
    <t>Reporting Level</t>
  </si>
  <si>
    <t>Spot-Month Aggregate Into Futures Equivalent Leg (1)</t>
  </si>
  <si>
    <t>Second Spot-Month Limit (In Net Futures Equivalents)</t>
  </si>
  <si>
    <t>Spot-Month Aggregate Into Futures Equivalent Leg  (2)</t>
  </si>
  <si>
    <t>Spot-Month Accountability Level</t>
  </si>
  <si>
    <t>ALP</t>
  </si>
  <si>
    <t>Alberta Power Pool Peak Calendar-Day Futures</t>
  </si>
  <si>
    <t>MWh</t>
  </si>
  <si>
    <t>Power</t>
  </si>
  <si>
    <t>ALW</t>
  </si>
  <si>
    <t>Australian Coking Coal (Platts) Low Vol Futures</t>
  </si>
  <si>
    <t>Metric tons</t>
  </si>
  <si>
    <t>Metals</t>
  </si>
  <si>
    <t>ACR</t>
  </si>
  <si>
    <t>AN</t>
  </si>
  <si>
    <t>616B</t>
  </si>
  <si>
    <t>KA</t>
  </si>
  <si>
    <t>AO</t>
  </si>
  <si>
    <t>WTI Average Price Option</t>
  </si>
  <si>
    <t>Barrels</t>
  </si>
  <si>
    <t>Crude Oil</t>
  </si>
  <si>
    <t>Eu.Option</t>
  </si>
  <si>
    <t>26</t>
  </si>
  <si>
    <t>AOD</t>
  </si>
  <si>
    <t>AOM</t>
  </si>
  <si>
    <t>AOR</t>
  </si>
  <si>
    <t>VP</t>
  </si>
  <si>
    <t>APF</t>
  </si>
  <si>
    <t>Alberta Power Pool Off-Peak Calendar-Month Futures</t>
  </si>
  <si>
    <t>APP</t>
  </si>
  <si>
    <t>Alberta Power Pool Peak Calendar-Month Futures</t>
  </si>
  <si>
    <t>AT</t>
  </si>
  <si>
    <t>Heating Oil Average Price Option</t>
  </si>
  <si>
    <t>Gallons</t>
  </si>
  <si>
    <t>Refined Products</t>
  </si>
  <si>
    <t>23</t>
  </si>
  <si>
    <t>AUP</t>
  </si>
  <si>
    <t>Aluminum MW U.S. Transaction Premium Platts (25MT) Futures</t>
  </si>
  <si>
    <t>Metric Tons</t>
  </si>
  <si>
    <t>CO2 EU</t>
  </si>
  <si>
    <t>Emissions</t>
  </si>
  <si>
    <t>6T</t>
  </si>
  <si>
    <t>AW</t>
  </si>
  <si>
    <t>Gulf Coast Unl 87 (Argus) Futures</t>
  </si>
  <si>
    <t>AXP</t>
  </si>
  <si>
    <t>Alberta Power Pool Extended Peak Calendar-Day Futures</t>
  </si>
  <si>
    <t>AY</t>
  </si>
  <si>
    <t>WTS (Argus) Trade Month Futures</t>
  </si>
  <si>
    <t>B0</t>
  </si>
  <si>
    <t>Mont Belvieu LDH Propane (OPIS) Futures</t>
  </si>
  <si>
    <t>NGL/Petrochemicals</t>
  </si>
  <si>
    <t>B1</t>
  </si>
  <si>
    <t>ULSD 10ppm Cargoes CIF NWE (Platts) BALMO Futures</t>
  </si>
  <si>
    <t>TY</t>
  </si>
  <si>
    <t>B2</t>
  </si>
  <si>
    <t>Transco Zone 4 Natural Gas (Platts Gas Daily/Platts IFERC) Index Futures</t>
  </si>
  <si>
    <t>MMBtu</t>
  </si>
  <si>
    <t>Natural Gas</t>
  </si>
  <si>
    <t>500/500</t>
  </si>
  <si>
    <t>J3</t>
  </si>
  <si>
    <t>TR</t>
  </si>
  <si>
    <t>3,500/10,000</t>
  </si>
  <si>
    <t>2,500/10,000</t>
  </si>
  <si>
    <t>B3</t>
  </si>
  <si>
    <t>PJM Northern Illinois Hub 5 MW Peak Calendar-Month Real-Time LMP Futures</t>
  </si>
  <si>
    <t>UM</t>
  </si>
  <si>
    <t>B4</t>
  </si>
  <si>
    <t>Algonquin City-Gates Natural Gas (Platts IFERC) Basis Futures</t>
  </si>
  <si>
    <t>B6</t>
  </si>
  <si>
    <t>PJM Northern Illinois Hub Real-Time Off-Peak Calendar-Month 5 MW Futures</t>
  </si>
  <si>
    <t>UO</t>
  </si>
  <si>
    <t>B7</t>
  </si>
  <si>
    <t>Gasoil 0.1 Cargoes CIF NWE (Platts) BALMO Futures</t>
  </si>
  <si>
    <t>TW</t>
  </si>
  <si>
    <t>B8</t>
  </si>
  <si>
    <t>Gasoil 0.1 Barges FOB Rdam (Platts) BALMO Futures</t>
  </si>
  <si>
    <t>VL</t>
  </si>
  <si>
    <t>BB</t>
  </si>
  <si>
    <t>ACL</t>
  </si>
  <si>
    <t>Australian Coking Coal (Platts) Futures</t>
  </si>
  <si>
    <t>Australian Coking Coal (Argus) Low Vol Futures</t>
  </si>
  <si>
    <t>AEF</t>
  </si>
  <si>
    <t>Alberta Power Pool Extended Off-Peak Calendar-Month Futures</t>
  </si>
  <si>
    <t>AES</t>
  </si>
  <si>
    <t>Argus Gasoline Eurobob Oxy Barges NWE Crack Spread (1000mt) BALMO Futures</t>
  </si>
  <si>
    <t>7H</t>
  </si>
  <si>
    <t>BZ</t>
  </si>
  <si>
    <t>3,500/20,000</t>
  </si>
  <si>
    <t>2,500/20,000</t>
  </si>
  <si>
    <t>AEX</t>
  </si>
  <si>
    <t>Alberta Power Pool Extended Peak Calendar-Month Futures</t>
  </si>
  <si>
    <t>AF</t>
  </si>
  <si>
    <t>Gulf Coast Jet (Argus) Futures</t>
  </si>
  <si>
    <t>AFP</t>
  </si>
  <si>
    <t>Alberta Power Pool Extended Off-Peak Calendar-Day Futures</t>
  </si>
  <si>
    <t>AH</t>
  </si>
  <si>
    <t>Dubai Crude Oil (Platts) Average Price Option</t>
  </si>
  <si>
    <t>DC</t>
  </si>
  <si>
    <t>AJ</t>
  </si>
  <si>
    <t>Gulf Coast ULSD (Argus) Futures</t>
  </si>
  <si>
    <t>ALF</t>
  </si>
  <si>
    <t>Alberta Power Pool Off-Peak Calendar-Day Futures</t>
  </si>
  <si>
    <t>BA</t>
  </si>
  <si>
    <t>Brent Crude Oil Average Price Option</t>
  </si>
  <si>
    <t>Brent Crude Oil Penultimate Financial Futures</t>
  </si>
  <si>
    <t>BBU</t>
  </si>
  <si>
    <t>Diesel 10ppm Barges FOB Rdam (Platts) vs. ULSD 10ppm Cargoes CIF NWE (Platts) Futures</t>
  </si>
  <si>
    <t>500/150</t>
  </si>
  <si>
    <t>GT</t>
  </si>
  <si>
    <t>5,000/1,000</t>
  </si>
  <si>
    <t>5,000/500</t>
  </si>
  <si>
    <t>BDA</t>
  </si>
  <si>
    <t>Brent 25-Day Average Price Option</t>
  </si>
  <si>
    <t>NBZ</t>
  </si>
  <si>
    <t>BDC</t>
  </si>
  <si>
    <t>Brent 25-Day (Platts) Financial Futures</t>
  </si>
  <si>
    <t>BDE</t>
  </si>
  <si>
    <t>Brent 25-Day European Option</t>
  </si>
  <si>
    <t>BDO</t>
  </si>
  <si>
    <t>Brent 25-Day Option</t>
  </si>
  <si>
    <t>Am.Option</t>
  </si>
  <si>
    <t>BE</t>
  </si>
  <si>
    <t>Brent Crude Oil European Financial Option</t>
  </si>
  <si>
    <t>BFR</t>
  </si>
  <si>
    <t>RME Biodiesel FOB Rdam (Argus) (RED Compliant) vs. Gasoil Futures</t>
  </si>
  <si>
    <t>RBF</t>
  </si>
  <si>
    <t>GX</t>
  </si>
  <si>
    <t>5,000/7,000</t>
  </si>
  <si>
    <t>2,500/7,000</t>
  </si>
  <si>
    <t>BG</t>
  </si>
  <si>
    <t>European Gasoil Bullet Futures</t>
  </si>
  <si>
    <t>BH</t>
  </si>
  <si>
    <t>Heating Oil Bullet Futures</t>
  </si>
  <si>
    <t>BI</t>
  </si>
  <si>
    <t>Dubai Crude Oil (Platts) BALMO Futures</t>
  </si>
  <si>
    <t>BK</t>
  </si>
  <si>
    <t>WTI-Brent Financial Futures</t>
  </si>
  <si>
    <t>20,000/20,000</t>
  </si>
  <si>
    <t>10,000/20,000</t>
  </si>
  <si>
    <t>BOB</t>
  </si>
  <si>
    <t>3.5% Fuel Oil Barges FOB Rdam (Platts) Crack Spread (1000mt) Futures</t>
  </si>
  <si>
    <t>UV</t>
  </si>
  <si>
    <t>1,500/20,000</t>
  </si>
  <si>
    <t>BPC</t>
  </si>
  <si>
    <t>Brent Option on Calendar Futures Strip</t>
  </si>
  <si>
    <t>BQP</t>
  </si>
  <si>
    <t>Brent Option on Quarterly Futures Strip</t>
  </si>
  <si>
    <t>BS</t>
  </si>
  <si>
    <t>Singapore Fuel Oil 180 cst (Platts) BALMO Futures</t>
  </si>
  <si>
    <t>UA</t>
  </si>
  <si>
    <t>BSG</t>
  </si>
  <si>
    <t>DOO</t>
  </si>
  <si>
    <t>BT</t>
  </si>
  <si>
    <t>Singapore Fuel Oil 380 cst (Platts) BALMO Futures</t>
  </si>
  <si>
    <t>SE</t>
  </si>
  <si>
    <t>BUS</t>
  </si>
  <si>
    <t>US Midwest #1 Busheling Ferrous Scrap (AMM) Futures</t>
  </si>
  <si>
    <t>Gross Tons</t>
  </si>
  <si>
    <t>BV</t>
  </si>
  <si>
    <t>WTI-Brent Crude Oil Spread Option</t>
  </si>
  <si>
    <t>BX</t>
  </si>
  <si>
    <t>Singapore Jet Kerosene (Platts) BALMO Futures</t>
  </si>
  <si>
    <t>KS</t>
  </si>
  <si>
    <t>BY</t>
  </si>
  <si>
    <t>WTI-Brent Bullet Futures</t>
  </si>
  <si>
    <t>Brent Crude Oil Last Day Financial Futures</t>
  </si>
  <si>
    <t>C0</t>
  </si>
  <si>
    <t>Mont Belvieu Ethane (OPIS) Futures</t>
  </si>
  <si>
    <t>C01-C31</t>
  </si>
  <si>
    <t>Short-Term Crude Oil Option</t>
  </si>
  <si>
    <t>C1</t>
  </si>
  <si>
    <t>Central Appalachian Coal Option</t>
  </si>
  <si>
    <t>Tons</t>
  </si>
  <si>
    <t>Coal</t>
  </si>
  <si>
    <t>QL</t>
  </si>
  <si>
    <t>C2</t>
  </si>
  <si>
    <t>Texas Eastern, WLA Natural Gas (Platts Gas Daily/Platts IFERC) Index Futures</t>
  </si>
  <si>
    <t>500/250</t>
  </si>
  <si>
    <t>X8</t>
  </si>
  <si>
    <t>8B</t>
  </si>
  <si>
    <t>3,500/3,500</t>
  </si>
  <si>
    <t>2,500/2,500</t>
  </si>
  <si>
    <t>C3</t>
  </si>
  <si>
    <t>Florida Gas, Zone 2 Natural Gas (Platts Gas Daily/Platts IFERC) Index Futures</t>
  </si>
  <si>
    <t>50/150</t>
  </si>
  <si>
    <t>X5</t>
  </si>
  <si>
    <t>8A</t>
  </si>
  <si>
    <t>750/3,000</t>
  </si>
  <si>
    <t>500/2,000</t>
  </si>
  <si>
    <t>C3D</t>
  </si>
  <si>
    <t>Daily Mont Belvieu LDH Propane (OPIS) Futures</t>
  </si>
  <si>
    <t>C4</t>
  </si>
  <si>
    <t>Transco Zone 1 Natural Gas (Platts Gas Daily/Platts IFERC) Index Futures</t>
  </si>
  <si>
    <t>100/500</t>
  </si>
  <si>
    <t>X4</t>
  </si>
  <si>
    <t>8E</t>
  </si>
  <si>
    <t>750/7,000</t>
  </si>
  <si>
    <t>500/5,000</t>
  </si>
  <si>
    <t>C4D</t>
  </si>
  <si>
    <t>Daily Mont Belvieu Normal Butane (Non-LDH) (OPIS) Futures</t>
  </si>
  <si>
    <t>D0</t>
  </si>
  <si>
    <t>C5</t>
  </si>
  <si>
    <t>Singapore Fuel Oil 180 cst (Platts) Average Price Option</t>
  </si>
  <si>
    <t>493A</t>
  </si>
  <si>
    <t>n/a</t>
  </si>
  <si>
    <t>C5D</t>
  </si>
  <si>
    <t>Daily Mont Belvieu Natural Gasoline (Non-LDH) (OPIS) Futures</t>
  </si>
  <si>
    <t>7Q</t>
  </si>
  <si>
    <t>C6</t>
  </si>
  <si>
    <t>Questar Natural Gas (Platts Gas Daily) Swing Futures</t>
  </si>
  <si>
    <t>50</t>
  </si>
  <si>
    <t>C7</t>
  </si>
  <si>
    <t>OneOk, Oklahoma Natural Gas (Platts Gas Daily/Platts IFERC) Index Futures</t>
  </si>
  <si>
    <t>100/250</t>
  </si>
  <si>
    <t>M3</t>
  </si>
  <si>
    <t>8X</t>
  </si>
  <si>
    <t>750/3,500</t>
  </si>
  <si>
    <t>500/2,500</t>
  </si>
  <si>
    <t>C8</t>
  </si>
  <si>
    <t>Algonquin City-Gates Natural Gas (Platts Gas Daily) Swing Futures</t>
  </si>
  <si>
    <t>C9</t>
  </si>
  <si>
    <t>Southern Star, Tx.-Okla.-Kan. Natural Gas (Platts Gas Daily/Platts IFERC) Index Futures</t>
  </si>
  <si>
    <t>M4</t>
  </si>
  <si>
    <t>8Z</t>
  </si>
  <si>
    <t>CAO</t>
  </si>
  <si>
    <t>California Carbon Allowance (CCA) Option</t>
  </si>
  <si>
    <t>California Carbon</t>
  </si>
  <si>
    <t>CCA</t>
  </si>
  <si>
    <t>CAP</t>
  </si>
  <si>
    <t>Copper Average Price Option</t>
  </si>
  <si>
    <t>Pounds</t>
  </si>
  <si>
    <t>HGS</t>
  </si>
  <si>
    <t>CBA</t>
  </si>
  <si>
    <t>Gulf Coast CBOB Gasoline A1 (Platts) vs. RBOB Gasoline Futures</t>
  </si>
  <si>
    <t>CBO</t>
  </si>
  <si>
    <t>27</t>
  </si>
  <si>
    <t>10,000/7,000</t>
  </si>
  <si>
    <t>10,000/5,000</t>
  </si>
  <si>
    <t>CBB</t>
  </si>
  <si>
    <t>Conway Normal Butane (OPIS) BALMO Futures</t>
  </si>
  <si>
    <t>8M</t>
  </si>
  <si>
    <t>CBC</t>
  </si>
  <si>
    <t>Gulf Coast CBOB Gasoline A1 (Platts) Crack Spread Futures</t>
  </si>
  <si>
    <t>10,000/10,000</t>
  </si>
  <si>
    <t>Gulf Coast CBOB Gasoline A1 (Platts) Futures</t>
  </si>
  <si>
    <t>EM</t>
  </si>
  <si>
    <t>California Carbon Allowance (CCA) Futures</t>
  </si>
  <si>
    <t>CD</t>
  </si>
  <si>
    <t>Daily Crude Oil Option</t>
  </si>
  <si>
    <t>CE</t>
  </si>
  <si>
    <t>756B</t>
  </si>
  <si>
    <t>NI</t>
  </si>
  <si>
    <t>CF</t>
  </si>
  <si>
    <t>Gulf Coast ULSD (Argus) Crack Spread Futures</t>
  </si>
  <si>
    <t>CFA</t>
  </si>
  <si>
    <t>Brent CFD (Platts) vs. Brent Front Month (Platts) Weekly Futures</t>
  </si>
  <si>
    <t>CFB</t>
  </si>
  <si>
    <t>Brent CFD (Platts) vs. Brent Second Month (Platts) Weekly Futures</t>
  </si>
  <si>
    <t>CFC</t>
  </si>
  <si>
    <t>Brent CFD (Platts) vs. Brent Third Month (Platts) Weekly Futures</t>
  </si>
  <si>
    <t>CFS</t>
  </si>
  <si>
    <t>Columbia Gas TCO (Platts IFERC) Fixed Price Futures</t>
  </si>
  <si>
    <t>CFU</t>
  </si>
  <si>
    <t>Capesize Timecharter Average (Baltic) Futures</t>
  </si>
  <si>
    <t>Charter day</t>
  </si>
  <si>
    <t>Freight</t>
  </si>
  <si>
    <t>CGB</t>
  </si>
  <si>
    <t>Conway Natural Gasoline (OPIS) BALMO Futures</t>
  </si>
  <si>
    <t>8L</t>
  </si>
  <si>
    <t>CH</t>
  </si>
  <si>
    <t>Heating Oil Crack Spread Option</t>
  </si>
  <si>
    <t>CL</t>
  </si>
  <si>
    <t>HO</t>
  </si>
  <si>
    <t>CI</t>
  </si>
  <si>
    <t>CIG Rockies Natural Gas (Platts IFERC) Basis Futures</t>
  </si>
  <si>
    <t>CJ</t>
  </si>
  <si>
    <t>NYMEX Cocoa Futures</t>
  </si>
  <si>
    <t>Softs</t>
  </si>
  <si>
    <t>CK</t>
  </si>
  <si>
    <t>Gulf Coast Unl 87 (Argus) Crack Spread Futures</t>
  </si>
  <si>
    <t>7,000/20,000</t>
  </si>
  <si>
    <t>7,000/10,000</t>
  </si>
  <si>
    <t>Light Sweet Crude Oil Futures</t>
  </si>
  <si>
    <t>CLA</t>
  </si>
  <si>
    <t>Coal (API 2) cif ARA (ARGUS - McCloskey) Option on Calendar Futures Strip</t>
  </si>
  <si>
    <t>MTF</t>
  </si>
  <si>
    <t>CO</t>
  </si>
  <si>
    <t>Climate Action Reserve (CAR) Option</t>
  </si>
  <si>
    <t>Climate Reserve</t>
  </si>
  <si>
    <t>CR</t>
  </si>
  <si>
    <t>CPB</t>
  </si>
  <si>
    <t>Conway Propane (OPIS) BALMO Futures</t>
  </si>
  <si>
    <t>8K</t>
  </si>
  <si>
    <t>CPF</t>
  </si>
  <si>
    <t>CSX Coal (Platts OTC Broker Index) Option on Quarterly Futures Strip</t>
  </si>
  <si>
    <t>QX</t>
  </si>
  <si>
    <t>CPL</t>
  </si>
  <si>
    <t>Certified Emission Reduction Plus (CERplusSM) Futures</t>
  </si>
  <si>
    <t>Certified Emission</t>
  </si>
  <si>
    <t>CPP</t>
  </si>
  <si>
    <t>Conway Physical Propane In-Well (OPIS) Futures</t>
  </si>
  <si>
    <t>CPR</t>
  </si>
  <si>
    <t>Conway Propane (OPIS) Average Price Option</t>
  </si>
  <si>
    <t>CQA</t>
  </si>
  <si>
    <t>Coal (API 2) cif ARA (ARGUS - McCloskey) Option on Quarterly Futures Strip</t>
  </si>
  <si>
    <t>Climate Action Reserve (CAR) Futures - Non Vintage</t>
  </si>
  <si>
    <t>CRB</t>
  </si>
  <si>
    <t>Gulf Coast CBOB Gasoline A2 (Platts) vs. RBOB Gasoline Futures</t>
  </si>
  <si>
    <t>CRG</t>
  </si>
  <si>
    <t>Gulf Coast CBOB Gasoline A2 (Platts) Futures</t>
  </si>
  <si>
    <t>CS</t>
  </si>
  <si>
    <t>WTI Financial Futures</t>
  </si>
  <si>
    <t>CSF</t>
  </si>
  <si>
    <t>Mini Capesize Timecharter Average (Baltic) Futures</t>
  </si>
  <si>
    <t>Charter days</t>
  </si>
  <si>
    <t>CSN</t>
  </si>
  <si>
    <t>Canadian Sweet Synthetic Oil Index (Net Energy) Futures</t>
  </si>
  <si>
    <t>CSZ</t>
  </si>
  <si>
    <t>CAISO SP15 EZ Gen Hub 5 MW Peak Calendar-Month Day-Ahead LMP Option</t>
  </si>
  <si>
    <t>Mwh</t>
  </si>
  <si>
    <t>9X</t>
  </si>
  <si>
    <t>CU</t>
  </si>
  <si>
    <t>Chicago Ethanol (Platts) Futures</t>
  </si>
  <si>
    <t>Ethanol</t>
  </si>
  <si>
    <t>CVF</t>
  </si>
  <si>
    <t>Crude Oil Volatility Index (VIX®) Futures</t>
  </si>
  <si>
    <t>Index Points</t>
  </si>
  <si>
    <t>CVP</t>
  </si>
  <si>
    <t>Crude Oil Volatility Index (VIX®) Option</t>
  </si>
  <si>
    <t>CVR</t>
  </si>
  <si>
    <t>Chicago Ethanol (Platts) Average Price Option</t>
  </si>
  <si>
    <t>CW</t>
  </si>
  <si>
    <t>PG&amp;E Citygate Natural Gas (Platts IFERC) "Pipe" Option</t>
  </si>
  <si>
    <t>624A</t>
  </si>
  <si>
    <t>PC</t>
  </si>
  <si>
    <t>CY</t>
  </si>
  <si>
    <t>Brent Financial Futures</t>
  </si>
  <si>
    <t>CZ</t>
  </si>
  <si>
    <t>Transco Zone 3 Natural Gas (Platts IFERC) Basis Futures</t>
  </si>
  <si>
    <t>Mont Belvieu Normal Butane (OPIS) Futures</t>
  </si>
  <si>
    <t>D2</t>
  </si>
  <si>
    <t>NYISO Zone G Day-Ahead Off-Peak Calendar-Month 5 MW Futures</t>
  </si>
  <si>
    <t>KH</t>
  </si>
  <si>
    <t>D3</t>
  </si>
  <si>
    <t>NYISO Zone J Day-Ahead Peak Calendar-Month 5 MW Futures</t>
  </si>
  <si>
    <t>KJ</t>
  </si>
  <si>
    <t>D4</t>
  </si>
  <si>
    <t>NYISO Zone J Day-Ahead Off-Peak Calendar-Month 5 MW Futures</t>
  </si>
  <si>
    <t>KK</t>
  </si>
  <si>
    <t>D5</t>
  </si>
  <si>
    <t>PJM Duquesne Zone 5 MW Peak Calendar-Month Day-Ahead LMP Futures</t>
  </si>
  <si>
    <t>D6</t>
  </si>
  <si>
    <t>PJM Duquesne Zone 5 MW Off-Peak Calendar-Month Day-Ahead LMP Futures</t>
  </si>
  <si>
    <t>D7</t>
  </si>
  <si>
    <t>PJM AEP Dayton Hub Day-Ahead LMP Peak Calendar-Month 5 MW  Futures</t>
  </si>
  <si>
    <t>D8</t>
  </si>
  <si>
    <t>PJM ComEd Zone 5 MW Peak Calendar-Month Day-Ahead LMP Futures</t>
  </si>
  <si>
    <t>D9</t>
  </si>
  <si>
    <t>PJM ComEd Zone 5 MW Off-Peak Calendar-Month Day-Ahead LMP Futures</t>
  </si>
  <si>
    <t>DAP</t>
  </si>
  <si>
    <t>EIA Flat Tax On-Highway Diesel Average Price Option</t>
  </si>
  <si>
    <t>A5</t>
  </si>
  <si>
    <t>DB</t>
  </si>
  <si>
    <t>Brent Crude Oil vs. Dubai Crude Oil (Platts) Futures</t>
  </si>
  <si>
    <t>20,000/10,000</t>
  </si>
  <si>
    <t>DBB</t>
  </si>
  <si>
    <t>Dated Brent (Platts) BALMO Futures</t>
  </si>
  <si>
    <t>UB</t>
  </si>
  <si>
    <t>DBO</t>
  </si>
  <si>
    <t>DBP</t>
  </si>
  <si>
    <t>Dated Brent (Platts) Average Price Option</t>
  </si>
  <si>
    <t>Dubai Crude Oil (Platts) Financial Futures</t>
  </si>
  <si>
    <t>DCL</t>
  </si>
  <si>
    <t>Daily WTI Financial Futures</t>
  </si>
  <si>
    <t>DI</t>
  </si>
  <si>
    <t>Demarc Natural Gas (Platts Gas Daily/Platts IFERC) Index Futures</t>
  </si>
  <si>
    <t>DT</t>
  </si>
  <si>
    <t>PE</t>
  </si>
  <si>
    <t>DMO</t>
  </si>
  <si>
    <t>Dow Jones Mead/Marketplace Electricity Price Index 5 MW Off-Peak Futures</t>
  </si>
  <si>
    <t>DMP</t>
  </si>
  <si>
    <t>Dow Jones Mead/Marketplace Electricity Price Index 5 MW Peak Futures</t>
  </si>
  <si>
    <t>0A</t>
  </si>
  <si>
    <t>Mini European 1% Fuel Oil Barges FOB Rdam (Platts) BALMO Futures</t>
  </si>
  <si>
    <t>UH</t>
  </si>
  <si>
    <t>0B</t>
  </si>
  <si>
    <t>Mini European 1% Fuel Oil Cargoes FOB NWE (Platts) Futures</t>
  </si>
  <si>
    <t>UF</t>
  </si>
  <si>
    <t>0C</t>
  </si>
  <si>
    <t>Mini European 1% Fuel Oil Cargoes FOB NWE (Platts) BALMO Futures</t>
  </si>
  <si>
    <t>0D</t>
  </si>
  <si>
    <t>Mini European 3.5% Fuel Oil Barges FOB Rdam (Platts) Futures</t>
  </si>
  <si>
    <t>0E</t>
  </si>
  <si>
    <t>Mini European 3.5% Fuel Oil Barges FOB Rdam (Platts) BALMO Futures</t>
  </si>
  <si>
    <t>0F</t>
  </si>
  <si>
    <t>Mini Singapore Fuel Oil 180 cst (Platts) Futures</t>
  </si>
  <si>
    <t>1A</t>
  </si>
  <si>
    <t>Argus Biodiesel RME FOB Rdam Futures</t>
  </si>
  <si>
    <t>1C</t>
  </si>
  <si>
    <t>Brent CFD (Platts) vs. Brent Front Month (Platts) Futures</t>
  </si>
  <si>
    <t>5,000/5,000</t>
  </si>
  <si>
    <t>1D</t>
  </si>
  <si>
    <t>RBOB Gasoline BALMO Futures</t>
  </si>
  <si>
    <t>1E</t>
  </si>
  <si>
    <t>RBOB Gasoline Crack Spread BALMO Futures</t>
  </si>
  <si>
    <t>5,000/10,000</t>
  </si>
  <si>
    <t>1G</t>
  </si>
  <si>
    <t>Heating Oil BALMO Futures</t>
  </si>
  <si>
    <t>1H</t>
  </si>
  <si>
    <t>Heating Oil Crack Spread BALMO Futures</t>
  </si>
  <si>
    <t>1J</t>
  </si>
  <si>
    <t>Gulf Coast Unl 87 (Platts) Crack Spread BALMO Futures</t>
  </si>
  <si>
    <t>GS</t>
  </si>
  <si>
    <t>1K</t>
  </si>
  <si>
    <t>Gulf Coast Unl 87 (Platts) Up-Down BALMO Futures</t>
  </si>
  <si>
    <t>1L</t>
  </si>
  <si>
    <t>Gulf Coast ULSD (Platts) Up-Down BALMO Futures</t>
  </si>
  <si>
    <t>LY</t>
  </si>
  <si>
    <t>1M</t>
  </si>
  <si>
    <t>Gulf Coast Jet (Platts) Up-Down BALMO Futures</t>
  </si>
  <si>
    <t>GE</t>
  </si>
  <si>
    <t>1N</t>
  </si>
  <si>
    <t>Singapore Mogas 92 Unleaded (Platts) Futures</t>
  </si>
  <si>
    <t>1N5</t>
  </si>
  <si>
    <t>Singapore Mogas 92 Unleaded (Platts) Average Price Option</t>
  </si>
  <si>
    <t>1NB</t>
  </si>
  <si>
    <t>Singapore Mogas 92 Unleaded (Platts) Brent Crack Spread Futures</t>
  </si>
  <si>
    <t>5,000/20,000</t>
  </si>
  <si>
    <t>1ND</t>
  </si>
  <si>
    <t>Singapore Mogas 92 Unleaded (Platts) Dubai (Platts) Crack Spread Futures</t>
  </si>
  <si>
    <t>1P</t>
  </si>
  <si>
    <t>Singapore Mogas 92 Unleaded (Platts) BALMO Futures</t>
  </si>
  <si>
    <t>1Q</t>
  </si>
  <si>
    <t>NY Jet Fuel (Platts) Futures</t>
  </si>
  <si>
    <t>1R</t>
  </si>
  <si>
    <t>Propane Non-LDH Mont Belvieu (OPIS) Futures</t>
  </si>
  <si>
    <t>1S</t>
  </si>
  <si>
    <t>Propane Non-LDH Mont Belvieu (OPIS) BALMO Futures</t>
  </si>
  <si>
    <t>1T</t>
  </si>
  <si>
    <t>Jet Aviation Fuel Cargoes FOB MED (Platts) Futures</t>
  </si>
  <si>
    <t>1U</t>
  </si>
  <si>
    <t>NY Jet Fuel (Platts) vs. NY Harbor ULSD Heating Oil Futures</t>
  </si>
  <si>
    <t>2,000/7,000</t>
  </si>
  <si>
    <t>1,500/5,000</t>
  </si>
  <si>
    <t>1V</t>
  </si>
  <si>
    <t>Jet Aviation Fuel Cargoes FOB MED (Platts) vs. Gasoil Futures</t>
  </si>
  <si>
    <t>350/7,000</t>
  </si>
  <si>
    <t>250/7,000</t>
  </si>
  <si>
    <t>1W</t>
  </si>
  <si>
    <t>1% Fuel Oil Cargoes CIF MED (Platts) Futures</t>
  </si>
  <si>
    <t>1X</t>
  </si>
  <si>
    <t>1% Fuel Oil Cargoes CIF NWE (Platts) Futures</t>
  </si>
  <si>
    <t>1Y</t>
  </si>
  <si>
    <t>CAISO NP15 EZ Gen Hub 5 MW Peak Calendar-Month Real-Time LMP Futures</t>
  </si>
  <si>
    <t>1Z</t>
  </si>
  <si>
    <t>CAISO SP15 EZ Gen Hub 5 MW Peak Calendar-Month Real-Time LMP Futures</t>
  </si>
  <si>
    <t>22</t>
  </si>
  <si>
    <t>Argus Propane Far East Index BALMO Futures</t>
  </si>
  <si>
    <t>7E</t>
  </si>
  <si>
    <t>Heating Oil Last Day Financial Futures</t>
  </si>
  <si>
    <t>24</t>
  </si>
  <si>
    <t>SME Biodiesel FOB Rdam (Argus) Futures</t>
  </si>
  <si>
    <t>25</t>
  </si>
  <si>
    <t>PME Biodiesel FOB Rdam (Argus) Futures</t>
  </si>
  <si>
    <t>Crude Oil Last Day Financial Futures</t>
  </si>
  <si>
    <t>RBOB Gasoline Last Day Financial Futures</t>
  </si>
  <si>
    <t>29</t>
  </si>
  <si>
    <t>Argus Sour Crude Index ("ASCI") Trade Month Futures</t>
  </si>
  <si>
    <t>2C</t>
  </si>
  <si>
    <t>Chicago Unleaded Gasoline (Platts) Futures</t>
  </si>
  <si>
    <t>2D</t>
  </si>
  <si>
    <t>CAISO NP15 EZ Gen Hub 5 MW Off-Peak Calendar-Month Real-Time LMP Futures</t>
  </si>
  <si>
    <t>2E</t>
  </si>
  <si>
    <t>CAISO SP15 EZ Gen Hub 5 MW Off-Peak Calendar-Month Real-Time LMP Futures</t>
  </si>
  <si>
    <t>2F</t>
  </si>
  <si>
    <t>CAISO NP15 EZ Gen Hub 5 MW Peak Calendar-Day Real-Time LMP Futures</t>
  </si>
  <si>
    <t>2G</t>
  </si>
  <si>
    <t>Premium Unleaded Gasoline 10 ppm CIF MED (Platts) Futures</t>
  </si>
  <si>
    <t>2H</t>
  </si>
  <si>
    <t>CAISO SP15 EZ Gen Hub 5 MW Peak Calendar-Day Real-Time LMP Futures</t>
  </si>
  <si>
    <t>2J</t>
  </si>
  <si>
    <t>CAISO NP15 EZ Gen Hub 5 MW Off-Peak Calendar-Day Real-Time LMP Futures</t>
  </si>
  <si>
    <t>2K</t>
  </si>
  <si>
    <t>CAISO SP15 EZ Gen Hub 5 MW Off-Peak Calendar-Day Real-Time LMP Futures</t>
  </si>
  <si>
    <t>2L</t>
  </si>
  <si>
    <t>FAME 0 Biodiesel FOB Rdam (Argus) Futures</t>
  </si>
  <si>
    <t>2M</t>
  </si>
  <si>
    <t>Ethanol T1 FOB Rdam Excluding Duty (Platts) Futures</t>
  </si>
  <si>
    <t>Cubic meters</t>
  </si>
  <si>
    <t>2Z</t>
  </si>
  <si>
    <t>CAISO NP15 EZ Gen Hub 5 MW Off-Peak Calendar-Day Day-Ahead LMP Futures</t>
  </si>
  <si>
    <t>3X</t>
  </si>
  <si>
    <t>30</t>
  </si>
  <si>
    <t>European Jet Kerosene Cargoes CIF NWE (Platts) Average Price Option</t>
  </si>
  <si>
    <t>651A</t>
  </si>
  <si>
    <t>UJ</t>
  </si>
  <si>
    <t>31</t>
  </si>
  <si>
    <t>Mont Belvieu LDH Propane (OPIS) vs. Argus Propane Far East Index Futures</t>
  </si>
  <si>
    <t>250/150</t>
  </si>
  <si>
    <t>2,000/1,750</t>
  </si>
  <si>
    <t>1,500/1,250</t>
  </si>
  <si>
    <t>32</t>
  </si>
  <si>
    <t>European Propane CIF ARA (Argus) BALMO Futures</t>
  </si>
  <si>
    <t>PS</t>
  </si>
  <si>
    <t>33</t>
  </si>
  <si>
    <t>1% Fuel Oil Rdam (Platts) vs. 1% Fuel Oil NWE (Platts) Futures</t>
  </si>
  <si>
    <t>150/150</t>
  </si>
  <si>
    <t>1,500/1,500</t>
  </si>
  <si>
    <t>36</t>
  </si>
  <si>
    <t>Argus Sour Crude Index (“ASCI”) vs. WTI Diff Spread Trade Month Futures</t>
  </si>
  <si>
    <t>V7</t>
  </si>
  <si>
    <t>30,000/20,000</t>
  </si>
  <si>
    <t>20,000/15,000</t>
  </si>
  <si>
    <t>37</t>
  </si>
  <si>
    <t>Argus Sour Crude Index ("ASCI") Calendar Month Futures</t>
  </si>
  <si>
    <t>38</t>
  </si>
  <si>
    <t>Argus Sour Crude Index (“ASCI”) vs. WTI Diff Spread Calendar Month Futures</t>
  </si>
  <si>
    <t>39</t>
  </si>
  <si>
    <t>Argus WTI Formula Basis Calendar Month Futures</t>
  </si>
  <si>
    <t>3C</t>
  </si>
  <si>
    <t>Chicago Unleaded Gasoline (Platts) vs. RBOB Gasoline Futures</t>
  </si>
  <si>
    <t>7,000/7,000</t>
  </si>
  <si>
    <t>3G</t>
  </si>
  <si>
    <t>Premium Unleaded Gasoline 10 ppm FOB MED (Platts) Futures</t>
  </si>
  <si>
    <t>3L</t>
  </si>
  <si>
    <t>Mont Belvieu Phyiscal Iso-Butane (OPIS) Futures</t>
  </si>
  <si>
    <t>3M</t>
  </si>
  <si>
    <t>Mont Belvieu Physical Normal Butane (OPIS) Futures</t>
  </si>
  <si>
    <t>3N</t>
  </si>
  <si>
    <t>Mont Belvieu Physical LDH Propane (OPIS) Futures</t>
  </si>
  <si>
    <t>3P</t>
  </si>
  <si>
    <t>Mont Belvieu Physical Non-LDH Propane (OPIS) Futures</t>
  </si>
  <si>
    <t>3Q</t>
  </si>
  <si>
    <t>Mont Belvieu Physical Ethane (OPIS) Futures</t>
  </si>
  <si>
    <t>3R</t>
  </si>
  <si>
    <t>Mont Belvieu Physical Natural Gasoline (OPIS) Futures</t>
  </si>
  <si>
    <t>3U</t>
  </si>
  <si>
    <t>European Gasoil Brent Crack Spread Average Price Option</t>
  </si>
  <si>
    <t>710A</t>
  </si>
  <si>
    <t>UN</t>
  </si>
  <si>
    <t>3V</t>
  </si>
  <si>
    <t>ULSD 10ppm Cargoes CIF NWE (Platts) vs. Gasoil BALMO Futures</t>
  </si>
  <si>
    <t>1,000/7,000</t>
  </si>
  <si>
    <t>500/7,000</t>
  </si>
  <si>
    <t>3W</t>
  </si>
  <si>
    <t>Heating Oil Crack Spread Average Price Option</t>
  </si>
  <si>
    <t>523A</t>
  </si>
  <si>
    <t>CAISO NP15 EZ Gen Hub 5 MW Off-Peak Calendar-Month Day-Ahead LMP Futures</t>
  </si>
  <si>
    <t>3Y</t>
  </si>
  <si>
    <t>RBOB Gasoline Crack Spread Average Price Option</t>
  </si>
  <si>
    <t>559A</t>
  </si>
  <si>
    <t>3Z</t>
  </si>
  <si>
    <t>CAISO NP15 EZ Gen Hub 5 MW Peak Calendar-Day Day-Ahead LMP Futures</t>
  </si>
  <si>
    <t>4X</t>
  </si>
  <si>
    <t>42</t>
  </si>
  <si>
    <t>WTI BALMO Futures</t>
  </si>
  <si>
    <t>43</t>
  </si>
  <si>
    <t>European Naphtha (Platts) Crack Spread BALMO Futures</t>
  </si>
  <si>
    <t>46</t>
  </si>
  <si>
    <t>PJM METED Zone Off-Peak Calendar-Month Day-Ahead LMP Futures</t>
  </si>
  <si>
    <t>47</t>
  </si>
  <si>
    <t>PJM METED Zone Peak Calendar-Month Day-Ahead LMP Futures</t>
  </si>
  <si>
    <t>49</t>
  </si>
  <si>
    <t>PJM PENELEC Zone Peak Calendar-Month Day-Ahead LMP Futures</t>
  </si>
  <si>
    <t>4C</t>
  </si>
  <si>
    <t>Chicago ULSD (Platts) Futures</t>
  </si>
  <si>
    <t>4D</t>
  </si>
  <si>
    <t>Natural Gas Option on Summer Futures Strip</t>
  </si>
  <si>
    <t>HH</t>
  </si>
  <si>
    <t>4G</t>
  </si>
  <si>
    <t>Premium Unleaded Gasoline 10 ppm Cargoes CIF NWE (Platts) Futures</t>
  </si>
  <si>
    <t>4H</t>
  </si>
  <si>
    <t>Mont Belvieu LDH Propane (OPIS) Average Price Option</t>
  </si>
  <si>
    <t>409A</t>
  </si>
  <si>
    <t>4I</t>
  </si>
  <si>
    <t>Mont Belvieu Natural Gasoline (OPIS) Average Price Option</t>
  </si>
  <si>
    <t>405A</t>
  </si>
  <si>
    <t>4J</t>
  </si>
  <si>
    <t>Mont Belvieu Ethane (OPIS) Average Price Option</t>
  </si>
  <si>
    <t>410A</t>
  </si>
  <si>
    <t>4K</t>
  </si>
  <si>
    <t>Mont Belvieu Normal Butane (OPIS) Average Price Option</t>
  </si>
  <si>
    <t>411A</t>
  </si>
  <si>
    <t>4L</t>
  </si>
  <si>
    <t>NYISO Zone F 5 MW Peak Calendar-Month Day-Ahead LBMP Futures</t>
  </si>
  <si>
    <t>4M</t>
  </si>
  <si>
    <t>NYISO Zone F 5 MW Off-Peak Calendar-Month Day-Ahead LBMP Futures</t>
  </si>
  <si>
    <t>4N</t>
  </si>
  <si>
    <t>PJM PECO Zone 5 MW Peak Calendar-Month Day-Ahead LMP Futures</t>
  </si>
  <si>
    <t>4P</t>
  </si>
  <si>
    <t>PJM PECO Zone 5 MW Off-Peak Calendar-Month Day-Ahead LMP Futures</t>
  </si>
  <si>
    <t>4Q</t>
  </si>
  <si>
    <t>MISO Illinois Hub 5 MW Peak Calendar-Month Day-Ahead Futures</t>
  </si>
  <si>
    <t>4R</t>
  </si>
  <si>
    <t>MISO Illinois Hub 5 MW Off-Peak Calendar-Month Day-Ahead Futures</t>
  </si>
  <si>
    <t>4S</t>
  </si>
  <si>
    <t>PJM Western Hub 50 MW Peak Calendar-Month Real-Time LMP Futures</t>
  </si>
  <si>
    <t>JM</t>
  </si>
  <si>
    <t>4U</t>
  </si>
  <si>
    <t>Gulf Coast Heating Oil (Argus) Futures</t>
  </si>
  <si>
    <t>4V</t>
  </si>
  <si>
    <t>Gasoil 0.1 Cargoes CIF NWE (Platts) vs. Gasoil BALMO Futures</t>
  </si>
  <si>
    <t>DNB</t>
  </si>
  <si>
    <t>DO</t>
  </si>
  <si>
    <t>DOA</t>
  </si>
  <si>
    <t>DME Oman Crude Oil Average Price Option</t>
  </si>
  <si>
    <t>DOB</t>
  </si>
  <si>
    <t>DOD</t>
  </si>
  <si>
    <t>PJM ATSI Zone 5 MW Off-Peak Calendar-Day Day-Ahead Futures</t>
  </si>
  <si>
    <t>MOD</t>
  </si>
  <si>
    <t>DOR</t>
  </si>
  <si>
    <t>PJM ATSI Zone 5 MW Off-Peak Calendar-Day Real-Time Futures</t>
  </si>
  <si>
    <t>MOR</t>
  </si>
  <si>
    <t>DPD</t>
  </si>
  <si>
    <t>PJM ATSI Zone 5 MW Peak Calendar-Day Day-Ahead Futures</t>
  </si>
  <si>
    <t>MPD</t>
  </si>
  <si>
    <t>DPO</t>
  </si>
  <si>
    <t>DPR</t>
  </si>
  <si>
    <t>PJM ATSI Zone 5 MW Peak Calendar-Day Real-Time Futures</t>
  </si>
  <si>
    <t>MPR</t>
  </si>
  <si>
    <t>DRK</t>
  </si>
  <si>
    <t>DSF</t>
  </si>
  <si>
    <t>Dominion, South Point Natural Gas (Platts IFERC) Fixed Price Futures</t>
  </si>
  <si>
    <t>DSO</t>
  </si>
  <si>
    <t>Dow Jones Palo Verde Electricity Price Index 5 MW Off-Peak Futures</t>
  </si>
  <si>
    <t>DSP</t>
  </si>
  <si>
    <t>Dow Jones Palo Verde Electricity Price Index 5 MW Peak Futures</t>
  </si>
  <si>
    <t>Demarc Natural Gas (Platts Gas Daily) Swing Futures</t>
  </si>
  <si>
    <t>DW</t>
  </si>
  <si>
    <t>Dawn Natural Gas (Platts IFERC) Basis Futures</t>
  </si>
  <si>
    <t>DZB</t>
  </si>
  <si>
    <t>SG</t>
  </si>
  <si>
    <t>E2</t>
  </si>
  <si>
    <t>National Balancing Point (NBP) Henry Hub Basis Futures</t>
  </si>
  <si>
    <t>E3</t>
  </si>
  <si>
    <t>PJM BGE Zone Peak Calendar-Month Day-Ahead LMP Futures</t>
  </si>
  <si>
    <t>E4</t>
  </si>
  <si>
    <t>PJM Western Hub Day-Ahead Off-Peak Calendar-Month 5 MW Futures</t>
  </si>
  <si>
    <t>E5</t>
  </si>
  <si>
    <t>Argus LLS vs. WTI (Argus) Trade Month Futures</t>
  </si>
  <si>
    <t>A4</t>
  </si>
  <si>
    <t>15,000/15,000</t>
  </si>
  <si>
    <t>E6</t>
  </si>
  <si>
    <t>Japan C&amp;F Naphtha (Platts) BALMO Futures</t>
  </si>
  <si>
    <t>JA</t>
  </si>
  <si>
    <t>E6M</t>
  </si>
  <si>
    <t>Mini Japan C&amp;F Naphtha (Platts) BALMO Futures</t>
  </si>
  <si>
    <t>E7</t>
  </si>
  <si>
    <t>Henry Hub Natural Gas Last Day Financial Option</t>
  </si>
  <si>
    <t>E8</t>
  </si>
  <si>
    <t>PJM DPL Zone Off-Peak Calendar-Month Day-Ahead LMP Futures</t>
  </si>
  <si>
    <t>E9</t>
  </si>
  <si>
    <t>PJM Eastern Hub Peak Calendar-Month Day-Ahead LMP Futures</t>
  </si>
  <si>
    <t>EBF</t>
  </si>
  <si>
    <t>1% Fuel Oil Barges FOB Rdam (Platts) vs. 1% Fuel Oil Cargoes FOB NWE (Platts) BALMO Futures</t>
  </si>
  <si>
    <t>EFB</t>
  </si>
  <si>
    <t>European 1% Fuel Oil Barges FOB Rdam (Platts) Average Price Option</t>
  </si>
  <si>
    <t>EFF</t>
  </si>
  <si>
    <t>European 3.5% Fuel Oil Cargoes FOB MED (Platts) BALMO Futures</t>
  </si>
  <si>
    <t>UI</t>
  </si>
  <si>
    <t>EFM</t>
  </si>
  <si>
    <t>European 1% Fuel Oil Cargoes FOB MED (Platts) Futures</t>
  </si>
  <si>
    <t>EHE</t>
  </si>
  <si>
    <t>ERCOT Houston 345 kV Hub Day-Ahead 5 MW Peak Futures</t>
  </si>
  <si>
    <t>EHF</t>
  </si>
  <si>
    <t>ERCOT Houston 345 kV Hub Day-Ahead 5 MW Peak Calendar-Day Futures</t>
  </si>
  <si>
    <t>EHP</t>
  </si>
  <si>
    <t>ERCOT Houston 345 kV Hub Day-Ahead 5 MW Off-Peak Futures</t>
  </si>
  <si>
    <t>EHW</t>
  </si>
  <si>
    <t>ERCOT Houston 345 kV Hub Day-Ahead 5 MW Off-Peak Calendar-Day Futures</t>
  </si>
  <si>
    <t>EJ</t>
  </si>
  <si>
    <t>MISO Indiana Hub (formerly Cinergy Hub) Off-Peak LMP Futures</t>
  </si>
  <si>
    <t>774A</t>
  </si>
  <si>
    <t>MISO Indiana Hub (formerly Cinergy Hub) Real-Time Peak Calendar-Month 2.5 MW Futures</t>
  </si>
  <si>
    <t>EN</t>
  </si>
  <si>
    <t>European Naphtha (Platts) Crack Spread Futures</t>
  </si>
  <si>
    <t>ENF</t>
  </si>
  <si>
    <t>European Diesel 10 ppm Barges FOB Rdam (Platts) vs. Gasoil 50 ppm Barges FOB Rdam (Platts) Futures</t>
  </si>
  <si>
    <t>GFS</t>
  </si>
  <si>
    <t>ENS</t>
  </si>
  <si>
    <t>European 1% Fuel Oil Cargoes FOB MED vs. European 1% Fuel Oil Cargoes FOB NWE Spread (Platts) Futures</t>
  </si>
  <si>
    <t>1,500/ 1,500</t>
  </si>
  <si>
    <t>EOB</t>
  </si>
  <si>
    <t>Argus Gasoline Eurobob Oxy Barges NWE Crack Spread (1000mt) Futures</t>
  </si>
  <si>
    <t>EPN</t>
  </si>
  <si>
    <t>European Propane CIF ARA (Argus) vs. Naphtha Cargoes CIF NWE (Platts) Futures</t>
  </si>
  <si>
    <t>300/1,500</t>
  </si>
  <si>
    <t>ERA</t>
  </si>
  <si>
    <t>ERCOT South 345 kV Hub Day-Ahead 5 MW Off-Peak Futures</t>
  </si>
  <si>
    <t>ERE</t>
  </si>
  <si>
    <t>ERCOT North 345 kV Hub Day-Ahead 5 MW Peak Futures</t>
  </si>
  <si>
    <t>ERO</t>
  </si>
  <si>
    <t>Emission Reduction Unit (ERU) Option</t>
  </si>
  <si>
    <t>Emission Reduction</t>
  </si>
  <si>
    <t>REU</t>
  </si>
  <si>
    <t>ERP</t>
  </si>
  <si>
    <t>ERCOT North 345 kV Hub Day-Ahead 5 MW Off-Peak Calendar-Day Futures</t>
  </si>
  <si>
    <t>ERU</t>
  </si>
  <si>
    <t>ERCOT North 345 kV Hub Day-Ahead 5 MW Off-Peak Futures</t>
  </si>
  <si>
    <t>ERW</t>
  </si>
  <si>
    <t>ERCOT North 345 kV Hub Day-Ahead 5 MW Peak Calendar-Day Futures</t>
  </si>
  <si>
    <t>ET</t>
  </si>
  <si>
    <t>European Diesel 10 ppm Barges FOB Rdam (Platts) vs. Gasoil Futures</t>
  </si>
  <si>
    <t>EUE</t>
  </si>
  <si>
    <t>ERCOT South 345 kV Hub Day-Ahead 5 MW Peak Futures</t>
  </si>
  <si>
    <t>EUL</t>
  </si>
  <si>
    <t>Daily European Union Allowance (EUA) Futures</t>
  </si>
  <si>
    <t>EUP</t>
  </si>
  <si>
    <t>ERCOT South 345 kV Hub Day-Ahead 5 MW Off-Peak Calendar-Day Futures</t>
  </si>
  <si>
    <t>EUW</t>
  </si>
  <si>
    <t>ERCOT South 345 kV Hub Day-Ahead 5 MW Peak Calendar-Day Futures</t>
  </si>
  <si>
    <t>EW</t>
  </si>
  <si>
    <t>East-West Fuel Oil Spread (Platts) Futures</t>
  </si>
  <si>
    <t>5,000/1,500</t>
  </si>
  <si>
    <t>EWB</t>
  </si>
  <si>
    <t>East-West Fuel Oil Spread (Platts) BALMO Futures</t>
  </si>
  <si>
    <t>EWE</t>
  </si>
  <si>
    <t>ERCOT West 345 kV Hub Day-Ahead 5 MW Peak Futures</t>
  </si>
  <si>
    <t>EWF</t>
  </si>
  <si>
    <t>ERCOT West 345 kV Hub Day-Ahead 5 MW Off-Peak Calendar-Day Futures</t>
  </si>
  <si>
    <t>EWG</t>
  </si>
  <si>
    <t>East-West Gasoline Spread (Platts-Argus) Futures</t>
  </si>
  <si>
    <t>7,000/ 3,500</t>
  </si>
  <si>
    <t>5,000/ 2,500</t>
  </si>
  <si>
    <t>EWK</t>
  </si>
  <si>
    <t>ERCOT West 345 kV Hub Day-Ahead 5 MW Off-Peak Futures</t>
  </si>
  <si>
    <t>EWN</t>
  </si>
  <si>
    <t>East-West Naphtha: Japan C&amp;F vs. Cargoes CIF NWE Spread (Platts) Futures</t>
  </si>
  <si>
    <t>1,000/ 1,500</t>
  </si>
  <si>
    <t>EWW</t>
  </si>
  <si>
    <t>ERCOT West 345 kV Hub Day-Ahead 5 MW Peak Calendar-Day Futures</t>
  </si>
  <si>
    <t>EXR</t>
  </si>
  <si>
    <t>RBOB Gasoline vs. Euro-bob Oxy NWE Barges (Argus) (1000mt) Futures</t>
  </si>
  <si>
    <t>7,000/3,500</t>
  </si>
  <si>
    <t>5,000/2,500</t>
  </si>
  <si>
    <t>EZ</t>
  </si>
  <si>
    <t>NY Ethanol (Platts) Futures</t>
  </si>
  <si>
    <t>F0</t>
  </si>
  <si>
    <t>Mini Panamax Timecharter Average (Baltic) Futures</t>
  </si>
  <si>
    <t>PFU</t>
  </si>
  <si>
    <t>F2</t>
  </si>
  <si>
    <t>PJM JCPL Zone Off-Peak Calendar-Month Day-Ahead LMP Futures</t>
  </si>
  <si>
    <t>F3</t>
  </si>
  <si>
    <t>Jet Fuel Cargoes CIF NWE (Platts) BALMO Futures</t>
  </si>
  <si>
    <t>F4</t>
  </si>
  <si>
    <t>PJM Eastern Hub Off-Peak Calendar-Month Day-Ahead LMP Futures</t>
  </si>
  <si>
    <t>F5</t>
  </si>
  <si>
    <t>PJM PPL Zone Off-Peak Calendar-Month Day-Ahead LMP Futures</t>
  </si>
  <si>
    <t>F7</t>
  </si>
  <si>
    <t>Gasoil Average Price Option</t>
  </si>
  <si>
    <t>F8</t>
  </si>
  <si>
    <t>European-Style Gasoil Option</t>
  </si>
  <si>
    <t>FAD</t>
  </si>
  <si>
    <t>MISO Indiana Hub Day-Ahead Off-Peak Calendar-Day 5 MW Futures</t>
  </si>
  <si>
    <t>FDM</t>
  </si>
  <si>
    <t>FBD</t>
  </si>
  <si>
    <t>FAME 0 Biodiesel FOB Rdam (Argus) (RED Compliant) Futures</t>
  </si>
  <si>
    <t>FBT</t>
  </si>
  <si>
    <t>FAME 0 Biodiesel FOB Rdam (Argus) (RED Compliant) vs. Gasoil Futures</t>
  </si>
  <si>
    <t>FCB</t>
  </si>
  <si>
    <t>3.5% Fuel Oil Barges FOB Rdam (Platts) Crack Spread BALMO Futures</t>
  </si>
  <si>
    <t>FCN</t>
  </si>
  <si>
    <t>Daily European 1% Fuel Oil Cargoes FOB NWE (Platts) Futures</t>
  </si>
  <si>
    <t>MISO Indiana Hub Day-Ahead Off-Peak Calendar-Month 5 MW Futures</t>
  </si>
  <si>
    <t>FE</t>
  </si>
  <si>
    <t>Dated Brent (Platts) to Frontline Brent BALMO Futures</t>
  </si>
  <si>
    <t>FF</t>
  </si>
  <si>
    <t>XB</t>
  </si>
  <si>
    <t>FG</t>
  </si>
  <si>
    <t>Gulf Coast No. 6 Fuel Oil 3.0% (Platts) Average Price Option</t>
  </si>
  <si>
    <t>MF</t>
  </si>
  <si>
    <t>FH</t>
  </si>
  <si>
    <t>WTS (Argus) vs. WTI Trade Month Futures</t>
  </si>
  <si>
    <t>FI</t>
  </si>
  <si>
    <t>1% Fuel Oil Cargoes FOB NWE (Platts) Crack Spread Futures</t>
  </si>
  <si>
    <t>FK</t>
  </si>
  <si>
    <t>3.5% Fuel Oil Cargoes FOB MED (Platts) vs. 3.5% Fuel Oil Barges FOB Rdam (Platts) Futures</t>
  </si>
  <si>
    <t>FL</t>
  </si>
  <si>
    <t>3.5% Fuel Oil Cargoes FOB MED (Platts) Crack Spread Futures</t>
  </si>
  <si>
    <t>FLY</t>
  </si>
  <si>
    <t>European Union Aviation Allowance (EUAA) Futures</t>
  </si>
  <si>
    <t>FO</t>
  </si>
  <si>
    <t>3.5% Fuel Oil Barges FOB Rdam (Platts) Crack Spread Futures</t>
  </si>
  <si>
    <t>FOA</t>
  </si>
  <si>
    <t>3.5% Fuel Oil Cargoes FOB MED (Platts) Crack Spread BALMO Futures</t>
  </si>
  <si>
    <t>FOB</t>
  </si>
  <si>
    <t>1% Fuel Oil Cargoes CIF MED (Platts) BALMO Futures</t>
  </si>
  <si>
    <t>FOC</t>
  </si>
  <si>
    <t>NY 3.0% Fuel Oil (Platts) vs. Gulf Coast No. 6 Fuel Oil 3.0% (Platts) Futures</t>
  </si>
  <si>
    <t>H1</t>
  </si>
  <si>
    <t>2,000/10,000</t>
  </si>
  <si>
    <t>FOM</t>
  </si>
  <si>
    <t>1% Fuel Oil Cargoes FOB MED (Platts) BALMO Futures</t>
  </si>
  <si>
    <t>FOR</t>
  </si>
  <si>
    <t>Daily European 3.5% Fuel Oil Barges FOB Rdam (Platts) Futures</t>
  </si>
  <si>
    <t>FP</t>
  </si>
  <si>
    <t>Florida Gas, Zone 3 Natural Gas (Platts IFERC) Basis Futures</t>
  </si>
  <si>
    <t>FRS</t>
  </si>
  <si>
    <t>Freight Route TC12 (Baltic) Futures</t>
  </si>
  <si>
    <t>FS</t>
  </si>
  <si>
    <t>1% Fuel Oil Cargoes FOB NWE (Platts) vs. 3.5% Fuel Oil Barges FOB Rdam (Platts) Futures</t>
  </si>
  <si>
    <t>FSF</t>
  </si>
  <si>
    <t>HMS 80/20 Ferrous Scrap, CFR Turkey (Platts) Futures</t>
  </si>
  <si>
    <t>FTD</t>
  </si>
  <si>
    <t>MISO Indiana Hub Real-Time Off-Peak Calendar-Day 5 MW Futures</t>
  </si>
  <si>
    <t>FTM</t>
  </si>
  <si>
    <t>MISO Indiana Hub Real-Time Off-Peak Calendar-Month 5 MW Futures</t>
  </si>
  <si>
    <t>FVB</t>
  </si>
  <si>
    <t>1.0% Fuel Oil Cargoes FOB NWE (Platts) Crack Spread (1000mt) Futures</t>
  </si>
  <si>
    <t>FY</t>
  </si>
  <si>
    <t>Dated Brent (Platts) to Frontline Brent Futures</t>
  </si>
  <si>
    <t>G0</t>
  </si>
  <si>
    <t>Mini Supramax Timecharter Average (Baltic) Futures</t>
  </si>
  <si>
    <t>SFT</t>
  </si>
  <si>
    <t>HP</t>
  </si>
  <si>
    <t>GA</t>
  </si>
  <si>
    <t>Singapore Gasoil (Platts) vs. Gasoil Futures</t>
  </si>
  <si>
    <t>GB</t>
  </si>
  <si>
    <t>Troy ounces</t>
  </si>
  <si>
    <t>Forward</t>
  </si>
  <si>
    <t>GBA</t>
  </si>
  <si>
    <t>Gulf Coast Jet (Argus) Up-Down BALMO Futures</t>
  </si>
  <si>
    <t>7,000/5,000</t>
  </si>
  <si>
    <t>GBB</t>
  </si>
  <si>
    <t>Gulf Coast Unl 87 Gasoline M2 (Platts) vs. RBOB Gasoline BALMO Futures</t>
  </si>
  <si>
    <t>GCM</t>
  </si>
  <si>
    <t>GBC</t>
  </si>
  <si>
    <t>Cleared OTC London Gold Forwards (cash margin)</t>
  </si>
  <si>
    <t>GBR</t>
  </si>
  <si>
    <t>Daily Gasoline Euro-bob Oxy NWE Barges (Argus) Futures</t>
  </si>
  <si>
    <t>GC</t>
  </si>
  <si>
    <t>Gold Futures</t>
  </si>
  <si>
    <t>GCB</t>
  </si>
  <si>
    <t>Gulf Coast No. 6 Fuel Oil 3.0% (Platts) vs. European 3.5% Fuel Oil Barges FOB Rdam (Platts) BALMO Futures</t>
  </si>
  <si>
    <t>10,000/1,500</t>
  </si>
  <si>
    <t>GCC</t>
  </si>
  <si>
    <t>Gulf Coast Unl 87 Gasoline M2 (Platts) Crack Spread Futures</t>
  </si>
  <si>
    <t>GCG</t>
  </si>
  <si>
    <t>Gulf Coast CBOB Gasoline A2 (Platts) Crack Spread Futures</t>
  </si>
  <si>
    <t>GCI</t>
  </si>
  <si>
    <t>Gulf Coast No.6 Fuel Oil 3.0% (Platts) Brent Crack Spread Futures</t>
  </si>
  <si>
    <t>Gulf Coast Unl 87 Gasoline M2 (Platts) Futures</t>
  </si>
  <si>
    <t>GCU</t>
  </si>
  <si>
    <t>Gulf Coast No. 6 Fuel Oil 3.0% (Platts) vs. European 3.5% Fuel Oil Barges FOB Rdam (Platts) Futures</t>
  </si>
  <si>
    <t>Gulf Coast Jet Fuel (Platts) Futures</t>
  </si>
  <si>
    <t>GEB</t>
  </si>
  <si>
    <t>Gasoil 0.1% Cargoes CIF NWE (Platts) Crack Spread (1000mt) Futures</t>
  </si>
  <si>
    <t>1,000/20,000</t>
  </si>
  <si>
    <t>500/20,000</t>
  </si>
  <si>
    <t>GFC</t>
  </si>
  <si>
    <t>Gulf Coast No. 6 Fuel Oil (Platts) Crack Spread BALMO Futures</t>
  </si>
  <si>
    <t>GFL</t>
  </si>
  <si>
    <t>Gasoil 50 ppm Barges FOB Rdam (Platts) BALMO Futures</t>
  </si>
  <si>
    <t>GFN</t>
  </si>
  <si>
    <t>Gasoil 50 ppm Barges FOB Rdam (Platts) vs. Gasoil 0.1% Barges FOB Rdam (Platts) Futures</t>
  </si>
  <si>
    <t>1,000/1,000</t>
  </si>
  <si>
    <t>Gasoil 50 ppm Barges FOB Rdam (Platts) Futures</t>
  </si>
  <si>
    <t>GKS</t>
  </si>
  <si>
    <t>Gasoline 10 ppm FOB MED (Platts) Crack Spread Futures</t>
  </si>
  <si>
    <t>GL</t>
  </si>
  <si>
    <t>Columbia Gulf, Louisiana Natural Gas (Platts IFERC) Basis Futures</t>
  </si>
  <si>
    <t>GN</t>
  </si>
  <si>
    <t>NYISO Zone G Day-Ahead Peak Calendar-Day 2.5 MW Futures</t>
  </si>
  <si>
    <t>617B</t>
  </si>
  <si>
    <t>KG</t>
  </si>
  <si>
    <t>GOB</t>
  </si>
  <si>
    <t>Gasoil 0.1% Barges FOB Rdam (Platts) Crack Spread (1000mt) Futures</t>
  </si>
  <si>
    <t>GOC</t>
  </si>
  <si>
    <t>Gasoil Crack Spread (1000mt) Financial Futures</t>
  </si>
  <si>
    <t>GP</t>
  </si>
  <si>
    <t>Gulf Coast Heating Oil (Platts) Futures</t>
  </si>
  <si>
    <t>GRB</t>
  </si>
  <si>
    <t>Gasoil 50 ppm Barges FOB Rdam (Platts) vs. Gasoil BALMO Futures</t>
  </si>
  <si>
    <t>GRC</t>
  </si>
  <si>
    <t>Gasoil 50 ppm Barges FOB Rdam (Platts) Crack Spread (1000mt) Futures</t>
  </si>
  <si>
    <t>GRS</t>
  </si>
  <si>
    <t>Gasoil 50 ppm Barges FOB Rdam (Platts) vs. Gasoil Futures</t>
  </si>
  <si>
    <t>Gulf Coast Unl 87 Gasoline M1 (Platts) Futures</t>
  </si>
  <si>
    <t>GSI</t>
  </si>
  <si>
    <t>Biodiesel SME Houston B-100 (Argus) Futures</t>
  </si>
  <si>
    <t>European Diesel 10 ppm Barges FOB Rdam (Platts) Futures</t>
  </si>
  <si>
    <t>GUD</t>
  </si>
  <si>
    <t>Gulf Coast ULSD (Argus) Up-Down BALMO Futures</t>
  </si>
  <si>
    <t>GVF</t>
  </si>
  <si>
    <t>Gold Volatility Index (VIX®) Futures</t>
  </si>
  <si>
    <t>GVP</t>
  </si>
  <si>
    <t>Gold Volatility Index (VIX®) Option</t>
  </si>
  <si>
    <t>GVR</t>
  </si>
  <si>
    <t>Gulf Coast Jet Fuel (Platts) Average Price Option</t>
  </si>
  <si>
    <t>European Gasoil Financial Futures</t>
  </si>
  <si>
    <t>GY</t>
  </si>
  <si>
    <t>Gulf Coast ULSD (Platts) Crack Spread Futures</t>
  </si>
  <si>
    <t>GZ</t>
  </si>
  <si>
    <t>European Gasoil Brent Crack Spread Futures</t>
  </si>
  <si>
    <t>H0</t>
  </si>
  <si>
    <t>Mini Handysize Timecharter Average (Baltic) Futures</t>
  </si>
  <si>
    <t>HFT</t>
  </si>
  <si>
    <t>NY 3.0% Fuel Oil (Platts) Futures</t>
  </si>
  <si>
    <t>H2</t>
  </si>
  <si>
    <t>ISO New England Mass Hub Day-Ahead Off-Peak Calendar-Month 5 MW Futures</t>
  </si>
  <si>
    <t>H3</t>
  </si>
  <si>
    <t>MISO Indiana Hub (formerly Cinergy Hub) 5 MW Month Peak Calendar-Month Real-Time Futures</t>
  </si>
  <si>
    <t>H4</t>
  </si>
  <si>
    <t>MISO Indiana Hub (formerly Cinergy Hub) Real-Time Off-Peak Calendar-Month 5 MW Futures</t>
  </si>
  <si>
    <t>H5</t>
  </si>
  <si>
    <t>MISO Indiana Hub (formerly Cinergy Hub) Day-Ahead Peak Calendar-Month 5 MW Futures</t>
  </si>
  <si>
    <t>HA</t>
  </si>
  <si>
    <t>NY Harbor ULSD Heating Oil vs. Gasoil Futures</t>
  </si>
  <si>
    <t>HB</t>
  </si>
  <si>
    <t>Henry Hub Natural Gas (Platts IFERC) Basis Futures</t>
  </si>
  <si>
    <t>Handysize Timecharter Average (Baltic) Futures</t>
  </si>
  <si>
    <t>HG</t>
  </si>
  <si>
    <t>Copper Futures</t>
  </si>
  <si>
    <t>Copper Financial Futures</t>
  </si>
  <si>
    <t>Henry Hub Natural Gas Look-Alike Last Day Financial Futures</t>
  </si>
  <si>
    <t>HHQ</t>
  </si>
  <si>
    <t>Henry Hub Natural Gas Quadultimate Option</t>
  </si>
  <si>
    <t>NG</t>
  </si>
  <si>
    <t>HHS</t>
  </si>
  <si>
    <t>Henry Hub Natural Gas (Platts IFERC) Fixed Price Futures</t>
  </si>
  <si>
    <t>HJ</t>
  </si>
  <si>
    <t>MISO Michigan Hub Off-Peak Calendar-Month LMP Futures</t>
  </si>
  <si>
    <t>776A</t>
  </si>
  <si>
    <t>HK</t>
  </si>
  <si>
    <t>Heating Oil Crack Spread Futures</t>
  </si>
  <si>
    <t>HM</t>
  </si>
  <si>
    <t>MISO Michigan Hub Peak Calendar-Month LMP Futures</t>
  </si>
  <si>
    <t>HMO</t>
  </si>
  <si>
    <t>MISO Michigan Hub 5 MW Off-Peak Calendar-Month Day-Ahead Futures</t>
  </si>
  <si>
    <t>HMW</t>
  </si>
  <si>
    <t>MISO Michigan Hub 5 MW Peak Calendar-Month Day-Ahead Futures</t>
  </si>
  <si>
    <t>New York Harbor ULSD Heating Oil Futures</t>
  </si>
  <si>
    <t>HOB</t>
  </si>
  <si>
    <t>Heating Oil Brent Crack Spread Futures</t>
  </si>
  <si>
    <t>Henry Hub Natural Gas Look-Alike Penultimate Financial Futures</t>
  </si>
  <si>
    <t>HPD</t>
  </si>
  <si>
    <t>HDPE High Density Polyethylene (PCW) BALMO Futures</t>
  </si>
  <si>
    <t>HPE</t>
  </si>
  <si>
    <t>HDPE High Density Polyethylene (PCW) Financial Futures</t>
  </si>
  <si>
    <t>HR</t>
  </si>
  <si>
    <t>U.S. Midwest Domestic Hot-Rolled Coil Steel Index Futures</t>
  </si>
  <si>
    <t>HRO</t>
  </si>
  <si>
    <t>U.S. Midwest Domestic Hot-Rolled Coil Steel Index Average Price Option</t>
  </si>
  <si>
    <t>HX</t>
  </si>
  <si>
    <t>Copper Option</t>
  </si>
  <si>
    <t>I1</t>
  </si>
  <si>
    <t>ERCOT Houston 345 kV Hub 5 MW Peak Futures</t>
  </si>
  <si>
    <t>I2</t>
  </si>
  <si>
    <t>ERCOT Houston 345 kV Hub 5 MW Off-Peak Futures</t>
  </si>
  <si>
    <t>I3</t>
  </si>
  <si>
    <t>ERCOT Houston 345 kV Hub 5 MW Peak Calendar-Day Futures</t>
  </si>
  <si>
    <t>I4</t>
  </si>
  <si>
    <t>ERCOT Houston 345 kV Hub 5 MW Off-Peak Calendar-Day Futures</t>
  </si>
  <si>
    <t>I5</t>
  </si>
  <si>
    <t>ERCOT North 345 kV Hub 5 MW Peak Futures</t>
  </si>
  <si>
    <t>I6</t>
  </si>
  <si>
    <t>ERCOT North 345 kV Hub 5 MW Off-Peak Futures</t>
  </si>
  <si>
    <t>I7</t>
  </si>
  <si>
    <t>ERCOT North 345 kV Hub 5 MW Peak Calendar-Day Futures</t>
  </si>
  <si>
    <t>I8</t>
  </si>
  <si>
    <t>ERCOT North 345 kV Hub 5 MW Off-Peak Calendar-Day Futures</t>
  </si>
  <si>
    <t>I9</t>
  </si>
  <si>
    <t>ERCOT South 345 kV Hub 5 MW Peak Futures</t>
  </si>
  <si>
    <t>IBE</t>
  </si>
  <si>
    <t>Brent (Euro Denominated) Financial Futures</t>
  </si>
  <si>
    <t>IBS</t>
  </si>
  <si>
    <t>Brent (Singapore Marker) Futures</t>
  </si>
  <si>
    <t>ICP</t>
  </si>
  <si>
    <t>Iron Ore 62% Fe, CFR North China (Platts) Average Price Option</t>
  </si>
  <si>
    <t>PIO</t>
  </si>
  <si>
    <t>ICT</t>
  </si>
  <si>
    <t>Iron Ore 62% Fe, CFR China (TSI) Average Price Option</t>
  </si>
  <si>
    <t>IDO</t>
  </si>
  <si>
    <t>KI</t>
  </si>
  <si>
    <t>IF</t>
  </si>
  <si>
    <t>SoCal Natural Gas (Platts Gas Daily/Platts IFERC) Index Futures</t>
  </si>
  <si>
    <t>SF</t>
  </si>
  <si>
    <t>NS</t>
  </si>
  <si>
    <t>IGE</t>
  </si>
  <si>
    <t>Gasoil (Euro Denominated) Financial Futures</t>
  </si>
  <si>
    <t>IH</t>
  </si>
  <si>
    <t>Dominion, South Point Natural Gas (Platts Gas Daily/Platts IFERC) Index Futures</t>
  </si>
  <si>
    <t>SH</t>
  </si>
  <si>
    <t>PG</t>
  </si>
  <si>
    <t>II</t>
  </si>
  <si>
    <t>CenterPoint Natural Gas (Platts Gas Daily/Platts IFERC) Index Futures</t>
  </si>
  <si>
    <t>VX</t>
  </si>
  <si>
    <t>PW</t>
  </si>
  <si>
    <t>IJ</t>
  </si>
  <si>
    <t>San Juan Natural Gas (Platts Gas Daily/Platts IFERC) Index Futures</t>
  </si>
  <si>
    <t>SJ</t>
  </si>
  <si>
    <t>NJ</t>
  </si>
  <si>
    <t>IK</t>
  </si>
  <si>
    <t>PG&amp;E Citygate Natural Gas (Platts Gas Daily/Platts IFERC) Index Futures</t>
  </si>
  <si>
    <t>SK</t>
  </si>
  <si>
    <t>IL</t>
  </si>
  <si>
    <t>Permian Natural Gas (Platts Gas Daily/Platts IFERC) Index Futures</t>
  </si>
  <si>
    <t>SL</t>
  </si>
  <si>
    <t>PM</t>
  </si>
  <si>
    <t>IN</t>
  </si>
  <si>
    <t>Henry Hub Natural Gas (Platts Gas Daily/Platts IFERC) Index Futures</t>
  </si>
  <si>
    <t>SN</t>
  </si>
  <si>
    <t>IP</t>
  </si>
  <si>
    <t>Houston Ship Channel Natural Gas (Platts Gas Daily/Platts IFERC) Index Futures</t>
  </si>
  <si>
    <t>SM</t>
  </si>
  <si>
    <t>NH</t>
  </si>
  <si>
    <t>IQ</t>
  </si>
  <si>
    <t>ANR, Oklahoma Natural Gas (Platts Gas Daily/Platts IFERC) Index Futures</t>
  </si>
  <si>
    <t>SQ</t>
  </si>
  <si>
    <t>NE</t>
  </si>
  <si>
    <t>IR</t>
  </si>
  <si>
    <t>Rockies Natural Gas (Platts Gas Daily/Platts IFERC) Index Futures</t>
  </si>
  <si>
    <t>SR</t>
  </si>
  <si>
    <t>NR</t>
  </si>
  <si>
    <t>IS</t>
  </si>
  <si>
    <t>Chicago Natural Gas (Platts Gas Daily/Platts IFERC) Index Futures</t>
  </si>
  <si>
    <t>SS</t>
  </si>
  <si>
    <t>NB</t>
  </si>
  <si>
    <t>IT</t>
  </si>
  <si>
    <t>Transco Zone 6 Natural Gas (Platts Gas Daily/Platts IFERC) Index Futures</t>
  </si>
  <si>
    <t>ST</t>
  </si>
  <si>
    <t>NZ</t>
  </si>
  <si>
    <t>IU</t>
  </si>
  <si>
    <t>Sumas Natural Gas (Platts Gas Daily/Platts IFERC) Index Futures</t>
  </si>
  <si>
    <t>SU</t>
  </si>
  <si>
    <t>NK</t>
  </si>
  <si>
    <t>IV</t>
  </si>
  <si>
    <t>Panhandle Natural Gas (Platts Gas Daily/Platts IFERC) Index Futures</t>
  </si>
  <si>
    <t>SV</t>
  </si>
  <si>
    <t>PH</t>
  </si>
  <si>
    <t>IW</t>
  </si>
  <si>
    <t>NGPL Mid-Con Natural Gas (Platts Gas Daily/Platts IFERC) Index Futures</t>
  </si>
  <si>
    <t>PX</t>
  </si>
  <si>
    <t>NL</t>
  </si>
  <si>
    <t>IX</t>
  </si>
  <si>
    <t>TETCO M-3 Natural Gas (Platts Gas Daily/Platts IFERC) Index Futures</t>
  </si>
  <si>
    <t>SX</t>
  </si>
  <si>
    <t>NX</t>
  </si>
  <si>
    <t>IY</t>
  </si>
  <si>
    <t>Waha Natural Gas (Platts Gas Daily/Platts IFERC) Index Futures</t>
  </si>
  <si>
    <t>SY</t>
  </si>
  <si>
    <t>NW</t>
  </si>
  <si>
    <t>J01-J31</t>
  </si>
  <si>
    <t>PJM West Hub RT Same Day Option</t>
  </si>
  <si>
    <t>J1</t>
  </si>
  <si>
    <t>ERCOT South 345 kV Hub 5 MW Off-Peak Futures</t>
  </si>
  <si>
    <t>J2</t>
  </si>
  <si>
    <t>PJM JCPL Zone Peak Calendar-Month Day-Ahead LMP Futures</t>
  </si>
  <si>
    <t>Transco Zone 4 Natural Gas (Platts Gas Daily) Swing Futures</t>
  </si>
  <si>
    <t>J4</t>
  </si>
  <si>
    <t>PJM Western Hub Day-Ahead Peak Calendar-Month 5 MW Futures</t>
  </si>
  <si>
    <t>J6</t>
  </si>
  <si>
    <t>Columbia Gulf, Louisiana Natural Gas (Platts Gas Daily) Swing Futures</t>
  </si>
  <si>
    <t>J7</t>
  </si>
  <si>
    <t>Texas Gas, Zone SL Natural Gas (Platts Gas Daily) Swing Futures</t>
  </si>
  <si>
    <t>J8</t>
  </si>
  <si>
    <t>Florida Gas, Zone 3 Natural Gas (Platts Gas Daily) Swing Futures</t>
  </si>
  <si>
    <t>J9</t>
  </si>
  <si>
    <t>Brent Crude Oil BALMO Futures</t>
  </si>
  <si>
    <t>Japan C&amp;F Naphtha (Platts) Futures</t>
  </si>
  <si>
    <t>JA5</t>
  </si>
  <si>
    <t>Japan C&amp;F Naphtha (Platts) Average Price Option</t>
  </si>
  <si>
    <t>JB</t>
  </si>
  <si>
    <t>Japan C&amp;F Naphtha (Platts) Brent Crack Spread Futures</t>
  </si>
  <si>
    <t>1,000/20,0000</t>
  </si>
  <si>
    <t>JC</t>
  </si>
  <si>
    <t>Jet Cargoes CIF NWE (Platts) vs. Gasoil Futures</t>
  </si>
  <si>
    <t>1,500/7,000</t>
  </si>
  <si>
    <t>JCL</t>
  </si>
  <si>
    <t>PJM JCPL Zone Peak Calendar-Month Day-Ahead LMP Option</t>
  </si>
  <si>
    <t>JD</t>
  </si>
  <si>
    <t>PJM Western Hub Real-Time Peak Calendar-Day 2.5 MW Futures</t>
  </si>
  <si>
    <t>JE</t>
  </si>
  <si>
    <t>EIA Flat Tax U.S. Retail Gasoline Futures</t>
  </si>
  <si>
    <t>JKM</t>
  </si>
  <si>
    <t>LNG Japan/Korea Marker (Platts) Futures</t>
  </si>
  <si>
    <t>LAI</t>
  </si>
  <si>
    <t>JL</t>
  </si>
  <si>
    <t>Los Angeles CARBOB Gasoline (OPIS) vs. RBOB Gasoline Futures</t>
  </si>
  <si>
    <t>MH</t>
  </si>
  <si>
    <t>PJM Western Hub Real-Time Peak Calendar-Month 2.5 MW Futures</t>
  </si>
  <si>
    <t>JN</t>
  </si>
  <si>
    <t>618B</t>
  </si>
  <si>
    <t>JO</t>
  </si>
  <si>
    <t>PJM Calendar-Month LMP Option</t>
  </si>
  <si>
    <t>JP</t>
  </si>
  <si>
    <t>PJM Off-Peak Calendar-Month LMP Futures</t>
  </si>
  <si>
    <t>635A</t>
  </si>
  <si>
    <t>JR</t>
  </si>
  <si>
    <t>Jet Barges FOB Rdam (Platts) vs. Gasoil Futures</t>
  </si>
  <si>
    <t>UR</t>
  </si>
  <si>
    <t>JS</t>
  </si>
  <si>
    <t>Los Angeles Jet (OPIS) vs. NY Harbor ULSD Heating Oil Futures</t>
  </si>
  <si>
    <t>LL</t>
  </si>
  <si>
    <t>JU</t>
  </si>
  <si>
    <t>Gulf Coast Jet (Argus) Up-Down Futures</t>
  </si>
  <si>
    <t>K1</t>
  </si>
  <si>
    <t>ERCOT South 345 kV Hub 5 MW Peak Calendar-Day Futures</t>
  </si>
  <si>
    <t>K2</t>
  </si>
  <si>
    <t>MISO Indiana Hub (formerly Cinergy Hub) Day-Ahead Off-Peak Calendar-Month 5 MW Futures</t>
  </si>
  <si>
    <t>K3</t>
  </si>
  <si>
    <t>NYISO Zone A Day-Ahead Peak Calendar-Month 5 MW Futures</t>
  </si>
  <si>
    <t>K4</t>
  </si>
  <si>
    <t>NYISO Zone A Day-Ahead Off-Peak Calendar-Month 5 MW Futures</t>
  </si>
  <si>
    <t>KB</t>
  </si>
  <si>
    <t>K6</t>
  </si>
  <si>
    <t>ANR, Louisiana Natural Gas (Platts Gas Daily) Swing Futures</t>
  </si>
  <si>
    <t>K7</t>
  </si>
  <si>
    <t>Trunkline ELA Natural Gas (Platts Gas Daily) Swing Futures</t>
  </si>
  <si>
    <t>K8</t>
  </si>
  <si>
    <t>Southern Natural, Louisiana Natural Gas (Platts Gas Daily) Swing Futures</t>
  </si>
  <si>
    <t>K9</t>
  </si>
  <si>
    <t>Texas Eastern, ELA Natural Gas (Platts Gas Daily) Swing Futures</t>
  </si>
  <si>
    <t>NYISO Zone A Peak LBMP Futures</t>
  </si>
  <si>
    <t>NYISO Zone A Off-Peak LBMP Futures</t>
  </si>
  <si>
    <t>616A</t>
  </si>
  <si>
    <t>KD</t>
  </si>
  <si>
    <t>Daily Natural Gas Option</t>
  </si>
  <si>
    <t>KE</t>
  </si>
  <si>
    <t>RME Biodiesel FOB Rdam (Argus) vs. Gasoil Futures</t>
  </si>
  <si>
    <t>3,500/7,000</t>
  </si>
  <si>
    <t>NYISO Zone G Peak LBMP Futures</t>
  </si>
  <si>
    <t>NYISO Zone G Off-Peak LBMP Futures</t>
  </si>
  <si>
    <t>617A</t>
  </si>
  <si>
    <t>ISO New England Mass Hub Off-Peak LMP Futures</t>
  </si>
  <si>
    <t>756A</t>
  </si>
  <si>
    <t>NYISO Zone J Peak LBMP Futures</t>
  </si>
  <si>
    <t>NYISO Zone J Off-Peak LBMP Futures</t>
  </si>
  <si>
    <t>618A</t>
  </si>
  <si>
    <t>KL</t>
  </si>
  <si>
    <t>Los Angeles CARB Diesel (OPIS) vs. NY Harbor ULSD Heating Oil Futures</t>
  </si>
  <si>
    <t>LX</t>
  </si>
  <si>
    <t>KR</t>
  </si>
  <si>
    <t>European 3.5% Fuel Oil Barges FOB Rdam (Platts) BALMO Futures</t>
  </si>
  <si>
    <t>Singapore Jet Kerosene (Platts) Futures</t>
  </si>
  <si>
    <t>KSD</t>
  </si>
  <si>
    <t>Singapore Jet Kerosene (Platts) Dubai (Platts) Crack Spread Futures</t>
  </si>
  <si>
    <t>1,500/10,000</t>
  </si>
  <si>
    <t>KT</t>
  </si>
  <si>
    <t>NYMEX Coffee Futures</t>
  </si>
  <si>
    <t>KU</t>
  </si>
  <si>
    <t>Singapore Naphtha (Platts) BALMO Futures</t>
  </si>
  <si>
    <t>SP</t>
  </si>
  <si>
    <t>KX</t>
  </si>
  <si>
    <t>European 1% Fuel Oil Cargoes FOB NWE (Platts) BALMO Futures</t>
  </si>
  <si>
    <t>KZ</t>
  </si>
  <si>
    <t>European Naphtha (Platts) BALMO Futures</t>
  </si>
  <si>
    <t>L01-L31</t>
  </si>
  <si>
    <t>Short-Term Gold Option</t>
  </si>
  <si>
    <t>L1</t>
  </si>
  <si>
    <t>PJM Western Hub Peak Calendar-Month Real-Time LMP Futures</t>
  </si>
  <si>
    <t>L2</t>
  </si>
  <si>
    <t>Columbia Gulf, Mainline Natural Gas (Platts Gas Daily/Platts IFERC) Index Futures</t>
  </si>
  <si>
    <t>900/500</t>
  </si>
  <si>
    <t>X2</t>
  </si>
  <si>
    <t>5Z</t>
  </si>
  <si>
    <t>6,000/7,000</t>
  </si>
  <si>
    <t>4,500/5,000</t>
  </si>
  <si>
    <t>L3</t>
  </si>
  <si>
    <t>PJM Northern Illinois Hub Day-Ahead Off-Peak Calendar-Month 5 MW Futures</t>
  </si>
  <si>
    <t>L4</t>
  </si>
  <si>
    <t>Tennessee 800 Leg Natural Gas (Platts Gas Daily/Platts IFERC) Index Futures</t>
  </si>
  <si>
    <t>W5</t>
  </si>
  <si>
    <t>6Z</t>
  </si>
  <si>
    <t>3,500/3,000</t>
  </si>
  <si>
    <t>2,500/2,000</t>
  </si>
  <si>
    <t>L5</t>
  </si>
  <si>
    <t>PJM PPL Zone Peak Calendar-Month Day-Ahead LMP Futures</t>
  </si>
  <si>
    <t>L6</t>
  </si>
  <si>
    <t>PJM PSEG Zone Peak Calendar-Month Day-Ahead LMP Futures</t>
  </si>
  <si>
    <t>L7</t>
  </si>
  <si>
    <t>Transco Zone 2 Natural Gas (Platts Gas Daily/Platts IFERC) Index Futures</t>
  </si>
  <si>
    <t>X3</t>
  </si>
  <si>
    <t>8F</t>
  </si>
  <si>
    <t>2,500/5,000</t>
  </si>
  <si>
    <t>L8</t>
  </si>
  <si>
    <t>PJM DPL Zone Peak Calendar-Month Day-Ahead LMP Futures</t>
  </si>
  <si>
    <t>L9</t>
  </si>
  <si>
    <t>ISO New England West Central Massachusetts Zone 5 MW Off-Peak Calendar-Month Day Ahead LMP Futures</t>
  </si>
  <si>
    <t>LNG East Asia Index (ICIS Heren) Futures</t>
  </si>
  <si>
    <t>LB</t>
  </si>
  <si>
    <t>Heating Oil European Financial Option</t>
  </si>
  <si>
    <t>LC</t>
  </si>
  <si>
    <t>Light Sweet Crude Oil European Financial Option</t>
  </si>
  <si>
    <t>WS</t>
  </si>
  <si>
    <t>LE</t>
  </si>
  <si>
    <t>FAME 0 Biodiesel FOB Rdam (Argus) vs. Gasoil Futures</t>
  </si>
  <si>
    <t>LEL</t>
  </si>
  <si>
    <t>LLDPE Linear Low Density Polyethylene (PCW) BALMO Futures</t>
  </si>
  <si>
    <t>LPE</t>
  </si>
  <si>
    <t>LJ</t>
  </si>
  <si>
    <t>780A</t>
  </si>
  <si>
    <t>Los Angeles Jet (OPIS) Futures</t>
  </si>
  <si>
    <t>LM</t>
  </si>
  <si>
    <t>LN</t>
  </si>
  <si>
    <t>Henry Hub Natural Gas European Financial Option</t>
  </si>
  <si>
    <t>LO</t>
  </si>
  <si>
    <t>Light Sweet Crude Oil Option</t>
  </si>
  <si>
    <t>LLDPE Linear Low Density Polyethylene (PCW) Financial Futures</t>
  </si>
  <si>
    <t>LSF</t>
  </si>
  <si>
    <t>Cleared OTC London Silver Forwards (cash margin)</t>
  </si>
  <si>
    <t>LT</t>
  </si>
  <si>
    <t>Gulf Coast ULSD (Platts) Up-Down Futures</t>
  </si>
  <si>
    <t>Los Angeles CARB Diesel (OPIS) Futures</t>
  </si>
  <si>
    <t>Gulf Coast ULSD (Platts) Futures</t>
  </si>
  <si>
    <t>M0</t>
  </si>
  <si>
    <t>Capesize Timecharter Average (Baltic) BALMO Futures</t>
  </si>
  <si>
    <t>M1</t>
  </si>
  <si>
    <t>ERCOT South 345 kV Hub 5 MW Off-Peak Calendar-Day Futures</t>
  </si>
  <si>
    <t>M2</t>
  </si>
  <si>
    <t>Singapore Gasoil (Platts) Average Price Option</t>
  </si>
  <si>
    <t>496A</t>
  </si>
  <si>
    <t>OneOk, Oklahoma Natural Gas (Platts Gas Daily) Swing Futures</t>
  </si>
  <si>
    <t>Southern Star, Tx.-Okla.-Kan. Natural Gas (Platts Gas Daily) Swing Futures</t>
  </si>
  <si>
    <t>M6</t>
  </si>
  <si>
    <t>ANR, Louisiana Natural Gas (Platts Gas Daily/Platts IFERC) Index Futures</t>
  </si>
  <si>
    <t>ND</t>
  </si>
  <si>
    <t>M7</t>
  </si>
  <si>
    <t>Trunkline ELA Natural Gas (Platts Gas Daily/Platts IFERC) Index Futures</t>
  </si>
  <si>
    <t>NU</t>
  </si>
  <si>
    <t>750/10,000</t>
  </si>
  <si>
    <t>500/10,000</t>
  </si>
  <si>
    <t>M8</t>
  </si>
  <si>
    <t>Southern Natural, Louisiana Natural Gas (Platts Gas Daily/Platts IFERC) Index Futures</t>
  </si>
  <si>
    <t>SZ</t>
  </si>
  <si>
    <t>M9</t>
  </si>
  <si>
    <t>Texas Eastern, ELA Natural Gas (Platts Gas Daily/Platts IFERC) Index Futures</t>
  </si>
  <si>
    <t>TE</t>
  </si>
  <si>
    <t>MAE</t>
  </si>
  <si>
    <t>Mini Argus Propane Far East Index Futures</t>
  </si>
  <si>
    <t>MAS</t>
  </si>
  <si>
    <t>Mini Argus Propane (Saudi Aramco) Futures</t>
  </si>
  <si>
    <t>9N</t>
  </si>
  <si>
    <t>MB</t>
  </si>
  <si>
    <t>Gulf Coast Sour Crude Oil Futures</t>
  </si>
  <si>
    <t>MBB</t>
  </si>
  <si>
    <t>Mont Belvieu Ethylene (PCW) BALMO Futures</t>
  </si>
  <si>
    <t>MBN</t>
  </si>
  <si>
    <t>MBE</t>
  </si>
  <si>
    <t>Mont Belvieu Spot Ethylene In-Well (PCW) Futures</t>
  </si>
  <si>
    <t>MBL</t>
  </si>
  <si>
    <t>Mont Belvieu LDH Iso-Butane (OPIS) Futures</t>
  </si>
  <si>
    <t>Mont Belvieu Ethylene (PCW) Financial Futures</t>
  </si>
  <si>
    <t>MBZ</t>
  </si>
  <si>
    <t>Micro Brent Crude Oil Penultimate Financial  Futures</t>
  </si>
  <si>
    <t>Barrel</t>
  </si>
  <si>
    <t>MC6</t>
  </si>
  <si>
    <t>Indonesian Coal (McCloskey sub-bituminous 6,000 kcal basis) Futures</t>
  </si>
  <si>
    <t>MCC</t>
  </si>
  <si>
    <t>Indonesian Coal (McCloskey sub-bituminous) Futures</t>
  </si>
  <si>
    <t>MCL</t>
  </si>
  <si>
    <t>Micro Crude Oil Futures</t>
  </si>
  <si>
    <t>MD</t>
  </si>
  <si>
    <t>Gulf Coast Unl 87 (Platts) vs. Gulf Coast Heating Oil (Platts) Futures</t>
  </si>
  <si>
    <t>ME</t>
  </si>
  <si>
    <t>Gulf Coast Jet (Platts) Up-Down Futures</t>
  </si>
  <si>
    <t>MEN</t>
  </si>
  <si>
    <t>Mini European Naphtha (Platts) BALMO Futures</t>
  </si>
  <si>
    <t>MEO</t>
  </si>
  <si>
    <t>Mini Gasoline Euro-bob Oxy NWE Barges (Argus) Futures</t>
  </si>
  <si>
    <t>Gulf Coast No. 6 Fuel Oil 3.0% (Platts) Futures</t>
  </si>
  <si>
    <t>MFD</t>
  </si>
  <si>
    <t>Mini 1% Fuel Oil Cargoes FOB MED (Platts) Futures</t>
  </si>
  <si>
    <t>MFE</t>
  </si>
  <si>
    <t>Mini 1% Fuel Oil Cargoes FOB NWE (Platts) (Euro Denominated) Futures</t>
  </si>
  <si>
    <t>MFF</t>
  </si>
  <si>
    <t>Coal (API4) FOB Richards Bay (ARGUS-McCloskey) Futures</t>
  </si>
  <si>
    <t>MFO</t>
  </si>
  <si>
    <t>Coal (API 4) fob Richards Bay (ARGUS/McCloskey) Option</t>
  </si>
  <si>
    <t>MFS</t>
  </si>
  <si>
    <t>MichCon Natural Gas (Platts IFERC) Fixed Price Futures</t>
  </si>
  <si>
    <t>MFT</t>
  </si>
  <si>
    <t>Mini 3.5% Fuel Oil Barges FOB Rdam (Platts) (Euro Denominated) Futures</t>
  </si>
  <si>
    <t>MG</t>
  </si>
  <si>
    <t>Gulf Coast No. 6 Fuel Oil (Platts) Crack Spread Futures</t>
  </si>
  <si>
    <t>MGB</t>
  </si>
  <si>
    <t>Mini Gasoil 0.1 Barges FOB Rdam (Platts) vs. Gasoil Futures</t>
  </si>
  <si>
    <t>MGC</t>
  </si>
  <si>
    <t>E-micro Gold Futures</t>
  </si>
  <si>
    <t>MGF</t>
  </si>
  <si>
    <t>Mini Gasoil 0.1 Cargoes CIF NWE (Platts) vs. Gasoil Futures</t>
  </si>
  <si>
    <t>MGG</t>
  </si>
  <si>
    <t>Mini Gasoil 0.1 Cargoes CIF NWE (Platts) vs. Gasoil (Euro Denominated) Futures</t>
  </si>
  <si>
    <t>MGN</t>
  </si>
  <si>
    <t>Mini ULSD 10ppm Cargoes CIF NWE (Platts) vs. Gasoil Futures</t>
  </si>
  <si>
    <t>Los Angeles CARBOB Gasoline (OPIS) Futures</t>
  </si>
  <si>
    <t>MJB</t>
  </si>
  <si>
    <t>Mini European Jet Kero Barges FOB Rdam (Platts) vs. Gasoil Futures</t>
  </si>
  <si>
    <t>MJC</t>
  </si>
  <si>
    <t>Mini European Jet Kero Cargoes CIF NWE (Platts) vs. Gasoil Futures</t>
  </si>
  <si>
    <t>MJN</t>
  </si>
  <si>
    <t>Mini Japan C&amp;F Naphtha (Platts) Futures</t>
  </si>
  <si>
    <t>ML</t>
  </si>
  <si>
    <t>New York Harbor Residual Fuel (Platts) Crack Spread Futures</t>
  </si>
  <si>
    <t>MM</t>
  </si>
  <si>
    <t>New York Harbor Residual Fuel 1.0% (Platts) Futures</t>
  </si>
  <si>
    <t>MMF</t>
  </si>
  <si>
    <t>Mini 3.5% Fuel Oil Cargoes FOB MED (Platts) Financial Futures</t>
  </si>
  <si>
    <t>MNB</t>
  </si>
  <si>
    <t>Mont Belvieu Normal Butane LDH (OPIS) Futures</t>
  </si>
  <si>
    <t>MNC</t>
  </si>
  <si>
    <t>Mini European Naphtha CIF NWE (Platts) Futures</t>
  </si>
  <si>
    <t>MNG</t>
  </si>
  <si>
    <t>Henry Hub Natural Gas Last Day Physically-Delivered Futures</t>
  </si>
  <si>
    <t>MO</t>
  </si>
  <si>
    <t>Mars (Argus) Trade Month Futures</t>
  </si>
  <si>
    <t>PJM ATSI Zone 5 MW Off-Peak Calendar-Month Day-Ahead Futures</t>
  </si>
  <si>
    <t>PJM ATSI Zone 5 MW Off-Peak Calendar-Month Real-Time Futures</t>
  </si>
  <si>
    <t>MP</t>
  </si>
  <si>
    <t>Heating Oil Financial Futures</t>
  </si>
  <si>
    <t>PJM ATSI Zone 5 MW Peak Calendar-Month Day-Ahead Futures</t>
  </si>
  <si>
    <t>PJM ATSI Zone 5 MW Peak Calendar-Month Real-Time Futures</t>
  </si>
  <si>
    <t>MQ</t>
  </si>
  <si>
    <t>Los Angeles Jet Fuel (Platts) vs. NY Harbor ULSD Heating Oil Futures</t>
  </si>
  <si>
    <t>MSD</t>
  </si>
  <si>
    <t>Singapore Fuel Oil 180 cst (Platts) vs. 380 cst (Platts) BALMO Futures</t>
  </si>
  <si>
    <t>5,000/ 1,500</t>
  </si>
  <si>
    <t>MSG</t>
  </si>
  <si>
    <t>Mini Singapore Gasoil (Platts) Futures</t>
  </si>
  <si>
    <t>MTB</t>
  </si>
  <si>
    <t>Mini Singapore Fuel Oil 380 cst (Platts) BALMO Futures</t>
  </si>
  <si>
    <t>Coal (API2) CIF ARA (ARGUS-McCloskey) Futures</t>
  </si>
  <si>
    <t>MTO</t>
  </si>
  <si>
    <t>Coal (API 2) cif ARA (ARGUS/McCloskey) Option</t>
  </si>
  <si>
    <t>MTS</t>
  </si>
  <si>
    <t>Mini Singapore Fuel Oil 380 cst (Platts) Futures</t>
  </si>
  <si>
    <t>MUD</t>
  </si>
  <si>
    <t>Mini European Diesel 10 ppm Barges FOB Rdam (Platts) vs. Gasoil Futures</t>
  </si>
  <si>
    <t>MUL</t>
  </si>
  <si>
    <t>Mini ULSD 10ppm Cargoes CIF NWE (Platts) vs. Gasoil (Euro Denominated) Futures</t>
  </si>
  <si>
    <t>MX</t>
  </si>
  <si>
    <t>Mars (Argus) Financial Futures</t>
  </si>
  <si>
    <t>N0</t>
  </si>
  <si>
    <t>Panamax Timecharter Average (Baltic) BALMO Futures</t>
  </si>
  <si>
    <t>N1</t>
  </si>
  <si>
    <t>ERCOT West 345 kV Hub 5 MW Peak Futures</t>
  </si>
  <si>
    <t>N2</t>
  </si>
  <si>
    <t>Singapore Jet Kerosene (Platts) Average Price Option</t>
  </si>
  <si>
    <t>495A</t>
  </si>
  <si>
    <t>N3</t>
  </si>
  <si>
    <t>PJM Northern Illinois Hub Day-Ahead LMP Peak Calendar-Month 5 MW Futures</t>
  </si>
  <si>
    <t>N4</t>
  </si>
  <si>
    <t>Texas Gas, Zone 1 Natural Gas (Platts Gas Daily/Platts IFERC) Index Futures</t>
  </si>
  <si>
    <t>300/500</t>
  </si>
  <si>
    <t>Y9</t>
  </si>
  <si>
    <t>9F</t>
  </si>
  <si>
    <t>N5</t>
  </si>
  <si>
    <t>SoCal City-Gate Natural Gas (Platts Gas Daily/Platts IFERC) Index Futures</t>
  </si>
  <si>
    <t>T9</t>
  </si>
  <si>
    <t>9A</t>
  </si>
  <si>
    <t>N6</t>
  </si>
  <si>
    <t>NGPL STX Natural Gas (Platts Gas Daily/Platts IFERC) Index Futures</t>
  </si>
  <si>
    <t>Q7</t>
  </si>
  <si>
    <t>T5</t>
  </si>
  <si>
    <t>N7</t>
  </si>
  <si>
    <t>Algonquin City-Gates Natural Gas (Platts Gas Daily/Platts IFERC) Index Futures</t>
  </si>
  <si>
    <t>N8</t>
  </si>
  <si>
    <t>Questar Natural Gas (Platts Gas Daily/Platts IFERC) Index Futures</t>
  </si>
  <si>
    <t>TA</t>
  </si>
  <si>
    <t>350/10,000</t>
  </si>
  <si>
    <t>250/10,000</t>
  </si>
  <si>
    <t>N9</t>
  </si>
  <si>
    <t>PJM Western Hub Real-Time Off-Peak Calendar-Month 5 MW Futures</t>
  </si>
  <si>
    <t>N9P</t>
  </si>
  <si>
    <t>PJM West Hub RT 50 MW Off-Peak Option</t>
  </si>
  <si>
    <t>Chicago Natural Gas (Platts IFERC) Basis Futures</t>
  </si>
  <si>
    <t>NBB</t>
  </si>
  <si>
    <t>Naphtha Cargoes CIF NWE (Platts) Crack Spread (1000mt) BALMO Futures</t>
  </si>
  <si>
    <t>NYMEX Brent 25-Day Futures</t>
  </si>
  <si>
    <t>NCL</t>
  </si>
  <si>
    <t>Coal (API 6) fob Newcastle (ARGUS-McCloskey) Futures</t>
  </si>
  <si>
    <t>Daily European Naphtha CIF NWE (Platts) Futures</t>
  </si>
  <si>
    <t>ANR, Louisiana Natural Gas (Platts IFERC) Basis Futures</t>
  </si>
  <si>
    <t>ANR, Oklahoma Natural Gas (Platts IFERC) Basis Futures</t>
  </si>
  <si>
    <t>NEL</t>
  </si>
  <si>
    <t>ISO New England Mass Hub Peak LMP Option on Calendar Futures Strip</t>
  </si>
  <si>
    <t>NF</t>
  </si>
  <si>
    <t>MichCon Natural Gas (Platts IFERC) Basis Futures</t>
  </si>
  <si>
    <t>NFC</t>
  </si>
  <si>
    <t>NY 1% Fuel Oil (Platts) Crack Spread BALMO Futures</t>
  </si>
  <si>
    <t>NFG</t>
  </si>
  <si>
    <t>NY 1% Fuel Oil (Platts) vs. Gulf Coast 3% Fuel Oil (Platts) BALMO Futures</t>
  </si>
  <si>
    <t>NFS</t>
  </si>
  <si>
    <t>NGPL Mid-Con Natural Gas (Platts IFERC) Fixed Price Futures</t>
  </si>
  <si>
    <t>Henry Hub Natural Gas Futures</t>
  </si>
  <si>
    <t>Houston Ship Channel Natural Gas (Platts IFERC) Basis Futures</t>
  </si>
  <si>
    <t>ISO New England Mass Hub Day-Ahead Peak Calendar-Month 2.5 MW Futures</t>
  </si>
  <si>
    <t>San Juan Natural Gas (Platts IFERC) Basis Futures</t>
  </si>
  <si>
    <t>Sumas Natural Gas (Platts IFERC) Basis Futures</t>
  </si>
  <si>
    <t>NGPL Mid-Con Natural Gas (Platts IFERC) Basis Futures</t>
  </si>
  <si>
    <t>NM</t>
  </si>
  <si>
    <t>Tennessee 500 Leg Natural Gas (Platts IFERC) Basis Futures</t>
  </si>
  <si>
    <t>NN</t>
  </si>
  <si>
    <t>Henry Hub Natural Gas Last Day Financial Futures</t>
  </si>
  <si>
    <t>NNC</t>
  </si>
  <si>
    <t>NYISO NYC In-City Capacity Calendar-Month Futures</t>
  </si>
  <si>
    <t>NOB</t>
  </si>
  <si>
    <t>Naphtha Cargoes CIF NWE (Platts) Crack Spread (1000mt) Futures</t>
  </si>
  <si>
    <t>NOC</t>
  </si>
  <si>
    <t>NP</t>
  </si>
  <si>
    <t>Henry Hub Natural Gas Penultimate Financial Futures</t>
  </si>
  <si>
    <t>NQ</t>
  </si>
  <si>
    <t>Tennessee Zone 0 Natural Gas (Platts IFERC) Basis Futures</t>
  </si>
  <si>
    <t>Rockies Natural Gas (Platts IFERC) Basis Futures</t>
  </si>
  <si>
    <t>NRS</t>
  </si>
  <si>
    <t>NYISO Rest of the State Capacity Calendar-Month Futures</t>
  </si>
  <si>
    <t>SoCal Natural Gas (Platts IFERC) Basis Futures</t>
  </si>
  <si>
    <t>NSF</t>
  </si>
  <si>
    <t>European Hot Rolled Coil, Ex-Works Ruhr Germany (Platts) Futures</t>
  </si>
  <si>
    <t>Trunkline, Louisiana Natural Gas (Platts IFERC) Basis Futures</t>
  </si>
  <si>
    <t>NV</t>
  </si>
  <si>
    <t>Kern River Natural Gas (Platts IFERC) Basis Futures</t>
  </si>
  <si>
    <t>NVP</t>
  </si>
  <si>
    <t>NY Ethanol (Platts) Average Price Option</t>
  </si>
  <si>
    <t>Waha Natural Gas (Platts IFERC) Basis Futures</t>
  </si>
  <si>
    <t>NWE</t>
  </si>
  <si>
    <t>European Naphtha Cargoes CIF NWE (Platts) Average Price Option</t>
  </si>
  <si>
    <t>Texas Eastern Zone M-3 Natural Gas (Platts IFERC) Basis Futures</t>
  </si>
  <si>
    <t>NYB</t>
  </si>
  <si>
    <t>NY 0.3% Fuel Oil HiPr (Platts) BALMO Futures</t>
  </si>
  <si>
    <t>8N</t>
  </si>
  <si>
    <t>NYC</t>
  </si>
  <si>
    <t>NY 2.2% Fuel Oil (Platts) vs. Gulf Coast No. 6 Fuel Oil 3.0% (Platts) Futures</t>
  </si>
  <si>
    <t>Y3</t>
  </si>
  <si>
    <t>NYE</t>
  </si>
  <si>
    <t>NY 2.2% Fuel Oil (Platts) BALMO Futures</t>
  </si>
  <si>
    <t>NYF</t>
  </si>
  <si>
    <t>NY Fuel Oil 1.0% (Platts) vs. European 1% Fuel Oil Cargoes FOB NWE (Platts) Futures</t>
  </si>
  <si>
    <t>NYG</t>
  </si>
  <si>
    <t>NY Fuel Oil 1.0% (Platts) vs. European 1% Fuel Oil Cargoes FOB NWE (Platts) BALMO Futures</t>
  </si>
  <si>
    <t>NYH</t>
  </si>
  <si>
    <t>NY 0.3% Fuel Oil HiPr (Platts) vs. NY Fuel Oil 1.0% (Platts) Futures</t>
  </si>
  <si>
    <t>NYI</t>
  </si>
  <si>
    <t>NY 0.7% Fuel Oil (Platts) vs. NY 1.0% Fuel Oil (Platts) Futures</t>
  </si>
  <si>
    <t>Y4</t>
  </si>
  <si>
    <t>NYS</t>
  </si>
  <si>
    <t>NY 0.7% Fuel Oil (Platts) BALMO Futures</t>
  </si>
  <si>
    <t>NYT</t>
  </si>
  <si>
    <t>NY 3.0% Fuel Oil (Platts) BALMO Futures</t>
  </si>
  <si>
    <t>Transco Zone 6 Natural Gas (Platts IFERC) Basis Futures</t>
  </si>
  <si>
    <t>O1</t>
  </si>
  <si>
    <t>ERCOT West 345 kV Hub 5 MW Off-Peak Futures</t>
  </si>
  <si>
    <t>OB</t>
  </si>
  <si>
    <t>RBOB Gasoline Option</t>
  </si>
  <si>
    <t>RB</t>
  </si>
  <si>
    <t>ODB</t>
  </si>
  <si>
    <t>Daily Brent Crude Oil Option</t>
  </si>
  <si>
    <t>OE</t>
  </si>
  <si>
    <t>ISO New England Peak Calendar-Month LMP Option</t>
  </si>
  <si>
    <t>OEM</t>
  </si>
  <si>
    <t>MISO Indiana Hub (formerly Cinergy Hub) Peak Option on Calendar Futures Strip</t>
  </si>
  <si>
    <t>OFD</t>
  </si>
  <si>
    <t>Ontario Off-Peak Calendar-Day Futures</t>
  </si>
  <si>
    <t>OFM</t>
  </si>
  <si>
    <t>Ontario Off-Peak Calendar-Month Futures</t>
  </si>
  <si>
    <t>OG</t>
  </si>
  <si>
    <t>Gold Option</t>
  </si>
  <si>
    <t>OH</t>
  </si>
  <si>
    <t>Heating Oil Option</t>
  </si>
  <si>
    <t>OI</t>
  </si>
  <si>
    <t>NGPL TexOk Natural Gas (Platts Gas Daily/Platts IFERC) Index Futures</t>
  </si>
  <si>
    <t>OX</t>
  </si>
  <si>
    <t>PD</t>
  </si>
  <si>
    <t>OJ</t>
  </si>
  <si>
    <t>778A</t>
  </si>
  <si>
    <t>OM</t>
  </si>
  <si>
    <t>ON</t>
  </si>
  <si>
    <t>Henry Hub Natural Gas Option</t>
  </si>
  <si>
    <t>OPD</t>
  </si>
  <si>
    <t>Ontario Peak Calendar-Day Futures</t>
  </si>
  <si>
    <t>OPM</t>
  </si>
  <si>
    <t>Ontario Peak Calendar-Month Futures</t>
  </si>
  <si>
    <t>OR</t>
  </si>
  <si>
    <t>Regional Greenhouse Gas Initiative (RGGI) CO2 Allowance Option</t>
  </si>
  <si>
    <t>RGGI allowances</t>
  </si>
  <si>
    <t>RJ</t>
  </si>
  <si>
    <t>OS</t>
  </si>
  <si>
    <t>Brent Crude Oil Option</t>
  </si>
  <si>
    <t>OT</t>
  </si>
  <si>
    <t>VM</t>
  </si>
  <si>
    <t>OU</t>
  </si>
  <si>
    <t>PJM Northern Illinois Hub Peak Calendar-Month LMP Option</t>
  </si>
  <si>
    <t>NGPL TexOk Natural Gas (Platts Gas Daily) Swing Futures</t>
  </si>
  <si>
    <t>OY</t>
  </si>
  <si>
    <t>MISO Indiana Hub (formerly Cinergy Hub) Peak Calendar-Month LMP Option</t>
  </si>
  <si>
    <t>P0</t>
  </si>
  <si>
    <t>Supramax Timecharter Average (Baltic) BALMO Futures</t>
  </si>
  <si>
    <t>P1</t>
  </si>
  <si>
    <t>Polypropylene Futures</t>
  </si>
  <si>
    <t>P2</t>
  </si>
  <si>
    <t>ISO New England Connecticut Zone 5 MW Peak Calendar-Month Day-Ahead LMP Futures</t>
  </si>
  <si>
    <t>P3</t>
  </si>
  <si>
    <t>ISO New England Connecticut Zone 5 MW Off-Peak Calendar-Month Day-Ahead LMP Futures</t>
  </si>
  <si>
    <t>P4</t>
  </si>
  <si>
    <t>ISO New England South East Massachusetts Zone 5 MW Peak Calendar-Month Day-Ahead LMP Futures</t>
  </si>
  <si>
    <t>P5</t>
  </si>
  <si>
    <t>ISO New England South East Massachusetts Zone 5 MW Off-Peak Calendar-Month Day-Ahead LMP Futures</t>
  </si>
  <si>
    <t>P6</t>
  </si>
  <si>
    <t>High Density Polyethylene (HDPE) Futures</t>
  </si>
  <si>
    <t>P7</t>
  </si>
  <si>
    <t>ISO New England North East Massachusetts Zone 5 MW Peak Calendar-Month Day-Ahead LMP Futures</t>
  </si>
  <si>
    <t>P8</t>
  </si>
  <si>
    <t>ISO New England North East Massachusetts Zone 5 MW Off-Peak Calendar-Month Day-Ahead LMP Futures</t>
  </si>
  <si>
    <t>P9</t>
  </si>
  <si>
    <t>ISO New England Maine Zone 5 MW Peak Calendar-Month Day-Ahead LMP Futures</t>
  </si>
  <si>
    <t>PA</t>
  </si>
  <si>
    <t>Palladium Futures</t>
  </si>
  <si>
    <t>PAO</t>
  </si>
  <si>
    <t>Palladium Option</t>
  </si>
  <si>
    <t>PAP</t>
  </si>
  <si>
    <t>PB</t>
  </si>
  <si>
    <t>Malin Natural Gas (Platts IFERC) Basis Futures</t>
  </si>
  <si>
    <t>PG&amp;E Citygate Natural Gas (Platts IFERC) Basis Futures</t>
  </si>
  <si>
    <t>NGPL TexOk Natural Gas (Platts IFERC) Basis Futures</t>
  </si>
  <si>
    <t>PDD</t>
  </si>
  <si>
    <t>MISO Indiana Hub Day-Ahead Peak Calendar-Day 5 MW Futures</t>
  </si>
  <si>
    <t>PDM</t>
  </si>
  <si>
    <t>MISO Indiana Hub Day-Ahead Peak Calendar-Month 5 MW Futures</t>
  </si>
  <si>
    <t>Demarc Natural Gas (Platts IFERC) Basis Futures</t>
  </si>
  <si>
    <t>PEO</t>
  </si>
  <si>
    <t>R7</t>
  </si>
  <si>
    <t>PEP</t>
  </si>
  <si>
    <t>PJM PEPCO Zone Peak Calendar-Month Day-Ahead LMP Option</t>
  </si>
  <si>
    <t>R8</t>
  </si>
  <si>
    <t>PF</t>
  </si>
  <si>
    <t>Ventura Natural Gas (Platts IFERC) Basis Futures</t>
  </si>
  <si>
    <t>PFS</t>
  </si>
  <si>
    <t>Permian Natural Gas (Platts IFERC) Fixed Price Futures</t>
  </si>
  <si>
    <t>Panamax Timecharter Average (Baltic) Futures</t>
  </si>
  <si>
    <t>Dominion, South Point Natural Gas (Platts IFERC) Basis Futures</t>
  </si>
  <si>
    <t>PGP</t>
  </si>
  <si>
    <t>PGP Polymer Grade Propylene (PCW) Financial Futures</t>
  </si>
  <si>
    <t>Panhandle Natural Gas (Platts IFERC) Basis Futures</t>
  </si>
  <si>
    <t>Iron Ore 62% Fe, CFR North China (Platts) Futures</t>
  </si>
  <si>
    <t>PJ</t>
  </si>
  <si>
    <t>San Juan Natural Gas (Platts IFERC) "Pipe" Option</t>
  </si>
  <si>
    <t>519A</t>
  </si>
  <si>
    <t>PJD</t>
  </si>
  <si>
    <t>PJM AEP Dayton Hub Peak 50 MW Calendar-Month LMP Option</t>
  </si>
  <si>
    <t>PJH</t>
  </si>
  <si>
    <t>PJM Northern Illinois Hub Peak 50 MW Calendar-Month LMP Option on Calendar Futures Strip</t>
  </si>
  <si>
    <t>PJN</t>
  </si>
  <si>
    <t>PJM Northern Illinois Hub Peak 50 MW Calendar-Month LMP Option</t>
  </si>
  <si>
    <t>PJP</t>
  </si>
  <si>
    <t>PJM AEP Dayton Hub Peak 50 MW Calendar-Month LMP Option on Calendar Futures Strip</t>
  </si>
  <si>
    <t>PK</t>
  </si>
  <si>
    <t>Houston Ship Channel Natural Gas (Platts IFERC) "Pipe" Option</t>
  </si>
  <si>
    <t>518A</t>
  </si>
  <si>
    <t>PL</t>
  </si>
  <si>
    <t>Platinum Futures</t>
  </si>
  <si>
    <t>Permian Natural Gas (Platts IFERC) Basis Futures</t>
  </si>
  <si>
    <t>PML</t>
  </si>
  <si>
    <t>PJM 50 MW Calendar-Month LMP Option</t>
  </si>
  <si>
    <t>PNO</t>
  </si>
  <si>
    <t>PNP</t>
  </si>
  <si>
    <t>PO</t>
  </si>
  <si>
    <t>Platinum Option</t>
  </si>
  <si>
    <t>PPB</t>
  </si>
  <si>
    <t>Pine Prairie Energy Center (PPEC) Physically Delivered Natural Gas BALMO Futures</t>
  </si>
  <si>
    <t>PPM</t>
  </si>
  <si>
    <t>PPD</t>
  </si>
  <si>
    <t>Pine Prairie Energy Center (PPEC) Physically Delivered Natural Gas Daily/Weekend Futures</t>
  </si>
  <si>
    <t>PPE</t>
  </si>
  <si>
    <t>Pine Prairie Energy Center (PPEC) Physically Delivered Natural Gas Monthly Basis Futures</t>
  </si>
  <si>
    <t>Pine Prairie Energy Center (PPEC) Physically Delivered Natural Gas Monthly Futures</t>
  </si>
  <si>
    <t>PPP</t>
  </si>
  <si>
    <t>PP Polypropylene (PCW) Financial Futures</t>
  </si>
  <si>
    <t>PPW</t>
  </si>
  <si>
    <t>PP Polypropylene  (PCW) BALMO Futures</t>
  </si>
  <si>
    <t>European Propane CIF ARA (Argus) Futures</t>
  </si>
  <si>
    <t>PSG</t>
  </si>
  <si>
    <t>PJM PSEG Zone Peak Calendar-Month Day-Ahead LMP Option</t>
  </si>
  <si>
    <t>PTD</t>
  </si>
  <si>
    <t>MISO Indiana Hub Real-Time Peak Calendar-Day 5 MW Futures</t>
  </si>
  <si>
    <t>PTM</t>
  </si>
  <si>
    <t>MISO Indiana Hub Real-Time Peak Calendar-Month 5 MW Futures</t>
  </si>
  <si>
    <t>PU</t>
  </si>
  <si>
    <t>Panhandle Natural Gas (Platts IFERC) "Pipe" Option</t>
  </si>
  <si>
    <t>525A</t>
  </si>
  <si>
    <t>CenterPoint Natural Gas (Platts IFERC) Basis Futures</t>
  </si>
  <si>
    <t>PWO</t>
  </si>
  <si>
    <t>PWP</t>
  </si>
  <si>
    <t>NGPL Mid-Con Natural Gas (Platts Gas Daily) Swing Futures</t>
  </si>
  <si>
    <t>PY</t>
  </si>
  <si>
    <t>Chicago Natural Gas (Platts IFERC) "Pipe" Option</t>
  </si>
  <si>
    <t>517A</t>
  </si>
  <si>
    <t>Q0</t>
  </si>
  <si>
    <t>Handysize Timecharter Average (Baltic) BALMO Futures</t>
  </si>
  <si>
    <t>Q1</t>
  </si>
  <si>
    <t>Columbia Gas TCO (Platts Gas Daily/Platts IFERC) Index Futures</t>
  </si>
  <si>
    <t>A1</t>
  </si>
  <si>
    <t>TC</t>
  </si>
  <si>
    <t>Q2</t>
  </si>
  <si>
    <t>TETCO STX Natural Gas (Platts Gas Daily/Platts IFERC) Index Futures</t>
  </si>
  <si>
    <t>T2</t>
  </si>
  <si>
    <t>TX</t>
  </si>
  <si>
    <t>Q4</t>
  </si>
  <si>
    <t>Tennessee Zone 0 Natural Gas (Platts Gas Daily/Platts IFERC) Index Futures</t>
  </si>
  <si>
    <t>T4</t>
  </si>
  <si>
    <t>1,000/10,000</t>
  </si>
  <si>
    <t>Q5</t>
  </si>
  <si>
    <t>NYISO Zone C 5 MW Peak Calendar-Month Day-Ahead LBMP Futures</t>
  </si>
  <si>
    <t>Q6</t>
  </si>
  <si>
    <t>European 3.5% Fuel Oil Barges FOB Rdam (Platts) Average Price Option</t>
  </si>
  <si>
    <t>660A</t>
  </si>
  <si>
    <t>NGPL STX Natural Gas (Platts Gas Daily) Swing Futures</t>
  </si>
  <si>
    <t>Q8</t>
  </si>
  <si>
    <t>PJM PEPCO Zone Off-Peak Calendar-Month Day-Ahead LMP Futures</t>
  </si>
  <si>
    <t>Q9</t>
  </si>
  <si>
    <t>Florida Gas, Zone 3 Natural Gas (Platts Gas Daily/Platts IFERC) Index Futures</t>
  </si>
  <si>
    <t>QA</t>
  </si>
  <si>
    <t>Gasoil Mini Financial Futures</t>
  </si>
  <si>
    <t>QC</t>
  </si>
  <si>
    <t>E-mini Copper Futures</t>
  </si>
  <si>
    <t>QG</t>
  </si>
  <si>
    <t>E-mini Natural Gas Futures</t>
  </si>
  <si>
    <t>QH</t>
  </si>
  <si>
    <t>E-mini Heating Oil Futures</t>
  </si>
  <si>
    <t>QI</t>
  </si>
  <si>
    <t>COMEX miNY Silver Futures</t>
  </si>
  <si>
    <t>6Q</t>
  </si>
  <si>
    <t>Central Appalachian Coal Futures</t>
  </si>
  <si>
    <t>QM</t>
  </si>
  <si>
    <t>E-mini Crude Oil Futures</t>
  </si>
  <si>
    <t>QO</t>
  </si>
  <si>
    <t>COMEX miNY Gold Futures</t>
  </si>
  <si>
    <t>QP</t>
  </si>
  <si>
    <t>Powder River Basin Coal (Platts OTC Broker Index) Futures</t>
  </si>
  <si>
    <t>QU</t>
  </si>
  <si>
    <t>E-mini RBOB Gasoline Futures</t>
  </si>
  <si>
    <t>RT</t>
  </si>
  <si>
    <t>CSX Coal (Platts OTC Broker Index) Futures</t>
  </si>
  <si>
    <t>R0</t>
  </si>
  <si>
    <t>Mont Belvieu Natural Gasoline (OPIS) BALMO Futures</t>
  </si>
  <si>
    <t>R1</t>
  </si>
  <si>
    <t>ERCOT West 345 kV Hub 5 MW Peak Calendar-Day Futures</t>
  </si>
  <si>
    <t>R2</t>
  </si>
  <si>
    <t>REBCO (Argus) Financial Futures</t>
  </si>
  <si>
    <t>R3</t>
  </si>
  <si>
    <t>PJM BGE Zone Off-Peak Calendar-Month Day-Ahead LMP Futures</t>
  </si>
  <si>
    <t>R4</t>
  </si>
  <si>
    <t>ERCOT West 345 kV Hub 5 MW Off-Peak Calendar-Day Futures</t>
  </si>
  <si>
    <t>R5</t>
  </si>
  <si>
    <t>PJM DOM Zone Peak Calendar-Month Day-Ahead LMP Futures</t>
  </si>
  <si>
    <t>R6</t>
  </si>
  <si>
    <t>ISO New England West Central Massachusetts Zone 5 MW Peak Calendar-Month Day-Ahead LMP Futures</t>
  </si>
  <si>
    <t>PJM AEP Dayton Hub Day-Ahead Off-Peak Calendar-Month 5 MW Futures</t>
  </si>
  <si>
    <t>PJM PEPCO Zone Peak Calendar-Month Day-Ahead LMP Futures</t>
  </si>
  <si>
    <t>RA</t>
  </si>
  <si>
    <t>RBOB Gasoline Average Price Option</t>
  </si>
  <si>
    <t>RBOB Gasoline Futures</t>
  </si>
  <si>
    <t>RBB</t>
  </si>
  <si>
    <t>RBOB Gasoline Brent Crack Spread Futures</t>
  </si>
  <si>
    <t>RME Biodiesel FOB Rdam (Argus) (RED Compliant) Futures</t>
  </si>
  <si>
    <t>RBG</t>
  </si>
  <si>
    <t>Gulf Coast Unl 87 Gasoline M2 (Argus) vs. RBOB Gasoline Futures</t>
  </si>
  <si>
    <t>RBR</t>
  </si>
  <si>
    <t>Chinese Steel Rebar HRB400 (Mysteel) Futures</t>
  </si>
  <si>
    <t>RC</t>
  </si>
  <si>
    <t>European Union Allowance (EUA) Futures</t>
  </si>
  <si>
    <t>RD</t>
  </si>
  <si>
    <t>Gulf Coast No. 2 (Platts) Crack Spread Futures</t>
  </si>
  <si>
    <t>RE</t>
  </si>
  <si>
    <t>REBCO Futures</t>
  </si>
  <si>
    <t>Emission Reduction Unit (ERU) Futures</t>
  </si>
  <si>
    <t>RF</t>
  </si>
  <si>
    <t>RBOB Gasoline European Financial Option</t>
  </si>
  <si>
    <t>RH</t>
  </si>
  <si>
    <t>RBOB Gasoline vs. NY Harbor ULSD Heating Oil Futures</t>
  </si>
  <si>
    <t>RI</t>
  </si>
  <si>
    <t>NY RBOB (Platts) vs. RBOB Gasoline Futures</t>
  </si>
  <si>
    <t>RY</t>
  </si>
  <si>
    <t>Regional Greenhouse Gas Initiative (RGGI) CO2 Allowance Futures</t>
  </si>
  <si>
    <t>RK</t>
  </si>
  <si>
    <t>Singapore Jet Kerosene (Platts) vs. Gasoil (Platts) Futures</t>
  </si>
  <si>
    <t>RL</t>
  </si>
  <si>
    <t>RBOB Gasoline Financial Futures</t>
  </si>
  <si>
    <t>RLA</t>
  </si>
  <si>
    <t>Coal (API 4) fob Richards Bay (ARGUS - McCloskey) Option on Calendar Futures Strip</t>
  </si>
  <si>
    <t>RM</t>
  </si>
  <si>
    <t>RBOB Gasoline Crack Spread Futures</t>
  </si>
  <si>
    <t>RMF</t>
  </si>
  <si>
    <t>Tokyo Bay A-Grade 1% Sulfur Fuel Oil (RIM) Futures</t>
  </si>
  <si>
    <t>Liters</t>
  </si>
  <si>
    <t>RMG</t>
  </si>
  <si>
    <t>Tokyo Bay Gasoline (RIM) Futures</t>
  </si>
  <si>
    <t>RMK</t>
  </si>
  <si>
    <t>Tokyo Bay Kerosene (RIM) Futures</t>
  </si>
  <si>
    <t>RMS</t>
  </si>
  <si>
    <t>Tokyo Bay 10ppm Gasoil (RIM) Futures</t>
  </si>
  <si>
    <t>RMU</t>
  </si>
  <si>
    <t>Tokyo Bay A-Grade 0.1% Sulfur Fuel Oil (RIM) Futures</t>
  </si>
  <si>
    <t>RPF</t>
  </si>
  <si>
    <t>Powder River Basin Coal (Platts OTC Broker Index) Option on Quarterly Futures Strip</t>
  </si>
  <si>
    <t>RQA</t>
  </si>
  <si>
    <t>Coal (API 4) fob Richards Bay (ARGUS - McCloskey) Option on Quarterly Futures Strip</t>
  </si>
  <si>
    <t>RBOB Gasoline Bullet Futures</t>
  </si>
  <si>
    <t>RU</t>
  </si>
  <si>
    <t>Gulf Coast Unl 87 Gasoline M1 (Platts) Crack Spread Futures</t>
  </si>
  <si>
    <t>RV</t>
  </si>
  <si>
    <t>Gulf Coast Unl 87 Gasoline M1 (Platts) vs. RBOB Gasoline Futures</t>
  </si>
  <si>
    <t>RVG</t>
  </si>
  <si>
    <t>Gulf Coast Unl 87 Gasoline M2 (Platts) vs. RBOB Gasoline Futures</t>
  </si>
  <si>
    <t>RX</t>
  </si>
  <si>
    <t>RBOB Gasoline Crack Spread Option</t>
  </si>
  <si>
    <t>NY RBOB (Platts) Financial Futures</t>
  </si>
  <si>
    <t>S4</t>
  </si>
  <si>
    <t>PJM APS Zone Peak Calendar-Month Day-Ahead LMP Futures</t>
  </si>
  <si>
    <t>S7</t>
  </si>
  <si>
    <t>Texas Gas, Zone SL Natural Gas (Platts Gas Daily/Platts IFERC) Index Futures</t>
  </si>
  <si>
    <t>TB</t>
  </si>
  <si>
    <t>S9</t>
  </si>
  <si>
    <t>Columbia Gulf, Louisiana Natural Gas (Platts Gas Daily/Platts IFERC) Index Futures</t>
  </si>
  <si>
    <t>SD</t>
  </si>
  <si>
    <t>Singapore Fuel Oil 180 cst (Platts) vs. 380 cst (Platts) Futures</t>
  </si>
  <si>
    <t>Singapore Fuel Oil 380 cst (Platts) Futures</t>
  </si>
  <si>
    <t>SoCal Natural Gas (Platts Gas Daily) Swing Futures</t>
  </si>
  <si>
    <t>SFC</t>
  </si>
  <si>
    <t>Singapore Fuel Oil 180 cst (Platts) Brent Crack Spread Futures</t>
  </si>
  <si>
    <t>Supramax Timecharter Average (Baltic) Futures</t>
  </si>
  <si>
    <t>Singapore Gasoil (Platts) Futures</t>
  </si>
  <si>
    <t>SGW</t>
  </si>
  <si>
    <t>SoCal Gas City-Gate Natural Gas (Platts IFERC) Fixed Price Futures</t>
  </si>
  <si>
    <t>Dominion, South Point Natural Gas (Platts Gas Daily) Swing Futures</t>
  </si>
  <si>
    <t>SI</t>
  </si>
  <si>
    <t>Silver Futures</t>
  </si>
  <si>
    <t>San Juan Natural Gas (Platts Gas Daily) Swing Futures</t>
  </si>
  <si>
    <t>PG&amp;E Citygate Natural Gas (Platts Gas Daily) Swing Futures</t>
  </si>
  <si>
    <t>Permian Natural Gas (Platts Gas Daily) Swing Futures</t>
  </si>
  <si>
    <t>Houston Ship Channel Natural Gas (Platts Gas Daily) Swing Futures</t>
  </si>
  <si>
    <t>SMU</t>
  </si>
  <si>
    <t>Singapore Mogas 95 Unleaded (Platts) vs. Singapore Mogas 92 Unleaded (Platts) Futures</t>
  </si>
  <si>
    <t>V0</t>
  </si>
  <si>
    <t>7,000/ 7,000</t>
  </si>
  <si>
    <t>5,000/ 5,000</t>
  </si>
  <si>
    <t>Henry Hub Natural Gas (Platts Gas Daily) Swing Futures</t>
  </si>
  <si>
    <t>SO</t>
  </si>
  <si>
    <t>Silver Option</t>
  </si>
  <si>
    <t>Singapore Naphtha (Platts) Futures</t>
  </si>
  <si>
    <t>ANR, Oklahoma Natural Gas (Platts Gas Daily) Swing Futures</t>
  </si>
  <si>
    <t>Kern Opal Natural Gas (Platts Gas Daily) Swing Futures</t>
  </si>
  <si>
    <t>Chicago Natural Gas (Platts Gas Daily) Swing Futures</t>
  </si>
  <si>
    <t>SSF</t>
  </si>
  <si>
    <t>Steel Billet, FOB Black Sea (Platts) Futures</t>
  </si>
  <si>
    <t>SSI</t>
  </si>
  <si>
    <t>Coal (API 8) cfr South China (Argus/McCloskey) Futures</t>
  </si>
  <si>
    <t>Transco Zone 6 Natural Gas (Platts Gas Daily) Swing Futures</t>
  </si>
  <si>
    <t>STB</t>
  </si>
  <si>
    <t>Singapore Fuel Oil 180 cst (Platts) 6.35 Dubai (Platts) Crack Spread BALMO Futures</t>
  </si>
  <si>
    <t>STF</t>
  </si>
  <si>
    <t>Singapore Gasoil 10 ppm (Platts) Futures</t>
  </si>
  <si>
    <t>STI</t>
  </si>
  <si>
    <t>Singapore Fuel Oil 380 cst (Platts) 6.35 Dubai (Platts) Crack Spread Futures</t>
  </si>
  <si>
    <t>STL</t>
  </si>
  <si>
    <t>Singapore Gasoil 10 ppm (Platts) BALMO Futures</t>
  </si>
  <si>
    <t>STR</t>
  </si>
  <si>
    <t>Singapore Fuel Oil 180 cst (Platts) 6.35 Brent Crack Spread Futures</t>
  </si>
  <si>
    <t>STS</t>
  </si>
  <si>
    <t>Singapore Fuel Oil 180 cst (Platts) 6.35 Dubai (Platts) Crack Spread Futures</t>
  </si>
  <si>
    <t>STZ</t>
  </si>
  <si>
    <t>Singapore Gasoil 10 ppm (Platts) vs. Singapore Gasoil (Platts) Futures</t>
  </si>
  <si>
    <t>Sumas Natural Gas (Platts Gas Daily) Swing Futures</t>
  </si>
  <si>
    <t>Panhandle Natural Gas (Platts Gas Daily) Swing Futures</t>
  </si>
  <si>
    <t>TETCO M-3 Natural Gas (Platts Gas Daily) Swing Futures</t>
  </si>
  <si>
    <t>Waha Natural Gas (Platts Gas Daily) Swing Futures</t>
  </si>
  <si>
    <t>Southern Natural, Louisiana Natural Gas (Platts IFERC) Basis Futures</t>
  </si>
  <si>
    <t>T0</t>
  </si>
  <si>
    <t>Mini European 1% Fuel Oil Barges FOB Rdam (Platts) Futures</t>
  </si>
  <si>
    <t>TETCO STX Natural Gas (Platts Gas Daily) Swing Futures</t>
  </si>
  <si>
    <t>T3</t>
  </si>
  <si>
    <t>NYISO Zone G Day-Ahead Peak Calendar-Month 5 MW Futures</t>
  </si>
  <si>
    <t>Tennessee Zone 0 Natural Gas (Platts Gas Daily) Swing Futures</t>
  </si>
  <si>
    <t>NGPL STX Natural Gas (Platts IFERC) Basis Futures</t>
  </si>
  <si>
    <t>T6</t>
  </si>
  <si>
    <t>Transco Zone 3 Natural Gas (Platts Gas Daily) Swing Futures</t>
  </si>
  <si>
    <t>T7</t>
  </si>
  <si>
    <t>Tennessee 500 Leg Natural Gas (Platts Gas Daily) Swing Futures</t>
  </si>
  <si>
    <t>T8</t>
  </si>
  <si>
    <t>MichCon Natural Gas (Platts Gas Daily) Swing Futures</t>
  </si>
  <si>
    <t>SoCal City-Gate Natural Gas (Platts Gas Daily) Swing Futures</t>
  </si>
  <si>
    <t>Questar Natural Gas (Platts IFERC) Basis Futures</t>
  </si>
  <si>
    <t>Texas Gas, Zone SL Natural Gas (Platts IFERC) Basis Futures</t>
  </si>
  <si>
    <t>Columbia Gas TCO (Platts IFERC) Basis Futures</t>
  </si>
  <si>
    <t>TC6</t>
  </si>
  <si>
    <t>Freight Route TC6 (Baltic) Futures</t>
  </si>
  <si>
    <t>TCF</t>
  </si>
  <si>
    <t>TH</t>
  </si>
  <si>
    <t>TCW</t>
  </si>
  <si>
    <t>Freight Route TC2 (Baltic) Average Price Option</t>
  </si>
  <si>
    <t>TM</t>
  </si>
  <si>
    <t>TDT</t>
  </si>
  <si>
    <t>Freight Route TD3 (Baltic) Average Price Option</t>
  </si>
  <si>
    <t>TL</t>
  </si>
  <si>
    <t>TETCO ELA Natural Gas (Platts IFERC) Basis Futures</t>
  </si>
  <si>
    <t>Freight Route TC5 (Platts) Futures</t>
  </si>
  <si>
    <t>TI</t>
  </si>
  <si>
    <t>Freight Route TD5 (Baltic) Futures</t>
  </si>
  <si>
    <t>TIO</t>
  </si>
  <si>
    <t>Iron Ore 62% Fe, CFR China (TSI) Futures</t>
  </si>
  <si>
    <t>Dry Metric tons</t>
  </si>
  <si>
    <t>TJ</t>
  </si>
  <si>
    <t>Freight Route TC4 (Platts) Futures</t>
  </si>
  <si>
    <t>TK</t>
  </si>
  <si>
    <t>Freight Route TD7 (Baltic) Futures</t>
  </si>
  <si>
    <t>Freight Route TD3 (Baltic) Futures</t>
  </si>
  <si>
    <t>Freight Route TC2 (Baltic) Futures</t>
  </si>
  <si>
    <t>TP</t>
  </si>
  <si>
    <t>ULSD 10ppm Cargoes CIF NWE (Platts) vs. Gasoil Futures</t>
  </si>
  <si>
    <t>Transco Zone 4 Natural Gas (Platts IFERC) Basis Futures</t>
  </si>
  <si>
    <t>TT</t>
  </si>
  <si>
    <t>NYMEX Cotton Futures</t>
  </si>
  <si>
    <t>TU</t>
  </si>
  <si>
    <t>Gasoil 0.1 Cargoes CIF NWE (Platts) vs. Gasoil Futures</t>
  </si>
  <si>
    <t>Gasoil 0.1 Cargoes CIF NWE (Platts) Futures</t>
  </si>
  <si>
    <t>TETCO STX Natural Gas (Platts IFERC) Basis Futures</t>
  </si>
  <si>
    <t>ULSD 10ppm Cargoes CIF NWE (Platts) Futures</t>
  </si>
  <si>
    <t>TZ</t>
  </si>
  <si>
    <t>Transco Zone 6 Natural Gas (Platts IFERC) "Pipe" Option</t>
  </si>
  <si>
    <t>521A</t>
  </si>
  <si>
    <t>TZ5</t>
  </si>
  <si>
    <t>Transco Zone 5 Natural Gas (Platts Gas Daily) Swing Futures</t>
  </si>
  <si>
    <t>TZ6</t>
  </si>
  <si>
    <t>Transco Zone 6 Non-N.Y. Natural Gas (Platts IFERC) Basis Futures</t>
  </si>
  <si>
    <t>TZI</t>
  </si>
  <si>
    <t>Transco Zone 6 Non-N.Y. Natural Gas (Platts Gas Daily/Platts IFERC) Index Futures</t>
  </si>
  <si>
    <t>TZS</t>
  </si>
  <si>
    <t>5,000/ 10,000</t>
  </si>
  <si>
    <t>2,000/ 10,000</t>
  </si>
  <si>
    <t>Transco Zone 6 Non-N.Y. Natural Gas (Platts Gas Daily) Swing Futures</t>
  </si>
  <si>
    <t>U01-U31</t>
  </si>
  <si>
    <t>Short-Term Natural Gas Option</t>
  </si>
  <si>
    <t>U1</t>
  </si>
  <si>
    <t>PJM DOM Zone Off-Peak Calendar-Month Day-Ahead LMP Futures</t>
  </si>
  <si>
    <t>U2</t>
  </si>
  <si>
    <t>ISO New England New Hampshire Zone 5 MW Peak Calendar-Month Day-Ahead LMP Futures</t>
  </si>
  <si>
    <t>U3</t>
  </si>
  <si>
    <t>ISO New England New Hampshire Zone 5 MW Off-Peak Calendar-Month Day-Ahead LMP Futures</t>
  </si>
  <si>
    <t>U4</t>
  </si>
  <si>
    <t>ISO New England Rhode Island Zone 5 MW Peak Calendar-Month Day-Ahead LMP Futures</t>
  </si>
  <si>
    <t>U5</t>
  </si>
  <si>
    <t>ISO New England Rhode Island Zone 5 MW Off-Peak Calendar-Month Day-Ahead LMP Futures</t>
  </si>
  <si>
    <t>U6</t>
  </si>
  <si>
    <t>ISO New England Mass Hub 5 MW Peak Calendar-Month Day-Ahead LMP Futures</t>
  </si>
  <si>
    <t>U7</t>
  </si>
  <si>
    <t>Diesel 10ppm Barges FOB Rdam (Platts) BALMO Futures</t>
  </si>
  <si>
    <t>U8</t>
  </si>
  <si>
    <t>CIG Rockies Natural Gas (Platts Gas Daily) Swing Futures</t>
  </si>
  <si>
    <t>U9</t>
  </si>
  <si>
    <t>Gasoil BALMO Futures</t>
  </si>
  <si>
    <t>Singapore Fuel Oil 180 cst (Platts) Futures</t>
  </si>
  <si>
    <t>Dated Brent (Platts) Financial Futures</t>
  </si>
  <si>
    <t>UCM</t>
  </si>
  <si>
    <t>Mini ULSD 10ppm Cargoes CIF MED (Platts) vs. Gasoil Futures</t>
  </si>
  <si>
    <t>Z6</t>
  </si>
  <si>
    <t>UCU</t>
  </si>
  <si>
    <t>ULSD 10ppm Cargoes CIF MED (Platts) vs. ULSD 10ppm Cargoes CIF NWE (Platts) Futures</t>
  </si>
  <si>
    <t>UD</t>
  </si>
  <si>
    <t>PJM Northern Illinois Hub Real-Time Peak Calendar-Day 2.5 MW Futures</t>
  </si>
  <si>
    <t>European 1% Fuel Oil Cargoes FOB NWE (Platts) Futures</t>
  </si>
  <si>
    <t>UGG</t>
  </si>
  <si>
    <t>Gulf Coast Unl 87 Gasoline M2 (Argus) Futures</t>
  </si>
  <si>
    <t>European 1% Fuel Oil Barges FOB Rdam (Platts) Futures</t>
  </si>
  <si>
    <t>European 3.5% Fuel Oil Cargoes FOB MED (Platts) Futures</t>
  </si>
  <si>
    <t>European Jet Kerosene Cargoes CIF NWE (Platts) Futures</t>
  </si>
  <si>
    <t>ULB</t>
  </si>
  <si>
    <t>NY ULSD (Argus) vs. NY Harbor ULSD Heating Oil BALMO Futures</t>
  </si>
  <si>
    <t>5Y</t>
  </si>
  <si>
    <t>PJM Northern Illinois Hub Real-Time Peak Calendar-Month 2.5 MW Futures</t>
  </si>
  <si>
    <t>European Naphtha Cargoes CIF NWE (Platts) Futures</t>
  </si>
  <si>
    <t>PJM Northern Illinois Hub Off-Peak LMP Futures</t>
  </si>
  <si>
    <t>762A</t>
  </si>
  <si>
    <t>European Jet Kerosene Barges FOB Rdam (Platts) Futures</t>
  </si>
  <si>
    <t>US</t>
  </si>
  <si>
    <t>Gulf Coast ULSD (Argus) Up-Down Futures</t>
  </si>
  <si>
    <t>UT</t>
  </si>
  <si>
    <t>Gulf Coast No. 2 (Platts) Up-Down Financial Futures</t>
  </si>
  <si>
    <t>European 3.5% Fuel Oil Barges FOB Rdam (Platts) Futures</t>
  </si>
  <si>
    <t>UX</t>
  </si>
  <si>
    <t>UxC Uranium U3O8 Futures</t>
  </si>
  <si>
    <t>UY</t>
  </si>
  <si>
    <t>NY ULSD (Platts) vs. NY Harbor ULSD Heating Oil Futures</t>
  </si>
  <si>
    <t>YS</t>
  </si>
  <si>
    <t>UZ</t>
  </si>
  <si>
    <t>Gulf Coast Unl 87 (Argus) Up-Down Futures</t>
  </si>
  <si>
    <t>Singapore Mogas 95 Unleaded (Platts) Futures</t>
  </si>
  <si>
    <t>V2</t>
  </si>
  <si>
    <t>NYMEX US Dollar/Colombian Peso Futures</t>
  </si>
  <si>
    <t>10MM Col</t>
  </si>
  <si>
    <t>Foreign Exchange</t>
  </si>
  <si>
    <t>V3</t>
  </si>
  <si>
    <t>PJM AEP Dayton Hub Real-Time Off-Peak Calendar-Month 5 MW Futures</t>
  </si>
  <si>
    <t>Argus WTI Trade Month Futures</t>
  </si>
  <si>
    <t>V8</t>
  </si>
  <si>
    <t>Malin Natural Gas (Platts Gas Daily/Platts IFERC) Index Futures</t>
  </si>
  <si>
    <t>W9</t>
  </si>
  <si>
    <t>6S</t>
  </si>
  <si>
    <t>VD</t>
  </si>
  <si>
    <t>PJM AEP Dayton Hub Real-Time Peak Calendar-Day 2.5 MW Futures</t>
  </si>
  <si>
    <t>VI</t>
  </si>
  <si>
    <t>Ventura Natural Gas (Platts Gas Daily/Platts IFERC) Index Futures</t>
  </si>
  <si>
    <t>VS</t>
  </si>
  <si>
    <t>VK</t>
  </si>
  <si>
    <t>New York Harbor 1.0% Fuel Oil (Platts) BALMO Futures</t>
  </si>
  <si>
    <t>Gasoil 0.1 Barges FOB Rdam (Platts) Futures</t>
  </si>
  <si>
    <t>PJM AEP Dayton Hub Real-Time Peak Calendar-Month 2.5 MW Futures</t>
  </si>
  <si>
    <t>PJM AEP Dayton Hub Off-Peak LMP Futures</t>
  </si>
  <si>
    <t>765A</t>
  </si>
  <si>
    <t>VQ</t>
  </si>
  <si>
    <t>NY 0.3% Fuel Oil (Platts) Futures</t>
  </si>
  <si>
    <t>VR</t>
  </si>
  <si>
    <t>NY 1% Fuel Oil (Platts) vs. Gulf Coast 3% Fuel Oil (Platts) Futures</t>
  </si>
  <si>
    <t>Ventura Natural Gas (Platts Gas Daily) Swing Futures</t>
  </si>
  <si>
    <t>VU</t>
  </si>
  <si>
    <t>Singapore Gasoil (Platts) BALMO Futures</t>
  </si>
  <si>
    <t>VV</t>
  </si>
  <si>
    <t>Gulf Coast ULSD (Platts) vs. Gulf Coast Jet (Platts) Futures</t>
  </si>
  <si>
    <t>CenterPoint Natural Gas (Platts Gas Daily) Swing Futures</t>
  </si>
  <si>
    <t>VZ</t>
  </si>
  <si>
    <t>Gulf Coast 3.0% Fuel Oil (Platts) BALMO Futures</t>
  </si>
  <si>
    <t>W0</t>
  </si>
  <si>
    <t>Singapore Mogas 95 Unleaded (Platts) BALMO Futures</t>
  </si>
  <si>
    <t>W2</t>
  </si>
  <si>
    <t>ISO New England Maine Zone 5 MW Off-Peak Calendar-Month Day-Ahead LMP Futures</t>
  </si>
  <si>
    <t>W4</t>
  </si>
  <si>
    <t>PJM APS Zone Off-Peak Calendar-Month Day-Ahead LMP Futures</t>
  </si>
  <si>
    <t>Tennessee 800 Leg Natural Gas (Platts Gas Daily) Swing Futures</t>
  </si>
  <si>
    <t>W6</t>
  </si>
  <si>
    <t>PJM PSEG Zone Off-Peak Calendar-Month Day-Ahead LMP Futures</t>
  </si>
  <si>
    <t>Malin Natural Gas (Platts Gas Daily) Swing Futures</t>
  </si>
  <si>
    <t>WCC</t>
  </si>
  <si>
    <t>Canadian Heavy Crude Oil Index (Net Energy) Futures</t>
  </si>
  <si>
    <t>WCE</t>
  </si>
  <si>
    <t>Western Canadian Select (WCS) Crude Oil Futures</t>
  </si>
  <si>
    <t>WCI</t>
  </si>
  <si>
    <t>Canadian Heavy Crude Oil Index (Net Energy) Average Price Option</t>
  </si>
  <si>
    <t>WCO</t>
  </si>
  <si>
    <t>Western Canadian Select (WCS) Crude Oil Option</t>
  </si>
  <si>
    <t>WE</t>
  </si>
  <si>
    <t>Ethanol T1 FOB Rdam Excluding Duty (Argus) Futures</t>
  </si>
  <si>
    <t>WFS</t>
  </si>
  <si>
    <t>Waha Natural Gas (Platts IFERC) Fixed Price Futures</t>
  </si>
  <si>
    <t>WJ</t>
  </si>
  <si>
    <t>LLS (Argus) vs. WTI Financial Futures</t>
  </si>
  <si>
    <t>XA</t>
  </si>
  <si>
    <t>WOR</t>
  </si>
  <si>
    <t>WQ</t>
  </si>
  <si>
    <t>Gasoil 0.1 Barges FOB Rdam (Platts) vs. Gasoil Futures</t>
  </si>
  <si>
    <t>WR</t>
  </si>
  <si>
    <t>Gasoil 0.1 Cargoes FOB NWE (Platts) Futures</t>
  </si>
  <si>
    <t>Crude Oil Bullet Futures</t>
  </si>
  <si>
    <t>WT</t>
  </si>
  <si>
    <t>Gasoil 0.1 Cargoes FOB NWE (Platts) vs. Gasoil Futures</t>
  </si>
  <si>
    <t>X0</t>
  </si>
  <si>
    <t>Singapore Mogas 97 Unleaded (Platts) Futures</t>
  </si>
  <si>
    <t>X1</t>
  </si>
  <si>
    <t>PJM AECO Zone Off-Peak Calendar-Month Day-Ahead LMP Futures</t>
  </si>
  <si>
    <t>Columbia Gulf, Mainline Natural Gas (Platts Gas Daily) Swing Futures</t>
  </si>
  <si>
    <t>Transco Zone 2 Natural Gas (Platts Gas Daily) Swing Futures</t>
  </si>
  <si>
    <t>Transco Zone 1 Natural Gas (Platts Gas Daily) Swing Futures</t>
  </si>
  <si>
    <t>Florida Gas, Zone 2 Natural Gas (Platts Gas Daily) Swing Futures</t>
  </si>
  <si>
    <t>X6</t>
  </si>
  <si>
    <t>Gasoil 0.1 Cargoes CIF MED (Platts) BALMO Futures</t>
  </si>
  <si>
    <t>Z4</t>
  </si>
  <si>
    <t>X7</t>
  </si>
  <si>
    <t>ULSD 10ppm CIF MED (Platts) BALMO Futures</t>
  </si>
  <si>
    <t>Texas Eastern, WLA Natural Gas (Platts Gas Daily) Swing Futures</t>
  </si>
  <si>
    <t>X9</t>
  </si>
  <si>
    <t>Jet Fuel Barges FOB Rdam (Platts) BALMO Futures</t>
  </si>
  <si>
    <t>LLS (Argus) Financial Futures</t>
  </si>
  <si>
    <t>XER</t>
  </si>
  <si>
    <t>RBOB Gasoline vs. Euro-bob Oxy NWE Barges (Argus) Futures</t>
  </si>
  <si>
    <t>XH</t>
  </si>
  <si>
    <t>Panhandle Natural Gas (Platts IFERC) Fixed Price Futures</t>
  </si>
  <si>
    <t>XJ</t>
  </si>
  <si>
    <t>Houston Ship Channel Natural Gas (Platts IFERC) Fixed Price Futures</t>
  </si>
  <si>
    <t>XN</t>
  </si>
  <si>
    <t>SoCal Natural Gas (Platts IFERC) Fixed Price Futures</t>
  </si>
  <si>
    <t>XR</t>
  </si>
  <si>
    <t>Rockies Natural Gas (Platts IFERC) Fixed Price Futures</t>
  </si>
  <si>
    <t>XX</t>
  </si>
  <si>
    <t>San Juan Natural Gas (Platts IFERC) Fixed Price Futures</t>
  </si>
  <si>
    <t>Y0</t>
  </si>
  <si>
    <t>Singapore Mogas 97 Unleaded (Platts) BALMO Futures</t>
  </si>
  <si>
    <t>Y1</t>
  </si>
  <si>
    <t>PJM AECO Zone Peak Calendar-Month Day-Ahead LMP Futures</t>
  </si>
  <si>
    <t>NY 2.2% Fuel Oil (Platts) Futures</t>
  </si>
  <si>
    <t>NY 0.7% Fuel Oil (Platts) Futures</t>
  </si>
  <si>
    <t>Y6</t>
  </si>
  <si>
    <t>Transco Zone 3 Natural Gas (Platts Gas Daily/Platts IFERC) Index Futures</t>
  </si>
  <si>
    <t>3,000/10,000</t>
  </si>
  <si>
    <t>Y7</t>
  </si>
  <si>
    <t>Tennessee 500 Leg Natural Gas (Platts Gas Daily/Platts IFERC) Index Futures</t>
  </si>
  <si>
    <t>Y8</t>
  </si>
  <si>
    <t>MichCon Natural Gas (Platts Gas Daily/Platts IFERC) Index Futures</t>
  </si>
  <si>
    <t>250/500</t>
  </si>
  <si>
    <t>Texas Gas, Zone 1 Natural Gas (Platts Gas Daily) Swing Futures</t>
  </si>
  <si>
    <t>YE</t>
  </si>
  <si>
    <t>Ethanol T2 FOB Rdam Including Duty (Argus) Futures</t>
  </si>
  <si>
    <t>YF</t>
  </si>
  <si>
    <t>NY Heating Oil (Platts) Futures</t>
  </si>
  <si>
    <t>YH</t>
  </si>
  <si>
    <t>NY Heating Oil (Platts) vs. NY Harbor ULSD Heating Oil Futures</t>
  </si>
  <si>
    <t>3,500/5,000</t>
  </si>
  <si>
    <t>YO</t>
  </si>
  <si>
    <t>NYMEX No. 11 Sugar Futures</t>
  </si>
  <si>
    <t>NY ULSD (Platts) Futures</t>
  </si>
  <si>
    <t>YV</t>
  </si>
  <si>
    <t>Mars (Argus) vs. WTI Trade Month Futures</t>
  </si>
  <si>
    <t>YX</t>
  </si>
  <si>
    <t>Mars (Argus) vs. WTI Financial Futures</t>
  </si>
  <si>
    <t>Z0</t>
  </si>
  <si>
    <t>Singapore Jet Kerosene (Platts) vs. Gasoil (Platts) BALMO Futures</t>
  </si>
  <si>
    <t>Z1</t>
  </si>
  <si>
    <t>Ethanol T2 FOB Rdam Including Duty (Platts) Futures</t>
  </si>
  <si>
    <t>Gasoil 0.1 Cargoes CIF MED (Platts) Futures</t>
  </si>
  <si>
    <t>Z5</t>
  </si>
  <si>
    <t>Gasoil 0.1 Cargoes CIF MED (Platts) vs. Gasoil Futures</t>
  </si>
  <si>
    <t>ULSD 10ppm Cargoes CIF MED (Platts) Futures</t>
  </si>
  <si>
    <t>Z7</t>
  </si>
  <si>
    <t>ULSD 10ppm CIF MED (Platts) vs. Gasoil Futures</t>
  </si>
  <si>
    <t>Z8</t>
  </si>
  <si>
    <t>CIG Rockies Natural Gas (Platts Gas Daily/Platts IFERC) Index Futures</t>
  </si>
  <si>
    <t>300/10,000</t>
  </si>
  <si>
    <t>200/10,000</t>
  </si>
  <si>
    <t>Z9</t>
  </si>
  <si>
    <t>PJM AEP Dayton Hub 5 MW Peak Calendar-Month Real-Time LMP Futures</t>
  </si>
  <si>
    <t>ZAO</t>
  </si>
  <si>
    <t>ZGO</t>
  </si>
  <si>
    <t>ZJO</t>
  </si>
  <si>
    <t>ZN</t>
  </si>
  <si>
    <t>SoCal Natural Gas (Platts IFERC) "Pipe" Option</t>
  </si>
  <si>
    <t>520A</t>
  </si>
  <si>
    <t>ZR</t>
  </si>
  <si>
    <t>Rockies Natural Gas (Platts IFERC) "Pipe" Option</t>
  </si>
  <si>
    <t>524A</t>
  </si>
  <si>
    <t>4W</t>
  </si>
  <si>
    <t>MichCon Natural Gas (Platts IFERC) Basis Option</t>
  </si>
  <si>
    <t>619B</t>
  </si>
  <si>
    <t>CAISO NP15 EZ Gen Hub 5 MW Peak Calendar-Month Day-Ahead LMP Futures</t>
  </si>
  <si>
    <t>4Y</t>
  </si>
  <si>
    <t>NY Jet Fuel (Argus) Futures</t>
  </si>
  <si>
    <t>4Z</t>
  </si>
  <si>
    <t>CAISO SP15 EZ Gen Hub 5 MW Off-Peak Calendar-Day Day-Ahead LMP Futures</t>
  </si>
  <si>
    <t>5X</t>
  </si>
  <si>
    <t>PJM PENELEC Zone Off-Peak Calendar-Month Day-Ahead LMP Futures</t>
  </si>
  <si>
    <t>51</t>
  </si>
  <si>
    <t>Mont Belvieu LDH Propane (OPIS) vs. European Propane CIF ARA (Argus) Futures</t>
  </si>
  <si>
    <t>250/50</t>
  </si>
  <si>
    <t>2,000/300</t>
  </si>
  <si>
    <t>1,500/300</t>
  </si>
  <si>
    <t>55</t>
  </si>
  <si>
    <t>NYISO Zone E 5 MW Peak Calendar-Month Day-Ahead LBMP Futures</t>
  </si>
  <si>
    <t>58</t>
  </si>
  <si>
    <t>NYISO Zone E 5 MW Off-Peak Calendar-Month Day-Ahead LBMP Futures</t>
  </si>
  <si>
    <t>59</t>
  </si>
  <si>
    <t>Brent CFD (Platts) vs. Brent Third Month (Platts) Futures</t>
  </si>
  <si>
    <t>5C</t>
  </si>
  <si>
    <t>Chicago ULSD (Platts) vs. NY Harbor ULSD Heating Oil Futures</t>
  </si>
  <si>
    <t>5D</t>
  </si>
  <si>
    <t>Columbia Gas TCO (Platts IFERC) Basis Option</t>
  </si>
  <si>
    <t>622B</t>
  </si>
  <si>
    <t>5E</t>
  </si>
  <si>
    <t>Henry Hub Natural Gas (Platts IFERC) Basis Option</t>
  </si>
  <si>
    <t>509B</t>
  </si>
  <si>
    <t>5F</t>
  </si>
  <si>
    <t>Houston Ship Channel Natural Gas (Platts IFERC) Basis Option</t>
  </si>
  <si>
    <t>518B</t>
  </si>
  <si>
    <t>5G</t>
  </si>
  <si>
    <t>NGPL Mid-Con Natural Gas (Platts IFERC) Basis Option</t>
  </si>
  <si>
    <t>629B</t>
  </si>
  <si>
    <t>5H</t>
  </si>
  <si>
    <t>NGPL TexOk Natural Gas (Platts IFERC) Basis Option</t>
  </si>
  <si>
    <t>625B</t>
  </si>
  <si>
    <t>5I</t>
  </si>
  <si>
    <t>Rockies Natural Gas (Platts IFERC) Basis Option</t>
  </si>
  <si>
    <t>524B</t>
  </si>
  <si>
    <t>5K</t>
  </si>
  <si>
    <t>Panhandle Natural Gas (Platts IFERC) Basis Option</t>
  </si>
  <si>
    <t>525B</t>
  </si>
  <si>
    <t>5L</t>
  </si>
  <si>
    <t>Mini Singapore Fuel Oil 180 cst (Platts) BALMO Futures</t>
  </si>
  <si>
    <t>5M</t>
  </si>
  <si>
    <t>SoCal Natural Gas (Platts IFERC) Basis Option</t>
  </si>
  <si>
    <t>520B</t>
  </si>
  <si>
    <t>5N</t>
  </si>
  <si>
    <t>Texas Eastern Zone M-3 Natural Gas (Platts IFERC) Basis Option</t>
  </si>
  <si>
    <t>621B</t>
  </si>
  <si>
    <t>5O</t>
  </si>
  <si>
    <t>Waha Natural Gas (Platts IFERC) Basis Option</t>
  </si>
  <si>
    <t>634B</t>
  </si>
  <si>
    <t>5U</t>
  </si>
  <si>
    <t>NY Jet Fuel (Argus) vs. NY Harbor ULSD Heating Oil Futures</t>
  </si>
  <si>
    <t>CAISO SP15 EZ Gen Hub 5 MW Off-Peak Calendar-Month Day-Ahead LMP Futures</t>
  </si>
  <si>
    <t>NY ULSD (Argus) Futures</t>
  </si>
  <si>
    <t>Columbia Gulf, Mainline Natural Gas (Platts IFERC) Basis Futures</t>
  </si>
  <si>
    <t>63</t>
  </si>
  <si>
    <t>3.5% Fuel Oil Cargoes FOB MED (Platts) vs. 3.5% Fuel Oil Barges FOB Rdam (Platts) BALMO Futures</t>
  </si>
  <si>
    <t>6E</t>
  </si>
  <si>
    <t>Crude Oil Option on Quarterly Futures Strip</t>
  </si>
  <si>
    <t>6F</t>
  </si>
  <si>
    <t>Crude Oil Option on Calendar Futures Strip</t>
  </si>
  <si>
    <t>6I</t>
  </si>
  <si>
    <t>Natural Gas Option on Winter Futures Strip</t>
  </si>
  <si>
    <t>6J</t>
  </si>
  <si>
    <t>Natural Gas Option on Calendar Futures Strip</t>
  </si>
  <si>
    <t>6K</t>
  </si>
  <si>
    <t>Central Appalachian Coal Option On Quarterly Futures Strip</t>
  </si>
  <si>
    <t>6L</t>
  </si>
  <si>
    <t>European 1% Fuel Oil Barges FOB Rdam (Platts) BALMO Futures</t>
  </si>
  <si>
    <t>6M</t>
  </si>
  <si>
    <t>Central Appalachian Coal Option On Calendar Futures Strip</t>
  </si>
  <si>
    <t>6O</t>
  </si>
  <si>
    <t>PJM Electricity Option on Calendar Futures Strip</t>
  </si>
  <si>
    <t>6P</t>
  </si>
  <si>
    <t>In Delivery Month Certified Emission Reduction (CER) Option</t>
  </si>
  <si>
    <t>E-mini Silver Futures</t>
  </si>
  <si>
    <t>In Delivery Month Certified Emission Reduction (CER) Futures</t>
  </si>
  <si>
    <t>In Delivery Month European Union Allowance (EUA) Futures</t>
  </si>
  <si>
    <t>6U</t>
  </si>
  <si>
    <t>In Delivery Month European Union Allowance (EUA) Option</t>
  </si>
  <si>
    <t>6V</t>
  </si>
  <si>
    <t>Gasoil 0.1 Barges FOB Rdam (Platts) vs. Gasoil BALMO Futures</t>
  </si>
  <si>
    <t>6W</t>
  </si>
  <si>
    <t>Brent CFD (Platts) vs. Brent Second Month (Platts) Futures</t>
  </si>
  <si>
    <t>6X</t>
  </si>
  <si>
    <t>Jet Fuel Cargoes CIF NWE (Platts) vs. Gasoil BALMO Futures</t>
  </si>
  <si>
    <t>Tennessee 800 Leg Natural Gas (Platts IFERC) Basis Futures</t>
  </si>
  <si>
    <t>76</t>
  </si>
  <si>
    <t>Regional Greenhouse Gas Initiative (RGGI) CO2 Allowance Futures - Vintage 2010</t>
  </si>
  <si>
    <t>7D</t>
  </si>
  <si>
    <t>3.5% Fuel Oil CIF MED (Platts) Futures</t>
  </si>
  <si>
    <t>Argus Propane Far East Index Futures</t>
  </si>
  <si>
    <t>7F</t>
  </si>
  <si>
    <t>7G</t>
  </si>
  <si>
    <t>Dated Brent (Platts) Daily Futures</t>
  </si>
  <si>
    <t>Gasoline Euro-bob Oxy NWE Barges (Argus) Futures</t>
  </si>
  <si>
    <t>7I</t>
  </si>
  <si>
    <t>Gasoline Euro-bob Oxy NWE Barges (Argus) Crack Spread BALMO Futures</t>
  </si>
  <si>
    <t>7K</t>
  </si>
  <si>
    <t>Gasoline Euro-bob Oxy NWE Barges (Argus) Crack Spread Futures</t>
  </si>
  <si>
    <t>7L</t>
  </si>
  <si>
    <t>Premium Unleaded Gasoline 10 ppm Barges FOB Rdam (Platts) Futures</t>
  </si>
  <si>
    <t>7N</t>
  </si>
  <si>
    <t>Premium Unleaded Gasoline 10 ppm Barges FOB Rdam (Platts) BALMO Futures</t>
  </si>
  <si>
    <t>7O</t>
  </si>
  <si>
    <t>Gulf Coast Heating Oil (OPIS) Futures</t>
  </si>
  <si>
    <t>7P</t>
  </si>
  <si>
    <t>EuroBob Gasoline 10 ppm Barges FOB Rdam (Platts) Futures</t>
  </si>
  <si>
    <t>Mont Belvieu Natural Gasoline (OPIS) Futures</t>
  </si>
  <si>
    <t>7R</t>
  </si>
  <si>
    <t>Gasoline Euro-bob Oxy NWE Barges (Argus) BALMO Futures</t>
  </si>
  <si>
    <t>7S</t>
  </si>
  <si>
    <t>EuroBob Gasoline 10 ppm Barges FOB Rdam (Platts) BALMO Futures</t>
  </si>
  <si>
    <t>7U</t>
  </si>
  <si>
    <t>Gulf Coast Heating Oil (Argus) vs. NY Harbor ULSD Heating Oil Futures</t>
  </si>
  <si>
    <t>7V</t>
  </si>
  <si>
    <t>ULSD 10ppm CIF MED (Platts) vs. Gasoil BALMO Futures</t>
  </si>
  <si>
    <t>7W</t>
  </si>
  <si>
    <t>Gulf Coast Heating Oil (OPIS) vs. NY Harbor ULSD Heating Oil Futures</t>
  </si>
  <si>
    <t>7X</t>
  </si>
  <si>
    <t>Diesel 10ppm Barges FOB Rdam (Platts) vs. Gasoil BALMO Futures</t>
  </si>
  <si>
    <t>7Y</t>
  </si>
  <si>
    <t>NY ULSD (Argus) vs. NY Harbor ULSD Heating Oil Futures</t>
  </si>
  <si>
    <t>81</t>
  </si>
  <si>
    <t>Mont Belvieu Mini LDH Propane (OPIS) Futures</t>
  </si>
  <si>
    <t>86</t>
  </si>
  <si>
    <t>Regional Greenhouse Gas Initiative (RGGI) CO2 Allowance Futures - Vintage 2011</t>
  </si>
  <si>
    <t>88</t>
  </si>
  <si>
    <t>Northwest Europe Fuel Oil High-Low Sulfur Spread (Platts) BALMO Futures</t>
  </si>
  <si>
    <t>Florida Gas, Zone 2 Natural Gas (Platts IFERC) Basis Futures</t>
  </si>
  <si>
    <t>Texas Eastern, WLA Natural Gas (Platts IFERC) Basis Futures</t>
  </si>
  <si>
    <t>8C</t>
  </si>
  <si>
    <t>Mont Belvieu Ethane (OPIS) BALMO Futures</t>
  </si>
  <si>
    <t>8D</t>
  </si>
  <si>
    <t>3.5% Fuel Oil CIF MED (Platts) BALMO Futures</t>
  </si>
  <si>
    <t>Transco Zone 1 Natural Gas (Platts IFERC) Basis Futures</t>
  </si>
  <si>
    <t>Transco Zone 2 Natural Gas (Platts IFERC) Basis Futures</t>
  </si>
  <si>
    <t>8G</t>
  </si>
  <si>
    <t>Premium Unleaded Gasoline 10 ppm FOB MED (Platts) BALMO Futures</t>
  </si>
  <si>
    <t>8H</t>
  </si>
  <si>
    <t>Singapore Fuel Oil 380 cst (Platts) Average Price Option</t>
  </si>
  <si>
    <t>668A</t>
  </si>
  <si>
    <t>8I</t>
  </si>
  <si>
    <t>Mont Belvieu Iso-Butane (OPIS) Futures</t>
  </si>
  <si>
    <t>8J</t>
  </si>
  <si>
    <t>Mont Belvieu Normal Butane (OPIS) BALMO Futures</t>
  </si>
  <si>
    <t>Conway Propane (OPIS) Futures</t>
  </si>
  <si>
    <t>Conway Natural Gasoline (OPIS) Futures</t>
  </si>
  <si>
    <t>Conway Normal Butane (OPIS) Futures</t>
  </si>
  <si>
    <t>NY 0.3% Fuel Oil HiPr (Platts) Futures</t>
  </si>
  <si>
    <t>8O</t>
  </si>
  <si>
    <t>Mont Belvieu LDH Propane (OPIS) BALMO Futures</t>
  </si>
  <si>
    <t>8W</t>
  </si>
  <si>
    <t>Gasoil 0.1 Cargoes CIF MED (Platts) vs. Gasoil BALMO Futures</t>
  </si>
  <si>
    <t>OneOk, Oklahoma Natural Gas (Platts IFERC) Basis Futures</t>
  </si>
  <si>
    <t>Southern Star, Tx.-Okla.-Kan. Natural Gas (Platts IFERC) Basis Futures</t>
  </si>
  <si>
    <t>91</t>
  </si>
  <si>
    <t>Argus Propane Far East Index vs. European Propane CIF ARA (Argus) Futures</t>
  </si>
  <si>
    <t>150/50</t>
  </si>
  <si>
    <t>1,750/300</t>
  </si>
  <si>
    <t>1,250/300</t>
  </si>
  <si>
    <t>92</t>
  </si>
  <si>
    <t>Climate Action Reserve (CAR) Futures - Vintage 2009</t>
  </si>
  <si>
    <t>93</t>
  </si>
  <si>
    <t>Climate Action Reserve (CAR) Futures - Vintage 2010</t>
  </si>
  <si>
    <t>94</t>
  </si>
  <si>
    <t>Climate Action Reserve (CAR) Futures - Vintage 2011</t>
  </si>
  <si>
    <t>95</t>
  </si>
  <si>
    <t>Climate Action Reserve (CAR) Futures - Vintage 2012</t>
  </si>
  <si>
    <t>96</t>
  </si>
  <si>
    <t>Regional Greenhouse Gas Initiative (RGGI) CO2 Allowance Futures - Vintage 2012</t>
  </si>
  <si>
    <t>98</t>
  </si>
  <si>
    <t>Regional Greenhouse Gas Initiative (RGGI) CO2 Allowance Futures - Vintage 2009</t>
  </si>
  <si>
    <t>SoCal City-Gate Natural Gas (Platts IFERC) Basis Futures</t>
  </si>
  <si>
    <t>Texas Gas, Zone 1 Natural Gas (Platts IFERC) Basis Futures</t>
  </si>
  <si>
    <t>9G</t>
  </si>
  <si>
    <t>In Delivery Month European Union Allowance (EUA) Serial Option</t>
  </si>
  <si>
    <t>Argus Propane (Saudi Aramco) Futures</t>
  </si>
  <si>
    <t>9Q</t>
  </si>
  <si>
    <t>Jet Fuel Barges FOB Rdam (Platts) vs. Gasoil BALMO Futures</t>
  </si>
  <si>
    <t>9T</t>
  </si>
  <si>
    <t>NYISO Zone A 5 MW Peak Calendar-Month Day-Ahead LBMP Option</t>
  </si>
  <si>
    <t>902A</t>
  </si>
  <si>
    <t>9U</t>
  </si>
  <si>
    <t>NYISO Zone G 5 MW Peak Calendar-Month Day-Ahead LBMP Option</t>
  </si>
  <si>
    <t>904A</t>
  </si>
  <si>
    <t>9V</t>
  </si>
  <si>
    <t>NYISO Zone J 5 MW Peak Calendar-Month Day-Ahead LBMP Option</t>
  </si>
  <si>
    <t>906A</t>
  </si>
  <si>
    <t>CAISO SP15 EZ Gen Hub 5 MW Peak Calendar-Month Day-Ahead LMP Futures</t>
  </si>
  <si>
    <t>9Z</t>
  </si>
  <si>
    <t>CAISO SP15 EZ Gen Hub 5 MW Peak Calendar-Day Day-Ahead LMP Futures</t>
  </si>
  <si>
    <t>Columbia Gas TCO (Platts Gas Daily) Swing Futures</t>
  </si>
  <si>
    <t>A3</t>
  </si>
  <si>
    <t>NYISO Zone C 5 MW Off-Peak Calendar-Month Day-Ahead LBMP Futures</t>
  </si>
  <si>
    <t>Argus LLS Trade Month Futures</t>
  </si>
  <si>
    <t>EIA Flat Tax On-Highway Diesel Futures</t>
  </si>
  <si>
    <t>A6</t>
  </si>
  <si>
    <t>Group Three ULSD (Platts) vs. NY Harbor ULSD Heating Oil Futures</t>
  </si>
  <si>
    <t>A7</t>
  </si>
  <si>
    <t>Group Three ULSD (Platts) Futures</t>
  </si>
  <si>
    <t>A8</t>
  </si>
  <si>
    <t>Group Three Unleaded Gasoline (Platts) vs. RBOB Gasoline Futures</t>
  </si>
  <si>
    <t>A9</t>
  </si>
  <si>
    <t>Group Three Unleaded Gasoline (Platts) Futures</t>
  </si>
  <si>
    <t>1 ALW : 1 ACR</t>
  </si>
  <si>
    <t>1 AO : 1 26</t>
  </si>
  <si>
    <t/>
  </si>
  <si>
    <t>1 AT : 1 23</t>
  </si>
  <si>
    <t>1 B1 : 1 TY</t>
  </si>
  <si>
    <t>1 B2 : 1 J3</t>
  </si>
  <si>
    <t>195 B6 : 1 UO</t>
  </si>
  <si>
    <t>1 B7 : 1 TW</t>
  </si>
  <si>
    <t>1 B8 : 1 VL</t>
  </si>
  <si>
    <t>1 AES : 1 7H</t>
  </si>
  <si>
    <t>1 AH : 1 DC</t>
  </si>
  <si>
    <t>1 BA : 1 BZ</t>
  </si>
  <si>
    <t>1 BBU : 1 GT</t>
  </si>
  <si>
    <t>1 BDA : 1 NBZ</t>
  </si>
  <si>
    <t>1 BDC : 1 NBZ</t>
  </si>
  <si>
    <t>1 BDE : 1 NBZ</t>
  </si>
  <si>
    <t>1 BDO : 1 NBZ</t>
  </si>
  <si>
    <t>1 BE : 1 BZ</t>
  </si>
  <si>
    <t>1 BFR : 1 RBF</t>
  </si>
  <si>
    <t>1 BI : 1 DC</t>
  </si>
  <si>
    <t>1 BK : 1 26</t>
  </si>
  <si>
    <t>1 BOB : 1 UV</t>
  </si>
  <si>
    <t>1 BPC : 1 BZ</t>
  </si>
  <si>
    <t>1 BQP : 1 BZ</t>
  </si>
  <si>
    <t>1 BS : 1 UA</t>
  </si>
  <si>
    <t>1 BSG : 1 BZ</t>
  </si>
  <si>
    <t>1 BT : 1 SE</t>
  </si>
  <si>
    <t>1 BX : 1 KS</t>
  </si>
  <si>
    <t>1 BY : 1 26</t>
  </si>
  <si>
    <t>1 C1 : 1 QL</t>
  </si>
  <si>
    <t>1 C2 : 1 X8</t>
  </si>
  <si>
    <t>1 C3 : 1 X5</t>
  </si>
  <si>
    <t>1 C3D : 1 B0</t>
  </si>
  <si>
    <t>1 C4 : 1 X4</t>
  </si>
  <si>
    <t>1 C4D : 1 D0</t>
  </si>
  <si>
    <t>1 C5 : 1 UA</t>
  </si>
  <si>
    <t>1 C5D : 1 7Q</t>
  </si>
  <si>
    <t>1 C7 : 1 M3</t>
  </si>
  <si>
    <t>1 C9 : 1 M4</t>
  </si>
  <si>
    <t>1 CAO : 1 CCA</t>
  </si>
  <si>
    <t>1 CAP : 1 HGS</t>
  </si>
  <si>
    <t>1 CBA : 1 CBO</t>
  </si>
  <si>
    <t>1 CBB : 1 8M</t>
  </si>
  <si>
    <t>1 CBC : 1 CBO</t>
  </si>
  <si>
    <t>1 CD : 1 26</t>
  </si>
  <si>
    <t>1 CF : 1 AJ</t>
  </si>
  <si>
    <t>1 CGB : 1 8L</t>
  </si>
  <si>
    <t>1 CK : 1 AW</t>
  </si>
  <si>
    <t>1 CLA : 1 MTF</t>
  </si>
  <si>
    <t>1 CO : 1 CR</t>
  </si>
  <si>
    <t>1 CPB : 1 8K</t>
  </si>
  <si>
    <t>1 CPF : 1 QX</t>
  </si>
  <si>
    <t>1 CPR : 1 8K</t>
  </si>
  <si>
    <t>1 CQA : 1 MTF</t>
  </si>
  <si>
    <t>1 CRB : 1 CRG</t>
  </si>
  <si>
    <t>1 CS : 1 26</t>
  </si>
  <si>
    <t>4 CSF : 1 CFU</t>
  </si>
  <si>
    <t>1 CSZ : 1 9X</t>
  </si>
  <si>
    <t>1 CVP : 1 CVF</t>
  </si>
  <si>
    <t>1 CVR : 1 CU</t>
  </si>
  <si>
    <t>1 CW : 1 PC</t>
  </si>
  <si>
    <t>1 CY : 1 BZ</t>
  </si>
  <si>
    <t>195 D2 : 1 KH</t>
  </si>
  <si>
    <t>5 D3 : 1 KJ</t>
  </si>
  <si>
    <t>195 D4 : 1 KK</t>
  </si>
  <si>
    <t>1 DAP : 1 A5</t>
  </si>
  <si>
    <t>1 DB : 1 BB</t>
  </si>
  <si>
    <t>1 DBB : 1 UB</t>
  </si>
  <si>
    <t>1 DBO : 1 BZ</t>
  </si>
  <si>
    <t>1 DBP : 1 UB</t>
  </si>
  <si>
    <t>1 DCL : 1 26</t>
  </si>
  <si>
    <t>1 DI : 1 DT</t>
  </si>
  <si>
    <t>10 0A : 1 UH</t>
  </si>
  <si>
    <t>10 0B : 1 UF</t>
  </si>
  <si>
    <t>10 0C : 1 UF</t>
  </si>
  <si>
    <t>10 0D : 1 UV</t>
  </si>
  <si>
    <t>10 0E : 1 UV</t>
  </si>
  <si>
    <t>10 0F : 1 UA</t>
  </si>
  <si>
    <t>1 1C : 1 UB</t>
  </si>
  <si>
    <t>1 1D : 1 27</t>
  </si>
  <si>
    <t>1 1E : 1 27</t>
  </si>
  <si>
    <t>1 1G : 1 23</t>
  </si>
  <si>
    <t>1 1H : 1 23</t>
  </si>
  <si>
    <t>1 1J : 1 GS</t>
  </si>
  <si>
    <t>1 1K : 1 GS</t>
  </si>
  <si>
    <t>1 1L : 1 LY</t>
  </si>
  <si>
    <t>1 1M : 1 GE</t>
  </si>
  <si>
    <t>1 1N5 : 1 1N</t>
  </si>
  <si>
    <t>1 1NB : 1 1N</t>
  </si>
  <si>
    <t>1 1ND : 1 1N</t>
  </si>
  <si>
    <t>1 1P : 1 1N</t>
  </si>
  <si>
    <t>1 1S : 1 1R</t>
  </si>
  <si>
    <t>1 1U : 1 1Q</t>
  </si>
  <si>
    <t>1 1V : 1 1T</t>
  </si>
  <si>
    <t>1 22 : 1 7E</t>
  </si>
  <si>
    <t>1 2F : 1 1Y</t>
  </si>
  <si>
    <t>1 2H : 1 1Z</t>
  </si>
  <si>
    <t>1 2J : 1 2D</t>
  </si>
  <si>
    <t>1 2K : 1 2E</t>
  </si>
  <si>
    <t>1 2Z : 1 3X</t>
  </si>
  <si>
    <t>1 30 : 1 UJ</t>
  </si>
  <si>
    <t>1 32 : 1 PS</t>
  </si>
  <si>
    <t>1 33 : 1 UH</t>
  </si>
  <si>
    <t>1 36 : 1 29</t>
  </si>
  <si>
    <t>1 37 : 1 29</t>
  </si>
  <si>
    <t>1 38 : 1 29</t>
  </si>
  <si>
    <t>1 39 : 1 V7</t>
  </si>
  <si>
    <t>1 3C : 1 2C</t>
  </si>
  <si>
    <t>1 3V : 1 TY</t>
  </si>
  <si>
    <t>1 3W : 1 23</t>
  </si>
  <si>
    <t>1 3Y : 1 27</t>
  </si>
  <si>
    <t>1 3Z : 1 4X</t>
  </si>
  <si>
    <t>1 42 : 1 26</t>
  </si>
  <si>
    <t>8.9 43 : 1 UN</t>
  </si>
  <si>
    <t>4 4D : 1 HH</t>
  </si>
  <si>
    <t>1 4H : 1 B0</t>
  </si>
  <si>
    <t>1 4I : 1 7Q</t>
  </si>
  <si>
    <t>1 4J : 1 C0</t>
  </si>
  <si>
    <t>1 4K : 1 D0</t>
  </si>
  <si>
    <t>1.0625 4S : 1 JM</t>
  </si>
  <si>
    <t>1 4V : 1 TW</t>
  </si>
  <si>
    <t>1 DNB : 1 1N</t>
  </si>
  <si>
    <t>1 DOA : 1 DOO</t>
  </si>
  <si>
    <t>1 DOB : 1 DOO</t>
  </si>
  <si>
    <t>1 DOD : 1 MOD</t>
  </si>
  <si>
    <t>1 DOR : 1 MOR</t>
  </si>
  <si>
    <t>1 DPD : 1 MPD</t>
  </si>
  <si>
    <t>1 DPO : 1 DOO</t>
  </si>
  <si>
    <t>1 DPR : 1 MPR</t>
  </si>
  <si>
    <t>1 DRK : 1 KS</t>
  </si>
  <si>
    <t>1 DZB : 1 SG</t>
  </si>
  <si>
    <t>1 E5 : 1 A4</t>
  </si>
  <si>
    <t>1 E6 : 1 JA</t>
  </si>
  <si>
    <t>10 E6M : 1 JA</t>
  </si>
  <si>
    <t>1 E7 : 1 HH</t>
  </si>
  <si>
    <t>1 EBF : 1 UH</t>
  </si>
  <si>
    <t>1 EFB : 1 UH</t>
  </si>
  <si>
    <t>1 EFF : 1 UI</t>
  </si>
  <si>
    <t>8.9 EN : 1 UN</t>
  </si>
  <si>
    <t>1 ENF : 1 GT</t>
  </si>
  <si>
    <t>1 ENS : 1 EFM</t>
  </si>
  <si>
    <t>1 EOB : 1 7H</t>
  </si>
  <si>
    <t>1 EPN : 1 PS</t>
  </si>
  <si>
    <t>1 ERO : 1 REU</t>
  </si>
  <si>
    <t>1 ET : 1 GT</t>
  </si>
  <si>
    <t>1 EW : 1 UA</t>
  </si>
  <si>
    <t>1 EWB : 1 UA</t>
  </si>
  <si>
    <t>1 EWG : 8.333 1N</t>
  </si>
  <si>
    <t>1 EWN : 1 JA</t>
  </si>
  <si>
    <t>1 EXR : 8.333 27</t>
  </si>
  <si>
    <t>4 F0 : 1 PFU</t>
  </si>
  <si>
    <t>1 F3 : 1 UJ</t>
  </si>
  <si>
    <t>1 F7 : 1 GX</t>
  </si>
  <si>
    <t>1 F8 : 1 BG</t>
  </si>
  <si>
    <t>1 FAD : 1 FDM</t>
  </si>
  <si>
    <t>1 FBT : 1 FBD</t>
  </si>
  <si>
    <t>6.35 FCB : 1 UV</t>
  </si>
  <si>
    <t>1 FCN : 1 UF</t>
  </si>
  <si>
    <t>1 FE : 1 UB</t>
  </si>
  <si>
    <t>1 FF : 1 XB</t>
  </si>
  <si>
    <t>1 FG : 1 MF</t>
  </si>
  <si>
    <t>1 FH : 1 AY</t>
  </si>
  <si>
    <t>6.35 FI : 1 UF</t>
  </si>
  <si>
    <t>1 FK : 1 UI</t>
  </si>
  <si>
    <t>6.35 FL : 1 UI</t>
  </si>
  <si>
    <t>6.35 FO : 1 UV</t>
  </si>
  <si>
    <t>6.35 FOA : 1 UI</t>
  </si>
  <si>
    <t>1 FOB : 1 1W</t>
  </si>
  <si>
    <t>1 FOC : 1 H1</t>
  </si>
  <si>
    <t>1 FOM : 1 EFM</t>
  </si>
  <si>
    <t>1 FOR : 1 UV</t>
  </si>
  <si>
    <t>1 FS : 1 UF</t>
  </si>
  <si>
    <t>1 FTD : 1 FTM</t>
  </si>
  <si>
    <t>1 FVB : 1 UF</t>
  </si>
  <si>
    <t>1 FY : 1 UB</t>
  </si>
  <si>
    <t>4 G0 : 1 SFT</t>
  </si>
  <si>
    <t>1 GA : 1 SG</t>
  </si>
  <si>
    <t>1 GBA : 1 AF</t>
  </si>
  <si>
    <t>1 GBB : 1 GCM</t>
  </si>
  <si>
    <t>1 GBC : 1 GB</t>
  </si>
  <si>
    <t>1 GBR : 1 7H</t>
  </si>
  <si>
    <t>1 GCB : 1 MF</t>
  </si>
  <si>
    <t>1 GCC : 1 GCM</t>
  </si>
  <si>
    <t>1 GCG : 1 CRG</t>
  </si>
  <si>
    <t>1 GCI : 1 MF</t>
  </si>
  <si>
    <t>1 GCU : 1 MF</t>
  </si>
  <si>
    <t>1 GEB : 1 TW</t>
  </si>
  <si>
    <t>1 GFC : 1 MF</t>
  </si>
  <si>
    <t>1 GFL : 1 GFS</t>
  </si>
  <si>
    <t>1 GFN : 1 GFS</t>
  </si>
  <si>
    <t>8.33 GKS : 1 3G</t>
  </si>
  <si>
    <t>10 GN : 1 KG</t>
  </si>
  <si>
    <t>1 GOB : 1 VL</t>
  </si>
  <si>
    <t>1 GOC : 1 GX</t>
  </si>
  <si>
    <t>1 GRB : 1 GFS</t>
  </si>
  <si>
    <t>7.45 GRC : 1 GFS</t>
  </si>
  <si>
    <t>1 GRS : 1 GFS</t>
  </si>
  <si>
    <t>1 GUD : 1 AJ</t>
  </si>
  <si>
    <t>1 GVP : 1 GVF</t>
  </si>
  <si>
    <t>1 GVR : 1 GE</t>
  </si>
  <si>
    <t>1 GY : 1 LY</t>
  </si>
  <si>
    <t>7.45 GZ : 1 GX</t>
  </si>
  <si>
    <t>4 H0 : 1 HFT</t>
  </si>
  <si>
    <t>195 H4 : 1 EJ</t>
  </si>
  <si>
    <t>1 HA : 1 23</t>
  </si>
  <si>
    <t>1 HHQ : 1 NG</t>
  </si>
  <si>
    <t>1 HK : 1 23</t>
  </si>
  <si>
    <t>1 HOB : 1 23</t>
  </si>
  <si>
    <t>1 HPD : 1 HPE</t>
  </si>
  <si>
    <t>1 HRO : 1 HR</t>
  </si>
  <si>
    <t>1 HX : 1 HG</t>
  </si>
  <si>
    <t>1 IBE : 1 BZ</t>
  </si>
  <si>
    <t>1 IBS : 1 BZ</t>
  </si>
  <si>
    <t>1 ICP : 1 PIO</t>
  </si>
  <si>
    <t>2 ICT : 1 PIO</t>
  </si>
  <si>
    <t>1 IF : 1 SF</t>
  </si>
  <si>
    <t>1 IGE : 1 GX</t>
  </si>
  <si>
    <t>1 IH : 1 SH</t>
  </si>
  <si>
    <t>1 II : 1 VX</t>
  </si>
  <si>
    <t>1 IJ : 1 SJ</t>
  </si>
  <si>
    <t>1 IK : 1 SK</t>
  </si>
  <si>
    <t>1 IL : 1 SL</t>
  </si>
  <si>
    <t>1 IN : 1 SN</t>
  </si>
  <si>
    <t>1 IP : 1 SM</t>
  </si>
  <si>
    <t>1 IQ : 1 SQ</t>
  </si>
  <si>
    <t>1 IR : 1 SR</t>
  </si>
  <si>
    <t>1 IS : 1 SS</t>
  </si>
  <si>
    <t>1 IT : 1 ST</t>
  </si>
  <si>
    <t>1 IU : 1 SU</t>
  </si>
  <si>
    <t>1 IV : 1 SV</t>
  </si>
  <si>
    <t>1 IW : 1 PX</t>
  </si>
  <si>
    <t>1 IX : 1 SX</t>
  </si>
  <si>
    <t>1 IY : 1 SY</t>
  </si>
  <si>
    <t>1.0625 J01-J31 : 1 JM</t>
  </si>
  <si>
    <t>1 J9 : 1 BZ</t>
  </si>
  <si>
    <t>1 JA5 : 1 JA</t>
  </si>
  <si>
    <t>8.9 JB : 1 JA</t>
  </si>
  <si>
    <t>1 JC : 1 UJ</t>
  </si>
  <si>
    <t>1 JCL : 1 J2</t>
  </si>
  <si>
    <t>21.25 JD : 1 JM</t>
  </si>
  <si>
    <t>1 JKM : 1 LAI</t>
  </si>
  <si>
    <t>1 JL : 1 MH</t>
  </si>
  <si>
    <t>1 JO : 1 JM</t>
  </si>
  <si>
    <t>1 JR : 1 UR</t>
  </si>
  <si>
    <t>1 JS : 1 LL</t>
  </si>
  <si>
    <t>1 JU : 1 AF</t>
  </si>
  <si>
    <t>5 K3 : 1 KA</t>
  </si>
  <si>
    <t>195 K4 : 1 KB</t>
  </si>
  <si>
    <t>1 KD : 1 HH</t>
  </si>
  <si>
    <t>1 KE : 1 1A</t>
  </si>
  <si>
    <t>1 KL : 1 LX</t>
  </si>
  <si>
    <t>1 KR : 1 UV</t>
  </si>
  <si>
    <t>1 KSD : 1 KS</t>
  </si>
  <si>
    <t>1 KU : 1 SP</t>
  </si>
  <si>
    <t>1 KX : 1 UF</t>
  </si>
  <si>
    <t>1 KZ : 1 UN</t>
  </si>
  <si>
    <t>1 L01-L31 : 1 GC</t>
  </si>
  <si>
    <t>10.625 L1 : 1 JM</t>
  </si>
  <si>
    <t>1 L2 : 1 X2</t>
  </si>
  <si>
    <t>1 L4 : 1 W5</t>
  </si>
  <si>
    <t>1 L7 : 1 X3</t>
  </si>
  <si>
    <t>1 LB : 1 BH</t>
  </si>
  <si>
    <t>1 LC : 1 WS</t>
  </si>
  <si>
    <t>1 LE : 1 2L</t>
  </si>
  <si>
    <t>1 LEL : 1 LPE</t>
  </si>
  <si>
    <t>1 LN : 1 HP</t>
  </si>
  <si>
    <t>1 LO : 1 CL</t>
  </si>
  <si>
    <t>1 LT : 1 LY</t>
  </si>
  <si>
    <t>1 M0 : 1 CFU</t>
  </si>
  <si>
    <t>1 M2 : 1 SG</t>
  </si>
  <si>
    <t>1 M6 : 1 K6</t>
  </si>
  <si>
    <t>1 M7 : 1 K7</t>
  </si>
  <si>
    <t>1 M8 : 1 K8</t>
  </si>
  <si>
    <t>1 M9 : 1 K9</t>
  </si>
  <si>
    <t>10 MAE : 1 7E</t>
  </si>
  <si>
    <t>10 MAS : 1 9N</t>
  </si>
  <si>
    <t>1 MBB : 1 MBN</t>
  </si>
  <si>
    <t>1000 MBZ : 1 BB</t>
  </si>
  <si>
    <t>1 MC6 : 1 MCC</t>
  </si>
  <si>
    <t>1000 MCL : 1 WS</t>
  </si>
  <si>
    <t>1 MD : 1 GS</t>
  </si>
  <si>
    <t>1 ME : 1 GE</t>
  </si>
  <si>
    <t>10 MEN : 1 UN</t>
  </si>
  <si>
    <t>10 MEO : 1 7H</t>
  </si>
  <si>
    <t>10 MFD : 1 EFM</t>
  </si>
  <si>
    <t>10 MFE : 1 UF</t>
  </si>
  <si>
    <t>1 MFO : 1 MFF</t>
  </si>
  <si>
    <t>10 MFT : 1 UV</t>
  </si>
  <si>
    <t>1 MG : 1 MF</t>
  </si>
  <si>
    <t>10 MGB : 1 VL</t>
  </si>
  <si>
    <t>10 MGC : 1 GC</t>
  </si>
  <si>
    <t>10 MGF : 1 TW</t>
  </si>
  <si>
    <t>10 MGG : 1 TW</t>
  </si>
  <si>
    <t>10 MGN : 1 TY</t>
  </si>
  <si>
    <t>10 MJB : 1 UR</t>
  </si>
  <si>
    <t>10 MJC : 1 UJ</t>
  </si>
  <si>
    <t>10 MJN : 1 JA</t>
  </si>
  <si>
    <t>1 ML : 1 MM</t>
  </si>
  <si>
    <t>10 MMF : 1 UI</t>
  </si>
  <si>
    <t>10 MNC : 1 UN</t>
  </si>
  <si>
    <t>4 MNG : 1 NG</t>
  </si>
  <si>
    <t>1 MP : 1 23</t>
  </si>
  <si>
    <t>1 MSD : 1 UA</t>
  </si>
  <si>
    <t>10 MSG : 1 SG</t>
  </si>
  <si>
    <t>10 MTB : 1 SE</t>
  </si>
  <si>
    <t>1 MTO : 1 MTF</t>
  </si>
  <si>
    <t>10 MTS : 1 SE</t>
  </si>
  <si>
    <t>10 MUD : 1 GT</t>
  </si>
  <si>
    <t>10 MUL : 1 TY</t>
  </si>
  <si>
    <t>1 N0 : 1 PFU</t>
  </si>
  <si>
    <t>1 N2 : 1 KS</t>
  </si>
  <si>
    <t>1 N4 : 1 Y9</t>
  </si>
  <si>
    <t>1 N5 : 1 T9</t>
  </si>
  <si>
    <t>1 N6 : 1 Q7</t>
  </si>
  <si>
    <t>1 N7 : 1 C8</t>
  </si>
  <si>
    <t>1 N8 : 1 C6</t>
  </si>
  <si>
    <t>195 N9 : 1 JP</t>
  </si>
  <si>
    <t>1 NBB : 1 UN</t>
  </si>
  <si>
    <t>1 NCN : 1 UN</t>
  </si>
  <si>
    <t>1 NEL : 1 NI</t>
  </si>
  <si>
    <t>1 NFC : 1 MM</t>
  </si>
  <si>
    <t>1 NFG : 1 MM</t>
  </si>
  <si>
    <t>4 NN : 1 HH</t>
  </si>
  <si>
    <t>1 NOB : 1 UN</t>
  </si>
  <si>
    <t>4 NP : 1 HP</t>
  </si>
  <si>
    <t>1 NVP : 1 EZ</t>
  </si>
  <si>
    <t>1 NWE : 1 UN</t>
  </si>
  <si>
    <t>1 NYB : 1 8N</t>
  </si>
  <si>
    <t>1 NYC : 1 Y3</t>
  </si>
  <si>
    <t>1 NYE : 1 Y3</t>
  </si>
  <si>
    <t>1 NYF : 1 MM</t>
  </si>
  <si>
    <t>1 NYG : 1 MM</t>
  </si>
  <si>
    <t>1 NYH : 1 8N</t>
  </si>
  <si>
    <t>1 NYI : 1 Y4</t>
  </si>
  <si>
    <t>1 NYS : 1 Y4</t>
  </si>
  <si>
    <t>1 NYT : 1 H1</t>
  </si>
  <si>
    <t>1 OB : 1 RB</t>
  </si>
  <si>
    <t>1 OE : 1 NI</t>
  </si>
  <si>
    <t>1 OEM : 1 EM</t>
  </si>
  <si>
    <t>1 OFD : 1 OFM</t>
  </si>
  <si>
    <t>1 OG : 1 GC</t>
  </si>
  <si>
    <t>1 OH : 1 HO</t>
  </si>
  <si>
    <t>1 OI : 1 OX</t>
  </si>
  <si>
    <t>1 ON : 1 NG</t>
  </si>
  <si>
    <t>1 OPD : 1 OPM</t>
  </si>
  <si>
    <t>1 OR : 1 RJ</t>
  </si>
  <si>
    <t>1 OS : 1 BZ</t>
  </si>
  <si>
    <t>1 OU : 1 UM</t>
  </si>
  <si>
    <t>1 OY : 1 EM</t>
  </si>
  <si>
    <t>1 P0 : 1 SFT</t>
  </si>
  <si>
    <t>1 PAO : 1 PA</t>
  </si>
  <si>
    <t>1 PDD : 1 PDM</t>
  </si>
  <si>
    <t>1 PEP : 1 R8</t>
  </si>
  <si>
    <t>1 PJ : 1 SJ</t>
  </si>
  <si>
    <t>1 PK : 1 SM</t>
  </si>
  <si>
    <t>1 PML : 20 JM</t>
  </si>
  <si>
    <t>1 PO : 1 PL</t>
  </si>
  <si>
    <t>1 PPB : 1 PPM</t>
  </si>
  <si>
    <t>1 PPD : 1 PPM</t>
  </si>
  <si>
    <t>1 PPE : 1 PPM</t>
  </si>
  <si>
    <t>1 PPW : 1 PPP</t>
  </si>
  <si>
    <t>1 PSG : 1 L6</t>
  </si>
  <si>
    <t>1 PTD : 1 PTM</t>
  </si>
  <si>
    <t>1 PU : 1 SV</t>
  </si>
  <si>
    <t>1 PY : 1 NB</t>
  </si>
  <si>
    <t>1 Q0 : 1 HFT</t>
  </si>
  <si>
    <t>1 Q1 : 1 A1</t>
  </si>
  <si>
    <t>1 Q2 : 1 T2</t>
  </si>
  <si>
    <t>1 Q4 : 1 T4</t>
  </si>
  <si>
    <t>1 Q6 : 1 UV</t>
  </si>
  <si>
    <t>1 Q9 : 1 J8</t>
  </si>
  <si>
    <t>10 QA : 1 GX</t>
  </si>
  <si>
    <t>4 QG : 1 HP</t>
  </si>
  <si>
    <t>2 QH : 1 BH</t>
  </si>
  <si>
    <t>1 QI : 2.5 6Q</t>
  </si>
  <si>
    <t>2 QM : 1 WS</t>
  </si>
  <si>
    <t>2 QU : 1 RT</t>
  </si>
  <si>
    <t>1 R0 : 1 7Q</t>
  </si>
  <si>
    <t>1 RA : 1 27</t>
  </si>
  <si>
    <t>1 RBB : 1 27</t>
  </si>
  <si>
    <t>1 RBG : 1 GCM</t>
  </si>
  <si>
    <t>1 RC : 1 6T</t>
  </si>
  <si>
    <t>1 RD : 1 GP</t>
  </si>
  <si>
    <t>1 RF : 1 RT</t>
  </si>
  <si>
    <t>1 RH : 1 27</t>
  </si>
  <si>
    <t>1 RI : 1 RY</t>
  </si>
  <si>
    <t>1 RK : 1 KS</t>
  </si>
  <si>
    <t>1 RL : 1 27</t>
  </si>
  <si>
    <t>1 RLA : 1 MFF</t>
  </si>
  <si>
    <t>1 RM : 1 27</t>
  </si>
  <si>
    <t>1 RPF : 1 QP</t>
  </si>
  <si>
    <t>1 RQA : 1 MFF</t>
  </si>
  <si>
    <t>1 RU : 1 GS</t>
  </si>
  <si>
    <t>1 RV : 1 GS</t>
  </si>
  <si>
    <t>1 RVG : 1 GCM</t>
  </si>
  <si>
    <t>1 RX : 1 RB</t>
  </si>
  <si>
    <t>1 S7 : 1 J7</t>
  </si>
  <si>
    <t>1 S9 : 1 J6</t>
  </si>
  <si>
    <t>1 SD : 1 UA</t>
  </si>
  <si>
    <t>1 SGW : 1 9A</t>
  </si>
  <si>
    <t>1 SMU : 1 V0</t>
  </si>
  <si>
    <t>1 SO : 1 SI</t>
  </si>
  <si>
    <t>6.35 STB : 1 UA</t>
  </si>
  <si>
    <t>6.35 STI : 1 SE</t>
  </si>
  <si>
    <t>1 STL : 1 STF</t>
  </si>
  <si>
    <t>6.35 STR : 1 UA</t>
  </si>
  <si>
    <t>6.35 STS : 1 UA</t>
  </si>
  <si>
    <t>1 STZ : 1 STF</t>
  </si>
  <si>
    <t>10 T0 : 1 UH</t>
  </si>
  <si>
    <t>5 T3 : 1 KG</t>
  </si>
  <si>
    <t>1 TCF : 1 TH</t>
  </si>
  <si>
    <t>1 TCW : 1 TM</t>
  </si>
  <si>
    <t>1 TDT : 1 TL</t>
  </si>
  <si>
    <t>2 TIO : 1 PIO</t>
  </si>
  <si>
    <t>1 TP : 1 TY</t>
  </si>
  <si>
    <t>1 TU : 1 TW</t>
  </si>
  <si>
    <t>1 TZ : 1 NZ</t>
  </si>
  <si>
    <t>1 TZI : 1 TZS</t>
  </si>
  <si>
    <t>1 U7 : 1 GT</t>
  </si>
  <si>
    <t>1 U9 : 1 GX</t>
  </si>
  <si>
    <t>10 UCM : 1 Z6</t>
  </si>
  <si>
    <t>1 UCU : 1 Z6</t>
  </si>
  <si>
    <t>21.25 UD : 1 UM</t>
  </si>
  <si>
    <t>1 UGG : 1 GCM</t>
  </si>
  <si>
    <t>1 ULB : 1 5Y</t>
  </si>
  <si>
    <t>1 US : 1 AJ</t>
  </si>
  <si>
    <t>1 UT : 1 GP</t>
  </si>
  <si>
    <t>1 UY : 1 YS</t>
  </si>
  <si>
    <t>1 UZ : 1 AW</t>
  </si>
  <si>
    <t>195 V3 : 1 VP</t>
  </si>
  <si>
    <t>1 V8 : 1 W9</t>
  </si>
  <si>
    <t>21.25 VD : 1 VM</t>
  </si>
  <si>
    <t>1 VI : 1 VS</t>
  </si>
  <si>
    <t>1 VK : 1 MM</t>
  </si>
  <si>
    <t>1 VR : 1 MM</t>
  </si>
  <si>
    <t>1 VU : 1 SG</t>
  </si>
  <si>
    <t>1 VV : 1 LY</t>
  </si>
  <si>
    <t>1 VZ : 1 MF</t>
  </si>
  <si>
    <t>1 W0 : 1 V0</t>
  </si>
  <si>
    <t>1 WCI : 1 WCC</t>
  </si>
  <si>
    <t>1 WCO : 1 WCE</t>
  </si>
  <si>
    <t>1 WJ : 1 XA</t>
  </si>
  <si>
    <t>1 WQ : 1 VL</t>
  </si>
  <si>
    <t>1 WT : 1 WR</t>
  </si>
  <si>
    <t>1 X6 : 1 Z4</t>
  </si>
  <si>
    <t>1 X7 : 1 Z6</t>
  </si>
  <si>
    <t>1 X9 : 1 UR</t>
  </si>
  <si>
    <t>1 XER : 1 27</t>
  </si>
  <si>
    <t>1 Y0 : 1 X0</t>
  </si>
  <si>
    <t>1 Y6 : 1 T6</t>
  </si>
  <si>
    <t>1 Y7 : 1 T7</t>
  </si>
  <si>
    <t>1 Y8 : 1 T8</t>
  </si>
  <si>
    <t>1 YH : 1 YF</t>
  </si>
  <si>
    <t>1 YV : 1 MO</t>
  </si>
  <si>
    <t>1 YX : 1 MX</t>
  </si>
  <si>
    <t>1 Z0 : 1 KS</t>
  </si>
  <si>
    <t>1 Z5 : 1 Z4</t>
  </si>
  <si>
    <t>1 Z7 : 1 Z6</t>
  </si>
  <si>
    <t>1 Z8 : 1 U8</t>
  </si>
  <si>
    <t>10.625 Z9 : 1 VM</t>
  </si>
  <si>
    <t>1 ZN : 1 NS</t>
  </si>
  <si>
    <t>1 ZR : 1 NR</t>
  </si>
  <si>
    <t>1 4Z : 1 5X</t>
  </si>
  <si>
    <t>1 51 : 12.4 B0</t>
  </si>
  <si>
    <t>1 59 : 1 UB</t>
  </si>
  <si>
    <t>1 5C : 1 4C</t>
  </si>
  <si>
    <t>1 5H : 1 PD</t>
  </si>
  <si>
    <t>10 5L : 1 UA</t>
  </si>
  <si>
    <t>1 5M : 1 NS</t>
  </si>
  <si>
    <t>1 5N : 1 NX</t>
  </si>
  <si>
    <t>1 5U : 1 4Y</t>
  </si>
  <si>
    <t>1 63 : 1 UI</t>
  </si>
  <si>
    <t>1 6E : 1 26</t>
  </si>
  <si>
    <t>1 6F : 1 26</t>
  </si>
  <si>
    <t>4 6I : 1 HH</t>
  </si>
  <si>
    <t>4 6J : 1 HH</t>
  </si>
  <si>
    <t>1 6K : 1 QL</t>
  </si>
  <si>
    <t>1 6L : 1 UH</t>
  </si>
  <si>
    <t>1 6M : 1 QL</t>
  </si>
  <si>
    <t>1 6O : 1 JM</t>
  </si>
  <si>
    <t>1 6P : 1 6S</t>
  </si>
  <si>
    <t>1 6U : 1 6T</t>
  </si>
  <si>
    <t>1 6V : 1 VL</t>
  </si>
  <si>
    <t>1 6W : 1 UB</t>
  </si>
  <si>
    <t>1 6X : 1 UJ</t>
  </si>
  <si>
    <t>1 7G : 1 UB</t>
  </si>
  <si>
    <t>8.33 7I : 1 7H</t>
  </si>
  <si>
    <t>8.33 7K : 1 7H</t>
  </si>
  <si>
    <t>1 7N : 1 7L</t>
  </si>
  <si>
    <t>1 7R : 1 7H</t>
  </si>
  <si>
    <t>1 7S : 1 7P</t>
  </si>
  <si>
    <t>1 7U : 1 4U</t>
  </si>
  <si>
    <t>1 7V : 1 Z6</t>
  </si>
  <si>
    <t>1 7W : 1 7O</t>
  </si>
  <si>
    <t>1 7X : 1 GT</t>
  </si>
  <si>
    <t>1 7Y : 1 5Y</t>
  </si>
  <si>
    <t>10 81 : 1 B0</t>
  </si>
  <si>
    <t>1 88 : 1 UF</t>
  </si>
  <si>
    <t>1 8C : 1 C0</t>
  </si>
  <si>
    <t>1 8D : 1 7D</t>
  </si>
  <si>
    <t>1 8G : 1 3G</t>
  </si>
  <si>
    <t>1 8H : 1 SE</t>
  </si>
  <si>
    <t>1 8J : 1 D0</t>
  </si>
  <si>
    <t>1 8O : 1 B0</t>
  </si>
  <si>
    <t>1 8W : 1 Z4</t>
  </si>
  <si>
    <t>1 91 : 1 7E</t>
  </si>
  <si>
    <t>1 92 : 1 CR</t>
  </si>
  <si>
    <t>1 98 : 1 RJ</t>
  </si>
  <si>
    <t>1 9G : 1 6T</t>
  </si>
  <si>
    <t>1 9Q : 1 UR</t>
  </si>
  <si>
    <t>5 9T : 1 KA</t>
  </si>
  <si>
    <t>5 9U : 1 KG</t>
  </si>
  <si>
    <t>5 9V : 1 KJ</t>
  </si>
  <si>
    <t>1 9Z : 1 9X</t>
  </si>
  <si>
    <t>1 A6 : 1 A7</t>
  </si>
  <si>
    <t>1 A8 : 1 A9</t>
  </si>
  <si>
    <t>1 B2 : -1 TR</t>
  </si>
  <si>
    <t>1 AES : -8.333 BZ</t>
  </si>
  <si>
    <t>1 BBU : -1 TY</t>
  </si>
  <si>
    <t>10 BFR : -1 GX</t>
  </si>
  <si>
    <t>1 BK : -1 BZ</t>
  </si>
  <si>
    <t>1 BOB : -6.35 BZ</t>
  </si>
  <si>
    <t>1 BSG : -1 DOO</t>
  </si>
  <si>
    <t>1 BY : -1 BZ</t>
  </si>
  <si>
    <t>1 C2 : -1 8B</t>
  </si>
  <si>
    <t>1 C3 : -1 8A</t>
  </si>
  <si>
    <t>1 C4 : -1 8E</t>
  </si>
  <si>
    <t>1 C7 : -1 8X</t>
  </si>
  <si>
    <t>1 C9 : -1 8Z</t>
  </si>
  <si>
    <t>1 CBA : -1 27</t>
  </si>
  <si>
    <t>1 CBC : -1 26</t>
  </si>
  <si>
    <t>1 CF : -1 26</t>
  </si>
  <si>
    <t>1 CK : -1 26</t>
  </si>
  <si>
    <t>1 CRB : -1 27</t>
  </si>
  <si>
    <t>1 DB : -1 DC</t>
  </si>
  <si>
    <t>1 DBO : -1 DOO</t>
  </si>
  <si>
    <t>1 DI : -1 PE</t>
  </si>
  <si>
    <t>1 1C : -1 1C</t>
  </si>
  <si>
    <t>1 1E : -1 26</t>
  </si>
  <si>
    <t>1 1H : -1 26</t>
  </si>
  <si>
    <t>1 1J : -1 26</t>
  </si>
  <si>
    <t>1 1K : -1 27</t>
  </si>
  <si>
    <t>1 1L : -1 23</t>
  </si>
  <si>
    <t>1 1M : -1 23</t>
  </si>
  <si>
    <t>1 1NB : -1 BZ</t>
  </si>
  <si>
    <t>1 1ND : -1 DC</t>
  </si>
  <si>
    <t>1 1U : -1 23</t>
  </si>
  <si>
    <t>1 1V : -1 GX</t>
  </si>
  <si>
    <t>1 31 : -1 7E</t>
  </si>
  <si>
    <t>1 33 : -1 UF</t>
  </si>
  <si>
    <t>1 36 : -1 V7</t>
  </si>
  <si>
    <t>1 38 : -1 V7</t>
  </si>
  <si>
    <t>1 3C : -1 27</t>
  </si>
  <si>
    <t>1 3U : -1 BB</t>
  </si>
  <si>
    <t>1 3V : -1 GX</t>
  </si>
  <si>
    <t>1 3W : -1 26</t>
  </si>
  <si>
    <t>1 3Y : -1 26</t>
  </si>
  <si>
    <t>1 43 : -1 BB</t>
  </si>
  <si>
    <t>1 4V : -1 GX</t>
  </si>
  <si>
    <t>1 DNB : -1 DOO</t>
  </si>
  <si>
    <t>1 DPO : -1 DC</t>
  </si>
  <si>
    <t>1 DRK : -1 DOO</t>
  </si>
  <si>
    <t>1 DZB : -1 DOO</t>
  </si>
  <si>
    <t>1 E5 : -1 V7</t>
  </si>
  <si>
    <t>1 EBF : -1 UF</t>
  </si>
  <si>
    <t>1 EN : -1 BB</t>
  </si>
  <si>
    <t>1 ENF : -1 GFS</t>
  </si>
  <si>
    <t>1 ENS : -1 UF</t>
  </si>
  <si>
    <t>1 EOB : -8.333 BZ</t>
  </si>
  <si>
    <t>1 EPN : -1 UN</t>
  </si>
  <si>
    <t>1 ET : -1 GX</t>
  </si>
  <si>
    <t>1 EW : -1 UV</t>
  </si>
  <si>
    <t>1 EWB : -1 UV</t>
  </si>
  <si>
    <t>1 EWG : -1 7H</t>
  </si>
  <si>
    <t>1 EWN : -1 UN</t>
  </si>
  <si>
    <t>1 EXR : -1 7H</t>
  </si>
  <si>
    <t>10 FBT : -1 GX</t>
  </si>
  <si>
    <t>1 FCB : -1 BB</t>
  </si>
  <si>
    <t>1 FE : -1 BB</t>
  </si>
  <si>
    <t>1 FF : -1 26</t>
  </si>
  <si>
    <t>1 FH : -1 26</t>
  </si>
  <si>
    <t>1 FI : -1 BB</t>
  </si>
  <si>
    <t>1 FK : -1 UV</t>
  </si>
  <si>
    <t>1 FL : -1 BB</t>
  </si>
  <si>
    <t>1 FO : -1 BB</t>
  </si>
  <si>
    <t>1 FOA : -1 BB</t>
  </si>
  <si>
    <t>1 FOC : -1 MF</t>
  </si>
  <si>
    <t>1 FS : -1 UV</t>
  </si>
  <si>
    <t>1 FVB : -6.35 BZ</t>
  </si>
  <si>
    <t>1 FY : -1 BB</t>
  </si>
  <si>
    <t>7.45 GA : -1 GX</t>
  </si>
  <si>
    <t>1 GBA : -1 23</t>
  </si>
  <si>
    <t>1 GBB : -1 27</t>
  </si>
  <si>
    <t>1 GCB : -1 UV</t>
  </si>
  <si>
    <t>1 GCC : -1 26</t>
  </si>
  <si>
    <t>1 GCG : -1 26</t>
  </si>
  <si>
    <t>1 GCI : -1 BZ</t>
  </si>
  <si>
    <t>6.35 GCU : -1 UV</t>
  </si>
  <si>
    <t>1 GEB : -7.45 BZ</t>
  </si>
  <si>
    <t>1 GFC : -1 26</t>
  </si>
  <si>
    <t>1 GFN : -1 VL</t>
  </si>
  <si>
    <t>1 GKS : -1 BB</t>
  </si>
  <si>
    <t>1 GOB : -7.45 BZ</t>
  </si>
  <si>
    <t>1 GOC : -7.45 BZ</t>
  </si>
  <si>
    <t>1 GRB : -1 GX</t>
  </si>
  <si>
    <t>1 GRC : -1 BZ</t>
  </si>
  <si>
    <t>1 GRS : -1 GX</t>
  </si>
  <si>
    <t>1 GUD : -1 23</t>
  </si>
  <si>
    <t>1 GY : -1 26</t>
  </si>
  <si>
    <t>1 GZ : -1 BB</t>
  </si>
  <si>
    <t>7.45 HA : -1 GX</t>
  </si>
  <si>
    <t>1 HK : -1 26</t>
  </si>
  <si>
    <t>1 HOB : -1 BZ</t>
  </si>
  <si>
    <t>1 IF : -1 NS</t>
  </si>
  <si>
    <t>1 II : -1 PW</t>
  </si>
  <si>
    <t>1 IK : -1 PC</t>
  </si>
  <si>
    <t>1 IQ : -1 NE</t>
  </si>
  <si>
    <t>1 IS : -1 NB</t>
  </si>
  <si>
    <t>1 IT : -1 NZ</t>
  </si>
  <si>
    <t>1 IU : -1 NK</t>
  </si>
  <si>
    <t>1 IX : -1 NX</t>
  </si>
  <si>
    <t>1 JB : -1 BB</t>
  </si>
  <si>
    <t>1 JC : -1 GX</t>
  </si>
  <si>
    <t>1 JL : -1 27</t>
  </si>
  <si>
    <t>1 JR : -1 GX</t>
  </si>
  <si>
    <t>1 JS : -1 23</t>
  </si>
  <si>
    <t>1 JU : -1 23</t>
  </si>
  <si>
    <t>10 KE : -1 GX</t>
  </si>
  <si>
    <t>1 KL : -1 23</t>
  </si>
  <si>
    <t>1 KSD : -1 DC</t>
  </si>
  <si>
    <t>1 L2 : -1 5Z</t>
  </si>
  <si>
    <t>1 L4 : -1 6Z</t>
  </si>
  <si>
    <t>1 L7 : -1 8F</t>
  </si>
  <si>
    <t>10 LE : -1 GX</t>
  </si>
  <si>
    <t>1 LT : -1 23</t>
  </si>
  <si>
    <t>1 M6 : -1 ND</t>
  </si>
  <si>
    <t>1 M7 : -1 NU</t>
  </si>
  <si>
    <t>1 M8 : -1 SZ</t>
  </si>
  <si>
    <t>1 M9 : -1 TE</t>
  </si>
  <si>
    <t>1 MD : -1 GP</t>
  </si>
  <si>
    <t>1 ME : -1 23</t>
  </si>
  <si>
    <t>1 MG : -1 26</t>
  </si>
  <si>
    <t>10 MGB : -1 GX</t>
  </si>
  <si>
    <t>10 MGF : -1 GX</t>
  </si>
  <si>
    <t>10 MGG : -1 GX</t>
  </si>
  <si>
    <t>10 MGN : -1 GX</t>
  </si>
  <si>
    <t>10 MJB : -1 GX</t>
  </si>
  <si>
    <t>10 MJC : -1 GX</t>
  </si>
  <si>
    <t>1 ML : -1 26</t>
  </si>
  <si>
    <t>1 MQ : -1 23</t>
  </si>
  <si>
    <t>1 MSD : -1 SE</t>
  </si>
  <si>
    <t>10 MUD : -1 GX</t>
  </si>
  <si>
    <t>10 MUL : -1 GX</t>
  </si>
  <si>
    <t>1 N4 : -1 9F</t>
  </si>
  <si>
    <t>1 N5 : -1 9A</t>
  </si>
  <si>
    <t>1 N6 : -1 T5</t>
  </si>
  <si>
    <t>1 N7 : -1 B4</t>
  </si>
  <si>
    <t>1 N8 : -1 TA</t>
  </si>
  <si>
    <t>1 NBB : -8.9 BZ</t>
  </si>
  <si>
    <t>1 NFC : -1 26</t>
  </si>
  <si>
    <t>1 NFG : -1 MF</t>
  </si>
  <si>
    <t>1 NOB : -8.9 BZ</t>
  </si>
  <si>
    <t>1 NYC : -1 MF</t>
  </si>
  <si>
    <t>6.35 NYF : -1 UF</t>
  </si>
  <si>
    <t>6.35 NYG : -1 UF</t>
  </si>
  <si>
    <t>1 NYH : -1 MM</t>
  </si>
  <si>
    <t>1 NYI : -1 MM</t>
  </si>
  <si>
    <t>1 OI : -1 PD</t>
  </si>
  <si>
    <t>1 Q2 : -1 TX</t>
  </si>
  <si>
    <t>1 Q4 : -1 NQ</t>
  </si>
  <si>
    <t>1 Q9 : -1 FP</t>
  </si>
  <si>
    <t>1 RBB : -1 BZ</t>
  </si>
  <si>
    <t>1 RBG : -1 27</t>
  </si>
  <si>
    <t>1 RD : -1 26</t>
  </si>
  <si>
    <t>1 RH : -1 23</t>
  </si>
  <si>
    <t>1 RI : -1 27</t>
  </si>
  <si>
    <t>1 RK : -1 SG</t>
  </si>
  <si>
    <t>1 RM : -1 26</t>
  </si>
  <si>
    <t>1 RU : -1 26</t>
  </si>
  <si>
    <t>1 RV : -1 27</t>
  </si>
  <si>
    <t>1 RVG : -1 27</t>
  </si>
  <si>
    <t>1 RX : -1 CL</t>
  </si>
  <si>
    <t>1 S7 : -1 TB</t>
  </si>
  <si>
    <t>1 S9 : -1 GL</t>
  </si>
  <si>
    <t>1 SD : -1 SE</t>
  </si>
  <si>
    <t>1 SFC : -1 BZ</t>
  </si>
  <si>
    <t>1 SMU : -1 1N</t>
  </si>
  <si>
    <t>1 STB : -1 DC</t>
  </si>
  <si>
    <t>1 STI : -1 DC</t>
  </si>
  <si>
    <t>1 STR : -1 BZ</t>
  </si>
  <si>
    <t>1 STS : -1 DC</t>
  </si>
  <si>
    <t>1 STZ : -1 SG</t>
  </si>
  <si>
    <t>1 TP : -1 GX</t>
  </si>
  <si>
    <t>1 TU : -1 GX</t>
  </si>
  <si>
    <t>1 TZI : -1 TZ6</t>
  </si>
  <si>
    <t>10 UCM : -1 GX</t>
  </si>
  <si>
    <t>1 UCU : -1 TY</t>
  </si>
  <si>
    <t>1 ULB : -1 23</t>
  </si>
  <si>
    <t>1 US : -1 23</t>
  </si>
  <si>
    <t>1 UT : -1 23</t>
  </si>
  <si>
    <t>1 UY : -1 23</t>
  </si>
  <si>
    <t>1 UZ : -1 27</t>
  </si>
  <si>
    <t>1 V8 : -1 PB</t>
  </si>
  <si>
    <t>1 VI : -1 PF</t>
  </si>
  <si>
    <t>1 VR : -1 MF</t>
  </si>
  <si>
    <t>1 VV : -1 GE</t>
  </si>
  <si>
    <t>1 WJ : -1 26</t>
  </si>
  <si>
    <t>1 WQ : -1 GX</t>
  </si>
  <si>
    <t>1 WT : -1 GX</t>
  </si>
  <si>
    <t>8.333 XER : -1 7H</t>
  </si>
  <si>
    <t>1 Y6 : -1 CZ</t>
  </si>
  <si>
    <t>1 Y7 : -1 NM</t>
  </si>
  <si>
    <t>1 YH : -1 23</t>
  </si>
  <si>
    <t>1 YV : -1 26</t>
  </si>
  <si>
    <t>1 YX : -1 26</t>
  </si>
  <si>
    <t>1 Z0 : -1 SG</t>
  </si>
  <si>
    <t>1 Z5 : -1 GX</t>
  </si>
  <si>
    <t>1 Z7 : -1 GX</t>
  </si>
  <si>
    <t>1 Z8 : -1 CI</t>
  </si>
  <si>
    <t>1 51 : -1 PS</t>
  </si>
  <si>
    <t>1 59 : -1 59</t>
  </si>
  <si>
    <t>1 5C : -1 23</t>
  </si>
  <si>
    <t>1 5U : -1 23</t>
  </si>
  <si>
    <t>1 63 : -1 UV</t>
  </si>
  <si>
    <t>1 6V : -1 GX</t>
  </si>
  <si>
    <t>1 6W : -1 6W</t>
  </si>
  <si>
    <t>1 6X : -1 GX</t>
  </si>
  <si>
    <t>1 7I : -1 BZ</t>
  </si>
  <si>
    <t>1 7K : -1 BZ</t>
  </si>
  <si>
    <t>1 7U : -1 23</t>
  </si>
  <si>
    <t>1 7V : -1 GX</t>
  </si>
  <si>
    <t>1 7W : -1 23</t>
  </si>
  <si>
    <t>1 7X : -1 GX</t>
  </si>
  <si>
    <t>1 7Y : -1 23</t>
  </si>
  <si>
    <t>1 88 : -1 UV</t>
  </si>
  <si>
    <t>1 8W : -1 GX</t>
  </si>
  <si>
    <t>1 91 : -1 PS</t>
  </si>
  <si>
    <t>1 9Q : -1 GX</t>
  </si>
  <si>
    <t>1 A6 : -1 23</t>
  </si>
  <si>
    <t>1 A8 : -1 27</t>
  </si>
  <si>
    <t>Exercises into Physical Future</t>
  </si>
  <si>
    <t>Exercises into Financial Future</t>
  </si>
  <si>
    <t>Financially Settled Futures</t>
  </si>
  <si>
    <t>Physically Settled Futures</t>
  </si>
  <si>
    <t>Close of business on the business day prior to the first notice day for any delivery month.</t>
  </si>
  <si>
    <t>Close of trading 3 business days prior to last trading day of the contract</t>
  </si>
  <si>
    <t>Y</t>
  </si>
  <si>
    <t>Financially Settled Option</t>
  </si>
  <si>
    <t>Effective as of the opening of trading on the first business day when a contract month becomes the first nearby month</t>
  </si>
  <si>
    <t>For ACR: Close of trading 3 business days prior to last trading day of the contract</t>
  </si>
  <si>
    <t>For KA: Effective as of the opening of trading on the first business day when a contract month becomes the first nearby month</t>
  </si>
  <si>
    <t>For 26: Close of trading 3 business days prior to last trading day of the contract</t>
  </si>
  <si>
    <t>For VP: Effective as of the opening of trading on the first business day when a contract month becomes the first nearby month</t>
  </si>
  <si>
    <t>For 23: Close of trading 3 business days prior to last trading day of the contract</t>
  </si>
  <si>
    <t>For 6T: Close of trading 3 business days prior to last trading day of the contract</t>
  </si>
  <si>
    <t>For TY: Close of trading 3 business days prior to last trading day of the contract</t>
  </si>
  <si>
    <t>For UM: Effective as of the opening of trading on the first business day when a contract month becomes the first nearby month</t>
  </si>
  <si>
    <t>For UO: Effective as of the opening of trading on the first business day when a contract month becomes the first nearby month</t>
  </si>
  <si>
    <t>For TW: Close of trading 3 business days prior to last trading day of the contract</t>
  </si>
  <si>
    <t>For VL: Close of trading 3 business days prior to last trading day of the contract</t>
  </si>
  <si>
    <t>For BB: Close of trading 3 business days prior to last trading day of the contract</t>
  </si>
  <si>
    <t>For 7H: Close of trading 3 business days prior to last trading day of the contract and for BZ: Close of trading 3 business days prior to last trading day of the contract</t>
  </si>
  <si>
    <t>For DC: Close of trading 3 business days prior to last trading day of the contract</t>
  </si>
  <si>
    <t>For BZ: Close of trading 3 business days prior to last trading day of the contract</t>
  </si>
  <si>
    <t>For GT: Close of trading 3 business days prior to last trading day of the contract and for TY: Close of trading 3 business days prior to last trading day of the contract</t>
  </si>
  <si>
    <t>For NBZ: Close of trading 3 business days prior to last trading day of the contract</t>
  </si>
  <si>
    <t>For RBF: Close of trading 3 business days prior to last trading day of the contract and for GX: Close of trading 3 business days prior to last trading day of the contract</t>
  </si>
  <si>
    <t>For 26: Close of trading 3 business days prior to last trading day of the contract and for BZ: Close of trading 3 business days prior to last trading day of the contract</t>
  </si>
  <si>
    <t>For UV: Close of trading 3 business days prior to last trading day of the contract and for BZ: Close of trading 3 business days prior to last trading day of the contract</t>
  </si>
  <si>
    <t>For UA: Close of trading 3 business days prior to last trading day of the contract</t>
  </si>
  <si>
    <t>For BZ: Close of trading 3 business days prior to last trading day of the contract and for DOO: Close of trading 3 business days prior to last trading day of the contract</t>
  </si>
  <si>
    <t>For SE: Close of trading 3 business days prior to last trading day of the contract</t>
  </si>
  <si>
    <t>For KS: Close of trading 3 business days prior to last trading day of the contract</t>
  </si>
  <si>
    <t>For QL: Close of trading 3 business days prior to last trading day of the contract</t>
  </si>
  <si>
    <t>For CCA: Close of trading 3 business days prior to last trading day of the contract</t>
  </si>
  <si>
    <t>For CBO: Close of trading 3 business days prior to last trading day of the contract and for 27: Close of trading 3 business days prior to last trading day of the contract</t>
  </si>
  <si>
    <t>For CBO: Close of trading 3 business days prior to last trading day of the contract and for 26: Close of trading 3 business days prior to last trading day of the contract</t>
  </si>
  <si>
    <t>For EM: Effective as of the opening of trading on the first business day when a contract month becomes the first nearby month</t>
  </si>
  <si>
    <t>For NI: Effective as of the opening of trading on the first business day when a contract month becomes the first nearby month</t>
  </si>
  <si>
    <t>For AJ: Close of trading 3 business days prior to last trading day of the contract and for 26: Close of trading 3 business days prior to last trading day of the contract</t>
  </si>
  <si>
    <t>For AW: Close of trading 3 business days prior to last trading day of the contract and for 26: Close of trading 3 business days prior to last trading day of the contract</t>
  </si>
  <si>
    <t>For MTF: Close of trading 3 business days prior to last trading day of the contract</t>
  </si>
  <si>
    <t>For CR: Close of trading 3 business days prior to last trading day of the contract</t>
  </si>
  <si>
    <t>For QX: Close of trading 3 business days prior to last trading day of the contract</t>
  </si>
  <si>
    <t>For CRG: Close of trading 3 business days prior to last trading day of the contract and for 27: Close of trading 3 business days prior to last trading day of the contract</t>
  </si>
  <si>
    <t>For CFU: Close of trading 3 business days prior to last trading day of the contract</t>
  </si>
  <si>
    <t>For 9X: Effective as of the opening of trading on the first business day when a contract month becomes the first nearby month</t>
  </si>
  <si>
    <t>For CVF: Close of trading 3 business days prior to last trading day of the contract</t>
  </si>
  <si>
    <t>For CU: Close of trading 3 business days prior to last trading day of the contract</t>
  </si>
  <si>
    <t>For PC: Close of trading 3 business days prior to last trading day of the contract</t>
  </si>
  <si>
    <t>For KH: Effective as of the opening of trading on the first business day when a contract month becomes the first nearby month</t>
  </si>
  <si>
    <t>For KJ: Effective as of the opening of trading on the first business day when a contract month becomes the first nearby month</t>
  </si>
  <si>
    <t>For KK: Effective as of the opening of trading on the first business day when a contract month becomes the first nearby month</t>
  </si>
  <si>
    <t>For A5: Close of trading 3 business days prior to last trading day of the contract</t>
  </si>
  <si>
    <t>For BB: Close of trading 3 business days prior to last trading day of the contract and for DC: Close of trading 3 business days prior to last trading day of the contract</t>
  </si>
  <si>
    <t>For UB: Close of trading 3 business days prior to last trading day of the contract</t>
  </si>
  <si>
    <t>For UH: Close of trading 3 business days prior to last trading day of the contract</t>
  </si>
  <si>
    <t>For UF: Close of trading 3 business days prior to last trading day of the contract</t>
  </si>
  <si>
    <t>For UV: Close of trading 3 business days prior to last trading day of the contract</t>
  </si>
  <si>
    <t>For 27: Close of trading 3 business days prior to last trading day of the contract</t>
  </si>
  <si>
    <t>For 27: Close of trading 3 business days prior to last trading day of the contract and for 26: Close of trading 3 business days prior to last trading day of the contract</t>
  </si>
  <si>
    <t>For 23: Close of trading 3 business days prior to last trading day of the contract and for 26: Close of trading 3 business days prior to last trading day of the contract</t>
  </si>
  <si>
    <t>For GS: Close of trading 3 business days prior to last trading day of the contract and for 26: Close of trading 3 business days prior to last trading day of the contract</t>
  </si>
  <si>
    <t>For GS: Close of trading 3 business days prior to last trading day of the contract and for 27: Close of trading 3 business days prior to last trading day of the contract</t>
  </si>
  <si>
    <t>For LY: Close of trading 3 business days prior to last trading day of the contract and for 23: Close of trading 3 business days prior to last trading day of the contract</t>
  </si>
  <si>
    <t>For GE: Close of trading 3 business days prior to last trading day of the contract and for 23: Close of trading 3 business days prior to last trading day of the contract</t>
  </si>
  <si>
    <t>For 1N: Close of trading 3 business days prior to last trading day of the contract</t>
  </si>
  <si>
    <t>For 1N: Close of trading 3 business days prior to last trading day of the contract and for BZ: Close of trading 3 business days prior to last trading day of the contract</t>
  </si>
  <si>
    <t>For 1N: Close of trading 3 business days prior to last trading day of the contract and for DC: Close of trading 3 business days prior to last trading day of the contract</t>
  </si>
  <si>
    <t>For 1Q: Close of trading 3 business days prior to last trading day of the contract and for 23: Close of trading 3 business days prior to last trading day of the contract</t>
  </si>
  <si>
    <t>For 1T: Close of trading 3 business days prior to last trading day of the contract and for GX: Close of trading 3 business days prior to last trading day of the contract</t>
  </si>
  <si>
    <t>For 2D: Effective as of the opening of trading on the first business day when a contract month becomes the first nearby month</t>
  </si>
  <si>
    <t>For UJ: Close of trading 3 business days prior to last trading day of the contract</t>
  </si>
  <si>
    <t>For UH: Close of trading 3 business days prior to last trading day of the contract and for UF: Close of trading 3 business days prior to last trading day of the contract</t>
  </si>
  <si>
    <t>For 29: Close of trading 3 business days prior to last trading day of the contract and for V7: Close of trading 3 business days prior to last trading day of the contract</t>
  </si>
  <si>
    <t>For 29: Close of trading 3 business days prior to last trading day of the contract</t>
  </si>
  <si>
    <t>For V7: Close of trading 3 business days prior to last trading day of the contract</t>
  </si>
  <si>
    <t>For 2C: Close of trading 3 business days prior to last trading day of the contract and for 27: Close of trading 3 business days prior to last trading day of the contract</t>
  </si>
  <si>
    <t>For UN: Close of trading 3 business days prior to last trading day of the contract and for BB: Close of trading 3 business days prior to last trading day of the contract</t>
  </si>
  <si>
    <t>For TY: Close of trading 3 business days prior to last trading day of the contract and for GX: Close of trading 3 business days prior to last trading day of the contract</t>
  </si>
  <si>
    <t>For JM: Effective as of the opening of trading on the first business day when a contract month becomes the first nearby month</t>
  </si>
  <si>
    <t>For TW: Close of trading 3 business days prior to last trading day of the contract and for GX: Close of trading 3 business days prior to last trading day of the contract</t>
  </si>
  <si>
    <t>For 1N: Close of trading 3 business days prior to last trading day of the contract and for DOO: Close of trading 3 business days prior to last trading day of the contract</t>
  </si>
  <si>
    <t>For DOO: Close of trading 3 business days prior to last trading day of the contract</t>
  </si>
  <si>
    <t>For MOD: Effective as of the opening of trading on the first business day when a contract month becomes the first nearby month</t>
  </si>
  <si>
    <t>For MOR: Effective as of the opening of trading on the first business day when a contract month becomes the first nearby month</t>
  </si>
  <si>
    <t>For MPD: Effective as of the opening of trading on the first business day when a contract month becomes the first nearby month</t>
  </si>
  <si>
    <t>For DOO: Close of trading 3 business days prior to last trading day of the contract and for DC: Close of trading 3 business days prior to last trading day of the contract</t>
  </si>
  <si>
    <t>For MPR: Effective as of the opening of trading on the first business day when a contract month becomes the first nearby month</t>
  </si>
  <si>
    <t>For KS: Close of trading 3 business days prior to last trading day of the contract and for DOO: Close of trading 3 business days prior to last trading day of the contract</t>
  </si>
  <si>
    <t>For SG: Close of trading 3 business days prior to last trading day of the contract and for DOO: Close of trading 3 business days prior to last trading day of the contract</t>
  </si>
  <si>
    <t>For A4: Close of trading 3 business days prior to last trading day of the contract and for V7: Close of trading 3 business days prior to last trading day of the contract</t>
  </si>
  <si>
    <t>For JA: Close of trading 3 business days prior to last trading day of the contract</t>
  </si>
  <si>
    <t>For UI: Close of trading 3 business days prior to last trading day of the contract</t>
  </si>
  <si>
    <t>For GT: Close of trading 3 business days prior to last trading day of the contract and for GFS: Close of trading 3 business days prior to last trading day of the contract</t>
  </si>
  <si>
    <t>For EFM: Close of trading 3 business days prior to last trading day of the contract and for UF: Close of trading 3 business days prior to last trading day of the contract</t>
  </si>
  <si>
    <t>For REU: Close of trading 3 business days prior to last trading day of the contract</t>
  </si>
  <si>
    <t>For GT: Close of trading 3 business days prior to last trading day of the contract and for GX: Close of trading 3 business days prior to last trading day of the contract</t>
  </si>
  <si>
    <t>For UA: Close of trading 3 business days prior to last trading day of the contract and for UV: Close of trading 3 business days prior to last trading day of the contract</t>
  </si>
  <si>
    <t>For 1N: Close of trading 3 business days prior to last trading day of the contract and for 7H: Close of trading 3 business days prior to last trading day of the contract</t>
  </si>
  <si>
    <t>For JA: Close of trading 3 business days prior to last trading day of the contract and for UN: Close of trading 3 business days prior to last trading day of the contract</t>
  </si>
  <si>
    <t>For 27: Close of trading 3 business days prior to last trading day of the contract and for 7H: Close of trading 3 business days prior to last trading day of the contract</t>
  </si>
  <si>
    <t>For PFU: Close of trading 3 business days prior to last trading day of the contract</t>
  </si>
  <si>
    <t>For GX: Close of trading 3 business days prior to last trading day of the contract</t>
  </si>
  <si>
    <t>For BG: Close of trading 3 business days prior to last trading day of the contract</t>
  </si>
  <si>
    <t>For HO: Close of trading 3 business days prior to last trading day of the contract</t>
  </si>
  <si>
    <t>For FDM: Effective as of the opening of trading on the first business day when a contract month becomes the first nearby month</t>
  </si>
  <si>
    <t>For FBD: Close of trading 3 business days prior to last trading day of the contract and for GX: Close of trading 3 business days prior to last trading day of the contract</t>
  </si>
  <si>
    <t>For UV: Close of trading 3 business days prior to last trading day of the contract and for BB: Close of trading 3 business days prior to last trading day of the contract</t>
  </si>
  <si>
    <t>For UB: Close of trading 3 business days prior to last trading day of the contract and for BB: Close of trading 3 business days prior to last trading day of the contract</t>
  </si>
  <si>
    <t>For XB: Close of trading 3 business days prior to last trading day of the contract and for 26: Close of trading 3 business days prior to last trading day of the contract</t>
  </si>
  <si>
    <t>For MF: Close of trading 3 business days prior to last trading day of the contract</t>
  </si>
  <si>
    <t>For AY: Close of trading 3 business days prior to last trading day of the contract and for 26: Close of trading 3 business days prior to last trading day of the contract</t>
  </si>
  <si>
    <t>For UF: Close of trading 3 business days prior to last trading day of the contract and for BB: Close of trading 3 business days prior to last trading day of the contract</t>
  </si>
  <si>
    <t>For UI: Close of trading 3 business days prior to last trading day of the contract and for UV: Close of trading 3 business days prior to last trading day of the contract</t>
  </si>
  <si>
    <t>For UI: Close of trading 3 business days prior to last trading day of the contract and for BB: Close of trading 3 business days prior to last trading day of the contract</t>
  </si>
  <si>
    <t>For 1W: Close of trading 3 business days prior to last trading day of the contract</t>
  </si>
  <si>
    <t>For H1: Close of trading 3 business days prior to last trading day of the contract and for MF: Close of trading 3 business days prior to last trading day of the contract</t>
  </si>
  <si>
    <t>For EFM: Close of trading 3 business days prior to last trading day of the contract</t>
  </si>
  <si>
    <t>For UF: Close of trading 3 business days prior to last trading day of the contract and for UV: Close of trading 3 business days prior to last trading day of the contract</t>
  </si>
  <si>
    <t>For FTM: Effective as of the opening of trading on the first business day when a contract month becomes the first nearby month</t>
  </si>
  <si>
    <t>For UF: Close of trading 3 business days prior to last trading day of the contract and for BZ: Close of trading 3 business days prior to last trading day of the contract</t>
  </si>
  <si>
    <t>For SFT: Close of trading 3 business days prior to last trading day of the contract</t>
  </si>
  <si>
    <t>For SG: Close of trading 3 business days prior to last trading day of the contract and for GX: Close of trading 3 business days prior to last trading day of the contract</t>
  </si>
  <si>
    <t>For AF: Close of trading 3 business days prior to last trading day of the contract and for 23: Close of trading 3 business days prior to last trading day of the contract</t>
  </si>
  <si>
    <t>For GCM: Close of trading 3 business days prior to last trading day of the contract and for 27: Close of trading 3 business days prior to last trading day of the contract</t>
  </si>
  <si>
    <t>For 7H: Close of trading 3 business days prior to last trading day of the contract</t>
  </si>
  <si>
    <t>For MF: Close of trading 3 business days prior to last trading day of the contract and for UV: Close of trading 3 business days prior to last trading day of the contract</t>
  </si>
  <si>
    <t>For GCM: Close of trading 3 business days prior to last trading day of the contract and for 26: Close of trading 3 business days prior to last trading day of the contract</t>
  </si>
  <si>
    <t>For CRG: Close of trading 3 business days prior to last trading day of the contract and for 26: Close of trading 3 business days prior to last trading day of the contract</t>
  </si>
  <si>
    <t>For MF: Close of trading 3 business days prior to last trading day of the contract and for BZ: Close of trading 3 business days prior to last trading day of the contract</t>
  </si>
  <si>
    <t>For TW: Close of trading 3 business days prior to last trading day of the contract and for BZ: Close of trading 3 business days prior to last trading day of the contract</t>
  </si>
  <si>
    <t>For MF: Close of trading 3 business days prior to last trading day of the contract and for 26: Close of trading 3 business days prior to last trading day of the contract</t>
  </si>
  <si>
    <t>For GFS: Close of trading 3 business days prior to last trading day of the contract</t>
  </si>
  <si>
    <t>For GFS: Close of trading 3 business days prior to last trading day of the contract and for VL: Close of trading 3 business days prior to last trading day of the contract</t>
  </si>
  <si>
    <t>For 3G: Close of trading 3 business days prior to last trading day of the contract and for BB: Close of trading 3 business days prior to last trading day of the contract</t>
  </si>
  <si>
    <t>For KG: Effective as of the opening of trading on the first business day when a contract month becomes the first nearby month</t>
  </si>
  <si>
    <t>For VL: Close of trading 3 business days prior to last trading day of the contract and for BZ: Close of trading 3 business days prior to last trading day of the contract</t>
  </si>
  <si>
    <t>For GX: Close of trading 3 business days prior to last trading day of the contract and for BZ: Close of trading 3 business days prior to last trading day of the contract</t>
  </si>
  <si>
    <t>For GFS: Close of trading 3 business days prior to last trading day of the contract and for GX: Close of trading 3 business days prior to last trading day of the contract</t>
  </si>
  <si>
    <t>For GFS: Close of trading 3 business days prior to last trading day of the contract and for BZ: Close of trading 3 business days prior to last trading day of the contract</t>
  </si>
  <si>
    <t>For AJ: Close of trading 3 business days prior to last trading day of the contract and for 23: Close of trading 3 business days prior to last trading day of the contract</t>
  </si>
  <si>
    <t>For GE: Close of trading 3 business days prior to last trading day of the contract</t>
  </si>
  <si>
    <t>For LY: Close of trading 3 business days prior to last trading day of the contract and for 26: Close of trading 3 business days prior to last trading day of the contract</t>
  </si>
  <si>
    <t>For GX: Close of trading 3 business days prior to last trading day of the contract and for BB: Close of trading 3 business days prior to last trading day of the contract</t>
  </si>
  <si>
    <t>For HFT: Close of trading 3 business days prior to last trading day of the contract</t>
  </si>
  <si>
    <t>For EJ: Effective as of the opening of trading on the first business day when a contract month becomes the first nearby month</t>
  </si>
  <si>
    <t>For 23: Close of trading 3 business days prior to last trading day of the contract and for GX: Close of trading 3 business days prior to last trading day of the contract</t>
  </si>
  <si>
    <t>For 23: Close of trading 3 business days prior to last trading day of the contract and for BZ: Close of trading 3 business days prior to last trading day of the contract</t>
  </si>
  <si>
    <t>For HG: Close of business on the business day prior to the first notice day for any delivery month.</t>
  </si>
  <si>
    <t>For KI: Effective as of the opening of trading on the first business day when a contract month becomes the first nearby month</t>
  </si>
  <si>
    <t>For JA: Close of trading 3 business days prior to last trading day of the contract and for BB: Close of trading 3 business days prior to last trading day of the contract</t>
  </si>
  <si>
    <t>For UJ: Close of trading 3 business days prior to last trading day of the contract and for GX: Close of trading 3 business days prior to last trading day of the contract</t>
  </si>
  <si>
    <t>For J2: Effective as of the opening of trading on the first business day when a contract month becomes the first nearby month</t>
  </si>
  <si>
    <t>For MH: Close of trading 3 business days prior to last trading day of the contract and for 27: Close of trading 3 business days prior to last trading day of the contract</t>
  </si>
  <si>
    <t>For UR: Close of trading 3 business days prior to last trading day of the contract and for GX: Close of trading 3 business days prior to last trading day of the contract</t>
  </si>
  <si>
    <t>For LL: Close of trading 3 business days prior to last trading day of the contract and for 23: Close of trading 3 business days prior to last trading day of the contract</t>
  </si>
  <si>
    <t>For KB: Effective as of the opening of trading on the first business day when a contract month becomes the first nearby month</t>
  </si>
  <si>
    <t>For 1A: Close of trading 3 business days prior to last trading day of the contract and for GX: Close of trading 3 business days prior to last trading day of the contract</t>
  </si>
  <si>
    <t>For LX: Close of trading 3 business days prior to last trading day of the contract and for 23: Close of trading 3 business days prior to last trading day of the contract</t>
  </si>
  <si>
    <t>For KS: Close of trading 3 business days prior to last trading day of the contract and for DC: Close of trading 3 business days prior to last trading day of the contract</t>
  </si>
  <si>
    <t>For SP: Close of trading 3 business days prior to last trading day of the contract</t>
  </si>
  <si>
    <t>For UN: Close of trading 3 business days prior to last trading day of the contract</t>
  </si>
  <si>
    <t>For GC: Close of business on the business day prior to the first notice day for any delivery month.</t>
  </si>
  <si>
    <t>For BH: Close of trading 3 business days prior to last trading day of the contract</t>
  </si>
  <si>
    <t>For WS: Close of trading 3 business days prior to last trading day of the contract</t>
  </si>
  <si>
    <t>For 2L: Close of trading 3 business days prior to last trading day of the contract and for GX: Close of trading 3 business days prior to last trading day of the contract</t>
  </si>
  <si>
    <t>For CL: Close of trading 3 business days prior to last trading day of the contract</t>
  </si>
  <si>
    <t>For SG: Close of trading 3 business days prior to last trading day of the contract</t>
  </si>
  <si>
    <t>For MCC: Close of trading 3 business days prior to last trading day of the contract</t>
  </si>
  <si>
    <t>For GS: Close of trading 3 business days prior to last trading day of the contract and for GP: Close of trading 3 business days prior to last trading day of the contract</t>
  </si>
  <si>
    <t>For MFF: Close of trading 3 business days prior to last trading day of the contract</t>
  </si>
  <si>
    <t>For VL: Close of trading 3 business days prior to last trading day of the contract and for GX: Close of trading 3 business days prior to last trading day of the contract</t>
  </si>
  <si>
    <t>For MM: Close of trading 3 business days prior to last trading day of the contract and for 26: Close of trading 3 business days prior to last trading day of the contract</t>
  </si>
  <si>
    <t>For MQ: Close of trading 3 business days prior to last trading day of the contract and for 23: Close of trading 3 business days prior to last trading day of the contract</t>
  </si>
  <si>
    <t>For UA: Close of trading 3 business days prior to last trading day of the contract and for SE: Close of trading 3 business days prior to last trading day of the contract</t>
  </si>
  <si>
    <t>For JP: Effective as of the opening of trading on the first business day when a contract month becomes the first nearby month</t>
  </si>
  <si>
    <t>For UN: Close of trading 3 business days prior to last trading day of the contract and for BZ: Close of trading 3 business days prior to last trading day of the contract</t>
  </si>
  <si>
    <t>For MM: Close of trading 3 business days prior to last trading day of the contract and for MF: Close of trading 3 business days prior to last trading day of the contract</t>
  </si>
  <si>
    <t>For EZ: Close of trading 3 business days prior to last trading day of the contract</t>
  </si>
  <si>
    <t>For 8N: Close of trading 3 business days prior to last trading day of the contract</t>
  </si>
  <si>
    <t>For Y3: Close of trading 3 business days prior to last trading day of the contract and for MF: Close of trading 3 business days prior to last trading day of the contract</t>
  </si>
  <si>
    <t>For Y3: Close of trading 3 business days prior to last trading day of the contract</t>
  </si>
  <si>
    <t>For MM: Close of trading 3 business days prior to last trading day of the contract and for UF: Close of trading 3 business days prior to last trading day of the contract</t>
  </si>
  <si>
    <t>For 8N: Close of trading 3 business days prior to last trading day of the contract and for MM: Close of trading 3 business days prior to last trading day of the contract</t>
  </si>
  <si>
    <t>For Y4: Close of trading 3 business days prior to last trading day of the contract and for MM: Close of trading 3 business days prior to last trading day of the contract</t>
  </si>
  <si>
    <t>For Y4: Close of trading 3 business days prior to last trading day of the contract</t>
  </si>
  <si>
    <t>For H1: Close of trading 3 business days prior to last trading day of the contract</t>
  </si>
  <si>
    <t>For RB: Close of trading 3 business days prior to last trading day of the contract</t>
  </si>
  <si>
    <t>For RJ: Close of trading 3 business days prior to last trading day of the contract</t>
  </si>
  <si>
    <t>For VM: Effective as of the opening of trading on the first business day when a contract month becomes the first nearby month</t>
  </si>
  <si>
    <t>For PA: Close of business on the business day prior to the first notice day for any delivery month.</t>
  </si>
  <si>
    <t>For D7: Effective as of the opening of trading on the first business day when a contract month becomes the first nearby month</t>
  </si>
  <si>
    <t>For PDM: Effective as of the opening of trading on the first business day when a contract month becomes the first nearby month</t>
  </si>
  <si>
    <t>For R7: Effective as of the opening of trading on the first business day when a contract month becomes the first nearby month</t>
  </si>
  <si>
    <t>For R8: Effective as of the opening of trading on the first business day when a contract month becomes the first nearby month</t>
  </si>
  <si>
    <t>For L3: Effective as of the opening of trading on the first business day when a contract month becomes the first nearby month</t>
  </si>
  <si>
    <t>For N3: Effective as of the opening of trading on the first business day when a contract month becomes the first nearby month</t>
  </si>
  <si>
    <t>For PL: Close of business on the business day prior to the first notice day for any delivery month.</t>
  </si>
  <si>
    <t>For L6: Effective as of the opening of trading on the first business day when a contract month becomes the first nearby month</t>
  </si>
  <si>
    <t>For PTM: Effective as of the opening of trading on the first business day when a contract month becomes the first nearby month</t>
  </si>
  <si>
    <t>For E4: Effective as of the opening of trading on the first business day when a contract month becomes the first nearby month</t>
  </si>
  <si>
    <t>For J4: Effective as of the opening of trading on the first business day when a contract month becomes the first nearby month</t>
  </si>
  <si>
    <t>For NB: Close of trading 3 business days prior to last trading day of the contract</t>
  </si>
  <si>
    <t>For RT: Close of trading 3 business days prior to last trading day of the contract</t>
  </si>
  <si>
    <t>For 27: Close of trading 3 business days prior to last trading day of the contract and for BZ: Close of trading 3 business days prior to last trading day of the contract</t>
  </si>
  <si>
    <t>For GP: Close of trading 3 business days prior to last trading day of the contract and for 26: Close of trading 3 business days prior to last trading day of the contract</t>
  </si>
  <si>
    <t>For 27: Close of trading 3 business days prior to last trading day of the contract and for 23: Close of trading 3 business days prior to last trading day of the contract</t>
  </si>
  <si>
    <t>For RY: Close of trading 3 business days prior to last trading day of the contract and for 27: Close of trading 3 business days prior to last trading day of the contract</t>
  </si>
  <si>
    <t>For KS: Close of trading 3 business days prior to last trading day of the contract and for SG: Close of trading 3 business days prior to last trading day of the contract</t>
  </si>
  <si>
    <t>For QP: Close of trading 3 business days prior to last trading day of the contract</t>
  </si>
  <si>
    <t>For RB: Close of trading 3 business days prior to last trading day of the contract and for CL: Close of trading 3 business days prior to last trading day of the contract</t>
  </si>
  <si>
    <t>For UA: Close of trading 3 business days prior to last trading day of the contract and for BZ: Close of trading 3 business days prior to last trading day of the contract</t>
  </si>
  <si>
    <t>For 9A: Close of trading 3 business days prior to last trading day of the contract</t>
  </si>
  <si>
    <t>For V0: Close of trading 3 business days prior to last trading day of the contract and for 1N: Close of trading 3 business days prior to last trading day of the contract</t>
  </si>
  <si>
    <t>For SI: Close of business on the business day prior to the first notice day for any delivery month.</t>
  </si>
  <si>
    <t>For UA: Close of trading 3 business days prior to last trading day of the contract and for DC: Close of trading 3 business days prior to last trading day of the contract</t>
  </si>
  <si>
    <t>For SE: Close of trading 3 business days prior to last trading day of the contract and for DC: Close of trading 3 business days prior to last trading day of the contract</t>
  </si>
  <si>
    <t>For STF: Close of trading 3 business days prior to last trading day of the contract</t>
  </si>
  <si>
    <t>For STF: Close of trading 3 business days prior to last trading day of the contract and for SG: Close of trading 3 business days prior to last trading day of the contract</t>
  </si>
  <si>
    <t>For TH: Close of trading 3 business days prior to last trading day of the contract</t>
  </si>
  <si>
    <t>For TM: Close of trading 3 business days prior to last trading day of the contract</t>
  </si>
  <si>
    <t>For TL: Close of trading 3 business days prior to last trading day of the contract</t>
  </si>
  <si>
    <t>For NZ: Close of trading 3 business days prior to last trading day of the contract</t>
  </si>
  <si>
    <t>For GT: Close of trading 3 business days prior to last trading day of the contract</t>
  </si>
  <si>
    <t>For Z6: Close of trading 3 business days prior to last trading day of the contract and for GX: Close of trading 3 business days prior to last trading day of the contract</t>
  </si>
  <si>
    <t>For Z6: Close of trading 3 business days prior to last trading day of the contract and for TY: Close of trading 3 business days prior to last trading day of the contract</t>
  </si>
  <si>
    <t>For GCM: Close of trading 3 business days prior to last trading day of the contract</t>
  </si>
  <si>
    <t>For 5Y: Close of trading 3 business days prior to last trading day of the contract and for 23: Close of trading 3 business days prior to last trading day of the contract</t>
  </si>
  <si>
    <t>For GP: Close of trading 3 business days prior to last trading day of the contract and for 23: Close of trading 3 business days prior to last trading day of the contract</t>
  </si>
  <si>
    <t>For YS: Close of trading 3 business days prior to last trading day of the contract and for 23: Close of trading 3 business days prior to last trading day of the contract</t>
  </si>
  <si>
    <t>For AW: Close of trading 3 business days prior to last trading day of the contract and for 27: Close of trading 3 business days prior to last trading day of the contract</t>
  </si>
  <si>
    <t>For 6S: Close of trading 3 business days prior to last trading day of the contract</t>
  </si>
  <si>
    <t>For MM: Close of trading 3 business days prior to last trading day of the contract</t>
  </si>
  <si>
    <t>For LY: Close of trading 3 business days prior to last trading day of the contract and for GE: Close of trading 3 business days prior to last trading day of the contract</t>
  </si>
  <si>
    <t>For V0: Close of trading 3 business days prior to last trading day of the contract</t>
  </si>
  <si>
    <t>For WCC: Close of trading 3 business days prior to last trading day of the contract</t>
  </si>
  <si>
    <t>For WCE: Close of trading 3 business days prior to last trading day of the contract</t>
  </si>
  <si>
    <t>For XA: Close of trading 3 business days prior to last trading day of the contract and for 26: Close of trading 3 business days prior to last trading day of the contract</t>
  </si>
  <si>
    <t>For WR: Close of trading 3 business days prior to last trading day of the contract and for GX: Close of trading 3 business days prior to last trading day of the contract</t>
  </si>
  <si>
    <t>For Z4: Close of trading 3 business days prior to last trading day of the contract</t>
  </si>
  <si>
    <t>For Z6: Close of trading 3 business days prior to last trading day of the contract</t>
  </si>
  <si>
    <t>For UR: Close of trading 3 business days prior to last trading day of the contract</t>
  </si>
  <si>
    <t>For X0: Close of trading 3 business days prior to last trading day of the contract</t>
  </si>
  <si>
    <t>For YF: Close of trading 3 business days prior to last trading day of the contract and for 23: Close of trading 3 business days prior to last trading day of the contract</t>
  </si>
  <si>
    <t>For MO: Close of trading 3 business days prior to last trading day of the contract and for 26: Close of trading 3 business days prior to last trading day of the contract</t>
  </si>
  <si>
    <t>For MX: Close of trading 3 business days prior to last trading day of the contract and for 26: Close of trading 3 business days prior to last trading day of the contract</t>
  </si>
  <si>
    <t>For Z4: Close of trading 3 business days prior to last trading day of the contract and for GX: Close of trading 3 business days prior to last trading day of the contract</t>
  </si>
  <si>
    <t>For NS: Close of trading 3 business days prior to last trading day of the contract</t>
  </si>
  <si>
    <t>For NR: Close of trading 3 business days prior to last trading day of the contract</t>
  </si>
  <si>
    <t>For 4C: Close of trading 3 business days prior to last trading day of the contract and for 23: Close of trading 3 business days prior to last trading day of the contract</t>
  </si>
  <si>
    <t>For PD: Close of trading 3 business days prior to last trading day of the contract</t>
  </si>
  <si>
    <t>For NX: Close of trading 3 business days prior to last trading day of the contract</t>
  </si>
  <si>
    <t>For 4Y: Close of trading 3 business days prior to last trading day of the contract and for 23: Close of trading 3 business days prior to last trading day of the contract</t>
  </si>
  <si>
    <t>For WS: Close of trading 3 business days prior to last trading day of the contract and for WS: Close of trading 3 business days prior to last trading day of the contract</t>
  </si>
  <si>
    <t>For 7L: Close of trading 3 business days prior to last trading day of the contract</t>
  </si>
  <si>
    <t>For 7P: Close of trading 3 business days prior to last trading day of the contract</t>
  </si>
  <si>
    <t>For 4U: Close of trading 3 business days prior to last trading day of the contract and for 23: Close of trading 3 business days prior to last trading day of the contract</t>
  </si>
  <si>
    <t>For 7O: Close of trading 3 business days prior to last trading day of the contract and for 23: Close of trading 3 business days prior to last trading day of the contract</t>
  </si>
  <si>
    <t>For 7D: Close of trading 3 business days prior to last trading day of the contract</t>
  </si>
  <si>
    <t>For 3G: Close of trading 3 business days prior to last trading day of the contract</t>
  </si>
  <si>
    <t>For BB: Close of trading 3 business days prior to last trading day of the contract and for BB: Close of trading 3 business days prior to last trading day of the contract</t>
  </si>
  <si>
    <t>For A7: Close of trading 3 business days prior to last trading day of the contract and for 23: Close of trading 3 business days prior to last trading day of the contract</t>
  </si>
  <si>
    <t>For A9: Close of trading 3 business days prior to last trading day of the contract and for 27: Close of trading 3 business days prior to last trading day of the contract</t>
  </si>
  <si>
    <t>AA</t>
  </si>
  <si>
    <t>AC</t>
  </si>
  <si>
    <t>AB</t>
  </si>
  <si>
    <t>AM</t>
  </si>
  <si>
    <t>AZ</t>
  </si>
  <si>
    <t>FA</t>
  </si>
  <si>
    <t>FB</t>
  </si>
  <si>
    <t>FC</t>
  </si>
  <si>
    <t>FM</t>
  </si>
  <si>
    <t>G4</t>
  </si>
  <si>
    <t>G2</t>
  </si>
  <si>
    <t>G3</t>
  </si>
  <si>
    <t>G5</t>
  </si>
  <si>
    <t>G6</t>
  </si>
  <si>
    <t>G7</t>
  </si>
  <si>
    <t>GXA</t>
  </si>
  <si>
    <t>GXB</t>
  </si>
  <si>
    <t>GXC</t>
  </si>
  <si>
    <t>GXM</t>
  </si>
  <si>
    <t>GXZ</t>
  </si>
  <si>
    <t>1 G4 : 1 HP</t>
  </si>
  <si>
    <t>1 G2 : 1 HP</t>
  </si>
  <si>
    <t>1 G3 : 1 HP</t>
  </si>
  <si>
    <t xml:space="preserve"> 1 G5 : 1 HP</t>
  </si>
  <si>
    <t>1 G6 : 1 HP</t>
  </si>
  <si>
    <t>1 G7 : 1 HP</t>
  </si>
  <si>
    <t>1 FA : 1 HO</t>
  </si>
  <si>
    <t>1 FB : 1 HO</t>
  </si>
  <si>
    <t>1 FC : 1 HO</t>
  </si>
  <si>
    <t>1 FM : 1 HO</t>
  </si>
  <si>
    <t>1 FZ : 1 HO</t>
  </si>
  <si>
    <t>1 AA : 1 BB</t>
  </si>
  <si>
    <t>1 AB : 1 BB</t>
  </si>
  <si>
    <t>1 AC: 1 BB</t>
  </si>
  <si>
    <t>1 AM : 1 BB</t>
  </si>
  <si>
    <t>1 AZ : 1 BB</t>
  </si>
  <si>
    <t>1 GXA : 1 BG</t>
  </si>
  <si>
    <t>1 GXB : 1 BG</t>
  </si>
  <si>
    <t>1 GXC : 1 BG</t>
  </si>
  <si>
    <t>1 GXM : 1 BG</t>
  </si>
  <si>
    <t>1 GXZ : 1 BG</t>
  </si>
  <si>
    <t>IA</t>
  </si>
  <si>
    <t>IB</t>
  </si>
  <si>
    <t>IC</t>
  </si>
  <si>
    <t>IE</t>
  </si>
  <si>
    <t>IM</t>
  </si>
  <si>
    <t>IZ</t>
  </si>
  <si>
    <t>1 IA : 1 NG</t>
  </si>
  <si>
    <t>1 IB : 1 NG</t>
  </si>
  <si>
    <t>1 IC : 1 NG</t>
  </si>
  <si>
    <t>1 IE : 1 NG</t>
  </si>
  <si>
    <t>1 IZ : 1 NG</t>
  </si>
  <si>
    <t>1 IM : 1 NG</t>
  </si>
  <si>
    <t>WA</t>
  </si>
  <si>
    <t>WB</t>
  </si>
  <si>
    <t>WC</t>
  </si>
  <si>
    <t>WM</t>
  </si>
  <si>
    <t>WZ</t>
  </si>
  <si>
    <t>1 WA : 1 CL</t>
  </si>
  <si>
    <t>1 WB : 1 CL</t>
  </si>
  <si>
    <t>1 WC : 1 CL</t>
  </si>
  <si>
    <t>1 WM : 1 CL</t>
  </si>
  <si>
    <t>1 WZ : 1 CL</t>
  </si>
  <si>
    <t>1 ZA : 1 RB</t>
  </si>
  <si>
    <t>ZA</t>
  </si>
  <si>
    <t>ZB</t>
  </si>
  <si>
    <t>ZC</t>
  </si>
  <si>
    <t>ZM</t>
  </si>
  <si>
    <t>1 ZB : 1 RB</t>
  </si>
  <si>
    <t>1 ZC : 1 RB</t>
  </si>
  <si>
    <t>1 ZM : 1 RB</t>
  </si>
  <si>
    <t>7A</t>
  </si>
  <si>
    <t>7B</t>
  </si>
  <si>
    <t>7C</t>
  </si>
  <si>
    <t>7M</t>
  </si>
  <si>
    <t>7Z</t>
  </si>
  <si>
    <t>1 7A : 1 WS</t>
  </si>
  <si>
    <t>1 7B : 1 WS</t>
  </si>
  <si>
    <t>1 7C : 1 WS</t>
  </si>
  <si>
    <t>1 7M : 1 WS</t>
  </si>
  <si>
    <t>1 7Z : 1 WS</t>
  </si>
  <si>
    <t>9C</t>
  </si>
  <si>
    <t>9B</t>
  </si>
  <si>
    <t>9D</t>
  </si>
  <si>
    <t>9L</t>
  </si>
  <si>
    <t>9Y</t>
  </si>
  <si>
    <t>1 9C : 1 BB</t>
  </si>
  <si>
    <t>1 9B : 1 BB</t>
  </si>
  <si>
    <t>1 9D : 1 BB</t>
  </si>
  <si>
    <t>1 9L : 1 BB</t>
  </si>
  <si>
    <t>1 9Y : 1 BB</t>
  </si>
  <si>
    <t>DNM</t>
  </si>
  <si>
    <t>DTM</t>
  </si>
  <si>
    <t>1 DTM : 1 26</t>
  </si>
  <si>
    <t>1 DNM : 1 26</t>
  </si>
  <si>
    <t>1 ODB : 1 BB</t>
  </si>
  <si>
    <t>Henry Hub Natural Gas Financial Calendar Spread Option (One Month)</t>
  </si>
  <si>
    <t>Henry Hub Natural Gas Financial Calendar Spread Options (Two Month)</t>
  </si>
  <si>
    <t xml:space="preserve">Henry Hub Natural Gas Financial Calendar Spread Options (Three Month) </t>
  </si>
  <si>
    <t xml:space="preserve">Henry Hub Natural Gas Financial Calendar Spread Option (Five Month) </t>
  </si>
  <si>
    <t xml:space="preserve">Henry Hub Natural Gas Financial Calendar Spread Option (Six Month) </t>
  </si>
  <si>
    <t>Henry Hub Natural Gas Financial Calendar Spread Option (Twelve Month)</t>
  </si>
  <si>
    <t>Heating Oil Calendar Spread Option (Two Month)</t>
  </si>
  <si>
    <t>Heating Oil Calendar Spread Option (Three Month)</t>
  </si>
  <si>
    <t xml:space="preserve">Heating Oil Calendar Spread Option (Six Month) </t>
  </si>
  <si>
    <t>FZ</t>
  </si>
  <si>
    <t xml:space="preserve">Heating Oil Calendar Spread Option (Twelve Month) </t>
  </si>
  <si>
    <t>Daily Crude Oil Calendar Spread Option (One Month)</t>
  </si>
  <si>
    <t>Daily Crude Oil Calendar Spread Option (Two Month)</t>
  </si>
  <si>
    <t>Brent Calendar Spread Option (One Month)</t>
  </si>
  <si>
    <t>Brent Calendar Spread Option (Two Month)</t>
  </si>
  <si>
    <t>Brent Calendar Spread Option (Three Month)</t>
  </si>
  <si>
    <t>Brent Calendar Spread Option (Six Month)</t>
  </si>
  <si>
    <t>Brent Calendar Spread Option (Twelve Month)</t>
  </si>
  <si>
    <t>Physically Settled Forward</t>
  </si>
  <si>
    <t xml:space="preserve">Heating Oil Calendar Spread Option (One Month) </t>
  </si>
  <si>
    <t>European Gasoil Calendar Spread Option (One Month)</t>
  </si>
  <si>
    <t>European Gasoil Calendar Spread Option (Two Month)</t>
  </si>
  <si>
    <t xml:space="preserve">European Gasoil Calendar Spread Option (Three Month) </t>
  </si>
  <si>
    <t>European Gasoil Calendar Spread Option (Six Month)</t>
  </si>
  <si>
    <t>European Gasoil Calendar Spread Option (Twelve Month)</t>
  </si>
  <si>
    <t>Henry Hub Natural Gas Calendar Spread Option (One Month)</t>
  </si>
  <si>
    <t>Henry Hub Natural Gas Calendar Spread Option (Two Month)</t>
  </si>
  <si>
    <t>Henry Hub Natural Gas Calendar Spread Option (Three Month)</t>
  </si>
  <si>
    <t>Henry Hub Natural Gas Calendar Spread Option (Five Month)</t>
  </si>
  <si>
    <t>Henry Hub Natural Gas Calendar Spread Option (Six Month)</t>
  </si>
  <si>
    <t xml:space="preserve">Henry Hub Natural Gas Calendar Spread Option (Twelve Month) </t>
  </si>
  <si>
    <t xml:space="preserve">WTI  Calendar Spread Option (One Month) </t>
  </si>
  <si>
    <t>WTI  Calendar Spread Option (Two Month)</t>
  </si>
  <si>
    <t>WTI  Calendar Spread Option (Three Month)</t>
  </si>
  <si>
    <t xml:space="preserve">WTI  Calendar Spread Option (Six Month) </t>
  </si>
  <si>
    <t>WTI  Calendar Spread Option (Twelve Month)</t>
  </si>
  <si>
    <t xml:space="preserve">RBOB Gasoline Calendar Spread Option (One Month) </t>
  </si>
  <si>
    <t xml:space="preserve">RBOB Gasoline Calendar Spread Option (Two Month) </t>
  </si>
  <si>
    <t xml:space="preserve">RBOB Gasoline Calendar Spread Option (Three Month) </t>
  </si>
  <si>
    <t xml:space="preserve">RBOB Gasoline Calendar Spread Option (Six Month) </t>
  </si>
  <si>
    <t>Crude Oil Financial Calendar Spread Option (One Month)</t>
  </si>
  <si>
    <t xml:space="preserve">Crude Oil Financial Calendar Spread Option (Two Month) </t>
  </si>
  <si>
    <t>Crude Oil Financial Calendar Spread Option (Three Month)</t>
  </si>
  <si>
    <t xml:space="preserve">Crude Oil Financial Calendar Spread Option (Six Month) </t>
  </si>
  <si>
    <t>Crude Oil Financial Calendar Spread Option (Twelve Month)</t>
  </si>
  <si>
    <t>Brent Crude Oil Last Day Financial Calendar Spread Option (One Month)</t>
  </si>
  <si>
    <t>Brent Crude Oil Last Day Financial Calendar Spread Option (Two Month)</t>
  </si>
  <si>
    <t>Brent Crude Oil Last Day Financial Calendar Spread Option (Three Month)</t>
  </si>
  <si>
    <t>Brent Crude Oil Last Day Financial Calendar Spread Option (Six Month)</t>
  </si>
  <si>
    <t>Brent Crude Oil Last Day Financial Calendar Spread Option (Twelve Month)</t>
  </si>
  <si>
    <t>For position limit purposes, spot month position comprised of futures and deliveries.</t>
  </si>
  <si>
    <t>x Calendar Days</t>
  </si>
  <si>
    <t>1 CH : 1 HO</t>
  </si>
  <si>
    <t>1 CH : -1 CL</t>
  </si>
  <si>
    <t>1 BV : 1 26</t>
  </si>
  <si>
    <t>1 BV : -1 BZ</t>
  </si>
  <si>
    <t>For HO: Close of trading 3 business days prior to last trading day of the contract and for CL: Close of trading 3 business days prior to last trading day of the contract</t>
  </si>
  <si>
    <t>10.625 U6 : 1 NI</t>
  </si>
  <si>
    <t>NCP</t>
  </si>
  <si>
    <t>Effective on a daily basis</t>
  </si>
  <si>
    <t>For PPM: Effective on a daily basis</t>
  </si>
  <si>
    <t>1,250,000/1,250,000</t>
  </si>
  <si>
    <t>42,000,000/42,000,000</t>
  </si>
  <si>
    <t>150,000/150,000</t>
  </si>
  <si>
    <t>1,000,000/1,000,000</t>
  </si>
  <si>
    <t>3,000,000/3,000,000</t>
  </si>
  <si>
    <t>42,000,000/1,000,000</t>
  </si>
  <si>
    <t>5,000,000/5,000,000</t>
  </si>
  <si>
    <t>2,500,000/2,500,000</t>
  </si>
  <si>
    <t>3,750,000/3,750,000</t>
  </si>
  <si>
    <t>2,000,000/2,000,000</t>
  </si>
  <si>
    <t>3,000,000/2,000,000</t>
  </si>
  <si>
    <t>150/1,000</t>
  </si>
  <si>
    <t>500/1,000</t>
  </si>
  <si>
    <t>250/1,000</t>
  </si>
  <si>
    <t>25/1,000</t>
  </si>
  <si>
    <t>3,000/3,000</t>
  </si>
  <si>
    <t>1,000/3,000</t>
  </si>
  <si>
    <t>275/1,500</t>
  </si>
  <si>
    <t>300/1,000</t>
  </si>
  <si>
    <t>1,000/500</t>
  </si>
  <si>
    <t>2,000/2,000</t>
  </si>
  <si>
    <t>250/2,000</t>
  </si>
  <si>
    <t>150/5,000</t>
  </si>
  <si>
    <t>2,000/1,000</t>
  </si>
  <si>
    <t>1,000/2,000</t>
  </si>
  <si>
    <t>75/1,500</t>
  </si>
  <si>
    <t>50/1,000</t>
  </si>
  <si>
    <t>275/2,500</t>
  </si>
  <si>
    <t>1,000/150</t>
  </si>
  <si>
    <t>150/2,000</t>
  </si>
  <si>
    <t>100/1,000</t>
  </si>
  <si>
    <t>2,000/5,000</t>
  </si>
  <si>
    <t>2,000/7,500</t>
  </si>
  <si>
    <t>2,000/12,500</t>
  </si>
  <si>
    <t>100/2,000</t>
  </si>
  <si>
    <t>2,000/3,000</t>
  </si>
  <si>
    <t>1,000/4,000</t>
  </si>
  <si>
    <t>500/4,000</t>
  </si>
  <si>
    <t>4,000/5,000</t>
  </si>
  <si>
    <t>5,000/3,000</t>
  </si>
  <si>
    <t>1,000/5,000</t>
  </si>
  <si>
    <t>2,000/4,000</t>
  </si>
  <si>
    <t>3,000/2,000</t>
  </si>
  <si>
    <t>Position Limit in Shipping Certificates, Warehouse Receipts</t>
  </si>
  <si>
    <t>"Intra Crop Year Spread Allowance"</t>
  </si>
  <si>
    <t>Second Spot-Month Limit Effective Date</t>
  </si>
  <si>
    <t>Initial Spot-Month Limit (In Net Futures Equivalents) Leg (1) / Leg (2)</t>
  </si>
  <si>
    <t>Single Month Limit (In Net Futures Equivalents) Leg (1) / Leg (2)</t>
  </si>
  <si>
    <t>All Month Limit (In Net Futures Equivalents) Leg (1) / Leg (2)</t>
  </si>
  <si>
    <t>Initial Spot-Month Limit Effective Date</t>
  </si>
  <si>
    <t>Spot-Month Limit (In Contract Units) Leg (1) / Leg (2)</t>
  </si>
  <si>
    <t>All Month Aggregate Into Ratio Leg (2)</t>
  </si>
  <si>
    <t>All Month Aggregate Into Futures Equivalent Leg (2)</t>
  </si>
  <si>
    <t>All Month Aggregate Into Futures Equivalent Leg (1)</t>
  </si>
  <si>
    <t>All Month Aggregate Into Ratio Leg (1)</t>
  </si>
  <si>
    <t>Single Month Aggregate Into Futures Equivalent Leg (1)</t>
  </si>
  <si>
    <t>Single Month Aggregate Into Futures Equivalent Leg (2)</t>
  </si>
  <si>
    <t>Single Month Aggregate Into Ratio Leg (1)</t>
  </si>
  <si>
    <t>Single Month Aggregate Into Ratio Leg (2)</t>
  </si>
  <si>
    <t>Single Month Accountability Level Leg (1) / Leg (2)</t>
  </si>
  <si>
    <t>All Month Accountability Level Leg (1) / Leg (2)</t>
  </si>
  <si>
    <t>Spot-Month</t>
  </si>
  <si>
    <t>Single Month</t>
  </si>
  <si>
    <t>All Month</t>
  </si>
  <si>
    <t>Second Spot-Month</t>
  </si>
  <si>
    <t>Underlying Futures</t>
  </si>
  <si>
    <t>1 PJH : 20 UM</t>
  </si>
  <si>
    <t>1 PJP : 20 VM</t>
  </si>
  <si>
    <t>For M3: Close of trading 3 business days prior to expiration of the daily contract and for 8X: Close of trading 3 business days prior to last trading day of the contract</t>
  </si>
  <si>
    <t>Close of trading 3 business days prior to expiration of the daily contract</t>
  </si>
  <si>
    <t>For M4: Close of trading 3 business days prior to expiration of the daily contract and for 8Z: Close of trading 3 business days prior to last trading day of the contract</t>
  </si>
  <si>
    <t>For DT: Close of trading 3 business days prior to expiration of the daily contract and for PE: Close of trading 3 business days prior to last trading day of the contract</t>
  </si>
  <si>
    <t>For J3: Close of trading 3 business days prior to expiration of the daily contract and for TR: Close of trading 3 business days prior to last trading day of the contract</t>
  </si>
  <si>
    <t>For X8: Close of trading 3 business days prior to expiration of the daily contract and for 8B: Close of trading 3 business days prior to last trading day of the contract</t>
  </si>
  <si>
    <t>For X5: Close of trading 3 business days prior to expiration of the daily contract and for 8A: Close of trading 3 business days prior to last trading day of the contract</t>
  </si>
  <si>
    <t>For X4: Close of trading 3 business days prior to expiration of the daily contract and for 8E: Close of trading 3 business days prior to last trading day of the contract</t>
  </si>
  <si>
    <t>For SF: Close of trading 3 business days prior to expiration of the daily contract and for NS: Close of trading 3 business days prior to last trading day of the contract</t>
  </si>
  <si>
    <t>For VX: Close of trading 3 business days prior to expiration of the daily contract and for PW: Close of trading 3 business days prior to last trading day of the contract</t>
  </si>
  <si>
    <t>For SK: Close of trading 3 business days prior to expiration of the daily contract and for PC: Close of trading 3 business days prior to last trading day of the contract</t>
  </si>
  <si>
    <t>For SQ: Close of trading 3 business days prior to expiration of the daily contract and for NE: Close of trading 3 business days prior to last trading day of the contract</t>
  </si>
  <si>
    <t>For SS: Close of trading 3 business days prior to expiration of the daily contract and for NB: Close of trading 3 business days prior to last trading day of the contract</t>
  </si>
  <si>
    <t>For ST: Close of trading 3 business days prior to expiration of the daily contract and for NZ: Close of trading 3 business days prior to last trading day of the contract</t>
  </si>
  <si>
    <t>For SU: Close of trading 3 business days prior to expiration of the daily contract and for NK: Close of trading 3 business days prior to last trading day of the contract</t>
  </si>
  <si>
    <t>For SX: Close of trading 3 business days prior to expiration of the daily contract and for NX: Close of trading 3 business days prior to last trading day of the contract</t>
  </si>
  <si>
    <t>For HH: Close of trading 3 business days prior to expiration of the daily contract</t>
  </si>
  <si>
    <t>For X2: Close of trading 3 business days prior to expiration of the daily contract and for 5Z: Close of trading 3 business days prior to last trading day of the contract</t>
  </si>
  <si>
    <t>For W5: Close of trading 3 business days prior to expiration of the daily contract and for 6Z: Close of trading 3 business days prior to last trading day of the contract</t>
  </si>
  <si>
    <t>For X3: Close of trading 3 business days prior to expiration of the daily contract and for 8F: Close of trading 3 business days prior to last trading day of the contract</t>
  </si>
  <si>
    <t>For K6: Close of trading 3 business days prior to expiration of the daily contract and for ND: Close of trading 3 business days prior to last trading day of the contract</t>
  </si>
  <si>
    <t>For K7: Close of trading 3 business days prior to expiration of the daily contract and for NU: Close of trading 3 business days prior to last trading day of the contract</t>
  </si>
  <si>
    <t>For K8: Close of trading 3 business days prior to expiration of the daily contract and for SZ: Close of trading 3 business days prior to last trading day of the contract</t>
  </si>
  <si>
    <t>For K9: Close of trading 3 business days prior to expiration of the daily contract and for TE: Close of trading 3 business days prior to last trading day of the contract</t>
  </si>
  <si>
    <t>For Y9: Close of trading 3 business days prior to expiration of the daily contract and for 9F: Close of trading 3 business days prior to last trading day of the contract</t>
  </si>
  <si>
    <t>For T9: Close of trading 3 business days prior to expiration of the daily contract and for 9A: Close of trading 3 business days prior to last trading day of the contract</t>
  </si>
  <si>
    <t>For Q7: Close of trading 3 business days prior to expiration of the daily contract and for T5: Close of trading 3 business days prior to last trading day of the contract</t>
  </si>
  <si>
    <t>For C8: Close of trading 3 business days prior to expiration of the daily contract and for B4: Close of trading 3 business days prior to last trading day of the contract</t>
  </si>
  <si>
    <t>For C6: Close of trading 3 business days prior to expiration of the daily contract and for TA: Close of trading 3 business days prior to last trading day of the contract</t>
  </si>
  <si>
    <t>For OX: Close of trading 3 business days prior to expiration of the daily contract and for PD: Close of trading 3 business days prior to last trading day of the contract</t>
  </si>
  <si>
    <t>For T2: Close of trading 3 business days prior to expiration of the daily contract and for TX: Close of trading 3 business days prior to last trading day of the contract</t>
  </si>
  <si>
    <t>For T4: Close of trading 3 business days prior to expiration of the daily contract and for NQ: Close of trading 3 business days prior to last trading day of the contract</t>
  </si>
  <si>
    <t>For J8: Close of trading 3 business days prior to expiration of the daily contract and for FP: Close of trading 3 business days prior to last trading day of the contract</t>
  </si>
  <si>
    <t>For J7: Close of trading 3 business days prior to expiration of the daily contract and for TB: Close of trading 3 business days prior to last trading day of the contract</t>
  </si>
  <si>
    <t>For J6: Close of trading 3 business days prior to expiration of the daily contract and for GL: Close of trading 3 business days prior to last trading day of the contract</t>
  </si>
  <si>
    <t>For TZS: Close of trading 3 business days prior to expiration of the daily contract and for TZ6: Close of trading 3 business days prior to last trading day of the contract</t>
  </si>
  <si>
    <t>For W9: Close of trading 3 business days prior to expiration of the daily contract and for PB: Close of trading 3 business days prior to last trading day of the contract</t>
  </si>
  <si>
    <t>For VS: Close of trading 3 business days prior to expiration of the daily contract and for PF: Close of trading 3 business days prior to last trading day of the contract</t>
  </si>
  <si>
    <t>For T6: Close of trading 3 business days prior to expiration of the daily contract and for CZ: Close of trading 3 business days prior to last trading day of the contract</t>
  </si>
  <si>
    <t>For T7: Close of trading 3 business days prior to expiration of the daily contract and for NM: Close of trading 3 business days prior to last trading day of the contract</t>
  </si>
  <si>
    <t>For U8: Close of trading 3 business days prior to expiration of the daily contract and for CI: Close of trading 3 business days prior to last trading day of the contract</t>
  </si>
  <si>
    <t>For B0: Close of trading 3 business days prior to last trading day of the contract</t>
  </si>
  <si>
    <t>1 N9P : 10 JP</t>
  </si>
  <si>
    <t>For 1Y: Effective as of the opening of trading on the first business day when a contract month becomes the first nearby month and for 2F: Effective as of the opening of trading on the first business day when a contract month becomes the first nearby month on a daily basis</t>
  </si>
  <si>
    <t>For 1Z: Effective as of the opening of trading on the first business day when a contract month becomes the first nearby month and for 2H: Effective as of the opening of trading on the first business day when a contract month becomes the first nearby month on a daily basis</t>
  </si>
  <si>
    <t>For 2E: Effective as of the opening of trading on the first business day when a contract month becomes the first nearby month and for 2K: Effective as of the opening of trading on the first business day when a contract month becomes the first nearby month on a daily basis</t>
  </si>
  <si>
    <t>For 3X: Effective as of the opening of trading on the first business day when a contract month becomes the first nearby month and for 2Z: Effective as of the opening of trading on the first business day when a contract month becomes the first nearby month on a daily basis</t>
  </si>
  <si>
    <t>For 4X: Effective as of the opening of trading on the first business day when a contract month becomes the first nearby month and for 3Z: Effective as of the opening of trading on the first business day when a contract month becomes the first nearby month on a daily basis</t>
  </si>
  <si>
    <t>For OFM: Effective as of the opening of trading on the first business day when a contract month becomes the first nearby month and for OFD: Effective as of the opening of trading on the first business day when a contract month becomes the first nearby month on a daily basis</t>
  </si>
  <si>
    <t>For OPM: Effective as of the opening of trading on the first business day when a contract month becomes the first nearby month and for OPD: Effective as of the opening of trading on the first business day when a contract month becomes the first nearby month on a daily basis</t>
  </si>
  <si>
    <t>For 5X: Effective as of the opening of trading on the first business day when a contract month becomes the first nearby month and for 4Z: Effective as of the opening of trading on the first business day when a contract month becomes the first nearby month on a daily basis</t>
  </si>
  <si>
    <t>For 9X: Effective as of the opening of trading on the first business day when a contract month becomes the first nearby month and for 9Z: Effective as of the opening of trading on the first business day when a contract month becomes the first nearby month on a daily basis</t>
  </si>
  <si>
    <t>Plastics</t>
  </si>
  <si>
    <t>For HPE: Close of trading 3 business days prior to last trading day of the contract</t>
  </si>
  <si>
    <t>For LPE: Close of trading 3 business days prior to last trading day of the contract</t>
  </si>
  <si>
    <t>For PPP: Close of trading 3 business days prior to last trading day of the contract</t>
  </si>
  <si>
    <t>For 1R: Close of trading 3 business days prior to last trading day of the contract</t>
  </si>
  <si>
    <t>For 7E: Close of trading 3 business days prior to last trading day of the contract</t>
  </si>
  <si>
    <t>For D0: Close of trading 3 business days prior to last trading day of the contract</t>
  </si>
  <si>
    <t>For 7Q: Close of trading 3 business days prior to last trading day of the contract</t>
  </si>
  <si>
    <t>For 8K: Close of trading 3 business days prior to last trading day of the contract</t>
  </si>
  <si>
    <t>For C0: Close of trading 3 business days prior to last trading day of the contract</t>
  </si>
  <si>
    <t>For MBN: Close of trading 3 business days prior to last trading day of the contract</t>
  </si>
  <si>
    <t>For B0: Close of trading 3 business days prior to last trading day of the contract and for 7E: Close of trading 3 business days prior to last trading day of the contract</t>
  </si>
  <si>
    <t>For B0: Close of trading 3 business days prior to last trading day of the contract and for PS: Close of trading 3 business days prior to last trading day of the contract</t>
  </si>
  <si>
    <t>For 7E: Close of trading 3 business days prior to last trading day of the contract PS: Close of trading 3 business days prior to last trading day of the contract</t>
  </si>
  <si>
    <t>For PS: Close of trading 3 business days prior to last trading day of the contract</t>
  </si>
  <si>
    <t>For 8M: Close of trading 3 business days prior to last trading day of the contract</t>
  </si>
  <si>
    <t>For 8L: Close of trading 3 business days prior to last trading day of the contract</t>
  </si>
  <si>
    <t>For 9N: Close of trading 3 business days prior to last trading day of the contract</t>
  </si>
  <si>
    <t>Certified Emission Reduction Plus (CERplus) Option</t>
  </si>
  <si>
    <t>PCL</t>
  </si>
  <si>
    <t>1 PCL : 1 CPL</t>
  </si>
  <si>
    <t>For CPL: Close of trading 3 business days prior to last trading day of the contract</t>
  </si>
  <si>
    <t>Certified Emission Reduction Plus (CERplus) Serial Option</t>
  </si>
  <si>
    <t>CPE</t>
  </si>
  <si>
    <t>1 CPE : 1 CPL</t>
  </si>
  <si>
    <t>Emission Reduction Unit (ERU) Serial Option</t>
  </si>
  <si>
    <t>RUE</t>
  </si>
  <si>
    <t>1 RUE : 1 REU</t>
  </si>
  <si>
    <t>1 76 : 1 RJ</t>
  </si>
  <si>
    <t>1 86 : 1 RJ</t>
  </si>
  <si>
    <t>1 96 : 1 RJ</t>
  </si>
  <si>
    <t>1 93 : 1 CR</t>
  </si>
  <si>
    <t>1 94 : 1 CR</t>
  </si>
  <si>
    <t>1 95 : 1 CR</t>
  </si>
  <si>
    <t>Cleared OTC London Gold Forwards (collateral margin)</t>
  </si>
  <si>
    <t>For HH: Close of trading 3 business days prior to last trading day of the contract</t>
  </si>
  <si>
    <t>For NG: Close of trading 3 business days prior to last trading day of the contract</t>
  </si>
  <si>
    <t>For UB: Close of trading 3 business days prior to last trading day of the contract and for 1C: Close of trading 3 business days prior to last trading day of the contract</t>
  </si>
  <si>
    <t>42,000,000/3,000,000</t>
  </si>
  <si>
    <t>1,000,000/2,000,000</t>
  </si>
  <si>
    <t>150,000/2,000,000</t>
  </si>
  <si>
    <t>For UB: Close of trading 3 business days prior to last trading day of the contract and for 59: Close of trading 3 business days prior to last trading day of the contract</t>
  </si>
  <si>
    <t>For UB: Close of trading 3 business days prior to last trading day of the contract and for 6W: Close of trading 3 business days prior to last trading day of the contract</t>
  </si>
  <si>
    <t>500,000/2,000,000</t>
  </si>
  <si>
    <t>2,000,000/5,000,000</t>
  </si>
  <si>
    <t>2,000,000/4,000,000</t>
  </si>
  <si>
    <t>1,000,000/4,000,000</t>
  </si>
  <si>
    <t>4,000,000/5,000,000</t>
  </si>
  <si>
    <t>1,000,000/500,000</t>
  </si>
  <si>
    <t>500,000/150,000</t>
  </si>
  <si>
    <t>42,000,000/500,000</t>
  </si>
  <si>
    <t>100,000/2,000,000</t>
  </si>
  <si>
    <t>42,000,000/2,000,000</t>
  </si>
  <si>
    <t>2,000,000/42,000,000</t>
  </si>
  <si>
    <t>10,500,000/42,000,000</t>
  </si>
  <si>
    <t>2,000,000/3,000,000</t>
  </si>
  <si>
    <t>1,000,000/3,000,000</t>
  </si>
  <si>
    <t>1,000,000/5,000,000</t>
  </si>
  <si>
    <t>500,000/5,000,000</t>
  </si>
  <si>
    <t>150,000/5,000,000</t>
  </si>
  <si>
    <t>500,000/4,000,000</t>
  </si>
  <si>
    <t>50,000/1,000,000</t>
  </si>
  <si>
    <t>10,000/1,000,000</t>
  </si>
  <si>
    <t>50,000/1 ,000,000</t>
  </si>
  <si>
    <t>150,000/1,000,000</t>
  </si>
  <si>
    <t>500,000/1,000,000</t>
  </si>
  <si>
    <t>300,000/1,000,000</t>
  </si>
  <si>
    <t>1,000,000/150,000</t>
  </si>
  <si>
    <t>5,000,000/3,000,000</t>
  </si>
  <si>
    <t>2,250,000/1,250,000</t>
  </si>
  <si>
    <t>1 MQ : 1 MQ</t>
  </si>
  <si>
    <t>For LAI: Close of trading 3 business days prior to last trading day of the contract</t>
  </si>
  <si>
    <t>For SJ: Close of trading 3 business days prior to expiration of the daily contract</t>
  </si>
  <si>
    <t>For SM: Close of trading 3 business days prior to expiration of the daily contract</t>
  </si>
  <si>
    <t>For SV: Close of trading 3 business days prior to expiration of the daily contract</t>
  </si>
  <si>
    <t>1,250,000/375000</t>
  </si>
  <si>
    <t>10,500,000/150,000</t>
  </si>
  <si>
    <t>125,000/375,000</t>
  </si>
  <si>
    <t>1,250,000/625,000</t>
  </si>
  <si>
    <t>250,000/1,250,000</t>
  </si>
  <si>
    <t>250,000/625,000</t>
  </si>
  <si>
    <t>1,250,000/5,000,000</t>
  </si>
  <si>
    <t>750,000/1,250,000</t>
  </si>
  <si>
    <t>62,500/2,500,000</t>
  </si>
  <si>
    <t>750,000/2,500,000</t>
  </si>
  <si>
    <t>5,000,000/12,500,000</t>
  </si>
  <si>
    <t>1,250,000/2,500,000</t>
  </si>
  <si>
    <t>625,000/1,250,000</t>
  </si>
  <si>
    <t>5,000,000/18,750,000</t>
  </si>
  <si>
    <t>687,500/3,750,000</t>
  </si>
  <si>
    <t>187,500/3,750,000</t>
  </si>
  <si>
    <t>5,000,000/31,250,000</t>
  </si>
  <si>
    <t>250,000/2,500,000</t>
  </si>
  <si>
    <t>625,000/5,000,000</t>
  </si>
  <si>
    <t>150,000/50,000</t>
  </si>
  <si>
    <t>10,500,000/50,000</t>
  </si>
  <si>
    <t>2,500,000/1,250,000</t>
  </si>
  <si>
    <t>125,000/2,500,000</t>
  </si>
  <si>
    <t>375,000/2,500,000</t>
  </si>
  <si>
    <t>687,500/6,250,000</t>
  </si>
  <si>
    <t>375,000/12,500,000</t>
  </si>
  <si>
    <t>50,000/150,000</t>
  </si>
  <si>
    <t>Freight Route TC5 (Platts) Average Price Option</t>
  </si>
  <si>
    <t>Spot-Month Aggregate Into Ratio Leg (1)</t>
  </si>
  <si>
    <t>Spot-Month Aggregate Into Ratio Leg (2)</t>
  </si>
  <si>
    <t>Spot-Month position comprised of futures and deliveries</t>
  </si>
  <si>
    <t>First trading day of the expiring contract month</t>
  </si>
  <si>
    <t>For PIO: First trading day of the expiring contract month</t>
  </si>
  <si>
    <t>For HR: First trading day of the expiring contract month</t>
  </si>
  <si>
    <t>For GVF: First trading day of the expiring contract month</t>
  </si>
  <si>
    <t>For HGS: Close of business on the business day prior to the first notice day for any delivery month.</t>
  </si>
  <si>
    <t>For I1: Effective as of the opening of trading on the first business day when a contract month becomes the first nearby month</t>
  </si>
  <si>
    <t>For I2: Effective as of the opening of trading on the first business day when a contract month becomes the first nearby month</t>
  </si>
  <si>
    <t>For I5: Effective as of the opening of trading on the first business day when a contract month becomes the first nearby month</t>
  </si>
  <si>
    <t>For I6: Effective as of the opening of trading on the first business day when a contract month becomes the first nearby month</t>
  </si>
  <si>
    <t>For I9: Effective as of the opening of trading on the first business day when a contract month becomes the first nearby month</t>
  </si>
  <si>
    <t>For J1: Effective as of the opening of trading on the first business day when a contract month becomes the first nearby month</t>
  </si>
  <si>
    <t>For N1: Effective as of the opening of trading on the first business day when a contract month becomes the first nearby month</t>
  </si>
  <si>
    <t>1 R1 : 1 N1</t>
  </si>
  <si>
    <t>For O1: Effective as of the opening of trading on the first business day when a contract month becomes the first nearby month</t>
  </si>
  <si>
    <t>1 I3 : 1 I1</t>
  </si>
  <si>
    <t>1 I7 : 1 I5</t>
  </si>
  <si>
    <t>1 K1 : 1 I9</t>
  </si>
  <si>
    <t>1 I4 : 1 I2</t>
  </si>
  <si>
    <t>1 I8 : 1 I6</t>
  </si>
  <si>
    <t>1 M1 : 1 J1</t>
  </si>
  <si>
    <t>1 R4 : 1 O1</t>
  </si>
  <si>
    <t>Singapore Fuel Oil 380cst (Platts) vs. European 3.5% Fuel Oil Barges FOB Rdam (Platts) Futures</t>
  </si>
  <si>
    <t>EVC</t>
  </si>
  <si>
    <t>1 EVC : 1 SE</t>
  </si>
  <si>
    <t>1 EVC : 1 UV</t>
  </si>
  <si>
    <t>For SE: Close of trading 3 business days prior to last trading day of the contract and for UV:  Close of trading 3 business days prior to last trading day of the contract</t>
  </si>
  <si>
    <t>Singapore Fuel Oil 380cst (Platts) vs. European 3.5% Fuel Oil Barges FOB Rdam (Platts) BALMO Futures</t>
  </si>
  <si>
    <t>SFB</t>
  </si>
  <si>
    <t>1 SFB : 1 SE</t>
  </si>
  <si>
    <t>1 SFB : 1 UV</t>
  </si>
  <si>
    <t>1 TC : 1 CFS</t>
  </si>
  <si>
    <t>1 5D : 1 CFS</t>
  </si>
  <si>
    <t>For CFS: Close of trading 3 business days prior to last trading day of the contract</t>
  </si>
  <si>
    <t>1 Q1 : -1 CFS</t>
  </si>
  <si>
    <t>For A1: Close of trading 3 business days prior to expiration of the daily contract and for CFS: Close of trading 3 business days prior to last trading day of the contract</t>
  </si>
  <si>
    <t>1 IH : -1 DSF</t>
  </si>
  <si>
    <t>For DSF: Close of trading 3 business days prior to last trading day of the contract</t>
  </si>
  <si>
    <t>1 NH : 1 XJ</t>
  </si>
  <si>
    <t>1 5F : 1 XJ</t>
  </si>
  <si>
    <t>1 IP : -1 XJ</t>
  </si>
  <si>
    <t>For XJ: Close of trading 3 business days prior to last trading day of the contract</t>
  </si>
  <si>
    <t>For SM: Close of trading 3 business days prior to expiration of the daily contract and for XJ: Close of trading 3 business days prior to last trading day of the contract</t>
  </si>
  <si>
    <t>1 PG : 1 DSF</t>
  </si>
  <si>
    <t>1 NJ : 1 XX</t>
  </si>
  <si>
    <t>1 IJ : -1 XX</t>
  </si>
  <si>
    <t>1 IL : -1 PFS</t>
  </si>
  <si>
    <t>1 PM : 1 PFS</t>
  </si>
  <si>
    <t>For PFS: Close of trading 3 business days prior to last trading day of the contract</t>
  </si>
  <si>
    <t>For SL: Close of trading 3 business days prior to expiration of the daily contract and for PFS: Close of trading 3 business days prior to last trading day of the contract</t>
  </si>
  <si>
    <t>1 NL : 1 NFS</t>
  </si>
  <si>
    <t>1 5G : 1 NFS</t>
  </si>
  <si>
    <t>1 IW : -1 NFS</t>
  </si>
  <si>
    <t>For PX: Close of trading 3 business days prior to expiration of the daily contract and for NFS: Close of trading 3 business days prior to last trading day of the contract</t>
  </si>
  <si>
    <t>For NFS: Close of trading 3 business days prior to last trading day of the contract</t>
  </si>
  <si>
    <t>1 NR : 1 XR</t>
  </si>
  <si>
    <t>1 5I : 1 XR</t>
  </si>
  <si>
    <t>1 IR : -1 XR</t>
  </si>
  <si>
    <t>For XR: Close of trading 3 business days prior to last trading day of the contract</t>
  </si>
  <si>
    <t>For SR: Close of trading 3 business days prior to expiration of the daily contract and for XR: Close of trading 3 business days prior to last trading day of the contract</t>
  </si>
  <si>
    <t>1 5K : 1 XH</t>
  </si>
  <si>
    <t>1 IV : -1 XH</t>
  </si>
  <si>
    <t>1 PH : 1 XH</t>
  </si>
  <si>
    <t>For XH: Close of trading 3 business days prior to last trading day of the contract</t>
  </si>
  <si>
    <t>For SV: Close of trading 3 business days prior to expiration of the daily contract and for XH: Close of trading 3 business days prior to last trading day of the contract</t>
  </si>
  <si>
    <t>1 5E : 1 HHS</t>
  </si>
  <si>
    <t>1 HB : 1 HHS</t>
  </si>
  <si>
    <t>1 IN : -1 HHS</t>
  </si>
  <si>
    <t>For HHS: Close of trading 3 business days prior to last trading day of the contract</t>
  </si>
  <si>
    <t>For SN: Close of trading 3 business days prior to expiration of the daily contract and for HHS: Close of trading 3 business days prior to last trading day of the contract</t>
  </si>
  <si>
    <t>1 NF : 1 MFS</t>
  </si>
  <si>
    <t>1 4W : 1 MFS</t>
  </si>
  <si>
    <t>1 Y8 : -1 MFS</t>
  </si>
  <si>
    <t>For MFS: Close of trading 3 business days prior to last trading day of the contract</t>
  </si>
  <si>
    <t>For T8: Close of trading 3 business days prior to expiration of the daily contract and for MFS: Close of trading 3 business days prior to last trading day of the contract</t>
  </si>
  <si>
    <t>1 NW : 1 WFS</t>
  </si>
  <si>
    <t>1 5O : 1 WFS</t>
  </si>
  <si>
    <t>1 IY : -1 WFS</t>
  </si>
  <si>
    <t>For WFS: Close of trading 3 business days prior to last trading day of the contract</t>
  </si>
  <si>
    <t>For SY: Close of trading 3 business days prior to expiration of the daily contract and for WFS: Close of trading 3 business days prior to last trading day of the contract</t>
  </si>
  <si>
    <t>For XX: Close of trading 3 business days prior to last trading day of the contract</t>
  </si>
  <si>
    <t>For SH: Close of trading 3 business days prior to expiration of the daily contract and for DSF: Close of trading 3 business days prior to last trading day of the contract</t>
  </si>
  <si>
    <t>For SJ: Close of trading 3 business days prior to expiration of the daily contract and for XX : Close of trading 3 business days prior to last trading day of the contract</t>
  </si>
  <si>
    <t>WTI Midland (Argus) vs. WTI Financial Futures</t>
  </si>
  <si>
    <t>WTI Midland (Argus) Financial Futures</t>
  </si>
  <si>
    <t>Futures</t>
  </si>
  <si>
    <t>1 NCP : 1 UN</t>
  </si>
  <si>
    <t>7HO</t>
  </si>
  <si>
    <t>1 7HO : 1 7H</t>
  </si>
  <si>
    <t>Gasoline Euro-bob Oxy NWE Barges (Argus) Average Price Option</t>
  </si>
  <si>
    <t>1 31 : 12.4 B0</t>
  </si>
  <si>
    <t>6.5 SFC : 1 UA</t>
  </si>
  <si>
    <t>8.9 3U : 1 UN</t>
  </si>
  <si>
    <t>Spot Month Accountability Level is effective on the last three trading days of the futures contract.</t>
  </si>
  <si>
    <t>For GB: Spot Month Accountability Level is effective on the last three trading days of the futures contract.</t>
  </si>
  <si>
    <t>For HP: Spot Month Accountability Level is effective on the last three trading days of the futures contract.</t>
  </si>
  <si>
    <t>For 6Q: Spot Month Accountability Level is effective on the last three trading days of the futures contract.</t>
  </si>
  <si>
    <t>D4 Biodiesel RINs (Argus) 2012 Futures</t>
  </si>
  <si>
    <t>D42</t>
  </si>
  <si>
    <t>RINs</t>
  </si>
  <si>
    <t>D4 Biodiesel RINs (Argus) 2013 Futures</t>
  </si>
  <si>
    <t>D43</t>
  </si>
  <si>
    <t>D4 Biodiesel RINs (Argus) 2014 Futures</t>
  </si>
  <si>
    <t>D44</t>
  </si>
  <si>
    <t>D5 Advanced Biofuel RINs (Argus) 2012 Futures</t>
  </si>
  <si>
    <t>D52</t>
  </si>
  <si>
    <t>D5 Advanced Biofuel RINs (Argus) 2013 Futures</t>
  </si>
  <si>
    <t>D53</t>
  </si>
  <si>
    <t>D5 Advanced Biofuel RINs (Argus) 2014 Futures</t>
  </si>
  <si>
    <t>D54</t>
  </si>
  <si>
    <t>D6 Ethanol RINs (Argus) 2012 Futures</t>
  </si>
  <si>
    <t>D62</t>
  </si>
  <si>
    <t>D6 Ethanol RINs (Argus) 2013 Futures</t>
  </si>
  <si>
    <t>D63</t>
  </si>
  <si>
    <t>D6 Ethanol RINs (Argus) 2014 Futures</t>
  </si>
  <si>
    <t>D64</t>
  </si>
  <si>
    <t>10.625 H3 : 1 EM</t>
  </si>
  <si>
    <t>10.625 B3 : 1 UM</t>
  </si>
  <si>
    <t>ICE Brent (Singapore Marker) vs. DME Oman Crude Oil Swap Futures</t>
  </si>
  <si>
    <t>DME Oman Crude Oil Swap Futures</t>
  </si>
  <si>
    <t>DME Oman Crude Oil BALMO Swap Futures</t>
  </si>
  <si>
    <t>ICE Brent vs. DME Oman Crude Oil Swap Futures</t>
  </si>
  <si>
    <t>Singapore Mogas 92 Unleaded (Platts) vs. DME Oman Crude Oil Swap Futures</t>
  </si>
  <si>
    <t>Singapore Gasoil (Platts) vs. DME Oman Crude Oil Swap Futures</t>
  </si>
  <si>
    <t>DME Oman Crude Oil vs. Dubai (Platts) Swap Futures</t>
  </si>
  <si>
    <t>Singapore Jet Kerosene (Platts) vs. DME Oman Crude Oil Swap Futures</t>
  </si>
  <si>
    <t xml:space="preserve"> </t>
  </si>
  <si>
    <t xml:space="preserve">1 PJN : 20 UM </t>
  </si>
  <si>
    <t xml:space="preserve">1 PJD : 20 VM </t>
  </si>
  <si>
    <t xml:space="preserve">390 AOR : 1 VP </t>
  </si>
  <si>
    <t>1 PAP : 1 D7</t>
  </si>
  <si>
    <t>1 PWO : 1 E4</t>
  </si>
  <si>
    <t>1 PWP : 1 J4</t>
  </si>
  <si>
    <t>195 WOR : 1 JP</t>
  </si>
  <si>
    <t>5 AN : 1 KA</t>
  </si>
  <si>
    <t>195 ZAO : 1 KB</t>
  </si>
  <si>
    <t>195 ZGO : 1 KH</t>
  </si>
  <si>
    <t>195 IDO : 1 KI</t>
  </si>
  <si>
    <t>5 JN : 1 KJ</t>
  </si>
  <si>
    <t>195 ZJO : 1 KK</t>
  </si>
  <si>
    <t>1 PNO : 1 L3</t>
  </si>
  <si>
    <t>1 PNP : 1 N3</t>
  </si>
  <si>
    <t>10.625 CE : 1 NI</t>
  </si>
  <si>
    <t>1 PEO : 1 R7</t>
  </si>
  <si>
    <t>195 NOC : 1 UO</t>
  </si>
  <si>
    <t>1 OT : 2 VM</t>
  </si>
  <si>
    <t xml:space="preserve"> 1 OT : 2 VM</t>
  </si>
  <si>
    <t>Alberta Power Pool Calendar Day 1 MW Futures</t>
  </si>
  <si>
    <t>Alberta Power Pool Calendar Month 1 MW Futures</t>
  </si>
  <si>
    <t>PJM AEP Dayton Hub Day-Ahead Peak Calendar-Day 5 MW Futures</t>
  </si>
  <si>
    <t>Dow Jones Mid-Columbia Electricity Price Index 5 MW Futures</t>
  </si>
  <si>
    <t>PJM Western Hub  Day-Ahead Off-Peak Calendar-Day 5 MW Futures</t>
  </si>
  <si>
    <t>PJM Western Hub Day-Ahead Peak Calendar-Day 5 MW Futures</t>
  </si>
  <si>
    <t>PJM Western Hub Real-Time Off-Peak Calendar-Day 5 MW Futures</t>
  </si>
  <si>
    <t>NYISO Zone A Day-Ahead Peak Calendar-Day 5 MW Futures</t>
  </si>
  <si>
    <t>NYISO Zone A Day-Ahead Off-Peak Calendar-Day 5 MW Futures</t>
  </si>
  <si>
    <t>NYISO Zone G Day-Ahead Off-Peak Calendar-Day 5 MW Futures</t>
  </si>
  <si>
    <t>ISO New England Mass Hub Day-Ahead Off-Peak Calendar-Day 5 MW Futures</t>
  </si>
  <si>
    <t>NYISO Zone J Day-Ahead Peak Calendar-Day 5 MW Futures</t>
  </si>
  <si>
    <t>NYISO Zone J Day-Ahead Off-Peak Calendar-Day 5 MW Futures</t>
  </si>
  <si>
    <t>PJM Northern Illinois Hub  Day-Ahead Off-Peak Calendar-Day 5 MW Futures</t>
  </si>
  <si>
    <t>MISO Minnesota Hub Off-Peak Calendar-Month LMP 5 MW Futures</t>
  </si>
  <si>
    <t>MISO Minnesota Hub Peak Calendar-Month LMP 5 MW Futures</t>
  </si>
  <si>
    <t>PJM Northern Illinois Hub Day-Ahead Peak Calendar-Day 5 MW Futures</t>
  </si>
  <si>
    <t>ISO New England Mass Hub Day-Ahead Peak Calendar-Day 5 MW Futures</t>
  </si>
  <si>
    <t>MISO Illinois Hub Off-Peak Calendar-Month LMP 5 MW Futures</t>
  </si>
  <si>
    <t>MISO Illinois Hub Peak Calendar-Month LMP 5 MW Futures</t>
  </si>
  <si>
    <t>PJM AEP Dayton Hub Day-Ahead Off-Peak Calendar-Day 5 MW Futures</t>
  </si>
  <si>
    <t>PJM Northern Illinois Hub Real-Time Off-Peak Calendar-Day 5 MW Futures</t>
  </si>
  <si>
    <t>PJM AEP Dayton Hub Peak Calendar-Month LMP 5 MW Option</t>
  </si>
  <si>
    <t>PJM AEP Dayton Hub Real-Time Off-Peak Calendar-Day 5 MW Futures</t>
  </si>
  <si>
    <t>Consecutive futures</t>
  </si>
  <si>
    <t>Short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</si>
</sst>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_);\(#,##0.000\)"/>
    <numFmt numFmtId="166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0"/>
      <color theme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1115">
    <xf numFmtId="0" fontId="0" fillId="0" borderId="0"/>
    <xf numFmtId="0" fontId="2" fillId="3" borderId="0" applyNumberFormat="0" applyBorder="0" applyAlignment="0" applyProtection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2" fillId="9" borderId="12" applyNumberFormat="0" applyAlignment="0" applyProtection="0"/>
    <xf numFmtId="0" fontId="13" fillId="10" borderId="13" applyNumberFormat="0" applyAlignment="0" applyProtection="0"/>
    <xf numFmtId="0" fontId="14" fillId="0" borderId="0" applyNumberFormat="0" applyFill="0" applyBorder="0" applyAlignment="0" applyProtection="0"/>
    <xf numFmtId="0" fontId="15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5" fillId="34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34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12" applyNumberFormat="0" applyAlignment="0" applyProtection="0"/>
    <xf numFmtId="0" fontId="13" fillId="10" borderId="13" applyNumberFormat="0" applyAlignment="0" applyProtection="0"/>
    <xf numFmtId="0" fontId="14" fillId="0" borderId="0" applyNumberFormat="0" applyFill="0" applyBorder="0" applyAlignment="0" applyProtection="0"/>
    <xf numFmtId="0" fontId="2" fillId="3" borderId="0" applyNumberFormat="0" applyBorder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4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49" fontId="1" fillId="0" borderId="0" xfId="0" applyNumberFormat="1" applyFont="1"/>
    <xf numFmtId="0" fontId="1" fillId="6" borderId="7" xfId="0" applyFont="1" applyFill="1" applyBorder="1" applyAlignment="1">
      <alignment wrapText="1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11114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35" borderId="1" xfId="0" applyFont="1" applyFill="1" applyBorder="1" applyAlignment="1">
      <alignment wrapText="1"/>
    </xf>
    <xf numFmtId="0" fontId="1" fillId="35" borderId="4" xfId="0" applyFont="1" applyFill="1" applyBorder="1" applyAlignment="1">
      <alignment wrapText="1"/>
    </xf>
    <xf numFmtId="0" fontId="1" fillId="35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164" fontId="1" fillId="0" borderId="0" xfId="11114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left"/>
    </xf>
    <xf numFmtId="166" fontId="1" fillId="0" borderId="0" xfId="11114" applyNumberFormat="1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 wrapText="1"/>
    </xf>
    <xf numFmtId="3" fontId="1" fillId="35" borderId="5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" fillId="0" borderId="15" xfId="0" applyNumberFormat="1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3" fontId="1" fillId="0" borderId="15" xfId="0" applyNumberFormat="1" applyFont="1" applyFill="1" applyBorder="1" applyAlignment="1">
      <alignment horizontal="center"/>
    </xf>
    <xf numFmtId="0" fontId="1" fillId="0" borderId="15" xfId="0" applyFont="1" applyFill="1" applyBorder="1"/>
    <xf numFmtId="3" fontId="1" fillId="0" borderId="16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0" fontId="1" fillId="0" borderId="16" xfId="0" applyFont="1" applyFill="1" applyBorder="1" applyAlignment="1">
      <alignment horizontal="center"/>
    </xf>
    <xf numFmtId="0" fontId="1" fillId="6" borderId="4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4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/>
    <xf numFmtId="0" fontId="1" fillId="0" borderId="5" xfId="0" applyFont="1" applyFill="1" applyBorder="1"/>
    <xf numFmtId="0" fontId="1" fillId="0" borderId="3" xfId="0" applyFont="1" applyFill="1" applyBorder="1"/>
    <xf numFmtId="0" fontId="1" fillId="0" borderId="15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4" fontId="1" fillId="0" borderId="0" xfId="11114" applyNumberFormat="1" applyFont="1" applyBorder="1" applyAlignment="1">
      <alignment horizontal="center"/>
    </xf>
    <xf numFmtId="49" fontId="1" fillId="0" borderId="0" xfId="0" applyNumberFormat="1" applyFont="1" applyBorder="1"/>
    <xf numFmtId="0" fontId="0" fillId="0" borderId="0" xfId="0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2" borderId="1" xfId="0" applyFont="1" applyFill="1" applyBorder="1"/>
    <xf numFmtId="0" fontId="1" fillId="2" borderId="4" xfId="0" applyFont="1" applyFill="1" applyBorder="1" applyAlignment="1">
      <alignment horizontal="center"/>
    </xf>
    <xf numFmtId="164" fontId="1" fillId="2" borderId="4" xfId="11114" applyNumberFormat="1" applyFont="1" applyFill="1" applyBorder="1" applyAlignment="1">
      <alignment horizontal="center"/>
    </xf>
    <xf numFmtId="0" fontId="1" fillId="2" borderId="4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164" fontId="1" fillId="2" borderId="0" xfId="11114" applyNumberFormat="1" applyFont="1" applyFill="1" applyBorder="1" applyAlignment="1">
      <alignment horizontal="center" wrapText="1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/>
    <xf numFmtId="0" fontId="1" fillId="0" borderId="18" xfId="0" applyFont="1" applyFill="1" applyBorder="1" applyAlignment="1">
      <alignment horizontal="center"/>
    </xf>
    <xf numFmtId="0" fontId="3" fillId="35" borderId="6" xfId="1" applyFont="1" applyFill="1" applyBorder="1" applyAlignment="1">
      <alignment horizontal="center"/>
    </xf>
    <xf numFmtId="0" fontId="3" fillId="35" borderId="7" xfId="1" applyFont="1" applyFill="1" applyBorder="1" applyAlignment="1">
      <alignment horizontal="center"/>
    </xf>
    <xf numFmtId="0" fontId="3" fillId="35" borderId="8" xfId="1" applyFont="1" applyFill="1" applyBorder="1" applyAlignment="1">
      <alignment horizontal="center"/>
    </xf>
    <xf numFmtId="0" fontId="3" fillId="4" borderId="6" xfId="1" applyFont="1" applyFill="1" applyBorder="1" applyAlignment="1">
      <alignment horizontal="center"/>
    </xf>
    <xf numFmtId="0" fontId="3" fillId="4" borderId="7" xfId="1" applyFont="1" applyFill="1" applyBorder="1" applyAlignment="1">
      <alignment horizontal="center"/>
    </xf>
    <xf numFmtId="0" fontId="3" fillId="4" borderId="8" xfId="1" applyFont="1" applyFill="1" applyBorder="1" applyAlignment="1">
      <alignment horizontal="center"/>
    </xf>
    <xf numFmtId="0" fontId="3" fillId="5" borderId="6" xfId="1" applyFont="1" applyFill="1" applyBorder="1" applyAlignment="1">
      <alignment horizontal="center"/>
    </xf>
    <xf numFmtId="0" fontId="3" fillId="5" borderId="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wrapText="1"/>
    </xf>
    <xf numFmtId="0" fontId="1" fillId="7" borderId="7" xfId="0" applyFont="1" applyFill="1" applyBorder="1" applyAlignment="1">
      <alignment horizontal="center" wrapText="1"/>
    </xf>
    <xf numFmtId="164" fontId="1" fillId="0" borderId="15" xfId="11114" applyNumberFormat="1" applyFont="1" applyFill="1" applyBorder="1" applyAlignment="1">
      <alignment horizontal="right"/>
    </xf>
    <xf numFmtId="165" fontId="1" fillId="0" borderId="0" xfId="11114" applyNumberFormat="1" applyFont="1" applyFill="1" applyBorder="1" applyAlignment="1">
      <alignment horizontal="right"/>
    </xf>
    <xf numFmtId="164" fontId="1" fillId="0" borderId="0" xfId="11114" applyNumberFormat="1" applyFont="1" applyFill="1" applyBorder="1" applyAlignment="1">
      <alignment horizontal="right"/>
    </xf>
    <xf numFmtId="164" fontId="1" fillId="0" borderId="4" xfId="11114" applyNumberFormat="1" applyFont="1" applyFill="1" applyBorder="1" applyAlignment="1">
      <alignment horizontal="right"/>
    </xf>
    <xf numFmtId="0" fontId="1" fillId="0" borderId="16" xfId="0" applyFont="1" applyFill="1" applyBorder="1"/>
    <xf numFmtId="43" fontId="1" fillId="0" borderId="0" xfId="11114" applyNumberFormat="1" applyFont="1" applyFill="1" applyBorder="1" applyAlignment="1">
      <alignment horizontal="right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14" xfId="0" applyNumberFormat="1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4" xfId="0" applyFont="1" applyFill="1" applyBorder="1"/>
    <xf numFmtId="0" fontId="1" fillId="0" borderId="0" xfId="0" applyFont="1" applyFill="1"/>
    <xf numFmtId="0" fontId="1" fillId="36" borderId="0" xfId="0" applyFont="1" applyFill="1" applyBorder="1"/>
    <xf numFmtId="0" fontId="1" fillId="36" borderId="0" xfId="0" applyFont="1" applyFill="1" applyBorder="1" applyAlignment="1">
      <alignment horizontal="center"/>
    </xf>
  </cellXfs>
  <cellStyles count="11115">
    <cellStyle name="20% - Accent1" xfId="33" builtinId="30" customBuiltin="1"/>
    <cellStyle name="20% - Accent1 2" xfId="56"/>
    <cellStyle name="20% - Accent2" xfId="37" builtinId="34" customBuiltin="1"/>
    <cellStyle name="20% - Accent2 2" xfId="57"/>
    <cellStyle name="20% - Accent3" xfId="41" builtinId="38" customBuiltin="1"/>
    <cellStyle name="20% - Accent3 2" xfId="58"/>
    <cellStyle name="20% - Accent4" xfId="45" builtinId="42" customBuiltin="1"/>
    <cellStyle name="20% - Accent4 2" xfId="59"/>
    <cellStyle name="20% - Accent5" xfId="49" builtinId="46" customBuiltin="1"/>
    <cellStyle name="20% - Accent5 2" xfId="60"/>
    <cellStyle name="20% - Accent6" xfId="53" builtinId="50" customBuiltin="1"/>
    <cellStyle name="20% - Accent6 2" xfId="61"/>
    <cellStyle name="40% - Accent1" xfId="34" builtinId="31" customBuiltin="1"/>
    <cellStyle name="40% - Accent1 2" xfId="62"/>
    <cellStyle name="40% - Accent2" xfId="38" builtinId="35" customBuiltin="1"/>
    <cellStyle name="40% - Accent2 2" xfId="63"/>
    <cellStyle name="40% - Accent3" xfId="42" builtinId="39" customBuiltin="1"/>
    <cellStyle name="40% - Accent3 2" xfId="64"/>
    <cellStyle name="40% - Accent4" xfId="46" builtinId="43" customBuiltin="1"/>
    <cellStyle name="40% - Accent4 2" xfId="65"/>
    <cellStyle name="40% - Accent5" xfId="50" builtinId="47" customBuiltin="1"/>
    <cellStyle name="40% - Accent5 2" xfId="66"/>
    <cellStyle name="40% - Accent6" xfId="54" builtinId="51" customBuiltin="1"/>
    <cellStyle name="40% - Accent6 2" xfId="67"/>
    <cellStyle name="60% - Accent1" xfId="35" builtinId="32" customBuiltin="1"/>
    <cellStyle name="60% - Accent1 2" xfId="68"/>
    <cellStyle name="60% - Accent2" xfId="39" builtinId="36" customBuiltin="1"/>
    <cellStyle name="60% - Accent2 2" xfId="69"/>
    <cellStyle name="60% - Accent3" xfId="43" builtinId="40" customBuiltin="1"/>
    <cellStyle name="60% - Accent3 2" xfId="70"/>
    <cellStyle name="60% - Accent4" xfId="47" builtinId="44" customBuiltin="1"/>
    <cellStyle name="60% - Accent4 2" xfId="71"/>
    <cellStyle name="60% - Accent5" xfId="51" builtinId="48" customBuiltin="1"/>
    <cellStyle name="60% - Accent5 2" xfId="72"/>
    <cellStyle name="60% - Accent6" xfId="55" builtinId="52" customBuiltin="1"/>
    <cellStyle name="60% - Accent6 2" xfId="73"/>
    <cellStyle name="Accent1" xfId="32" builtinId="29" customBuiltin="1"/>
    <cellStyle name="Accent1 2" xfId="74"/>
    <cellStyle name="Accent2" xfId="36" builtinId="33" customBuiltin="1"/>
    <cellStyle name="Accent2 2" xfId="75"/>
    <cellStyle name="Accent3" xfId="40" builtinId="37" customBuiltin="1"/>
    <cellStyle name="Accent3 2" xfId="76"/>
    <cellStyle name="Accent4" xfId="44" builtinId="41" customBuiltin="1"/>
    <cellStyle name="Accent4 2" xfId="77"/>
    <cellStyle name="Accent5" xfId="48" builtinId="45" customBuiltin="1"/>
    <cellStyle name="Accent5 2" xfId="78"/>
    <cellStyle name="Accent6" xfId="52" builtinId="49" customBuiltin="1"/>
    <cellStyle name="Accent6 2" xfId="79"/>
    <cellStyle name="Bad" xfId="28" builtinId="27" customBuiltin="1"/>
    <cellStyle name="Bad 2" xfId="80"/>
    <cellStyle name="Calculation" xfId="29" builtinId="22" customBuiltin="1"/>
    <cellStyle name="Calculation 2" xfId="81"/>
    <cellStyle name="Check Cell" xfId="30" builtinId="23" customBuiltin="1"/>
    <cellStyle name="Check Cell 2" xfId="82"/>
    <cellStyle name="Comma" xfId="11114" builtinId="3"/>
    <cellStyle name="Explanatory Text" xfId="31" builtinId="53" customBuiltin="1"/>
    <cellStyle name="Explanatory Text 2" xfId="83"/>
    <cellStyle name="Good" xfId="1" builtinId="26" customBuiltin="1"/>
    <cellStyle name="Good 2" xfId="84"/>
    <cellStyle name="Heading 1" xfId="24" builtinId="16" customBuiltin="1"/>
    <cellStyle name="Heading 1 2" xfId="85"/>
    <cellStyle name="Heading 2" xfId="25" builtinId="17" customBuiltin="1"/>
    <cellStyle name="Heading 2 2" xfId="86"/>
    <cellStyle name="Heading 3" xfId="26" builtinId="18" customBuiltin="1"/>
    <cellStyle name="Heading 3 2" xfId="87"/>
    <cellStyle name="Heading 4" xfId="27" builtinId="19" customBuiltin="1"/>
    <cellStyle name="Heading 4 2" xfId="88"/>
    <cellStyle name="Hyperlink 10" xfId="89"/>
    <cellStyle name="Hyperlink 100" xfId="90"/>
    <cellStyle name="Hyperlink 1000" xfId="91"/>
    <cellStyle name="Hyperlink 1001" xfId="92"/>
    <cellStyle name="Hyperlink 1002" xfId="93"/>
    <cellStyle name="Hyperlink 1003" xfId="94"/>
    <cellStyle name="Hyperlink 1004" xfId="95"/>
    <cellStyle name="Hyperlink 1005" xfId="96"/>
    <cellStyle name="Hyperlink 1006" xfId="97"/>
    <cellStyle name="Hyperlink 1007" xfId="98"/>
    <cellStyle name="Hyperlink 1008" xfId="99"/>
    <cellStyle name="Hyperlink 1009" xfId="100"/>
    <cellStyle name="Hyperlink 101" xfId="101"/>
    <cellStyle name="Hyperlink 1010" xfId="102"/>
    <cellStyle name="Hyperlink 1011" xfId="103"/>
    <cellStyle name="Hyperlink 1012" xfId="104"/>
    <cellStyle name="Hyperlink 1013" xfId="105"/>
    <cellStyle name="Hyperlink 1014" xfId="106"/>
    <cellStyle name="Hyperlink 1015" xfId="107"/>
    <cellStyle name="Hyperlink 1016" xfId="108"/>
    <cellStyle name="Hyperlink 1017" xfId="109"/>
    <cellStyle name="Hyperlink 1018" xfId="110"/>
    <cellStyle name="Hyperlink 1019" xfId="111"/>
    <cellStyle name="Hyperlink 102" xfId="112"/>
    <cellStyle name="Hyperlink 1020" xfId="113"/>
    <cellStyle name="Hyperlink 1021" xfId="114"/>
    <cellStyle name="Hyperlink 1022" xfId="115"/>
    <cellStyle name="Hyperlink 1023" xfId="116"/>
    <cellStyle name="Hyperlink 1024" xfId="117"/>
    <cellStyle name="Hyperlink 1025" xfId="118"/>
    <cellStyle name="Hyperlink 1026" xfId="119"/>
    <cellStyle name="Hyperlink 1027" xfId="120"/>
    <cellStyle name="Hyperlink 1028" xfId="121"/>
    <cellStyle name="Hyperlink 1029" xfId="122"/>
    <cellStyle name="Hyperlink 103" xfId="123"/>
    <cellStyle name="Hyperlink 1030" xfId="124"/>
    <cellStyle name="Hyperlink 1031" xfId="125"/>
    <cellStyle name="Hyperlink 1032" xfId="126"/>
    <cellStyle name="Hyperlink 1033" xfId="127"/>
    <cellStyle name="Hyperlink 1034" xfId="128"/>
    <cellStyle name="Hyperlink 1035" xfId="129"/>
    <cellStyle name="Hyperlink 1036" xfId="130"/>
    <cellStyle name="Hyperlink 1037" xfId="131"/>
    <cellStyle name="Hyperlink 1038" xfId="132"/>
    <cellStyle name="Hyperlink 1039" xfId="133"/>
    <cellStyle name="Hyperlink 104" xfId="134"/>
    <cellStyle name="Hyperlink 1040" xfId="135"/>
    <cellStyle name="Hyperlink 1041" xfId="136"/>
    <cellStyle name="Hyperlink 1042" xfId="137"/>
    <cellStyle name="Hyperlink 1043" xfId="138"/>
    <cellStyle name="Hyperlink 1044" xfId="139"/>
    <cellStyle name="Hyperlink 1045" xfId="140"/>
    <cellStyle name="Hyperlink 1046" xfId="141"/>
    <cellStyle name="Hyperlink 1047" xfId="142"/>
    <cellStyle name="Hyperlink 1048" xfId="143"/>
    <cellStyle name="Hyperlink 1049" xfId="144"/>
    <cellStyle name="Hyperlink 105" xfId="145"/>
    <cellStyle name="Hyperlink 1050" xfId="146"/>
    <cellStyle name="Hyperlink 1051" xfId="147"/>
    <cellStyle name="Hyperlink 1052" xfId="148"/>
    <cellStyle name="Hyperlink 1053" xfId="149"/>
    <cellStyle name="Hyperlink 1054" xfId="150"/>
    <cellStyle name="Hyperlink 1055" xfId="151"/>
    <cellStyle name="Hyperlink 1056" xfId="152"/>
    <cellStyle name="Hyperlink 1057" xfId="153"/>
    <cellStyle name="Hyperlink 1058" xfId="154"/>
    <cellStyle name="Hyperlink 1059" xfId="155"/>
    <cellStyle name="Hyperlink 106" xfId="156"/>
    <cellStyle name="Hyperlink 1060" xfId="157"/>
    <cellStyle name="Hyperlink 1061" xfId="158"/>
    <cellStyle name="Hyperlink 1062" xfId="159"/>
    <cellStyle name="Hyperlink 1063" xfId="160"/>
    <cellStyle name="Hyperlink 1064" xfId="161"/>
    <cellStyle name="Hyperlink 1065" xfId="162"/>
    <cellStyle name="Hyperlink 1066" xfId="163"/>
    <cellStyle name="Hyperlink 1067" xfId="164"/>
    <cellStyle name="Hyperlink 1068" xfId="165"/>
    <cellStyle name="Hyperlink 1069" xfId="166"/>
    <cellStyle name="Hyperlink 107" xfId="167"/>
    <cellStyle name="Hyperlink 1070" xfId="168"/>
    <cellStyle name="Hyperlink 1071" xfId="169"/>
    <cellStyle name="Hyperlink 1072" xfId="170"/>
    <cellStyle name="Hyperlink 1073" xfId="171"/>
    <cellStyle name="Hyperlink 1074" xfId="172"/>
    <cellStyle name="Hyperlink 1075" xfId="173"/>
    <cellStyle name="Hyperlink 1076" xfId="174"/>
    <cellStyle name="Hyperlink 1077" xfId="175"/>
    <cellStyle name="Hyperlink 1078" xfId="176"/>
    <cellStyle name="Hyperlink 1079" xfId="177"/>
    <cellStyle name="Hyperlink 108" xfId="178"/>
    <cellStyle name="Hyperlink 1080" xfId="179"/>
    <cellStyle name="Hyperlink 1081" xfId="180"/>
    <cellStyle name="Hyperlink 1082" xfId="181"/>
    <cellStyle name="Hyperlink 1083" xfId="182"/>
    <cellStyle name="Hyperlink 1084" xfId="183"/>
    <cellStyle name="Hyperlink 1085" xfId="184"/>
    <cellStyle name="Hyperlink 1086" xfId="185"/>
    <cellStyle name="Hyperlink 1087" xfId="186"/>
    <cellStyle name="Hyperlink 1088" xfId="187"/>
    <cellStyle name="Hyperlink 1089" xfId="188"/>
    <cellStyle name="Hyperlink 109" xfId="189"/>
    <cellStyle name="Hyperlink 1090" xfId="190"/>
    <cellStyle name="Hyperlink 1091" xfId="191"/>
    <cellStyle name="Hyperlink 1092" xfId="192"/>
    <cellStyle name="Hyperlink 1093" xfId="193"/>
    <cellStyle name="Hyperlink 1094" xfId="194"/>
    <cellStyle name="Hyperlink 1095" xfId="195"/>
    <cellStyle name="Hyperlink 1096" xfId="196"/>
    <cellStyle name="Hyperlink 1097" xfId="197"/>
    <cellStyle name="Hyperlink 1098" xfId="198"/>
    <cellStyle name="Hyperlink 1099" xfId="199"/>
    <cellStyle name="Hyperlink 11" xfId="200"/>
    <cellStyle name="Hyperlink 110" xfId="201"/>
    <cellStyle name="Hyperlink 1100" xfId="202"/>
    <cellStyle name="Hyperlink 1101" xfId="203"/>
    <cellStyle name="Hyperlink 1102" xfId="204"/>
    <cellStyle name="Hyperlink 1103" xfId="205"/>
    <cellStyle name="Hyperlink 1104" xfId="206"/>
    <cellStyle name="Hyperlink 1105" xfId="207"/>
    <cellStyle name="Hyperlink 1106" xfId="208"/>
    <cellStyle name="Hyperlink 1107" xfId="209"/>
    <cellStyle name="Hyperlink 1108" xfId="210"/>
    <cellStyle name="Hyperlink 1109" xfId="211"/>
    <cellStyle name="Hyperlink 111" xfId="212"/>
    <cellStyle name="Hyperlink 1110" xfId="213"/>
    <cellStyle name="Hyperlink 1111" xfId="214"/>
    <cellStyle name="Hyperlink 1112" xfId="215"/>
    <cellStyle name="Hyperlink 1113" xfId="216"/>
    <cellStyle name="Hyperlink 1114" xfId="217"/>
    <cellStyle name="Hyperlink 1115" xfId="218"/>
    <cellStyle name="Hyperlink 1116" xfId="219"/>
    <cellStyle name="Hyperlink 1117" xfId="220"/>
    <cellStyle name="Hyperlink 1118" xfId="221"/>
    <cellStyle name="Hyperlink 1119" xfId="222"/>
    <cellStyle name="Hyperlink 112" xfId="223"/>
    <cellStyle name="Hyperlink 1120" xfId="224"/>
    <cellStyle name="Hyperlink 1121" xfId="225"/>
    <cellStyle name="Hyperlink 1122" xfId="226"/>
    <cellStyle name="Hyperlink 1123" xfId="227"/>
    <cellStyle name="Hyperlink 1124" xfId="228"/>
    <cellStyle name="Hyperlink 1125" xfId="229"/>
    <cellStyle name="Hyperlink 1126" xfId="230"/>
    <cellStyle name="Hyperlink 1127" xfId="231"/>
    <cellStyle name="Hyperlink 1128" xfId="232"/>
    <cellStyle name="Hyperlink 1129" xfId="233"/>
    <cellStyle name="Hyperlink 113" xfId="234"/>
    <cellStyle name="Hyperlink 1130" xfId="235"/>
    <cellStyle name="Hyperlink 1131" xfId="236"/>
    <cellStyle name="Hyperlink 1132" xfId="237"/>
    <cellStyle name="Hyperlink 1133" xfId="238"/>
    <cellStyle name="Hyperlink 1134" xfId="239"/>
    <cellStyle name="Hyperlink 1135" xfId="240"/>
    <cellStyle name="Hyperlink 1136" xfId="241"/>
    <cellStyle name="Hyperlink 1137" xfId="242"/>
    <cellStyle name="Hyperlink 1138" xfId="243"/>
    <cellStyle name="Hyperlink 1139" xfId="244"/>
    <cellStyle name="Hyperlink 114" xfId="245"/>
    <cellStyle name="Hyperlink 1140" xfId="246"/>
    <cellStyle name="Hyperlink 1141" xfId="247"/>
    <cellStyle name="Hyperlink 1142" xfId="248"/>
    <cellStyle name="Hyperlink 1143" xfId="249"/>
    <cellStyle name="Hyperlink 1144" xfId="250"/>
    <cellStyle name="Hyperlink 1145" xfId="251"/>
    <cellStyle name="Hyperlink 1146" xfId="252"/>
    <cellStyle name="Hyperlink 1147" xfId="253"/>
    <cellStyle name="Hyperlink 1148" xfId="254"/>
    <cellStyle name="Hyperlink 1149" xfId="255"/>
    <cellStyle name="Hyperlink 115" xfId="256"/>
    <cellStyle name="Hyperlink 1150" xfId="257"/>
    <cellStyle name="Hyperlink 1151" xfId="258"/>
    <cellStyle name="Hyperlink 1152" xfId="259"/>
    <cellStyle name="Hyperlink 1153" xfId="260"/>
    <cellStyle name="Hyperlink 1154" xfId="261"/>
    <cellStyle name="Hyperlink 1155" xfId="262"/>
    <cellStyle name="Hyperlink 1156" xfId="263"/>
    <cellStyle name="Hyperlink 1157" xfId="264"/>
    <cellStyle name="Hyperlink 1158" xfId="265"/>
    <cellStyle name="Hyperlink 1159" xfId="266"/>
    <cellStyle name="Hyperlink 116" xfId="267"/>
    <cellStyle name="Hyperlink 1160" xfId="268"/>
    <cellStyle name="Hyperlink 1161" xfId="269"/>
    <cellStyle name="Hyperlink 1162" xfId="270"/>
    <cellStyle name="Hyperlink 1163" xfId="271"/>
    <cellStyle name="Hyperlink 1164" xfId="272"/>
    <cellStyle name="Hyperlink 1165" xfId="273"/>
    <cellStyle name="Hyperlink 1166" xfId="274"/>
    <cellStyle name="Hyperlink 1167" xfId="275"/>
    <cellStyle name="Hyperlink 1168" xfId="276"/>
    <cellStyle name="Hyperlink 1169" xfId="277"/>
    <cellStyle name="Hyperlink 117" xfId="278"/>
    <cellStyle name="Hyperlink 1170" xfId="279"/>
    <cellStyle name="Hyperlink 1171" xfId="280"/>
    <cellStyle name="Hyperlink 1172" xfId="281"/>
    <cellStyle name="Hyperlink 1173" xfId="282"/>
    <cellStyle name="Hyperlink 1174" xfId="283"/>
    <cellStyle name="Hyperlink 1175" xfId="284"/>
    <cellStyle name="Hyperlink 1176" xfId="285"/>
    <cellStyle name="Hyperlink 1177" xfId="286"/>
    <cellStyle name="Hyperlink 1178" xfId="287"/>
    <cellStyle name="Hyperlink 1179" xfId="288"/>
    <cellStyle name="Hyperlink 118" xfId="289"/>
    <cellStyle name="Hyperlink 1180" xfId="290"/>
    <cellStyle name="Hyperlink 1181" xfId="291"/>
    <cellStyle name="Hyperlink 1182" xfId="292"/>
    <cellStyle name="Hyperlink 1183" xfId="293"/>
    <cellStyle name="Hyperlink 1184" xfId="294"/>
    <cellStyle name="Hyperlink 1185" xfId="295"/>
    <cellStyle name="Hyperlink 1186" xfId="296"/>
    <cellStyle name="Hyperlink 1187" xfId="297"/>
    <cellStyle name="Hyperlink 1188" xfId="298"/>
    <cellStyle name="Hyperlink 1189" xfId="299"/>
    <cellStyle name="Hyperlink 119" xfId="300"/>
    <cellStyle name="Hyperlink 1190" xfId="301"/>
    <cellStyle name="Hyperlink 1191" xfId="302"/>
    <cellStyle name="Hyperlink 1192" xfId="303"/>
    <cellStyle name="Hyperlink 1193" xfId="304"/>
    <cellStyle name="Hyperlink 1194" xfId="305"/>
    <cellStyle name="Hyperlink 1195" xfId="306"/>
    <cellStyle name="Hyperlink 1196" xfId="307"/>
    <cellStyle name="Hyperlink 1197" xfId="308"/>
    <cellStyle name="Hyperlink 1198" xfId="309"/>
    <cellStyle name="Hyperlink 1199" xfId="310"/>
    <cellStyle name="Hyperlink 12" xfId="311"/>
    <cellStyle name="Hyperlink 120" xfId="312"/>
    <cellStyle name="Hyperlink 1200" xfId="313"/>
    <cellStyle name="Hyperlink 1201" xfId="314"/>
    <cellStyle name="Hyperlink 1202" xfId="315"/>
    <cellStyle name="Hyperlink 1203" xfId="316"/>
    <cellStyle name="Hyperlink 1204" xfId="317"/>
    <cellStyle name="Hyperlink 1205" xfId="318"/>
    <cellStyle name="Hyperlink 1206" xfId="319"/>
    <cellStyle name="Hyperlink 1207" xfId="320"/>
    <cellStyle name="Hyperlink 1208" xfId="321"/>
    <cellStyle name="Hyperlink 1209" xfId="322"/>
    <cellStyle name="Hyperlink 121" xfId="323"/>
    <cellStyle name="Hyperlink 1210" xfId="324"/>
    <cellStyle name="Hyperlink 1211" xfId="325"/>
    <cellStyle name="Hyperlink 1212" xfId="326"/>
    <cellStyle name="Hyperlink 1213" xfId="327"/>
    <cellStyle name="Hyperlink 1214" xfId="328"/>
    <cellStyle name="Hyperlink 1215" xfId="329"/>
    <cellStyle name="Hyperlink 1216" xfId="330"/>
    <cellStyle name="Hyperlink 1217" xfId="331"/>
    <cellStyle name="Hyperlink 1218" xfId="332"/>
    <cellStyle name="Hyperlink 1219" xfId="333"/>
    <cellStyle name="Hyperlink 122" xfId="334"/>
    <cellStyle name="Hyperlink 1220" xfId="335"/>
    <cellStyle name="Hyperlink 1221" xfId="336"/>
    <cellStyle name="Hyperlink 1222" xfId="337"/>
    <cellStyle name="Hyperlink 1223" xfId="338"/>
    <cellStyle name="Hyperlink 1224" xfId="339"/>
    <cellStyle name="Hyperlink 1225" xfId="340"/>
    <cellStyle name="Hyperlink 1226" xfId="341"/>
    <cellStyle name="Hyperlink 1227" xfId="342"/>
    <cellStyle name="Hyperlink 1228" xfId="343"/>
    <cellStyle name="Hyperlink 1229" xfId="344"/>
    <cellStyle name="Hyperlink 123" xfId="345"/>
    <cellStyle name="Hyperlink 1230" xfId="346"/>
    <cellStyle name="Hyperlink 1231" xfId="347"/>
    <cellStyle name="Hyperlink 1232" xfId="348"/>
    <cellStyle name="Hyperlink 1233" xfId="349"/>
    <cellStyle name="Hyperlink 1234" xfId="350"/>
    <cellStyle name="Hyperlink 1235" xfId="351"/>
    <cellStyle name="Hyperlink 1236" xfId="352"/>
    <cellStyle name="Hyperlink 1237" xfId="353"/>
    <cellStyle name="Hyperlink 1238" xfId="354"/>
    <cellStyle name="Hyperlink 1239" xfId="355"/>
    <cellStyle name="Hyperlink 124" xfId="356"/>
    <cellStyle name="Hyperlink 1240" xfId="357"/>
    <cellStyle name="Hyperlink 1241" xfId="358"/>
    <cellStyle name="Hyperlink 1242" xfId="359"/>
    <cellStyle name="Hyperlink 1243" xfId="360"/>
    <cellStyle name="Hyperlink 1244" xfId="361"/>
    <cellStyle name="Hyperlink 1245" xfId="362"/>
    <cellStyle name="Hyperlink 1246" xfId="363"/>
    <cellStyle name="Hyperlink 1247" xfId="364"/>
    <cellStyle name="Hyperlink 1248" xfId="365"/>
    <cellStyle name="Hyperlink 1249" xfId="366"/>
    <cellStyle name="Hyperlink 125" xfId="367"/>
    <cellStyle name="Hyperlink 1250" xfId="368"/>
    <cellStyle name="Hyperlink 1251" xfId="369"/>
    <cellStyle name="Hyperlink 1252" xfId="370"/>
    <cellStyle name="Hyperlink 1253" xfId="371"/>
    <cellStyle name="Hyperlink 1254" xfId="372"/>
    <cellStyle name="Hyperlink 1255" xfId="373"/>
    <cellStyle name="Hyperlink 1256" xfId="374"/>
    <cellStyle name="Hyperlink 1257" xfId="375"/>
    <cellStyle name="Hyperlink 1258" xfId="376"/>
    <cellStyle name="Hyperlink 1259" xfId="377"/>
    <cellStyle name="Hyperlink 126" xfId="378"/>
    <cellStyle name="Hyperlink 1260" xfId="379"/>
    <cellStyle name="Hyperlink 1261" xfId="380"/>
    <cellStyle name="Hyperlink 1262" xfId="381"/>
    <cellStyle name="Hyperlink 1263" xfId="382"/>
    <cellStyle name="Hyperlink 1264" xfId="383"/>
    <cellStyle name="Hyperlink 1265" xfId="384"/>
    <cellStyle name="Hyperlink 1266" xfId="385"/>
    <cellStyle name="Hyperlink 1267" xfId="386"/>
    <cellStyle name="Hyperlink 1268" xfId="387"/>
    <cellStyle name="Hyperlink 1269" xfId="388"/>
    <cellStyle name="Hyperlink 127" xfId="389"/>
    <cellStyle name="Hyperlink 1270" xfId="390"/>
    <cellStyle name="Hyperlink 1271" xfId="391"/>
    <cellStyle name="Hyperlink 1272" xfId="392"/>
    <cellStyle name="Hyperlink 1273" xfId="393"/>
    <cellStyle name="Hyperlink 1274" xfId="394"/>
    <cellStyle name="Hyperlink 1275" xfId="395"/>
    <cellStyle name="Hyperlink 1276" xfId="396"/>
    <cellStyle name="Hyperlink 1277" xfId="397"/>
    <cellStyle name="Hyperlink 1278" xfId="398"/>
    <cellStyle name="Hyperlink 1279" xfId="399"/>
    <cellStyle name="Hyperlink 128" xfId="400"/>
    <cellStyle name="Hyperlink 1280" xfId="401"/>
    <cellStyle name="Hyperlink 1281" xfId="402"/>
    <cellStyle name="Hyperlink 1282" xfId="403"/>
    <cellStyle name="Hyperlink 1283" xfId="404"/>
    <cellStyle name="Hyperlink 1284" xfId="405"/>
    <cellStyle name="Hyperlink 1285" xfId="406"/>
    <cellStyle name="Hyperlink 1286" xfId="407"/>
    <cellStyle name="Hyperlink 1287" xfId="408"/>
    <cellStyle name="Hyperlink 1288" xfId="409"/>
    <cellStyle name="Hyperlink 1289" xfId="410"/>
    <cellStyle name="Hyperlink 129" xfId="411"/>
    <cellStyle name="Hyperlink 1290" xfId="412"/>
    <cellStyle name="Hyperlink 1291" xfId="413"/>
    <cellStyle name="Hyperlink 1292" xfId="414"/>
    <cellStyle name="Hyperlink 1293" xfId="415"/>
    <cellStyle name="Hyperlink 1294" xfId="416"/>
    <cellStyle name="Hyperlink 1295" xfId="417"/>
    <cellStyle name="Hyperlink 1296" xfId="418"/>
    <cellStyle name="Hyperlink 1297" xfId="419"/>
    <cellStyle name="Hyperlink 1298" xfId="420"/>
    <cellStyle name="Hyperlink 1299" xfId="421"/>
    <cellStyle name="Hyperlink 13" xfId="422"/>
    <cellStyle name="Hyperlink 130" xfId="423"/>
    <cellStyle name="Hyperlink 1300" xfId="424"/>
    <cellStyle name="Hyperlink 1301" xfId="425"/>
    <cellStyle name="Hyperlink 1302" xfId="426"/>
    <cellStyle name="Hyperlink 1303" xfId="427"/>
    <cellStyle name="Hyperlink 1304" xfId="428"/>
    <cellStyle name="Hyperlink 1305" xfId="429"/>
    <cellStyle name="Hyperlink 1306" xfId="430"/>
    <cellStyle name="Hyperlink 1307" xfId="431"/>
    <cellStyle name="Hyperlink 1308" xfId="432"/>
    <cellStyle name="Hyperlink 1309" xfId="433"/>
    <cellStyle name="Hyperlink 131" xfId="434"/>
    <cellStyle name="Hyperlink 1310" xfId="435"/>
    <cellStyle name="Hyperlink 1311" xfId="436"/>
    <cellStyle name="Hyperlink 1312" xfId="437"/>
    <cellStyle name="Hyperlink 1313" xfId="438"/>
    <cellStyle name="Hyperlink 1314" xfId="439"/>
    <cellStyle name="Hyperlink 1315" xfId="440"/>
    <cellStyle name="Hyperlink 1316" xfId="441"/>
    <cellStyle name="Hyperlink 1317" xfId="442"/>
    <cellStyle name="Hyperlink 1318" xfId="443"/>
    <cellStyle name="Hyperlink 1319" xfId="444"/>
    <cellStyle name="Hyperlink 132" xfId="445"/>
    <cellStyle name="Hyperlink 1320" xfId="446"/>
    <cellStyle name="Hyperlink 1321" xfId="447"/>
    <cellStyle name="Hyperlink 1322" xfId="448"/>
    <cellStyle name="Hyperlink 1323" xfId="449"/>
    <cellStyle name="Hyperlink 1324" xfId="450"/>
    <cellStyle name="Hyperlink 1325" xfId="451"/>
    <cellStyle name="Hyperlink 1326" xfId="452"/>
    <cellStyle name="Hyperlink 1327" xfId="453"/>
    <cellStyle name="Hyperlink 1328" xfId="454"/>
    <cellStyle name="Hyperlink 1329" xfId="455"/>
    <cellStyle name="Hyperlink 133" xfId="456"/>
    <cellStyle name="Hyperlink 1330" xfId="457"/>
    <cellStyle name="Hyperlink 1331" xfId="458"/>
    <cellStyle name="Hyperlink 1332" xfId="459"/>
    <cellStyle name="Hyperlink 1333" xfId="460"/>
    <cellStyle name="Hyperlink 1334" xfId="461"/>
    <cellStyle name="Hyperlink 1335" xfId="462"/>
    <cellStyle name="Hyperlink 1336" xfId="463"/>
    <cellStyle name="Hyperlink 1337" xfId="464"/>
    <cellStyle name="Hyperlink 1338" xfId="465"/>
    <cellStyle name="Hyperlink 1339" xfId="466"/>
    <cellStyle name="Hyperlink 134" xfId="467"/>
    <cellStyle name="Hyperlink 1340" xfId="468"/>
    <cellStyle name="Hyperlink 1341" xfId="469"/>
    <cellStyle name="Hyperlink 1342" xfId="470"/>
    <cellStyle name="Hyperlink 1343" xfId="471"/>
    <cellStyle name="Hyperlink 1344" xfId="472"/>
    <cellStyle name="Hyperlink 1345" xfId="473"/>
    <cellStyle name="Hyperlink 1346" xfId="474"/>
    <cellStyle name="Hyperlink 1347" xfId="475"/>
    <cellStyle name="Hyperlink 1348" xfId="476"/>
    <cellStyle name="Hyperlink 1349" xfId="477"/>
    <cellStyle name="Hyperlink 135" xfId="478"/>
    <cellStyle name="Hyperlink 1350" xfId="479"/>
    <cellStyle name="Hyperlink 1351" xfId="480"/>
    <cellStyle name="Hyperlink 1352" xfId="481"/>
    <cellStyle name="Hyperlink 1353" xfId="482"/>
    <cellStyle name="Hyperlink 1354" xfId="483"/>
    <cellStyle name="Hyperlink 1355" xfId="484"/>
    <cellStyle name="Hyperlink 1356" xfId="485"/>
    <cellStyle name="Hyperlink 1357" xfId="486"/>
    <cellStyle name="Hyperlink 1358" xfId="487"/>
    <cellStyle name="Hyperlink 1359" xfId="488"/>
    <cellStyle name="Hyperlink 136" xfId="489"/>
    <cellStyle name="Hyperlink 1360" xfId="490"/>
    <cellStyle name="Hyperlink 1361" xfId="491"/>
    <cellStyle name="Hyperlink 1362" xfId="492"/>
    <cellStyle name="Hyperlink 1363" xfId="493"/>
    <cellStyle name="Hyperlink 1364" xfId="494"/>
    <cellStyle name="Hyperlink 1365" xfId="495"/>
    <cellStyle name="Hyperlink 1366" xfId="496"/>
    <cellStyle name="Hyperlink 1367" xfId="497"/>
    <cellStyle name="Hyperlink 1368" xfId="498"/>
    <cellStyle name="Hyperlink 1369" xfId="499"/>
    <cellStyle name="Hyperlink 137" xfId="500"/>
    <cellStyle name="Hyperlink 1370" xfId="501"/>
    <cellStyle name="Hyperlink 1371" xfId="502"/>
    <cellStyle name="Hyperlink 1372" xfId="503"/>
    <cellStyle name="Hyperlink 1373" xfId="504"/>
    <cellStyle name="Hyperlink 1374" xfId="505"/>
    <cellStyle name="Hyperlink 1375" xfId="506"/>
    <cellStyle name="Hyperlink 1376" xfId="507"/>
    <cellStyle name="Hyperlink 1377" xfId="508"/>
    <cellStyle name="Hyperlink 1378" xfId="509"/>
    <cellStyle name="Hyperlink 1379" xfId="510"/>
    <cellStyle name="Hyperlink 138" xfId="511"/>
    <cellStyle name="Hyperlink 1380" xfId="512"/>
    <cellStyle name="Hyperlink 1381" xfId="513"/>
    <cellStyle name="Hyperlink 1382" xfId="514"/>
    <cellStyle name="Hyperlink 1383" xfId="515"/>
    <cellStyle name="Hyperlink 1384" xfId="516"/>
    <cellStyle name="Hyperlink 1385" xfId="517"/>
    <cellStyle name="Hyperlink 1386" xfId="518"/>
    <cellStyle name="Hyperlink 1387" xfId="519"/>
    <cellStyle name="Hyperlink 1388" xfId="520"/>
    <cellStyle name="Hyperlink 1389" xfId="521"/>
    <cellStyle name="Hyperlink 139" xfId="522"/>
    <cellStyle name="Hyperlink 1390" xfId="523"/>
    <cellStyle name="Hyperlink 1391" xfId="524"/>
    <cellStyle name="Hyperlink 1392" xfId="525"/>
    <cellStyle name="Hyperlink 1393" xfId="526"/>
    <cellStyle name="Hyperlink 1394" xfId="527"/>
    <cellStyle name="Hyperlink 1395" xfId="528"/>
    <cellStyle name="Hyperlink 1396" xfId="529"/>
    <cellStyle name="Hyperlink 1397" xfId="530"/>
    <cellStyle name="Hyperlink 1398" xfId="531"/>
    <cellStyle name="Hyperlink 1399" xfId="532"/>
    <cellStyle name="Hyperlink 14" xfId="533"/>
    <cellStyle name="Hyperlink 140" xfId="534"/>
    <cellStyle name="Hyperlink 1400" xfId="535"/>
    <cellStyle name="Hyperlink 1401" xfId="536"/>
    <cellStyle name="Hyperlink 1402" xfId="537"/>
    <cellStyle name="Hyperlink 1403" xfId="538"/>
    <cellStyle name="Hyperlink 1404" xfId="539"/>
    <cellStyle name="Hyperlink 1405" xfId="540"/>
    <cellStyle name="Hyperlink 1406" xfId="541"/>
    <cellStyle name="Hyperlink 1407" xfId="542"/>
    <cellStyle name="Hyperlink 1408" xfId="543"/>
    <cellStyle name="Hyperlink 1409" xfId="544"/>
    <cellStyle name="Hyperlink 141" xfId="545"/>
    <cellStyle name="Hyperlink 1410" xfId="546"/>
    <cellStyle name="Hyperlink 1411" xfId="547"/>
    <cellStyle name="Hyperlink 1412" xfId="548"/>
    <cellStyle name="Hyperlink 1413" xfId="549"/>
    <cellStyle name="Hyperlink 1414" xfId="550"/>
    <cellStyle name="Hyperlink 1415" xfId="551"/>
    <cellStyle name="Hyperlink 1416" xfId="552"/>
    <cellStyle name="Hyperlink 1417" xfId="553"/>
    <cellStyle name="Hyperlink 1418" xfId="554"/>
    <cellStyle name="Hyperlink 1419" xfId="555"/>
    <cellStyle name="Hyperlink 142" xfId="556"/>
    <cellStyle name="Hyperlink 1420" xfId="557"/>
    <cellStyle name="Hyperlink 1421" xfId="558"/>
    <cellStyle name="Hyperlink 1422" xfId="559"/>
    <cellStyle name="Hyperlink 1423" xfId="560"/>
    <cellStyle name="Hyperlink 1424" xfId="561"/>
    <cellStyle name="Hyperlink 1425" xfId="562"/>
    <cellStyle name="Hyperlink 1426" xfId="563"/>
    <cellStyle name="Hyperlink 1427" xfId="564"/>
    <cellStyle name="Hyperlink 1428" xfId="565"/>
    <cellStyle name="Hyperlink 1429" xfId="566"/>
    <cellStyle name="Hyperlink 143" xfId="567"/>
    <cellStyle name="Hyperlink 1430" xfId="568"/>
    <cellStyle name="Hyperlink 1431" xfId="569"/>
    <cellStyle name="Hyperlink 1432" xfId="570"/>
    <cellStyle name="Hyperlink 1433" xfId="571"/>
    <cellStyle name="Hyperlink 1434" xfId="572"/>
    <cellStyle name="Hyperlink 1435" xfId="573"/>
    <cellStyle name="Hyperlink 1436" xfId="574"/>
    <cellStyle name="Hyperlink 1437" xfId="575"/>
    <cellStyle name="Hyperlink 1438" xfId="576"/>
    <cellStyle name="Hyperlink 1439" xfId="577"/>
    <cellStyle name="Hyperlink 144" xfId="578"/>
    <cellStyle name="Hyperlink 1440" xfId="579"/>
    <cellStyle name="Hyperlink 1441" xfId="580"/>
    <cellStyle name="Hyperlink 1442" xfId="581"/>
    <cellStyle name="Hyperlink 1443" xfId="582"/>
    <cellStyle name="Hyperlink 1444" xfId="583"/>
    <cellStyle name="Hyperlink 1445" xfId="584"/>
    <cellStyle name="Hyperlink 1446" xfId="585"/>
    <cellStyle name="Hyperlink 1447" xfId="586"/>
    <cellStyle name="Hyperlink 1448" xfId="587"/>
    <cellStyle name="Hyperlink 1449" xfId="588"/>
    <cellStyle name="Hyperlink 145" xfId="589"/>
    <cellStyle name="Hyperlink 1450" xfId="590"/>
    <cellStyle name="Hyperlink 1451" xfId="591"/>
    <cellStyle name="Hyperlink 1452" xfId="592"/>
    <cellStyle name="Hyperlink 1453" xfId="593"/>
    <cellStyle name="Hyperlink 1454" xfId="594"/>
    <cellStyle name="Hyperlink 1455" xfId="595"/>
    <cellStyle name="Hyperlink 1456" xfId="596"/>
    <cellStyle name="Hyperlink 1457" xfId="597"/>
    <cellStyle name="Hyperlink 1458" xfId="598"/>
    <cellStyle name="Hyperlink 1459" xfId="599"/>
    <cellStyle name="Hyperlink 146" xfId="600"/>
    <cellStyle name="Hyperlink 1460" xfId="601"/>
    <cellStyle name="Hyperlink 1461" xfId="602"/>
    <cellStyle name="Hyperlink 1462" xfId="603"/>
    <cellStyle name="Hyperlink 1463" xfId="604"/>
    <cellStyle name="Hyperlink 1464" xfId="605"/>
    <cellStyle name="Hyperlink 1465" xfId="606"/>
    <cellStyle name="Hyperlink 1466" xfId="607"/>
    <cellStyle name="Hyperlink 1467" xfId="608"/>
    <cellStyle name="Hyperlink 1468" xfId="609"/>
    <cellStyle name="Hyperlink 1469" xfId="610"/>
    <cellStyle name="Hyperlink 147" xfId="611"/>
    <cellStyle name="Hyperlink 1470" xfId="612"/>
    <cellStyle name="Hyperlink 1471" xfId="613"/>
    <cellStyle name="Hyperlink 1472" xfId="614"/>
    <cellStyle name="Hyperlink 1473" xfId="615"/>
    <cellStyle name="Hyperlink 1474" xfId="616"/>
    <cellStyle name="Hyperlink 1475" xfId="617"/>
    <cellStyle name="Hyperlink 1476" xfId="618"/>
    <cellStyle name="Hyperlink 1477" xfId="619"/>
    <cellStyle name="Hyperlink 1478" xfId="620"/>
    <cellStyle name="Hyperlink 1479" xfId="621"/>
    <cellStyle name="Hyperlink 148" xfId="622"/>
    <cellStyle name="Hyperlink 1480" xfId="623"/>
    <cellStyle name="Hyperlink 1481" xfId="624"/>
    <cellStyle name="Hyperlink 1482" xfId="625"/>
    <cellStyle name="Hyperlink 1483" xfId="626"/>
    <cellStyle name="Hyperlink 1484" xfId="627"/>
    <cellStyle name="Hyperlink 1485" xfId="628"/>
    <cellStyle name="Hyperlink 1486" xfId="629"/>
    <cellStyle name="Hyperlink 1487" xfId="630"/>
    <cellStyle name="Hyperlink 1488" xfId="631"/>
    <cellStyle name="Hyperlink 1489" xfId="632"/>
    <cellStyle name="Hyperlink 149" xfId="633"/>
    <cellStyle name="Hyperlink 1490" xfId="634"/>
    <cellStyle name="Hyperlink 1491" xfId="635"/>
    <cellStyle name="Hyperlink 1492" xfId="636"/>
    <cellStyle name="Hyperlink 1493" xfId="637"/>
    <cellStyle name="Hyperlink 1494" xfId="638"/>
    <cellStyle name="Hyperlink 1495" xfId="639"/>
    <cellStyle name="Hyperlink 1496" xfId="640"/>
    <cellStyle name="Hyperlink 1497" xfId="641"/>
    <cellStyle name="Hyperlink 1498" xfId="642"/>
    <cellStyle name="Hyperlink 1499" xfId="643"/>
    <cellStyle name="Hyperlink 15" xfId="644"/>
    <cellStyle name="Hyperlink 150" xfId="645"/>
    <cellStyle name="Hyperlink 1500" xfId="646"/>
    <cellStyle name="Hyperlink 1501" xfId="647"/>
    <cellStyle name="Hyperlink 1502" xfId="648"/>
    <cellStyle name="Hyperlink 1503" xfId="649"/>
    <cellStyle name="Hyperlink 1504" xfId="650"/>
    <cellStyle name="Hyperlink 1505" xfId="651"/>
    <cellStyle name="Hyperlink 1506" xfId="652"/>
    <cellStyle name="Hyperlink 1507" xfId="653"/>
    <cellStyle name="Hyperlink 1508" xfId="654"/>
    <cellStyle name="Hyperlink 1509" xfId="655"/>
    <cellStyle name="Hyperlink 151" xfId="656"/>
    <cellStyle name="Hyperlink 1510" xfId="657"/>
    <cellStyle name="Hyperlink 1511" xfId="658"/>
    <cellStyle name="Hyperlink 1512" xfId="659"/>
    <cellStyle name="Hyperlink 1513" xfId="660"/>
    <cellStyle name="Hyperlink 1514" xfId="661"/>
    <cellStyle name="Hyperlink 1515" xfId="662"/>
    <cellStyle name="Hyperlink 1516" xfId="663"/>
    <cellStyle name="Hyperlink 1517" xfId="664"/>
    <cellStyle name="Hyperlink 1518" xfId="665"/>
    <cellStyle name="Hyperlink 1519" xfId="666"/>
    <cellStyle name="Hyperlink 152" xfId="667"/>
    <cellStyle name="Hyperlink 1520" xfId="668"/>
    <cellStyle name="Hyperlink 1521" xfId="669"/>
    <cellStyle name="Hyperlink 1522" xfId="670"/>
    <cellStyle name="Hyperlink 1523" xfId="671"/>
    <cellStyle name="Hyperlink 1524" xfId="672"/>
    <cellStyle name="Hyperlink 1525" xfId="673"/>
    <cellStyle name="Hyperlink 1526" xfId="674"/>
    <cellStyle name="Hyperlink 1527" xfId="675"/>
    <cellStyle name="Hyperlink 1528" xfId="676"/>
    <cellStyle name="Hyperlink 1529" xfId="677"/>
    <cellStyle name="Hyperlink 153" xfId="678"/>
    <cellStyle name="Hyperlink 1530" xfId="679"/>
    <cellStyle name="Hyperlink 1531" xfId="680"/>
    <cellStyle name="Hyperlink 1532" xfId="681"/>
    <cellStyle name="Hyperlink 1533" xfId="682"/>
    <cellStyle name="Hyperlink 1534" xfId="683"/>
    <cellStyle name="Hyperlink 1535" xfId="684"/>
    <cellStyle name="Hyperlink 1536" xfId="685"/>
    <cellStyle name="Hyperlink 1537" xfId="686"/>
    <cellStyle name="Hyperlink 1538" xfId="687"/>
    <cellStyle name="Hyperlink 1539" xfId="688"/>
    <cellStyle name="Hyperlink 154" xfId="689"/>
    <cellStyle name="Hyperlink 1540" xfId="690"/>
    <cellStyle name="Hyperlink 1541" xfId="691"/>
    <cellStyle name="Hyperlink 1542" xfId="692"/>
    <cellStyle name="Hyperlink 1543" xfId="693"/>
    <cellStyle name="Hyperlink 1544" xfId="694"/>
    <cellStyle name="Hyperlink 1545" xfId="695"/>
    <cellStyle name="Hyperlink 1546" xfId="696"/>
    <cellStyle name="Hyperlink 1547" xfId="697"/>
    <cellStyle name="Hyperlink 1548" xfId="698"/>
    <cellStyle name="Hyperlink 1549" xfId="699"/>
    <cellStyle name="Hyperlink 155" xfId="700"/>
    <cellStyle name="Hyperlink 1550" xfId="701"/>
    <cellStyle name="Hyperlink 1551" xfId="702"/>
    <cellStyle name="Hyperlink 1552" xfId="703"/>
    <cellStyle name="Hyperlink 1553" xfId="704"/>
    <cellStyle name="Hyperlink 1554" xfId="705"/>
    <cellStyle name="Hyperlink 1555" xfId="706"/>
    <cellStyle name="Hyperlink 1556" xfId="707"/>
    <cellStyle name="Hyperlink 1557" xfId="708"/>
    <cellStyle name="Hyperlink 1558" xfId="709"/>
    <cellStyle name="Hyperlink 1559" xfId="710"/>
    <cellStyle name="Hyperlink 156" xfId="711"/>
    <cellStyle name="Hyperlink 1560" xfId="712"/>
    <cellStyle name="Hyperlink 1561" xfId="713"/>
    <cellStyle name="Hyperlink 1562" xfId="714"/>
    <cellStyle name="Hyperlink 1563" xfId="715"/>
    <cellStyle name="Hyperlink 1564" xfId="716"/>
    <cellStyle name="Hyperlink 1565" xfId="717"/>
    <cellStyle name="Hyperlink 1566" xfId="718"/>
    <cellStyle name="Hyperlink 1567" xfId="719"/>
    <cellStyle name="Hyperlink 1568" xfId="720"/>
    <cellStyle name="Hyperlink 1569" xfId="721"/>
    <cellStyle name="Hyperlink 157" xfId="722"/>
    <cellStyle name="Hyperlink 1570" xfId="723"/>
    <cellStyle name="Hyperlink 1571" xfId="724"/>
    <cellStyle name="Hyperlink 1572" xfId="725"/>
    <cellStyle name="Hyperlink 1573" xfId="726"/>
    <cellStyle name="Hyperlink 1574" xfId="727"/>
    <cellStyle name="Hyperlink 1575" xfId="728"/>
    <cellStyle name="Hyperlink 1576" xfId="729"/>
    <cellStyle name="Hyperlink 1577" xfId="730"/>
    <cellStyle name="Hyperlink 1578" xfId="731"/>
    <cellStyle name="Hyperlink 1579" xfId="732"/>
    <cellStyle name="Hyperlink 158" xfId="733"/>
    <cellStyle name="Hyperlink 1580" xfId="734"/>
    <cellStyle name="Hyperlink 1581" xfId="735"/>
    <cellStyle name="Hyperlink 1582" xfId="736"/>
    <cellStyle name="Hyperlink 1583" xfId="737"/>
    <cellStyle name="Hyperlink 1584" xfId="738"/>
    <cellStyle name="Hyperlink 1585" xfId="739"/>
    <cellStyle name="Hyperlink 1586" xfId="740"/>
    <cellStyle name="Hyperlink 1587" xfId="741"/>
    <cellStyle name="Hyperlink 1588" xfId="742"/>
    <cellStyle name="Hyperlink 1589" xfId="743"/>
    <cellStyle name="Hyperlink 159" xfId="744"/>
    <cellStyle name="Hyperlink 1590" xfId="745"/>
    <cellStyle name="Hyperlink 1591" xfId="746"/>
    <cellStyle name="Hyperlink 1592" xfId="747"/>
    <cellStyle name="Hyperlink 1593" xfId="748"/>
    <cellStyle name="Hyperlink 1594" xfId="749"/>
    <cellStyle name="Hyperlink 1595" xfId="750"/>
    <cellStyle name="Hyperlink 1596" xfId="751"/>
    <cellStyle name="Hyperlink 1597" xfId="752"/>
    <cellStyle name="Hyperlink 1598" xfId="753"/>
    <cellStyle name="Hyperlink 1599" xfId="754"/>
    <cellStyle name="Hyperlink 16" xfId="755"/>
    <cellStyle name="Hyperlink 160" xfId="756"/>
    <cellStyle name="Hyperlink 1600" xfId="757"/>
    <cellStyle name="Hyperlink 1601" xfId="758"/>
    <cellStyle name="Hyperlink 1602" xfId="759"/>
    <cellStyle name="Hyperlink 1603" xfId="760"/>
    <cellStyle name="Hyperlink 1604" xfId="761"/>
    <cellStyle name="Hyperlink 1605" xfId="762"/>
    <cellStyle name="Hyperlink 1606" xfId="763"/>
    <cellStyle name="Hyperlink 1607" xfId="764"/>
    <cellStyle name="Hyperlink 1608" xfId="765"/>
    <cellStyle name="Hyperlink 1609" xfId="766"/>
    <cellStyle name="Hyperlink 161" xfId="767"/>
    <cellStyle name="Hyperlink 1610" xfId="768"/>
    <cellStyle name="Hyperlink 1611" xfId="769"/>
    <cellStyle name="Hyperlink 1612" xfId="770"/>
    <cellStyle name="Hyperlink 1613" xfId="771"/>
    <cellStyle name="Hyperlink 1614" xfId="772"/>
    <cellStyle name="Hyperlink 1615" xfId="773"/>
    <cellStyle name="Hyperlink 1616" xfId="774"/>
    <cellStyle name="Hyperlink 1617" xfId="775"/>
    <cellStyle name="Hyperlink 1618" xfId="776"/>
    <cellStyle name="Hyperlink 1619" xfId="777"/>
    <cellStyle name="Hyperlink 162" xfId="778"/>
    <cellStyle name="Hyperlink 1620" xfId="779"/>
    <cellStyle name="Hyperlink 1621" xfId="780"/>
    <cellStyle name="Hyperlink 1622" xfId="781"/>
    <cellStyle name="Hyperlink 1623" xfId="782"/>
    <cellStyle name="Hyperlink 1624" xfId="783"/>
    <cellStyle name="Hyperlink 1625" xfId="784"/>
    <cellStyle name="Hyperlink 1626" xfId="785"/>
    <cellStyle name="Hyperlink 1627" xfId="786"/>
    <cellStyle name="Hyperlink 1628" xfId="787"/>
    <cellStyle name="Hyperlink 1629" xfId="788"/>
    <cellStyle name="Hyperlink 163" xfId="789"/>
    <cellStyle name="Hyperlink 1630" xfId="790"/>
    <cellStyle name="Hyperlink 1631" xfId="791"/>
    <cellStyle name="Hyperlink 1632" xfId="792"/>
    <cellStyle name="Hyperlink 1633" xfId="793"/>
    <cellStyle name="Hyperlink 1634" xfId="794"/>
    <cellStyle name="Hyperlink 1635" xfId="795"/>
    <cellStyle name="Hyperlink 1636" xfId="796"/>
    <cellStyle name="Hyperlink 1637" xfId="797"/>
    <cellStyle name="Hyperlink 1638" xfId="798"/>
    <cellStyle name="Hyperlink 1639" xfId="799"/>
    <cellStyle name="Hyperlink 164" xfId="800"/>
    <cellStyle name="Hyperlink 1640" xfId="801"/>
    <cellStyle name="Hyperlink 1641" xfId="802"/>
    <cellStyle name="Hyperlink 1642" xfId="803"/>
    <cellStyle name="Hyperlink 1643" xfId="804"/>
    <cellStyle name="Hyperlink 1644" xfId="805"/>
    <cellStyle name="Hyperlink 1645" xfId="806"/>
    <cellStyle name="Hyperlink 1646" xfId="807"/>
    <cellStyle name="Hyperlink 1647" xfId="808"/>
    <cellStyle name="Hyperlink 1648" xfId="809"/>
    <cellStyle name="Hyperlink 1649" xfId="810"/>
    <cellStyle name="Hyperlink 165" xfId="811"/>
    <cellStyle name="Hyperlink 1650" xfId="812"/>
    <cellStyle name="Hyperlink 1651" xfId="813"/>
    <cellStyle name="Hyperlink 1652" xfId="814"/>
    <cellStyle name="Hyperlink 1653" xfId="815"/>
    <cellStyle name="Hyperlink 1654" xfId="816"/>
    <cellStyle name="Hyperlink 1655" xfId="817"/>
    <cellStyle name="Hyperlink 1656" xfId="818"/>
    <cellStyle name="Hyperlink 1657" xfId="819"/>
    <cellStyle name="Hyperlink 1658" xfId="820"/>
    <cellStyle name="Hyperlink 1659" xfId="821"/>
    <cellStyle name="Hyperlink 166" xfId="822"/>
    <cellStyle name="Hyperlink 1660" xfId="823"/>
    <cellStyle name="Hyperlink 1661" xfId="824"/>
    <cellStyle name="Hyperlink 1662" xfId="825"/>
    <cellStyle name="Hyperlink 1663" xfId="826"/>
    <cellStyle name="Hyperlink 1664" xfId="827"/>
    <cellStyle name="Hyperlink 1665" xfId="828"/>
    <cellStyle name="Hyperlink 1666" xfId="829"/>
    <cellStyle name="Hyperlink 1667" xfId="830"/>
    <cellStyle name="Hyperlink 1668" xfId="831"/>
    <cellStyle name="Hyperlink 1669" xfId="832"/>
    <cellStyle name="Hyperlink 167" xfId="833"/>
    <cellStyle name="Hyperlink 1670" xfId="834"/>
    <cellStyle name="Hyperlink 1671" xfId="835"/>
    <cellStyle name="Hyperlink 1672" xfId="836"/>
    <cellStyle name="Hyperlink 1673" xfId="837"/>
    <cellStyle name="Hyperlink 1674" xfId="838"/>
    <cellStyle name="Hyperlink 1675" xfId="839"/>
    <cellStyle name="Hyperlink 1676" xfId="840"/>
    <cellStyle name="Hyperlink 1677" xfId="841"/>
    <cellStyle name="Hyperlink 1678" xfId="842"/>
    <cellStyle name="Hyperlink 1679" xfId="843"/>
    <cellStyle name="Hyperlink 168" xfId="844"/>
    <cellStyle name="Hyperlink 1680" xfId="845"/>
    <cellStyle name="Hyperlink 1681" xfId="846"/>
    <cellStyle name="Hyperlink 1682" xfId="847"/>
    <cellStyle name="Hyperlink 1683" xfId="848"/>
    <cellStyle name="Hyperlink 1684" xfId="849"/>
    <cellStyle name="Hyperlink 1685" xfId="850"/>
    <cellStyle name="Hyperlink 1686" xfId="851"/>
    <cellStyle name="Hyperlink 1687" xfId="852"/>
    <cellStyle name="Hyperlink 1688" xfId="853"/>
    <cellStyle name="Hyperlink 1689" xfId="854"/>
    <cellStyle name="Hyperlink 169" xfId="855"/>
    <cellStyle name="Hyperlink 1690" xfId="856"/>
    <cellStyle name="Hyperlink 1691" xfId="857"/>
    <cellStyle name="Hyperlink 1692" xfId="858"/>
    <cellStyle name="Hyperlink 1693" xfId="859"/>
    <cellStyle name="Hyperlink 1694" xfId="860"/>
    <cellStyle name="Hyperlink 1695" xfId="861"/>
    <cellStyle name="Hyperlink 1696" xfId="862"/>
    <cellStyle name="Hyperlink 1697" xfId="863"/>
    <cellStyle name="Hyperlink 1698" xfId="864"/>
    <cellStyle name="Hyperlink 1699" xfId="865"/>
    <cellStyle name="Hyperlink 17" xfId="866"/>
    <cellStyle name="Hyperlink 170" xfId="867"/>
    <cellStyle name="Hyperlink 1700" xfId="868"/>
    <cellStyle name="Hyperlink 1701" xfId="869"/>
    <cellStyle name="Hyperlink 1702" xfId="870"/>
    <cellStyle name="Hyperlink 1703" xfId="871"/>
    <cellStyle name="Hyperlink 1704" xfId="872"/>
    <cellStyle name="Hyperlink 1705" xfId="873"/>
    <cellStyle name="Hyperlink 1706" xfId="874"/>
    <cellStyle name="Hyperlink 1707" xfId="875"/>
    <cellStyle name="Hyperlink 1708" xfId="876"/>
    <cellStyle name="Hyperlink 1709" xfId="877"/>
    <cellStyle name="Hyperlink 171" xfId="878"/>
    <cellStyle name="Hyperlink 1710" xfId="879"/>
    <cellStyle name="Hyperlink 1711" xfId="880"/>
    <cellStyle name="Hyperlink 1712" xfId="881"/>
    <cellStyle name="Hyperlink 1713" xfId="882"/>
    <cellStyle name="Hyperlink 1714" xfId="883"/>
    <cellStyle name="Hyperlink 1715" xfId="884"/>
    <cellStyle name="Hyperlink 1716" xfId="885"/>
    <cellStyle name="Hyperlink 1717" xfId="886"/>
    <cellStyle name="Hyperlink 1718" xfId="887"/>
    <cellStyle name="Hyperlink 1719" xfId="888"/>
    <cellStyle name="Hyperlink 172" xfId="889"/>
    <cellStyle name="Hyperlink 1720" xfId="890"/>
    <cellStyle name="Hyperlink 1721" xfId="891"/>
    <cellStyle name="Hyperlink 1722" xfId="892"/>
    <cellStyle name="Hyperlink 1723" xfId="893"/>
    <cellStyle name="Hyperlink 1724" xfId="894"/>
    <cellStyle name="Hyperlink 1725" xfId="895"/>
    <cellStyle name="Hyperlink 1726" xfId="896"/>
    <cellStyle name="Hyperlink 1727" xfId="897"/>
    <cellStyle name="Hyperlink 1728" xfId="898"/>
    <cellStyle name="Hyperlink 1729" xfId="899"/>
    <cellStyle name="Hyperlink 173" xfId="900"/>
    <cellStyle name="Hyperlink 1730" xfId="901"/>
    <cellStyle name="Hyperlink 1731" xfId="902"/>
    <cellStyle name="Hyperlink 1732" xfId="903"/>
    <cellStyle name="Hyperlink 1733" xfId="904"/>
    <cellStyle name="Hyperlink 1734" xfId="905"/>
    <cellStyle name="Hyperlink 1735" xfId="906"/>
    <cellStyle name="Hyperlink 1736" xfId="907"/>
    <cellStyle name="Hyperlink 1737" xfId="908"/>
    <cellStyle name="Hyperlink 1738" xfId="909"/>
    <cellStyle name="Hyperlink 1739" xfId="910"/>
    <cellStyle name="Hyperlink 174" xfId="911"/>
    <cellStyle name="Hyperlink 1740" xfId="912"/>
    <cellStyle name="Hyperlink 1741" xfId="913"/>
    <cellStyle name="Hyperlink 1742" xfId="914"/>
    <cellStyle name="Hyperlink 1743" xfId="915"/>
    <cellStyle name="Hyperlink 1744" xfId="916"/>
    <cellStyle name="Hyperlink 1745" xfId="917"/>
    <cellStyle name="Hyperlink 1746" xfId="918"/>
    <cellStyle name="Hyperlink 1747" xfId="919"/>
    <cellStyle name="Hyperlink 1748" xfId="920"/>
    <cellStyle name="Hyperlink 1749" xfId="921"/>
    <cellStyle name="Hyperlink 175" xfId="922"/>
    <cellStyle name="Hyperlink 1750" xfId="923"/>
    <cellStyle name="Hyperlink 1751" xfId="924"/>
    <cellStyle name="Hyperlink 1752" xfId="925"/>
    <cellStyle name="Hyperlink 1753" xfId="926"/>
    <cellStyle name="Hyperlink 1754" xfId="927"/>
    <cellStyle name="Hyperlink 1755" xfId="928"/>
    <cellStyle name="Hyperlink 1756" xfId="929"/>
    <cellStyle name="Hyperlink 1757" xfId="930"/>
    <cellStyle name="Hyperlink 1758" xfId="931"/>
    <cellStyle name="Hyperlink 1759" xfId="932"/>
    <cellStyle name="Hyperlink 176" xfId="933"/>
    <cellStyle name="Hyperlink 1760" xfId="934"/>
    <cellStyle name="Hyperlink 1761" xfId="935"/>
    <cellStyle name="Hyperlink 1762" xfId="936"/>
    <cellStyle name="Hyperlink 1763" xfId="937"/>
    <cellStyle name="Hyperlink 1764" xfId="938"/>
    <cellStyle name="Hyperlink 1765" xfId="939"/>
    <cellStyle name="Hyperlink 1766" xfId="940"/>
    <cellStyle name="Hyperlink 1767" xfId="941"/>
    <cellStyle name="Hyperlink 1768" xfId="942"/>
    <cellStyle name="Hyperlink 1769" xfId="943"/>
    <cellStyle name="Hyperlink 177" xfId="944"/>
    <cellStyle name="Hyperlink 1770" xfId="945"/>
    <cellStyle name="Hyperlink 1771" xfId="946"/>
    <cellStyle name="Hyperlink 1772" xfId="947"/>
    <cellStyle name="Hyperlink 1773" xfId="948"/>
    <cellStyle name="Hyperlink 1774" xfId="949"/>
    <cellStyle name="Hyperlink 1775" xfId="950"/>
    <cellStyle name="Hyperlink 1776" xfId="951"/>
    <cellStyle name="Hyperlink 1777" xfId="952"/>
    <cellStyle name="Hyperlink 1778" xfId="953"/>
    <cellStyle name="Hyperlink 1779" xfId="954"/>
    <cellStyle name="Hyperlink 178" xfId="955"/>
    <cellStyle name="Hyperlink 1780" xfId="956"/>
    <cellStyle name="Hyperlink 1781" xfId="957"/>
    <cellStyle name="Hyperlink 1782" xfId="958"/>
    <cellStyle name="Hyperlink 1783" xfId="959"/>
    <cellStyle name="Hyperlink 1784" xfId="960"/>
    <cellStyle name="Hyperlink 1785" xfId="961"/>
    <cellStyle name="Hyperlink 1786" xfId="962"/>
    <cellStyle name="Hyperlink 1787" xfId="963"/>
    <cellStyle name="Hyperlink 1788" xfId="964"/>
    <cellStyle name="Hyperlink 1789" xfId="965"/>
    <cellStyle name="Hyperlink 179" xfId="966"/>
    <cellStyle name="Hyperlink 1790" xfId="967"/>
    <cellStyle name="Hyperlink 1791" xfId="968"/>
    <cellStyle name="Hyperlink 1792" xfId="969"/>
    <cellStyle name="Hyperlink 1793" xfId="970"/>
    <cellStyle name="Hyperlink 1794" xfId="971"/>
    <cellStyle name="Hyperlink 1795" xfId="972"/>
    <cellStyle name="Hyperlink 1796" xfId="973"/>
    <cellStyle name="Hyperlink 1797" xfId="974"/>
    <cellStyle name="Hyperlink 1798" xfId="975"/>
    <cellStyle name="Hyperlink 1799" xfId="976"/>
    <cellStyle name="Hyperlink 18" xfId="977"/>
    <cellStyle name="Hyperlink 180" xfId="978"/>
    <cellStyle name="Hyperlink 1800" xfId="979"/>
    <cellStyle name="Hyperlink 1801" xfId="980"/>
    <cellStyle name="Hyperlink 1802" xfId="981"/>
    <cellStyle name="Hyperlink 1803" xfId="982"/>
    <cellStyle name="Hyperlink 1804" xfId="983"/>
    <cellStyle name="Hyperlink 1805" xfId="984"/>
    <cellStyle name="Hyperlink 1806" xfId="985"/>
    <cellStyle name="Hyperlink 1807" xfId="986"/>
    <cellStyle name="Hyperlink 1808" xfId="987"/>
    <cellStyle name="Hyperlink 1809" xfId="988"/>
    <cellStyle name="Hyperlink 181" xfId="989"/>
    <cellStyle name="Hyperlink 1810" xfId="990"/>
    <cellStyle name="Hyperlink 1811" xfId="991"/>
    <cellStyle name="Hyperlink 1812" xfId="992"/>
    <cellStyle name="Hyperlink 1813" xfId="993"/>
    <cellStyle name="Hyperlink 1814" xfId="994"/>
    <cellStyle name="Hyperlink 1815" xfId="995"/>
    <cellStyle name="Hyperlink 1816" xfId="996"/>
    <cellStyle name="Hyperlink 1817" xfId="997"/>
    <cellStyle name="Hyperlink 1818" xfId="998"/>
    <cellStyle name="Hyperlink 1819" xfId="999"/>
    <cellStyle name="Hyperlink 182" xfId="1000"/>
    <cellStyle name="Hyperlink 1820" xfId="1001"/>
    <cellStyle name="Hyperlink 1821" xfId="1002"/>
    <cellStyle name="Hyperlink 1822" xfId="1003"/>
    <cellStyle name="Hyperlink 1823" xfId="1004"/>
    <cellStyle name="Hyperlink 1824" xfId="1005"/>
    <cellStyle name="Hyperlink 1825" xfId="1006"/>
    <cellStyle name="Hyperlink 1826" xfId="1007"/>
    <cellStyle name="Hyperlink 1827" xfId="1008"/>
    <cellStyle name="Hyperlink 1828" xfId="1009"/>
    <cellStyle name="Hyperlink 1829" xfId="1010"/>
    <cellStyle name="Hyperlink 183" xfId="1011"/>
    <cellStyle name="Hyperlink 1830" xfId="1012"/>
    <cellStyle name="Hyperlink 1831" xfId="1013"/>
    <cellStyle name="Hyperlink 1832" xfId="1014"/>
    <cellStyle name="Hyperlink 1833" xfId="1015"/>
    <cellStyle name="Hyperlink 1834" xfId="1016"/>
    <cellStyle name="Hyperlink 1835" xfId="1017"/>
    <cellStyle name="Hyperlink 1836" xfId="1018"/>
    <cellStyle name="Hyperlink 1837" xfId="1019"/>
    <cellStyle name="Hyperlink 1838" xfId="1020"/>
    <cellStyle name="Hyperlink 1839" xfId="1021"/>
    <cellStyle name="Hyperlink 184" xfId="1022"/>
    <cellStyle name="Hyperlink 1840" xfId="1023"/>
    <cellStyle name="Hyperlink 1841" xfId="1024"/>
    <cellStyle name="Hyperlink 1842" xfId="1025"/>
    <cellStyle name="Hyperlink 1843" xfId="1026"/>
    <cellStyle name="Hyperlink 1844" xfId="1027"/>
    <cellStyle name="Hyperlink 1845" xfId="1028"/>
    <cellStyle name="Hyperlink 1846" xfId="1029"/>
    <cellStyle name="Hyperlink 1847" xfId="1030"/>
    <cellStyle name="Hyperlink 1848" xfId="1031"/>
    <cellStyle name="Hyperlink 1849" xfId="1032"/>
    <cellStyle name="Hyperlink 185" xfId="1033"/>
    <cellStyle name="Hyperlink 1850" xfId="1034"/>
    <cellStyle name="Hyperlink 1851" xfId="1035"/>
    <cellStyle name="Hyperlink 1852" xfId="1036"/>
    <cellStyle name="Hyperlink 1853" xfId="1037"/>
    <cellStyle name="Hyperlink 1854" xfId="1038"/>
    <cellStyle name="Hyperlink 1855" xfId="1039"/>
    <cellStyle name="Hyperlink 1856" xfId="1040"/>
    <cellStyle name="Hyperlink 1857" xfId="1041"/>
    <cellStyle name="Hyperlink 1858" xfId="1042"/>
    <cellStyle name="Hyperlink 1859" xfId="1043"/>
    <cellStyle name="Hyperlink 186" xfId="1044"/>
    <cellStyle name="Hyperlink 1860" xfId="1045"/>
    <cellStyle name="Hyperlink 1861" xfId="1046"/>
    <cellStyle name="Hyperlink 1862" xfId="1047"/>
    <cellStyle name="Hyperlink 1863" xfId="1048"/>
    <cellStyle name="Hyperlink 1864" xfId="1049"/>
    <cellStyle name="Hyperlink 1865" xfId="1050"/>
    <cellStyle name="Hyperlink 1866" xfId="1051"/>
    <cellStyle name="Hyperlink 1867" xfId="1052"/>
    <cellStyle name="Hyperlink 1868" xfId="1053"/>
    <cellStyle name="Hyperlink 1869" xfId="1054"/>
    <cellStyle name="Hyperlink 187" xfId="1055"/>
    <cellStyle name="Hyperlink 1870" xfId="1056"/>
    <cellStyle name="Hyperlink 1871" xfId="1057"/>
    <cellStyle name="Hyperlink 1872" xfId="1058"/>
    <cellStyle name="Hyperlink 1873" xfId="1059"/>
    <cellStyle name="Hyperlink 1874" xfId="1060"/>
    <cellStyle name="Hyperlink 1875" xfId="1061"/>
    <cellStyle name="Hyperlink 1876" xfId="1062"/>
    <cellStyle name="Hyperlink 1877" xfId="1063"/>
    <cellStyle name="Hyperlink 1878" xfId="1064"/>
    <cellStyle name="Hyperlink 1879" xfId="1065"/>
    <cellStyle name="Hyperlink 188" xfId="1066"/>
    <cellStyle name="Hyperlink 1880" xfId="1067"/>
    <cellStyle name="Hyperlink 1881" xfId="1068"/>
    <cellStyle name="Hyperlink 1882" xfId="1069"/>
    <cellStyle name="Hyperlink 1883" xfId="1070"/>
    <cellStyle name="Hyperlink 1884" xfId="1071"/>
    <cellStyle name="Hyperlink 1885" xfId="1072"/>
    <cellStyle name="Hyperlink 1886" xfId="1073"/>
    <cellStyle name="Hyperlink 1887" xfId="1074"/>
    <cellStyle name="Hyperlink 1888" xfId="1075"/>
    <cellStyle name="Hyperlink 1889" xfId="1076"/>
    <cellStyle name="Hyperlink 189" xfId="1077"/>
    <cellStyle name="Hyperlink 1890" xfId="1078"/>
    <cellStyle name="Hyperlink 1891" xfId="1079"/>
    <cellStyle name="Hyperlink 1892" xfId="1080"/>
    <cellStyle name="Hyperlink 1893" xfId="1081"/>
    <cellStyle name="Hyperlink 1894" xfId="1082"/>
    <cellStyle name="Hyperlink 1895" xfId="1083"/>
    <cellStyle name="Hyperlink 1896" xfId="1084"/>
    <cellStyle name="Hyperlink 1897" xfId="1085"/>
    <cellStyle name="Hyperlink 1898" xfId="1086"/>
    <cellStyle name="Hyperlink 1899" xfId="1087"/>
    <cellStyle name="Hyperlink 19" xfId="1088"/>
    <cellStyle name="Hyperlink 190" xfId="1089"/>
    <cellStyle name="Hyperlink 1900" xfId="1090"/>
    <cellStyle name="Hyperlink 1901" xfId="1091"/>
    <cellStyle name="Hyperlink 1902" xfId="1092"/>
    <cellStyle name="Hyperlink 1903" xfId="1093"/>
    <cellStyle name="Hyperlink 1904" xfId="1094"/>
    <cellStyle name="Hyperlink 1905" xfId="1095"/>
    <cellStyle name="Hyperlink 1906" xfId="1096"/>
    <cellStyle name="Hyperlink 1907" xfId="1097"/>
    <cellStyle name="Hyperlink 1908" xfId="1098"/>
    <cellStyle name="Hyperlink 1909" xfId="1099"/>
    <cellStyle name="Hyperlink 191" xfId="1100"/>
    <cellStyle name="Hyperlink 1910" xfId="1101"/>
    <cellStyle name="Hyperlink 1911" xfId="1102"/>
    <cellStyle name="Hyperlink 1912" xfId="1103"/>
    <cellStyle name="Hyperlink 1913" xfId="1104"/>
    <cellStyle name="Hyperlink 1914" xfId="1105"/>
    <cellStyle name="Hyperlink 1915" xfId="1106"/>
    <cellStyle name="Hyperlink 1916" xfId="1107"/>
    <cellStyle name="Hyperlink 1917" xfId="1108"/>
    <cellStyle name="Hyperlink 1918" xfId="1109"/>
    <cellStyle name="Hyperlink 1919" xfId="1110"/>
    <cellStyle name="Hyperlink 192" xfId="1111"/>
    <cellStyle name="Hyperlink 1920" xfId="1112"/>
    <cellStyle name="Hyperlink 1921" xfId="1113"/>
    <cellStyle name="Hyperlink 1922" xfId="1114"/>
    <cellStyle name="Hyperlink 1923" xfId="1115"/>
    <cellStyle name="Hyperlink 1924" xfId="1116"/>
    <cellStyle name="Hyperlink 1925" xfId="1117"/>
    <cellStyle name="Hyperlink 1926" xfId="1118"/>
    <cellStyle name="Hyperlink 1927" xfId="1119"/>
    <cellStyle name="Hyperlink 1928" xfId="1120"/>
    <cellStyle name="Hyperlink 1929" xfId="1121"/>
    <cellStyle name="Hyperlink 193" xfId="1122"/>
    <cellStyle name="Hyperlink 1930" xfId="1123"/>
    <cellStyle name="Hyperlink 1931" xfId="1124"/>
    <cellStyle name="Hyperlink 1932" xfId="1125"/>
    <cellStyle name="Hyperlink 1933" xfId="1126"/>
    <cellStyle name="Hyperlink 1934" xfId="1127"/>
    <cellStyle name="Hyperlink 1935" xfId="1128"/>
    <cellStyle name="Hyperlink 1936" xfId="1129"/>
    <cellStyle name="Hyperlink 1937" xfId="1130"/>
    <cellStyle name="Hyperlink 1938" xfId="1131"/>
    <cellStyle name="Hyperlink 1939" xfId="1132"/>
    <cellStyle name="Hyperlink 194" xfId="1133"/>
    <cellStyle name="Hyperlink 1940" xfId="1134"/>
    <cellStyle name="Hyperlink 1941" xfId="1135"/>
    <cellStyle name="Hyperlink 1942" xfId="1136"/>
    <cellStyle name="Hyperlink 1943" xfId="1137"/>
    <cellStyle name="Hyperlink 1944" xfId="1138"/>
    <cellStyle name="Hyperlink 1945" xfId="1139"/>
    <cellStyle name="Hyperlink 1946" xfId="1140"/>
    <cellStyle name="Hyperlink 1947" xfId="1141"/>
    <cellStyle name="Hyperlink 1948" xfId="1142"/>
    <cellStyle name="Hyperlink 1949" xfId="1143"/>
    <cellStyle name="Hyperlink 195" xfId="1144"/>
    <cellStyle name="Hyperlink 1950" xfId="1145"/>
    <cellStyle name="Hyperlink 1951" xfId="1146"/>
    <cellStyle name="Hyperlink 1952" xfId="1147"/>
    <cellStyle name="Hyperlink 1953" xfId="1148"/>
    <cellStyle name="Hyperlink 1954" xfId="1149"/>
    <cellStyle name="Hyperlink 1955" xfId="1150"/>
    <cellStyle name="Hyperlink 1956" xfId="1151"/>
    <cellStyle name="Hyperlink 1957" xfId="1152"/>
    <cellStyle name="Hyperlink 1958" xfId="1153"/>
    <cellStyle name="Hyperlink 1959" xfId="1154"/>
    <cellStyle name="Hyperlink 196" xfId="1155"/>
    <cellStyle name="Hyperlink 1960" xfId="1156"/>
    <cellStyle name="Hyperlink 1961" xfId="1157"/>
    <cellStyle name="Hyperlink 1962" xfId="1158"/>
    <cellStyle name="Hyperlink 1963" xfId="1159"/>
    <cellStyle name="Hyperlink 1964" xfId="1160"/>
    <cellStyle name="Hyperlink 1965" xfId="1161"/>
    <cellStyle name="Hyperlink 1966" xfId="1162"/>
    <cellStyle name="Hyperlink 1967" xfId="1163"/>
    <cellStyle name="Hyperlink 1968" xfId="1164"/>
    <cellStyle name="Hyperlink 1969" xfId="1165"/>
    <cellStyle name="Hyperlink 197" xfId="1166"/>
    <cellStyle name="Hyperlink 1970" xfId="1167"/>
    <cellStyle name="Hyperlink 1971" xfId="1168"/>
    <cellStyle name="Hyperlink 1972" xfId="1169"/>
    <cellStyle name="Hyperlink 1973" xfId="1170"/>
    <cellStyle name="Hyperlink 1974" xfId="1171"/>
    <cellStyle name="Hyperlink 1975" xfId="1172"/>
    <cellStyle name="Hyperlink 1976" xfId="1173"/>
    <cellStyle name="Hyperlink 1977" xfId="1174"/>
    <cellStyle name="Hyperlink 1978" xfId="1175"/>
    <cellStyle name="Hyperlink 1979" xfId="1176"/>
    <cellStyle name="Hyperlink 198" xfId="1177"/>
    <cellStyle name="Hyperlink 1980" xfId="1178"/>
    <cellStyle name="Hyperlink 1981" xfId="1179"/>
    <cellStyle name="Hyperlink 1982" xfId="1180"/>
    <cellStyle name="Hyperlink 1983" xfId="1181"/>
    <cellStyle name="Hyperlink 1984" xfId="1182"/>
    <cellStyle name="Hyperlink 1985" xfId="1183"/>
    <cellStyle name="Hyperlink 1986" xfId="1184"/>
    <cellStyle name="Hyperlink 1987" xfId="1185"/>
    <cellStyle name="Hyperlink 1988" xfId="1186"/>
    <cellStyle name="Hyperlink 1989" xfId="1187"/>
    <cellStyle name="Hyperlink 199" xfId="1188"/>
    <cellStyle name="Hyperlink 1990" xfId="1189"/>
    <cellStyle name="Hyperlink 1991" xfId="1190"/>
    <cellStyle name="Hyperlink 1992" xfId="1191"/>
    <cellStyle name="Hyperlink 1993" xfId="1192"/>
    <cellStyle name="Hyperlink 1994" xfId="1193"/>
    <cellStyle name="Hyperlink 1995" xfId="1194"/>
    <cellStyle name="Hyperlink 1996" xfId="1195"/>
    <cellStyle name="Hyperlink 1997" xfId="1196"/>
    <cellStyle name="Hyperlink 1998" xfId="1197"/>
    <cellStyle name="Hyperlink 1999" xfId="1198"/>
    <cellStyle name="Hyperlink 2" xfId="1199"/>
    <cellStyle name="Hyperlink 20" xfId="1200"/>
    <cellStyle name="Hyperlink 200" xfId="1201"/>
    <cellStyle name="Hyperlink 2000" xfId="1202"/>
    <cellStyle name="Hyperlink 2001" xfId="1203"/>
    <cellStyle name="Hyperlink 2002" xfId="1204"/>
    <cellStyle name="Hyperlink 2003" xfId="1205"/>
    <cellStyle name="Hyperlink 2004" xfId="1206"/>
    <cellStyle name="Hyperlink 2005" xfId="1207"/>
    <cellStyle name="Hyperlink 2006" xfId="1208"/>
    <cellStyle name="Hyperlink 2007" xfId="1209"/>
    <cellStyle name="Hyperlink 2008" xfId="1210"/>
    <cellStyle name="Hyperlink 2009" xfId="1211"/>
    <cellStyle name="Hyperlink 201" xfId="1212"/>
    <cellStyle name="Hyperlink 2010" xfId="1213"/>
    <cellStyle name="Hyperlink 2011" xfId="1214"/>
    <cellStyle name="Hyperlink 2012" xfId="1215"/>
    <cellStyle name="Hyperlink 2013" xfId="1216"/>
    <cellStyle name="Hyperlink 2014" xfId="1217"/>
    <cellStyle name="Hyperlink 2015" xfId="1218"/>
    <cellStyle name="Hyperlink 2016" xfId="1219"/>
    <cellStyle name="Hyperlink 2017" xfId="1220"/>
    <cellStyle name="Hyperlink 2018" xfId="1221"/>
    <cellStyle name="Hyperlink 2019" xfId="1222"/>
    <cellStyle name="Hyperlink 202" xfId="1223"/>
    <cellStyle name="Hyperlink 2020" xfId="1224"/>
    <cellStyle name="Hyperlink 2021" xfId="1225"/>
    <cellStyle name="Hyperlink 2022" xfId="1226"/>
    <cellStyle name="Hyperlink 2023" xfId="1227"/>
    <cellStyle name="Hyperlink 2024" xfId="1228"/>
    <cellStyle name="Hyperlink 2025" xfId="1229"/>
    <cellStyle name="Hyperlink 2026" xfId="1230"/>
    <cellStyle name="Hyperlink 2027" xfId="1231"/>
    <cellStyle name="Hyperlink 2028" xfId="1232"/>
    <cellStyle name="Hyperlink 2029" xfId="1233"/>
    <cellStyle name="Hyperlink 203" xfId="1234"/>
    <cellStyle name="Hyperlink 2030" xfId="1235"/>
    <cellStyle name="Hyperlink 2031" xfId="1236"/>
    <cellStyle name="Hyperlink 2032" xfId="1237"/>
    <cellStyle name="Hyperlink 2033" xfId="1238"/>
    <cellStyle name="Hyperlink 2034" xfId="1239"/>
    <cellStyle name="Hyperlink 2035" xfId="1240"/>
    <cellStyle name="Hyperlink 2036" xfId="1241"/>
    <cellStyle name="Hyperlink 2037" xfId="1242"/>
    <cellStyle name="Hyperlink 2038" xfId="1243"/>
    <cellStyle name="Hyperlink 2039" xfId="1244"/>
    <cellStyle name="Hyperlink 204" xfId="1245"/>
    <cellStyle name="Hyperlink 2040" xfId="1246"/>
    <cellStyle name="Hyperlink 2041" xfId="1247"/>
    <cellStyle name="Hyperlink 2042" xfId="1248"/>
    <cellStyle name="Hyperlink 2043" xfId="1249"/>
    <cellStyle name="Hyperlink 2044" xfId="1250"/>
    <cellStyle name="Hyperlink 2045" xfId="1251"/>
    <cellStyle name="Hyperlink 2046" xfId="1252"/>
    <cellStyle name="Hyperlink 2047" xfId="1253"/>
    <cellStyle name="Hyperlink 2048" xfId="1254"/>
    <cellStyle name="Hyperlink 2049" xfId="1255"/>
    <cellStyle name="Hyperlink 205" xfId="1256"/>
    <cellStyle name="Hyperlink 2050" xfId="1257"/>
    <cellStyle name="Hyperlink 2051" xfId="1258"/>
    <cellStyle name="Hyperlink 2052" xfId="1259"/>
    <cellStyle name="Hyperlink 2053" xfId="1260"/>
    <cellStyle name="Hyperlink 2054" xfId="1261"/>
    <cellStyle name="Hyperlink 2055" xfId="1262"/>
    <cellStyle name="Hyperlink 2056" xfId="1263"/>
    <cellStyle name="Hyperlink 2057" xfId="1264"/>
    <cellStyle name="Hyperlink 2058" xfId="1265"/>
    <cellStyle name="Hyperlink 2059" xfId="1266"/>
    <cellStyle name="Hyperlink 206" xfId="1267"/>
    <cellStyle name="Hyperlink 2060" xfId="1268"/>
    <cellStyle name="Hyperlink 2061" xfId="1269"/>
    <cellStyle name="Hyperlink 2062" xfId="1270"/>
    <cellStyle name="Hyperlink 2063" xfId="1271"/>
    <cellStyle name="Hyperlink 2064" xfId="1272"/>
    <cellStyle name="Hyperlink 2065" xfId="1273"/>
    <cellStyle name="Hyperlink 2066" xfId="1274"/>
    <cellStyle name="Hyperlink 2067" xfId="1275"/>
    <cellStyle name="Hyperlink 2068" xfId="1276"/>
    <cellStyle name="Hyperlink 2069" xfId="1277"/>
    <cellStyle name="Hyperlink 207" xfId="1278"/>
    <cellStyle name="Hyperlink 2070" xfId="1279"/>
    <cellStyle name="Hyperlink 2071" xfId="1280"/>
    <cellStyle name="Hyperlink 2072" xfId="1281"/>
    <cellStyle name="Hyperlink 2073" xfId="1282"/>
    <cellStyle name="Hyperlink 2074" xfId="1283"/>
    <cellStyle name="Hyperlink 2075" xfId="1284"/>
    <cellStyle name="Hyperlink 2076" xfId="1285"/>
    <cellStyle name="Hyperlink 2077" xfId="1286"/>
    <cellStyle name="Hyperlink 2078" xfId="1287"/>
    <cellStyle name="Hyperlink 2079" xfId="1288"/>
    <cellStyle name="Hyperlink 208" xfId="1289"/>
    <cellStyle name="Hyperlink 2080" xfId="1290"/>
    <cellStyle name="Hyperlink 2081" xfId="1291"/>
    <cellStyle name="Hyperlink 2082" xfId="1292"/>
    <cellStyle name="Hyperlink 2083" xfId="1293"/>
    <cellStyle name="Hyperlink 2084" xfId="1294"/>
    <cellStyle name="Hyperlink 2085" xfId="1295"/>
    <cellStyle name="Hyperlink 2086" xfId="1296"/>
    <cellStyle name="Hyperlink 2087" xfId="1297"/>
    <cellStyle name="Hyperlink 2088" xfId="1298"/>
    <cellStyle name="Hyperlink 2089" xfId="1299"/>
    <cellStyle name="Hyperlink 209" xfId="1300"/>
    <cellStyle name="Hyperlink 2090" xfId="1301"/>
    <cellStyle name="Hyperlink 2091" xfId="1302"/>
    <cellStyle name="Hyperlink 2092" xfId="1303"/>
    <cellStyle name="Hyperlink 2093" xfId="1304"/>
    <cellStyle name="Hyperlink 2094" xfId="1305"/>
    <cellStyle name="Hyperlink 2095" xfId="1306"/>
    <cellStyle name="Hyperlink 2096" xfId="1307"/>
    <cellStyle name="Hyperlink 2097" xfId="1308"/>
    <cellStyle name="Hyperlink 2098" xfId="1309"/>
    <cellStyle name="Hyperlink 2099" xfId="1310"/>
    <cellStyle name="Hyperlink 21" xfId="1311"/>
    <cellStyle name="Hyperlink 210" xfId="1312"/>
    <cellStyle name="Hyperlink 2100" xfId="1313"/>
    <cellStyle name="Hyperlink 2101" xfId="1314"/>
    <cellStyle name="Hyperlink 2102" xfId="1315"/>
    <cellStyle name="Hyperlink 2103" xfId="1316"/>
    <cellStyle name="Hyperlink 2104" xfId="1317"/>
    <cellStyle name="Hyperlink 2105" xfId="1318"/>
    <cellStyle name="Hyperlink 2106" xfId="1319"/>
    <cellStyle name="Hyperlink 2107" xfId="1320"/>
    <cellStyle name="Hyperlink 2108" xfId="1321"/>
    <cellStyle name="Hyperlink 2109" xfId="1322"/>
    <cellStyle name="Hyperlink 211" xfId="1323"/>
    <cellStyle name="Hyperlink 2110" xfId="1324"/>
    <cellStyle name="Hyperlink 2111" xfId="1325"/>
    <cellStyle name="Hyperlink 2112" xfId="1326"/>
    <cellStyle name="Hyperlink 2113" xfId="1327"/>
    <cellStyle name="Hyperlink 2114" xfId="1328"/>
    <cellStyle name="Hyperlink 2115" xfId="1329"/>
    <cellStyle name="Hyperlink 2116" xfId="1330"/>
    <cellStyle name="Hyperlink 2117" xfId="1331"/>
    <cellStyle name="Hyperlink 2118" xfId="1332"/>
    <cellStyle name="Hyperlink 2119" xfId="1333"/>
    <cellStyle name="Hyperlink 212" xfId="1334"/>
    <cellStyle name="Hyperlink 2120" xfId="1335"/>
    <cellStyle name="Hyperlink 2121" xfId="1336"/>
    <cellStyle name="Hyperlink 2122" xfId="1337"/>
    <cellStyle name="Hyperlink 2123" xfId="1338"/>
    <cellStyle name="Hyperlink 2124" xfId="1339"/>
    <cellStyle name="Hyperlink 2125" xfId="1340"/>
    <cellStyle name="Hyperlink 2126" xfId="1341"/>
    <cellStyle name="Hyperlink 2127" xfId="1342"/>
    <cellStyle name="Hyperlink 2128" xfId="1343"/>
    <cellStyle name="Hyperlink 2129" xfId="1344"/>
    <cellStyle name="Hyperlink 213" xfId="1345"/>
    <cellStyle name="Hyperlink 2130" xfId="1346"/>
    <cellStyle name="Hyperlink 2131" xfId="1347"/>
    <cellStyle name="Hyperlink 2132" xfId="1348"/>
    <cellStyle name="Hyperlink 2133" xfId="1349"/>
    <cellStyle name="Hyperlink 2134" xfId="1350"/>
    <cellStyle name="Hyperlink 2135" xfId="1351"/>
    <cellStyle name="Hyperlink 2136" xfId="1352"/>
    <cellStyle name="Hyperlink 2137" xfId="1353"/>
    <cellStyle name="Hyperlink 2138" xfId="1354"/>
    <cellStyle name="Hyperlink 2139" xfId="1355"/>
    <cellStyle name="Hyperlink 214" xfId="1356"/>
    <cellStyle name="Hyperlink 2140" xfId="1357"/>
    <cellStyle name="Hyperlink 2141" xfId="1358"/>
    <cellStyle name="Hyperlink 2142" xfId="1359"/>
    <cellStyle name="Hyperlink 2143" xfId="1360"/>
    <cellStyle name="Hyperlink 2144" xfId="1361"/>
    <cellStyle name="Hyperlink 2145" xfId="1362"/>
    <cellStyle name="Hyperlink 2146" xfId="1363"/>
    <cellStyle name="Hyperlink 2147" xfId="1364"/>
    <cellStyle name="Hyperlink 2148" xfId="1365"/>
    <cellStyle name="Hyperlink 2149" xfId="1366"/>
    <cellStyle name="Hyperlink 215" xfId="1367"/>
    <cellStyle name="Hyperlink 2150" xfId="1368"/>
    <cellStyle name="Hyperlink 2151" xfId="1369"/>
    <cellStyle name="Hyperlink 2152" xfId="1370"/>
    <cellStyle name="Hyperlink 2153" xfId="1371"/>
    <cellStyle name="Hyperlink 2154" xfId="1372"/>
    <cellStyle name="Hyperlink 2155" xfId="1373"/>
    <cellStyle name="Hyperlink 2156" xfId="1374"/>
    <cellStyle name="Hyperlink 2157" xfId="1375"/>
    <cellStyle name="Hyperlink 2158" xfId="1376"/>
    <cellStyle name="Hyperlink 2159" xfId="1377"/>
    <cellStyle name="Hyperlink 216" xfId="1378"/>
    <cellStyle name="Hyperlink 2160" xfId="1379"/>
    <cellStyle name="Hyperlink 2161" xfId="1380"/>
    <cellStyle name="Hyperlink 2162" xfId="1381"/>
    <cellStyle name="Hyperlink 2163" xfId="1382"/>
    <cellStyle name="Hyperlink 2164" xfId="1383"/>
    <cellStyle name="Hyperlink 2165" xfId="1384"/>
    <cellStyle name="Hyperlink 2166" xfId="1385"/>
    <cellStyle name="Hyperlink 2167" xfId="1386"/>
    <cellStyle name="Hyperlink 2168" xfId="1387"/>
    <cellStyle name="Hyperlink 2169" xfId="1388"/>
    <cellStyle name="Hyperlink 217" xfId="1389"/>
    <cellStyle name="Hyperlink 2170" xfId="1390"/>
    <cellStyle name="Hyperlink 2171" xfId="1391"/>
    <cellStyle name="Hyperlink 2172" xfId="1392"/>
    <cellStyle name="Hyperlink 2173" xfId="1393"/>
    <cellStyle name="Hyperlink 2174" xfId="1394"/>
    <cellStyle name="Hyperlink 2175" xfId="1395"/>
    <cellStyle name="Hyperlink 2176" xfId="1396"/>
    <cellStyle name="Hyperlink 2177" xfId="1397"/>
    <cellStyle name="Hyperlink 2178" xfId="1398"/>
    <cellStyle name="Hyperlink 2179" xfId="1399"/>
    <cellStyle name="Hyperlink 218" xfId="1400"/>
    <cellStyle name="Hyperlink 2180" xfId="1401"/>
    <cellStyle name="Hyperlink 2181" xfId="1402"/>
    <cellStyle name="Hyperlink 2182" xfId="1403"/>
    <cellStyle name="Hyperlink 2183" xfId="1404"/>
    <cellStyle name="Hyperlink 2184" xfId="1405"/>
    <cellStyle name="Hyperlink 2185" xfId="1406"/>
    <cellStyle name="Hyperlink 2186" xfId="1407"/>
    <cellStyle name="Hyperlink 2187" xfId="1408"/>
    <cellStyle name="Hyperlink 2188" xfId="1409"/>
    <cellStyle name="Hyperlink 2189" xfId="1410"/>
    <cellStyle name="Hyperlink 219" xfId="1411"/>
    <cellStyle name="Hyperlink 2190" xfId="1412"/>
    <cellStyle name="Hyperlink 2191" xfId="1413"/>
    <cellStyle name="Hyperlink 2192" xfId="1414"/>
    <cellStyle name="Hyperlink 2193" xfId="1415"/>
    <cellStyle name="Hyperlink 2194" xfId="1416"/>
    <cellStyle name="Hyperlink 2195" xfId="1417"/>
    <cellStyle name="Hyperlink 2196" xfId="1418"/>
    <cellStyle name="Hyperlink 2197" xfId="1419"/>
    <cellStyle name="Hyperlink 2198" xfId="1420"/>
    <cellStyle name="Hyperlink 2199" xfId="1421"/>
    <cellStyle name="Hyperlink 22" xfId="1422"/>
    <cellStyle name="Hyperlink 220" xfId="1423"/>
    <cellStyle name="Hyperlink 2200" xfId="1424"/>
    <cellStyle name="Hyperlink 2201" xfId="1425"/>
    <cellStyle name="Hyperlink 2202" xfId="1426"/>
    <cellStyle name="Hyperlink 2203" xfId="1427"/>
    <cellStyle name="Hyperlink 2204" xfId="1428"/>
    <cellStyle name="Hyperlink 2205" xfId="1429"/>
    <cellStyle name="Hyperlink 2206" xfId="1430"/>
    <cellStyle name="Hyperlink 2207" xfId="1431"/>
    <cellStyle name="Hyperlink 2208" xfId="1432"/>
    <cellStyle name="Hyperlink 2209" xfId="1433"/>
    <cellStyle name="Hyperlink 221" xfId="1434"/>
    <cellStyle name="Hyperlink 2210" xfId="1435"/>
    <cellStyle name="Hyperlink 2211" xfId="1436"/>
    <cellStyle name="Hyperlink 2212" xfId="1437"/>
    <cellStyle name="Hyperlink 2213" xfId="1438"/>
    <cellStyle name="Hyperlink 2214" xfId="1439"/>
    <cellStyle name="Hyperlink 2215" xfId="1440"/>
    <cellStyle name="Hyperlink 2216" xfId="1441"/>
    <cellStyle name="Hyperlink 2217" xfId="1442"/>
    <cellStyle name="Hyperlink 2218" xfId="1443"/>
    <cellStyle name="Hyperlink 2219" xfId="1444"/>
    <cellStyle name="Hyperlink 222" xfId="1445"/>
    <cellStyle name="Hyperlink 2220" xfId="1446"/>
    <cellStyle name="Hyperlink 2221" xfId="1447"/>
    <cellStyle name="Hyperlink 2222" xfId="1448"/>
    <cellStyle name="Hyperlink 2223" xfId="1449"/>
    <cellStyle name="Hyperlink 2224" xfId="1450"/>
    <cellStyle name="Hyperlink 2225" xfId="1451"/>
    <cellStyle name="Hyperlink 2226" xfId="1452"/>
    <cellStyle name="Hyperlink 2227" xfId="1453"/>
    <cellStyle name="Hyperlink 2228" xfId="1454"/>
    <cellStyle name="Hyperlink 2229" xfId="1455"/>
    <cellStyle name="Hyperlink 223" xfId="1456"/>
    <cellStyle name="Hyperlink 2230" xfId="1457"/>
    <cellStyle name="Hyperlink 2231" xfId="1458"/>
    <cellStyle name="Hyperlink 2232" xfId="1459"/>
    <cellStyle name="Hyperlink 2233" xfId="1460"/>
    <cellStyle name="Hyperlink 2234" xfId="1461"/>
    <cellStyle name="Hyperlink 2235" xfId="1462"/>
    <cellStyle name="Hyperlink 2236" xfId="1463"/>
    <cellStyle name="Hyperlink 2237" xfId="1464"/>
    <cellStyle name="Hyperlink 2238" xfId="1465"/>
    <cellStyle name="Hyperlink 2239" xfId="1466"/>
    <cellStyle name="Hyperlink 224" xfId="1467"/>
    <cellStyle name="Hyperlink 2240" xfId="1468"/>
    <cellStyle name="Hyperlink 2241" xfId="1469"/>
    <cellStyle name="Hyperlink 2242" xfId="1470"/>
    <cellStyle name="Hyperlink 2243" xfId="1471"/>
    <cellStyle name="Hyperlink 2244" xfId="1472"/>
    <cellStyle name="Hyperlink 2245" xfId="1473"/>
    <cellStyle name="Hyperlink 2246" xfId="1474"/>
    <cellStyle name="Hyperlink 2247" xfId="1475"/>
    <cellStyle name="Hyperlink 2248" xfId="1476"/>
    <cellStyle name="Hyperlink 2249" xfId="1477"/>
    <cellStyle name="Hyperlink 225" xfId="1478"/>
    <cellStyle name="Hyperlink 2250" xfId="1479"/>
    <cellStyle name="Hyperlink 2251" xfId="1480"/>
    <cellStyle name="Hyperlink 2252" xfId="1481"/>
    <cellStyle name="Hyperlink 2253" xfId="1482"/>
    <cellStyle name="Hyperlink 2254" xfId="1483"/>
    <cellStyle name="Hyperlink 2255" xfId="1484"/>
    <cellStyle name="Hyperlink 2256" xfId="1485"/>
    <cellStyle name="Hyperlink 2257" xfId="1486"/>
    <cellStyle name="Hyperlink 2258" xfId="1487"/>
    <cellStyle name="Hyperlink 2259" xfId="1488"/>
    <cellStyle name="Hyperlink 226" xfId="1489"/>
    <cellStyle name="Hyperlink 2260" xfId="1490"/>
    <cellStyle name="Hyperlink 2261" xfId="1491"/>
    <cellStyle name="Hyperlink 2262" xfId="1492"/>
    <cellStyle name="Hyperlink 2263" xfId="1493"/>
    <cellStyle name="Hyperlink 2264" xfId="1494"/>
    <cellStyle name="Hyperlink 2265" xfId="1495"/>
    <cellStyle name="Hyperlink 2266" xfId="1496"/>
    <cellStyle name="Hyperlink 2267" xfId="1497"/>
    <cellStyle name="Hyperlink 2268" xfId="1498"/>
    <cellStyle name="Hyperlink 2269" xfId="1499"/>
    <cellStyle name="Hyperlink 227" xfId="1500"/>
    <cellStyle name="Hyperlink 2270" xfId="1501"/>
    <cellStyle name="Hyperlink 2271" xfId="1502"/>
    <cellStyle name="Hyperlink 2272" xfId="1503"/>
    <cellStyle name="Hyperlink 2273" xfId="1504"/>
    <cellStyle name="Hyperlink 2274" xfId="1505"/>
    <cellStyle name="Hyperlink 2275" xfId="1506"/>
    <cellStyle name="Hyperlink 2276" xfId="1507"/>
    <cellStyle name="Hyperlink 2277" xfId="1508"/>
    <cellStyle name="Hyperlink 2278" xfId="1509"/>
    <cellStyle name="Hyperlink 2279" xfId="1510"/>
    <cellStyle name="Hyperlink 228" xfId="1511"/>
    <cellStyle name="Hyperlink 2280" xfId="1512"/>
    <cellStyle name="Hyperlink 2281" xfId="1513"/>
    <cellStyle name="Hyperlink 2282" xfId="1514"/>
    <cellStyle name="Hyperlink 2283" xfId="1515"/>
    <cellStyle name="Hyperlink 2284" xfId="1516"/>
    <cellStyle name="Hyperlink 2285" xfId="1517"/>
    <cellStyle name="Hyperlink 2286" xfId="1518"/>
    <cellStyle name="Hyperlink 2287" xfId="1519"/>
    <cellStyle name="Hyperlink 2288" xfId="1520"/>
    <cellStyle name="Hyperlink 2289" xfId="1521"/>
    <cellStyle name="Hyperlink 229" xfId="1522"/>
    <cellStyle name="Hyperlink 2290" xfId="1523"/>
    <cellStyle name="Hyperlink 2291" xfId="1524"/>
    <cellStyle name="Hyperlink 2292" xfId="1525"/>
    <cellStyle name="Hyperlink 2293" xfId="1526"/>
    <cellStyle name="Hyperlink 2294" xfId="1527"/>
    <cellStyle name="Hyperlink 2295" xfId="1528"/>
    <cellStyle name="Hyperlink 2296" xfId="1529"/>
    <cellStyle name="Hyperlink 2297" xfId="1530"/>
    <cellStyle name="Hyperlink 2298" xfId="1531"/>
    <cellStyle name="Hyperlink 2299" xfId="1532"/>
    <cellStyle name="Hyperlink 23" xfId="1533"/>
    <cellStyle name="Hyperlink 230" xfId="1534"/>
    <cellStyle name="Hyperlink 2300" xfId="1535"/>
    <cellStyle name="Hyperlink 2301" xfId="1536"/>
    <cellStyle name="Hyperlink 2302" xfId="1537"/>
    <cellStyle name="Hyperlink 2303" xfId="1538"/>
    <cellStyle name="Hyperlink 2304" xfId="1539"/>
    <cellStyle name="Hyperlink 2305" xfId="1540"/>
    <cellStyle name="Hyperlink 2306" xfId="1541"/>
    <cellStyle name="Hyperlink 2307" xfId="1542"/>
    <cellStyle name="Hyperlink 2308" xfId="1543"/>
    <cellStyle name="Hyperlink 2309" xfId="1544"/>
    <cellStyle name="Hyperlink 231" xfId="1545"/>
    <cellStyle name="Hyperlink 2310" xfId="1546"/>
    <cellStyle name="Hyperlink 2311" xfId="1547"/>
    <cellStyle name="Hyperlink 2312" xfId="1548"/>
    <cellStyle name="Hyperlink 2313" xfId="1549"/>
    <cellStyle name="Hyperlink 2314" xfId="1550"/>
    <cellStyle name="Hyperlink 2315" xfId="1551"/>
    <cellStyle name="Hyperlink 2316" xfId="1552"/>
    <cellStyle name="Hyperlink 2317" xfId="1553"/>
    <cellStyle name="Hyperlink 2318" xfId="1554"/>
    <cellStyle name="Hyperlink 2319" xfId="1555"/>
    <cellStyle name="Hyperlink 232" xfId="1556"/>
    <cellStyle name="Hyperlink 2320" xfId="1557"/>
    <cellStyle name="Hyperlink 2321" xfId="1558"/>
    <cellStyle name="Hyperlink 2322" xfId="1559"/>
    <cellStyle name="Hyperlink 2323" xfId="1560"/>
    <cellStyle name="Hyperlink 2324" xfId="1561"/>
    <cellStyle name="Hyperlink 2325" xfId="1562"/>
    <cellStyle name="Hyperlink 2326" xfId="1563"/>
    <cellStyle name="Hyperlink 2327" xfId="1564"/>
    <cellStyle name="Hyperlink 2328" xfId="1565"/>
    <cellStyle name="Hyperlink 2329" xfId="1566"/>
    <cellStyle name="Hyperlink 233" xfId="1567"/>
    <cellStyle name="Hyperlink 2330" xfId="1568"/>
    <cellStyle name="Hyperlink 2331" xfId="1569"/>
    <cellStyle name="Hyperlink 2332" xfId="1570"/>
    <cellStyle name="Hyperlink 2333" xfId="1571"/>
    <cellStyle name="Hyperlink 2334" xfId="1572"/>
    <cellStyle name="Hyperlink 2335" xfId="1573"/>
    <cellStyle name="Hyperlink 2336" xfId="1574"/>
    <cellStyle name="Hyperlink 2337" xfId="1575"/>
    <cellStyle name="Hyperlink 2338" xfId="1576"/>
    <cellStyle name="Hyperlink 2339" xfId="1577"/>
    <cellStyle name="Hyperlink 234" xfId="1578"/>
    <cellStyle name="Hyperlink 2340" xfId="1579"/>
    <cellStyle name="Hyperlink 2341" xfId="1580"/>
    <cellStyle name="Hyperlink 2342" xfId="1581"/>
    <cellStyle name="Hyperlink 2343" xfId="1582"/>
    <cellStyle name="Hyperlink 2344" xfId="1583"/>
    <cellStyle name="Hyperlink 2345" xfId="1584"/>
    <cellStyle name="Hyperlink 2346" xfId="1585"/>
    <cellStyle name="Hyperlink 2347" xfId="1586"/>
    <cellStyle name="Hyperlink 2348" xfId="1587"/>
    <cellStyle name="Hyperlink 2349" xfId="1588"/>
    <cellStyle name="Hyperlink 235" xfId="1589"/>
    <cellStyle name="Hyperlink 2350" xfId="1590"/>
    <cellStyle name="Hyperlink 2351" xfId="1591"/>
    <cellStyle name="Hyperlink 2352" xfId="1592"/>
    <cellStyle name="Hyperlink 2353" xfId="1593"/>
    <cellStyle name="Hyperlink 2354" xfId="1594"/>
    <cellStyle name="Hyperlink 2355" xfId="1595"/>
    <cellStyle name="Hyperlink 2356" xfId="1596"/>
    <cellStyle name="Hyperlink 2357" xfId="1597"/>
    <cellStyle name="Hyperlink 2358" xfId="1598"/>
    <cellStyle name="Hyperlink 2359" xfId="1599"/>
    <cellStyle name="Hyperlink 236" xfId="1600"/>
    <cellStyle name="Hyperlink 2360" xfId="1601"/>
    <cellStyle name="Hyperlink 2361" xfId="1602"/>
    <cellStyle name="Hyperlink 2362" xfId="1603"/>
    <cellStyle name="Hyperlink 2363" xfId="1604"/>
    <cellStyle name="Hyperlink 2364" xfId="1605"/>
    <cellStyle name="Hyperlink 2365" xfId="1606"/>
    <cellStyle name="Hyperlink 2366" xfId="1607"/>
    <cellStyle name="Hyperlink 2367" xfId="1608"/>
    <cellStyle name="Hyperlink 2368" xfId="1609"/>
    <cellStyle name="Hyperlink 2369" xfId="1610"/>
    <cellStyle name="Hyperlink 237" xfId="1611"/>
    <cellStyle name="Hyperlink 2370" xfId="1612"/>
    <cellStyle name="Hyperlink 2371" xfId="1613"/>
    <cellStyle name="Hyperlink 2372" xfId="1614"/>
    <cellStyle name="Hyperlink 2373" xfId="1615"/>
    <cellStyle name="Hyperlink 2374" xfId="1616"/>
    <cellStyle name="Hyperlink 2375" xfId="1617"/>
    <cellStyle name="Hyperlink 2376" xfId="1618"/>
    <cellStyle name="Hyperlink 2377" xfId="1619"/>
    <cellStyle name="Hyperlink 2378" xfId="1620"/>
    <cellStyle name="Hyperlink 2379" xfId="1621"/>
    <cellStyle name="Hyperlink 238" xfId="1622"/>
    <cellStyle name="Hyperlink 2380" xfId="1623"/>
    <cellStyle name="Hyperlink 2381" xfId="1624"/>
    <cellStyle name="Hyperlink 2382" xfId="1625"/>
    <cellStyle name="Hyperlink 2383" xfId="1626"/>
    <cellStyle name="Hyperlink 2384" xfId="1627"/>
    <cellStyle name="Hyperlink 2385" xfId="1628"/>
    <cellStyle name="Hyperlink 2386" xfId="1629"/>
    <cellStyle name="Hyperlink 2387" xfId="1630"/>
    <cellStyle name="Hyperlink 2388" xfId="1631"/>
    <cellStyle name="Hyperlink 2389" xfId="1632"/>
    <cellStyle name="Hyperlink 239" xfId="1633"/>
    <cellStyle name="Hyperlink 2390" xfId="1634"/>
    <cellStyle name="Hyperlink 2391" xfId="1635"/>
    <cellStyle name="Hyperlink 2392" xfId="1636"/>
    <cellStyle name="Hyperlink 2393" xfId="1637"/>
    <cellStyle name="Hyperlink 2394" xfId="1638"/>
    <cellStyle name="Hyperlink 2395" xfId="1639"/>
    <cellStyle name="Hyperlink 2396" xfId="1640"/>
    <cellStyle name="Hyperlink 2397" xfId="1641"/>
    <cellStyle name="Hyperlink 2398" xfId="1642"/>
    <cellStyle name="Hyperlink 2399" xfId="1643"/>
    <cellStyle name="Hyperlink 24" xfId="1644"/>
    <cellStyle name="Hyperlink 240" xfId="1645"/>
    <cellStyle name="Hyperlink 2400" xfId="1646"/>
    <cellStyle name="Hyperlink 2401" xfId="1647"/>
    <cellStyle name="Hyperlink 2402" xfId="1648"/>
    <cellStyle name="Hyperlink 2403" xfId="1649"/>
    <cellStyle name="Hyperlink 2404" xfId="1650"/>
    <cellStyle name="Hyperlink 2405" xfId="1651"/>
    <cellStyle name="Hyperlink 2406" xfId="1652"/>
    <cellStyle name="Hyperlink 2407" xfId="1653"/>
    <cellStyle name="Hyperlink 2408" xfId="1654"/>
    <cellStyle name="Hyperlink 2409" xfId="1655"/>
    <cellStyle name="Hyperlink 241" xfId="1656"/>
    <cellStyle name="Hyperlink 2410" xfId="1657"/>
    <cellStyle name="Hyperlink 2411" xfId="1658"/>
    <cellStyle name="Hyperlink 2412" xfId="1659"/>
    <cellStyle name="Hyperlink 2413" xfId="1660"/>
    <cellStyle name="Hyperlink 2414" xfId="1661"/>
    <cellStyle name="Hyperlink 2415" xfId="1662"/>
    <cellStyle name="Hyperlink 2416" xfId="1663"/>
    <cellStyle name="Hyperlink 2417" xfId="1664"/>
    <cellStyle name="Hyperlink 2418" xfId="1665"/>
    <cellStyle name="Hyperlink 2419" xfId="1666"/>
    <cellStyle name="Hyperlink 242" xfId="1667"/>
    <cellStyle name="Hyperlink 2420" xfId="1668"/>
    <cellStyle name="Hyperlink 2421" xfId="1669"/>
    <cellStyle name="Hyperlink 2422" xfId="1670"/>
    <cellStyle name="Hyperlink 2423" xfId="1671"/>
    <cellStyle name="Hyperlink 2424" xfId="1672"/>
    <cellStyle name="Hyperlink 2425" xfId="1673"/>
    <cellStyle name="Hyperlink 2426" xfId="1674"/>
    <cellStyle name="Hyperlink 2427" xfId="1675"/>
    <cellStyle name="Hyperlink 2428" xfId="1676"/>
    <cellStyle name="Hyperlink 2429" xfId="1677"/>
    <cellStyle name="Hyperlink 243" xfId="1678"/>
    <cellStyle name="Hyperlink 2430" xfId="1679"/>
    <cellStyle name="Hyperlink 2431" xfId="1680"/>
    <cellStyle name="Hyperlink 2432" xfId="1681"/>
    <cellStyle name="Hyperlink 2433" xfId="1682"/>
    <cellStyle name="Hyperlink 2434" xfId="1683"/>
    <cellStyle name="Hyperlink 2435" xfId="1684"/>
    <cellStyle name="Hyperlink 2436" xfId="1685"/>
    <cellStyle name="Hyperlink 2437" xfId="1686"/>
    <cellStyle name="Hyperlink 2438" xfId="1687"/>
    <cellStyle name="Hyperlink 2439" xfId="1688"/>
    <cellStyle name="Hyperlink 244" xfId="1689"/>
    <cellStyle name="Hyperlink 2440" xfId="1690"/>
    <cellStyle name="Hyperlink 2441" xfId="1691"/>
    <cellStyle name="Hyperlink 2442" xfId="1692"/>
    <cellStyle name="Hyperlink 2443" xfId="1693"/>
    <cellStyle name="Hyperlink 2444" xfId="1694"/>
    <cellStyle name="Hyperlink 2445" xfId="1695"/>
    <cellStyle name="Hyperlink 2446" xfId="1696"/>
    <cellStyle name="Hyperlink 2447" xfId="1697"/>
    <cellStyle name="Hyperlink 2448" xfId="1698"/>
    <cellStyle name="Hyperlink 2449" xfId="1699"/>
    <cellStyle name="Hyperlink 245" xfId="1700"/>
    <cellStyle name="Hyperlink 2450" xfId="1701"/>
    <cellStyle name="Hyperlink 2451" xfId="1702"/>
    <cellStyle name="Hyperlink 2452" xfId="1703"/>
    <cellStyle name="Hyperlink 2453" xfId="1704"/>
    <cellStyle name="Hyperlink 2454" xfId="1705"/>
    <cellStyle name="Hyperlink 2455" xfId="1706"/>
    <cellStyle name="Hyperlink 2456" xfId="1707"/>
    <cellStyle name="Hyperlink 2457" xfId="1708"/>
    <cellStyle name="Hyperlink 2458" xfId="1709"/>
    <cellStyle name="Hyperlink 2459" xfId="1710"/>
    <cellStyle name="Hyperlink 246" xfId="1711"/>
    <cellStyle name="Hyperlink 2460" xfId="1712"/>
    <cellStyle name="Hyperlink 2461" xfId="1713"/>
    <cellStyle name="Hyperlink 2462" xfId="1714"/>
    <cellStyle name="Hyperlink 2463" xfId="1715"/>
    <cellStyle name="Hyperlink 2464" xfId="1716"/>
    <cellStyle name="Hyperlink 2465" xfId="1717"/>
    <cellStyle name="Hyperlink 2466" xfId="1718"/>
    <cellStyle name="Hyperlink 2467" xfId="1719"/>
    <cellStyle name="Hyperlink 2468" xfId="1720"/>
    <cellStyle name="Hyperlink 2469" xfId="1721"/>
    <cellStyle name="Hyperlink 247" xfId="1722"/>
    <cellStyle name="Hyperlink 2470" xfId="1723"/>
    <cellStyle name="Hyperlink 2471" xfId="1724"/>
    <cellStyle name="Hyperlink 2472" xfId="1725"/>
    <cellStyle name="Hyperlink 2473" xfId="1726"/>
    <cellStyle name="Hyperlink 2474" xfId="1727"/>
    <cellStyle name="Hyperlink 2475" xfId="1728"/>
    <cellStyle name="Hyperlink 2476" xfId="1729"/>
    <cellStyle name="Hyperlink 2477" xfId="1730"/>
    <cellStyle name="Hyperlink 2478" xfId="1731"/>
    <cellStyle name="Hyperlink 2479" xfId="1732"/>
    <cellStyle name="Hyperlink 248" xfId="1733"/>
    <cellStyle name="Hyperlink 2480" xfId="1734"/>
    <cellStyle name="Hyperlink 2481" xfId="1735"/>
    <cellStyle name="Hyperlink 2482" xfId="1736"/>
    <cellStyle name="Hyperlink 2483" xfId="1737"/>
    <cellStyle name="Hyperlink 2484" xfId="1738"/>
    <cellStyle name="Hyperlink 2485" xfId="1739"/>
    <cellStyle name="Hyperlink 2486" xfId="1740"/>
    <cellStyle name="Hyperlink 2487" xfId="1741"/>
    <cellStyle name="Hyperlink 2488" xfId="1742"/>
    <cellStyle name="Hyperlink 2489" xfId="1743"/>
    <cellStyle name="Hyperlink 249" xfId="1744"/>
    <cellStyle name="Hyperlink 2490" xfId="1745"/>
    <cellStyle name="Hyperlink 2491" xfId="1746"/>
    <cellStyle name="Hyperlink 2492" xfId="1747"/>
    <cellStyle name="Hyperlink 2493" xfId="1748"/>
    <cellStyle name="Hyperlink 2494" xfId="1749"/>
    <cellStyle name="Hyperlink 2495" xfId="1750"/>
    <cellStyle name="Hyperlink 2496" xfId="1751"/>
    <cellStyle name="Hyperlink 2497" xfId="1752"/>
    <cellStyle name="Hyperlink 2498" xfId="1753"/>
    <cellStyle name="Hyperlink 2499" xfId="1754"/>
    <cellStyle name="Hyperlink 25" xfId="1755"/>
    <cellStyle name="Hyperlink 250" xfId="1756"/>
    <cellStyle name="Hyperlink 2500" xfId="1757"/>
    <cellStyle name="Hyperlink 2501" xfId="1758"/>
    <cellStyle name="Hyperlink 2502" xfId="1759"/>
    <cellStyle name="Hyperlink 2503" xfId="1760"/>
    <cellStyle name="Hyperlink 2504" xfId="1761"/>
    <cellStyle name="Hyperlink 2505" xfId="1762"/>
    <cellStyle name="Hyperlink 2506" xfId="1763"/>
    <cellStyle name="Hyperlink 2507" xfId="1764"/>
    <cellStyle name="Hyperlink 2508" xfId="1765"/>
    <cellStyle name="Hyperlink 2509" xfId="1766"/>
    <cellStyle name="Hyperlink 251" xfId="1767"/>
    <cellStyle name="Hyperlink 2510" xfId="1768"/>
    <cellStyle name="Hyperlink 2511" xfId="1769"/>
    <cellStyle name="Hyperlink 2512" xfId="1770"/>
    <cellStyle name="Hyperlink 2513" xfId="1771"/>
    <cellStyle name="Hyperlink 2514" xfId="1772"/>
    <cellStyle name="Hyperlink 2515" xfId="1773"/>
    <cellStyle name="Hyperlink 2516" xfId="1774"/>
    <cellStyle name="Hyperlink 2517" xfId="1775"/>
    <cellStyle name="Hyperlink 2518" xfId="1776"/>
    <cellStyle name="Hyperlink 2519" xfId="1777"/>
    <cellStyle name="Hyperlink 252" xfId="1778"/>
    <cellStyle name="Hyperlink 2520" xfId="1779"/>
    <cellStyle name="Hyperlink 2521" xfId="1780"/>
    <cellStyle name="Hyperlink 2522" xfId="1781"/>
    <cellStyle name="Hyperlink 2523" xfId="1782"/>
    <cellStyle name="Hyperlink 2524" xfId="1783"/>
    <cellStyle name="Hyperlink 2525" xfId="1784"/>
    <cellStyle name="Hyperlink 2526" xfId="1785"/>
    <cellStyle name="Hyperlink 2527" xfId="1786"/>
    <cellStyle name="Hyperlink 2528" xfId="1787"/>
    <cellStyle name="Hyperlink 2529" xfId="1788"/>
    <cellStyle name="Hyperlink 253" xfId="1789"/>
    <cellStyle name="Hyperlink 2530" xfId="1790"/>
    <cellStyle name="Hyperlink 2531" xfId="1791"/>
    <cellStyle name="Hyperlink 2532" xfId="1792"/>
    <cellStyle name="Hyperlink 2533" xfId="1793"/>
    <cellStyle name="Hyperlink 2534" xfId="1794"/>
    <cellStyle name="Hyperlink 2535" xfId="1795"/>
    <cellStyle name="Hyperlink 2536" xfId="1796"/>
    <cellStyle name="Hyperlink 2537" xfId="1797"/>
    <cellStyle name="Hyperlink 2538" xfId="1798"/>
    <cellStyle name="Hyperlink 2539" xfId="1799"/>
    <cellStyle name="Hyperlink 254" xfId="1800"/>
    <cellStyle name="Hyperlink 2540" xfId="1801"/>
    <cellStyle name="Hyperlink 2541" xfId="1802"/>
    <cellStyle name="Hyperlink 2542" xfId="1803"/>
    <cellStyle name="Hyperlink 2543" xfId="1804"/>
    <cellStyle name="Hyperlink 2544" xfId="1805"/>
    <cellStyle name="Hyperlink 2545" xfId="1806"/>
    <cellStyle name="Hyperlink 2546" xfId="1807"/>
    <cellStyle name="Hyperlink 2547" xfId="1808"/>
    <cellStyle name="Hyperlink 2548" xfId="1809"/>
    <cellStyle name="Hyperlink 2549" xfId="1810"/>
    <cellStyle name="Hyperlink 255" xfId="1811"/>
    <cellStyle name="Hyperlink 2550" xfId="1812"/>
    <cellStyle name="Hyperlink 2551" xfId="1813"/>
    <cellStyle name="Hyperlink 2552" xfId="1814"/>
    <cellStyle name="Hyperlink 2553" xfId="1815"/>
    <cellStyle name="Hyperlink 2554" xfId="1816"/>
    <cellStyle name="Hyperlink 2555" xfId="1817"/>
    <cellStyle name="Hyperlink 2556" xfId="1818"/>
    <cellStyle name="Hyperlink 2557" xfId="1819"/>
    <cellStyle name="Hyperlink 2558" xfId="1820"/>
    <cellStyle name="Hyperlink 2559" xfId="1821"/>
    <cellStyle name="Hyperlink 256" xfId="1822"/>
    <cellStyle name="Hyperlink 2560" xfId="1823"/>
    <cellStyle name="Hyperlink 2561" xfId="1824"/>
    <cellStyle name="Hyperlink 2562" xfId="1825"/>
    <cellStyle name="Hyperlink 2563" xfId="1826"/>
    <cellStyle name="Hyperlink 2564" xfId="1827"/>
    <cellStyle name="Hyperlink 2565" xfId="1828"/>
    <cellStyle name="Hyperlink 2566" xfId="1829"/>
    <cellStyle name="Hyperlink 2567" xfId="1830"/>
    <cellStyle name="Hyperlink 2568" xfId="1831"/>
    <cellStyle name="Hyperlink 2569" xfId="1832"/>
    <cellStyle name="Hyperlink 257" xfId="1833"/>
    <cellStyle name="Hyperlink 2570" xfId="1834"/>
    <cellStyle name="Hyperlink 2571" xfId="1835"/>
    <cellStyle name="Hyperlink 2572" xfId="1836"/>
    <cellStyle name="Hyperlink 2573" xfId="1837"/>
    <cellStyle name="Hyperlink 2574" xfId="1838"/>
    <cellStyle name="Hyperlink 2575" xfId="1839"/>
    <cellStyle name="Hyperlink 2576" xfId="1840"/>
    <cellStyle name="Hyperlink 2577" xfId="1841"/>
    <cellStyle name="Hyperlink 2578" xfId="1842"/>
    <cellStyle name="Hyperlink 2579" xfId="1843"/>
    <cellStyle name="Hyperlink 258" xfId="1844"/>
    <cellStyle name="Hyperlink 2580" xfId="1845"/>
    <cellStyle name="Hyperlink 2581" xfId="1846"/>
    <cellStyle name="Hyperlink 2582" xfId="1847"/>
    <cellStyle name="Hyperlink 2583" xfId="1848"/>
    <cellStyle name="Hyperlink 2584" xfId="1849"/>
    <cellStyle name="Hyperlink 2585" xfId="1850"/>
    <cellStyle name="Hyperlink 2586" xfId="1851"/>
    <cellStyle name="Hyperlink 2587" xfId="1852"/>
    <cellStyle name="Hyperlink 2588" xfId="1853"/>
    <cellStyle name="Hyperlink 2589" xfId="1854"/>
    <cellStyle name="Hyperlink 259" xfId="1855"/>
    <cellStyle name="Hyperlink 2590" xfId="1856"/>
    <cellStyle name="Hyperlink 2591" xfId="1857"/>
    <cellStyle name="Hyperlink 2592" xfId="1858"/>
    <cellStyle name="Hyperlink 2593" xfId="1859"/>
    <cellStyle name="Hyperlink 2594" xfId="1860"/>
    <cellStyle name="Hyperlink 2595" xfId="1861"/>
    <cellStyle name="Hyperlink 2596" xfId="1862"/>
    <cellStyle name="Hyperlink 2597" xfId="1863"/>
    <cellStyle name="Hyperlink 2598" xfId="1864"/>
    <cellStyle name="Hyperlink 2599" xfId="1865"/>
    <cellStyle name="Hyperlink 26" xfId="1866"/>
    <cellStyle name="Hyperlink 260" xfId="1867"/>
    <cellStyle name="Hyperlink 2600" xfId="1868"/>
    <cellStyle name="Hyperlink 2601" xfId="1869"/>
    <cellStyle name="Hyperlink 2602" xfId="1870"/>
    <cellStyle name="Hyperlink 2603" xfId="1871"/>
    <cellStyle name="Hyperlink 2604" xfId="1872"/>
    <cellStyle name="Hyperlink 2605" xfId="1873"/>
    <cellStyle name="Hyperlink 2606" xfId="1874"/>
    <cellStyle name="Hyperlink 2607" xfId="1875"/>
    <cellStyle name="Hyperlink 2608" xfId="1876"/>
    <cellStyle name="Hyperlink 2609" xfId="1877"/>
    <cellStyle name="Hyperlink 261" xfId="1878"/>
    <cellStyle name="Hyperlink 2610" xfId="1879"/>
    <cellStyle name="Hyperlink 2611" xfId="1880"/>
    <cellStyle name="Hyperlink 2612" xfId="1881"/>
    <cellStyle name="Hyperlink 2613" xfId="1882"/>
    <cellStyle name="Hyperlink 2614" xfId="1883"/>
    <cellStyle name="Hyperlink 2615" xfId="1884"/>
    <cellStyle name="Hyperlink 2616" xfId="1885"/>
    <cellStyle name="Hyperlink 2617" xfId="1886"/>
    <cellStyle name="Hyperlink 2618" xfId="1887"/>
    <cellStyle name="Hyperlink 2619" xfId="1888"/>
    <cellStyle name="Hyperlink 262" xfId="1889"/>
    <cellStyle name="Hyperlink 2620" xfId="1890"/>
    <cellStyle name="Hyperlink 2621" xfId="1891"/>
    <cellStyle name="Hyperlink 2622" xfId="1892"/>
    <cellStyle name="Hyperlink 2623" xfId="1893"/>
    <cellStyle name="Hyperlink 2624" xfId="1894"/>
    <cellStyle name="Hyperlink 2625" xfId="1895"/>
    <cellStyle name="Hyperlink 2626" xfId="1896"/>
    <cellStyle name="Hyperlink 2627" xfId="1897"/>
    <cellStyle name="Hyperlink 2628" xfId="1898"/>
    <cellStyle name="Hyperlink 2629" xfId="1899"/>
    <cellStyle name="Hyperlink 263" xfId="1900"/>
    <cellStyle name="Hyperlink 2630" xfId="1901"/>
    <cellStyle name="Hyperlink 2631" xfId="1902"/>
    <cellStyle name="Hyperlink 2632" xfId="1903"/>
    <cellStyle name="Hyperlink 2633" xfId="1904"/>
    <cellStyle name="Hyperlink 2634" xfId="1905"/>
    <cellStyle name="Hyperlink 2635" xfId="1906"/>
    <cellStyle name="Hyperlink 2636" xfId="1907"/>
    <cellStyle name="Hyperlink 2637" xfId="1908"/>
    <cellStyle name="Hyperlink 2638" xfId="1909"/>
    <cellStyle name="Hyperlink 2639" xfId="1910"/>
    <cellStyle name="Hyperlink 264" xfId="1911"/>
    <cellStyle name="Hyperlink 2640" xfId="1912"/>
    <cellStyle name="Hyperlink 2641" xfId="1913"/>
    <cellStyle name="Hyperlink 2642" xfId="1914"/>
    <cellStyle name="Hyperlink 2643" xfId="1915"/>
    <cellStyle name="Hyperlink 2644" xfId="1916"/>
    <cellStyle name="Hyperlink 2645" xfId="1917"/>
    <cellStyle name="Hyperlink 2646" xfId="1918"/>
    <cellStyle name="Hyperlink 2647" xfId="1919"/>
    <cellStyle name="Hyperlink 2648" xfId="1920"/>
    <cellStyle name="Hyperlink 2649" xfId="1921"/>
    <cellStyle name="Hyperlink 265" xfId="1922"/>
    <cellStyle name="Hyperlink 2650" xfId="1923"/>
    <cellStyle name="Hyperlink 2651" xfId="1924"/>
    <cellStyle name="Hyperlink 2652" xfId="1925"/>
    <cellStyle name="Hyperlink 2653" xfId="1926"/>
    <cellStyle name="Hyperlink 2654" xfId="1927"/>
    <cellStyle name="Hyperlink 2655" xfId="1928"/>
    <cellStyle name="Hyperlink 2656" xfId="1929"/>
    <cellStyle name="Hyperlink 2657" xfId="1930"/>
    <cellStyle name="Hyperlink 2658" xfId="1931"/>
    <cellStyle name="Hyperlink 2659" xfId="1932"/>
    <cellStyle name="Hyperlink 266" xfId="1933"/>
    <cellStyle name="Hyperlink 2660" xfId="1934"/>
    <cellStyle name="Hyperlink 2661" xfId="1935"/>
    <cellStyle name="Hyperlink 2662" xfId="1936"/>
    <cellStyle name="Hyperlink 2663" xfId="1937"/>
    <cellStyle name="Hyperlink 2664" xfId="1938"/>
    <cellStyle name="Hyperlink 2665" xfId="1939"/>
    <cellStyle name="Hyperlink 2666" xfId="1940"/>
    <cellStyle name="Hyperlink 2667" xfId="1941"/>
    <cellStyle name="Hyperlink 2668" xfId="1942"/>
    <cellStyle name="Hyperlink 2669" xfId="1943"/>
    <cellStyle name="Hyperlink 267" xfId="1944"/>
    <cellStyle name="Hyperlink 2670" xfId="1945"/>
    <cellStyle name="Hyperlink 2671" xfId="1946"/>
    <cellStyle name="Hyperlink 2672" xfId="1947"/>
    <cellStyle name="Hyperlink 2673" xfId="1948"/>
    <cellStyle name="Hyperlink 2674" xfId="1949"/>
    <cellStyle name="Hyperlink 2675" xfId="1950"/>
    <cellStyle name="Hyperlink 2676" xfId="1951"/>
    <cellStyle name="Hyperlink 2677" xfId="1952"/>
    <cellStyle name="Hyperlink 2678" xfId="1953"/>
    <cellStyle name="Hyperlink 2679" xfId="1954"/>
    <cellStyle name="Hyperlink 268" xfId="1955"/>
    <cellStyle name="Hyperlink 2680" xfId="1956"/>
    <cellStyle name="Hyperlink 2681" xfId="1957"/>
    <cellStyle name="Hyperlink 2682" xfId="1958"/>
    <cellStyle name="Hyperlink 2683" xfId="1959"/>
    <cellStyle name="Hyperlink 2684" xfId="1960"/>
    <cellStyle name="Hyperlink 2685" xfId="1961"/>
    <cellStyle name="Hyperlink 2686" xfId="1962"/>
    <cellStyle name="Hyperlink 2687" xfId="1963"/>
    <cellStyle name="Hyperlink 2688" xfId="1964"/>
    <cellStyle name="Hyperlink 2689" xfId="1965"/>
    <cellStyle name="Hyperlink 269" xfId="1966"/>
    <cellStyle name="Hyperlink 2690" xfId="1967"/>
    <cellStyle name="Hyperlink 2691" xfId="1968"/>
    <cellStyle name="Hyperlink 2692" xfId="1969"/>
    <cellStyle name="Hyperlink 2693" xfId="1970"/>
    <cellStyle name="Hyperlink 2694" xfId="1971"/>
    <cellStyle name="Hyperlink 2695" xfId="1972"/>
    <cellStyle name="Hyperlink 2696" xfId="1973"/>
    <cellStyle name="Hyperlink 2697" xfId="1974"/>
    <cellStyle name="Hyperlink 2698" xfId="1975"/>
    <cellStyle name="Hyperlink 2699" xfId="1976"/>
    <cellStyle name="Hyperlink 27" xfId="1977"/>
    <cellStyle name="Hyperlink 270" xfId="1978"/>
    <cellStyle name="Hyperlink 2700" xfId="1979"/>
    <cellStyle name="Hyperlink 2701" xfId="1980"/>
    <cellStyle name="Hyperlink 2702" xfId="1981"/>
    <cellStyle name="Hyperlink 2703" xfId="1982"/>
    <cellStyle name="Hyperlink 2704" xfId="1983"/>
    <cellStyle name="Hyperlink 2705" xfId="1984"/>
    <cellStyle name="Hyperlink 2706" xfId="1985"/>
    <cellStyle name="Hyperlink 2707" xfId="1986"/>
    <cellStyle name="Hyperlink 2708" xfId="1987"/>
    <cellStyle name="Hyperlink 2709" xfId="1988"/>
    <cellStyle name="Hyperlink 271" xfId="1989"/>
    <cellStyle name="Hyperlink 2710" xfId="1990"/>
    <cellStyle name="Hyperlink 2711" xfId="1991"/>
    <cellStyle name="Hyperlink 2712" xfId="1992"/>
    <cellStyle name="Hyperlink 2713" xfId="1993"/>
    <cellStyle name="Hyperlink 2714" xfId="1994"/>
    <cellStyle name="Hyperlink 2715" xfId="1995"/>
    <cellStyle name="Hyperlink 2716" xfId="1996"/>
    <cellStyle name="Hyperlink 2717" xfId="1997"/>
    <cellStyle name="Hyperlink 2718" xfId="1998"/>
    <cellStyle name="Hyperlink 2719" xfId="1999"/>
    <cellStyle name="Hyperlink 272" xfId="2000"/>
    <cellStyle name="Hyperlink 2720" xfId="2001"/>
    <cellStyle name="Hyperlink 2721" xfId="2002"/>
    <cellStyle name="Hyperlink 2722" xfId="2003"/>
    <cellStyle name="Hyperlink 2723" xfId="2004"/>
    <cellStyle name="Hyperlink 2724" xfId="2005"/>
    <cellStyle name="Hyperlink 2725" xfId="2006"/>
    <cellStyle name="Hyperlink 2726" xfId="2007"/>
    <cellStyle name="Hyperlink 2727" xfId="2008"/>
    <cellStyle name="Hyperlink 2728" xfId="2009"/>
    <cellStyle name="Hyperlink 2729" xfId="2010"/>
    <cellStyle name="Hyperlink 273" xfId="2011"/>
    <cellStyle name="Hyperlink 2730" xfId="2012"/>
    <cellStyle name="Hyperlink 2731" xfId="2013"/>
    <cellStyle name="Hyperlink 2732" xfId="2014"/>
    <cellStyle name="Hyperlink 2733" xfId="2015"/>
    <cellStyle name="Hyperlink 2734" xfId="2016"/>
    <cellStyle name="Hyperlink 2735" xfId="2017"/>
    <cellStyle name="Hyperlink 2736" xfId="2018"/>
    <cellStyle name="Hyperlink 2737" xfId="2019"/>
    <cellStyle name="Hyperlink 2738" xfId="2020"/>
    <cellStyle name="Hyperlink 2739" xfId="2021"/>
    <cellStyle name="Hyperlink 274" xfId="2022"/>
    <cellStyle name="Hyperlink 2740" xfId="2023"/>
    <cellStyle name="Hyperlink 2741" xfId="2024"/>
    <cellStyle name="Hyperlink 2742" xfId="2025"/>
    <cellStyle name="Hyperlink 2743" xfId="2026"/>
    <cellStyle name="Hyperlink 2744" xfId="2027"/>
    <cellStyle name="Hyperlink 2745" xfId="2028"/>
    <cellStyle name="Hyperlink 2746" xfId="2029"/>
    <cellStyle name="Hyperlink 2747" xfId="2030"/>
    <cellStyle name="Hyperlink 2748" xfId="2031"/>
    <cellStyle name="Hyperlink 2749" xfId="2032"/>
    <cellStyle name="Hyperlink 275" xfId="2033"/>
    <cellStyle name="Hyperlink 2750" xfId="2034"/>
    <cellStyle name="Hyperlink 2751" xfId="2035"/>
    <cellStyle name="Hyperlink 2752" xfId="2036"/>
    <cellStyle name="Hyperlink 2753" xfId="2037"/>
    <cellStyle name="Hyperlink 2754" xfId="2038"/>
    <cellStyle name="Hyperlink 2755" xfId="2039"/>
    <cellStyle name="Hyperlink 2756" xfId="2040"/>
    <cellStyle name="Hyperlink 2757" xfId="2041"/>
    <cellStyle name="Hyperlink 2758" xfId="2042"/>
    <cellStyle name="Hyperlink 2759" xfId="2043"/>
    <cellStyle name="Hyperlink 276" xfId="2044"/>
    <cellStyle name="Hyperlink 2760" xfId="2045"/>
    <cellStyle name="Hyperlink 2761" xfId="2046"/>
    <cellStyle name="Hyperlink 2762" xfId="2047"/>
    <cellStyle name="Hyperlink 2763" xfId="2048"/>
    <cellStyle name="Hyperlink 2764" xfId="2049"/>
    <cellStyle name="Hyperlink 2765" xfId="2050"/>
    <cellStyle name="Hyperlink 2766" xfId="2051"/>
    <cellStyle name="Hyperlink 2767" xfId="2052"/>
    <cellStyle name="Hyperlink 2768" xfId="2053"/>
    <cellStyle name="Hyperlink 2769" xfId="2054"/>
    <cellStyle name="Hyperlink 277" xfId="2055"/>
    <cellStyle name="Hyperlink 2770" xfId="2056"/>
    <cellStyle name="Hyperlink 2771" xfId="2057"/>
    <cellStyle name="Hyperlink 2772" xfId="2058"/>
    <cellStyle name="Hyperlink 2773" xfId="2059"/>
    <cellStyle name="Hyperlink 2774" xfId="2060"/>
    <cellStyle name="Hyperlink 2775" xfId="2061"/>
    <cellStyle name="Hyperlink 2776" xfId="2062"/>
    <cellStyle name="Hyperlink 2777" xfId="2063"/>
    <cellStyle name="Hyperlink 2778" xfId="2064"/>
    <cellStyle name="Hyperlink 2779" xfId="2065"/>
    <cellStyle name="Hyperlink 278" xfId="2066"/>
    <cellStyle name="Hyperlink 2780" xfId="2067"/>
    <cellStyle name="Hyperlink 2781" xfId="2068"/>
    <cellStyle name="Hyperlink 2782" xfId="2069"/>
    <cellStyle name="Hyperlink 2783" xfId="2070"/>
    <cellStyle name="Hyperlink 2784" xfId="2071"/>
    <cellStyle name="Hyperlink 2785" xfId="2072"/>
    <cellStyle name="Hyperlink 2786" xfId="2073"/>
    <cellStyle name="Hyperlink 2787" xfId="2074"/>
    <cellStyle name="Hyperlink 2788" xfId="2075"/>
    <cellStyle name="Hyperlink 2789" xfId="2076"/>
    <cellStyle name="Hyperlink 279" xfId="2077"/>
    <cellStyle name="Hyperlink 2790" xfId="2078"/>
    <cellStyle name="Hyperlink 2791" xfId="2079"/>
    <cellStyle name="Hyperlink 2792" xfId="2080"/>
    <cellStyle name="Hyperlink 2793" xfId="2081"/>
    <cellStyle name="Hyperlink 2794" xfId="2082"/>
    <cellStyle name="Hyperlink 2795" xfId="2083"/>
    <cellStyle name="Hyperlink 2796" xfId="2084"/>
    <cellStyle name="Hyperlink 2797" xfId="2085"/>
    <cellStyle name="Hyperlink 2798" xfId="2086"/>
    <cellStyle name="Hyperlink 2799" xfId="2087"/>
    <cellStyle name="Hyperlink 28" xfId="2088"/>
    <cellStyle name="Hyperlink 280" xfId="2089"/>
    <cellStyle name="Hyperlink 2800" xfId="2090"/>
    <cellStyle name="Hyperlink 2801" xfId="2091"/>
    <cellStyle name="Hyperlink 2802" xfId="2092"/>
    <cellStyle name="Hyperlink 2803" xfId="2093"/>
    <cellStyle name="Hyperlink 2804" xfId="2094"/>
    <cellStyle name="Hyperlink 2805" xfId="2095"/>
    <cellStyle name="Hyperlink 2806" xfId="2096"/>
    <cellStyle name="Hyperlink 2807" xfId="2097"/>
    <cellStyle name="Hyperlink 2808" xfId="2098"/>
    <cellStyle name="Hyperlink 2809" xfId="2099"/>
    <cellStyle name="Hyperlink 281" xfId="2100"/>
    <cellStyle name="Hyperlink 2810" xfId="2101"/>
    <cellStyle name="Hyperlink 2811" xfId="2102"/>
    <cellStyle name="Hyperlink 2812" xfId="2103"/>
    <cellStyle name="Hyperlink 2813" xfId="2104"/>
    <cellStyle name="Hyperlink 2814" xfId="2105"/>
    <cellStyle name="Hyperlink 2815" xfId="2106"/>
    <cellStyle name="Hyperlink 2816" xfId="2107"/>
    <cellStyle name="Hyperlink 2817" xfId="2108"/>
    <cellStyle name="Hyperlink 2818" xfId="2109"/>
    <cellStyle name="Hyperlink 2819" xfId="2110"/>
    <cellStyle name="Hyperlink 282" xfId="2111"/>
    <cellStyle name="Hyperlink 2820" xfId="2112"/>
    <cellStyle name="Hyperlink 2821" xfId="2113"/>
    <cellStyle name="Hyperlink 2822" xfId="2114"/>
    <cellStyle name="Hyperlink 2823" xfId="2115"/>
    <cellStyle name="Hyperlink 2824" xfId="2116"/>
    <cellStyle name="Hyperlink 2825" xfId="2117"/>
    <cellStyle name="Hyperlink 2826" xfId="2118"/>
    <cellStyle name="Hyperlink 2827" xfId="2119"/>
    <cellStyle name="Hyperlink 2828" xfId="2120"/>
    <cellStyle name="Hyperlink 2829" xfId="2121"/>
    <cellStyle name="Hyperlink 283" xfId="2122"/>
    <cellStyle name="Hyperlink 2830" xfId="2123"/>
    <cellStyle name="Hyperlink 2831" xfId="2124"/>
    <cellStyle name="Hyperlink 2832" xfId="2125"/>
    <cellStyle name="Hyperlink 2833" xfId="2126"/>
    <cellStyle name="Hyperlink 2834" xfId="2127"/>
    <cellStyle name="Hyperlink 2835" xfId="2128"/>
    <cellStyle name="Hyperlink 2836" xfId="2129"/>
    <cellStyle name="Hyperlink 2837" xfId="2130"/>
    <cellStyle name="Hyperlink 2838" xfId="2131"/>
    <cellStyle name="Hyperlink 2839" xfId="2132"/>
    <cellStyle name="Hyperlink 284" xfId="2133"/>
    <cellStyle name="Hyperlink 2840" xfId="2134"/>
    <cellStyle name="Hyperlink 2841" xfId="2135"/>
    <cellStyle name="Hyperlink 2842" xfId="2136"/>
    <cellStyle name="Hyperlink 2843" xfId="2137"/>
    <cellStyle name="Hyperlink 2844" xfId="2138"/>
    <cellStyle name="Hyperlink 2845" xfId="2139"/>
    <cellStyle name="Hyperlink 2846" xfId="2140"/>
    <cellStyle name="Hyperlink 2847" xfId="2141"/>
    <cellStyle name="Hyperlink 2848" xfId="2142"/>
    <cellStyle name="Hyperlink 2849" xfId="2143"/>
    <cellStyle name="Hyperlink 285" xfId="2144"/>
    <cellStyle name="Hyperlink 2850" xfId="2145"/>
    <cellStyle name="Hyperlink 2851" xfId="2146"/>
    <cellStyle name="Hyperlink 2852" xfId="2147"/>
    <cellStyle name="Hyperlink 2853" xfId="2148"/>
    <cellStyle name="Hyperlink 2854" xfId="2149"/>
    <cellStyle name="Hyperlink 2855" xfId="2150"/>
    <cellStyle name="Hyperlink 2856" xfId="2151"/>
    <cellStyle name="Hyperlink 2857" xfId="2152"/>
    <cellStyle name="Hyperlink 2858" xfId="2153"/>
    <cellStyle name="Hyperlink 2859" xfId="2154"/>
    <cellStyle name="Hyperlink 286" xfId="2155"/>
    <cellStyle name="Hyperlink 2860" xfId="2156"/>
    <cellStyle name="Hyperlink 2861" xfId="2157"/>
    <cellStyle name="Hyperlink 2862" xfId="2158"/>
    <cellStyle name="Hyperlink 2863" xfId="2159"/>
    <cellStyle name="Hyperlink 2864" xfId="2160"/>
    <cellStyle name="Hyperlink 2865" xfId="2161"/>
    <cellStyle name="Hyperlink 2866" xfId="2162"/>
    <cellStyle name="Hyperlink 2867" xfId="2163"/>
    <cellStyle name="Hyperlink 2868" xfId="2164"/>
    <cellStyle name="Hyperlink 2869" xfId="2165"/>
    <cellStyle name="Hyperlink 287" xfId="2166"/>
    <cellStyle name="Hyperlink 2870" xfId="2167"/>
    <cellStyle name="Hyperlink 2871" xfId="2168"/>
    <cellStyle name="Hyperlink 2872" xfId="2169"/>
    <cellStyle name="Hyperlink 2873" xfId="2170"/>
    <cellStyle name="Hyperlink 2874" xfId="2171"/>
    <cellStyle name="Hyperlink 2875" xfId="2172"/>
    <cellStyle name="Hyperlink 2876" xfId="2173"/>
    <cellStyle name="Hyperlink 2877" xfId="2174"/>
    <cellStyle name="Hyperlink 2878" xfId="2175"/>
    <cellStyle name="Hyperlink 2879" xfId="2176"/>
    <cellStyle name="Hyperlink 288" xfId="2177"/>
    <cellStyle name="Hyperlink 2880" xfId="2178"/>
    <cellStyle name="Hyperlink 2881" xfId="2179"/>
    <cellStyle name="Hyperlink 2882" xfId="2180"/>
    <cellStyle name="Hyperlink 2883" xfId="2181"/>
    <cellStyle name="Hyperlink 2884" xfId="2182"/>
    <cellStyle name="Hyperlink 2885" xfId="2183"/>
    <cellStyle name="Hyperlink 2886" xfId="2184"/>
    <cellStyle name="Hyperlink 2887" xfId="2185"/>
    <cellStyle name="Hyperlink 2888" xfId="2186"/>
    <cellStyle name="Hyperlink 2889" xfId="2187"/>
    <cellStyle name="Hyperlink 289" xfId="2188"/>
    <cellStyle name="Hyperlink 2890" xfId="2189"/>
    <cellStyle name="Hyperlink 2891" xfId="2190"/>
    <cellStyle name="Hyperlink 2892" xfId="2191"/>
    <cellStyle name="Hyperlink 2893" xfId="2192"/>
    <cellStyle name="Hyperlink 2894" xfId="2193"/>
    <cellStyle name="Hyperlink 2895" xfId="2194"/>
    <cellStyle name="Hyperlink 2896" xfId="2195"/>
    <cellStyle name="Hyperlink 2897" xfId="2196"/>
    <cellStyle name="Hyperlink 2898" xfId="2197"/>
    <cellStyle name="Hyperlink 2899" xfId="2198"/>
    <cellStyle name="Hyperlink 29" xfId="2199"/>
    <cellStyle name="Hyperlink 290" xfId="2200"/>
    <cellStyle name="Hyperlink 2900" xfId="2201"/>
    <cellStyle name="Hyperlink 2901" xfId="2202"/>
    <cellStyle name="Hyperlink 2902" xfId="2203"/>
    <cellStyle name="Hyperlink 2903" xfId="2204"/>
    <cellStyle name="Hyperlink 2904" xfId="2205"/>
    <cellStyle name="Hyperlink 2905" xfId="2206"/>
    <cellStyle name="Hyperlink 2906" xfId="2207"/>
    <cellStyle name="Hyperlink 2907" xfId="2208"/>
    <cellStyle name="Hyperlink 2908" xfId="2209"/>
    <cellStyle name="Hyperlink 2909" xfId="2210"/>
    <cellStyle name="Hyperlink 291" xfId="2211"/>
    <cellStyle name="Hyperlink 2910" xfId="2212"/>
    <cellStyle name="Hyperlink 2911" xfId="2213"/>
    <cellStyle name="Hyperlink 2912" xfId="2214"/>
    <cellStyle name="Hyperlink 2913" xfId="2215"/>
    <cellStyle name="Hyperlink 2914" xfId="2216"/>
    <cellStyle name="Hyperlink 2915" xfId="2217"/>
    <cellStyle name="Hyperlink 2916" xfId="2218"/>
    <cellStyle name="Hyperlink 2917" xfId="2219"/>
    <cellStyle name="Hyperlink 2918" xfId="2220"/>
    <cellStyle name="Hyperlink 2919" xfId="2221"/>
    <cellStyle name="Hyperlink 292" xfId="2222"/>
    <cellStyle name="Hyperlink 2920" xfId="2223"/>
    <cellStyle name="Hyperlink 2921" xfId="2224"/>
    <cellStyle name="Hyperlink 2922" xfId="2225"/>
    <cellStyle name="Hyperlink 2923" xfId="2226"/>
    <cellStyle name="Hyperlink 2924" xfId="2227"/>
    <cellStyle name="Hyperlink 2925" xfId="2228"/>
    <cellStyle name="Hyperlink 2926" xfId="2229"/>
    <cellStyle name="Hyperlink 2927" xfId="2230"/>
    <cellStyle name="Hyperlink 2928" xfId="2231"/>
    <cellStyle name="Hyperlink 2929" xfId="2232"/>
    <cellStyle name="Hyperlink 293" xfId="2233"/>
    <cellStyle name="Hyperlink 2930" xfId="2234"/>
    <cellStyle name="Hyperlink 2931" xfId="2235"/>
    <cellStyle name="Hyperlink 2932" xfId="2236"/>
    <cellStyle name="Hyperlink 2933" xfId="2237"/>
    <cellStyle name="Hyperlink 2934" xfId="2238"/>
    <cellStyle name="Hyperlink 2935" xfId="2239"/>
    <cellStyle name="Hyperlink 2936" xfId="2240"/>
    <cellStyle name="Hyperlink 2937" xfId="2241"/>
    <cellStyle name="Hyperlink 2938" xfId="2242"/>
    <cellStyle name="Hyperlink 2939" xfId="2243"/>
    <cellStyle name="Hyperlink 294" xfId="2244"/>
    <cellStyle name="Hyperlink 2940" xfId="2245"/>
    <cellStyle name="Hyperlink 2941" xfId="2246"/>
    <cellStyle name="Hyperlink 2942" xfId="2247"/>
    <cellStyle name="Hyperlink 2943" xfId="2248"/>
    <cellStyle name="Hyperlink 2944" xfId="2249"/>
    <cellStyle name="Hyperlink 2945" xfId="2250"/>
    <cellStyle name="Hyperlink 2946" xfId="2251"/>
    <cellStyle name="Hyperlink 2947" xfId="2252"/>
    <cellStyle name="Hyperlink 2948" xfId="2253"/>
    <cellStyle name="Hyperlink 2949" xfId="2254"/>
    <cellStyle name="Hyperlink 295" xfId="2255"/>
    <cellStyle name="Hyperlink 2950" xfId="2256"/>
    <cellStyle name="Hyperlink 2951" xfId="2257"/>
    <cellStyle name="Hyperlink 2952" xfId="2258"/>
    <cellStyle name="Hyperlink 2953" xfId="2259"/>
    <cellStyle name="Hyperlink 2954" xfId="2260"/>
    <cellStyle name="Hyperlink 2955" xfId="2261"/>
    <cellStyle name="Hyperlink 2956" xfId="2262"/>
    <cellStyle name="Hyperlink 2957" xfId="2263"/>
    <cellStyle name="Hyperlink 2958" xfId="2264"/>
    <cellStyle name="Hyperlink 2959" xfId="2265"/>
    <cellStyle name="Hyperlink 296" xfId="2266"/>
    <cellStyle name="Hyperlink 2960" xfId="2267"/>
    <cellStyle name="Hyperlink 2961" xfId="2268"/>
    <cellStyle name="Hyperlink 2962" xfId="2269"/>
    <cellStyle name="Hyperlink 2963" xfId="2270"/>
    <cellStyle name="Hyperlink 2964" xfId="2271"/>
    <cellStyle name="Hyperlink 2965" xfId="2272"/>
    <cellStyle name="Hyperlink 2966" xfId="2273"/>
    <cellStyle name="Hyperlink 2967" xfId="2274"/>
    <cellStyle name="Hyperlink 2968" xfId="2275"/>
    <cellStyle name="Hyperlink 2969" xfId="2276"/>
    <cellStyle name="Hyperlink 297" xfId="2277"/>
    <cellStyle name="Hyperlink 2970" xfId="2278"/>
    <cellStyle name="Hyperlink 2971" xfId="2279"/>
    <cellStyle name="Hyperlink 2972" xfId="2280"/>
    <cellStyle name="Hyperlink 2973" xfId="2281"/>
    <cellStyle name="Hyperlink 2974" xfId="2282"/>
    <cellStyle name="Hyperlink 2975" xfId="2283"/>
    <cellStyle name="Hyperlink 2976" xfId="2284"/>
    <cellStyle name="Hyperlink 2977" xfId="2285"/>
    <cellStyle name="Hyperlink 2978" xfId="2286"/>
    <cellStyle name="Hyperlink 2979" xfId="2287"/>
    <cellStyle name="Hyperlink 298" xfId="2288"/>
    <cellStyle name="Hyperlink 2980" xfId="2289"/>
    <cellStyle name="Hyperlink 2981" xfId="2290"/>
    <cellStyle name="Hyperlink 2982" xfId="2291"/>
    <cellStyle name="Hyperlink 2983" xfId="2292"/>
    <cellStyle name="Hyperlink 2984" xfId="2293"/>
    <cellStyle name="Hyperlink 2985" xfId="2294"/>
    <cellStyle name="Hyperlink 2986" xfId="2295"/>
    <cellStyle name="Hyperlink 2987" xfId="2296"/>
    <cellStyle name="Hyperlink 2988" xfId="2297"/>
    <cellStyle name="Hyperlink 2989" xfId="2298"/>
    <cellStyle name="Hyperlink 299" xfId="2299"/>
    <cellStyle name="Hyperlink 2990" xfId="2300"/>
    <cellStyle name="Hyperlink 2991" xfId="2301"/>
    <cellStyle name="Hyperlink 2992" xfId="2302"/>
    <cellStyle name="Hyperlink 2993" xfId="2303"/>
    <cellStyle name="Hyperlink 2994" xfId="2304"/>
    <cellStyle name="Hyperlink 2995" xfId="2305"/>
    <cellStyle name="Hyperlink 2996" xfId="2306"/>
    <cellStyle name="Hyperlink 2997" xfId="2307"/>
    <cellStyle name="Hyperlink 2998" xfId="2308"/>
    <cellStyle name="Hyperlink 2999" xfId="2309"/>
    <cellStyle name="Hyperlink 3" xfId="2310"/>
    <cellStyle name="Hyperlink 30" xfId="2311"/>
    <cellStyle name="Hyperlink 300" xfId="2312"/>
    <cellStyle name="Hyperlink 3000" xfId="2313"/>
    <cellStyle name="Hyperlink 3001" xfId="2314"/>
    <cellStyle name="Hyperlink 3002" xfId="2315"/>
    <cellStyle name="Hyperlink 3003" xfId="2316"/>
    <cellStyle name="Hyperlink 3004" xfId="2317"/>
    <cellStyle name="Hyperlink 3005" xfId="2318"/>
    <cellStyle name="Hyperlink 3006" xfId="2319"/>
    <cellStyle name="Hyperlink 3007" xfId="2320"/>
    <cellStyle name="Hyperlink 3008" xfId="2321"/>
    <cellStyle name="Hyperlink 3009" xfId="2322"/>
    <cellStyle name="Hyperlink 301" xfId="2323"/>
    <cellStyle name="Hyperlink 3010" xfId="2324"/>
    <cellStyle name="Hyperlink 3011" xfId="2325"/>
    <cellStyle name="Hyperlink 3012" xfId="2326"/>
    <cellStyle name="Hyperlink 3013" xfId="2327"/>
    <cellStyle name="Hyperlink 3014" xfId="2328"/>
    <cellStyle name="Hyperlink 3015" xfId="2329"/>
    <cellStyle name="Hyperlink 3016" xfId="2330"/>
    <cellStyle name="Hyperlink 3017" xfId="2331"/>
    <cellStyle name="Hyperlink 3018" xfId="2332"/>
    <cellStyle name="Hyperlink 3019" xfId="2333"/>
    <cellStyle name="Hyperlink 302" xfId="2334"/>
    <cellStyle name="Hyperlink 3020" xfId="2335"/>
    <cellStyle name="Hyperlink 3021" xfId="2336"/>
    <cellStyle name="Hyperlink 3022" xfId="2337"/>
    <cellStyle name="Hyperlink 3023" xfId="2338"/>
    <cellStyle name="Hyperlink 3024" xfId="2339"/>
    <cellStyle name="Hyperlink 3025" xfId="2340"/>
    <cellStyle name="Hyperlink 3026" xfId="2341"/>
    <cellStyle name="Hyperlink 3027" xfId="2342"/>
    <cellStyle name="Hyperlink 3028" xfId="2343"/>
    <cellStyle name="Hyperlink 3029" xfId="2344"/>
    <cellStyle name="Hyperlink 303" xfId="2345"/>
    <cellStyle name="Hyperlink 3030" xfId="2346"/>
    <cellStyle name="Hyperlink 3031" xfId="2347"/>
    <cellStyle name="Hyperlink 3032" xfId="2348"/>
    <cellStyle name="Hyperlink 3033" xfId="2349"/>
    <cellStyle name="Hyperlink 3034" xfId="2350"/>
    <cellStyle name="Hyperlink 3035" xfId="2351"/>
    <cellStyle name="Hyperlink 3036" xfId="2352"/>
    <cellStyle name="Hyperlink 3037" xfId="2353"/>
    <cellStyle name="Hyperlink 3038" xfId="2354"/>
    <cellStyle name="Hyperlink 3039" xfId="2355"/>
    <cellStyle name="Hyperlink 304" xfId="2356"/>
    <cellStyle name="Hyperlink 3040" xfId="2357"/>
    <cellStyle name="Hyperlink 3041" xfId="2358"/>
    <cellStyle name="Hyperlink 3042" xfId="2359"/>
    <cellStyle name="Hyperlink 3043" xfId="2360"/>
    <cellStyle name="Hyperlink 3044" xfId="2361"/>
    <cellStyle name="Hyperlink 3045" xfId="2362"/>
    <cellStyle name="Hyperlink 3046" xfId="2363"/>
    <cellStyle name="Hyperlink 3047" xfId="2364"/>
    <cellStyle name="Hyperlink 3048" xfId="2365"/>
    <cellStyle name="Hyperlink 3049" xfId="2366"/>
    <cellStyle name="Hyperlink 305" xfId="2367"/>
    <cellStyle name="Hyperlink 3050" xfId="2368"/>
    <cellStyle name="Hyperlink 3051" xfId="2369"/>
    <cellStyle name="Hyperlink 3052" xfId="2370"/>
    <cellStyle name="Hyperlink 3053" xfId="2371"/>
    <cellStyle name="Hyperlink 3054" xfId="2372"/>
    <cellStyle name="Hyperlink 3055" xfId="2373"/>
    <cellStyle name="Hyperlink 3056" xfId="2374"/>
    <cellStyle name="Hyperlink 3057" xfId="2375"/>
    <cellStyle name="Hyperlink 3058" xfId="2376"/>
    <cellStyle name="Hyperlink 3059" xfId="2377"/>
    <cellStyle name="Hyperlink 306" xfId="2378"/>
    <cellStyle name="Hyperlink 3060" xfId="2379"/>
    <cellStyle name="Hyperlink 3061" xfId="2380"/>
    <cellStyle name="Hyperlink 3062" xfId="2381"/>
    <cellStyle name="Hyperlink 3063" xfId="2382"/>
    <cellStyle name="Hyperlink 3064" xfId="2383"/>
    <cellStyle name="Hyperlink 3065" xfId="2384"/>
    <cellStyle name="Hyperlink 3066" xfId="2385"/>
    <cellStyle name="Hyperlink 3067" xfId="2386"/>
    <cellStyle name="Hyperlink 3068" xfId="2387"/>
    <cellStyle name="Hyperlink 3069" xfId="2388"/>
    <cellStyle name="Hyperlink 307" xfId="2389"/>
    <cellStyle name="Hyperlink 3070" xfId="2390"/>
    <cellStyle name="Hyperlink 3071" xfId="2391"/>
    <cellStyle name="Hyperlink 3072" xfId="2392"/>
    <cellStyle name="Hyperlink 3073" xfId="2393"/>
    <cellStyle name="Hyperlink 3074" xfId="2394"/>
    <cellStyle name="Hyperlink 3075" xfId="2395"/>
    <cellStyle name="Hyperlink 3076" xfId="2396"/>
    <cellStyle name="Hyperlink 3077" xfId="2397"/>
    <cellStyle name="Hyperlink 3078" xfId="2398"/>
    <cellStyle name="Hyperlink 3079" xfId="2399"/>
    <cellStyle name="Hyperlink 308" xfId="2400"/>
    <cellStyle name="Hyperlink 3080" xfId="2401"/>
    <cellStyle name="Hyperlink 3081" xfId="2402"/>
    <cellStyle name="Hyperlink 3082" xfId="2403"/>
    <cellStyle name="Hyperlink 3083" xfId="2404"/>
    <cellStyle name="Hyperlink 3084" xfId="2405"/>
    <cellStyle name="Hyperlink 3085" xfId="2406"/>
    <cellStyle name="Hyperlink 3086" xfId="2407"/>
    <cellStyle name="Hyperlink 3087" xfId="2408"/>
    <cellStyle name="Hyperlink 3088" xfId="2409"/>
    <cellStyle name="Hyperlink 3089" xfId="2410"/>
    <cellStyle name="Hyperlink 309" xfId="2411"/>
    <cellStyle name="Hyperlink 3090" xfId="2412"/>
    <cellStyle name="Hyperlink 3091" xfId="2413"/>
    <cellStyle name="Hyperlink 3092" xfId="2414"/>
    <cellStyle name="Hyperlink 3093" xfId="2415"/>
    <cellStyle name="Hyperlink 3094" xfId="2416"/>
    <cellStyle name="Hyperlink 3095" xfId="2417"/>
    <cellStyle name="Hyperlink 3096" xfId="2418"/>
    <cellStyle name="Hyperlink 3097" xfId="2419"/>
    <cellStyle name="Hyperlink 3098" xfId="2420"/>
    <cellStyle name="Hyperlink 3099" xfId="2421"/>
    <cellStyle name="Hyperlink 31" xfId="2422"/>
    <cellStyle name="Hyperlink 310" xfId="2423"/>
    <cellStyle name="Hyperlink 3100" xfId="2424"/>
    <cellStyle name="Hyperlink 3101" xfId="2425"/>
    <cellStyle name="Hyperlink 3102" xfId="2426"/>
    <cellStyle name="Hyperlink 3103" xfId="2427"/>
    <cellStyle name="Hyperlink 3104" xfId="2428"/>
    <cellStyle name="Hyperlink 3105" xfId="2429"/>
    <cellStyle name="Hyperlink 3106" xfId="2430"/>
    <cellStyle name="Hyperlink 3107" xfId="2431"/>
    <cellStyle name="Hyperlink 3108" xfId="2432"/>
    <cellStyle name="Hyperlink 3109" xfId="2433"/>
    <cellStyle name="Hyperlink 311" xfId="2434"/>
    <cellStyle name="Hyperlink 3110" xfId="2435"/>
    <cellStyle name="Hyperlink 3111" xfId="2436"/>
    <cellStyle name="Hyperlink 3112" xfId="2437"/>
    <cellStyle name="Hyperlink 3113" xfId="2438"/>
    <cellStyle name="Hyperlink 3114" xfId="2439"/>
    <cellStyle name="Hyperlink 3115" xfId="2440"/>
    <cellStyle name="Hyperlink 3116" xfId="2441"/>
    <cellStyle name="Hyperlink 3117" xfId="2442"/>
    <cellStyle name="Hyperlink 3118" xfId="2443"/>
    <cellStyle name="Hyperlink 3119" xfId="2444"/>
    <cellStyle name="Hyperlink 312" xfId="2445"/>
    <cellStyle name="Hyperlink 3120" xfId="2446"/>
    <cellStyle name="Hyperlink 3121" xfId="2447"/>
    <cellStyle name="Hyperlink 3122" xfId="2448"/>
    <cellStyle name="Hyperlink 3123" xfId="2449"/>
    <cellStyle name="Hyperlink 3124" xfId="2450"/>
    <cellStyle name="Hyperlink 3125" xfId="2451"/>
    <cellStyle name="Hyperlink 3126" xfId="2452"/>
    <cellStyle name="Hyperlink 3127" xfId="2453"/>
    <cellStyle name="Hyperlink 3128" xfId="2454"/>
    <cellStyle name="Hyperlink 3129" xfId="2455"/>
    <cellStyle name="Hyperlink 313" xfId="2456"/>
    <cellStyle name="Hyperlink 3130" xfId="2457"/>
    <cellStyle name="Hyperlink 3131" xfId="2458"/>
    <cellStyle name="Hyperlink 3132" xfId="2459"/>
    <cellStyle name="Hyperlink 3133" xfId="2460"/>
    <cellStyle name="Hyperlink 3134" xfId="2461"/>
    <cellStyle name="Hyperlink 3135" xfId="2462"/>
    <cellStyle name="Hyperlink 3136" xfId="2463"/>
    <cellStyle name="Hyperlink 3137" xfId="2464"/>
    <cellStyle name="Hyperlink 3138" xfId="2465"/>
    <cellStyle name="Hyperlink 3139" xfId="2466"/>
    <cellStyle name="Hyperlink 314" xfId="2467"/>
    <cellStyle name="Hyperlink 3140" xfId="2468"/>
    <cellStyle name="Hyperlink 3141" xfId="2469"/>
    <cellStyle name="Hyperlink 3142" xfId="2470"/>
    <cellStyle name="Hyperlink 3143" xfId="2471"/>
    <cellStyle name="Hyperlink 3144" xfId="2472"/>
    <cellStyle name="Hyperlink 3145" xfId="2473"/>
    <cellStyle name="Hyperlink 3146" xfId="2474"/>
    <cellStyle name="Hyperlink 3147" xfId="2475"/>
    <cellStyle name="Hyperlink 3148" xfId="2476"/>
    <cellStyle name="Hyperlink 3149" xfId="2477"/>
    <cellStyle name="Hyperlink 315" xfId="2478"/>
    <cellStyle name="Hyperlink 3150" xfId="2479"/>
    <cellStyle name="Hyperlink 3151" xfId="2480"/>
    <cellStyle name="Hyperlink 3152" xfId="2481"/>
    <cellStyle name="Hyperlink 3153" xfId="2482"/>
    <cellStyle name="Hyperlink 3154" xfId="2483"/>
    <cellStyle name="Hyperlink 3155" xfId="2484"/>
    <cellStyle name="Hyperlink 3156" xfId="2485"/>
    <cellStyle name="Hyperlink 3157" xfId="2486"/>
    <cellStyle name="Hyperlink 3158" xfId="2487"/>
    <cellStyle name="Hyperlink 3159" xfId="2488"/>
    <cellStyle name="Hyperlink 316" xfId="2489"/>
    <cellStyle name="Hyperlink 3160" xfId="2490"/>
    <cellStyle name="Hyperlink 3161" xfId="2491"/>
    <cellStyle name="Hyperlink 3162" xfId="2492"/>
    <cellStyle name="Hyperlink 3163" xfId="2493"/>
    <cellStyle name="Hyperlink 3164" xfId="2494"/>
    <cellStyle name="Hyperlink 3165" xfId="2495"/>
    <cellStyle name="Hyperlink 3166" xfId="2496"/>
    <cellStyle name="Hyperlink 3167" xfId="2497"/>
    <cellStyle name="Hyperlink 3168" xfId="2498"/>
    <cellStyle name="Hyperlink 3169" xfId="2499"/>
    <cellStyle name="Hyperlink 317" xfId="2500"/>
    <cellStyle name="Hyperlink 3170" xfId="2501"/>
    <cellStyle name="Hyperlink 3171" xfId="2502"/>
    <cellStyle name="Hyperlink 3172" xfId="2503"/>
    <cellStyle name="Hyperlink 3173" xfId="2504"/>
    <cellStyle name="Hyperlink 3174" xfId="2505"/>
    <cellStyle name="Hyperlink 3175" xfId="2506"/>
    <cellStyle name="Hyperlink 3176" xfId="2507"/>
    <cellStyle name="Hyperlink 3177" xfId="2508"/>
    <cellStyle name="Hyperlink 3178" xfId="2509"/>
    <cellStyle name="Hyperlink 3179" xfId="2510"/>
    <cellStyle name="Hyperlink 318" xfId="2511"/>
    <cellStyle name="Hyperlink 3180" xfId="2512"/>
    <cellStyle name="Hyperlink 3181" xfId="2513"/>
    <cellStyle name="Hyperlink 3182" xfId="2514"/>
    <cellStyle name="Hyperlink 3183" xfId="2515"/>
    <cellStyle name="Hyperlink 3184" xfId="2516"/>
    <cellStyle name="Hyperlink 3185" xfId="2517"/>
    <cellStyle name="Hyperlink 3186" xfId="2518"/>
    <cellStyle name="Hyperlink 3187" xfId="2519"/>
    <cellStyle name="Hyperlink 3188" xfId="2520"/>
    <cellStyle name="Hyperlink 3189" xfId="2521"/>
    <cellStyle name="Hyperlink 319" xfId="2522"/>
    <cellStyle name="Hyperlink 3190" xfId="2523"/>
    <cellStyle name="Hyperlink 3191" xfId="2524"/>
    <cellStyle name="Hyperlink 3192" xfId="2525"/>
    <cellStyle name="Hyperlink 3193" xfId="2526"/>
    <cellStyle name="Hyperlink 3194" xfId="2527"/>
    <cellStyle name="Hyperlink 3195" xfId="2528"/>
    <cellStyle name="Hyperlink 3196" xfId="2529"/>
    <cellStyle name="Hyperlink 3197" xfId="2530"/>
    <cellStyle name="Hyperlink 3198" xfId="2531"/>
    <cellStyle name="Hyperlink 3199" xfId="2532"/>
    <cellStyle name="Hyperlink 32" xfId="2533"/>
    <cellStyle name="Hyperlink 320" xfId="2534"/>
    <cellStyle name="Hyperlink 3200" xfId="2535"/>
    <cellStyle name="Hyperlink 3201" xfId="2536"/>
    <cellStyle name="Hyperlink 3202" xfId="2537"/>
    <cellStyle name="Hyperlink 3203" xfId="2538"/>
    <cellStyle name="Hyperlink 3204" xfId="2539"/>
    <cellStyle name="Hyperlink 3205" xfId="2540"/>
    <cellStyle name="Hyperlink 3206" xfId="2541"/>
    <cellStyle name="Hyperlink 3207" xfId="2542"/>
    <cellStyle name="Hyperlink 3208" xfId="2543"/>
    <cellStyle name="Hyperlink 3209" xfId="2544"/>
    <cellStyle name="Hyperlink 321" xfId="2545"/>
    <cellStyle name="Hyperlink 3210" xfId="2546"/>
    <cellStyle name="Hyperlink 3211" xfId="2547"/>
    <cellStyle name="Hyperlink 3212" xfId="2548"/>
    <cellStyle name="Hyperlink 3213" xfId="2549"/>
    <cellStyle name="Hyperlink 3214" xfId="2550"/>
    <cellStyle name="Hyperlink 3215" xfId="2551"/>
    <cellStyle name="Hyperlink 3216" xfId="2552"/>
    <cellStyle name="Hyperlink 3217" xfId="2553"/>
    <cellStyle name="Hyperlink 3218" xfId="2554"/>
    <cellStyle name="Hyperlink 3219" xfId="2555"/>
    <cellStyle name="Hyperlink 322" xfId="2556"/>
    <cellStyle name="Hyperlink 3220" xfId="2557"/>
    <cellStyle name="Hyperlink 3221" xfId="2558"/>
    <cellStyle name="Hyperlink 3222" xfId="2559"/>
    <cellStyle name="Hyperlink 3223" xfId="2560"/>
    <cellStyle name="Hyperlink 3224" xfId="2561"/>
    <cellStyle name="Hyperlink 3225" xfId="2562"/>
    <cellStyle name="Hyperlink 3226" xfId="2563"/>
    <cellStyle name="Hyperlink 3227" xfId="2564"/>
    <cellStyle name="Hyperlink 3228" xfId="2565"/>
    <cellStyle name="Hyperlink 3229" xfId="2566"/>
    <cellStyle name="Hyperlink 323" xfId="2567"/>
    <cellStyle name="Hyperlink 3230" xfId="2568"/>
    <cellStyle name="Hyperlink 3231" xfId="2569"/>
    <cellStyle name="Hyperlink 3232" xfId="2570"/>
    <cellStyle name="Hyperlink 3233" xfId="2571"/>
    <cellStyle name="Hyperlink 3234" xfId="2572"/>
    <cellStyle name="Hyperlink 3235" xfId="2573"/>
    <cellStyle name="Hyperlink 3236" xfId="2574"/>
    <cellStyle name="Hyperlink 3237" xfId="2575"/>
    <cellStyle name="Hyperlink 3238" xfId="2576"/>
    <cellStyle name="Hyperlink 3239" xfId="2577"/>
    <cellStyle name="Hyperlink 324" xfId="2578"/>
    <cellStyle name="Hyperlink 3240" xfId="2579"/>
    <cellStyle name="Hyperlink 3241" xfId="2580"/>
    <cellStyle name="Hyperlink 3242" xfId="2581"/>
    <cellStyle name="Hyperlink 3243" xfId="2582"/>
    <cellStyle name="Hyperlink 3244" xfId="2583"/>
    <cellStyle name="Hyperlink 3245" xfId="2584"/>
    <cellStyle name="Hyperlink 3246" xfId="2585"/>
    <cellStyle name="Hyperlink 3247" xfId="2586"/>
    <cellStyle name="Hyperlink 3248" xfId="2587"/>
    <cellStyle name="Hyperlink 3249" xfId="2588"/>
    <cellStyle name="Hyperlink 325" xfId="2589"/>
    <cellStyle name="Hyperlink 3250" xfId="2590"/>
    <cellStyle name="Hyperlink 3251" xfId="2591"/>
    <cellStyle name="Hyperlink 3252" xfId="2592"/>
    <cellStyle name="Hyperlink 3253" xfId="2593"/>
    <cellStyle name="Hyperlink 3254" xfId="2594"/>
    <cellStyle name="Hyperlink 3255" xfId="2595"/>
    <cellStyle name="Hyperlink 3256" xfId="2596"/>
    <cellStyle name="Hyperlink 3257" xfId="2597"/>
    <cellStyle name="Hyperlink 3258" xfId="2598"/>
    <cellStyle name="Hyperlink 3259" xfId="2599"/>
    <cellStyle name="Hyperlink 326" xfId="2600"/>
    <cellStyle name="Hyperlink 3260" xfId="2601"/>
    <cellStyle name="Hyperlink 3261" xfId="2602"/>
    <cellStyle name="Hyperlink 3262" xfId="2603"/>
    <cellStyle name="Hyperlink 3263" xfId="2604"/>
    <cellStyle name="Hyperlink 3264" xfId="2605"/>
    <cellStyle name="Hyperlink 3265" xfId="2606"/>
    <cellStyle name="Hyperlink 3266" xfId="2607"/>
    <cellStyle name="Hyperlink 3267" xfId="2608"/>
    <cellStyle name="Hyperlink 3268" xfId="2609"/>
    <cellStyle name="Hyperlink 3269" xfId="2610"/>
    <cellStyle name="Hyperlink 327" xfId="2611"/>
    <cellStyle name="Hyperlink 3270" xfId="2612"/>
    <cellStyle name="Hyperlink 3271" xfId="2613"/>
    <cellStyle name="Hyperlink 3272" xfId="2614"/>
    <cellStyle name="Hyperlink 3273" xfId="2615"/>
    <cellStyle name="Hyperlink 3274" xfId="2616"/>
    <cellStyle name="Hyperlink 3275" xfId="2617"/>
    <cellStyle name="Hyperlink 3276" xfId="2618"/>
    <cellStyle name="Hyperlink 3277" xfId="2619"/>
    <cellStyle name="Hyperlink 3278" xfId="2620"/>
    <cellStyle name="Hyperlink 3279" xfId="2621"/>
    <cellStyle name="Hyperlink 328" xfId="2622"/>
    <cellStyle name="Hyperlink 3280" xfId="2623"/>
    <cellStyle name="Hyperlink 3281" xfId="2624"/>
    <cellStyle name="Hyperlink 3282" xfId="2625"/>
    <cellStyle name="Hyperlink 3283" xfId="2626"/>
    <cellStyle name="Hyperlink 3284" xfId="2627"/>
    <cellStyle name="Hyperlink 3285" xfId="2628"/>
    <cellStyle name="Hyperlink 3286" xfId="2629"/>
    <cellStyle name="Hyperlink 3287" xfId="2630"/>
    <cellStyle name="Hyperlink 3288" xfId="2631"/>
    <cellStyle name="Hyperlink 3289" xfId="2632"/>
    <cellStyle name="Hyperlink 329" xfId="2633"/>
    <cellStyle name="Hyperlink 3290" xfId="2634"/>
    <cellStyle name="Hyperlink 3291" xfId="2635"/>
    <cellStyle name="Hyperlink 3292" xfId="2636"/>
    <cellStyle name="Hyperlink 3293" xfId="2637"/>
    <cellStyle name="Hyperlink 3294" xfId="2638"/>
    <cellStyle name="Hyperlink 3295" xfId="2639"/>
    <cellStyle name="Hyperlink 3296" xfId="2640"/>
    <cellStyle name="Hyperlink 3297" xfId="2641"/>
    <cellStyle name="Hyperlink 3298" xfId="2642"/>
    <cellStyle name="Hyperlink 3299" xfId="2643"/>
    <cellStyle name="Hyperlink 33" xfId="2644"/>
    <cellStyle name="Hyperlink 330" xfId="2645"/>
    <cellStyle name="Hyperlink 3300" xfId="2646"/>
    <cellStyle name="Hyperlink 3301" xfId="2647"/>
    <cellStyle name="Hyperlink 3302" xfId="2648"/>
    <cellStyle name="Hyperlink 3303" xfId="2649"/>
    <cellStyle name="Hyperlink 3304" xfId="2650"/>
    <cellStyle name="Hyperlink 3305" xfId="2651"/>
    <cellStyle name="Hyperlink 3306" xfId="2652"/>
    <cellStyle name="Hyperlink 3307" xfId="2653"/>
    <cellStyle name="Hyperlink 3308" xfId="2654"/>
    <cellStyle name="Hyperlink 3309" xfId="2655"/>
    <cellStyle name="Hyperlink 331" xfId="2656"/>
    <cellStyle name="Hyperlink 3310" xfId="2657"/>
    <cellStyle name="Hyperlink 3311" xfId="2658"/>
    <cellStyle name="Hyperlink 3312" xfId="2659"/>
    <cellStyle name="Hyperlink 3313" xfId="2660"/>
    <cellStyle name="Hyperlink 3314" xfId="2661"/>
    <cellStyle name="Hyperlink 3315" xfId="2662"/>
    <cellStyle name="Hyperlink 3316" xfId="2663"/>
    <cellStyle name="Hyperlink 3317" xfId="2664"/>
    <cellStyle name="Hyperlink 3318" xfId="2665"/>
    <cellStyle name="Hyperlink 3319" xfId="2666"/>
    <cellStyle name="Hyperlink 332" xfId="2667"/>
    <cellStyle name="Hyperlink 3320" xfId="2668"/>
    <cellStyle name="Hyperlink 3321" xfId="2669"/>
    <cellStyle name="Hyperlink 3322" xfId="2670"/>
    <cellStyle name="Hyperlink 3323" xfId="2671"/>
    <cellStyle name="Hyperlink 3324" xfId="2672"/>
    <cellStyle name="Hyperlink 3325" xfId="2673"/>
    <cellStyle name="Hyperlink 3326" xfId="2674"/>
    <cellStyle name="Hyperlink 3327" xfId="2675"/>
    <cellStyle name="Hyperlink 3328" xfId="2676"/>
    <cellStyle name="Hyperlink 3329" xfId="2677"/>
    <cellStyle name="Hyperlink 333" xfId="2678"/>
    <cellStyle name="Hyperlink 3330" xfId="2679"/>
    <cellStyle name="Hyperlink 3331" xfId="2680"/>
    <cellStyle name="Hyperlink 3332" xfId="2681"/>
    <cellStyle name="Hyperlink 3333" xfId="2682"/>
    <cellStyle name="Hyperlink 3334" xfId="2683"/>
    <cellStyle name="Hyperlink 3335" xfId="2684"/>
    <cellStyle name="Hyperlink 3336" xfId="2685"/>
    <cellStyle name="Hyperlink 3337" xfId="2686"/>
    <cellStyle name="Hyperlink 3338" xfId="2687"/>
    <cellStyle name="Hyperlink 3339" xfId="2688"/>
    <cellStyle name="Hyperlink 334" xfId="2689"/>
    <cellStyle name="Hyperlink 3340" xfId="2690"/>
    <cellStyle name="Hyperlink 3341" xfId="2691"/>
    <cellStyle name="Hyperlink 3342" xfId="2692"/>
    <cellStyle name="Hyperlink 3343" xfId="2693"/>
    <cellStyle name="Hyperlink 3344" xfId="2694"/>
    <cellStyle name="Hyperlink 3345" xfId="2695"/>
    <cellStyle name="Hyperlink 3346" xfId="2696"/>
    <cellStyle name="Hyperlink 3347" xfId="2697"/>
    <cellStyle name="Hyperlink 3348" xfId="2698"/>
    <cellStyle name="Hyperlink 3349" xfId="2699"/>
    <cellStyle name="Hyperlink 335" xfId="2700"/>
    <cellStyle name="Hyperlink 3350" xfId="2701"/>
    <cellStyle name="Hyperlink 3351" xfId="2702"/>
    <cellStyle name="Hyperlink 3352" xfId="2703"/>
    <cellStyle name="Hyperlink 3353" xfId="2704"/>
    <cellStyle name="Hyperlink 3354" xfId="2705"/>
    <cellStyle name="Hyperlink 3355" xfId="2706"/>
    <cellStyle name="Hyperlink 3356" xfId="2707"/>
    <cellStyle name="Hyperlink 3357" xfId="2708"/>
    <cellStyle name="Hyperlink 3358" xfId="2709"/>
    <cellStyle name="Hyperlink 3359" xfId="2710"/>
    <cellStyle name="Hyperlink 336" xfId="2711"/>
    <cellStyle name="Hyperlink 3360" xfId="2712"/>
    <cellStyle name="Hyperlink 3361" xfId="2713"/>
    <cellStyle name="Hyperlink 3362" xfId="2714"/>
    <cellStyle name="Hyperlink 3363" xfId="2715"/>
    <cellStyle name="Hyperlink 3364" xfId="2716"/>
    <cellStyle name="Hyperlink 3365" xfId="2717"/>
    <cellStyle name="Hyperlink 3366" xfId="2718"/>
    <cellStyle name="Hyperlink 3367" xfId="2719"/>
    <cellStyle name="Hyperlink 3368" xfId="2720"/>
    <cellStyle name="Hyperlink 3369" xfId="2721"/>
    <cellStyle name="Hyperlink 337" xfId="2722"/>
    <cellStyle name="Hyperlink 3370" xfId="2723"/>
    <cellStyle name="Hyperlink 3371" xfId="2724"/>
    <cellStyle name="Hyperlink 3372" xfId="2725"/>
    <cellStyle name="Hyperlink 3373" xfId="2726"/>
    <cellStyle name="Hyperlink 3374" xfId="2727"/>
    <cellStyle name="Hyperlink 3375" xfId="2728"/>
    <cellStyle name="Hyperlink 3376" xfId="2729"/>
    <cellStyle name="Hyperlink 3377" xfId="2730"/>
    <cellStyle name="Hyperlink 3378" xfId="2731"/>
    <cellStyle name="Hyperlink 3379" xfId="2732"/>
    <cellStyle name="Hyperlink 338" xfId="2733"/>
    <cellStyle name="Hyperlink 3380" xfId="2734"/>
    <cellStyle name="Hyperlink 3381" xfId="2735"/>
    <cellStyle name="Hyperlink 3382" xfId="2736"/>
    <cellStyle name="Hyperlink 3383" xfId="2737"/>
    <cellStyle name="Hyperlink 3384" xfId="2738"/>
    <cellStyle name="Hyperlink 3385" xfId="2739"/>
    <cellStyle name="Hyperlink 3386" xfId="2740"/>
    <cellStyle name="Hyperlink 3387" xfId="2741"/>
    <cellStyle name="Hyperlink 3388" xfId="2742"/>
    <cellStyle name="Hyperlink 3389" xfId="2743"/>
    <cellStyle name="Hyperlink 339" xfId="2744"/>
    <cellStyle name="Hyperlink 3390" xfId="2745"/>
    <cellStyle name="Hyperlink 3391" xfId="2746"/>
    <cellStyle name="Hyperlink 3392" xfId="2747"/>
    <cellStyle name="Hyperlink 3393" xfId="2748"/>
    <cellStyle name="Hyperlink 3394" xfId="2749"/>
    <cellStyle name="Hyperlink 3395" xfId="2750"/>
    <cellStyle name="Hyperlink 3396" xfId="2751"/>
    <cellStyle name="Hyperlink 3397" xfId="2752"/>
    <cellStyle name="Hyperlink 3398" xfId="2753"/>
    <cellStyle name="Hyperlink 3399" xfId="2754"/>
    <cellStyle name="Hyperlink 34" xfId="2755"/>
    <cellStyle name="Hyperlink 340" xfId="2756"/>
    <cellStyle name="Hyperlink 3400" xfId="2757"/>
    <cellStyle name="Hyperlink 3401" xfId="2758"/>
    <cellStyle name="Hyperlink 3402" xfId="2759"/>
    <cellStyle name="Hyperlink 3403" xfId="2760"/>
    <cellStyle name="Hyperlink 3404" xfId="2761"/>
    <cellStyle name="Hyperlink 3405" xfId="2762"/>
    <cellStyle name="Hyperlink 3406" xfId="2763"/>
    <cellStyle name="Hyperlink 3407" xfId="2764"/>
    <cellStyle name="Hyperlink 3408" xfId="2765"/>
    <cellStyle name="Hyperlink 3409" xfId="2766"/>
    <cellStyle name="Hyperlink 341" xfId="2767"/>
    <cellStyle name="Hyperlink 3410" xfId="2768"/>
    <cellStyle name="Hyperlink 3411" xfId="2769"/>
    <cellStyle name="Hyperlink 3412" xfId="2770"/>
    <cellStyle name="Hyperlink 3413" xfId="2771"/>
    <cellStyle name="Hyperlink 3414" xfId="2772"/>
    <cellStyle name="Hyperlink 3415" xfId="2773"/>
    <cellStyle name="Hyperlink 3416" xfId="2774"/>
    <cellStyle name="Hyperlink 3417" xfId="2775"/>
    <cellStyle name="Hyperlink 3418" xfId="2776"/>
    <cellStyle name="Hyperlink 3419" xfId="2777"/>
    <cellStyle name="Hyperlink 342" xfId="2778"/>
    <cellStyle name="Hyperlink 3420" xfId="2779"/>
    <cellStyle name="Hyperlink 3421" xfId="2780"/>
    <cellStyle name="Hyperlink 3422" xfId="2781"/>
    <cellStyle name="Hyperlink 3423" xfId="2782"/>
    <cellStyle name="Hyperlink 3424" xfId="2783"/>
    <cellStyle name="Hyperlink 3425" xfId="2784"/>
    <cellStyle name="Hyperlink 3426" xfId="2785"/>
    <cellStyle name="Hyperlink 3427" xfId="2786"/>
    <cellStyle name="Hyperlink 3428" xfId="2787"/>
    <cellStyle name="Hyperlink 3429" xfId="2788"/>
    <cellStyle name="Hyperlink 343" xfId="2789"/>
    <cellStyle name="Hyperlink 3430" xfId="2790"/>
    <cellStyle name="Hyperlink 3431" xfId="2791"/>
    <cellStyle name="Hyperlink 3432" xfId="2792"/>
    <cellStyle name="Hyperlink 3433" xfId="2793"/>
    <cellStyle name="Hyperlink 3434" xfId="2794"/>
    <cellStyle name="Hyperlink 3435" xfId="2795"/>
    <cellStyle name="Hyperlink 3436" xfId="2796"/>
    <cellStyle name="Hyperlink 3437" xfId="2797"/>
    <cellStyle name="Hyperlink 3438" xfId="2798"/>
    <cellStyle name="Hyperlink 3439" xfId="2799"/>
    <cellStyle name="Hyperlink 344" xfId="2800"/>
    <cellStyle name="Hyperlink 3440" xfId="2801"/>
    <cellStyle name="Hyperlink 3441" xfId="2802"/>
    <cellStyle name="Hyperlink 3442" xfId="2803"/>
    <cellStyle name="Hyperlink 3443" xfId="2804"/>
    <cellStyle name="Hyperlink 3444" xfId="2805"/>
    <cellStyle name="Hyperlink 3445" xfId="2806"/>
    <cellStyle name="Hyperlink 3446" xfId="2807"/>
    <cellStyle name="Hyperlink 3447" xfId="2808"/>
    <cellStyle name="Hyperlink 3448" xfId="2809"/>
    <cellStyle name="Hyperlink 3449" xfId="2810"/>
    <cellStyle name="Hyperlink 345" xfId="2811"/>
    <cellStyle name="Hyperlink 3450" xfId="2812"/>
    <cellStyle name="Hyperlink 3451" xfId="2813"/>
    <cellStyle name="Hyperlink 3452" xfId="2814"/>
    <cellStyle name="Hyperlink 3453" xfId="2815"/>
    <cellStyle name="Hyperlink 3454" xfId="2816"/>
    <cellStyle name="Hyperlink 3455" xfId="2817"/>
    <cellStyle name="Hyperlink 3456" xfId="2818"/>
    <cellStyle name="Hyperlink 3457" xfId="2819"/>
    <cellStyle name="Hyperlink 3458" xfId="2820"/>
    <cellStyle name="Hyperlink 3459" xfId="2821"/>
    <cellStyle name="Hyperlink 346" xfId="2822"/>
    <cellStyle name="Hyperlink 3460" xfId="2823"/>
    <cellStyle name="Hyperlink 3461" xfId="2824"/>
    <cellStyle name="Hyperlink 3462" xfId="2825"/>
    <cellStyle name="Hyperlink 3463" xfId="2826"/>
    <cellStyle name="Hyperlink 3464" xfId="2827"/>
    <cellStyle name="Hyperlink 3465" xfId="2828"/>
    <cellStyle name="Hyperlink 3466" xfId="2829"/>
    <cellStyle name="Hyperlink 3467" xfId="2830"/>
    <cellStyle name="Hyperlink 3468" xfId="2831"/>
    <cellStyle name="Hyperlink 3469" xfId="2832"/>
    <cellStyle name="Hyperlink 347" xfId="2833"/>
    <cellStyle name="Hyperlink 3470" xfId="2834"/>
    <cellStyle name="Hyperlink 3471" xfId="2835"/>
    <cellStyle name="Hyperlink 3472" xfId="2836"/>
    <cellStyle name="Hyperlink 3473" xfId="2837"/>
    <cellStyle name="Hyperlink 3474" xfId="2838"/>
    <cellStyle name="Hyperlink 3475" xfId="2839"/>
    <cellStyle name="Hyperlink 3476" xfId="2840"/>
    <cellStyle name="Hyperlink 3477" xfId="2841"/>
    <cellStyle name="Hyperlink 3478" xfId="2842"/>
    <cellStyle name="Hyperlink 3479" xfId="2843"/>
    <cellStyle name="Hyperlink 348" xfId="2844"/>
    <cellStyle name="Hyperlink 3480" xfId="2845"/>
    <cellStyle name="Hyperlink 3481" xfId="2846"/>
    <cellStyle name="Hyperlink 3482" xfId="2847"/>
    <cellStyle name="Hyperlink 3483" xfId="2848"/>
    <cellStyle name="Hyperlink 3484" xfId="2849"/>
    <cellStyle name="Hyperlink 3485" xfId="2850"/>
    <cellStyle name="Hyperlink 3486" xfId="2851"/>
    <cellStyle name="Hyperlink 3487" xfId="2852"/>
    <cellStyle name="Hyperlink 3488" xfId="2853"/>
    <cellStyle name="Hyperlink 3489" xfId="2854"/>
    <cellStyle name="Hyperlink 349" xfId="2855"/>
    <cellStyle name="Hyperlink 3490" xfId="2856"/>
    <cellStyle name="Hyperlink 3491" xfId="2857"/>
    <cellStyle name="Hyperlink 3492" xfId="2858"/>
    <cellStyle name="Hyperlink 3493" xfId="2859"/>
    <cellStyle name="Hyperlink 3494" xfId="2860"/>
    <cellStyle name="Hyperlink 3495" xfId="2861"/>
    <cellStyle name="Hyperlink 3496" xfId="2862"/>
    <cellStyle name="Hyperlink 3497" xfId="2863"/>
    <cellStyle name="Hyperlink 3498" xfId="2864"/>
    <cellStyle name="Hyperlink 3499" xfId="2865"/>
    <cellStyle name="Hyperlink 35" xfId="2866"/>
    <cellStyle name="Hyperlink 350" xfId="2867"/>
    <cellStyle name="Hyperlink 3500" xfId="2868"/>
    <cellStyle name="Hyperlink 3501" xfId="2869"/>
    <cellStyle name="Hyperlink 3502" xfId="2870"/>
    <cellStyle name="Hyperlink 3503" xfId="2871"/>
    <cellStyle name="Hyperlink 3504" xfId="2872"/>
    <cellStyle name="Hyperlink 3505" xfId="2873"/>
    <cellStyle name="Hyperlink 3506" xfId="2874"/>
    <cellStyle name="Hyperlink 3507" xfId="2875"/>
    <cellStyle name="Hyperlink 3508" xfId="2876"/>
    <cellStyle name="Hyperlink 3509" xfId="2877"/>
    <cellStyle name="Hyperlink 351" xfId="2878"/>
    <cellStyle name="Hyperlink 3510" xfId="2879"/>
    <cellStyle name="Hyperlink 3511" xfId="2880"/>
    <cellStyle name="Hyperlink 3512" xfId="2881"/>
    <cellStyle name="Hyperlink 3513" xfId="2882"/>
    <cellStyle name="Hyperlink 3514" xfId="2883"/>
    <cellStyle name="Hyperlink 3515" xfId="2884"/>
    <cellStyle name="Hyperlink 3516" xfId="2885"/>
    <cellStyle name="Hyperlink 3517" xfId="2886"/>
    <cellStyle name="Hyperlink 3518" xfId="2887"/>
    <cellStyle name="Hyperlink 3519" xfId="2888"/>
    <cellStyle name="Hyperlink 352" xfId="2889"/>
    <cellStyle name="Hyperlink 3520" xfId="2890"/>
    <cellStyle name="Hyperlink 3521" xfId="2891"/>
    <cellStyle name="Hyperlink 3522" xfId="2892"/>
    <cellStyle name="Hyperlink 3523" xfId="2893"/>
    <cellStyle name="Hyperlink 3524" xfId="2894"/>
    <cellStyle name="Hyperlink 3525" xfId="2895"/>
    <cellStyle name="Hyperlink 3526" xfId="2896"/>
    <cellStyle name="Hyperlink 3527" xfId="2897"/>
    <cellStyle name="Hyperlink 3528" xfId="2898"/>
    <cellStyle name="Hyperlink 3529" xfId="2899"/>
    <cellStyle name="Hyperlink 353" xfId="2900"/>
    <cellStyle name="Hyperlink 3530" xfId="2901"/>
    <cellStyle name="Hyperlink 3531" xfId="2902"/>
    <cellStyle name="Hyperlink 3532" xfId="2903"/>
    <cellStyle name="Hyperlink 3533" xfId="2904"/>
    <cellStyle name="Hyperlink 3534" xfId="2905"/>
    <cellStyle name="Hyperlink 3535" xfId="2906"/>
    <cellStyle name="Hyperlink 3536" xfId="2907"/>
    <cellStyle name="Hyperlink 3537" xfId="2908"/>
    <cellStyle name="Hyperlink 3538" xfId="2909"/>
    <cellStyle name="Hyperlink 3539" xfId="2910"/>
    <cellStyle name="Hyperlink 354" xfId="2911"/>
    <cellStyle name="Hyperlink 3540" xfId="2912"/>
    <cellStyle name="Hyperlink 3541" xfId="2913"/>
    <cellStyle name="Hyperlink 3542" xfId="2914"/>
    <cellStyle name="Hyperlink 3543" xfId="2915"/>
    <cellStyle name="Hyperlink 3544" xfId="2916"/>
    <cellStyle name="Hyperlink 3545" xfId="2917"/>
    <cellStyle name="Hyperlink 3546" xfId="2918"/>
    <cellStyle name="Hyperlink 3547" xfId="2919"/>
    <cellStyle name="Hyperlink 3548" xfId="2920"/>
    <cellStyle name="Hyperlink 3549" xfId="2921"/>
    <cellStyle name="Hyperlink 355" xfId="2922"/>
    <cellStyle name="Hyperlink 3550" xfId="2923"/>
    <cellStyle name="Hyperlink 3551" xfId="2924"/>
    <cellStyle name="Hyperlink 3552" xfId="2925"/>
    <cellStyle name="Hyperlink 3553" xfId="2926"/>
    <cellStyle name="Hyperlink 3554" xfId="2927"/>
    <cellStyle name="Hyperlink 3555" xfId="2928"/>
    <cellStyle name="Hyperlink 3556" xfId="2929"/>
    <cellStyle name="Hyperlink 3557" xfId="2930"/>
    <cellStyle name="Hyperlink 3558" xfId="2931"/>
    <cellStyle name="Hyperlink 3559" xfId="2932"/>
    <cellStyle name="Hyperlink 356" xfId="2933"/>
    <cellStyle name="Hyperlink 3560" xfId="2934"/>
    <cellStyle name="Hyperlink 3561" xfId="2935"/>
    <cellStyle name="Hyperlink 3562" xfId="2936"/>
    <cellStyle name="Hyperlink 3563" xfId="2937"/>
    <cellStyle name="Hyperlink 3564" xfId="2938"/>
    <cellStyle name="Hyperlink 3565" xfId="2939"/>
    <cellStyle name="Hyperlink 3566" xfId="2940"/>
    <cellStyle name="Hyperlink 3567" xfId="2941"/>
    <cellStyle name="Hyperlink 3568" xfId="2942"/>
    <cellStyle name="Hyperlink 3569" xfId="2943"/>
    <cellStyle name="Hyperlink 357" xfId="2944"/>
    <cellStyle name="Hyperlink 3570" xfId="2945"/>
    <cellStyle name="Hyperlink 3571" xfId="2946"/>
    <cellStyle name="Hyperlink 3572" xfId="2947"/>
    <cellStyle name="Hyperlink 3573" xfId="2948"/>
    <cellStyle name="Hyperlink 3574" xfId="2949"/>
    <cellStyle name="Hyperlink 3575" xfId="2950"/>
    <cellStyle name="Hyperlink 3576" xfId="2951"/>
    <cellStyle name="Hyperlink 3577" xfId="2952"/>
    <cellStyle name="Hyperlink 3578" xfId="2953"/>
    <cellStyle name="Hyperlink 3579" xfId="2954"/>
    <cellStyle name="Hyperlink 358" xfId="2955"/>
    <cellStyle name="Hyperlink 3580" xfId="2956"/>
    <cellStyle name="Hyperlink 3581" xfId="2957"/>
    <cellStyle name="Hyperlink 3582" xfId="2958"/>
    <cellStyle name="Hyperlink 3583" xfId="2959"/>
    <cellStyle name="Hyperlink 3584" xfId="2960"/>
    <cellStyle name="Hyperlink 3585" xfId="2961"/>
    <cellStyle name="Hyperlink 3586" xfId="2962"/>
    <cellStyle name="Hyperlink 3587" xfId="2963"/>
    <cellStyle name="Hyperlink 3588" xfId="2964"/>
    <cellStyle name="Hyperlink 3589" xfId="2965"/>
    <cellStyle name="Hyperlink 359" xfId="2966"/>
    <cellStyle name="Hyperlink 3590" xfId="2967"/>
    <cellStyle name="Hyperlink 3591" xfId="2968"/>
    <cellStyle name="Hyperlink 3592" xfId="2969"/>
    <cellStyle name="Hyperlink 3593" xfId="2970"/>
    <cellStyle name="Hyperlink 3594" xfId="2971"/>
    <cellStyle name="Hyperlink 3595" xfId="2972"/>
    <cellStyle name="Hyperlink 3596" xfId="2973"/>
    <cellStyle name="Hyperlink 3597" xfId="2974"/>
    <cellStyle name="Hyperlink 3598" xfId="2975"/>
    <cellStyle name="Hyperlink 3599" xfId="2976"/>
    <cellStyle name="Hyperlink 36" xfId="2977"/>
    <cellStyle name="Hyperlink 360" xfId="2978"/>
    <cellStyle name="Hyperlink 3600" xfId="2979"/>
    <cellStyle name="Hyperlink 3601" xfId="2980"/>
    <cellStyle name="Hyperlink 3602" xfId="2981"/>
    <cellStyle name="Hyperlink 3603" xfId="2982"/>
    <cellStyle name="Hyperlink 3604" xfId="2983"/>
    <cellStyle name="Hyperlink 3605" xfId="2984"/>
    <cellStyle name="Hyperlink 3606" xfId="2985"/>
    <cellStyle name="Hyperlink 3607" xfId="2986"/>
    <cellStyle name="Hyperlink 3608" xfId="2987"/>
    <cellStyle name="Hyperlink 3609" xfId="2988"/>
    <cellStyle name="Hyperlink 361" xfId="2989"/>
    <cellStyle name="Hyperlink 3610" xfId="2990"/>
    <cellStyle name="Hyperlink 3611" xfId="2991"/>
    <cellStyle name="Hyperlink 3612" xfId="2992"/>
    <cellStyle name="Hyperlink 3613" xfId="2993"/>
    <cellStyle name="Hyperlink 3614" xfId="2994"/>
    <cellStyle name="Hyperlink 3615" xfId="2995"/>
    <cellStyle name="Hyperlink 3616" xfId="2996"/>
    <cellStyle name="Hyperlink 3617" xfId="2997"/>
    <cellStyle name="Hyperlink 3618" xfId="2998"/>
    <cellStyle name="Hyperlink 3619" xfId="2999"/>
    <cellStyle name="Hyperlink 362" xfId="3000"/>
    <cellStyle name="Hyperlink 3620" xfId="3001"/>
    <cellStyle name="Hyperlink 3621" xfId="3002"/>
    <cellStyle name="Hyperlink 3622" xfId="3003"/>
    <cellStyle name="Hyperlink 3623" xfId="3004"/>
    <cellStyle name="Hyperlink 3624" xfId="3005"/>
    <cellStyle name="Hyperlink 3625" xfId="3006"/>
    <cellStyle name="Hyperlink 3626" xfId="3007"/>
    <cellStyle name="Hyperlink 3627" xfId="3008"/>
    <cellStyle name="Hyperlink 3628" xfId="3009"/>
    <cellStyle name="Hyperlink 3629" xfId="3010"/>
    <cellStyle name="Hyperlink 363" xfId="3011"/>
    <cellStyle name="Hyperlink 3630" xfId="3012"/>
    <cellStyle name="Hyperlink 3631" xfId="3013"/>
    <cellStyle name="Hyperlink 3632" xfId="3014"/>
    <cellStyle name="Hyperlink 3633" xfId="3015"/>
    <cellStyle name="Hyperlink 3634" xfId="3016"/>
    <cellStyle name="Hyperlink 3635" xfId="3017"/>
    <cellStyle name="Hyperlink 3636" xfId="3018"/>
    <cellStyle name="Hyperlink 3637" xfId="3019"/>
    <cellStyle name="Hyperlink 3638" xfId="3020"/>
    <cellStyle name="Hyperlink 3639" xfId="3021"/>
    <cellStyle name="Hyperlink 364" xfId="3022"/>
    <cellStyle name="Hyperlink 3640" xfId="3023"/>
    <cellStyle name="Hyperlink 3641" xfId="3024"/>
    <cellStyle name="Hyperlink 3642" xfId="3025"/>
    <cellStyle name="Hyperlink 3643" xfId="3026"/>
    <cellStyle name="Hyperlink 3644" xfId="3027"/>
    <cellStyle name="Hyperlink 3645" xfId="3028"/>
    <cellStyle name="Hyperlink 3646" xfId="3029"/>
    <cellStyle name="Hyperlink 3647" xfId="3030"/>
    <cellStyle name="Hyperlink 3648" xfId="3031"/>
    <cellStyle name="Hyperlink 3649" xfId="3032"/>
    <cellStyle name="Hyperlink 365" xfId="3033"/>
    <cellStyle name="Hyperlink 3650" xfId="3034"/>
    <cellStyle name="Hyperlink 3651" xfId="3035"/>
    <cellStyle name="Hyperlink 3652" xfId="3036"/>
    <cellStyle name="Hyperlink 3653" xfId="3037"/>
    <cellStyle name="Hyperlink 3654" xfId="3038"/>
    <cellStyle name="Hyperlink 3655" xfId="3039"/>
    <cellStyle name="Hyperlink 3656" xfId="3040"/>
    <cellStyle name="Hyperlink 3657" xfId="3041"/>
    <cellStyle name="Hyperlink 3658" xfId="3042"/>
    <cellStyle name="Hyperlink 3659" xfId="3043"/>
    <cellStyle name="Hyperlink 366" xfId="3044"/>
    <cellStyle name="Hyperlink 3660" xfId="3045"/>
    <cellStyle name="Hyperlink 3661" xfId="3046"/>
    <cellStyle name="Hyperlink 3662" xfId="3047"/>
    <cellStyle name="Hyperlink 3663" xfId="3048"/>
    <cellStyle name="Hyperlink 3664" xfId="3049"/>
    <cellStyle name="Hyperlink 3665" xfId="3050"/>
    <cellStyle name="Hyperlink 3666" xfId="3051"/>
    <cellStyle name="Hyperlink 3667" xfId="3052"/>
    <cellStyle name="Hyperlink 3668" xfId="3053"/>
    <cellStyle name="Hyperlink 3669" xfId="3054"/>
    <cellStyle name="Hyperlink 367" xfId="3055"/>
    <cellStyle name="Hyperlink 3670" xfId="3056"/>
    <cellStyle name="Hyperlink 3671" xfId="3057"/>
    <cellStyle name="Hyperlink 3672" xfId="3058"/>
    <cellStyle name="Hyperlink 3673" xfId="3059"/>
    <cellStyle name="Hyperlink 3674" xfId="3060"/>
    <cellStyle name="Hyperlink 3675" xfId="3061"/>
    <cellStyle name="Hyperlink 3676" xfId="3062"/>
    <cellStyle name="Hyperlink 3677" xfId="3063"/>
    <cellStyle name="Hyperlink 3678" xfId="3064"/>
    <cellStyle name="Hyperlink 3679" xfId="3065"/>
    <cellStyle name="Hyperlink 368" xfId="3066"/>
    <cellStyle name="Hyperlink 3680" xfId="3067"/>
    <cellStyle name="Hyperlink 3681" xfId="3068"/>
    <cellStyle name="Hyperlink 3682" xfId="3069"/>
    <cellStyle name="Hyperlink 3683" xfId="3070"/>
    <cellStyle name="Hyperlink 3684" xfId="3071"/>
    <cellStyle name="Hyperlink 3685" xfId="3072"/>
    <cellStyle name="Hyperlink 3686" xfId="3073"/>
    <cellStyle name="Hyperlink 3687" xfId="3074"/>
    <cellStyle name="Hyperlink 3688" xfId="3075"/>
    <cellStyle name="Hyperlink 3689" xfId="3076"/>
    <cellStyle name="Hyperlink 369" xfId="3077"/>
    <cellStyle name="Hyperlink 3690" xfId="3078"/>
    <cellStyle name="Hyperlink 3691" xfId="3079"/>
    <cellStyle name="Hyperlink 3692" xfId="3080"/>
    <cellStyle name="Hyperlink 3693" xfId="3081"/>
    <cellStyle name="Hyperlink 3694" xfId="3082"/>
    <cellStyle name="Hyperlink 3695" xfId="3083"/>
    <cellStyle name="Hyperlink 3696" xfId="3084"/>
    <cellStyle name="Hyperlink 3697" xfId="3085"/>
    <cellStyle name="Hyperlink 3698" xfId="3086"/>
    <cellStyle name="Hyperlink 3699" xfId="3087"/>
    <cellStyle name="Hyperlink 37" xfId="3088"/>
    <cellStyle name="Hyperlink 370" xfId="3089"/>
    <cellStyle name="Hyperlink 3700" xfId="3090"/>
    <cellStyle name="Hyperlink 3701" xfId="3091"/>
    <cellStyle name="Hyperlink 3702" xfId="3092"/>
    <cellStyle name="Hyperlink 3703" xfId="3093"/>
    <cellStyle name="Hyperlink 3704" xfId="3094"/>
    <cellStyle name="Hyperlink 3705" xfId="3095"/>
    <cellStyle name="Hyperlink 3706" xfId="3096"/>
    <cellStyle name="Hyperlink 3707" xfId="3097"/>
    <cellStyle name="Hyperlink 3708" xfId="3098"/>
    <cellStyle name="Hyperlink 3709" xfId="3099"/>
    <cellStyle name="Hyperlink 371" xfId="3100"/>
    <cellStyle name="Hyperlink 3710" xfId="3101"/>
    <cellStyle name="Hyperlink 3711" xfId="3102"/>
    <cellStyle name="Hyperlink 3712" xfId="3103"/>
    <cellStyle name="Hyperlink 3713" xfId="3104"/>
    <cellStyle name="Hyperlink 3714" xfId="3105"/>
    <cellStyle name="Hyperlink 3715" xfId="3106"/>
    <cellStyle name="Hyperlink 3716" xfId="3107"/>
    <cellStyle name="Hyperlink 3717" xfId="3108"/>
    <cellStyle name="Hyperlink 3718" xfId="3109"/>
    <cellStyle name="Hyperlink 3719" xfId="3110"/>
    <cellStyle name="Hyperlink 372" xfId="3111"/>
    <cellStyle name="Hyperlink 3720" xfId="3112"/>
    <cellStyle name="Hyperlink 3721" xfId="3113"/>
    <cellStyle name="Hyperlink 3722" xfId="3114"/>
    <cellStyle name="Hyperlink 3723" xfId="3115"/>
    <cellStyle name="Hyperlink 3724" xfId="3116"/>
    <cellStyle name="Hyperlink 3725" xfId="3117"/>
    <cellStyle name="Hyperlink 3726" xfId="3118"/>
    <cellStyle name="Hyperlink 3727" xfId="3119"/>
    <cellStyle name="Hyperlink 3728" xfId="3120"/>
    <cellStyle name="Hyperlink 3729" xfId="3121"/>
    <cellStyle name="Hyperlink 373" xfId="3122"/>
    <cellStyle name="Hyperlink 3730" xfId="3123"/>
    <cellStyle name="Hyperlink 3731" xfId="3124"/>
    <cellStyle name="Hyperlink 3732" xfId="3125"/>
    <cellStyle name="Hyperlink 3733" xfId="3126"/>
    <cellStyle name="Hyperlink 3734" xfId="3127"/>
    <cellStyle name="Hyperlink 3735" xfId="3128"/>
    <cellStyle name="Hyperlink 3736" xfId="3129"/>
    <cellStyle name="Hyperlink 3737" xfId="3130"/>
    <cellStyle name="Hyperlink 3738" xfId="3131"/>
    <cellStyle name="Hyperlink 3739" xfId="3132"/>
    <cellStyle name="Hyperlink 374" xfId="3133"/>
    <cellStyle name="Hyperlink 3740" xfId="3134"/>
    <cellStyle name="Hyperlink 3741" xfId="3135"/>
    <cellStyle name="Hyperlink 3742" xfId="3136"/>
    <cellStyle name="Hyperlink 3743" xfId="3137"/>
    <cellStyle name="Hyperlink 3744" xfId="3138"/>
    <cellStyle name="Hyperlink 3745" xfId="3139"/>
    <cellStyle name="Hyperlink 3746" xfId="3140"/>
    <cellStyle name="Hyperlink 3747" xfId="3141"/>
    <cellStyle name="Hyperlink 3748" xfId="3142"/>
    <cellStyle name="Hyperlink 3749" xfId="3143"/>
    <cellStyle name="Hyperlink 375" xfId="3144"/>
    <cellStyle name="Hyperlink 3750" xfId="3145"/>
    <cellStyle name="Hyperlink 3751" xfId="3146"/>
    <cellStyle name="Hyperlink 3752" xfId="3147"/>
    <cellStyle name="Hyperlink 3753" xfId="3148"/>
    <cellStyle name="Hyperlink 3754" xfId="3149"/>
    <cellStyle name="Hyperlink 3755" xfId="3150"/>
    <cellStyle name="Hyperlink 3756" xfId="3151"/>
    <cellStyle name="Hyperlink 3757" xfId="3152"/>
    <cellStyle name="Hyperlink 3758" xfId="3153"/>
    <cellStyle name="Hyperlink 3759" xfId="3154"/>
    <cellStyle name="Hyperlink 376" xfId="3155"/>
    <cellStyle name="Hyperlink 3760" xfId="3156"/>
    <cellStyle name="Hyperlink 3761" xfId="3157"/>
    <cellStyle name="Hyperlink 3762" xfId="3158"/>
    <cellStyle name="Hyperlink 3763" xfId="3159"/>
    <cellStyle name="Hyperlink 3764" xfId="3160"/>
    <cellStyle name="Hyperlink 3765" xfId="3161"/>
    <cellStyle name="Hyperlink 3766" xfId="3162"/>
    <cellStyle name="Hyperlink 3767" xfId="3163"/>
    <cellStyle name="Hyperlink 3768" xfId="3164"/>
    <cellStyle name="Hyperlink 3769" xfId="3165"/>
    <cellStyle name="Hyperlink 377" xfId="3166"/>
    <cellStyle name="Hyperlink 3770" xfId="3167"/>
    <cellStyle name="Hyperlink 3771" xfId="3168"/>
    <cellStyle name="Hyperlink 3772" xfId="3169"/>
    <cellStyle name="Hyperlink 3773" xfId="3170"/>
    <cellStyle name="Hyperlink 3774" xfId="3171"/>
    <cellStyle name="Hyperlink 3775" xfId="3172"/>
    <cellStyle name="Hyperlink 3776" xfId="3173"/>
    <cellStyle name="Hyperlink 3777" xfId="3174"/>
    <cellStyle name="Hyperlink 3778" xfId="3175"/>
    <cellStyle name="Hyperlink 3779" xfId="3176"/>
    <cellStyle name="Hyperlink 378" xfId="3177"/>
    <cellStyle name="Hyperlink 3780" xfId="3178"/>
    <cellStyle name="Hyperlink 3781" xfId="3179"/>
    <cellStyle name="Hyperlink 3782" xfId="3180"/>
    <cellStyle name="Hyperlink 3783" xfId="3181"/>
    <cellStyle name="Hyperlink 3784" xfId="3182"/>
    <cellStyle name="Hyperlink 3785" xfId="3183"/>
    <cellStyle name="Hyperlink 3786" xfId="3184"/>
    <cellStyle name="Hyperlink 3787" xfId="3185"/>
    <cellStyle name="Hyperlink 3788" xfId="3186"/>
    <cellStyle name="Hyperlink 3789" xfId="3187"/>
    <cellStyle name="Hyperlink 379" xfId="3188"/>
    <cellStyle name="Hyperlink 3790" xfId="3189"/>
    <cellStyle name="Hyperlink 3791" xfId="3190"/>
    <cellStyle name="Hyperlink 3792" xfId="3191"/>
    <cellStyle name="Hyperlink 3793" xfId="3192"/>
    <cellStyle name="Hyperlink 3794" xfId="3193"/>
    <cellStyle name="Hyperlink 3795" xfId="3194"/>
    <cellStyle name="Hyperlink 3796" xfId="3195"/>
    <cellStyle name="Hyperlink 3797" xfId="3196"/>
    <cellStyle name="Hyperlink 3798" xfId="3197"/>
    <cellStyle name="Hyperlink 3799" xfId="3198"/>
    <cellStyle name="Hyperlink 38" xfId="3199"/>
    <cellStyle name="Hyperlink 380" xfId="3200"/>
    <cellStyle name="Hyperlink 3800" xfId="3201"/>
    <cellStyle name="Hyperlink 3801" xfId="3202"/>
    <cellStyle name="Hyperlink 3802" xfId="3203"/>
    <cellStyle name="Hyperlink 3803" xfId="3204"/>
    <cellStyle name="Hyperlink 3804" xfId="3205"/>
    <cellStyle name="Hyperlink 3805" xfId="3206"/>
    <cellStyle name="Hyperlink 3806" xfId="3207"/>
    <cellStyle name="Hyperlink 3807" xfId="3208"/>
    <cellStyle name="Hyperlink 3808" xfId="3209"/>
    <cellStyle name="Hyperlink 3809" xfId="3210"/>
    <cellStyle name="Hyperlink 381" xfId="3211"/>
    <cellStyle name="Hyperlink 3810" xfId="3212"/>
    <cellStyle name="Hyperlink 3811" xfId="3213"/>
    <cellStyle name="Hyperlink 3812" xfId="3214"/>
    <cellStyle name="Hyperlink 3813" xfId="3215"/>
    <cellStyle name="Hyperlink 3814" xfId="3216"/>
    <cellStyle name="Hyperlink 3815" xfId="3217"/>
    <cellStyle name="Hyperlink 3816" xfId="3218"/>
    <cellStyle name="Hyperlink 3817" xfId="3219"/>
    <cellStyle name="Hyperlink 3818" xfId="3220"/>
    <cellStyle name="Hyperlink 3819" xfId="3221"/>
    <cellStyle name="Hyperlink 382" xfId="3222"/>
    <cellStyle name="Hyperlink 3820" xfId="3223"/>
    <cellStyle name="Hyperlink 3821" xfId="3224"/>
    <cellStyle name="Hyperlink 3822" xfId="3225"/>
    <cellStyle name="Hyperlink 3823" xfId="3226"/>
    <cellStyle name="Hyperlink 3824" xfId="3227"/>
    <cellStyle name="Hyperlink 3825" xfId="3228"/>
    <cellStyle name="Hyperlink 3826" xfId="3229"/>
    <cellStyle name="Hyperlink 3827" xfId="3230"/>
    <cellStyle name="Hyperlink 3828" xfId="3231"/>
    <cellStyle name="Hyperlink 3829" xfId="3232"/>
    <cellStyle name="Hyperlink 383" xfId="3233"/>
    <cellStyle name="Hyperlink 3830" xfId="3234"/>
    <cellStyle name="Hyperlink 3831" xfId="3235"/>
    <cellStyle name="Hyperlink 3832" xfId="3236"/>
    <cellStyle name="Hyperlink 3833" xfId="3237"/>
    <cellStyle name="Hyperlink 3834" xfId="3238"/>
    <cellStyle name="Hyperlink 3835" xfId="3239"/>
    <cellStyle name="Hyperlink 3836" xfId="3240"/>
    <cellStyle name="Hyperlink 3837" xfId="3241"/>
    <cellStyle name="Hyperlink 3838" xfId="3242"/>
    <cellStyle name="Hyperlink 3839" xfId="3243"/>
    <cellStyle name="Hyperlink 384" xfId="3244"/>
    <cellStyle name="Hyperlink 3840" xfId="3245"/>
    <cellStyle name="Hyperlink 3841" xfId="3246"/>
    <cellStyle name="Hyperlink 3842" xfId="3247"/>
    <cellStyle name="Hyperlink 3843" xfId="3248"/>
    <cellStyle name="Hyperlink 3844" xfId="3249"/>
    <cellStyle name="Hyperlink 3845" xfId="3250"/>
    <cellStyle name="Hyperlink 3846" xfId="3251"/>
    <cellStyle name="Hyperlink 3847" xfId="3252"/>
    <cellStyle name="Hyperlink 3848" xfId="3253"/>
    <cellStyle name="Hyperlink 3849" xfId="3254"/>
    <cellStyle name="Hyperlink 385" xfId="3255"/>
    <cellStyle name="Hyperlink 3850" xfId="3256"/>
    <cellStyle name="Hyperlink 3851" xfId="3257"/>
    <cellStyle name="Hyperlink 3852" xfId="3258"/>
    <cellStyle name="Hyperlink 3853" xfId="3259"/>
    <cellStyle name="Hyperlink 3854" xfId="3260"/>
    <cellStyle name="Hyperlink 3855" xfId="3261"/>
    <cellStyle name="Hyperlink 3856" xfId="3262"/>
    <cellStyle name="Hyperlink 3857" xfId="3263"/>
    <cellStyle name="Hyperlink 3858" xfId="3264"/>
    <cellStyle name="Hyperlink 3859" xfId="3265"/>
    <cellStyle name="Hyperlink 386" xfId="3266"/>
    <cellStyle name="Hyperlink 3860" xfId="3267"/>
    <cellStyle name="Hyperlink 3861" xfId="3268"/>
    <cellStyle name="Hyperlink 3862" xfId="3269"/>
    <cellStyle name="Hyperlink 3863" xfId="3270"/>
    <cellStyle name="Hyperlink 3864" xfId="3271"/>
    <cellStyle name="Hyperlink 3865" xfId="3272"/>
    <cellStyle name="Hyperlink 3866" xfId="3273"/>
    <cellStyle name="Hyperlink 3867" xfId="3274"/>
    <cellStyle name="Hyperlink 3868" xfId="3275"/>
    <cellStyle name="Hyperlink 3869" xfId="3276"/>
    <cellStyle name="Hyperlink 387" xfId="3277"/>
    <cellStyle name="Hyperlink 3870" xfId="3278"/>
    <cellStyle name="Hyperlink 3871" xfId="3279"/>
    <cellStyle name="Hyperlink 3872" xfId="3280"/>
    <cellStyle name="Hyperlink 3873" xfId="3281"/>
    <cellStyle name="Hyperlink 3874" xfId="3282"/>
    <cellStyle name="Hyperlink 3875" xfId="3283"/>
    <cellStyle name="Hyperlink 3876" xfId="3284"/>
    <cellStyle name="Hyperlink 3877" xfId="3285"/>
    <cellStyle name="Hyperlink 3878" xfId="3286"/>
    <cellStyle name="Hyperlink 3879" xfId="3287"/>
    <cellStyle name="Hyperlink 388" xfId="3288"/>
    <cellStyle name="Hyperlink 3880" xfId="3289"/>
    <cellStyle name="Hyperlink 3881" xfId="3290"/>
    <cellStyle name="Hyperlink 3882" xfId="3291"/>
    <cellStyle name="Hyperlink 3883" xfId="3292"/>
    <cellStyle name="Hyperlink 3884" xfId="3293"/>
    <cellStyle name="Hyperlink 3885" xfId="3294"/>
    <cellStyle name="Hyperlink 3886" xfId="3295"/>
    <cellStyle name="Hyperlink 3887" xfId="3296"/>
    <cellStyle name="Hyperlink 3888" xfId="3297"/>
    <cellStyle name="Hyperlink 3889" xfId="3298"/>
    <cellStyle name="Hyperlink 389" xfId="3299"/>
    <cellStyle name="Hyperlink 3890" xfId="3300"/>
    <cellStyle name="Hyperlink 3891" xfId="3301"/>
    <cellStyle name="Hyperlink 3892" xfId="3302"/>
    <cellStyle name="Hyperlink 3893" xfId="3303"/>
    <cellStyle name="Hyperlink 3894" xfId="3304"/>
    <cellStyle name="Hyperlink 3895" xfId="3305"/>
    <cellStyle name="Hyperlink 3896" xfId="3306"/>
    <cellStyle name="Hyperlink 3897" xfId="3307"/>
    <cellStyle name="Hyperlink 3898" xfId="3308"/>
    <cellStyle name="Hyperlink 3899" xfId="3309"/>
    <cellStyle name="Hyperlink 39" xfId="3310"/>
    <cellStyle name="Hyperlink 390" xfId="3311"/>
    <cellStyle name="Hyperlink 3900" xfId="3312"/>
    <cellStyle name="Hyperlink 3901" xfId="3313"/>
    <cellStyle name="Hyperlink 3902" xfId="3314"/>
    <cellStyle name="Hyperlink 3903" xfId="3315"/>
    <cellStyle name="Hyperlink 3904" xfId="3316"/>
    <cellStyle name="Hyperlink 3905" xfId="3317"/>
    <cellStyle name="Hyperlink 3906" xfId="3318"/>
    <cellStyle name="Hyperlink 3907" xfId="3319"/>
    <cellStyle name="Hyperlink 3908" xfId="3320"/>
    <cellStyle name="Hyperlink 3909" xfId="3321"/>
    <cellStyle name="Hyperlink 391" xfId="3322"/>
    <cellStyle name="Hyperlink 3910" xfId="3323"/>
    <cellStyle name="Hyperlink 3911" xfId="3324"/>
    <cellStyle name="Hyperlink 3912" xfId="3325"/>
    <cellStyle name="Hyperlink 3913" xfId="3326"/>
    <cellStyle name="Hyperlink 3914" xfId="3327"/>
    <cellStyle name="Hyperlink 3915" xfId="3328"/>
    <cellStyle name="Hyperlink 3916" xfId="3329"/>
    <cellStyle name="Hyperlink 3917" xfId="3330"/>
    <cellStyle name="Hyperlink 3918" xfId="3331"/>
    <cellStyle name="Hyperlink 3919" xfId="3332"/>
    <cellStyle name="Hyperlink 392" xfId="3333"/>
    <cellStyle name="Hyperlink 3920" xfId="3334"/>
    <cellStyle name="Hyperlink 3921" xfId="3335"/>
    <cellStyle name="Hyperlink 3922" xfId="3336"/>
    <cellStyle name="Hyperlink 3923" xfId="3337"/>
    <cellStyle name="Hyperlink 3924" xfId="3338"/>
    <cellStyle name="Hyperlink 3925" xfId="3339"/>
    <cellStyle name="Hyperlink 3926" xfId="3340"/>
    <cellStyle name="Hyperlink 3927" xfId="3341"/>
    <cellStyle name="Hyperlink 3928" xfId="3342"/>
    <cellStyle name="Hyperlink 3929" xfId="3343"/>
    <cellStyle name="Hyperlink 393" xfId="3344"/>
    <cellStyle name="Hyperlink 3930" xfId="3345"/>
    <cellStyle name="Hyperlink 3931" xfId="3346"/>
    <cellStyle name="Hyperlink 3932" xfId="3347"/>
    <cellStyle name="Hyperlink 3933" xfId="3348"/>
    <cellStyle name="Hyperlink 3934" xfId="3349"/>
    <cellStyle name="Hyperlink 3935" xfId="3350"/>
    <cellStyle name="Hyperlink 3936" xfId="3351"/>
    <cellStyle name="Hyperlink 3937" xfId="3352"/>
    <cellStyle name="Hyperlink 3938" xfId="3353"/>
    <cellStyle name="Hyperlink 3939" xfId="3354"/>
    <cellStyle name="Hyperlink 394" xfId="3355"/>
    <cellStyle name="Hyperlink 3940" xfId="3356"/>
    <cellStyle name="Hyperlink 3941" xfId="3357"/>
    <cellStyle name="Hyperlink 3942" xfId="3358"/>
    <cellStyle name="Hyperlink 3943" xfId="3359"/>
    <cellStyle name="Hyperlink 3944" xfId="3360"/>
    <cellStyle name="Hyperlink 3945" xfId="3361"/>
    <cellStyle name="Hyperlink 3946" xfId="3362"/>
    <cellStyle name="Hyperlink 3947" xfId="3363"/>
    <cellStyle name="Hyperlink 3948" xfId="3364"/>
    <cellStyle name="Hyperlink 3949" xfId="3365"/>
    <cellStyle name="Hyperlink 395" xfId="3366"/>
    <cellStyle name="Hyperlink 3950" xfId="3367"/>
    <cellStyle name="Hyperlink 3951" xfId="3368"/>
    <cellStyle name="Hyperlink 3952" xfId="3369"/>
    <cellStyle name="Hyperlink 3953" xfId="3370"/>
    <cellStyle name="Hyperlink 3954" xfId="3371"/>
    <cellStyle name="Hyperlink 3955" xfId="3372"/>
    <cellStyle name="Hyperlink 3956" xfId="3373"/>
    <cellStyle name="Hyperlink 3957" xfId="3374"/>
    <cellStyle name="Hyperlink 3958" xfId="3375"/>
    <cellStyle name="Hyperlink 3959" xfId="3376"/>
    <cellStyle name="Hyperlink 396" xfId="3377"/>
    <cellStyle name="Hyperlink 3960" xfId="3378"/>
    <cellStyle name="Hyperlink 3961" xfId="3379"/>
    <cellStyle name="Hyperlink 3962" xfId="3380"/>
    <cellStyle name="Hyperlink 3963" xfId="3381"/>
    <cellStyle name="Hyperlink 3964" xfId="3382"/>
    <cellStyle name="Hyperlink 3965" xfId="3383"/>
    <cellStyle name="Hyperlink 3966" xfId="3384"/>
    <cellStyle name="Hyperlink 3967" xfId="3385"/>
    <cellStyle name="Hyperlink 3968" xfId="3386"/>
    <cellStyle name="Hyperlink 3969" xfId="3387"/>
    <cellStyle name="Hyperlink 397" xfId="3388"/>
    <cellStyle name="Hyperlink 3970" xfId="3389"/>
    <cellStyle name="Hyperlink 3971" xfId="3390"/>
    <cellStyle name="Hyperlink 3972" xfId="3391"/>
    <cellStyle name="Hyperlink 3973" xfId="3392"/>
    <cellStyle name="Hyperlink 3974" xfId="3393"/>
    <cellStyle name="Hyperlink 3975" xfId="3394"/>
    <cellStyle name="Hyperlink 3976" xfId="3395"/>
    <cellStyle name="Hyperlink 3977" xfId="3396"/>
    <cellStyle name="Hyperlink 3978" xfId="3397"/>
    <cellStyle name="Hyperlink 3979" xfId="3398"/>
    <cellStyle name="Hyperlink 398" xfId="3399"/>
    <cellStyle name="Hyperlink 3980" xfId="3400"/>
    <cellStyle name="Hyperlink 3981" xfId="3401"/>
    <cellStyle name="Hyperlink 3982" xfId="3402"/>
    <cellStyle name="Hyperlink 3983" xfId="3403"/>
    <cellStyle name="Hyperlink 3984" xfId="3404"/>
    <cellStyle name="Hyperlink 3985" xfId="3405"/>
    <cellStyle name="Hyperlink 3986" xfId="3406"/>
    <cellStyle name="Hyperlink 3987" xfId="3407"/>
    <cellStyle name="Hyperlink 3988" xfId="3408"/>
    <cellStyle name="Hyperlink 3989" xfId="3409"/>
    <cellStyle name="Hyperlink 399" xfId="3410"/>
    <cellStyle name="Hyperlink 3990" xfId="3411"/>
    <cellStyle name="Hyperlink 3991" xfId="3412"/>
    <cellStyle name="Hyperlink 3992" xfId="3413"/>
    <cellStyle name="Hyperlink 3993" xfId="3414"/>
    <cellStyle name="Hyperlink 3994" xfId="3415"/>
    <cellStyle name="Hyperlink 3995" xfId="3416"/>
    <cellStyle name="Hyperlink 3996" xfId="3417"/>
    <cellStyle name="Hyperlink 3997" xfId="3418"/>
    <cellStyle name="Hyperlink 3998" xfId="3419"/>
    <cellStyle name="Hyperlink 3999" xfId="3420"/>
    <cellStyle name="Hyperlink 4" xfId="3421"/>
    <cellStyle name="Hyperlink 40" xfId="3422"/>
    <cellStyle name="Hyperlink 400" xfId="3423"/>
    <cellStyle name="Hyperlink 4000" xfId="3424"/>
    <cellStyle name="Hyperlink 4001" xfId="3425"/>
    <cellStyle name="Hyperlink 4002" xfId="3426"/>
    <cellStyle name="Hyperlink 4003" xfId="3427"/>
    <cellStyle name="Hyperlink 4004" xfId="3428"/>
    <cellStyle name="Hyperlink 4005" xfId="3429"/>
    <cellStyle name="Hyperlink 4006" xfId="3430"/>
    <cellStyle name="Hyperlink 4007" xfId="3431"/>
    <cellStyle name="Hyperlink 4008" xfId="3432"/>
    <cellStyle name="Hyperlink 4009" xfId="3433"/>
    <cellStyle name="Hyperlink 401" xfId="3434"/>
    <cellStyle name="Hyperlink 4010" xfId="3435"/>
    <cellStyle name="Hyperlink 4011" xfId="3436"/>
    <cellStyle name="Hyperlink 4012" xfId="3437"/>
    <cellStyle name="Hyperlink 4013" xfId="3438"/>
    <cellStyle name="Hyperlink 4014" xfId="3439"/>
    <cellStyle name="Hyperlink 4015" xfId="3440"/>
    <cellStyle name="Hyperlink 4016" xfId="3441"/>
    <cellStyle name="Hyperlink 4017" xfId="3442"/>
    <cellStyle name="Hyperlink 4018" xfId="3443"/>
    <cellStyle name="Hyperlink 4019" xfId="3444"/>
    <cellStyle name="Hyperlink 402" xfId="3445"/>
    <cellStyle name="Hyperlink 4020" xfId="3446"/>
    <cellStyle name="Hyperlink 4021" xfId="3447"/>
    <cellStyle name="Hyperlink 4022" xfId="3448"/>
    <cellStyle name="Hyperlink 4023" xfId="3449"/>
    <cellStyle name="Hyperlink 4024" xfId="3450"/>
    <cellStyle name="Hyperlink 4025" xfId="3451"/>
    <cellStyle name="Hyperlink 4026" xfId="3452"/>
    <cellStyle name="Hyperlink 4027" xfId="3453"/>
    <cellStyle name="Hyperlink 4028" xfId="3454"/>
    <cellStyle name="Hyperlink 4029" xfId="3455"/>
    <cellStyle name="Hyperlink 403" xfId="3456"/>
    <cellStyle name="Hyperlink 4030" xfId="3457"/>
    <cellStyle name="Hyperlink 4031" xfId="3458"/>
    <cellStyle name="Hyperlink 4032" xfId="3459"/>
    <cellStyle name="Hyperlink 4033" xfId="3460"/>
    <cellStyle name="Hyperlink 4034" xfId="3461"/>
    <cellStyle name="Hyperlink 4035" xfId="3462"/>
    <cellStyle name="Hyperlink 4036" xfId="3463"/>
    <cellStyle name="Hyperlink 4037" xfId="3464"/>
    <cellStyle name="Hyperlink 4038" xfId="3465"/>
    <cellStyle name="Hyperlink 4039" xfId="3466"/>
    <cellStyle name="Hyperlink 404" xfId="3467"/>
    <cellStyle name="Hyperlink 4040" xfId="3468"/>
    <cellStyle name="Hyperlink 4041" xfId="3469"/>
    <cellStyle name="Hyperlink 4042" xfId="3470"/>
    <cellStyle name="Hyperlink 4043" xfId="3471"/>
    <cellStyle name="Hyperlink 4044" xfId="3472"/>
    <cellStyle name="Hyperlink 4045" xfId="3473"/>
    <cellStyle name="Hyperlink 4046" xfId="3474"/>
    <cellStyle name="Hyperlink 4047" xfId="3475"/>
    <cellStyle name="Hyperlink 4048" xfId="3476"/>
    <cellStyle name="Hyperlink 4049" xfId="3477"/>
    <cellStyle name="Hyperlink 405" xfId="3478"/>
    <cellStyle name="Hyperlink 4050" xfId="3479"/>
    <cellStyle name="Hyperlink 4051" xfId="3480"/>
    <cellStyle name="Hyperlink 4052" xfId="3481"/>
    <cellStyle name="Hyperlink 4053" xfId="3482"/>
    <cellStyle name="Hyperlink 4054" xfId="3483"/>
    <cellStyle name="Hyperlink 4055" xfId="3484"/>
    <cellStyle name="Hyperlink 4056" xfId="3485"/>
    <cellStyle name="Hyperlink 4057" xfId="3486"/>
    <cellStyle name="Hyperlink 4058" xfId="3487"/>
    <cellStyle name="Hyperlink 4059" xfId="3488"/>
    <cellStyle name="Hyperlink 406" xfId="3489"/>
    <cellStyle name="Hyperlink 4060" xfId="3490"/>
    <cellStyle name="Hyperlink 4061" xfId="3491"/>
    <cellStyle name="Hyperlink 4062" xfId="3492"/>
    <cellStyle name="Hyperlink 4063" xfId="3493"/>
    <cellStyle name="Hyperlink 4064" xfId="3494"/>
    <cellStyle name="Hyperlink 4065" xfId="3495"/>
    <cellStyle name="Hyperlink 4066" xfId="3496"/>
    <cellStyle name="Hyperlink 4067" xfId="3497"/>
    <cellStyle name="Hyperlink 4068" xfId="3498"/>
    <cellStyle name="Hyperlink 4069" xfId="3499"/>
    <cellStyle name="Hyperlink 407" xfId="3500"/>
    <cellStyle name="Hyperlink 4070" xfId="3501"/>
    <cellStyle name="Hyperlink 4071" xfId="3502"/>
    <cellStyle name="Hyperlink 4072" xfId="3503"/>
    <cellStyle name="Hyperlink 4073" xfId="3504"/>
    <cellStyle name="Hyperlink 4074" xfId="3505"/>
    <cellStyle name="Hyperlink 4075" xfId="3506"/>
    <cellStyle name="Hyperlink 4076" xfId="3507"/>
    <cellStyle name="Hyperlink 4077" xfId="3508"/>
    <cellStyle name="Hyperlink 4078" xfId="3509"/>
    <cellStyle name="Hyperlink 4079" xfId="3510"/>
    <cellStyle name="Hyperlink 408" xfId="3511"/>
    <cellStyle name="Hyperlink 4080" xfId="3512"/>
    <cellStyle name="Hyperlink 4081" xfId="3513"/>
    <cellStyle name="Hyperlink 4082" xfId="3514"/>
    <cellStyle name="Hyperlink 4083" xfId="3515"/>
    <cellStyle name="Hyperlink 4084" xfId="3516"/>
    <cellStyle name="Hyperlink 4085" xfId="3517"/>
    <cellStyle name="Hyperlink 4086" xfId="3518"/>
    <cellStyle name="Hyperlink 4087" xfId="3519"/>
    <cellStyle name="Hyperlink 4088" xfId="3520"/>
    <cellStyle name="Hyperlink 4089" xfId="3521"/>
    <cellStyle name="Hyperlink 409" xfId="3522"/>
    <cellStyle name="Hyperlink 4090" xfId="3523"/>
    <cellStyle name="Hyperlink 4091" xfId="3524"/>
    <cellStyle name="Hyperlink 4092" xfId="3525"/>
    <cellStyle name="Hyperlink 4093" xfId="3526"/>
    <cellStyle name="Hyperlink 4094" xfId="3527"/>
    <cellStyle name="Hyperlink 4095" xfId="3528"/>
    <cellStyle name="Hyperlink 4096" xfId="3529"/>
    <cellStyle name="Hyperlink 4097" xfId="3530"/>
    <cellStyle name="Hyperlink 4098" xfId="3531"/>
    <cellStyle name="Hyperlink 4099" xfId="3532"/>
    <cellStyle name="Hyperlink 41" xfId="3533"/>
    <cellStyle name="Hyperlink 410" xfId="3534"/>
    <cellStyle name="Hyperlink 4100" xfId="3535"/>
    <cellStyle name="Hyperlink 4101" xfId="3536"/>
    <cellStyle name="Hyperlink 4102" xfId="3537"/>
    <cellStyle name="Hyperlink 4103" xfId="3538"/>
    <cellStyle name="Hyperlink 4104" xfId="3539"/>
    <cellStyle name="Hyperlink 4105" xfId="3540"/>
    <cellStyle name="Hyperlink 4106" xfId="3541"/>
    <cellStyle name="Hyperlink 4107" xfId="3542"/>
    <cellStyle name="Hyperlink 4108" xfId="3543"/>
    <cellStyle name="Hyperlink 4109" xfId="3544"/>
    <cellStyle name="Hyperlink 411" xfId="3545"/>
    <cellStyle name="Hyperlink 4110" xfId="3546"/>
    <cellStyle name="Hyperlink 4111" xfId="3547"/>
    <cellStyle name="Hyperlink 4112" xfId="3548"/>
    <cellStyle name="Hyperlink 4113" xfId="3549"/>
    <cellStyle name="Hyperlink 4114" xfId="3550"/>
    <cellStyle name="Hyperlink 4115" xfId="3551"/>
    <cellStyle name="Hyperlink 4116" xfId="3552"/>
    <cellStyle name="Hyperlink 4117" xfId="3553"/>
    <cellStyle name="Hyperlink 4118" xfId="3554"/>
    <cellStyle name="Hyperlink 4119" xfId="3555"/>
    <cellStyle name="Hyperlink 412" xfId="3556"/>
    <cellStyle name="Hyperlink 4120" xfId="3557"/>
    <cellStyle name="Hyperlink 4121" xfId="3558"/>
    <cellStyle name="Hyperlink 4122" xfId="3559"/>
    <cellStyle name="Hyperlink 4123" xfId="3560"/>
    <cellStyle name="Hyperlink 4124" xfId="3561"/>
    <cellStyle name="Hyperlink 4125" xfId="3562"/>
    <cellStyle name="Hyperlink 4126" xfId="3563"/>
    <cellStyle name="Hyperlink 4127" xfId="3564"/>
    <cellStyle name="Hyperlink 4128" xfId="3565"/>
    <cellStyle name="Hyperlink 4129" xfId="3566"/>
    <cellStyle name="Hyperlink 413" xfId="3567"/>
    <cellStyle name="Hyperlink 4130" xfId="3568"/>
    <cellStyle name="Hyperlink 4131" xfId="3569"/>
    <cellStyle name="Hyperlink 4132" xfId="3570"/>
    <cellStyle name="Hyperlink 4133" xfId="3571"/>
    <cellStyle name="Hyperlink 4134" xfId="3572"/>
    <cellStyle name="Hyperlink 4135" xfId="3573"/>
    <cellStyle name="Hyperlink 4136" xfId="3574"/>
    <cellStyle name="Hyperlink 4137" xfId="3575"/>
    <cellStyle name="Hyperlink 4138" xfId="3576"/>
    <cellStyle name="Hyperlink 4139" xfId="3577"/>
    <cellStyle name="Hyperlink 414" xfId="3578"/>
    <cellStyle name="Hyperlink 4140" xfId="3579"/>
    <cellStyle name="Hyperlink 4141" xfId="3580"/>
    <cellStyle name="Hyperlink 4142" xfId="3581"/>
    <cellStyle name="Hyperlink 4143" xfId="3582"/>
    <cellStyle name="Hyperlink 4144" xfId="3583"/>
    <cellStyle name="Hyperlink 4145" xfId="3584"/>
    <cellStyle name="Hyperlink 4146" xfId="3585"/>
    <cellStyle name="Hyperlink 4147" xfId="3586"/>
    <cellStyle name="Hyperlink 4148" xfId="3587"/>
    <cellStyle name="Hyperlink 4149" xfId="3588"/>
    <cellStyle name="Hyperlink 415" xfId="3589"/>
    <cellStyle name="Hyperlink 4150" xfId="3590"/>
    <cellStyle name="Hyperlink 4151" xfId="3591"/>
    <cellStyle name="Hyperlink 4152" xfId="3592"/>
    <cellStyle name="Hyperlink 4153" xfId="3593"/>
    <cellStyle name="Hyperlink 4154" xfId="3594"/>
    <cellStyle name="Hyperlink 4155" xfId="3595"/>
    <cellStyle name="Hyperlink 4156" xfId="3596"/>
    <cellStyle name="Hyperlink 4157" xfId="3597"/>
    <cellStyle name="Hyperlink 4158" xfId="3598"/>
    <cellStyle name="Hyperlink 4159" xfId="3599"/>
    <cellStyle name="Hyperlink 416" xfId="3600"/>
    <cellStyle name="Hyperlink 4160" xfId="3601"/>
    <cellStyle name="Hyperlink 4161" xfId="3602"/>
    <cellStyle name="Hyperlink 4162" xfId="3603"/>
    <cellStyle name="Hyperlink 4163" xfId="3604"/>
    <cellStyle name="Hyperlink 4164" xfId="3605"/>
    <cellStyle name="Hyperlink 4165" xfId="3606"/>
    <cellStyle name="Hyperlink 4166" xfId="3607"/>
    <cellStyle name="Hyperlink 4167" xfId="3608"/>
    <cellStyle name="Hyperlink 4168" xfId="3609"/>
    <cellStyle name="Hyperlink 4169" xfId="3610"/>
    <cellStyle name="Hyperlink 417" xfId="3611"/>
    <cellStyle name="Hyperlink 4170" xfId="3612"/>
    <cellStyle name="Hyperlink 4171" xfId="3613"/>
    <cellStyle name="Hyperlink 4172" xfId="3614"/>
    <cellStyle name="Hyperlink 4173" xfId="3615"/>
    <cellStyle name="Hyperlink 4174" xfId="3616"/>
    <cellStyle name="Hyperlink 4175" xfId="3617"/>
    <cellStyle name="Hyperlink 4176" xfId="3618"/>
    <cellStyle name="Hyperlink 4177" xfId="3619"/>
    <cellStyle name="Hyperlink 4178" xfId="3620"/>
    <cellStyle name="Hyperlink 4179" xfId="3621"/>
    <cellStyle name="Hyperlink 418" xfId="3622"/>
    <cellStyle name="Hyperlink 4180" xfId="3623"/>
    <cellStyle name="Hyperlink 4181" xfId="3624"/>
    <cellStyle name="Hyperlink 4182" xfId="3625"/>
    <cellStyle name="Hyperlink 4183" xfId="3626"/>
    <cellStyle name="Hyperlink 4184" xfId="3627"/>
    <cellStyle name="Hyperlink 4185" xfId="3628"/>
    <cellStyle name="Hyperlink 4186" xfId="3629"/>
    <cellStyle name="Hyperlink 4187" xfId="3630"/>
    <cellStyle name="Hyperlink 4188" xfId="3631"/>
    <cellStyle name="Hyperlink 4189" xfId="3632"/>
    <cellStyle name="Hyperlink 419" xfId="3633"/>
    <cellStyle name="Hyperlink 4190" xfId="3634"/>
    <cellStyle name="Hyperlink 4191" xfId="3635"/>
    <cellStyle name="Hyperlink 4192" xfId="3636"/>
    <cellStyle name="Hyperlink 4193" xfId="3637"/>
    <cellStyle name="Hyperlink 4194" xfId="3638"/>
    <cellStyle name="Hyperlink 4195" xfId="3639"/>
    <cellStyle name="Hyperlink 4196" xfId="3640"/>
    <cellStyle name="Hyperlink 4197" xfId="3641"/>
    <cellStyle name="Hyperlink 4198" xfId="3642"/>
    <cellStyle name="Hyperlink 4199" xfId="3643"/>
    <cellStyle name="Hyperlink 42" xfId="3644"/>
    <cellStyle name="Hyperlink 420" xfId="3645"/>
    <cellStyle name="Hyperlink 4200" xfId="3646"/>
    <cellStyle name="Hyperlink 4201" xfId="3647"/>
    <cellStyle name="Hyperlink 4202" xfId="3648"/>
    <cellStyle name="Hyperlink 4203" xfId="3649"/>
    <cellStyle name="Hyperlink 4204" xfId="3650"/>
    <cellStyle name="Hyperlink 4205" xfId="3651"/>
    <cellStyle name="Hyperlink 4206" xfId="3652"/>
    <cellStyle name="Hyperlink 4207" xfId="3653"/>
    <cellStyle name="Hyperlink 4208" xfId="3654"/>
    <cellStyle name="Hyperlink 4209" xfId="3655"/>
    <cellStyle name="Hyperlink 421" xfId="3656"/>
    <cellStyle name="Hyperlink 4210" xfId="3657"/>
    <cellStyle name="Hyperlink 4211" xfId="3658"/>
    <cellStyle name="Hyperlink 4212" xfId="3659"/>
    <cellStyle name="Hyperlink 4213" xfId="3660"/>
    <cellStyle name="Hyperlink 4214" xfId="3661"/>
    <cellStyle name="Hyperlink 4215" xfId="3662"/>
    <cellStyle name="Hyperlink 4216" xfId="3663"/>
    <cellStyle name="Hyperlink 4217" xfId="3664"/>
    <cellStyle name="Hyperlink 4218" xfId="3665"/>
    <cellStyle name="Hyperlink 4219" xfId="3666"/>
    <cellStyle name="Hyperlink 422" xfId="3667"/>
    <cellStyle name="Hyperlink 4220" xfId="3668"/>
    <cellStyle name="Hyperlink 4221" xfId="3669"/>
    <cellStyle name="Hyperlink 4222" xfId="3670"/>
    <cellStyle name="Hyperlink 4223" xfId="3671"/>
    <cellStyle name="Hyperlink 4224" xfId="3672"/>
    <cellStyle name="Hyperlink 4225" xfId="3673"/>
    <cellStyle name="Hyperlink 4226" xfId="3674"/>
    <cellStyle name="Hyperlink 4227" xfId="3675"/>
    <cellStyle name="Hyperlink 4228" xfId="3676"/>
    <cellStyle name="Hyperlink 4229" xfId="3677"/>
    <cellStyle name="Hyperlink 423" xfId="3678"/>
    <cellStyle name="Hyperlink 4230" xfId="3679"/>
    <cellStyle name="Hyperlink 4231" xfId="3680"/>
    <cellStyle name="Hyperlink 4232" xfId="3681"/>
    <cellStyle name="Hyperlink 4233" xfId="3682"/>
    <cellStyle name="Hyperlink 4234" xfId="3683"/>
    <cellStyle name="Hyperlink 4235" xfId="3684"/>
    <cellStyle name="Hyperlink 4236" xfId="3685"/>
    <cellStyle name="Hyperlink 4237" xfId="3686"/>
    <cellStyle name="Hyperlink 4238" xfId="3687"/>
    <cellStyle name="Hyperlink 4239" xfId="3688"/>
    <cellStyle name="Hyperlink 424" xfId="3689"/>
    <cellStyle name="Hyperlink 4240" xfId="3690"/>
    <cellStyle name="Hyperlink 4241" xfId="3691"/>
    <cellStyle name="Hyperlink 4242" xfId="3692"/>
    <cellStyle name="Hyperlink 4243" xfId="3693"/>
    <cellStyle name="Hyperlink 4244" xfId="3694"/>
    <cellStyle name="Hyperlink 4245" xfId="3695"/>
    <cellStyle name="Hyperlink 4246" xfId="3696"/>
    <cellStyle name="Hyperlink 4247" xfId="3697"/>
    <cellStyle name="Hyperlink 4248" xfId="3698"/>
    <cellStyle name="Hyperlink 4249" xfId="3699"/>
    <cellStyle name="Hyperlink 425" xfId="3700"/>
    <cellStyle name="Hyperlink 4250" xfId="3701"/>
    <cellStyle name="Hyperlink 4251" xfId="3702"/>
    <cellStyle name="Hyperlink 4252" xfId="3703"/>
    <cellStyle name="Hyperlink 4253" xfId="3704"/>
    <cellStyle name="Hyperlink 4254" xfId="3705"/>
    <cellStyle name="Hyperlink 4255" xfId="3706"/>
    <cellStyle name="Hyperlink 4256" xfId="3707"/>
    <cellStyle name="Hyperlink 4257" xfId="3708"/>
    <cellStyle name="Hyperlink 4258" xfId="3709"/>
    <cellStyle name="Hyperlink 4259" xfId="3710"/>
    <cellStyle name="Hyperlink 426" xfId="3711"/>
    <cellStyle name="Hyperlink 4260" xfId="3712"/>
    <cellStyle name="Hyperlink 4261" xfId="3713"/>
    <cellStyle name="Hyperlink 4262" xfId="3714"/>
    <cellStyle name="Hyperlink 4263" xfId="3715"/>
    <cellStyle name="Hyperlink 4264" xfId="3716"/>
    <cellStyle name="Hyperlink 4265" xfId="3717"/>
    <cellStyle name="Hyperlink 4266" xfId="3718"/>
    <cellStyle name="Hyperlink 4267" xfId="3719"/>
    <cellStyle name="Hyperlink 4268" xfId="3720"/>
    <cellStyle name="Hyperlink 4269" xfId="3721"/>
    <cellStyle name="Hyperlink 427" xfId="3722"/>
    <cellStyle name="Hyperlink 4270" xfId="3723"/>
    <cellStyle name="Hyperlink 4271" xfId="3724"/>
    <cellStyle name="Hyperlink 4272" xfId="3725"/>
    <cellStyle name="Hyperlink 4273" xfId="3726"/>
    <cellStyle name="Hyperlink 4274" xfId="3727"/>
    <cellStyle name="Hyperlink 4275" xfId="3728"/>
    <cellStyle name="Hyperlink 4276" xfId="3729"/>
    <cellStyle name="Hyperlink 4277" xfId="3730"/>
    <cellStyle name="Hyperlink 4278" xfId="3731"/>
    <cellStyle name="Hyperlink 4279" xfId="3732"/>
    <cellStyle name="Hyperlink 428" xfId="3733"/>
    <cellStyle name="Hyperlink 4280" xfId="3734"/>
    <cellStyle name="Hyperlink 4281" xfId="3735"/>
    <cellStyle name="Hyperlink 4282" xfId="3736"/>
    <cellStyle name="Hyperlink 4283" xfId="3737"/>
    <cellStyle name="Hyperlink 4284" xfId="3738"/>
    <cellStyle name="Hyperlink 4285" xfId="3739"/>
    <cellStyle name="Hyperlink 4286" xfId="3740"/>
    <cellStyle name="Hyperlink 4287" xfId="3741"/>
    <cellStyle name="Hyperlink 4288" xfId="3742"/>
    <cellStyle name="Hyperlink 4289" xfId="3743"/>
    <cellStyle name="Hyperlink 429" xfId="3744"/>
    <cellStyle name="Hyperlink 4290" xfId="3745"/>
    <cellStyle name="Hyperlink 4291" xfId="3746"/>
    <cellStyle name="Hyperlink 4292" xfId="3747"/>
    <cellStyle name="Hyperlink 4293" xfId="3748"/>
    <cellStyle name="Hyperlink 4294" xfId="3749"/>
    <cellStyle name="Hyperlink 4295" xfId="3750"/>
    <cellStyle name="Hyperlink 4296" xfId="3751"/>
    <cellStyle name="Hyperlink 4297" xfId="3752"/>
    <cellStyle name="Hyperlink 4298" xfId="3753"/>
    <cellStyle name="Hyperlink 4299" xfId="3754"/>
    <cellStyle name="Hyperlink 43" xfId="3755"/>
    <cellStyle name="Hyperlink 430" xfId="3756"/>
    <cellStyle name="Hyperlink 4300" xfId="3757"/>
    <cellStyle name="Hyperlink 4301" xfId="3758"/>
    <cellStyle name="Hyperlink 4302" xfId="3759"/>
    <cellStyle name="Hyperlink 4303" xfId="3760"/>
    <cellStyle name="Hyperlink 4304" xfId="3761"/>
    <cellStyle name="Hyperlink 4305" xfId="3762"/>
    <cellStyle name="Hyperlink 4306" xfId="3763"/>
    <cellStyle name="Hyperlink 4307" xfId="3764"/>
    <cellStyle name="Hyperlink 4308" xfId="3765"/>
    <cellStyle name="Hyperlink 4309" xfId="3766"/>
    <cellStyle name="Hyperlink 431" xfId="3767"/>
    <cellStyle name="Hyperlink 4310" xfId="3768"/>
    <cellStyle name="Hyperlink 4311" xfId="3769"/>
    <cellStyle name="Hyperlink 4312" xfId="3770"/>
    <cellStyle name="Hyperlink 4313" xfId="3771"/>
    <cellStyle name="Hyperlink 4314" xfId="3772"/>
    <cellStyle name="Hyperlink 4315" xfId="3773"/>
    <cellStyle name="Hyperlink 4316" xfId="3774"/>
    <cellStyle name="Hyperlink 4317" xfId="3775"/>
    <cellStyle name="Hyperlink 4318" xfId="3776"/>
    <cellStyle name="Hyperlink 4319" xfId="3777"/>
    <cellStyle name="Hyperlink 432" xfId="3778"/>
    <cellStyle name="Hyperlink 4320" xfId="3779"/>
    <cellStyle name="Hyperlink 4321" xfId="3780"/>
    <cellStyle name="Hyperlink 4322" xfId="3781"/>
    <cellStyle name="Hyperlink 4323" xfId="3782"/>
    <cellStyle name="Hyperlink 4324" xfId="3783"/>
    <cellStyle name="Hyperlink 4325" xfId="3784"/>
    <cellStyle name="Hyperlink 4326" xfId="3785"/>
    <cellStyle name="Hyperlink 4327" xfId="3786"/>
    <cellStyle name="Hyperlink 4328" xfId="3787"/>
    <cellStyle name="Hyperlink 4329" xfId="3788"/>
    <cellStyle name="Hyperlink 433" xfId="3789"/>
    <cellStyle name="Hyperlink 4330" xfId="3790"/>
    <cellStyle name="Hyperlink 4331" xfId="3791"/>
    <cellStyle name="Hyperlink 4332" xfId="3792"/>
    <cellStyle name="Hyperlink 4333" xfId="3793"/>
    <cellStyle name="Hyperlink 4334" xfId="3794"/>
    <cellStyle name="Hyperlink 4335" xfId="3795"/>
    <cellStyle name="Hyperlink 4336" xfId="3796"/>
    <cellStyle name="Hyperlink 4337" xfId="3797"/>
    <cellStyle name="Hyperlink 4338" xfId="3798"/>
    <cellStyle name="Hyperlink 4339" xfId="3799"/>
    <cellStyle name="Hyperlink 434" xfId="3800"/>
    <cellStyle name="Hyperlink 4340" xfId="3801"/>
    <cellStyle name="Hyperlink 4341" xfId="3802"/>
    <cellStyle name="Hyperlink 4342" xfId="3803"/>
    <cellStyle name="Hyperlink 4343" xfId="3804"/>
    <cellStyle name="Hyperlink 4344" xfId="3805"/>
    <cellStyle name="Hyperlink 4345" xfId="3806"/>
    <cellStyle name="Hyperlink 4346" xfId="3807"/>
    <cellStyle name="Hyperlink 4347" xfId="3808"/>
    <cellStyle name="Hyperlink 4348" xfId="3809"/>
    <cellStyle name="Hyperlink 4349" xfId="3810"/>
    <cellStyle name="Hyperlink 435" xfId="3811"/>
    <cellStyle name="Hyperlink 4350" xfId="3812"/>
    <cellStyle name="Hyperlink 4351" xfId="3813"/>
    <cellStyle name="Hyperlink 4352" xfId="3814"/>
    <cellStyle name="Hyperlink 4353" xfId="3815"/>
    <cellStyle name="Hyperlink 4354" xfId="3816"/>
    <cellStyle name="Hyperlink 4355" xfId="3817"/>
    <cellStyle name="Hyperlink 4356" xfId="3818"/>
    <cellStyle name="Hyperlink 4357" xfId="3819"/>
    <cellStyle name="Hyperlink 4358" xfId="3820"/>
    <cellStyle name="Hyperlink 4359" xfId="3821"/>
    <cellStyle name="Hyperlink 436" xfId="3822"/>
    <cellStyle name="Hyperlink 4360" xfId="3823"/>
    <cellStyle name="Hyperlink 4361" xfId="3824"/>
    <cellStyle name="Hyperlink 4362" xfId="3825"/>
    <cellStyle name="Hyperlink 4363" xfId="3826"/>
    <cellStyle name="Hyperlink 4364" xfId="3827"/>
    <cellStyle name="Hyperlink 4365" xfId="3828"/>
    <cellStyle name="Hyperlink 4366" xfId="3829"/>
    <cellStyle name="Hyperlink 4367" xfId="3830"/>
    <cellStyle name="Hyperlink 4368" xfId="3831"/>
    <cellStyle name="Hyperlink 4369" xfId="3832"/>
    <cellStyle name="Hyperlink 437" xfId="3833"/>
    <cellStyle name="Hyperlink 4370" xfId="3834"/>
    <cellStyle name="Hyperlink 4371" xfId="3835"/>
    <cellStyle name="Hyperlink 4372" xfId="3836"/>
    <cellStyle name="Hyperlink 4373" xfId="3837"/>
    <cellStyle name="Hyperlink 4374" xfId="3838"/>
    <cellStyle name="Hyperlink 4375" xfId="3839"/>
    <cellStyle name="Hyperlink 4376" xfId="3840"/>
    <cellStyle name="Hyperlink 4377" xfId="3841"/>
    <cellStyle name="Hyperlink 4378" xfId="3842"/>
    <cellStyle name="Hyperlink 4379" xfId="3843"/>
    <cellStyle name="Hyperlink 438" xfId="3844"/>
    <cellStyle name="Hyperlink 4380" xfId="3845"/>
    <cellStyle name="Hyperlink 4381" xfId="3846"/>
    <cellStyle name="Hyperlink 4382" xfId="3847"/>
    <cellStyle name="Hyperlink 4383" xfId="3848"/>
    <cellStyle name="Hyperlink 4384" xfId="3849"/>
    <cellStyle name="Hyperlink 4385" xfId="3850"/>
    <cellStyle name="Hyperlink 4386" xfId="3851"/>
    <cellStyle name="Hyperlink 4387" xfId="3852"/>
    <cellStyle name="Hyperlink 4388" xfId="3853"/>
    <cellStyle name="Hyperlink 4389" xfId="3854"/>
    <cellStyle name="Hyperlink 439" xfId="3855"/>
    <cellStyle name="Hyperlink 4390" xfId="3856"/>
    <cellStyle name="Hyperlink 4391" xfId="3857"/>
    <cellStyle name="Hyperlink 4392" xfId="3858"/>
    <cellStyle name="Hyperlink 4393" xfId="3859"/>
    <cellStyle name="Hyperlink 4394" xfId="3860"/>
    <cellStyle name="Hyperlink 4395" xfId="3861"/>
    <cellStyle name="Hyperlink 4396" xfId="3862"/>
    <cellStyle name="Hyperlink 4397" xfId="3863"/>
    <cellStyle name="Hyperlink 4398" xfId="3864"/>
    <cellStyle name="Hyperlink 4399" xfId="3865"/>
    <cellStyle name="Hyperlink 44" xfId="3866"/>
    <cellStyle name="Hyperlink 440" xfId="3867"/>
    <cellStyle name="Hyperlink 4400" xfId="3868"/>
    <cellStyle name="Hyperlink 4401" xfId="3869"/>
    <cellStyle name="Hyperlink 4402" xfId="3870"/>
    <cellStyle name="Hyperlink 4403" xfId="3871"/>
    <cellStyle name="Hyperlink 4404" xfId="3872"/>
    <cellStyle name="Hyperlink 4405" xfId="3873"/>
    <cellStyle name="Hyperlink 4406" xfId="3874"/>
    <cellStyle name="Hyperlink 4407" xfId="3875"/>
    <cellStyle name="Hyperlink 4408" xfId="3876"/>
    <cellStyle name="Hyperlink 4409" xfId="3877"/>
    <cellStyle name="Hyperlink 441" xfId="3878"/>
    <cellStyle name="Hyperlink 4410" xfId="3879"/>
    <cellStyle name="Hyperlink 4411" xfId="3880"/>
    <cellStyle name="Hyperlink 4412" xfId="3881"/>
    <cellStyle name="Hyperlink 4413" xfId="3882"/>
    <cellStyle name="Hyperlink 4414" xfId="3883"/>
    <cellStyle name="Hyperlink 4415" xfId="3884"/>
    <cellStyle name="Hyperlink 4416" xfId="3885"/>
    <cellStyle name="Hyperlink 4417" xfId="3886"/>
    <cellStyle name="Hyperlink 4418" xfId="3887"/>
    <cellStyle name="Hyperlink 4419" xfId="3888"/>
    <cellStyle name="Hyperlink 442" xfId="3889"/>
    <cellStyle name="Hyperlink 4420" xfId="3890"/>
    <cellStyle name="Hyperlink 4421" xfId="3891"/>
    <cellStyle name="Hyperlink 4422" xfId="3892"/>
    <cellStyle name="Hyperlink 4423" xfId="3893"/>
    <cellStyle name="Hyperlink 4424" xfId="3894"/>
    <cellStyle name="Hyperlink 4425" xfId="3895"/>
    <cellStyle name="Hyperlink 4426" xfId="3896"/>
    <cellStyle name="Hyperlink 4427" xfId="3897"/>
    <cellStyle name="Hyperlink 4428" xfId="3898"/>
    <cellStyle name="Hyperlink 4429" xfId="3899"/>
    <cellStyle name="Hyperlink 443" xfId="3900"/>
    <cellStyle name="Hyperlink 4430" xfId="3901"/>
    <cellStyle name="Hyperlink 4431" xfId="3902"/>
    <cellStyle name="Hyperlink 4432" xfId="3903"/>
    <cellStyle name="Hyperlink 4433" xfId="3904"/>
    <cellStyle name="Hyperlink 4434" xfId="3905"/>
    <cellStyle name="Hyperlink 4435" xfId="3906"/>
    <cellStyle name="Hyperlink 4436" xfId="3907"/>
    <cellStyle name="Hyperlink 4437" xfId="3908"/>
    <cellStyle name="Hyperlink 4438" xfId="3909"/>
    <cellStyle name="Hyperlink 4439" xfId="3910"/>
    <cellStyle name="Hyperlink 444" xfId="3911"/>
    <cellStyle name="Hyperlink 4440" xfId="3912"/>
    <cellStyle name="Hyperlink 4441" xfId="3913"/>
    <cellStyle name="Hyperlink 4442" xfId="3914"/>
    <cellStyle name="Hyperlink 4443" xfId="3915"/>
    <cellStyle name="Hyperlink 4444" xfId="3916"/>
    <cellStyle name="Hyperlink 4445" xfId="3917"/>
    <cellStyle name="Hyperlink 4446" xfId="3918"/>
    <cellStyle name="Hyperlink 4447" xfId="3919"/>
    <cellStyle name="Hyperlink 4448" xfId="3920"/>
    <cellStyle name="Hyperlink 4449" xfId="3921"/>
    <cellStyle name="Hyperlink 445" xfId="3922"/>
    <cellStyle name="Hyperlink 4450" xfId="3923"/>
    <cellStyle name="Hyperlink 4451" xfId="3924"/>
    <cellStyle name="Hyperlink 4452" xfId="3925"/>
    <cellStyle name="Hyperlink 4453" xfId="3926"/>
    <cellStyle name="Hyperlink 4454" xfId="3927"/>
    <cellStyle name="Hyperlink 4455" xfId="3928"/>
    <cellStyle name="Hyperlink 4456" xfId="3929"/>
    <cellStyle name="Hyperlink 4457" xfId="3930"/>
    <cellStyle name="Hyperlink 4458" xfId="3931"/>
    <cellStyle name="Hyperlink 4459" xfId="3932"/>
    <cellStyle name="Hyperlink 446" xfId="3933"/>
    <cellStyle name="Hyperlink 4460" xfId="3934"/>
    <cellStyle name="Hyperlink 4461" xfId="3935"/>
    <cellStyle name="Hyperlink 4462" xfId="3936"/>
    <cellStyle name="Hyperlink 4463" xfId="3937"/>
    <cellStyle name="Hyperlink 4464" xfId="3938"/>
    <cellStyle name="Hyperlink 4465" xfId="3939"/>
    <cellStyle name="Hyperlink 4466" xfId="3940"/>
    <cellStyle name="Hyperlink 4467" xfId="3941"/>
    <cellStyle name="Hyperlink 4468" xfId="3942"/>
    <cellStyle name="Hyperlink 4469" xfId="3943"/>
    <cellStyle name="Hyperlink 447" xfId="3944"/>
    <cellStyle name="Hyperlink 4470" xfId="3945"/>
    <cellStyle name="Hyperlink 4471" xfId="3946"/>
    <cellStyle name="Hyperlink 4472" xfId="3947"/>
    <cellStyle name="Hyperlink 4473" xfId="3948"/>
    <cellStyle name="Hyperlink 4474" xfId="3949"/>
    <cellStyle name="Hyperlink 4475" xfId="3950"/>
    <cellStyle name="Hyperlink 4476" xfId="3951"/>
    <cellStyle name="Hyperlink 4477" xfId="3952"/>
    <cellStyle name="Hyperlink 4478" xfId="3953"/>
    <cellStyle name="Hyperlink 4479" xfId="3954"/>
    <cellStyle name="Hyperlink 448" xfId="3955"/>
    <cellStyle name="Hyperlink 4480" xfId="3956"/>
    <cellStyle name="Hyperlink 4481" xfId="3957"/>
    <cellStyle name="Hyperlink 4482" xfId="3958"/>
    <cellStyle name="Hyperlink 4483" xfId="3959"/>
    <cellStyle name="Hyperlink 4484" xfId="3960"/>
    <cellStyle name="Hyperlink 4485" xfId="3961"/>
    <cellStyle name="Hyperlink 4486" xfId="3962"/>
    <cellStyle name="Hyperlink 4487" xfId="3963"/>
    <cellStyle name="Hyperlink 4488" xfId="3964"/>
    <cellStyle name="Hyperlink 4489" xfId="3965"/>
    <cellStyle name="Hyperlink 449" xfId="3966"/>
    <cellStyle name="Hyperlink 4490" xfId="3967"/>
    <cellStyle name="Hyperlink 4491" xfId="3968"/>
    <cellStyle name="Hyperlink 4492" xfId="3969"/>
    <cellStyle name="Hyperlink 4493" xfId="3970"/>
    <cellStyle name="Hyperlink 4494" xfId="3971"/>
    <cellStyle name="Hyperlink 4495" xfId="3972"/>
    <cellStyle name="Hyperlink 4496" xfId="3973"/>
    <cellStyle name="Hyperlink 4497" xfId="3974"/>
    <cellStyle name="Hyperlink 4498" xfId="3975"/>
    <cellStyle name="Hyperlink 4499" xfId="3976"/>
    <cellStyle name="Hyperlink 45" xfId="3977"/>
    <cellStyle name="Hyperlink 450" xfId="3978"/>
    <cellStyle name="Hyperlink 4500" xfId="3979"/>
    <cellStyle name="Hyperlink 4501" xfId="3980"/>
    <cellStyle name="Hyperlink 4502" xfId="3981"/>
    <cellStyle name="Hyperlink 4503" xfId="3982"/>
    <cellStyle name="Hyperlink 4504" xfId="3983"/>
    <cellStyle name="Hyperlink 4505" xfId="3984"/>
    <cellStyle name="Hyperlink 4506" xfId="3985"/>
    <cellStyle name="Hyperlink 4507" xfId="3986"/>
    <cellStyle name="Hyperlink 4508" xfId="3987"/>
    <cellStyle name="Hyperlink 4509" xfId="3988"/>
    <cellStyle name="Hyperlink 451" xfId="3989"/>
    <cellStyle name="Hyperlink 4510" xfId="3990"/>
    <cellStyle name="Hyperlink 4511" xfId="3991"/>
    <cellStyle name="Hyperlink 4512" xfId="3992"/>
    <cellStyle name="Hyperlink 4513" xfId="3993"/>
    <cellStyle name="Hyperlink 4514" xfId="3994"/>
    <cellStyle name="Hyperlink 4515" xfId="3995"/>
    <cellStyle name="Hyperlink 4516" xfId="3996"/>
    <cellStyle name="Hyperlink 4517" xfId="3997"/>
    <cellStyle name="Hyperlink 4518" xfId="3998"/>
    <cellStyle name="Hyperlink 4519" xfId="3999"/>
    <cellStyle name="Hyperlink 452" xfId="4000"/>
    <cellStyle name="Hyperlink 4520" xfId="4001"/>
    <cellStyle name="Hyperlink 4521" xfId="4002"/>
    <cellStyle name="Hyperlink 4522" xfId="4003"/>
    <cellStyle name="Hyperlink 4523" xfId="4004"/>
    <cellStyle name="Hyperlink 4524" xfId="4005"/>
    <cellStyle name="Hyperlink 4525" xfId="4006"/>
    <cellStyle name="Hyperlink 4526" xfId="4007"/>
    <cellStyle name="Hyperlink 4527" xfId="4008"/>
    <cellStyle name="Hyperlink 4528" xfId="4009"/>
    <cellStyle name="Hyperlink 4529" xfId="4010"/>
    <cellStyle name="Hyperlink 453" xfId="4011"/>
    <cellStyle name="Hyperlink 4530" xfId="4012"/>
    <cellStyle name="Hyperlink 4531" xfId="4013"/>
    <cellStyle name="Hyperlink 4532" xfId="4014"/>
    <cellStyle name="Hyperlink 4533" xfId="4015"/>
    <cellStyle name="Hyperlink 4534" xfId="4016"/>
    <cellStyle name="Hyperlink 4535" xfId="4017"/>
    <cellStyle name="Hyperlink 4536" xfId="4018"/>
    <cellStyle name="Hyperlink 4537" xfId="4019"/>
    <cellStyle name="Hyperlink 4538" xfId="4020"/>
    <cellStyle name="Hyperlink 4539" xfId="4021"/>
    <cellStyle name="Hyperlink 454" xfId="4022"/>
    <cellStyle name="Hyperlink 4540" xfId="4023"/>
    <cellStyle name="Hyperlink 4541" xfId="4024"/>
    <cellStyle name="Hyperlink 4542" xfId="4025"/>
    <cellStyle name="Hyperlink 4543" xfId="4026"/>
    <cellStyle name="Hyperlink 4544" xfId="4027"/>
    <cellStyle name="Hyperlink 4545" xfId="4028"/>
    <cellStyle name="Hyperlink 4546" xfId="4029"/>
    <cellStyle name="Hyperlink 4547" xfId="4030"/>
    <cellStyle name="Hyperlink 4548" xfId="4031"/>
    <cellStyle name="Hyperlink 4549" xfId="4032"/>
    <cellStyle name="Hyperlink 455" xfId="4033"/>
    <cellStyle name="Hyperlink 4550" xfId="4034"/>
    <cellStyle name="Hyperlink 4551" xfId="4035"/>
    <cellStyle name="Hyperlink 4552" xfId="4036"/>
    <cellStyle name="Hyperlink 4553" xfId="4037"/>
    <cellStyle name="Hyperlink 4554" xfId="4038"/>
    <cellStyle name="Hyperlink 4555" xfId="4039"/>
    <cellStyle name="Hyperlink 4556" xfId="4040"/>
    <cellStyle name="Hyperlink 4557" xfId="4041"/>
    <cellStyle name="Hyperlink 4558" xfId="4042"/>
    <cellStyle name="Hyperlink 4559" xfId="4043"/>
    <cellStyle name="Hyperlink 456" xfId="4044"/>
    <cellStyle name="Hyperlink 4560" xfId="4045"/>
    <cellStyle name="Hyperlink 4561" xfId="4046"/>
    <cellStyle name="Hyperlink 4562" xfId="4047"/>
    <cellStyle name="Hyperlink 4563" xfId="4048"/>
    <cellStyle name="Hyperlink 4564" xfId="4049"/>
    <cellStyle name="Hyperlink 4565" xfId="4050"/>
    <cellStyle name="Hyperlink 4566" xfId="4051"/>
    <cellStyle name="Hyperlink 4567" xfId="4052"/>
    <cellStyle name="Hyperlink 4568" xfId="4053"/>
    <cellStyle name="Hyperlink 4568 2" xfId="8772"/>
    <cellStyle name="Hyperlink 4568 3" xfId="6430"/>
    <cellStyle name="Hyperlink 4569" xfId="4054"/>
    <cellStyle name="Hyperlink 4569 2" xfId="8773"/>
    <cellStyle name="Hyperlink 4569 3" xfId="6431"/>
    <cellStyle name="Hyperlink 457" xfId="4055"/>
    <cellStyle name="Hyperlink 457 2" xfId="8774"/>
    <cellStyle name="Hyperlink 457 3" xfId="6432"/>
    <cellStyle name="Hyperlink 4570" xfId="4056"/>
    <cellStyle name="Hyperlink 4570 2" xfId="8775"/>
    <cellStyle name="Hyperlink 4570 3" xfId="6433"/>
    <cellStyle name="Hyperlink 4571" xfId="4057"/>
    <cellStyle name="Hyperlink 4571 2" xfId="8776"/>
    <cellStyle name="Hyperlink 4571 3" xfId="6434"/>
    <cellStyle name="Hyperlink 4572" xfId="4058"/>
    <cellStyle name="Hyperlink 4572 2" xfId="8777"/>
    <cellStyle name="Hyperlink 4572 3" xfId="6435"/>
    <cellStyle name="Hyperlink 4573" xfId="4059"/>
    <cellStyle name="Hyperlink 4573 2" xfId="8778"/>
    <cellStyle name="Hyperlink 4573 3" xfId="6436"/>
    <cellStyle name="Hyperlink 4574" xfId="4060"/>
    <cellStyle name="Hyperlink 4574 2" xfId="8779"/>
    <cellStyle name="Hyperlink 4574 3" xfId="6437"/>
    <cellStyle name="Hyperlink 4575" xfId="4061"/>
    <cellStyle name="Hyperlink 4575 2" xfId="8780"/>
    <cellStyle name="Hyperlink 4575 3" xfId="6438"/>
    <cellStyle name="Hyperlink 4576" xfId="4062"/>
    <cellStyle name="Hyperlink 4576 2" xfId="8781"/>
    <cellStyle name="Hyperlink 4576 3" xfId="6439"/>
    <cellStyle name="Hyperlink 4577" xfId="4063"/>
    <cellStyle name="Hyperlink 4577 2" xfId="8782"/>
    <cellStyle name="Hyperlink 4577 3" xfId="6440"/>
    <cellStyle name="Hyperlink 4578" xfId="4064"/>
    <cellStyle name="Hyperlink 4578 2" xfId="8783"/>
    <cellStyle name="Hyperlink 4578 3" xfId="6441"/>
    <cellStyle name="Hyperlink 4579" xfId="4065"/>
    <cellStyle name="Hyperlink 4579 2" xfId="8784"/>
    <cellStyle name="Hyperlink 4579 3" xfId="6442"/>
    <cellStyle name="Hyperlink 458" xfId="4066"/>
    <cellStyle name="Hyperlink 458 2" xfId="8785"/>
    <cellStyle name="Hyperlink 458 3" xfId="6443"/>
    <cellStyle name="Hyperlink 4580" xfId="4067"/>
    <cellStyle name="Hyperlink 4580 2" xfId="8786"/>
    <cellStyle name="Hyperlink 4580 3" xfId="6444"/>
    <cellStyle name="Hyperlink 4581" xfId="4068"/>
    <cellStyle name="Hyperlink 4581 2" xfId="8787"/>
    <cellStyle name="Hyperlink 4581 3" xfId="6445"/>
    <cellStyle name="Hyperlink 4582" xfId="4069"/>
    <cellStyle name="Hyperlink 4582 2" xfId="8788"/>
    <cellStyle name="Hyperlink 4582 3" xfId="6446"/>
    <cellStyle name="Hyperlink 4583" xfId="4070"/>
    <cellStyle name="Hyperlink 4583 2" xfId="8789"/>
    <cellStyle name="Hyperlink 4583 3" xfId="6447"/>
    <cellStyle name="Hyperlink 4584" xfId="4071"/>
    <cellStyle name="Hyperlink 4584 2" xfId="8790"/>
    <cellStyle name="Hyperlink 4584 3" xfId="6448"/>
    <cellStyle name="Hyperlink 4585" xfId="4072"/>
    <cellStyle name="Hyperlink 4585 2" xfId="8791"/>
    <cellStyle name="Hyperlink 4585 3" xfId="6449"/>
    <cellStyle name="Hyperlink 4586" xfId="4073"/>
    <cellStyle name="Hyperlink 4586 2" xfId="8792"/>
    <cellStyle name="Hyperlink 4586 3" xfId="6450"/>
    <cellStyle name="Hyperlink 4587" xfId="4074"/>
    <cellStyle name="Hyperlink 4587 2" xfId="8793"/>
    <cellStyle name="Hyperlink 4587 3" xfId="6451"/>
    <cellStyle name="Hyperlink 4588" xfId="4075"/>
    <cellStyle name="Hyperlink 4588 2" xfId="8794"/>
    <cellStyle name="Hyperlink 4588 3" xfId="6452"/>
    <cellStyle name="Hyperlink 4589" xfId="4076"/>
    <cellStyle name="Hyperlink 4589 2" xfId="8795"/>
    <cellStyle name="Hyperlink 4589 3" xfId="6453"/>
    <cellStyle name="Hyperlink 459" xfId="4077"/>
    <cellStyle name="Hyperlink 459 2" xfId="8796"/>
    <cellStyle name="Hyperlink 459 3" xfId="6454"/>
    <cellStyle name="Hyperlink 4590" xfId="4078"/>
    <cellStyle name="Hyperlink 4590 2" xfId="8797"/>
    <cellStyle name="Hyperlink 4590 3" xfId="6455"/>
    <cellStyle name="Hyperlink 4591" xfId="4079"/>
    <cellStyle name="Hyperlink 4591 2" xfId="8798"/>
    <cellStyle name="Hyperlink 4591 3" xfId="6456"/>
    <cellStyle name="Hyperlink 4592" xfId="4080"/>
    <cellStyle name="Hyperlink 4592 2" xfId="8799"/>
    <cellStyle name="Hyperlink 4592 3" xfId="6457"/>
    <cellStyle name="Hyperlink 4593" xfId="4081"/>
    <cellStyle name="Hyperlink 4593 2" xfId="8800"/>
    <cellStyle name="Hyperlink 4593 3" xfId="6458"/>
    <cellStyle name="Hyperlink 4594" xfId="4082"/>
    <cellStyle name="Hyperlink 4594 2" xfId="8801"/>
    <cellStyle name="Hyperlink 4594 3" xfId="6459"/>
    <cellStyle name="Hyperlink 4595" xfId="4083"/>
    <cellStyle name="Hyperlink 4595 2" xfId="8802"/>
    <cellStyle name="Hyperlink 4595 3" xfId="6460"/>
    <cellStyle name="Hyperlink 4596" xfId="4084"/>
    <cellStyle name="Hyperlink 4596 2" xfId="8803"/>
    <cellStyle name="Hyperlink 4596 3" xfId="6461"/>
    <cellStyle name="Hyperlink 4597" xfId="4085"/>
    <cellStyle name="Hyperlink 4597 2" xfId="8804"/>
    <cellStyle name="Hyperlink 4597 3" xfId="6462"/>
    <cellStyle name="Hyperlink 4598" xfId="4086"/>
    <cellStyle name="Hyperlink 4598 2" xfId="8805"/>
    <cellStyle name="Hyperlink 4598 3" xfId="6463"/>
    <cellStyle name="Hyperlink 4599" xfId="4087"/>
    <cellStyle name="Hyperlink 4599 2" xfId="8806"/>
    <cellStyle name="Hyperlink 4599 3" xfId="6464"/>
    <cellStyle name="Hyperlink 46" xfId="4088"/>
    <cellStyle name="Hyperlink 46 2" xfId="8807"/>
    <cellStyle name="Hyperlink 46 3" xfId="6465"/>
    <cellStyle name="Hyperlink 460" xfId="4089"/>
    <cellStyle name="Hyperlink 460 2" xfId="8808"/>
    <cellStyle name="Hyperlink 460 3" xfId="6466"/>
    <cellStyle name="Hyperlink 4600" xfId="4090"/>
    <cellStyle name="Hyperlink 4600 2" xfId="8809"/>
    <cellStyle name="Hyperlink 4600 3" xfId="6467"/>
    <cellStyle name="Hyperlink 4601" xfId="4091"/>
    <cellStyle name="Hyperlink 4601 2" xfId="8810"/>
    <cellStyle name="Hyperlink 4601 3" xfId="6468"/>
    <cellStyle name="Hyperlink 4602" xfId="4092"/>
    <cellStyle name="Hyperlink 4602 2" xfId="8811"/>
    <cellStyle name="Hyperlink 4602 3" xfId="6469"/>
    <cellStyle name="Hyperlink 4603" xfId="4093"/>
    <cellStyle name="Hyperlink 4603 2" xfId="8812"/>
    <cellStyle name="Hyperlink 4603 3" xfId="6470"/>
    <cellStyle name="Hyperlink 4604" xfId="4094"/>
    <cellStyle name="Hyperlink 4604 2" xfId="8813"/>
    <cellStyle name="Hyperlink 4604 3" xfId="6471"/>
    <cellStyle name="Hyperlink 4605" xfId="4095"/>
    <cellStyle name="Hyperlink 4605 2" xfId="8814"/>
    <cellStyle name="Hyperlink 4605 3" xfId="6472"/>
    <cellStyle name="Hyperlink 4606" xfId="4096"/>
    <cellStyle name="Hyperlink 4606 2" xfId="8815"/>
    <cellStyle name="Hyperlink 4606 3" xfId="6473"/>
    <cellStyle name="Hyperlink 4607" xfId="4097"/>
    <cellStyle name="Hyperlink 4607 2" xfId="8816"/>
    <cellStyle name="Hyperlink 4607 3" xfId="6474"/>
    <cellStyle name="Hyperlink 4608" xfId="4098"/>
    <cellStyle name="Hyperlink 4608 2" xfId="8817"/>
    <cellStyle name="Hyperlink 4608 3" xfId="6475"/>
    <cellStyle name="Hyperlink 4609" xfId="4099"/>
    <cellStyle name="Hyperlink 4609 2" xfId="8818"/>
    <cellStyle name="Hyperlink 4609 3" xfId="6476"/>
    <cellStyle name="Hyperlink 461" xfId="4100"/>
    <cellStyle name="Hyperlink 461 2" xfId="8819"/>
    <cellStyle name="Hyperlink 461 3" xfId="6477"/>
    <cellStyle name="Hyperlink 4610" xfId="4101"/>
    <cellStyle name="Hyperlink 4610 2" xfId="8820"/>
    <cellStyle name="Hyperlink 4610 3" xfId="6478"/>
    <cellStyle name="Hyperlink 4611" xfId="4102"/>
    <cellStyle name="Hyperlink 4611 2" xfId="8821"/>
    <cellStyle name="Hyperlink 4611 3" xfId="6479"/>
    <cellStyle name="Hyperlink 4612" xfId="4103"/>
    <cellStyle name="Hyperlink 4612 2" xfId="8822"/>
    <cellStyle name="Hyperlink 4612 3" xfId="6480"/>
    <cellStyle name="Hyperlink 4613" xfId="4104"/>
    <cellStyle name="Hyperlink 4613 2" xfId="8823"/>
    <cellStyle name="Hyperlink 4613 3" xfId="6481"/>
    <cellStyle name="Hyperlink 4614" xfId="4105"/>
    <cellStyle name="Hyperlink 4614 2" xfId="8824"/>
    <cellStyle name="Hyperlink 4614 3" xfId="6482"/>
    <cellStyle name="Hyperlink 4615" xfId="4106"/>
    <cellStyle name="Hyperlink 4615 2" xfId="8825"/>
    <cellStyle name="Hyperlink 4615 3" xfId="6483"/>
    <cellStyle name="Hyperlink 4616" xfId="4107"/>
    <cellStyle name="Hyperlink 4616 2" xfId="8826"/>
    <cellStyle name="Hyperlink 4616 3" xfId="6484"/>
    <cellStyle name="Hyperlink 4617" xfId="4108"/>
    <cellStyle name="Hyperlink 4617 2" xfId="8827"/>
    <cellStyle name="Hyperlink 4617 3" xfId="6485"/>
    <cellStyle name="Hyperlink 4618" xfId="4109"/>
    <cellStyle name="Hyperlink 4618 2" xfId="8828"/>
    <cellStyle name="Hyperlink 4618 3" xfId="6486"/>
    <cellStyle name="Hyperlink 4619" xfId="4110"/>
    <cellStyle name="Hyperlink 4619 2" xfId="8829"/>
    <cellStyle name="Hyperlink 4619 3" xfId="6487"/>
    <cellStyle name="Hyperlink 462" xfId="4111"/>
    <cellStyle name="Hyperlink 462 2" xfId="8830"/>
    <cellStyle name="Hyperlink 462 3" xfId="6488"/>
    <cellStyle name="Hyperlink 4620" xfId="4112"/>
    <cellStyle name="Hyperlink 4620 2" xfId="8831"/>
    <cellStyle name="Hyperlink 4620 3" xfId="6489"/>
    <cellStyle name="Hyperlink 4621" xfId="4113"/>
    <cellStyle name="Hyperlink 4621 2" xfId="8832"/>
    <cellStyle name="Hyperlink 4621 3" xfId="6490"/>
    <cellStyle name="Hyperlink 4622" xfId="4114"/>
    <cellStyle name="Hyperlink 4622 2" xfId="8833"/>
    <cellStyle name="Hyperlink 4622 3" xfId="6491"/>
    <cellStyle name="Hyperlink 4623" xfId="4115"/>
    <cellStyle name="Hyperlink 4623 2" xfId="8834"/>
    <cellStyle name="Hyperlink 4623 3" xfId="6492"/>
    <cellStyle name="Hyperlink 4624" xfId="4116"/>
    <cellStyle name="Hyperlink 4624 2" xfId="8835"/>
    <cellStyle name="Hyperlink 4624 3" xfId="6493"/>
    <cellStyle name="Hyperlink 4625" xfId="4117"/>
    <cellStyle name="Hyperlink 4625 2" xfId="8836"/>
    <cellStyle name="Hyperlink 4625 3" xfId="6494"/>
    <cellStyle name="Hyperlink 4626" xfId="4118"/>
    <cellStyle name="Hyperlink 4626 2" xfId="8837"/>
    <cellStyle name="Hyperlink 4626 3" xfId="6495"/>
    <cellStyle name="Hyperlink 4627" xfId="4119"/>
    <cellStyle name="Hyperlink 4627 2" xfId="8838"/>
    <cellStyle name="Hyperlink 4627 3" xfId="6496"/>
    <cellStyle name="Hyperlink 4628" xfId="4120"/>
    <cellStyle name="Hyperlink 4628 2" xfId="8839"/>
    <cellStyle name="Hyperlink 4628 3" xfId="6497"/>
    <cellStyle name="Hyperlink 4629" xfId="4121"/>
    <cellStyle name="Hyperlink 4629 2" xfId="8840"/>
    <cellStyle name="Hyperlink 4629 3" xfId="6498"/>
    <cellStyle name="Hyperlink 463" xfId="4122"/>
    <cellStyle name="Hyperlink 463 2" xfId="8841"/>
    <cellStyle name="Hyperlink 463 3" xfId="6499"/>
    <cellStyle name="Hyperlink 4630" xfId="4123"/>
    <cellStyle name="Hyperlink 4630 2" xfId="8842"/>
    <cellStyle name="Hyperlink 4630 3" xfId="6500"/>
    <cellStyle name="Hyperlink 4631" xfId="4124"/>
    <cellStyle name="Hyperlink 4631 2" xfId="8843"/>
    <cellStyle name="Hyperlink 4631 3" xfId="6501"/>
    <cellStyle name="Hyperlink 4632" xfId="4125"/>
    <cellStyle name="Hyperlink 4632 2" xfId="8844"/>
    <cellStyle name="Hyperlink 4632 3" xfId="6502"/>
    <cellStyle name="Hyperlink 4633" xfId="4126"/>
    <cellStyle name="Hyperlink 4633 2" xfId="8845"/>
    <cellStyle name="Hyperlink 4633 3" xfId="6503"/>
    <cellStyle name="Hyperlink 4634" xfId="4127"/>
    <cellStyle name="Hyperlink 4634 2" xfId="8846"/>
    <cellStyle name="Hyperlink 4634 3" xfId="6504"/>
    <cellStyle name="Hyperlink 4635" xfId="4128"/>
    <cellStyle name="Hyperlink 4635 2" xfId="8847"/>
    <cellStyle name="Hyperlink 4635 3" xfId="6505"/>
    <cellStyle name="Hyperlink 4636" xfId="4129"/>
    <cellStyle name="Hyperlink 4636 2" xfId="8848"/>
    <cellStyle name="Hyperlink 4636 3" xfId="6506"/>
    <cellStyle name="Hyperlink 4637" xfId="4130"/>
    <cellStyle name="Hyperlink 4637 2" xfId="8849"/>
    <cellStyle name="Hyperlink 4637 3" xfId="6507"/>
    <cellStyle name="Hyperlink 4638" xfId="4131"/>
    <cellStyle name="Hyperlink 4638 2" xfId="8850"/>
    <cellStyle name="Hyperlink 4638 3" xfId="6508"/>
    <cellStyle name="Hyperlink 4639" xfId="4132"/>
    <cellStyle name="Hyperlink 4639 2" xfId="8851"/>
    <cellStyle name="Hyperlink 4639 3" xfId="6509"/>
    <cellStyle name="Hyperlink 464" xfId="4133"/>
    <cellStyle name="Hyperlink 464 2" xfId="8852"/>
    <cellStyle name="Hyperlink 464 3" xfId="6510"/>
    <cellStyle name="Hyperlink 4640" xfId="4134"/>
    <cellStyle name="Hyperlink 4640 2" xfId="8853"/>
    <cellStyle name="Hyperlink 4640 3" xfId="6511"/>
    <cellStyle name="Hyperlink 4641" xfId="4135"/>
    <cellStyle name="Hyperlink 4641 2" xfId="8854"/>
    <cellStyle name="Hyperlink 4641 3" xfId="6512"/>
    <cellStyle name="Hyperlink 4642" xfId="4136"/>
    <cellStyle name="Hyperlink 4642 2" xfId="8855"/>
    <cellStyle name="Hyperlink 4642 3" xfId="6513"/>
    <cellStyle name="Hyperlink 4643" xfId="4137"/>
    <cellStyle name="Hyperlink 4643 2" xfId="8856"/>
    <cellStyle name="Hyperlink 4643 3" xfId="6514"/>
    <cellStyle name="Hyperlink 4644" xfId="4138"/>
    <cellStyle name="Hyperlink 4644 2" xfId="8857"/>
    <cellStyle name="Hyperlink 4644 3" xfId="6515"/>
    <cellStyle name="Hyperlink 4645" xfId="4139"/>
    <cellStyle name="Hyperlink 4645 2" xfId="8858"/>
    <cellStyle name="Hyperlink 4645 3" xfId="6516"/>
    <cellStyle name="Hyperlink 4646" xfId="4140"/>
    <cellStyle name="Hyperlink 4646 2" xfId="8859"/>
    <cellStyle name="Hyperlink 4646 3" xfId="6517"/>
    <cellStyle name="Hyperlink 4647" xfId="4141"/>
    <cellStyle name="Hyperlink 4647 2" xfId="8860"/>
    <cellStyle name="Hyperlink 4647 3" xfId="6518"/>
    <cellStyle name="Hyperlink 4648" xfId="4142"/>
    <cellStyle name="Hyperlink 4648 2" xfId="8861"/>
    <cellStyle name="Hyperlink 4648 3" xfId="6519"/>
    <cellStyle name="Hyperlink 4649" xfId="4143"/>
    <cellStyle name="Hyperlink 4649 2" xfId="8862"/>
    <cellStyle name="Hyperlink 4649 3" xfId="6520"/>
    <cellStyle name="Hyperlink 465" xfId="4144"/>
    <cellStyle name="Hyperlink 465 2" xfId="8863"/>
    <cellStyle name="Hyperlink 465 3" xfId="6521"/>
    <cellStyle name="Hyperlink 4650" xfId="4145"/>
    <cellStyle name="Hyperlink 4650 2" xfId="8864"/>
    <cellStyle name="Hyperlink 4650 3" xfId="6522"/>
    <cellStyle name="Hyperlink 4651" xfId="4146"/>
    <cellStyle name="Hyperlink 4651 2" xfId="8865"/>
    <cellStyle name="Hyperlink 4651 3" xfId="6523"/>
    <cellStyle name="Hyperlink 4652" xfId="4147"/>
    <cellStyle name="Hyperlink 4652 2" xfId="8866"/>
    <cellStyle name="Hyperlink 4652 3" xfId="6524"/>
    <cellStyle name="Hyperlink 4653" xfId="4148"/>
    <cellStyle name="Hyperlink 4653 2" xfId="8867"/>
    <cellStyle name="Hyperlink 4653 3" xfId="6525"/>
    <cellStyle name="Hyperlink 4654" xfId="4149"/>
    <cellStyle name="Hyperlink 4654 2" xfId="8868"/>
    <cellStyle name="Hyperlink 4654 3" xfId="6526"/>
    <cellStyle name="Hyperlink 4655" xfId="4150"/>
    <cellStyle name="Hyperlink 4655 2" xfId="8869"/>
    <cellStyle name="Hyperlink 4655 3" xfId="6527"/>
    <cellStyle name="Hyperlink 4656" xfId="4151"/>
    <cellStyle name="Hyperlink 4656 2" xfId="8870"/>
    <cellStyle name="Hyperlink 4656 3" xfId="6528"/>
    <cellStyle name="Hyperlink 4657" xfId="4152"/>
    <cellStyle name="Hyperlink 4657 2" xfId="8871"/>
    <cellStyle name="Hyperlink 4657 3" xfId="6529"/>
    <cellStyle name="Hyperlink 4658" xfId="4153"/>
    <cellStyle name="Hyperlink 4658 2" xfId="8872"/>
    <cellStyle name="Hyperlink 4658 3" xfId="6530"/>
    <cellStyle name="Hyperlink 4659" xfId="4154"/>
    <cellStyle name="Hyperlink 4659 2" xfId="8873"/>
    <cellStyle name="Hyperlink 4659 3" xfId="6531"/>
    <cellStyle name="Hyperlink 466" xfId="4155"/>
    <cellStyle name="Hyperlink 466 2" xfId="8874"/>
    <cellStyle name="Hyperlink 466 3" xfId="6532"/>
    <cellStyle name="Hyperlink 4660" xfId="4156"/>
    <cellStyle name="Hyperlink 4660 2" xfId="8875"/>
    <cellStyle name="Hyperlink 4660 3" xfId="6533"/>
    <cellStyle name="Hyperlink 4661" xfId="4157"/>
    <cellStyle name="Hyperlink 4661 2" xfId="8876"/>
    <cellStyle name="Hyperlink 4661 3" xfId="6534"/>
    <cellStyle name="Hyperlink 4662" xfId="4158"/>
    <cellStyle name="Hyperlink 4662 2" xfId="8877"/>
    <cellStyle name="Hyperlink 4662 3" xfId="6535"/>
    <cellStyle name="Hyperlink 4663" xfId="4159"/>
    <cellStyle name="Hyperlink 4663 2" xfId="8878"/>
    <cellStyle name="Hyperlink 4663 3" xfId="6536"/>
    <cellStyle name="Hyperlink 4664" xfId="4160"/>
    <cellStyle name="Hyperlink 4664 2" xfId="8879"/>
    <cellStyle name="Hyperlink 4664 3" xfId="6537"/>
    <cellStyle name="Hyperlink 4665" xfId="4161"/>
    <cellStyle name="Hyperlink 4665 2" xfId="8880"/>
    <cellStyle name="Hyperlink 4665 3" xfId="6538"/>
    <cellStyle name="Hyperlink 4666" xfId="4162"/>
    <cellStyle name="Hyperlink 4666 2" xfId="8881"/>
    <cellStyle name="Hyperlink 4666 3" xfId="6539"/>
    <cellStyle name="Hyperlink 4667" xfId="4163"/>
    <cellStyle name="Hyperlink 4667 2" xfId="8882"/>
    <cellStyle name="Hyperlink 4667 3" xfId="6540"/>
    <cellStyle name="Hyperlink 4668" xfId="4164"/>
    <cellStyle name="Hyperlink 4668 2" xfId="8883"/>
    <cellStyle name="Hyperlink 4668 3" xfId="6541"/>
    <cellStyle name="Hyperlink 4669" xfId="4165"/>
    <cellStyle name="Hyperlink 4669 2" xfId="8884"/>
    <cellStyle name="Hyperlink 4669 3" xfId="6542"/>
    <cellStyle name="Hyperlink 467" xfId="4166"/>
    <cellStyle name="Hyperlink 467 2" xfId="8885"/>
    <cellStyle name="Hyperlink 467 3" xfId="6543"/>
    <cellStyle name="Hyperlink 4670" xfId="4167"/>
    <cellStyle name="Hyperlink 4670 2" xfId="8886"/>
    <cellStyle name="Hyperlink 4670 3" xfId="6544"/>
    <cellStyle name="Hyperlink 4671" xfId="4168"/>
    <cellStyle name="Hyperlink 4671 2" xfId="8887"/>
    <cellStyle name="Hyperlink 4671 3" xfId="6545"/>
    <cellStyle name="Hyperlink 4672" xfId="4169"/>
    <cellStyle name="Hyperlink 4672 2" xfId="8888"/>
    <cellStyle name="Hyperlink 4672 3" xfId="6546"/>
    <cellStyle name="Hyperlink 4673" xfId="4170"/>
    <cellStyle name="Hyperlink 4673 2" xfId="8889"/>
    <cellStyle name="Hyperlink 4673 3" xfId="6547"/>
    <cellStyle name="Hyperlink 4674" xfId="4171"/>
    <cellStyle name="Hyperlink 4674 2" xfId="8890"/>
    <cellStyle name="Hyperlink 4674 3" xfId="6548"/>
    <cellStyle name="Hyperlink 4675" xfId="4172"/>
    <cellStyle name="Hyperlink 4675 2" xfId="8891"/>
    <cellStyle name="Hyperlink 4675 3" xfId="6549"/>
    <cellStyle name="Hyperlink 4676" xfId="4173"/>
    <cellStyle name="Hyperlink 4676 2" xfId="8892"/>
    <cellStyle name="Hyperlink 4676 3" xfId="6550"/>
    <cellStyle name="Hyperlink 4677" xfId="4174"/>
    <cellStyle name="Hyperlink 4677 2" xfId="8893"/>
    <cellStyle name="Hyperlink 4677 3" xfId="6551"/>
    <cellStyle name="Hyperlink 4678" xfId="4175"/>
    <cellStyle name="Hyperlink 4678 2" xfId="8894"/>
    <cellStyle name="Hyperlink 4678 3" xfId="6552"/>
    <cellStyle name="Hyperlink 4679" xfId="4176"/>
    <cellStyle name="Hyperlink 4679 2" xfId="8895"/>
    <cellStyle name="Hyperlink 4679 3" xfId="6553"/>
    <cellStyle name="Hyperlink 468" xfId="4177"/>
    <cellStyle name="Hyperlink 468 2" xfId="8896"/>
    <cellStyle name="Hyperlink 468 3" xfId="6554"/>
    <cellStyle name="Hyperlink 4680" xfId="4178"/>
    <cellStyle name="Hyperlink 4680 2" xfId="8897"/>
    <cellStyle name="Hyperlink 4680 3" xfId="6555"/>
    <cellStyle name="Hyperlink 4681" xfId="4179"/>
    <cellStyle name="Hyperlink 4681 2" xfId="8898"/>
    <cellStyle name="Hyperlink 4681 3" xfId="6556"/>
    <cellStyle name="Hyperlink 4682" xfId="4180"/>
    <cellStyle name="Hyperlink 4682 2" xfId="8899"/>
    <cellStyle name="Hyperlink 4682 3" xfId="6557"/>
    <cellStyle name="Hyperlink 4683" xfId="4181"/>
    <cellStyle name="Hyperlink 4683 2" xfId="8900"/>
    <cellStyle name="Hyperlink 4683 3" xfId="6558"/>
    <cellStyle name="Hyperlink 4684" xfId="4182"/>
    <cellStyle name="Hyperlink 4684 2" xfId="8901"/>
    <cellStyle name="Hyperlink 4684 3" xfId="6559"/>
    <cellStyle name="Hyperlink 4685" xfId="4183"/>
    <cellStyle name="Hyperlink 4685 2" xfId="8902"/>
    <cellStyle name="Hyperlink 4685 3" xfId="6560"/>
    <cellStyle name="Hyperlink 4686" xfId="4184"/>
    <cellStyle name="Hyperlink 4686 2" xfId="8903"/>
    <cellStyle name="Hyperlink 4686 3" xfId="6561"/>
    <cellStyle name="Hyperlink 4687" xfId="4185"/>
    <cellStyle name="Hyperlink 4687 2" xfId="8904"/>
    <cellStyle name="Hyperlink 4687 3" xfId="6562"/>
    <cellStyle name="Hyperlink 4688" xfId="4186"/>
    <cellStyle name="Hyperlink 4688 2" xfId="8905"/>
    <cellStyle name="Hyperlink 4688 3" xfId="6563"/>
    <cellStyle name="Hyperlink 4689" xfId="4187"/>
    <cellStyle name="Hyperlink 4689 2" xfId="8906"/>
    <cellStyle name="Hyperlink 4689 3" xfId="6564"/>
    <cellStyle name="Hyperlink 469" xfId="4188"/>
    <cellStyle name="Hyperlink 469 2" xfId="8907"/>
    <cellStyle name="Hyperlink 469 3" xfId="6565"/>
    <cellStyle name="Hyperlink 4690" xfId="4189"/>
    <cellStyle name="Hyperlink 4690 2" xfId="8908"/>
    <cellStyle name="Hyperlink 4690 3" xfId="6566"/>
    <cellStyle name="Hyperlink 4691" xfId="4190"/>
    <cellStyle name="Hyperlink 4691 2" xfId="8909"/>
    <cellStyle name="Hyperlink 4691 3" xfId="6567"/>
    <cellStyle name="Hyperlink 4692" xfId="4191"/>
    <cellStyle name="Hyperlink 4692 2" xfId="8910"/>
    <cellStyle name="Hyperlink 4692 3" xfId="6568"/>
    <cellStyle name="Hyperlink 4693" xfId="4192"/>
    <cellStyle name="Hyperlink 4693 2" xfId="8911"/>
    <cellStyle name="Hyperlink 4693 3" xfId="6569"/>
    <cellStyle name="Hyperlink 4694" xfId="4193"/>
    <cellStyle name="Hyperlink 4694 2" xfId="8912"/>
    <cellStyle name="Hyperlink 4694 3" xfId="6570"/>
    <cellStyle name="Hyperlink 4695" xfId="4194"/>
    <cellStyle name="Hyperlink 4695 2" xfId="8913"/>
    <cellStyle name="Hyperlink 4695 3" xfId="6571"/>
    <cellStyle name="Hyperlink 4696" xfId="4195"/>
    <cellStyle name="Hyperlink 4696 2" xfId="8914"/>
    <cellStyle name="Hyperlink 4696 3" xfId="6572"/>
    <cellStyle name="Hyperlink 4697" xfId="4196"/>
    <cellStyle name="Hyperlink 4697 2" xfId="8915"/>
    <cellStyle name="Hyperlink 4697 3" xfId="6573"/>
    <cellStyle name="Hyperlink 4698" xfId="4197"/>
    <cellStyle name="Hyperlink 4698 2" xfId="8916"/>
    <cellStyle name="Hyperlink 4698 3" xfId="6574"/>
    <cellStyle name="Hyperlink 4699" xfId="4198"/>
    <cellStyle name="Hyperlink 4699 2" xfId="8917"/>
    <cellStyle name="Hyperlink 4699 3" xfId="6575"/>
    <cellStyle name="Hyperlink 47" xfId="4199"/>
    <cellStyle name="Hyperlink 47 2" xfId="8918"/>
    <cellStyle name="Hyperlink 47 3" xfId="6576"/>
    <cellStyle name="Hyperlink 470" xfId="4200"/>
    <cellStyle name="Hyperlink 470 2" xfId="8919"/>
    <cellStyle name="Hyperlink 470 3" xfId="6577"/>
    <cellStyle name="Hyperlink 4700" xfId="4201"/>
    <cellStyle name="Hyperlink 4700 2" xfId="8920"/>
    <cellStyle name="Hyperlink 4700 3" xfId="6578"/>
    <cellStyle name="Hyperlink 4701" xfId="4202"/>
    <cellStyle name="Hyperlink 4701 2" xfId="8921"/>
    <cellStyle name="Hyperlink 4701 3" xfId="6579"/>
    <cellStyle name="Hyperlink 4702" xfId="4203"/>
    <cellStyle name="Hyperlink 4702 2" xfId="8922"/>
    <cellStyle name="Hyperlink 4702 3" xfId="6580"/>
    <cellStyle name="Hyperlink 4703" xfId="4204"/>
    <cellStyle name="Hyperlink 4703 2" xfId="8923"/>
    <cellStyle name="Hyperlink 4703 3" xfId="6581"/>
    <cellStyle name="Hyperlink 4704" xfId="4205"/>
    <cellStyle name="Hyperlink 4704 2" xfId="8924"/>
    <cellStyle name="Hyperlink 4704 3" xfId="6582"/>
    <cellStyle name="Hyperlink 4705" xfId="4206"/>
    <cellStyle name="Hyperlink 4705 2" xfId="8925"/>
    <cellStyle name="Hyperlink 4705 3" xfId="6583"/>
    <cellStyle name="Hyperlink 4706" xfId="4207"/>
    <cellStyle name="Hyperlink 4706 2" xfId="8926"/>
    <cellStyle name="Hyperlink 4706 3" xfId="6584"/>
    <cellStyle name="Hyperlink 4707" xfId="4208"/>
    <cellStyle name="Hyperlink 4707 2" xfId="8927"/>
    <cellStyle name="Hyperlink 4707 3" xfId="6585"/>
    <cellStyle name="Hyperlink 4708" xfId="4209"/>
    <cellStyle name="Hyperlink 4708 2" xfId="8928"/>
    <cellStyle name="Hyperlink 4708 3" xfId="6586"/>
    <cellStyle name="Hyperlink 4709" xfId="4210"/>
    <cellStyle name="Hyperlink 4709 2" xfId="8929"/>
    <cellStyle name="Hyperlink 4709 3" xfId="6587"/>
    <cellStyle name="Hyperlink 471" xfId="4211"/>
    <cellStyle name="Hyperlink 471 2" xfId="8930"/>
    <cellStyle name="Hyperlink 471 3" xfId="6588"/>
    <cellStyle name="Hyperlink 4710" xfId="4212"/>
    <cellStyle name="Hyperlink 4710 2" xfId="8931"/>
    <cellStyle name="Hyperlink 4710 3" xfId="6589"/>
    <cellStyle name="Hyperlink 4711" xfId="4213"/>
    <cellStyle name="Hyperlink 4711 2" xfId="8932"/>
    <cellStyle name="Hyperlink 4711 3" xfId="6590"/>
    <cellStyle name="Hyperlink 4712" xfId="4214"/>
    <cellStyle name="Hyperlink 4712 2" xfId="8933"/>
    <cellStyle name="Hyperlink 4712 3" xfId="6591"/>
    <cellStyle name="Hyperlink 4713" xfId="4215"/>
    <cellStyle name="Hyperlink 4713 2" xfId="8934"/>
    <cellStyle name="Hyperlink 4713 3" xfId="6592"/>
    <cellStyle name="Hyperlink 4714" xfId="4216"/>
    <cellStyle name="Hyperlink 4714 2" xfId="8935"/>
    <cellStyle name="Hyperlink 4714 3" xfId="6593"/>
    <cellStyle name="Hyperlink 4715" xfId="4217"/>
    <cellStyle name="Hyperlink 4715 2" xfId="8936"/>
    <cellStyle name="Hyperlink 4715 3" xfId="6594"/>
    <cellStyle name="Hyperlink 4716" xfId="4218"/>
    <cellStyle name="Hyperlink 4716 2" xfId="8937"/>
    <cellStyle name="Hyperlink 4716 3" xfId="6595"/>
    <cellStyle name="Hyperlink 4717" xfId="4219"/>
    <cellStyle name="Hyperlink 4717 2" xfId="8938"/>
    <cellStyle name="Hyperlink 4717 3" xfId="6596"/>
    <cellStyle name="Hyperlink 4718" xfId="4220"/>
    <cellStyle name="Hyperlink 4718 2" xfId="8939"/>
    <cellStyle name="Hyperlink 4718 3" xfId="6597"/>
    <cellStyle name="Hyperlink 4719" xfId="4221"/>
    <cellStyle name="Hyperlink 4719 2" xfId="8940"/>
    <cellStyle name="Hyperlink 4719 3" xfId="6598"/>
    <cellStyle name="Hyperlink 472" xfId="4222"/>
    <cellStyle name="Hyperlink 472 2" xfId="8941"/>
    <cellStyle name="Hyperlink 472 3" xfId="6599"/>
    <cellStyle name="Hyperlink 4720" xfId="4223"/>
    <cellStyle name="Hyperlink 4720 2" xfId="8942"/>
    <cellStyle name="Hyperlink 4720 3" xfId="6600"/>
    <cellStyle name="Hyperlink 4721" xfId="4224"/>
    <cellStyle name="Hyperlink 4721 2" xfId="8943"/>
    <cellStyle name="Hyperlink 4721 3" xfId="6601"/>
    <cellStyle name="Hyperlink 4722" xfId="4225"/>
    <cellStyle name="Hyperlink 4722 2" xfId="8944"/>
    <cellStyle name="Hyperlink 4722 3" xfId="6602"/>
    <cellStyle name="Hyperlink 4723" xfId="4226"/>
    <cellStyle name="Hyperlink 4723 2" xfId="8945"/>
    <cellStyle name="Hyperlink 4723 3" xfId="6603"/>
    <cellStyle name="Hyperlink 4724" xfId="4227"/>
    <cellStyle name="Hyperlink 4724 2" xfId="8946"/>
    <cellStyle name="Hyperlink 4724 3" xfId="6604"/>
    <cellStyle name="Hyperlink 4725" xfId="4228"/>
    <cellStyle name="Hyperlink 4725 2" xfId="8947"/>
    <cellStyle name="Hyperlink 4725 3" xfId="6605"/>
    <cellStyle name="Hyperlink 4726" xfId="4229"/>
    <cellStyle name="Hyperlink 4726 2" xfId="8948"/>
    <cellStyle name="Hyperlink 4726 3" xfId="6606"/>
    <cellStyle name="Hyperlink 4727" xfId="4230"/>
    <cellStyle name="Hyperlink 4727 2" xfId="8949"/>
    <cellStyle name="Hyperlink 4727 3" xfId="6607"/>
    <cellStyle name="Hyperlink 4728" xfId="4231"/>
    <cellStyle name="Hyperlink 4728 2" xfId="8950"/>
    <cellStyle name="Hyperlink 4728 3" xfId="6608"/>
    <cellStyle name="Hyperlink 4729" xfId="4232"/>
    <cellStyle name="Hyperlink 4729 2" xfId="8951"/>
    <cellStyle name="Hyperlink 4729 3" xfId="6609"/>
    <cellStyle name="Hyperlink 473" xfId="4233"/>
    <cellStyle name="Hyperlink 473 2" xfId="8952"/>
    <cellStyle name="Hyperlink 473 3" xfId="6610"/>
    <cellStyle name="Hyperlink 4730" xfId="4234"/>
    <cellStyle name="Hyperlink 4730 2" xfId="8953"/>
    <cellStyle name="Hyperlink 4730 3" xfId="6611"/>
    <cellStyle name="Hyperlink 4731" xfId="4235"/>
    <cellStyle name="Hyperlink 4731 2" xfId="8954"/>
    <cellStyle name="Hyperlink 4731 3" xfId="6612"/>
    <cellStyle name="Hyperlink 4732" xfId="4236"/>
    <cellStyle name="Hyperlink 4732 2" xfId="8955"/>
    <cellStyle name="Hyperlink 4732 3" xfId="6613"/>
    <cellStyle name="Hyperlink 4733" xfId="4237"/>
    <cellStyle name="Hyperlink 4733 2" xfId="8956"/>
    <cellStyle name="Hyperlink 4733 3" xfId="6614"/>
    <cellStyle name="Hyperlink 4734" xfId="4238"/>
    <cellStyle name="Hyperlink 4734 2" xfId="8957"/>
    <cellStyle name="Hyperlink 4734 3" xfId="6615"/>
    <cellStyle name="Hyperlink 4735" xfId="4239"/>
    <cellStyle name="Hyperlink 4735 2" xfId="8958"/>
    <cellStyle name="Hyperlink 4735 3" xfId="6616"/>
    <cellStyle name="Hyperlink 4736" xfId="4240"/>
    <cellStyle name="Hyperlink 4736 2" xfId="8959"/>
    <cellStyle name="Hyperlink 4736 3" xfId="6617"/>
    <cellStyle name="Hyperlink 4737" xfId="4241"/>
    <cellStyle name="Hyperlink 4737 2" xfId="8960"/>
    <cellStyle name="Hyperlink 4737 3" xfId="6618"/>
    <cellStyle name="Hyperlink 4738" xfId="4242"/>
    <cellStyle name="Hyperlink 4738 2" xfId="8961"/>
    <cellStyle name="Hyperlink 4738 3" xfId="6619"/>
    <cellStyle name="Hyperlink 4739" xfId="4243"/>
    <cellStyle name="Hyperlink 4739 2" xfId="8962"/>
    <cellStyle name="Hyperlink 4739 3" xfId="6620"/>
    <cellStyle name="Hyperlink 474" xfId="4244"/>
    <cellStyle name="Hyperlink 474 2" xfId="8963"/>
    <cellStyle name="Hyperlink 474 3" xfId="6621"/>
    <cellStyle name="Hyperlink 4740" xfId="4245"/>
    <cellStyle name="Hyperlink 4740 2" xfId="8964"/>
    <cellStyle name="Hyperlink 4740 3" xfId="6622"/>
    <cellStyle name="Hyperlink 4741" xfId="4246"/>
    <cellStyle name="Hyperlink 4741 2" xfId="8965"/>
    <cellStyle name="Hyperlink 4741 3" xfId="6623"/>
    <cellStyle name="Hyperlink 4742" xfId="4247"/>
    <cellStyle name="Hyperlink 4742 2" xfId="8966"/>
    <cellStyle name="Hyperlink 4742 3" xfId="6624"/>
    <cellStyle name="Hyperlink 4743" xfId="4248"/>
    <cellStyle name="Hyperlink 4743 2" xfId="8967"/>
    <cellStyle name="Hyperlink 4743 3" xfId="6625"/>
    <cellStyle name="Hyperlink 4744" xfId="4249"/>
    <cellStyle name="Hyperlink 4744 2" xfId="8968"/>
    <cellStyle name="Hyperlink 4744 3" xfId="6626"/>
    <cellStyle name="Hyperlink 4745" xfId="4250"/>
    <cellStyle name="Hyperlink 4745 2" xfId="8969"/>
    <cellStyle name="Hyperlink 4745 3" xfId="6627"/>
    <cellStyle name="Hyperlink 4746" xfId="4251"/>
    <cellStyle name="Hyperlink 4746 2" xfId="8970"/>
    <cellStyle name="Hyperlink 4746 3" xfId="6628"/>
    <cellStyle name="Hyperlink 4747" xfId="4252"/>
    <cellStyle name="Hyperlink 4747 2" xfId="8971"/>
    <cellStyle name="Hyperlink 4747 3" xfId="6629"/>
    <cellStyle name="Hyperlink 4748" xfId="4253"/>
    <cellStyle name="Hyperlink 4748 2" xfId="8972"/>
    <cellStyle name="Hyperlink 4748 3" xfId="6630"/>
    <cellStyle name="Hyperlink 4749" xfId="4254"/>
    <cellStyle name="Hyperlink 4749 2" xfId="8973"/>
    <cellStyle name="Hyperlink 4749 3" xfId="6631"/>
    <cellStyle name="Hyperlink 475" xfId="4255"/>
    <cellStyle name="Hyperlink 475 2" xfId="8974"/>
    <cellStyle name="Hyperlink 475 3" xfId="6632"/>
    <cellStyle name="Hyperlink 4750" xfId="4256"/>
    <cellStyle name="Hyperlink 4750 2" xfId="8975"/>
    <cellStyle name="Hyperlink 4750 3" xfId="6633"/>
    <cellStyle name="Hyperlink 4751" xfId="4257"/>
    <cellStyle name="Hyperlink 4751 2" xfId="8976"/>
    <cellStyle name="Hyperlink 4751 3" xfId="6634"/>
    <cellStyle name="Hyperlink 4752" xfId="4258"/>
    <cellStyle name="Hyperlink 4752 2" xfId="8977"/>
    <cellStyle name="Hyperlink 4752 3" xfId="6635"/>
    <cellStyle name="Hyperlink 4753" xfId="4259"/>
    <cellStyle name="Hyperlink 4753 2" xfId="8978"/>
    <cellStyle name="Hyperlink 4753 3" xfId="6636"/>
    <cellStyle name="Hyperlink 4754" xfId="4260"/>
    <cellStyle name="Hyperlink 4754 2" xfId="8979"/>
    <cellStyle name="Hyperlink 4754 3" xfId="6637"/>
    <cellStyle name="Hyperlink 4755" xfId="4261"/>
    <cellStyle name="Hyperlink 4755 2" xfId="8980"/>
    <cellStyle name="Hyperlink 4755 3" xfId="6638"/>
    <cellStyle name="Hyperlink 4756" xfId="4262"/>
    <cellStyle name="Hyperlink 4756 2" xfId="8981"/>
    <cellStyle name="Hyperlink 4756 3" xfId="6639"/>
    <cellStyle name="Hyperlink 4757" xfId="4263"/>
    <cellStyle name="Hyperlink 4757 2" xfId="8982"/>
    <cellStyle name="Hyperlink 4757 3" xfId="6640"/>
    <cellStyle name="Hyperlink 4758" xfId="4264"/>
    <cellStyle name="Hyperlink 4758 2" xfId="8983"/>
    <cellStyle name="Hyperlink 4758 3" xfId="6641"/>
    <cellStyle name="Hyperlink 4759" xfId="4265"/>
    <cellStyle name="Hyperlink 4759 2" xfId="8984"/>
    <cellStyle name="Hyperlink 4759 3" xfId="6642"/>
    <cellStyle name="Hyperlink 476" xfId="4266"/>
    <cellStyle name="Hyperlink 476 2" xfId="8985"/>
    <cellStyle name="Hyperlink 476 3" xfId="6643"/>
    <cellStyle name="Hyperlink 4760" xfId="4267"/>
    <cellStyle name="Hyperlink 4760 2" xfId="8986"/>
    <cellStyle name="Hyperlink 4760 3" xfId="6644"/>
    <cellStyle name="Hyperlink 4761" xfId="4268"/>
    <cellStyle name="Hyperlink 4761 2" xfId="8987"/>
    <cellStyle name="Hyperlink 4761 3" xfId="6645"/>
    <cellStyle name="Hyperlink 4762" xfId="4269"/>
    <cellStyle name="Hyperlink 4762 2" xfId="8988"/>
    <cellStyle name="Hyperlink 4762 3" xfId="6646"/>
    <cellStyle name="Hyperlink 4763" xfId="4270"/>
    <cellStyle name="Hyperlink 4763 2" xfId="8989"/>
    <cellStyle name="Hyperlink 4763 3" xfId="6647"/>
    <cellStyle name="Hyperlink 4764" xfId="4271"/>
    <cellStyle name="Hyperlink 4764 2" xfId="8990"/>
    <cellStyle name="Hyperlink 4764 3" xfId="6648"/>
    <cellStyle name="Hyperlink 4765" xfId="4272"/>
    <cellStyle name="Hyperlink 4765 2" xfId="8991"/>
    <cellStyle name="Hyperlink 4765 3" xfId="6649"/>
    <cellStyle name="Hyperlink 4766" xfId="4273"/>
    <cellStyle name="Hyperlink 4766 2" xfId="8992"/>
    <cellStyle name="Hyperlink 4766 3" xfId="6650"/>
    <cellStyle name="Hyperlink 4767" xfId="4274"/>
    <cellStyle name="Hyperlink 4767 2" xfId="8993"/>
    <cellStyle name="Hyperlink 4767 3" xfId="6651"/>
    <cellStyle name="Hyperlink 4768" xfId="4275"/>
    <cellStyle name="Hyperlink 4768 2" xfId="8994"/>
    <cellStyle name="Hyperlink 4768 3" xfId="6652"/>
    <cellStyle name="Hyperlink 4769" xfId="4276"/>
    <cellStyle name="Hyperlink 4769 2" xfId="8995"/>
    <cellStyle name="Hyperlink 4769 3" xfId="6653"/>
    <cellStyle name="Hyperlink 477" xfId="4277"/>
    <cellStyle name="Hyperlink 477 2" xfId="8996"/>
    <cellStyle name="Hyperlink 477 3" xfId="6654"/>
    <cellStyle name="Hyperlink 4770" xfId="4278"/>
    <cellStyle name="Hyperlink 4770 2" xfId="8997"/>
    <cellStyle name="Hyperlink 4770 3" xfId="6655"/>
    <cellStyle name="Hyperlink 4771" xfId="4279"/>
    <cellStyle name="Hyperlink 4771 2" xfId="8998"/>
    <cellStyle name="Hyperlink 4771 3" xfId="6656"/>
    <cellStyle name="Hyperlink 4772" xfId="4280"/>
    <cellStyle name="Hyperlink 4772 2" xfId="8999"/>
    <cellStyle name="Hyperlink 4772 3" xfId="6657"/>
    <cellStyle name="Hyperlink 4773" xfId="4281"/>
    <cellStyle name="Hyperlink 4773 2" xfId="9000"/>
    <cellStyle name="Hyperlink 4773 3" xfId="6658"/>
    <cellStyle name="Hyperlink 4774" xfId="4282"/>
    <cellStyle name="Hyperlink 4774 2" xfId="9001"/>
    <cellStyle name="Hyperlink 4774 3" xfId="6659"/>
    <cellStyle name="Hyperlink 4775" xfId="4283"/>
    <cellStyle name="Hyperlink 4775 2" xfId="9002"/>
    <cellStyle name="Hyperlink 4775 3" xfId="6660"/>
    <cellStyle name="Hyperlink 4776" xfId="4284"/>
    <cellStyle name="Hyperlink 4776 2" xfId="9003"/>
    <cellStyle name="Hyperlink 4776 3" xfId="6661"/>
    <cellStyle name="Hyperlink 4777" xfId="4285"/>
    <cellStyle name="Hyperlink 4777 2" xfId="9004"/>
    <cellStyle name="Hyperlink 4777 3" xfId="6662"/>
    <cellStyle name="Hyperlink 4778" xfId="4286"/>
    <cellStyle name="Hyperlink 4778 2" xfId="9005"/>
    <cellStyle name="Hyperlink 4778 3" xfId="6663"/>
    <cellStyle name="Hyperlink 4779" xfId="4287"/>
    <cellStyle name="Hyperlink 4779 2" xfId="9006"/>
    <cellStyle name="Hyperlink 4779 3" xfId="6664"/>
    <cellStyle name="Hyperlink 478" xfId="4288"/>
    <cellStyle name="Hyperlink 478 2" xfId="9007"/>
    <cellStyle name="Hyperlink 478 3" xfId="6665"/>
    <cellStyle name="Hyperlink 4780" xfId="4289"/>
    <cellStyle name="Hyperlink 4780 2" xfId="9008"/>
    <cellStyle name="Hyperlink 4780 3" xfId="6666"/>
    <cellStyle name="Hyperlink 4781" xfId="4290"/>
    <cellStyle name="Hyperlink 4781 2" xfId="9009"/>
    <cellStyle name="Hyperlink 4781 3" xfId="6667"/>
    <cellStyle name="Hyperlink 4782" xfId="4291"/>
    <cellStyle name="Hyperlink 4782 2" xfId="9010"/>
    <cellStyle name="Hyperlink 4782 3" xfId="6668"/>
    <cellStyle name="Hyperlink 4783" xfId="4292"/>
    <cellStyle name="Hyperlink 4783 2" xfId="9011"/>
    <cellStyle name="Hyperlink 4783 3" xfId="6669"/>
    <cellStyle name="Hyperlink 4784" xfId="4293"/>
    <cellStyle name="Hyperlink 4784 2" xfId="9012"/>
    <cellStyle name="Hyperlink 4784 3" xfId="6670"/>
    <cellStyle name="Hyperlink 4785" xfId="4294"/>
    <cellStyle name="Hyperlink 4785 2" xfId="9013"/>
    <cellStyle name="Hyperlink 4785 3" xfId="6671"/>
    <cellStyle name="Hyperlink 4786" xfId="4295"/>
    <cellStyle name="Hyperlink 4786 2" xfId="9014"/>
    <cellStyle name="Hyperlink 4786 3" xfId="6672"/>
    <cellStyle name="Hyperlink 4787" xfId="4296"/>
    <cellStyle name="Hyperlink 4787 2" xfId="9015"/>
    <cellStyle name="Hyperlink 4787 3" xfId="6673"/>
    <cellStyle name="Hyperlink 4788" xfId="4297"/>
    <cellStyle name="Hyperlink 4788 2" xfId="9016"/>
    <cellStyle name="Hyperlink 4788 3" xfId="6674"/>
    <cellStyle name="Hyperlink 4789" xfId="4298"/>
    <cellStyle name="Hyperlink 4789 2" xfId="9017"/>
    <cellStyle name="Hyperlink 4789 3" xfId="6675"/>
    <cellStyle name="Hyperlink 479" xfId="4299"/>
    <cellStyle name="Hyperlink 479 2" xfId="9018"/>
    <cellStyle name="Hyperlink 479 3" xfId="6676"/>
    <cellStyle name="Hyperlink 4790" xfId="4300"/>
    <cellStyle name="Hyperlink 4790 2" xfId="9019"/>
    <cellStyle name="Hyperlink 4790 3" xfId="6677"/>
    <cellStyle name="Hyperlink 4791" xfId="4301"/>
    <cellStyle name="Hyperlink 4791 2" xfId="9020"/>
    <cellStyle name="Hyperlink 4791 3" xfId="6678"/>
    <cellStyle name="Hyperlink 4792" xfId="4302"/>
    <cellStyle name="Hyperlink 4792 2" xfId="9021"/>
    <cellStyle name="Hyperlink 4792 3" xfId="6679"/>
    <cellStyle name="Hyperlink 4793" xfId="4303"/>
    <cellStyle name="Hyperlink 4793 2" xfId="9022"/>
    <cellStyle name="Hyperlink 4793 3" xfId="6680"/>
    <cellStyle name="Hyperlink 4794" xfId="4304"/>
    <cellStyle name="Hyperlink 4794 2" xfId="9023"/>
    <cellStyle name="Hyperlink 4794 3" xfId="6681"/>
    <cellStyle name="Hyperlink 4795" xfId="4305"/>
    <cellStyle name="Hyperlink 4795 2" xfId="9024"/>
    <cellStyle name="Hyperlink 4795 3" xfId="6682"/>
    <cellStyle name="Hyperlink 4796" xfId="4306"/>
    <cellStyle name="Hyperlink 4796 2" xfId="9025"/>
    <cellStyle name="Hyperlink 4796 3" xfId="6683"/>
    <cellStyle name="Hyperlink 4797" xfId="4307"/>
    <cellStyle name="Hyperlink 4797 2" xfId="9026"/>
    <cellStyle name="Hyperlink 4797 3" xfId="6684"/>
    <cellStyle name="Hyperlink 4798" xfId="4308"/>
    <cellStyle name="Hyperlink 4798 2" xfId="9027"/>
    <cellStyle name="Hyperlink 4798 3" xfId="6685"/>
    <cellStyle name="Hyperlink 4799" xfId="4309"/>
    <cellStyle name="Hyperlink 4799 2" xfId="9028"/>
    <cellStyle name="Hyperlink 4799 3" xfId="6686"/>
    <cellStyle name="Hyperlink 48" xfId="4310"/>
    <cellStyle name="Hyperlink 48 2" xfId="9029"/>
    <cellStyle name="Hyperlink 48 3" xfId="6687"/>
    <cellStyle name="Hyperlink 480" xfId="4311"/>
    <cellStyle name="Hyperlink 480 2" xfId="9030"/>
    <cellStyle name="Hyperlink 480 3" xfId="6688"/>
    <cellStyle name="Hyperlink 4800" xfId="4312"/>
    <cellStyle name="Hyperlink 4800 2" xfId="9031"/>
    <cellStyle name="Hyperlink 4800 3" xfId="6689"/>
    <cellStyle name="Hyperlink 4801" xfId="4313"/>
    <cellStyle name="Hyperlink 4801 2" xfId="9032"/>
    <cellStyle name="Hyperlink 4801 3" xfId="6690"/>
    <cellStyle name="Hyperlink 4802" xfId="4314"/>
    <cellStyle name="Hyperlink 4802 2" xfId="9033"/>
    <cellStyle name="Hyperlink 4802 3" xfId="6691"/>
    <cellStyle name="Hyperlink 4803" xfId="4315"/>
    <cellStyle name="Hyperlink 4803 2" xfId="9034"/>
    <cellStyle name="Hyperlink 4803 3" xfId="6692"/>
    <cellStyle name="Hyperlink 4804" xfId="4316"/>
    <cellStyle name="Hyperlink 4804 2" xfId="9035"/>
    <cellStyle name="Hyperlink 4804 3" xfId="6693"/>
    <cellStyle name="Hyperlink 4805" xfId="4317"/>
    <cellStyle name="Hyperlink 4805 2" xfId="9036"/>
    <cellStyle name="Hyperlink 4805 3" xfId="6694"/>
    <cellStyle name="Hyperlink 4806" xfId="4318"/>
    <cellStyle name="Hyperlink 4806 2" xfId="9037"/>
    <cellStyle name="Hyperlink 4806 3" xfId="6695"/>
    <cellStyle name="Hyperlink 4807" xfId="4319"/>
    <cellStyle name="Hyperlink 4807 2" xfId="9038"/>
    <cellStyle name="Hyperlink 4807 3" xfId="6696"/>
    <cellStyle name="Hyperlink 4808" xfId="4320"/>
    <cellStyle name="Hyperlink 4808 2" xfId="9039"/>
    <cellStyle name="Hyperlink 4808 3" xfId="6697"/>
    <cellStyle name="Hyperlink 4809" xfId="4321"/>
    <cellStyle name="Hyperlink 4809 2" xfId="9040"/>
    <cellStyle name="Hyperlink 4809 3" xfId="6698"/>
    <cellStyle name="Hyperlink 481" xfId="4322"/>
    <cellStyle name="Hyperlink 481 2" xfId="9041"/>
    <cellStyle name="Hyperlink 481 3" xfId="6699"/>
    <cellStyle name="Hyperlink 4810" xfId="4323"/>
    <cellStyle name="Hyperlink 4810 2" xfId="9042"/>
    <cellStyle name="Hyperlink 4810 3" xfId="6700"/>
    <cellStyle name="Hyperlink 4811" xfId="4324"/>
    <cellStyle name="Hyperlink 4811 2" xfId="9043"/>
    <cellStyle name="Hyperlink 4811 3" xfId="6701"/>
    <cellStyle name="Hyperlink 4812" xfId="4325"/>
    <cellStyle name="Hyperlink 4812 2" xfId="9044"/>
    <cellStyle name="Hyperlink 4812 3" xfId="6702"/>
    <cellStyle name="Hyperlink 4813" xfId="4326"/>
    <cellStyle name="Hyperlink 4813 2" xfId="9045"/>
    <cellStyle name="Hyperlink 4813 3" xfId="6703"/>
    <cellStyle name="Hyperlink 4814" xfId="4327"/>
    <cellStyle name="Hyperlink 4814 2" xfId="9046"/>
    <cellStyle name="Hyperlink 4814 3" xfId="6704"/>
    <cellStyle name="Hyperlink 4815" xfId="4328"/>
    <cellStyle name="Hyperlink 4815 2" xfId="9047"/>
    <cellStyle name="Hyperlink 4815 3" xfId="6705"/>
    <cellStyle name="Hyperlink 4816" xfId="4329"/>
    <cellStyle name="Hyperlink 4816 2" xfId="9048"/>
    <cellStyle name="Hyperlink 4816 3" xfId="6706"/>
    <cellStyle name="Hyperlink 4817" xfId="4330"/>
    <cellStyle name="Hyperlink 4817 2" xfId="9049"/>
    <cellStyle name="Hyperlink 4817 3" xfId="6707"/>
    <cellStyle name="Hyperlink 4818" xfId="4331"/>
    <cellStyle name="Hyperlink 4818 2" xfId="9050"/>
    <cellStyle name="Hyperlink 4818 3" xfId="6708"/>
    <cellStyle name="Hyperlink 4819" xfId="4332"/>
    <cellStyle name="Hyperlink 4819 2" xfId="9051"/>
    <cellStyle name="Hyperlink 4819 3" xfId="6709"/>
    <cellStyle name="Hyperlink 482" xfId="4333"/>
    <cellStyle name="Hyperlink 482 2" xfId="9052"/>
    <cellStyle name="Hyperlink 482 3" xfId="6710"/>
    <cellStyle name="Hyperlink 4820" xfId="4334"/>
    <cellStyle name="Hyperlink 4820 2" xfId="9053"/>
    <cellStyle name="Hyperlink 4820 3" xfId="6711"/>
    <cellStyle name="Hyperlink 4821" xfId="4335"/>
    <cellStyle name="Hyperlink 4821 2" xfId="9054"/>
    <cellStyle name="Hyperlink 4821 3" xfId="6712"/>
    <cellStyle name="Hyperlink 4822" xfId="4336"/>
    <cellStyle name="Hyperlink 4822 2" xfId="9055"/>
    <cellStyle name="Hyperlink 4822 3" xfId="6713"/>
    <cellStyle name="Hyperlink 4823" xfId="4337"/>
    <cellStyle name="Hyperlink 4823 2" xfId="9056"/>
    <cellStyle name="Hyperlink 4823 3" xfId="6714"/>
    <cellStyle name="Hyperlink 4824" xfId="4338"/>
    <cellStyle name="Hyperlink 4824 2" xfId="9057"/>
    <cellStyle name="Hyperlink 4824 3" xfId="6715"/>
    <cellStyle name="Hyperlink 4825" xfId="4339"/>
    <cellStyle name="Hyperlink 4825 2" xfId="9058"/>
    <cellStyle name="Hyperlink 4825 3" xfId="6716"/>
    <cellStyle name="Hyperlink 4826" xfId="4340"/>
    <cellStyle name="Hyperlink 4826 2" xfId="9059"/>
    <cellStyle name="Hyperlink 4826 3" xfId="6717"/>
    <cellStyle name="Hyperlink 4827" xfId="4341"/>
    <cellStyle name="Hyperlink 4827 2" xfId="9060"/>
    <cellStyle name="Hyperlink 4827 3" xfId="6718"/>
    <cellStyle name="Hyperlink 4828" xfId="4342"/>
    <cellStyle name="Hyperlink 4828 2" xfId="9061"/>
    <cellStyle name="Hyperlink 4828 3" xfId="6719"/>
    <cellStyle name="Hyperlink 4829" xfId="4343"/>
    <cellStyle name="Hyperlink 4829 2" xfId="9062"/>
    <cellStyle name="Hyperlink 4829 3" xfId="6720"/>
    <cellStyle name="Hyperlink 483" xfId="4344"/>
    <cellStyle name="Hyperlink 483 2" xfId="9063"/>
    <cellStyle name="Hyperlink 483 3" xfId="6721"/>
    <cellStyle name="Hyperlink 4830" xfId="4345"/>
    <cellStyle name="Hyperlink 4830 2" xfId="9064"/>
    <cellStyle name="Hyperlink 4830 3" xfId="6722"/>
    <cellStyle name="Hyperlink 4831" xfId="4346"/>
    <cellStyle name="Hyperlink 4831 2" xfId="9065"/>
    <cellStyle name="Hyperlink 4831 3" xfId="6723"/>
    <cellStyle name="Hyperlink 4832" xfId="4347"/>
    <cellStyle name="Hyperlink 4832 2" xfId="9066"/>
    <cellStyle name="Hyperlink 4832 3" xfId="6724"/>
    <cellStyle name="Hyperlink 4833" xfId="4348"/>
    <cellStyle name="Hyperlink 4833 2" xfId="9067"/>
    <cellStyle name="Hyperlink 4833 3" xfId="6725"/>
    <cellStyle name="Hyperlink 4834" xfId="4349"/>
    <cellStyle name="Hyperlink 4834 2" xfId="9068"/>
    <cellStyle name="Hyperlink 4834 3" xfId="6726"/>
    <cellStyle name="Hyperlink 4835" xfId="4350"/>
    <cellStyle name="Hyperlink 4835 2" xfId="9069"/>
    <cellStyle name="Hyperlink 4835 3" xfId="6727"/>
    <cellStyle name="Hyperlink 4836" xfId="4351"/>
    <cellStyle name="Hyperlink 4836 2" xfId="9070"/>
    <cellStyle name="Hyperlink 4836 3" xfId="6728"/>
    <cellStyle name="Hyperlink 4837" xfId="4352"/>
    <cellStyle name="Hyperlink 4837 2" xfId="9071"/>
    <cellStyle name="Hyperlink 4837 3" xfId="6729"/>
    <cellStyle name="Hyperlink 4838" xfId="4353"/>
    <cellStyle name="Hyperlink 4838 2" xfId="9072"/>
    <cellStyle name="Hyperlink 4838 3" xfId="6730"/>
    <cellStyle name="Hyperlink 4839" xfId="4354"/>
    <cellStyle name="Hyperlink 4839 2" xfId="9073"/>
    <cellStyle name="Hyperlink 4839 3" xfId="6731"/>
    <cellStyle name="Hyperlink 484" xfId="4355"/>
    <cellStyle name="Hyperlink 484 2" xfId="9074"/>
    <cellStyle name="Hyperlink 484 3" xfId="6732"/>
    <cellStyle name="Hyperlink 4840" xfId="4356"/>
    <cellStyle name="Hyperlink 4840 2" xfId="9075"/>
    <cellStyle name="Hyperlink 4840 3" xfId="6733"/>
    <cellStyle name="Hyperlink 4841" xfId="4357"/>
    <cellStyle name="Hyperlink 4841 2" xfId="9076"/>
    <cellStyle name="Hyperlink 4841 3" xfId="6734"/>
    <cellStyle name="Hyperlink 4842" xfId="4358"/>
    <cellStyle name="Hyperlink 4842 2" xfId="9077"/>
    <cellStyle name="Hyperlink 4842 3" xfId="6735"/>
    <cellStyle name="Hyperlink 4843" xfId="4359"/>
    <cellStyle name="Hyperlink 4843 2" xfId="9078"/>
    <cellStyle name="Hyperlink 4843 3" xfId="6736"/>
    <cellStyle name="Hyperlink 4844" xfId="4360"/>
    <cellStyle name="Hyperlink 4844 2" xfId="9079"/>
    <cellStyle name="Hyperlink 4844 3" xfId="6737"/>
    <cellStyle name="Hyperlink 4845" xfId="4361"/>
    <cellStyle name="Hyperlink 4845 2" xfId="9080"/>
    <cellStyle name="Hyperlink 4845 3" xfId="6738"/>
    <cellStyle name="Hyperlink 4846" xfId="4362"/>
    <cellStyle name="Hyperlink 4846 2" xfId="9081"/>
    <cellStyle name="Hyperlink 4846 3" xfId="6739"/>
    <cellStyle name="Hyperlink 4847" xfId="4363"/>
    <cellStyle name="Hyperlink 4847 2" xfId="9082"/>
    <cellStyle name="Hyperlink 4847 3" xfId="6740"/>
    <cellStyle name="Hyperlink 4848" xfId="4364"/>
    <cellStyle name="Hyperlink 4848 2" xfId="9083"/>
    <cellStyle name="Hyperlink 4848 3" xfId="6741"/>
    <cellStyle name="Hyperlink 4849" xfId="4365"/>
    <cellStyle name="Hyperlink 4849 2" xfId="9084"/>
    <cellStyle name="Hyperlink 4849 3" xfId="6742"/>
    <cellStyle name="Hyperlink 485" xfId="4366"/>
    <cellStyle name="Hyperlink 485 2" xfId="9085"/>
    <cellStyle name="Hyperlink 485 3" xfId="6743"/>
    <cellStyle name="Hyperlink 4850" xfId="4367"/>
    <cellStyle name="Hyperlink 4850 2" xfId="9086"/>
    <cellStyle name="Hyperlink 4850 3" xfId="6744"/>
    <cellStyle name="Hyperlink 4851" xfId="4368"/>
    <cellStyle name="Hyperlink 4851 2" xfId="9087"/>
    <cellStyle name="Hyperlink 4851 3" xfId="6745"/>
    <cellStyle name="Hyperlink 4852" xfId="4369"/>
    <cellStyle name="Hyperlink 4852 2" xfId="9088"/>
    <cellStyle name="Hyperlink 4852 3" xfId="6746"/>
    <cellStyle name="Hyperlink 4853" xfId="4370"/>
    <cellStyle name="Hyperlink 4853 2" xfId="9089"/>
    <cellStyle name="Hyperlink 4853 3" xfId="6747"/>
    <cellStyle name="Hyperlink 4854" xfId="4371"/>
    <cellStyle name="Hyperlink 4854 2" xfId="9090"/>
    <cellStyle name="Hyperlink 4854 3" xfId="6748"/>
    <cellStyle name="Hyperlink 4855" xfId="4372"/>
    <cellStyle name="Hyperlink 4855 2" xfId="9091"/>
    <cellStyle name="Hyperlink 4855 3" xfId="6749"/>
    <cellStyle name="Hyperlink 4856" xfId="4373"/>
    <cellStyle name="Hyperlink 4856 2" xfId="9092"/>
    <cellStyle name="Hyperlink 4856 3" xfId="6750"/>
    <cellStyle name="Hyperlink 4857" xfId="4374"/>
    <cellStyle name="Hyperlink 4857 2" xfId="9093"/>
    <cellStyle name="Hyperlink 4857 3" xfId="6751"/>
    <cellStyle name="Hyperlink 4858" xfId="4375"/>
    <cellStyle name="Hyperlink 4858 2" xfId="9094"/>
    <cellStyle name="Hyperlink 4858 3" xfId="6752"/>
    <cellStyle name="Hyperlink 4859" xfId="4376"/>
    <cellStyle name="Hyperlink 4859 2" xfId="9095"/>
    <cellStyle name="Hyperlink 4859 3" xfId="6753"/>
    <cellStyle name="Hyperlink 486" xfId="4377"/>
    <cellStyle name="Hyperlink 486 2" xfId="9096"/>
    <cellStyle name="Hyperlink 486 3" xfId="6754"/>
    <cellStyle name="Hyperlink 4860" xfId="4378"/>
    <cellStyle name="Hyperlink 4860 2" xfId="9097"/>
    <cellStyle name="Hyperlink 4860 3" xfId="6755"/>
    <cellStyle name="Hyperlink 4861" xfId="4379"/>
    <cellStyle name="Hyperlink 4861 2" xfId="9098"/>
    <cellStyle name="Hyperlink 4861 3" xfId="6756"/>
    <cellStyle name="Hyperlink 4862" xfId="4380"/>
    <cellStyle name="Hyperlink 4862 2" xfId="9099"/>
    <cellStyle name="Hyperlink 4862 3" xfId="6757"/>
    <cellStyle name="Hyperlink 4863" xfId="4381"/>
    <cellStyle name="Hyperlink 4863 2" xfId="9100"/>
    <cellStyle name="Hyperlink 4863 3" xfId="6758"/>
    <cellStyle name="Hyperlink 4864" xfId="4382"/>
    <cellStyle name="Hyperlink 4864 2" xfId="9101"/>
    <cellStyle name="Hyperlink 4864 3" xfId="6759"/>
    <cellStyle name="Hyperlink 4865" xfId="4383"/>
    <cellStyle name="Hyperlink 4865 2" xfId="9102"/>
    <cellStyle name="Hyperlink 4865 3" xfId="6760"/>
    <cellStyle name="Hyperlink 4866" xfId="4384"/>
    <cellStyle name="Hyperlink 4866 2" xfId="9103"/>
    <cellStyle name="Hyperlink 4866 3" xfId="6761"/>
    <cellStyle name="Hyperlink 4867" xfId="4385"/>
    <cellStyle name="Hyperlink 4867 2" xfId="9104"/>
    <cellStyle name="Hyperlink 4867 3" xfId="6762"/>
    <cellStyle name="Hyperlink 4868" xfId="4386"/>
    <cellStyle name="Hyperlink 4868 2" xfId="9105"/>
    <cellStyle name="Hyperlink 4868 3" xfId="6763"/>
    <cellStyle name="Hyperlink 4869" xfId="4387"/>
    <cellStyle name="Hyperlink 4869 2" xfId="9106"/>
    <cellStyle name="Hyperlink 4869 3" xfId="6764"/>
    <cellStyle name="Hyperlink 487" xfId="4388"/>
    <cellStyle name="Hyperlink 487 2" xfId="9107"/>
    <cellStyle name="Hyperlink 487 3" xfId="6765"/>
    <cellStyle name="Hyperlink 4870" xfId="4389"/>
    <cellStyle name="Hyperlink 4870 2" xfId="9108"/>
    <cellStyle name="Hyperlink 4870 3" xfId="6766"/>
    <cellStyle name="Hyperlink 4871" xfId="4390"/>
    <cellStyle name="Hyperlink 4871 2" xfId="9109"/>
    <cellStyle name="Hyperlink 4871 3" xfId="6767"/>
    <cellStyle name="Hyperlink 4872" xfId="4391"/>
    <cellStyle name="Hyperlink 4872 2" xfId="9110"/>
    <cellStyle name="Hyperlink 4872 3" xfId="6768"/>
    <cellStyle name="Hyperlink 4873" xfId="4392"/>
    <cellStyle name="Hyperlink 4873 2" xfId="9111"/>
    <cellStyle name="Hyperlink 4873 3" xfId="6769"/>
    <cellStyle name="Hyperlink 4874" xfId="4393"/>
    <cellStyle name="Hyperlink 4874 2" xfId="9112"/>
    <cellStyle name="Hyperlink 4874 3" xfId="6770"/>
    <cellStyle name="Hyperlink 4875" xfId="4394"/>
    <cellStyle name="Hyperlink 4875 2" xfId="9113"/>
    <cellStyle name="Hyperlink 4875 3" xfId="6771"/>
    <cellStyle name="Hyperlink 4876" xfId="4395"/>
    <cellStyle name="Hyperlink 4876 2" xfId="9114"/>
    <cellStyle name="Hyperlink 4876 3" xfId="6772"/>
    <cellStyle name="Hyperlink 4877" xfId="4396"/>
    <cellStyle name="Hyperlink 4877 2" xfId="9115"/>
    <cellStyle name="Hyperlink 4877 3" xfId="6773"/>
    <cellStyle name="Hyperlink 4878" xfId="4397"/>
    <cellStyle name="Hyperlink 4878 2" xfId="9116"/>
    <cellStyle name="Hyperlink 4878 3" xfId="6774"/>
    <cellStyle name="Hyperlink 4879" xfId="4398"/>
    <cellStyle name="Hyperlink 4879 2" xfId="9117"/>
    <cellStyle name="Hyperlink 4879 3" xfId="6775"/>
    <cellStyle name="Hyperlink 488" xfId="4399"/>
    <cellStyle name="Hyperlink 488 2" xfId="9118"/>
    <cellStyle name="Hyperlink 488 3" xfId="6776"/>
    <cellStyle name="Hyperlink 4880" xfId="4400"/>
    <cellStyle name="Hyperlink 4880 2" xfId="9119"/>
    <cellStyle name="Hyperlink 4880 3" xfId="6777"/>
    <cellStyle name="Hyperlink 4881" xfId="4401"/>
    <cellStyle name="Hyperlink 4881 2" xfId="9120"/>
    <cellStyle name="Hyperlink 4881 3" xfId="6778"/>
    <cellStyle name="Hyperlink 4882" xfId="4402"/>
    <cellStyle name="Hyperlink 4882 2" xfId="9121"/>
    <cellStyle name="Hyperlink 4882 3" xfId="6779"/>
    <cellStyle name="Hyperlink 4883" xfId="4403"/>
    <cellStyle name="Hyperlink 4883 2" xfId="9122"/>
    <cellStyle name="Hyperlink 4883 3" xfId="6780"/>
    <cellStyle name="Hyperlink 4884" xfId="4404"/>
    <cellStyle name="Hyperlink 4884 2" xfId="9123"/>
    <cellStyle name="Hyperlink 4884 3" xfId="6781"/>
    <cellStyle name="Hyperlink 4885" xfId="4405"/>
    <cellStyle name="Hyperlink 4885 2" xfId="9124"/>
    <cellStyle name="Hyperlink 4885 3" xfId="6782"/>
    <cellStyle name="Hyperlink 4886" xfId="4406"/>
    <cellStyle name="Hyperlink 4886 2" xfId="9125"/>
    <cellStyle name="Hyperlink 4886 3" xfId="6783"/>
    <cellStyle name="Hyperlink 4887" xfId="4407"/>
    <cellStyle name="Hyperlink 4887 2" xfId="9126"/>
    <cellStyle name="Hyperlink 4887 3" xfId="6784"/>
    <cellStyle name="Hyperlink 4888" xfId="4408"/>
    <cellStyle name="Hyperlink 4888 2" xfId="9127"/>
    <cellStyle name="Hyperlink 4888 3" xfId="6785"/>
    <cellStyle name="Hyperlink 4889" xfId="4409"/>
    <cellStyle name="Hyperlink 4889 2" xfId="9128"/>
    <cellStyle name="Hyperlink 4889 3" xfId="6786"/>
    <cellStyle name="Hyperlink 489" xfId="4410"/>
    <cellStyle name="Hyperlink 489 2" xfId="9129"/>
    <cellStyle name="Hyperlink 489 3" xfId="6787"/>
    <cellStyle name="Hyperlink 4890" xfId="4411"/>
    <cellStyle name="Hyperlink 4890 2" xfId="9130"/>
    <cellStyle name="Hyperlink 4890 3" xfId="6788"/>
    <cellStyle name="Hyperlink 4891" xfId="4412"/>
    <cellStyle name="Hyperlink 4891 2" xfId="9131"/>
    <cellStyle name="Hyperlink 4891 3" xfId="6789"/>
    <cellStyle name="Hyperlink 4892" xfId="4413"/>
    <cellStyle name="Hyperlink 4892 2" xfId="9132"/>
    <cellStyle name="Hyperlink 4892 3" xfId="6790"/>
    <cellStyle name="Hyperlink 4893" xfId="4414"/>
    <cellStyle name="Hyperlink 4893 2" xfId="9133"/>
    <cellStyle name="Hyperlink 4893 3" xfId="6791"/>
    <cellStyle name="Hyperlink 4894" xfId="4415"/>
    <cellStyle name="Hyperlink 4894 2" xfId="9134"/>
    <cellStyle name="Hyperlink 4894 3" xfId="6792"/>
    <cellStyle name="Hyperlink 4895" xfId="4416"/>
    <cellStyle name="Hyperlink 4895 2" xfId="9135"/>
    <cellStyle name="Hyperlink 4895 3" xfId="6793"/>
    <cellStyle name="Hyperlink 4896" xfId="4417"/>
    <cellStyle name="Hyperlink 4896 2" xfId="9136"/>
    <cellStyle name="Hyperlink 4896 3" xfId="6794"/>
    <cellStyle name="Hyperlink 4897" xfId="4418"/>
    <cellStyle name="Hyperlink 4897 2" xfId="9137"/>
    <cellStyle name="Hyperlink 4897 3" xfId="6795"/>
    <cellStyle name="Hyperlink 4898" xfId="4419"/>
    <cellStyle name="Hyperlink 4898 2" xfId="9138"/>
    <cellStyle name="Hyperlink 4898 3" xfId="6796"/>
    <cellStyle name="Hyperlink 4899" xfId="4420"/>
    <cellStyle name="Hyperlink 4899 2" xfId="9139"/>
    <cellStyle name="Hyperlink 4899 3" xfId="6797"/>
    <cellStyle name="Hyperlink 49" xfId="4421"/>
    <cellStyle name="Hyperlink 49 2" xfId="9140"/>
    <cellStyle name="Hyperlink 49 3" xfId="6798"/>
    <cellStyle name="Hyperlink 490" xfId="4422"/>
    <cellStyle name="Hyperlink 490 2" xfId="9141"/>
    <cellStyle name="Hyperlink 490 3" xfId="6799"/>
    <cellStyle name="Hyperlink 4900" xfId="4423"/>
    <cellStyle name="Hyperlink 4900 2" xfId="9142"/>
    <cellStyle name="Hyperlink 4900 3" xfId="6800"/>
    <cellStyle name="Hyperlink 4901" xfId="4424"/>
    <cellStyle name="Hyperlink 4901 2" xfId="9143"/>
    <cellStyle name="Hyperlink 4901 3" xfId="6801"/>
    <cellStyle name="Hyperlink 4902" xfId="4425"/>
    <cellStyle name="Hyperlink 4902 2" xfId="9144"/>
    <cellStyle name="Hyperlink 4902 3" xfId="6802"/>
    <cellStyle name="Hyperlink 4903" xfId="4426"/>
    <cellStyle name="Hyperlink 4903 2" xfId="9145"/>
    <cellStyle name="Hyperlink 4903 3" xfId="6803"/>
    <cellStyle name="Hyperlink 4904" xfId="4427"/>
    <cellStyle name="Hyperlink 4904 2" xfId="9146"/>
    <cellStyle name="Hyperlink 4904 3" xfId="6804"/>
    <cellStyle name="Hyperlink 4905" xfId="4428"/>
    <cellStyle name="Hyperlink 4905 2" xfId="9147"/>
    <cellStyle name="Hyperlink 4905 3" xfId="6805"/>
    <cellStyle name="Hyperlink 4906" xfId="4429"/>
    <cellStyle name="Hyperlink 4906 2" xfId="9148"/>
    <cellStyle name="Hyperlink 4906 3" xfId="6806"/>
    <cellStyle name="Hyperlink 4907" xfId="4430"/>
    <cellStyle name="Hyperlink 4907 2" xfId="9149"/>
    <cellStyle name="Hyperlink 4907 3" xfId="6807"/>
    <cellStyle name="Hyperlink 4908" xfId="4431"/>
    <cellStyle name="Hyperlink 4908 2" xfId="9150"/>
    <cellStyle name="Hyperlink 4908 3" xfId="6808"/>
    <cellStyle name="Hyperlink 4909" xfId="4432"/>
    <cellStyle name="Hyperlink 4909 2" xfId="9151"/>
    <cellStyle name="Hyperlink 4909 3" xfId="6809"/>
    <cellStyle name="Hyperlink 491" xfId="4433"/>
    <cellStyle name="Hyperlink 491 2" xfId="9152"/>
    <cellStyle name="Hyperlink 491 3" xfId="6810"/>
    <cellStyle name="Hyperlink 4910" xfId="4434"/>
    <cellStyle name="Hyperlink 4910 2" xfId="9153"/>
    <cellStyle name="Hyperlink 4910 3" xfId="6811"/>
    <cellStyle name="Hyperlink 4911" xfId="4435"/>
    <cellStyle name="Hyperlink 4911 2" xfId="9154"/>
    <cellStyle name="Hyperlink 4911 3" xfId="6812"/>
    <cellStyle name="Hyperlink 4912" xfId="4436"/>
    <cellStyle name="Hyperlink 4912 2" xfId="9155"/>
    <cellStyle name="Hyperlink 4912 3" xfId="6813"/>
    <cellStyle name="Hyperlink 4913" xfId="4437"/>
    <cellStyle name="Hyperlink 4913 2" xfId="9156"/>
    <cellStyle name="Hyperlink 4913 3" xfId="6814"/>
    <cellStyle name="Hyperlink 4914" xfId="4438"/>
    <cellStyle name="Hyperlink 4914 2" xfId="9157"/>
    <cellStyle name="Hyperlink 4914 3" xfId="6815"/>
    <cellStyle name="Hyperlink 4915" xfId="4439"/>
    <cellStyle name="Hyperlink 4915 2" xfId="9158"/>
    <cellStyle name="Hyperlink 4915 3" xfId="6816"/>
    <cellStyle name="Hyperlink 4916" xfId="4440"/>
    <cellStyle name="Hyperlink 4916 2" xfId="9159"/>
    <cellStyle name="Hyperlink 4916 3" xfId="6817"/>
    <cellStyle name="Hyperlink 4917" xfId="4441"/>
    <cellStyle name="Hyperlink 4917 2" xfId="9160"/>
    <cellStyle name="Hyperlink 4917 3" xfId="6818"/>
    <cellStyle name="Hyperlink 4918" xfId="4442"/>
    <cellStyle name="Hyperlink 4918 2" xfId="9161"/>
    <cellStyle name="Hyperlink 4918 3" xfId="6819"/>
    <cellStyle name="Hyperlink 4919" xfId="4443"/>
    <cellStyle name="Hyperlink 4919 2" xfId="9162"/>
    <cellStyle name="Hyperlink 4919 3" xfId="6820"/>
    <cellStyle name="Hyperlink 492" xfId="4444"/>
    <cellStyle name="Hyperlink 492 2" xfId="9163"/>
    <cellStyle name="Hyperlink 492 3" xfId="6821"/>
    <cellStyle name="Hyperlink 4920" xfId="4445"/>
    <cellStyle name="Hyperlink 4920 2" xfId="9164"/>
    <cellStyle name="Hyperlink 4920 3" xfId="6822"/>
    <cellStyle name="Hyperlink 4921" xfId="4446"/>
    <cellStyle name="Hyperlink 4921 2" xfId="9165"/>
    <cellStyle name="Hyperlink 4921 3" xfId="6823"/>
    <cellStyle name="Hyperlink 4922" xfId="4447"/>
    <cellStyle name="Hyperlink 4922 2" xfId="9166"/>
    <cellStyle name="Hyperlink 4922 3" xfId="6824"/>
    <cellStyle name="Hyperlink 4923" xfId="4448"/>
    <cellStyle name="Hyperlink 4923 2" xfId="9167"/>
    <cellStyle name="Hyperlink 4923 3" xfId="6825"/>
    <cellStyle name="Hyperlink 4924" xfId="4449"/>
    <cellStyle name="Hyperlink 4924 2" xfId="9168"/>
    <cellStyle name="Hyperlink 4924 3" xfId="6826"/>
    <cellStyle name="Hyperlink 4925" xfId="4450"/>
    <cellStyle name="Hyperlink 4925 2" xfId="9169"/>
    <cellStyle name="Hyperlink 4925 3" xfId="6827"/>
    <cellStyle name="Hyperlink 4926" xfId="4451"/>
    <cellStyle name="Hyperlink 4926 2" xfId="9170"/>
    <cellStyle name="Hyperlink 4926 3" xfId="6828"/>
    <cellStyle name="Hyperlink 4927" xfId="4452"/>
    <cellStyle name="Hyperlink 4927 2" xfId="9171"/>
    <cellStyle name="Hyperlink 4927 3" xfId="6829"/>
    <cellStyle name="Hyperlink 4928" xfId="4453"/>
    <cellStyle name="Hyperlink 4928 2" xfId="9172"/>
    <cellStyle name="Hyperlink 4928 3" xfId="6830"/>
    <cellStyle name="Hyperlink 4929" xfId="4454"/>
    <cellStyle name="Hyperlink 4929 2" xfId="9173"/>
    <cellStyle name="Hyperlink 4929 3" xfId="6831"/>
    <cellStyle name="Hyperlink 493" xfId="4455"/>
    <cellStyle name="Hyperlink 493 2" xfId="9174"/>
    <cellStyle name="Hyperlink 493 3" xfId="6832"/>
    <cellStyle name="Hyperlink 4930" xfId="4456"/>
    <cellStyle name="Hyperlink 4930 2" xfId="9175"/>
    <cellStyle name="Hyperlink 4930 3" xfId="6833"/>
    <cellStyle name="Hyperlink 4931" xfId="4457"/>
    <cellStyle name="Hyperlink 4931 2" xfId="9176"/>
    <cellStyle name="Hyperlink 4931 3" xfId="6834"/>
    <cellStyle name="Hyperlink 4932" xfId="4458"/>
    <cellStyle name="Hyperlink 4932 2" xfId="9177"/>
    <cellStyle name="Hyperlink 4932 3" xfId="6835"/>
    <cellStyle name="Hyperlink 4933" xfId="4459"/>
    <cellStyle name="Hyperlink 4933 2" xfId="9178"/>
    <cellStyle name="Hyperlink 4933 3" xfId="6836"/>
    <cellStyle name="Hyperlink 4934" xfId="4460"/>
    <cellStyle name="Hyperlink 4934 2" xfId="9179"/>
    <cellStyle name="Hyperlink 4934 3" xfId="6837"/>
    <cellStyle name="Hyperlink 4935" xfId="4461"/>
    <cellStyle name="Hyperlink 4935 2" xfId="9180"/>
    <cellStyle name="Hyperlink 4935 3" xfId="6838"/>
    <cellStyle name="Hyperlink 4936" xfId="4462"/>
    <cellStyle name="Hyperlink 4936 2" xfId="9181"/>
    <cellStyle name="Hyperlink 4936 3" xfId="6839"/>
    <cellStyle name="Hyperlink 4937" xfId="4463"/>
    <cellStyle name="Hyperlink 4937 2" xfId="9182"/>
    <cellStyle name="Hyperlink 4937 3" xfId="6840"/>
    <cellStyle name="Hyperlink 4938" xfId="4464"/>
    <cellStyle name="Hyperlink 4938 2" xfId="9183"/>
    <cellStyle name="Hyperlink 4938 3" xfId="6841"/>
    <cellStyle name="Hyperlink 4939" xfId="4465"/>
    <cellStyle name="Hyperlink 4939 2" xfId="9184"/>
    <cellStyle name="Hyperlink 4939 3" xfId="6842"/>
    <cellStyle name="Hyperlink 494" xfId="4466"/>
    <cellStyle name="Hyperlink 494 2" xfId="9185"/>
    <cellStyle name="Hyperlink 494 3" xfId="6843"/>
    <cellStyle name="Hyperlink 4940" xfId="4467"/>
    <cellStyle name="Hyperlink 4940 2" xfId="9186"/>
    <cellStyle name="Hyperlink 4940 3" xfId="6844"/>
    <cellStyle name="Hyperlink 4941" xfId="4468"/>
    <cellStyle name="Hyperlink 4941 2" xfId="9187"/>
    <cellStyle name="Hyperlink 4941 3" xfId="6845"/>
    <cellStyle name="Hyperlink 4942" xfId="4469"/>
    <cellStyle name="Hyperlink 4942 2" xfId="9188"/>
    <cellStyle name="Hyperlink 4942 3" xfId="6846"/>
    <cellStyle name="Hyperlink 4943" xfId="4470"/>
    <cellStyle name="Hyperlink 4943 2" xfId="9189"/>
    <cellStyle name="Hyperlink 4943 3" xfId="6847"/>
    <cellStyle name="Hyperlink 4944" xfId="4471"/>
    <cellStyle name="Hyperlink 4944 2" xfId="9190"/>
    <cellStyle name="Hyperlink 4944 3" xfId="6848"/>
    <cellStyle name="Hyperlink 4945" xfId="4472"/>
    <cellStyle name="Hyperlink 4945 2" xfId="9191"/>
    <cellStyle name="Hyperlink 4945 3" xfId="6849"/>
    <cellStyle name="Hyperlink 4946" xfId="4473"/>
    <cellStyle name="Hyperlink 4946 2" xfId="9192"/>
    <cellStyle name="Hyperlink 4946 3" xfId="6850"/>
    <cellStyle name="Hyperlink 4947" xfId="4474"/>
    <cellStyle name="Hyperlink 4947 2" xfId="9193"/>
    <cellStyle name="Hyperlink 4947 3" xfId="6851"/>
    <cellStyle name="Hyperlink 4948" xfId="4475"/>
    <cellStyle name="Hyperlink 4948 2" xfId="9194"/>
    <cellStyle name="Hyperlink 4948 3" xfId="6852"/>
    <cellStyle name="Hyperlink 4949" xfId="4476"/>
    <cellStyle name="Hyperlink 4949 2" xfId="9195"/>
    <cellStyle name="Hyperlink 4949 3" xfId="6853"/>
    <cellStyle name="Hyperlink 495" xfId="4477"/>
    <cellStyle name="Hyperlink 495 2" xfId="9196"/>
    <cellStyle name="Hyperlink 495 3" xfId="6854"/>
    <cellStyle name="Hyperlink 4950" xfId="4478"/>
    <cellStyle name="Hyperlink 4950 2" xfId="9197"/>
    <cellStyle name="Hyperlink 4950 3" xfId="6855"/>
    <cellStyle name="Hyperlink 4951" xfId="4479"/>
    <cellStyle name="Hyperlink 4951 2" xfId="9198"/>
    <cellStyle name="Hyperlink 4951 3" xfId="6856"/>
    <cellStyle name="Hyperlink 4952" xfId="4480"/>
    <cellStyle name="Hyperlink 4952 2" xfId="9199"/>
    <cellStyle name="Hyperlink 4952 3" xfId="6857"/>
    <cellStyle name="Hyperlink 4953" xfId="4481"/>
    <cellStyle name="Hyperlink 4953 2" xfId="9200"/>
    <cellStyle name="Hyperlink 4953 3" xfId="6858"/>
    <cellStyle name="Hyperlink 4954" xfId="4482"/>
    <cellStyle name="Hyperlink 4954 2" xfId="9201"/>
    <cellStyle name="Hyperlink 4954 3" xfId="6859"/>
    <cellStyle name="Hyperlink 4955" xfId="4483"/>
    <cellStyle name="Hyperlink 4955 2" xfId="9202"/>
    <cellStyle name="Hyperlink 4955 3" xfId="6860"/>
    <cellStyle name="Hyperlink 4956" xfId="4484"/>
    <cellStyle name="Hyperlink 4956 2" xfId="9203"/>
    <cellStyle name="Hyperlink 4956 3" xfId="6861"/>
    <cellStyle name="Hyperlink 4957" xfId="4485"/>
    <cellStyle name="Hyperlink 4957 2" xfId="9204"/>
    <cellStyle name="Hyperlink 4957 3" xfId="6862"/>
    <cellStyle name="Hyperlink 4958" xfId="4486"/>
    <cellStyle name="Hyperlink 4958 2" xfId="9205"/>
    <cellStyle name="Hyperlink 4958 3" xfId="6863"/>
    <cellStyle name="Hyperlink 4959" xfId="4487"/>
    <cellStyle name="Hyperlink 4959 2" xfId="9206"/>
    <cellStyle name="Hyperlink 4959 3" xfId="6864"/>
    <cellStyle name="Hyperlink 496" xfId="4488"/>
    <cellStyle name="Hyperlink 496 2" xfId="9207"/>
    <cellStyle name="Hyperlink 496 3" xfId="6865"/>
    <cellStyle name="Hyperlink 4960" xfId="4489"/>
    <cellStyle name="Hyperlink 4960 2" xfId="9208"/>
    <cellStyle name="Hyperlink 4960 3" xfId="6866"/>
    <cellStyle name="Hyperlink 4961" xfId="4490"/>
    <cellStyle name="Hyperlink 4961 2" xfId="9209"/>
    <cellStyle name="Hyperlink 4961 3" xfId="6867"/>
    <cellStyle name="Hyperlink 4962" xfId="4491"/>
    <cellStyle name="Hyperlink 4962 2" xfId="9210"/>
    <cellStyle name="Hyperlink 4962 3" xfId="6868"/>
    <cellStyle name="Hyperlink 4963" xfId="4492"/>
    <cellStyle name="Hyperlink 4963 2" xfId="9211"/>
    <cellStyle name="Hyperlink 4963 3" xfId="6869"/>
    <cellStyle name="Hyperlink 4964" xfId="4493"/>
    <cellStyle name="Hyperlink 4964 2" xfId="9212"/>
    <cellStyle name="Hyperlink 4964 3" xfId="6870"/>
    <cellStyle name="Hyperlink 4965" xfId="4494"/>
    <cellStyle name="Hyperlink 4965 2" xfId="9213"/>
    <cellStyle name="Hyperlink 4965 3" xfId="6871"/>
    <cellStyle name="Hyperlink 4966" xfId="4495"/>
    <cellStyle name="Hyperlink 4966 2" xfId="9214"/>
    <cellStyle name="Hyperlink 4966 3" xfId="6872"/>
    <cellStyle name="Hyperlink 4967" xfId="4496"/>
    <cellStyle name="Hyperlink 4967 2" xfId="9215"/>
    <cellStyle name="Hyperlink 4967 3" xfId="6873"/>
    <cellStyle name="Hyperlink 4968" xfId="4497"/>
    <cellStyle name="Hyperlink 4968 2" xfId="9216"/>
    <cellStyle name="Hyperlink 4968 3" xfId="6874"/>
    <cellStyle name="Hyperlink 4969" xfId="4498"/>
    <cellStyle name="Hyperlink 4969 2" xfId="9217"/>
    <cellStyle name="Hyperlink 4969 3" xfId="6875"/>
    <cellStyle name="Hyperlink 497" xfId="4499"/>
    <cellStyle name="Hyperlink 497 2" xfId="9218"/>
    <cellStyle name="Hyperlink 497 3" xfId="6876"/>
    <cellStyle name="Hyperlink 4970" xfId="4500"/>
    <cellStyle name="Hyperlink 4970 2" xfId="9219"/>
    <cellStyle name="Hyperlink 4970 3" xfId="6877"/>
    <cellStyle name="Hyperlink 4971" xfId="4501"/>
    <cellStyle name="Hyperlink 4971 2" xfId="9220"/>
    <cellStyle name="Hyperlink 4971 3" xfId="6878"/>
    <cellStyle name="Hyperlink 4972" xfId="4502"/>
    <cellStyle name="Hyperlink 4972 2" xfId="9221"/>
    <cellStyle name="Hyperlink 4972 3" xfId="6879"/>
    <cellStyle name="Hyperlink 4973" xfId="4503"/>
    <cellStyle name="Hyperlink 4973 2" xfId="9222"/>
    <cellStyle name="Hyperlink 4973 3" xfId="6880"/>
    <cellStyle name="Hyperlink 4974" xfId="4504"/>
    <cellStyle name="Hyperlink 4974 2" xfId="9223"/>
    <cellStyle name="Hyperlink 4974 3" xfId="6881"/>
    <cellStyle name="Hyperlink 4975" xfId="4505"/>
    <cellStyle name="Hyperlink 4975 2" xfId="9224"/>
    <cellStyle name="Hyperlink 4975 3" xfId="6882"/>
    <cellStyle name="Hyperlink 4976" xfId="4506"/>
    <cellStyle name="Hyperlink 4976 2" xfId="9225"/>
    <cellStyle name="Hyperlink 4976 3" xfId="6883"/>
    <cellStyle name="Hyperlink 4977" xfId="4507"/>
    <cellStyle name="Hyperlink 4977 2" xfId="9226"/>
    <cellStyle name="Hyperlink 4977 3" xfId="6884"/>
    <cellStyle name="Hyperlink 4978" xfId="4508"/>
    <cellStyle name="Hyperlink 4978 2" xfId="9227"/>
    <cellStyle name="Hyperlink 4978 3" xfId="6885"/>
    <cellStyle name="Hyperlink 4979" xfId="4509"/>
    <cellStyle name="Hyperlink 4979 2" xfId="9228"/>
    <cellStyle name="Hyperlink 4979 3" xfId="6886"/>
    <cellStyle name="Hyperlink 498" xfId="4510"/>
    <cellStyle name="Hyperlink 498 2" xfId="9229"/>
    <cellStyle name="Hyperlink 498 3" xfId="6887"/>
    <cellStyle name="Hyperlink 4980" xfId="4511"/>
    <cellStyle name="Hyperlink 4980 2" xfId="9230"/>
    <cellStyle name="Hyperlink 4980 3" xfId="6888"/>
    <cellStyle name="Hyperlink 4981" xfId="4512"/>
    <cellStyle name="Hyperlink 4981 2" xfId="9231"/>
    <cellStyle name="Hyperlink 4981 3" xfId="6889"/>
    <cellStyle name="Hyperlink 4982" xfId="4513"/>
    <cellStyle name="Hyperlink 4982 2" xfId="9232"/>
    <cellStyle name="Hyperlink 4982 3" xfId="6890"/>
    <cellStyle name="Hyperlink 4983" xfId="4514"/>
    <cellStyle name="Hyperlink 4983 2" xfId="9233"/>
    <cellStyle name="Hyperlink 4983 3" xfId="6891"/>
    <cellStyle name="Hyperlink 4984" xfId="4515"/>
    <cellStyle name="Hyperlink 4984 2" xfId="9234"/>
    <cellStyle name="Hyperlink 4984 3" xfId="6892"/>
    <cellStyle name="Hyperlink 4985" xfId="4516"/>
    <cellStyle name="Hyperlink 4985 2" xfId="9235"/>
    <cellStyle name="Hyperlink 4985 3" xfId="6893"/>
    <cellStyle name="Hyperlink 4986" xfId="4517"/>
    <cellStyle name="Hyperlink 4986 2" xfId="9236"/>
    <cellStyle name="Hyperlink 4986 3" xfId="6894"/>
    <cellStyle name="Hyperlink 4987" xfId="4518"/>
    <cellStyle name="Hyperlink 4987 2" xfId="9237"/>
    <cellStyle name="Hyperlink 4987 3" xfId="6895"/>
    <cellStyle name="Hyperlink 4988" xfId="4519"/>
    <cellStyle name="Hyperlink 4988 2" xfId="9238"/>
    <cellStyle name="Hyperlink 4988 3" xfId="6896"/>
    <cellStyle name="Hyperlink 4989" xfId="4520"/>
    <cellStyle name="Hyperlink 4989 2" xfId="9239"/>
    <cellStyle name="Hyperlink 4989 3" xfId="6897"/>
    <cellStyle name="Hyperlink 499" xfId="4521"/>
    <cellStyle name="Hyperlink 499 2" xfId="9240"/>
    <cellStyle name="Hyperlink 499 3" xfId="6898"/>
    <cellStyle name="Hyperlink 4990" xfId="4522"/>
    <cellStyle name="Hyperlink 4990 2" xfId="9241"/>
    <cellStyle name="Hyperlink 4990 3" xfId="6899"/>
    <cellStyle name="Hyperlink 4991" xfId="4523"/>
    <cellStyle name="Hyperlink 4991 2" xfId="9242"/>
    <cellStyle name="Hyperlink 4991 3" xfId="6900"/>
    <cellStyle name="Hyperlink 4992" xfId="4524"/>
    <cellStyle name="Hyperlink 4992 2" xfId="9243"/>
    <cellStyle name="Hyperlink 4992 3" xfId="6901"/>
    <cellStyle name="Hyperlink 4993" xfId="4525"/>
    <cellStyle name="Hyperlink 4993 2" xfId="9244"/>
    <cellStyle name="Hyperlink 4993 3" xfId="6902"/>
    <cellStyle name="Hyperlink 4994" xfId="4526"/>
    <cellStyle name="Hyperlink 4994 2" xfId="9245"/>
    <cellStyle name="Hyperlink 4994 3" xfId="6903"/>
    <cellStyle name="Hyperlink 4995" xfId="4527"/>
    <cellStyle name="Hyperlink 4995 2" xfId="9246"/>
    <cellStyle name="Hyperlink 4995 3" xfId="6904"/>
    <cellStyle name="Hyperlink 4996" xfId="4528"/>
    <cellStyle name="Hyperlink 4996 2" xfId="9247"/>
    <cellStyle name="Hyperlink 4996 3" xfId="6905"/>
    <cellStyle name="Hyperlink 4997" xfId="4529"/>
    <cellStyle name="Hyperlink 4997 2" xfId="9248"/>
    <cellStyle name="Hyperlink 4997 3" xfId="6906"/>
    <cellStyle name="Hyperlink 4998" xfId="4530"/>
    <cellStyle name="Hyperlink 4998 2" xfId="9249"/>
    <cellStyle name="Hyperlink 4998 3" xfId="6907"/>
    <cellStyle name="Hyperlink 4999" xfId="4531"/>
    <cellStyle name="Hyperlink 4999 2" xfId="9250"/>
    <cellStyle name="Hyperlink 4999 3" xfId="6908"/>
    <cellStyle name="Hyperlink 5" xfId="4532"/>
    <cellStyle name="Hyperlink 5 2" xfId="9251"/>
    <cellStyle name="Hyperlink 5 3" xfId="6909"/>
    <cellStyle name="Hyperlink 50" xfId="4533"/>
    <cellStyle name="Hyperlink 50 2" xfId="9252"/>
    <cellStyle name="Hyperlink 50 3" xfId="6910"/>
    <cellStyle name="Hyperlink 500" xfId="4534"/>
    <cellStyle name="Hyperlink 500 2" xfId="9253"/>
    <cellStyle name="Hyperlink 500 3" xfId="6911"/>
    <cellStyle name="Hyperlink 5000" xfId="4535"/>
    <cellStyle name="Hyperlink 5000 2" xfId="9254"/>
    <cellStyle name="Hyperlink 5000 3" xfId="6912"/>
    <cellStyle name="Hyperlink 5001" xfId="4536"/>
    <cellStyle name="Hyperlink 5001 2" xfId="9255"/>
    <cellStyle name="Hyperlink 5001 3" xfId="6913"/>
    <cellStyle name="Hyperlink 5002" xfId="4537"/>
    <cellStyle name="Hyperlink 5002 2" xfId="9256"/>
    <cellStyle name="Hyperlink 5002 3" xfId="6914"/>
    <cellStyle name="Hyperlink 5003" xfId="4538"/>
    <cellStyle name="Hyperlink 5003 2" xfId="9257"/>
    <cellStyle name="Hyperlink 5003 3" xfId="6915"/>
    <cellStyle name="Hyperlink 5004" xfId="4539"/>
    <cellStyle name="Hyperlink 5004 2" xfId="9258"/>
    <cellStyle name="Hyperlink 5004 3" xfId="6916"/>
    <cellStyle name="Hyperlink 5005" xfId="4540"/>
    <cellStyle name="Hyperlink 5005 2" xfId="9259"/>
    <cellStyle name="Hyperlink 5005 3" xfId="6917"/>
    <cellStyle name="Hyperlink 5006" xfId="4541"/>
    <cellStyle name="Hyperlink 5006 2" xfId="9260"/>
    <cellStyle name="Hyperlink 5006 3" xfId="6918"/>
    <cellStyle name="Hyperlink 5007" xfId="4542"/>
    <cellStyle name="Hyperlink 5007 2" xfId="9261"/>
    <cellStyle name="Hyperlink 5007 3" xfId="6919"/>
    <cellStyle name="Hyperlink 5008" xfId="4543"/>
    <cellStyle name="Hyperlink 5008 2" xfId="9262"/>
    <cellStyle name="Hyperlink 5008 3" xfId="6920"/>
    <cellStyle name="Hyperlink 5009" xfId="4544"/>
    <cellStyle name="Hyperlink 5009 2" xfId="9263"/>
    <cellStyle name="Hyperlink 5009 3" xfId="6921"/>
    <cellStyle name="Hyperlink 501" xfId="4545"/>
    <cellStyle name="Hyperlink 501 2" xfId="9264"/>
    <cellStyle name="Hyperlink 501 3" xfId="6922"/>
    <cellStyle name="Hyperlink 5010" xfId="4546"/>
    <cellStyle name="Hyperlink 5010 2" xfId="9265"/>
    <cellStyle name="Hyperlink 5010 3" xfId="6923"/>
    <cellStyle name="Hyperlink 5011" xfId="4547"/>
    <cellStyle name="Hyperlink 5011 2" xfId="9266"/>
    <cellStyle name="Hyperlink 5011 3" xfId="6924"/>
    <cellStyle name="Hyperlink 5012" xfId="4548"/>
    <cellStyle name="Hyperlink 5012 2" xfId="9267"/>
    <cellStyle name="Hyperlink 5012 3" xfId="6925"/>
    <cellStyle name="Hyperlink 5013" xfId="4549"/>
    <cellStyle name="Hyperlink 5013 2" xfId="9268"/>
    <cellStyle name="Hyperlink 5013 3" xfId="6926"/>
    <cellStyle name="Hyperlink 5014" xfId="4550"/>
    <cellStyle name="Hyperlink 5014 2" xfId="9269"/>
    <cellStyle name="Hyperlink 5014 3" xfId="6927"/>
    <cellStyle name="Hyperlink 5015" xfId="4551"/>
    <cellStyle name="Hyperlink 5015 2" xfId="9270"/>
    <cellStyle name="Hyperlink 5015 3" xfId="6928"/>
    <cellStyle name="Hyperlink 5016" xfId="4552"/>
    <cellStyle name="Hyperlink 5016 2" xfId="9271"/>
    <cellStyle name="Hyperlink 5016 3" xfId="6929"/>
    <cellStyle name="Hyperlink 5017" xfId="4553"/>
    <cellStyle name="Hyperlink 5017 2" xfId="9272"/>
    <cellStyle name="Hyperlink 5017 3" xfId="6930"/>
    <cellStyle name="Hyperlink 5018" xfId="4554"/>
    <cellStyle name="Hyperlink 5018 2" xfId="9273"/>
    <cellStyle name="Hyperlink 5018 3" xfId="6931"/>
    <cellStyle name="Hyperlink 5019" xfId="4555"/>
    <cellStyle name="Hyperlink 5019 2" xfId="9274"/>
    <cellStyle name="Hyperlink 5019 3" xfId="6932"/>
    <cellStyle name="Hyperlink 502" xfId="4556"/>
    <cellStyle name="Hyperlink 502 2" xfId="9275"/>
    <cellStyle name="Hyperlink 502 3" xfId="6933"/>
    <cellStyle name="Hyperlink 5020" xfId="4557"/>
    <cellStyle name="Hyperlink 5020 2" xfId="9276"/>
    <cellStyle name="Hyperlink 5020 3" xfId="6934"/>
    <cellStyle name="Hyperlink 5021" xfId="4558"/>
    <cellStyle name="Hyperlink 5021 2" xfId="9277"/>
    <cellStyle name="Hyperlink 5021 3" xfId="6935"/>
    <cellStyle name="Hyperlink 5022" xfId="4559"/>
    <cellStyle name="Hyperlink 5022 2" xfId="9278"/>
    <cellStyle name="Hyperlink 5022 3" xfId="6936"/>
    <cellStyle name="Hyperlink 5023" xfId="4560"/>
    <cellStyle name="Hyperlink 5023 2" xfId="9279"/>
    <cellStyle name="Hyperlink 5023 3" xfId="6937"/>
    <cellStyle name="Hyperlink 5024" xfId="4561"/>
    <cellStyle name="Hyperlink 5024 2" xfId="9280"/>
    <cellStyle name="Hyperlink 5024 3" xfId="6938"/>
    <cellStyle name="Hyperlink 5025" xfId="4562"/>
    <cellStyle name="Hyperlink 5025 2" xfId="9281"/>
    <cellStyle name="Hyperlink 5025 3" xfId="6939"/>
    <cellStyle name="Hyperlink 5026" xfId="4563"/>
    <cellStyle name="Hyperlink 5026 2" xfId="9282"/>
    <cellStyle name="Hyperlink 5026 3" xfId="6940"/>
    <cellStyle name="Hyperlink 5027" xfId="4564"/>
    <cellStyle name="Hyperlink 5027 2" xfId="9283"/>
    <cellStyle name="Hyperlink 5027 3" xfId="6941"/>
    <cellStyle name="Hyperlink 5028" xfId="4565"/>
    <cellStyle name="Hyperlink 5028 2" xfId="9284"/>
    <cellStyle name="Hyperlink 5028 3" xfId="6942"/>
    <cellStyle name="Hyperlink 5029" xfId="4566"/>
    <cellStyle name="Hyperlink 5029 2" xfId="9285"/>
    <cellStyle name="Hyperlink 5029 3" xfId="6943"/>
    <cellStyle name="Hyperlink 503" xfId="4567"/>
    <cellStyle name="Hyperlink 503 2" xfId="9286"/>
    <cellStyle name="Hyperlink 503 3" xfId="6944"/>
    <cellStyle name="Hyperlink 5030" xfId="4568"/>
    <cellStyle name="Hyperlink 5030 2" xfId="9287"/>
    <cellStyle name="Hyperlink 5030 3" xfId="6945"/>
    <cellStyle name="Hyperlink 5031" xfId="4569"/>
    <cellStyle name="Hyperlink 5031 2" xfId="9288"/>
    <cellStyle name="Hyperlink 5031 3" xfId="6946"/>
    <cellStyle name="Hyperlink 5032" xfId="4570"/>
    <cellStyle name="Hyperlink 5032 2" xfId="9289"/>
    <cellStyle name="Hyperlink 5032 3" xfId="6947"/>
    <cellStyle name="Hyperlink 5033" xfId="4571"/>
    <cellStyle name="Hyperlink 5033 2" xfId="9290"/>
    <cellStyle name="Hyperlink 5033 3" xfId="6948"/>
    <cellStyle name="Hyperlink 5034" xfId="4572"/>
    <cellStyle name="Hyperlink 5034 2" xfId="9291"/>
    <cellStyle name="Hyperlink 5034 3" xfId="6949"/>
    <cellStyle name="Hyperlink 5035" xfId="4573"/>
    <cellStyle name="Hyperlink 5035 2" xfId="9292"/>
    <cellStyle name="Hyperlink 5035 3" xfId="6950"/>
    <cellStyle name="Hyperlink 5036" xfId="4574"/>
    <cellStyle name="Hyperlink 5036 2" xfId="9293"/>
    <cellStyle name="Hyperlink 5036 3" xfId="6951"/>
    <cellStyle name="Hyperlink 5037" xfId="4575"/>
    <cellStyle name="Hyperlink 5037 2" xfId="9294"/>
    <cellStyle name="Hyperlink 5037 3" xfId="6952"/>
    <cellStyle name="Hyperlink 5038" xfId="4576"/>
    <cellStyle name="Hyperlink 5038 2" xfId="9295"/>
    <cellStyle name="Hyperlink 5038 3" xfId="6953"/>
    <cellStyle name="Hyperlink 5039" xfId="4577"/>
    <cellStyle name="Hyperlink 5039 2" xfId="9296"/>
    <cellStyle name="Hyperlink 5039 3" xfId="6954"/>
    <cellStyle name="Hyperlink 504" xfId="4578"/>
    <cellStyle name="Hyperlink 504 2" xfId="9297"/>
    <cellStyle name="Hyperlink 504 3" xfId="6955"/>
    <cellStyle name="Hyperlink 5040" xfId="4579"/>
    <cellStyle name="Hyperlink 5040 2" xfId="9298"/>
    <cellStyle name="Hyperlink 5040 3" xfId="6956"/>
    <cellStyle name="Hyperlink 5041" xfId="4580"/>
    <cellStyle name="Hyperlink 5041 2" xfId="9299"/>
    <cellStyle name="Hyperlink 5041 3" xfId="6957"/>
    <cellStyle name="Hyperlink 5042" xfId="4581"/>
    <cellStyle name="Hyperlink 5042 2" xfId="9300"/>
    <cellStyle name="Hyperlink 5042 3" xfId="6958"/>
    <cellStyle name="Hyperlink 5043" xfId="4582"/>
    <cellStyle name="Hyperlink 5043 2" xfId="9301"/>
    <cellStyle name="Hyperlink 5043 3" xfId="6959"/>
    <cellStyle name="Hyperlink 5044" xfId="4583"/>
    <cellStyle name="Hyperlink 5044 2" xfId="9302"/>
    <cellStyle name="Hyperlink 5044 3" xfId="6960"/>
    <cellStyle name="Hyperlink 5045" xfId="4584"/>
    <cellStyle name="Hyperlink 5045 2" xfId="9303"/>
    <cellStyle name="Hyperlink 5045 3" xfId="6961"/>
    <cellStyle name="Hyperlink 5046" xfId="4585"/>
    <cellStyle name="Hyperlink 5046 2" xfId="9304"/>
    <cellStyle name="Hyperlink 5046 3" xfId="6962"/>
    <cellStyle name="Hyperlink 5047" xfId="4586"/>
    <cellStyle name="Hyperlink 5047 2" xfId="9305"/>
    <cellStyle name="Hyperlink 5047 3" xfId="6963"/>
    <cellStyle name="Hyperlink 5048" xfId="4587"/>
    <cellStyle name="Hyperlink 5048 2" xfId="9306"/>
    <cellStyle name="Hyperlink 5048 3" xfId="6964"/>
    <cellStyle name="Hyperlink 5049" xfId="4588"/>
    <cellStyle name="Hyperlink 5049 2" xfId="9307"/>
    <cellStyle name="Hyperlink 5049 3" xfId="6965"/>
    <cellStyle name="Hyperlink 505" xfId="4589"/>
    <cellStyle name="Hyperlink 505 2" xfId="9308"/>
    <cellStyle name="Hyperlink 505 3" xfId="6966"/>
    <cellStyle name="Hyperlink 5050" xfId="4590"/>
    <cellStyle name="Hyperlink 5050 2" xfId="9309"/>
    <cellStyle name="Hyperlink 5050 3" xfId="6967"/>
    <cellStyle name="Hyperlink 5051" xfId="4591"/>
    <cellStyle name="Hyperlink 5051 2" xfId="9310"/>
    <cellStyle name="Hyperlink 5051 3" xfId="6968"/>
    <cellStyle name="Hyperlink 5052" xfId="4592"/>
    <cellStyle name="Hyperlink 5052 2" xfId="9311"/>
    <cellStyle name="Hyperlink 5052 3" xfId="6969"/>
    <cellStyle name="Hyperlink 5053" xfId="4593"/>
    <cellStyle name="Hyperlink 5053 2" xfId="9312"/>
    <cellStyle name="Hyperlink 5053 3" xfId="6970"/>
    <cellStyle name="Hyperlink 5054" xfId="4594"/>
    <cellStyle name="Hyperlink 5054 2" xfId="9313"/>
    <cellStyle name="Hyperlink 5054 3" xfId="6971"/>
    <cellStyle name="Hyperlink 5055" xfId="4595"/>
    <cellStyle name="Hyperlink 5055 2" xfId="9314"/>
    <cellStyle name="Hyperlink 5055 3" xfId="6972"/>
    <cellStyle name="Hyperlink 5056" xfId="4596"/>
    <cellStyle name="Hyperlink 5056 2" xfId="9315"/>
    <cellStyle name="Hyperlink 5056 3" xfId="6973"/>
    <cellStyle name="Hyperlink 5057" xfId="4597"/>
    <cellStyle name="Hyperlink 5057 2" xfId="9316"/>
    <cellStyle name="Hyperlink 5057 3" xfId="6974"/>
    <cellStyle name="Hyperlink 5058" xfId="4598"/>
    <cellStyle name="Hyperlink 5058 2" xfId="9317"/>
    <cellStyle name="Hyperlink 5058 3" xfId="6975"/>
    <cellStyle name="Hyperlink 5059" xfId="4599"/>
    <cellStyle name="Hyperlink 5059 2" xfId="9318"/>
    <cellStyle name="Hyperlink 5059 3" xfId="6976"/>
    <cellStyle name="Hyperlink 506" xfId="4600"/>
    <cellStyle name="Hyperlink 506 2" xfId="9319"/>
    <cellStyle name="Hyperlink 506 3" xfId="6977"/>
    <cellStyle name="Hyperlink 5060" xfId="4601"/>
    <cellStyle name="Hyperlink 5060 2" xfId="9320"/>
    <cellStyle name="Hyperlink 5060 3" xfId="6978"/>
    <cellStyle name="Hyperlink 5061" xfId="4602"/>
    <cellStyle name="Hyperlink 5061 2" xfId="9321"/>
    <cellStyle name="Hyperlink 5061 3" xfId="6979"/>
    <cellStyle name="Hyperlink 5062" xfId="4603"/>
    <cellStyle name="Hyperlink 5062 2" xfId="9322"/>
    <cellStyle name="Hyperlink 5062 3" xfId="6980"/>
    <cellStyle name="Hyperlink 5063" xfId="4604"/>
    <cellStyle name="Hyperlink 5063 2" xfId="9323"/>
    <cellStyle name="Hyperlink 5063 3" xfId="6981"/>
    <cellStyle name="Hyperlink 5064" xfId="4605"/>
    <cellStyle name="Hyperlink 5064 2" xfId="9324"/>
    <cellStyle name="Hyperlink 5064 3" xfId="6982"/>
    <cellStyle name="Hyperlink 5065" xfId="4606"/>
    <cellStyle name="Hyperlink 5065 2" xfId="9325"/>
    <cellStyle name="Hyperlink 5065 3" xfId="6983"/>
    <cellStyle name="Hyperlink 5066" xfId="4607"/>
    <cellStyle name="Hyperlink 5066 2" xfId="9326"/>
    <cellStyle name="Hyperlink 5066 3" xfId="6984"/>
    <cellStyle name="Hyperlink 5067" xfId="4608"/>
    <cellStyle name="Hyperlink 5067 2" xfId="9327"/>
    <cellStyle name="Hyperlink 5067 3" xfId="6985"/>
    <cellStyle name="Hyperlink 5068" xfId="4609"/>
    <cellStyle name="Hyperlink 5068 2" xfId="9328"/>
    <cellStyle name="Hyperlink 5068 3" xfId="6986"/>
    <cellStyle name="Hyperlink 5069" xfId="4610"/>
    <cellStyle name="Hyperlink 5069 2" xfId="9329"/>
    <cellStyle name="Hyperlink 5069 3" xfId="6987"/>
    <cellStyle name="Hyperlink 507" xfId="4611"/>
    <cellStyle name="Hyperlink 507 2" xfId="9330"/>
    <cellStyle name="Hyperlink 507 3" xfId="6988"/>
    <cellStyle name="Hyperlink 5070" xfId="4612"/>
    <cellStyle name="Hyperlink 5070 2" xfId="9331"/>
    <cellStyle name="Hyperlink 5070 3" xfId="6989"/>
    <cellStyle name="Hyperlink 5071" xfId="4613"/>
    <cellStyle name="Hyperlink 5071 2" xfId="9332"/>
    <cellStyle name="Hyperlink 5071 3" xfId="6990"/>
    <cellStyle name="Hyperlink 5072" xfId="4614"/>
    <cellStyle name="Hyperlink 5072 2" xfId="9333"/>
    <cellStyle name="Hyperlink 5072 3" xfId="6991"/>
    <cellStyle name="Hyperlink 5073" xfId="4615"/>
    <cellStyle name="Hyperlink 5073 2" xfId="9334"/>
    <cellStyle name="Hyperlink 5073 3" xfId="6992"/>
    <cellStyle name="Hyperlink 5074" xfId="4616"/>
    <cellStyle name="Hyperlink 5074 2" xfId="9335"/>
    <cellStyle name="Hyperlink 5074 3" xfId="6993"/>
    <cellStyle name="Hyperlink 5075" xfId="4617"/>
    <cellStyle name="Hyperlink 5075 2" xfId="9336"/>
    <cellStyle name="Hyperlink 5075 3" xfId="6994"/>
    <cellStyle name="Hyperlink 5076" xfId="4618"/>
    <cellStyle name="Hyperlink 5076 2" xfId="9337"/>
    <cellStyle name="Hyperlink 5076 3" xfId="6995"/>
    <cellStyle name="Hyperlink 5077" xfId="4619"/>
    <cellStyle name="Hyperlink 5077 2" xfId="9338"/>
    <cellStyle name="Hyperlink 5077 3" xfId="6996"/>
    <cellStyle name="Hyperlink 5078" xfId="4620"/>
    <cellStyle name="Hyperlink 5078 2" xfId="9339"/>
    <cellStyle name="Hyperlink 5078 3" xfId="6997"/>
    <cellStyle name="Hyperlink 5079" xfId="4621"/>
    <cellStyle name="Hyperlink 5079 2" xfId="9340"/>
    <cellStyle name="Hyperlink 5079 3" xfId="6998"/>
    <cellStyle name="Hyperlink 508" xfId="4622"/>
    <cellStyle name="Hyperlink 508 2" xfId="9341"/>
    <cellStyle name="Hyperlink 508 3" xfId="6999"/>
    <cellStyle name="Hyperlink 5080" xfId="4623"/>
    <cellStyle name="Hyperlink 5080 2" xfId="9342"/>
    <cellStyle name="Hyperlink 5080 3" xfId="7000"/>
    <cellStyle name="Hyperlink 5081" xfId="4624"/>
    <cellStyle name="Hyperlink 5081 2" xfId="9343"/>
    <cellStyle name="Hyperlink 5081 3" xfId="7001"/>
    <cellStyle name="Hyperlink 5082" xfId="4625"/>
    <cellStyle name="Hyperlink 5082 2" xfId="9344"/>
    <cellStyle name="Hyperlink 5082 3" xfId="7002"/>
    <cellStyle name="Hyperlink 5083" xfId="4626"/>
    <cellStyle name="Hyperlink 5083 2" xfId="9345"/>
    <cellStyle name="Hyperlink 5083 3" xfId="7003"/>
    <cellStyle name="Hyperlink 5084" xfId="4627"/>
    <cellStyle name="Hyperlink 5084 2" xfId="9346"/>
    <cellStyle name="Hyperlink 5084 3" xfId="7004"/>
    <cellStyle name="Hyperlink 5085" xfId="4628"/>
    <cellStyle name="Hyperlink 5085 2" xfId="9347"/>
    <cellStyle name="Hyperlink 5085 3" xfId="7005"/>
    <cellStyle name="Hyperlink 5086" xfId="4629"/>
    <cellStyle name="Hyperlink 5086 2" xfId="9348"/>
    <cellStyle name="Hyperlink 5086 3" xfId="7006"/>
    <cellStyle name="Hyperlink 5087" xfId="4630"/>
    <cellStyle name="Hyperlink 5087 2" xfId="9349"/>
    <cellStyle name="Hyperlink 5087 3" xfId="7007"/>
    <cellStyle name="Hyperlink 5088" xfId="4631"/>
    <cellStyle name="Hyperlink 5088 2" xfId="9350"/>
    <cellStyle name="Hyperlink 5088 3" xfId="7008"/>
    <cellStyle name="Hyperlink 5089" xfId="4632"/>
    <cellStyle name="Hyperlink 5089 2" xfId="9351"/>
    <cellStyle name="Hyperlink 5089 3" xfId="7009"/>
    <cellStyle name="Hyperlink 509" xfId="4633"/>
    <cellStyle name="Hyperlink 509 2" xfId="9352"/>
    <cellStyle name="Hyperlink 509 3" xfId="7010"/>
    <cellStyle name="Hyperlink 5090" xfId="4634"/>
    <cellStyle name="Hyperlink 5090 2" xfId="9353"/>
    <cellStyle name="Hyperlink 5090 3" xfId="7011"/>
    <cellStyle name="Hyperlink 5091" xfId="4635"/>
    <cellStyle name="Hyperlink 5091 2" xfId="9354"/>
    <cellStyle name="Hyperlink 5091 3" xfId="7012"/>
    <cellStyle name="Hyperlink 5092" xfId="4636"/>
    <cellStyle name="Hyperlink 5092 2" xfId="9355"/>
    <cellStyle name="Hyperlink 5092 3" xfId="7013"/>
    <cellStyle name="Hyperlink 5093" xfId="4637"/>
    <cellStyle name="Hyperlink 5093 2" xfId="9356"/>
    <cellStyle name="Hyperlink 5093 3" xfId="7014"/>
    <cellStyle name="Hyperlink 5094" xfId="4638"/>
    <cellStyle name="Hyperlink 5094 2" xfId="9357"/>
    <cellStyle name="Hyperlink 5094 3" xfId="7015"/>
    <cellStyle name="Hyperlink 5095" xfId="4639"/>
    <cellStyle name="Hyperlink 5095 2" xfId="9358"/>
    <cellStyle name="Hyperlink 5095 3" xfId="7016"/>
    <cellStyle name="Hyperlink 5096" xfId="4640"/>
    <cellStyle name="Hyperlink 5096 2" xfId="9359"/>
    <cellStyle name="Hyperlink 5096 3" xfId="7017"/>
    <cellStyle name="Hyperlink 5097" xfId="4641"/>
    <cellStyle name="Hyperlink 5097 2" xfId="9360"/>
    <cellStyle name="Hyperlink 5097 3" xfId="7018"/>
    <cellStyle name="Hyperlink 5098" xfId="4642"/>
    <cellStyle name="Hyperlink 5098 2" xfId="9361"/>
    <cellStyle name="Hyperlink 5098 3" xfId="7019"/>
    <cellStyle name="Hyperlink 5099" xfId="4643"/>
    <cellStyle name="Hyperlink 5099 2" xfId="9362"/>
    <cellStyle name="Hyperlink 5099 3" xfId="7020"/>
    <cellStyle name="Hyperlink 51" xfId="4644"/>
    <cellStyle name="Hyperlink 51 2" xfId="9363"/>
    <cellStyle name="Hyperlink 51 3" xfId="7021"/>
    <cellStyle name="Hyperlink 510" xfId="4645"/>
    <cellStyle name="Hyperlink 510 2" xfId="9364"/>
    <cellStyle name="Hyperlink 510 3" xfId="7022"/>
    <cellStyle name="Hyperlink 5100" xfId="4646"/>
    <cellStyle name="Hyperlink 5100 2" xfId="9365"/>
    <cellStyle name="Hyperlink 5100 3" xfId="7023"/>
    <cellStyle name="Hyperlink 5101" xfId="4647"/>
    <cellStyle name="Hyperlink 5101 2" xfId="9366"/>
    <cellStyle name="Hyperlink 5101 3" xfId="7024"/>
    <cellStyle name="Hyperlink 5102" xfId="4648"/>
    <cellStyle name="Hyperlink 5102 2" xfId="9367"/>
    <cellStyle name="Hyperlink 5102 3" xfId="7025"/>
    <cellStyle name="Hyperlink 5103" xfId="4649"/>
    <cellStyle name="Hyperlink 5103 2" xfId="9368"/>
    <cellStyle name="Hyperlink 5103 3" xfId="7026"/>
    <cellStyle name="Hyperlink 5104" xfId="4650"/>
    <cellStyle name="Hyperlink 5104 2" xfId="9369"/>
    <cellStyle name="Hyperlink 5104 3" xfId="7027"/>
    <cellStyle name="Hyperlink 5105" xfId="4651"/>
    <cellStyle name="Hyperlink 5105 2" xfId="9370"/>
    <cellStyle name="Hyperlink 5105 3" xfId="7028"/>
    <cellStyle name="Hyperlink 5106" xfId="4652"/>
    <cellStyle name="Hyperlink 5106 2" xfId="9371"/>
    <cellStyle name="Hyperlink 5106 3" xfId="7029"/>
    <cellStyle name="Hyperlink 5107" xfId="4653"/>
    <cellStyle name="Hyperlink 5107 2" xfId="9372"/>
    <cellStyle name="Hyperlink 5107 3" xfId="7030"/>
    <cellStyle name="Hyperlink 5108" xfId="4654"/>
    <cellStyle name="Hyperlink 5108 2" xfId="9373"/>
    <cellStyle name="Hyperlink 5108 3" xfId="7031"/>
    <cellStyle name="Hyperlink 5109" xfId="4655"/>
    <cellStyle name="Hyperlink 5109 2" xfId="9374"/>
    <cellStyle name="Hyperlink 5109 3" xfId="7032"/>
    <cellStyle name="Hyperlink 511" xfId="4656"/>
    <cellStyle name="Hyperlink 511 2" xfId="9375"/>
    <cellStyle name="Hyperlink 511 3" xfId="7033"/>
    <cellStyle name="Hyperlink 5110" xfId="4657"/>
    <cellStyle name="Hyperlink 5110 2" xfId="9376"/>
    <cellStyle name="Hyperlink 5110 3" xfId="7034"/>
    <cellStyle name="Hyperlink 5111" xfId="4658"/>
    <cellStyle name="Hyperlink 5111 2" xfId="9377"/>
    <cellStyle name="Hyperlink 5111 3" xfId="7035"/>
    <cellStyle name="Hyperlink 5112" xfId="4659"/>
    <cellStyle name="Hyperlink 5112 2" xfId="9378"/>
    <cellStyle name="Hyperlink 5112 3" xfId="7036"/>
    <cellStyle name="Hyperlink 5113" xfId="4660"/>
    <cellStyle name="Hyperlink 5113 2" xfId="9379"/>
    <cellStyle name="Hyperlink 5113 3" xfId="7037"/>
    <cellStyle name="Hyperlink 5114" xfId="4661"/>
    <cellStyle name="Hyperlink 5114 2" xfId="9380"/>
    <cellStyle name="Hyperlink 5114 3" xfId="7038"/>
    <cellStyle name="Hyperlink 5115" xfId="4662"/>
    <cellStyle name="Hyperlink 5115 2" xfId="9381"/>
    <cellStyle name="Hyperlink 5115 3" xfId="7039"/>
    <cellStyle name="Hyperlink 5116" xfId="4663"/>
    <cellStyle name="Hyperlink 5116 2" xfId="9382"/>
    <cellStyle name="Hyperlink 5116 3" xfId="7040"/>
    <cellStyle name="Hyperlink 5117" xfId="4664"/>
    <cellStyle name="Hyperlink 5117 2" xfId="9383"/>
    <cellStyle name="Hyperlink 5117 3" xfId="7041"/>
    <cellStyle name="Hyperlink 5118" xfId="4665"/>
    <cellStyle name="Hyperlink 5118 2" xfId="9384"/>
    <cellStyle name="Hyperlink 5118 3" xfId="7042"/>
    <cellStyle name="Hyperlink 5119" xfId="4666"/>
    <cellStyle name="Hyperlink 5119 2" xfId="9385"/>
    <cellStyle name="Hyperlink 5119 3" xfId="7043"/>
    <cellStyle name="Hyperlink 512" xfId="4667"/>
    <cellStyle name="Hyperlink 512 2" xfId="9386"/>
    <cellStyle name="Hyperlink 512 3" xfId="7044"/>
    <cellStyle name="Hyperlink 5120" xfId="4668"/>
    <cellStyle name="Hyperlink 5120 2" xfId="9387"/>
    <cellStyle name="Hyperlink 5120 3" xfId="7045"/>
    <cellStyle name="Hyperlink 5121" xfId="4669"/>
    <cellStyle name="Hyperlink 5121 2" xfId="9388"/>
    <cellStyle name="Hyperlink 5121 3" xfId="7046"/>
    <cellStyle name="Hyperlink 5122" xfId="4670"/>
    <cellStyle name="Hyperlink 5122 2" xfId="9389"/>
    <cellStyle name="Hyperlink 5122 3" xfId="7047"/>
    <cellStyle name="Hyperlink 5123" xfId="4671"/>
    <cellStyle name="Hyperlink 5123 2" xfId="9390"/>
    <cellStyle name="Hyperlink 5123 3" xfId="7048"/>
    <cellStyle name="Hyperlink 5124" xfId="4672"/>
    <cellStyle name="Hyperlink 5124 2" xfId="9391"/>
    <cellStyle name="Hyperlink 5124 3" xfId="7049"/>
    <cellStyle name="Hyperlink 5125" xfId="4673"/>
    <cellStyle name="Hyperlink 5125 2" xfId="9392"/>
    <cellStyle name="Hyperlink 5125 3" xfId="7050"/>
    <cellStyle name="Hyperlink 5126" xfId="4674"/>
    <cellStyle name="Hyperlink 5126 2" xfId="9393"/>
    <cellStyle name="Hyperlink 5126 3" xfId="7051"/>
    <cellStyle name="Hyperlink 5127" xfId="4675"/>
    <cellStyle name="Hyperlink 5127 2" xfId="9394"/>
    <cellStyle name="Hyperlink 5127 3" xfId="7052"/>
    <cellStyle name="Hyperlink 5128" xfId="4676"/>
    <cellStyle name="Hyperlink 5128 2" xfId="9395"/>
    <cellStyle name="Hyperlink 5128 3" xfId="7053"/>
    <cellStyle name="Hyperlink 5129" xfId="4677"/>
    <cellStyle name="Hyperlink 5129 2" xfId="9396"/>
    <cellStyle name="Hyperlink 5129 3" xfId="7054"/>
    <cellStyle name="Hyperlink 513" xfId="4678"/>
    <cellStyle name="Hyperlink 513 2" xfId="9397"/>
    <cellStyle name="Hyperlink 513 3" xfId="7055"/>
    <cellStyle name="Hyperlink 5130" xfId="4679"/>
    <cellStyle name="Hyperlink 5130 2" xfId="9398"/>
    <cellStyle name="Hyperlink 5130 3" xfId="7056"/>
    <cellStyle name="Hyperlink 5131" xfId="4680"/>
    <cellStyle name="Hyperlink 5131 2" xfId="9399"/>
    <cellStyle name="Hyperlink 5131 3" xfId="7057"/>
    <cellStyle name="Hyperlink 5132" xfId="4681"/>
    <cellStyle name="Hyperlink 5132 2" xfId="9400"/>
    <cellStyle name="Hyperlink 5132 3" xfId="7058"/>
    <cellStyle name="Hyperlink 5133" xfId="4682"/>
    <cellStyle name="Hyperlink 5133 2" xfId="9401"/>
    <cellStyle name="Hyperlink 5133 3" xfId="7059"/>
    <cellStyle name="Hyperlink 5134" xfId="4683"/>
    <cellStyle name="Hyperlink 5134 2" xfId="9402"/>
    <cellStyle name="Hyperlink 5134 3" xfId="7060"/>
    <cellStyle name="Hyperlink 5135" xfId="4684"/>
    <cellStyle name="Hyperlink 5135 2" xfId="9403"/>
    <cellStyle name="Hyperlink 5135 3" xfId="7061"/>
    <cellStyle name="Hyperlink 5136" xfId="4685"/>
    <cellStyle name="Hyperlink 5136 2" xfId="9404"/>
    <cellStyle name="Hyperlink 5136 3" xfId="7062"/>
    <cellStyle name="Hyperlink 5137" xfId="4686"/>
    <cellStyle name="Hyperlink 5137 2" xfId="9405"/>
    <cellStyle name="Hyperlink 5137 3" xfId="7063"/>
    <cellStyle name="Hyperlink 5138" xfId="4687"/>
    <cellStyle name="Hyperlink 5138 2" xfId="9406"/>
    <cellStyle name="Hyperlink 5138 3" xfId="7064"/>
    <cellStyle name="Hyperlink 5139" xfId="4688"/>
    <cellStyle name="Hyperlink 5139 2" xfId="9407"/>
    <cellStyle name="Hyperlink 5139 3" xfId="7065"/>
    <cellStyle name="Hyperlink 514" xfId="4689"/>
    <cellStyle name="Hyperlink 514 2" xfId="9408"/>
    <cellStyle name="Hyperlink 514 3" xfId="7066"/>
    <cellStyle name="Hyperlink 5140" xfId="4690"/>
    <cellStyle name="Hyperlink 5140 2" xfId="9409"/>
    <cellStyle name="Hyperlink 5140 3" xfId="7067"/>
    <cellStyle name="Hyperlink 5141" xfId="4691"/>
    <cellStyle name="Hyperlink 5141 2" xfId="9410"/>
    <cellStyle name="Hyperlink 5141 3" xfId="7068"/>
    <cellStyle name="Hyperlink 5142" xfId="4692"/>
    <cellStyle name="Hyperlink 5142 2" xfId="9411"/>
    <cellStyle name="Hyperlink 5142 3" xfId="7069"/>
    <cellStyle name="Hyperlink 5143" xfId="4693"/>
    <cellStyle name="Hyperlink 5143 2" xfId="9412"/>
    <cellStyle name="Hyperlink 5143 3" xfId="7070"/>
    <cellStyle name="Hyperlink 5144" xfId="4694"/>
    <cellStyle name="Hyperlink 5144 2" xfId="9413"/>
    <cellStyle name="Hyperlink 5144 3" xfId="7071"/>
    <cellStyle name="Hyperlink 5145" xfId="4695"/>
    <cellStyle name="Hyperlink 5145 2" xfId="9414"/>
    <cellStyle name="Hyperlink 5145 3" xfId="7072"/>
    <cellStyle name="Hyperlink 5146" xfId="4696"/>
    <cellStyle name="Hyperlink 5146 2" xfId="9415"/>
    <cellStyle name="Hyperlink 5146 3" xfId="7073"/>
    <cellStyle name="Hyperlink 5147" xfId="4697"/>
    <cellStyle name="Hyperlink 5147 2" xfId="9416"/>
    <cellStyle name="Hyperlink 5147 3" xfId="7074"/>
    <cellStyle name="Hyperlink 5148" xfId="4698"/>
    <cellStyle name="Hyperlink 5148 2" xfId="9417"/>
    <cellStyle name="Hyperlink 5148 3" xfId="7075"/>
    <cellStyle name="Hyperlink 5149" xfId="4699"/>
    <cellStyle name="Hyperlink 5149 2" xfId="9418"/>
    <cellStyle name="Hyperlink 5149 3" xfId="7076"/>
    <cellStyle name="Hyperlink 515" xfId="4700"/>
    <cellStyle name="Hyperlink 515 2" xfId="9419"/>
    <cellStyle name="Hyperlink 515 3" xfId="7077"/>
    <cellStyle name="Hyperlink 5150" xfId="4701"/>
    <cellStyle name="Hyperlink 5150 2" xfId="9420"/>
    <cellStyle name="Hyperlink 5150 3" xfId="7078"/>
    <cellStyle name="Hyperlink 5151" xfId="4702"/>
    <cellStyle name="Hyperlink 5151 2" xfId="9421"/>
    <cellStyle name="Hyperlink 5151 3" xfId="7079"/>
    <cellStyle name="Hyperlink 5152" xfId="4703"/>
    <cellStyle name="Hyperlink 5152 2" xfId="9422"/>
    <cellStyle name="Hyperlink 5152 3" xfId="7080"/>
    <cellStyle name="Hyperlink 5153" xfId="4704"/>
    <cellStyle name="Hyperlink 5153 2" xfId="9423"/>
    <cellStyle name="Hyperlink 5153 3" xfId="7081"/>
    <cellStyle name="Hyperlink 5154" xfId="4705"/>
    <cellStyle name="Hyperlink 5154 2" xfId="9424"/>
    <cellStyle name="Hyperlink 5154 3" xfId="7082"/>
    <cellStyle name="Hyperlink 5155" xfId="4706"/>
    <cellStyle name="Hyperlink 5155 2" xfId="9425"/>
    <cellStyle name="Hyperlink 5155 3" xfId="7083"/>
    <cellStyle name="Hyperlink 5156" xfId="4707"/>
    <cellStyle name="Hyperlink 5156 2" xfId="9426"/>
    <cellStyle name="Hyperlink 5156 3" xfId="7084"/>
    <cellStyle name="Hyperlink 5157" xfId="4708"/>
    <cellStyle name="Hyperlink 5157 2" xfId="9427"/>
    <cellStyle name="Hyperlink 5157 3" xfId="7085"/>
    <cellStyle name="Hyperlink 5158" xfId="4709"/>
    <cellStyle name="Hyperlink 5158 2" xfId="9428"/>
    <cellStyle name="Hyperlink 5158 3" xfId="7086"/>
    <cellStyle name="Hyperlink 5159" xfId="4710"/>
    <cellStyle name="Hyperlink 5159 2" xfId="9429"/>
    <cellStyle name="Hyperlink 5159 3" xfId="7087"/>
    <cellStyle name="Hyperlink 516" xfId="4711"/>
    <cellStyle name="Hyperlink 516 2" xfId="9430"/>
    <cellStyle name="Hyperlink 516 3" xfId="7088"/>
    <cellStyle name="Hyperlink 5160" xfId="4712"/>
    <cellStyle name="Hyperlink 5160 2" xfId="9431"/>
    <cellStyle name="Hyperlink 5160 3" xfId="7089"/>
    <cellStyle name="Hyperlink 5161" xfId="4713"/>
    <cellStyle name="Hyperlink 5161 2" xfId="9432"/>
    <cellStyle name="Hyperlink 5161 3" xfId="7090"/>
    <cellStyle name="Hyperlink 5162" xfId="4714"/>
    <cellStyle name="Hyperlink 5162 2" xfId="9433"/>
    <cellStyle name="Hyperlink 5162 3" xfId="7091"/>
    <cellStyle name="Hyperlink 5163" xfId="4715"/>
    <cellStyle name="Hyperlink 5163 2" xfId="9434"/>
    <cellStyle name="Hyperlink 5163 3" xfId="7092"/>
    <cellStyle name="Hyperlink 5164" xfId="4716"/>
    <cellStyle name="Hyperlink 5164 2" xfId="9435"/>
    <cellStyle name="Hyperlink 5164 3" xfId="7093"/>
    <cellStyle name="Hyperlink 5165" xfId="4717"/>
    <cellStyle name="Hyperlink 5165 2" xfId="9436"/>
    <cellStyle name="Hyperlink 5165 3" xfId="7094"/>
    <cellStyle name="Hyperlink 5166" xfId="4718"/>
    <cellStyle name="Hyperlink 5166 2" xfId="9437"/>
    <cellStyle name="Hyperlink 5166 3" xfId="7095"/>
    <cellStyle name="Hyperlink 5167" xfId="4719"/>
    <cellStyle name="Hyperlink 5167 2" xfId="9438"/>
    <cellStyle name="Hyperlink 5167 3" xfId="7096"/>
    <cellStyle name="Hyperlink 5168" xfId="4720"/>
    <cellStyle name="Hyperlink 5168 2" xfId="9439"/>
    <cellStyle name="Hyperlink 5168 3" xfId="7097"/>
    <cellStyle name="Hyperlink 5169" xfId="4721"/>
    <cellStyle name="Hyperlink 5169 2" xfId="9440"/>
    <cellStyle name="Hyperlink 5169 3" xfId="7098"/>
    <cellStyle name="Hyperlink 517" xfId="4722"/>
    <cellStyle name="Hyperlink 517 2" xfId="9441"/>
    <cellStyle name="Hyperlink 517 3" xfId="7099"/>
    <cellStyle name="Hyperlink 5170" xfId="4723"/>
    <cellStyle name="Hyperlink 5170 2" xfId="9442"/>
    <cellStyle name="Hyperlink 5170 3" xfId="7100"/>
    <cellStyle name="Hyperlink 5171" xfId="4724"/>
    <cellStyle name="Hyperlink 5171 2" xfId="9443"/>
    <cellStyle name="Hyperlink 5171 3" xfId="7101"/>
    <cellStyle name="Hyperlink 5172" xfId="4725"/>
    <cellStyle name="Hyperlink 5172 2" xfId="9444"/>
    <cellStyle name="Hyperlink 5172 3" xfId="7102"/>
    <cellStyle name="Hyperlink 5173" xfId="4726"/>
    <cellStyle name="Hyperlink 5173 2" xfId="9445"/>
    <cellStyle name="Hyperlink 5173 3" xfId="7103"/>
    <cellStyle name="Hyperlink 5174" xfId="4727"/>
    <cellStyle name="Hyperlink 5174 2" xfId="9446"/>
    <cellStyle name="Hyperlink 5174 3" xfId="7104"/>
    <cellStyle name="Hyperlink 5175" xfId="4728"/>
    <cellStyle name="Hyperlink 5175 2" xfId="9447"/>
    <cellStyle name="Hyperlink 5175 3" xfId="7105"/>
    <cellStyle name="Hyperlink 5176" xfId="4729"/>
    <cellStyle name="Hyperlink 5176 2" xfId="9448"/>
    <cellStyle name="Hyperlink 5176 3" xfId="7106"/>
    <cellStyle name="Hyperlink 5177" xfId="4730"/>
    <cellStyle name="Hyperlink 5177 2" xfId="9449"/>
    <cellStyle name="Hyperlink 5177 3" xfId="7107"/>
    <cellStyle name="Hyperlink 5178" xfId="4731"/>
    <cellStyle name="Hyperlink 5178 2" xfId="9450"/>
    <cellStyle name="Hyperlink 5178 3" xfId="7108"/>
    <cellStyle name="Hyperlink 5179" xfId="4732"/>
    <cellStyle name="Hyperlink 5179 2" xfId="9451"/>
    <cellStyle name="Hyperlink 5179 3" xfId="7109"/>
    <cellStyle name="Hyperlink 518" xfId="4733"/>
    <cellStyle name="Hyperlink 518 2" xfId="9452"/>
    <cellStyle name="Hyperlink 518 3" xfId="7110"/>
    <cellStyle name="Hyperlink 5180" xfId="4734"/>
    <cellStyle name="Hyperlink 5180 2" xfId="9453"/>
    <cellStyle name="Hyperlink 5180 3" xfId="7111"/>
    <cellStyle name="Hyperlink 5181" xfId="4735"/>
    <cellStyle name="Hyperlink 5181 2" xfId="9454"/>
    <cellStyle name="Hyperlink 5181 3" xfId="7112"/>
    <cellStyle name="Hyperlink 5182" xfId="4736"/>
    <cellStyle name="Hyperlink 5182 2" xfId="9455"/>
    <cellStyle name="Hyperlink 5182 3" xfId="7113"/>
    <cellStyle name="Hyperlink 5183" xfId="4737"/>
    <cellStyle name="Hyperlink 5183 2" xfId="9456"/>
    <cellStyle name="Hyperlink 5183 3" xfId="7114"/>
    <cellStyle name="Hyperlink 5184" xfId="4738"/>
    <cellStyle name="Hyperlink 5184 2" xfId="9457"/>
    <cellStyle name="Hyperlink 5184 3" xfId="7115"/>
    <cellStyle name="Hyperlink 5185" xfId="4739"/>
    <cellStyle name="Hyperlink 5185 2" xfId="9458"/>
    <cellStyle name="Hyperlink 5185 3" xfId="7116"/>
    <cellStyle name="Hyperlink 5186" xfId="4740"/>
    <cellStyle name="Hyperlink 5186 2" xfId="9459"/>
    <cellStyle name="Hyperlink 5186 3" xfId="7117"/>
    <cellStyle name="Hyperlink 5187" xfId="4741"/>
    <cellStyle name="Hyperlink 5187 2" xfId="9460"/>
    <cellStyle name="Hyperlink 5187 3" xfId="7118"/>
    <cellStyle name="Hyperlink 5188" xfId="4742"/>
    <cellStyle name="Hyperlink 5188 2" xfId="9461"/>
    <cellStyle name="Hyperlink 5188 3" xfId="7119"/>
    <cellStyle name="Hyperlink 5189" xfId="4743"/>
    <cellStyle name="Hyperlink 5189 2" xfId="9462"/>
    <cellStyle name="Hyperlink 5189 3" xfId="7120"/>
    <cellStyle name="Hyperlink 519" xfId="4744"/>
    <cellStyle name="Hyperlink 519 2" xfId="9463"/>
    <cellStyle name="Hyperlink 519 3" xfId="7121"/>
    <cellStyle name="Hyperlink 5190" xfId="4745"/>
    <cellStyle name="Hyperlink 5190 2" xfId="9464"/>
    <cellStyle name="Hyperlink 5190 3" xfId="7122"/>
    <cellStyle name="Hyperlink 5191" xfId="4746"/>
    <cellStyle name="Hyperlink 5191 2" xfId="9465"/>
    <cellStyle name="Hyperlink 5191 3" xfId="7123"/>
    <cellStyle name="Hyperlink 5192" xfId="4747"/>
    <cellStyle name="Hyperlink 5192 2" xfId="9466"/>
    <cellStyle name="Hyperlink 5192 3" xfId="7124"/>
    <cellStyle name="Hyperlink 5193" xfId="4748"/>
    <cellStyle name="Hyperlink 5193 2" xfId="9467"/>
    <cellStyle name="Hyperlink 5193 3" xfId="7125"/>
    <cellStyle name="Hyperlink 5194" xfId="4749"/>
    <cellStyle name="Hyperlink 5194 2" xfId="9468"/>
    <cellStyle name="Hyperlink 5194 3" xfId="7126"/>
    <cellStyle name="Hyperlink 5195" xfId="4750"/>
    <cellStyle name="Hyperlink 5195 2" xfId="9469"/>
    <cellStyle name="Hyperlink 5195 3" xfId="7127"/>
    <cellStyle name="Hyperlink 5196" xfId="4751"/>
    <cellStyle name="Hyperlink 5196 2" xfId="9470"/>
    <cellStyle name="Hyperlink 5196 3" xfId="7128"/>
    <cellStyle name="Hyperlink 5197" xfId="4752"/>
    <cellStyle name="Hyperlink 5197 2" xfId="9471"/>
    <cellStyle name="Hyperlink 5197 3" xfId="7129"/>
    <cellStyle name="Hyperlink 5198" xfId="4753"/>
    <cellStyle name="Hyperlink 5198 2" xfId="9472"/>
    <cellStyle name="Hyperlink 5198 3" xfId="7130"/>
    <cellStyle name="Hyperlink 5199" xfId="4754"/>
    <cellStyle name="Hyperlink 5199 2" xfId="9473"/>
    <cellStyle name="Hyperlink 5199 3" xfId="7131"/>
    <cellStyle name="Hyperlink 52" xfId="4755"/>
    <cellStyle name="Hyperlink 52 2" xfId="9474"/>
    <cellStyle name="Hyperlink 52 3" xfId="7132"/>
    <cellStyle name="Hyperlink 520" xfId="4756"/>
    <cellStyle name="Hyperlink 520 2" xfId="9475"/>
    <cellStyle name="Hyperlink 520 3" xfId="7133"/>
    <cellStyle name="Hyperlink 5200" xfId="4757"/>
    <cellStyle name="Hyperlink 5200 2" xfId="9476"/>
    <cellStyle name="Hyperlink 5200 3" xfId="7134"/>
    <cellStyle name="Hyperlink 5201" xfId="4758"/>
    <cellStyle name="Hyperlink 5201 2" xfId="9477"/>
    <cellStyle name="Hyperlink 5201 3" xfId="7135"/>
    <cellStyle name="Hyperlink 5202" xfId="4759"/>
    <cellStyle name="Hyperlink 5202 2" xfId="9478"/>
    <cellStyle name="Hyperlink 5202 3" xfId="7136"/>
    <cellStyle name="Hyperlink 5203" xfId="4760"/>
    <cellStyle name="Hyperlink 5203 2" xfId="9479"/>
    <cellStyle name="Hyperlink 5203 3" xfId="7137"/>
    <cellStyle name="Hyperlink 5204" xfId="4761"/>
    <cellStyle name="Hyperlink 5204 2" xfId="9480"/>
    <cellStyle name="Hyperlink 5204 3" xfId="7138"/>
    <cellStyle name="Hyperlink 5205" xfId="4762"/>
    <cellStyle name="Hyperlink 5205 2" xfId="9481"/>
    <cellStyle name="Hyperlink 5205 3" xfId="7139"/>
    <cellStyle name="Hyperlink 5206" xfId="4763"/>
    <cellStyle name="Hyperlink 5206 2" xfId="9482"/>
    <cellStyle name="Hyperlink 5206 3" xfId="7140"/>
    <cellStyle name="Hyperlink 5207" xfId="4764"/>
    <cellStyle name="Hyperlink 5207 2" xfId="9483"/>
    <cellStyle name="Hyperlink 5207 3" xfId="7141"/>
    <cellStyle name="Hyperlink 5208" xfId="4765"/>
    <cellStyle name="Hyperlink 5208 2" xfId="9484"/>
    <cellStyle name="Hyperlink 5208 3" xfId="7142"/>
    <cellStyle name="Hyperlink 5209" xfId="4766"/>
    <cellStyle name="Hyperlink 5209 2" xfId="9485"/>
    <cellStyle name="Hyperlink 5209 3" xfId="7143"/>
    <cellStyle name="Hyperlink 521" xfId="4767"/>
    <cellStyle name="Hyperlink 521 2" xfId="9486"/>
    <cellStyle name="Hyperlink 521 3" xfId="7144"/>
    <cellStyle name="Hyperlink 5210" xfId="4768"/>
    <cellStyle name="Hyperlink 5210 2" xfId="9487"/>
    <cellStyle name="Hyperlink 5210 3" xfId="7145"/>
    <cellStyle name="Hyperlink 5211" xfId="4769"/>
    <cellStyle name="Hyperlink 5211 2" xfId="9488"/>
    <cellStyle name="Hyperlink 5211 3" xfId="7146"/>
    <cellStyle name="Hyperlink 5212" xfId="4770"/>
    <cellStyle name="Hyperlink 5212 2" xfId="9489"/>
    <cellStyle name="Hyperlink 5212 3" xfId="7147"/>
    <cellStyle name="Hyperlink 5213" xfId="4771"/>
    <cellStyle name="Hyperlink 5213 2" xfId="9490"/>
    <cellStyle name="Hyperlink 5213 3" xfId="7148"/>
    <cellStyle name="Hyperlink 5214" xfId="4772"/>
    <cellStyle name="Hyperlink 5214 2" xfId="9491"/>
    <cellStyle name="Hyperlink 5214 3" xfId="7149"/>
    <cellStyle name="Hyperlink 5215" xfId="4773"/>
    <cellStyle name="Hyperlink 5215 2" xfId="9492"/>
    <cellStyle name="Hyperlink 5215 3" xfId="7150"/>
    <cellStyle name="Hyperlink 5216" xfId="4774"/>
    <cellStyle name="Hyperlink 5216 2" xfId="9493"/>
    <cellStyle name="Hyperlink 5216 3" xfId="7151"/>
    <cellStyle name="Hyperlink 5217" xfId="4775"/>
    <cellStyle name="Hyperlink 5217 2" xfId="9494"/>
    <cellStyle name="Hyperlink 5217 3" xfId="7152"/>
    <cellStyle name="Hyperlink 5218" xfId="4776"/>
    <cellStyle name="Hyperlink 5218 2" xfId="9495"/>
    <cellStyle name="Hyperlink 5218 3" xfId="7153"/>
    <cellStyle name="Hyperlink 5219" xfId="4777"/>
    <cellStyle name="Hyperlink 5219 2" xfId="9496"/>
    <cellStyle name="Hyperlink 5219 3" xfId="7154"/>
    <cellStyle name="Hyperlink 522" xfId="4778"/>
    <cellStyle name="Hyperlink 522 2" xfId="9497"/>
    <cellStyle name="Hyperlink 522 3" xfId="7155"/>
    <cellStyle name="Hyperlink 5220" xfId="4779"/>
    <cellStyle name="Hyperlink 5220 2" xfId="9498"/>
    <cellStyle name="Hyperlink 5220 3" xfId="7156"/>
    <cellStyle name="Hyperlink 5221" xfId="4780"/>
    <cellStyle name="Hyperlink 5221 2" xfId="9499"/>
    <cellStyle name="Hyperlink 5221 3" xfId="7157"/>
    <cellStyle name="Hyperlink 5222" xfId="4781"/>
    <cellStyle name="Hyperlink 5222 2" xfId="9500"/>
    <cellStyle name="Hyperlink 5222 3" xfId="7158"/>
    <cellStyle name="Hyperlink 5223" xfId="4782"/>
    <cellStyle name="Hyperlink 5223 2" xfId="9501"/>
    <cellStyle name="Hyperlink 5223 3" xfId="7159"/>
    <cellStyle name="Hyperlink 5224" xfId="4783"/>
    <cellStyle name="Hyperlink 5224 2" xfId="9502"/>
    <cellStyle name="Hyperlink 5224 3" xfId="7160"/>
    <cellStyle name="Hyperlink 5225" xfId="4784"/>
    <cellStyle name="Hyperlink 5225 2" xfId="9503"/>
    <cellStyle name="Hyperlink 5225 3" xfId="7161"/>
    <cellStyle name="Hyperlink 5226" xfId="4785"/>
    <cellStyle name="Hyperlink 5226 2" xfId="9504"/>
    <cellStyle name="Hyperlink 5226 3" xfId="7162"/>
    <cellStyle name="Hyperlink 5227" xfId="4786"/>
    <cellStyle name="Hyperlink 5227 2" xfId="9505"/>
    <cellStyle name="Hyperlink 5227 3" xfId="7163"/>
    <cellStyle name="Hyperlink 5228" xfId="4787"/>
    <cellStyle name="Hyperlink 5228 2" xfId="9506"/>
    <cellStyle name="Hyperlink 5228 3" xfId="7164"/>
    <cellStyle name="Hyperlink 5229" xfId="4788"/>
    <cellStyle name="Hyperlink 5229 2" xfId="9507"/>
    <cellStyle name="Hyperlink 5229 3" xfId="7165"/>
    <cellStyle name="Hyperlink 523" xfId="4789"/>
    <cellStyle name="Hyperlink 523 2" xfId="9508"/>
    <cellStyle name="Hyperlink 523 3" xfId="7166"/>
    <cellStyle name="Hyperlink 5230" xfId="4790"/>
    <cellStyle name="Hyperlink 5230 2" xfId="9509"/>
    <cellStyle name="Hyperlink 5230 3" xfId="7167"/>
    <cellStyle name="Hyperlink 5231" xfId="4791"/>
    <cellStyle name="Hyperlink 5231 2" xfId="9510"/>
    <cellStyle name="Hyperlink 5231 3" xfId="7168"/>
    <cellStyle name="Hyperlink 5232" xfId="4792"/>
    <cellStyle name="Hyperlink 5232 2" xfId="9511"/>
    <cellStyle name="Hyperlink 5232 3" xfId="7169"/>
    <cellStyle name="Hyperlink 5233" xfId="4793"/>
    <cellStyle name="Hyperlink 5233 2" xfId="9512"/>
    <cellStyle name="Hyperlink 5233 3" xfId="7170"/>
    <cellStyle name="Hyperlink 5234" xfId="4794"/>
    <cellStyle name="Hyperlink 5234 2" xfId="9513"/>
    <cellStyle name="Hyperlink 5234 3" xfId="7171"/>
    <cellStyle name="Hyperlink 5235" xfId="4795"/>
    <cellStyle name="Hyperlink 5235 2" xfId="9514"/>
    <cellStyle name="Hyperlink 5235 3" xfId="7172"/>
    <cellStyle name="Hyperlink 5236" xfId="4796"/>
    <cellStyle name="Hyperlink 5236 2" xfId="9515"/>
    <cellStyle name="Hyperlink 5236 3" xfId="7173"/>
    <cellStyle name="Hyperlink 5237" xfId="4797"/>
    <cellStyle name="Hyperlink 5237 2" xfId="9516"/>
    <cellStyle name="Hyperlink 5237 3" xfId="7174"/>
    <cellStyle name="Hyperlink 5238" xfId="4798"/>
    <cellStyle name="Hyperlink 5238 2" xfId="9517"/>
    <cellStyle name="Hyperlink 5238 3" xfId="7175"/>
    <cellStyle name="Hyperlink 5239" xfId="4799"/>
    <cellStyle name="Hyperlink 5239 2" xfId="9518"/>
    <cellStyle name="Hyperlink 5239 3" xfId="7176"/>
    <cellStyle name="Hyperlink 524" xfId="4800"/>
    <cellStyle name="Hyperlink 524 2" xfId="9519"/>
    <cellStyle name="Hyperlink 524 3" xfId="7177"/>
    <cellStyle name="Hyperlink 5240" xfId="4801"/>
    <cellStyle name="Hyperlink 5240 2" xfId="9520"/>
    <cellStyle name="Hyperlink 5240 3" xfId="7178"/>
    <cellStyle name="Hyperlink 5241" xfId="4802"/>
    <cellStyle name="Hyperlink 5241 2" xfId="9521"/>
    <cellStyle name="Hyperlink 5241 3" xfId="7179"/>
    <cellStyle name="Hyperlink 5242" xfId="4803"/>
    <cellStyle name="Hyperlink 5242 2" xfId="9522"/>
    <cellStyle name="Hyperlink 5242 3" xfId="7180"/>
    <cellStyle name="Hyperlink 5243" xfId="4804"/>
    <cellStyle name="Hyperlink 5243 2" xfId="9523"/>
    <cellStyle name="Hyperlink 5243 3" xfId="7181"/>
    <cellStyle name="Hyperlink 5244" xfId="4805"/>
    <cellStyle name="Hyperlink 5244 2" xfId="9524"/>
    <cellStyle name="Hyperlink 5244 3" xfId="7182"/>
    <cellStyle name="Hyperlink 5245" xfId="4806"/>
    <cellStyle name="Hyperlink 5245 2" xfId="9525"/>
    <cellStyle name="Hyperlink 5245 3" xfId="7183"/>
    <cellStyle name="Hyperlink 5246" xfId="4807"/>
    <cellStyle name="Hyperlink 5246 2" xfId="9526"/>
    <cellStyle name="Hyperlink 5246 3" xfId="7184"/>
    <cellStyle name="Hyperlink 5247" xfId="4808"/>
    <cellStyle name="Hyperlink 5247 2" xfId="9527"/>
    <cellStyle name="Hyperlink 5247 3" xfId="7185"/>
    <cellStyle name="Hyperlink 5248" xfId="4809"/>
    <cellStyle name="Hyperlink 5248 2" xfId="9528"/>
    <cellStyle name="Hyperlink 5248 3" xfId="7186"/>
    <cellStyle name="Hyperlink 5249" xfId="4810"/>
    <cellStyle name="Hyperlink 5249 2" xfId="9529"/>
    <cellStyle name="Hyperlink 5249 3" xfId="7187"/>
    <cellStyle name="Hyperlink 525" xfId="4811"/>
    <cellStyle name="Hyperlink 525 2" xfId="9530"/>
    <cellStyle name="Hyperlink 525 3" xfId="7188"/>
    <cellStyle name="Hyperlink 5250" xfId="4812"/>
    <cellStyle name="Hyperlink 5250 2" xfId="9531"/>
    <cellStyle name="Hyperlink 5250 3" xfId="7189"/>
    <cellStyle name="Hyperlink 5251" xfId="4813"/>
    <cellStyle name="Hyperlink 5251 2" xfId="9532"/>
    <cellStyle name="Hyperlink 5251 3" xfId="7190"/>
    <cellStyle name="Hyperlink 5252" xfId="4814"/>
    <cellStyle name="Hyperlink 5252 2" xfId="9533"/>
    <cellStyle name="Hyperlink 5252 3" xfId="7191"/>
    <cellStyle name="Hyperlink 5253" xfId="4815"/>
    <cellStyle name="Hyperlink 5253 2" xfId="9534"/>
    <cellStyle name="Hyperlink 5253 3" xfId="7192"/>
    <cellStyle name="Hyperlink 5254" xfId="4816"/>
    <cellStyle name="Hyperlink 5254 2" xfId="9535"/>
    <cellStyle name="Hyperlink 5254 3" xfId="7193"/>
    <cellStyle name="Hyperlink 5255" xfId="4817"/>
    <cellStyle name="Hyperlink 5255 2" xfId="9536"/>
    <cellStyle name="Hyperlink 5255 3" xfId="7194"/>
    <cellStyle name="Hyperlink 5256" xfId="4818"/>
    <cellStyle name="Hyperlink 5256 2" xfId="9537"/>
    <cellStyle name="Hyperlink 5256 3" xfId="7195"/>
    <cellStyle name="Hyperlink 5257" xfId="4819"/>
    <cellStyle name="Hyperlink 5257 2" xfId="9538"/>
    <cellStyle name="Hyperlink 5257 3" xfId="7196"/>
    <cellStyle name="Hyperlink 5258" xfId="4820"/>
    <cellStyle name="Hyperlink 5258 2" xfId="9539"/>
    <cellStyle name="Hyperlink 5258 3" xfId="7197"/>
    <cellStyle name="Hyperlink 5259" xfId="4821"/>
    <cellStyle name="Hyperlink 5259 2" xfId="9540"/>
    <cellStyle name="Hyperlink 5259 3" xfId="7198"/>
    <cellStyle name="Hyperlink 526" xfId="4822"/>
    <cellStyle name="Hyperlink 526 2" xfId="9541"/>
    <cellStyle name="Hyperlink 526 3" xfId="7199"/>
    <cellStyle name="Hyperlink 5260" xfId="4823"/>
    <cellStyle name="Hyperlink 5260 2" xfId="9542"/>
    <cellStyle name="Hyperlink 5260 3" xfId="7200"/>
    <cellStyle name="Hyperlink 5261" xfId="4824"/>
    <cellStyle name="Hyperlink 5261 2" xfId="9543"/>
    <cellStyle name="Hyperlink 5261 3" xfId="7201"/>
    <cellStyle name="Hyperlink 5262" xfId="4825"/>
    <cellStyle name="Hyperlink 5262 2" xfId="9544"/>
    <cellStyle name="Hyperlink 5262 3" xfId="7202"/>
    <cellStyle name="Hyperlink 5263" xfId="4826"/>
    <cellStyle name="Hyperlink 5263 2" xfId="9545"/>
    <cellStyle name="Hyperlink 5263 3" xfId="7203"/>
    <cellStyle name="Hyperlink 5264" xfId="4827"/>
    <cellStyle name="Hyperlink 5264 2" xfId="9546"/>
    <cellStyle name="Hyperlink 5264 3" xfId="7204"/>
    <cellStyle name="Hyperlink 5265" xfId="4828"/>
    <cellStyle name="Hyperlink 5265 2" xfId="9547"/>
    <cellStyle name="Hyperlink 5265 3" xfId="7205"/>
    <cellStyle name="Hyperlink 5266" xfId="4829"/>
    <cellStyle name="Hyperlink 5266 2" xfId="9548"/>
    <cellStyle name="Hyperlink 5266 3" xfId="7206"/>
    <cellStyle name="Hyperlink 5267" xfId="4830"/>
    <cellStyle name="Hyperlink 5267 2" xfId="9549"/>
    <cellStyle name="Hyperlink 5267 3" xfId="7207"/>
    <cellStyle name="Hyperlink 5268" xfId="4831"/>
    <cellStyle name="Hyperlink 5268 2" xfId="9550"/>
    <cellStyle name="Hyperlink 5268 3" xfId="7208"/>
    <cellStyle name="Hyperlink 5269" xfId="4832"/>
    <cellStyle name="Hyperlink 5269 2" xfId="9551"/>
    <cellStyle name="Hyperlink 5269 3" xfId="7209"/>
    <cellStyle name="Hyperlink 527" xfId="4833"/>
    <cellStyle name="Hyperlink 527 2" xfId="9552"/>
    <cellStyle name="Hyperlink 527 3" xfId="7210"/>
    <cellStyle name="Hyperlink 5270" xfId="4834"/>
    <cellStyle name="Hyperlink 5270 2" xfId="9553"/>
    <cellStyle name="Hyperlink 5270 3" xfId="7211"/>
    <cellStyle name="Hyperlink 5271" xfId="4835"/>
    <cellStyle name="Hyperlink 5271 2" xfId="9554"/>
    <cellStyle name="Hyperlink 5271 3" xfId="7212"/>
    <cellStyle name="Hyperlink 5272" xfId="4836"/>
    <cellStyle name="Hyperlink 5272 2" xfId="9555"/>
    <cellStyle name="Hyperlink 5272 3" xfId="7213"/>
    <cellStyle name="Hyperlink 5273" xfId="4837"/>
    <cellStyle name="Hyperlink 5273 2" xfId="9556"/>
    <cellStyle name="Hyperlink 5273 3" xfId="7214"/>
    <cellStyle name="Hyperlink 5274" xfId="4838"/>
    <cellStyle name="Hyperlink 5274 2" xfId="9557"/>
    <cellStyle name="Hyperlink 5274 3" xfId="7215"/>
    <cellStyle name="Hyperlink 5275" xfId="4839"/>
    <cellStyle name="Hyperlink 5275 2" xfId="9558"/>
    <cellStyle name="Hyperlink 5275 3" xfId="7216"/>
    <cellStyle name="Hyperlink 5276" xfId="4840"/>
    <cellStyle name="Hyperlink 5276 2" xfId="9559"/>
    <cellStyle name="Hyperlink 5276 3" xfId="7217"/>
    <cellStyle name="Hyperlink 5277" xfId="4841"/>
    <cellStyle name="Hyperlink 5277 2" xfId="9560"/>
    <cellStyle name="Hyperlink 5277 3" xfId="7218"/>
    <cellStyle name="Hyperlink 5278" xfId="4842"/>
    <cellStyle name="Hyperlink 5278 2" xfId="9561"/>
    <cellStyle name="Hyperlink 5278 3" xfId="7219"/>
    <cellStyle name="Hyperlink 5279" xfId="4843"/>
    <cellStyle name="Hyperlink 5279 2" xfId="9562"/>
    <cellStyle name="Hyperlink 5279 3" xfId="7220"/>
    <cellStyle name="Hyperlink 528" xfId="4844"/>
    <cellStyle name="Hyperlink 528 2" xfId="9563"/>
    <cellStyle name="Hyperlink 528 3" xfId="7221"/>
    <cellStyle name="Hyperlink 5280" xfId="4845"/>
    <cellStyle name="Hyperlink 5280 2" xfId="9564"/>
    <cellStyle name="Hyperlink 5280 3" xfId="7222"/>
    <cellStyle name="Hyperlink 5281" xfId="4846"/>
    <cellStyle name="Hyperlink 5281 2" xfId="9565"/>
    <cellStyle name="Hyperlink 5281 3" xfId="7223"/>
    <cellStyle name="Hyperlink 5282" xfId="4847"/>
    <cellStyle name="Hyperlink 5282 2" xfId="9566"/>
    <cellStyle name="Hyperlink 5282 3" xfId="7224"/>
    <cellStyle name="Hyperlink 5283" xfId="4848"/>
    <cellStyle name="Hyperlink 5283 2" xfId="9567"/>
    <cellStyle name="Hyperlink 5283 3" xfId="7225"/>
    <cellStyle name="Hyperlink 5284" xfId="4849"/>
    <cellStyle name="Hyperlink 5284 2" xfId="9568"/>
    <cellStyle name="Hyperlink 5284 3" xfId="7226"/>
    <cellStyle name="Hyperlink 5285" xfId="4850"/>
    <cellStyle name="Hyperlink 5285 2" xfId="9569"/>
    <cellStyle name="Hyperlink 5285 3" xfId="7227"/>
    <cellStyle name="Hyperlink 5286" xfId="4851"/>
    <cellStyle name="Hyperlink 5286 2" xfId="9570"/>
    <cellStyle name="Hyperlink 5286 3" xfId="7228"/>
    <cellStyle name="Hyperlink 5287" xfId="4852"/>
    <cellStyle name="Hyperlink 5287 2" xfId="9571"/>
    <cellStyle name="Hyperlink 5287 3" xfId="7229"/>
    <cellStyle name="Hyperlink 5288" xfId="4853"/>
    <cellStyle name="Hyperlink 5288 2" xfId="9572"/>
    <cellStyle name="Hyperlink 5288 3" xfId="7230"/>
    <cellStyle name="Hyperlink 5289" xfId="4854"/>
    <cellStyle name="Hyperlink 5289 2" xfId="9573"/>
    <cellStyle name="Hyperlink 5289 3" xfId="7231"/>
    <cellStyle name="Hyperlink 529" xfId="4855"/>
    <cellStyle name="Hyperlink 529 2" xfId="9574"/>
    <cellStyle name="Hyperlink 529 3" xfId="7232"/>
    <cellStyle name="Hyperlink 5290" xfId="4856"/>
    <cellStyle name="Hyperlink 5290 2" xfId="9575"/>
    <cellStyle name="Hyperlink 5290 3" xfId="7233"/>
    <cellStyle name="Hyperlink 5291" xfId="4857"/>
    <cellStyle name="Hyperlink 5291 2" xfId="9576"/>
    <cellStyle name="Hyperlink 5291 3" xfId="7234"/>
    <cellStyle name="Hyperlink 5292" xfId="4858"/>
    <cellStyle name="Hyperlink 5292 2" xfId="9577"/>
    <cellStyle name="Hyperlink 5292 3" xfId="7235"/>
    <cellStyle name="Hyperlink 5293" xfId="4859"/>
    <cellStyle name="Hyperlink 5293 2" xfId="9578"/>
    <cellStyle name="Hyperlink 5293 3" xfId="7236"/>
    <cellStyle name="Hyperlink 5294" xfId="4860"/>
    <cellStyle name="Hyperlink 5294 2" xfId="9579"/>
    <cellStyle name="Hyperlink 5294 3" xfId="7237"/>
    <cellStyle name="Hyperlink 5295" xfId="4861"/>
    <cellStyle name="Hyperlink 5295 2" xfId="9580"/>
    <cellStyle name="Hyperlink 5295 3" xfId="7238"/>
    <cellStyle name="Hyperlink 5296" xfId="4862"/>
    <cellStyle name="Hyperlink 5296 2" xfId="9581"/>
    <cellStyle name="Hyperlink 5296 3" xfId="7239"/>
    <cellStyle name="Hyperlink 5297" xfId="4863"/>
    <cellStyle name="Hyperlink 5297 2" xfId="9582"/>
    <cellStyle name="Hyperlink 5297 3" xfId="7240"/>
    <cellStyle name="Hyperlink 5298" xfId="4864"/>
    <cellStyle name="Hyperlink 5298 2" xfId="9583"/>
    <cellStyle name="Hyperlink 5298 3" xfId="7241"/>
    <cellStyle name="Hyperlink 5299" xfId="4865"/>
    <cellStyle name="Hyperlink 5299 2" xfId="9584"/>
    <cellStyle name="Hyperlink 5299 3" xfId="7242"/>
    <cellStyle name="Hyperlink 53" xfId="4866"/>
    <cellStyle name="Hyperlink 53 2" xfId="9585"/>
    <cellStyle name="Hyperlink 53 3" xfId="7243"/>
    <cellStyle name="Hyperlink 530" xfId="4867"/>
    <cellStyle name="Hyperlink 530 2" xfId="9586"/>
    <cellStyle name="Hyperlink 530 3" xfId="7244"/>
    <cellStyle name="Hyperlink 5300" xfId="4868"/>
    <cellStyle name="Hyperlink 5300 2" xfId="9587"/>
    <cellStyle name="Hyperlink 5300 3" xfId="7245"/>
    <cellStyle name="Hyperlink 5301" xfId="4869"/>
    <cellStyle name="Hyperlink 5301 2" xfId="9588"/>
    <cellStyle name="Hyperlink 5301 3" xfId="7246"/>
    <cellStyle name="Hyperlink 5302" xfId="4870"/>
    <cellStyle name="Hyperlink 5302 2" xfId="9589"/>
    <cellStyle name="Hyperlink 5302 3" xfId="7247"/>
    <cellStyle name="Hyperlink 5303" xfId="4871"/>
    <cellStyle name="Hyperlink 5303 2" xfId="9590"/>
    <cellStyle name="Hyperlink 5303 3" xfId="7248"/>
    <cellStyle name="Hyperlink 5304" xfId="4872"/>
    <cellStyle name="Hyperlink 5304 2" xfId="9591"/>
    <cellStyle name="Hyperlink 5304 3" xfId="7249"/>
    <cellStyle name="Hyperlink 5305" xfId="4873"/>
    <cellStyle name="Hyperlink 5305 2" xfId="9592"/>
    <cellStyle name="Hyperlink 5305 3" xfId="7250"/>
    <cellStyle name="Hyperlink 5306" xfId="4874"/>
    <cellStyle name="Hyperlink 5306 2" xfId="9593"/>
    <cellStyle name="Hyperlink 5306 3" xfId="7251"/>
    <cellStyle name="Hyperlink 5307" xfId="4875"/>
    <cellStyle name="Hyperlink 5307 2" xfId="9594"/>
    <cellStyle name="Hyperlink 5307 3" xfId="7252"/>
    <cellStyle name="Hyperlink 5308" xfId="4876"/>
    <cellStyle name="Hyperlink 5308 2" xfId="9595"/>
    <cellStyle name="Hyperlink 5308 3" xfId="7253"/>
    <cellStyle name="Hyperlink 5309" xfId="4877"/>
    <cellStyle name="Hyperlink 5309 2" xfId="9596"/>
    <cellStyle name="Hyperlink 5309 3" xfId="7254"/>
    <cellStyle name="Hyperlink 531" xfId="4878"/>
    <cellStyle name="Hyperlink 531 2" xfId="9597"/>
    <cellStyle name="Hyperlink 531 3" xfId="7255"/>
    <cellStyle name="Hyperlink 5310" xfId="4879"/>
    <cellStyle name="Hyperlink 5310 2" xfId="9598"/>
    <cellStyle name="Hyperlink 5310 3" xfId="7256"/>
    <cellStyle name="Hyperlink 5311" xfId="4880"/>
    <cellStyle name="Hyperlink 5311 2" xfId="9599"/>
    <cellStyle name="Hyperlink 5311 3" xfId="7257"/>
    <cellStyle name="Hyperlink 5312" xfId="4881"/>
    <cellStyle name="Hyperlink 5312 2" xfId="9600"/>
    <cellStyle name="Hyperlink 5312 3" xfId="7258"/>
    <cellStyle name="Hyperlink 5313" xfId="4882"/>
    <cellStyle name="Hyperlink 5313 2" xfId="9601"/>
    <cellStyle name="Hyperlink 5313 3" xfId="7259"/>
    <cellStyle name="Hyperlink 5314" xfId="4883"/>
    <cellStyle name="Hyperlink 5314 2" xfId="9602"/>
    <cellStyle name="Hyperlink 5314 3" xfId="7260"/>
    <cellStyle name="Hyperlink 5315" xfId="4884"/>
    <cellStyle name="Hyperlink 5315 2" xfId="9603"/>
    <cellStyle name="Hyperlink 5315 3" xfId="7261"/>
    <cellStyle name="Hyperlink 5316" xfId="4885"/>
    <cellStyle name="Hyperlink 5316 2" xfId="9604"/>
    <cellStyle name="Hyperlink 5316 3" xfId="7262"/>
    <cellStyle name="Hyperlink 5317" xfId="4886"/>
    <cellStyle name="Hyperlink 5317 2" xfId="9605"/>
    <cellStyle name="Hyperlink 5317 3" xfId="7263"/>
    <cellStyle name="Hyperlink 5318" xfId="4887"/>
    <cellStyle name="Hyperlink 5318 2" xfId="9606"/>
    <cellStyle name="Hyperlink 5318 3" xfId="7264"/>
    <cellStyle name="Hyperlink 5319" xfId="4888"/>
    <cellStyle name="Hyperlink 5319 2" xfId="9607"/>
    <cellStyle name="Hyperlink 5319 3" xfId="7265"/>
    <cellStyle name="Hyperlink 532" xfId="4889"/>
    <cellStyle name="Hyperlink 532 2" xfId="9608"/>
    <cellStyle name="Hyperlink 532 3" xfId="7266"/>
    <cellStyle name="Hyperlink 5320" xfId="4890"/>
    <cellStyle name="Hyperlink 5320 2" xfId="9609"/>
    <cellStyle name="Hyperlink 5320 3" xfId="7267"/>
    <cellStyle name="Hyperlink 5321" xfId="4891"/>
    <cellStyle name="Hyperlink 5321 2" xfId="9610"/>
    <cellStyle name="Hyperlink 5321 3" xfId="7268"/>
    <cellStyle name="Hyperlink 5322" xfId="4892"/>
    <cellStyle name="Hyperlink 5322 2" xfId="9611"/>
    <cellStyle name="Hyperlink 5322 3" xfId="7269"/>
    <cellStyle name="Hyperlink 5323" xfId="4893"/>
    <cellStyle name="Hyperlink 5323 2" xfId="9612"/>
    <cellStyle name="Hyperlink 5323 3" xfId="7270"/>
    <cellStyle name="Hyperlink 5324" xfId="4894"/>
    <cellStyle name="Hyperlink 5324 2" xfId="9613"/>
    <cellStyle name="Hyperlink 5324 3" xfId="7271"/>
    <cellStyle name="Hyperlink 5325" xfId="4895"/>
    <cellStyle name="Hyperlink 5325 2" xfId="9614"/>
    <cellStyle name="Hyperlink 5325 3" xfId="7272"/>
    <cellStyle name="Hyperlink 5326" xfId="4896"/>
    <cellStyle name="Hyperlink 5326 2" xfId="9615"/>
    <cellStyle name="Hyperlink 5326 3" xfId="7273"/>
    <cellStyle name="Hyperlink 5327" xfId="4897"/>
    <cellStyle name="Hyperlink 5327 2" xfId="9616"/>
    <cellStyle name="Hyperlink 5327 3" xfId="7274"/>
    <cellStyle name="Hyperlink 5328" xfId="4898"/>
    <cellStyle name="Hyperlink 5328 2" xfId="9617"/>
    <cellStyle name="Hyperlink 5328 3" xfId="7275"/>
    <cellStyle name="Hyperlink 5329" xfId="4899"/>
    <cellStyle name="Hyperlink 5329 2" xfId="9618"/>
    <cellStyle name="Hyperlink 5329 3" xfId="7276"/>
    <cellStyle name="Hyperlink 533" xfId="4900"/>
    <cellStyle name="Hyperlink 533 2" xfId="9619"/>
    <cellStyle name="Hyperlink 533 3" xfId="7277"/>
    <cellStyle name="Hyperlink 5330" xfId="4901"/>
    <cellStyle name="Hyperlink 5330 2" xfId="9620"/>
    <cellStyle name="Hyperlink 5330 3" xfId="7278"/>
    <cellStyle name="Hyperlink 5331" xfId="4902"/>
    <cellStyle name="Hyperlink 5331 2" xfId="9621"/>
    <cellStyle name="Hyperlink 5331 3" xfId="7279"/>
    <cellStyle name="Hyperlink 5332" xfId="4903"/>
    <cellStyle name="Hyperlink 5332 2" xfId="9622"/>
    <cellStyle name="Hyperlink 5332 3" xfId="7280"/>
    <cellStyle name="Hyperlink 5333" xfId="4904"/>
    <cellStyle name="Hyperlink 5333 2" xfId="9623"/>
    <cellStyle name="Hyperlink 5333 3" xfId="7281"/>
    <cellStyle name="Hyperlink 5334" xfId="4905"/>
    <cellStyle name="Hyperlink 5334 2" xfId="9624"/>
    <cellStyle name="Hyperlink 5334 3" xfId="7282"/>
    <cellStyle name="Hyperlink 5335" xfId="4906"/>
    <cellStyle name="Hyperlink 5335 2" xfId="9625"/>
    <cellStyle name="Hyperlink 5335 3" xfId="7283"/>
    <cellStyle name="Hyperlink 5336" xfId="4907"/>
    <cellStyle name="Hyperlink 5336 2" xfId="9626"/>
    <cellStyle name="Hyperlink 5336 3" xfId="7284"/>
    <cellStyle name="Hyperlink 5337" xfId="4908"/>
    <cellStyle name="Hyperlink 5337 2" xfId="9627"/>
    <cellStyle name="Hyperlink 5337 3" xfId="7285"/>
    <cellStyle name="Hyperlink 5338" xfId="4909"/>
    <cellStyle name="Hyperlink 5338 2" xfId="9628"/>
    <cellStyle name="Hyperlink 5338 3" xfId="7286"/>
    <cellStyle name="Hyperlink 5339" xfId="4910"/>
    <cellStyle name="Hyperlink 5339 2" xfId="9629"/>
    <cellStyle name="Hyperlink 5339 3" xfId="7287"/>
    <cellStyle name="Hyperlink 534" xfId="4911"/>
    <cellStyle name="Hyperlink 534 2" xfId="9630"/>
    <cellStyle name="Hyperlink 534 3" xfId="7288"/>
    <cellStyle name="Hyperlink 5340" xfId="4912"/>
    <cellStyle name="Hyperlink 5340 2" xfId="9631"/>
    <cellStyle name="Hyperlink 5340 3" xfId="7289"/>
    <cellStyle name="Hyperlink 5341" xfId="4913"/>
    <cellStyle name="Hyperlink 5341 2" xfId="9632"/>
    <cellStyle name="Hyperlink 5341 3" xfId="7290"/>
    <cellStyle name="Hyperlink 5342" xfId="4914"/>
    <cellStyle name="Hyperlink 5342 2" xfId="9633"/>
    <cellStyle name="Hyperlink 5342 3" xfId="7291"/>
    <cellStyle name="Hyperlink 5343" xfId="4915"/>
    <cellStyle name="Hyperlink 5343 2" xfId="9634"/>
    <cellStyle name="Hyperlink 5343 3" xfId="7292"/>
    <cellStyle name="Hyperlink 5344" xfId="4916"/>
    <cellStyle name="Hyperlink 5344 2" xfId="9635"/>
    <cellStyle name="Hyperlink 5344 3" xfId="7293"/>
    <cellStyle name="Hyperlink 5345" xfId="4917"/>
    <cellStyle name="Hyperlink 5345 2" xfId="9636"/>
    <cellStyle name="Hyperlink 5345 3" xfId="7294"/>
    <cellStyle name="Hyperlink 5346" xfId="4918"/>
    <cellStyle name="Hyperlink 5346 2" xfId="9637"/>
    <cellStyle name="Hyperlink 5346 3" xfId="7295"/>
    <cellStyle name="Hyperlink 5347" xfId="4919"/>
    <cellStyle name="Hyperlink 5347 2" xfId="9638"/>
    <cellStyle name="Hyperlink 5347 3" xfId="7296"/>
    <cellStyle name="Hyperlink 5348" xfId="4920"/>
    <cellStyle name="Hyperlink 5348 2" xfId="9639"/>
    <cellStyle name="Hyperlink 5348 3" xfId="7297"/>
    <cellStyle name="Hyperlink 5349" xfId="4921"/>
    <cellStyle name="Hyperlink 5349 2" xfId="9640"/>
    <cellStyle name="Hyperlink 5349 3" xfId="7298"/>
    <cellStyle name="Hyperlink 535" xfId="4922"/>
    <cellStyle name="Hyperlink 535 2" xfId="9641"/>
    <cellStyle name="Hyperlink 535 3" xfId="7299"/>
    <cellStyle name="Hyperlink 5350" xfId="4923"/>
    <cellStyle name="Hyperlink 5350 2" xfId="9642"/>
    <cellStyle name="Hyperlink 5350 3" xfId="7300"/>
    <cellStyle name="Hyperlink 5351" xfId="4924"/>
    <cellStyle name="Hyperlink 5351 2" xfId="9643"/>
    <cellStyle name="Hyperlink 5351 3" xfId="7301"/>
    <cellStyle name="Hyperlink 5352" xfId="4925"/>
    <cellStyle name="Hyperlink 5352 2" xfId="9644"/>
    <cellStyle name="Hyperlink 5352 3" xfId="7302"/>
    <cellStyle name="Hyperlink 5353" xfId="4926"/>
    <cellStyle name="Hyperlink 5353 2" xfId="9645"/>
    <cellStyle name="Hyperlink 5353 3" xfId="7303"/>
    <cellStyle name="Hyperlink 5354" xfId="4927"/>
    <cellStyle name="Hyperlink 5354 2" xfId="9646"/>
    <cellStyle name="Hyperlink 5354 3" xfId="7304"/>
    <cellStyle name="Hyperlink 5355" xfId="4928"/>
    <cellStyle name="Hyperlink 5355 2" xfId="9647"/>
    <cellStyle name="Hyperlink 5355 3" xfId="7305"/>
    <cellStyle name="Hyperlink 5356" xfId="4929"/>
    <cellStyle name="Hyperlink 5356 2" xfId="9648"/>
    <cellStyle name="Hyperlink 5356 3" xfId="7306"/>
    <cellStyle name="Hyperlink 5357" xfId="4930"/>
    <cellStyle name="Hyperlink 5357 2" xfId="9649"/>
    <cellStyle name="Hyperlink 5357 3" xfId="7307"/>
    <cellStyle name="Hyperlink 5358" xfId="4931"/>
    <cellStyle name="Hyperlink 5358 2" xfId="9650"/>
    <cellStyle name="Hyperlink 5358 3" xfId="7308"/>
    <cellStyle name="Hyperlink 5359" xfId="4932"/>
    <cellStyle name="Hyperlink 5359 2" xfId="9651"/>
    <cellStyle name="Hyperlink 5359 3" xfId="7309"/>
    <cellStyle name="Hyperlink 536" xfId="4933"/>
    <cellStyle name="Hyperlink 536 2" xfId="9652"/>
    <cellStyle name="Hyperlink 536 3" xfId="7310"/>
    <cellStyle name="Hyperlink 5360" xfId="4934"/>
    <cellStyle name="Hyperlink 5360 2" xfId="9653"/>
    <cellStyle name="Hyperlink 5360 3" xfId="7311"/>
    <cellStyle name="Hyperlink 5361" xfId="4935"/>
    <cellStyle name="Hyperlink 5361 2" xfId="9654"/>
    <cellStyle name="Hyperlink 5361 3" xfId="7312"/>
    <cellStyle name="Hyperlink 5362" xfId="4936"/>
    <cellStyle name="Hyperlink 5362 2" xfId="9655"/>
    <cellStyle name="Hyperlink 5362 3" xfId="7313"/>
    <cellStyle name="Hyperlink 5363" xfId="4937"/>
    <cellStyle name="Hyperlink 5363 2" xfId="9656"/>
    <cellStyle name="Hyperlink 5363 3" xfId="7314"/>
    <cellStyle name="Hyperlink 5364" xfId="4938"/>
    <cellStyle name="Hyperlink 5364 2" xfId="9657"/>
    <cellStyle name="Hyperlink 5364 3" xfId="7315"/>
    <cellStyle name="Hyperlink 5365" xfId="4939"/>
    <cellStyle name="Hyperlink 5365 2" xfId="9658"/>
    <cellStyle name="Hyperlink 5365 3" xfId="7316"/>
    <cellStyle name="Hyperlink 5366" xfId="4940"/>
    <cellStyle name="Hyperlink 5366 2" xfId="9659"/>
    <cellStyle name="Hyperlink 5366 3" xfId="7317"/>
    <cellStyle name="Hyperlink 5367" xfId="4941"/>
    <cellStyle name="Hyperlink 5367 2" xfId="9660"/>
    <cellStyle name="Hyperlink 5367 3" xfId="7318"/>
    <cellStyle name="Hyperlink 5368" xfId="4942"/>
    <cellStyle name="Hyperlink 5368 2" xfId="9661"/>
    <cellStyle name="Hyperlink 5368 3" xfId="7319"/>
    <cellStyle name="Hyperlink 5369" xfId="4943"/>
    <cellStyle name="Hyperlink 5369 2" xfId="9662"/>
    <cellStyle name="Hyperlink 5369 3" xfId="7320"/>
    <cellStyle name="Hyperlink 537" xfId="4944"/>
    <cellStyle name="Hyperlink 537 2" xfId="9663"/>
    <cellStyle name="Hyperlink 537 3" xfId="7321"/>
    <cellStyle name="Hyperlink 5370" xfId="4945"/>
    <cellStyle name="Hyperlink 5370 2" xfId="9664"/>
    <cellStyle name="Hyperlink 5370 3" xfId="7322"/>
    <cellStyle name="Hyperlink 5371" xfId="4946"/>
    <cellStyle name="Hyperlink 5371 2" xfId="9665"/>
    <cellStyle name="Hyperlink 5371 3" xfId="7323"/>
    <cellStyle name="Hyperlink 5372" xfId="4947"/>
    <cellStyle name="Hyperlink 5372 2" xfId="9666"/>
    <cellStyle name="Hyperlink 5372 3" xfId="7324"/>
    <cellStyle name="Hyperlink 5373" xfId="4948"/>
    <cellStyle name="Hyperlink 5373 2" xfId="9667"/>
    <cellStyle name="Hyperlink 5373 3" xfId="7325"/>
    <cellStyle name="Hyperlink 5374" xfId="4949"/>
    <cellStyle name="Hyperlink 5374 2" xfId="9668"/>
    <cellStyle name="Hyperlink 5374 3" xfId="7326"/>
    <cellStyle name="Hyperlink 5375" xfId="4950"/>
    <cellStyle name="Hyperlink 5375 2" xfId="9669"/>
    <cellStyle name="Hyperlink 5375 3" xfId="7327"/>
    <cellStyle name="Hyperlink 5376" xfId="4951"/>
    <cellStyle name="Hyperlink 5376 2" xfId="9670"/>
    <cellStyle name="Hyperlink 5376 3" xfId="7328"/>
    <cellStyle name="Hyperlink 5377" xfId="4952"/>
    <cellStyle name="Hyperlink 5377 2" xfId="9671"/>
    <cellStyle name="Hyperlink 5377 3" xfId="7329"/>
    <cellStyle name="Hyperlink 5378" xfId="4953"/>
    <cellStyle name="Hyperlink 5378 2" xfId="9672"/>
    <cellStyle name="Hyperlink 5378 3" xfId="7330"/>
    <cellStyle name="Hyperlink 5379" xfId="4954"/>
    <cellStyle name="Hyperlink 5379 2" xfId="9673"/>
    <cellStyle name="Hyperlink 5379 3" xfId="7331"/>
    <cellStyle name="Hyperlink 538" xfId="4955"/>
    <cellStyle name="Hyperlink 538 2" xfId="9674"/>
    <cellStyle name="Hyperlink 538 3" xfId="7332"/>
    <cellStyle name="Hyperlink 5380" xfId="4956"/>
    <cellStyle name="Hyperlink 5380 2" xfId="9675"/>
    <cellStyle name="Hyperlink 5380 3" xfId="7333"/>
    <cellStyle name="Hyperlink 5381" xfId="4957"/>
    <cellStyle name="Hyperlink 5381 2" xfId="9676"/>
    <cellStyle name="Hyperlink 5381 3" xfId="7334"/>
    <cellStyle name="Hyperlink 5382" xfId="4958"/>
    <cellStyle name="Hyperlink 5382 2" xfId="9677"/>
    <cellStyle name="Hyperlink 5382 3" xfId="7335"/>
    <cellStyle name="Hyperlink 5383" xfId="4959"/>
    <cellStyle name="Hyperlink 5383 2" xfId="9678"/>
    <cellStyle name="Hyperlink 5383 3" xfId="7336"/>
    <cellStyle name="Hyperlink 5384" xfId="4960"/>
    <cellStyle name="Hyperlink 5384 2" xfId="9679"/>
    <cellStyle name="Hyperlink 5384 3" xfId="7337"/>
    <cellStyle name="Hyperlink 5385" xfId="4961"/>
    <cellStyle name="Hyperlink 5385 2" xfId="9680"/>
    <cellStyle name="Hyperlink 5385 3" xfId="7338"/>
    <cellStyle name="Hyperlink 5386" xfId="4962"/>
    <cellStyle name="Hyperlink 5386 2" xfId="9681"/>
    <cellStyle name="Hyperlink 5386 3" xfId="7339"/>
    <cellStyle name="Hyperlink 5387" xfId="4963"/>
    <cellStyle name="Hyperlink 5387 2" xfId="9682"/>
    <cellStyle name="Hyperlink 5387 3" xfId="7340"/>
    <cellStyle name="Hyperlink 5388" xfId="4964"/>
    <cellStyle name="Hyperlink 5388 2" xfId="9683"/>
    <cellStyle name="Hyperlink 5388 3" xfId="7341"/>
    <cellStyle name="Hyperlink 5389" xfId="4965"/>
    <cellStyle name="Hyperlink 5389 2" xfId="9684"/>
    <cellStyle name="Hyperlink 5389 3" xfId="7342"/>
    <cellStyle name="Hyperlink 539" xfId="4966"/>
    <cellStyle name="Hyperlink 539 2" xfId="9685"/>
    <cellStyle name="Hyperlink 539 3" xfId="7343"/>
    <cellStyle name="Hyperlink 5390" xfId="4967"/>
    <cellStyle name="Hyperlink 5390 2" xfId="9686"/>
    <cellStyle name="Hyperlink 5390 3" xfId="7344"/>
    <cellStyle name="Hyperlink 5391" xfId="4968"/>
    <cellStyle name="Hyperlink 5391 2" xfId="9687"/>
    <cellStyle name="Hyperlink 5391 3" xfId="7345"/>
    <cellStyle name="Hyperlink 5392" xfId="4969"/>
    <cellStyle name="Hyperlink 5392 2" xfId="9688"/>
    <cellStyle name="Hyperlink 5392 3" xfId="7346"/>
    <cellStyle name="Hyperlink 5393" xfId="4970"/>
    <cellStyle name="Hyperlink 5393 2" xfId="9689"/>
    <cellStyle name="Hyperlink 5393 3" xfId="7347"/>
    <cellStyle name="Hyperlink 5394" xfId="4971"/>
    <cellStyle name="Hyperlink 5394 2" xfId="9690"/>
    <cellStyle name="Hyperlink 5394 3" xfId="7348"/>
    <cellStyle name="Hyperlink 5395" xfId="4972"/>
    <cellStyle name="Hyperlink 5395 2" xfId="9691"/>
    <cellStyle name="Hyperlink 5395 3" xfId="7349"/>
    <cellStyle name="Hyperlink 5396" xfId="4973"/>
    <cellStyle name="Hyperlink 5396 2" xfId="9692"/>
    <cellStyle name="Hyperlink 5396 3" xfId="7350"/>
    <cellStyle name="Hyperlink 5397" xfId="4974"/>
    <cellStyle name="Hyperlink 5397 2" xfId="9693"/>
    <cellStyle name="Hyperlink 5397 3" xfId="7351"/>
    <cellStyle name="Hyperlink 5398" xfId="4975"/>
    <cellStyle name="Hyperlink 5398 2" xfId="9694"/>
    <cellStyle name="Hyperlink 5398 3" xfId="7352"/>
    <cellStyle name="Hyperlink 5399" xfId="4976"/>
    <cellStyle name="Hyperlink 5399 2" xfId="9695"/>
    <cellStyle name="Hyperlink 5399 3" xfId="7353"/>
    <cellStyle name="Hyperlink 54" xfId="4977"/>
    <cellStyle name="Hyperlink 54 2" xfId="9696"/>
    <cellStyle name="Hyperlink 54 3" xfId="7354"/>
    <cellStyle name="Hyperlink 540" xfId="4978"/>
    <cellStyle name="Hyperlink 540 2" xfId="9697"/>
    <cellStyle name="Hyperlink 540 3" xfId="7355"/>
    <cellStyle name="Hyperlink 5400" xfId="4979"/>
    <cellStyle name="Hyperlink 5400 2" xfId="9698"/>
    <cellStyle name="Hyperlink 5400 3" xfId="7356"/>
    <cellStyle name="Hyperlink 5401" xfId="4980"/>
    <cellStyle name="Hyperlink 5401 2" xfId="9699"/>
    <cellStyle name="Hyperlink 5401 3" xfId="7357"/>
    <cellStyle name="Hyperlink 5402" xfId="4981"/>
    <cellStyle name="Hyperlink 5402 2" xfId="9700"/>
    <cellStyle name="Hyperlink 5402 3" xfId="7358"/>
    <cellStyle name="Hyperlink 5403" xfId="4982"/>
    <cellStyle name="Hyperlink 5403 2" xfId="9701"/>
    <cellStyle name="Hyperlink 5403 3" xfId="7359"/>
    <cellStyle name="Hyperlink 5404" xfId="4983"/>
    <cellStyle name="Hyperlink 5404 2" xfId="9702"/>
    <cellStyle name="Hyperlink 5404 3" xfId="7360"/>
    <cellStyle name="Hyperlink 5405" xfId="4984"/>
    <cellStyle name="Hyperlink 5405 2" xfId="9703"/>
    <cellStyle name="Hyperlink 5405 3" xfId="7361"/>
    <cellStyle name="Hyperlink 5406" xfId="4985"/>
    <cellStyle name="Hyperlink 5406 2" xfId="9704"/>
    <cellStyle name="Hyperlink 5406 3" xfId="7362"/>
    <cellStyle name="Hyperlink 5407" xfId="4986"/>
    <cellStyle name="Hyperlink 5407 2" xfId="9705"/>
    <cellStyle name="Hyperlink 5407 3" xfId="7363"/>
    <cellStyle name="Hyperlink 5408" xfId="4987"/>
    <cellStyle name="Hyperlink 5408 2" xfId="9706"/>
    <cellStyle name="Hyperlink 5408 3" xfId="7364"/>
    <cellStyle name="Hyperlink 5409" xfId="4988"/>
    <cellStyle name="Hyperlink 5409 2" xfId="9707"/>
    <cellStyle name="Hyperlink 5409 3" xfId="7365"/>
    <cellStyle name="Hyperlink 541" xfId="4989"/>
    <cellStyle name="Hyperlink 541 2" xfId="9708"/>
    <cellStyle name="Hyperlink 541 3" xfId="7366"/>
    <cellStyle name="Hyperlink 5410" xfId="4990"/>
    <cellStyle name="Hyperlink 5410 2" xfId="9709"/>
    <cellStyle name="Hyperlink 5410 3" xfId="7367"/>
    <cellStyle name="Hyperlink 5411" xfId="4991"/>
    <cellStyle name="Hyperlink 5411 2" xfId="9710"/>
    <cellStyle name="Hyperlink 5411 3" xfId="7368"/>
    <cellStyle name="Hyperlink 5412" xfId="4992"/>
    <cellStyle name="Hyperlink 5412 2" xfId="9711"/>
    <cellStyle name="Hyperlink 5412 3" xfId="7369"/>
    <cellStyle name="Hyperlink 5413" xfId="4993"/>
    <cellStyle name="Hyperlink 5413 2" xfId="9712"/>
    <cellStyle name="Hyperlink 5413 3" xfId="7370"/>
    <cellStyle name="Hyperlink 5414" xfId="4994"/>
    <cellStyle name="Hyperlink 5414 2" xfId="9713"/>
    <cellStyle name="Hyperlink 5414 3" xfId="7371"/>
    <cellStyle name="Hyperlink 5415" xfId="4995"/>
    <cellStyle name="Hyperlink 5415 2" xfId="9714"/>
    <cellStyle name="Hyperlink 5415 3" xfId="7372"/>
    <cellStyle name="Hyperlink 5416" xfId="4996"/>
    <cellStyle name="Hyperlink 5416 2" xfId="9715"/>
    <cellStyle name="Hyperlink 5416 3" xfId="7373"/>
    <cellStyle name="Hyperlink 5417" xfId="4997"/>
    <cellStyle name="Hyperlink 5417 2" xfId="9716"/>
    <cellStyle name="Hyperlink 5417 3" xfId="7374"/>
    <cellStyle name="Hyperlink 5418" xfId="4998"/>
    <cellStyle name="Hyperlink 5418 2" xfId="9717"/>
    <cellStyle name="Hyperlink 5418 3" xfId="7375"/>
    <cellStyle name="Hyperlink 5419" xfId="4999"/>
    <cellStyle name="Hyperlink 5419 2" xfId="9718"/>
    <cellStyle name="Hyperlink 5419 3" xfId="7376"/>
    <cellStyle name="Hyperlink 542" xfId="5000"/>
    <cellStyle name="Hyperlink 542 2" xfId="9719"/>
    <cellStyle name="Hyperlink 542 3" xfId="7377"/>
    <cellStyle name="Hyperlink 5420" xfId="5001"/>
    <cellStyle name="Hyperlink 5420 2" xfId="9720"/>
    <cellStyle name="Hyperlink 5420 3" xfId="7378"/>
    <cellStyle name="Hyperlink 5421" xfId="5002"/>
    <cellStyle name="Hyperlink 5421 2" xfId="9721"/>
    <cellStyle name="Hyperlink 5421 3" xfId="7379"/>
    <cellStyle name="Hyperlink 5422" xfId="5003"/>
    <cellStyle name="Hyperlink 5422 2" xfId="9722"/>
    <cellStyle name="Hyperlink 5422 3" xfId="7380"/>
    <cellStyle name="Hyperlink 5423" xfId="5004"/>
    <cellStyle name="Hyperlink 5423 2" xfId="9723"/>
    <cellStyle name="Hyperlink 5423 3" xfId="7381"/>
    <cellStyle name="Hyperlink 5424" xfId="5005"/>
    <cellStyle name="Hyperlink 5424 2" xfId="9724"/>
    <cellStyle name="Hyperlink 5424 3" xfId="7382"/>
    <cellStyle name="Hyperlink 5425" xfId="5006"/>
    <cellStyle name="Hyperlink 5425 2" xfId="9725"/>
    <cellStyle name="Hyperlink 5425 3" xfId="7383"/>
    <cellStyle name="Hyperlink 5426" xfId="5007"/>
    <cellStyle name="Hyperlink 5426 2" xfId="9726"/>
    <cellStyle name="Hyperlink 5426 3" xfId="7384"/>
    <cellStyle name="Hyperlink 5427" xfId="5008"/>
    <cellStyle name="Hyperlink 5427 2" xfId="9727"/>
    <cellStyle name="Hyperlink 5427 3" xfId="7385"/>
    <cellStyle name="Hyperlink 5428" xfId="5009"/>
    <cellStyle name="Hyperlink 5428 2" xfId="9728"/>
    <cellStyle name="Hyperlink 5428 3" xfId="7386"/>
    <cellStyle name="Hyperlink 5429" xfId="5010"/>
    <cellStyle name="Hyperlink 5429 2" xfId="9729"/>
    <cellStyle name="Hyperlink 5429 3" xfId="7387"/>
    <cellStyle name="Hyperlink 543" xfId="5011"/>
    <cellStyle name="Hyperlink 543 2" xfId="9730"/>
    <cellStyle name="Hyperlink 543 3" xfId="7388"/>
    <cellStyle name="Hyperlink 5430" xfId="5012"/>
    <cellStyle name="Hyperlink 5430 2" xfId="9731"/>
    <cellStyle name="Hyperlink 5430 3" xfId="7389"/>
    <cellStyle name="Hyperlink 5431" xfId="5013"/>
    <cellStyle name="Hyperlink 5431 2" xfId="9732"/>
    <cellStyle name="Hyperlink 5431 3" xfId="7390"/>
    <cellStyle name="Hyperlink 5432" xfId="5014"/>
    <cellStyle name="Hyperlink 5432 2" xfId="9733"/>
    <cellStyle name="Hyperlink 5432 3" xfId="7391"/>
    <cellStyle name="Hyperlink 5433" xfId="5015"/>
    <cellStyle name="Hyperlink 5433 2" xfId="9734"/>
    <cellStyle name="Hyperlink 5433 3" xfId="7392"/>
    <cellStyle name="Hyperlink 5434" xfId="5016"/>
    <cellStyle name="Hyperlink 5434 2" xfId="9735"/>
    <cellStyle name="Hyperlink 5434 3" xfId="7393"/>
    <cellStyle name="Hyperlink 5435" xfId="5017"/>
    <cellStyle name="Hyperlink 5435 2" xfId="9736"/>
    <cellStyle name="Hyperlink 5435 3" xfId="7394"/>
    <cellStyle name="Hyperlink 5436" xfId="5018"/>
    <cellStyle name="Hyperlink 5436 2" xfId="9737"/>
    <cellStyle name="Hyperlink 5436 3" xfId="7395"/>
    <cellStyle name="Hyperlink 5437" xfId="5019"/>
    <cellStyle name="Hyperlink 5437 2" xfId="9738"/>
    <cellStyle name="Hyperlink 5437 3" xfId="7396"/>
    <cellStyle name="Hyperlink 5438" xfId="5020"/>
    <cellStyle name="Hyperlink 5438 2" xfId="9739"/>
    <cellStyle name="Hyperlink 5438 3" xfId="7397"/>
    <cellStyle name="Hyperlink 5439" xfId="5021"/>
    <cellStyle name="Hyperlink 5439 2" xfId="9740"/>
    <cellStyle name="Hyperlink 5439 3" xfId="7398"/>
    <cellStyle name="Hyperlink 544" xfId="5022"/>
    <cellStyle name="Hyperlink 544 2" xfId="9741"/>
    <cellStyle name="Hyperlink 544 3" xfId="7399"/>
    <cellStyle name="Hyperlink 5440" xfId="5023"/>
    <cellStyle name="Hyperlink 5440 2" xfId="9742"/>
    <cellStyle name="Hyperlink 5440 3" xfId="7400"/>
    <cellStyle name="Hyperlink 5441" xfId="5024"/>
    <cellStyle name="Hyperlink 5441 2" xfId="9743"/>
    <cellStyle name="Hyperlink 5441 3" xfId="7401"/>
    <cellStyle name="Hyperlink 5442" xfId="5025"/>
    <cellStyle name="Hyperlink 5442 2" xfId="9744"/>
    <cellStyle name="Hyperlink 5442 3" xfId="7402"/>
    <cellStyle name="Hyperlink 5443" xfId="5026"/>
    <cellStyle name="Hyperlink 5443 2" xfId="9745"/>
    <cellStyle name="Hyperlink 5443 3" xfId="7403"/>
    <cellStyle name="Hyperlink 5444" xfId="5027"/>
    <cellStyle name="Hyperlink 5444 2" xfId="9746"/>
    <cellStyle name="Hyperlink 5444 3" xfId="7404"/>
    <cellStyle name="Hyperlink 5445" xfId="5028"/>
    <cellStyle name="Hyperlink 5445 2" xfId="9747"/>
    <cellStyle name="Hyperlink 5445 3" xfId="7405"/>
    <cellStyle name="Hyperlink 5446" xfId="5029"/>
    <cellStyle name="Hyperlink 5446 2" xfId="9748"/>
    <cellStyle name="Hyperlink 5446 3" xfId="7406"/>
    <cellStyle name="Hyperlink 5447" xfId="5030"/>
    <cellStyle name="Hyperlink 5447 2" xfId="9749"/>
    <cellStyle name="Hyperlink 5447 3" xfId="7407"/>
    <cellStyle name="Hyperlink 5448" xfId="5031"/>
    <cellStyle name="Hyperlink 5448 2" xfId="9750"/>
    <cellStyle name="Hyperlink 5448 3" xfId="7408"/>
    <cellStyle name="Hyperlink 5449" xfId="5032"/>
    <cellStyle name="Hyperlink 5449 2" xfId="9751"/>
    <cellStyle name="Hyperlink 5449 3" xfId="7409"/>
    <cellStyle name="Hyperlink 545" xfId="5033"/>
    <cellStyle name="Hyperlink 545 2" xfId="9752"/>
    <cellStyle name="Hyperlink 545 3" xfId="7410"/>
    <cellStyle name="Hyperlink 5450" xfId="5034"/>
    <cellStyle name="Hyperlink 5450 2" xfId="9753"/>
    <cellStyle name="Hyperlink 5450 3" xfId="7411"/>
    <cellStyle name="Hyperlink 5451" xfId="5035"/>
    <cellStyle name="Hyperlink 5451 2" xfId="9754"/>
    <cellStyle name="Hyperlink 5451 3" xfId="7412"/>
    <cellStyle name="Hyperlink 5452" xfId="5036"/>
    <cellStyle name="Hyperlink 5452 2" xfId="9755"/>
    <cellStyle name="Hyperlink 5452 3" xfId="7413"/>
    <cellStyle name="Hyperlink 5453" xfId="5037"/>
    <cellStyle name="Hyperlink 5453 2" xfId="9756"/>
    <cellStyle name="Hyperlink 5453 3" xfId="7414"/>
    <cellStyle name="Hyperlink 5454" xfId="5038"/>
    <cellStyle name="Hyperlink 5454 2" xfId="9757"/>
    <cellStyle name="Hyperlink 5454 3" xfId="7415"/>
    <cellStyle name="Hyperlink 5455" xfId="5039"/>
    <cellStyle name="Hyperlink 5455 2" xfId="9758"/>
    <cellStyle name="Hyperlink 5455 3" xfId="7416"/>
    <cellStyle name="Hyperlink 5456" xfId="5040"/>
    <cellStyle name="Hyperlink 5456 2" xfId="9759"/>
    <cellStyle name="Hyperlink 5456 3" xfId="7417"/>
    <cellStyle name="Hyperlink 5457" xfId="5041"/>
    <cellStyle name="Hyperlink 5457 2" xfId="9760"/>
    <cellStyle name="Hyperlink 5457 3" xfId="7418"/>
    <cellStyle name="Hyperlink 5458" xfId="5042"/>
    <cellStyle name="Hyperlink 5458 2" xfId="9761"/>
    <cellStyle name="Hyperlink 5458 3" xfId="7419"/>
    <cellStyle name="Hyperlink 5459" xfId="5043"/>
    <cellStyle name="Hyperlink 5459 2" xfId="9762"/>
    <cellStyle name="Hyperlink 5459 3" xfId="7420"/>
    <cellStyle name="Hyperlink 546" xfId="5044"/>
    <cellStyle name="Hyperlink 546 2" xfId="9763"/>
    <cellStyle name="Hyperlink 546 3" xfId="7421"/>
    <cellStyle name="Hyperlink 5460" xfId="5045"/>
    <cellStyle name="Hyperlink 5460 2" xfId="9764"/>
    <cellStyle name="Hyperlink 5460 3" xfId="7422"/>
    <cellStyle name="Hyperlink 5461" xfId="5046"/>
    <cellStyle name="Hyperlink 5461 2" xfId="9765"/>
    <cellStyle name="Hyperlink 5461 3" xfId="7423"/>
    <cellStyle name="Hyperlink 5462" xfId="5047"/>
    <cellStyle name="Hyperlink 5462 2" xfId="9766"/>
    <cellStyle name="Hyperlink 5462 3" xfId="7424"/>
    <cellStyle name="Hyperlink 5463" xfId="5048"/>
    <cellStyle name="Hyperlink 5463 2" xfId="9767"/>
    <cellStyle name="Hyperlink 5463 3" xfId="7425"/>
    <cellStyle name="Hyperlink 5464" xfId="5049"/>
    <cellStyle name="Hyperlink 5464 2" xfId="9768"/>
    <cellStyle name="Hyperlink 5464 3" xfId="7426"/>
    <cellStyle name="Hyperlink 5465" xfId="5050"/>
    <cellStyle name="Hyperlink 5465 2" xfId="9769"/>
    <cellStyle name="Hyperlink 5465 3" xfId="7427"/>
    <cellStyle name="Hyperlink 5466" xfId="5051"/>
    <cellStyle name="Hyperlink 5466 2" xfId="9770"/>
    <cellStyle name="Hyperlink 5466 3" xfId="7428"/>
    <cellStyle name="Hyperlink 5467" xfId="5052"/>
    <cellStyle name="Hyperlink 5467 2" xfId="9771"/>
    <cellStyle name="Hyperlink 5467 3" xfId="7429"/>
    <cellStyle name="Hyperlink 5468" xfId="5053"/>
    <cellStyle name="Hyperlink 5468 2" xfId="9772"/>
    <cellStyle name="Hyperlink 5468 3" xfId="7430"/>
    <cellStyle name="Hyperlink 5469" xfId="5054"/>
    <cellStyle name="Hyperlink 5469 2" xfId="9773"/>
    <cellStyle name="Hyperlink 5469 3" xfId="7431"/>
    <cellStyle name="Hyperlink 547" xfId="5055"/>
    <cellStyle name="Hyperlink 547 2" xfId="9774"/>
    <cellStyle name="Hyperlink 547 3" xfId="7432"/>
    <cellStyle name="Hyperlink 5470" xfId="5056"/>
    <cellStyle name="Hyperlink 5470 2" xfId="9775"/>
    <cellStyle name="Hyperlink 5470 3" xfId="7433"/>
    <cellStyle name="Hyperlink 5471" xfId="5057"/>
    <cellStyle name="Hyperlink 5471 2" xfId="9776"/>
    <cellStyle name="Hyperlink 5471 3" xfId="7434"/>
    <cellStyle name="Hyperlink 5472" xfId="5058"/>
    <cellStyle name="Hyperlink 5472 2" xfId="9777"/>
    <cellStyle name="Hyperlink 5472 3" xfId="7435"/>
    <cellStyle name="Hyperlink 5473" xfId="5059"/>
    <cellStyle name="Hyperlink 5473 2" xfId="9778"/>
    <cellStyle name="Hyperlink 5473 3" xfId="7436"/>
    <cellStyle name="Hyperlink 5474" xfId="5060"/>
    <cellStyle name="Hyperlink 5474 2" xfId="9779"/>
    <cellStyle name="Hyperlink 5474 3" xfId="7437"/>
    <cellStyle name="Hyperlink 5475" xfId="5061"/>
    <cellStyle name="Hyperlink 5475 2" xfId="9780"/>
    <cellStyle name="Hyperlink 5475 3" xfId="7438"/>
    <cellStyle name="Hyperlink 5476" xfId="5062"/>
    <cellStyle name="Hyperlink 5476 2" xfId="9781"/>
    <cellStyle name="Hyperlink 5476 3" xfId="7439"/>
    <cellStyle name="Hyperlink 5477" xfId="5063"/>
    <cellStyle name="Hyperlink 5477 2" xfId="9782"/>
    <cellStyle name="Hyperlink 5477 3" xfId="7440"/>
    <cellStyle name="Hyperlink 5478" xfId="5064"/>
    <cellStyle name="Hyperlink 5478 2" xfId="9783"/>
    <cellStyle name="Hyperlink 5478 3" xfId="7441"/>
    <cellStyle name="Hyperlink 5479" xfId="5065"/>
    <cellStyle name="Hyperlink 5479 2" xfId="9784"/>
    <cellStyle name="Hyperlink 5479 3" xfId="7442"/>
    <cellStyle name="Hyperlink 548" xfId="5066"/>
    <cellStyle name="Hyperlink 548 2" xfId="9785"/>
    <cellStyle name="Hyperlink 548 3" xfId="7443"/>
    <cellStyle name="Hyperlink 5480" xfId="5067"/>
    <cellStyle name="Hyperlink 5480 2" xfId="9786"/>
    <cellStyle name="Hyperlink 5480 3" xfId="7444"/>
    <cellStyle name="Hyperlink 5481" xfId="5068"/>
    <cellStyle name="Hyperlink 5481 2" xfId="9787"/>
    <cellStyle name="Hyperlink 5481 3" xfId="7445"/>
    <cellStyle name="Hyperlink 5482" xfId="5069"/>
    <cellStyle name="Hyperlink 5482 2" xfId="9788"/>
    <cellStyle name="Hyperlink 5482 3" xfId="7446"/>
    <cellStyle name="Hyperlink 5483" xfId="5070"/>
    <cellStyle name="Hyperlink 5483 2" xfId="9789"/>
    <cellStyle name="Hyperlink 5483 3" xfId="7447"/>
    <cellStyle name="Hyperlink 5484" xfId="5071"/>
    <cellStyle name="Hyperlink 5484 2" xfId="9790"/>
    <cellStyle name="Hyperlink 5484 3" xfId="7448"/>
    <cellStyle name="Hyperlink 5485" xfId="5072"/>
    <cellStyle name="Hyperlink 5485 2" xfId="9791"/>
    <cellStyle name="Hyperlink 5485 3" xfId="7449"/>
    <cellStyle name="Hyperlink 5486" xfId="5073"/>
    <cellStyle name="Hyperlink 5486 2" xfId="9792"/>
    <cellStyle name="Hyperlink 5486 3" xfId="7450"/>
    <cellStyle name="Hyperlink 5487" xfId="5074"/>
    <cellStyle name="Hyperlink 5487 2" xfId="9793"/>
    <cellStyle name="Hyperlink 5487 3" xfId="7451"/>
    <cellStyle name="Hyperlink 5488" xfId="5075"/>
    <cellStyle name="Hyperlink 5488 2" xfId="9794"/>
    <cellStyle name="Hyperlink 5488 3" xfId="7452"/>
    <cellStyle name="Hyperlink 5489" xfId="5076"/>
    <cellStyle name="Hyperlink 5489 2" xfId="9795"/>
    <cellStyle name="Hyperlink 5489 3" xfId="7453"/>
    <cellStyle name="Hyperlink 549" xfId="5077"/>
    <cellStyle name="Hyperlink 549 2" xfId="9796"/>
    <cellStyle name="Hyperlink 549 3" xfId="7454"/>
    <cellStyle name="Hyperlink 5490" xfId="5078"/>
    <cellStyle name="Hyperlink 5490 2" xfId="9797"/>
    <cellStyle name="Hyperlink 5490 3" xfId="7455"/>
    <cellStyle name="Hyperlink 5491" xfId="5079"/>
    <cellStyle name="Hyperlink 5491 2" xfId="9798"/>
    <cellStyle name="Hyperlink 5491 3" xfId="7456"/>
    <cellStyle name="Hyperlink 5492" xfId="5080"/>
    <cellStyle name="Hyperlink 5492 2" xfId="9799"/>
    <cellStyle name="Hyperlink 5492 3" xfId="7457"/>
    <cellStyle name="Hyperlink 5493" xfId="5081"/>
    <cellStyle name="Hyperlink 5493 2" xfId="9800"/>
    <cellStyle name="Hyperlink 5493 3" xfId="7458"/>
    <cellStyle name="Hyperlink 5494" xfId="5082"/>
    <cellStyle name="Hyperlink 5494 2" xfId="9801"/>
    <cellStyle name="Hyperlink 5494 3" xfId="7459"/>
    <cellStyle name="Hyperlink 5495" xfId="5083"/>
    <cellStyle name="Hyperlink 5495 2" xfId="9802"/>
    <cellStyle name="Hyperlink 5495 3" xfId="7460"/>
    <cellStyle name="Hyperlink 5496" xfId="5084"/>
    <cellStyle name="Hyperlink 5496 2" xfId="9803"/>
    <cellStyle name="Hyperlink 5496 3" xfId="7461"/>
    <cellStyle name="Hyperlink 5497" xfId="5085"/>
    <cellStyle name="Hyperlink 5497 2" xfId="9804"/>
    <cellStyle name="Hyperlink 5497 3" xfId="7462"/>
    <cellStyle name="Hyperlink 5498" xfId="5086"/>
    <cellStyle name="Hyperlink 5498 2" xfId="9805"/>
    <cellStyle name="Hyperlink 5498 3" xfId="7463"/>
    <cellStyle name="Hyperlink 5499" xfId="5087"/>
    <cellStyle name="Hyperlink 5499 2" xfId="9806"/>
    <cellStyle name="Hyperlink 5499 3" xfId="7464"/>
    <cellStyle name="Hyperlink 55" xfId="5088"/>
    <cellStyle name="Hyperlink 55 2" xfId="9807"/>
    <cellStyle name="Hyperlink 55 3" xfId="7465"/>
    <cellStyle name="Hyperlink 550" xfId="5089"/>
    <cellStyle name="Hyperlink 550 2" xfId="9808"/>
    <cellStyle name="Hyperlink 550 3" xfId="7466"/>
    <cellStyle name="Hyperlink 5500" xfId="5090"/>
    <cellStyle name="Hyperlink 5500 2" xfId="9809"/>
    <cellStyle name="Hyperlink 5500 3" xfId="7467"/>
    <cellStyle name="Hyperlink 5501" xfId="5091"/>
    <cellStyle name="Hyperlink 5501 2" xfId="9810"/>
    <cellStyle name="Hyperlink 5501 3" xfId="7468"/>
    <cellStyle name="Hyperlink 5502" xfId="5092"/>
    <cellStyle name="Hyperlink 5502 2" xfId="9811"/>
    <cellStyle name="Hyperlink 5502 3" xfId="7469"/>
    <cellStyle name="Hyperlink 5503" xfId="5093"/>
    <cellStyle name="Hyperlink 5503 2" xfId="9812"/>
    <cellStyle name="Hyperlink 5503 3" xfId="7470"/>
    <cellStyle name="Hyperlink 5504" xfId="5094"/>
    <cellStyle name="Hyperlink 5504 2" xfId="9813"/>
    <cellStyle name="Hyperlink 5504 3" xfId="7471"/>
    <cellStyle name="Hyperlink 5505" xfId="5095"/>
    <cellStyle name="Hyperlink 5505 2" xfId="9814"/>
    <cellStyle name="Hyperlink 5505 3" xfId="7472"/>
    <cellStyle name="Hyperlink 5506" xfId="5096"/>
    <cellStyle name="Hyperlink 5506 2" xfId="9815"/>
    <cellStyle name="Hyperlink 5506 3" xfId="7473"/>
    <cellStyle name="Hyperlink 5507" xfId="5097"/>
    <cellStyle name="Hyperlink 5507 2" xfId="9816"/>
    <cellStyle name="Hyperlink 5507 3" xfId="7474"/>
    <cellStyle name="Hyperlink 5508" xfId="5098"/>
    <cellStyle name="Hyperlink 5508 2" xfId="9817"/>
    <cellStyle name="Hyperlink 5508 3" xfId="7475"/>
    <cellStyle name="Hyperlink 5509" xfId="5099"/>
    <cellStyle name="Hyperlink 5509 2" xfId="9818"/>
    <cellStyle name="Hyperlink 5509 3" xfId="7476"/>
    <cellStyle name="Hyperlink 551" xfId="5100"/>
    <cellStyle name="Hyperlink 551 2" xfId="9819"/>
    <cellStyle name="Hyperlink 551 3" xfId="7477"/>
    <cellStyle name="Hyperlink 5510" xfId="5101"/>
    <cellStyle name="Hyperlink 5510 2" xfId="9820"/>
    <cellStyle name="Hyperlink 5510 3" xfId="7478"/>
    <cellStyle name="Hyperlink 5511" xfId="5102"/>
    <cellStyle name="Hyperlink 5511 2" xfId="9821"/>
    <cellStyle name="Hyperlink 5511 3" xfId="7479"/>
    <cellStyle name="Hyperlink 5512" xfId="5103"/>
    <cellStyle name="Hyperlink 5512 2" xfId="9822"/>
    <cellStyle name="Hyperlink 5512 3" xfId="7480"/>
    <cellStyle name="Hyperlink 5513" xfId="5104"/>
    <cellStyle name="Hyperlink 5513 2" xfId="9823"/>
    <cellStyle name="Hyperlink 5513 3" xfId="7481"/>
    <cellStyle name="Hyperlink 5514" xfId="5105"/>
    <cellStyle name="Hyperlink 5514 2" xfId="9824"/>
    <cellStyle name="Hyperlink 5514 3" xfId="7482"/>
    <cellStyle name="Hyperlink 5515" xfId="5106"/>
    <cellStyle name="Hyperlink 5515 2" xfId="9825"/>
    <cellStyle name="Hyperlink 5515 3" xfId="7483"/>
    <cellStyle name="Hyperlink 5516" xfId="5107"/>
    <cellStyle name="Hyperlink 5516 2" xfId="9826"/>
    <cellStyle name="Hyperlink 5516 3" xfId="7484"/>
    <cellStyle name="Hyperlink 5517" xfId="5108"/>
    <cellStyle name="Hyperlink 5517 2" xfId="9827"/>
    <cellStyle name="Hyperlink 5517 3" xfId="7485"/>
    <cellStyle name="Hyperlink 5518" xfId="5109"/>
    <cellStyle name="Hyperlink 5518 2" xfId="9828"/>
    <cellStyle name="Hyperlink 5518 3" xfId="7486"/>
    <cellStyle name="Hyperlink 5519" xfId="5110"/>
    <cellStyle name="Hyperlink 5519 2" xfId="9829"/>
    <cellStyle name="Hyperlink 5519 3" xfId="7487"/>
    <cellStyle name="Hyperlink 552" xfId="5111"/>
    <cellStyle name="Hyperlink 552 2" xfId="9830"/>
    <cellStyle name="Hyperlink 552 3" xfId="7488"/>
    <cellStyle name="Hyperlink 5520" xfId="5112"/>
    <cellStyle name="Hyperlink 5520 2" xfId="9831"/>
    <cellStyle name="Hyperlink 5520 3" xfId="7489"/>
    <cellStyle name="Hyperlink 5521" xfId="5113"/>
    <cellStyle name="Hyperlink 5521 2" xfId="9832"/>
    <cellStyle name="Hyperlink 5521 3" xfId="7490"/>
    <cellStyle name="Hyperlink 5522" xfId="5114"/>
    <cellStyle name="Hyperlink 5522 2" xfId="9833"/>
    <cellStyle name="Hyperlink 5522 3" xfId="7491"/>
    <cellStyle name="Hyperlink 5523" xfId="5115"/>
    <cellStyle name="Hyperlink 5523 2" xfId="9834"/>
    <cellStyle name="Hyperlink 5523 3" xfId="7492"/>
    <cellStyle name="Hyperlink 5524" xfId="5116"/>
    <cellStyle name="Hyperlink 5524 2" xfId="9835"/>
    <cellStyle name="Hyperlink 5524 3" xfId="7493"/>
    <cellStyle name="Hyperlink 5525" xfId="5117"/>
    <cellStyle name="Hyperlink 5525 2" xfId="9836"/>
    <cellStyle name="Hyperlink 5525 3" xfId="7494"/>
    <cellStyle name="Hyperlink 5526" xfId="5118"/>
    <cellStyle name="Hyperlink 5526 2" xfId="9837"/>
    <cellStyle name="Hyperlink 5526 3" xfId="7495"/>
    <cellStyle name="Hyperlink 5527" xfId="5119"/>
    <cellStyle name="Hyperlink 5527 2" xfId="9838"/>
    <cellStyle name="Hyperlink 5527 3" xfId="7496"/>
    <cellStyle name="Hyperlink 5528" xfId="5120"/>
    <cellStyle name="Hyperlink 5528 2" xfId="9839"/>
    <cellStyle name="Hyperlink 5528 3" xfId="7497"/>
    <cellStyle name="Hyperlink 5529" xfId="5121"/>
    <cellStyle name="Hyperlink 5529 2" xfId="9840"/>
    <cellStyle name="Hyperlink 5529 3" xfId="7498"/>
    <cellStyle name="Hyperlink 553" xfId="5122"/>
    <cellStyle name="Hyperlink 553 2" xfId="9841"/>
    <cellStyle name="Hyperlink 553 3" xfId="7499"/>
    <cellStyle name="Hyperlink 5530" xfId="5123"/>
    <cellStyle name="Hyperlink 5530 2" xfId="9842"/>
    <cellStyle name="Hyperlink 5530 3" xfId="7500"/>
    <cellStyle name="Hyperlink 5531" xfId="5124"/>
    <cellStyle name="Hyperlink 5531 2" xfId="9843"/>
    <cellStyle name="Hyperlink 5531 3" xfId="7501"/>
    <cellStyle name="Hyperlink 5532" xfId="5125"/>
    <cellStyle name="Hyperlink 5532 2" xfId="9844"/>
    <cellStyle name="Hyperlink 5532 3" xfId="7502"/>
    <cellStyle name="Hyperlink 5533" xfId="5126"/>
    <cellStyle name="Hyperlink 5533 2" xfId="9845"/>
    <cellStyle name="Hyperlink 5533 3" xfId="7503"/>
    <cellStyle name="Hyperlink 5534" xfId="5127"/>
    <cellStyle name="Hyperlink 5534 2" xfId="9846"/>
    <cellStyle name="Hyperlink 5534 3" xfId="7504"/>
    <cellStyle name="Hyperlink 5535" xfId="5128"/>
    <cellStyle name="Hyperlink 5535 2" xfId="9847"/>
    <cellStyle name="Hyperlink 5535 3" xfId="7505"/>
    <cellStyle name="Hyperlink 5536" xfId="5129"/>
    <cellStyle name="Hyperlink 5536 2" xfId="9848"/>
    <cellStyle name="Hyperlink 5536 3" xfId="7506"/>
    <cellStyle name="Hyperlink 5537" xfId="5130"/>
    <cellStyle name="Hyperlink 5537 2" xfId="9849"/>
    <cellStyle name="Hyperlink 5537 3" xfId="7507"/>
    <cellStyle name="Hyperlink 5538" xfId="5131"/>
    <cellStyle name="Hyperlink 5538 2" xfId="9850"/>
    <cellStyle name="Hyperlink 5538 3" xfId="7508"/>
    <cellStyle name="Hyperlink 5539" xfId="5132"/>
    <cellStyle name="Hyperlink 5539 2" xfId="9851"/>
    <cellStyle name="Hyperlink 5539 3" xfId="7509"/>
    <cellStyle name="Hyperlink 554" xfId="5133"/>
    <cellStyle name="Hyperlink 554 2" xfId="9852"/>
    <cellStyle name="Hyperlink 554 3" xfId="7510"/>
    <cellStyle name="Hyperlink 5540" xfId="5134"/>
    <cellStyle name="Hyperlink 5540 2" xfId="9853"/>
    <cellStyle name="Hyperlink 5540 3" xfId="7511"/>
    <cellStyle name="Hyperlink 5541" xfId="5135"/>
    <cellStyle name="Hyperlink 5541 2" xfId="9854"/>
    <cellStyle name="Hyperlink 5541 3" xfId="7512"/>
    <cellStyle name="Hyperlink 5542" xfId="5136"/>
    <cellStyle name="Hyperlink 5542 2" xfId="9855"/>
    <cellStyle name="Hyperlink 5542 3" xfId="7513"/>
    <cellStyle name="Hyperlink 5543" xfId="5137"/>
    <cellStyle name="Hyperlink 5543 2" xfId="9856"/>
    <cellStyle name="Hyperlink 5543 3" xfId="7514"/>
    <cellStyle name="Hyperlink 5544" xfId="5138"/>
    <cellStyle name="Hyperlink 5544 2" xfId="9857"/>
    <cellStyle name="Hyperlink 5544 3" xfId="7515"/>
    <cellStyle name="Hyperlink 5545" xfId="5139"/>
    <cellStyle name="Hyperlink 5545 2" xfId="9858"/>
    <cellStyle name="Hyperlink 5545 3" xfId="7516"/>
    <cellStyle name="Hyperlink 5546" xfId="5140"/>
    <cellStyle name="Hyperlink 5546 2" xfId="9859"/>
    <cellStyle name="Hyperlink 5546 3" xfId="7517"/>
    <cellStyle name="Hyperlink 5547" xfId="5141"/>
    <cellStyle name="Hyperlink 5547 2" xfId="9860"/>
    <cellStyle name="Hyperlink 5547 3" xfId="7518"/>
    <cellStyle name="Hyperlink 5548" xfId="5142"/>
    <cellStyle name="Hyperlink 5548 2" xfId="9861"/>
    <cellStyle name="Hyperlink 5548 3" xfId="7519"/>
    <cellStyle name="Hyperlink 5549" xfId="5143"/>
    <cellStyle name="Hyperlink 5549 2" xfId="9862"/>
    <cellStyle name="Hyperlink 5549 3" xfId="7520"/>
    <cellStyle name="Hyperlink 555" xfId="5144"/>
    <cellStyle name="Hyperlink 555 2" xfId="9863"/>
    <cellStyle name="Hyperlink 555 3" xfId="7521"/>
    <cellStyle name="Hyperlink 5550" xfId="5145"/>
    <cellStyle name="Hyperlink 5550 2" xfId="9864"/>
    <cellStyle name="Hyperlink 5550 3" xfId="7522"/>
    <cellStyle name="Hyperlink 5551" xfId="5146"/>
    <cellStyle name="Hyperlink 5551 2" xfId="9865"/>
    <cellStyle name="Hyperlink 5551 3" xfId="7523"/>
    <cellStyle name="Hyperlink 5552" xfId="5147"/>
    <cellStyle name="Hyperlink 5552 2" xfId="9866"/>
    <cellStyle name="Hyperlink 5552 3" xfId="7524"/>
    <cellStyle name="Hyperlink 5553" xfId="5148"/>
    <cellStyle name="Hyperlink 5553 2" xfId="9867"/>
    <cellStyle name="Hyperlink 5553 3" xfId="7525"/>
    <cellStyle name="Hyperlink 5554" xfId="5149"/>
    <cellStyle name="Hyperlink 5554 2" xfId="9868"/>
    <cellStyle name="Hyperlink 5554 3" xfId="7526"/>
    <cellStyle name="Hyperlink 5555" xfId="5150"/>
    <cellStyle name="Hyperlink 5555 2" xfId="9869"/>
    <cellStyle name="Hyperlink 5555 3" xfId="7527"/>
    <cellStyle name="Hyperlink 5556" xfId="5151"/>
    <cellStyle name="Hyperlink 5556 2" xfId="9870"/>
    <cellStyle name="Hyperlink 5556 3" xfId="7528"/>
    <cellStyle name="Hyperlink 5557" xfId="5152"/>
    <cellStyle name="Hyperlink 5557 2" xfId="9871"/>
    <cellStyle name="Hyperlink 5557 3" xfId="7529"/>
    <cellStyle name="Hyperlink 5558" xfId="5153"/>
    <cellStyle name="Hyperlink 5558 2" xfId="9872"/>
    <cellStyle name="Hyperlink 5558 3" xfId="7530"/>
    <cellStyle name="Hyperlink 5559" xfId="5154"/>
    <cellStyle name="Hyperlink 5559 2" xfId="9873"/>
    <cellStyle name="Hyperlink 5559 3" xfId="7531"/>
    <cellStyle name="Hyperlink 556" xfId="5155"/>
    <cellStyle name="Hyperlink 556 2" xfId="9874"/>
    <cellStyle name="Hyperlink 556 3" xfId="7532"/>
    <cellStyle name="Hyperlink 5560" xfId="5156"/>
    <cellStyle name="Hyperlink 5560 2" xfId="9875"/>
    <cellStyle name="Hyperlink 5560 3" xfId="7533"/>
    <cellStyle name="Hyperlink 5561" xfId="5157"/>
    <cellStyle name="Hyperlink 5561 2" xfId="9876"/>
    <cellStyle name="Hyperlink 5561 3" xfId="7534"/>
    <cellStyle name="Hyperlink 5562" xfId="5158"/>
    <cellStyle name="Hyperlink 5562 2" xfId="9877"/>
    <cellStyle name="Hyperlink 5562 3" xfId="7535"/>
    <cellStyle name="Hyperlink 5563" xfId="5159"/>
    <cellStyle name="Hyperlink 5563 2" xfId="9878"/>
    <cellStyle name="Hyperlink 5563 3" xfId="7536"/>
    <cellStyle name="Hyperlink 5564" xfId="5160"/>
    <cellStyle name="Hyperlink 5564 2" xfId="9879"/>
    <cellStyle name="Hyperlink 5564 3" xfId="7537"/>
    <cellStyle name="Hyperlink 5565" xfId="5161"/>
    <cellStyle name="Hyperlink 5565 2" xfId="9880"/>
    <cellStyle name="Hyperlink 5565 3" xfId="7538"/>
    <cellStyle name="Hyperlink 5566" xfId="5162"/>
    <cellStyle name="Hyperlink 5566 2" xfId="9881"/>
    <cellStyle name="Hyperlink 5566 3" xfId="7539"/>
    <cellStyle name="Hyperlink 5567" xfId="5163"/>
    <cellStyle name="Hyperlink 5567 2" xfId="9882"/>
    <cellStyle name="Hyperlink 5567 3" xfId="7540"/>
    <cellStyle name="Hyperlink 5568" xfId="5164"/>
    <cellStyle name="Hyperlink 5568 2" xfId="9883"/>
    <cellStyle name="Hyperlink 5568 3" xfId="7541"/>
    <cellStyle name="Hyperlink 5569" xfId="5165"/>
    <cellStyle name="Hyperlink 5569 2" xfId="9884"/>
    <cellStyle name="Hyperlink 5569 3" xfId="7542"/>
    <cellStyle name="Hyperlink 557" xfId="5166"/>
    <cellStyle name="Hyperlink 557 2" xfId="9885"/>
    <cellStyle name="Hyperlink 557 3" xfId="7543"/>
    <cellStyle name="Hyperlink 5570" xfId="5167"/>
    <cellStyle name="Hyperlink 5570 2" xfId="9886"/>
    <cellStyle name="Hyperlink 5570 3" xfId="7544"/>
    <cellStyle name="Hyperlink 5571" xfId="5168"/>
    <cellStyle name="Hyperlink 5571 2" xfId="9887"/>
    <cellStyle name="Hyperlink 5571 3" xfId="7545"/>
    <cellStyle name="Hyperlink 5572" xfId="5169"/>
    <cellStyle name="Hyperlink 5572 2" xfId="9888"/>
    <cellStyle name="Hyperlink 5572 3" xfId="7546"/>
    <cellStyle name="Hyperlink 5573" xfId="5170"/>
    <cellStyle name="Hyperlink 5573 2" xfId="9889"/>
    <cellStyle name="Hyperlink 5573 3" xfId="7547"/>
    <cellStyle name="Hyperlink 5574" xfId="5171"/>
    <cellStyle name="Hyperlink 5574 2" xfId="9890"/>
    <cellStyle name="Hyperlink 5574 3" xfId="7548"/>
    <cellStyle name="Hyperlink 5575" xfId="5172"/>
    <cellStyle name="Hyperlink 5575 2" xfId="9891"/>
    <cellStyle name="Hyperlink 5575 3" xfId="7549"/>
    <cellStyle name="Hyperlink 5576" xfId="5173"/>
    <cellStyle name="Hyperlink 5576 2" xfId="9892"/>
    <cellStyle name="Hyperlink 5576 3" xfId="7550"/>
    <cellStyle name="Hyperlink 5577" xfId="5174"/>
    <cellStyle name="Hyperlink 5577 2" xfId="9893"/>
    <cellStyle name="Hyperlink 5577 3" xfId="7551"/>
    <cellStyle name="Hyperlink 5578" xfId="5175"/>
    <cellStyle name="Hyperlink 5578 2" xfId="9894"/>
    <cellStyle name="Hyperlink 5578 3" xfId="7552"/>
    <cellStyle name="Hyperlink 5579" xfId="5176"/>
    <cellStyle name="Hyperlink 5579 2" xfId="9895"/>
    <cellStyle name="Hyperlink 5579 3" xfId="7553"/>
    <cellStyle name="Hyperlink 558" xfId="5177"/>
    <cellStyle name="Hyperlink 558 2" xfId="9896"/>
    <cellStyle name="Hyperlink 558 3" xfId="7554"/>
    <cellStyle name="Hyperlink 5580" xfId="5178"/>
    <cellStyle name="Hyperlink 5580 2" xfId="9897"/>
    <cellStyle name="Hyperlink 5580 3" xfId="7555"/>
    <cellStyle name="Hyperlink 5581" xfId="5179"/>
    <cellStyle name="Hyperlink 5581 2" xfId="9898"/>
    <cellStyle name="Hyperlink 5581 3" xfId="7556"/>
    <cellStyle name="Hyperlink 5582" xfId="5180"/>
    <cellStyle name="Hyperlink 5582 2" xfId="9899"/>
    <cellStyle name="Hyperlink 5582 3" xfId="7557"/>
    <cellStyle name="Hyperlink 5583" xfId="5181"/>
    <cellStyle name="Hyperlink 5583 2" xfId="9900"/>
    <cellStyle name="Hyperlink 5583 3" xfId="7558"/>
    <cellStyle name="Hyperlink 5584" xfId="5182"/>
    <cellStyle name="Hyperlink 5584 2" xfId="9901"/>
    <cellStyle name="Hyperlink 5584 3" xfId="7559"/>
    <cellStyle name="Hyperlink 5585" xfId="5183"/>
    <cellStyle name="Hyperlink 5585 2" xfId="9902"/>
    <cellStyle name="Hyperlink 5585 3" xfId="7560"/>
    <cellStyle name="Hyperlink 5586" xfId="5184"/>
    <cellStyle name="Hyperlink 5586 2" xfId="9903"/>
    <cellStyle name="Hyperlink 5586 3" xfId="7561"/>
    <cellStyle name="Hyperlink 5587" xfId="5185"/>
    <cellStyle name="Hyperlink 5587 2" xfId="9904"/>
    <cellStyle name="Hyperlink 5587 3" xfId="7562"/>
    <cellStyle name="Hyperlink 5588" xfId="5186"/>
    <cellStyle name="Hyperlink 5588 2" xfId="9905"/>
    <cellStyle name="Hyperlink 5588 3" xfId="7563"/>
    <cellStyle name="Hyperlink 5589" xfId="5187"/>
    <cellStyle name="Hyperlink 5589 2" xfId="9906"/>
    <cellStyle name="Hyperlink 5589 3" xfId="7564"/>
    <cellStyle name="Hyperlink 559" xfId="5188"/>
    <cellStyle name="Hyperlink 559 2" xfId="9907"/>
    <cellStyle name="Hyperlink 559 3" xfId="7565"/>
    <cellStyle name="Hyperlink 5590" xfId="5189"/>
    <cellStyle name="Hyperlink 5590 2" xfId="9908"/>
    <cellStyle name="Hyperlink 5590 3" xfId="7566"/>
    <cellStyle name="Hyperlink 5591" xfId="5190"/>
    <cellStyle name="Hyperlink 5591 2" xfId="9909"/>
    <cellStyle name="Hyperlink 5591 3" xfId="7567"/>
    <cellStyle name="Hyperlink 5592" xfId="5191"/>
    <cellStyle name="Hyperlink 5592 2" xfId="9910"/>
    <cellStyle name="Hyperlink 5592 3" xfId="7568"/>
    <cellStyle name="Hyperlink 5593" xfId="5192"/>
    <cellStyle name="Hyperlink 5593 2" xfId="9911"/>
    <cellStyle name="Hyperlink 5593 3" xfId="7569"/>
    <cellStyle name="Hyperlink 5594" xfId="5193"/>
    <cellStyle name="Hyperlink 5594 2" xfId="9912"/>
    <cellStyle name="Hyperlink 5594 3" xfId="7570"/>
    <cellStyle name="Hyperlink 5595" xfId="5194"/>
    <cellStyle name="Hyperlink 5595 2" xfId="9913"/>
    <cellStyle name="Hyperlink 5595 3" xfId="7571"/>
    <cellStyle name="Hyperlink 5596" xfId="5195"/>
    <cellStyle name="Hyperlink 5596 2" xfId="9914"/>
    <cellStyle name="Hyperlink 5596 3" xfId="7572"/>
    <cellStyle name="Hyperlink 5597" xfId="5196"/>
    <cellStyle name="Hyperlink 5597 2" xfId="9915"/>
    <cellStyle name="Hyperlink 5597 3" xfId="7573"/>
    <cellStyle name="Hyperlink 5598" xfId="5197"/>
    <cellStyle name="Hyperlink 5598 2" xfId="9916"/>
    <cellStyle name="Hyperlink 5598 3" xfId="7574"/>
    <cellStyle name="Hyperlink 5599" xfId="5198"/>
    <cellStyle name="Hyperlink 5599 2" xfId="9917"/>
    <cellStyle name="Hyperlink 5599 3" xfId="7575"/>
    <cellStyle name="Hyperlink 56" xfId="5199"/>
    <cellStyle name="Hyperlink 56 2" xfId="9918"/>
    <cellStyle name="Hyperlink 56 3" xfId="7576"/>
    <cellStyle name="Hyperlink 560" xfId="5200"/>
    <cellStyle name="Hyperlink 560 2" xfId="9919"/>
    <cellStyle name="Hyperlink 560 3" xfId="7577"/>
    <cellStyle name="Hyperlink 5600" xfId="5201"/>
    <cellStyle name="Hyperlink 5600 2" xfId="9920"/>
    <cellStyle name="Hyperlink 5600 3" xfId="7578"/>
    <cellStyle name="Hyperlink 5601" xfId="5202"/>
    <cellStyle name="Hyperlink 5601 2" xfId="9921"/>
    <cellStyle name="Hyperlink 5601 3" xfId="7579"/>
    <cellStyle name="Hyperlink 5602" xfId="5203"/>
    <cellStyle name="Hyperlink 5602 2" xfId="9922"/>
    <cellStyle name="Hyperlink 5602 3" xfId="7580"/>
    <cellStyle name="Hyperlink 5603" xfId="5204"/>
    <cellStyle name="Hyperlink 5603 2" xfId="9923"/>
    <cellStyle name="Hyperlink 5603 3" xfId="7581"/>
    <cellStyle name="Hyperlink 5604" xfId="5205"/>
    <cellStyle name="Hyperlink 5604 2" xfId="9924"/>
    <cellStyle name="Hyperlink 5604 3" xfId="7582"/>
    <cellStyle name="Hyperlink 5605" xfId="5206"/>
    <cellStyle name="Hyperlink 5605 2" xfId="9925"/>
    <cellStyle name="Hyperlink 5605 3" xfId="7583"/>
    <cellStyle name="Hyperlink 5606" xfId="5207"/>
    <cellStyle name="Hyperlink 5606 2" xfId="9926"/>
    <cellStyle name="Hyperlink 5606 3" xfId="7584"/>
    <cellStyle name="Hyperlink 5607" xfId="5208"/>
    <cellStyle name="Hyperlink 5607 2" xfId="9927"/>
    <cellStyle name="Hyperlink 5607 3" xfId="7585"/>
    <cellStyle name="Hyperlink 5608" xfId="5209"/>
    <cellStyle name="Hyperlink 5608 2" xfId="9928"/>
    <cellStyle name="Hyperlink 5608 3" xfId="7586"/>
    <cellStyle name="Hyperlink 5609" xfId="5210"/>
    <cellStyle name="Hyperlink 5609 2" xfId="9929"/>
    <cellStyle name="Hyperlink 5609 3" xfId="7587"/>
    <cellStyle name="Hyperlink 561" xfId="5211"/>
    <cellStyle name="Hyperlink 561 2" xfId="9930"/>
    <cellStyle name="Hyperlink 561 3" xfId="7588"/>
    <cellStyle name="Hyperlink 5610" xfId="5212"/>
    <cellStyle name="Hyperlink 5610 2" xfId="9931"/>
    <cellStyle name="Hyperlink 5610 3" xfId="7589"/>
    <cellStyle name="Hyperlink 5611" xfId="5213"/>
    <cellStyle name="Hyperlink 5611 2" xfId="9932"/>
    <cellStyle name="Hyperlink 5611 3" xfId="7590"/>
    <cellStyle name="Hyperlink 5612" xfId="5214"/>
    <cellStyle name="Hyperlink 5612 2" xfId="9933"/>
    <cellStyle name="Hyperlink 5612 3" xfId="7591"/>
    <cellStyle name="Hyperlink 5613" xfId="5215"/>
    <cellStyle name="Hyperlink 5613 2" xfId="9934"/>
    <cellStyle name="Hyperlink 5613 3" xfId="7592"/>
    <cellStyle name="Hyperlink 5614" xfId="5216"/>
    <cellStyle name="Hyperlink 5614 2" xfId="9935"/>
    <cellStyle name="Hyperlink 5614 3" xfId="7593"/>
    <cellStyle name="Hyperlink 5615" xfId="5217"/>
    <cellStyle name="Hyperlink 5615 2" xfId="9936"/>
    <cellStyle name="Hyperlink 5615 3" xfId="7594"/>
    <cellStyle name="Hyperlink 5616" xfId="5218"/>
    <cellStyle name="Hyperlink 5616 2" xfId="9937"/>
    <cellStyle name="Hyperlink 5616 3" xfId="7595"/>
    <cellStyle name="Hyperlink 5617" xfId="5219"/>
    <cellStyle name="Hyperlink 5617 2" xfId="9938"/>
    <cellStyle name="Hyperlink 5617 3" xfId="7596"/>
    <cellStyle name="Hyperlink 5618" xfId="5220"/>
    <cellStyle name="Hyperlink 5618 2" xfId="9939"/>
    <cellStyle name="Hyperlink 5618 3" xfId="7597"/>
    <cellStyle name="Hyperlink 5619" xfId="5221"/>
    <cellStyle name="Hyperlink 5619 2" xfId="9940"/>
    <cellStyle name="Hyperlink 5619 3" xfId="7598"/>
    <cellStyle name="Hyperlink 562" xfId="5222"/>
    <cellStyle name="Hyperlink 562 2" xfId="9941"/>
    <cellStyle name="Hyperlink 562 3" xfId="7599"/>
    <cellStyle name="Hyperlink 5620" xfId="5223"/>
    <cellStyle name="Hyperlink 5620 2" xfId="9942"/>
    <cellStyle name="Hyperlink 5620 3" xfId="7600"/>
    <cellStyle name="Hyperlink 5621" xfId="5224"/>
    <cellStyle name="Hyperlink 5621 2" xfId="9943"/>
    <cellStyle name="Hyperlink 5621 3" xfId="7601"/>
    <cellStyle name="Hyperlink 5622" xfId="5225"/>
    <cellStyle name="Hyperlink 5622 2" xfId="9944"/>
    <cellStyle name="Hyperlink 5622 3" xfId="7602"/>
    <cellStyle name="Hyperlink 5623" xfId="5226"/>
    <cellStyle name="Hyperlink 5623 2" xfId="9945"/>
    <cellStyle name="Hyperlink 5623 3" xfId="7603"/>
    <cellStyle name="Hyperlink 5624" xfId="5227"/>
    <cellStyle name="Hyperlink 5624 2" xfId="9946"/>
    <cellStyle name="Hyperlink 5624 3" xfId="7604"/>
    <cellStyle name="Hyperlink 5625" xfId="5228"/>
    <cellStyle name="Hyperlink 5625 2" xfId="9947"/>
    <cellStyle name="Hyperlink 5625 3" xfId="7605"/>
    <cellStyle name="Hyperlink 5626" xfId="5229"/>
    <cellStyle name="Hyperlink 5626 2" xfId="9948"/>
    <cellStyle name="Hyperlink 5626 3" xfId="7606"/>
    <cellStyle name="Hyperlink 5627" xfId="5230"/>
    <cellStyle name="Hyperlink 5627 2" xfId="9949"/>
    <cellStyle name="Hyperlink 5627 3" xfId="7607"/>
    <cellStyle name="Hyperlink 5628" xfId="5231"/>
    <cellStyle name="Hyperlink 5628 2" xfId="9950"/>
    <cellStyle name="Hyperlink 5628 3" xfId="7608"/>
    <cellStyle name="Hyperlink 5629" xfId="5232"/>
    <cellStyle name="Hyperlink 5629 2" xfId="9951"/>
    <cellStyle name="Hyperlink 5629 3" xfId="7609"/>
    <cellStyle name="Hyperlink 563" xfId="5233"/>
    <cellStyle name="Hyperlink 563 2" xfId="9952"/>
    <cellStyle name="Hyperlink 563 3" xfId="7610"/>
    <cellStyle name="Hyperlink 5630" xfId="5234"/>
    <cellStyle name="Hyperlink 5630 2" xfId="9953"/>
    <cellStyle name="Hyperlink 5630 3" xfId="7611"/>
    <cellStyle name="Hyperlink 5631" xfId="5235"/>
    <cellStyle name="Hyperlink 5631 2" xfId="9954"/>
    <cellStyle name="Hyperlink 5631 3" xfId="7612"/>
    <cellStyle name="Hyperlink 5632" xfId="5236"/>
    <cellStyle name="Hyperlink 5632 2" xfId="9955"/>
    <cellStyle name="Hyperlink 5632 3" xfId="7613"/>
    <cellStyle name="Hyperlink 5633" xfId="5237"/>
    <cellStyle name="Hyperlink 5633 2" xfId="9956"/>
    <cellStyle name="Hyperlink 5633 3" xfId="7614"/>
    <cellStyle name="Hyperlink 5634" xfId="5238"/>
    <cellStyle name="Hyperlink 5634 2" xfId="9957"/>
    <cellStyle name="Hyperlink 5634 3" xfId="7615"/>
    <cellStyle name="Hyperlink 5635" xfId="5239"/>
    <cellStyle name="Hyperlink 5635 2" xfId="9958"/>
    <cellStyle name="Hyperlink 5635 3" xfId="7616"/>
    <cellStyle name="Hyperlink 5636" xfId="5240"/>
    <cellStyle name="Hyperlink 5636 2" xfId="9959"/>
    <cellStyle name="Hyperlink 5636 3" xfId="7617"/>
    <cellStyle name="Hyperlink 5637" xfId="5241"/>
    <cellStyle name="Hyperlink 5637 2" xfId="9960"/>
    <cellStyle name="Hyperlink 5637 3" xfId="7618"/>
    <cellStyle name="Hyperlink 5638" xfId="5242"/>
    <cellStyle name="Hyperlink 5638 2" xfId="9961"/>
    <cellStyle name="Hyperlink 5638 3" xfId="7619"/>
    <cellStyle name="Hyperlink 5639" xfId="5243"/>
    <cellStyle name="Hyperlink 5639 2" xfId="9962"/>
    <cellStyle name="Hyperlink 5639 3" xfId="7620"/>
    <cellStyle name="Hyperlink 564" xfId="5244"/>
    <cellStyle name="Hyperlink 564 2" xfId="9963"/>
    <cellStyle name="Hyperlink 564 3" xfId="7621"/>
    <cellStyle name="Hyperlink 5640" xfId="5245"/>
    <cellStyle name="Hyperlink 5640 2" xfId="9964"/>
    <cellStyle name="Hyperlink 5640 3" xfId="7622"/>
    <cellStyle name="Hyperlink 5641" xfId="5246"/>
    <cellStyle name="Hyperlink 5641 2" xfId="9965"/>
    <cellStyle name="Hyperlink 5641 3" xfId="7623"/>
    <cellStyle name="Hyperlink 5642" xfId="5247"/>
    <cellStyle name="Hyperlink 5642 2" xfId="9966"/>
    <cellStyle name="Hyperlink 5642 3" xfId="7624"/>
    <cellStyle name="Hyperlink 5643" xfId="5248"/>
    <cellStyle name="Hyperlink 5643 2" xfId="9967"/>
    <cellStyle name="Hyperlink 5643 3" xfId="7625"/>
    <cellStyle name="Hyperlink 5644" xfId="5249"/>
    <cellStyle name="Hyperlink 5644 2" xfId="9968"/>
    <cellStyle name="Hyperlink 5644 3" xfId="7626"/>
    <cellStyle name="Hyperlink 5645" xfId="5250"/>
    <cellStyle name="Hyperlink 5645 2" xfId="9969"/>
    <cellStyle name="Hyperlink 5645 3" xfId="7627"/>
    <cellStyle name="Hyperlink 5646" xfId="5251"/>
    <cellStyle name="Hyperlink 5646 2" xfId="9970"/>
    <cellStyle name="Hyperlink 5646 3" xfId="7628"/>
    <cellStyle name="Hyperlink 5647" xfId="5252"/>
    <cellStyle name="Hyperlink 5647 2" xfId="9971"/>
    <cellStyle name="Hyperlink 5647 3" xfId="7629"/>
    <cellStyle name="Hyperlink 5648" xfId="5253"/>
    <cellStyle name="Hyperlink 5648 2" xfId="9972"/>
    <cellStyle name="Hyperlink 5648 3" xfId="7630"/>
    <cellStyle name="Hyperlink 5649" xfId="5254"/>
    <cellStyle name="Hyperlink 5649 2" xfId="9973"/>
    <cellStyle name="Hyperlink 5649 3" xfId="7631"/>
    <cellStyle name="Hyperlink 565" xfId="5255"/>
    <cellStyle name="Hyperlink 565 2" xfId="9974"/>
    <cellStyle name="Hyperlink 565 3" xfId="7632"/>
    <cellStyle name="Hyperlink 5650" xfId="5256"/>
    <cellStyle name="Hyperlink 5650 2" xfId="9975"/>
    <cellStyle name="Hyperlink 5650 3" xfId="7633"/>
    <cellStyle name="Hyperlink 5651" xfId="5257"/>
    <cellStyle name="Hyperlink 5651 2" xfId="9976"/>
    <cellStyle name="Hyperlink 5651 3" xfId="7634"/>
    <cellStyle name="Hyperlink 5652" xfId="5258"/>
    <cellStyle name="Hyperlink 5652 2" xfId="9977"/>
    <cellStyle name="Hyperlink 5652 3" xfId="7635"/>
    <cellStyle name="Hyperlink 5653" xfId="5259"/>
    <cellStyle name="Hyperlink 5653 2" xfId="9978"/>
    <cellStyle name="Hyperlink 5653 3" xfId="7636"/>
    <cellStyle name="Hyperlink 5654" xfId="5260"/>
    <cellStyle name="Hyperlink 5654 2" xfId="9979"/>
    <cellStyle name="Hyperlink 5654 3" xfId="7637"/>
    <cellStyle name="Hyperlink 5655" xfId="5261"/>
    <cellStyle name="Hyperlink 5655 2" xfId="9980"/>
    <cellStyle name="Hyperlink 5655 3" xfId="7638"/>
    <cellStyle name="Hyperlink 5656" xfId="5262"/>
    <cellStyle name="Hyperlink 5656 2" xfId="9981"/>
    <cellStyle name="Hyperlink 5656 3" xfId="7639"/>
    <cellStyle name="Hyperlink 5657" xfId="5263"/>
    <cellStyle name="Hyperlink 5657 2" xfId="9982"/>
    <cellStyle name="Hyperlink 5657 3" xfId="7640"/>
    <cellStyle name="Hyperlink 5658" xfId="5264"/>
    <cellStyle name="Hyperlink 5658 2" xfId="9983"/>
    <cellStyle name="Hyperlink 5658 3" xfId="7641"/>
    <cellStyle name="Hyperlink 5659" xfId="5265"/>
    <cellStyle name="Hyperlink 5659 2" xfId="9984"/>
    <cellStyle name="Hyperlink 5659 3" xfId="7642"/>
    <cellStyle name="Hyperlink 566" xfId="5266"/>
    <cellStyle name="Hyperlink 566 2" xfId="9985"/>
    <cellStyle name="Hyperlink 566 3" xfId="7643"/>
    <cellStyle name="Hyperlink 5660" xfId="5267"/>
    <cellStyle name="Hyperlink 5660 2" xfId="9986"/>
    <cellStyle name="Hyperlink 5660 3" xfId="7644"/>
    <cellStyle name="Hyperlink 5661" xfId="5268"/>
    <cellStyle name="Hyperlink 5661 2" xfId="9987"/>
    <cellStyle name="Hyperlink 5661 3" xfId="7645"/>
    <cellStyle name="Hyperlink 5662" xfId="5269"/>
    <cellStyle name="Hyperlink 5662 2" xfId="9988"/>
    <cellStyle name="Hyperlink 5662 3" xfId="7646"/>
    <cellStyle name="Hyperlink 5663" xfId="5270"/>
    <cellStyle name="Hyperlink 5663 2" xfId="9989"/>
    <cellStyle name="Hyperlink 5663 3" xfId="7647"/>
    <cellStyle name="Hyperlink 5664" xfId="5271"/>
    <cellStyle name="Hyperlink 5664 2" xfId="9990"/>
    <cellStyle name="Hyperlink 5664 3" xfId="7648"/>
    <cellStyle name="Hyperlink 5665" xfId="5272"/>
    <cellStyle name="Hyperlink 5665 2" xfId="9991"/>
    <cellStyle name="Hyperlink 5665 3" xfId="7649"/>
    <cellStyle name="Hyperlink 5666" xfId="5273"/>
    <cellStyle name="Hyperlink 5666 2" xfId="9992"/>
    <cellStyle name="Hyperlink 5666 3" xfId="7650"/>
    <cellStyle name="Hyperlink 5667" xfId="5274"/>
    <cellStyle name="Hyperlink 5667 2" xfId="9993"/>
    <cellStyle name="Hyperlink 5667 3" xfId="7651"/>
    <cellStyle name="Hyperlink 5668" xfId="5275"/>
    <cellStyle name="Hyperlink 5668 2" xfId="9994"/>
    <cellStyle name="Hyperlink 5668 3" xfId="7652"/>
    <cellStyle name="Hyperlink 5669" xfId="5276"/>
    <cellStyle name="Hyperlink 5669 2" xfId="9995"/>
    <cellStyle name="Hyperlink 5669 3" xfId="7653"/>
    <cellStyle name="Hyperlink 567" xfId="5277"/>
    <cellStyle name="Hyperlink 567 2" xfId="9996"/>
    <cellStyle name="Hyperlink 567 3" xfId="7654"/>
    <cellStyle name="Hyperlink 5670" xfId="5278"/>
    <cellStyle name="Hyperlink 5670 2" xfId="9997"/>
    <cellStyle name="Hyperlink 5670 3" xfId="7655"/>
    <cellStyle name="Hyperlink 5671" xfId="5279"/>
    <cellStyle name="Hyperlink 5671 2" xfId="9998"/>
    <cellStyle name="Hyperlink 5671 3" xfId="7656"/>
    <cellStyle name="Hyperlink 5672" xfId="5280"/>
    <cellStyle name="Hyperlink 5672 2" xfId="9999"/>
    <cellStyle name="Hyperlink 5672 3" xfId="7657"/>
    <cellStyle name="Hyperlink 5673" xfId="5281"/>
    <cellStyle name="Hyperlink 5673 2" xfId="10000"/>
    <cellStyle name="Hyperlink 5673 3" xfId="7658"/>
    <cellStyle name="Hyperlink 5674" xfId="5282"/>
    <cellStyle name="Hyperlink 5674 2" xfId="10001"/>
    <cellStyle name="Hyperlink 5674 3" xfId="7659"/>
    <cellStyle name="Hyperlink 5675" xfId="5283"/>
    <cellStyle name="Hyperlink 5675 2" xfId="10002"/>
    <cellStyle name="Hyperlink 5675 3" xfId="7660"/>
    <cellStyle name="Hyperlink 5676" xfId="5284"/>
    <cellStyle name="Hyperlink 5676 2" xfId="10003"/>
    <cellStyle name="Hyperlink 5676 3" xfId="7661"/>
    <cellStyle name="Hyperlink 5677" xfId="5285"/>
    <cellStyle name="Hyperlink 5677 2" xfId="10004"/>
    <cellStyle name="Hyperlink 5677 3" xfId="7662"/>
    <cellStyle name="Hyperlink 5678" xfId="5286"/>
    <cellStyle name="Hyperlink 5678 2" xfId="10005"/>
    <cellStyle name="Hyperlink 5678 3" xfId="7663"/>
    <cellStyle name="Hyperlink 5679" xfId="5287"/>
    <cellStyle name="Hyperlink 5679 2" xfId="10006"/>
    <cellStyle name="Hyperlink 5679 3" xfId="7664"/>
    <cellStyle name="Hyperlink 568" xfId="5288"/>
    <cellStyle name="Hyperlink 568 2" xfId="10007"/>
    <cellStyle name="Hyperlink 568 3" xfId="7665"/>
    <cellStyle name="Hyperlink 5680" xfId="5289"/>
    <cellStyle name="Hyperlink 5680 2" xfId="10008"/>
    <cellStyle name="Hyperlink 5680 3" xfId="7666"/>
    <cellStyle name="Hyperlink 5681" xfId="5290"/>
    <cellStyle name="Hyperlink 5681 2" xfId="10009"/>
    <cellStyle name="Hyperlink 5681 3" xfId="7667"/>
    <cellStyle name="Hyperlink 5682" xfId="5291"/>
    <cellStyle name="Hyperlink 5682 2" xfId="10010"/>
    <cellStyle name="Hyperlink 5682 3" xfId="7668"/>
    <cellStyle name="Hyperlink 5683" xfId="5292"/>
    <cellStyle name="Hyperlink 5683 2" xfId="10011"/>
    <cellStyle name="Hyperlink 5683 3" xfId="7669"/>
    <cellStyle name="Hyperlink 5684" xfId="5293"/>
    <cellStyle name="Hyperlink 5684 2" xfId="10012"/>
    <cellStyle name="Hyperlink 5684 3" xfId="7670"/>
    <cellStyle name="Hyperlink 5685" xfId="5294"/>
    <cellStyle name="Hyperlink 5685 2" xfId="10013"/>
    <cellStyle name="Hyperlink 5685 3" xfId="7671"/>
    <cellStyle name="Hyperlink 5686" xfId="5295"/>
    <cellStyle name="Hyperlink 5686 2" xfId="10014"/>
    <cellStyle name="Hyperlink 5686 3" xfId="7672"/>
    <cellStyle name="Hyperlink 5687" xfId="5296"/>
    <cellStyle name="Hyperlink 5687 2" xfId="10015"/>
    <cellStyle name="Hyperlink 5687 3" xfId="7673"/>
    <cellStyle name="Hyperlink 5688" xfId="5297"/>
    <cellStyle name="Hyperlink 5688 2" xfId="10016"/>
    <cellStyle name="Hyperlink 5688 3" xfId="7674"/>
    <cellStyle name="Hyperlink 5689" xfId="5298"/>
    <cellStyle name="Hyperlink 5689 2" xfId="10017"/>
    <cellStyle name="Hyperlink 5689 3" xfId="7675"/>
    <cellStyle name="Hyperlink 569" xfId="5299"/>
    <cellStyle name="Hyperlink 569 2" xfId="10018"/>
    <cellStyle name="Hyperlink 569 3" xfId="7676"/>
    <cellStyle name="Hyperlink 5690" xfId="5300"/>
    <cellStyle name="Hyperlink 5690 2" xfId="10019"/>
    <cellStyle name="Hyperlink 5690 3" xfId="7677"/>
    <cellStyle name="Hyperlink 5691" xfId="5301"/>
    <cellStyle name="Hyperlink 5691 2" xfId="10020"/>
    <cellStyle name="Hyperlink 5691 3" xfId="7678"/>
    <cellStyle name="Hyperlink 5692" xfId="5302"/>
    <cellStyle name="Hyperlink 5692 2" xfId="10021"/>
    <cellStyle name="Hyperlink 5692 3" xfId="7679"/>
    <cellStyle name="Hyperlink 5693" xfId="5303"/>
    <cellStyle name="Hyperlink 5693 2" xfId="10022"/>
    <cellStyle name="Hyperlink 5693 3" xfId="7680"/>
    <cellStyle name="Hyperlink 5694" xfId="5304"/>
    <cellStyle name="Hyperlink 5694 2" xfId="10023"/>
    <cellStyle name="Hyperlink 5694 3" xfId="7681"/>
    <cellStyle name="Hyperlink 5695" xfId="5305"/>
    <cellStyle name="Hyperlink 5695 2" xfId="10024"/>
    <cellStyle name="Hyperlink 5695 3" xfId="7682"/>
    <cellStyle name="Hyperlink 5696" xfId="5306"/>
    <cellStyle name="Hyperlink 5696 2" xfId="10025"/>
    <cellStyle name="Hyperlink 5696 3" xfId="7683"/>
    <cellStyle name="Hyperlink 5697" xfId="5307"/>
    <cellStyle name="Hyperlink 5697 2" xfId="10026"/>
    <cellStyle name="Hyperlink 5697 3" xfId="7684"/>
    <cellStyle name="Hyperlink 5698" xfId="5308"/>
    <cellStyle name="Hyperlink 5698 2" xfId="10027"/>
    <cellStyle name="Hyperlink 5698 3" xfId="7685"/>
    <cellStyle name="Hyperlink 5699" xfId="5309"/>
    <cellStyle name="Hyperlink 5699 2" xfId="10028"/>
    <cellStyle name="Hyperlink 5699 3" xfId="7686"/>
    <cellStyle name="Hyperlink 57" xfId="5310"/>
    <cellStyle name="Hyperlink 57 2" xfId="10029"/>
    <cellStyle name="Hyperlink 57 3" xfId="7687"/>
    <cellStyle name="Hyperlink 570" xfId="5311"/>
    <cellStyle name="Hyperlink 570 2" xfId="10030"/>
    <cellStyle name="Hyperlink 570 3" xfId="7688"/>
    <cellStyle name="Hyperlink 5700" xfId="5312"/>
    <cellStyle name="Hyperlink 5700 2" xfId="10031"/>
    <cellStyle name="Hyperlink 5700 3" xfId="7689"/>
    <cellStyle name="Hyperlink 5701" xfId="5313"/>
    <cellStyle name="Hyperlink 5701 2" xfId="10032"/>
    <cellStyle name="Hyperlink 5701 3" xfId="7690"/>
    <cellStyle name="Hyperlink 5702" xfId="5314"/>
    <cellStyle name="Hyperlink 5702 2" xfId="10033"/>
    <cellStyle name="Hyperlink 5702 3" xfId="7691"/>
    <cellStyle name="Hyperlink 5703" xfId="5315"/>
    <cellStyle name="Hyperlink 5703 2" xfId="10034"/>
    <cellStyle name="Hyperlink 5703 3" xfId="7692"/>
    <cellStyle name="Hyperlink 5704" xfId="5316"/>
    <cellStyle name="Hyperlink 5704 2" xfId="10035"/>
    <cellStyle name="Hyperlink 5704 3" xfId="7693"/>
    <cellStyle name="Hyperlink 5705" xfId="5317"/>
    <cellStyle name="Hyperlink 5705 2" xfId="10036"/>
    <cellStyle name="Hyperlink 5705 3" xfId="7694"/>
    <cellStyle name="Hyperlink 5706" xfId="5318"/>
    <cellStyle name="Hyperlink 5706 2" xfId="10037"/>
    <cellStyle name="Hyperlink 5706 3" xfId="7695"/>
    <cellStyle name="Hyperlink 5707" xfId="5319"/>
    <cellStyle name="Hyperlink 5707 2" xfId="10038"/>
    <cellStyle name="Hyperlink 5707 3" xfId="7696"/>
    <cellStyle name="Hyperlink 5708" xfId="5320"/>
    <cellStyle name="Hyperlink 5708 2" xfId="10039"/>
    <cellStyle name="Hyperlink 5708 3" xfId="7697"/>
    <cellStyle name="Hyperlink 5709" xfId="5321"/>
    <cellStyle name="Hyperlink 5709 2" xfId="10040"/>
    <cellStyle name="Hyperlink 5709 3" xfId="7698"/>
    <cellStyle name="Hyperlink 571" xfId="5322"/>
    <cellStyle name="Hyperlink 571 2" xfId="10041"/>
    <cellStyle name="Hyperlink 571 3" xfId="7699"/>
    <cellStyle name="Hyperlink 5710" xfId="5323"/>
    <cellStyle name="Hyperlink 5710 2" xfId="10042"/>
    <cellStyle name="Hyperlink 5710 3" xfId="7700"/>
    <cellStyle name="Hyperlink 5711" xfId="5324"/>
    <cellStyle name="Hyperlink 5711 2" xfId="10043"/>
    <cellStyle name="Hyperlink 5711 3" xfId="7701"/>
    <cellStyle name="Hyperlink 5712" xfId="5325"/>
    <cellStyle name="Hyperlink 5712 2" xfId="10044"/>
    <cellStyle name="Hyperlink 5712 3" xfId="7702"/>
    <cellStyle name="Hyperlink 5713" xfId="5326"/>
    <cellStyle name="Hyperlink 5713 2" xfId="10045"/>
    <cellStyle name="Hyperlink 5713 3" xfId="7703"/>
    <cellStyle name="Hyperlink 5714" xfId="5327"/>
    <cellStyle name="Hyperlink 5714 2" xfId="10046"/>
    <cellStyle name="Hyperlink 5714 3" xfId="7704"/>
    <cellStyle name="Hyperlink 5715" xfId="5328"/>
    <cellStyle name="Hyperlink 5715 2" xfId="10047"/>
    <cellStyle name="Hyperlink 5715 3" xfId="7705"/>
    <cellStyle name="Hyperlink 5716" xfId="5329"/>
    <cellStyle name="Hyperlink 5716 2" xfId="10048"/>
    <cellStyle name="Hyperlink 5716 3" xfId="7706"/>
    <cellStyle name="Hyperlink 5717" xfId="5330"/>
    <cellStyle name="Hyperlink 5717 2" xfId="10049"/>
    <cellStyle name="Hyperlink 5717 3" xfId="7707"/>
    <cellStyle name="Hyperlink 5718" xfId="5331"/>
    <cellStyle name="Hyperlink 5718 2" xfId="10050"/>
    <cellStyle name="Hyperlink 5718 3" xfId="7708"/>
    <cellStyle name="Hyperlink 5719" xfId="5332"/>
    <cellStyle name="Hyperlink 5719 2" xfId="10051"/>
    <cellStyle name="Hyperlink 5719 3" xfId="7709"/>
    <cellStyle name="Hyperlink 572" xfId="5333"/>
    <cellStyle name="Hyperlink 572 2" xfId="10052"/>
    <cellStyle name="Hyperlink 572 3" xfId="7710"/>
    <cellStyle name="Hyperlink 5720" xfId="5334"/>
    <cellStyle name="Hyperlink 5720 2" xfId="10053"/>
    <cellStyle name="Hyperlink 5720 3" xfId="7711"/>
    <cellStyle name="Hyperlink 5721" xfId="5335"/>
    <cellStyle name="Hyperlink 5721 2" xfId="10054"/>
    <cellStyle name="Hyperlink 5721 3" xfId="7712"/>
    <cellStyle name="Hyperlink 5722" xfId="5336"/>
    <cellStyle name="Hyperlink 5722 2" xfId="10055"/>
    <cellStyle name="Hyperlink 5722 3" xfId="7713"/>
    <cellStyle name="Hyperlink 5723" xfId="5337"/>
    <cellStyle name="Hyperlink 5723 2" xfId="10056"/>
    <cellStyle name="Hyperlink 5723 3" xfId="7714"/>
    <cellStyle name="Hyperlink 5724" xfId="5338"/>
    <cellStyle name="Hyperlink 5724 2" xfId="10057"/>
    <cellStyle name="Hyperlink 5724 3" xfId="7715"/>
    <cellStyle name="Hyperlink 5725" xfId="5339"/>
    <cellStyle name="Hyperlink 5725 2" xfId="10058"/>
    <cellStyle name="Hyperlink 5725 3" xfId="7716"/>
    <cellStyle name="Hyperlink 5726" xfId="5340"/>
    <cellStyle name="Hyperlink 5726 2" xfId="10059"/>
    <cellStyle name="Hyperlink 5726 3" xfId="7717"/>
    <cellStyle name="Hyperlink 5727" xfId="5341"/>
    <cellStyle name="Hyperlink 5727 2" xfId="10060"/>
    <cellStyle name="Hyperlink 5727 3" xfId="7718"/>
    <cellStyle name="Hyperlink 5728" xfId="5342"/>
    <cellStyle name="Hyperlink 5728 2" xfId="10061"/>
    <cellStyle name="Hyperlink 5728 3" xfId="7719"/>
    <cellStyle name="Hyperlink 5729" xfId="5343"/>
    <cellStyle name="Hyperlink 5729 2" xfId="10062"/>
    <cellStyle name="Hyperlink 5729 3" xfId="7720"/>
    <cellStyle name="Hyperlink 573" xfId="5344"/>
    <cellStyle name="Hyperlink 573 2" xfId="10063"/>
    <cellStyle name="Hyperlink 573 3" xfId="7721"/>
    <cellStyle name="Hyperlink 5730" xfId="5345"/>
    <cellStyle name="Hyperlink 5730 2" xfId="10064"/>
    <cellStyle name="Hyperlink 5730 3" xfId="7722"/>
    <cellStyle name="Hyperlink 5731" xfId="5346"/>
    <cellStyle name="Hyperlink 5731 2" xfId="10065"/>
    <cellStyle name="Hyperlink 5731 3" xfId="7723"/>
    <cellStyle name="Hyperlink 5732" xfId="5347"/>
    <cellStyle name="Hyperlink 5732 2" xfId="10066"/>
    <cellStyle name="Hyperlink 5732 3" xfId="7724"/>
    <cellStyle name="Hyperlink 5733" xfId="5348"/>
    <cellStyle name="Hyperlink 5733 2" xfId="10067"/>
    <cellStyle name="Hyperlink 5733 3" xfId="7725"/>
    <cellStyle name="Hyperlink 5734" xfId="5349"/>
    <cellStyle name="Hyperlink 5734 2" xfId="10068"/>
    <cellStyle name="Hyperlink 5734 3" xfId="7726"/>
    <cellStyle name="Hyperlink 5735" xfId="5350"/>
    <cellStyle name="Hyperlink 5735 2" xfId="10069"/>
    <cellStyle name="Hyperlink 5735 3" xfId="7727"/>
    <cellStyle name="Hyperlink 5736" xfId="5351"/>
    <cellStyle name="Hyperlink 5736 2" xfId="10070"/>
    <cellStyle name="Hyperlink 5736 3" xfId="7728"/>
    <cellStyle name="Hyperlink 5737" xfId="5352"/>
    <cellStyle name="Hyperlink 5737 2" xfId="10071"/>
    <cellStyle name="Hyperlink 5737 3" xfId="7729"/>
    <cellStyle name="Hyperlink 5738" xfId="5353"/>
    <cellStyle name="Hyperlink 5738 2" xfId="10072"/>
    <cellStyle name="Hyperlink 5738 3" xfId="7730"/>
    <cellStyle name="Hyperlink 5739" xfId="5354"/>
    <cellStyle name="Hyperlink 5739 2" xfId="10073"/>
    <cellStyle name="Hyperlink 5739 3" xfId="7731"/>
    <cellStyle name="Hyperlink 574" xfId="5355"/>
    <cellStyle name="Hyperlink 574 2" xfId="10074"/>
    <cellStyle name="Hyperlink 574 3" xfId="7732"/>
    <cellStyle name="Hyperlink 5740" xfId="5356"/>
    <cellStyle name="Hyperlink 5740 2" xfId="10075"/>
    <cellStyle name="Hyperlink 5740 3" xfId="7733"/>
    <cellStyle name="Hyperlink 5741" xfId="5357"/>
    <cellStyle name="Hyperlink 5741 2" xfId="10076"/>
    <cellStyle name="Hyperlink 5741 3" xfId="7734"/>
    <cellStyle name="Hyperlink 5742" xfId="5358"/>
    <cellStyle name="Hyperlink 5742 2" xfId="10077"/>
    <cellStyle name="Hyperlink 5742 3" xfId="7735"/>
    <cellStyle name="Hyperlink 5743" xfId="5359"/>
    <cellStyle name="Hyperlink 5743 2" xfId="10078"/>
    <cellStyle name="Hyperlink 5743 3" xfId="7736"/>
    <cellStyle name="Hyperlink 5744" xfId="5360"/>
    <cellStyle name="Hyperlink 5744 2" xfId="10079"/>
    <cellStyle name="Hyperlink 5744 3" xfId="7737"/>
    <cellStyle name="Hyperlink 5745" xfId="5361"/>
    <cellStyle name="Hyperlink 5745 2" xfId="10080"/>
    <cellStyle name="Hyperlink 5745 3" xfId="7738"/>
    <cellStyle name="Hyperlink 5746" xfId="5362"/>
    <cellStyle name="Hyperlink 5746 2" xfId="10081"/>
    <cellStyle name="Hyperlink 5746 3" xfId="7739"/>
    <cellStyle name="Hyperlink 5747" xfId="5363"/>
    <cellStyle name="Hyperlink 5747 2" xfId="10082"/>
    <cellStyle name="Hyperlink 5747 3" xfId="7740"/>
    <cellStyle name="Hyperlink 5748" xfId="5364"/>
    <cellStyle name="Hyperlink 5748 2" xfId="10083"/>
    <cellStyle name="Hyperlink 5748 3" xfId="7741"/>
    <cellStyle name="Hyperlink 5749" xfId="5365"/>
    <cellStyle name="Hyperlink 5749 2" xfId="10084"/>
    <cellStyle name="Hyperlink 5749 3" xfId="7742"/>
    <cellStyle name="Hyperlink 575" xfId="5366"/>
    <cellStyle name="Hyperlink 575 2" xfId="10085"/>
    <cellStyle name="Hyperlink 575 3" xfId="7743"/>
    <cellStyle name="Hyperlink 5750" xfId="5367"/>
    <cellStyle name="Hyperlink 5750 2" xfId="10086"/>
    <cellStyle name="Hyperlink 5750 3" xfId="7744"/>
    <cellStyle name="Hyperlink 5751" xfId="5368"/>
    <cellStyle name="Hyperlink 5751 2" xfId="10087"/>
    <cellStyle name="Hyperlink 5751 3" xfId="7745"/>
    <cellStyle name="Hyperlink 5752" xfId="5369"/>
    <cellStyle name="Hyperlink 5752 2" xfId="10088"/>
    <cellStyle name="Hyperlink 5752 3" xfId="7746"/>
    <cellStyle name="Hyperlink 5753" xfId="5370"/>
    <cellStyle name="Hyperlink 5753 2" xfId="10089"/>
    <cellStyle name="Hyperlink 5753 3" xfId="7747"/>
    <cellStyle name="Hyperlink 5754" xfId="5371"/>
    <cellStyle name="Hyperlink 5754 2" xfId="10090"/>
    <cellStyle name="Hyperlink 5754 3" xfId="7748"/>
    <cellStyle name="Hyperlink 5755" xfId="5372"/>
    <cellStyle name="Hyperlink 5755 2" xfId="10091"/>
    <cellStyle name="Hyperlink 5755 3" xfId="7749"/>
    <cellStyle name="Hyperlink 5756" xfId="5373"/>
    <cellStyle name="Hyperlink 5756 2" xfId="10092"/>
    <cellStyle name="Hyperlink 5756 3" xfId="7750"/>
    <cellStyle name="Hyperlink 5757" xfId="5374"/>
    <cellStyle name="Hyperlink 5757 2" xfId="10093"/>
    <cellStyle name="Hyperlink 5757 3" xfId="7751"/>
    <cellStyle name="Hyperlink 5758" xfId="5375"/>
    <cellStyle name="Hyperlink 5758 2" xfId="10094"/>
    <cellStyle name="Hyperlink 5758 3" xfId="7752"/>
    <cellStyle name="Hyperlink 5759" xfId="5376"/>
    <cellStyle name="Hyperlink 5759 2" xfId="10095"/>
    <cellStyle name="Hyperlink 5759 3" xfId="7753"/>
    <cellStyle name="Hyperlink 576" xfId="5377"/>
    <cellStyle name="Hyperlink 576 2" xfId="10096"/>
    <cellStyle name="Hyperlink 576 3" xfId="7754"/>
    <cellStyle name="Hyperlink 5760" xfId="5378"/>
    <cellStyle name="Hyperlink 5760 2" xfId="10097"/>
    <cellStyle name="Hyperlink 5760 3" xfId="7755"/>
    <cellStyle name="Hyperlink 5761" xfId="5379"/>
    <cellStyle name="Hyperlink 5761 2" xfId="10098"/>
    <cellStyle name="Hyperlink 5761 3" xfId="7756"/>
    <cellStyle name="Hyperlink 5762" xfId="5380"/>
    <cellStyle name="Hyperlink 5762 2" xfId="10099"/>
    <cellStyle name="Hyperlink 5762 3" xfId="7757"/>
    <cellStyle name="Hyperlink 5763" xfId="5381"/>
    <cellStyle name="Hyperlink 5763 2" xfId="10100"/>
    <cellStyle name="Hyperlink 5763 3" xfId="7758"/>
    <cellStyle name="Hyperlink 5764" xfId="5382"/>
    <cellStyle name="Hyperlink 5764 2" xfId="10101"/>
    <cellStyle name="Hyperlink 5764 3" xfId="7759"/>
    <cellStyle name="Hyperlink 5765" xfId="5383"/>
    <cellStyle name="Hyperlink 5765 2" xfId="10102"/>
    <cellStyle name="Hyperlink 5765 3" xfId="7760"/>
    <cellStyle name="Hyperlink 5766" xfId="5384"/>
    <cellStyle name="Hyperlink 5766 2" xfId="10103"/>
    <cellStyle name="Hyperlink 5766 3" xfId="7761"/>
    <cellStyle name="Hyperlink 5767" xfId="5385"/>
    <cellStyle name="Hyperlink 5767 2" xfId="10104"/>
    <cellStyle name="Hyperlink 5767 3" xfId="7762"/>
    <cellStyle name="Hyperlink 5768" xfId="5386"/>
    <cellStyle name="Hyperlink 5768 2" xfId="10105"/>
    <cellStyle name="Hyperlink 5768 3" xfId="7763"/>
    <cellStyle name="Hyperlink 5769" xfId="5387"/>
    <cellStyle name="Hyperlink 5769 2" xfId="10106"/>
    <cellStyle name="Hyperlink 5769 3" xfId="7764"/>
    <cellStyle name="Hyperlink 577" xfId="5388"/>
    <cellStyle name="Hyperlink 577 2" xfId="10107"/>
    <cellStyle name="Hyperlink 577 3" xfId="7765"/>
    <cellStyle name="Hyperlink 5770" xfId="5389"/>
    <cellStyle name="Hyperlink 5770 2" xfId="10108"/>
    <cellStyle name="Hyperlink 5770 3" xfId="7766"/>
    <cellStyle name="Hyperlink 5771" xfId="5390"/>
    <cellStyle name="Hyperlink 5771 2" xfId="10109"/>
    <cellStyle name="Hyperlink 5771 3" xfId="7767"/>
    <cellStyle name="Hyperlink 5772" xfId="5391"/>
    <cellStyle name="Hyperlink 5772 2" xfId="10110"/>
    <cellStyle name="Hyperlink 5772 3" xfId="7768"/>
    <cellStyle name="Hyperlink 5773" xfId="5392"/>
    <cellStyle name="Hyperlink 5773 2" xfId="10111"/>
    <cellStyle name="Hyperlink 5773 3" xfId="7769"/>
    <cellStyle name="Hyperlink 5774" xfId="5393"/>
    <cellStyle name="Hyperlink 5774 2" xfId="10112"/>
    <cellStyle name="Hyperlink 5774 3" xfId="7770"/>
    <cellStyle name="Hyperlink 5775" xfId="5394"/>
    <cellStyle name="Hyperlink 5775 2" xfId="10113"/>
    <cellStyle name="Hyperlink 5775 3" xfId="7771"/>
    <cellStyle name="Hyperlink 5776" xfId="5395"/>
    <cellStyle name="Hyperlink 5776 2" xfId="10114"/>
    <cellStyle name="Hyperlink 5776 3" xfId="7772"/>
    <cellStyle name="Hyperlink 5777" xfId="5396"/>
    <cellStyle name="Hyperlink 5777 2" xfId="10115"/>
    <cellStyle name="Hyperlink 5777 3" xfId="7773"/>
    <cellStyle name="Hyperlink 5778" xfId="5397"/>
    <cellStyle name="Hyperlink 5778 2" xfId="10116"/>
    <cellStyle name="Hyperlink 5778 3" xfId="7774"/>
    <cellStyle name="Hyperlink 5779" xfId="5398"/>
    <cellStyle name="Hyperlink 5779 2" xfId="10117"/>
    <cellStyle name="Hyperlink 5779 3" xfId="7775"/>
    <cellStyle name="Hyperlink 578" xfId="5399"/>
    <cellStyle name="Hyperlink 578 2" xfId="10118"/>
    <cellStyle name="Hyperlink 578 3" xfId="7776"/>
    <cellStyle name="Hyperlink 5780" xfId="5400"/>
    <cellStyle name="Hyperlink 5780 2" xfId="10119"/>
    <cellStyle name="Hyperlink 5780 3" xfId="7777"/>
    <cellStyle name="Hyperlink 5781" xfId="5401"/>
    <cellStyle name="Hyperlink 5781 2" xfId="10120"/>
    <cellStyle name="Hyperlink 5781 3" xfId="7778"/>
    <cellStyle name="Hyperlink 5782" xfId="5402"/>
    <cellStyle name="Hyperlink 5782 2" xfId="10121"/>
    <cellStyle name="Hyperlink 5782 3" xfId="7779"/>
    <cellStyle name="Hyperlink 5783" xfId="5403"/>
    <cellStyle name="Hyperlink 5783 2" xfId="10122"/>
    <cellStyle name="Hyperlink 5783 3" xfId="7780"/>
    <cellStyle name="Hyperlink 5784" xfId="5404"/>
    <cellStyle name="Hyperlink 5784 2" xfId="10123"/>
    <cellStyle name="Hyperlink 5784 3" xfId="7781"/>
    <cellStyle name="Hyperlink 5785" xfId="5405"/>
    <cellStyle name="Hyperlink 5785 2" xfId="10124"/>
    <cellStyle name="Hyperlink 5785 3" xfId="7782"/>
    <cellStyle name="Hyperlink 5786" xfId="5406"/>
    <cellStyle name="Hyperlink 5786 2" xfId="10125"/>
    <cellStyle name="Hyperlink 5786 3" xfId="7783"/>
    <cellStyle name="Hyperlink 5787" xfId="5407"/>
    <cellStyle name="Hyperlink 5787 2" xfId="10126"/>
    <cellStyle name="Hyperlink 5787 3" xfId="7784"/>
    <cellStyle name="Hyperlink 5788" xfId="5408"/>
    <cellStyle name="Hyperlink 5788 2" xfId="10127"/>
    <cellStyle name="Hyperlink 5788 3" xfId="7785"/>
    <cellStyle name="Hyperlink 5789" xfId="5409"/>
    <cellStyle name="Hyperlink 5789 2" xfId="10128"/>
    <cellStyle name="Hyperlink 5789 3" xfId="7786"/>
    <cellStyle name="Hyperlink 579" xfId="5410"/>
    <cellStyle name="Hyperlink 579 2" xfId="10129"/>
    <cellStyle name="Hyperlink 579 3" xfId="7787"/>
    <cellStyle name="Hyperlink 5790" xfId="5411"/>
    <cellStyle name="Hyperlink 5790 2" xfId="10130"/>
    <cellStyle name="Hyperlink 5790 3" xfId="7788"/>
    <cellStyle name="Hyperlink 5791" xfId="5412"/>
    <cellStyle name="Hyperlink 5791 2" xfId="10131"/>
    <cellStyle name="Hyperlink 5791 3" xfId="7789"/>
    <cellStyle name="Hyperlink 5792" xfId="5413"/>
    <cellStyle name="Hyperlink 5792 2" xfId="10132"/>
    <cellStyle name="Hyperlink 5792 3" xfId="7790"/>
    <cellStyle name="Hyperlink 5793" xfId="5414"/>
    <cellStyle name="Hyperlink 5793 2" xfId="10133"/>
    <cellStyle name="Hyperlink 5793 3" xfId="7791"/>
    <cellStyle name="Hyperlink 5794" xfId="5415"/>
    <cellStyle name="Hyperlink 5794 2" xfId="10134"/>
    <cellStyle name="Hyperlink 5794 3" xfId="7792"/>
    <cellStyle name="Hyperlink 5795" xfId="5416"/>
    <cellStyle name="Hyperlink 5795 2" xfId="10135"/>
    <cellStyle name="Hyperlink 5795 3" xfId="7793"/>
    <cellStyle name="Hyperlink 5796" xfId="5417"/>
    <cellStyle name="Hyperlink 5796 2" xfId="10136"/>
    <cellStyle name="Hyperlink 5796 3" xfId="7794"/>
    <cellStyle name="Hyperlink 5797" xfId="5418"/>
    <cellStyle name="Hyperlink 5797 2" xfId="10137"/>
    <cellStyle name="Hyperlink 5797 3" xfId="7795"/>
    <cellStyle name="Hyperlink 5798" xfId="5419"/>
    <cellStyle name="Hyperlink 5798 2" xfId="10138"/>
    <cellStyle name="Hyperlink 5798 3" xfId="7796"/>
    <cellStyle name="Hyperlink 5799" xfId="5420"/>
    <cellStyle name="Hyperlink 5799 2" xfId="10139"/>
    <cellStyle name="Hyperlink 5799 3" xfId="7797"/>
    <cellStyle name="Hyperlink 58" xfId="5421"/>
    <cellStyle name="Hyperlink 58 2" xfId="10140"/>
    <cellStyle name="Hyperlink 58 3" xfId="7798"/>
    <cellStyle name="Hyperlink 580" xfId="5422"/>
    <cellStyle name="Hyperlink 580 2" xfId="10141"/>
    <cellStyle name="Hyperlink 580 3" xfId="7799"/>
    <cellStyle name="Hyperlink 5800" xfId="5423"/>
    <cellStyle name="Hyperlink 5800 2" xfId="10142"/>
    <cellStyle name="Hyperlink 5800 3" xfId="7800"/>
    <cellStyle name="Hyperlink 5801" xfId="5424"/>
    <cellStyle name="Hyperlink 5801 2" xfId="10143"/>
    <cellStyle name="Hyperlink 5801 3" xfId="7801"/>
    <cellStyle name="Hyperlink 5802" xfId="5425"/>
    <cellStyle name="Hyperlink 5802 2" xfId="10144"/>
    <cellStyle name="Hyperlink 5802 3" xfId="7802"/>
    <cellStyle name="Hyperlink 5803" xfId="5426"/>
    <cellStyle name="Hyperlink 5803 2" xfId="10145"/>
    <cellStyle name="Hyperlink 5803 3" xfId="7803"/>
    <cellStyle name="Hyperlink 5804" xfId="5427"/>
    <cellStyle name="Hyperlink 5804 2" xfId="10146"/>
    <cellStyle name="Hyperlink 5804 3" xfId="7804"/>
    <cellStyle name="Hyperlink 5805" xfId="5428"/>
    <cellStyle name="Hyperlink 5805 2" xfId="10147"/>
    <cellStyle name="Hyperlink 5805 3" xfId="7805"/>
    <cellStyle name="Hyperlink 5806" xfId="5429"/>
    <cellStyle name="Hyperlink 5806 2" xfId="10148"/>
    <cellStyle name="Hyperlink 5806 3" xfId="7806"/>
    <cellStyle name="Hyperlink 5807" xfId="5430"/>
    <cellStyle name="Hyperlink 5807 2" xfId="10149"/>
    <cellStyle name="Hyperlink 5807 3" xfId="7807"/>
    <cellStyle name="Hyperlink 5808" xfId="5431"/>
    <cellStyle name="Hyperlink 5808 2" xfId="10150"/>
    <cellStyle name="Hyperlink 5808 3" xfId="7808"/>
    <cellStyle name="Hyperlink 5809" xfId="5432"/>
    <cellStyle name="Hyperlink 5809 2" xfId="10151"/>
    <cellStyle name="Hyperlink 5809 3" xfId="7809"/>
    <cellStyle name="Hyperlink 581" xfId="5433"/>
    <cellStyle name="Hyperlink 581 2" xfId="10152"/>
    <cellStyle name="Hyperlink 581 3" xfId="7810"/>
    <cellStyle name="Hyperlink 5810" xfId="5434"/>
    <cellStyle name="Hyperlink 5810 2" xfId="10153"/>
    <cellStyle name="Hyperlink 5810 3" xfId="7811"/>
    <cellStyle name="Hyperlink 5811" xfId="5435"/>
    <cellStyle name="Hyperlink 5811 2" xfId="10154"/>
    <cellStyle name="Hyperlink 5811 3" xfId="7812"/>
    <cellStyle name="Hyperlink 5812" xfId="5436"/>
    <cellStyle name="Hyperlink 5812 2" xfId="10155"/>
    <cellStyle name="Hyperlink 5812 3" xfId="7813"/>
    <cellStyle name="Hyperlink 5813" xfId="5437"/>
    <cellStyle name="Hyperlink 5813 2" xfId="10156"/>
    <cellStyle name="Hyperlink 5813 3" xfId="7814"/>
    <cellStyle name="Hyperlink 5814" xfId="5438"/>
    <cellStyle name="Hyperlink 5814 2" xfId="10157"/>
    <cellStyle name="Hyperlink 5814 3" xfId="7815"/>
    <cellStyle name="Hyperlink 5815" xfId="5439"/>
    <cellStyle name="Hyperlink 5815 2" xfId="10158"/>
    <cellStyle name="Hyperlink 5815 3" xfId="7816"/>
    <cellStyle name="Hyperlink 5816" xfId="5440"/>
    <cellStyle name="Hyperlink 5816 2" xfId="10159"/>
    <cellStyle name="Hyperlink 5816 3" xfId="7817"/>
    <cellStyle name="Hyperlink 5817" xfId="5441"/>
    <cellStyle name="Hyperlink 5817 2" xfId="10160"/>
    <cellStyle name="Hyperlink 5817 3" xfId="7818"/>
    <cellStyle name="Hyperlink 5818" xfId="5442"/>
    <cellStyle name="Hyperlink 5818 2" xfId="10161"/>
    <cellStyle name="Hyperlink 5818 3" xfId="7819"/>
    <cellStyle name="Hyperlink 5819" xfId="5443"/>
    <cellStyle name="Hyperlink 5819 2" xfId="10162"/>
    <cellStyle name="Hyperlink 5819 3" xfId="7820"/>
    <cellStyle name="Hyperlink 582" xfId="5444"/>
    <cellStyle name="Hyperlink 582 2" xfId="10163"/>
    <cellStyle name="Hyperlink 582 3" xfId="7821"/>
    <cellStyle name="Hyperlink 5820" xfId="5445"/>
    <cellStyle name="Hyperlink 5820 2" xfId="10164"/>
    <cellStyle name="Hyperlink 5820 3" xfId="7822"/>
    <cellStyle name="Hyperlink 5821" xfId="5446"/>
    <cellStyle name="Hyperlink 5821 2" xfId="10165"/>
    <cellStyle name="Hyperlink 5821 3" xfId="7823"/>
    <cellStyle name="Hyperlink 5822" xfId="5447"/>
    <cellStyle name="Hyperlink 5822 2" xfId="10166"/>
    <cellStyle name="Hyperlink 5822 3" xfId="7824"/>
    <cellStyle name="Hyperlink 5823" xfId="5448"/>
    <cellStyle name="Hyperlink 5823 2" xfId="10167"/>
    <cellStyle name="Hyperlink 5823 3" xfId="7825"/>
    <cellStyle name="Hyperlink 5824" xfId="5449"/>
    <cellStyle name="Hyperlink 5824 2" xfId="10168"/>
    <cellStyle name="Hyperlink 5824 3" xfId="7826"/>
    <cellStyle name="Hyperlink 5825" xfId="5450"/>
    <cellStyle name="Hyperlink 5825 2" xfId="10169"/>
    <cellStyle name="Hyperlink 5825 3" xfId="7827"/>
    <cellStyle name="Hyperlink 5826" xfId="5451"/>
    <cellStyle name="Hyperlink 5826 2" xfId="10170"/>
    <cellStyle name="Hyperlink 5826 3" xfId="7828"/>
    <cellStyle name="Hyperlink 5827" xfId="5452"/>
    <cellStyle name="Hyperlink 5827 2" xfId="10171"/>
    <cellStyle name="Hyperlink 5827 3" xfId="7829"/>
    <cellStyle name="Hyperlink 5828" xfId="5453"/>
    <cellStyle name="Hyperlink 5828 2" xfId="10172"/>
    <cellStyle name="Hyperlink 5828 3" xfId="7830"/>
    <cellStyle name="Hyperlink 5829" xfId="5454"/>
    <cellStyle name="Hyperlink 5829 2" xfId="10173"/>
    <cellStyle name="Hyperlink 5829 3" xfId="7831"/>
    <cellStyle name="Hyperlink 583" xfId="5455"/>
    <cellStyle name="Hyperlink 583 2" xfId="10174"/>
    <cellStyle name="Hyperlink 583 3" xfId="7832"/>
    <cellStyle name="Hyperlink 5830" xfId="5456"/>
    <cellStyle name="Hyperlink 5830 2" xfId="10175"/>
    <cellStyle name="Hyperlink 5830 3" xfId="7833"/>
    <cellStyle name="Hyperlink 5831" xfId="5457"/>
    <cellStyle name="Hyperlink 5831 2" xfId="10176"/>
    <cellStyle name="Hyperlink 5831 3" xfId="7834"/>
    <cellStyle name="Hyperlink 5832" xfId="5458"/>
    <cellStyle name="Hyperlink 5832 2" xfId="10177"/>
    <cellStyle name="Hyperlink 5832 3" xfId="7835"/>
    <cellStyle name="Hyperlink 5833" xfId="5459"/>
    <cellStyle name="Hyperlink 5833 2" xfId="10178"/>
    <cellStyle name="Hyperlink 5833 3" xfId="7836"/>
    <cellStyle name="Hyperlink 5834" xfId="5460"/>
    <cellStyle name="Hyperlink 5834 2" xfId="10179"/>
    <cellStyle name="Hyperlink 5834 3" xfId="7837"/>
    <cellStyle name="Hyperlink 5835" xfId="5461"/>
    <cellStyle name="Hyperlink 5835 2" xfId="10180"/>
    <cellStyle name="Hyperlink 5835 3" xfId="7838"/>
    <cellStyle name="Hyperlink 5836" xfId="5462"/>
    <cellStyle name="Hyperlink 5836 2" xfId="10181"/>
    <cellStyle name="Hyperlink 5836 3" xfId="7839"/>
    <cellStyle name="Hyperlink 5837" xfId="5463"/>
    <cellStyle name="Hyperlink 5837 2" xfId="10182"/>
    <cellStyle name="Hyperlink 5837 3" xfId="7840"/>
    <cellStyle name="Hyperlink 5838" xfId="5464"/>
    <cellStyle name="Hyperlink 5838 2" xfId="10183"/>
    <cellStyle name="Hyperlink 5838 3" xfId="7841"/>
    <cellStyle name="Hyperlink 5839" xfId="5465"/>
    <cellStyle name="Hyperlink 5839 2" xfId="10184"/>
    <cellStyle name="Hyperlink 5839 3" xfId="7842"/>
    <cellStyle name="Hyperlink 584" xfId="5466"/>
    <cellStyle name="Hyperlink 584 2" xfId="10185"/>
    <cellStyle name="Hyperlink 584 3" xfId="7843"/>
    <cellStyle name="Hyperlink 5840" xfId="5467"/>
    <cellStyle name="Hyperlink 5840 2" xfId="10186"/>
    <cellStyle name="Hyperlink 5840 3" xfId="7844"/>
    <cellStyle name="Hyperlink 5841" xfId="5468"/>
    <cellStyle name="Hyperlink 5841 2" xfId="10187"/>
    <cellStyle name="Hyperlink 5841 3" xfId="7845"/>
    <cellStyle name="Hyperlink 5842" xfId="5469"/>
    <cellStyle name="Hyperlink 5842 2" xfId="10188"/>
    <cellStyle name="Hyperlink 5842 3" xfId="7846"/>
    <cellStyle name="Hyperlink 5843" xfId="5470"/>
    <cellStyle name="Hyperlink 5843 2" xfId="10189"/>
    <cellStyle name="Hyperlink 5843 3" xfId="7847"/>
    <cellStyle name="Hyperlink 5844" xfId="5471"/>
    <cellStyle name="Hyperlink 5844 2" xfId="10190"/>
    <cellStyle name="Hyperlink 5844 3" xfId="7848"/>
    <cellStyle name="Hyperlink 5845" xfId="5472"/>
    <cellStyle name="Hyperlink 5845 2" xfId="10191"/>
    <cellStyle name="Hyperlink 5845 3" xfId="7849"/>
    <cellStyle name="Hyperlink 5846" xfId="5473"/>
    <cellStyle name="Hyperlink 5846 2" xfId="10192"/>
    <cellStyle name="Hyperlink 5846 3" xfId="7850"/>
    <cellStyle name="Hyperlink 5847" xfId="5474"/>
    <cellStyle name="Hyperlink 5847 2" xfId="10193"/>
    <cellStyle name="Hyperlink 5847 3" xfId="7851"/>
    <cellStyle name="Hyperlink 5848" xfId="5475"/>
    <cellStyle name="Hyperlink 5848 2" xfId="10194"/>
    <cellStyle name="Hyperlink 5848 3" xfId="7852"/>
    <cellStyle name="Hyperlink 5849" xfId="5476"/>
    <cellStyle name="Hyperlink 5849 2" xfId="10195"/>
    <cellStyle name="Hyperlink 5849 3" xfId="7853"/>
    <cellStyle name="Hyperlink 585" xfId="5477"/>
    <cellStyle name="Hyperlink 585 2" xfId="10196"/>
    <cellStyle name="Hyperlink 585 3" xfId="7854"/>
    <cellStyle name="Hyperlink 5850" xfId="5478"/>
    <cellStyle name="Hyperlink 5850 2" xfId="10197"/>
    <cellStyle name="Hyperlink 5850 3" xfId="7855"/>
    <cellStyle name="Hyperlink 5851" xfId="5479"/>
    <cellStyle name="Hyperlink 5851 2" xfId="10198"/>
    <cellStyle name="Hyperlink 5851 3" xfId="7856"/>
    <cellStyle name="Hyperlink 5852" xfId="5480"/>
    <cellStyle name="Hyperlink 5852 2" xfId="10199"/>
    <cellStyle name="Hyperlink 5852 3" xfId="7857"/>
    <cellStyle name="Hyperlink 5853" xfId="5481"/>
    <cellStyle name="Hyperlink 5853 2" xfId="10200"/>
    <cellStyle name="Hyperlink 5853 3" xfId="7858"/>
    <cellStyle name="Hyperlink 5854" xfId="5482"/>
    <cellStyle name="Hyperlink 5854 2" xfId="10201"/>
    <cellStyle name="Hyperlink 5854 3" xfId="7859"/>
    <cellStyle name="Hyperlink 5855" xfId="5483"/>
    <cellStyle name="Hyperlink 5855 2" xfId="10202"/>
    <cellStyle name="Hyperlink 5855 3" xfId="7860"/>
    <cellStyle name="Hyperlink 5856" xfId="5484"/>
    <cellStyle name="Hyperlink 5856 2" xfId="10203"/>
    <cellStyle name="Hyperlink 5856 3" xfId="7861"/>
    <cellStyle name="Hyperlink 5857" xfId="5485"/>
    <cellStyle name="Hyperlink 5857 2" xfId="10204"/>
    <cellStyle name="Hyperlink 5857 3" xfId="7862"/>
    <cellStyle name="Hyperlink 5858" xfId="5486"/>
    <cellStyle name="Hyperlink 5858 2" xfId="10205"/>
    <cellStyle name="Hyperlink 5858 3" xfId="7863"/>
    <cellStyle name="Hyperlink 5859" xfId="5487"/>
    <cellStyle name="Hyperlink 5859 2" xfId="10206"/>
    <cellStyle name="Hyperlink 5859 3" xfId="7864"/>
    <cellStyle name="Hyperlink 586" xfId="5488"/>
    <cellStyle name="Hyperlink 586 2" xfId="10207"/>
    <cellStyle name="Hyperlink 586 3" xfId="7865"/>
    <cellStyle name="Hyperlink 5860" xfId="5489"/>
    <cellStyle name="Hyperlink 5860 2" xfId="10208"/>
    <cellStyle name="Hyperlink 5860 3" xfId="7866"/>
    <cellStyle name="Hyperlink 5861" xfId="5490"/>
    <cellStyle name="Hyperlink 5861 2" xfId="10209"/>
    <cellStyle name="Hyperlink 5861 3" xfId="7867"/>
    <cellStyle name="Hyperlink 5862" xfId="5491"/>
    <cellStyle name="Hyperlink 5862 2" xfId="10210"/>
    <cellStyle name="Hyperlink 5862 3" xfId="7868"/>
    <cellStyle name="Hyperlink 5863" xfId="5492"/>
    <cellStyle name="Hyperlink 5863 2" xfId="10211"/>
    <cellStyle name="Hyperlink 5863 3" xfId="7869"/>
    <cellStyle name="Hyperlink 5864" xfId="5493"/>
    <cellStyle name="Hyperlink 5864 2" xfId="10212"/>
    <cellStyle name="Hyperlink 5864 3" xfId="7870"/>
    <cellStyle name="Hyperlink 5865" xfId="5494"/>
    <cellStyle name="Hyperlink 5865 2" xfId="10213"/>
    <cellStyle name="Hyperlink 5865 3" xfId="7871"/>
    <cellStyle name="Hyperlink 5866" xfId="5495"/>
    <cellStyle name="Hyperlink 5866 2" xfId="10214"/>
    <cellStyle name="Hyperlink 5866 3" xfId="7872"/>
    <cellStyle name="Hyperlink 5867" xfId="5496"/>
    <cellStyle name="Hyperlink 5867 2" xfId="10215"/>
    <cellStyle name="Hyperlink 5867 3" xfId="7873"/>
    <cellStyle name="Hyperlink 5868" xfId="5497"/>
    <cellStyle name="Hyperlink 5868 2" xfId="10216"/>
    <cellStyle name="Hyperlink 5868 3" xfId="7874"/>
    <cellStyle name="Hyperlink 5869" xfId="5498"/>
    <cellStyle name="Hyperlink 5869 2" xfId="10217"/>
    <cellStyle name="Hyperlink 5869 3" xfId="7875"/>
    <cellStyle name="Hyperlink 587" xfId="5499"/>
    <cellStyle name="Hyperlink 587 2" xfId="10218"/>
    <cellStyle name="Hyperlink 587 3" xfId="7876"/>
    <cellStyle name="Hyperlink 5870" xfId="5500"/>
    <cellStyle name="Hyperlink 5870 2" xfId="10219"/>
    <cellStyle name="Hyperlink 5870 3" xfId="7877"/>
    <cellStyle name="Hyperlink 5871" xfId="5501"/>
    <cellStyle name="Hyperlink 5871 2" xfId="10220"/>
    <cellStyle name="Hyperlink 5871 3" xfId="7878"/>
    <cellStyle name="Hyperlink 5872" xfId="5502"/>
    <cellStyle name="Hyperlink 5872 2" xfId="10221"/>
    <cellStyle name="Hyperlink 5872 3" xfId="7879"/>
    <cellStyle name="Hyperlink 5873" xfId="5503"/>
    <cellStyle name="Hyperlink 5873 2" xfId="10222"/>
    <cellStyle name="Hyperlink 5873 3" xfId="7880"/>
    <cellStyle name="Hyperlink 5874" xfId="5504"/>
    <cellStyle name="Hyperlink 5874 2" xfId="10223"/>
    <cellStyle name="Hyperlink 5874 3" xfId="7881"/>
    <cellStyle name="Hyperlink 5875" xfId="5505"/>
    <cellStyle name="Hyperlink 5875 2" xfId="10224"/>
    <cellStyle name="Hyperlink 5875 3" xfId="7882"/>
    <cellStyle name="Hyperlink 5876" xfId="5506"/>
    <cellStyle name="Hyperlink 5876 2" xfId="10225"/>
    <cellStyle name="Hyperlink 5876 3" xfId="7883"/>
    <cellStyle name="Hyperlink 5877" xfId="5507"/>
    <cellStyle name="Hyperlink 5877 2" xfId="10226"/>
    <cellStyle name="Hyperlink 5877 3" xfId="7884"/>
    <cellStyle name="Hyperlink 5878" xfId="5508"/>
    <cellStyle name="Hyperlink 5878 2" xfId="10227"/>
    <cellStyle name="Hyperlink 5878 3" xfId="7885"/>
    <cellStyle name="Hyperlink 5879" xfId="5509"/>
    <cellStyle name="Hyperlink 5879 2" xfId="10228"/>
    <cellStyle name="Hyperlink 5879 3" xfId="7886"/>
    <cellStyle name="Hyperlink 588" xfId="5510"/>
    <cellStyle name="Hyperlink 588 2" xfId="10229"/>
    <cellStyle name="Hyperlink 588 3" xfId="7887"/>
    <cellStyle name="Hyperlink 5880" xfId="5511"/>
    <cellStyle name="Hyperlink 5880 2" xfId="10230"/>
    <cellStyle name="Hyperlink 5880 3" xfId="7888"/>
    <cellStyle name="Hyperlink 5881" xfId="5512"/>
    <cellStyle name="Hyperlink 5881 2" xfId="10231"/>
    <cellStyle name="Hyperlink 5881 3" xfId="7889"/>
    <cellStyle name="Hyperlink 5882" xfId="5513"/>
    <cellStyle name="Hyperlink 5882 2" xfId="10232"/>
    <cellStyle name="Hyperlink 5882 3" xfId="7890"/>
    <cellStyle name="Hyperlink 5883" xfId="5514"/>
    <cellStyle name="Hyperlink 5883 2" xfId="10233"/>
    <cellStyle name="Hyperlink 5883 3" xfId="7891"/>
    <cellStyle name="Hyperlink 5884" xfId="5515"/>
    <cellStyle name="Hyperlink 5884 2" xfId="10234"/>
    <cellStyle name="Hyperlink 5884 3" xfId="7892"/>
    <cellStyle name="Hyperlink 5885" xfId="5516"/>
    <cellStyle name="Hyperlink 5885 2" xfId="10235"/>
    <cellStyle name="Hyperlink 5885 3" xfId="7893"/>
    <cellStyle name="Hyperlink 5886" xfId="5517"/>
    <cellStyle name="Hyperlink 5886 2" xfId="10236"/>
    <cellStyle name="Hyperlink 5886 3" xfId="7894"/>
    <cellStyle name="Hyperlink 5887" xfId="5518"/>
    <cellStyle name="Hyperlink 5887 2" xfId="10237"/>
    <cellStyle name="Hyperlink 5887 3" xfId="7895"/>
    <cellStyle name="Hyperlink 5888" xfId="5519"/>
    <cellStyle name="Hyperlink 5888 2" xfId="10238"/>
    <cellStyle name="Hyperlink 5888 3" xfId="7896"/>
    <cellStyle name="Hyperlink 5889" xfId="5520"/>
    <cellStyle name="Hyperlink 5889 2" xfId="10239"/>
    <cellStyle name="Hyperlink 5889 3" xfId="7897"/>
    <cellStyle name="Hyperlink 589" xfId="5521"/>
    <cellStyle name="Hyperlink 589 2" xfId="10240"/>
    <cellStyle name="Hyperlink 589 3" xfId="7898"/>
    <cellStyle name="Hyperlink 5890" xfId="5522"/>
    <cellStyle name="Hyperlink 5890 2" xfId="10241"/>
    <cellStyle name="Hyperlink 5890 3" xfId="7899"/>
    <cellStyle name="Hyperlink 5891" xfId="5523"/>
    <cellStyle name="Hyperlink 5891 2" xfId="10242"/>
    <cellStyle name="Hyperlink 5891 3" xfId="7900"/>
    <cellStyle name="Hyperlink 5892" xfId="5524"/>
    <cellStyle name="Hyperlink 5892 2" xfId="10243"/>
    <cellStyle name="Hyperlink 5892 3" xfId="7901"/>
    <cellStyle name="Hyperlink 5893" xfId="5525"/>
    <cellStyle name="Hyperlink 5893 2" xfId="10244"/>
    <cellStyle name="Hyperlink 5893 3" xfId="7902"/>
    <cellStyle name="Hyperlink 5894" xfId="5526"/>
    <cellStyle name="Hyperlink 5894 2" xfId="10245"/>
    <cellStyle name="Hyperlink 5894 3" xfId="7903"/>
    <cellStyle name="Hyperlink 5895" xfId="5527"/>
    <cellStyle name="Hyperlink 5895 2" xfId="10246"/>
    <cellStyle name="Hyperlink 5895 3" xfId="7904"/>
    <cellStyle name="Hyperlink 5896" xfId="5528"/>
    <cellStyle name="Hyperlink 5896 2" xfId="10247"/>
    <cellStyle name="Hyperlink 5896 3" xfId="7905"/>
    <cellStyle name="Hyperlink 5897" xfId="5529"/>
    <cellStyle name="Hyperlink 5897 2" xfId="10248"/>
    <cellStyle name="Hyperlink 5897 3" xfId="7906"/>
    <cellStyle name="Hyperlink 5898" xfId="5530"/>
    <cellStyle name="Hyperlink 5898 2" xfId="10249"/>
    <cellStyle name="Hyperlink 5898 3" xfId="7907"/>
    <cellStyle name="Hyperlink 5899" xfId="5531"/>
    <cellStyle name="Hyperlink 5899 2" xfId="10250"/>
    <cellStyle name="Hyperlink 5899 3" xfId="7908"/>
    <cellStyle name="Hyperlink 59" xfId="5532"/>
    <cellStyle name="Hyperlink 59 2" xfId="10251"/>
    <cellStyle name="Hyperlink 59 3" xfId="7909"/>
    <cellStyle name="Hyperlink 590" xfId="5533"/>
    <cellStyle name="Hyperlink 590 2" xfId="10252"/>
    <cellStyle name="Hyperlink 590 3" xfId="7910"/>
    <cellStyle name="Hyperlink 5900" xfId="5534"/>
    <cellStyle name="Hyperlink 5900 2" xfId="10253"/>
    <cellStyle name="Hyperlink 5900 3" xfId="7911"/>
    <cellStyle name="Hyperlink 5901" xfId="5535"/>
    <cellStyle name="Hyperlink 5901 2" xfId="10254"/>
    <cellStyle name="Hyperlink 5901 3" xfId="7912"/>
    <cellStyle name="Hyperlink 5902" xfId="5536"/>
    <cellStyle name="Hyperlink 5902 2" xfId="10255"/>
    <cellStyle name="Hyperlink 5902 3" xfId="7913"/>
    <cellStyle name="Hyperlink 5903" xfId="5537"/>
    <cellStyle name="Hyperlink 5903 2" xfId="10256"/>
    <cellStyle name="Hyperlink 5903 3" xfId="7914"/>
    <cellStyle name="Hyperlink 5904" xfId="5538"/>
    <cellStyle name="Hyperlink 5904 2" xfId="10257"/>
    <cellStyle name="Hyperlink 5904 3" xfId="7915"/>
    <cellStyle name="Hyperlink 5905" xfId="5539"/>
    <cellStyle name="Hyperlink 5905 2" xfId="10258"/>
    <cellStyle name="Hyperlink 5905 3" xfId="7916"/>
    <cellStyle name="Hyperlink 5906" xfId="5540"/>
    <cellStyle name="Hyperlink 5906 2" xfId="10259"/>
    <cellStyle name="Hyperlink 5906 3" xfId="7917"/>
    <cellStyle name="Hyperlink 5907" xfId="5541"/>
    <cellStyle name="Hyperlink 5907 2" xfId="10260"/>
    <cellStyle name="Hyperlink 5907 3" xfId="7918"/>
    <cellStyle name="Hyperlink 5908" xfId="5542"/>
    <cellStyle name="Hyperlink 5908 2" xfId="10261"/>
    <cellStyle name="Hyperlink 5908 3" xfId="7919"/>
    <cellStyle name="Hyperlink 5909" xfId="5543"/>
    <cellStyle name="Hyperlink 5909 2" xfId="10262"/>
    <cellStyle name="Hyperlink 5909 3" xfId="7920"/>
    <cellStyle name="Hyperlink 591" xfId="5544"/>
    <cellStyle name="Hyperlink 591 2" xfId="10263"/>
    <cellStyle name="Hyperlink 591 3" xfId="7921"/>
    <cellStyle name="Hyperlink 5910" xfId="5545"/>
    <cellStyle name="Hyperlink 5910 2" xfId="10264"/>
    <cellStyle name="Hyperlink 5910 3" xfId="7922"/>
    <cellStyle name="Hyperlink 5911" xfId="5546"/>
    <cellStyle name="Hyperlink 5911 2" xfId="10265"/>
    <cellStyle name="Hyperlink 5911 3" xfId="7923"/>
    <cellStyle name="Hyperlink 5912" xfId="5547"/>
    <cellStyle name="Hyperlink 5912 2" xfId="10266"/>
    <cellStyle name="Hyperlink 5912 3" xfId="7924"/>
    <cellStyle name="Hyperlink 5913" xfId="5548"/>
    <cellStyle name="Hyperlink 5913 2" xfId="10267"/>
    <cellStyle name="Hyperlink 5913 3" xfId="7925"/>
    <cellStyle name="Hyperlink 5914" xfId="5549"/>
    <cellStyle name="Hyperlink 5914 2" xfId="10268"/>
    <cellStyle name="Hyperlink 5914 3" xfId="7926"/>
    <cellStyle name="Hyperlink 5915" xfId="5550"/>
    <cellStyle name="Hyperlink 5915 2" xfId="10269"/>
    <cellStyle name="Hyperlink 5915 3" xfId="7927"/>
    <cellStyle name="Hyperlink 5916" xfId="5551"/>
    <cellStyle name="Hyperlink 5916 2" xfId="10270"/>
    <cellStyle name="Hyperlink 5916 3" xfId="7928"/>
    <cellStyle name="Hyperlink 5917" xfId="5552"/>
    <cellStyle name="Hyperlink 5917 2" xfId="10271"/>
    <cellStyle name="Hyperlink 5917 3" xfId="7929"/>
    <cellStyle name="Hyperlink 5918" xfId="5553"/>
    <cellStyle name="Hyperlink 5918 2" xfId="10272"/>
    <cellStyle name="Hyperlink 5918 3" xfId="7930"/>
    <cellStyle name="Hyperlink 5919" xfId="5554"/>
    <cellStyle name="Hyperlink 5919 2" xfId="10273"/>
    <cellStyle name="Hyperlink 5919 3" xfId="7931"/>
    <cellStyle name="Hyperlink 592" xfId="5555"/>
    <cellStyle name="Hyperlink 592 2" xfId="10274"/>
    <cellStyle name="Hyperlink 592 3" xfId="7932"/>
    <cellStyle name="Hyperlink 5920" xfId="5556"/>
    <cellStyle name="Hyperlink 5920 2" xfId="10275"/>
    <cellStyle name="Hyperlink 5920 3" xfId="7933"/>
    <cellStyle name="Hyperlink 5921" xfId="5557"/>
    <cellStyle name="Hyperlink 5921 2" xfId="10276"/>
    <cellStyle name="Hyperlink 5921 3" xfId="7934"/>
    <cellStyle name="Hyperlink 5922" xfId="5558"/>
    <cellStyle name="Hyperlink 5922 2" xfId="10277"/>
    <cellStyle name="Hyperlink 5922 3" xfId="7935"/>
    <cellStyle name="Hyperlink 5923" xfId="5559"/>
    <cellStyle name="Hyperlink 5923 2" xfId="10278"/>
    <cellStyle name="Hyperlink 5923 3" xfId="7936"/>
    <cellStyle name="Hyperlink 5924" xfId="5560"/>
    <cellStyle name="Hyperlink 5924 2" xfId="10279"/>
    <cellStyle name="Hyperlink 5924 3" xfId="7937"/>
    <cellStyle name="Hyperlink 5925" xfId="5561"/>
    <cellStyle name="Hyperlink 5925 2" xfId="10280"/>
    <cellStyle name="Hyperlink 5925 3" xfId="7938"/>
    <cellStyle name="Hyperlink 5926" xfId="5562"/>
    <cellStyle name="Hyperlink 5926 2" xfId="10281"/>
    <cellStyle name="Hyperlink 5926 3" xfId="7939"/>
    <cellStyle name="Hyperlink 5927" xfId="5563"/>
    <cellStyle name="Hyperlink 5927 2" xfId="10282"/>
    <cellStyle name="Hyperlink 5927 3" xfId="7940"/>
    <cellStyle name="Hyperlink 5928" xfId="5564"/>
    <cellStyle name="Hyperlink 5928 2" xfId="10283"/>
    <cellStyle name="Hyperlink 5928 3" xfId="7941"/>
    <cellStyle name="Hyperlink 5929" xfId="5565"/>
    <cellStyle name="Hyperlink 5929 2" xfId="10284"/>
    <cellStyle name="Hyperlink 5929 3" xfId="7942"/>
    <cellStyle name="Hyperlink 593" xfId="5566"/>
    <cellStyle name="Hyperlink 593 2" xfId="10285"/>
    <cellStyle name="Hyperlink 593 3" xfId="7943"/>
    <cellStyle name="Hyperlink 5930" xfId="5567"/>
    <cellStyle name="Hyperlink 5930 2" xfId="10286"/>
    <cellStyle name="Hyperlink 5930 3" xfId="7944"/>
    <cellStyle name="Hyperlink 5931" xfId="5568"/>
    <cellStyle name="Hyperlink 5931 2" xfId="10287"/>
    <cellStyle name="Hyperlink 5931 3" xfId="7945"/>
    <cellStyle name="Hyperlink 5932" xfId="5569"/>
    <cellStyle name="Hyperlink 5932 2" xfId="10288"/>
    <cellStyle name="Hyperlink 5932 3" xfId="7946"/>
    <cellStyle name="Hyperlink 5933" xfId="5570"/>
    <cellStyle name="Hyperlink 5933 2" xfId="10289"/>
    <cellStyle name="Hyperlink 5933 3" xfId="7947"/>
    <cellStyle name="Hyperlink 5934" xfId="5571"/>
    <cellStyle name="Hyperlink 5934 2" xfId="10290"/>
    <cellStyle name="Hyperlink 5934 3" xfId="7948"/>
    <cellStyle name="Hyperlink 5935" xfId="5572"/>
    <cellStyle name="Hyperlink 5935 2" xfId="10291"/>
    <cellStyle name="Hyperlink 5935 3" xfId="7949"/>
    <cellStyle name="Hyperlink 5936" xfId="5573"/>
    <cellStyle name="Hyperlink 5936 2" xfId="10292"/>
    <cellStyle name="Hyperlink 5936 3" xfId="7950"/>
    <cellStyle name="Hyperlink 5937" xfId="5574"/>
    <cellStyle name="Hyperlink 5937 2" xfId="10293"/>
    <cellStyle name="Hyperlink 5937 3" xfId="7951"/>
    <cellStyle name="Hyperlink 5938" xfId="5575"/>
    <cellStyle name="Hyperlink 5938 2" xfId="10294"/>
    <cellStyle name="Hyperlink 5938 3" xfId="7952"/>
    <cellStyle name="Hyperlink 5939" xfId="5576"/>
    <cellStyle name="Hyperlink 5939 2" xfId="10295"/>
    <cellStyle name="Hyperlink 5939 3" xfId="7953"/>
    <cellStyle name="Hyperlink 594" xfId="5577"/>
    <cellStyle name="Hyperlink 594 2" xfId="10296"/>
    <cellStyle name="Hyperlink 594 3" xfId="7954"/>
    <cellStyle name="Hyperlink 5940" xfId="5578"/>
    <cellStyle name="Hyperlink 5940 2" xfId="10297"/>
    <cellStyle name="Hyperlink 5940 3" xfId="7955"/>
    <cellStyle name="Hyperlink 5941" xfId="5579"/>
    <cellStyle name="Hyperlink 5941 2" xfId="10298"/>
    <cellStyle name="Hyperlink 5941 3" xfId="7956"/>
    <cellStyle name="Hyperlink 5942" xfId="5580"/>
    <cellStyle name="Hyperlink 5942 2" xfId="10299"/>
    <cellStyle name="Hyperlink 5942 3" xfId="7957"/>
    <cellStyle name="Hyperlink 5943" xfId="5581"/>
    <cellStyle name="Hyperlink 5943 2" xfId="10300"/>
    <cellStyle name="Hyperlink 5943 3" xfId="7958"/>
    <cellStyle name="Hyperlink 5944" xfId="5582"/>
    <cellStyle name="Hyperlink 5944 2" xfId="10301"/>
    <cellStyle name="Hyperlink 5944 3" xfId="7959"/>
    <cellStyle name="Hyperlink 5945" xfId="5583"/>
    <cellStyle name="Hyperlink 5945 2" xfId="10302"/>
    <cellStyle name="Hyperlink 5945 3" xfId="7960"/>
    <cellStyle name="Hyperlink 5946" xfId="5584"/>
    <cellStyle name="Hyperlink 5946 2" xfId="10303"/>
    <cellStyle name="Hyperlink 5946 3" xfId="7961"/>
    <cellStyle name="Hyperlink 5947" xfId="5585"/>
    <cellStyle name="Hyperlink 5947 2" xfId="10304"/>
    <cellStyle name="Hyperlink 5947 3" xfId="7962"/>
    <cellStyle name="Hyperlink 5948" xfId="5586"/>
    <cellStyle name="Hyperlink 5948 2" xfId="10305"/>
    <cellStyle name="Hyperlink 5948 3" xfId="7963"/>
    <cellStyle name="Hyperlink 5949" xfId="5587"/>
    <cellStyle name="Hyperlink 5949 2" xfId="10306"/>
    <cellStyle name="Hyperlink 5949 3" xfId="7964"/>
    <cellStyle name="Hyperlink 595" xfId="5588"/>
    <cellStyle name="Hyperlink 595 2" xfId="10307"/>
    <cellStyle name="Hyperlink 595 3" xfId="7965"/>
    <cellStyle name="Hyperlink 5950" xfId="5589"/>
    <cellStyle name="Hyperlink 5950 2" xfId="10308"/>
    <cellStyle name="Hyperlink 5950 3" xfId="7966"/>
    <cellStyle name="Hyperlink 5951" xfId="5590"/>
    <cellStyle name="Hyperlink 5951 2" xfId="10309"/>
    <cellStyle name="Hyperlink 5951 3" xfId="7967"/>
    <cellStyle name="Hyperlink 5952" xfId="5591"/>
    <cellStyle name="Hyperlink 5952 2" xfId="10310"/>
    <cellStyle name="Hyperlink 5952 3" xfId="7968"/>
    <cellStyle name="Hyperlink 5953" xfId="5592"/>
    <cellStyle name="Hyperlink 5953 2" xfId="10311"/>
    <cellStyle name="Hyperlink 5953 3" xfId="7969"/>
    <cellStyle name="Hyperlink 5954" xfId="5593"/>
    <cellStyle name="Hyperlink 5954 2" xfId="10312"/>
    <cellStyle name="Hyperlink 5954 3" xfId="7970"/>
    <cellStyle name="Hyperlink 5955" xfId="5594"/>
    <cellStyle name="Hyperlink 5955 2" xfId="10313"/>
    <cellStyle name="Hyperlink 5955 3" xfId="7971"/>
    <cellStyle name="Hyperlink 5956" xfId="5595"/>
    <cellStyle name="Hyperlink 5956 2" xfId="10314"/>
    <cellStyle name="Hyperlink 5956 3" xfId="7972"/>
    <cellStyle name="Hyperlink 5957" xfId="5596"/>
    <cellStyle name="Hyperlink 5957 2" xfId="10315"/>
    <cellStyle name="Hyperlink 5957 3" xfId="7973"/>
    <cellStyle name="Hyperlink 5958" xfId="5597"/>
    <cellStyle name="Hyperlink 5958 2" xfId="10316"/>
    <cellStyle name="Hyperlink 5958 3" xfId="7974"/>
    <cellStyle name="Hyperlink 5959" xfId="5598"/>
    <cellStyle name="Hyperlink 5959 2" xfId="10317"/>
    <cellStyle name="Hyperlink 5959 3" xfId="7975"/>
    <cellStyle name="Hyperlink 596" xfId="5599"/>
    <cellStyle name="Hyperlink 596 2" xfId="10318"/>
    <cellStyle name="Hyperlink 596 3" xfId="7976"/>
    <cellStyle name="Hyperlink 5960" xfId="5600"/>
    <cellStyle name="Hyperlink 5960 2" xfId="10319"/>
    <cellStyle name="Hyperlink 5960 3" xfId="7977"/>
    <cellStyle name="Hyperlink 5961" xfId="5601"/>
    <cellStyle name="Hyperlink 5961 2" xfId="10320"/>
    <cellStyle name="Hyperlink 5961 3" xfId="7978"/>
    <cellStyle name="Hyperlink 5962" xfId="5602"/>
    <cellStyle name="Hyperlink 5962 2" xfId="10321"/>
    <cellStyle name="Hyperlink 5962 3" xfId="7979"/>
    <cellStyle name="Hyperlink 5963" xfId="5603"/>
    <cellStyle name="Hyperlink 5963 2" xfId="10322"/>
    <cellStyle name="Hyperlink 5963 3" xfId="7980"/>
    <cellStyle name="Hyperlink 5964" xfId="5604"/>
    <cellStyle name="Hyperlink 5964 2" xfId="10323"/>
    <cellStyle name="Hyperlink 5964 3" xfId="7981"/>
    <cellStyle name="Hyperlink 5965" xfId="5605"/>
    <cellStyle name="Hyperlink 5965 2" xfId="10324"/>
    <cellStyle name="Hyperlink 5965 3" xfId="7982"/>
    <cellStyle name="Hyperlink 5966" xfId="5606"/>
    <cellStyle name="Hyperlink 5966 2" xfId="10325"/>
    <cellStyle name="Hyperlink 5966 3" xfId="7983"/>
    <cellStyle name="Hyperlink 5967" xfId="5607"/>
    <cellStyle name="Hyperlink 5967 2" xfId="10326"/>
    <cellStyle name="Hyperlink 5967 3" xfId="7984"/>
    <cellStyle name="Hyperlink 5968" xfId="5608"/>
    <cellStyle name="Hyperlink 5968 2" xfId="10327"/>
    <cellStyle name="Hyperlink 5968 3" xfId="7985"/>
    <cellStyle name="Hyperlink 5969" xfId="5609"/>
    <cellStyle name="Hyperlink 5969 2" xfId="10328"/>
    <cellStyle name="Hyperlink 5969 3" xfId="7986"/>
    <cellStyle name="Hyperlink 597" xfId="5610"/>
    <cellStyle name="Hyperlink 597 2" xfId="10329"/>
    <cellStyle name="Hyperlink 597 3" xfId="7987"/>
    <cellStyle name="Hyperlink 5970" xfId="5611"/>
    <cellStyle name="Hyperlink 5970 2" xfId="10330"/>
    <cellStyle name="Hyperlink 5970 3" xfId="7988"/>
    <cellStyle name="Hyperlink 5971" xfId="5612"/>
    <cellStyle name="Hyperlink 5971 2" xfId="10331"/>
    <cellStyle name="Hyperlink 5971 3" xfId="7989"/>
    <cellStyle name="Hyperlink 5972" xfId="5613"/>
    <cellStyle name="Hyperlink 5972 2" xfId="10332"/>
    <cellStyle name="Hyperlink 5972 3" xfId="7990"/>
    <cellStyle name="Hyperlink 5973" xfId="5614"/>
    <cellStyle name="Hyperlink 5973 2" xfId="10333"/>
    <cellStyle name="Hyperlink 5973 3" xfId="7991"/>
    <cellStyle name="Hyperlink 5974" xfId="5615"/>
    <cellStyle name="Hyperlink 5974 2" xfId="10334"/>
    <cellStyle name="Hyperlink 5974 3" xfId="7992"/>
    <cellStyle name="Hyperlink 5975" xfId="5616"/>
    <cellStyle name="Hyperlink 5975 2" xfId="10335"/>
    <cellStyle name="Hyperlink 5975 3" xfId="7993"/>
    <cellStyle name="Hyperlink 5976" xfId="5617"/>
    <cellStyle name="Hyperlink 5976 2" xfId="10336"/>
    <cellStyle name="Hyperlink 5976 3" xfId="7994"/>
    <cellStyle name="Hyperlink 5977" xfId="5618"/>
    <cellStyle name="Hyperlink 5977 2" xfId="10337"/>
    <cellStyle name="Hyperlink 5977 3" xfId="7995"/>
    <cellStyle name="Hyperlink 5978" xfId="5619"/>
    <cellStyle name="Hyperlink 5978 2" xfId="10338"/>
    <cellStyle name="Hyperlink 5978 3" xfId="7996"/>
    <cellStyle name="Hyperlink 5979" xfId="5620"/>
    <cellStyle name="Hyperlink 5979 2" xfId="10339"/>
    <cellStyle name="Hyperlink 5979 3" xfId="7997"/>
    <cellStyle name="Hyperlink 598" xfId="5621"/>
    <cellStyle name="Hyperlink 598 2" xfId="10340"/>
    <cellStyle name="Hyperlink 598 3" xfId="7998"/>
    <cellStyle name="Hyperlink 5980" xfId="5622"/>
    <cellStyle name="Hyperlink 5980 2" xfId="10341"/>
    <cellStyle name="Hyperlink 5980 3" xfId="7999"/>
    <cellStyle name="Hyperlink 5981" xfId="5623"/>
    <cellStyle name="Hyperlink 5981 2" xfId="10342"/>
    <cellStyle name="Hyperlink 5981 3" xfId="8000"/>
    <cellStyle name="Hyperlink 5982" xfId="5624"/>
    <cellStyle name="Hyperlink 5982 2" xfId="10343"/>
    <cellStyle name="Hyperlink 5982 3" xfId="8001"/>
    <cellStyle name="Hyperlink 5983" xfId="5625"/>
    <cellStyle name="Hyperlink 5983 2" xfId="10344"/>
    <cellStyle name="Hyperlink 5983 3" xfId="8002"/>
    <cellStyle name="Hyperlink 5984" xfId="5626"/>
    <cellStyle name="Hyperlink 5984 2" xfId="10345"/>
    <cellStyle name="Hyperlink 5984 3" xfId="8003"/>
    <cellStyle name="Hyperlink 5985" xfId="5627"/>
    <cellStyle name="Hyperlink 5985 2" xfId="10346"/>
    <cellStyle name="Hyperlink 5985 3" xfId="8004"/>
    <cellStyle name="Hyperlink 5986" xfId="5628"/>
    <cellStyle name="Hyperlink 5986 2" xfId="10347"/>
    <cellStyle name="Hyperlink 5986 3" xfId="8005"/>
    <cellStyle name="Hyperlink 5987" xfId="5629"/>
    <cellStyle name="Hyperlink 5987 2" xfId="10348"/>
    <cellStyle name="Hyperlink 5987 3" xfId="8006"/>
    <cellStyle name="Hyperlink 5988" xfId="5630"/>
    <cellStyle name="Hyperlink 5988 2" xfId="10349"/>
    <cellStyle name="Hyperlink 5988 3" xfId="8007"/>
    <cellStyle name="Hyperlink 5989" xfId="5631"/>
    <cellStyle name="Hyperlink 5989 2" xfId="10350"/>
    <cellStyle name="Hyperlink 5989 3" xfId="8008"/>
    <cellStyle name="Hyperlink 599" xfId="5632"/>
    <cellStyle name="Hyperlink 599 2" xfId="10351"/>
    <cellStyle name="Hyperlink 599 3" xfId="8009"/>
    <cellStyle name="Hyperlink 5990" xfId="5633"/>
    <cellStyle name="Hyperlink 5990 2" xfId="10352"/>
    <cellStyle name="Hyperlink 5990 3" xfId="8010"/>
    <cellStyle name="Hyperlink 5991" xfId="5634"/>
    <cellStyle name="Hyperlink 5991 2" xfId="10353"/>
    <cellStyle name="Hyperlink 5991 3" xfId="8011"/>
    <cellStyle name="Hyperlink 5992" xfId="5635"/>
    <cellStyle name="Hyperlink 5992 2" xfId="10354"/>
    <cellStyle name="Hyperlink 5992 3" xfId="8012"/>
    <cellStyle name="Hyperlink 5993" xfId="5636"/>
    <cellStyle name="Hyperlink 5993 2" xfId="10355"/>
    <cellStyle name="Hyperlink 5993 3" xfId="8013"/>
    <cellStyle name="Hyperlink 5994" xfId="5637"/>
    <cellStyle name="Hyperlink 5994 2" xfId="10356"/>
    <cellStyle name="Hyperlink 5994 3" xfId="8014"/>
    <cellStyle name="Hyperlink 5995" xfId="5638"/>
    <cellStyle name="Hyperlink 5995 2" xfId="10357"/>
    <cellStyle name="Hyperlink 5995 3" xfId="8015"/>
    <cellStyle name="Hyperlink 5996" xfId="5639"/>
    <cellStyle name="Hyperlink 5996 2" xfId="10358"/>
    <cellStyle name="Hyperlink 5996 3" xfId="8016"/>
    <cellStyle name="Hyperlink 5997" xfId="5640"/>
    <cellStyle name="Hyperlink 5997 2" xfId="10359"/>
    <cellStyle name="Hyperlink 5997 3" xfId="8017"/>
    <cellStyle name="Hyperlink 5998" xfId="5641"/>
    <cellStyle name="Hyperlink 5998 2" xfId="10360"/>
    <cellStyle name="Hyperlink 5998 3" xfId="8018"/>
    <cellStyle name="Hyperlink 5999" xfId="5642"/>
    <cellStyle name="Hyperlink 5999 2" xfId="10361"/>
    <cellStyle name="Hyperlink 5999 3" xfId="8019"/>
    <cellStyle name="Hyperlink 6" xfId="5643"/>
    <cellStyle name="Hyperlink 6 2" xfId="10362"/>
    <cellStyle name="Hyperlink 6 3" xfId="8020"/>
    <cellStyle name="Hyperlink 60" xfId="5644"/>
    <cellStyle name="Hyperlink 60 2" xfId="10363"/>
    <cellStyle name="Hyperlink 60 3" xfId="8021"/>
    <cellStyle name="Hyperlink 600" xfId="5645"/>
    <cellStyle name="Hyperlink 600 2" xfId="10364"/>
    <cellStyle name="Hyperlink 600 3" xfId="8022"/>
    <cellStyle name="Hyperlink 6000" xfId="5646"/>
    <cellStyle name="Hyperlink 6000 2" xfId="10365"/>
    <cellStyle name="Hyperlink 6000 3" xfId="8023"/>
    <cellStyle name="Hyperlink 6001" xfId="5647"/>
    <cellStyle name="Hyperlink 6001 2" xfId="10366"/>
    <cellStyle name="Hyperlink 6001 3" xfId="8024"/>
    <cellStyle name="Hyperlink 6002" xfId="5648"/>
    <cellStyle name="Hyperlink 6002 2" xfId="10367"/>
    <cellStyle name="Hyperlink 6002 3" xfId="8025"/>
    <cellStyle name="Hyperlink 6003" xfId="5649"/>
    <cellStyle name="Hyperlink 6003 2" xfId="10368"/>
    <cellStyle name="Hyperlink 6003 3" xfId="8026"/>
    <cellStyle name="Hyperlink 6004" xfId="5650"/>
    <cellStyle name="Hyperlink 6004 2" xfId="10369"/>
    <cellStyle name="Hyperlink 6004 3" xfId="8027"/>
    <cellStyle name="Hyperlink 6005" xfId="5651"/>
    <cellStyle name="Hyperlink 6005 2" xfId="10370"/>
    <cellStyle name="Hyperlink 6005 3" xfId="8028"/>
    <cellStyle name="Hyperlink 6006" xfId="5652"/>
    <cellStyle name="Hyperlink 6006 2" xfId="10371"/>
    <cellStyle name="Hyperlink 6006 3" xfId="8029"/>
    <cellStyle name="Hyperlink 6007" xfId="5653"/>
    <cellStyle name="Hyperlink 6007 2" xfId="10372"/>
    <cellStyle name="Hyperlink 6007 3" xfId="8030"/>
    <cellStyle name="Hyperlink 6008" xfId="5654"/>
    <cellStyle name="Hyperlink 6008 2" xfId="10373"/>
    <cellStyle name="Hyperlink 6008 3" xfId="8031"/>
    <cellStyle name="Hyperlink 6009" xfId="5655"/>
    <cellStyle name="Hyperlink 6009 2" xfId="10374"/>
    <cellStyle name="Hyperlink 6009 3" xfId="8032"/>
    <cellStyle name="Hyperlink 601" xfId="5656"/>
    <cellStyle name="Hyperlink 601 2" xfId="10375"/>
    <cellStyle name="Hyperlink 601 3" xfId="8033"/>
    <cellStyle name="Hyperlink 6010" xfId="5657"/>
    <cellStyle name="Hyperlink 6010 2" xfId="10376"/>
    <cellStyle name="Hyperlink 6010 3" xfId="8034"/>
    <cellStyle name="Hyperlink 6011" xfId="5658"/>
    <cellStyle name="Hyperlink 6011 2" xfId="10377"/>
    <cellStyle name="Hyperlink 6011 3" xfId="8035"/>
    <cellStyle name="Hyperlink 6012" xfId="5659"/>
    <cellStyle name="Hyperlink 6012 2" xfId="10378"/>
    <cellStyle name="Hyperlink 6012 3" xfId="8036"/>
    <cellStyle name="Hyperlink 6013" xfId="5660"/>
    <cellStyle name="Hyperlink 6013 2" xfId="10379"/>
    <cellStyle name="Hyperlink 6013 3" xfId="8037"/>
    <cellStyle name="Hyperlink 6014" xfId="5661"/>
    <cellStyle name="Hyperlink 6014 2" xfId="10380"/>
    <cellStyle name="Hyperlink 6014 3" xfId="8038"/>
    <cellStyle name="Hyperlink 6015" xfId="5662"/>
    <cellStyle name="Hyperlink 6015 2" xfId="10381"/>
    <cellStyle name="Hyperlink 6015 3" xfId="8039"/>
    <cellStyle name="Hyperlink 6016" xfId="5663"/>
    <cellStyle name="Hyperlink 6016 2" xfId="10382"/>
    <cellStyle name="Hyperlink 6016 3" xfId="8040"/>
    <cellStyle name="Hyperlink 6017" xfId="5664"/>
    <cellStyle name="Hyperlink 6017 2" xfId="10383"/>
    <cellStyle name="Hyperlink 6017 3" xfId="8041"/>
    <cellStyle name="Hyperlink 6018" xfId="5665"/>
    <cellStyle name="Hyperlink 6018 2" xfId="10384"/>
    <cellStyle name="Hyperlink 6018 3" xfId="8042"/>
    <cellStyle name="Hyperlink 6019" xfId="5666"/>
    <cellStyle name="Hyperlink 6019 2" xfId="10385"/>
    <cellStyle name="Hyperlink 6019 3" xfId="8043"/>
    <cellStyle name="Hyperlink 602" xfId="5667"/>
    <cellStyle name="Hyperlink 602 2" xfId="10386"/>
    <cellStyle name="Hyperlink 602 3" xfId="8044"/>
    <cellStyle name="Hyperlink 6020" xfId="5668"/>
    <cellStyle name="Hyperlink 6020 2" xfId="10387"/>
    <cellStyle name="Hyperlink 6020 3" xfId="8045"/>
    <cellStyle name="Hyperlink 6021" xfId="5669"/>
    <cellStyle name="Hyperlink 6021 2" xfId="10388"/>
    <cellStyle name="Hyperlink 6021 3" xfId="8046"/>
    <cellStyle name="Hyperlink 6022" xfId="5670"/>
    <cellStyle name="Hyperlink 6022 2" xfId="10389"/>
    <cellStyle name="Hyperlink 6022 3" xfId="8047"/>
    <cellStyle name="Hyperlink 6023" xfId="5671"/>
    <cellStyle name="Hyperlink 6023 2" xfId="10390"/>
    <cellStyle name="Hyperlink 6023 3" xfId="8048"/>
    <cellStyle name="Hyperlink 6024" xfId="5672"/>
    <cellStyle name="Hyperlink 6024 2" xfId="10391"/>
    <cellStyle name="Hyperlink 6024 3" xfId="8049"/>
    <cellStyle name="Hyperlink 6025" xfId="5673"/>
    <cellStyle name="Hyperlink 6025 2" xfId="10392"/>
    <cellStyle name="Hyperlink 6025 3" xfId="8050"/>
    <cellStyle name="Hyperlink 6026" xfId="5674"/>
    <cellStyle name="Hyperlink 6026 2" xfId="10393"/>
    <cellStyle name="Hyperlink 6026 3" xfId="8051"/>
    <cellStyle name="Hyperlink 6027" xfId="5675"/>
    <cellStyle name="Hyperlink 6027 2" xfId="10394"/>
    <cellStyle name="Hyperlink 6027 3" xfId="8052"/>
    <cellStyle name="Hyperlink 6028" xfId="5676"/>
    <cellStyle name="Hyperlink 6028 2" xfId="10395"/>
    <cellStyle name="Hyperlink 6028 3" xfId="8053"/>
    <cellStyle name="Hyperlink 6029" xfId="5677"/>
    <cellStyle name="Hyperlink 6029 2" xfId="10396"/>
    <cellStyle name="Hyperlink 6029 3" xfId="8054"/>
    <cellStyle name="Hyperlink 603" xfId="5678"/>
    <cellStyle name="Hyperlink 603 2" xfId="10397"/>
    <cellStyle name="Hyperlink 603 3" xfId="8055"/>
    <cellStyle name="Hyperlink 6030" xfId="5679"/>
    <cellStyle name="Hyperlink 6030 2" xfId="10398"/>
    <cellStyle name="Hyperlink 6030 3" xfId="8056"/>
    <cellStyle name="Hyperlink 6031" xfId="5680"/>
    <cellStyle name="Hyperlink 6031 2" xfId="10399"/>
    <cellStyle name="Hyperlink 6031 3" xfId="8057"/>
    <cellStyle name="Hyperlink 6032" xfId="5681"/>
    <cellStyle name="Hyperlink 6032 2" xfId="10400"/>
    <cellStyle name="Hyperlink 6032 3" xfId="8058"/>
    <cellStyle name="Hyperlink 6033" xfId="5682"/>
    <cellStyle name="Hyperlink 6033 2" xfId="10401"/>
    <cellStyle name="Hyperlink 6033 3" xfId="8059"/>
    <cellStyle name="Hyperlink 6034" xfId="5683"/>
    <cellStyle name="Hyperlink 6034 2" xfId="10402"/>
    <cellStyle name="Hyperlink 6034 3" xfId="8060"/>
    <cellStyle name="Hyperlink 6035" xfId="5684"/>
    <cellStyle name="Hyperlink 6035 2" xfId="10403"/>
    <cellStyle name="Hyperlink 6035 3" xfId="8061"/>
    <cellStyle name="Hyperlink 6036" xfId="5685"/>
    <cellStyle name="Hyperlink 6036 2" xfId="10404"/>
    <cellStyle name="Hyperlink 6036 3" xfId="8062"/>
    <cellStyle name="Hyperlink 6037" xfId="5686"/>
    <cellStyle name="Hyperlink 6037 2" xfId="10405"/>
    <cellStyle name="Hyperlink 6037 3" xfId="8063"/>
    <cellStyle name="Hyperlink 6038" xfId="5687"/>
    <cellStyle name="Hyperlink 6038 2" xfId="10406"/>
    <cellStyle name="Hyperlink 6038 3" xfId="8064"/>
    <cellStyle name="Hyperlink 6039" xfId="5688"/>
    <cellStyle name="Hyperlink 6039 2" xfId="10407"/>
    <cellStyle name="Hyperlink 6039 3" xfId="8065"/>
    <cellStyle name="Hyperlink 604" xfId="5689"/>
    <cellStyle name="Hyperlink 604 2" xfId="10408"/>
    <cellStyle name="Hyperlink 604 3" xfId="8066"/>
    <cellStyle name="Hyperlink 6040" xfId="5690"/>
    <cellStyle name="Hyperlink 6040 2" xfId="10409"/>
    <cellStyle name="Hyperlink 6040 3" xfId="8067"/>
    <cellStyle name="Hyperlink 6041" xfId="5691"/>
    <cellStyle name="Hyperlink 6041 2" xfId="10410"/>
    <cellStyle name="Hyperlink 6041 3" xfId="8068"/>
    <cellStyle name="Hyperlink 6042" xfId="5692"/>
    <cellStyle name="Hyperlink 6042 2" xfId="10411"/>
    <cellStyle name="Hyperlink 6042 3" xfId="8069"/>
    <cellStyle name="Hyperlink 6043" xfId="5693"/>
    <cellStyle name="Hyperlink 6043 2" xfId="10412"/>
    <cellStyle name="Hyperlink 6043 3" xfId="8070"/>
    <cellStyle name="Hyperlink 6044" xfId="5694"/>
    <cellStyle name="Hyperlink 6044 2" xfId="10413"/>
    <cellStyle name="Hyperlink 6044 3" xfId="8071"/>
    <cellStyle name="Hyperlink 6045" xfId="5695"/>
    <cellStyle name="Hyperlink 6045 2" xfId="10414"/>
    <cellStyle name="Hyperlink 6045 3" xfId="8072"/>
    <cellStyle name="Hyperlink 6046" xfId="5696"/>
    <cellStyle name="Hyperlink 6046 2" xfId="10415"/>
    <cellStyle name="Hyperlink 6046 3" xfId="8073"/>
    <cellStyle name="Hyperlink 6047" xfId="5697"/>
    <cellStyle name="Hyperlink 6047 2" xfId="10416"/>
    <cellStyle name="Hyperlink 6047 3" xfId="8074"/>
    <cellStyle name="Hyperlink 6048" xfId="5698"/>
    <cellStyle name="Hyperlink 6048 2" xfId="10417"/>
    <cellStyle name="Hyperlink 6048 3" xfId="8075"/>
    <cellStyle name="Hyperlink 6049" xfId="5699"/>
    <cellStyle name="Hyperlink 6049 2" xfId="10418"/>
    <cellStyle name="Hyperlink 6049 3" xfId="8076"/>
    <cellStyle name="Hyperlink 605" xfId="5700"/>
    <cellStyle name="Hyperlink 605 2" xfId="10419"/>
    <cellStyle name="Hyperlink 605 3" xfId="8077"/>
    <cellStyle name="Hyperlink 6050" xfId="5701"/>
    <cellStyle name="Hyperlink 6050 2" xfId="10420"/>
    <cellStyle name="Hyperlink 6050 3" xfId="8078"/>
    <cellStyle name="Hyperlink 6051" xfId="5702"/>
    <cellStyle name="Hyperlink 6051 2" xfId="10421"/>
    <cellStyle name="Hyperlink 6051 3" xfId="8079"/>
    <cellStyle name="Hyperlink 6052" xfId="5703"/>
    <cellStyle name="Hyperlink 6052 2" xfId="10422"/>
    <cellStyle name="Hyperlink 6052 3" xfId="8080"/>
    <cellStyle name="Hyperlink 6053" xfId="5704"/>
    <cellStyle name="Hyperlink 6053 2" xfId="10423"/>
    <cellStyle name="Hyperlink 6053 3" xfId="8081"/>
    <cellStyle name="Hyperlink 6054" xfId="5705"/>
    <cellStyle name="Hyperlink 6054 2" xfId="10424"/>
    <cellStyle name="Hyperlink 6054 3" xfId="8082"/>
    <cellStyle name="Hyperlink 6055" xfId="5706"/>
    <cellStyle name="Hyperlink 6055 2" xfId="10425"/>
    <cellStyle name="Hyperlink 6055 3" xfId="8083"/>
    <cellStyle name="Hyperlink 6056" xfId="5707"/>
    <cellStyle name="Hyperlink 6056 2" xfId="10426"/>
    <cellStyle name="Hyperlink 6056 3" xfId="8084"/>
    <cellStyle name="Hyperlink 6057" xfId="5708"/>
    <cellStyle name="Hyperlink 6057 2" xfId="10427"/>
    <cellStyle name="Hyperlink 6057 3" xfId="8085"/>
    <cellStyle name="Hyperlink 6058" xfId="5709"/>
    <cellStyle name="Hyperlink 6058 2" xfId="10428"/>
    <cellStyle name="Hyperlink 6058 3" xfId="8086"/>
    <cellStyle name="Hyperlink 6059" xfId="5710"/>
    <cellStyle name="Hyperlink 6059 2" xfId="10429"/>
    <cellStyle name="Hyperlink 6059 3" xfId="8087"/>
    <cellStyle name="Hyperlink 606" xfId="5711"/>
    <cellStyle name="Hyperlink 606 2" xfId="10430"/>
    <cellStyle name="Hyperlink 606 3" xfId="8088"/>
    <cellStyle name="Hyperlink 6060" xfId="5712"/>
    <cellStyle name="Hyperlink 6060 2" xfId="10431"/>
    <cellStyle name="Hyperlink 6060 3" xfId="8089"/>
    <cellStyle name="Hyperlink 6061" xfId="5713"/>
    <cellStyle name="Hyperlink 6061 2" xfId="10432"/>
    <cellStyle name="Hyperlink 6061 3" xfId="8090"/>
    <cellStyle name="Hyperlink 6062" xfId="5714"/>
    <cellStyle name="Hyperlink 6062 2" xfId="10433"/>
    <cellStyle name="Hyperlink 6062 3" xfId="8091"/>
    <cellStyle name="Hyperlink 6063" xfId="5715"/>
    <cellStyle name="Hyperlink 6063 2" xfId="10434"/>
    <cellStyle name="Hyperlink 6063 3" xfId="8092"/>
    <cellStyle name="Hyperlink 6064" xfId="5716"/>
    <cellStyle name="Hyperlink 6064 2" xfId="10435"/>
    <cellStyle name="Hyperlink 6064 3" xfId="8093"/>
    <cellStyle name="Hyperlink 6065" xfId="5717"/>
    <cellStyle name="Hyperlink 6065 2" xfId="10436"/>
    <cellStyle name="Hyperlink 6065 3" xfId="8094"/>
    <cellStyle name="Hyperlink 6066" xfId="5718"/>
    <cellStyle name="Hyperlink 6066 2" xfId="10437"/>
    <cellStyle name="Hyperlink 6066 3" xfId="8095"/>
    <cellStyle name="Hyperlink 6067" xfId="5719"/>
    <cellStyle name="Hyperlink 6067 2" xfId="10438"/>
    <cellStyle name="Hyperlink 6067 3" xfId="8096"/>
    <cellStyle name="Hyperlink 6068" xfId="5720"/>
    <cellStyle name="Hyperlink 6068 2" xfId="10439"/>
    <cellStyle name="Hyperlink 6068 3" xfId="8097"/>
    <cellStyle name="Hyperlink 6069" xfId="5721"/>
    <cellStyle name="Hyperlink 6069 2" xfId="10440"/>
    <cellStyle name="Hyperlink 6069 3" xfId="8098"/>
    <cellStyle name="Hyperlink 607" xfId="5722"/>
    <cellStyle name="Hyperlink 607 2" xfId="10441"/>
    <cellStyle name="Hyperlink 607 3" xfId="8099"/>
    <cellStyle name="Hyperlink 6070" xfId="5723"/>
    <cellStyle name="Hyperlink 6070 2" xfId="10442"/>
    <cellStyle name="Hyperlink 6070 3" xfId="8100"/>
    <cellStyle name="Hyperlink 6071" xfId="5724"/>
    <cellStyle name="Hyperlink 6071 2" xfId="10443"/>
    <cellStyle name="Hyperlink 6071 3" xfId="8101"/>
    <cellStyle name="Hyperlink 6072" xfId="5725"/>
    <cellStyle name="Hyperlink 6072 2" xfId="10444"/>
    <cellStyle name="Hyperlink 6072 3" xfId="8102"/>
    <cellStyle name="Hyperlink 6073" xfId="5726"/>
    <cellStyle name="Hyperlink 6073 2" xfId="10445"/>
    <cellStyle name="Hyperlink 6073 3" xfId="8103"/>
    <cellStyle name="Hyperlink 6074" xfId="5727"/>
    <cellStyle name="Hyperlink 6074 2" xfId="10446"/>
    <cellStyle name="Hyperlink 6074 3" xfId="8104"/>
    <cellStyle name="Hyperlink 6075" xfId="5728"/>
    <cellStyle name="Hyperlink 6075 2" xfId="10447"/>
    <cellStyle name="Hyperlink 6075 3" xfId="8105"/>
    <cellStyle name="Hyperlink 6076" xfId="5729"/>
    <cellStyle name="Hyperlink 6076 2" xfId="10448"/>
    <cellStyle name="Hyperlink 6076 3" xfId="8106"/>
    <cellStyle name="Hyperlink 6077" xfId="5730"/>
    <cellStyle name="Hyperlink 6077 2" xfId="10449"/>
    <cellStyle name="Hyperlink 6077 3" xfId="8107"/>
    <cellStyle name="Hyperlink 6078" xfId="5731"/>
    <cellStyle name="Hyperlink 6078 2" xfId="10450"/>
    <cellStyle name="Hyperlink 6078 3" xfId="8108"/>
    <cellStyle name="Hyperlink 6079" xfId="5732"/>
    <cellStyle name="Hyperlink 6079 2" xfId="10451"/>
    <cellStyle name="Hyperlink 6079 3" xfId="8109"/>
    <cellStyle name="Hyperlink 608" xfId="5733"/>
    <cellStyle name="Hyperlink 608 2" xfId="10452"/>
    <cellStyle name="Hyperlink 608 3" xfId="8110"/>
    <cellStyle name="Hyperlink 6080" xfId="5734"/>
    <cellStyle name="Hyperlink 6080 2" xfId="10453"/>
    <cellStyle name="Hyperlink 6080 3" xfId="8111"/>
    <cellStyle name="Hyperlink 6081" xfId="5735"/>
    <cellStyle name="Hyperlink 6081 2" xfId="10454"/>
    <cellStyle name="Hyperlink 6081 3" xfId="8112"/>
    <cellStyle name="Hyperlink 6082" xfId="5736"/>
    <cellStyle name="Hyperlink 6082 2" xfId="10455"/>
    <cellStyle name="Hyperlink 6082 3" xfId="8113"/>
    <cellStyle name="Hyperlink 6083" xfId="5737"/>
    <cellStyle name="Hyperlink 6083 2" xfId="10456"/>
    <cellStyle name="Hyperlink 6083 3" xfId="8114"/>
    <cellStyle name="Hyperlink 6084" xfId="5738"/>
    <cellStyle name="Hyperlink 6084 2" xfId="10457"/>
    <cellStyle name="Hyperlink 6084 3" xfId="8115"/>
    <cellStyle name="Hyperlink 6085" xfId="5739"/>
    <cellStyle name="Hyperlink 6085 2" xfId="10458"/>
    <cellStyle name="Hyperlink 6085 3" xfId="8116"/>
    <cellStyle name="Hyperlink 6086" xfId="5740"/>
    <cellStyle name="Hyperlink 6086 2" xfId="10459"/>
    <cellStyle name="Hyperlink 6086 3" xfId="8117"/>
    <cellStyle name="Hyperlink 6087" xfId="5741"/>
    <cellStyle name="Hyperlink 6087 2" xfId="10460"/>
    <cellStyle name="Hyperlink 6087 3" xfId="8118"/>
    <cellStyle name="Hyperlink 6088" xfId="5742"/>
    <cellStyle name="Hyperlink 6088 2" xfId="10461"/>
    <cellStyle name="Hyperlink 6088 3" xfId="8119"/>
    <cellStyle name="Hyperlink 6089" xfId="5743"/>
    <cellStyle name="Hyperlink 6089 2" xfId="10462"/>
    <cellStyle name="Hyperlink 6089 3" xfId="8120"/>
    <cellStyle name="Hyperlink 609" xfId="5744"/>
    <cellStyle name="Hyperlink 609 2" xfId="10463"/>
    <cellStyle name="Hyperlink 609 3" xfId="8121"/>
    <cellStyle name="Hyperlink 6090" xfId="5745"/>
    <cellStyle name="Hyperlink 6090 2" xfId="10464"/>
    <cellStyle name="Hyperlink 6090 3" xfId="8122"/>
    <cellStyle name="Hyperlink 6091" xfId="5746"/>
    <cellStyle name="Hyperlink 6091 2" xfId="10465"/>
    <cellStyle name="Hyperlink 6091 3" xfId="8123"/>
    <cellStyle name="Hyperlink 6092" xfId="5747"/>
    <cellStyle name="Hyperlink 6092 2" xfId="10466"/>
    <cellStyle name="Hyperlink 6092 3" xfId="8124"/>
    <cellStyle name="Hyperlink 6093" xfId="5748"/>
    <cellStyle name="Hyperlink 6093 2" xfId="10467"/>
    <cellStyle name="Hyperlink 6093 3" xfId="8125"/>
    <cellStyle name="Hyperlink 6094" xfId="5749"/>
    <cellStyle name="Hyperlink 6094 2" xfId="10468"/>
    <cellStyle name="Hyperlink 6094 3" xfId="8126"/>
    <cellStyle name="Hyperlink 6095" xfId="5750"/>
    <cellStyle name="Hyperlink 6095 2" xfId="10469"/>
    <cellStyle name="Hyperlink 6095 3" xfId="8127"/>
    <cellStyle name="Hyperlink 6096" xfId="5751"/>
    <cellStyle name="Hyperlink 6096 2" xfId="10470"/>
    <cellStyle name="Hyperlink 6096 3" xfId="8128"/>
    <cellStyle name="Hyperlink 6097" xfId="5752"/>
    <cellStyle name="Hyperlink 6097 2" xfId="10471"/>
    <cellStyle name="Hyperlink 6097 3" xfId="8129"/>
    <cellStyle name="Hyperlink 6098" xfId="5753"/>
    <cellStyle name="Hyperlink 6098 2" xfId="10472"/>
    <cellStyle name="Hyperlink 6098 3" xfId="8130"/>
    <cellStyle name="Hyperlink 6099" xfId="5754"/>
    <cellStyle name="Hyperlink 6099 2" xfId="10473"/>
    <cellStyle name="Hyperlink 6099 3" xfId="8131"/>
    <cellStyle name="Hyperlink 61" xfId="5755"/>
    <cellStyle name="Hyperlink 61 2" xfId="10474"/>
    <cellStyle name="Hyperlink 61 3" xfId="8132"/>
    <cellStyle name="Hyperlink 610" xfId="5756"/>
    <cellStyle name="Hyperlink 610 2" xfId="10475"/>
    <cellStyle name="Hyperlink 610 3" xfId="8133"/>
    <cellStyle name="Hyperlink 6100" xfId="5757"/>
    <cellStyle name="Hyperlink 6100 2" xfId="10476"/>
    <cellStyle name="Hyperlink 6100 3" xfId="8134"/>
    <cellStyle name="Hyperlink 6101" xfId="5758"/>
    <cellStyle name="Hyperlink 6101 2" xfId="10477"/>
    <cellStyle name="Hyperlink 6101 3" xfId="8135"/>
    <cellStyle name="Hyperlink 6102" xfId="5759"/>
    <cellStyle name="Hyperlink 6102 2" xfId="10478"/>
    <cellStyle name="Hyperlink 6102 3" xfId="8136"/>
    <cellStyle name="Hyperlink 6103" xfId="5760"/>
    <cellStyle name="Hyperlink 6103 2" xfId="10479"/>
    <cellStyle name="Hyperlink 6103 3" xfId="8137"/>
    <cellStyle name="Hyperlink 6104" xfId="5761"/>
    <cellStyle name="Hyperlink 6104 2" xfId="10480"/>
    <cellStyle name="Hyperlink 6104 3" xfId="8138"/>
    <cellStyle name="Hyperlink 6105" xfId="5762"/>
    <cellStyle name="Hyperlink 6105 2" xfId="10481"/>
    <cellStyle name="Hyperlink 6105 3" xfId="8139"/>
    <cellStyle name="Hyperlink 6106" xfId="5763"/>
    <cellStyle name="Hyperlink 6106 2" xfId="10482"/>
    <cellStyle name="Hyperlink 6106 3" xfId="8140"/>
    <cellStyle name="Hyperlink 6107" xfId="5764"/>
    <cellStyle name="Hyperlink 6107 2" xfId="10483"/>
    <cellStyle name="Hyperlink 6107 3" xfId="8141"/>
    <cellStyle name="Hyperlink 6108" xfId="5765"/>
    <cellStyle name="Hyperlink 6108 2" xfId="10484"/>
    <cellStyle name="Hyperlink 6108 3" xfId="8142"/>
    <cellStyle name="Hyperlink 6109" xfId="5766"/>
    <cellStyle name="Hyperlink 6109 2" xfId="10485"/>
    <cellStyle name="Hyperlink 6109 3" xfId="8143"/>
    <cellStyle name="Hyperlink 611" xfId="5767"/>
    <cellStyle name="Hyperlink 611 2" xfId="10486"/>
    <cellStyle name="Hyperlink 611 3" xfId="8144"/>
    <cellStyle name="Hyperlink 6110" xfId="5768"/>
    <cellStyle name="Hyperlink 6110 2" xfId="10487"/>
    <cellStyle name="Hyperlink 6110 3" xfId="8145"/>
    <cellStyle name="Hyperlink 6111" xfId="5769"/>
    <cellStyle name="Hyperlink 6111 2" xfId="10488"/>
    <cellStyle name="Hyperlink 6111 3" xfId="8146"/>
    <cellStyle name="Hyperlink 6112" xfId="5770"/>
    <cellStyle name="Hyperlink 6112 2" xfId="10489"/>
    <cellStyle name="Hyperlink 6112 3" xfId="8147"/>
    <cellStyle name="Hyperlink 6113" xfId="5771"/>
    <cellStyle name="Hyperlink 6113 2" xfId="10490"/>
    <cellStyle name="Hyperlink 6113 3" xfId="8148"/>
    <cellStyle name="Hyperlink 6114" xfId="5772"/>
    <cellStyle name="Hyperlink 6114 2" xfId="10491"/>
    <cellStyle name="Hyperlink 6114 3" xfId="8149"/>
    <cellStyle name="Hyperlink 6115" xfId="5773"/>
    <cellStyle name="Hyperlink 6115 2" xfId="10492"/>
    <cellStyle name="Hyperlink 6115 3" xfId="8150"/>
    <cellStyle name="Hyperlink 6116" xfId="5774"/>
    <cellStyle name="Hyperlink 6116 2" xfId="10493"/>
    <cellStyle name="Hyperlink 6116 3" xfId="8151"/>
    <cellStyle name="Hyperlink 6117" xfId="5775"/>
    <cellStyle name="Hyperlink 6117 2" xfId="10494"/>
    <cellStyle name="Hyperlink 6117 3" xfId="8152"/>
    <cellStyle name="Hyperlink 6118" xfId="5776"/>
    <cellStyle name="Hyperlink 6118 2" xfId="10495"/>
    <cellStyle name="Hyperlink 6118 3" xfId="8153"/>
    <cellStyle name="Hyperlink 6119" xfId="5777"/>
    <cellStyle name="Hyperlink 6119 2" xfId="10496"/>
    <cellStyle name="Hyperlink 6119 3" xfId="8154"/>
    <cellStyle name="Hyperlink 612" xfId="5778"/>
    <cellStyle name="Hyperlink 612 2" xfId="10497"/>
    <cellStyle name="Hyperlink 612 3" xfId="8155"/>
    <cellStyle name="Hyperlink 6120" xfId="5779"/>
    <cellStyle name="Hyperlink 6120 2" xfId="10498"/>
    <cellStyle name="Hyperlink 6120 3" xfId="8156"/>
    <cellStyle name="Hyperlink 6121" xfId="5780"/>
    <cellStyle name="Hyperlink 6121 2" xfId="10499"/>
    <cellStyle name="Hyperlink 6121 3" xfId="8157"/>
    <cellStyle name="Hyperlink 6122" xfId="5781"/>
    <cellStyle name="Hyperlink 6122 2" xfId="10500"/>
    <cellStyle name="Hyperlink 6122 3" xfId="8158"/>
    <cellStyle name="Hyperlink 6123" xfId="5782"/>
    <cellStyle name="Hyperlink 6123 2" xfId="10501"/>
    <cellStyle name="Hyperlink 6123 3" xfId="8159"/>
    <cellStyle name="Hyperlink 6124" xfId="5783"/>
    <cellStyle name="Hyperlink 6124 2" xfId="10502"/>
    <cellStyle name="Hyperlink 6124 3" xfId="8160"/>
    <cellStyle name="Hyperlink 6125" xfId="5784"/>
    <cellStyle name="Hyperlink 6125 2" xfId="10503"/>
    <cellStyle name="Hyperlink 6125 3" xfId="8161"/>
    <cellStyle name="Hyperlink 6126" xfId="5785"/>
    <cellStyle name="Hyperlink 6126 2" xfId="10504"/>
    <cellStyle name="Hyperlink 6126 3" xfId="8162"/>
    <cellStyle name="Hyperlink 6127" xfId="5786"/>
    <cellStyle name="Hyperlink 6127 2" xfId="10505"/>
    <cellStyle name="Hyperlink 6127 3" xfId="8163"/>
    <cellStyle name="Hyperlink 6128" xfId="5787"/>
    <cellStyle name="Hyperlink 6128 2" xfId="10506"/>
    <cellStyle name="Hyperlink 6128 3" xfId="8164"/>
    <cellStyle name="Hyperlink 6129" xfId="5788"/>
    <cellStyle name="Hyperlink 6129 2" xfId="10507"/>
    <cellStyle name="Hyperlink 6129 3" xfId="8165"/>
    <cellStyle name="Hyperlink 613" xfId="5789"/>
    <cellStyle name="Hyperlink 613 2" xfId="10508"/>
    <cellStyle name="Hyperlink 613 3" xfId="8166"/>
    <cellStyle name="Hyperlink 6130" xfId="5790"/>
    <cellStyle name="Hyperlink 6130 2" xfId="10509"/>
    <cellStyle name="Hyperlink 6130 3" xfId="8167"/>
    <cellStyle name="Hyperlink 6131" xfId="5791"/>
    <cellStyle name="Hyperlink 6131 2" xfId="10510"/>
    <cellStyle name="Hyperlink 6131 3" xfId="8168"/>
    <cellStyle name="Hyperlink 6132" xfId="5792"/>
    <cellStyle name="Hyperlink 6132 2" xfId="10511"/>
    <cellStyle name="Hyperlink 6132 3" xfId="8169"/>
    <cellStyle name="Hyperlink 6133" xfId="5793"/>
    <cellStyle name="Hyperlink 6133 2" xfId="10512"/>
    <cellStyle name="Hyperlink 6133 3" xfId="8170"/>
    <cellStyle name="Hyperlink 6134" xfId="5794"/>
    <cellStyle name="Hyperlink 6134 2" xfId="10513"/>
    <cellStyle name="Hyperlink 6134 3" xfId="8171"/>
    <cellStyle name="Hyperlink 6135" xfId="5795"/>
    <cellStyle name="Hyperlink 6135 2" xfId="10514"/>
    <cellStyle name="Hyperlink 6135 3" xfId="8172"/>
    <cellStyle name="Hyperlink 6136" xfId="5796"/>
    <cellStyle name="Hyperlink 6136 2" xfId="10515"/>
    <cellStyle name="Hyperlink 6136 3" xfId="8173"/>
    <cellStyle name="Hyperlink 6137" xfId="5797"/>
    <cellStyle name="Hyperlink 6137 2" xfId="10516"/>
    <cellStyle name="Hyperlink 6137 3" xfId="8174"/>
    <cellStyle name="Hyperlink 6138" xfId="5798"/>
    <cellStyle name="Hyperlink 6138 2" xfId="10517"/>
    <cellStyle name="Hyperlink 6138 3" xfId="8175"/>
    <cellStyle name="Hyperlink 6139" xfId="5799"/>
    <cellStyle name="Hyperlink 6139 2" xfId="10518"/>
    <cellStyle name="Hyperlink 6139 3" xfId="8176"/>
    <cellStyle name="Hyperlink 614" xfId="5800"/>
    <cellStyle name="Hyperlink 614 2" xfId="10519"/>
    <cellStyle name="Hyperlink 614 3" xfId="8177"/>
    <cellStyle name="Hyperlink 6140" xfId="5801"/>
    <cellStyle name="Hyperlink 6140 2" xfId="10520"/>
    <cellStyle name="Hyperlink 6140 3" xfId="8178"/>
    <cellStyle name="Hyperlink 6141" xfId="5802"/>
    <cellStyle name="Hyperlink 6141 2" xfId="10521"/>
    <cellStyle name="Hyperlink 6141 3" xfId="8179"/>
    <cellStyle name="Hyperlink 6142" xfId="5803"/>
    <cellStyle name="Hyperlink 6142 2" xfId="10522"/>
    <cellStyle name="Hyperlink 6142 3" xfId="8180"/>
    <cellStyle name="Hyperlink 6143" xfId="5804"/>
    <cellStyle name="Hyperlink 6143 2" xfId="10523"/>
    <cellStyle name="Hyperlink 6143 3" xfId="8181"/>
    <cellStyle name="Hyperlink 6144" xfId="5805"/>
    <cellStyle name="Hyperlink 6144 2" xfId="10524"/>
    <cellStyle name="Hyperlink 6144 3" xfId="8182"/>
    <cellStyle name="Hyperlink 6145" xfId="5806"/>
    <cellStyle name="Hyperlink 6145 2" xfId="10525"/>
    <cellStyle name="Hyperlink 6145 3" xfId="8183"/>
    <cellStyle name="Hyperlink 6146" xfId="5807"/>
    <cellStyle name="Hyperlink 6146 2" xfId="10526"/>
    <cellStyle name="Hyperlink 6146 3" xfId="8184"/>
    <cellStyle name="Hyperlink 6147" xfId="5808"/>
    <cellStyle name="Hyperlink 6147 2" xfId="10527"/>
    <cellStyle name="Hyperlink 6147 3" xfId="8185"/>
    <cellStyle name="Hyperlink 6148" xfId="5809"/>
    <cellStyle name="Hyperlink 6148 2" xfId="10528"/>
    <cellStyle name="Hyperlink 6148 3" xfId="8186"/>
    <cellStyle name="Hyperlink 6149" xfId="5810"/>
    <cellStyle name="Hyperlink 6149 2" xfId="10529"/>
    <cellStyle name="Hyperlink 6149 3" xfId="8187"/>
    <cellStyle name="Hyperlink 615" xfId="5811"/>
    <cellStyle name="Hyperlink 615 2" xfId="10530"/>
    <cellStyle name="Hyperlink 615 3" xfId="8188"/>
    <cellStyle name="Hyperlink 6150" xfId="5812"/>
    <cellStyle name="Hyperlink 6150 2" xfId="10531"/>
    <cellStyle name="Hyperlink 6150 3" xfId="8189"/>
    <cellStyle name="Hyperlink 6151" xfId="5813"/>
    <cellStyle name="Hyperlink 6151 2" xfId="10532"/>
    <cellStyle name="Hyperlink 6151 3" xfId="8190"/>
    <cellStyle name="Hyperlink 6152" xfId="5814"/>
    <cellStyle name="Hyperlink 6152 2" xfId="10533"/>
    <cellStyle name="Hyperlink 6152 3" xfId="8191"/>
    <cellStyle name="Hyperlink 6153" xfId="5815"/>
    <cellStyle name="Hyperlink 6153 2" xfId="10534"/>
    <cellStyle name="Hyperlink 6153 3" xfId="8192"/>
    <cellStyle name="Hyperlink 6154" xfId="5816"/>
    <cellStyle name="Hyperlink 6154 2" xfId="10535"/>
    <cellStyle name="Hyperlink 6154 3" xfId="8193"/>
    <cellStyle name="Hyperlink 6155" xfId="5817"/>
    <cellStyle name="Hyperlink 6155 2" xfId="10536"/>
    <cellStyle name="Hyperlink 6155 3" xfId="8194"/>
    <cellStyle name="Hyperlink 6156" xfId="5818"/>
    <cellStyle name="Hyperlink 6156 2" xfId="10537"/>
    <cellStyle name="Hyperlink 6156 3" xfId="8195"/>
    <cellStyle name="Hyperlink 6157" xfId="5819"/>
    <cellStyle name="Hyperlink 6157 2" xfId="10538"/>
    <cellStyle name="Hyperlink 6157 3" xfId="8196"/>
    <cellStyle name="Hyperlink 6158" xfId="5820"/>
    <cellStyle name="Hyperlink 6158 2" xfId="10539"/>
    <cellStyle name="Hyperlink 6158 3" xfId="8197"/>
    <cellStyle name="Hyperlink 6159" xfId="5821"/>
    <cellStyle name="Hyperlink 6159 2" xfId="10540"/>
    <cellStyle name="Hyperlink 6159 3" xfId="8198"/>
    <cellStyle name="Hyperlink 616" xfId="5822"/>
    <cellStyle name="Hyperlink 616 2" xfId="10541"/>
    <cellStyle name="Hyperlink 616 3" xfId="8199"/>
    <cellStyle name="Hyperlink 6160" xfId="5823"/>
    <cellStyle name="Hyperlink 6160 2" xfId="10542"/>
    <cellStyle name="Hyperlink 6160 3" xfId="8200"/>
    <cellStyle name="Hyperlink 6161" xfId="5824"/>
    <cellStyle name="Hyperlink 6161 2" xfId="10543"/>
    <cellStyle name="Hyperlink 6161 3" xfId="8201"/>
    <cellStyle name="Hyperlink 6162" xfId="5825"/>
    <cellStyle name="Hyperlink 6162 2" xfId="10544"/>
    <cellStyle name="Hyperlink 6162 3" xfId="8202"/>
    <cellStyle name="Hyperlink 6163" xfId="5826"/>
    <cellStyle name="Hyperlink 6163 2" xfId="10545"/>
    <cellStyle name="Hyperlink 6163 3" xfId="8203"/>
    <cellStyle name="Hyperlink 6164" xfId="5827"/>
    <cellStyle name="Hyperlink 6164 2" xfId="10546"/>
    <cellStyle name="Hyperlink 6164 3" xfId="8204"/>
    <cellStyle name="Hyperlink 6165" xfId="5828"/>
    <cellStyle name="Hyperlink 6165 2" xfId="10547"/>
    <cellStyle name="Hyperlink 6165 3" xfId="8205"/>
    <cellStyle name="Hyperlink 6166" xfId="5829"/>
    <cellStyle name="Hyperlink 6166 2" xfId="10548"/>
    <cellStyle name="Hyperlink 6166 3" xfId="8206"/>
    <cellStyle name="Hyperlink 6167" xfId="5830"/>
    <cellStyle name="Hyperlink 6167 2" xfId="10549"/>
    <cellStyle name="Hyperlink 6167 3" xfId="8207"/>
    <cellStyle name="Hyperlink 6168" xfId="5831"/>
    <cellStyle name="Hyperlink 6168 2" xfId="10550"/>
    <cellStyle name="Hyperlink 6168 3" xfId="8208"/>
    <cellStyle name="Hyperlink 6169" xfId="5832"/>
    <cellStyle name="Hyperlink 6169 2" xfId="10551"/>
    <cellStyle name="Hyperlink 6169 3" xfId="8209"/>
    <cellStyle name="Hyperlink 617" xfId="5833"/>
    <cellStyle name="Hyperlink 617 2" xfId="10552"/>
    <cellStyle name="Hyperlink 617 3" xfId="8210"/>
    <cellStyle name="Hyperlink 6170" xfId="5834"/>
    <cellStyle name="Hyperlink 6170 2" xfId="10553"/>
    <cellStyle name="Hyperlink 6170 3" xfId="8211"/>
    <cellStyle name="Hyperlink 6171" xfId="5835"/>
    <cellStyle name="Hyperlink 6171 2" xfId="10554"/>
    <cellStyle name="Hyperlink 6171 3" xfId="8212"/>
    <cellStyle name="Hyperlink 6172" xfId="5836"/>
    <cellStyle name="Hyperlink 6172 2" xfId="10555"/>
    <cellStyle name="Hyperlink 6172 3" xfId="8213"/>
    <cellStyle name="Hyperlink 6173" xfId="5837"/>
    <cellStyle name="Hyperlink 6173 2" xfId="10556"/>
    <cellStyle name="Hyperlink 6173 3" xfId="8214"/>
    <cellStyle name="Hyperlink 6174" xfId="5838"/>
    <cellStyle name="Hyperlink 6174 2" xfId="10557"/>
    <cellStyle name="Hyperlink 6174 3" xfId="8215"/>
    <cellStyle name="Hyperlink 6175" xfId="5839"/>
    <cellStyle name="Hyperlink 6175 2" xfId="10558"/>
    <cellStyle name="Hyperlink 6175 3" xfId="8216"/>
    <cellStyle name="Hyperlink 6176" xfId="5840"/>
    <cellStyle name="Hyperlink 6176 2" xfId="10559"/>
    <cellStyle name="Hyperlink 6176 3" xfId="8217"/>
    <cellStyle name="Hyperlink 6177" xfId="5841"/>
    <cellStyle name="Hyperlink 6177 2" xfId="10560"/>
    <cellStyle name="Hyperlink 6177 3" xfId="8218"/>
    <cellStyle name="Hyperlink 6178" xfId="5842"/>
    <cellStyle name="Hyperlink 6178 2" xfId="10561"/>
    <cellStyle name="Hyperlink 6178 3" xfId="8219"/>
    <cellStyle name="Hyperlink 6179" xfId="5843"/>
    <cellStyle name="Hyperlink 6179 2" xfId="10562"/>
    <cellStyle name="Hyperlink 6179 3" xfId="8220"/>
    <cellStyle name="Hyperlink 618" xfId="5844"/>
    <cellStyle name="Hyperlink 618 2" xfId="10563"/>
    <cellStyle name="Hyperlink 618 3" xfId="8221"/>
    <cellStyle name="Hyperlink 6180" xfId="5845"/>
    <cellStyle name="Hyperlink 6180 2" xfId="10564"/>
    <cellStyle name="Hyperlink 6180 3" xfId="8222"/>
    <cellStyle name="Hyperlink 6181" xfId="5846"/>
    <cellStyle name="Hyperlink 6181 2" xfId="10565"/>
    <cellStyle name="Hyperlink 6181 3" xfId="8223"/>
    <cellStyle name="Hyperlink 6182" xfId="5847"/>
    <cellStyle name="Hyperlink 6182 2" xfId="10566"/>
    <cellStyle name="Hyperlink 6182 3" xfId="8224"/>
    <cellStyle name="Hyperlink 6183" xfId="5848"/>
    <cellStyle name="Hyperlink 6183 2" xfId="10567"/>
    <cellStyle name="Hyperlink 6183 3" xfId="8225"/>
    <cellStyle name="Hyperlink 6184" xfId="5849"/>
    <cellStyle name="Hyperlink 6184 2" xfId="10568"/>
    <cellStyle name="Hyperlink 6184 3" xfId="8226"/>
    <cellStyle name="Hyperlink 6185" xfId="5850"/>
    <cellStyle name="Hyperlink 6185 2" xfId="10569"/>
    <cellStyle name="Hyperlink 6185 3" xfId="8227"/>
    <cellStyle name="Hyperlink 6186" xfId="5851"/>
    <cellStyle name="Hyperlink 6186 2" xfId="10570"/>
    <cellStyle name="Hyperlink 6186 3" xfId="8228"/>
    <cellStyle name="Hyperlink 6187" xfId="5852"/>
    <cellStyle name="Hyperlink 6187 2" xfId="10571"/>
    <cellStyle name="Hyperlink 6187 3" xfId="8229"/>
    <cellStyle name="Hyperlink 6188" xfId="5853"/>
    <cellStyle name="Hyperlink 6188 2" xfId="10572"/>
    <cellStyle name="Hyperlink 6188 3" xfId="8230"/>
    <cellStyle name="Hyperlink 6189" xfId="5854"/>
    <cellStyle name="Hyperlink 6189 2" xfId="10573"/>
    <cellStyle name="Hyperlink 6189 3" xfId="8231"/>
    <cellStyle name="Hyperlink 619" xfId="5855"/>
    <cellStyle name="Hyperlink 619 2" xfId="10574"/>
    <cellStyle name="Hyperlink 619 3" xfId="8232"/>
    <cellStyle name="Hyperlink 6190" xfId="5856"/>
    <cellStyle name="Hyperlink 6190 2" xfId="10575"/>
    <cellStyle name="Hyperlink 6190 3" xfId="8233"/>
    <cellStyle name="Hyperlink 6191" xfId="5857"/>
    <cellStyle name="Hyperlink 6191 2" xfId="10576"/>
    <cellStyle name="Hyperlink 6191 3" xfId="8234"/>
    <cellStyle name="Hyperlink 6192" xfId="5858"/>
    <cellStyle name="Hyperlink 6192 2" xfId="10577"/>
    <cellStyle name="Hyperlink 6192 3" xfId="8235"/>
    <cellStyle name="Hyperlink 6193" xfId="5859"/>
    <cellStyle name="Hyperlink 6193 2" xfId="10578"/>
    <cellStyle name="Hyperlink 6193 3" xfId="8236"/>
    <cellStyle name="Hyperlink 6194" xfId="5860"/>
    <cellStyle name="Hyperlink 6194 2" xfId="10579"/>
    <cellStyle name="Hyperlink 6194 3" xfId="8237"/>
    <cellStyle name="Hyperlink 6195" xfId="5861"/>
    <cellStyle name="Hyperlink 6195 2" xfId="10580"/>
    <cellStyle name="Hyperlink 6195 3" xfId="8238"/>
    <cellStyle name="Hyperlink 6196" xfId="5862"/>
    <cellStyle name="Hyperlink 6196 2" xfId="10581"/>
    <cellStyle name="Hyperlink 6196 3" xfId="8239"/>
    <cellStyle name="Hyperlink 6197" xfId="5863"/>
    <cellStyle name="Hyperlink 6197 2" xfId="10582"/>
    <cellStyle name="Hyperlink 6197 3" xfId="8240"/>
    <cellStyle name="Hyperlink 6198" xfId="5864"/>
    <cellStyle name="Hyperlink 6198 2" xfId="10583"/>
    <cellStyle name="Hyperlink 6198 3" xfId="8241"/>
    <cellStyle name="Hyperlink 6199" xfId="5865"/>
    <cellStyle name="Hyperlink 6199 2" xfId="10584"/>
    <cellStyle name="Hyperlink 6199 3" xfId="8242"/>
    <cellStyle name="Hyperlink 62" xfId="5866"/>
    <cellStyle name="Hyperlink 62 2" xfId="10585"/>
    <cellStyle name="Hyperlink 62 3" xfId="8243"/>
    <cellStyle name="Hyperlink 620" xfId="5867"/>
    <cellStyle name="Hyperlink 620 2" xfId="10586"/>
    <cellStyle name="Hyperlink 620 3" xfId="8244"/>
    <cellStyle name="Hyperlink 6200" xfId="5868"/>
    <cellStyle name="Hyperlink 6200 2" xfId="10587"/>
    <cellStyle name="Hyperlink 6200 3" xfId="8245"/>
    <cellStyle name="Hyperlink 6201" xfId="5869"/>
    <cellStyle name="Hyperlink 6201 2" xfId="10588"/>
    <cellStyle name="Hyperlink 6201 3" xfId="8246"/>
    <cellStyle name="Hyperlink 6202" xfId="5870"/>
    <cellStyle name="Hyperlink 6202 2" xfId="10589"/>
    <cellStyle name="Hyperlink 6202 3" xfId="8247"/>
    <cellStyle name="Hyperlink 6203" xfId="5871"/>
    <cellStyle name="Hyperlink 6203 2" xfId="10590"/>
    <cellStyle name="Hyperlink 6203 3" xfId="8248"/>
    <cellStyle name="Hyperlink 6204" xfId="5872"/>
    <cellStyle name="Hyperlink 6204 2" xfId="10591"/>
    <cellStyle name="Hyperlink 6204 3" xfId="8249"/>
    <cellStyle name="Hyperlink 6205" xfId="5873"/>
    <cellStyle name="Hyperlink 6205 2" xfId="10592"/>
    <cellStyle name="Hyperlink 6205 3" xfId="8250"/>
    <cellStyle name="Hyperlink 6206" xfId="5874"/>
    <cellStyle name="Hyperlink 6206 2" xfId="10593"/>
    <cellStyle name="Hyperlink 6206 3" xfId="8251"/>
    <cellStyle name="Hyperlink 6207" xfId="5875"/>
    <cellStyle name="Hyperlink 6207 2" xfId="10594"/>
    <cellStyle name="Hyperlink 6207 3" xfId="8252"/>
    <cellStyle name="Hyperlink 6208" xfId="5876"/>
    <cellStyle name="Hyperlink 6208 2" xfId="10595"/>
    <cellStyle name="Hyperlink 6208 3" xfId="8253"/>
    <cellStyle name="Hyperlink 6209" xfId="5877"/>
    <cellStyle name="Hyperlink 6209 2" xfId="10596"/>
    <cellStyle name="Hyperlink 6209 3" xfId="8254"/>
    <cellStyle name="Hyperlink 621" xfId="5878"/>
    <cellStyle name="Hyperlink 621 2" xfId="10597"/>
    <cellStyle name="Hyperlink 621 3" xfId="8255"/>
    <cellStyle name="Hyperlink 6210" xfId="5879"/>
    <cellStyle name="Hyperlink 6210 2" xfId="10598"/>
    <cellStyle name="Hyperlink 6210 3" xfId="8256"/>
    <cellStyle name="Hyperlink 6211" xfId="5880"/>
    <cellStyle name="Hyperlink 6211 2" xfId="10599"/>
    <cellStyle name="Hyperlink 6211 3" xfId="8257"/>
    <cellStyle name="Hyperlink 6212" xfId="5881"/>
    <cellStyle name="Hyperlink 6212 2" xfId="10600"/>
    <cellStyle name="Hyperlink 6212 3" xfId="8258"/>
    <cellStyle name="Hyperlink 6213" xfId="5882"/>
    <cellStyle name="Hyperlink 6213 2" xfId="10601"/>
    <cellStyle name="Hyperlink 6213 3" xfId="8259"/>
    <cellStyle name="Hyperlink 6214" xfId="5883"/>
    <cellStyle name="Hyperlink 6214 2" xfId="10602"/>
    <cellStyle name="Hyperlink 6214 3" xfId="8260"/>
    <cellStyle name="Hyperlink 6215" xfId="5884"/>
    <cellStyle name="Hyperlink 6215 2" xfId="10603"/>
    <cellStyle name="Hyperlink 6215 3" xfId="8261"/>
    <cellStyle name="Hyperlink 6216" xfId="5885"/>
    <cellStyle name="Hyperlink 6216 2" xfId="10604"/>
    <cellStyle name="Hyperlink 6216 3" xfId="8262"/>
    <cellStyle name="Hyperlink 6217" xfId="5886"/>
    <cellStyle name="Hyperlink 6217 2" xfId="10605"/>
    <cellStyle name="Hyperlink 6217 3" xfId="8263"/>
    <cellStyle name="Hyperlink 6218" xfId="5887"/>
    <cellStyle name="Hyperlink 6218 2" xfId="10606"/>
    <cellStyle name="Hyperlink 6218 3" xfId="8264"/>
    <cellStyle name="Hyperlink 6219" xfId="5888"/>
    <cellStyle name="Hyperlink 6219 2" xfId="10607"/>
    <cellStyle name="Hyperlink 6219 3" xfId="8265"/>
    <cellStyle name="Hyperlink 622" xfId="5889"/>
    <cellStyle name="Hyperlink 622 2" xfId="10608"/>
    <cellStyle name="Hyperlink 622 3" xfId="8266"/>
    <cellStyle name="Hyperlink 6220" xfId="5890"/>
    <cellStyle name="Hyperlink 6220 2" xfId="10609"/>
    <cellStyle name="Hyperlink 6220 3" xfId="8267"/>
    <cellStyle name="Hyperlink 6221" xfId="5891"/>
    <cellStyle name="Hyperlink 6221 2" xfId="10610"/>
    <cellStyle name="Hyperlink 6221 3" xfId="8268"/>
    <cellStyle name="Hyperlink 6222" xfId="5892"/>
    <cellStyle name="Hyperlink 6222 2" xfId="10611"/>
    <cellStyle name="Hyperlink 6222 3" xfId="8269"/>
    <cellStyle name="Hyperlink 6223" xfId="5893"/>
    <cellStyle name="Hyperlink 6223 2" xfId="10612"/>
    <cellStyle name="Hyperlink 6223 3" xfId="8270"/>
    <cellStyle name="Hyperlink 6224" xfId="5894"/>
    <cellStyle name="Hyperlink 6224 2" xfId="10613"/>
    <cellStyle name="Hyperlink 6224 3" xfId="8271"/>
    <cellStyle name="Hyperlink 6225" xfId="5895"/>
    <cellStyle name="Hyperlink 6225 2" xfId="10614"/>
    <cellStyle name="Hyperlink 6225 3" xfId="8272"/>
    <cellStyle name="Hyperlink 6226" xfId="5896"/>
    <cellStyle name="Hyperlink 6226 2" xfId="10615"/>
    <cellStyle name="Hyperlink 6226 3" xfId="8273"/>
    <cellStyle name="Hyperlink 6227" xfId="5897"/>
    <cellStyle name="Hyperlink 6227 2" xfId="10616"/>
    <cellStyle name="Hyperlink 6227 3" xfId="8274"/>
    <cellStyle name="Hyperlink 6228" xfId="5898"/>
    <cellStyle name="Hyperlink 6228 2" xfId="10617"/>
    <cellStyle name="Hyperlink 6228 3" xfId="8275"/>
    <cellStyle name="Hyperlink 6229" xfId="5899"/>
    <cellStyle name="Hyperlink 6229 2" xfId="10618"/>
    <cellStyle name="Hyperlink 6229 3" xfId="8276"/>
    <cellStyle name="Hyperlink 623" xfId="5900"/>
    <cellStyle name="Hyperlink 623 2" xfId="10619"/>
    <cellStyle name="Hyperlink 623 3" xfId="8277"/>
    <cellStyle name="Hyperlink 6230" xfId="5901"/>
    <cellStyle name="Hyperlink 6230 2" xfId="10620"/>
    <cellStyle name="Hyperlink 6230 3" xfId="8278"/>
    <cellStyle name="Hyperlink 6231" xfId="5902"/>
    <cellStyle name="Hyperlink 6231 2" xfId="10621"/>
    <cellStyle name="Hyperlink 6231 3" xfId="8279"/>
    <cellStyle name="Hyperlink 6232" xfId="5903"/>
    <cellStyle name="Hyperlink 6232 2" xfId="10622"/>
    <cellStyle name="Hyperlink 6232 3" xfId="8280"/>
    <cellStyle name="Hyperlink 6233" xfId="5904"/>
    <cellStyle name="Hyperlink 6233 2" xfId="10623"/>
    <cellStyle name="Hyperlink 6233 3" xfId="8281"/>
    <cellStyle name="Hyperlink 6234" xfId="5905"/>
    <cellStyle name="Hyperlink 6234 2" xfId="10624"/>
    <cellStyle name="Hyperlink 6234 3" xfId="8282"/>
    <cellStyle name="Hyperlink 6235" xfId="5906"/>
    <cellStyle name="Hyperlink 6235 2" xfId="10625"/>
    <cellStyle name="Hyperlink 6235 3" xfId="8283"/>
    <cellStyle name="Hyperlink 6236" xfId="5907"/>
    <cellStyle name="Hyperlink 6236 2" xfId="10626"/>
    <cellStyle name="Hyperlink 6236 3" xfId="8284"/>
    <cellStyle name="Hyperlink 6237" xfId="5908"/>
    <cellStyle name="Hyperlink 6237 2" xfId="10627"/>
    <cellStyle name="Hyperlink 6237 3" xfId="8285"/>
    <cellStyle name="Hyperlink 6238" xfId="5909"/>
    <cellStyle name="Hyperlink 6238 2" xfId="10628"/>
    <cellStyle name="Hyperlink 6238 3" xfId="8286"/>
    <cellStyle name="Hyperlink 6239" xfId="5910"/>
    <cellStyle name="Hyperlink 6239 2" xfId="10629"/>
    <cellStyle name="Hyperlink 6239 3" xfId="8287"/>
    <cellStyle name="Hyperlink 624" xfId="5911"/>
    <cellStyle name="Hyperlink 624 2" xfId="10630"/>
    <cellStyle name="Hyperlink 624 3" xfId="8288"/>
    <cellStyle name="Hyperlink 6240" xfId="5912"/>
    <cellStyle name="Hyperlink 6240 2" xfId="10631"/>
    <cellStyle name="Hyperlink 6240 3" xfId="8289"/>
    <cellStyle name="Hyperlink 6241" xfId="5913"/>
    <cellStyle name="Hyperlink 6241 2" xfId="10632"/>
    <cellStyle name="Hyperlink 6241 3" xfId="8290"/>
    <cellStyle name="Hyperlink 6242" xfId="5914"/>
    <cellStyle name="Hyperlink 6242 2" xfId="10633"/>
    <cellStyle name="Hyperlink 6242 3" xfId="8291"/>
    <cellStyle name="Hyperlink 6243" xfId="5915"/>
    <cellStyle name="Hyperlink 6243 2" xfId="10634"/>
    <cellStyle name="Hyperlink 6243 3" xfId="8292"/>
    <cellStyle name="Hyperlink 6244" xfId="5916"/>
    <cellStyle name="Hyperlink 6244 2" xfId="10635"/>
    <cellStyle name="Hyperlink 6244 3" xfId="8293"/>
    <cellStyle name="Hyperlink 6245" xfId="5917"/>
    <cellStyle name="Hyperlink 6245 2" xfId="10636"/>
    <cellStyle name="Hyperlink 6245 3" xfId="8294"/>
    <cellStyle name="Hyperlink 6246" xfId="5918"/>
    <cellStyle name="Hyperlink 6246 2" xfId="10637"/>
    <cellStyle name="Hyperlink 6246 3" xfId="8295"/>
    <cellStyle name="Hyperlink 6247" xfId="5919"/>
    <cellStyle name="Hyperlink 6247 2" xfId="10638"/>
    <cellStyle name="Hyperlink 6247 3" xfId="8296"/>
    <cellStyle name="Hyperlink 6248" xfId="5920"/>
    <cellStyle name="Hyperlink 6248 2" xfId="10639"/>
    <cellStyle name="Hyperlink 6248 3" xfId="8297"/>
    <cellStyle name="Hyperlink 6249" xfId="5921"/>
    <cellStyle name="Hyperlink 6249 2" xfId="10640"/>
    <cellStyle name="Hyperlink 6249 3" xfId="8298"/>
    <cellStyle name="Hyperlink 625" xfId="5922"/>
    <cellStyle name="Hyperlink 625 2" xfId="10641"/>
    <cellStyle name="Hyperlink 625 3" xfId="8299"/>
    <cellStyle name="Hyperlink 6250" xfId="5923"/>
    <cellStyle name="Hyperlink 6250 2" xfId="10642"/>
    <cellStyle name="Hyperlink 6250 3" xfId="8300"/>
    <cellStyle name="Hyperlink 6251" xfId="5924"/>
    <cellStyle name="Hyperlink 6251 2" xfId="10643"/>
    <cellStyle name="Hyperlink 6251 3" xfId="8301"/>
    <cellStyle name="Hyperlink 6252" xfId="5925"/>
    <cellStyle name="Hyperlink 6252 2" xfId="10644"/>
    <cellStyle name="Hyperlink 6252 3" xfId="8302"/>
    <cellStyle name="Hyperlink 6253" xfId="5926"/>
    <cellStyle name="Hyperlink 6253 2" xfId="10645"/>
    <cellStyle name="Hyperlink 6253 3" xfId="8303"/>
    <cellStyle name="Hyperlink 6254" xfId="5927"/>
    <cellStyle name="Hyperlink 6254 2" xfId="10646"/>
    <cellStyle name="Hyperlink 6254 3" xfId="8304"/>
    <cellStyle name="Hyperlink 6255" xfId="5928"/>
    <cellStyle name="Hyperlink 6255 2" xfId="10647"/>
    <cellStyle name="Hyperlink 6255 3" xfId="8305"/>
    <cellStyle name="Hyperlink 6256" xfId="5929"/>
    <cellStyle name="Hyperlink 6256 2" xfId="10648"/>
    <cellStyle name="Hyperlink 6256 3" xfId="8306"/>
    <cellStyle name="Hyperlink 6257" xfId="5930"/>
    <cellStyle name="Hyperlink 6257 2" xfId="10649"/>
    <cellStyle name="Hyperlink 6257 3" xfId="8307"/>
    <cellStyle name="Hyperlink 6258" xfId="5931"/>
    <cellStyle name="Hyperlink 6258 2" xfId="10650"/>
    <cellStyle name="Hyperlink 6258 3" xfId="8308"/>
    <cellStyle name="Hyperlink 6259" xfId="5932"/>
    <cellStyle name="Hyperlink 6259 2" xfId="10651"/>
    <cellStyle name="Hyperlink 6259 3" xfId="8309"/>
    <cellStyle name="Hyperlink 626" xfId="5933"/>
    <cellStyle name="Hyperlink 626 2" xfId="10652"/>
    <cellStyle name="Hyperlink 626 3" xfId="8310"/>
    <cellStyle name="Hyperlink 6260" xfId="5934"/>
    <cellStyle name="Hyperlink 6260 2" xfId="10653"/>
    <cellStyle name="Hyperlink 6260 3" xfId="8311"/>
    <cellStyle name="Hyperlink 6261" xfId="5935"/>
    <cellStyle name="Hyperlink 6261 2" xfId="10654"/>
    <cellStyle name="Hyperlink 6261 3" xfId="8312"/>
    <cellStyle name="Hyperlink 6262" xfId="5936"/>
    <cellStyle name="Hyperlink 6262 2" xfId="10655"/>
    <cellStyle name="Hyperlink 6262 3" xfId="8313"/>
    <cellStyle name="Hyperlink 6263" xfId="5937"/>
    <cellStyle name="Hyperlink 6263 2" xfId="10656"/>
    <cellStyle name="Hyperlink 6263 3" xfId="8314"/>
    <cellStyle name="Hyperlink 6264" xfId="5938"/>
    <cellStyle name="Hyperlink 6264 2" xfId="10657"/>
    <cellStyle name="Hyperlink 6264 3" xfId="8315"/>
    <cellStyle name="Hyperlink 6265" xfId="5939"/>
    <cellStyle name="Hyperlink 6265 2" xfId="10658"/>
    <cellStyle name="Hyperlink 6265 3" xfId="8316"/>
    <cellStyle name="Hyperlink 6266" xfId="5940"/>
    <cellStyle name="Hyperlink 6266 2" xfId="10659"/>
    <cellStyle name="Hyperlink 6266 3" xfId="8317"/>
    <cellStyle name="Hyperlink 6267" xfId="5941"/>
    <cellStyle name="Hyperlink 6267 2" xfId="10660"/>
    <cellStyle name="Hyperlink 6267 3" xfId="8318"/>
    <cellStyle name="Hyperlink 6268" xfId="5942"/>
    <cellStyle name="Hyperlink 6268 2" xfId="10661"/>
    <cellStyle name="Hyperlink 6268 3" xfId="8319"/>
    <cellStyle name="Hyperlink 6269" xfId="5943"/>
    <cellStyle name="Hyperlink 6269 2" xfId="10662"/>
    <cellStyle name="Hyperlink 6269 3" xfId="8320"/>
    <cellStyle name="Hyperlink 627" xfId="5944"/>
    <cellStyle name="Hyperlink 627 2" xfId="10663"/>
    <cellStyle name="Hyperlink 627 3" xfId="8321"/>
    <cellStyle name="Hyperlink 6270" xfId="5945"/>
    <cellStyle name="Hyperlink 6270 2" xfId="10664"/>
    <cellStyle name="Hyperlink 6270 3" xfId="8322"/>
    <cellStyle name="Hyperlink 6271" xfId="5946"/>
    <cellStyle name="Hyperlink 6271 2" xfId="10665"/>
    <cellStyle name="Hyperlink 6271 3" xfId="8323"/>
    <cellStyle name="Hyperlink 6272" xfId="5947"/>
    <cellStyle name="Hyperlink 6272 2" xfId="10666"/>
    <cellStyle name="Hyperlink 6272 3" xfId="8324"/>
    <cellStyle name="Hyperlink 6273" xfId="5948"/>
    <cellStyle name="Hyperlink 6273 2" xfId="10667"/>
    <cellStyle name="Hyperlink 6273 3" xfId="8325"/>
    <cellStyle name="Hyperlink 6274" xfId="5949"/>
    <cellStyle name="Hyperlink 6274 2" xfId="10668"/>
    <cellStyle name="Hyperlink 6274 3" xfId="8326"/>
    <cellStyle name="Hyperlink 6275" xfId="5950"/>
    <cellStyle name="Hyperlink 6275 2" xfId="10669"/>
    <cellStyle name="Hyperlink 6275 3" xfId="8327"/>
    <cellStyle name="Hyperlink 6276" xfId="5951"/>
    <cellStyle name="Hyperlink 6276 2" xfId="10670"/>
    <cellStyle name="Hyperlink 6276 3" xfId="8328"/>
    <cellStyle name="Hyperlink 6277" xfId="5952"/>
    <cellStyle name="Hyperlink 6277 2" xfId="10671"/>
    <cellStyle name="Hyperlink 6277 3" xfId="8329"/>
    <cellStyle name="Hyperlink 6278" xfId="5953"/>
    <cellStyle name="Hyperlink 6278 2" xfId="10672"/>
    <cellStyle name="Hyperlink 6278 3" xfId="8330"/>
    <cellStyle name="Hyperlink 6279" xfId="5954"/>
    <cellStyle name="Hyperlink 6279 2" xfId="10673"/>
    <cellStyle name="Hyperlink 6279 3" xfId="8331"/>
    <cellStyle name="Hyperlink 628" xfId="5955"/>
    <cellStyle name="Hyperlink 628 2" xfId="10674"/>
    <cellStyle name="Hyperlink 628 3" xfId="8332"/>
    <cellStyle name="Hyperlink 6280" xfId="5956"/>
    <cellStyle name="Hyperlink 6280 2" xfId="10675"/>
    <cellStyle name="Hyperlink 6280 3" xfId="8333"/>
    <cellStyle name="Hyperlink 6281" xfId="5957"/>
    <cellStyle name="Hyperlink 6281 2" xfId="10676"/>
    <cellStyle name="Hyperlink 6281 3" xfId="8334"/>
    <cellStyle name="Hyperlink 6282" xfId="5958"/>
    <cellStyle name="Hyperlink 6282 2" xfId="10677"/>
    <cellStyle name="Hyperlink 6282 3" xfId="8335"/>
    <cellStyle name="Hyperlink 6283" xfId="5959"/>
    <cellStyle name="Hyperlink 6283 2" xfId="10678"/>
    <cellStyle name="Hyperlink 6283 3" xfId="8336"/>
    <cellStyle name="Hyperlink 6284" xfId="5960"/>
    <cellStyle name="Hyperlink 6284 2" xfId="10679"/>
    <cellStyle name="Hyperlink 6284 3" xfId="8337"/>
    <cellStyle name="Hyperlink 6285" xfId="5961"/>
    <cellStyle name="Hyperlink 6285 2" xfId="10680"/>
    <cellStyle name="Hyperlink 6285 3" xfId="8338"/>
    <cellStyle name="Hyperlink 6286" xfId="5962"/>
    <cellStyle name="Hyperlink 6286 2" xfId="10681"/>
    <cellStyle name="Hyperlink 6286 3" xfId="8339"/>
    <cellStyle name="Hyperlink 6287" xfId="5963"/>
    <cellStyle name="Hyperlink 6287 2" xfId="10682"/>
    <cellStyle name="Hyperlink 6287 3" xfId="8340"/>
    <cellStyle name="Hyperlink 6288" xfId="5964"/>
    <cellStyle name="Hyperlink 6288 2" xfId="10683"/>
    <cellStyle name="Hyperlink 6288 3" xfId="8341"/>
    <cellStyle name="Hyperlink 6289" xfId="5965"/>
    <cellStyle name="Hyperlink 6289 2" xfId="10684"/>
    <cellStyle name="Hyperlink 6289 3" xfId="8342"/>
    <cellStyle name="Hyperlink 629" xfId="5966"/>
    <cellStyle name="Hyperlink 629 2" xfId="10685"/>
    <cellStyle name="Hyperlink 629 3" xfId="8343"/>
    <cellStyle name="Hyperlink 6290" xfId="5967"/>
    <cellStyle name="Hyperlink 6290 2" xfId="10686"/>
    <cellStyle name="Hyperlink 6290 3" xfId="8344"/>
    <cellStyle name="Hyperlink 6291" xfId="5968"/>
    <cellStyle name="Hyperlink 6291 2" xfId="10687"/>
    <cellStyle name="Hyperlink 6291 3" xfId="8345"/>
    <cellStyle name="Hyperlink 6292" xfId="5969"/>
    <cellStyle name="Hyperlink 6292 2" xfId="10688"/>
    <cellStyle name="Hyperlink 6292 3" xfId="8346"/>
    <cellStyle name="Hyperlink 6293" xfId="5970"/>
    <cellStyle name="Hyperlink 6293 2" xfId="10689"/>
    <cellStyle name="Hyperlink 6293 3" xfId="8347"/>
    <cellStyle name="Hyperlink 6294" xfId="5971"/>
    <cellStyle name="Hyperlink 6294 2" xfId="10690"/>
    <cellStyle name="Hyperlink 6294 3" xfId="8348"/>
    <cellStyle name="Hyperlink 6295" xfId="5972"/>
    <cellStyle name="Hyperlink 6295 2" xfId="10691"/>
    <cellStyle name="Hyperlink 6295 3" xfId="8349"/>
    <cellStyle name="Hyperlink 6296" xfId="5973"/>
    <cellStyle name="Hyperlink 6296 2" xfId="10692"/>
    <cellStyle name="Hyperlink 6296 3" xfId="8350"/>
    <cellStyle name="Hyperlink 6297" xfId="5974"/>
    <cellStyle name="Hyperlink 6297 2" xfId="10693"/>
    <cellStyle name="Hyperlink 6297 3" xfId="8351"/>
    <cellStyle name="Hyperlink 6298" xfId="5975"/>
    <cellStyle name="Hyperlink 6298 2" xfId="10694"/>
    <cellStyle name="Hyperlink 6298 3" xfId="8352"/>
    <cellStyle name="Hyperlink 6299" xfId="5976"/>
    <cellStyle name="Hyperlink 6299 2" xfId="10695"/>
    <cellStyle name="Hyperlink 6299 3" xfId="8353"/>
    <cellStyle name="Hyperlink 63" xfId="5977"/>
    <cellStyle name="Hyperlink 63 2" xfId="10696"/>
    <cellStyle name="Hyperlink 63 3" xfId="8354"/>
    <cellStyle name="Hyperlink 630" xfId="5978"/>
    <cellStyle name="Hyperlink 630 2" xfId="10697"/>
    <cellStyle name="Hyperlink 630 3" xfId="8355"/>
    <cellStyle name="Hyperlink 6300" xfId="5979"/>
    <cellStyle name="Hyperlink 6300 2" xfId="10698"/>
    <cellStyle name="Hyperlink 6300 3" xfId="8356"/>
    <cellStyle name="Hyperlink 6301" xfId="5980"/>
    <cellStyle name="Hyperlink 6301 2" xfId="10699"/>
    <cellStyle name="Hyperlink 6301 3" xfId="8357"/>
    <cellStyle name="Hyperlink 631" xfId="5981"/>
    <cellStyle name="Hyperlink 631 2" xfId="10700"/>
    <cellStyle name="Hyperlink 631 3" xfId="8358"/>
    <cellStyle name="Hyperlink 632" xfId="5982"/>
    <cellStyle name="Hyperlink 632 2" xfId="10701"/>
    <cellStyle name="Hyperlink 632 3" xfId="8359"/>
    <cellStyle name="Hyperlink 633" xfId="5983"/>
    <cellStyle name="Hyperlink 633 2" xfId="10702"/>
    <cellStyle name="Hyperlink 633 3" xfId="8360"/>
    <cellStyle name="Hyperlink 634" xfId="5984"/>
    <cellStyle name="Hyperlink 634 2" xfId="10703"/>
    <cellStyle name="Hyperlink 634 3" xfId="8361"/>
    <cellStyle name="Hyperlink 635" xfId="5985"/>
    <cellStyle name="Hyperlink 635 2" xfId="10704"/>
    <cellStyle name="Hyperlink 635 3" xfId="8362"/>
    <cellStyle name="Hyperlink 636" xfId="5986"/>
    <cellStyle name="Hyperlink 636 2" xfId="10705"/>
    <cellStyle name="Hyperlink 636 3" xfId="8363"/>
    <cellStyle name="Hyperlink 637" xfId="5987"/>
    <cellStyle name="Hyperlink 637 2" xfId="10706"/>
    <cellStyle name="Hyperlink 637 3" xfId="8364"/>
    <cellStyle name="Hyperlink 638" xfId="5988"/>
    <cellStyle name="Hyperlink 638 2" xfId="10707"/>
    <cellStyle name="Hyperlink 638 3" xfId="8365"/>
    <cellStyle name="Hyperlink 639" xfId="5989"/>
    <cellStyle name="Hyperlink 639 2" xfId="10708"/>
    <cellStyle name="Hyperlink 639 3" xfId="8366"/>
    <cellStyle name="Hyperlink 64" xfId="5990"/>
    <cellStyle name="Hyperlink 64 2" xfId="10709"/>
    <cellStyle name="Hyperlink 64 3" xfId="8367"/>
    <cellStyle name="Hyperlink 640" xfId="5991"/>
    <cellStyle name="Hyperlink 640 2" xfId="10710"/>
    <cellStyle name="Hyperlink 640 3" xfId="8368"/>
    <cellStyle name="Hyperlink 641" xfId="5992"/>
    <cellStyle name="Hyperlink 641 2" xfId="10711"/>
    <cellStyle name="Hyperlink 641 3" xfId="8369"/>
    <cellStyle name="Hyperlink 642" xfId="5993"/>
    <cellStyle name="Hyperlink 642 2" xfId="10712"/>
    <cellStyle name="Hyperlink 642 3" xfId="8370"/>
    <cellStyle name="Hyperlink 643" xfId="5994"/>
    <cellStyle name="Hyperlink 643 2" xfId="10713"/>
    <cellStyle name="Hyperlink 643 3" xfId="8371"/>
    <cellStyle name="Hyperlink 644" xfId="5995"/>
    <cellStyle name="Hyperlink 644 2" xfId="10714"/>
    <cellStyle name="Hyperlink 644 3" xfId="8372"/>
    <cellStyle name="Hyperlink 645" xfId="5996"/>
    <cellStyle name="Hyperlink 645 2" xfId="10715"/>
    <cellStyle name="Hyperlink 645 3" xfId="8373"/>
    <cellStyle name="Hyperlink 646" xfId="5997"/>
    <cellStyle name="Hyperlink 646 2" xfId="10716"/>
    <cellStyle name="Hyperlink 646 3" xfId="8374"/>
    <cellStyle name="Hyperlink 647" xfId="5998"/>
    <cellStyle name="Hyperlink 647 2" xfId="10717"/>
    <cellStyle name="Hyperlink 647 3" xfId="8375"/>
    <cellStyle name="Hyperlink 648" xfId="5999"/>
    <cellStyle name="Hyperlink 648 2" xfId="10718"/>
    <cellStyle name="Hyperlink 648 3" xfId="8376"/>
    <cellStyle name="Hyperlink 649" xfId="6000"/>
    <cellStyle name="Hyperlink 649 2" xfId="10719"/>
    <cellStyle name="Hyperlink 649 3" xfId="8377"/>
    <cellStyle name="Hyperlink 65" xfId="6001"/>
    <cellStyle name="Hyperlink 65 2" xfId="10720"/>
    <cellStyle name="Hyperlink 65 3" xfId="8378"/>
    <cellStyle name="Hyperlink 650" xfId="6002"/>
    <cellStyle name="Hyperlink 650 2" xfId="10721"/>
    <cellStyle name="Hyperlink 650 3" xfId="8379"/>
    <cellStyle name="Hyperlink 651" xfId="6003"/>
    <cellStyle name="Hyperlink 651 2" xfId="10722"/>
    <cellStyle name="Hyperlink 651 3" xfId="8380"/>
    <cellStyle name="Hyperlink 652" xfId="6004"/>
    <cellStyle name="Hyperlink 652 2" xfId="10723"/>
    <cellStyle name="Hyperlink 652 3" xfId="8381"/>
    <cellStyle name="Hyperlink 653" xfId="6005"/>
    <cellStyle name="Hyperlink 653 2" xfId="10724"/>
    <cellStyle name="Hyperlink 653 3" xfId="8382"/>
    <cellStyle name="Hyperlink 654" xfId="6006"/>
    <cellStyle name="Hyperlink 654 2" xfId="10725"/>
    <cellStyle name="Hyperlink 654 3" xfId="8383"/>
    <cellStyle name="Hyperlink 655" xfId="6007"/>
    <cellStyle name="Hyperlink 655 2" xfId="10726"/>
    <cellStyle name="Hyperlink 655 3" xfId="8384"/>
    <cellStyle name="Hyperlink 656" xfId="6008"/>
    <cellStyle name="Hyperlink 656 2" xfId="10727"/>
    <cellStyle name="Hyperlink 656 3" xfId="8385"/>
    <cellStyle name="Hyperlink 657" xfId="6009"/>
    <cellStyle name="Hyperlink 657 2" xfId="10728"/>
    <cellStyle name="Hyperlink 657 3" xfId="8386"/>
    <cellStyle name="Hyperlink 658" xfId="6010"/>
    <cellStyle name="Hyperlink 658 2" xfId="10729"/>
    <cellStyle name="Hyperlink 658 3" xfId="8387"/>
    <cellStyle name="Hyperlink 659" xfId="6011"/>
    <cellStyle name="Hyperlink 659 2" xfId="10730"/>
    <cellStyle name="Hyperlink 659 3" xfId="8388"/>
    <cellStyle name="Hyperlink 66" xfId="6012"/>
    <cellStyle name="Hyperlink 66 2" xfId="10731"/>
    <cellStyle name="Hyperlink 66 3" xfId="8389"/>
    <cellStyle name="Hyperlink 660" xfId="6013"/>
    <cellStyle name="Hyperlink 660 2" xfId="10732"/>
    <cellStyle name="Hyperlink 660 3" xfId="8390"/>
    <cellStyle name="Hyperlink 661" xfId="6014"/>
    <cellStyle name="Hyperlink 661 2" xfId="10733"/>
    <cellStyle name="Hyperlink 661 3" xfId="8391"/>
    <cellStyle name="Hyperlink 662" xfId="6015"/>
    <cellStyle name="Hyperlink 662 2" xfId="10734"/>
    <cellStyle name="Hyperlink 662 3" xfId="8392"/>
    <cellStyle name="Hyperlink 663" xfId="6016"/>
    <cellStyle name="Hyperlink 663 2" xfId="10735"/>
    <cellStyle name="Hyperlink 663 3" xfId="8393"/>
    <cellStyle name="Hyperlink 664" xfId="6017"/>
    <cellStyle name="Hyperlink 664 2" xfId="10736"/>
    <cellStyle name="Hyperlink 664 3" xfId="8394"/>
    <cellStyle name="Hyperlink 665" xfId="6018"/>
    <cellStyle name="Hyperlink 665 2" xfId="10737"/>
    <cellStyle name="Hyperlink 665 3" xfId="8395"/>
    <cellStyle name="Hyperlink 666" xfId="6019"/>
    <cellStyle name="Hyperlink 666 2" xfId="10738"/>
    <cellStyle name="Hyperlink 666 3" xfId="8396"/>
    <cellStyle name="Hyperlink 667" xfId="6020"/>
    <cellStyle name="Hyperlink 667 2" xfId="10739"/>
    <cellStyle name="Hyperlink 667 3" xfId="8397"/>
    <cellStyle name="Hyperlink 668" xfId="6021"/>
    <cellStyle name="Hyperlink 668 2" xfId="10740"/>
    <cellStyle name="Hyperlink 668 3" xfId="8398"/>
    <cellStyle name="Hyperlink 669" xfId="6022"/>
    <cellStyle name="Hyperlink 669 2" xfId="10741"/>
    <cellStyle name="Hyperlink 669 3" xfId="8399"/>
    <cellStyle name="Hyperlink 67" xfId="6023"/>
    <cellStyle name="Hyperlink 67 2" xfId="10742"/>
    <cellStyle name="Hyperlink 67 3" xfId="8400"/>
    <cellStyle name="Hyperlink 670" xfId="6024"/>
    <cellStyle name="Hyperlink 670 2" xfId="10743"/>
    <cellStyle name="Hyperlink 670 3" xfId="8401"/>
    <cellStyle name="Hyperlink 671" xfId="6025"/>
    <cellStyle name="Hyperlink 671 2" xfId="10744"/>
    <cellStyle name="Hyperlink 671 3" xfId="8402"/>
    <cellStyle name="Hyperlink 672" xfId="6026"/>
    <cellStyle name="Hyperlink 672 2" xfId="10745"/>
    <cellStyle name="Hyperlink 672 3" xfId="8403"/>
    <cellStyle name="Hyperlink 673" xfId="6027"/>
    <cellStyle name="Hyperlink 673 2" xfId="10746"/>
    <cellStyle name="Hyperlink 673 3" xfId="8404"/>
    <cellStyle name="Hyperlink 674" xfId="6028"/>
    <cellStyle name="Hyperlink 674 2" xfId="10747"/>
    <cellStyle name="Hyperlink 674 3" xfId="8405"/>
    <cellStyle name="Hyperlink 675" xfId="6029"/>
    <cellStyle name="Hyperlink 675 2" xfId="10748"/>
    <cellStyle name="Hyperlink 675 3" xfId="8406"/>
    <cellStyle name="Hyperlink 676" xfId="6030"/>
    <cellStyle name="Hyperlink 676 2" xfId="10749"/>
    <cellStyle name="Hyperlink 676 3" xfId="8407"/>
    <cellStyle name="Hyperlink 677" xfId="6031"/>
    <cellStyle name="Hyperlink 677 2" xfId="10750"/>
    <cellStyle name="Hyperlink 677 3" xfId="8408"/>
    <cellStyle name="Hyperlink 678" xfId="6032"/>
    <cellStyle name="Hyperlink 678 2" xfId="10751"/>
    <cellStyle name="Hyperlink 678 3" xfId="8409"/>
    <cellStyle name="Hyperlink 679" xfId="6033"/>
    <cellStyle name="Hyperlink 679 2" xfId="10752"/>
    <cellStyle name="Hyperlink 679 3" xfId="8410"/>
    <cellStyle name="Hyperlink 68" xfId="6034"/>
    <cellStyle name="Hyperlink 68 2" xfId="10753"/>
    <cellStyle name="Hyperlink 68 3" xfId="8411"/>
    <cellStyle name="Hyperlink 680" xfId="6035"/>
    <cellStyle name="Hyperlink 680 2" xfId="10754"/>
    <cellStyle name="Hyperlink 680 3" xfId="8412"/>
    <cellStyle name="Hyperlink 681" xfId="6036"/>
    <cellStyle name="Hyperlink 681 2" xfId="10755"/>
    <cellStyle name="Hyperlink 681 3" xfId="8413"/>
    <cellStyle name="Hyperlink 682" xfId="6037"/>
    <cellStyle name="Hyperlink 682 2" xfId="10756"/>
    <cellStyle name="Hyperlink 682 3" xfId="8414"/>
    <cellStyle name="Hyperlink 683" xfId="6038"/>
    <cellStyle name="Hyperlink 683 2" xfId="10757"/>
    <cellStyle name="Hyperlink 683 3" xfId="8415"/>
    <cellStyle name="Hyperlink 684" xfId="6039"/>
    <cellStyle name="Hyperlink 684 2" xfId="10758"/>
    <cellStyle name="Hyperlink 684 3" xfId="8416"/>
    <cellStyle name="Hyperlink 685" xfId="6040"/>
    <cellStyle name="Hyperlink 685 2" xfId="10759"/>
    <cellStyle name="Hyperlink 685 3" xfId="8417"/>
    <cellStyle name="Hyperlink 686" xfId="6041"/>
    <cellStyle name="Hyperlink 686 2" xfId="10760"/>
    <cellStyle name="Hyperlink 686 3" xfId="8418"/>
    <cellStyle name="Hyperlink 687" xfId="6042"/>
    <cellStyle name="Hyperlink 687 2" xfId="10761"/>
    <cellStyle name="Hyperlink 687 3" xfId="8419"/>
    <cellStyle name="Hyperlink 688" xfId="6043"/>
    <cellStyle name="Hyperlink 688 2" xfId="10762"/>
    <cellStyle name="Hyperlink 688 3" xfId="8420"/>
    <cellStyle name="Hyperlink 689" xfId="6044"/>
    <cellStyle name="Hyperlink 689 2" xfId="10763"/>
    <cellStyle name="Hyperlink 689 3" xfId="8421"/>
    <cellStyle name="Hyperlink 69" xfId="6045"/>
    <cellStyle name="Hyperlink 69 2" xfId="10764"/>
    <cellStyle name="Hyperlink 69 3" xfId="8422"/>
    <cellStyle name="Hyperlink 690" xfId="6046"/>
    <cellStyle name="Hyperlink 690 2" xfId="10765"/>
    <cellStyle name="Hyperlink 690 3" xfId="8423"/>
    <cellStyle name="Hyperlink 691" xfId="6047"/>
    <cellStyle name="Hyperlink 691 2" xfId="10766"/>
    <cellStyle name="Hyperlink 691 3" xfId="8424"/>
    <cellStyle name="Hyperlink 692" xfId="6048"/>
    <cellStyle name="Hyperlink 692 2" xfId="10767"/>
    <cellStyle name="Hyperlink 692 3" xfId="8425"/>
    <cellStyle name="Hyperlink 693" xfId="6049"/>
    <cellStyle name="Hyperlink 693 2" xfId="10768"/>
    <cellStyle name="Hyperlink 693 3" xfId="8426"/>
    <cellStyle name="Hyperlink 694" xfId="6050"/>
    <cellStyle name="Hyperlink 694 2" xfId="10769"/>
    <cellStyle name="Hyperlink 694 3" xfId="8427"/>
    <cellStyle name="Hyperlink 695" xfId="6051"/>
    <cellStyle name="Hyperlink 695 2" xfId="10770"/>
    <cellStyle name="Hyperlink 695 3" xfId="8428"/>
    <cellStyle name="Hyperlink 696" xfId="6052"/>
    <cellStyle name="Hyperlink 696 2" xfId="10771"/>
    <cellStyle name="Hyperlink 696 3" xfId="8429"/>
    <cellStyle name="Hyperlink 697" xfId="6053"/>
    <cellStyle name="Hyperlink 697 2" xfId="10772"/>
    <cellStyle name="Hyperlink 697 3" xfId="8430"/>
    <cellStyle name="Hyperlink 698" xfId="6054"/>
    <cellStyle name="Hyperlink 698 2" xfId="10773"/>
    <cellStyle name="Hyperlink 698 3" xfId="8431"/>
    <cellStyle name="Hyperlink 699" xfId="6055"/>
    <cellStyle name="Hyperlink 699 2" xfId="10774"/>
    <cellStyle name="Hyperlink 699 3" xfId="8432"/>
    <cellStyle name="Hyperlink 7" xfId="6056"/>
    <cellStyle name="Hyperlink 7 2" xfId="10775"/>
    <cellStyle name="Hyperlink 7 3" xfId="8433"/>
    <cellStyle name="Hyperlink 70" xfId="6057"/>
    <cellStyle name="Hyperlink 70 2" xfId="10776"/>
    <cellStyle name="Hyperlink 70 3" xfId="8434"/>
    <cellStyle name="Hyperlink 700" xfId="6058"/>
    <cellStyle name="Hyperlink 700 2" xfId="10777"/>
    <cellStyle name="Hyperlink 700 3" xfId="8435"/>
    <cellStyle name="Hyperlink 701" xfId="6059"/>
    <cellStyle name="Hyperlink 701 2" xfId="10778"/>
    <cellStyle name="Hyperlink 701 3" xfId="8436"/>
    <cellStyle name="Hyperlink 702" xfId="6060"/>
    <cellStyle name="Hyperlink 702 2" xfId="10779"/>
    <cellStyle name="Hyperlink 702 3" xfId="8437"/>
    <cellStyle name="Hyperlink 703" xfId="6061"/>
    <cellStyle name="Hyperlink 703 2" xfId="10780"/>
    <cellStyle name="Hyperlink 703 3" xfId="8438"/>
    <cellStyle name="Hyperlink 704" xfId="6062"/>
    <cellStyle name="Hyperlink 704 2" xfId="10781"/>
    <cellStyle name="Hyperlink 704 3" xfId="8439"/>
    <cellStyle name="Hyperlink 705" xfId="6063"/>
    <cellStyle name="Hyperlink 705 2" xfId="10782"/>
    <cellStyle name="Hyperlink 705 3" xfId="8440"/>
    <cellStyle name="Hyperlink 706" xfId="6064"/>
    <cellStyle name="Hyperlink 706 2" xfId="10783"/>
    <cellStyle name="Hyperlink 706 3" xfId="8441"/>
    <cellStyle name="Hyperlink 707" xfId="6065"/>
    <cellStyle name="Hyperlink 707 2" xfId="10784"/>
    <cellStyle name="Hyperlink 707 3" xfId="8442"/>
    <cellStyle name="Hyperlink 708" xfId="6066"/>
    <cellStyle name="Hyperlink 708 2" xfId="10785"/>
    <cellStyle name="Hyperlink 708 3" xfId="8443"/>
    <cellStyle name="Hyperlink 709" xfId="6067"/>
    <cellStyle name="Hyperlink 709 2" xfId="10786"/>
    <cellStyle name="Hyperlink 709 3" xfId="8444"/>
    <cellStyle name="Hyperlink 71" xfId="6068"/>
    <cellStyle name="Hyperlink 71 2" xfId="10787"/>
    <cellStyle name="Hyperlink 71 3" xfId="8445"/>
    <cellStyle name="Hyperlink 710" xfId="6069"/>
    <cellStyle name="Hyperlink 710 2" xfId="10788"/>
    <cellStyle name="Hyperlink 710 3" xfId="8446"/>
    <cellStyle name="Hyperlink 711" xfId="6070"/>
    <cellStyle name="Hyperlink 711 2" xfId="10789"/>
    <cellStyle name="Hyperlink 711 3" xfId="8447"/>
    <cellStyle name="Hyperlink 712" xfId="6071"/>
    <cellStyle name="Hyperlink 712 2" xfId="10790"/>
    <cellStyle name="Hyperlink 712 3" xfId="8448"/>
    <cellStyle name="Hyperlink 713" xfId="6072"/>
    <cellStyle name="Hyperlink 713 2" xfId="10791"/>
    <cellStyle name="Hyperlink 713 3" xfId="8449"/>
    <cellStyle name="Hyperlink 714" xfId="6073"/>
    <cellStyle name="Hyperlink 714 2" xfId="10792"/>
    <cellStyle name="Hyperlink 714 3" xfId="8450"/>
    <cellStyle name="Hyperlink 715" xfId="6074"/>
    <cellStyle name="Hyperlink 715 2" xfId="10793"/>
    <cellStyle name="Hyperlink 715 3" xfId="8451"/>
    <cellStyle name="Hyperlink 716" xfId="6075"/>
    <cellStyle name="Hyperlink 716 2" xfId="10794"/>
    <cellStyle name="Hyperlink 716 3" xfId="8452"/>
    <cellStyle name="Hyperlink 717" xfId="6076"/>
    <cellStyle name="Hyperlink 717 2" xfId="10795"/>
    <cellStyle name="Hyperlink 717 3" xfId="8453"/>
    <cellStyle name="Hyperlink 718" xfId="6077"/>
    <cellStyle name="Hyperlink 718 2" xfId="10796"/>
    <cellStyle name="Hyperlink 718 3" xfId="8454"/>
    <cellStyle name="Hyperlink 719" xfId="6078"/>
    <cellStyle name="Hyperlink 719 2" xfId="10797"/>
    <cellStyle name="Hyperlink 719 3" xfId="8455"/>
    <cellStyle name="Hyperlink 72" xfId="6079"/>
    <cellStyle name="Hyperlink 72 2" xfId="10798"/>
    <cellStyle name="Hyperlink 72 3" xfId="8456"/>
    <cellStyle name="Hyperlink 720" xfId="6080"/>
    <cellStyle name="Hyperlink 720 2" xfId="10799"/>
    <cellStyle name="Hyperlink 720 3" xfId="8457"/>
    <cellStyle name="Hyperlink 721" xfId="6081"/>
    <cellStyle name="Hyperlink 721 2" xfId="10800"/>
    <cellStyle name="Hyperlink 721 3" xfId="8458"/>
    <cellStyle name="Hyperlink 722" xfId="6082"/>
    <cellStyle name="Hyperlink 722 2" xfId="10801"/>
    <cellStyle name="Hyperlink 722 3" xfId="8459"/>
    <cellStyle name="Hyperlink 723" xfId="6083"/>
    <cellStyle name="Hyperlink 723 2" xfId="10802"/>
    <cellStyle name="Hyperlink 723 3" xfId="8460"/>
    <cellStyle name="Hyperlink 724" xfId="6084"/>
    <cellStyle name="Hyperlink 724 2" xfId="10803"/>
    <cellStyle name="Hyperlink 724 3" xfId="8461"/>
    <cellStyle name="Hyperlink 725" xfId="6085"/>
    <cellStyle name="Hyperlink 725 2" xfId="10804"/>
    <cellStyle name="Hyperlink 725 3" xfId="8462"/>
    <cellStyle name="Hyperlink 726" xfId="6086"/>
    <cellStyle name="Hyperlink 726 2" xfId="10805"/>
    <cellStyle name="Hyperlink 726 3" xfId="8463"/>
    <cellStyle name="Hyperlink 727" xfId="6087"/>
    <cellStyle name="Hyperlink 727 2" xfId="10806"/>
    <cellStyle name="Hyperlink 727 3" xfId="8464"/>
    <cellStyle name="Hyperlink 728" xfId="6088"/>
    <cellStyle name="Hyperlink 728 2" xfId="10807"/>
    <cellStyle name="Hyperlink 728 3" xfId="8465"/>
    <cellStyle name="Hyperlink 729" xfId="6089"/>
    <cellStyle name="Hyperlink 729 2" xfId="10808"/>
    <cellStyle name="Hyperlink 729 3" xfId="8466"/>
    <cellStyle name="Hyperlink 73" xfId="6090"/>
    <cellStyle name="Hyperlink 73 2" xfId="10809"/>
    <cellStyle name="Hyperlink 73 3" xfId="8467"/>
    <cellStyle name="Hyperlink 730" xfId="6091"/>
    <cellStyle name="Hyperlink 730 2" xfId="10810"/>
    <cellStyle name="Hyperlink 730 3" xfId="8468"/>
    <cellStyle name="Hyperlink 731" xfId="6092"/>
    <cellStyle name="Hyperlink 731 2" xfId="10811"/>
    <cellStyle name="Hyperlink 731 3" xfId="8469"/>
    <cellStyle name="Hyperlink 732" xfId="6093"/>
    <cellStyle name="Hyperlink 732 2" xfId="10812"/>
    <cellStyle name="Hyperlink 732 3" xfId="8470"/>
    <cellStyle name="Hyperlink 733" xfId="6094"/>
    <cellStyle name="Hyperlink 733 2" xfId="10813"/>
    <cellStyle name="Hyperlink 733 3" xfId="8471"/>
    <cellStyle name="Hyperlink 734" xfId="6095"/>
    <cellStyle name="Hyperlink 734 2" xfId="10814"/>
    <cellStyle name="Hyperlink 734 3" xfId="8472"/>
    <cellStyle name="Hyperlink 735" xfId="6096"/>
    <cellStyle name="Hyperlink 735 2" xfId="10815"/>
    <cellStyle name="Hyperlink 735 3" xfId="8473"/>
    <cellStyle name="Hyperlink 736" xfId="6097"/>
    <cellStyle name="Hyperlink 736 2" xfId="10816"/>
    <cellStyle name="Hyperlink 736 3" xfId="8474"/>
    <cellStyle name="Hyperlink 737" xfId="6098"/>
    <cellStyle name="Hyperlink 737 2" xfId="10817"/>
    <cellStyle name="Hyperlink 737 3" xfId="8475"/>
    <cellStyle name="Hyperlink 738" xfId="6099"/>
    <cellStyle name="Hyperlink 738 2" xfId="10818"/>
    <cellStyle name="Hyperlink 738 3" xfId="8476"/>
    <cellStyle name="Hyperlink 739" xfId="6100"/>
    <cellStyle name="Hyperlink 739 2" xfId="10819"/>
    <cellStyle name="Hyperlink 739 3" xfId="8477"/>
    <cellStyle name="Hyperlink 74" xfId="6101"/>
    <cellStyle name="Hyperlink 74 2" xfId="10820"/>
    <cellStyle name="Hyperlink 74 3" xfId="8478"/>
    <cellStyle name="Hyperlink 740" xfId="6102"/>
    <cellStyle name="Hyperlink 740 2" xfId="10821"/>
    <cellStyle name="Hyperlink 740 3" xfId="8479"/>
    <cellStyle name="Hyperlink 741" xfId="6103"/>
    <cellStyle name="Hyperlink 741 2" xfId="10822"/>
    <cellStyle name="Hyperlink 741 3" xfId="8480"/>
    <cellStyle name="Hyperlink 742" xfId="6104"/>
    <cellStyle name="Hyperlink 742 2" xfId="10823"/>
    <cellStyle name="Hyperlink 742 3" xfId="8481"/>
    <cellStyle name="Hyperlink 743" xfId="6105"/>
    <cellStyle name="Hyperlink 743 2" xfId="10824"/>
    <cellStyle name="Hyperlink 743 3" xfId="8482"/>
    <cellStyle name="Hyperlink 744" xfId="6106"/>
    <cellStyle name="Hyperlink 744 2" xfId="10825"/>
    <cellStyle name="Hyperlink 744 3" xfId="8483"/>
    <cellStyle name="Hyperlink 745" xfId="6107"/>
    <cellStyle name="Hyperlink 745 2" xfId="10826"/>
    <cellStyle name="Hyperlink 745 3" xfId="8484"/>
    <cellStyle name="Hyperlink 746" xfId="6108"/>
    <cellStyle name="Hyperlink 746 2" xfId="10827"/>
    <cellStyle name="Hyperlink 746 3" xfId="8485"/>
    <cellStyle name="Hyperlink 747" xfId="6109"/>
    <cellStyle name="Hyperlink 747 2" xfId="10828"/>
    <cellStyle name="Hyperlink 747 3" xfId="8486"/>
    <cellStyle name="Hyperlink 748" xfId="6110"/>
    <cellStyle name="Hyperlink 748 2" xfId="10829"/>
    <cellStyle name="Hyperlink 748 3" xfId="8487"/>
    <cellStyle name="Hyperlink 749" xfId="6111"/>
    <cellStyle name="Hyperlink 749 2" xfId="10830"/>
    <cellStyle name="Hyperlink 749 3" xfId="8488"/>
    <cellStyle name="Hyperlink 75" xfId="6112"/>
    <cellStyle name="Hyperlink 75 2" xfId="10831"/>
    <cellStyle name="Hyperlink 75 3" xfId="8489"/>
    <cellStyle name="Hyperlink 750" xfId="6113"/>
    <cellStyle name="Hyperlink 750 2" xfId="10832"/>
    <cellStyle name="Hyperlink 750 3" xfId="8490"/>
    <cellStyle name="Hyperlink 751" xfId="6114"/>
    <cellStyle name="Hyperlink 751 2" xfId="10833"/>
    <cellStyle name="Hyperlink 751 3" xfId="8491"/>
    <cellStyle name="Hyperlink 752" xfId="6115"/>
    <cellStyle name="Hyperlink 752 2" xfId="10834"/>
    <cellStyle name="Hyperlink 752 3" xfId="8492"/>
    <cellStyle name="Hyperlink 753" xfId="6116"/>
    <cellStyle name="Hyperlink 753 2" xfId="10835"/>
    <cellStyle name="Hyperlink 753 3" xfId="8493"/>
    <cellStyle name="Hyperlink 754" xfId="6117"/>
    <cellStyle name="Hyperlink 754 2" xfId="10836"/>
    <cellStyle name="Hyperlink 754 3" xfId="8494"/>
    <cellStyle name="Hyperlink 755" xfId="6118"/>
    <cellStyle name="Hyperlink 755 2" xfId="10837"/>
    <cellStyle name="Hyperlink 755 3" xfId="8495"/>
    <cellStyle name="Hyperlink 756" xfId="6119"/>
    <cellStyle name="Hyperlink 756 2" xfId="10838"/>
    <cellStyle name="Hyperlink 756 3" xfId="8496"/>
    <cellStyle name="Hyperlink 757" xfId="6120"/>
    <cellStyle name="Hyperlink 757 2" xfId="10839"/>
    <cellStyle name="Hyperlink 757 3" xfId="8497"/>
    <cellStyle name="Hyperlink 758" xfId="6121"/>
    <cellStyle name="Hyperlink 758 2" xfId="10840"/>
    <cellStyle name="Hyperlink 758 3" xfId="8498"/>
    <cellStyle name="Hyperlink 759" xfId="6122"/>
    <cellStyle name="Hyperlink 759 2" xfId="10841"/>
    <cellStyle name="Hyperlink 759 3" xfId="8499"/>
    <cellStyle name="Hyperlink 76" xfId="6123"/>
    <cellStyle name="Hyperlink 76 2" xfId="10842"/>
    <cellStyle name="Hyperlink 76 3" xfId="8500"/>
    <cellStyle name="Hyperlink 760" xfId="6124"/>
    <cellStyle name="Hyperlink 760 2" xfId="10843"/>
    <cellStyle name="Hyperlink 760 3" xfId="8501"/>
    <cellStyle name="Hyperlink 761" xfId="6125"/>
    <cellStyle name="Hyperlink 761 2" xfId="10844"/>
    <cellStyle name="Hyperlink 761 3" xfId="8502"/>
    <cellStyle name="Hyperlink 762" xfId="6126"/>
    <cellStyle name="Hyperlink 762 2" xfId="10845"/>
    <cellStyle name="Hyperlink 762 3" xfId="8503"/>
    <cellStyle name="Hyperlink 763" xfId="6127"/>
    <cellStyle name="Hyperlink 763 2" xfId="10846"/>
    <cellStyle name="Hyperlink 763 3" xfId="8504"/>
    <cellStyle name="Hyperlink 764" xfId="6128"/>
    <cellStyle name="Hyperlink 764 2" xfId="10847"/>
    <cellStyle name="Hyperlink 764 3" xfId="8505"/>
    <cellStyle name="Hyperlink 765" xfId="6129"/>
    <cellStyle name="Hyperlink 765 2" xfId="10848"/>
    <cellStyle name="Hyperlink 765 3" xfId="8506"/>
    <cellStyle name="Hyperlink 766" xfId="6130"/>
    <cellStyle name="Hyperlink 766 2" xfId="10849"/>
    <cellStyle name="Hyperlink 766 3" xfId="8507"/>
    <cellStyle name="Hyperlink 767" xfId="6131"/>
    <cellStyle name="Hyperlink 767 2" xfId="10850"/>
    <cellStyle name="Hyperlink 767 3" xfId="8508"/>
    <cellStyle name="Hyperlink 768" xfId="6132"/>
    <cellStyle name="Hyperlink 768 2" xfId="10851"/>
    <cellStyle name="Hyperlink 768 3" xfId="8509"/>
    <cellStyle name="Hyperlink 769" xfId="6133"/>
    <cellStyle name="Hyperlink 769 2" xfId="10852"/>
    <cellStyle name="Hyperlink 769 3" xfId="8510"/>
    <cellStyle name="Hyperlink 77" xfId="6134"/>
    <cellStyle name="Hyperlink 77 2" xfId="10853"/>
    <cellStyle name="Hyperlink 77 3" xfId="8511"/>
    <cellStyle name="Hyperlink 770" xfId="6135"/>
    <cellStyle name="Hyperlink 770 2" xfId="10854"/>
    <cellStyle name="Hyperlink 770 3" xfId="8512"/>
    <cellStyle name="Hyperlink 771" xfId="6136"/>
    <cellStyle name="Hyperlink 771 2" xfId="10855"/>
    <cellStyle name="Hyperlink 771 3" xfId="8513"/>
    <cellStyle name="Hyperlink 772" xfId="6137"/>
    <cellStyle name="Hyperlink 772 2" xfId="10856"/>
    <cellStyle name="Hyperlink 772 3" xfId="8514"/>
    <cellStyle name="Hyperlink 773" xfId="6138"/>
    <cellStyle name="Hyperlink 773 2" xfId="10857"/>
    <cellStyle name="Hyperlink 773 3" xfId="8515"/>
    <cellStyle name="Hyperlink 774" xfId="6139"/>
    <cellStyle name="Hyperlink 774 2" xfId="10858"/>
    <cellStyle name="Hyperlink 774 3" xfId="8516"/>
    <cellStyle name="Hyperlink 775" xfId="6140"/>
    <cellStyle name="Hyperlink 775 2" xfId="10859"/>
    <cellStyle name="Hyperlink 775 3" xfId="8517"/>
    <cellStyle name="Hyperlink 776" xfId="6141"/>
    <cellStyle name="Hyperlink 776 2" xfId="10860"/>
    <cellStyle name="Hyperlink 776 3" xfId="8518"/>
    <cellStyle name="Hyperlink 777" xfId="6142"/>
    <cellStyle name="Hyperlink 777 2" xfId="10861"/>
    <cellStyle name="Hyperlink 777 3" xfId="8519"/>
    <cellStyle name="Hyperlink 778" xfId="6143"/>
    <cellStyle name="Hyperlink 778 2" xfId="10862"/>
    <cellStyle name="Hyperlink 778 3" xfId="8520"/>
    <cellStyle name="Hyperlink 779" xfId="6144"/>
    <cellStyle name="Hyperlink 779 2" xfId="10863"/>
    <cellStyle name="Hyperlink 779 3" xfId="8521"/>
    <cellStyle name="Hyperlink 78" xfId="6145"/>
    <cellStyle name="Hyperlink 78 2" xfId="10864"/>
    <cellStyle name="Hyperlink 78 3" xfId="8522"/>
    <cellStyle name="Hyperlink 780" xfId="6146"/>
    <cellStyle name="Hyperlink 780 2" xfId="10865"/>
    <cellStyle name="Hyperlink 780 3" xfId="8523"/>
    <cellStyle name="Hyperlink 781" xfId="6147"/>
    <cellStyle name="Hyperlink 781 2" xfId="10866"/>
    <cellStyle name="Hyperlink 781 3" xfId="8524"/>
    <cellStyle name="Hyperlink 782" xfId="6148"/>
    <cellStyle name="Hyperlink 782 2" xfId="10867"/>
    <cellStyle name="Hyperlink 782 3" xfId="8525"/>
    <cellStyle name="Hyperlink 783" xfId="6149"/>
    <cellStyle name="Hyperlink 783 2" xfId="10868"/>
    <cellStyle name="Hyperlink 783 3" xfId="8526"/>
    <cellStyle name="Hyperlink 784" xfId="6150"/>
    <cellStyle name="Hyperlink 784 2" xfId="10869"/>
    <cellStyle name="Hyperlink 784 3" xfId="8527"/>
    <cellStyle name="Hyperlink 785" xfId="6151"/>
    <cellStyle name="Hyperlink 785 2" xfId="10870"/>
    <cellStyle name="Hyperlink 785 3" xfId="8528"/>
    <cellStyle name="Hyperlink 786" xfId="6152"/>
    <cellStyle name="Hyperlink 786 2" xfId="10871"/>
    <cellStyle name="Hyperlink 786 3" xfId="8529"/>
    <cellStyle name="Hyperlink 787" xfId="6153"/>
    <cellStyle name="Hyperlink 787 2" xfId="10872"/>
    <cellStyle name="Hyperlink 787 3" xfId="8530"/>
    <cellStyle name="Hyperlink 788" xfId="6154"/>
    <cellStyle name="Hyperlink 788 2" xfId="10873"/>
    <cellStyle name="Hyperlink 788 3" xfId="8531"/>
    <cellStyle name="Hyperlink 789" xfId="6155"/>
    <cellStyle name="Hyperlink 789 2" xfId="10874"/>
    <cellStyle name="Hyperlink 789 3" xfId="8532"/>
    <cellStyle name="Hyperlink 79" xfId="6156"/>
    <cellStyle name="Hyperlink 79 2" xfId="10875"/>
    <cellStyle name="Hyperlink 79 3" xfId="8533"/>
    <cellStyle name="Hyperlink 790" xfId="6157"/>
    <cellStyle name="Hyperlink 790 2" xfId="10876"/>
    <cellStyle name="Hyperlink 790 3" xfId="8534"/>
    <cellStyle name="Hyperlink 791" xfId="6158"/>
    <cellStyle name="Hyperlink 791 2" xfId="10877"/>
    <cellStyle name="Hyperlink 791 3" xfId="8535"/>
    <cellStyle name="Hyperlink 792" xfId="6159"/>
    <cellStyle name="Hyperlink 792 2" xfId="10878"/>
    <cellStyle name="Hyperlink 792 3" xfId="8536"/>
    <cellStyle name="Hyperlink 793" xfId="6160"/>
    <cellStyle name="Hyperlink 793 2" xfId="10879"/>
    <cellStyle name="Hyperlink 793 3" xfId="8537"/>
    <cellStyle name="Hyperlink 794" xfId="6161"/>
    <cellStyle name="Hyperlink 794 2" xfId="10880"/>
    <cellStyle name="Hyperlink 794 3" xfId="8538"/>
    <cellStyle name="Hyperlink 795" xfId="6162"/>
    <cellStyle name="Hyperlink 795 2" xfId="10881"/>
    <cellStyle name="Hyperlink 795 3" xfId="8539"/>
    <cellStyle name="Hyperlink 796" xfId="6163"/>
    <cellStyle name="Hyperlink 796 2" xfId="10882"/>
    <cellStyle name="Hyperlink 796 3" xfId="8540"/>
    <cellStyle name="Hyperlink 797" xfId="6164"/>
    <cellStyle name="Hyperlink 797 2" xfId="10883"/>
    <cellStyle name="Hyperlink 797 3" xfId="8541"/>
    <cellStyle name="Hyperlink 798" xfId="6165"/>
    <cellStyle name="Hyperlink 798 2" xfId="10884"/>
    <cellStyle name="Hyperlink 798 3" xfId="8542"/>
    <cellStyle name="Hyperlink 799" xfId="6166"/>
    <cellStyle name="Hyperlink 799 2" xfId="10885"/>
    <cellStyle name="Hyperlink 799 3" xfId="8543"/>
    <cellStyle name="Hyperlink 8" xfId="6167"/>
    <cellStyle name="Hyperlink 8 2" xfId="10886"/>
    <cellStyle name="Hyperlink 8 3" xfId="8544"/>
    <cellStyle name="Hyperlink 80" xfId="6168"/>
    <cellStyle name="Hyperlink 80 2" xfId="10887"/>
    <cellStyle name="Hyperlink 80 3" xfId="8545"/>
    <cellStyle name="Hyperlink 800" xfId="6169"/>
    <cellStyle name="Hyperlink 800 2" xfId="10888"/>
    <cellStyle name="Hyperlink 800 3" xfId="8546"/>
    <cellStyle name="Hyperlink 801" xfId="6170"/>
    <cellStyle name="Hyperlink 801 2" xfId="10889"/>
    <cellStyle name="Hyperlink 801 3" xfId="8547"/>
    <cellStyle name="Hyperlink 802" xfId="6171"/>
    <cellStyle name="Hyperlink 802 2" xfId="10890"/>
    <cellStyle name="Hyperlink 802 3" xfId="8548"/>
    <cellStyle name="Hyperlink 803" xfId="6172"/>
    <cellStyle name="Hyperlink 803 2" xfId="10891"/>
    <cellStyle name="Hyperlink 803 3" xfId="8549"/>
    <cellStyle name="Hyperlink 804" xfId="6173"/>
    <cellStyle name="Hyperlink 804 2" xfId="10892"/>
    <cellStyle name="Hyperlink 804 3" xfId="8550"/>
    <cellStyle name="Hyperlink 805" xfId="6174"/>
    <cellStyle name="Hyperlink 805 2" xfId="10893"/>
    <cellStyle name="Hyperlink 805 3" xfId="8551"/>
    <cellStyle name="Hyperlink 806" xfId="6175"/>
    <cellStyle name="Hyperlink 806 2" xfId="10894"/>
    <cellStyle name="Hyperlink 806 3" xfId="8552"/>
    <cellStyle name="Hyperlink 807" xfId="6176"/>
    <cellStyle name="Hyperlink 807 2" xfId="10895"/>
    <cellStyle name="Hyperlink 807 3" xfId="8553"/>
    <cellStyle name="Hyperlink 808" xfId="6177"/>
    <cellStyle name="Hyperlink 808 2" xfId="10896"/>
    <cellStyle name="Hyperlink 808 3" xfId="8554"/>
    <cellStyle name="Hyperlink 809" xfId="6178"/>
    <cellStyle name="Hyperlink 809 2" xfId="10897"/>
    <cellStyle name="Hyperlink 809 3" xfId="8555"/>
    <cellStyle name="Hyperlink 81" xfId="6179"/>
    <cellStyle name="Hyperlink 81 2" xfId="10898"/>
    <cellStyle name="Hyperlink 81 3" xfId="8556"/>
    <cellStyle name="Hyperlink 810" xfId="6180"/>
    <cellStyle name="Hyperlink 810 2" xfId="10899"/>
    <cellStyle name="Hyperlink 810 3" xfId="8557"/>
    <cellStyle name="Hyperlink 811" xfId="6181"/>
    <cellStyle name="Hyperlink 811 2" xfId="10900"/>
    <cellStyle name="Hyperlink 811 3" xfId="8558"/>
    <cellStyle name="Hyperlink 812" xfId="6182"/>
    <cellStyle name="Hyperlink 812 2" xfId="10901"/>
    <cellStyle name="Hyperlink 812 3" xfId="8559"/>
    <cellStyle name="Hyperlink 813" xfId="6183"/>
    <cellStyle name="Hyperlink 813 2" xfId="10902"/>
    <cellStyle name="Hyperlink 813 3" xfId="8560"/>
    <cellStyle name="Hyperlink 814" xfId="6184"/>
    <cellStyle name="Hyperlink 814 2" xfId="10903"/>
    <cellStyle name="Hyperlink 814 3" xfId="8561"/>
    <cellStyle name="Hyperlink 815" xfId="6185"/>
    <cellStyle name="Hyperlink 815 2" xfId="10904"/>
    <cellStyle name="Hyperlink 815 3" xfId="8562"/>
    <cellStyle name="Hyperlink 816" xfId="6186"/>
    <cellStyle name="Hyperlink 816 2" xfId="10905"/>
    <cellStyle name="Hyperlink 816 3" xfId="8563"/>
    <cellStyle name="Hyperlink 817" xfId="6187"/>
    <cellStyle name="Hyperlink 817 2" xfId="10906"/>
    <cellStyle name="Hyperlink 817 3" xfId="8564"/>
    <cellStyle name="Hyperlink 818" xfId="6188"/>
    <cellStyle name="Hyperlink 818 2" xfId="10907"/>
    <cellStyle name="Hyperlink 818 3" xfId="8565"/>
    <cellStyle name="Hyperlink 819" xfId="6189"/>
    <cellStyle name="Hyperlink 819 2" xfId="10908"/>
    <cellStyle name="Hyperlink 819 3" xfId="8566"/>
    <cellStyle name="Hyperlink 82" xfId="6190"/>
    <cellStyle name="Hyperlink 82 2" xfId="10909"/>
    <cellStyle name="Hyperlink 82 3" xfId="8567"/>
    <cellStyle name="Hyperlink 820" xfId="6191"/>
    <cellStyle name="Hyperlink 820 2" xfId="10910"/>
    <cellStyle name="Hyperlink 820 3" xfId="8568"/>
    <cellStyle name="Hyperlink 821" xfId="6192"/>
    <cellStyle name="Hyperlink 821 2" xfId="10911"/>
    <cellStyle name="Hyperlink 821 3" xfId="8569"/>
    <cellStyle name="Hyperlink 822" xfId="6193"/>
    <cellStyle name="Hyperlink 822 2" xfId="10912"/>
    <cellStyle name="Hyperlink 822 3" xfId="8570"/>
    <cellStyle name="Hyperlink 823" xfId="6194"/>
    <cellStyle name="Hyperlink 823 2" xfId="10913"/>
    <cellStyle name="Hyperlink 823 3" xfId="8571"/>
    <cellStyle name="Hyperlink 824" xfId="6195"/>
    <cellStyle name="Hyperlink 824 2" xfId="10914"/>
    <cellStyle name="Hyperlink 824 3" xfId="8572"/>
    <cellStyle name="Hyperlink 825" xfId="6196"/>
    <cellStyle name="Hyperlink 825 2" xfId="10915"/>
    <cellStyle name="Hyperlink 825 3" xfId="8573"/>
    <cellStyle name="Hyperlink 826" xfId="6197"/>
    <cellStyle name="Hyperlink 826 2" xfId="10916"/>
    <cellStyle name="Hyperlink 826 3" xfId="8574"/>
    <cellStyle name="Hyperlink 827" xfId="6198"/>
    <cellStyle name="Hyperlink 827 2" xfId="10917"/>
    <cellStyle name="Hyperlink 827 3" xfId="8575"/>
    <cellStyle name="Hyperlink 828" xfId="6199"/>
    <cellStyle name="Hyperlink 828 2" xfId="10918"/>
    <cellStyle name="Hyperlink 828 3" xfId="8576"/>
    <cellStyle name="Hyperlink 829" xfId="6200"/>
    <cellStyle name="Hyperlink 829 2" xfId="10919"/>
    <cellStyle name="Hyperlink 829 3" xfId="8577"/>
    <cellStyle name="Hyperlink 83" xfId="6201"/>
    <cellStyle name="Hyperlink 83 2" xfId="10920"/>
    <cellStyle name="Hyperlink 83 3" xfId="8578"/>
    <cellStyle name="Hyperlink 830" xfId="6202"/>
    <cellStyle name="Hyperlink 830 2" xfId="10921"/>
    <cellStyle name="Hyperlink 830 3" xfId="8579"/>
    <cellStyle name="Hyperlink 831" xfId="6203"/>
    <cellStyle name="Hyperlink 831 2" xfId="10922"/>
    <cellStyle name="Hyperlink 831 3" xfId="8580"/>
    <cellStyle name="Hyperlink 832" xfId="6204"/>
    <cellStyle name="Hyperlink 832 2" xfId="10923"/>
    <cellStyle name="Hyperlink 832 3" xfId="8581"/>
    <cellStyle name="Hyperlink 833" xfId="6205"/>
    <cellStyle name="Hyperlink 833 2" xfId="10924"/>
    <cellStyle name="Hyperlink 833 3" xfId="8582"/>
    <cellStyle name="Hyperlink 834" xfId="6206"/>
    <cellStyle name="Hyperlink 834 2" xfId="10925"/>
    <cellStyle name="Hyperlink 834 3" xfId="8583"/>
    <cellStyle name="Hyperlink 835" xfId="6207"/>
    <cellStyle name="Hyperlink 835 2" xfId="10926"/>
    <cellStyle name="Hyperlink 835 3" xfId="8584"/>
    <cellStyle name="Hyperlink 836" xfId="6208"/>
    <cellStyle name="Hyperlink 836 2" xfId="10927"/>
    <cellStyle name="Hyperlink 836 3" xfId="8585"/>
    <cellStyle name="Hyperlink 837" xfId="6209"/>
    <cellStyle name="Hyperlink 837 2" xfId="10928"/>
    <cellStyle name="Hyperlink 837 3" xfId="8586"/>
    <cellStyle name="Hyperlink 838" xfId="6210"/>
    <cellStyle name="Hyperlink 838 2" xfId="10929"/>
    <cellStyle name="Hyperlink 838 3" xfId="8587"/>
    <cellStyle name="Hyperlink 839" xfId="6211"/>
    <cellStyle name="Hyperlink 839 2" xfId="10930"/>
    <cellStyle name="Hyperlink 839 3" xfId="8588"/>
    <cellStyle name="Hyperlink 84" xfId="6212"/>
    <cellStyle name="Hyperlink 84 2" xfId="10931"/>
    <cellStyle name="Hyperlink 84 3" xfId="8589"/>
    <cellStyle name="Hyperlink 840" xfId="6213"/>
    <cellStyle name="Hyperlink 840 2" xfId="10932"/>
    <cellStyle name="Hyperlink 840 3" xfId="8590"/>
    <cellStyle name="Hyperlink 841" xfId="6214"/>
    <cellStyle name="Hyperlink 841 2" xfId="10933"/>
    <cellStyle name="Hyperlink 841 3" xfId="8591"/>
    <cellStyle name="Hyperlink 842" xfId="6215"/>
    <cellStyle name="Hyperlink 842 2" xfId="10934"/>
    <cellStyle name="Hyperlink 842 3" xfId="8592"/>
    <cellStyle name="Hyperlink 843" xfId="6216"/>
    <cellStyle name="Hyperlink 843 2" xfId="10935"/>
    <cellStyle name="Hyperlink 843 3" xfId="8593"/>
    <cellStyle name="Hyperlink 844" xfId="6217"/>
    <cellStyle name="Hyperlink 844 2" xfId="10936"/>
    <cellStyle name="Hyperlink 844 3" xfId="8594"/>
    <cellStyle name="Hyperlink 845" xfId="6218"/>
    <cellStyle name="Hyperlink 845 2" xfId="10937"/>
    <cellStyle name="Hyperlink 845 3" xfId="8595"/>
    <cellStyle name="Hyperlink 846" xfId="6219"/>
    <cellStyle name="Hyperlink 846 2" xfId="10938"/>
    <cellStyle name="Hyperlink 846 3" xfId="8596"/>
    <cellStyle name="Hyperlink 847" xfId="6220"/>
    <cellStyle name="Hyperlink 847 2" xfId="10939"/>
    <cellStyle name="Hyperlink 847 3" xfId="8597"/>
    <cellStyle name="Hyperlink 848" xfId="6221"/>
    <cellStyle name="Hyperlink 848 2" xfId="10940"/>
    <cellStyle name="Hyperlink 848 3" xfId="8598"/>
    <cellStyle name="Hyperlink 849" xfId="6222"/>
    <cellStyle name="Hyperlink 849 2" xfId="10941"/>
    <cellStyle name="Hyperlink 849 3" xfId="8599"/>
    <cellStyle name="Hyperlink 85" xfId="6223"/>
    <cellStyle name="Hyperlink 85 2" xfId="10942"/>
    <cellStyle name="Hyperlink 85 3" xfId="8600"/>
    <cellStyle name="Hyperlink 850" xfId="6224"/>
    <cellStyle name="Hyperlink 850 2" xfId="10943"/>
    <cellStyle name="Hyperlink 850 3" xfId="8601"/>
    <cellStyle name="Hyperlink 851" xfId="6225"/>
    <cellStyle name="Hyperlink 851 2" xfId="10944"/>
    <cellStyle name="Hyperlink 851 3" xfId="8602"/>
    <cellStyle name="Hyperlink 852" xfId="6226"/>
    <cellStyle name="Hyperlink 852 2" xfId="10945"/>
    <cellStyle name="Hyperlink 852 3" xfId="8603"/>
    <cellStyle name="Hyperlink 853" xfId="6227"/>
    <cellStyle name="Hyperlink 853 2" xfId="10946"/>
    <cellStyle name="Hyperlink 853 3" xfId="8604"/>
    <cellStyle name="Hyperlink 854" xfId="6228"/>
    <cellStyle name="Hyperlink 854 2" xfId="10947"/>
    <cellStyle name="Hyperlink 854 3" xfId="8605"/>
    <cellStyle name="Hyperlink 855" xfId="6229"/>
    <cellStyle name="Hyperlink 855 2" xfId="10948"/>
    <cellStyle name="Hyperlink 855 3" xfId="8606"/>
    <cellStyle name="Hyperlink 856" xfId="6230"/>
    <cellStyle name="Hyperlink 856 2" xfId="10949"/>
    <cellStyle name="Hyperlink 856 3" xfId="8607"/>
    <cellStyle name="Hyperlink 857" xfId="6231"/>
    <cellStyle name="Hyperlink 857 2" xfId="10950"/>
    <cellStyle name="Hyperlink 857 3" xfId="8608"/>
    <cellStyle name="Hyperlink 858" xfId="6232"/>
    <cellStyle name="Hyperlink 858 2" xfId="10951"/>
    <cellStyle name="Hyperlink 858 3" xfId="8609"/>
    <cellStyle name="Hyperlink 859" xfId="6233"/>
    <cellStyle name="Hyperlink 859 2" xfId="10952"/>
    <cellStyle name="Hyperlink 859 3" xfId="8610"/>
    <cellStyle name="Hyperlink 86" xfId="6234"/>
    <cellStyle name="Hyperlink 86 2" xfId="10953"/>
    <cellStyle name="Hyperlink 86 3" xfId="8611"/>
    <cellStyle name="Hyperlink 860" xfId="6235"/>
    <cellStyle name="Hyperlink 860 2" xfId="10954"/>
    <cellStyle name="Hyperlink 860 3" xfId="8612"/>
    <cellStyle name="Hyperlink 861" xfId="6236"/>
    <cellStyle name="Hyperlink 861 2" xfId="10955"/>
    <cellStyle name="Hyperlink 861 3" xfId="8613"/>
    <cellStyle name="Hyperlink 862" xfId="6237"/>
    <cellStyle name="Hyperlink 862 2" xfId="10956"/>
    <cellStyle name="Hyperlink 862 3" xfId="8614"/>
    <cellStyle name="Hyperlink 863" xfId="6238"/>
    <cellStyle name="Hyperlink 863 2" xfId="10957"/>
    <cellStyle name="Hyperlink 863 3" xfId="8615"/>
    <cellStyle name="Hyperlink 864" xfId="6239"/>
    <cellStyle name="Hyperlink 864 2" xfId="10958"/>
    <cellStyle name="Hyperlink 864 3" xfId="8616"/>
    <cellStyle name="Hyperlink 865" xfId="6240"/>
    <cellStyle name="Hyperlink 865 2" xfId="10959"/>
    <cellStyle name="Hyperlink 865 3" xfId="8617"/>
    <cellStyle name="Hyperlink 866" xfId="6241"/>
    <cellStyle name="Hyperlink 866 2" xfId="10960"/>
    <cellStyle name="Hyperlink 866 3" xfId="8618"/>
    <cellStyle name="Hyperlink 867" xfId="6242"/>
    <cellStyle name="Hyperlink 867 2" xfId="10961"/>
    <cellStyle name="Hyperlink 867 3" xfId="8619"/>
    <cellStyle name="Hyperlink 868" xfId="6243"/>
    <cellStyle name="Hyperlink 868 2" xfId="10962"/>
    <cellStyle name="Hyperlink 868 3" xfId="8620"/>
    <cellStyle name="Hyperlink 869" xfId="6244"/>
    <cellStyle name="Hyperlink 869 2" xfId="10963"/>
    <cellStyle name="Hyperlink 869 3" xfId="8621"/>
    <cellStyle name="Hyperlink 87" xfId="6245"/>
    <cellStyle name="Hyperlink 87 2" xfId="10964"/>
    <cellStyle name="Hyperlink 87 3" xfId="8622"/>
    <cellStyle name="Hyperlink 870" xfId="6246"/>
    <cellStyle name="Hyperlink 870 2" xfId="10965"/>
    <cellStyle name="Hyperlink 870 3" xfId="8623"/>
    <cellStyle name="Hyperlink 871" xfId="6247"/>
    <cellStyle name="Hyperlink 871 2" xfId="10966"/>
    <cellStyle name="Hyperlink 871 3" xfId="8624"/>
    <cellStyle name="Hyperlink 872" xfId="6248"/>
    <cellStyle name="Hyperlink 872 2" xfId="10967"/>
    <cellStyle name="Hyperlink 872 3" xfId="8625"/>
    <cellStyle name="Hyperlink 873" xfId="6249"/>
    <cellStyle name="Hyperlink 873 2" xfId="10968"/>
    <cellStyle name="Hyperlink 873 3" xfId="8626"/>
    <cellStyle name="Hyperlink 874" xfId="6250"/>
    <cellStyle name="Hyperlink 874 2" xfId="10969"/>
    <cellStyle name="Hyperlink 874 3" xfId="8627"/>
    <cellStyle name="Hyperlink 875" xfId="6251"/>
    <cellStyle name="Hyperlink 875 2" xfId="10970"/>
    <cellStyle name="Hyperlink 875 3" xfId="8628"/>
    <cellStyle name="Hyperlink 876" xfId="6252"/>
    <cellStyle name="Hyperlink 876 2" xfId="10971"/>
    <cellStyle name="Hyperlink 876 3" xfId="8629"/>
    <cellStyle name="Hyperlink 877" xfId="6253"/>
    <cellStyle name="Hyperlink 877 2" xfId="10972"/>
    <cellStyle name="Hyperlink 877 3" xfId="8630"/>
    <cellStyle name="Hyperlink 878" xfId="6254"/>
    <cellStyle name="Hyperlink 878 2" xfId="10973"/>
    <cellStyle name="Hyperlink 878 3" xfId="8631"/>
    <cellStyle name="Hyperlink 879" xfId="6255"/>
    <cellStyle name="Hyperlink 879 2" xfId="10974"/>
    <cellStyle name="Hyperlink 879 3" xfId="8632"/>
    <cellStyle name="Hyperlink 88" xfId="6256"/>
    <cellStyle name="Hyperlink 88 2" xfId="10975"/>
    <cellStyle name="Hyperlink 88 3" xfId="8633"/>
    <cellStyle name="Hyperlink 880" xfId="6257"/>
    <cellStyle name="Hyperlink 880 2" xfId="10976"/>
    <cellStyle name="Hyperlink 880 3" xfId="8634"/>
    <cellStyle name="Hyperlink 881" xfId="6258"/>
    <cellStyle name="Hyperlink 881 2" xfId="10977"/>
    <cellStyle name="Hyperlink 881 3" xfId="8635"/>
    <cellStyle name="Hyperlink 882" xfId="6259"/>
    <cellStyle name="Hyperlink 882 2" xfId="10978"/>
    <cellStyle name="Hyperlink 882 3" xfId="8636"/>
    <cellStyle name="Hyperlink 883" xfId="6260"/>
    <cellStyle name="Hyperlink 883 2" xfId="10979"/>
    <cellStyle name="Hyperlink 883 3" xfId="8637"/>
    <cellStyle name="Hyperlink 884" xfId="6261"/>
    <cellStyle name="Hyperlink 884 2" xfId="10980"/>
    <cellStyle name="Hyperlink 884 3" xfId="8638"/>
    <cellStyle name="Hyperlink 885" xfId="6262"/>
    <cellStyle name="Hyperlink 885 2" xfId="10981"/>
    <cellStyle name="Hyperlink 885 3" xfId="8639"/>
    <cellStyle name="Hyperlink 886" xfId="6263"/>
    <cellStyle name="Hyperlink 886 2" xfId="10982"/>
    <cellStyle name="Hyperlink 886 3" xfId="8640"/>
    <cellStyle name="Hyperlink 887" xfId="6264"/>
    <cellStyle name="Hyperlink 887 2" xfId="10983"/>
    <cellStyle name="Hyperlink 887 3" xfId="8641"/>
    <cellStyle name="Hyperlink 888" xfId="6265"/>
    <cellStyle name="Hyperlink 888 2" xfId="10984"/>
    <cellStyle name="Hyperlink 888 3" xfId="8642"/>
    <cellStyle name="Hyperlink 889" xfId="6266"/>
    <cellStyle name="Hyperlink 889 2" xfId="10985"/>
    <cellStyle name="Hyperlink 889 3" xfId="8643"/>
    <cellStyle name="Hyperlink 89" xfId="6267"/>
    <cellStyle name="Hyperlink 89 2" xfId="10986"/>
    <cellStyle name="Hyperlink 89 3" xfId="8644"/>
    <cellStyle name="Hyperlink 890" xfId="6268"/>
    <cellStyle name="Hyperlink 890 2" xfId="10987"/>
    <cellStyle name="Hyperlink 890 3" xfId="8645"/>
    <cellStyle name="Hyperlink 891" xfId="6269"/>
    <cellStyle name="Hyperlink 891 2" xfId="10988"/>
    <cellStyle name="Hyperlink 891 3" xfId="8646"/>
    <cellStyle name="Hyperlink 892" xfId="6270"/>
    <cellStyle name="Hyperlink 892 2" xfId="10989"/>
    <cellStyle name="Hyperlink 892 3" xfId="8647"/>
    <cellStyle name="Hyperlink 893" xfId="6271"/>
    <cellStyle name="Hyperlink 893 2" xfId="10990"/>
    <cellStyle name="Hyperlink 893 3" xfId="8648"/>
    <cellStyle name="Hyperlink 894" xfId="6272"/>
    <cellStyle name="Hyperlink 894 2" xfId="10991"/>
    <cellStyle name="Hyperlink 894 3" xfId="8649"/>
    <cellStyle name="Hyperlink 895" xfId="6273"/>
    <cellStyle name="Hyperlink 895 2" xfId="10992"/>
    <cellStyle name="Hyperlink 895 3" xfId="8650"/>
    <cellStyle name="Hyperlink 896" xfId="6274"/>
    <cellStyle name="Hyperlink 896 2" xfId="10993"/>
    <cellStyle name="Hyperlink 896 3" xfId="8651"/>
    <cellStyle name="Hyperlink 897" xfId="6275"/>
    <cellStyle name="Hyperlink 897 2" xfId="10994"/>
    <cellStyle name="Hyperlink 897 3" xfId="8652"/>
    <cellStyle name="Hyperlink 898" xfId="6276"/>
    <cellStyle name="Hyperlink 898 2" xfId="10995"/>
    <cellStyle name="Hyperlink 898 3" xfId="8653"/>
    <cellStyle name="Hyperlink 899" xfId="6277"/>
    <cellStyle name="Hyperlink 899 2" xfId="10996"/>
    <cellStyle name="Hyperlink 899 3" xfId="8654"/>
    <cellStyle name="Hyperlink 9" xfId="6278"/>
    <cellStyle name="Hyperlink 9 2" xfId="10997"/>
    <cellStyle name="Hyperlink 9 3" xfId="8655"/>
    <cellStyle name="Hyperlink 90" xfId="6279"/>
    <cellStyle name="Hyperlink 90 2" xfId="10998"/>
    <cellStyle name="Hyperlink 90 3" xfId="8656"/>
    <cellStyle name="Hyperlink 900" xfId="6280"/>
    <cellStyle name="Hyperlink 900 2" xfId="10999"/>
    <cellStyle name="Hyperlink 900 3" xfId="8657"/>
    <cellStyle name="Hyperlink 901" xfId="6281"/>
    <cellStyle name="Hyperlink 901 2" xfId="11000"/>
    <cellStyle name="Hyperlink 901 3" xfId="8658"/>
    <cellStyle name="Hyperlink 902" xfId="6282"/>
    <cellStyle name="Hyperlink 902 2" xfId="11001"/>
    <cellStyle name="Hyperlink 902 3" xfId="8659"/>
    <cellStyle name="Hyperlink 903" xfId="6283"/>
    <cellStyle name="Hyperlink 903 2" xfId="11002"/>
    <cellStyle name="Hyperlink 903 3" xfId="8660"/>
    <cellStyle name="Hyperlink 904" xfId="6284"/>
    <cellStyle name="Hyperlink 904 2" xfId="11003"/>
    <cellStyle name="Hyperlink 904 3" xfId="8661"/>
    <cellStyle name="Hyperlink 905" xfId="6285"/>
    <cellStyle name="Hyperlink 905 2" xfId="11004"/>
    <cellStyle name="Hyperlink 905 3" xfId="8662"/>
    <cellStyle name="Hyperlink 906" xfId="6286"/>
    <cellStyle name="Hyperlink 906 2" xfId="11005"/>
    <cellStyle name="Hyperlink 906 3" xfId="8663"/>
    <cellStyle name="Hyperlink 907" xfId="6287"/>
    <cellStyle name="Hyperlink 907 2" xfId="11006"/>
    <cellStyle name="Hyperlink 907 3" xfId="8664"/>
    <cellStyle name="Hyperlink 908" xfId="6288"/>
    <cellStyle name="Hyperlink 908 2" xfId="11007"/>
    <cellStyle name="Hyperlink 908 3" xfId="8665"/>
    <cellStyle name="Hyperlink 909" xfId="6289"/>
    <cellStyle name="Hyperlink 909 2" xfId="11008"/>
    <cellStyle name="Hyperlink 909 3" xfId="8666"/>
    <cellStyle name="Hyperlink 91" xfId="6290"/>
    <cellStyle name="Hyperlink 91 2" xfId="11009"/>
    <cellStyle name="Hyperlink 91 3" xfId="8667"/>
    <cellStyle name="Hyperlink 910" xfId="6291"/>
    <cellStyle name="Hyperlink 910 2" xfId="11010"/>
    <cellStyle name="Hyperlink 910 3" xfId="8668"/>
    <cellStyle name="Hyperlink 911" xfId="6292"/>
    <cellStyle name="Hyperlink 911 2" xfId="11011"/>
    <cellStyle name="Hyperlink 911 3" xfId="8669"/>
    <cellStyle name="Hyperlink 912" xfId="6293"/>
    <cellStyle name="Hyperlink 912 2" xfId="11012"/>
    <cellStyle name="Hyperlink 912 3" xfId="8670"/>
    <cellStyle name="Hyperlink 913" xfId="6294"/>
    <cellStyle name="Hyperlink 913 2" xfId="11013"/>
    <cellStyle name="Hyperlink 913 3" xfId="8671"/>
    <cellStyle name="Hyperlink 914" xfId="6295"/>
    <cellStyle name="Hyperlink 914 2" xfId="11014"/>
    <cellStyle name="Hyperlink 914 3" xfId="8672"/>
    <cellStyle name="Hyperlink 915" xfId="6296"/>
    <cellStyle name="Hyperlink 915 2" xfId="11015"/>
    <cellStyle name="Hyperlink 915 3" xfId="8673"/>
    <cellStyle name="Hyperlink 916" xfId="6297"/>
    <cellStyle name="Hyperlink 916 2" xfId="11016"/>
    <cellStyle name="Hyperlink 916 3" xfId="8674"/>
    <cellStyle name="Hyperlink 917" xfId="6298"/>
    <cellStyle name="Hyperlink 917 2" xfId="11017"/>
    <cellStyle name="Hyperlink 917 3" xfId="8675"/>
    <cellStyle name="Hyperlink 918" xfId="6299"/>
    <cellStyle name="Hyperlink 918 2" xfId="11018"/>
    <cellStyle name="Hyperlink 918 3" xfId="8676"/>
    <cellStyle name="Hyperlink 919" xfId="6300"/>
    <cellStyle name="Hyperlink 919 2" xfId="11019"/>
    <cellStyle name="Hyperlink 919 3" xfId="8677"/>
    <cellStyle name="Hyperlink 92" xfId="6301"/>
    <cellStyle name="Hyperlink 92 2" xfId="11020"/>
    <cellStyle name="Hyperlink 92 3" xfId="8678"/>
    <cellStyle name="Hyperlink 920" xfId="6302"/>
    <cellStyle name="Hyperlink 920 2" xfId="11021"/>
    <cellStyle name="Hyperlink 920 3" xfId="8679"/>
    <cellStyle name="Hyperlink 921" xfId="6303"/>
    <cellStyle name="Hyperlink 921 2" xfId="11022"/>
    <cellStyle name="Hyperlink 921 3" xfId="8680"/>
    <cellStyle name="Hyperlink 922" xfId="6304"/>
    <cellStyle name="Hyperlink 922 2" xfId="11023"/>
    <cellStyle name="Hyperlink 922 3" xfId="8681"/>
    <cellStyle name="Hyperlink 923" xfId="6305"/>
    <cellStyle name="Hyperlink 923 2" xfId="11024"/>
    <cellStyle name="Hyperlink 923 3" xfId="8682"/>
    <cellStyle name="Hyperlink 924" xfId="6306"/>
    <cellStyle name="Hyperlink 924 2" xfId="11025"/>
    <cellStyle name="Hyperlink 924 3" xfId="8683"/>
    <cellStyle name="Hyperlink 925" xfId="6307"/>
    <cellStyle name="Hyperlink 925 2" xfId="11026"/>
    <cellStyle name="Hyperlink 925 3" xfId="8684"/>
    <cellStyle name="Hyperlink 926" xfId="6308"/>
    <cellStyle name="Hyperlink 926 2" xfId="11027"/>
    <cellStyle name="Hyperlink 926 3" xfId="8685"/>
    <cellStyle name="Hyperlink 927" xfId="6309"/>
    <cellStyle name="Hyperlink 927 2" xfId="11028"/>
    <cellStyle name="Hyperlink 927 3" xfId="8686"/>
    <cellStyle name="Hyperlink 928" xfId="6310"/>
    <cellStyle name="Hyperlink 928 2" xfId="11029"/>
    <cellStyle name="Hyperlink 928 3" xfId="8687"/>
    <cellStyle name="Hyperlink 929" xfId="6311"/>
    <cellStyle name="Hyperlink 929 2" xfId="11030"/>
    <cellStyle name="Hyperlink 929 3" xfId="8688"/>
    <cellStyle name="Hyperlink 93" xfId="6312"/>
    <cellStyle name="Hyperlink 93 2" xfId="11031"/>
    <cellStyle name="Hyperlink 93 3" xfId="8689"/>
    <cellStyle name="Hyperlink 930" xfId="6313"/>
    <cellStyle name="Hyperlink 930 2" xfId="11032"/>
    <cellStyle name="Hyperlink 930 3" xfId="8690"/>
    <cellStyle name="Hyperlink 931" xfId="6314"/>
    <cellStyle name="Hyperlink 931 2" xfId="11033"/>
    <cellStyle name="Hyperlink 931 3" xfId="8691"/>
    <cellStyle name="Hyperlink 932" xfId="6315"/>
    <cellStyle name="Hyperlink 932 2" xfId="11034"/>
    <cellStyle name="Hyperlink 932 3" xfId="8692"/>
    <cellStyle name="Hyperlink 933" xfId="6316"/>
    <cellStyle name="Hyperlink 933 2" xfId="11035"/>
    <cellStyle name="Hyperlink 933 3" xfId="8693"/>
    <cellStyle name="Hyperlink 934" xfId="6317"/>
    <cellStyle name="Hyperlink 934 2" xfId="11036"/>
    <cellStyle name="Hyperlink 934 3" xfId="8694"/>
    <cellStyle name="Hyperlink 935" xfId="6318"/>
    <cellStyle name="Hyperlink 935 2" xfId="11037"/>
    <cellStyle name="Hyperlink 935 3" xfId="8695"/>
    <cellStyle name="Hyperlink 936" xfId="6319"/>
    <cellStyle name="Hyperlink 936 2" xfId="11038"/>
    <cellStyle name="Hyperlink 936 3" xfId="8696"/>
    <cellStyle name="Hyperlink 937" xfId="6320"/>
    <cellStyle name="Hyperlink 937 2" xfId="11039"/>
    <cellStyle name="Hyperlink 937 3" xfId="8697"/>
    <cellStyle name="Hyperlink 938" xfId="6321"/>
    <cellStyle name="Hyperlink 938 2" xfId="11040"/>
    <cellStyle name="Hyperlink 938 3" xfId="8698"/>
    <cellStyle name="Hyperlink 939" xfId="6322"/>
    <cellStyle name="Hyperlink 939 2" xfId="11041"/>
    <cellStyle name="Hyperlink 939 3" xfId="8699"/>
    <cellStyle name="Hyperlink 94" xfId="6323"/>
    <cellStyle name="Hyperlink 94 2" xfId="11042"/>
    <cellStyle name="Hyperlink 94 3" xfId="8700"/>
    <cellStyle name="Hyperlink 940" xfId="6324"/>
    <cellStyle name="Hyperlink 940 2" xfId="11043"/>
    <cellStyle name="Hyperlink 940 3" xfId="8701"/>
    <cellStyle name="Hyperlink 941" xfId="6325"/>
    <cellStyle name="Hyperlink 941 2" xfId="11044"/>
    <cellStyle name="Hyperlink 941 3" xfId="8702"/>
    <cellStyle name="Hyperlink 942" xfId="6326"/>
    <cellStyle name="Hyperlink 942 2" xfId="11045"/>
    <cellStyle name="Hyperlink 942 3" xfId="8703"/>
    <cellStyle name="Hyperlink 943" xfId="6327"/>
    <cellStyle name="Hyperlink 943 2" xfId="11046"/>
    <cellStyle name="Hyperlink 943 3" xfId="8704"/>
    <cellStyle name="Hyperlink 944" xfId="6328"/>
    <cellStyle name="Hyperlink 944 2" xfId="11047"/>
    <cellStyle name="Hyperlink 944 3" xfId="8705"/>
    <cellStyle name="Hyperlink 945" xfId="6329"/>
    <cellStyle name="Hyperlink 945 2" xfId="11048"/>
    <cellStyle name="Hyperlink 945 3" xfId="8706"/>
    <cellStyle name="Hyperlink 946" xfId="6330"/>
    <cellStyle name="Hyperlink 946 2" xfId="11049"/>
    <cellStyle name="Hyperlink 946 3" xfId="8707"/>
    <cellStyle name="Hyperlink 947" xfId="6331"/>
    <cellStyle name="Hyperlink 947 2" xfId="11050"/>
    <cellStyle name="Hyperlink 947 3" xfId="8708"/>
    <cellStyle name="Hyperlink 948" xfId="6332"/>
    <cellStyle name="Hyperlink 948 2" xfId="11051"/>
    <cellStyle name="Hyperlink 948 3" xfId="8709"/>
    <cellStyle name="Hyperlink 949" xfId="6333"/>
    <cellStyle name="Hyperlink 949 2" xfId="11052"/>
    <cellStyle name="Hyperlink 949 3" xfId="8710"/>
    <cellStyle name="Hyperlink 95" xfId="6334"/>
    <cellStyle name="Hyperlink 95 2" xfId="11053"/>
    <cellStyle name="Hyperlink 95 3" xfId="8711"/>
    <cellStyle name="Hyperlink 950" xfId="6335"/>
    <cellStyle name="Hyperlink 950 2" xfId="11054"/>
    <cellStyle name="Hyperlink 950 3" xfId="8712"/>
    <cellStyle name="Hyperlink 951" xfId="6336"/>
    <cellStyle name="Hyperlink 951 2" xfId="11055"/>
    <cellStyle name="Hyperlink 951 3" xfId="8713"/>
    <cellStyle name="Hyperlink 952" xfId="6337"/>
    <cellStyle name="Hyperlink 952 2" xfId="11056"/>
    <cellStyle name="Hyperlink 952 3" xfId="8714"/>
    <cellStyle name="Hyperlink 953" xfId="6338"/>
    <cellStyle name="Hyperlink 953 2" xfId="11057"/>
    <cellStyle name="Hyperlink 953 3" xfId="8715"/>
    <cellStyle name="Hyperlink 954" xfId="6339"/>
    <cellStyle name="Hyperlink 954 2" xfId="11058"/>
    <cellStyle name="Hyperlink 954 3" xfId="8716"/>
    <cellStyle name="Hyperlink 955" xfId="6340"/>
    <cellStyle name="Hyperlink 955 2" xfId="11059"/>
    <cellStyle name="Hyperlink 955 3" xfId="8717"/>
    <cellStyle name="Hyperlink 956" xfId="6341"/>
    <cellStyle name="Hyperlink 956 2" xfId="11060"/>
    <cellStyle name="Hyperlink 956 3" xfId="8718"/>
    <cellStyle name="Hyperlink 957" xfId="6342"/>
    <cellStyle name="Hyperlink 957 2" xfId="11061"/>
    <cellStyle name="Hyperlink 957 3" xfId="8719"/>
    <cellStyle name="Hyperlink 958" xfId="6343"/>
    <cellStyle name="Hyperlink 958 2" xfId="11062"/>
    <cellStyle name="Hyperlink 958 3" xfId="8720"/>
    <cellStyle name="Hyperlink 959" xfId="6344"/>
    <cellStyle name="Hyperlink 959 2" xfId="11063"/>
    <cellStyle name="Hyperlink 959 3" xfId="8721"/>
    <cellStyle name="Hyperlink 96" xfId="6345"/>
    <cellStyle name="Hyperlink 96 2" xfId="11064"/>
    <cellStyle name="Hyperlink 96 3" xfId="8722"/>
    <cellStyle name="Hyperlink 960" xfId="6346"/>
    <cellStyle name="Hyperlink 960 2" xfId="11065"/>
    <cellStyle name="Hyperlink 960 3" xfId="8723"/>
    <cellStyle name="Hyperlink 961" xfId="6347"/>
    <cellStyle name="Hyperlink 961 2" xfId="11066"/>
    <cellStyle name="Hyperlink 961 3" xfId="8724"/>
    <cellStyle name="Hyperlink 962" xfId="6348"/>
    <cellStyle name="Hyperlink 962 2" xfId="11067"/>
    <cellStyle name="Hyperlink 962 3" xfId="8725"/>
    <cellStyle name="Hyperlink 963" xfId="6349"/>
    <cellStyle name="Hyperlink 963 2" xfId="11068"/>
    <cellStyle name="Hyperlink 963 3" xfId="8726"/>
    <cellStyle name="Hyperlink 964" xfId="6350"/>
    <cellStyle name="Hyperlink 964 2" xfId="11069"/>
    <cellStyle name="Hyperlink 964 3" xfId="8727"/>
    <cellStyle name="Hyperlink 965" xfId="6351"/>
    <cellStyle name="Hyperlink 965 2" xfId="11070"/>
    <cellStyle name="Hyperlink 965 3" xfId="8728"/>
    <cellStyle name="Hyperlink 966" xfId="6352"/>
    <cellStyle name="Hyperlink 966 2" xfId="11071"/>
    <cellStyle name="Hyperlink 966 3" xfId="8729"/>
    <cellStyle name="Hyperlink 967" xfId="6353"/>
    <cellStyle name="Hyperlink 967 2" xfId="11072"/>
    <cellStyle name="Hyperlink 967 3" xfId="8730"/>
    <cellStyle name="Hyperlink 968" xfId="6354"/>
    <cellStyle name="Hyperlink 968 2" xfId="11073"/>
    <cellStyle name="Hyperlink 968 3" xfId="8731"/>
    <cellStyle name="Hyperlink 969" xfId="6355"/>
    <cellStyle name="Hyperlink 969 2" xfId="11074"/>
    <cellStyle name="Hyperlink 969 3" xfId="8732"/>
    <cellStyle name="Hyperlink 97" xfId="6356"/>
    <cellStyle name="Hyperlink 97 2" xfId="11075"/>
    <cellStyle name="Hyperlink 97 3" xfId="8733"/>
    <cellStyle name="Hyperlink 970" xfId="6357"/>
    <cellStyle name="Hyperlink 970 2" xfId="11076"/>
    <cellStyle name="Hyperlink 970 3" xfId="8734"/>
    <cellStyle name="Hyperlink 971" xfId="6358"/>
    <cellStyle name="Hyperlink 971 2" xfId="11077"/>
    <cellStyle name="Hyperlink 971 3" xfId="8735"/>
    <cellStyle name="Hyperlink 972" xfId="6359"/>
    <cellStyle name="Hyperlink 972 2" xfId="11078"/>
    <cellStyle name="Hyperlink 972 3" xfId="8736"/>
    <cellStyle name="Hyperlink 973" xfId="6360"/>
    <cellStyle name="Hyperlink 973 2" xfId="11079"/>
    <cellStyle name="Hyperlink 973 3" xfId="8737"/>
    <cellStyle name="Hyperlink 974" xfId="6361"/>
    <cellStyle name="Hyperlink 974 2" xfId="11080"/>
    <cellStyle name="Hyperlink 974 3" xfId="8738"/>
    <cellStyle name="Hyperlink 975" xfId="6362"/>
    <cellStyle name="Hyperlink 975 2" xfId="11081"/>
    <cellStyle name="Hyperlink 975 3" xfId="8739"/>
    <cellStyle name="Hyperlink 976" xfId="6363"/>
    <cellStyle name="Hyperlink 976 2" xfId="11082"/>
    <cellStyle name="Hyperlink 976 3" xfId="8740"/>
    <cellStyle name="Hyperlink 977" xfId="6364"/>
    <cellStyle name="Hyperlink 977 2" xfId="11083"/>
    <cellStyle name="Hyperlink 977 3" xfId="8741"/>
    <cellStyle name="Hyperlink 978" xfId="6365"/>
    <cellStyle name="Hyperlink 978 2" xfId="11084"/>
    <cellStyle name="Hyperlink 978 3" xfId="8742"/>
    <cellStyle name="Hyperlink 979" xfId="6366"/>
    <cellStyle name="Hyperlink 979 2" xfId="11085"/>
    <cellStyle name="Hyperlink 979 3" xfId="8743"/>
    <cellStyle name="Hyperlink 98" xfId="6367"/>
    <cellStyle name="Hyperlink 98 2" xfId="11086"/>
    <cellStyle name="Hyperlink 98 3" xfId="8744"/>
    <cellStyle name="Hyperlink 980" xfId="6368"/>
    <cellStyle name="Hyperlink 980 2" xfId="11087"/>
    <cellStyle name="Hyperlink 980 3" xfId="8745"/>
    <cellStyle name="Hyperlink 981" xfId="6369"/>
    <cellStyle name="Hyperlink 981 2" xfId="11088"/>
    <cellStyle name="Hyperlink 981 3" xfId="8746"/>
    <cellStyle name="Hyperlink 982" xfId="6370"/>
    <cellStyle name="Hyperlink 982 2" xfId="11089"/>
    <cellStyle name="Hyperlink 982 3" xfId="8747"/>
    <cellStyle name="Hyperlink 983" xfId="6371"/>
    <cellStyle name="Hyperlink 983 2" xfId="11090"/>
    <cellStyle name="Hyperlink 983 3" xfId="8748"/>
    <cellStyle name="Hyperlink 984" xfId="6372"/>
    <cellStyle name="Hyperlink 984 2" xfId="11091"/>
    <cellStyle name="Hyperlink 984 3" xfId="8749"/>
    <cellStyle name="Hyperlink 985" xfId="6373"/>
    <cellStyle name="Hyperlink 985 2" xfId="11092"/>
    <cellStyle name="Hyperlink 985 3" xfId="8750"/>
    <cellStyle name="Hyperlink 986" xfId="6374"/>
    <cellStyle name="Hyperlink 986 2" xfId="11093"/>
    <cellStyle name="Hyperlink 986 3" xfId="8751"/>
    <cellStyle name="Hyperlink 987" xfId="6375"/>
    <cellStyle name="Hyperlink 987 2" xfId="11094"/>
    <cellStyle name="Hyperlink 987 3" xfId="8752"/>
    <cellStyle name="Hyperlink 988" xfId="6376"/>
    <cellStyle name="Hyperlink 988 2" xfId="11095"/>
    <cellStyle name="Hyperlink 988 3" xfId="8753"/>
    <cellStyle name="Hyperlink 989" xfId="6377"/>
    <cellStyle name="Hyperlink 989 2" xfId="11096"/>
    <cellStyle name="Hyperlink 989 3" xfId="8754"/>
    <cellStyle name="Hyperlink 99" xfId="6378"/>
    <cellStyle name="Hyperlink 99 2" xfId="11097"/>
    <cellStyle name="Hyperlink 99 3" xfId="8755"/>
    <cellStyle name="Hyperlink 990" xfId="6379"/>
    <cellStyle name="Hyperlink 990 2" xfId="11098"/>
    <cellStyle name="Hyperlink 990 3" xfId="8756"/>
    <cellStyle name="Hyperlink 991" xfId="6380"/>
    <cellStyle name="Hyperlink 991 2" xfId="11099"/>
    <cellStyle name="Hyperlink 991 3" xfId="8757"/>
    <cellStyle name="Hyperlink 992" xfId="6381"/>
    <cellStyle name="Hyperlink 992 2" xfId="11100"/>
    <cellStyle name="Hyperlink 992 3" xfId="8758"/>
    <cellStyle name="Hyperlink 993" xfId="6382"/>
    <cellStyle name="Hyperlink 993 2" xfId="11101"/>
    <cellStyle name="Hyperlink 993 3" xfId="8759"/>
    <cellStyle name="Hyperlink 994" xfId="6383"/>
    <cellStyle name="Hyperlink 994 2" xfId="11102"/>
    <cellStyle name="Hyperlink 994 3" xfId="8760"/>
    <cellStyle name="Hyperlink 995" xfId="6384"/>
    <cellStyle name="Hyperlink 995 2" xfId="11103"/>
    <cellStyle name="Hyperlink 995 3" xfId="8761"/>
    <cellStyle name="Hyperlink 996" xfId="6385"/>
    <cellStyle name="Hyperlink 996 2" xfId="11104"/>
    <cellStyle name="Hyperlink 996 3" xfId="8762"/>
    <cellStyle name="Hyperlink 997" xfId="6386"/>
    <cellStyle name="Hyperlink 997 2" xfId="11105"/>
    <cellStyle name="Hyperlink 997 3" xfId="8763"/>
    <cellStyle name="Hyperlink 998" xfId="6387"/>
    <cellStyle name="Hyperlink 998 2" xfId="11106"/>
    <cellStyle name="Hyperlink 998 3" xfId="8764"/>
    <cellStyle name="Hyperlink 999" xfId="6388"/>
    <cellStyle name="Hyperlink 999 2" xfId="11107"/>
    <cellStyle name="Hyperlink 999 3" xfId="8765"/>
    <cellStyle name="Input 2" xfId="6389"/>
    <cellStyle name="Input 2 2" xfId="11108"/>
    <cellStyle name="Input 2 3" xfId="8766"/>
    <cellStyle name="Input 3" xfId="6390"/>
    <cellStyle name="Input 3 2" xfId="11109"/>
    <cellStyle name="Input 3 3" xfId="8767"/>
    <cellStyle name="Linked Cell 2" xfId="6391"/>
    <cellStyle name="Linked Cell 2 2" xfId="11110"/>
    <cellStyle name="Linked Cell 2 3" xfId="8768"/>
    <cellStyle name="Linked Cell 3" xfId="6392"/>
    <cellStyle name="Linked Cell 3 2" xfId="11111"/>
    <cellStyle name="Linked Cell 3 3" xfId="8769"/>
    <cellStyle name="Neutral 2" xfId="6393"/>
    <cellStyle name="Neutral 2 2" xfId="11112"/>
    <cellStyle name="Neutral 2 3" xfId="8770"/>
    <cellStyle name="Neutral 3" xfId="6394"/>
    <cellStyle name="Neutral 3 2" xfId="11113"/>
    <cellStyle name="Neutral 3 3" xfId="8771"/>
    <cellStyle name="Normal" xfId="0" builtinId="0"/>
    <cellStyle name="Normal 10" xfId="6395"/>
    <cellStyle name="Normal 11" xfId="6396"/>
    <cellStyle name="Normal 12" xfId="6397"/>
    <cellStyle name="Normal 2" xfId="2"/>
    <cellStyle name="Normal 2 2" xfId="3"/>
    <cellStyle name="Normal 2 2 2" xfId="4"/>
    <cellStyle name="Normal 2 2 2 2" xfId="6398"/>
    <cellStyle name="Normal 2 2 3" xfId="5"/>
    <cellStyle name="Normal 2 2 3 2" xfId="6399"/>
    <cellStyle name="Normal 2 2 4" xfId="6"/>
    <cellStyle name="Normal 2 2 4 2" xfId="6400"/>
    <cellStyle name="Normal 2 2 5" xfId="7"/>
    <cellStyle name="Normal 2 2 5 2" xfId="8"/>
    <cellStyle name="Normal 2 2 5 3" xfId="9"/>
    <cellStyle name="Normal 2 2 6" xfId="6401"/>
    <cellStyle name="Normal 2 2 7" xfId="6402"/>
    <cellStyle name="Normal 2 3" xfId="10"/>
    <cellStyle name="Normal 2 3 2" xfId="6403"/>
    <cellStyle name="Normal 2 4" xfId="11"/>
    <cellStyle name="Normal 2 4 2" xfId="6404"/>
    <cellStyle name="Normal 2 5" xfId="12"/>
    <cellStyle name="Normal 2 5 2" xfId="6405"/>
    <cellStyle name="Normal 2 6" xfId="13"/>
    <cellStyle name="Normal 2 6 2" xfId="6406"/>
    <cellStyle name="Normal 2 7" xfId="14"/>
    <cellStyle name="Normal 2 7 2" xfId="6407"/>
    <cellStyle name="Normal 2 8" xfId="15"/>
    <cellStyle name="Normal 2 8 2" xfId="6408"/>
    <cellStyle name="Normal 3" xfId="16"/>
    <cellStyle name="Normal 3 2" xfId="17"/>
    <cellStyle name="Normal 3 2 2" xfId="6410"/>
    <cellStyle name="Normal 3 3" xfId="18"/>
    <cellStyle name="Normal 3 3 2" xfId="6411"/>
    <cellStyle name="Normal 3 4" xfId="19"/>
    <cellStyle name="Normal 3 5" xfId="6409"/>
    <cellStyle name="Normal 4" xfId="20"/>
    <cellStyle name="Normal 4 2" xfId="6413"/>
    <cellStyle name="Normal 4 3" xfId="6414"/>
    <cellStyle name="Normal 4 4" xfId="6412"/>
    <cellStyle name="Normal 5" xfId="21"/>
    <cellStyle name="Normal 5 2" xfId="6415"/>
    <cellStyle name="Normal 6" xfId="22"/>
    <cellStyle name="Normal 6 2" xfId="23"/>
    <cellStyle name="Normal 6 3" xfId="6416"/>
    <cellStyle name="Normal 7" xfId="6417"/>
    <cellStyle name="Normal 8" xfId="6418"/>
    <cellStyle name="Normal 9" xfId="6419"/>
    <cellStyle name="Note 2" xfId="6420"/>
    <cellStyle name="Note 3" xfId="6421"/>
    <cellStyle name="Note 4" xfId="6422"/>
    <cellStyle name="Output 2" xfId="6423"/>
    <cellStyle name="Output 3" xfId="6424"/>
    <cellStyle name="Title 2" xfId="6425"/>
    <cellStyle name="Total 2" xfId="6426"/>
    <cellStyle name="Total 3" xfId="6427"/>
    <cellStyle name="Warning Text 2" xfId="6428"/>
    <cellStyle name="Warning Text 3" xfId="6429"/>
  </cellStyles>
  <dxfs count="0"/>
  <tableStyles count="0" defaultTableStyle="TableStyleMedium9" defaultPivotStyle="PivotStyleLight16"/>
  <colors>
    <mruColors>
      <color rgb="FF0099CC"/>
      <color rgb="FF3366FF"/>
      <color rgb="FF0066FF"/>
      <color rgb="FF0033CC"/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152400</xdr:rowOff>
    </xdr:from>
    <xdr:to>
      <xdr:col>14</xdr:col>
      <xdr:colOff>552450</xdr:colOff>
      <xdr:row>40</xdr:row>
      <xdr:rowOff>19050</xdr:rowOff>
    </xdr:to>
    <xdr:sp macro="" textlink="">
      <xdr:nvSpPr>
        <xdr:cNvPr id="2" name="TextBox 1"/>
        <xdr:cNvSpPr txBox="1"/>
      </xdr:nvSpPr>
      <xdr:spPr>
        <a:xfrm>
          <a:off x="142875" y="152400"/>
          <a:ext cx="8943975" cy="7486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Diminishing Balance Contracts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are specific futures contracts whose front month volume in any given contract month diminishes as the contract month progresses towards month end.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 Limits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 Limits shall be calculated on a net futures-equivalent basis by contract, and will include contracts that aggregate into one or more base contracts as set forth in the Table.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Accountabilities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purpose of Rule 560, Accountability levels will be calculated three separate ways: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Spot Month/Single Month/All Month Accountability Levels will be calculated on a net futures-equivalent basis by contract, and will include contracts that aggregate into one or more base contracts as set forth in the Table.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Spot Month/Single Month/All Month Accountability Levels will be calculated on a net futures-only basis.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Spot Month/Single Month/All Month Accountability Levels for options will be calculated per quadrant (long call, long put, short call, short put) on a gross basis.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Aggregation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 the Spot-Month as an example, for contract that aggregate into only one base contract during the spot-month, the base contract will be identified in the “Spot-Month Aggregate Into Futures Equivalent Leg (1)” column and will denote a positive correlation with the base contract. The aggregation ratio for the Leg (1) base contract will be identified in the “Aggregate Into Ratio Leg (1)” column.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contracts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that aggregate into two separate base contracts during the spot month, the base contract noted in the “Spot-Month Aggregate Into Futures Equivalent Leg (1)” column will denote a positive correlation, and the aggregation ratio for the Leg (1) base contract will be identified in the “Aggregate Into Ratio Leg (1)” column. The base contract noted in the “Spot-Month Aggregate Into Futures Equivalent Leg (2)” column will denote a negative correlation with respect to the base contract, and the aggregation ratio for the Leg (2) base contract will be identified in the “Aggregate Into Ratio Leg (2)” column.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53"/>
  <sheetViews>
    <sheetView tabSelected="1" zoomScale="115" zoomScaleNormal="115" workbookViewId="0">
      <pane ySplit="2" topLeftCell="A3" activePane="bottomLeft" state="frozen"/>
      <selection pane="bottomLeft" activeCell="AG1109" sqref="AG1109"/>
    </sheetView>
  </sheetViews>
  <sheetFormatPr defaultRowHeight="15" x14ac:dyDescent="0.25"/>
  <cols>
    <col min="1" max="1" width="74.85546875" style="2" bestFit="1" customWidth="1"/>
    <col min="2" max="2" width="9.140625" style="7"/>
    <col min="3" max="3" width="9.28515625" style="7" customWidth="1"/>
    <col min="4" max="4" width="7.42578125" style="8" customWidth="1"/>
    <col min="5" max="5" width="16.7109375" style="2" bestFit="1" customWidth="1"/>
    <col min="6" max="6" width="9.85546875" style="2" customWidth="1"/>
    <col min="7" max="7" width="24.42578125" style="2" customWidth="1"/>
    <col min="8" max="8" width="15" style="2" customWidth="1"/>
    <col min="9" max="9" width="8.85546875" style="7" customWidth="1"/>
    <col min="10" max="10" width="7.7109375" style="7" customWidth="1"/>
    <col min="11" max="11" width="18.7109375" style="2" customWidth="1"/>
    <col min="12" max="12" width="12.28515625" style="2" hidden="1" customWidth="1"/>
    <col min="13" max="13" width="13.7109375" style="2" customWidth="1"/>
    <col min="14" max="14" width="13.7109375" style="4" customWidth="1"/>
    <col min="15" max="16" width="15.140625" style="3" customWidth="1"/>
    <col min="17" max="17" width="12.28515625" style="7" customWidth="1"/>
    <col min="18" max="18" width="13.28515625" style="7" customWidth="1"/>
    <col min="19" max="19" width="73.7109375" style="2" customWidth="1"/>
    <col min="20" max="20" width="20.28515625" style="9" bestFit="1" customWidth="1"/>
    <col min="21" max="21" width="13.42578125" style="7" hidden="1" customWidth="1"/>
    <col min="22" max="22" width="11.42578125" style="7" hidden="1" customWidth="1"/>
    <col min="23" max="23" width="15" style="7" customWidth="1"/>
    <col min="24" max="26" width="15" style="2" customWidth="1"/>
    <col min="27" max="27" width="13.42578125" style="7" bestFit="1" customWidth="1"/>
    <col min="28" max="28" width="11.5703125" style="7" customWidth="1"/>
    <col min="29" max="29" width="15" style="2" hidden="1" customWidth="1"/>
    <col min="30" max="33" width="15" style="2" customWidth="1"/>
    <col min="34" max="34" width="12.28515625" style="7" bestFit="1" customWidth="1"/>
    <col min="35" max="35" width="11.5703125" style="7" customWidth="1"/>
    <col min="36" max="16384" width="9.140625" style="2"/>
  </cols>
  <sheetData>
    <row r="1" spans="1:35" ht="16.5" thickBot="1" x14ac:dyDescent="0.3">
      <c r="A1" s="50"/>
      <c r="B1" s="51"/>
      <c r="C1" s="51"/>
      <c r="D1" s="52"/>
      <c r="E1" s="53"/>
      <c r="F1" s="53"/>
      <c r="G1" s="53"/>
      <c r="H1" s="53"/>
      <c r="I1" s="51"/>
      <c r="J1" s="51"/>
      <c r="K1" s="53"/>
      <c r="L1" s="53"/>
      <c r="M1" s="60" t="s">
        <v>3476</v>
      </c>
      <c r="N1" s="61"/>
      <c r="O1" s="61"/>
      <c r="P1" s="61"/>
      <c r="Q1" s="61"/>
      <c r="R1" s="61"/>
      <c r="S1" s="61"/>
      <c r="T1" s="62"/>
      <c r="U1" s="69" t="s">
        <v>3479</v>
      </c>
      <c r="V1" s="70"/>
      <c r="W1" s="63" t="s">
        <v>3477</v>
      </c>
      <c r="X1" s="64"/>
      <c r="Y1" s="64"/>
      <c r="Z1" s="64"/>
      <c r="AA1" s="64"/>
      <c r="AB1" s="65"/>
      <c r="AC1" s="5"/>
      <c r="AD1" s="66" t="s">
        <v>3478</v>
      </c>
      <c r="AE1" s="67"/>
      <c r="AF1" s="67"/>
      <c r="AG1" s="67"/>
      <c r="AH1" s="67"/>
      <c r="AI1" s="68"/>
    </row>
    <row r="2" spans="1:35" s="1" customFormat="1" ht="64.5" customHeight="1" thickBot="1" x14ac:dyDescent="0.25">
      <c r="A2" s="54" t="s">
        <v>1</v>
      </c>
      <c r="B2" s="55" t="s">
        <v>4</v>
      </c>
      <c r="C2" s="55" t="s">
        <v>0</v>
      </c>
      <c r="D2" s="56" t="s">
        <v>2</v>
      </c>
      <c r="E2" s="57" t="s">
        <v>3</v>
      </c>
      <c r="F2" s="57" t="s">
        <v>8</v>
      </c>
      <c r="G2" s="58" t="s">
        <v>7</v>
      </c>
      <c r="H2" s="57" t="s">
        <v>5</v>
      </c>
      <c r="I2" s="55" t="s">
        <v>6</v>
      </c>
      <c r="J2" s="55" t="s">
        <v>9</v>
      </c>
      <c r="K2" s="57" t="s">
        <v>3640</v>
      </c>
      <c r="L2" s="57" t="s">
        <v>3458</v>
      </c>
      <c r="M2" s="10" t="s">
        <v>10</v>
      </c>
      <c r="N2" s="11" t="s">
        <v>12</v>
      </c>
      <c r="O2" s="11" t="s">
        <v>3638</v>
      </c>
      <c r="P2" s="11" t="s">
        <v>3639</v>
      </c>
      <c r="Q2" s="12" t="s">
        <v>13</v>
      </c>
      <c r="R2" s="12" t="s">
        <v>3461</v>
      </c>
      <c r="S2" s="11" t="s">
        <v>3464</v>
      </c>
      <c r="T2" s="25" t="s">
        <v>3465</v>
      </c>
      <c r="U2" s="24" t="s">
        <v>11</v>
      </c>
      <c r="V2" s="24" t="s">
        <v>3460</v>
      </c>
      <c r="W2" s="13" t="s">
        <v>3470</v>
      </c>
      <c r="X2" s="14" t="s">
        <v>3471</v>
      </c>
      <c r="Y2" s="14" t="s">
        <v>3472</v>
      </c>
      <c r="Z2" s="14" t="s">
        <v>3473</v>
      </c>
      <c r="AA2" s="15" t="s">
        <v>3474</v>
      </c>
      <c r="AB2" s="32" t="s">
        <v>3462</v>
      </c>
      <c r="AC2" s="34" t="s">
        <v>3459</v>
      </c>
      <c r="AD2" s="16" t="s">
        <v>3468</v>
      </c>
      <c r="AE2" s="17" t="s">
        <v>3467</v>
      </c>
      <c r="AF2" s="17" t="s">
        <v>3469</v>
      </c>
      <c r="AG2" s="17" t="s">
        <v>3466</v>
      </c>
      <c r="AH2" s="18" t="s">
        <v>3475</v>
      </c>
      <c r="AI2" s="19" t="s">
        <v>3463</v>
      </c>
    </row>
    <row r="3" spans="1:35" s="79" customFormat="1" ht="12" customHeight="1" x14ac:dyDescent="0.2">
      <c r="A3" s="35" t="s">
        <v>88</v>
      </c>
      <c r="B3" s="36">
        <v>971</v>
      </c>
      <c r="C3" s="37" t="s">
        <v>87</v>
      </c>
      <c r="D3" s="74">
        <v>1000</v>
      </c>
      <c r="E3" s="38" t="s">
        <v>20</v>
      </c>
      <c r="F3" s="38" t="s">
        <v>3725</v>
      </c>
      <c r="G3" s="38" t="s">
        <v>2996</v>
      </c>
      <c r="H3" s="38" t="s">
        <v>182</v>
      </c>
      <c r="I3" s="37"/>
      <c r="J3" s="37">
        <v>25</v>
      </c>
      <c r="K3" s="39"/>
      <c r="M3" s="78" t="s">
        <v>87</v>
      </c>
      <c r="N3" s="82"/>
      <c r="O3" s="81" t="s">
        <v>2256</v>
      </c>
      <c r="P3" s="81" t="s">
        <v>2256</v>
      </c>
      <c r="Q3" s="81"/>
      <c r="R3" s="83">
        <v>1250</v>
      </c>
      <c r="S3" s="79" t="s">
        <v>2999</v>
      </c>
      <c r="T3" s="84">
        <v>1250000</v>
      </c>
      <c r="U3" s="81"/>
      <c r="V3" s="81"/>
      <c r="W3" s="78" t="s">
        <v>87</v>
      </c>
      <c r="X3" s="82"/>
      <c r="Y3" s="81" t="s">
        <v>2256</v>
      </c>
      <c r="Z3" s="81" t="s">
        <v>2256</v>
      </c>
      <c r="AA3" s="83">
        <v>5000</v>
      </c>
      <c r="AB3" s="85"/>
      <c r="AD3" s="78" t="s">
        <v>87</v>
      </c>
      <c r="AE3" s="82"/>
      <c r="AF3" s="81" t="s">
        <v>2256</v>
      </c>
      <c r="AG3" s="81" t="s">
        <v>2256</v>
      </c>
      <c r="AH3" s="83">
        <v>5000</v>
      </c>
      <c r="AI3" s="85"/>
    </row>
    <row r="4" spans="1:35" s="79" customFormat="1" ht="11.25" customHeight="1" x14ac:dyDescent="0.2">
      <c r="A4" s="77" t="s">
        <v>19</v>
      </c>
      <c r="B4" s="80">
        <v>1111</v>
      </c>
      <c r="C4" s="81" t="s">
        <v>18</v>
      </c>
      <c r="D4" s="73">
        <v>1000</v>
      </c>
      <c r="E4" s="79" t="s">
        <v>20</v>
      </c>
      <c r="F4" s="79" t="s">
        <v>3725</v>
      </c>
      <c r="G4" s="79" t="s">
        <v>2996</v>
      </c>
      <c r="H4" s="79" t="s">
        <v>182</v>
      </c>
      <c r="I4" s="81"/>
      <c r="J4" s="81">
        <v>25</v>
      </c>
      <c r="K4" s="86"/>
      <c r="M4" s="78" t="s">
        <v>22</v>
      </c>
      <c r="N4" s="82"/>
      <c r="O4" s="81" t="s">
        <v>2254</v>
      </c>
      <c r="P4" s="81" t="s">
        <v>2256</v>
      </c>
      <c r="Q4" s="81"/>
      <c r="R4" s="83">
        <v>1250</v>
      </c>
      <c r="S4" s="79" t="s">
        <v>3003</v>
      </c>
      <c r="T4" s="84">
        <v>1250000</v>
      </c>
      <c r="U4" s="81"/>
      <c r="V4" s="81"/>
      <c r="W4" s="78" t="s">
        <v>22</v>
      </c>
      <c r="X4" s="82"/>
      <c r="Y4" s="81" t="s">
        <v>2254</v>
      </c>
      <c r="Z4" s="81" t="s">
        <v>2256</v>
      </c>
      <c r="AA4" s="83">
        <v>5000</v>
      </c>
      <c r="AB4" s="85"/>
      <c r="AD4" s="78" t="s">
        <v>22</v>
      </c>
      <c r="AE4" s="82"/>
      <c r="AF4" s="81" t="s">
        <v>2254</v>
      </c>
      <c r="AG4" s="81" t="s">
        <v>2256</v>
      </c>
      <c r="AH4" s="83">
        <v>5000</v>
      </c>
      <c r="AI4" s="85"/>
    </row>
    <row r="5" spans="1:35" s="79" customFormat="1" ht="11.25" customHeight="1" x14ac:dyDescent="0.2">
      <c r="A5" s="77" t="s">
        <v>89</v>
      </c>
      <c r="B5" s="80">
        <v>1110</v>
      </c>
      <c r="C5" s="81" t="s">
        <v>22</v>
      </c>
      <c r="D5" s="73">
        <v>1000</v>
      </c>
      <c r="E5" s="79" t="s">
        <v>20</v>
      </c>
      <c r="F5" s="79" t="s">
        <v>3725</v>
      </c>
      <c r="G5" s="79" t="s">
        <v>2996</v>
      </c>
      <c r="H5" s="79" t="s">
        <v>182</v>
      </c>
      <c r="I5" s="81"/>
      <c r="J5" s="81">
        <v>25</v>
      </c>
      <c r="K5" s="86"/>
      <c r="M5" s="78" t="s">
        <v>22</v>
      </c>
      <c r="N5" s="82"/>
      <c r="O5" s="81"/>
      <c r="P5" s="81" t="s">
        <v>2256</v>
      </c>
      <c r="Q5" s="81"/>
      <c r="R5" s="83">
        <v>1250</v>
      </c>
      <c r="S5" s="79" t="s">
        <v>2999</v>
      </c>
      <c r="T5" s="84">
        <v>1250000</v>
      </c>
      <c r="U5" s="81"/>
      <c r="V5" s="81"/>
      <c r="W5" s="78" t="s">
        <v>22</v>
      </c>
      <c r="X5" s="82"/>
      <c r="Y5" s="81"/>
      <c r="Z5" s="81" t="s">
        <v>2256</v>
      </c>
      <c r="AA5" s="83">
        <v>5000</v>
      </c>
      <c r="AB5" s="85"/>
      <c r="AD5" s="78" t="s">
        <v>22</v>
      </c>
      <c r="AE5" s="82"/>
      <c r="AF5" s="81"/>
      <c r="AG5" s="81" t="s">
        <v>2256</v>
      </c>
      <c r="AH5" s="83">
        <v>5000</v>
      </c>
      <c r="AI5" s="85"/>
    </row>
    <row r="6" spans="1:35" s="79" customFormat="1" ht="11.25" customHeight="1" x14ac:dyDescent="0.2">
      <c r="A6" s="77" t="s">
        <v>1256</v>
      </c>
      <c r="B6" s="80">
        <v>554</v>
      </c>
      <c r="C6" s="81" t="s">
        <v>1255</v>
      </c>
      <c r="D6" s="73">
        <v>1000</v>
      </c>
      <c r="E6" s="79" t="s">
        <v>20</v>
      </c>
      <c r="F6" s="79" t="s">
        <v>3725</v>
      </c>
      <c r="G6" s="79" t="s">
        <v>2996</v>
      </c>
      <c r="H6" s="79" t="s">
        <v>182</v>
      </c>
      <c r="I6" s="81"/>
      <c r="J6" s="81">
        <v>25</v>
      </c>
      <c r="K6" s="86"/>
      <c r="M6" s="78" t="s">
        <v>1257</v>
      </c>
      <c r="N6" s="82"/>
      <c r="O6" s="81" t="s">
        <v>2532</v>
      </c>
      <c r="P6" s="81" t="s">
        <v>2256</v>
      </c>
      <c r="Q6" s="81"/>
      <c r="R6" s="83">
        <v>1500</v>
      </c>
      <c r="S6" s="79" t="s">
        <v>3163</v>
      </c>
      <c r="T6" s="84">
        <v>1500000</v>
      </c>
      <c r="U6" s="81"/>
      <c r="V6" s="81"/>
      <c r="W6" s="78" t="s">
        <v>1257</v>
      </c>
      <c r="X6" s="82"/>
      <c r="Y6" s="81" t="s">
        <v>2532</v>
      </c>
      <c r="Z6" s="81" t="s">
        <v>2256</v>
      </c>
      <c r="AA6" s="83">
        <v>4500</v>
      </c>
      <c r="AB6" s="85"/>
      <c r="AD6" s="78" t="s">
        <v>1257</v>
      </c>
      <c r="AE6" s="82"/>
      <c r="AF6" s="81" t="s">
        <v>2532</v>
      </c>
      <c r="AG6" s="81" t="s">
        <v>2256</v>
      </c>
      <c r="AH6" s="83">
        <v>6000</v>
      </c>
      <c r="AI6" s="85"/>
    </row>
    <row r="7" spans="1:35" s="79" customFormat="1" ht="11.25" customHeight="1" x14ac:dyDescent="0.2">
      <c r="A7" s="77" t="s">
        <v>1258</v>
      </c>
      <c r="B7" s="80">
        <v>294</v>
      </c>
      <c r="C7" s="81" t="s">
        <v>1257</v>
      </c>
      <c r="D7" s="73">
        <v>1000</v>
      </c>
      <c r="E7" s="79" t="s">
        <v>20</v>
      </c>
      <c r="F7" s="79" t="s">
        <v>3725</v>
      </c>
      <c r="G7" s="79" t="s">
        <v>2996</v>
      </c>
      <c r="H7" s="79" t="s">
        <v>182</v>
      </c>
      <c r="I7" s="81"/>
      <c r="J7" s="81">
        <v>25</v>
      </c>
      <c r="K7" s="86"/>
      <c r="M7" s="78" t="s">
        <v>1257</v>
      </c>
      <c r="N7" s="82"/>
      <c r="O7" s="81" t="s">
        <v>2256</v>
      </c>
      <c r="P7" s="81" t="s">
        <v>2256</v>
      </c>
      <c r="Q7" s="81"/>
      <c r="R7" s="83">
        <v>1500</v>
      </c>
      <c r="S7" s="79" t="s">
        <v>2999</v>
      </c>
      <c r="T7" s="84">
        <v>1500000</v>
      </c>
      <c r="U7" s="81"/>
      <c r="V7" s="81"/>
      <c r="W7" s="78" t="s">
        <v>1257</v>
      </c>
      <c r="X7" s="82"/>
      <c r="Y7" s="81" t="s">
        <v>2256</v>
      </c>
      <c r="Z7" s="81" t="s">
        <v>2256</v>
      </c>
      <c r="AA7" s="83">
        <v>4500</v>
      </c>
      <c r="AB7" s="85"/>
      <c r="AD7" s="78" t="s">
        <v>1257</v>
      </c>
      <c r="AE7" s="82"/>
      <c r="AF7" s="81" t="s">
        <v>2256</v>
      </c>
      <c r="AG7" s="81" t="s">
        <v>2256</v>
      </c>
      <c r="AH7" s="83">
        <v>6000</v>
      </c>
      <c r="AI7" s="85"/>
    </row>
    <row r="8" spans="1:35" s="79" customFormat="1" ht="11.25" customHeight="1" x14ac:dyDescent="0.2">
      <c r="A8" s="77" t="s">
        <v>1275</v>
      </c>
      <c r="B8" s="80">
        <v>928</v>
      </c>
      <c r="C8" s="81" t="s">
        <v>1274</v>
      </c>
      <c r="D8" s="73">
        <v>1000</v>
      </c>
      <c r="E8" s="79" t="s">
        <v>20</v>
      </c>
      <c r="F8" s="79" t="s">
        <v>3725</v>
      </c>
      <c r="G8" s="79" t="s">
        <v>2996</v>
      </c>
      <c r="H8" s="79" t="s">
        <v>182</v>
      </c>
      <c r="I8" s="81"/>
      <c r="J8" s="81">
        <v>25</v>
      </c>
      <c r="K8" s="86"/>
      <c r="M8" s="78" t="s">
        <v>1274</v>
      </c>
      <c r="N8" s="82"/>
      <c r="O8" s="81" t="s">
        <v>2256</v>
      </c>
      <c r="P8" s="81" t="s">
        <v>2256</v>
      </c>
      <c r="Q8" s="81"/>
      <c r="R8" s="83">
        <v>2500</v>
      </c>
      <c r="S8" s="79" t="s">
        <v>2999</v>
      </c>
      <c r="T8" s="84">
        <v>2500000</v>
      </c>
      <c r="U8" s="81"/>
      <c r="V8" s="81"/>
      <c r="W8" s="78" t="s">
        <v>1274</v>
      </c>
      <c r="X8" s="82"/>
      <c r="Y8" s="81" t="s">
        <v>2256</v>
      </c>
      <c r="Z8" s="81" t="s">
        <v>2256</v>
      </c>
      <c r="AA8" s="83">
        <v>5000</v>
      </c>
      <c r="AB8" s="85"/>
      <c r="AD8" s="78" t="s">
        <v>1274</v>
      </c>
      <c r="AE8" s="82"/>
      <c r="AF8" s="81" t="s">
        <v>2256</v>
      </c>
      <c r="AG8" s="81" t="s">
        <v>2256</v>
      </c>
      <c r="AH8" s="83">
        <v>5000</v>
      </c>
      <c r="AI8" s="85"/>
    </row>
    <row r="9" spans="1:35" s="79" customFormat="1" ht="11.25" customHeight="1" x14ac:dyDescent="0.2">
      <c r="A9" s="77" t="s">
        <v>1277</v>
      </c>
      <c r="B9" s="80">
        <v>929</v>
      </c>
      <c r="C9" s="81" t="s">
        <v>1276</v>
      </c>
      <c r="D9" s="73">
        <v>1000</v>
      </c>
      <c r="E9" s="79" t="s">
        <v>20</v>
      </c>
      <c r="F9" s="79" t="s">
        <v>30</v>
      </c>
      <c r="G9" s="79" t="s">
        <v>3001</v>
      </c>
      <c r="H9" s="79" t="s">
        <v>182</v>
      </c>
      <c r="I9" s="81"/>
      <c r="J9" s="81">
        <v>25</v>
      </c>
      <c r="K9" s="86"/>
      <c r="M9" s="78" t="s">
        <v>1274</v>
      </c>
      <c r="N9" s="82"/>
      <c r="O9" s="81" t="s">
        <v>2540</v>
      </c>
      <c r="P9" s="81" t="s">
        <v>2256</v>
      </c>
      <c r="Q9" s="81"/>
      <c r="R9" s="83">
        <v>2500</v>
      </c>
      <c r="S9" s="79" t="s">
        <v>3165</v>
      </c>
      <c r="T9" s="84">
        <v>2500000</v>
      </c>
      <c r="U9" s="81"/>
      <c r="V9" s="81"/>
      <c r="W9" s="78" t="s">
        <v>1274</v>
      </c>
      <c r="X9" s="82"/>
      <c r="Y9" s="81" t="s">
        <v>2540</v>
      </c>
      <c r="Z9" s="81" t="s">
        <v>2256</v>
      </c>
      <c r="AA9" s="83">
        <v>5000</v>
      </c>
      <c r="AB9" s="85"/>
      <c r="AD9" s="78" t="s">
        <v>1274</v>
      </c>
      <c r="AE9" s="82"/>
      <c r="AF9" s="81" t="s">
        <v>2540</v>
      </c>
      <c r="AG9" s="81" t="s">
        <v>2256</v>
      </c>
      <c r="AH9" s="83">
        <v>5000</v>
      </c>
      <c r="AI9" s="85"/>
    </row>
    <row r="10" spans="1:35" s="79" customFormat="1" ht="11.25" customHeight="1" x14ac:dyDescent="0.2">
      <c r="A10" s="77" t="s">
        <v>1687</v>
      </c>
      <c r="B10" s="80">
        <v>918</v>
      </c>
      <c r="C10" s="81" t="s">
        <v>1686</v>
      </c>
      <c r="D10" s="73">
        <v>12000</v>
      </c>
      <c r="E10" s="79" t="s">
        <v>20</v>
      </c>
      <c r="F10" s="79" t="s">
        <v>30</v>
      </c>
      <c r="G10" s="79" t="s">
        <v>2995</v>
      </c>
      <c r="H10" s="79" t="s">
        <v>182</v>
      </c>
      <c r="I10" s="81"/>
      <c r="J10" s="81">
        <v>25</v>
      </c>
      <c r="K10" s="86"/>
      <c r="M10" s="78" t="s">
        <v>1274</v>
      </c>
      <c r="N10" s="82"/>
      <c r="O10" s="81" t="s">
        <v>2642</v>
      </c>
      <c r="P10" s="81" t="s">
        <v>2256</v>
      </c>
      <c r="Q10" s="81"/>
      <c r="R10" s="83">
        <v>2500</v>
      </c>
      <c r="S10" s="79" t="s">
        <v>3165</v>
      </c>
      <c r="T10" s="84">
        <v>2500000</v>
      </c>
      <c r="U10" s="81"/>
      <c r="V10" s="81"/>
      <c r="W10" s="78" t="s">
        <v>1274</v>
      </c>
      <c r="X10" s="82"/>
      <c r="Y10" s="81" t="s">
        <v>2642</v>
      </c>
      <c r="Z10" s="81" t="s">
        <v>2256</v>
      </c>
      <c r="AA10" s="83">
        <v>5000</v>
      </c>
      <c r="AB10" s="85"/>
      <c r="AD10" s="78" t="s">
        <v>1274</v>
      </c>
      <c r="AE10" s="82"/>
      <c r="AF10" s="81" t="s">
        <v>2642</v>
      </c>
      <c r="AG10" s="81" t="s">
        <v>2256</v>
      </c>
      <c r="AH10" s="83">
        <v>5000</v>
      </c>
      <c r="AI10" s="85"/>
    </row>
    <row r="11" spans="1:35" s="79" customFormat="1" ht="11.25" customHeight="1" x14ac:dyDescent="0.2">
      <c r="A11" s="77" t="s">
        <v>1704</v>
      </c>
      <c r="B11" s="80">
        <v>917</v>
      </c>
      <c r="C11" s="81" t="s">
        <v>1703</v>
      </c>
      <c r="D11" s="73">
        <v>3000</v>
      </c>
      <c r="E11" s="79" t="s">
        <v>20</v>
      </c>
      <c r="F11" s="79" t="s">
        <v>30</v>
      </c>
      <c r="G11" s="79" t="s">
        <v>2995</v>
      </c>
      <c r="H11" s="79" t="s">
        <v>182</v>
      </c>
      <c r="I11" s="81"/>
      <c r="J11" s="81">
        <v>25</v>
      </c>
      <c r="K11" s="86"/>
      <c r="M11" s="78" t="s">
        <v>1274</v>
      </c>
      <c r="N11" s="82"/>
      <c r="O11" s="81" t="s">
        <v>2645</v>
      </c>
      <c r="P11" s="81" t="s">
        <v>2256</v>
      </c>
      <c r="Q11" s="81"/>
      <c r="R11" s="83">
        <v>2500</v>
      </c>
      <c r="S11" s="79" t="s">
        <v>3165</v>
      </c>
      <c r="T11" s="84">
        <v>2500000</v>
      </c>
      <c r="U11" s="81"/>
      <c r="V11" s="81"/>
      <c r="W11" s="78" t="s">
        <v>1274</v>
      </c>
      <c r="X11" s="82"/>
      <c r="Y11" s="81" t="s">
        <v>2645</v>
      </c>
      <c r="Z11" s="81" t="s">
        <v>2256</v>
      </c>
      <c r="AA11" s="83">
        <v>5000</v>
      </c>
      <c r="AB11" s="85"/>
      <c r="AD11" s="78" t="s">
        <v>1274</v>
      </c>
      <c r="AE11" s="82"/>
      <c r="AF11" s="81" t="s">
        <v>2645</v>
      </c>
      <c r="AG11" s="81" t="s">
        <v>2256</v>
      </c>
      <c r="AH11" s="83">
        <v>5000</v>
      </c>
      <c r="AI11" s="85"/>
    </row>
    <row r="12" spans="1:35" s="79" customFormat="1" ht="11.25" customHeight="1" x14ac:dyDescent="0.2">
      <c r="A12" s="77" t="s">
        <v>293</v>
      </c>
      <c r="B12" s="80">
        <v>910</v>
      </c>
      <c r="C12" s="81" t="s">
        <v>292</v>
      </c>
      <c r="D12" s="73">
        <v>12000</v>
      </c>
      <c r="E12" s="79" t="s">
        <v>20</v>
      </c>
      <c r="F12" s="79" t="s">
        <v>30</v>
      </c>
      <c r="G12" s="79" t="s">
        <v>2995</v>
      </c>
      <c r="H12" s="79" t="s">
        <v>182</v>
      </c>
      <c r="I12" s="81"/>
      <c r="J12" s="81">
        <v>25</v>
      </c>
      <c r="K12" s="86"/>
      <c r="M12" s="78" t="s">
        <v>294</v>
      </c>
      <c r="N12" s="82"/>
      <c r="O12" s="81" t="s">
        <v>2302</v>
      </c>
      <c r="P12" s="81" t="s">
        <v>2256</v>
      </c>
      <c r="Q12" s="81"/>
      <c r="R12" s="83">
        <v>3500</v>
      </c>
      <c r="S12" s="79" t="s">
        <v>3035</v>
      </c>
      <c r="T12" s="84">
        <v>3500000</v>
      </c>
      <c r="U12" s="81"/>
      <c r="V12" s="81"/>
      <c r="W12" s="78" t="s">
        <v>294</v>
      </c>
      <c r="X12" s="82"/>
      <c r="Y12" s="81" t="s">
        <v>2302</v>
      </c>
      <c r="Z12" s="81" t="s">
        <v>2256</v>
      </c>
      <c r="AA12" s="83">
        <v>7000</v>
      </c>
      <c r="AB12" s="85"/>
      <c r="AD12" s="78" t="s">
        <v>294</v>
      </c>
      <c r="AE12" s="82"/>
      <c r="AF12" s="81" t="s">
        <v>2302</v>
      </c>
      <c r="AG12" s="81" t="s">
        <v>2256</v>
      </c>
      <c r="AH12" s="83">
        <v>7000</v>
      </c>
      <c r="AI12" s="85"/>
    </row>
    <row r="13" spans="1:35" s="79" customFormat="1" ht="11.25" customHeight="1" x14ac:dyDescent="0.2">
      <c r="A13" s="77" t="s">
        <v>313</v>
      </c>
      <c r="B13" s="80">
        <v>909</v>
      </c>
      <c r="C13" s="81" t="s">
        <v>312</v>
      </c>
      <c r="D13" s="73">
        <v>3000</v>
      </c>
      <c r="E13" s="79" t="s">
        <v>20</v>
      </c>
      <c r="F13" s="79" t="s">
        <v>30</v>
      </c>
      <c r="G13" s="79" t="s">
        <v>2995</v>
      </c>
      <c r="H13" s="79" t="s">
        <v>182</v>
      </c>
      <c r="I13" s="81"/>
      <c r="J13" s="81">
        <v>25</v>
      </c>
      <c r="K13" s="86"/>
      <c r="M13" s="78" t="s">
        <v>294</v>
      </c>
      <c r="N13" s="82"/>
      <c r="O13" s="81" t="s">
        <v>2307</v>
      </c>
      <c r="P13" s="81" t="s">
        <v>2256</v>
      </c>
      <c r="Q13" s="81"/>
      <c r="R13" s="83">
        <v>3500</v>
      </c>
      <c r="S13" s="79" t="s">
        <v>3035</v>
      </c>
      <c r="T13" s="84">
        <v>3500000</v>
      </c>
      <c r="U13" s="81"/>
      <c r="V13" s="81"/>
      <c r="W13" s="78" t="s">
        <v>294</v>
      </c>
      <c r="X13" s="82"/>
      <c r="Y13" s="81" t="s">
        <v>2307</v>
      </c>
      <c r="Z13" s="81" t="s">
        <v>2256</v>
      </c>
      <c r="AA13" s="83">
        <v>7000</v>
      </c>
      <c r="AB13" s="85"/>
      <c r="AD13" s="78" t="s">
        <v>294</v>
      </c>
      <c r="AE13" s="82"/>
      <c r="AF13" s="81" t="s">
        <v>2307</v>
      </c>
      <c r="AG13" s="81" t="s">
        <v>2256</v>
      </c>
      <c r="AH13" s="83">
        <v>7000</v>
      </c>
      <c r="AI13" s="85"/>
    </row>
    <row r="14" spans="1:35" s="79" customFormat="1" ht="11.25" customHeight="1" x14ac:dyDescent="0.2">
      <c r="A14" s="77" t="s">
        <v>1330</v>
      </c>
      <c r="B14" s="80">
        <v>926</v>
      </c>
      <c r="C14" s="81" t="s">
        <v>294</v>
      </c>
      <c r="D14" s="73">
        <v>1000</v>
      </c>
      <c r="E14" s="79" t="s">
        <v>20</v>
      </c>
      <c r="F14" s="79" t="s">
        <v>3725</v>
      </c>
      <c r="G14" s="79" t="s">
        <v>2996</v>
      </c>
      <c r="H14" s="79" t="s">
        <v>182</v>
      </c>
      <c r="I14" s="81"/>
      <c r="J14" s="81">
        <v>25</v>
      </c>
      <c r="K14" s="86"/>
      <c r="M14" s="78" t="s">
        <v>294</v>
      </c>
      <c r="N14" s="82"/>
      <c r="O14" s="81" t="s">
        <v>2256</v>
      </c>
      <c r="P14" s="81" t="s">
        <v>2256</v>
      </c>
      <c r="Q14" s="81"/>
      <c r="R14" s="83">
        <v>3500</v>
      </c>
      <c r="S14" s="79" t="s">
        <v>2999</v>
      </c>
      <c r="T14" s="84">
        <v>3500000</v>
      </c>
      <c r="U14" s="81"/>
      <c r="V14" s="81"/>
      <c r="W14" s="78" t="s">
        <v>294</v>
      </c>
      <c r="X14" s="82"/>
      <c r="Y14" s="81" t="s">
        <v>2256</v>
      </c>
      <c r="Z14" s="81" t="s">
        <v>2256</v>
      </c>
      <c r="AA14" s="83">
        <v>7000</v>
      </c>
      <c r="AB14" s="85"/>
      <c r="AD14" s="78" t="s">
        <v>294</v>
      </c>
      <c r="AE14" s="82"/>
      <c r="AF14" s="81" t="s">
        <v>2256</v>
      </c>
      <c r="AG14" s="81" t="s">
        <v>2256</v>
      </c>
      <c r="AH14" s="83">
        <v>7000</v>
      </c>
      <c r="AI14" s="85"/>
    </row>
    <row r="15" spans="1:35" s="79" customFormat="1" ht="11.25" customHeight="1" x14ac:dyDescent="0.2">
      <c r="A15" s="77" t="s">
        <v>1332</v>
      </c>
      <c r="B15" s="80">
        <v>927</v>
      </c>
      <c r="C15" s="81" t="s">
        <v>1331</v>
      </c>
      <c r="D15" s="73">
        <v>1000</v>
      </c>
      <c r="E15" s="79" t="s">
        <v>20</v>
      </c>
      <c r="F15" s="79" t="s">
        <v>30</v>
      </c>
      <c r="G15" s="79" t="s">
        <v>3001</v>
      </c>
      <c r="H15" s="79" t="s">
        <v>182</v>
      </c>
      <c r="I15" s="81"/>
      <c r="J15" s="81">
        <v>25</v>
      </c>
      <c r="K15" s="86"/>
      <c r="M15" s="78" t="s">
        <v>294</v>
      </c>
      <c r="N15" s="82"/>
      <c r="O15" s="81" t="s">
        <v>2559</v>
      </c>
      <c r="P15" s="81" t="s">
        <v>2256</v>
      </c>
      <c r="Q15" s="81"/>
      <c r="R15" s="83">
        <v>3500</v>
      </c>
      <c r="S15" s="79" t="s">
        <v>3035</v>
      </c>
      <c r="T15" s="84">
        <v>3500000</v>
      </c>
      <c r="U15" s="81"/>
      <c r="V15" s="81"/>
      <c r="W15" s="78" t="s">
        <v>294</v>
      </c>
      <c r="X15" s="82"/>
      <c r="Y15" s="81" t="s">
        <v>2559</v>
      </c>
      <c r="Z15" s="81" t="s">
        <v>2256</v>
      </c>
      <c r="AA15" s="83">
        <v>7000</v>
      </c>
      <c r="AB15" s="85"/>
      <c r="AD15" s="78" t="s">
        <v>294</v>
      </c>
      <c r="AE15" s="82"/>
      <c r="AF15" s="81" t="s">
        <v>2559</v>
      </c>
      <c r="AG15" s="81" t="s">
        <v>2256</v>
      </c>
      <c r="AH15" s="83">
        <v>7000</v>
      </c>
      <c r="AI15" s="85"/>
    </row>
    <row r="16" spans="1:35" s="79" customFormat="1" ht="11.25" customHeight="1" x14ac:dyDescent="0.2">
      <c r="A16" s="77" t="s">
        <v>1379</v>
      </c>
      <c r="B16" s="80">
        <v>1109</v>
      </c>
      <c r="C16" s="81" t="s">
        <v>1378</v>
      </c>
      <c r="D16" s="73">
        <v>1000</v>
      </c>
      <c r="E16" s="79" t="s">
        <v>20</v>
      </c>
      <c r="F16" s="79" t="s">
        <v>3725</v>
      </c>
      <c r="G16" s="79" t="s">
        <v>2996</v>
      </c>
      <c r="H16" s="79" t="s">
        <v>182</v>
      </c>
      <c r="I16" s="81"/>
      <c r="J16" s="81">
        <v>25</v>
      </c>
      <c r="K16" s="86"/>
      <c r="M16" s="78" t="s">
        <v>1378</v>
      </c>
      <c r="N16" s="82"/>
      <c r="O16" s="81" t="s">
        <v>2256</v>
      </c>
      <c r="P16" s="81" t="s">
        <v>2256</v>
      </c>
      <c r="Q16" s="81"/>
      <c r="R16" s="83">
        <v>1500</v>
      </c>
      <c r="S16" s="79" t="s">
        <v>2999</v>
      </c>
      <c r="T16" s="84">
        <v>1500000</v>
      </c>
      <c r="U16" s="81"/>
      <c r="V16" s="81"/>
      <c r="W16" s="78" t="s">
        <v>1378</v>
      </c>
      <c r="X16" s="82"/>
      <c r="Y16" s="81" t="s">
        <v>2256</v>
      </c>
      <c r="Z16" s="81" t="s">
        <v>2256</v>
      </c>
      <c r="AA16" s="83">
        <v>5000</v>
      </c>
      <c r="AB16" s="85"/>
      <c r="AD16" s="78" t="s">
        <v>1378</v>
      </c>
      <c r="AE16" s="82"/>
      <c r="AF16" s="81" t="s">
        <v>2256</v>
      </c>
      <c r="AG16" s="81" t="s">
        <v>2256</v>
      </c>
      <c r="AH16" s="83">
        <v>5000</v>
      </c>
      <c r="AI16" s="85"/>
    </row>
    <row r="17" spans="1:35" s="79" customFormat="1" ht="11.25" customHeight="1" x14ac:dyDescent="0.2">
      <c r="A17" s="77" t="s">
        <v>180</v>
      </c>
      <c r="B17" s="80">
        <v>933</v>
      </c>
      <c r="C17" s="81" t="s">
        <v>179</v>
      </c>
      <c r="D17" s="73">
        <v>1550</v>
      </c>
      <c r="E17" s="79" t="s">
        <v>181</v>
      </c>
      <c r="F17" s="79" t="s">
        <v>129</v>
      </c>
      <c r="G17" s="79" t="s">
        <v>2994</v>
      </c>
      <c r="H17" s="79" t="s">
        <v>182</v>
      </c>
      <c r="I17" s="81"/>
      <c r="J17" s="81">
        <v>25</v>
      </c>
      <c r="K17" s="86"/>
      <c r="M17" s="78" t="s">
        <v>183</v>
      </c>
      <c r="N17" s="82"/>
      <c r="O17" s="81" t="s">
        <v>2283</v>
      </c>
      <c r="P17" s="81" t="s">
        <v>2256</v>
      </c>
      <c r="Q17" s="81"/>
      <c r="R17" s="83">
        <v>200</v>
      </c>
      <c r="S17" s="79" t="s">
        <v>3027</v>
      </c>
      <c r="T17" s="84">
        <v>310000</v>
      </c>
      <c r="U17" s="81"/>
      <c r="V17" s="81"/>
      <c r="W17" s="78" t="s">
        <v>183</v>
      </c>
      <c r="X17" s="82"/>
      <c r="Y17" s="81" t="s">
        <v>2283</v>
      </c>
      <c r="Z17" s="81" t="s">
        <v>2256</v>
      </c>
      <c r="AA17" s="83">
        <v>5000</v>
      </c>
      <c r="AB17" s="85"/>
      <c r="AD17" s="78" t="s">
        <v>183</v>
      </c>
      <c r="AE17" s="82"/>
      <c r="AF17" s="81" t="s">
        <v>2283</v>
      </c>
      <c r="AG17" s="81" t="s">
        <v>2256</v>
      </c>
      <c r="AH17" s="83">
        <v>5000</v>
      </c>
      <c r="AI17" s="85"/>
    </row>
    <row r="18" spans="1:35" s="79" customFormat="1" ht="11.25" customHeight="1" x14ac:dyDescent="0.2">
      <c r="A18" s="77" t="s">
        <v>1630</v>
      </c>
      <c r="B18" s="80">
        <v>260</v>
      </c>
      <c r="C18" s="81" t="s">
        <v>183</v>
      </c>
      <c r="D18" s="73">
        <v>1550</v>
      </c>
      <c r="E18" s="79" t="s">
        <v>181</v>
      </c>
      <c r="F18" s="79" t="s">
        <v>3725</v>
      </c>
      <c r="G18" s="79" t="s">
        <v>2997</v>
      </c>
      <c r="H18" s="79" t="s">
        <v>182</v>
      </c>
      <c r="I18" s="81"/>
      <c r="J18" s="81">
        <v>25</v>
      </c>
      <c r="K18" s="86"/>
      <c r="M18" s="78" t="s">
        <v>183</v>
      </c>
      <c r="N18" s="82"/>
      <c r="O18" s="81" t="s">
        <v>2256</v>
      </c>
      <c r="P18" s="81" t="s">
        <v>2256</v>
      </c>
      <c r="Q18" s="81"/>
      <c r="R18" s="83">
        <v>200</v>
      </c>
      <c r="S18" s="79" t="s">
        <v>2999</v>
      </c>
      <c r="T18" s="84">
        <v>310000</v>
      </c>
      <c r="U18" s="81"/>
      <c r="V18" s="81"/>
      <c r="W18" s="78" t="s">
        <v>183</v>
      </c>
      <c r="X18" s="82"/>
      <c r="Y18" s="81" t="s">
        <v>2256</v>
      </c>
      <c r="Z18" s="81" t="s">
        <v>2256</v>
      </c>
      <c r="AA18" s="83">
        <v>5000</v>
      </c>
      <c r="AB18" s="85"/>
      <c r="AD18" s="78" t="s">
        <v>183</v>
      </c>
      <c r="AE18" s="82"/>
      <c r="AF18" s="81" t="s">
        <v>2256</v>
      </c>
      <c r="AG18" s="81" t="s">
        <v>2256</v>
      </c>
      <c r="AH18" s="83">
        <v>5000</v>
      </c>
      <c r="AI18" s="85"/>
    </row>
    <row r="19" spans="1:35" s="79" customFormat="1" ht="11.25" customHeight="1" x14ac:dyDescent="0.2">
      <c r="A19" s="77" t="s">
        <v>2115</v>
      </c>
      <c r="B19" s="80">
        <v>355</v>
      </c>
      <c r="C19" s="81" t="s">
        <v>2114</v>
      </c>
      <c r="D19" s="73">
        <v>4650</v>
      </c>
      <c r="E19" s="79" t="s">
        <v>181</v>
      </c>
      <c r="F19" s="79" t="s">
        <v>30</v>
      </c>
      <c r="G19" s="79" t="s">
        <v>2994</v>
      </c>
      <c r="H19" s="79" t="s">
        <v>182</v>
      </c>
      <c r="I19" s="81"/>
      <c r="J19" s="81">
        <v>25</v>
      </c>
      <c r="K19" s="86"/>
      <c r="M19" s="78" t="s">
        <v>183</v>
      </c>
      <c r="N19" s="82"/>
      <c r="O19" s="81" t="s">
        <v>2730</v>
      </c>
      <c r="P19" s="81" t="s">
        <v>2256</v>
      </c>
      <c r="Q19" s="81"/>
      <c r="R19" s="83">
        <v>200</v>
      </c>
      <c r="S19" s="79" t="s">
        <v>3027</v>
      </c>
      <c r="T19" s="84">
        <v>310000</v>
      </c>
      <c r="U19" s="81"/>
      <c r="V19" s="81"/>
      <c r="W19" s="78" t="s">
        <v>183</v>
      </c>
      <c r="X19" s="82"/>
      <c r="Y19" s="81" t="s">
        <v>2730</v>
      </c>
      <c r="Z19" s="81" t="s">
        <v>2256</v>
      </c>
      <c r="AA19" s="83">
        <v>5000</v>
      </c>
      <c r="AB19" s="85"/>
      <c r="AD19" s="78" t="s">
        <v>183</v>
      </c>
      <c r="AE19" s="82"/>
      <c r="AF19" s="81" t="s">
        <v>2730</v>
      </c>
      <c r="AG19" s="81" t="s">
        <v>2256</v>
      </c>
      <c r="AH19" s="83">
        <v>5000</v>
      </c>
      <c r="AI19" s="85"/>
    </row>
    <row r="20" spans="1:35" s="79" customFormat="1" ht="11.25" customHeight="1" x14ac:dyDescent="0.2">
      <c r="A20" s="77" t="s">
        <v>2119</v>
      </c>
      <c r="B20" s="80">
        <v>358</v>
      </c>
      <c r="C20" s="81" t="s">
        <v>2118</v>
      </c>
      <c r="D20" s="73">
        <v>18600</v>
      </c>
      <c r="E20" s="79" t="s">
        <v>181</v>
      </c>
      <c r="F20" s="79" t="s">
        <v>30</v>
      </c>
      <c r="G20" s="79" t="s">
        <v>2994</v>
      </c>
      <c r="H20" s="79" t="s">
        <v>182</v>
      </c>
      <c r="I20" s="81"/>
      <c r="J20" s="81">
        <v>25</v>
      </c>
      <c r="K20" s="86"/>
      <c r="M20" s="78" t="s">
        <v>183</v>
      </c>
      <c r="N20" s="82"/>
      <c r="O20" s="81" t="s">
        <v>2732</v>
      </c>
      <c r="P20" s="81" t="s">
        <v>2256</v>
      </c>
      <c r="Q20" s="81"/>
      <c r="R20" s="83">
        <v>200</v>
      </c>
      <c r="S20" s="79" t="s">
        <v>3027</v>
      </c>
      <c r="T20" s="84">
        <v>310000</v>
      </c>
      <c r="U20" s="81"/>
      <c r="V20" s="81"/>
      <c r="W20" s="78" t="s">
        <v>183</v>
      </c>
      <c r="X20" s="82"/>
      <c r="Y20" s="81" t="s">
        <v>2732</v>
      </c>
      <c r="Z20" s="81" t="s">
        <v>2256</v>
      </c>
      <c r="AA20" s="83">
        <v>5000</v>
      </c>
      <c r="AB20" s="85"/>
      <c r="AD20" s="78" t="s">
        <v>183</v>
      </c>
      <c r="AE20" s="82"/>
      <c r="AF20" s="81" t="s">
        <v>2732</v>
      </c>
      <c r="AG20" s="81" t="s">
        <v>2256</v>
      </c>
      <c r="AH20" s="83">
        <v>5000</v>
      </c>
      <c r="AI20" s="85"/>
    </row>
    <row r="21" spans="1:35" s="79" customFormat="1" ht="11.25" customHeight="1" x14ac:dyDescent="0.2">
      <c r="A21" s="77" t="s">
        <v>1636</v>
      </c>
      <c r="B21" s="80">
        <v>262</v>
      </c>
      <c r="C21" s="81" t="s">
        <v>1635</v>
      </c>
      <c r="D21" s="73">
        <v>1000</v>
      </c>
      <c r="E21" s="79" t="s">
        <v>181</v>
      </c>
      <c r="F21" s="79" t="s">
        <v>3725</v>
      </c>
      <c r="G21" s="79" t="s">
        <v>2996</v>
      </c>
      <c r="H21" s="79" t="s">
        <v>182</v>
      </c>
      <c r="I21" s="81"/>
      <c r="J21" s="81">
        <v>25</v>
      </c>
      <c r="K21" s="86"/>
      <c r="M21" s="78" t="s">
        <v>1635</v>
      </c>
      <c r="N21" s="82"/>
      <c r="O21" s="81" t="s">
        <v>2256</v>
      </c>
      <c r="P21" s="81" t="s">
        <v>2256</v>
      </c>
      <c r="Q21" s="81"/>
      <c r="R21" s="83">
        <v>200</v>
      </c>
      <c r="S21" s="79" t="s">
        <v>2999</v>
      </c>
      <c r="T21" s="84">
        <v>200000</v>
      </c>
      <c r="U21" s="81"/>
      <c r="V21" s="81"/>
      <c r="W21" s="78" t="s">
        <v>1635</v>
      </c>
      <c r="X21" s="82"/>
      <c r="Y21" s="81" t="s">
        <v>2256</v>
      </c>
      <c r="Z21" s="81" t="s">
        <v>2256</v>
      </c>
      <c r="AA21" s="83">
        <v>5000</v>
      </c>
      <c r="AB21" s="85"/>
      <c r="AD21" s="78" t="s">
        <v>1635</v>
      </c>
      <c r="AE21" s="82"/>
      <c r="AF21" s="81" t="s">
        <v>2256</v>
      </c>
      <c r="AG21" s="81" t="s">
        <v>2256</v>
      </c>
      <c r="AH21" s="83">
        <v>5000</v>
      </c>
      <c r="AI21" s="85"/>
    </row>
    <row r="22" spans="1:35" s="79" customFormat="1" ht="11.25" customHeight="1" x14ac:dyDescent="0.2">
      <c r="A22" s="77" t="s">
        <v>1702</v>
      </c>
      <c r="B22" s="80">
        <v>1080</v>
      </c>
      <c r="C22" s="81" t="s">
        <v>1701</v>
      </c>
      <c r="D22" s="73">
        <v>3000</v>
      </c>
      <c r="E22" s="79" t="s">
        <v>181</v>
      </c>
      <c r="F22" s="79" t="s">
        <v>30</v>
      </c>
      <c r="G22" s="79" t="s">
        <v>2995</v>
      </c>
      <c r="H22" s="79" t="s">
        <v>182</v>
      </c>
      <c r="I22" s="81"/>
      <c r="J22" s="81">
        <v>25</v>
      </c>
      <c r="K22" s="86"/>
      <c r="M22" s="78" t="s">
        <v>1635</v>
      </c>
      <c r="N22" s="82"/>
      <c r="O22" s="81" t="s">
        <v>2644</v>
      </c>
      <c r="P22" s="81" t="s">
        <v>2256</v>
      </c>
      <c r="Q22" s="81"/>
      <c r="R22" s="83">
        <v>200</v>
      </c>
      <c r="S22" s="79" t="s">
        <v>3204</v>
      </c>
      <c r="T22" s="84">
        <v>200000</v>
      </c>
      <c r="U22" s="81"/>
      <c r="V22" s="81"/>
      <c r="W22" s="78" t="s">
        <v>1635</v>
      </c>
      <c r="X22" s="82"/>
      <c r="Y22" s="81" t="s">
        <v>2644</v>
      </c>
      <c r="Z22" s="81" t="s">
        <v>2256</v>
      </c>
      <c r="AA22" s="83">
        <v>5000</v>
      </c>
      <c r="AB22" s="85"/>
      <c r="AD22" s="78" t="s">
        <v>1635</v>
      </c>
      <c r="AE22" s="82"/>
      <c r="AF22" s="81" t="s">
        <v>2644</v>
      </c>
      <c r="AG22" s="81" t="s">
        <v>2256</v>
      </c>
      <c r="AH22" s="83">
        <v>5000</v>
      </c>
      <c r="AI22" s="85"/>
    </row>
    <row r="23" spans="1:35" s="79" customFormat="1" ht="11.25" customHeight="1" x14ac:dyDescent="0.2">
      <c r="A23" s="77" t="s">
        <v>303</v>
      </c>
      <c r="B23" s="80">
        <v>1079</v>
      </c>
      <c r="C23" s="81" t="s">
        <v>302</v>
      </c>
      <c r="D23" s="73">
        <v>3000</v>
      </c>
      <c r="E23" s="79" t="s">
        <v>181</v>
      </c>
      <c r="F23" s="79" t="s">
        <v>30</v>
      </c>
      <c r="G23" s="79" t="s">
        <v>2995</v>
      </c>
      <c r="H23" s="79" t="s">
        <v>182</v>
      </c>
      <c r="I23" s="81"/>
      <c r="J23" s="81">
        <v>25</v>
      </c>
      <c r="K23" s="86"/>
      <c r="M23" s="78" t="s">
        <v>304</v>
      </c>
      <c r="N23" s="82"/>
      <c r="O23" s="81" t="s">
        <v>2305</v>
      </c>
      <c r="P23" s="81" t="s">
        <v>2256</v>
      </c>
      <c r="Q23" s="81"/>
      <c r="R23" s="83">
        <v>200</v>
      </c>
      <c r="S23" s="79" t="s">
        <v>3037</v>
      </c>
      <c r="T23" s="84">
        <v>200000</v>
      </c>
      <c r="U23" s="81"/>
      <c r="V23" s="81"/>
      <c r="W23" s="78" t="s">
        <v>304</v>
      </c>
      <c r="X23" s="82"/>
      <c r="Y23" s="81" t="s">
        <v>2305</v>
      </c>
      <c r="Z23" s="81" t="s">
        <v>2256</v>
      </c>
      <c r="AA23" s="83">
        <v>5000</v>
      </c>
      <c r="AB23" s="85"/>
      <c r="AD23" s="78" t="s">
        <v>304</v>
      </c>
      <c r="AE23" s="82"/>
      <c r="AF23" s="81" t="s">
        <v>2305</v>
      </c>
      <c r="AG23" s="81" t="s">
        <v>2256</v>
      </c>
      <c r="AH23" s="83">
        <v>5000</v>
      </c>
      <c r="AI23" s="85"/>
    </row>
    <row r="24" spans="1:35" s="79" customFormat="1" ht="11.25" customHeight="1" x14ac:dyDescent="0.2">
      <c r="A24" s="77" t="s">
        <v>1640</v>
      </c>
      <c r="B24" s="80">
        <v>261</v>
      </c>
      <c r="C24" s="81" t="s">
        <v>304</v>
      </c>
      <c r="D24" s="73">
        <v>1000</v>
      </c>
      <c r="E24" s="79" t="s">
        <v>20</v>
      </c>
      <c r="F24" s="79" t="s">
        <v>3725</v>
      </c>
      <c r="G24" s="79" t="s">
        <v>2996</v>
      </c>
      <c r="H24" s="79" t="s">
        <v>182</v>
      </c>
      <c r="I24" s="81"/>
      <c r="J24" s="81">
        <v>25</v>
      </c>
      <c r="K24" s="86"/>
      <c r="M24" s="78" t="s">
        <v>304</v>
      </c>
      <c r="N24" s="82"/>
      <c r="O24" s="81" t="s">
        <v>2256</v>
      </c>
      <c r="P24" s="81" t="s">
        <v>2256</v>
      </c>
      <c r="Q24" s="81"/>
      <c r="R24" s="83">
        <v>200</v>
      </c>
      <c r="S24" s="79" t="s">
        <v>2999</v>
      </c>
      <c r="T24" s="84">
        <v>200000</v>
      </c>
      <c r="U24" s="81"/>
      <c r="V24" s="81"/>
      <c r="W24" s="78" t="s">
        <v>304</v>
      </c>
      <c r="X24" s="82"/>
      <c r="Y24" s="81" t="s">
        <v>2256</v>
      </c>
      <c r="Z24" s="81" t="s">
        <v>2256</v>
      </c>
      <c r="AA24" s="83">
        <v>5000</v>
      </c>
      <c r="AB24" s="85"/>
      <c r="AD24" s="78" t="s">
        <v>304</v>
      </c>
      <c r="AE24" s="82"/>
      <c r="AF24" s="81" t="s">
        <v>2256</v>
      </c>
      <c r="AG24" s="81" t="s">
        <v>2256</v>
      </c>
      <c r="AH24" s="83">
        <v>5000</v>
      </c>
      <c r="AI24" s="85"/>
    </row>
    <row r="25" spans="1:35" s="79" customFormat="1" ht="11.25" customHeight="1" x14ac:dyDescent="0.2">
      <c r="A25" s="77" t="s">
        <v>1754</v>
      </c>
      <c r="B25" s="80">
        <v>1113</v>
      </c>
      <c r="C25" s="81" t="s">
        <v>1753</v>
      </c>
      <c r="D25" s="73">
        <v>1000</v>
      </c>
      <c r="E25" s="79" t="s">
        <v>20</v>
      </c>
      <c r="F25" s="79" t="s">
        <v>3725</v>
      </c>
      <c r="G25" s="79" t="s">
        <v>2996</v>
      </c>
      <c r="H25" s="79" t="s">
        <v>182</v>
      </c>
      <c r="I25" s="81"/>
      <c r="J25" s="81">
        <v>25</v>
      </c>
      <c r="K25" s="86"/>
      <c r="M25" s="78" t="s">
        <v>1753</v>
      </c>
      <c r="N25" s="82"/>
      <c r="O25" s="81" t="s">
        <v>2256</v>
      </c>
      <c r="P25" s="81" t="s">
        <v>2256</v>
      </c>
      <c r="Q25" s="81"/>
      <c r="R25" s="83">
        <v>500</v>
      </c>
      <c r="S25" s="79" t="s">
        <v>2999</v>
      </c>
      <c r="T25" s="84">
        <v>500000</v>
      </c>
      <c r="U25" s="81"/>
      <c r="V25" s="81"/>
      <c r="W25" s="78" t="s">
        <v>1753</v>
      </c>
      <c r="X25" s="82"/>
      <c r="Y25" s="81" t="s">
        <v>2256</v>
      </c>
      <c r="Z25" s="81" t="s">
        <v>2256</v>
      </c>
      <c r="AA25" s="83">
        <v>1500</v>
      </c>
      <c r="AB25" s="85"/>
      <c r="AD25" s="78" t="s">
        <v>1753</v>
      </c>
      <c r="AE25" s="82"/>
      <c r="AF25" s="81" t="s">
        <v>2256</v>
      </c>
      <c r="AG25" s="81" t="s">
        <v>2256</v>
      </c>
      <c r="AH25" s="83">
        <v>2000</v>
      </c>
      <c r="AI25" s="85"/>
    </row>
    <row r="26" spans="1:35" s="79" customFormat="1" ht="11.25" customHeight="1" x14ac:dyDescent="0.2">
      <c r="A26" s="77" t="s">
        <v>3365</v>
      </c>
      <c r="B26" s="80">
        <v>915</v>
      </c>
      <c r="C26" s="81" t="s">
        <v>3349</v>
      </c>
      <c r="D26" s="73">
        <v>1000</v>
      </c>
      <c r="E26" s="79" t="s">
        <v>28</v>
      </c>
      <c r="F26" s="79" t="s">
        <v>30</v>
      </c>
      <c r="G26" s="79" t="s">
        <v>2995</v>
      </c>
      <c r="H26" s="79" t="str">
        <f>VLOOKUP(M26,C:H,6,FALSE)</f>
        <v>Crude Oil</v>
      </c>
      <c r="I26" s="81"/>
      <c r="J26" s="81" t="s">
        <v>213</v>
      </c>
      <c r="K26" s="86"/>
      <c r="M26" s="78" t="s">
        <v>31</v>
      </c>
      <c r="N26" s="82" t="s">
        <v>31</v>
      </c>
      <c r="O26" s="81" t="s">
        <v>3352</v>
      </c>
      <c r="P26" s="81" t="s">
        <v>2256</v>
      </c>
      <c r="Q26" s="81"/>
      <c r="R26" s="83">
        <v>3000</v>
      </c>
      <c r="S26" s="79" t="s">
        <v>3005</v>
      </c>
      <c r="T26" s="84">
        <v>3000000</v>
      </c>
      <c r="U26" s="81"/>
      <c r="V26" s="81"/>
      <c r="W26" s="78" t="s">
        <v>31</v>
      </c>
      <c r="X26" s="82" t="s">
        <v>31</v>
      </c>
      <c r="Y26" s="81" t="s">
        <v>3352</v>
      </c>
      <c r="Z26" s="81" t="s">
        <v>2256</v>
      </c>
      <c r="AA26" s="83">
        <v>10000</v>
      </c>
      <c r="AB26" s="85"/>
      <c r="AD26" s="78" t="s">
        <v>31</v>
      </c>
      <c r="AE26" s="82" t="s">
        <v>31</v>
      </c>
      <c r="AF26" s="81" t="s">
        <v>3352</v>
      </c>
      <c r="AG26" s="81" t="s">
        <v>2256</v>
      </c>
      <c r="AH26" s="83">
        <v>20000</v>
      </c>
      <c r="AI26" s="85"/>
    </row>
    <row r="27" spans="1:35" s="79" customFormat="1" ht="11.25" customHeight="1" x14ac:dyDescent="0.2">
      <c r="A27" s="77" t="s">
        <v>3366</v>
      </c>
      <c r="B27" s="80">
        <v>915</v>
      </c>
      <c r="C27" s="81" t="s">
        <v>3350</v>
      </c>
      <c r="D27" s="73">
        <v>1000</v>
      </c>
      <c r="E27" s="79" t="s">
        <v>28</v>
      </c>
      <c r="F27" s="79" t="s">
        <v>30</v>
      </c>
      <c r="G27" s="79" t="s">
        <v>2995</v>
      </c>
      <c r="H27" s="79" t="str">
        <f>VLOOKUP(M27,C:H,6,FALSE)</f>
        <v>Crude Oil</v>
      </c>
      <c r="I27" s="81"/>
      <c r="J27" s="81" t="s">
        <v>213</v>
      </c>
      <c r="K27" s="86"/>
      <c r="M27" s="78" t="s">
        <v>31</v>
      </c>
      <c r="N27" s="82" t="s">
        <v>31</v>
      </c>
      <c r="O27" s="81" t="s">
        <v>3351</v>
      </c>
      <c r="P27" s="81" t="s">
        <v>2256</v>
      </c>
      <c r="Q27" s="81"/>
      <c r="R27" s="83">
        <v>3000</v>
      </c>
      <c r="S27" s="79" t="s">
        <v>3005</v>
      </c>
      <c r="T27" s="84">
        <v>3000000</v>
      </c>
      <c r="U27" s="81"/>
      <c r="V27" s="81"/>
      <c r="W27" s="78" t="s">
        <v>31</v>
      </c>
      <c r="X27" s="82" t="s">
        <v>31</v>
      </c>
      <c r="Y27" s="81" t="s">
        <v>3351</v>
      </c>
      <c r="Z27" s="81" t="s">
        <v>2256</v>
      </c>
      <c r="AA27" s="83">
        <v>10000</v>
      </c>
      <c r="AB27" s="85"/>
      <c r="AD27" s="78" t="s">
        <v>31</v>
      </c>
      <c r="AE27" s="82" t="s">
        <v>31</v>
      </c>
      <c r="AF27" s="81" t="s">
        <v>3351</v>
      </c>
      <c r="AG27" s="81" t="s">
        <v>2256</v>
      </c>
      <c r="AH27" s="83">
        <v>20000</v>
      </c>
      <c r="AI27" s="85"/>
    </row>
    <row r="28" spans="1:35" s="79" customFormat="1" ht="11.25" customHeight="1" x14ac:dyDescent="0.2">
      <c r="A28" s="77" t="s">
        <v>168</v>
      </c>
      <c r="B28" s="80">
        <v>377</v>
      </c>
      <c r="C28" s="81" t="s">
        <v>167</v>
      </c>
      <c r="D28" s="73">
        <v>1000</v>
      </c>
      <c r="E28" s="79" t="s">
        <v>28</v>
      </c>
      <c r="F28" s="79" t="s">
        <v>30</v>
      </c>
      <c r="G28" s="79" t="s">
        <v>3001</v>
      </c>
      <c r="H28" s="79" t="s">
        <v>29</v>
      </c>
      <c r="I28" s="81"/>
      <c r="J28" s="81">
        <v>25</v>
      </c>
      <c r="K28" s="86"/>
      <c r="M28" s="78">
        <v>26</v>
      </c>
      <c r="N28" s="82" t="s">
        <v>95</v>
      </c>
      <c r="O28" s="81" t="s">
        <v>3408</v>
      </c>
      <c r="P28" s="81" t="s">
        <v>3409</v>
      </c>
      <c r="Q28" s="81"/>
      <c r="R28" s="83" t="s">
        <v>3457</v>
      </c>
      <c r="S28" s="79" t="s">
        <v>3017</v>
      </c>
      <c r="T28" s="84" t="s">
        <v>3425</v>
      </c>
      <c r="U28" s="81"/>
      <c r="V28" s="81"/>
      <c r="W28" s="78">
        <v>26</v>
      </c>
      <c r="X28" s="82" t="s">
        <v>95</v>
      </c>
      <c r="Y28" s="81" t="s">
        <v>3408</v>
      </c>
      <c r="Z28" s="81" t="s">
        <v>3409</v>
      </c>
      <c r="AA28" s="81" t="s">
        <v>147</v>
      </c>
      <c r="AB28" s="85"/>
      <c r="AD28" s="78">
        <v>26</v>
      </c>
      <c r="AE28" s="82" t="s">
        <v>95</v>
      </c>
      <c r="AF28" s="81" t="s">
        <v>3408</v>
      </c>
      <c r="AG28" s="81" t="s">
        <v>3409</v>
      </c>
      <c r="AH28" s="81" t="s">
        <v>146</v>
      </c>
      <c r="AI28" s="85"/>
    </row>
    <row r="29" spans="1:35" s="79" customFormat="1" ht="11.25" customHeight="1" x14ac:dyDescent="0.2">
      <c r="A29" s="77" t="s">
        <v>145</v>
      </c>
      <c r="B29" s="80">
        <v>694</v>
      </c>
      <c r="C29" s="81" t="s">
        <v>144</v>
      </c>
      <c r="D29" s="73">
        <v>1000</v>
      </c>
      <c r="E29" s="79" t="s">
        <v>28</v>
      </c>
      <c r="F29" s="79" t="s">
        <v>3725</v>
      </c>
      <c r="G29" s="79" t="s">
        <v>2996</v>
      </c>
      <c r="H29" s="79" t="s">
        <v>29</v>
      </c>
      <c r="I29" s="81" t="s">
        <v>3000</v>
      </c>
      <c r="J29" s="81">
        <v>25</v>
      </c>
      <c r="K29" s="86"/>
      <c r="M29" s="78" t="s">
        <v>31</v>
      </c>
      <c r="N29" s="82" t="s">
        <v>95</v>
      </c>
      <c r="O29" s="81" t="s">
        <v>2274</v>
      </c>
      <c r="P29" s="81" t="s">
        <v>2774</v>
      </c>
      <c r="Q29" s="81"/>
      <c r="R29" s="83" t="s">
        <v>3457</v>
      </c>
      <c r="S29" s="79" t="s">
        <v>3021</v>
      </c>
      <c r="T29" s="84" t="s">
        <v>3425</v>
      </c>
      <c r="U29" s="81"/>
      <c r="V29" s="81"/>
      <c r="W29" s="78" t="s">
        <v>31</v>
      </c>
      <c r="X29" s="82" t="s">
        <v>95</v>
      </c>
      <c r="Y29" s="81" t="s">
        <v>2274</v>
      </c>
      <c r="Z29" s="81" t="s">
        <v>2774</v>
      </c>
      <c r="AA29" s="81" t="s">
        <v>147</v>
      </c>
      <c r="AB29" s="85"/>
      <c r="AD29" s="78" t="s">
        <v>31</v>
      </c>
      <c r="AE29" s="82" t="s">
        <v>95</v>
      </c>
      <c r="AF29" s="81" t="s">
        <v>2274</v>
      </c>
      <c r="AG29" s="81" t="s">
        <v>2774</v>
      </c>
      <c r="AH29" s="81" t="s">
        <v>146</v>
      </c>
      <c r="AI29" s="85"/>
    </row>
    <row r="30" spans="1:35" s="79" customFormat="1" ht="11.25" customHeight="1" x14ac:dyDescent="0.2">
      <c r="A30" s="77" t="s">
        <v>173</v>
      </c>
      <c r="B30" s="80">
        <v>693</v>
      </c>
      <c r="C30" s="81" t="s">
        <v>172</v>
      </c>
      <c r="D30" s="73">
        <v>1000</v>
      </c>
      <c r="E30" s="79" t="s">
        <v>28</v>
      </c>
      <c r="F30" s="79" t="s">
        <v>3725</v>
      </c>
      <c r="G30" s="79" t="s">
        <v>2996</v>
      </c>
      <c r="H30" s="79" t="s">
        <v>29</v>
      </c>
      <c r="I30" s="81"/>
      <c r="J30" s="81">
        <v>25</v>
      </c>
      <c r="K30" s="86"/>
      <c r="M30" s="78" t="s">
        <v>31</v>
      </c>
      <c r="N30" s="82" t="s">
        <v>95</v>
      </c>
      <c r="O30" s="81" t="s">
        <v>2282</v>
      </c>
      <c r="P30" s="81" t="s">
        <v>2777</v>
      </c>
      <c r="Q30" s="81"/>
      <c r="R30" s="83" t="s">
        <v>3457</v>
      </c>
      <c r="S30" s="79" t="s">
        <v>3021</v>
      </c>
      <c r="T30" s="84" t="s">
        <v>3425</v>
      </c>
      <c r="U30" s="81"/>
      <c r="V30" s="81"/>
      <c r="W30" s="78" t="s">
        <v>31</v>
      </c>
      <c r="X30" s="82" t="s">
        <v>95</v>
      </c>
      <c r="Y30" s="81" t="s">
        <v>2282</v>
      </c>
      <c r="Z30" s="81" t="s">
        <v>2777</v>
      </c>
      <c r="AA30" s="81" t="s">
        <v>147</v>
      </c>
      <c r="AB30" s="85"/>
      <c r="AD30" s="78" t="s">
        <v>31</v>
      </c>
      <c r="AE30" s="82" t="s">
        <v>95</v>
      </c>
      <c r="AF30" s="81" t="s">
        <v>2282</v>
      </c>
      <c r="AG30" s="81" t="s">
        <v>2777</v>
      </c>
      <c r="AH30" s="81" t="s">
        <v>146</v>
      </c>
      <c r="AI30" s="85"/>
    </row>
    <row r="31" spans="1:35" s="79" customFormat="1" ht="11.25" customHeight="1" x14ac:dyDescent="0.2">
      <c r="A31" s="77" t="s">
        <v>473</v>
      </c>
      <c r="B31" s="80">
        <v>828</v>
      </c>
      <c r="C31" s="81" t="s">
        <v>31</v>
      </c>
      <c r="D31" s="73">
        <v>1000</v>
      </c>
      <c r="E31" s="79" t="s">
        <v>28</v>
      </c>
      <c r="F31" s="79" t="s">
        <v>3725</v>
      </c>
      <c r="G31" s="79" t="s">
        <v>2996</v>
      </c>
      <c r="H31" s="79" t="s">
        <v>29</v>
      </c>
      <c r="I31" s="81"/>
      <c r="J31" s="81">
        <v>350</v>
      </c>
      <c r="K31" s="86"/>
      <c r="M31" s="78" t="s">
        <v>31</v>
      </c>
      <c r="N31" s="82"/>
      <c r="O31" s="81" t="s">
        <v>2256</v>
      </c>
      <c r="P31" s="81" t="s">
        <v>2256</v>
      </c>
      <c r="Q31" s="81"/>
      <c r="R31" s="83">
        <v>3000</v>
      </c>
      <c r="S31" s="79" t="s">
        <v>2999</v>
      </c>
      <c r="T31" s="84">
        <v>3000000</v>
      </c>
      <c r="U31" s="81"/>
      <c r="V31" s="81"/>
      <c r="W31" s="78" t="s">
        <v>31</v>
      </c>
      <c r="X31" s="82"/>
      <c r="Y31" s="81" t="s">
        <v>2256</v>
      </c>
      <c r="Z31" s="81" t="s">
        <v>2256</v>
      </c>
      <c r="AA31" s="83">
        <v>10000</v>
      </c>
      <c r="AB31" s="85"/>
      <c r="AD31" s="78" t="s">
        <v>31</v>
      </c>
      <c r="AE31" s="82"/>
      <c r="AF31" s="81" t="s">
        <v>2256</v>
      </c>
      <c r="AG31" s="81" t="s">
        <v>2256</v>
      </c>
      <c r="AH31" s="83">
        <v>20000</v>
      </c>
      <c r="AI31" s="85"/>
    </row>
    <row r="32" spans="1:35" s="79" customFormat="1" ht="11.25" customHeight="1" x14ac:dyDescent="0.2">
      <c r="A32" s="77" t="s">
        <v>564</v>
      </c>
      <c r="B32" s="80">
        <v>514</v>
      </c>
      <c r="C32" s="81" t="s">
        <v>563</v>
      </c>
      <c r="D32" s="73">
        <v>1000</v>
      </c>
      <c r="E32" s="79" t="s">
        <v>28</v>
      </c>
      <c r="F32" s="79" t="s">
        <v>3725</v>
      </c>
      <c r="G32" s="79" t="s">
        <v>2996</v>
      </c>
      <c r="H32" s="79" t="s">
        <v>29</v>
      </c>
      <c r="I32" s="81" t="s">
        <v>3000</v>
      </c>
      <c r="J32" s="81">
        <v>350</v>
      </c>
      <c r="K32" s="86"/>
      <c r="M32" s="78" t="s">
        <v>31</v>
      </c>
      <c r="N32" s="82"/>
      <c r="O32" s="81" t="s">
        <v>2366</v>
      </c>
      <c r="P32" s="81" t="s">
        <v>2256</v>
      </c>
      <c r="Q32" s="81"/>
      <c r="R32" s="83">
        <v>3000</v>
      </c>
      <c r="S32" s="79" t="s">
        <v>3005</v>
      </c>
      <c r="T32" s="84">
        <v>3000000</v>
      </c>
      <c r="U32" s="81"/>
      <c r="V32" s="81"/>
      <c r="W32" s="78" t="s">
        <v>31</v>
      </c>
      <c r="X32" s="82"/>
      <c r="Y32" s="81" t="s">
        <v>2366</v>
      </c>
      <c r="Z32" s="81" t="s">
        <v>2256</v>
      </c>
      <c r="AA32" s="83">
        <v>10000</v>
      </c>
      <c r="AB32" s="85"/>
      <c r="AD32" s="78" t="s">
        <v>31</v>
      </c>
      <c r="AE32" s="82"/>
      <c r="AF32" s="81" t="s">
        <v>2366</v>
      </c>
      <c r="AG32" s="81" t="s">
        <v>2256</v>
      </c>
      <c r="AH32" s="83">
        <v>20000</v>
      </c>
      <c r="AI32" s="85"/>
    </row>
    <row r="33" spans="1:35" s="79" customFormat="1" ht="11.25" customHeight="1" x14ac:dyDescent="0.2">
      <c r="A33" s="77" t="s">
        <v>2107</v>
      </c>
      <c r="B33" s="80">
        <v>356</v>
      </c>
      <c r="C33" s="81" t="s">
        <v>2106</v>
      </c>
      <c r="D33" s="73">
        <v>3</v>
      </c>
      <c r="E33" s="79" t="s">
        <v>3811</v>
      </c>
      <c r="F33" s="79" t="s">
        <v>30</v>
      </c>
      <c r="G33" s="79" t="s">
        <v>2995</v>
      </c>
      <c r="H33" s="79" t="s">
        <v>29</v>
      </c>
      <c r="I33" s="81"/>
      <c r="J33" s="81">
        <v>350</v>
      </c>
      <c r="K33" s="86"/>
      <c r="M33" s="78" t="s">
        <v>31</v>
      </c>
      <c r="N33" s="82"/>
      <c r="O33" s="81" t="s">
        <v>2726</v>
      </c>
      <c r="P33" s="81" t="s">
        <v>2256</v>
      </c>
      <c r="Q33" s="81"/>
      <c r="R33" s="83">
        <v>3000</v>
      </c>
      <c r="S33" s="79" t="s">
        <v>3005</v>
      </c>
      <c r="T33" s="84">
        <v>3000000</v>
      </c>
      <c r="U33" s="81"/>
      <c r="V33" s="81"/>
      <c r="W33" s="78" t="s">
        <v>31</v>
      </c>
      <c r="X33" s="82"/>
      <c r="Y33" s="81" t="s">
        <v>2726</v>
      </c>
      <c r="Z33" s="81" t="s">
        <v>2256</v>
      </c>
      <c r="AA33" s="83">
        <v>10000</v>
      </c>
      <c r="AB33" s="85"/>
      <c r="AD33" s="78" t="s">
        <v>31</v>
      </c>
      <c r="AE33" s="82"/>
      <c r="AF33" s="81" t="s">
        <v>2726</v>
      </c>
      <c r="AG33" s="81" t="s">
        <v>2256</v>
      </c>
      <c r="AH33" s="83">
        <v>20000</v>
      </c>
      <c r="AI33" s="85"/>
    </row>
    <row r="34" spans="1:35" s="79" customFormat="1" ht="11.25" customHeight="1" x14ac:dyDescent="0.2">
      <c r="A34" s="77" t="s">
        <v>2109</v>
      </c>
      <c r="B34" s="80">
        <v>357</v>
      </c>
      <c r="C34" s="81" t="s">
        <v>2108</v>
      </c>
      <c r="D34" s="73">
        <v>12</v>
      </c>
      <c r="E34" s="79" t="s">
        <v>3811</v>
      </c>
      <c r="F34" s="79" t="s">
        <v>30</v>
      </c>
      <c r="G34" s="79" t="s">
        <v>2995</v>
      </c>
      <c r="H34" s="79" t="s">
        <v>29</v>
      </c>
      <c r="I34" s="81"/>
      <c r="J34" s="81">
        <v>350</v>
      </c>
      <c r="K34" s="86"/>
      <c r="M34" s="78" t="s">
        <v>31</v>
      </c>
      <c r="N34" s="82"/>
      <c r="O34" s="81" t="s">
        <v>2727</v>
      </c>
      <c r="P34" s="81" t="s">
        <v>2256</v>
      </c>
      <c r="Q34" s="81"/>
      <c r="R34" s="83">
        <v>3000</v>
      </c>
      <c r="S34" s="79" t="s">
        <v>3005</v>
      </c>
      <c r="T34" s="84">
        <v>3000000</v>
      </c>
      <c r="U34" s="81"/>
      <c r="V34" s="81"/>
      <c r="W34" s="78" t="s">
        <v>31</v>
      </c>
      <c r="X34" s="82"/>
      <c r="Y34" s="81" t="s">
        <v>2727</v>
      </c>
      <c r="Z34" s="81" t="s">
        <v>2256</v>
      </c>
      <c r="AA34" s="83">
        <v>10000</v>
      </c>
      <c r="AB34" s="85"/>
      <c r="AD34" s="78" t="s">
        <v>31</v>
      </c>
      <c r="AE34" s="82"/>
      <c r="AF34" s="81" t="s">
        <v>2727</v>
      </c>
      <c r="AG34" s="81" t="s">
        <v>2256</v>
      </c>
      <c r="AH34" s="83">
        <v>20000</v>
      </c>
      <c r="AI34" s="85"/>
    </row>
    <row r="35" spans="1:35" s="79" customFormat="1" ht="11.25" customHeight="1" x14ac:dyDescent="0.2">
      <c r="A35" s="77" t="s">
        <v>27</v>
      </c>
      <c r="B35" s="80">
        <v>341</v>
      </c>
      <c r="C35" s="81" t="s">
        <v>26</v>
      </c>
      <c r="D35" s="73">
        <v>1000</v>
      </c>
      <c r="E35" s="79" t="s">
        <v>28</v>
      </c>
      <c r="F35" s="79" t="s">
        <v>30</v>
      </c>
      <c r="G35" s="79" t="s">
        <v>3001</v>
      </c>
      <c r="H35" s="79" t="s">
        <v>29</v>
      </c>
      <c r="I35" s="81" t="s">
        <v>3000</v>
      </c>
      <c r="J35" s="81">
        <v>350</v>
      </c>
      <c r="K35" s="86"/>
      <c r="M35" s="78" t="s">
        <v>31</v>
      </c>
      <c r="N35" s="82"/>
      <c r="O35" s="81" t="s">
        <v>2255</v>
      </c>
      <c r="P35" s="81" t="s">
        <v>2256</v>
      </c>
      <c r="Q35" s="81"/>
      <c r="R35" s="83">
        <v>3000</v>
      </c>
      <c r="S35" s="79" t="s">
        <v>3005</v>
      </c>
      <c r="T35" s="84">
        <v>3000000</v>
      </c>
      <c r="U35" s="81"/>
      <c r="V35" s="81"/>
      <c r="W35" s="78" t="s">
        <v>31</v>
      </c>
      <c r="X35" s="82"/>
      <c r="Y35" s="81" t="s">
        <v>2255</v>
      </c>
      <c r="Z35" s="81" t="s">
        <v>2256</v>
      </c>
      <c r="AA35" s="83">
        <v>10000</v>
      </c>
      <c r="AB35" s="85"/>
      <c r="AD35" s="78" t="s">
        <v>31</v>
      </c>
      <c r="AE35" s="82"/>
      <c r="AF35" s="81" t="s">
        <v>2255</v>
      </c>
      <c r="AG35" s="81" t="s">
        <v>2256</v>
      </c>
      <c r="AH35" s="83">
        <v>20000</v>
      </c>
      <c r="AI35" s="85"/>
    </row>
    <row r="36" spans="1:35" s="79" customFormat="1" ht="11.25" customHeight="1" x14ac:dyDescent="0.2">
      <c r="A36" s="77" t="s">
        <v>257</v>
      </c>
      <c r="B36" s="80">
        <v>833</v>
      </c>
      <c r="C36" s="81" t="s">
        <v>256</v>
      </c>
      <c r="D36" s="73">
        <v>1000</v>
      </c>
      <c r="E36" s="79" t="s">
        <v>28</v>
      </c>
      <c r="F36" s="79" t="s">
        <v>30</v>
      </c>
      <c r="G36" s="79" t="s">
        <v>3001</v>
      </c>
      <c r="H36" s="79" t="s">
        <v>29</v>
      </c>
      <c r="I36" s="81"/>
      <c r="J36" s="81" t="s">
        <v>213</v>
      </c>
      <c r="K36" s="86"/>
      <c r="M36" s="78" t="s">
        <v>31</v>
      </c>
      <c r="N36" s="82"/>
      <c r="O36" s="81" t="s">
        <v>2298</v>
      </c>
      <c r="P36" s="81" t="s">
        <v>2256</v>
      </c>
      <c r="Q36" s="81"/>
      <c r="R36" s="83">
        <v>3000</v>
      </c>
      <c r="S36" s="79" t="s">
        <v>3005</v>
      </c>
      <c r="T36" s="84">
        <v>3000000</v>
      </c>
      <c r="U36" s="81"/>
      <c r="V36" s="81"/>
      <c r="W36" s="78" t="s">
        <v>31</v>
      </c>
      <c r="X36" s="82"/>
      <c r="Y36" s="81" t="s">
        <v>2298</v>
      </c>
      <c r="Z36" s="81" t="s">
        <v>2256</v>
      </c>
      <c r="AA36" s="83">
        <v>10000</v>
      </c>
      <c r="AB36" s="85"/>
      <c r="AD36" s="78" t="s">
        <v>31</v>
      </c>
      <c r="AE36" s="82"/>
      <c r="AF36" s="81" t="s">
        <v>2298</v>
      </c>
      <c r="AG36" s="81" t="s">
        <v>2256</v>
      </c>
      <c r="AH36" s="83">
        <v>20000</v>
      </c>
      <c r="AI36" s="85"/>
    </row>
    <row r="37" spans="1:35" s="79" customFormat="1" ht="11.25" customHeight="1" x14ac:dyDescent="0.2">
      <c r="A37" s="77" t="s">
        <v>320</v>
      </c>
      <c r="B37" s="80">
        <v>510</v>
      </c>
      <c r="C37" s="81" t="s">
        <v>319</v>
      </c>
      <c r="D37" s="73">
        <v>1000</v>
      </c>
      <c r="E37" s="79" t="s">
        <v>28</v>
      </c>
      <c r="F37" s="79" t="s">
        <v>3725</v>
      </c>
      <c r="G37" s="79" t="s">
        <v>2996</v>
      </c>
      <c r="H37" s="79" t="s">
        <v>29</v>
      </c>
      <c r="I37" s="81" t="s">
        <v>3000</v>
      </c>
      <c r="J37" s="81">
        <v>350</v>
      </c>
      <c r="K37" s="86"/>
      <c r="M37" s="78" t="s">
        <v>31</v>
      </c>
      <c r="N37" s="82"/>
      <c r="O37" s="81" t="s">
        <v>2309</v>
      </c>
      <c r="P37" s="81" t="s">
        <v>2256</v>
      </c>
      <c r="Q37" s="81"/>
      <c r="R37" s="83">
        <v>3000</v>
      </c>
      <c r="S37" s="79" t="s">
        <v>3005</v>
      </c>
      <c r="T37" s="84">
        <v>3000000</v>
      </c>
      <c r="U37" s="81"/>
      <c r="V37" s="81"/>
      <c r="W37" s="78" t="s">
        <v>31</v>
      </c>
      <c r="X37" s="82"/>
      <c r="Y37" s="81" t="s">
        <v>2309</v>
      </c>
      <c r="Z37" s="81" t="s">
        <v>2256</v>
      </c>
      <c r="AA37" s="83">
        <v>10000</v>
      </c>
      <c r="AB37" s="85"/>
      <c r="AD37" s="78" t="s">
        <v>31</v>
      </c>
      <c r="AE37" s="82"/>
      <c r="AF37" s="81" t="s">
        <v>2309</v>
      </c>
      <c r="AG37" s="81" t="s">
        <v>2256</v>
      </c>
      <c r="AH37" s="83">
        <v>20000</v>
      </c>
      <c r="AI37" s="85"/>
    </row>
    <row r="38" spans="1:35" s="79" customFormat="1" ht="11.25" customHeight="1" x14ac:dyDescent="0.2">
      <c r="A38" s="77" t="s">
        <v>382</v>
      </c>
      <c r="B38" s="80">
        <v>179</v>
      </c>
      <c r="C38" s="81" t="s">
        <v>381</v>
      </c>
      <c r="D38" s="73">
        <v>1000</v>
      </c>
      <c r="E38" s="79" t="s">
        <v>28</v>
      </c>
      <c r="F38" s="79" t="s">
        <v>3725</v>
      </c>
      <c r="G38" s="79" t="s">
        <v>2996</v>
      </c>
      <c r="H38" s="79" t="s">
        <v>29</v>
      </c>
      <c r="I38" s="81"/>
      <c r="J38" s="81">
        <v>350</v>
      </c>
      <c r="K38" s="86"/>
      <c r="M38" s="78" t="s">
        <v>31</v>
      </c>
      <c r="N38" s="82"/>
      <c r="O38" s="81" t="s">
        <v>2324</v>
      </c>
      <c r="P38" s="81" t="s">
        <v>2256</v>
      </c>
      <c r="Q38" s="81"/>
      <c r="R38" s="83">
        <v>3000</v>
      </c>
      <c r="S38" s="79" t="s">
        <v>3005</v>
      </c>
      <c r="T38" s="84">
        <v>3000000</v>
      </c>
      <c r="U38" s="81"/>
      <c r="V38" s="81"/>
      <c r="W38" s="78" t="s">
        <v>31</v>
      </c>
      <c r="X38" s="82"/>
      <c r="Y38" s="81" t="s">
        <v>2324</v>
      </c>
      <c r="Z38" s="81" t="s">
        <v>2256</v>
      </c>
      <c r="AA38" s="83">
        <v>10000</v>
      </c>
      <c r="AB38" s="85"/>
      <c r="AD38" s="78" t="s">
        <v>31</v>
      </c>
      <c r="AE38" s="82"/>
      <c r="AF38" s="81" t="s">
        <v>2324</v>
      </c>
      <c r="AG38" s="81" t="s">
        <v>2256</v>
      </c>
      <c r="AH38" s="83">
        <v>20000</v>
      </c>
      <c r="AI38" s="85"/>
    </row>
    <row r="39" spans="1:35" s="79" customFormat="1" ht="11.25" customHeight="1" x14ac:dyDescent="0.2">
      <c r="A39" s="77" t="s">
        <v>518</v>
      </c>
      <c r="B39" s="80">
        <v>222</v>
      </c>
      <c r="C39" s="81" t="s">
        <v>517</v>
      </c>
      <c r="D39" s="73">
        <v>1000</v>
      </c>
      <c r="E39" s="79" t="s">
        <v>28</v>
      </c>
      <c r="F39" s="79" t="s">
        <v>3725</v>
      </c>
      <c r="G39" s="79" t="s">
        <v>2996</v>
      </c>
      <c r="H39" s="79" t="s">
        <v>29</v>
      </c>
      <c r="I39" s="81"/>
      <c r="J39" s="81">
        <v>25</v>
      </c>
      <c r="K39" s="86"/>
      <c r="M39" s="78" t="s">
        <v>475</v>
      </c>
      <c r="N39" s="82" t="s">
        <v>519</v>
      </c>
      <c r="O39" s="81" t="s">
        <v>2357</v>
      </c>
      <c r="P39" s="81" t="s">
        <v>2804</v>
      </c>
      <c r="Q39" s="81"/>
      <c r="R39" s="83" t="s">
        <v>3454</v>
      </c>
      <c r="S39" s="79" t="s">
        <v>3068</v>
      </c>
      <c r="T39" s="84" t="s">
        <v>3603</v>
      </c>
      <c r="U39" s="81"/>
      <c r="V39" s="81"/>
      <c r="W39" s="78" t="s">
        <v>475</v>
      </c>
      <c r="X39" s="82" t="s">
        <v>519</v>
      </c>
      <c r="Y39" s="81" t="s">
        <v>2357</v>
      </c>
      <c r="Z39" s="81" t="s">
        <v>2804</v>
      </c>
      <c r="AA39" s="81" t="s">
        <v>521</v>
      </c>
      <c r="AB39" s="85"/>
      <c r="AD39" s="78" t="s">
        <v>475</v>
      </c>
      <c r="AE39" s="82" t="s">
        <v>519</v>
      </c>
      <c r="AF39" s="81" t="s">
        <v>2357</v>
      </c>
      <c r="AG39" s="81" t="s">
        <v>2804</v>
      </c>
      <c r="AH39" s="81" t="s">
        <v>520</v>
      </c>
      <c r="AI39" s="85"/>
    </row>
    <row r="40" spans="1:35" s="79" customFormat="1" ht="11.25" customHeight="1" x14ac:dyDescent="0.2">
      <c r="A40" s="77" t="s">
        <v>525</v>
      </c>
      <c r="B40" s="80">
        <v>224</v>
      </c>
      <c r="C40" s="81" t="s">
        <v>524</v>
      </c>
      <c r="D40" s="73">
        <v>1000</v>
      </c>
      <c r="E40" s="79" t="s">
        <v>28</v>
      </c>
      <c r="F40" s="79" t="s">
        <v>3725</v>
      </c>
      <c r="G40" s="79" t="s">
        <v>2996</v>
      </c>
      <c r="H40" s="79" t="s">
        <v>29</v>
      </c>
      <c r="I40" s="81"/>
      <c r="J40" s="81">
        <v>25</v>
      </c>
      <c r="K40" s="86"/>
      <c r="M40" s="78" t="s">
        <v>475</v>
      </c>
      <c r="N40" s="82" t="s">
        <v>519</v>
      </c>
      <c r="O40" s="81" t="s">
        <v>2359</v>
      </c>
      <c r="P40" s="81" t="s">
        <v>2805</v>
      </c>
      <c r="Q40" s="81"/>
      <c r="R40" s="83" t="s">
        <v>3454</v>
      </c>
      <c r="S40" s="79" t="s">
        <v>3068</v>
      </c>
      <c r="T40" s="84" t="s">
        <v>3603</v>
      </c>
      <c r="U40" s="81"/>
      <c r="V40" s="81"/>
      <c r="W40" s="78" t="s">
        <v>475</v>
      </c>
      <c r="X40" s="82" t="s">
        <v>519</v>
      </c>
      <c r="Y40" s="81" t="s">
        <v>2359</v>
      </c>
      <c r="Z40" s="81" t="s">
        <v>2805</v>
      </c>
      <c r="AA40" s="81" t="s">
        <v>521</v>
      </c>
      <c r="AB40" s="85"/>
      <c r="AD40" s="78" t="s">
        <v>475</v>
      </c>
      <c r="AE40" s="82" t="s">
        <v>519</v>
      </c>
      <c r="AF40" s="81" t="s">
        <v>2359</v>
      </c>
      <c r="AG40" s="81" t="s">
        <v>2805</v>
      </c>
      <c r="AH40" s="81" t="s">
        <v>520</v>
      </c>
      <c r="AI40" s="85"/>
    </row>
    <row r="41" spans="1:35" s="79" customFormat="1" ht="11.25" customHeight="1" x14ac:dyDescent="0.2">
      <c r="A41" s="77" t="s">
        <v>476</v>
      </c>
      <c r="B41" s="80">
        <v>221</v>
      </c>
      <c r="C41" s="81" t="s">
        <v>475</v>
      </c>
      <c r="D41" s="73">
        <v>1000</v>
      </c>
      <c r="E41" s="79" t="s">
        <v>28</v>
      </c>
      <c r="F41" s="79" t="s">
        <v>3725</v>
      </c>
      <c r="G41" s="79" t="s">
        <v>2996</v>
      </c>
      <c r="H41" s="79" t="s">
        <v>29</v>
      </c>
      <c r="I41" s="81" t="s">
        <v>3000</v>
      </c>
      <c r="J41" s="81">
        <v>25</v>
      </c>
      <c r="K41" s="86"/>
      <c r="M41" s="78" t="s">
        <v>475</v>
      </c>
      <c r="N41" s="82"/>
      <c r="O41" s="81" t="s">
        <v>2256</v>
      </c>
      <c r="P41" s="81" t="s">
        <v>2256</v>
      </c>
      <c r="Q41" s="81"/>
      <c r="R41" s="83">
        <v>5000</v>
      </c>
      <c r="S41" s="79" t="s">
        <v>2999</v>
      </c>
      <c r="T41" s="84">
        <v>5000000</v>
      </c>
      <c r="U41" s="81"/>
      <c r="V41" s="81"/>
      <c r="W41" s="78" t="s">
        <v>475</v>
      </c>
      <c r="X41" s="82"/>
      <c r="Y41" s="81" t="s">
        <v>2256</v>
      </c>
      <c r="Z41" s="81" t="s">
        <v>2256</v>
      </c>
      <c r="AA41" s="83">
        <v>20000</v>
      </c>
      <c r="AB41" s="85"/>
      <c r="AD41" s="78" t="s">
        <v>475</v>
      </c>
      <c r="AE41" s="82"/>
      <c r="AF41" s="81" t="s">
        <v>2256</v>
      </c>
      <c r="AG41" s="81" t="s">
        <v>2256</v>
      </c>
      <c r="AH41" s="83">
        <v>30000</v>
      </c>
      <c r="AI41" s="85"/>
    </row>
    <row r="42" spans="1:35" s="79" customFormat="1" ht="11.25" customHeight="1" x14ac:dyDescent="0.2">
      <c r="A42" s="77" t="s">
        <v>523</v>
      </c>
      <c r="B42" s="80">
        <v>223</v>
      </c>
      <c r="C42" s="81" t="s">
        <v>522</v>
      </c>
      <c r="D42" s="73">
        <v>1000</v>
      </c>
      <c r="E42" s="79" t="s">
        <v>28</v>
      </c>
      <c r="F42" s="79" t="s">
        <v>3725</v>
      </c>
      <c r="G42" s="79" t="s">
        <v>2996</v>
      </c>
      <c r="H42" s="79" t="s">
        <v>29</v>
      </c>
      <c r="I42" s="81"/>
      <c r="J42" s="81">
        <v>25</v>
      </c>
      <c r="K42" s="86"/>
      <c r="M42" s="78" t="s">
        <v>475</v>
      </c>
      <c r="N42" s="82"/>
      <c r="O42" s="81" t="s">
        <v>2358</v>
      </c>
      <c r="P42" s="81" t="s">
        <v>2256</v>
      </c>
      <c r="Q42" s="81"/>
      <c r="R42" s="83">
        <v>5000</v>
      </c>
      <c r="S42" s="79" t="s">
        <v>3069</v>
      </c>
      <c r="T42" s="84">
        <v>5000000</v>
      </c>
      <c r="U42" s="81"/>
      <c r="V42" s="81"/>
      <c r="W42" s="78" t="s">
        <v>475</v>
      </c>
      <c r="X42" s="82"/>
      <c r="Y42" s="81" t="s">
        <v>2358</v>
      </c>
      <c r="Z42" s="81" t="s">
        <v>2256</v>
      </c>
      <c r="AA42" s="83">
        <v>20000</v>
      </c>
      <c r="AB42" s="85"/>
      <c r="AD42" s="78" t="s">
        <v>475</v>
      </c>
      <c r="AE42" s="82"/>
      <c r="AF42" s="81" t="s">
        <v>2358</v>
      </c>
      <c r="AG42" s="81" t="s">
        <v>2256</v>
      </c>
      <c r="AH42" s="83">
        <v>30000</v>
      </c>
      <c r="AI42" s="85"/>
    </row>
    <row r="43" spans="1:35" s="79" customFormat="1" ht="11.25" customHeight="1" x14ac:dyDescent="0.2">
      <c r="A43" s="77" t="s">
        <v>648</v>
      </c>
      <c r="B43" s="80">
        <v>303</v>
      </c>
      <c r="C43" s="81" t="s">
        <v>647</v>
      </c>
      <c r="D43" s="73">
        <v>1000</v>
      </c>
      <c r="E43" s="79" t="s">
        <v>28</v>
      </c>
      <c r="F43" s="79" t="s">
        <v>3725</v>
      </c>
      <c r="G43" s="79" t="s">
        <v>2996</v>
      </c>
      <c r="H43" s="79" t="s">
        <v>29</v>
      </c>
      <c r="I43" s="81"/>
      <c r="J43" s="81">
        <v>25</v>
      </c>
      <c r="K43" s="86"/>
      <c r="M43" s="78" t="s">
        <v>649</v>
      </c>
      <c r="N43" s="82" t="s">
        <v>519</v>
      </c>
      <c r="O43" s="81" t="s">
        <v>2385</v>
      </c>
      <c r="P43" s="81" t="s">
        <v>2817</v>
      </c>
      <c r="Q43" s="81"/>
      <c r="R43" s="83" t="s">
        <v>3430</v>
      </c>
      <c r="S43" s="79" t="s">
        <v>3085</v>
      </c>
      <c r="T43" s="84" t="s">
        <v>3419</v>
      </c>
      <c r="U43" s="81"/>
      <c r="V43" s="81"/>
      <c r="W43" s="78" t="s">
        <v>649</v>
      </c>
      <c r="X43" s="82" t="s">
        <v>519</v>
      </c>
      <c r="Y43" s="81" t="s">
        <v>2385</v>
      </c>
      <c r="Z43" s="81" t="s">
        <v>2817</v>
      </c>
      <c r="AA43" s="81" t="s">
        <v>650</v>
      </c>
      <c r="AB43" s="85"/>
      <c r="AD43" s="78" t="s">
        <v>649</v>
      </c>
      <c r="AE43" s="82" t="s">
        <v>519</v>
      </c>
      <c r="AF43" s="81" t="s">
        <v>2385</v>
      </c>
      <c r="AG43" s="81" t="s">
        <v>2817</v>
      </c>
      <c r="AH43" s="81" t="s">
        <v>146</v>
      </c>
      <c r="AI43" s="85"/>
    </row>
    <row r="44" spans="1:35" s="79" customFormat="1" ht="11.25" customHeight="1" x14ac:dyDescent="0.2">
      <c r="A44" s="77" t="s">
        <v>2244</v>
      </c>
      <c r="B44" s="80">
        <v>302</v>
      </c>
      <c r="C44" s="81" t="s">
        <v>649</v>
      </c>
      <c r="D44" s="73">
        <v>1000</v>
      </c>
      <c r="E44" s="79" t="s">
        <v>28</v>
      </c>
      <c r="F44" s="79" t="s">
        <v>3725</v>
      </c>
      <c r="G44" s="79" t="s">
        <v>2996</v>
      </c>
      <c r="H44" s="79" t="s">
        <v>29</v>
      </c>
      <c r="I44" s="81" t="s">
        <v>3000</v>
      </c>
      <c r="J44" s="81">
        <v>25</v>
      </c>
      <c r="K44" s="86"/>
      <c r="M44" s="78" t="s">
        <v>649</v>
      </c>
      <c r="N44" s="82"/>
      <c r="O44" s="81" t="s">
        <v>2256</v>
      </c>
      <c r="P44" s="81" t="s">
        <v>2256</v>
      </c>
      <c r="Q44" s="81"/>
      <c r="R44" s="83">
        <v>3000</v>
      </c>
      <c r="S44" s="79" t="s">
        <v>2999</v>
      </c>
      <c r="T44" s="84">
        <v>3000000</v>
      </c>
      <c r="U44" s="81"/>
      <c r="V44" s="81"/>
      <c r="W44" s="78" t="s">
        <v>649</v>
      </c>
      <c r="X44" s="82"/>
      <c r="Y44" s="81" t="s">
        <v>2256</v>
      </c>
      <c r="Z44" s="81" t="s">
        <v>2256</v>
      </c>
      <c r="AA44" s="83">
        <v>15000</v>
      </c>
      <c r="AB44" s="85"/>
      <c r="AD44" s="78" t="s">
        <v>649</v>
      </c>
      <c r="AE44" s="82"/>
      <c r="AF44" s="81" t="s">
        <v>2256</v>
      </c>
      <c r="AG44" s="81" t="s">
        <v>2256</v>
      </c>
      <c r="AH44" s="83">
        <v>20000</v>
      </c>
      <c r="AI44" s="85"/>
    </row>
    <row r="45" spans="1:35" s="79" customFormat="1" ht="11.25" customHeight="1" x14ac:dyDescent="0.2">
      <c r="A45" s="77" t="s">
        <v>781</v>
      </c>
      <c r="B45" s="80">
        <v>857</v>
      </c>
      <c r="C45" s="81" t="s">
        <v>780</v>
      </c>
      <c r="D45" s="73">
        <v>1000</v>
      </c>
      <c r="E45" s="79" t="s">
        <v>28</v>
      </c>
      <c r="F45" s="79" t="s">
        <v>3725</v>
      </c>
      <c r="G45" s="79" t="s">
        <v>2996</v>
      </c>
      <c r="H45" s="79" t="s">
        <v>29</v>
      </c>
      <c r="I45" s="81" t="s">
        <v>3000</v>
      </c>
      <c r="J45" s="81">
        <v>350</v>
      </c>
      <c r="K45" s="86"/>
      <c r="M45" s="78" t="s">
        <v>55</v>
      </c>
      <c r="N45" s="82" t="s">
        <v>31</v>
      </c>
      <c r="O45" s="81" t="s">
        <v>2415</v>
      </c>
      <c r="P45" s="81" t="s">
        <v>2834</v>
      </c>
      <c r="Q45" s="81"/>
      <c r="R45" s="83" t="s">
        <v>3430</v>
      </c>
      <c r="S45" s="79" t="s">
        <v>3106</v>
      </c>
      <c r="T45" s="84" t="s">
        <v>3419</v>
      </c>
      <c r="U45" s="81"/>
      <c r="V45" s="81"/>
      <c r="W45" s="78" t="s">
        <v>55</v>
      </c>
      <c r="X45" s="82" t="s">
        <v>31</v>
      </c>
      <c r="Y45" s="81" t="s">
        <v>2415</v>
      </c>
      <c r="Z45" s="81" t="s">
        <v>2834</v>
      </c>
      <c r="AA45" s="81" t="s">
        <v>373</v>
      </c>
      <c r="AB45" s="85"/>
      <c r="AD45" s="78" t="s">
        <v>55</v>
      </c>
      <c r="AE45" s="82" t="s">
        <v>31</v>
      </c>
      <c r="AF45" s="81" t="s">
        <v>2415</v>
      </c>
      <c r="AG45" s="81" t="s">
        <v>2834</v>
      </c>
      <c r="AH45" s="81" t="s">
        <v>146</v>
      </c>
      <c r="AI45" s="85"/>
    </row>
    <row r="46" spans="1:35" s="79" customFormat="1" ht="11.25" customHeight="1" x14ac:dyDescent="0.2">
      <c r="A46" s="77" t="s">
        <v>56</v>
      </c>
      <c r="B46" s="80">
        <v>855</v>
      </c>
      <c r="C46" s="81" t="s">
        <v>55</v>
      </c>
      <c r="D46" s="73">
        <v>1000</v>
      </c>
      <c r="E46" s="79" t="s">
        <v>28</v>
      </c>
      <c r="F46" s="79" t="s">
        <v>3725</v>
      </c>
      <c r="G46" s="79" t="s">
        <v>2996</v>
      </c>
      <c r="H46" s="79" t="s">
        <v>29</v>
      </c>
      <c r="I46" s="81" t="s">
        <v>3000</v>
      </c>
      <c r="J46" s="81">
        <v>350</v>
      </c>
      <c r="K46" s="86"/>
      <c r="M46" s="78" t="s">
        <v>55</v>
      </c>
      <c r="N46" s="82"/>
      <c r="O46" s="81" t="s">
        <v>2256</v>
      </c>
      <c r="P46" s="81" t="s">
        <v>2256</v>
      </c>
      <c r="Q46" s="81"/>
      <c r="R46" s="83">
        <v>3000</v>
      </c>
      <c r="S46" s="79" t="s">
        <v>2999</v>
      </c>
      <c r="T46" s="84">
        <v>3000000</v>
      </c>
      <c r="U46" s="81"/>
      <c r="V46" s="81"/>
      <c r="W46" s="78" t="s">
        <v>55</v>
      </c>
      <c r="X46" s="82"/>
      <c r="Y46" s="81" t="s">
        <v>2256</v>
      </c>
      <c r="Z46" s="81" t="s">
        <v>2256</v>
      </c>
      <c r="AA46" s="83">
        <v>20000</v>
      </c>
      <c r="AB46" s="85"/>
      <c r="AD46" s="78" t="s">
        <v>55</v>
      </c>
      <c r="AE46" s="82"/>
      <c r="AF46" s="81" t="s">
        <v>2256</v>
      </c>
      <c r="AG46" s="81" t="s">
        <v>2256</v>
      </c>
      <c r="AH46" s="83">
        <v>20000</v>
      </c>
      <c r="AI46" s="85"/>
    </row>
    <row r="47" spans="1:35" s="79" customFormat="1" ht="11.25" customHeight="1" x14ac:dyDescent="0.2">
      <c r="A47" s="77" t="s">
        <v>3399</v>
      </c>
      <c r="B47" s="80">
        <v>398</v>
      </c>
      <c r="C47" s="81" t="s">
        <v>3339</v>
      </c>
      <c r="D47" s="73">
        <v>1000</v>
      </c>
      <c r="E47" s="79" t="s">
        <v>28</v>
      </c>
      <c r="F47" s="79" t="s">
        <v>30</v>
      </c>
      <c r="G47" s="79" t="s">
        <v>2995</v>
      </c>
      <c r="H47" s="79" t="str">
        <f>VLOOKUP(M47,C:H,6,FALSE)</f>
        <v>Crude Oil</v>
      </c>
      <c r="I47" s="81"/>
      <c r="J47" s="81">
        <v>25</v>
      </c>
      <c r="K47" s="86"/>
      <c r="M47" s="78" t="s">
        <v>86</v>
      </c>
      <c r="N47" s="82" t="s">
        <v>86</v>
      </c>
      <c r="O47" s="81" t="s">
        <v>3344</v>
      </c>
      <c r="P47" s="81" t="s">
        <v>2256</v>
      </c>
      <c r="Q47" s="81"/>
      <c r="R47" s="83">
        <v>2000</v>
      </c>
      <c r="S47" s="79" t="s">
        <v>3255</v>
      </c>
      <c r="T47" s="84" t="s">
        <v>3424</v>
      </c>
      <c r="U47" s="81"/>
      <c r="V47" s="81"/>
      <c r="W47" s="78" t="s">
        <v>86</v>
      </c>
      <c r="X47" s="82" t="s">
        <v>86</v>
      </c>
      <c r="Y47" s="81" t="s">
        <v>3345</v>
      </c>
      <c r="Z47" s="81" t="s">
        <v>2256</v>
      </c>
      <c r="AA47" s="83">
        <v>20000</v>
      </c>
      <c r="AB47" s="85"/>
      <c r="AD47" s="78" t="s">
        <v>86</v>
      </c>
      <c r="AE47" s="82" t="s">
        <v>86</v>
      </c>
      <c r="AF47" s="81" t="s">
        <v>3345</v>
      </c>
      <c r="AG47" s="81" t="s">
        <v>2256</v>
      </c>
      <c r="AH47" s="83">
        <v>20000</v>
      </c>
      <c r="AI47" s="85"/>
    </row>
    <row r="48" spans="1:35" s="79" customFormat="1" ht="11.25" customHeight="1" x14ac:dyDescent="0.2">
      <c r="A48" s="77" t="s">
        <v>3400</v>
      </c>
      <c r="B48" s="80">
        <v>398</v>
      </c>
      <c r="C48" s="81" t="s">
        <v>3340</v>
      </c>
      <c r="D48" s="73">
        <v>1000</v>
      </c>
      <c r="E48" s="79" t="s">
        <v>28</v>
      </c>
      <c r="F48" s="79" t="s">
        <v>30</v>
      </c>
      <c r="G48" s="79" t="s">
        <v>2995</v>
      </c>
      <c r="H48" s="79" t="str">
        <f>VLOOKUP(M48,C:H,6,FALSE)</f>
        <v>Crude Oil</v>
      </c>
      <c r="I48" s="81"/>
      <c r="J48" s="81">
        <v>25</v>
      </c>
      <c r="K48" s="86"/>
      <c r="M48" s="78" t="s">
        <v>86</v>
      </c>
      <c r="N48" s="82" t="s">
        <v>86</v>
      </c>
      <c r="O48" s="81" t="s">
        <v>3345</v>
      </c>
      <c r="P48" s="81" t="s">
        <v>2256</v>
      </c>
      <c r="Q48" s="81"/>
      <c r="R48" s="83">
        <v>2000</v>
      </c>
      <c r="S48" s="79" t="s">
        <v>3255</v>
      </c>
      <c r="T48" s="84" t="s">
        <v>3424</v>
      </c>
      <c r="U48" s="81"/>
      <c r="V48" s="81"/>
      <c r="W48" s="78" t="s">
        <v>86</v>
      </c>
      <c r="X48" s="82" t="s">
        <v>86</v>
      </c>
      <c r="Y48" s="81" t="s">
        <v>3344</v>
      </c>
      <c r="Z48" s="81" t="s">
        <v>2256</v>
      </c>
      <c r="AA48" s="83">
        <v>20000</v>
      </c>
      <c r="AB48" s="85"/>
      <c r="AD48" s="78" t="s">
        <v>86</v>
      </c>
      <c r="AE48" s="82" t="s">
        <v>86</v>
      </c>
      <c r="AF48" s="81" t="s">
        <v>3344</v>
      </c>
      <c r="AG48" s="81" t="s">
        <v>2256</v>
      </c>
      <c r="AH48" s="83">
        <v>20000</v>
      </c>
      <c r="AI48" s="85"/>
    </row>
    <row r="49" spans="1:35" s="79" customFormat="1" ht="11.25" customHeight="1" x14ac:dyDescent="0.2">
      <c r="A49" s="77" t="s">
        <v>3401</v>
      </c>
      <c r="B49" s="80">
        <v>398</v>
      </c>
      <c r="C49" s="81" t="s">
        <v>3341</v>
      </c>
      <c r="D49" s="73">
        <v>1000</v>
      </c>
      <c r="E49" s="79" t="s">
        <v>28</v>
      </c>
      <c r="F49" s="79" t="s">
        <v>30</v>
      </c>
      <c r="G49" s="79" t="s">
        <v>2995</v>
      </c>
      <c r="H49" s="79" t="str">
        <f>VLOOKUP(M49,C:H,6,FALSE)</f>
        <v>Crude Oil</v>
      </c>
      <c r="I49" s="81"/>
      <c r="J49" s="81">
        <v>25</v>
      </c>
      <c r="K49" s="86"/>
      <c r="M49" s="78" t="s">
        <v>86</v>
      </c>
      <c r="N49" s="82" t="s">
        <v>86</v>
      </c>
      <c r="O49" s="81" t="s">
        <v>3346</v>
      </c>
      <c r="P49" s="81" t="s">
        <v>2256</v>
      </c>
      <c r="Q49" s="81"/>
      <c r="R49" s="83">
        <v>2000</v>
      </c>
      <c r="S49" s="79" t="s">
        <v>3255</v>
      </c>
      <c r="T49" s="84" t="s">
        <v>3424</v>
      </c>
      <c r="U49" s="81"/>
      <c r="V49" s="81"/>
      <c r="W49" s="78" t="s">
        <v>86</v>
      </c>
      <c r="X49" s="82" t="s">
        <v>86</v>
      </c>
      <c r="Y49" s="81" t="s">
        <v>3346</v>
      </c>
      <c r="Z49" s="81" t="s">
        <v>2256</v>
      </c>
      <c r="AA49" s="83">
        <v>20000</v>
      </c>
      <c r="AB49" s="85"/>
      <c r="AD49" s="78" t="s">
        <v>86</v>
      </c>
      <c r="AE49" s="82" t="s">
        <v>86</v>
      </c>
      <c r="AF49" s="81" t="s">
        <v>3346</v>
      </c>
      <c r="AG49" s="81" t="s">
        <v>2256</v>
      </c>
      <c r="AH49" s="83">
        <v>20000</v>
      </c>
      <c r="AI49" s="85"/>
    </row>
    <row r="50" spans="1:35" s="79" customFormat="1" ht="11.25" customHeight="1" x14ac:dyDescent="0.2">
      <c r="A50" s="77" t="s">
        <v>3402</v>
      </c>
      <c r="B50" s="80">
        <v>398</v>
      </c>
      <c r="C50" s="81" t="s">
        <v>3342</v>
      </c>
      <c r="D50" s="73">
        <v>1000</v>
      </c>
      <c r="E50" s="79" t="s">
        <v>28</v>
      </c>
      <c r="F50" s="79" t="s">
        <v>30</v>
      </c>
      <c r="G50" s="79" t="s">
        <v>2995</v>
      </c>
      <c r="H50" s="79" t="str">
        <f>VLOOKUP(M50,C:H,6,FALSE)</f>
        <v>Crude Oil</v>
      </c>
      <c r="I50" s="81"/>
      <c r="J50" s="81">
        <v>25</v>
      </c>
      <c r="K50" s="86"/>
      <c r="M50" s="78" t="s">
        <v>86</v>
      </c>
      <c r="N50" s="82" t="s">
        <v>86</v>
      </c>
      <c r="O50" s="81" t="s">
        <v>3347</v>
      </c>
      <c r="P50" s="81" t="s">
        <v>2256</v>
      </c>
      <c r="Q50" s="81"/>
      <c r="R50" s="83">
        <v>2000</v>
      </c>
      <c r="S50" s="79" t="s">
        <v>3255</v>
      </c>
      <c r="T50" s="84" t="s">
        <v>3424</v>
      </c>
      <c r="U50" s="81"/>
      <c r="V50" s="81"/>
      <c r="W50" s="78" t="s">
        <v>86</v>
      </c>
      <c r="X50" s="82" t="s">
        <v>86</v>
      </c>
      <c r="Y50" s="81" t="s">
        <v>3347</v>
      </c>
      <c r="Z50" s="81" t="s">
        <v>2256</v>
      </c>
      <c r="AA50" s="83">
        <v>20000</v>
      </c>
      <c r="AB50" s="85"/>
      <c r="AD50" s="78" t="s">
        <v>86</v>
      </c>
      <c r="AE50" s="82" t="s">
        <v>86</v>
      </c>
      <c r="AF50" s="81" t="s">
        <v>3347</v>
      </c>
      <c r="AG50" s="81" t="s">
        <v>2256</v>
      </c>
      <c r="AH50" s="83">
        <v>20000</v>
      </c>
      <c r="AI50" s="85"/>
    </row>
    <row r="51" spans="1:35" s="79" customFormat="1" ht="11.25" customHeight="1" x14ac:dyDescent="0.2">
      <c r="A51" s="77" t="s">
        <v>3403</v>
      </c>
      <c r="B51" s="80">
        <v>398</v>
      </c>
      <c r="C51" s="81" t="s">
        <v>3343</v>
      </c>
      <c r="D51" s="73">
        <v>1000</v>
      </c>
      <c r="E51" s="79" t="s">
        <v>28</v>
      </c>
      <c r="F51" s="79" t="s">
        <v>30</v>
      </c>
      <c r="G51" s="79" t="s">
        <v>2995</v>
      </c>
      <c r="H51" s="79" t="str">
        <f>VLOOKUP(M51,C:H,6,FALSE)</f>
        <v>Crude Oil</v>
      </c>
      <c r="I51" s="81"/>
      <c r="J51" s="81">
        <v>25</v>
      </c>
      <c r="K51" s="86"/>
      <c r="M51" s="78" t="s">
        <v>86</v>
      </c>
      <c r="N51" s="82" t="s">
        <v>86</v>
      </c>
      <c r="O51" s="81" t="s">
        <v>3348</v>
      </c>
      <c r="P51" s="81" t="s">
        <v>2256</v>
      </c>
      <c r="Q51" s="81"/>
      <c r="R51" s="83">
        <v>2000</v>
      </c>
      <c r="S51" s="79" t="s">
        <v>3255</v>
      </c>
      <c r="T51" s="84" t="s">
        <v>3424</v>
      </c>
      <c r="U51" s="81"/>
      <c r="V51" s="81"/>
      <c r="W51" s="78" t="s">
        <v>86</v>
      </c>
      <c r="X51" s="82" t="s">
        <v>86</v>
      </c>
      <c r="Y51" s="81" t="s">
        <v>3348</v>
      </c>
      <c r="Z51" s="81" t="s">
        <v>2256</v>
      </c>
      <c r="AA51" s="83">
        <v>20000</v>
      </c>
      <c r="AB51" s="85"/>
      <c r="AD51" s="78" t="s">
        <v>86</v>
      </c>
      <c r="AE51" s="82" t="s">
        <v>86</v>
      </c>
      <c r="AF51" s="81" t="s">
        <v>3348</v>
      </c>
      <c r="AG51" s="81" t="s">
        <v>2256</v>
      </c>
      <c r="AH51" s="83">
        <v>20000</v>
      </c>
      <c r="AI51" s="85"/>
    </row>
    <row r="52" spans="1:35" s="79" customFormat="1" ht="11.25" customHeight="1" x14ac:dyDescent="0.2">
      <c r="A52" s="77" t="s">
        <v>3367</v>
      </c>
      <c r="B52" s="80">
        <v>394</v>
      </c>
      <c r="C52" s="81" t="s">
        <v>3258</v>
      </c>
      <c r="D52" s="73">
        <v>1000</v>
      </c>
      <c r="E52" s="79" t="s">
        <v>28</v>
      </c>
      <c r="F52" s="79" t="s">
        <v>30</v>
      </c>
      <c r="G52" s="79" t="s">
        <v>2995</v>
      </c>
      <c r="H52" s="79" t="s">
        <v>29</v>
      </c>
      <c r="I52" s="81"/>
      <c r="J52" s="81">
        <v>25</v>
      </c>
      <c r="K52" s="86"/>
      <c r="M52" s="78" t="s">
        <v>86</v>
      </c>
      <c r="N52" s="82" t="s">
        <v>86</v>
      </c>
      <c r="O52" s="81" t="s">
        <v>3289</v>
      </c>
      <c r="P52" s="81" t="s">
        <v>2256</v>
      </c>
      <c r="Q52" s="81"/>
      <c r="R52" s="83">
        <v>2000</v>
      </c>
      <c r="S52" s="79" t="s">
        <v>3014</v>
      </c>
      <c r="T52" s="84">
        <v>2000000</v>
      </c>
      <c r="U52" s="81"/>
      <c r="V52" s="81"/>
      <c r="W52" s="78" t="s">
        <v>86</v>
      </c>
      <c r="X52" s="82" t="s">
        <v>86</v>
      </c>
      <c r="Y52" s="81" t="s">
        <v>3289</v>
      </c>
      <c r="Z52" s="81" t="s">
        <v>2256</v>
      </c>
      <c r="AA52" s="83">
        <v>20000</v>
      </c>
      <c r="AB52" s="85"/>
      <c r="AD52" s="78" t="s">
        <v>86</v>
      </c>
      <c r="AE52" s="82" t="s">
        <v>86</v>
      </c>
      <c r="AF52" s="81" t="s">
        <v>3289</v>
      </c>
      <c r="AG52" s="81" t="s">
        <v>2256</v>
      </c>
      <c r="AH52" s="83">
        <v>20000</v>
      </c>
      <c r="AI52" s="85"/>
    </row>
    <row r="53" spans="1:35" s="79" customFormat="1" ht="11.25" customHeight="1" x14ac:dyDescent="0.2">
      <c r="A53" s="77" t="s">
        <v>3368</v>
      </c>
      <c r="B53" s="80">
        <v>394</v>
      </c>
      <c r="C53" s="81" t="s">
        <v>3260</v>
      </c>
      <c r="D53" s="73">
        <v>1000</v>
      </c>
      <c r="E53" s="79" t="s">
        <v>28</v>
      </c>
      <c r="F53" s="79" t="s">
        <v>30</v>
      </c>
      <c r="G53" s="79" t="s">
        <v>2995</v>
      </c>
      <c r="H53" s="79" t="s">
        <v>29</v>
      </c>
      <c r="I53" s="81"/>
      <c r="J53" s="81">
        <v>25</v>
      </c>
      <c r="K53" s="86"/>
      <c r="M53" s="78" t="s">
        <v>86</v>
      </c>
      <c r="N53" s="82" t="s">
        <v>86</v>
      </c>
      <c r="O53" s="81" t="s">
        <v>3290</v>
      </c>
      <c r="P53" s="81" t="s">
        <v>2256</v>
      </c>
      <c r="Q53" s="81"/>
      <c r="R53" s="83">
        <v>2000</v>
      </c>
      <c r="S53" s="79" t="s">
        <v>3014</v>
      </c>
      <c r="T53" s="84">
        <v>2000000</v>
      </c>
      <c r="U53" s="81"/>
      <c r="V53" s="81"/>
      <c r="W53" s="78" t="s">
        <v>86</v>
      </c>
      <c r="X53" s="82" t="s">
        <v>86</v>
      </c>
      <c r="Y53" s="81" t="s">
        <v>3290</v>
      </c>
      <c r="Z53" s="81" t="s">
        <v>2256</v>
      </c>
      <c r="AA53" s="83">
        <v>20000</v>
      </c>
      <c r="AB53" s="85"/>
      <c r="AD53" s="78" t="s">
        <v>86</v>
      </c>
      <c r="AE53" s="82" t="s">
        <v>86</v>
      </c>
      <c r="AF53" s="81" t="s">
        <v>3290</v>
      </c>
      <c r="AG53" s="81" t="s">
        <v>2256</v>
      </c>
      <c r="AH53" s="83">
        <v>20000</v>
      </c>
      <c r="AI53" s="85"/>
    </row>
    <row r="54" spans="1:35" s="79" customFormat="1" ht="11.25" customHeight="1" x14ac:dyDescent="0.2">
      <c r="A54" s="77" t="s">
        <v>3369</v>
      </c>
      <c r="B54" s="80">
        <v>394</v>
      </c>
      <c r="C54" s="81" t="s">
        <v>3259</v>
      </c>
      <c r="D54" s="73">
        <v>1000</v>
      </c>
      <c r="E54" s="79" t="s">
        <v>28</v>
      </c>
      <c r="F54" s="79" t="s">
        <v>30</v>
      </c>
      <c r="G54" s="79" t="s">
        <v>2995</v>
      </c>
      <c r="H54" s="79" t="s">
        <v>29</v>
      </c>
      <c r="I54" s="81"/>
      <c r="J54" s="81">
        <v>25</v>
      </c>
      <c r="K54" s="86"/>
      <c r="M54" s="78" t="s">
        <v>86</v>
      </c>
      <c r="N54" s="82" t="s">
        <v>86</v>
      </c>
      <c r="O54" s="81" t="s">
        <v>3291</v>
      </c>
      <c r="P54" s="81" t="s">
        <v>2256</v>
      </c>
      <c r="Q54" s="81"/>
      <c r="R54" s="83">
        <v>2000</v>
      </c>
      <c r="S54" s="79" t="s">
        <v>3014</v>
      </c>
      <c r="T54" s="84">
        <v>2000000</v>
      </c>
      <c r="U54" s="81"/>
      <c r="V54" s="81"/>
      <c r="W54" s="78" t="s">
        <v>86</v>
      </c>
      <c r="X54" s="82" t="s">
        <v>86</v>
      </c>
      <c r="Y54" s="81" t="s">
        <v>3291</v>
      </c>
      <c r="Z54" s="81" t="s">
        <v>2256</v>
      </c>
      <c r="AA54" s="83">
        <v>20000</v>
      </c>
      <c r="AB54" s="85"/>
      <c r="AD54" s="78" t="s">
        <v>86</v>
      </c>
      <c r="AE54" s="82" t="s">
        <v>86</v>
      </c>
      <c r="AF54" s="81" t="s">
        <v>3291</v>
      </c>
      <c r="AG54" s="81" t="s">
        <v>2256</v>
      </c>
      <c r="AH54" s="83">
        <v>20000</v>
      </c>
      <c r="AI54" s="85"/>
    </row>
    <row r="55" spans="1:35" s="79" customFormat="1" ht="11.25" customHeight="1" x14ac:dyDescent="0.2">
      <c r="A55" s="77" t="s">
        <v>3370</v>
      </c>
      <c r="B55" s="80">
        <v>394</v>
      </c>
      <c r="C55" s="81" t="s">
        <v>3261</v>
      </c>
      <c r="D55" s="73">
        <v>1000</v>
      </c>
      <c r="E55" s="79" t="s">
        <v>28</v>
      </c>
      <c r="F55" s="79" t="s">
        <v>30</v>
      </c>
      <c r="G55" s="79" t="s">
        <v>2995</v>
      </c>
      <c r="H55" s="79" t="s">
        <v>29</v>
      </c>
      <c r="I55" s="81"/>
      <c r="J55" s="81">
        <v>25</v>
      </c>
      <c r="K55" s="86"/>
      <c r="M55" s="78" t="s">
        <v>86</v>
      </c>
      <c r="N55" s="82" t="s">
        <v>86</v>
      </c>
      <c r="O55" s="81" t="s">
        <v>3292</v>
      </c>
      <c r="P55" s="81" t="s">
        <v>2256</v>
      </c>
      <c r="Q55" s="81"/>
      <c r="R55" s="83">
        <v>2000</v>
      </c>
      <c r="S55" s="79" t="s">
        <v>3014</v>
      </c>
      <c r="T55" s="84">
        <v>2000000</v>
      </c>
      <c r="U55" s="81"/>
      <c r="V55" s="81"/>
      <c r="W55" s="78" t="s">
        <v>86</v>
      </c>
      <c r="X55" s="82" t="s">
        <v>86</v>
      </c>
      <c r="Y55" s="81" t="s">
        <v>3292</v>
      </c>
      <c r="Z55" s="81" t="s">
        <v>2256</v>
      </c>
      <c r="AA55" s="83">
        <v>20000</v>
      </c>
      <c r="AB55" s="85"/>
      <c r="AD55" s="78" t="s">
        <v>86</v>
      </c>
      <c r="AE55" s="82" t="s">
        <v>86</v>
      </c>
      <c r="AF55" s="81" t="s">
        <v>3292</v>
      </c>
      <c r="AG55" s="81" t="s">
        <v>2256</v>
      </c>
      <c r="AH55" s="83">
        <v>20000</v>
      </c>
      <c r="AI55" s="85"/>
    </row>
    <row r="56" spans="1:35" s="79" customFormat="1" ht="11.25" customHeight="1" x14ac:dyDescent="0.2">
      <c r="A56" s="77" t="s">
        <v>3371</v>
      </c>
      <c r="B56" s="80">
        <v>394</v>
      </c>
      <c r="C56" s="81" t="s">
        <v>3262</v>
      </c>
      <c r="D56" s="73">
        <v>1000</v>
      </c>
      <c r="E56" s="79" t="s">
        <v>28</v>
      </c>
      <c r="F56" s="79" t="s">
        <v>30</v>
      </c>
      <c r="G56" s="79" t="s">
        <v>2995</v>
      </c>
      <c r="H56" s="79" t="s">
        <v>29</v>
      </c>
      <c r="I56" s="81"/>
      <c r="J56" s="81">
        <v>25</v>
      </c>
      <c r="K56" s="86"/>
      <c r="M56" s="78" t="s">
        <v>86</v>
      </c>
      <c r="N56" s="82" t="s">
        <v>86</v>
      </c>
      <c r="O56" s="81" t="s">
        <v>3293</v>
      </c>
      <c r="P56" s="81" t="s">
        <v>2256</v>
      </c>
      <c r="Q56" s="81"/>
      <c r="R56" s="83">
        <v>2000</v>
      </c>
      <c r="S56" s="79" t="s">
        <v>3014</v>
      </c>
      <c r="T56" s="84">
        <v>2000000</v>
      </c>
      <c r="U56" s="81"/>
      <c r="V56" s="81"/>
      <c r="W56" s="78" t="s">
        <v>86</v>
      </c>
      <c r="X56" s="82" t="s">
        <v>86</v>
      </c>
      <c r="Y56" s="81" t="s">
        <v>3293</v>
      </c>
      <c r="Z56" s="81" t="s">
        <v>2256</v>
      </c>
      <c r="AA56" s="83">
        <v>20000</v>
      </c>
      <c r="AB56" s="85"/>
      <c r="AD56" s="78" t="s">
        <v>86</v>
      </c>
      <c r="AE56" s="82" t="s">
        <v>86</v>
      </c>
      <c r="AF56" s="81" t="s">
        <v>3293</v>
      </c>
      <c r="AG56" s="81" t="s">
        <v>2256</v>
      </c>
      <c r="AH56" s="83">
        <v>20000</v>
      </c>
      <c r="AI56" s="85"/>
    </row>
    <row r="57" spans="1:35" s="79" customFormat="1" ht="11.25" customHeight="1" x14ac:dyDescent="0.2">
      <c r="A57" s="77" t="s">
        <v>372</v>
      </c>
      <c r="B57" s="80">
        <v>697</v>
      </c>
      <c r="C57" s="81" t="s">
        <v>371</v>
      </c>
      <c r="D57" s="73">
        <v>1000</v>
      </c>
      <c r="E57" s="79" t="s">
        <v>28</v>
      </c>
      <c r="F57" s="79" t="s">
        <v>3725</v>
      </c>
      <c r="G57" s="79" t="s">
        <v>2996</v>
      </c>
      <c r="H57" s="79" t="s">
        <v>29</v>
      </c>
      <c r="I57" s="81" t="s">
        <v>3000</v>
      </c>
      <c r="J57" s="81">
        <v>25</v>
      </c>
      <c r="K57" s="86"/>
      <c r="M57" s="78" t="s">
        <v>86</v>
      </c>
      <c r="N57" s="82" t="s">
        <v>106</v>
      </c>
      <c r="O57" s="81" t="s">
        <v>2320</v>
      </c>
      <c r="P57" s="81" t="s">
        <v>2788</v>
      </c>
      <c r="Q57" s="81"/>
      <c r="R57" s="83" t="s">
        <v>3446</v>
      </c>
      <c r="S57" s="79" t="s">
        <v>3048</v>
      </c>
      <c r="T57" s="84" t="s">
        <v>3579</v>
      </c>
      <c r="U57" s="81"/>
      <c r="V57" s="81"/>
      <c r="W57" s="78" t="s">
        <v>86</v>
      </c>
      <c r="X57" s="82" t="s">
        <v>106</v>
      </c>
      <c r="Y57" s="81" t="s">
        <v>2320</v>
      </c>
      <c r="Z57" s="81" t="s">
        <v>2788</v>
      </c>
      <c r="AA57" s="81" t="s">
        <v>373</v>
      </c>
      <c r="AB57" s="85"/>
      <c r="AD57" s="78" t="s">
        <v>86</v>
      </c>
      <c r="AE57" s="82" t="s">
        <v>106</v>
      </c>
      <c r="AF57" s="81" t="s">
        <v>2320</v>
      </c>
      <c r="AG57" s="81" t="s">
        <v>2788</v>
      </c>
      <c r="AH57" s="81" t="s">
        <v>373</v>
      </c>
      <c r="AI57" s="85"/>
    </row>
    <row r="58" spans="1:35" s="79" customFormat="1" ht="11.25" customHeight="1" x14ac:dyDescent="0.2">
      <c r="A58" s="77" t="s">
        <v>113</v>
      </c>
      <c r="B58" s="80">
        <v>692</v>
      </c>
      <c r="C58" s="81" t="s">
        <v>86</v>
      </c>
      <c r="D58" s="73">
        <v>1000</v>
      </c>
      <c r="E58" s="79" t="s">
        <v>28</v>
      </c>
      <c r="F58" s="79" t="s">
        <v>3725</v>
      </c>
      <c r="G58" s="79" t="s">
        <v>2996</v>
      </c>
      <c r="H58" s="79" t="s">
        <v>29</v>
      </c>
      <c r="I58" s="81"/>
      <c r="J58" s="81">
        <v>25</v>
      </c>
      <c r="K58" s="86"/>
      <c r="M58" s="78" t="s">
        <v>86</v>
      </c>
      <c r="N58" s="82"/>
      <c r="O58" s="81" t="s">
        <v>2256</v>
      </c>
      <c r="P58" s="81" t="s">
        <v>2256</v>
      </c>
      <c r="Q58" s="81"/>
      <c r="R58" s="83">
        <v>2000</v>
      </c>
      <c r="S58" s="79" t="s">
        <v>2999</v>
      </c>
      <c r="T58" s="84">
        <v>2000000</v>
      </c>
      <c r="U58" s="81"/>
      <c r="V58" s="81"/>
      <c r="W58" s="78" t="s">
        <v>86</v>
      </c>
      <c r="X58" s="82"/>
      <c r="Y58" s="81" t="s">
        <v>2256</v>
      </c>
      <c r="Z58" s="81" t="s">
        <v>2256</v>
      </c>
      <c r="AA58" s="83">
        <v>20000</v>
      </c>
      <c r="AB58" s="85"/>
      <c r="AD58" s="78" t="s">
        <v>86</v>
      </c>
      <c r="AE58" s="82"/>
      <c r="AF58" s="81" t="s">
        <v>2256</v>
      </c>
      <c r="AG58" s="81" t="s">
        <v>2256</v>
      </c>
      <c r="AH58" s="83">
        <v>20000</v>
      </c>
      <c r="AI58" s="85"/>
    </row>
    <row r="59" spans="1:35" s="79" customFormat="1" ht="11.25" customHeight="1" x14ac:dyDescent="0.2">
      <c r="A59" s="77" t="s">
        <v>1253</v>
      </c>
      <c r="B59" s="80">
        <v>1117</v>
      </c>
      <c r="C59" s="81" t="s">
        <v>1252</v>
      </c>
      <c r="D59" s="73">
        <v>1</v>
      </c>
      <c r="E59" s="79" t="s">
        <v>1254</v>
      </c>
      <c r="F59" s="79" t="s">
        <v>3725</v>
      </c>
      <c r="G59" s="79" t="s">
        <v>2996</v>
      </c>
      <c r="H59" s="79" t="s">
        <v>29</v>
      </c>
      <c r="I59" s="81"/>
      <c r="J59" s="81">
        <v>25</v>
      </c>
      <c r="K59" s="86"/>
      <c r="M59" s="78" t="s">
        <v>86</v>
      </c>
      <c r="N59" s="82"/>
      <c r="O59" s="81" t="s">
        <v>2531</v>
      </c>
      <c r="P59" s="81" t="s">
        <v>2256</v>
      </c>
      <c r="Q59" s="81"/>
      <c r="R59" s="83">
        <v>2000</v>
      </c>
      <c r="S59" s="79" t="s">
        <v>3014</v>
      </c>
      <c r="T59" s="84">
        <v>2000000</v>
      </c>
      <c r="U59" s="81"/>
      <c r="V59" s="81"/>
      <c r="W59" s="78" t="s">
        <v>86</v>
      </c>
      <c r="X59" s="82"/>
      <c r="Y59" s="81" t="s">
        <v>2531</v>
      </c>
      <c r="Z59" s="81" t="s">
        <v>2256</v>
      </c>
      <c r="AA59" s="83">
        <v>20000</v>
      </c>
      <c r="AB59" s="85"/>
      <c r="AD59" s="78" t="s">
        <v>86</v>
      </c>
      <c r="AE59" s="82"/>
      <c r="AF59" s="81" t="s">
        <v>2531</v>
      </c>
      <c r="AG59" s="81" t="s">
        <v>2256</v>
      </c>
      <c r="AH59" s="83">
        <v>20000</v>
      </c>
      <c r="AI59" s="85"/>
    </row>
    <row r="60" spans="1:35" s="79" customFormat="1" ht="11.25" customHeight="1" x14ac:dyDescent="0.2">
      <c r="A60" s="77" t="s">
        <v>1455</v>
      </c>
      <c r="B60" s="80">
        <v>870</v>
      </c>
      <c r="C60" s="81" t="s">
        <v>1454</v>
      </c>
      <c r="D60" s="73">
        <v>1000</v>
      </c>
      <c r="E60" s="79" t="s">
        <v>28</v>
      </c>
      <c r="F60" s="79" t="s">
        <v>30</v>
      </c>
      <c r="G60" s="79" t="s">
        <v>3001</v>
      </c>
      <c r="H60" s="79" t="s">
        <v>29</v>
      </c>
      <c r="I60" s="81"/>
      <c r="J60" s="81" t="s">
        <v>213</v>
      </c>
      <c r="K60" s="86"/>
      <c r="M60" s="26" t="s">
        <v>86</v>
      </c>
      <c r="N60" s="82"/>
      <c r="O60" s="81" t="s">
        <v>3353</v>
      </c>
      <c r="P60" s="81" t="s">
        <v>2256</v>
      </c>
      <c r="Q60" s="81"/>
      <c r="R60" s="83">
        <v>2000</v>
      </c>
      <c r="S60" s="79" t="s">
        <v>3014</v>
      </c>
      <c r="T60" s="84">
        <v>2000000</v>
      </c>
      <c r="U60" s="81"/>
      <c r="V60" s="81"/>
      <c r="W60" s="26" t="s">
        <v>86</v>
      </c>
      <c r="X60" s="82"/>
      <c r="Y60" s="81" t="s">
        <v>3353</v>
      </c>
      <c r="Z60" s="81" t="s">
        <v>2256</v>
      </c>
      <c r="AA60" s="83">
        <v>20000</v>
      </c>
      <c r="AB60" s="85"/>
      <c r="AD60" s="26" t="s">
        <v>86</v>
      </c>
      <c r="AE60" s="82"/>
      <c r="AF60" s="81" t="s">
        <v>3353</v>
      </c>
      <c r="AG60" s="81" t="s">
        <v>2256</v>
      </c>
      <c r="AH60" s="83">
        <v>20000</v>
      </c>
      <c r="AI60" s="85"/>
    </row>
    <row r="61" spans="1:35" s="79" customFormat="1" ht="11.25" customHeight="1" x14ac:dyDescent="0.2">
      <c r="A61" s="77" t="s">
        <v>3758</v>
      </c>
      <c r="B61" s="80">
        <v>123</v>
      </c>
      <c r="C61" s="81" t="s">
        <v>159</v>
      </c>
      <c r="D61" s="73">
        <v>1000</v>
      </c>
      <c r="E61" s="79" t="s">
        <v>28</v>
      </c>
      <c r="F61" s="79" t="s">
        <v>3725</v>
      </c>
      <c r="G61" s="79" t="s">
        <v>2996</v>
      </c>
      <c r="H61" s="79" t="s">
        <v>29</v>
      </c>
      <c r="I61" s="81" t="s">
        <v>3000</v>
      </c>
      <c r="J61" s="81">
        <v>25</v>
      </c>
      <c r="K61" s="86"/>
      <c r="M61" s="78" t="s">
        <v>95</v>
      </c>
      <c r="N61" s="82" t="s">
        <v>160</v>
      </c>
      <c r="O61" s="81" t="s">
        <v>2279</v>
      </c>
      <c r="P61" s="81" t="s">
        <v>2776</v>
      </c>
      <c r="Q61" s="81"/>
      <c r="R61" s="83" t="s">
        <v>3456</v>
      </c>
      <c r="S61" s="79" t="s">
        <v>3024</v>
      </c>
      <c r="T61" s="84" t="s">
        <v>3580</v>
      </c>
      <c r="U61" s="81"/>
      <c r="V61" s="81"/>
      <c r="W61" s="78" t="s">
        <v>95</v>
      </c>
      <c r="X61" s="82" t="s">
        <v>160</v>
      </c>
      <c r="Y61" s="81" t="s">
        <v>2279</v>
      </c>
      <c r="Z61" s="81" t="s">
        <v>2776</v>
      </c>
      <c r="AA61" s="81" t="s">
        <v>146</v>
      </c>
      <c r="AB61" s="85"/>
      <c r="AD61" s="78" t="s">
        <v>95</v>
      </c>
      <c r="AE61" s="82" t="s">
        <v>160</v>
      </c>
      <c r="AF61" s="81" t="s">
        <v>2279</v>
      </c>
      <c r="AG61" s="81" t="s">
        <v>2776</v>
      </c>
      <c r="AH61" s="81" t="s">
        <v>146</v>
      </c>
      <c r="AI61" s="85"/>
    </row>
    <row r="62" spans="1:35" s="79" customFormat="1" ht="11.25" customHeight="1" x14ac:dyDescent="0.2">
      <c r="A62" s="77" t="s">
        <v>3761</v>
      </c>
      <c r="B62" s="80">
        <v>126</v>
      </c>
      <c r="C62" s="81" t="s">
        <v>377</v>
      </c>
      <c r="D62" s="73">
        <v>1000</v>
      </c>
      <c r="E62" s="79" t="s">
        <v>28</v>
      </c>
      <c r="F62" s="79" t="s">
        <v>3725</v>
      </c>
      <c r="G62" s="79" t="s">
        <v>2996</v>
      </c>
      <c r="H62" s="79" t="s">
        <v>29</v>
      </c>
      <c r="I62" s="81" t="s">
        <v>3000</v>
      </c>
      <c r="J62" s="81">
        <v>25</v>
      </c>
      <c r="K62" s="86"/>
      <c r="M62" s="78" t="s">
        <v>95</v>
      </c>
      <c r="N62" s="82" t="s">
        <v>160</v>
      </c>
      <c r="O62" s="81" t="s">
        <v>2322</v>
      </c>
      <c r="P62" s="81" t="s">
        <v>2789</v>
      </c>
      <c r="Q62" s="81"/>
      <c r="R62" s="83" t="s">
        <v>3456</v>
      </c>
      <c r="S62" s="79" t="s">
        <v>3024</v>
      </c>
      <c r="T62" s="84" t="s">
        <v>3580</v>
      </c>
      <c r="U62" s="81"/>
      <c r="V62" s="81"/>
      <c r="W62" s="78" t="s">
        <v>95</v>
      </c>
      <c r="X62" s="82" t="s">
        <v>160</v>
      </c>
      <c r="Y62" s="81" t="s">
        <v>2322</v>
      </c>
      <c r="Z62" s="81" t="s">
        <v>2789</v>
      </c>
      <c r="AA62" s="81" t="s">
        <v>146</v>
      </c>
      <c r="AB62" s="85"/>
      <c r="AD62" s="78" t="s">
        <v>95</v>
      </c>
      <c r="AE62" s="82" t="s">
        <v>160</v>
      </c>
      <c r="AF62" s="81" t="s">
        <v>2322</v>
      </c>
      <c r="AG62" s="81" t="s">
        <v>2789</v>
      </c>
      <c r="AH62" s="81" t="s">
        <v>146</v>
      </c>
      <c r="AI62" s="85"/>
    </row>
    <row r="63" spans="1:35" s="79" customFormat="1" ht="11.25" customHeight="1" x14ac:dyDescent="0.2">
      <c r="A63" s="77" t="s">
        <v>112</v>
      </c>
      <c r="B63" s="80">
        <v>379</v>
      </c>
      <c r="C63" s="81" t="s">
        <v>111</v>
      </c>
      <c r="D63" s="73">
        <v>1000</v>
      </c>
      <c r="E63" s="79" t="s">
        <v>28</v>
      </c>
      <c r="F63" s="79" t="s">
        <v>30</v>
      </c>
      <c r="G63" s="79" t="s">
        <v>3001</v>
      </c>
      <c r="H63" s="79" t="s">
        <v>29</v>
      </c>
      <c r="I63" s="81" t="s">
        <v>3000</v>
      </c>
      <c r="J63" s="81">
        <v>25</v>
      </c>
      <c r="K63" s="86"/>
      <c r="M63" s="78" t="s">
        <v>95</v>
      </c>
      <c r="N63" s="82"/>
      <c r="O63" s="81" t="s">
        <v>2265</v>
      </c>
      <c r="P63" s="81" t="s">
        <v>2256</v>
      </c>
      <c r="Q63" s="81"/>
      <c r="R63" s="83">
        <v>2000</v>
      </c>
      <c r="S63" s="79" t="s">
        <v>3017</v>
      </c>
      <c r="T63" s="84">
        <v>2000000</v>
      </c>
      <c r="U63" s="81"/>
      <c r="V63" s="81"/>
      <c r="W63" s="78" t="s">
        <v>95</v>
      </c>
      <c r="X63" s="82"/>
      <c r="Y63" s="81" t="s">
        <v>2265</v>
      </c>
      <c r="Z63" s="81" t="s">
        <v>2256</v>
      </c>
      <c r="AA63" s="83">
        <v>20000</v>
      </c>
      <c r="AB63" s="85"/>
      <c r="AD63" s="78" t="s">
        <v>95</v>
      </c>
      <c r="AE63" s="82"/>
      <c r="AF63" s="81" t="s">
        <v>2265</v>
      </c>
      <c r="AG63" s="81" t="s">
        <v>2256</v>
      </c>
      <c r="AH63" s="83">
        <v>20000</v>
      </c>
      <c r="AI63" s="85"/>
    </row>
    <row r="64" spans="1:35" s="79" customFormat="1" ht="11.25" customHeight="1" x14ac:dyDescent="0.2">
      <c r="A64" s="77" t="s">
        <v>131</v>
      </c>
      <c r="B64" s="80">
        <v>378</v>
      </c>
      <c r="C64" s="81" t="s">
        <v>130</v>
      </c>
      <c r="D64" s="73">
        <v>1000</v>
      </c>
      <c r="E64" s="79" t="s">
        <v>28</v>
      </c>
      <c r="F64" s="79" t="s">
        <v>30</v>
      </c>
      <c r="G64" s="79" t="s">
        <v>3001</v>
      </c>
      <c r="H64" s="79" t="s">
        <v>29</v>
      </c>
      <c r="I64" s="81"/>
      <c r="J64" s="81">
        <v>25</v>
      </c>
      <c r="K64" s="86"/>
      <c r="M64" s="78" t="s">
        <v>95</v>
      </c>
      <c r="N64" s="82"/>
      <c r="O64" s="81" t="s">
        <v>2271</v>
      </c>
      <c r="P64" s="81" t="s">
        <v>2256</v>
      </c>
      <c r="Q64" s="81"/>
      <c r="R64" s="83">
        <v>2000</v>
      </c>
      <c r="S64" s="79" t="s">
        <v>3017</v>
      </c>
      <c r="T64" s="84">
        <v>2000000</v>
      </c>
      <c r="U64" s="81"/>
      <c r="V64" s="81"/>
      <c r="W64" s="78" t="s">
        <v>95</v>
      </c>
      <c r="X64" s="82"/>
      <c r="Y64" s="81" t="s">
        <v>2271</v>
      </c>
      <c r="Z64" s="81" t="s">
        <v>2256</v>
      </c>
      <c r="AA64" s="83">
        <v>20000</v>
      </c>
      <c r="AB64" s="85"/>
      <c r="AD64" s="78" t="s">
        <v>95</v>
      </c>
      <c r="AE64" s="82"/>
      <c r="AF64" s="81" t="s">
        <v>2271</v>
      </c>
      <c r="AG64" s="81" t="s">
        <v>2256</v>
      </c>
      <c r="AH64" s="83">
        <v>20000</v>
      </c>
      <c r="AI64" s="85"/>
    </row>
    <row r="65" spans="1:35" s="79" customFormat="1" ht="11.25" customHeight="1" x14ac:dyDescent="0.2">
      <c r="A65" s="77" t="s">
        <v>153</v>
      </c>
      <c r="B65" s="80">
        <v>826</v>
      </c>
      <c r="C65" s="81" t="s">
        <v>152</v>
      </c>
      <c r="D65" s="73">
        <v>12</v>
      </c>
      <c r="E65" s="79" t="s">
        <v>3811</v>
      </c>
      <c r="F65" s="79" t="s">
        <v>30</v>
      </c>
      <c r="G65" s="79" t="s">
        <v>2995</v>
      </c>
      <c r="H65" s="79" t="s">
        <v>29</v>
      </c>
      <c r="I65" s="81"/>
      <c r="J65" s="81">
        <v>25</v>
      </c>
      <c r="K65" s="86"/>
      <c r="M65" s="78" t="s">
        <v>95</v>
      </c>
      <c r="N65" s="82"/>
      <c r="O65" s="81" t="s">
        <v>2276</v>
      </c>
      <c r="P65" s="81" t="s">
        <v>2256</v>
      </c>
      <c r="Q65" s="81"/>
      <c r="R65" s="83">
        <v>2000</v>
      </c>
      <c r="S65" s="79" t="s">
        <v>3017</v>
      </c>
      <c r="T65" s="84">
        <v>2000000</v>
      </c>
      <c r="U65" s="81"/>
      <c r="V65" s="81"/>
      <c r="W65" s="78" t="s">
        <v>95</v>
      </c>
      <c r="X65" s="82"/>
      <c r="Y65" s="81" t="s">
        <v>2276</v>
      </c>
      <c r="Z65" s="81" t="s">
        <v>2256</v>
      </c>
      <c r="AA65" s="83">
        <v>20000</v>
      </c>
      <c r="AB65" s="85"/>
      <c r="AD65" s="78" t="s">
        <v>95</v>
      </c>
      <c r="AE65" s="82"/>
      <c r="AF65" s="81" t="s">
        <v>2276</v>
      </c>
      <c r="AG65" s="81" t="s">
        <v>2256</v>
      </c>
      <c r="AH65" s="83">
        <v>20000</v>
      </c>
      <c r="AI65" s="85"/>
    </row>
    <row r="66" spans="1:35" s="79" customFormat="1" ht="11.25" customHeight="1" x14ac:dyDescent="0.2">
      <c r="A66" s="77" t="s">
        <v>155</v>
      </c>
      <c r="B66" s="80">
        <v>827</v>
      </c>
      <c r="C66" s="81" t="s">
        <v>154</v>
      </c>
      <c r="D66" s="73">
        <v>3</v>
      </c>
      <c r="E66" s="79" t="s">
        <v>3811</v>
      </c>
      <c r="F66" s="79" t="s">
        <v>30</v>
      </c>
      <c r="G66" s="79" t="s">
        <v>2995</v>
      </c>
      <c r="H66" s="79" t="s">
        <v>29</v>
      </c>
      <c r="I66" s="81"/>
      <c r="J66" s="81">
        <v>25</v>
      </c>
      <c r="K66" s="86"/>
      <c r="M66" s="78" t="s">
        <v>95</v>
      </c>
      <c r="N66" s="82"/>
      <c r="O66" s="81" t="s">
        <v>2277</v>
      </c>
      <c r="P66" s="81" t="s">
        <v>2256</v>
      </c>
      <c r="Q66" s="81"/>
      <c r="R66" s="83">
        <v>2000</v>
      </c>
      <c r="S66" s="79" t="s">
        <v>3017</v>
      </c>
      <c r="T66" s="84">
        <v>2000000</v>
      </c>
      <c r="U66" s="81"/>
      <c r="V66" s="81"/>
      <c r="W66" s="78" t="s">
        <v>95</v>
      </c>
      <c r="X66" s="82"/>
      <c r="Y66" s="81" t="s">
        <v>2277</v>
      </c>
      <c r="Z66" s="81" t="s">
        <v>2256</v>
      </c>
      <c r="AA66" s="83">
        <v>20000</v>
      </c>
      <c r="AB66" s="85"/>
      <c r="AD66" s="78" t="s">
        <v>95</v>
      </c>
      <c r="AE66" s="82"/>
      <c r="AF66" s="81" t="s">
        <v>2277</v>
      </c>
      <c r="AG66" s="81" t="s">
        <v>2256</v>
      </c>
      <c r="AH66" s="83">
        <v>20000</v>
      </c>
      <c r="AI66" s="85"/>
    </row>
    <row r="67" spans="1:35" s="79" customFormat="1" ht="11.25" customHeight="1" x14ac:dyDescent="0.2">
      <c r="A67" s="77" t="s">
        <v>174</v>
      </c>
      <c r="B67" s="80">
        <v>698</v>
      </c>
      <c r="C67" s="81" t="s">
        <v>95</v>
      </c>
      <c r="D67" s="73">
        <v>1000</v>
      </c>
      <c r="E67" s="79" t="s">
        <v>28</v>
      </c>
      <c r="F67" s="79" t="s">
        <v>3725</v>
      </c>
      <c r="G67" s="79" t="s">
        <v>2996</v>
      </c>
      <c r="H67" s="79" t="s">
        <v>29</v>
      </c>
      <c r="I67" s="81"/>
      <c r="J67" s="81">
        <v>25</v>
      </c>
      <c r="K67" s="86"/>
      <c r="M67" s="78" t="s">
        <v>95</v>
      </c>
      <c r="N67" s="82"/>
      <c r="O67" s="81" t="s">
        <v>2256</v>
      </c>
      <c r="P67" s="81" t="s">
        <v>2256</v>
      </c>
      <c r="Q67" s="81"/>
      <c r="R67" s="83">
        <v>2000</v>
      </c>
      <c r="S67" s="79" t="s">
        <v>2999</v>
      </c>
      <c r="T67" s="84">
        <v>2000000</v>
      </c>
      <c r="U67" s="81"/>
      <c r="V67" s="81"/>
      <c r="W67" s="78" t="s">
        <v>95</v>
      </c>
      <c r="X67" s="82"/>
      <c r="Y67" s="81" t="s">
        <v>2256</v>
      </c>
      <c r="Z67" s="81" t="s">
        <v>2256</v>
      </c>
      <c r="AA67" s="83">
        <v>20000</v>
      </c>
      <c r="AB67" s="85"/>
      <c r="AD67" s="78" t="s">
        <v>95</v>
      </c>
      <c r="AE67" s="82"/>
      <c r="AF67" s="81" t="s">
        <v>2256</v>
      </c>
      <c r="AG67" s="81" t="s">
        <v>2256</v>
      </c>
      <c r="AH67" s="83">
        <v>20000</v>
      </c>
      <c r="AI67" s="85"/>
    </row>
    <row r="68" spans="1:35" s="79" customFormat="1" ht="11.25" customHeight="1" x14ac:dyDescent="0.2">
      <c r="A68" s="77" t="s">
        <v>345</v>
      </c>
      <c r="B68" s="80">
        <v>696</v>
      </c>
      <c r="C68" s="81" t="s">
        <v>344</v>
      </c>
      <c r="D68" s="73">
        <v>1000</v>
      </c>
      <c r="E68" s="79" t="s">
        <v>28</v>
      </c>
      <c r="F68" s="79" t="s">
        <v>3725</v>
      </c>
      <c r="G68" s="79" t="s">
        <v>2996</v>
      </c>
      <c r="H68" s="79" t="s">
        <v>29</v>
      </c>
      <c r="I68" s="81" t="s">
        <v>3000</v>
      </c>
      <c r="J68" s="81">
        <v>25</v>
      </c>
      <c r="K68" s="86"/>
      <c r="M68" s="78" t="s">
        <v>95</v>
      </c>
      <c r="N68" s="82"/>
      <c r="O68" s="81" t="s">
        <v>2315</v>
      </c>
      <c r="P68" s="81" t="s">
        <v>2256</v>
      </c>
      <c r="Q68" s="81"/>
      <c r="R68" s="83">
        <v>2000</v>
      </c>
      <c r="S68" s="79" t="s">
        <v>3017</v>
      </c>
      <c r="T68" s="84">
        <v>2000000</v>
      </c>
      <c r="U68" s="81"/>
      <c r="V68" s="81"/>
      <c r="W68" s="78" t="s">
        <v>95</v>
      </c>
      <c r="X68" s="82"/>
      <c r="Y68" s="81" t="s">
        <v>2315</v>
      </c>
      <c r="Z68" s="81" t="s">
        <v>2256</v>
      </c>
      <c r="AA68" s="83">
        <v>20000</v>
      </c>
      <c r="AB68" s="85"/>
      <c r="AD68" s="78" t="s">
        <v>95</v>
      </c>
      <c r="AE68" s="82"/>
      <c r="AF68" s="81" t="s">
        <v>2315</v>
      </c>
      <c r="AG68" s="81" t="s">
        <v>2256</v>
      </c>
      <c r="AH68" s="83">
        <v>20000</v>
      </c>
      <c r="AI68" s="85"/>
    </row>
    <row r="69" spans="1:35" s="79" customFormat="1" ht="11.25" customHeight="1" x14ac:dyDescent="0.2">
      <c r="A69" s="77" t="s">
        <v>973</v>
      </c>
      <c r="B69" s="80">
        <v>1055</v>
      </c>
      <c r="C69" s="81" t="s">
        <v>972</v>
      </c>
      <c r="D69" s="73">
        <v>1000</v>
      </c>
      <c r="E69" s="79" t="s">
        <v>28</v>
      </c>
      <c r="F69" s="79" t="s">
        <v>3725</v>
      </c>
      <c r="G69" s="79" t="s">
        <v>2996</v>
      </c>
      <c r="H69" s="79" t="s">
        <v>29</v>
      </c>
      <c r="I69" s="81" t="s">
        <v>3000</v>
      </c>
      <c r="J69" s="81">
        <v>25</v>
      </c>
      <c r="K69" s="86"/>
      <c r="M69" s="78" t="s">
        <v>95</v>
      </c>
      <c r="N69" s="82"/>
      <c r="O69" s="81" t="s">
        <v>2465</v>
      </c>
      <c r="P69" s="81" t="s">
        <v>2256</v>
      </c>
      <c r="Q69" s="81"/>
      <c r="R69" s="83">
        <v>2000</v>
      </c>
      <c r="S69" s="79" t="s">
        <v>3017</v>
      </c>
      <c r="T69" s="84">
        <v>2000000</v>
      </c>
      <c r="U69" s="81"/>
      <c r="V69" s="81"/>
      <c r="W69" s="78" t="s">
        <v>95</v>
      </c>
      <c r="X69" s="82"/>
      <c r="Y69" s="81" t="s">
        <v>2465</v>
      </c>
      <c r="Z69" s="81" t="s">
        <v>2256</v>
      </c>
      <c r="AA69" s="83">
        <v>20000</v>
      </c>
      <c r="AB69" s="85"/>
      <c r="AD69" s="78" t="s">
        <v>95</v>
      </c>
      <c r="AE69" s="82"/>
      <c r="AF69" s="81" t="s">
        <v>2465</v>
      </c>
      <c r="AG69" s="81" t="s">
        <v>2256</v>
      </c>
      <c r="AH69" s="83">
        <v>20000</v>
      </c>
      <c r="AI69" s="85"/>
    </row>
    <row r="70" spans="1:35" s="79" customFormat="1" ht="11.25" customHeight="1" x14ac:dyDescent="0.2">
      <c r="A70" s="77" t="s">
        <v>975</v>
      </c>
      <c r="B70" s="80">
        <v>1122</v>
      </c>
      <c r="C70" s="81" t="s">
        <v>974</v>
      </c>
      <c r="D70" s="73">
        <v>1000</v>
      </c>
      <c r="E70" s="79" t="s">
        <v>28</v>
      </c>
      <c r="F70" s="79" t="s">
        <v>3725</v>
      </c>
      <c r="G70" s="79" t="s">
        <v>2996</v>
      </c>
      <c r="H70" s="79" t="s">
        <v>29</v>
      </c>
      <c r="I70" s="81"/>
      <c r="J70" s="81">
        <v>25</v>
      </c>
      <c r="K70" s="86"/>
      <c r="M70" s="78" t="s">
        <v>95</v>
      </c>
      <c r="N70" s="82"/>
      <c r="O70" s="81" t="s">
        <v>2466</v>
      </c>
      <c r="P70" s="81" t="s">
        <v>2256</v>
      </c>
      <c r="Q70" s="81"/>
      <c r="R70" s="83">
        <v>2000</v>
      </c>
      <c r="S70" s="79" t="s">
        <v>3017</v>
      </c>
      <c r="T70" s="84">
        <v>2000000</v>
      </c>
      <c r="U70" s="81"/>
      <c r="V70" s="81"/>
      <c r="W70" s="78" t="s">
        <v>95</v>
      </c>
      <c r="X70" s="82"/>
      <c r="Y70" s="81" t="s">
        <v>2466</v>
      </c>
      <c r="Z70" s="81" t="s">
        <v>2256</v>
      </c>
      <c r="AA70" s="83">
        <v>20000</v>
      </c>
      <c r="AB70" s="85"/>
      <c r="AD70" s="78" t="s">
        <v>95</v>
      </c>
      <c r="AE70" s="82"/>
      <c r="AF70" s="81" t="s">
        <v>2466</v>
      </c>
      <c r="AG70" s="81" t="s">
        <v>2256</v>
      </c>
      <c r="AH70" s="83">
        <v>20000</v>
      </c>
      <c r="AI70" s="85"/>
    </row>
    <row r="71" spans="1:35" s="79" customFormat="1" ht="11.25" customHeight="1" x14ac:dyDescent="0.2">
      <c r="A71" s="77" t="s">
        <v>1067</v>
      </c>
      <c r="B71" s="80">
        <v>481</v>
      </c>
      <c r="C71" s="81" t="s">
        <v>1066</v>
      </c>
      <c r="D71" s="73">
        <v>1000</v>
      </c>
      <c r="E71" s="79" t="s">
        <v>28</v>
      </c>
      <c r="F71" s="79" t="s">
        <v>3725</v>
      </c>
      <c r="G71" s="79" t="s">
        <v>2996</v>
      </c>
      <c r="H71" s="79" t="s">
        <v>29</v>
      </c>
      <c r="I71" s="81" t="s">
        <v>3000</v>
      </c>
      <c r="J71" s="81">
        <v>25</v>
      </c>
      <c r="K71" s="86"/>
      <c r="M71" s="78" t="s">
        <v>95</v>
      </c>
      <c r="N71" s="82"/>
      <c r="O71" s="81" t="s">
        <v>2488</v>
      </c>
      <c r="P71" s="81" t="s">
        <v>2256</v>
      </c>
      <c r="Q71" s="81"/>
      <c r="R71" s="83">
        <v>2000</v>
      </c>
      <c r="S71" s="79" t="s">
        <v>3017</v>
      </c>
      <c r="T71" s="84">
        <v>2000000</v>
      </c>
      <c r="U71" s="81"/>
      <c r="V71" s="81"/>
      <c r="W71" s="78" t="s">
        <v>95</v>
      </c>
      <c r="X71" s="82"/>
      <c r="Y71" s="81" t="s">
        <v>2488</v>
      </c>
      <c r="Z71" s="81" t="s">
        <v>2256</v>
      </c>
      <c r="AA71" s="83">
        <v>20000</v>
      </c>
      <c r="AB71" s="85"/>
      <c r="AD71" s="78" t="s">
        <v>95</v>
      </c>
      <c r="AE71" s="82"/>
      <c r="AF71" s="81" t="s">
        <v>2488</v>
      </c>
      <c r="AG71" s="81" t="s">
        <v>2256</v>
      </c>
      <c r="AH71" s="83">
        <v>20000</v>
      </c>
      <c r="AI71" s="85"/>
    </row>
    <row r="72" spans="1:35" s="79" customFormat="1" ht="11.25" customHeight="1" x14ac:dyDescent="0.2">
      <c r="A72" s="77" t="s">
        <v>1486</v>
      </c>
      <c r="B72" s="80">
        <v>376</v>
      </c>
      <c r="C72" s="81" t="s">
        <v>1485</v>
      </c>
      <c r="D72" s="73">
        <v>1000</v>
      </c>
      <c r="E72" s="79" t="s">
        <v>28</v>
      </c>
      <c r="F72" s="79" t="s">
        <v>129</v>
      </c>
      <c r="G72" s="79" t="s">
        <v>2995</v>
      </c>
      <c r="H72" s="79" t="s">
        <v>29</v>
      </c>
      <c r="I72" s="81"/>
      <c r="J72" s="81">
        <v>25</v>
      </c>
      <c r="K72" s="86"/>
      <c r="M72" s="78" t="s">
        <v>95</v>
      </c>
      <c r="N72" s="82"/>
      <c r="O72" s="81" t="s">
        <v>2600</v>
      </c>
      <c r="P72" s="81" t="s">
        <v>2256</v>
      </c>
      <c r="Q72" s="81"/>
      <c r="R72" s="83">
        <v>2000</v>
      </c>
      <c r="S72" s="79" t="s">
        <v>3017</v>
      </c>
      <c r="T72" s="84">
        <v>2000000</v>
      </c>
      <c r="U72" s="81"/>
      <c r="V72" s="81"/>
      <c r="W72" s="78" t="s">
        <v>95</v>
      </c>
      <c r="X72" s="82"/>
      <c r="Y72" s="81" t="s">
        <v>2600</v>
      </c>
      <c r="Z72" s="81" t="s">
        <v>2256</v>
      </c>
      <c r="AA72" s="83">
        <v>20000</v>
      </c>
      <c r="AB72" s="85"/>
      <c r="AD72" s="78" t="s">
        <v>95</v>
      </c>
      <c r="AE72" s="82"/>
      <c r="AF72" s="81" t="s">
        <v>2600</v>
      </c>
      <c r="AG72" s="81" t="s">
        <v>2256</v>
      </c>
      <c r="AH72" s="83">
        <v>20000</v>
      </c>
      <c r="AI72" s="85"/>
    </row>
    <row r="73" spans="1:35" s="79" customFormat="1" ht="11.25" customHeight="1" x14ac:dyDescent="0.2">
      <c r="A73" s="77" t="s">
        <v>178</v>
      </c>
      <c r="B73" s="80">
        <v>1065</v>
      </c>
      <c r="C73" s="81" t="s">
        <v>177</v>
      </c>
      <c r="D73" s="73">
        <v>1000</v>
      </c>
      <c r="E73" s="79" t="s">
        <v>28</v>
      </c>
      <c r="F73" s="79" t="s">
        <v>30</v>
      </c>
      <c r="G73" s="79" t="s">
        <v>3001</v>
      </c>
      <c r="H73" s="79" t="s">
        <v>29</v>
      </c>
      <c r="I73" s="81"/>
      <c r="J73" s="81">
        <v>25</v>
      </c>
      <c r="K73" s="86"/>
      <c r="M73" s="78" t="s">
        <v>177</v>
      </c>
      <c r="N73" s="82"/>
      <c r="O73" s="81" t="s">
        <v>2256</v>
      </c>
      <c r="P73" s="81" t="s">
        <v>2256</v>
      </c>
      <c r="Q73" s="81"/>
      <c r="R73" s="83">
        <v>3000</v>
      </c>
      <c r="S73" s="79" t="s">
        <v>2999</v>
      </c>
      <c r="T73" s="84">
        <v>3000000</v>
      </c>
      <c r="U73" s="81"/>
      <c r="V73" s="81"/>
      <c r="W73" s="78" t="s">
        <v>177</v>
      </c>
      <c r="X73" s="82"/>
      <c r="Y73" s="81" t="s">
        <v>2256</v>
      </c>
      <c r="Z73" s="81" t="s">
        <v>2256</v>
      </c>
      <c r="AA73" s="83">
        <v>10000</v>
      </c>
      <c r="AB73" s="85"/>
      <c r="AD73" s="78" t="s">
        <v>177</v>
      </c>
      <c r="AE73" s="82"/>
      <c r="AF73" s="81" t="s">
        <v>2256</v>
      </c>
      <c r="AG73" s="81" t="s">
        <v>2256</v>
      </c>
      <c r="AH73" s="83">
        <v>20000</v>
      </c>
      <c r="AI73" s="85"/>
    </row>
    <row r="74" spans="1:35" s="79" customFormat="1" ht="11.25" customHeight="1" x14ac:dyDescent="0.2">
      <c r="A74" s="77" t="s">
        <v>264</v>
      </c>
      <c r="B74" s="80">
        <v>1144</v>
      </c>
      <c r="C74" s="81" t="s">
        <v>263</v>
      </c>
      <c r="D74" s="73">
        <v>1000</v>
      </c>
      <c r="E74" s="79" t="s">
        <v>28</v>
      </c>
      <c r="F74" s="79" t="s">
        <v>3725</v>
      </c>
      <c r="G74" s="79" t="s">
        <v>2996</v>
      </c>
      <c r="H74" s="79" t="s">
        <v>29</v>
      </c>
      <c r="I74" s="81"/>
      <c r="J74" s="81">
        <v>25</v>
      </c>
      <c r="K74" s="86"/>
      <c r="M74" s="78" t="s">
        <v>263</v>
      </c>
      <c r="N74" s="82"/>
      <c r="O74" s="81" t="s">
        <v>2256</v>
      </c>
      <c r="P74" s="81" t="s">
        <v>2256</v>
      </c>
      <c r="Q74" s="81"/>
      <c r="R74" s="83">
        <v>2000</v>
      </c>
      <c r="S74" s="79" t="s">
        <v>2999</v>
      </c>
      <c r="T74" s="84">
        <v>2000000</v>
      </c>
      <c r="U74" s="81"/>
      <c r="V74" s="81"/>
      <c r="W74" s="78" t="s">
        <v>263</v>
      </c>
      <c r="X74" s="82"/>
      <c r="Y74" s="81" t="s">
        <v>2256</v>
      </c>
      <c r="Z74" s="81" t="s">
        <v>2256</v>
      </c>
      <c r="AA74" s="83">
        <v>5000</v>
      </c>
      <c r="AB74" s="85"/>
      <c r="AD74" s="78" t="s">
        <v>263</v>
      </c>
      <c r="AE74" s="82"/>
      <c r="AF74" s="81" t="s">
        <v>2256</v>
      </c>
      <c r="AG74" s="81" t="s">
        <v>2256</v>
      </c>
      <c r="AH74" s="83">
        <v>5000</v>
      </c>
      <c r="AI74" s="85"/>
    </row>
    <row r="75" spans="1:35" s="79" customFormat="1" ht="11.25" x14ac:dyDescent="0.2">
      <c r="A75" s="77" t="s">
        <v>266</v>
      </c>
      <c r="B75" s="80">
        <v>1145</v>
      </c>
      <c r="C75" s="81" t="s">
        <v>265</v>
      </c>
      <c r="D75" s="73">
        <v>1000</v>
      </c>
      <c r="E75" s="79" t="s">
        <v>28</v>
      </c>
      <c r="F75" s="79" t="s">
        <v>3725</v>
      </c>
      <c r="G75" s="79" t="s">
        <v>2996</v>
      </c>
      <c r="H75" s="79" t="s">
        <v>29</v>
      </c>
      <c r="I75" s="81"/>
      <c r="J75" s="81">
        <v>25</v>
      </c>
      <c r="K75" s="86"/>
      <c r="M75" s="78" t="s">
        <v>265</v>
      </c>
      <c r="N75" s="82"/>
      <c r="O75" s="81" t="s">
        <v>2256</v>
      </c>
      <c r="P75" s="81" t="s">
        <v>2256</v>
      </c>
      <c r="Q75" s="81"/>
      <c r="R75" s="83">
        <v>2000</v>
      </c>
      <c r="S75" s="79" t="s">
        <v>2999</v>
      </c>
      <c r="T75" s="84">
        <v>2000000</v>
      </c>
      <c r="U75" s="81"/>
      <c r="V75" s="81"/>
      <c r="W75" s="78" t="s">
        <v>265</v>
      </c>
      <c r="X75" s="82"/>
      <c r="Y75" s="81" t="s">
        <v>2256</v>
      </c>
      <c r="Z75" s="81" t="s">
        <v>2256</v>
      </c>
      <c r="AA75" s="83">
        <v>5000</v>
      </c>
      <c r="AB75" s="85"/>
      <c r="AD75" s="78" t="s">
        <v>265</v>
      </c>
      <c r="AE75" s="82"/>
      <c r="AF75" s="81" t="s">
        <v>2256</v>
      </c>
      <c r="AG75" s="81" t="s">
        <v>2256</v>
      </c>
      <c r="AH75" s="83">
        <v>5000</v>
      </c>
      <c r="AI75" s="85"/>
    </row>
    <row r="76" spans="1:35" s="79" customFormat="1" ht="11.25" customHeight="1" x14ac:dyDescent="0.2">
      <c r="A76" s="77" t="s">
        <v>268</v>
      </c>
      <c r="B76" s="80">
        <v>1146</v>
      </c>
      <c r="C76" s="81" t="s">
        <v>267</v>
      </c>
      <c r="D76" s="73">
        <v>1000</v>
      </c>
      <c r="E76" s="79" t="s">
        <v>28</v>
      </c>
      <c r="F76" s="79" t="s">
        <v>3725</v>
      </c>
      <c r="G76" s="79" t="s">
        <v>2996</v>
      </c>
      <c r="H76" s="79" t="s">
        <v>29</v>
      </c>
      <c r="I76" s="81"/>
      <c r="J76" s="81">
        <v>25</v>
      </c>
      <c r="K76" s="86"/>
      <c r="M76" s="78" t="s">
        <v>267</v>
      </c>
      <c r="N76" s="82"/>
      <c r="O76" s="81" t="s">
        <v>2256</v>
      </c>
      <c r="P76" s="81" t="s">
        <v>2256</v>
      </c>
      <c r="Q76" s="81"/>
      <c r="R76" s="83">
        <v>2000</v>
      </c>
      <c r="S76" s="79" t="s">
        <v>2999</v>
      </c>
      <c r="T76" s="84">
        <v>2000000</v>
      </c>
      <c r="U76" s="81"/>
      <c r="V76" s="81"/>
      <c r="W76" s="78" t="s">
        <v>267</v>
      </c>
      <c r="X76" s="82"/>
      <c r="Y76" s="81" t="s">
        <v>2256</v>
      </c>
      <c r="Z76" s="81" t="s">
        <v>2256</v>
      </c>
      <c r="AA76" s="83">
        <v>5000</v>
      </c>
      <c r="AB76" s="85"/>
      <c r="AD76" s="78" t="s">
        <v>267</v>
      </c>
      <c r="AE76" s="82"/>
      <c r="AF76" s="81" t="s">
        <v>2256</v>
      </c>
      <c r="AG76" s="81" t="s">
        <v>2256</v>
      </c>
      <c r="AH76" s="83">
        <v>5000</v>
      </c>
      <c r="AI76" s="85"/>
    </row>
    <row r="77" spans="1:35" s="79" customFormat="1" ht="11.25" x14ac:dyDescent="0.2">
      <c r="A77" s="77" t="s">
        <v>3385</v>
      </c>
      <c r="B77" s="80">
        <v>390</v>
      </c>
      <c r="C77" s="81" t="s">
        <v>3311</v>
      </c>
      <c r="D77" s="73">
        <v>1000</v>
      </c>
      <c r="E77" s="79" t="s">
        <v>28</v>
      </c>
      <c r="F77" s="79" t="s">
        <v>30</v>
      </c>
      <c r="G77" s="79" t="s">
        <v>2994</v>
      </c>
      <c r="H77" s="79" t="str">
        <f>VLOOKUP(M77,C:H,6,FALSE)</f>
        <v>Crude Oil</v>
      </c>
      <c r="I77" s="81"/>
      <c r="J77" s="81">
        <v>350</v>
      </c>
      <c r="K77" s="86"/>
      <c r="M77" s="78" t="s">
        <v>280</v>
      </c>
      <c r="N77" s="81" t="s">
        <v>280</v>
      </c>
      <c r="O77" s="81" t="s">
        <v>3316</v>
      </c>
      <c r="P77" s="81" t="s">
        <v>2256</v>
      </c>
      <c r="Q77" s="81"/>
      <c r="R77" s="83">
        <v>3000</v>
      </c>
      <c r="S77" s="79" t="s">
        <v>3161</v>
      </c>
      <c r="T77" s="84">
        <v>3000000</v>
      </c>
      <c r="U77" s="81"/>
      <c r="V77" s="81"/>
      <c r="W77" s="78" t="s">
        <v>280</v>
      </c>
      <c r="X77" s="81" t="s">
        <v>280</v>
      </c>
      <c r="Y77" s="81" t="s">
        <v>3316</v>
      </c>
      <c r="Z77" s="81" t="s">
        <v>2256</v>
      </c>
      <c r="AA77" s="83">
        <v>10000</v>
      </c>
      <c r="AB77" s="85"/>
      <c r="AD77" s="78" t="s">
        <v>280</v>
      </c>
      <c r="AE77" s="81" t="s">
        <v>280</v>
      </c>
      <c r="AF77" s="81" t="s">
        <v>3316</v>
      </c>
      <c r="AG77" s="81" t="s">
        <v>2256</v>
      </c>
      <c r="AH77" s="83">
        <v>20000</v>
      </c>
      <c r="AI77" s="85"/>
    </row>
    <row r="78" spans="1:35" s="79" customFormat="1" ht="11.25" customHeight="1" x14ac:dyDescent="0.2">
      <c r="A78" s="77" t="s">
        <v>3386</v>
      </c>
      <c r="B78" s="80">
        <v>390</v>
      </c>
      <c r="C78" s="81" t="s">
        <v>3312</v>
      </c>
      <c r="D78" s="73">
        <v>1000</v>
      </c>
      <c r="E78" s="79" t="s">
        <v>28</v>
      </c>
      <c r="F78" s="79" t="s">
        <v>30</v>
      </c>
      <c r="G78" s="79" t="s">
        <v>2994</v>
      </c>
      <c r="H78" s="79" t="str">
        <f>VLOOKUP(M78,C:H,6,FALSE)</f>
        <v>Crude Oil</v>
      </c>
      <c r="I78" s="81"/>
      <c r="J78" s="81">
        <v>350</v>
      </c>
      <c r="K78" s="86"/>
      <c r="M78" s="78" t="s">
        <v>280</v>
      </c>
      <c r="N78" s="81" t="s">
        <v>280</v>
      </c>
      <c r="O78" s="81" t="s">
        <v>3317</v>
      </c>
      <c r="P78" s="81" t="s">
        <v>2256</v>
      </c>
      <c r="Q78" s="81"/>
      <c r="R78" s="83">
        <v>3000</v>
      </c>
      <c r="S78" s="79" t="s">
        <v>3161</v>
      </c>
      <c r="T78" s="84">
        <v>3000000</v>
      </c>
      <c r="U78" s="81"/>
      <c r="V78" s="81"/>
      <c r="W78" s="78" t="s">
        <v>280</v>
      </c>
      <c r="X78" s="81" t="s">
        <v>280</v>
      </c>
      <c r="Y78" s="81" t="s">
        <v>3317</v>
      </c>
      <c r="Z78" s="81" t="s">
        <v>2256</v>
      </c>
      <c r="AA78" s="83">
        <v>10000</v>
      </c>
      <c r="AB78" s="85"/>
      <c r="AD78" s="78" t="s">
        <v>280</v>
      </c>
      <c r="AE78" s="81" t="s">
        <v>280</v>
      </c>
      <c r="AF78" s="81" t="s">
        <v>3317</v>
      </c>
      <c r="AG78" s="81" t="s">
        <v>2256</v>
      </c>
      <c r="AH78" s="83">
        <v>20000</v>
      </c>
      <c r="AI78" s="85"/>
    </row>
    <row r="79" spans="1:35" s="79" customFormat="1" ht="11.25" customHeight="1" x14ac:dyDescent="0.2">
      <c r="A79" s="77" t="s">
        <v>3387</v>
      </c>
      <c r="B79" s="80">
        <v>390</v>
      </c>
      <c r="C79" s="81" t="s">
        <v>3313</v>
      </c>
      <c r="D79" s="73">
        <v>1000</v>
      </c>
      <c r="E79" s="79" t="s">
        <v>28</v>
      </c>
      <c r="F79" s="79" t="s">
        <v>30</v>
      </c>
      <c r="G79" s="79" t="s">
        <v>2994</v>
      </c>
      <c r="H79" s="79" t="str">
        <f>VLOOKUP(M79,C:H,6,FALSE)</f>
        <v>Crude Oil</v>
      </c>
      <c r="I79" s="81"/>
      <c r="J79" s="81">
        <v>350</v>
      </c>
      <c r="K79" s="86"/>
      <c r="M79" s="78" t="s">
        <v>280</v>
      </c>
      <c r="N79" s="81" t="s">
        <v>280</v>
      </c>
      <c r="O79" s="81" t="s">
        <v>3318</v>
      </c>
      <c r="P79" s="81" t="s">
        <v>2256</v>
      </c>
      <c r="Q79" s="81"/>
      <c r="R79" s="83">
        <v>3000</v>
      </c>
      <c r="S79" s="79" t="s">
        <v>3161</v>
      </c>
      <c r="T79" s="84">
        <v>3000000</v>
      </c>
      <c r="U79" s="81"/>
      <c r="V79" s="81"/>
      <c r="W79" s="78" t="s">
        <v>280</v>
      </c>
      <c r="X79" s="81" t="s">
        <v>280</v>
      </c>
      <c r="Y79" s="81" t="s">
        <v>3318</v>
      </c>
      <c r="Z79" s="81" t="s">
        <v>2256</v>
      </c>
      <c r="AA79" s="83">
        <v>10000</v>
      </c>
      <c r="AB79" s="85"/>
      <c r="AD79" s="78" t="s">
        <v>280</v>
      </c>
      <c r="AE79" s="81" t="s">
        <v>280</v>
      </c>
      <c r="AF79" s="81" t="s">
        <v>3318</v>
      </c>
      <c r="AG79" s="81" t="s">
        <v>2256</v>
      </c>
      <c r="AH79" s="83">
        <v>20000</v>
      </c>
      <c r="AI79" s="85"/>
    </row>
    <row r="80" spans="1:35" s="79" customFormat="1" ht="11.25" customHeight="1" x14ac:dyDescent="0.2">
      <c r="A80" s="77" t="s">
        <v>3388</v>
      </c>
      <c r="B80" s="80">
        <v>390</v>
      </c>
      <c r="C80" s="81" t="s">
        <v>3314</v>
      </c>
      <c r="D80" s="73">
        <v>1000</v>
      </c>
      <c r="E80" s="79" t="s">
        <v>28</v>
      </c>
      <c r="F80" s="79" t="s">
        <v>30</v>
      </c>
      <c r="G80" s="79" t="s">
        <v>2994</v>
      </c>
      <c r="H80" s="79" t="str">
        <f>VLOOKUP(M80,C:H,6,FALSE)</f>
        <v>Crude Oil</v>
      </c>
      <c r="I80" s="81"/>
      <c r="J80" s="81">
        <v>350</v>
      </c>
      <c r="K80" s="86"/>
      <c r="M80" s="78" t="s">
        <v>280</v>
      </c>
      <c r="N80" s="81" t="s">
        <v>280</v>
      </c>
      <c r="O80" s="81" t="s">
        <v>3319</v>
      </c>
      <c r="P80" s="81" t="s">
        <v>2256</v>
      </c>
      <c r="Q80" s="81"/>
      <c r="R80" s="83">
        <v>3000</v>
      </c>
      <c r="S80" s="79" t="s">
        <v>3161</v>
      </c>
      <c r="T80" s="84">
        <v>3000000</v>
      </c>
      <c r="U80" s="81"/>
      <c r="V80" s="81"/>
      <c r="W80" s="78" t="s">
        <v>280</v>
      </c>
      <c r="X80" s="81" t="s">
        <v>280</v>
      </c>
      <c r="Y80" s="81" t="s">
        <v>3319</v>
      </c>
      <c r="Z80" s="81" t="s">
        <v>2256</v>
      </c>
      <c r="AA80" s="83">
        <v>10000</v>
      </c>
      <c r="AB80" s="85"/>
      <c r="AD80" s="78" t="s">
        <v>280</v>
      </c>
      <c r="AE80" s="81" t="s">
        <v>280</v>
      </c>
      <c r="AF80" s="81" t="s">
        <v>3319</v>
      </c>
      <c r="AG80" s="81" t="s">
        <v>2256</v>
      </c>
      <c r="AH80" s="83">
        <v>20000</v>
      </c>
      <c r="AI80" s="85"/>
    </row>
    <row r="81" spans="1:35" s="79" customFormat="1" ht="11.25" customHeight="1" x14ac:dyDescent="0.2">
      <c r="A81" s="77" t="s">
        <v>3389</v>
      </c>
      <c r="B81" s="80">
        <v>390</v>
      </c>
      <c r="C81" s="81" t="s">
        <v>3315</v>
      </c>
      <c r="D81" s="73">
        <v>1000</v>
      </c>
      <c r="E81" s="79" t="s">
        <v>28</v>
      </c>
      <c r="F81" s="79" t="s">
        <v>30</v>
      </c>
      <c r="G81" s="79" t="s">
        <v>2994</v>
      </c>
      <c r="H81" s="79" t="str">
        <f>VLOOKUP(M81,C:H,6,FALSE)</f>
        <v>Crude Oil</v>
      </c>
      <c r="I81" s="81"/>
      <c r="J81" s="81">
        <v>350</v>
      </c>
      <c r="K81" s="86"/>
      <c r="M81" s="78" t="s">
        <v>280</v>
      </c>
      <c r="N81" s="81" t="s">
        <v>280</v>
      </c>
      <c r="O81" s="81" t="s">
        <v>3320</v>
      </c>
      <c r="P81" s="81" t="s">
        <v>2256</v>
      </c>
      <c r="Q81" s="81"/>
      <c r="R81" s="83">
        <v>3000</v>
      </c>
      <c r="S81" s="79" t="s">
        <v>3161</v>
      </c>
      <c r="T81" s="84">
        <v>3000000</v>
      </c>
      <c r="U81" s="81"/>
      <c r="V81" s="81"/>
      <c r="W81" s="78" t="s">
        <v>280</v>
      </c>
      <c r="X81" s="81" t="s">
        <v>280</v>
      </c>
      <c r="Y81" s="81" t="s">
        <v>3320</v>
      </c>
      <c r="Z81" s="81" t="s">
        <v>2256</v>
      </c>
      <c r="AA81" s="83">
        <v>10000</v>
      </c>
      <c r="AB81" s="85"/>
      <c r="AD81" s="78" t="s">
        <v>280</v>
      </c>
      <c r="AE81" s="81" t="s">
        <v>280</v>
      </c>
      <c r="AF81" s="81" t="s">
        <v>3320</v>
      </c>
      <c r="AG81" s="81" t="s">
        <v>2256</v>
      </c>
      <c r="AH81" s="83">
        <v>20000</v>
      </c>
      <c r="AI81" s="85"/>
    </row>
    <row r="82" spans="1:35" s="79" customFormat="1" ht="11.25" customHeight="1" x14ac:dyDescent="0.2">
      <c r="A82" s="77" t="s">
        <v>291</v>
      </c>
      <c r="B82" s="80">
        <v>200</v>
      </c>
      <c r="C82" s="81" t="s">
        <v>280</v>
      </c>
      <c r="D82" s="73">
        <v>1000</v>
      </c>
      <c r="E82" s="79" t="s">
        <v>28</v>
      </c>
      <c r="F82" s="79" t="s">
        <v>3725</v>
      </c>
      <c r="G82" s="79" t="s">
        <v>2997</v>
      </c>
      <c r="H82" s="79" t="s">
        <v>29</v>
      </c>
      <c r="I82" s="81"/>
      <c r="J82" s="81">
        <v>350</v>
      </c>
      <c r="K82" s="86"/>
      <c r="M82" s="78" t="s">
        <v>280</v>
      </c>
      <c r="N82" s="82"/>
      <c r="O82" s="81" t="s">
        <v>2256</v>
      </c>
      <c r="P82" s="81" t="s">
        <v>2256</v>
      </c>
      <c r="Q82" s="81"/>
      <c r="R82" s="83">
        <v>3000</v>
      </c>
      <c r="S82" s="79" t="s">
        <v>2999</v>
      </c>
      <c r="T82" s="84">
        <v>3000000</v>
      </c>
      <c r="U82" s="81"/>
      <c r="V82" s="81"/>
      <c r="W82" s="78" t="s">
        <v>280</v>
      </c>
      <c r="X82" s="82"/>
      <c r="Y82" s="81" t="s">
        <v>2256</v>
      </c>
      <c r="Z82" s="81" t="s">
        <v>2256</v>
      </c>
      <c r="AA82" s="83">
        <v>10000</v>
      </c>
      <c r="AB82" s="85"/>
      <c r="AD82" s="78" t="s">
        <v>280</v>
      </c>
      <c r="AE82" s="82"/>
      <c r="AF82" s="81" t="s">
        <v>2256</v>
      </c>
      <c r="AG82" s="81" t="s">
        <v>2256</v>
      </c>
      <c r="AH82" s="83">
        <v>20000</v>
      </c>
      <c r="AI82" s="85"/>
    </row>
    <row r="83" spans="1:35" s="79" customFormat="1" ht="11.25" customHeight="1" x14ac:dyDescent="0.2">
      <c r="A83" s="77" t="s">
        <v>1206</v>
      </c>
      <c r="B83" s="80">
        <v>310</v>
      </c>
      <c r="C83" s="81" t="s">
        <v>1205</v>
      </c>
      <c r="D83" s="73">
        <v>1000</v>
      </c>
      <c r="E83" s="79" t="s">
        <v>28</v>
      </c>
      <c r="F83" s="79" t="s">
        <v>129</v>
      </c>
      <c r="G83" s="79" t="s">
        <v>2994</v>
      </c>
      <c r="H83" s="79" t="s">
        <v>29</v>
      </c>
      <c r="I83" s="81"/>
      <c r="J83" s="81">
        <v>350</v>
      </c>
      <c r="K83" s="86"/>
      <c r="M83" s="78" t="s">
        <v>280</v>
      </c>
      <c r="N83" s="82"/>
      <c r="O83" s="81" t="s">
        <v>2520</v>
      </c>
      <c r="P83" s="81" t="s">
        <v>2256</v>
      </c>
      <c r="Q83" s="81"/>
      <c r="R83" s="83">
        <v>3000</v>
      </c>
      <c r="S83" s="79" t="s">
        <v>3161</v>
      </c>
      <c r="T83" s="84">
        <v>3000000</v>
      </c>
      <c r="U83" s="81"/>
      <c r="V83" s="81"/>
      <c r="W83" s="78" t="s">
        <v>280</v>
      </c>
      <c r="X83" s="82"/>
      <c r="Y83" s="81" t="s">
        <v>2520</v>
      </c>
      <c r="Z83" s="81" t="s">
        <v>2256</v>
      </c>
      <c r="AA83" s="83">
        <v>10000</v>
      </c>
      <c r="AB83" s="85"/>
      <c r="AD83" s="78" t="s">
        <v>280</v>
      </c>
      <c r="AE83" s="82"/>
      <c r="AF83" s="81" t="s">
        <v>2520</v>
      </c>
      <c r="AG83" s="81" t="s">
        <v>2256</v>
      </c>
      <c r="AH83" s="83">
        <v>20000</v>
      </c>
      <c r="AI83" s="85"/>
    </row>
    <row r="84" spans="1:35" s="79" customFormat="1" ht="11.25" customHeight="1" x14ac:dyDescent="0.2">
      <c r="A84" s="77" t="s">
        <v>325</v>
      </c>
      <c r="B84" s="80">
        <v>1112</v>
      </c>
      <c r="C84" s="81" t="s">
        <v>324</v>
      </c>
      <c r="D84" s="73">
        <v>1000</v>
      </c>
      <c r="E84" s="79" t="s">
        <v>28</v>
      </c>
      <c r="F84" s="79" t="s">
        <v>3725</v>
      </c>
      <c r="G84" s="79" t="s">
        <v>2996</v>
      </c>
      <c r="H84" s="79" t="s">
        <v>29</v>
      </c>
      <c r="I84" s="81" t="s">
        <v>3000</v>
      </c>
      <c r="J84" s="81">
        <v>25</v>
      </c>
      <c r="K84" s="86"/>
      <c r="M84" s="78" t="s">
        <v>324</v>
      </c>
      <c r="N84" s="82"/>
      <c r="O84" s="81" t="s">
        <v>2256</v>
      </c>
      <c r="P84" s="81" t="s">
        <v>2256</v>
      </c>
      <c r="Q84" s="81"/>
      <c r="R84" s="83">
        <v>1000</v>
      </c>
      <c r="S84" s="79" t="s">
        <v>2999</v>
      </c>
      <c r="T84" s="84">
        <v>1000000</v>
      </c>
      <c r="U84" s="81"/>
      <c r="V84" s="81"/>
      <c r="W84" s="78" t="s">
        <v>324</v>
      </c>
      <c r="X84" s="82"/>
      <c r="Y84" s="81" t="s">
        <v>2256</v>
      </c>
      <c r="Z84" s="81" t="s">
        <v>2256</v>
      </c>
      <c r="AA84" s="83">
        <v>10000</v>
      </c>
      <c r="AB84" s="85"/>
      <c r="AD84" s="78" t="s">
        <v>324</v>
      </c>
      <c r="AE84" s="82"/>
      <c r="AF84" s="81" t="s">
        <v>2256</v>
      </c>
      <c r="AG84" s="81" t="s">
        <v>2256</v>
      </c>
      <c r="AH84" s="83">
        <v>20000</v>
      </c>
      <c r="AI84" s="85"/>
    </row>
    <row r="85" spans="1:35" s="79" customFormat="1" ht="11.25" customHeight="1" x14ac:dyDescent="0.2">
      <c r="A85" s="77" t="s">
        <v>334</v>
      </c>
      <c r="B85" s="80">
        <v>982</v>
      </c>
      <c r="C85" s="81" t="s">
        <v>333</v>
      </c>
      <c r="D85" s="73">
        <v>500</v>
      </c>
      <c r="E85" s="79" t="s">
        <v>335</v>
      </c>
      <c r="F85" s="79" t="s">
        <v>3725</v>
      </c>
      <c r="G85" s="79" t="s">
        <v>2996</v>
      </c>
      <c r="H85" s="79" t="s">
        <v>29</v>
      </c>
      <c r="I85" s="81"/>
      <c r="J85" s="81">
        <v>25</v>
      </c>
      <c r="K85" s="86"/>
      <c r="M85" s="78" t="s">
        <v>333</v>
      </c>
      <c r="N85" s="82"/>
      <c r="O85" s="81" t="s">
        <v>2256</v>
      </c>
      <c r="P85" s="81" t="s">
        <v>2256</v>
      </c>
      <c r="Q85" s="81"/>
      <c r="R85" s="83">
        <v>6000</v>
      </c>
      <c r="S85" s="79" t="s">
        <v>2999</v>
      </c>
      <c r="T85" s="84">
        <v>3000000</v>
      </c>
      <c r="U85" s="81"/>
      <c r="V85" s="81"/>
      <c r="W85" s="78" t="s">
        <v>333</v>
      </c>
      <c r="X85" s="82"/>
      <c r="Y85" s="81" t="s">
        <v>2256</v>
      </c>
      <c r="Z85" s="81" t="s">
        <v>2256</v>
      </c>
      <c r="AA85" s="83">
        <v>20000</v>
      </c>
      <c r="AB85" s="85"/>
      <c r="AD85" s="78" t="s">
        <v>333</v>
      </c>
      <c r="AE85" s="82"/>
      <c r="AF85" s="81" t="s">
        <v>2256</v>
      </c>
      <c r="AG85" s="81" t="s">
        <v>2256</v>
      </c>
      <c r="AH85" s="83">
        <v>80000</v>
      </c>
      <c r="AI85" s="85"/>
    </row>
    <row r="86" spans="1:35" s="79" customFormat="1" ht="11.25" customHeight="1" x14ac:dyDescent="0.2">
      <c r="A86" s="77" t="s">
        <v>337</v>
      </c>
      <c r="B86" s="80">
        <v>983</v>
      </c>
      <c r="C86" s="81" t="s">
        <v>336</v>
      </c>
      <c r="D86" s="73">
        <v>500</v>
      </c>
      <c r="E86" s="79" t="s">
        <v>335</v>
      </c>
      <c r="F86" s="79" t="s">
        <v>30</v>
      </c>
      <c r="G86" s="79" t="s">
        <v>3001</v>
      </c>
      <c r="H86" s="79" t="s">
        <v>29</v>
      </c>
      <c r="I86" s="81"/>
      <c r="J86" s="81">
        <v>25</v>
      </c>
      <c r="K86" s="86"/>
      <c r="M86" s="78" t="s">
        <v>333</v>
      </c>
      <c r="N86" s="82"/>
      <c r="O86" s="81" t="s">
        <v>2312</v>
      </c>
      <c r="P86" s="81" t="s">
        <v>2256</v>
      </c>
      <c r="Q86" s="81"/>
      <c r="R86" s="83">
        <v>6000</v>
      </c>
      <c r="S86" s="79" t="s">
        <v>3041</v>
      </c>
      <c r="T86" s="84">
        <v>3000000</v>
      </c>
      <c r="U86" s="81"/>
      <c r="V86" s="81"/>
      <c r="W86" s="78" t="s">
        <v>333</v>
      </c>
      <c r="X86" s="82"/>
      <c r="Y86" s="81" t="s">
        <v>2312</v>
      </c>
      <c r="Z86" s="81" t="s">
        <v>2256</v>
      </c>
      <c r="AA86" s="83">
        <v>20000</v>
      </c>
      <c r="AB86" s="85"/>
      <c r="AD86" s="78" t="s">
        <v>333</v>
      </c>
      <c r="AE86" s="82"/>
      <c r="AF86" s="81" t="s">
        <v>2312</v>
      </c>
      <c r="AG86" s="81" t="s">
        <v>2256</v>
      </c>
      <c r="AH86" s="83">
        <v>80000</v>
      </c>
      <c r="AI86" s="85"/>
    </row>
    <row r="87" spans="1:35" s="79" customFormat="1" ht="11.25" customHeight="1" x14ac:dyDescent="0.2">
      <c r="A87" s="77" t="s">
        <v>105</v>
      </c>
      <c r="B87" s="80">
        <v>516</v>
      </c>
      <c r="C87" s="81" t="s">
        <v>104</v>
      </c>
      <c r="D87" s="73">
        <v>1000</v>
      </c>
      <c r="E87" s="79" t="s">
        <v>28</v>
      </c>
      <c r="F87" s="79" t="s">
        <v>30</v>
      </c>
      <c r="G87" s="79" t="s">
        <v>3001</v>
      </c>
      <c r="H87" s="79" t="s">
        <v>29</v>
      </c>
      <c r="I87" s="81" t="s">
        <v>3000</v>
      </c>
      <c r="J87" s="81">
        <v>25</v>
      </c>
      <c r="K87" s="86"/>
      <c r="M87" s="78" t="s">
        <v>106</v>
      </c>
      <c r="N87" s="82"/>
      <c r="O87" s="81" t="s">
        <v>2264</v>
      </c>
      <c r="P87" s="81" t="s">
        <v>2256</v>
      </c>
      <c r="Q87" s="81"/>
      <c r="R87" s="83">
        <v>5000</v>
      </c>
      <c r="S87" s="79" t="s">
        <v>3016</v>
      </c>
      <c r="T87" s="84">
        <v>5000000</v>
      </c>
      <c r="U87" s="81"/>
      <c r="V87" s="81"/>
      <c r="W87" s="78" t="s">
        <v>106</v>
      </c>
      <c r="X87" s="82"/>
      <c r="Y87" s="81" t="s">
        <v>2264</v>
      </c>
      <c r="Z87" s="81" t="s">
        <v>2256</v>
      </c>
      <c r="AA87" s="83">
        <v>10000</v>
      </c>
      <c r="AB87" s="85"/>
      <c r="AD87" s="78" t="s">
        <v>106</v>
      </c>
      <c r="AE87" s="82"/>
      <c r="AF87" s="81" t="s">
        <v>2264</v>
      </c>
      <c r="AG87" s="81" t="s">
        <v>2256</v>
      </c>
      <c r="AH87" s="83">
        <v>10000</v>
      </c>
      <c r="AI87" s="85"/>
    </row>
    <row r="88" spans="1:35" s="79" customFormat="1" ht="11.25" customHeight="1" x14ac:dyDescent="0.2">
      <c r="A88" s="77" t="s">
        <v>143</v>
      </c>
      <c r="B88" s="80">
        <v>498</v>
      </c>
      <c r="C88" s="81" t="s">
        <v>142</v>
      </c>
      <c r="D88" s="73">
        <v>1000</v>
      </c>
      <c r="E88" s="79" t="s">
        <v>28</v>
      </c>
      <c r="F88" s="79" t="s">
        <v>3725</v>
      </c>
      <c r="G88" s="79" t="s">
        <v>2996</v>
      </c>
      <c r="H88" s="79" t="s">
        <v>29</v>
      </c>
      <c r="I88" s="81" t="s">
        <v>3000</v>
      </c>
      <c r="J88" s="81">
        <v>25</v>
      </c>
      <c r="K88" s="86"/>
      <c r="M88" s="78" t="s">
        <v>106</v>
      </c>
      <c r="N88" s="82"/>
      <c r="O88" s="81" t="s">
        <v>2273</v>
      </c>
      <c r="P88" s="81" t="s">
        <v>2256</v>
      </c>
      <c r="Q88" s="81"/>
      <c r="R88" s="83">
        <v>5000</v>
      </c>
      <c r="S88" s="79" t="s">
        <v>3016</v>
      </c>
      <c r="T88" s="84">
        <v>5000000</v>
      </c>
      <c r="U88" s="81"/>
      <c r="V88" s="81"/>
      <c r="W88" s="78" t="s">
        <v>106</v>
      </c>
      <c r="X88" s="82"/>
      <c r="Y88" s="81" t="s">
        <v>2273</v>
      </c>
      <c r="Z88" s="81" t="s">
        <v>2256</v>
      </c>
      <c r="AA88" s="83">
        <v>10000</v>
      </c>
      <c r="AB88" s="85"/>
      <c r="AD88" s="78" t="s">
        <v>106</v>
      </c>
      <c r="AE88" s="82"/>
      <c r="AF88" s="81" t="s">
        <v>2273</v>
      </c>
      <c r="AG88" s="81" t="s">
        <v>2256</v>
      </c>
      <c r="AH88" s="83">
        <v>10000</v>
      </c>
      <c r="AI88" s="85"/>
    </row>
    <row r="89" spans="1:35" s="79" customFormat="1" ht="11.25" customHeight="1" x14ac:dyDescent="0.2">
      <c r="A89" s="77" t="s">
        <v>380</v>
      </c>
      <c r="B89" s="80">
        <v>511</v>
      </c>
      <c r="C89" s="81" t="s">
        <v>106</v>
      </c>
      <c r="D89" s="73">
        <v>1000</v>
      </c>
      <c r="E89" s="79" t="s">
        <v>28</v>
      </c>
      <c r="F89" s="79" t="s">
        <v>3725</v>
      </c>
      <c r="G89" s="79" t="s">
        <v>2996</v>
      </c>
      <c r="H89" s="79" t="s">
        <v>29</v>
      </c>
      <c r="I89" s="81" t="s">
        <v>3000</v>
      </c>
      <c r="J89" s="81">
        <v>25</v>
      </c>
      <c r="K89" s="86"/>
      <c r="M89" s="78" t="s">
        <v>106</v>
      </c>
      <c r="N89" s="82"/>
      <c r="O89" s="81" t="s">
        <v>2256</v>
      </c>
      <c r="P89" s="81" t="s">
        <v>2256</v>
      </c>
      <c r="Q89" s="81"/>
      <c r="R89" s="83">
        <v>5000</v>
      </c>
      <c r="S89" s="79" t="s">
        <v>2999</v>
      </c>
      <c r="T89" s="84">
        <v>5000000</v>
      </c>
      <c r="U89" s="81"/>
      <c r="V89" s="81"/>
      <c r="W89" s="78" t="s">
        <v>106</v>
      </c>
      <c r="X89" s="82"/>
      <c r="Y89" s="81" t="s">
        <v>2256</v>
      </c>
      <c r="Z89" s="81" t="s">
        <v>2256</v>
      </c>
      <c r="AA89" s="83">
        <v>10000</v>
      </c>
      <c r="AB89" s="85"/>
      <c r="AD89" s="78" t="s">
        <v>106</v>
      </c>
      <c r="AE89" s="82"/>
      <c r="AF89" s="81" t="s">
        <v>2256</v>
      </c>
      <c r="AG89" s="81" t="s">
        <v>2256</v>
      </c>
      <c r="AH89" s="83">
        <v>10000</v>
      </c>
      <c r="AI89" s="85"/>
    </row>
    <row r="90" spans="1:35" s="79" customFormat="1" ht="11.25" customHeight="1" x14ac:dyDescent="0.2">
      <c r="A90" s="77" t="s">
        <v>3764</v>
      </c>
      <c r="B90" s="80">
        <v>340</v>
      </c>
      <c r="C90" s="81" t="s">
        <v>625</v>
      </c>
      <c r="D90" s="73">
        <v>1000</v>
      </c>
      <c r="E90" s="79" t="s">
        <v>28</v>
      </c>
      <c r="F90" s="79" t="s">
        <v>3725</v>
      </c>
      <c r="G90" s="79" t="s">
        <v>2996</v>
      </c>
      <c r="H90" s="79" t="s">
        <v>29</v>
      </c>
      <c r="I90" s="81" t="s">
        <v>3000</v>
      </c>
      <c r="J90" s="81">
        <v>25</v>
      </c>
      <c r="K90" s="86"/>
      <c r="M90" s="78" t="s">
        <v>160</v>
      </c>
      <c r="N90" s="82" t="s">
        <v>106</v>
      </c>
      <c r="O90" s="81" t="s">
        <v>2381</v>
      </c>
      <c r="P90" s="81" t="s">
        <v>2814</v>
      </c>
      <c r="Q90" s="81"/>
      <c r="R90" s="83" t="s">
        <v>3453</v>
      </c>
      <c r="S90" s="79" t="s">
        <v>3081</v>
      </c>
      <c r="T90" s="84" t="s">
        <v>3582</v>
      </c>
      <c r="U90" s="81"/>
      <c r="V90" s="81"/>
      <c r="W90" s="78" t="s">
        <v>160</v>
      </c>
      <c r="X90" s="82" t="s">
        <v>106</v>
      </c>
      <c r="Y90" s="81" t="s">
        <v>2381</v>
      </c>
      <c r="Z90" s="81" t="s">
        <v>2814</v>
      </c>
      <c r="AA90" s="81" t="s">
        <v>373</v>
      </c>
      <c r="AB90" s="85"/>
      <c r="AD90" s="78" t="s">
        <v>160</v>
      </c>
      <c r="AE90" s="82" t="s">
        <v>106</v>
      </c>
      <c r="AF90" s="81" t="s">
        <v>2381</v>
      </c>
      <c r="AG90" s="81" t="s">
        <v>2814</v>
      </c>
      <c r="AH90" s="81" t="s">
        <v>373</v>
      </c>
      <c r="AI90" s="85"/>
    </row>
    <row r="91" spans="1:35" s="79" customFormat="1" ht="11.25" customHeight="1" x14ac:dyDescent="0.2">
      <c r="A91" s="77" t="s">
        <v>614</v>
      </c>
      <c r="B91" s="80">
        <v>131</v>
      </c>
      <c r="C91" s="81" t="s">
        <v>613</v>
      </c>
      <c r="D91" s="73">
        <v>1000</v>
      </c>
      <c r="E91" s="79" t="s">
        <v>28</v>
      </c>
      <c r="F91" s="79" t="s">
        <v>30</v>
      </c>
      <c r="G91" s="79" t="s">
        <v>3001</v>
      </c>
      <c r="H91" s="79" t="s">
        <v>29</v>
      </c>
      <c r="I91" s="81" t="s">
        <v>3000</v>
      </c>
      <c r="J91" s="81">
        <v>25</v>
      </c>
      <c r="K91" s="86"/>
      <c r="M91" s="78" t="s">
        <v>160</v>
      </c>
      <c r="N91" s="82"/>
      <c r="O91" s="81" t="s">
        <v>2376</v>
      </c>
      <c r="P91" s="81" t="s">
        <v>2256</v>
      </c>
      <c r="Q91" s="81"/>
      <c r="R91" s="83">
        <v>4000</v>
      </c>
      <c r="S91" s="79" t="s">
        <v>3077</v>
      </c>
      <c r="T91" s="84">
        <v>4000000</v>
      </c>
      <c r="U91" s="81"/>
      <c r="V91" s="81"/>
      <c r="W91" s="78" t="s">
        <v>160</v>
      </c>
      <c r="X91" s="82"/>
      <c r="Y91" s="81" t="s">
        <v>2376</v>
      </c>
      <c r="Z91" s="81" t="s">
        <v>2256</v>
      </c>
      <c r="AA91" s="83">
        <v>20000</v>
      </c>
      <c r="AB91" s="85"/>
      <c r="AD91" s="78" t="s">
        <v>160</v>
      </c>
      <c r="AE91" s="82"/>
      <c r="AF91" s="81" t="s">
        <v>2376</v>
      </c>
      <c r="AG91" s="81" t="s">
        <v>2256</v>
      </c>
      <c r="AH91" s="83">
        <v>20000</v>
      </c>
      <c r="AI91" s="85"/>
    </row>
    <row r="92" spans="1:35" s="79" customFormat="1" ht="11.25" customHeight="1" x14ac:dyDescent="0.2">
      <c r="A92" s="77" t="s">
        <v>3760</v>
      </c>
      <c r="B92" s="80">
        <v>125</v>
      </c>
      <c r="C92" s="81" t="s">
        <v>615</v>
      </c>
      <c r="D92" s="73">
        <v>1000</v>
      </c>
      <c r="E92" s="79" t="s">
        <v>28</v>
      </c>
      <c r="F92" s="79" t="s">
        <v>3725</v>
      </c>
      <c r="G92" s="79" t="s">
        <v>2996</v>
      </c>
      <c r="H92" s="79" t="s">
        <v>29</v>
      </c>
      <c r="I92" s="81" t="s">
        <v>3000</v>
      </c>
      <c r="J92" s="81">
        <v>25</v>
      </c>
      <c r="K92" s="86"/>
      <c r="M92" s="78" t="s">
        <v>160</v>
      </c>
      <c r="N92" s="82"/>
      <c r="O92" s="81" t="s">
        <v>2377</v>
      </c>
      <c r="P92" s="81" t="s">
        <v>2256</v>
      </c>
      <c r="Q92" s="81"/>
      <c r="R92" s="83">
        <v>4000</v>
      </c>
      <c r="S92" s="79" t="s">
        <v>3077</v>
      </c>
      <c r="T92" s="84">
        <v>4000000</v>
      </c>
      <c r="U92" s="81"/>
      <c r="V92" s="81"/>
      <c r="W92" s="78" t="s">
        <v>160</v>
      </c>
      <c r="X92" s="82"/>
      <c r="Y92" s="81" t="s">
        <v>2377</v>
      </c>
      <c r="Z92" s="81" t="s">
        <v>2256</v>
      </c>
      <c r="AA92" s="83">
        <v>20000</v>
      </c>
      <c r="AB92" s="85"/>
      <c r="AD92" s="78" t="s">
        <v>160</v>
      </c>
      <c r="AE92" s="82"/>
      <c r="AF92" s="81" t="s">
        <v>2377</v>
      </c>
      <c r="AG92" s="81" t="s">
        <v>2256</v>
      </c>
      <c r="AH92" s="83">
        <v>20000</v>
      </c>
      <c r="AI92" s="85"/>
    </row>
    <row r="93" spans="1:35" s="79" customFormat="1" ht="11.25" customHeight="1" x14ac:dyDescent="0.2">
      <c r="A93" s="77" t="s">
        <v>3759</v>
      </c>
      <c r="B93" s="80">
        <v>124</v>
      </c>
      <c r="C93" s="81" t="s">
        <v>160</v>
      </c>
      <c r="D93" s="73">
        <v>1000</v>
      </c>
      <c r="E93" s="79" t="s">
        <v>28</v>
      </c>
      <c r="F93" s="79" t="s">
        <v>3725</v>
      </c>
      <c r="G93" s="79" t="s">
        <v>2996</v>
      </c>
      <c r="H93" s="79" t="s">
        <v>29</v>
      </c>
      <c r="I93" s="81" t="s">
        <v>3000</v>
      </c>
      <c r="J93" s="81">
        <v>25</v>
      </c>
      <c r="K93" s="86"/>
      <c r="M93" s="78" t="s">
        <v>160</v>
      </c>
      <c r="N93" s="82"/>
      <c r="O93" s="81" t="s">
        <v>2256</v>
      </c>
      <c r="P93" s="81" t="s">
        <v>2256</v>
      </c>
      <c r="Q93" s="81"/>
      <c r="R93" s="83">
        <v>4000</v>
      </c>
      <c r="S93" s="79" t="s">
        <v>2999</v>
      </c>
      <c r="T93" s="84">
        <v>4000000</v>
      </c>
      <c r="U93" s="81"/>
      <c r="V93" s="81"/>
      <c r="W93" s="78" t="s">
        <v>160</v>
      </c>
      <c r="X93" s="82"/>
      <c r="Y93" s="81" t="s">
        <v>2256</v>
      </c>
      <c r="Z93" s="81" t="s">
        <v>2256</v>
      </c>
      <c r="AA93" s="83">
        <v>20000</v>
      </c>
      <c r="AB93" s="85"/>
      <c r="AD93" s="78" t="s">
        <v>160</v>
      </c>
      <c r="AE93" s="82"/>
      <c r="AF93" s="81" t="s">
        <v>2256</v>
      </c>
      <c r="AG93" s="81" t="s">
        <v>2256</v>
      </c>
      <c r="AH93" s="83">
        <v>20000</v>
      </c>
      <c r="AI93" s="85"/>
    </row>
    <row r="94" spans="1:35" s="79" customFormat="1" ht="11.25" customHeight="1" x14ac:dyDescent="0.2">
      <c r="A94" s="77" t="s">
        <v>1243</v>
      </c>
      <c r="B94" s="80">
        <v>506</v>
      </c>
      <c r="C94" s="81" t="s">
        <v>1242</v>
      </c>
      <c r="D94" s="73">
        <v>1000</v>
      </c>
      <c r="E94" s="79" t="s">
        <v>28</v>
      </c>
      <c r="F94" s="79" t="s">
        <v>3725</v>
      </c>
      <c r="G94" s="79" t="s">
        <v>2997</v>
      </c>
      <c r="H94" s="79" t="s">
        <v>29</v>
      </c>
      <c r="I94" s="81"/>
      <c r="J94" s="81">
        <v>25</v>
      </c>
      <c r="K94" s="86"/>
      <c r="M94" s="78" t="s">
        <v>1242</v>
      </c>
      <c r="N94" s="82"/>
      <c r="O94" s="81" t="s">
        <v>2256</v>
      </c>
      <c r="P94" s="81" t="s">
        <v>2256</v>
      </c>
      <c r="Q94" s="81"/>
      <c r="R94" s="83">
        <v>1600</v>
      </c>
      <c r="S94" s="79" t="s">
        <v>2999</v>
      </c>
      <c r="T94" s="84">
        <v>1600000</v>
      </c>
      <c r="U94" s="81"/>
      <c r="V94" s="81"/>
      <c r="W94" s="78" t="s">
        <v>1242</v>
      </c>
      <c r="X94" s="82"/>
      <c r="Y94" s="81" t="s">
        <v>2256</v>
      </c>
      <c r="Z94" s="81" t="s">
        <v>2256</v>
      </c>
      <c r="AA94" s="83">
        <v>20000</v>
      </c>
      <c r="AB94" s="85"/>
      <c r="AD94" s="78" t="s">
        <v>1242</v>
      </c>
      <c r="AE94" s="82"/>
      <c r="AF94" s="81" t="s">
        <v>2256</v>
      </c>
      <c r="AG94" s="81" t="s">
        <v>2256</v>
      </c>
      <c r="AH94" s="83">
        <v>30000</v>
      </c>
      <c r="AI94" s="85"/>
    </row>
    <row r="95" spans="1:35" s="79" customFormat="1" ht="11.25" customHeight="1" x14ac:dyDescent="0.2">
      <c r="A95" s="77" t="s">
        <v>2016</v>
      </c>
      <c r="B95" s="80">
        <v>849</v>
      </c>
      <c r="C95" s="81" t="s">
        <v>2015</v>
      </c>
      <c r="D95" s="73">
        <v>1000</v>
      </c>
      <c r="E95" s="79" t="s">
        <v>28</v>
      </c>
      <c r="F95" s="79" t="s">
        <v>3725</v>
      </c>
      <c r="G95" s="79" t="s">
        <v>2996</v>
      </c>
      <c r="H95" s="79" t="s">
        <v>29</v>
      </c>
      <c r="I95" s="81" t="s">
        <v>3000</v>
      </c>
      <c r="J95" s="81">
        <v>350</v>
      </c>
      <c r="K95" s="86"/>
      <c r="M95" s="78" t="s">
        <v>1313</v>
      </c>
      <c r="N95" s="82" t="s">
        <v>31</v>
      </c>
      <c r="O95" s="81" t="s">
        <v>2707</v>
      </c>
      <c r="P95" s="81" t="s">
        <v>2967</v>
      </c>
      <c r="Q95" s="81"/>
      <c r="R95" s="83" t="s">
        <v>3430</v>
      </c>
      <c r="S95" s="79" t="s">
        <v>3239</v>
      </c>
      <c r="T95" s="84" t="s">
        <v>3419</v>
      </c>
      <c r="U95" s="81"/>
      <c r="V95" s="81"/>
      <c r="W95" s="78" t="s">
        <v>1313</v>
      </c>
      <c r="X95" s="82" t="s">
        <v>31</v>
      </c>
      <c r="Y95" s="81" t="s">
        <v>2707</v>
      </c>
      <c r="Z95" s="81" t="s">
        <v>2967</v>
      </c>
      <c r="AA95" s="81" t="s">
        <v>373</v>
      </c>
      <c r="AB95" s="85"/>
      <c r="AD95" s="78" t="s">
        <v>1313</v>
      </c>
      <c r="AE95" s="82" t="s">
        <v>31</v>
      </c>
      <c r="AF95" s="81" t="s">
        <v>2707</v>
      </c>
      <c r="AG95" s="81" t="s">
        <v>2967</v>
      </c>
      <c r="AH95" s="81" t="s">
        <v>146</v>
      </c>
      <c r="AI95" s="85"/>
    </row>
    <row r="96" spans="1:35" s="79" customFormat="1" ht="11.25" customHeight="1" x14ac:dyDescent="0.2">
      <c r="A96" s="77" t="s">
        <v>1314</v>
      </c>
      <c r="B96" s="80">
        <v>847</v>
      </c>
      <c r="C96" s="81" t="s">
        <v>1313</v>
      </c>
      <c r="D96" s="73">
        <v>1000</v>
      </c>
      <c r="E96" s="79" t="s">
        <v>28</v>
      </c>
      <c r="F96" s="79" t="s">
        <v>3725</v>
      </c>
      <c r="G96" s="79" t="s">
        <v>2996</v>
      </c>
      <c r="H96" s="79" t="s">
        <v>29</v>
      </c>
      <c r="I96" s="81" t="s">
        <v>3000</v>
      </c>
      <c r="J96" s="81">
        <v>350</v>
      </c>
      <c r="K96" s="86"/>
      <c r="M96" s="78" t="s">
        <v>1313</v>
      </c>
      <c r="N96" s="82"/>
      <c r="O96" s="81" t="s">
        <v>2256</v>
      </c>
      <c r="P96" s="81" t="s">
        <v>2256</v>
      </c>
      <c r="Q96" s="81"/>
      <c r="R96" s="83">
        <v>3000</v>
      </c>
      <c r="S96" s="79" t="s">
        <v>2999</v>
      </c>
      <c r="T96" s="84">
        <v>3000000</v>
      </c>
      <c r="U96" s="81"/>
      <c r="V96" s="81"/>
      <c r="W96" s="78" t="s">
        <v>1313</v>
      </c>
      <c r="X96" s="82"/>
      <c r="Y96" s="81" t="s">
        <v>2256</v>
      </c>
      <c r="Z96" s="81" t="s">
        <v>2256</v>
      </c>
      <c r="AA96" s="83">
        <v>20000</v>
      </c>
      <c r="AB96" s="85"/>
      <c r="AD96" s="78" t="s">
        <v>1313</v>
      </c>
      <c r="AE96" s="82"/>
      <c r="AF96" s="81" t="s">
        <v>2256</v>
      </c>
      <c r="AG96" s="81" t="s">
        <v>2256</v>
      </c>
      <c r="AH96" s="83">
        <v>20000</v>
      </c>
      <c r="AI96" s="85"/>
    </row>
    <row r="97" spans="1:35" s="79" customFormat="1" ht="11.25" customHeight="1" x14ac:dyDescent="0.2">
      <c r="A97" s="77" t="s">
        <v>2018</v>
      </c>
      <c r="B97" s="80">
        <v>848</v>
      </c>
      <c r="C97" s="81" t="s">
        <v>2017</v>
      </c>
      <c r="D97" s="73">
        <v>1000</v>
      </c>
      <c r="E97" s="79" t="s">
        <v>28</v>
      </c>
      <c r="F97" s="79" t="s">
        <v>3725</v>
      </c>
      <c r="G97" s="79" t="s">
        <v>2996</v>
      </c>
      <c r="H97" s="79" t="s">
        <v>29</v>
      </c>
      <c r="I97" s="81" t="s">
        <v>3000</v>
      </c>
      <c r="J97" s="81">
        <v>350</v>
      </c>
      <c r="K97" s="86"/>
      <c r="M97" s="78" t="s">
        <v>1339</v>
      </c>
      <c r="N97" s="82" t="s">
        <v>31</v>
      </c>
      <c r="O97" s="81" t="s">
        <v>2708</v>
      </c>
      <c r="P97" s="81" t="s">
        <v>2968</v>
      </c>
      <c r="Q97" s="81"/>
      <c r="R97" s="83" t="s">
        <v>3430</v>
      </c>
      <c r="S97" s="79" t="s">
        <v>3240</v>
      </c>
      <c r="T97" s="84" t="s">
        <v>3419</v>
      </c>
      <c r="U97" s="81"/>
      <c r="V97" s="81"/>
      <c r="W97" s="78" t="s">
        <v>1339</v>
      </c>
      <c r="X97" s="82" t="s">
        <v>31</v>
      </c>
      <c r="Y97" s="81" t="s">
        <v>2708</v>
      </c>
      <c r="Z97" s="81" t="s">
        <v>2968</v>
      </c>
      <c r="AA97" s="81" t="s">
        <v>373</v>
      </c>
      <c r="AB97" s="85"/>
      <c r="AD97" s="78" t="s">
        <v>1339</v>
      </c>
      <c r="AE97" s="82" t="s">
        <v>31</v>
      </c>
      <c r="AF97" s="81" t="s">
        <v>2708</v>
      </c>
      <c r="AG97" s="81" t="s">
        <v>2968</v>
      </c>
      <c r="AH97" s="81" t="s">
        <v>146</v>
      </c>
      <c r="AI97" s="85"/>
    </row>
    <row r="98" spans="1:35" s="79" customFormat="1" ht="11.25" customHeight="1" x14ac:dyDescent="0.2">
      <c r="A98" s="77" t="s">
        <v>1340</v>
      </c>
      <c r="B98" s="80">
        <v>846</v>
      </c>
      <c r="C98" s="81" t="s">
        <v>1339</v>
      </c>
      <c r="D98" s="73">
        <v>1000</v>
      </c>
      <c r="E98" s="79" t="s">
        <v>28</v>
      </c>
      <c r="F98" s="79" t="s">
        <v>3725</v>
      </c>
      <c r="G98" s="79" t="s">
        <v>2996</v>
      </c>
      <c r="H98" s="79" t="s">
        <v>29</v>
      </c>
      <c r="I98" s="81" t="s">
        <v>3000</v>
      </c>
      <c r="J98" s="81">
        <v>350</v>
      </c>
      <c r="K98" s="86"/>
      <c r="M98" s="78" t="s">
        <v>1339</v>
      </c>
      <c r="N98" s="82"/>
      <c r="O98" s="81" t="s">
        <v>2256</v>
      </c>
      <c r="P98" s="81" t="s">
        <v>2256</v>
      </c>
      <c r="Q98" s="81"/>
      <c r="R98" s="83">
        <v>3000</v>
      </c>
      <c r="S98" s="79" t="s">
        <v>2999</v>
      </c>
      <c r="T98" s="84">
        <v>3000000</v>
      </c>
      <c r="U98" s="81"/>
      <c r="V98" s="81"/>
      <c r="W98" s="78" t="s">
        <v>1339</v>
      </c>
      <c r="X98" s="82"/>
      <c r="Y98" s="81" t="s">
        <v>2256</v>
      </c>
      <c r="Z98" s="81" t="s">
        <v>2256</v>
      </c>
      <c r="AA98" s="83">
        <v>20000</v>
      </c>
      <c r="AB98" s="85"/>
      <c r="AD98" s="78" t="s">
        <v>1339</v>
      </c>
      <c r="AE98" s="82"/>
      <c r="AF98" s="81" t="s">
        <v>2256</v>
      </c>
      <c r="AG98" s="81" t="s">
        <v>2256</v>
      </c>
      <c r="AH98" s="83">
        <v>20000</v>
      </c>
      <c r="AI98" s="85"/>
    </row>
    <row r="99" spans="1:35" s="79" customFormat="1" ht="11.25" customHeight="1" x14ac:dyDescent="0.2">
      <c r="A99" s="77" t="s">
        <v>121</v>
      </c>
      <c r="B99" s="80">
        <v>1178</v>
      </c>
      <c r="C99" s="81" t="s">
        <v>120</v>
      </c>
      <c r="D99" s="73">
        <v>1000</v>
      </c>
      <c r="E99" s="79" t="s">
        <v>28</v>
      </c>
      <c r="F99" s="79" t="s">
        <v>30</v>
      </c>
      <c r="G99" s="79" t="s">
        <v>3001</v>
      </c>
      <c r="H99" s="79" t="s">
        <v>29</v>
      </c>
      <c r="I99" s="81" t="s">
        <v>3000</v>
      </c>
      <c r="J99" s="81">
        <v>25</v>
      </c>
      <c r="K99" s="86"/>
      <c r="M99" s="78" t="s">
        <v>122</v>
      </c>
      <c r="N99" s="82"/>
      <c r="O99" s="81" t="s">
        <v>2267</v>
      </c>
      <c r="P99" s="81" t="s">
        <v>2256</v>
      </c>
      <c r="Q99" s="81"/>
      <c r="R99" s="83">
        <v>2000</v>
      </c>
      <c r="S99" s="79" t="s">
        <v>3019</v>
      </c>
      <c r="T99" s="84">
        <v>2000000</v>
      </c>
      <c r="U99" s="81"/>
      <c r="V99" s="81"/>
      <c r="W99" s="78" t="s">
        <v>122</v>
      </c>
      <c r="X99" s="82"/>
      <c r="Y99" s="81" t="s">
        <v>2267</v>
      </c>
      <c r="Z99" s="81" t="s">
        <v>2256</v>
      </c>
      <c r="AA99" s="83">
        <v>20000</v>
      </c>
      <c r="AB99" s="85"/>
      <c r="AD99" s="78" t="s">
        <v>122</v>
      </c>
      <c r="AE99" s="82"/>
      <c r="AF99" s="81" t="s">
        <v>2267</v>
      </c>
      <c r="AG99" s="81" t="s">
        <v>2256</v>
      </c>
      <c r="AH99" s="83">
        <v>20000</v>
      </c>
      <c r="AI99" s="85"/>
    </row>
    <row r="100" spans="1:35" s="79" customFormat="1" ht="11.25" customHeight="1" x14ac:dyDescent="0.2">
      <c r="A100" s="77" t="s">
        <v>124</v>
      </c>
      <c r="B100" s="80">
        <v>1175</v>
      </c>
      <c r="C100" s="81" t="s">
        <v>123</v>
      </c>
      <c r="D100" s="73">
        <v>1000</v>
      </c>
      <c r="E100" s="79" t="s">
        <v>28</v>
      </c>
      <c r="F100" s="79" t="s">
        <v>3725</v>
      </c>
      <c r="G100" s="79" t="s">
        <v>2996</v>
      </c>
      <c r="H100" s="79" t="s">
        <v>29</v>
      </c>
      <c r="I100" s="81" t="s">
        <v>3000</v>
      </c>
      <c r="J100" s="81">
        <v>25</v>
      </c>
      <c r="K100" s="86"/>
      <c r="M100" s="78" t="s">
        <v>122</v>
      </c>
      <c r="N100" s="82"/>
      <c r="O100" s="81" t="s">
        <v>2268</v>
      </c>
      <c r="P100" s="81" t="s">
        <v>2256</v>
      </c>
      <c r="Q100" s="81"/>
      <c r="R100" s="83">
        <v>2000</v>
      </c>
      <c r="S100" s="79" t="s">
        <v>3019</v>
      </c>
      <c r="T100" s="84">
        <v>2000000</v>
      </c>
      <c r="U100" s="81"/>
      <c r="V100" s="81"/>
      <c r="W100" s="78" t="s">
        <v>122</v>
      </c>
      <c r="X100" s="82"/>
      <c r="Y100" s="81" t="s">
        <v>2268</v>
      </c>
      <c r="Z100" s="81" t="s">
        <v>2256</v>
      </c>
      <c r="AA100" s="83">
        <v>20000</v>
      </c>
      <c r="AB100" s="85"/>
      <c r="AD100" s="78" t="s">
        <v>122</v>
      </c>
      <c r="AE100" s="82"/>
      <c r="AF100" s="81" t="s">
        <v>2268</v>
      </c>
      <c r="AG100" s="81" t="s">
        <v>2256</v>
      </c>
      <c r="AH100" s="83">
        <v>20000</v>
      </c>
      <c r="AI100" s="85"/>
    </row>
    <row r="101" spans="1:35" s="79" customFormat="1" ht="11.25" customHeight="1" x14ac:dyDescent="0.2">
      <c r="A101" s="77" t="s">
        <v>126</v>
      </c>
      <c r="B101" s="80">
        <v>1177</v>
      </c>
      <c r="C101" s="81" t="s">
        <v>125</v>
      </c>
      <c r="D101" s="73">
        <v>1000</v>
      </c>
      <c r="E101" s="79" t="s">
        <v>28</v>
      </c>
      <c r="F101" s="79" t="s">
        <v>30</v>
      </c>
      <c r="G101" s="79" t="s">
        <v>3001</v>
      </c>
      <c r="H101" s="79" t="s">
        <v>29</v>
      </c>
      <c r="I101" s="81"/>
      <c r="J101" s="81">
        <v>25</v>
      </c>
      <c r="K101" s="86"/>
      <c r="M101" s="78" t="s">
        <v>122</v>
      </c>
      <c r="N101" s="82"/>
      <c r="O101" s="81" t="s">
        <v>2269</v>
      </c>
      <c r="P101" s="81" t="s">
        <v>2256</v>
      </c>
      <c r="Q101" s="81"/>
      <c r="R101" s="83">
        <v>2000</v>
      </c>
      <c r="S101" s="79" t="s">
        <v>3019</v>
      </c>
      <c r="T101" s="84">
        <v>2000000</v>
      </c>
      <c r="U101" s="81"/>
      <c r="V101" s="81"/>
      <c r="W101" s="78" t="s">
        <v>122</v>
      </c>
      <c r="X101" s="82"/>
      <c r="Y101" s="81" t="s">
        <v>2269</v>
      </c>
      <c r="Z101" s="81" t="s">
        <v>2256</v>
      </c>
      <c r="AA101" s="83">
        <v>20000</v>
      </c>
      <c r="AB101" s="85"/>
      <c r="AD101" s="78" t="s">
        <v>122</v>
      </c>
      <c r="AE101" s="82"/>
      <c r="AF101" s="81" t="s">
        <v>2269</v>
      </c>
      <c r="AG101" s="81" t="s">
        <v>2256</v>
      </c>
      <c r="AH101" s="83">
        <v>20000</v>
      </c>
      <c r="AI101" s="85"/>
    </row>
    <row r="102" spans="1:35" s="79" customFormat="1" ht="11.25" customHeight="1" x14ac:dyDescent="0.2">
      <c r="A102" s="77" t="s">
        <v>128</v>
      </c>
      <c r="B102" s="80">
        <v>1176</v>
      </c>
      <c r="C102" s="81" t="s">
        <v>127</v>
      </c>
      <c r="D102" s="73">
        <v>1000</v>
      </c>
      <c r="E102" s="79" t="s">
        <v>28</v>
      </c>
      <c r="F102" s="79" t="s">
        <v>129</v>
      </c>
      <c r="G102" s="79" t="s">
        <v>2995</v>
      </c>
      <c r="H102" s="79" t="s">
        <v>29</v>
      </c>
      <c r="I102" s="81"/>
      <c r="J102" s="81">
        <v>25</v>
      </c>
      <c r="K102" s="86"/>
      <c r="M102" s="78" t="s">
        <v>122</v>
      </c>
      <c r="N102" s="82"/>
      <c r="O102" s="81" t="s">
        <v>2270</v>
      </c>
      <c r="P102" s="81" t="s">
        <v>2256</v>
      </c>
      <c r="Q102" s="81"/>
      <c r="R102" s="83">
        <v>2000</v>
      </c>
      <c r="S102" s="79" t="s">
        <v>3019</v>
      </c>
      <c r="T102" s="84">
        <v>2000000</v>
      </c>
      <c r="U102" s="81"/>
      <c r="V102" s="81"/>
      <c r="W102" s="78" t="s">
        <v>122</v>
      </c>
      <c r="X102" s="82"/>
      <c r="Y102" s="81" t="s">
        <v>2270</v>
      </c>
      <c r="Z102" s="81" t="s">
        <v>2256</v>
      </c>
      <c r="AA102" s="83">
        <v>20000</v>
      </c>
      <c r="AB102" s="85"/>
      <c r="AD102" s="78" t="s">
        <v>122</v>
      </c>
      <c r="AE102" s="82"/>
      <c r="AF102" s="81" t="s">
        <v>2270</v>
      </c>
      <c r="AG102" s="81" t="s">
        <v>2256</v>
      </c>
      <c r="AH102" s="83">
        <v>20000</v>
      </c>
      <c r="AI102" s="85"/>
    </row>
    <row r="103" spans="1:35" s="79" customFormat="1" ht="11.25" customHeight="1" x14ac:dyDescent="0.2">
      <c r="A103" s="77" t="s">
        <v>1377</v>
      </c>
      <c r="B103" s="80">
        <v>1186</v>
      </c>
      <c r="C103" s="81" t="s">
        <v>122</v>
      </c>
      <c r="D103" s="73">
        <v>1000</v>
      </c>
      <c r="E103" s="79" t="s">
        <v>28</v>
      </c>
      <c r="F103" s="79" t="s">
        <v>3725</v>
      </c>
      <c r="G103" s="79" t="s">
        <v>2996</v>
      </c>
      <c r="H103" s="79" t="s">
        <v>29</v>
      </c>
      <c r="I103" s="81"/>
      <c r="J103" s="81">
        <v>25</v>
      </c>
      <c r="K103" s="86"/>
      <c r="M103" s="78" t="s">
        <v>122</v>
      </c>
      <c r="N103" s="82"/>
      <c r="O103" s="81" t="s">
        <v>2256</v>
      </c>
      <c r="P103" s="81" t="s">
        <v>2256</v>
      </c>
      <c r="Q103" s="81"/>
      <c r="R103" s="83">
        <v>2000</v>
      </c>
      <c r="S103" s="79" t="s">
        <v>2999</v>
      </c>
      <c r="T103" s="84">
        <v>2000000</v>
      </c>
      <c r="U103" s="81"/>
      <c r="V103" s="81"/>
      <c r="W103" s="78" t="s">
        <v>122</v>
      </c>
      <c r="X103" s="82"/>
      <c r="Y103" s="81" t="s">
        <v>2256</v>
      </c>
      <c r="Z103" s="81" t="s">
        <v>2256</v>
      </c>
      <c r="AA103" s="83">
        <v>20000</v>
      </c>
      <c r="AB103" s="85"/>
      <c r="AD103" s="78" t="s">
        <v>122</v>
      </c>
      <c r="AE103" s="82"/>
      <c r="AF103" s="81" t="s">
        <v>2256</v>
      </c>
      <c r="AG103" s="81" t="s">
        <v>2256</v>
      </c>
      <c r="AH103" s="83">
        <v>20000</v>
      </c>
      <c r="AI103" s="85"/>
    </row>
    <row r="104" spans="1:35" s="79" customFormat="1" ht="11.25" customHeight="1" x14ac:dyDescent="0.2">
      <c r="A104" s="77" t="s">
        <v>1646</v>
      </c>
      <c r="B104" s="80">
        <v>207</v>
      </c>
      <c r="C104" s="81" t="s">
        <v>1645</v>
      </c>
      <c r="D104" s="73">
        <v>1000</v>
      </c>
      <c r="E104" s="79" t="s">
        <v>28</v>
      </c>
      <c r="F104" s="79" t="s">
        <v>3725</v>
      </c>
      <c r="G104" s="79" t="s">
        <v>2996</v>
      </c>
      <c r="H104" s="79" t="s">
        <v>29</v>
      </c>
      <c r="I104" s="81"/>
      <c r="J104" s="81">
        <v>25</v>
      </c>
      <c r="K104" s="86"/>
      <c r="M104" s="78" t="s">
        <v>1645</v>
      </c>
      <c r="N104" s="82"/>
      <c r="O104" s="81" t="s">
        <v>2256</v>
      </c>
      <c r="P104" s="81" t="s">
        <v>2256</v>
      </c>
      <c r="Q104" s="81"/>
      <c r="R104" s="83">
        <v>730</v>
      </c>
      <c r="S104" s="79" t="s">
        <v>2999</v>
      </c>
      <c r="T104" s="84">
        <v>730000</v>
      </c>
      <c r="U104" s="81"/>
      <c r="V104" s="81"/>
      <c r="W104" s="78" t="s">
        <v>1645</v>
      </c>
      <c r="X104" s="82"/>
      <c r="Y104" s="81" t="s">
        <v>2256</v>
      </c>
      <c r="Z104" s="81" t="s">
        <v>2256</v>
      </c>
      <c r="AA104" s="83">
        <v>7000</v>
      </c>
      <c r="AB104" s="85"/>
      <c r="AD104" s="78" t="s">
        <v>1645</v>
      </c>
      <c r="AE104" s="82"/>
      <c r="AF104" s="81" t="s">
        <v>2256</v>
      </c>
      <c r="AG104" s="81" t="s">
        <v>2256</v>
      </c>
      <c r="AH104" s="83">
        <v>10000</v>
      </c>
      <c r="AI104" s="85"/>
    </row>
    <row r="105" spans="1:35" s="79" customFormat="1" ht="11.25" customHeight="1" x14ac:dyDescent="0.2">
      <c r="A105" s="77" t="s">
        <v>1672</v>
      </c>
      <c r="B105" s="80">
        <v>206</v>
      </c>
      <c r="C105" s="81" t="s">
        <v>1671</v>
      </c>
      <c r="D105" s="73">
        <v>1000</v>
      </c>
      <c r="E105" s="79" t="s">
        <v>28</v>
      </c>
      <c r="F105" s="79" t="s">
        <v>3725</v>
      </c>
      <c r="G105" s="79" t="s">
        <v>2997</v>
      </c>
      <c r="H105" s="79" t="s">
        <v>29</v>
      </c>
      <c r="I105" s="81"/>
      <c r="J105" s="81">
        <v>25</v>
      </c>
      <c r="K105" s="86"/>
      <c r="M105" s="78" t="s">
        <v>1671</v>
      </c>
      <c r="N105" s="82"/>
      <c r="O105" s="81" t="s">
        <v>2256</v>
      </c>
      <c r="P105" s="81" t="s">
        <v>2256</v>
      </c>
      <c r="Q105" s="81"/>
      <c r="R105" s="83">
        <v>730</v>
      </c>
      <c r="S105" s="79" t="s">
        <v>2999</v>
      </c>
      <c r="T105" s="84">
        <v>730000</v>
      </c>
      <c r="U105" s="81"/>
      <c r="V105" s="81"/>
      <c r="W105" s="78" t="s">
        <v>1671</v>
      </c>
      <c r="X105" s="82"/>
      <c r="Y105" s="81" t="s">
        <v>2256</v>
      </c>
      <c r="Z105" s="81" t="s">
        <v>2256</v>
      </c>
      <c r="AA105" s="83">
        <v>10000</v>
      </c>
      <c r="AB105" s="85"/>
      <c r="AD105" s="78" t="s">
        <v>1671</v>
      </c>
      <c r="AE105" s="82"/>
      <c r="AF105" s="81" t="s">
        <v>2256</v>
      </c>
      <c r="AG105" s="81" t="s">
        <v>2256</v>
      </c>
      <c r="AH105" s="83">
        <v>10000</v>
      </c>
      <c r="AI105" s="85"/>
    </row>
    <row r="106" spans="1:35" s="79" customFormat="1" ht="11.25" customHeight="1" x14ac:dyDescent="0.2">
      <c r="A106" s="77" t="s">
        <v>3763</v>
      </c>
      <c r="B106" s="80">
        <v>128</v>
      </c>
      <c r="C106" s="81" t="s">
        <v>639</v>
      </c>
      <c r="D106" s="73">
        <v>1000</v>
      </c>
      <c r="E106" s="79" t="s">
        <v>28</v>
      </c>
      <c r="F106" s="79" t="s">
        <v>3725</v>
      </c>
      <c r="G106" s="79" t="s">
        <v>2996</v>
      </c>
      <c r="H106" s="79" t="s">
        <v>29</v>
      </c>
      <c r="I106" s="81" t="s">
        <v>3000</v>
      </c>
      <c r="J106" s="81">
        <v>25</v>
      </c>
      <c r="K106" s="86"/>
      <c r="M106" s="78" t="s">
        <v>640</v>
      </c>
      <c r="N106" s="82" t="s">
        <v>160</v>
      </c>
      <c r="O106" s="81" t="s">
        <v>2384</v>
      </c>
      <c r="P106" s="81" t="s">
        <v>2816</v>
      </c>
      <c r="Q106" s="81"/>
      <c r="R106" s="83" t="s">
        <v>3451</v>
      </c>
      <c r="S106" s="79" t="s">
        <v>3084</v>
      </c>
      <c r="T106" s="84" t="s">
        <v>3581</v>
      </c>
      <c r="U106" s="81"/>
      <c r="V106" s="81"/>
      <c r="W106" s="78" t="s">
        <v>640</v>
      </c>
      <c r="X106" s="82" t="s">
        <v>160</v>
      </c>
      <c r="Y106" s="81" t="s">
        <v>2384</v>
      </c>
      <c r="Z106" s="81" t="s">
        <v>2816</v>
      </c>
      <c r="AA106" s="81" t="s">
        <v>436</v>
      </c>
      <c r="AB106" s="85"/>
      <c r="AD106" s="78" t="s">
        <v>640</v>
      </c>
      <c r="AE106" s="82" t="s">
        <v>160</v>
      </c>
      <c r="AF106" s="81" t="s">
        <v>2384</v>
      </c>
      <c r="AG106" s="81" t="s">
        <v>2816</v>
      </c>
      <c r="AH106" s="81" t="s">
        <v>436</v>
      </c>
      <c r="AI106" s="85"/>
    </row>
    <row r="107" spans="1:35" s="79" customFormat="1" ht="11.25" customHeight="1" x14ac:dyDescent="0.2">
      <c r="A107" s="77" t="s">
        <v>2064</v>
      </c>
      <c r="B107" s="80">
        <v>316</v>
      </c>
      <c r="C107" s="81" t="s">
        <v>2063</v>
      </c>
      <c r="D107" s="73">
        <v>1000</v>
      </c>
      <c r="E107" s="79" t="s">
        <v>28</v>
      </c>
      <c r="F107" s="79" t="s">
        <v>3725</v>
      </c>
      <c r="G107" s="79" t="s">
        <v>2996</v>
      </c>
      <c r="H107" s="79" t="s">
        <v>29</v>
      </c>
      <c r="I107" s="81" t="s">
        <v>3000</v>
      </c>
      <c r="J107" s="81">
        <v>25</v>
      </c>
      <c r="K107" s="86"/>
      <c r="M107" s="78" t="s">
        <v>376</v>
      </c>
      <c r="N107" s="82" t="s">
        <v>2063</v>
      </c>
      <c r="O107" s="81" t="s">
        <v>2718</v>
      </c>
      <c r="P107" s="81" t="s">
        <v>2974</v>
      </c>
      <c r="Q107" s="81"/>
      <c r="R107" s="83" t="s">
        <v>864</v>
      </c>
      <c r="S107" s="79" t="s">
        <v>3576</v>
      </c>
      <c r="T107" s="84" t="s">
        <v>3418</v>
      </c>
      <c r="U107" s="81"/>
      <c r="V107" s="81"/>
      <c r="W107" s="78" t="s">
        <v>376</v>
      </c>
      <c r="X107" s="82" t="s">
        <v>2063</v>
      </c>
      <c r="Y107" s="81" t="s">
        <v>2718</v>
      </c>
      <c r="Z107" s="81" t="s">
        <v>2974</v>
      </c>
      <c r="AA107" s="81" t="s">
        <v>409</v>
      </c>
      <c r="AB107" s="85"/>
      <c r="AD107" s="78" t="s">
        <v>376</v>
      </c>
      <c r="AE107" s="82" t="s">
        <v>2063</v>
      </c>
      <c r="AF107" s="81" t="s">
        <v>2718</v>
      </c>
      <c r="AG107" s="81" t="s">
        <v>2974</v>
      </c>
      <c r="AH107" s="81" t="s">
        <v>409</v>
      </c>
      <c r="AI107" s="85"/>
    </row>
    <row r="108" spans="1:35" s="79" customFormat="1" ht="11.25" customHeight="1" x14ac:dyDescent="0.2">
      <c r="A108" s="77" t="s">
        <v>408</v>
      </c>
      <c r="B108" s="80">
        <v>319</v>
      </c>
      <c r="C108" s="81" t="s">
        <v>407</v>
      </c>
      <c r="D108" s="73">
        <v>1000</v>
      </c>
      <c r="E108" s="79" t="s">
        <v>28</v>
      </c>
      <c r="F108" s="79" t="s">
        <v>3725</v>
      </c>
      <c r="G108" s="79" t="s">
        <v>2996</v>
      </c>
      <c r="H108" s="79" t="s">
        <v>29</v>
      </c>
      <c r="I108" s="81" t="s">
        <v>3000</v>
      </c>
      <c r="J108" s="81">
        <v>25</v>
      </c>
      <c r="K108" s="86"/>
      <c r="M108" s="78" t="s">
        <v>376</v>
      </c>
      <c r="N108" s="82" t="s">
        <v>407</v>
      </c>
      <c r="O108" s="81" t="s">
        <v>2332</v>
      </c>
      <c r="P108" s="81" t="s">
        <v>2791</v>
      </c>
      <c r="Q108" s="81"/>
      <c r="R108" s="83" t="s">
        <v>864</v>
      </c>
      <c r="S108" s="79" t="s">
        <v>3572</v>
      </c>
      <c r="T108" s="84" t="s">
        <v>3418</v>
      </c>
      <c r="U108" s="81"/>
      <c r="V108" s="81"/>
      <c r="W108" s="78" t="s">
        <v>376</v>
      </c>
      <c r="X108" s="82" t="s">
        <v>407</v>
      </c>
      <c r="Y108" s="81" t="s">
        <v>2332</v>
      </c>
      <c r="Z108" s="81" t="s">
        <v>2791</v>
      </c>
      <c r="AA108" s="81" t="s">
        <v>409</v>
      </c>
      <c r="AB108" s="85"/>
      <c r="AD108" s="78" t="s">
        <v>376</v>
      </c>
      <c r="AE108" s="82" t="s">
        <v>407</v>
      </c>
      <c r="AF108" s="81" t="s">
        <v>2332</v>
      </c>
      <c r="AG108" s="81" t="s">
        <v>2791</v>
      </c>
      <c r="AH108" s="81" t="s">
        <v>409</v>
      </c>
      <c r="AI108" s="85"/>
    </row>
    <row r="109" spans="1:35" s="79" customFormat="1" ht="11.25" customHeight="1" x14ac:dyDescent="0.2">
      <c r="A109" s="77" t="s">
        <v>2132</v>
      </c>
      <c r="B109" s="80">
        <v>699</v>
      </c>
      <c r="C109" s="81" t="s">
        <v>2131</v>
      </c>
      <c r="D109" s="73">
        <v>1000</v>
      </c>
      <c r="E109" s="79" t="s">
        <v>28</v>
      </c>
      <c r="F109" s="79" t="s">
        <v>3725</v>
      </c>
      <c r="G109" s="79" t="s">
        <v>2996</v>
      </c>
      <c r="H109" s="79" t="s">
        <v>29</v>
      </c>
      <c r="I109" s="81" t="s">
        <v>3000</v>
      </c>
      <c r="J109" s="81">
        <v>25</v>
      </c>
      <c r="K109" s="86"/>
      <c r="M109" s="78" t="s">
        <v>376</v>
      </c>
      <c r="N109" s="82" t="s">
        <v>2131</v>
      </c>
      <c r="O109" s="81" t="s">
        <v>2737</v>
      </c>
      <c r="P109" s="81" t="s">
        <v>2979</v>
      </c>
      <c r="Q109" s="81"/>
      <c r="R109" s="83" t="s">
        <v>864</v>
      </c>
      <c r="S109" s="79" t="s">
        <v>3577</v>
      </c>
      <c r="T109" s="84" t="s">
        <v>3418</v>
      </c>
      <c r="U109" s="81"/>
      <c r="V109" s="81"/>
      <c r="W109" s="78" t="s">
        <v>376</v>
      </c>
      <c r="X109" s="82" t="s">
        <v>2131</v>
      </c>
      <c r="Y109" s="81" t="s">
        <v>2737</v>
      </c>
      <c r="Z109" s="81" t="s">
        <v>2979</v>
      </c>
      <c r="AA109" s="81" t="s">
        <v>409</v>
      </c>
      <c r="AB109" s="85"/>
      <c r="AD109" s="78" t="s">
        <v>376</v>
      </c>
      <c r="AE109" s="82" t="s">
        <v>2131</v>
      </c>
      <c r="AF109" s="81" t="s">
        <v>2737</v>
      </c>
      <c r="AG109" s="81" t="s">
        <v>2979</v>
      </c>
      <c r="AH109" s="81" t="s">
        <v>409</v>
      </c>
      <c r="AI109" s="85"/>
    </row>
    <row r="110" spans="1:35" s="79" customFormat="1" ht="11.25" customHeight="1" x14ac:dyDescent="0.2">
      <c r="A110" s="77" t="s">
        <v>774</v>
      </c>
      <c r="B110" s="80">
        <v>831</v>
      </c>
      <c r="C110" s="81" t="s">
        <v>773</v>
      </c>
      <c r="D110" s="73">
        <v>1000</v>
      </c>
      <c r="E110" s="79" t="s">
        <v>28</v>
      </c>
      <c r="F110" s="79" t="s">
        <v>3725</v>
      </c>
      <c r="G110" s="79" t="s">
        <v>2996</v>
      </c>
      <c r="H110" s="79" t="s">
        <v>29</v>
      </c>
      <c r="I110" s="81" t="s">
        <v>3000</v>
      </c>
      <c r="J110" s="81">
        <v>25</v>
      </c>
      <c r="K110" s="86"/>
      <c r="M110" s="78" t="s">
        <v>376</v>
      </c>
      <c r="N110" s="82" t="s">
        <v>86</v>
      </c>
      <c r="O110" s="81" t="s">
        <v>2412</v>
      </c>
      <c r="P110" s="81" t="s">
        <v>2832</v>
      </c>
      <c r="Q110" s="81"/>
      <c r="R110" s="83" t="s">
        <v>3439</v>
      </c>
      <c r="S110" s="79" t="s">
        <v>3103</v>
      </c>
      <c r="T110" s="84" t="s">
        <v>3574</v>
      </c>
      <c r="U110" s="81"/>
      <c r="V110" s="81"/>
      <c r="W110" s="78" t="s">
        <v>376</v>
      </c>
      <c r="X110" s="82" t="s">
        <v>86</v>
      </c>
      <c r="Y110" s="81" t="s">
        <v>2412</v>
      </c>
      <c r="Z110" s="81" t="s">
        <v>2832</v>
      </c>
      <c r="AA110" s="81" t="s">
        <v>436</v>
      </c>
      <c r="AB110" s="85"/>
      <c r="AD110" s="78" t="s">
        <v>376</v>
      </c>
      <c r="AE110" s="82" t="s">
        <v>86</v>
      </c>
      <c r="AF110" s="81" t="s">
        <v>2412</v>
      </c>
      <c r="AG110" s="81" t="s">
        <v>2832</v>
      </c>
      <c r="AH110" s="81" t="s">
        <v>436</v>
      </c>
      <c r="AI110" s="85"/>
    </row>
    <row r="111" spans="1:35" s="79" customFormat="1" ht="11.25" customHeight="1" x14ac:dyDescent="0.2">
      <c r="A111" s="77" t="s">
        <v>819</v>
      </c>
      <c r="B111" s="80">
        <v>695</v>
      </c>
      <c r="C111" s="81" t="s">
        <v>818</v>
      </c>
      <c r="D111" s="73">
        <v>1000</v>
      </c>
      <c r="E111" s="79" t="s">
        <v>28</v>
      </c>
      <c r="F111" s="79" t="s">
        <v>3725</v>
      </c>
      <c r="G111" s="79" t="s">
        <v>2996</v>
      </c>
      <c r="H111" s="79" t="s">
        <v>29</v>
      </c>
      <c r="I111" s="81" t="s">
        <v>3000</v>
      </c>
      <c r="J111" s="81">
        <v>25</v>
      </c>
      <c r="K111" s="86"/>
      <c r="M111" s="78" t="s">
        <v>376</v>
      </c>
      <c r="N111" s="82" t="s">
        <v>86</v>
      </c>
      <c r="O111" s="81" t="s">
        <v>2428</v>
      </c>
      <c r="P111" s="81" t="s">
        <v>2843</v>
      </c>
      <c r="Q111" s="81"/>
      <c r="R111" s="83" t="s">
        <v>3439</v>
      </c>
      <c r="S111" s="79" t="s">
        <v>3103</v>
      </c>
      <c r="T111" s="84" t="s">
        <v>3574</v>
      </c>
      <c r="U111" s="81"/>
      <c r="V111" s="81"/>
      <c r="W111" s="78" t="s">
        <v>376</v>
      </c>
      <c r="X111" s="82" t="s">
        <v>86</v>
      </c>
      <c r="Y111" s="81" t="s">
        <v>2428</v>
      </c>
      <c r="Z111" s="81" t="s">
        <v>2843</v>
      </c>
      <c r="AA111" s="81" t="s">
        <v>436</v>
      </c>
      <c r="AB111" s="85"/>
      <c r="AD111" s="78" t="s">
        <v>376</v>
      </c>
      <c r="AE111" s="82" t="s">
        <v>86</v>
      </c>
      <c r="AF111" s="81" t="s">
        <v>2428</v>
      </c>
      <c r="AG111" s="81" t="s">
        <v>2843</v>
      </c>
      <c r="AH111" s="81" t="s">
        <v>436</v>
      </c>
      <c r="AI111" s="85"/>
    </row>
    <row r="112" spans="1:35" s="79" customFormat="1" ht="11.25" customHeight="1" x14ac:dyDescent="0.2">
      <c r="A112" s="77" t="s">
        <v>2143</v>
      </c>
      <c r="B112" s="80">
        <v>714</v>
      </c>
      <c r="C112" s="81" t="s">
        <v>2142</v>
      </c>
      <c r="D112" s="73">
        <v>1000</v>
      </c>
      <c r="E112" s="79" t="s">
        <v>28</v>
      </c>
      <c r="F112" s="79" t="s">
        <v>3725</v>
      </c>
      <c r="G112" s="79" t="s">
        <v>2996</v>
      </c>
      <c r="H112" s="79" t="s">
        <v>29</v>
      </c>
      <c r="I112" s="81"/>
      <c r="J112" s="81">
        <v>25</v>
      </c>
      <c r="K112" s="86"/>
      <c r="M112" s="78" t="s">
        <v>376</v>
      </c>
      <c r="N112" s="82"/>
      <c r="O112" s="81" t="s">
        <v>2739</v>
      </c>
      <c r="P112" s="81" t="s">
        <v>2256</v>
      </c>
      <c r="Q112" s="81"/>
      <c r="R112" s="83">
        <v>1000</v>
      </c>
      <c r="S112" s="79" t="s">
        <v>3049</v>
      </c>
      <c r="T112" s="84">
        <v>1000000</v>
      </c>
      <c r="U112" s="81"/>
      <c r="V112" s="81"/>
      <c r="W112" s="78" t="s">
        <v>376</v>
      </c>
      <c r="X112" s="82"/>
      <c r="Y112" s="81" t="s">
        <v>2739</v>
      </c>
      <c r="Z112" s="81" t="s">
        <v>2256</v>
      </c>
      <c r="AA112" s="83">
        <v>5000</v>
      </c>
      <c r="AB112" s="85"/>
      <c r="AD112" s="78" t="s">
        <v>376</v>
      </c>
      <c r="AE112" s="82"/>
      <c r="AF112" s="81" t="s">
        <v>2739</v>
      </c>
      <c r="AG112" s="81" t="s">
        <v>2256</v>
      </c>
      <c r="AH112" s="83">
        <v>7000</v>
      </c>
      <c r="AI112" s="85"/>
    </row>
    <row r="113" spans="1:35" s="79" customFormat="1" ht="11.25" customHeight="1" x14ac:dyDescent="0.2">
      <c r="A113" s="77" t="s">
        <v>375</v>
      </c>
      <c r="B113" s="80">
        <v>1193</v>
      </c>
      <c r="C113" s="81" t="s">
        <v>374</v>
      </c>
      <c r="D113" s="73">
        <v>1000</v>
      </c>
      <c r="E113" s="79" t="s">
        <v>28</v>
      </c>
      <c r="F113" s="79" t="s">
        <v>3725</v>
      </c>
      <c r="G113" s="79" t="s">
        <v>2996</v>
      </c>
      <c r="H113" s="79" t="s">
        <v>29</v>
      </c>
      <c r="I113" s="81" t="s">
        <v>3000</v>
      </c>
      <c r="J113" s="81">
        <v>25</v>
      </c>
      <c r="K113" s="86"/>
      <c r="M113" s="78" t="s">
        <v>376</v>
      </c>
      <c r="N113" s="82"/>
      <c r="O113" s="81" t="s">
        <v>2321</v>
      </c>
      <c r="P113" s="81" t="s">
        <v>2256</v>
      </c>
      <c r="Q113" s="81"/>
      <c r="R113" s="83">
        <v>1000</v>
      </c>
      <c r="S113" s="79" t="s">
        <v>3049</v>
      </c>
      <c r="T113" s="84">
        <v>1000000</v>
      </c>
      <c r="U113" s="81"/>
      <c r="V113" s="81"/>
      <c r="W113" s="78" t="s">
        <v>376</v>
      </c>
      <c r="X113" s="82"/>
      <c r="Y113" s="81" t="s">
        <v>2321</v>
      </c>
      <c r="Z113" s="81" t="s">
        <v>2256</v>
      </c>
      <c r="AA113" s="83">
        <v>5000</v>
      </c>
      <c r="AB113" s="85"/>
      <c r="AD113" s="78" t="s">
        <v>376</v>
      </c>
      <c r="AE113" s="82"/>
      <c r="AF113" s="81" t="s">
        <v>2321</v>
      </c>
      <c r="AG113" s="81" t="s">
        <v>2256</v>
      </c>
      <c r="AH113" s="83">
        <v>5000</v>
      </c>
      <c r="AI113" s="85"/>
    </row>
    <row r="114" spans="1:35" s="79" customFormat="1" ht="11.25" customHeight="1" x14ac:dyDescent="0.2">
      <c r="A114" s="77" t="s">
        <v>379</v>
      </c>
      <c r="B114" s="80">
        <v>1078</v>
      </c>
      <c r="C114" s="81" t="s">
        <v>378</v>
      </c>
      <c r="D114" s="73">
        <v>1000</v>
      </c>
      <c r="E114" s="79" t="s">
        <v>28</v>
      </c>
      <c r="F114" s="79" t="s">
        <v>30</v>
      </c>
      <c r="G114" s="79" t="s">
        <v>3001</v>
      </c>
      <c r="H114" s="79" t="s">
        <v>29</v>
      </c>
      <c r="I114" s="81" t="s">
        <v>3000</v>
      </c>
      <c r="J114" s="81">
        <v>25</v>
      </c>
      <c r="K114" s="86"/>
      <c r="M114" s="78" t="s">
        <v>376</v>
      </c>
      <c r="N114" s="82"/>
      <c r="O114" s="81" t="s">
        <v>2323</v>
      </c>
      <c r="P114" s="81" t="s">
        <v>2256</v>
      </c>
      <c r="Q114" s="81"/>
      <c r="R114" s="83">
        <v>1000</v>
      </c>
      <c r="S114" s="79" t="s">
        <v>3049</v>
      </c>
      <c r="T114" s="84">
        <v>1000000</v>
      </c>
      <c r="U114" s="81"/>
      <c r="V114" s="81"/>
      <c r="W114" s="78" t="s">
        <v>376</v>
      </c>
      <c r="X114" s="82"/>
      <c r="Y114" s="81" t="s">
        <v>2323</v>
      </c>
      <c r="Z114" s="81" t="s">
        <v>2256</v>
      </c>
      <c r="AA114" s="83">
        <v>5000</v>
      </c>
      <c r="AB114" s="85"/>
      <c r="AD114" s="78" t="s">
        <v>376</v>
      </c>
      <c r="AE114" s="82"/>
      <c r="AF114" s="81" t="s">
        <v>2323</v>
      </c>
      <c r="AG114" s="81" t="s">
        <v>2256</v>
      </c>
      <c r="AH114" s="83">
        <v>5000</v>
      </c>
      <c r="AI114" s="85"/>
    </row>
    <row r="115" spans="1:35" s="79" customFormat="1" ht="11.25" customHeight="1" x14ac:dyDescent="0.2">
      <c r="A115" s="77" t="s">
        <v>1859</v>
      </c>
      <c r="B115" s="80">
        <v>647</v>
      </c>
      <c r="C115" s="81" t="s">
        <v>376</v>
      </c>
      <c r="D115" s="73">
        <v>1000</v>
      </c>
      <c r="E115" s="79" t="s">
        <v>28</v>
      </c>
      <c r="F115" s="79" t="s">
        <v>3725</v>
      </c>
      <c r="G115" s="79" t="s">
        <v>2996</v>
      </c>
      <c r="H115" s="79" t="s">
        <v>29</v>
      </c>
      <c r="I115" s="81" t="s">
        <v>3000</v>
      </c>
      <c r="J115" s="81">
        <v>25</v>
      </c>
      <c r="K115" s="86"/>
      <c r="M115" s="78" t="s">
        <v>376</v>
      </c>
      <c r="N115" s="82"/>
      <c r="O115" s="81" t="s">
        <v>2256</v>
      </c>
      <c r="P115" s="81" t="s">
        <v>2256</v>
      </c>
      <c r="Q115" s="81"/>
      <c r="R115" s="83">
        <v>1000</v>
      </c>
      <c r="S115" s="79" t="s">
        <v>2999</v>
      </c>
      <c r="T115" s="84">
        <v>1000000</v>
      </c>
      <c r="U115" s="81"/>
      <c r="V115" s="81"/>
      <c r="W115" s="78" t="s">
        <v>376</v>
      </c>
      <c r="X115" s="82"/>
      <c r="Y115" s="81" t="s">
        <v>2256</v>
      </c>
      <c r="Z115" s="81" t="s">
        <v>2256</v>
      </c>
      <c r="AA115" s="83">
        <v>5000</v>
      </c>
      <c r="AB115" s="85"/>
      <c r="AD115" s="78" t="s">
        <v>376</v>
      </c>
      <c r="AE115" s="82"/>
      <c r="AF115" s="81" t="s">
        <v>2256</v>
      </c>
      <c r="AG115" s="81" t="s">
        <v>2256</v>
      </c>
      <c r="AH115" s="83">
        <v>5000</v>
      </c>
      <c r="AI115" s="85"/>
    </row>
    <row r="116" spans="1:35" s="79" customFormat="1" ht="11.25" customHeight="1" x14ac:dyDescent="0.2">
      <c r="A116" s="77" t="s">
        <v>527</v>
      </c>
      <c r="B116" s="80">
        <v>225</v>
      </c>
      <c r="C116" s="81" t="s">
        <v>526</v>
      </c>
      <c r="D116" s="73">
        <v>1000</v>
      </c>
      <c r="E116" s="79" t="s">
        <v>28</v>
      </c>
      <c r="F116" s="79" t="s">
        <v>3725</v>
      </c>
      <c r="G116" s="79" t="s">
        <v>2996</v>
      </c>
      <c r="H116" s="79" t="s">
        <v>29</v>
      </c>
      <c r="I116" s="81" t="s">
        <v>3000</v>
      </c>
      <c r="J116" s="81">
        <v>25</v>
      </c>
      <c r="K116" s="86"/>
      <c r="M116" s="78" t="s">
        <v>519</v>
      </c>
      <c r="N116" s="82"/>
      <c r="O116" s="81" t="s">
        <v>2360</v>
      </c>
      <c r="P116" s="81" t="s">
        <v>2256</v>
      </c>
      <c r="Q116" s="81"/>
      <c r="R116" s="83">
        <v>3000</v>
      </c>
      <c r="S116" s="79" t="s">
        <v>3070</v>
      </c>
      <c r="T116" s="84">
        <v>3000000</v>
      </c>
      <c r="U116" s="81"/>
      <c r="V116" s="81"/>
      <c r="W116" s="78" t="s">
        <v>519</v>
      </c>
      <c r="X116" s="82"/>
      <c r="Y116" s="81" t="s">
        <v>2360</v>
      </c>
      <c r="Z116" s="81" t="s">
        <v>2256</v>
      </c>
      <c r="AA116" s="83">
        <v>15000</v>
      </c>
      <c r="AB116" s="85"/>
      <c r="AD116" s="78" t="s">
        <v>519</v>
      </c>
      <c r="AE116" s="82"/>
      <c r="AF116" s="81" t="s">
        <v>2360</v>
      </c>
      <c r="AG116" s="81" t="s">
        <v>2256</v>
      </c>
      <c r="AH116" s="83">
        <v>20000</v>
      </c>
      <c r="AI116" s="85"/>
    </row>
    <row r="117" spans="1:35" s="79" customFormat="1" ht="11.25" customHeight="1" x14ac:dyDescent="0.2">
      <c r="A117" s="77" t="s">
        <v>1900</v>
      </c>
      <c r="B117" s="80">
        <v>304</v>
      </c>
      <c r="C117" s="81" t="s">
        <v>519</v>
      </c>
      <c r="D117" s="73">
        <v>1000</v>
      </c>
      <c r="E117" s="79" t="s">
        <v>28</v>
      </c>
      <c r="F117" s="79" t="s">
        <v>3725</v>
      </c>
      <c r="G117" s="79" t="s">
        <v>2996</v>
      </c>
      <c r="H117" s="79" t="s">
        <v>29</v>
      </c>
      <c r="I117" s="81" t="s">
        <v>3000</v>
      </c>
      <c r="J117" s="81">
        <v>25</v>
      </c>
      <c r="K117" s="86"/>
      <c r="M117" s="78" t="s">
        <v>519</v>
      </c>
      <c r="N117" s="82"/>
      <c r="O117" s="81" t="s">
        <v>2256</v>
      </c>
      <c r="P117" s="81" t="s">
        <v>2256</v>
      </c>
      <c r="Q117" s="81"/>
      <c r="R117" s="83">
        <v>3000</v>
      </c>
      <c r="S117" s="79" t="s">
        <v>2999</v>
      </c>
      <c r="T117" s="84">
        <v>3000000</v>
      </c>
      <c r="U117" s="81"/>
      <c r="V117" s="81"/>
      <c r="W117" s="78" t="s">
        <v>519</v>
      </c>
      <c r="X117" s="82"/>
      <c r="Y117" s="81" t="s">
        <v>2256</v>
      </c>
      <c r="Z117" s="81" t="s">
        <v>2256</v>
      </c>
      <c r="AA117" s="83">
        <v>15000</v>
      </c>
      <c r="AB117" s="85"/>
      <c r="AD117" s="78" t="s">
        <v>519</v>
      </c>
      <c r="AE117" s="82"/>
      <c r="AF117" s="81" t="s">
        <v>2256</v>
      </c>
      <c r="AG117" s="81" t="s">
        <v>2256</v>
      </c>
      <c r="AH117" s="83">
        <v>20000</v>
      </c>
      <c r="AI117" s="85"/>
    </row>
    <row r="118" spans="1:35" s="79" customFormat="1" ht="11.25" customHeight="1" x14ac:dyDescent="0.2">
      <c r="A118" s="77" t="s">
        <v>1939</v>
      </c>
      <c r="B118" s="80">
        <v>263</v>
      </c>
      <c r="C118" s="81" t="s">
        <v>1938</v>
      </c>
      <c r="D118" s="73">
        <v>1000</v>
      </c>
      <c r="E118" s="79" t="s">
        <v>28</v>
      </c>
      <c r="F118" s="79" t="s">
        <v>3725</v>
      </c>
      <c r="G118" s="79" t="s">
        <v>2996</v>
      </c>
      <c r="H118" s="79" t="s">
        <v>29</v>
      </c>
      <c r="I118" s="81" t="s">
        <v>3000</v>
      </c>
      <c r="J118" s="81">
        <v>25</v>
      </c>
      <c r="K118" s="86"/>
      <c r="M118" s="78" t="s">
        <v>1938</v>
      </c>
      <c r="N118" s="82"/>
      <c r="O118" s="81" t="s">
        <v>2256</v>
      </c>
      <c r="P118" s="81" t="s">
        <v>2256</v>
      </c>
      <c r="Q118" s="81"/>
      <c r="R118" s="83">
        <v>1000</v>
      </c>
      <c r="S118" s="79" t="s">
        <v>2999</v>
      </c>
      <c r="T118" s="84">
        <v>1000000</v>
      </c>
      <c r="U118" s="81"/>
      <c r="V118" s="81"/>
      <c r="W118" s="78" t="s">
        <v>1938</v>
      </c>
      <c r="X118" s="82"/>
      <c r="Y118" s="81" t="s">
        <v>2256</v>
      </c>
      <c r="Z118" s="81" t="s">
        <v>2256</v>
      </c>
      <c r="AA118" s="83">
        <v>10000</v>
      </c>
      <c r="AB118" s="85"/>
      <c r="AD118" s="78" t="s">
        <v>1938</v>
      </c>
      <c r="AE118" s="82"/>
      <c r="AF118" s="81" t="s">
        <v>2256</v>
      </c>
      <c r="AG118" s="81" t="s">
        <v>2256</v>
      </c>
      <c r="AH118" s="83">
        <v>20000</v>
      </c>
      <c r="AI118" s="85"/>
    </row>
    <row r="119" spans="1:35" s="79" customFormat="1" ht="11.25" customHeight="1" x14ac:dyDescent="0.2">
      <c r="A119" s="77" t="s">
        <v>1943</v>
      </c>
      <c r="B119" s="80">
        <v>1151</v>
      </c>
      <c r="C119" s="81" t="s">
        <v>1942</v>
      </c>
      <c r="D119" s="73">
        <v>1000</v>
      </c>
      <c r="E119" s="79" t="s">
        <v>28</v>
      </c>
      <c r="F119" s="79" t="s">
        <v>30</v>
      </c>
      <c r="G119" s="79" t="s">
        <v>3001</v>
      </c>
      <c r="H119" s="79" t="s">
        <v>29</v>
      </c>
      <c r="I119" s="81" t="s">
        <v>3000</v>
      </c>
      <c r="J119" s="81">
        <v>25</v>
      </c>
      <c r="K119" s="86"/>
      <c r="M119" s="78" t="s">
        <v>1938</v>
      </c>
      <c r="N119" s="82"/>
      <c r="O119" s="81" t="s">
        <v>2693</v>
      </c>
      <c r="P119" s="81" t="s">
        <v>2256</v>
      </c>
      <c r="Q119" s="81"/>
      <c r="R119" s="83">
        <v>1000</v>
      </c>
      <c r="S119" s="79" t="s">
        <v>3230</v>
      </c>
      <c r="T119" s="84">
        <v>1000000</v>
      </c>
      <c r="U119" s="81"/>
      <c r="V119" s="81"/>
      <c r="W119" s="78" t="s">
        <v>1938</v>
      </c>
      <c r="X119" s="82"/>
      <c r="Y119" s="81" t="s">
        <v>2693</v>
      </c>
      <c r="Z119" s="81" t="s">
        <v>2256</v>
      </c>
      <c r="AA119" s="83">
        <v>10000</v>
      </c>
      <c r="AB119" s="85"/>
      <c r="AD119" s="78" t="s">
        <v>1938</v>
      </c>
      <c r="AE119" s="82"/>
      <c r="AF119" s="81" t="s">
        <v>2693</v>
      </c>
      <c r="AG119" s="81" t="s">
        <v>2256</v>
      </c>
      <c r="AH119" s="83">
        <v>20000</v>
      </c>
      <c r="AI119" s="85"/>
    </row>
    <row r="120" spans="1:35" s="79" customFormat="1" ht="11.25" customHeight="1" x14ac:dyDescent="0.2">
      <c r="A120" s="77" t="s">
        <v>1941</v>
      </c>
      <c r="B120" s="80">
        <v>1108</v>
      </c>
      <c r="C120" s="81" t="s">
        <v>1940</v>
      </c>
      <c r="D120" s="73">
        <v>1000</v>
      </c>
      <c r="E120" s="79" t="s">
        <v>28</v>
      </c>
      <c r="F120" s="79" t="s">
        <v>3725</v>
      </c>
      <c r="G120" s="79" t="s">
        <v>2997</v>
      </c>
      <c r="H120" s="79" t="s">
        <v>29</v>
      </c>
      <c r="I120" s="81"/>
      <c r="J120" s="81">
        <v>25</v>
      </c>
      <c r="K120" s="86"/>
      <c r="M120" s="78" t="s">
        <v>1940</v>
      </c>
      <c r="N120" s="82"/>
      <c r="O120" s="81" t="s">
        <v>2256</v>
      </c>
      <c r="P120" s="81" t="s">
        <v>2256</v>
      </c>
      <c r="Q120" s="81"/>
      <c r="R120" s="83">
        <v>1000</v>
      </c>
      <c r="S120" s="79" t="s">
        <v>2999</v>
      </c>
      <c r="T120" s="84">
        <v>1000000</v>
      </c>
      <c r="U120" s="81"/>
      <c r="V120" s="81"/>
      <c r="W120" s="78" t="s">
        <v>1940</v>
      </c>
      <c r="X120" s="82"/>
      <c r="Y120" s="81" t="s">
        <v>2256</v>
      </c>
      <c r="Z120" s="81" t="s">
        <v>2256</v>
      </c>
      <c r="AA120" s="83">
        <v>10000</v>
      </c>
      <c r="AB120" s="85"/>
      <c r="AD120" s="78" t="s">
        <v>1940</v>
      </c>
      <c r="AE120" s="82"/>
      <c r="AF120" s="81" t="s">
        <v>2256</v>
      </c>
      <c r="AG120" s="81" t="s">
        <v>2256</v>
      </c>
      <c r="AH120" s="83">
        <v>10000</v>
      </c>
      <c r="AI120" s="85"/>
    </row>
    <row r="121" spans="1:35" s="79" customFormat="1" ht="11.25" customHeight="1" x14ac:dyDescent="0.2">
      <c r="A121" s="77" t="s">
        <v>1945</v>
      </c>
      <c r="B121" s="80">
        <v>1212</v>
      </c>
      <c r="C121" s="81" t="s">
        <v>1944</v>
      </c>
      <c r="D121" s="73">
        <v>1000</v>
      </c>
      <c r="E121" s="79" t="s">
        <v>28</v>
      </c>
      <c r="F121" s="79" t="s">
        <v>129</v>
      </c>
      <c r="G121" s="79" t="s">
        <v>2994</v>
      </c>
      <c r="H121" s="79" t="s">
        <v>29</v>
      </c>
      <c r="I121" s="81"/>
      <c r="J121" s="81">
        <v>25</v>
      </c>
      <c r="K121" s="86"/>
      <c r="M121" s="78" t="s">
        <v>1940</v>
      </c>
      <c r="N121" s="82"/>
      <c r="O121" s="81" t="s">
        <v>2694</v>
      </c>
      <c r="P121" s="81" t="s">
        <v>2256</v>
      </c>
      <c r="Q121" s="81"/>
      <c r="R121" s="83">
        <v>1000</v>
      </c>
      <c r="S121" s="79" t="s">
        <v>3231</v>
      </c>
      <c r="T121" s="84">
        <v>1000000</v>
      </c>
      <c r="U121" s="81"/>
      <c r="V121" s="81"/>
      <c r="W121" s="78" t="s">
        <v>1940</v>
      </c>
      <c r="X121" s="82"/>
      <c r="Y121" s="81" t="s">
        <v>2694</v>
      </c>
      <c r="Z121" s="81" t="s">
        <v>2256</v>
      </c>
      <c r="AA121" s="83">
        <v>10000</v>
      </c>
      <c r="AB121" s="85"/>
      <c r="AD121" s="78" t="s">
        <v>1940</v>
      </c>
      <c r="AE121" s="82"/>
      <c r="AF121" s="81" t="s">
        <v>2694</v>
      </c>
      <c r="AG121" s="81" t="s">
        <v>2256</v>
      </c>
      <c r="AH121" s="83">
        <v>10000</v>
      </c>
      <c r="AI121" s="85"/>
    </row>
    <row r="122" spans="1:35" s="79" customFormat="1" ht="11.25" customHeight="1" x14ac:dyDescent="0.2">
      <c r="A122" s="77" t="s">
        <v>3394</v>
      </c>
      <c r="B122" s="80">
        <v>397</v>
      </c>
      <c r="C122" s="81" t="s">
        <v>3329</v>
      </c>
      <c r="D122" s="73">
        <v>1000</v>
      </c>
      <c r="E122" s="79" t="s">
        <v>28</v>
      </c>
      <c r="F122" s="79" t="s">
        <v>30</v>
      </c>
      <c r="G122" s="79" t="s">
        <v>2995</v>
      </c>
      <c r="H122" s="79" t="str">
        <f>VLOOKUP(M122,C:H,6,FALSE)</f>
        <v>Crude Oil</v>
      </c>
      <c r="I122" s="81"/>
      <c r="J122" s="81">
        <v>25</v>
      </c>
      <c r="K122" s="86"/>
      <c r="M122" s="78" t="s">
        <v>1193</v>
      </c>
      <c r="N122" s="82" t="s">
        <v>1193</v>
      </c>
      <c r="O122" s="81" t="s">
        <v>3334</v>
      </c>
      <c r="P122" s="81" t="s">
        <v>2256</v>
      </c>
      <c r="Q122" s="81"/>
      <c r="R122" s="83">
        <v>2000</v>
      </c>
      <c r="S122" s="79" t="s">
        <v>3248</v>
      </c>
      <c r="T122" s="84" t="s">
        <v>3424</v>
      </c>
      <c r="U122" s="81"/>
      <c r="V122" s="81"/>
      <c r="W122" s="78" t="s">
        <v>1193</v>
      </c>
      <c r="X122" s="82" t="s">
        <v>1193</v>
      </c>
      <c r="Y122" s="81" t="s">
        <v>3334</v>
      </c>
      <c r="Z122" s="81" t="s">
        <v>2256</v>
      </c>
      <c r="AA122" s="83">
        <v>20000</v>
      </c>
      <c r="AB122" s="85"/>
      <c r="AD122" s="78" t="s">
        <v>1193</v>
      </c>
      <c r="AE122" s="82" t="s">
        <v>1193</v>
      </c>
      <c r="AF122" s="81" t="s">
        <v>3334</v>
      </c>
      <c r="AG122" s="81" t="s">
        <v>2256</v>
      </c>
      <c r="AH122" s="83">
        <v>20000</v>
      </c>
      <c r="AI122" s="85"/>
    </row>
    <row r="123" spans="1:35" s="79" customFormat="1" ht="11.25" customHeight="1" x14ac:dyDescent="0.2">
      <c r="A123" s="77" t="s">
        <v>3395</v>
      </c>
      <c r="B123" s="80">
        <v>397</v>
      </c>
      <c r="C123" s="81" t="s">
        <v>3330</v>
      </c>
      <c r="D123" s="73">
        <v>1000</v>
      </c>
      <c r="E123" s="79" t="s">
        <v>28</v>
      </c>
      <c r="F123" s="79" t="s">
        <v>30</v>
      </c>
      <c r="G123" s="79" t="s">
        <v>2995</v>
      </c>
      <c r="H123" s="79" t="str">
        <f>VLOOKUP(M123,C:H,6,FALSE)</f>
        <v>Crude Oil</v>
      </c>
      <c r="I123" s="81"/>
      <c r="J123" s="81">
        <v>25</v>
      </c>
      <c r="K123" s="86"/>
      <c r="M123" s="78" t="s">
        <v>1193</v>
      </c>
      <c r="N123" s="82" t="s">
        <v>1193</v>
      </c>
      <c r="O123" s="81" t="s">
        <v>3335</v>
      </c>
      <c r="P123" s="81" t="s">
        <v>2256</v>
      </c>
      <c r="Q123" s="81"/>
      <c r="R123" s="83">
        <v>2000</v>
      </c>
      <c r="S123" s="79" t="s">
        <v>3248</v>
      </c>
      <c r="T123" s="84" t="s">
        <v>3424</v>
      </c>
      <c r="U123" s="81"/>
      <c r="V123" s="81"/>
      <c r="W123" s="78" t="s">
        <v>1193</v>
      </c>
      <c r="X123" s="82" t="s">
        <v>1193</v>
      </c>
      <c r="Y123" s="81" t="s">
        <v>3335</v>
      </c>
      <c r="Z123" s="81" t="s">
        <v>2256</v>
      </c>
      <c r="AA123" s="83">
        <v>20000</v>
      </c>
      <c r="AB123" s="85"/>
      <c r="AD123" s="78" t="s">
        <v>1193</v>
      </c>
      <c r="AE123" s="82" t="s">
        <v>1193</v>
      </c>
      <c r="AF123" s="81" t="s">
        <v>3335</v>
      </c>
      <c r="AG123" s="81" t="s">
        <v>2256</v>
      </c>
      <c r="AH123" s="83">
        <v>20000</v>
      </c>
      <c r="AI123" s="85"/>
    </row>
    <row r="124" spans="1:35" s="79" customFormat="1" ht="11.25" customHeight="1" x14ac:dyDescent="0.2">
      <c r="A124" s="77" t="s">
        <v>3396</v>
      </c>
      <c r="B124" s="80">
        <v>397</v>
      </c>
      <c r="C124" s="81" t="s">
        <v>3331</v>
      </c>
      <c r="D124" s="73">
        <v>1000</v>
      </c>
      <c r="E124" s="79" t="s">
        <v>28</v>
      </c>
      <c r="F124" s="79" t="s">
        <v>30</v>
      </c>
      <c r="G124" s="79" t="s">
        <v>2995</v>
      </c>
      <c r="H124" s="79" t="str">
        <f>VLOOKUP(M124,C:H,6,FALSE)</f>
        <v>Crude Oil</v>
      </c>
      <c r="I124" s="81"/>
      <c r="J124" s="81">
        <v>25</v>
      </c>
      <c r="K124" s="86"/>
      <c r="M124" s="78" t="s">
        <v>1193</v>
      </c>
      <c r="N124" s="82" t="s">
        <v>1193</v>
      </c>
      <c r="O124" s="81" t="s">
        <v>3336</v>
      </c>
      <c r="P124" s="81" t="s">
        <v>2256</v>
      </c>
      <c r="Q124" s="81"/>
      <c r="R124" s="83">
        <v>2000</v>
      </c>
      <c r="S124" s="79" t="s">
        <v>3248</v>
      </c>
      <c r="T124" s="84" t="s">
        <v>3424</v>
      </c>
      <c r="U124" s="81"/>
      <c r="V124" s="81"/>
      <c r="W124" s="78" t="s">
        <v>1193</v>
      </c>
      <c r="X124" s="82" t="s">
        <v>1193</v>
      </c>
      <c r="Y124" s="81" t="s">
        <v>3336</v>
      </c>
      <c r="Z124" s="81" t="s">
        <v>2256</v>
      </c>
      <c r="AA124" s="83">
        <v>20000</v>
      </c>
      <c r="AB124" s="85"/>
      <c r="AD124" s="78" t="s">
        <v>1193</v>
      </c>
      <c r="AE124" s="82" t="s">
        <v>1193</v>
      </c>
      <c r="AF124" s="81" t="s">
        <v>3336</v>
      </c>
      <c r="AG124" s="81" t="s">
        <v>2256</v>
      </c>
      <c r="AH124" s="83">
        <v>20000</v>
      </c>
      <c r="AI124" s="85"/>
    </row>
    <row r="125" spans="1:35" s="79" customFormat="1" ht="11.25" customHeight="1" x14ac:dyDescent="0.2">
      <c r="A125" s="77" t="s">
        <v>3397</v>
      </c>
      <c r="B125" s="80">
        <v>397</v>
      </c>
      <c r="C125" s="81" t="s">
        <v>3332</v>
      </c>
      <c r="D125" s="73">
        <v>1000</v>
      </c>
      <c r="E125" s="79" t="s">
        <v>28</v>
      </c>
      <c r="F125" s="79" t="s">
        <v>30</v>
      </c>
      <c r="G125" s="79" t="s">
        <v>2995</v>
      </c>
      <c r="H125" s="79" t="str">
        <f>VLOOKUP(M125,C:H,6,FALSE)</f>
        <v>Crude Oil</v>
      </c>
      <c r="I125" s="81"/>
      <c r="J125" s="81">
        <v>25</v>
      </c>
      <c r="K125" s="86"/>
      <c r="M125" s="78" t="s">
        <v>1193</v>
      </c>
      <c r="N125" s="82" t="s">
        <v>1193</v>
      </c>
      <c r="O125" s="81" t="s">
        <v>3337</v>
      </c>
      <c r="P125" s="81" t="s">
        <v>2256</v>
      </c>
      <c r="Q125" s="81"/>
      <c r="R125" s="83">
        <v>2000</v>
      </c>
      <c r="S125" s="79" t="s">
        <v>3248</v>
      </c>
      <c r="T125" s="84" t="s">
        <v>3424</v>
      </c>
      <c r="U125" s="81"/>
      <c r="V125" s="81"/>
      <c r="W125" s="78" t="s">
        <v>1193</v>
      </c>
      <c r="X125" s="82" t="s">
        <v>1193</v>
      </c>
      <c r="Y125" s="81" t="s">
        <v>3337</v>
      </c>
      <c r="Z125" s="81" t="s">
        <v>2256</v>
      </c>
      <c r="AA125" s="83">
        <v>20000</v>
      </c>
      <c r="AB125" s="85"/>
      <c r="AD125" s="78" t="s">
        <v>1193</v>
      </c>
      <c r="AE125" s="82" t="s">
        <v>1193</v>
      </c>
      <c r="AF125" s="81" t="s">
        <v>3337</v>
      </c>
      <c r="AG125" s="81" t="s">
        <v>2256</v>
      </c>
      <c r="AH125" s="83">
        <v>20000</v>
      </c>
      <c r="AI125" s="85"/>
    </row>
    <row r="126" spans="1:35" s="79" customFormat="1" ht="11.25" customHeight="1" x14ac:dyDescent="0.2">
      <c r="A126" s="77" t="s">
        <v>3398</v>
      </c>
      <c r="B126" s="80">
        <v>397</v>
      </c>
      <c r="C126" s="81" t="s">
        <v>3333</v>
      </c>
      <c r="D126" s="73">
        <v>1000</v>
      </c>
      <c r="E126" s="79" t="s">
        <v>28</v>
      </c>
      <c r="F126" s="79" t="s">
        <v>30</v>
      </c>
      <c r="G126" s="79" t="s">
        <v>2995</v>
      </c>
      <c r="H126" s="79" t="str">
        <f>VLOOKUP(M126,C:H,6,FALSE)</f>
        <v>Crude Oil</v>
      </c>
      <c r="I126" s="81"/>
      <c r="J126" s="81">
        <v>25</v>
      </c>
      <c r="K126" s="86"/>
      <c r="M126" s="78" t="s">
        <v>1193</v>
      </c>
      <c r="N126" s="82" t="s">
        <v>1193</v>
      </c>
      <c r="O126" s="81" t="s">
        <v>3338</v>
      </c>
      <c r="P126" s="81" t="s">
        <v>2256</v>
      </c>
      <c r="Q126" s="81"/>
      <c r="R126" s="83">
        <v>2000</v>
      </c>
      <c r="S126" s="79" t="s">
        <v>3248</v>
      </c>
      <c r="T126" s="84" t="s">
        <v>3424</v>
      </c>
      <c r="U126" s="81"/>
      <c r="V126" s="81"/>
      <c r="W126" s="78" t="s">
        <v>1193</v>
      </c>
      <c r="X126" s="82" t="s">
        <v>1193</v>
      </c>
      <c r="Y126" s="81" t="s">
        <v>3338</v>
      </c>
      <c r="Z126" s="81" t="s">
        <v>2256</v>
      </c>
      <c r="AA126" s="83">
        <v>20000</v>
      </c>
      <c r="AB126" s="85"/>
      <c r="AD126" s="78" t="s">
        <v>1193</v>
      </c>
      <c r="AE126" s="82" t="s">
        <v>1193</v>
      </c>
      <c r="AF126" s="81" t="s">
        <v>3338</v>
      </c>
      <c r="AG126" s="81" t="s">
        <v>2256</v>
      </c>
      <c r="AH126" s="83">
        <v>20000</v>
      </c>
      <c r="AI126" s="85"/>
    </row>
    <row r="127" spans="1:35" s="79" customFormat="1" ht="11.25" customHeight="1" x14ac:dyDescent="0.2">
      <c r="A127" s="77" t="s">
        <v>1192</v>
      </c>
      <c r="B127" s="80">
        <v>550</v>
      </c>
      <c r="C127" s="81" t="s">
        <v>1191</v>
      </c>
      <c r="D127" s="73">
        <v>1000</v>
      </c>
      <c r="E127" s="79" t="s">
        <v>28</v>
      </c>
      <c r="F127" s="79" t="s">
        <v>30</v>
      </c>
      <c r="G127" s="79" t="s">
        <v>3001</v>
      </c>
      <c r="H127" s="79" t="s">
        <v>29</v>
      </c>
      <c r="I127" s="81"/>
      <c r="J127" s="81">
        <v>100</v>
      </c>
      <c r="K127" s="86"/>
      <c r="M127" s="78" t="s">
        <v>1193</v>
      </c>
      <c r="N127" s="82"/>
      <c r="O127" s="81" t="s">
        <v>2516</v>
      </c>
      <c r="P127" s="81" t="s">
        <v>2256</v>
      </c>
      <c r="Q127" s="81"/>
      <c r="R127" s="83">
        <v>2000</v>
      </c>
      <c r="S127" s="79" t="s">
        <v>3159</v>
      </c>
      <c r="T127" s="84">
        <v>2000000</v>
      </c>
      <c r="U127" s="81"/>
      <c r="V127" s="81"/>
      <c r="W127" s="78" t="s">
        <v>1193</v>
      </c>
      <c r="X127" s="82"/>
      <c r="Y127" s="81" t="s">
        <v>2516</v>
      </c>
      <c r="Z127" s="81" t="s">
        <v>2256</v>
      </c>
      <c r="AA127" s="83">
        <v>20000</v>
      </c>
      <c r="AB127" s="85"/>
      <c r="AD127" s="78" t="s">
        <v>1193</v>
      </c>
      <c r="AE127" s="82"/>
      <c r="AF127" s="81" t="s">
        <v>2516</v>
      </c>
      <c r="AG127" s="81" t="s">
        <v>2256</v>
      </c>
      <c r="AH127" s="83">
        <v>20000</v>
      </c>
      <c r="AI127" s="85"/>
    </row>
    <row r="128" spans="1:35" s="79" customFormat="1" ht="11.25" customHeight="1" x14ac:dyDescent="0.2">
      <c r="A128" s="77" t="s">
        <v>1260</v>
      </c>
      <c r="B128" s="80">
        <v>1116</v>
      </c>
      <c r="C128" s="81" t="s">
        <v>1259</v>
      </c>
      <c r="D128" s="73">
        <v>1</v>
      </c>
      <c r="E128" s="79" t="s">
        <v>1254</v>
      </c>
      <c r="F128" s="79" t="s">
        <v>3725</v>
      </c>
      <c r="G128" s="79" t="s">
        <v>2996</v>
      </c>
      <c r="H128" s="79" t="s">
        <v>29</v>
      </c>
      <c r="I128" s="81"/>
      <c r="J128" s="81">
        <v>25</v>
      </c>
      <c r="K128" s="86"/>
      <c r="M128" s="78" t="s">
        <v>1193</v>
      </c>
      <c r="N128" s="82"/>
      <c r="O128" s="81" t="s">
        <v>2533</v>
      </c>
      <c r="P128" s="81" t="s">
        <v>2256</v>
      </c>
      <c r="Q128" s="81"/>
      <c r="R128" s="83">
        <v>2000</v>
      </c>
      <c r="S128" s="79" t="s">
        <v>3159</v>
      </c>
      <c r="T128" s="84">
        <v>2000000</v>
      </c>
      <c r="U128" s="81"/>
      <c r="V128" s="81"/>
      <c r="W128" s="78" t="s">
        <v>1193</v>
      </c>
      <c r="X128" s="82"/>
      <c r="Y128" s="81" t="s">
        <v>2533</v>
      </c>
      <c r="Z128" s="81" t="s">
        <v>2256</v>
      </c>
      <c r="AA128" s="83">
        <v>20000</v>
      </c>
      <c r="AB128" s="85"/>
      <c r="AD128" s="78" t="s">
        <v>1193</v>
      </c>
      <c r="AE128" s="82"/>
      <c r="AF128" s="81" t="s">
        <v>2533</v>
      </c>
      <c r="AG128" s="81" t="s">
        <v>2256</v>
      </c>
      <c r="AH128" s="83">
        <v>20000</v>
      </c>
      <c r="AI128" s="85"/>
    </row>
    <row r="129" spans="1:35" s="79" customFormat="1" ht="11.25" customHeight="1" x14ac:dyDescent="0.2">
      <c r="A129" s="77" t="s">
        <v>1632</v>
      </c>
      <c r="B129" s="80">
        <v>401</v>
      </c>
      <c r="C129" s="81" t="s">
        <v>1631</v>
      </c>
      <c r="D129" s="73">
        <v>500</v>
      </c>
      <c r="E129" s="79" t="s">
        <v>28</v>
      </c>
      <c r="F129" s="79" t="s">
        <v>3725</v>
      </c>
      <c r="G129" s="79" t="s">
        <v>2996</v>
      </c>
      <c r="H129" s="79" t="s">
        <v>29</v>
      </c>
      <c r="I129" s="81"/>
      <c r="J129" s="81">
        <v>350</v>
      </c>
      <c r="K129" s="86"/>
      <c r="M129" s="78" t="s">
        <v>1193</v>
      </c>
      <c r="N129" s="82"/>
      <c r="O129" s="81" t="s">
        <v>2629</v>
      </c>
      <c r="P129" s="81" t="s">
        <v>2256</v>
      </c>
      <c r="Q129" s="81"/>
      <c r="R129" s="83">
        <v>2000</v>
      </c>
      <c r="S129" s="79" t="s">
        <v>3159</v>
      </c>
      <c r="T129" s="84">
        <v>2000000</v>
      </c>
      <c r="U129" s="81"/>
      <c r="V129" s="81"/>
      <c r="W129" s="78" t="s">
        <v>1193</v>
      </c>
      <c r="X129" s="82"/>
      <c r="Y129" s="81" t="s">
        <v>2629</v>
      </c>
      <c r="Z129" s="81" t="s">
        <v>2256</v>
      </c>
      <c r="AA129" s="83">
        <v>20000</v>
      </c>
      <c r="AB129" s="85"/>
      <c r="AD129" s="78" t="s">
        <v>1193</v>
      </c>
      <c r="AE129" s="82"/>
      <c r="AF129" s="81" t="s">
        <v>2629</v>
      </c>
      <c r="AG129" s="81" t="s">
        <v>2256</v>
      </c>
      <c r="AH129" s="83">
        <v>20000</v>
      </c>
      <c r="AI129" s="85"/>
    </row>
    <row r="130" spans="1:35" s="79" customFormat="1" ht="11.25" customHeight="1" x14ac:dyDescent="0.2">
      <c r="A130" s="77" t="s">
        <v>1958</v>
      </c>
      <c r="B130" s="80">
        <v>691</v>
      </c>
      <c r="C130" s="81" t="s">
        <v>1193</v>
      </c>
      <c r="D130" s="73">
        <v>1000</v>
      </c>
      <c r="E130" s="79" t="s">
        <v>28</v>
      </c>
      <c r="F130" s="79" t="s">
        <v>3725</v>
      </c>
      <c r="G130" s="79" t="s">
        <v>2996</v>
      </c>
      <c r="H130" s="79" t="s">
        <v>29</v>
      </c>
      <c r="I130" s="81"/>
      <c r="J130" s="81">
        <v>25</v>
      </c>
      <c r="K130" s="86"/>
      <c r="M130" s="78" t="s">
        <v>1193</v>
      </c>
      <c r="N130" s="82"/>
      <c r="O130" s="81" t="s">
        <v>2256</v>
      </c>
      <c r="P130" s="81" t="s">
        <v>2256</v>
      </c>
      <c r="Q130" s="81"/>
      <c r="R130" s="83">
        <v>2000</v>
      </c>
      <c r="S130" s="79" t="s">
        <v>2999</v>
      </c>
      <c r="T130" s="84">
        <v>2000000</v>
      </c>
      <c r="U130" s="81"/>
      <c r="V130" s="81"/>
      <c r="W130" s="78" t="s">
        <v>1193</v>
      </c>
      <c r="X130" s="82"/>
      <c r="Y130" s="81" t="s">
        <v>2256</v>
      </c>
      <c r="Z130" s="81" t="s">
        <v>2256</v>
      </c>
      <c r="AA130" s="83">
        <v>20000</v>
      </c>
      <c r="AB130" s="85"/>
      <c r="AD130" s="78" t="s">
        <v>1193</v>
      </c>
      <c r="AE130" s="82"/>
      <c r="AF130" s="81" t="s">
        <v>2256</v>
      </c>
      <c r="AG130" s="81" t="s">
        <v>2256</v>
      </c>
      <c r="AH130" s="83">
        <v>20000</v>
      </c>
      <c r="AI130" s="85"/>
    </row>
    <row r="131" spans="1:35" s="79" customFormat="1" ht="11.25" customHeight="1" x14ac:dyDescent="0.2">
      <c r="A131" s="77" t="s">
        <v>1951</v>
      </c>
      <c r="B131" s="80">
        <v>840</v>
      </c>
      <c r="C131" s="81" t="s">
        <v>1950</v>
      </c>
      <c r="D131" s="73">
        <v>1000</v>
      </c>
      <c r="E131" s="79" t="s">
        <v>28</v>
      </c>
      <c r="F131" s="79" t="s">
        <v>3725</v>
      </c>
      <c r="G131" s="79" t="s">
        <v>2996</v>
      </c>
      <c r="H131" s="79" t="s">
        <v>29</v>
      </c>
      <c r="I131" s="81" t="s">
        <v>3000</v>
      </c>
      <c r="J131" s="81">
        <v>350</v>
      </c>
      <c r="K131" s="86"/>
      <c r="M131" s="78" t="s">
        <v>1952</v>
      </c>
      <c r="N131" s="82" t="s">
        <v>31</v>
      </c>
      <c r="O131" s="81" t="s">
        <v>2695</v>
      </c>
      <c r="P131" s="81" t="s">
        <v>2960</v>
      </c>
      <c r="Q131" s="81"/>
      <c r="R131" s="83" t="s">
        <v>3430</v>
      </c>
      <c r="S131" s="79" t="s">
        <v>3232</v>
      </c>
      <c r="T131" s="84" t="s">
        <v>3419</v>
      </c>
      <c r="U131" s="81"/>
      <c r="V131" s="81"/>
      <c r="W131" s="78" t="s">
        <v>1952</v>
      </c>
      <c r="X131" s="82" t="s">
        <v>31</v>
      </c>
      <c r="Y131" s="81" t="s">
        <v>2695</v>
      </c>
      <c r="Z131" s="81" t="s">
        <v>2960</v>
      </c>
      <c r="AA131" s="81" t="s">
        <v>373</v>
      </c>
      <c r="AB131" s="85"/>
      <c r="AD131" s="78" t="s">
        <v>1952</v>
      </c>
      <c r="AE131" s="82" t="s">
        <v>31</v>
      </c>
      <c r="AF131" s="81" t="s">
        <v>2695</v>
      </c>
      <c r="AG131" s="81" t="s">
        <v>2960</v>
      </c>
      <c r="AH131" s="81" t="s">
        <v>146</v>
      </c>
      <c r="AI131" s="85"/>
    </row>
    <row r="132" spans="1:35" s="79" customFormat="1" ht="11.25" customHeight="1" x14ac:dyDescent="0.2">
      <c r="A132" s="77" t="s">
        <v>1977</v>
      </c>
      <c r="B132" s="80">
        <v>838</v>
      </c>
      <c r="C132" s="81" t="s">
        <v>1952</v>
      </c>
      <c r="D132" s="73">
        <v>1000</v>
      </c>
      <c r="E132" s="79" t="s">
        <v>28</v>
      </c>
      <c r="F132" s="79" t="s">
        <v>3725</v>
      </c>
      <c r="G132" s="79" t="s">
        <v>2996</v>
      </c>
      <c r="H132" s="79" t="s">
        <v>29</v>
      </c>
      <c r="I132" s="81" t="s">
        <v>3000</v>
      </c>
      <c r="J132" s="81">
        <v>350</v>
      </c>
      <c r="K132" s="86"/>
      <c r="M132" s="78" t="s">
        <v>1952</v>
      </c>
      <c r="N132" s="82"/>
      <c r="O132" s="81" t="s">
        <v>2256</v>
      </c>
      <c r="P132" s="81" t="s">
        <v>2256</v>
      </c>
      <c r="Q132" s="81"/>
      <c r="R132" s="83">
        <v>3000</v>
      </c>
      <c r="S132" s="79" t="s">
        <v>2999</v>
      </c>
      <c r="T132" s="84">
        <v>3000000</v>
      </c>
      <c r="U132" s="81"/>
      <c r="V132" s="81"/>
      <c r="W132" s="78" t="s">
        <v>1952</v>
      </c>
      <c r="X132" s="82"/>
      <c r="Y132" s="81" t="s">
        <v>2256</v>
      </c>
      <c r="Z132" s="81" t="s">
        <v>2256</v>
      </c>
      <c r="AA132" s="83">
        <v>20000</v>
      </c>
      <c r="AB132" s="85"/>
      <c r="AD132" s="78" t="s">
        <v>1952</v>
      </c>
      <c r="AE132" s="82"/>
      <c r="AF132" s="81" t="s">
        <v>2256</v>
      </c>
      <c r="AG132" s="81" t="s">
        <v>2256</v>
      </c>
      <c r="AH132" s="83">
        <v>20000</v>
      </c>
      <c r="AI132" s="85"/>
    </row>
    <row r="133" spans="1:35" s="79" customFormat="1" ht="11.25" customHeight="1" x14ac:dyDescent="0.2">
      <c r="A133" s="77" t="s">
        <v>3723</v>
      </c>
      <c r="B133" s="80">
        <v>856</v>
      </c>
      <c r="C133" s="81" t="s">
        <v>775</v>
      </c>
      <c r="D133" s="73">
        <v>1000</v>
      </c>
      <c r="E133" s="79" t="s">
        <v>28</v>
      </c>
      <c r="F133" s="79" t="s">
        <v>3725</v>
      </c>
      <c r="G133" s="79" t="s">
        <v>2996</v>
      </c>
      <c r="H133" s="79" t="s">
        <v>29</v>
      </c>
      <c r="I133" s="81" t="s">
        <v>3000</v>
      </c>
      <c r="J133" s="81">
        <v>350</v>
      </c>
      <c r="K133" s="86"/>
      <c r="M133" s="78" t="s">
        <v>776</v>
      </c>
      <c r="N133" s="82" t="s">
        <v>31</v>
      </c>
      <c r="O133" s="81" t="s">
        <v>2413</v>
      </c>
      <c r="P133" s="81" t="s">
        <v>2833</v>
      </c>
      <c r="Q133" s="81"/>
      <c r="R133" s="83" t="s">
        <v>3430</v>
      </c>
      <c r="S133" s="79" t="s">
        <v>3104</v>
      </c>
      <c r="T133" s="84" t="s">
        <v>3419</v>
      </c>
      <c r="U133" s="81"/>
      <c r="V133" s="81"/>
      <c r="W133" s="78" t="s">
        <v>776</v>
      </c>
      <c r="X133" s="82" t="s">
        <v>31</v>
      </c>
      <c r="Y133" s="81" t="s">
        <v>2413</v>
      </c>
      <c r="Z133" s="81" t="s">
        <v>2833</v>
      </c>
      <c r="AA133" s="81" t="s">
        <v>373</v>
      </c>
      <c r="AB133" s="85"/>
      <c r="AD133" s="78" t="s">
        <v>776</v>
      </c>
      <c r="AE133" s="82" t="s">
        <v>31</v>
      </c>
      <c r="AF133" s="81" t="s">
        <v>2413</v>
      </c>
      <c r="AG133" s="81" t="s">
        <v>2833</v>
      </c>
      <c r="AH133" s="81" t="s">
        <v>146</v>
      </c>
      <c r="AI133" s="85"/>
    </row>
    <row r="134" spans="1:35" s="79" customFormat="1" ht="11.25" customHeight="1" x14ac:dyDescent="0.2">
      <c r="A134" s="77" t="s">
        <v>3724</v>
      </c>
      <c r="B134" s="80">
        <v>854</v>
      </c>
      <c r="C134" s="81" t="s">
        <v>776</v>
      </c>
      <c r="D134" s="73">
        <v>1000</v>
      </c>
      <c r="E134" s="79" t="s">
        <v>28</v>
      </c>
      <c r="F134" s="79" t="s">
        <v>3725</v>
      </c>
      <c r="G134" s="79" t="s">
        <v>2996</v>
      </c>
      <c r="H134" s="79" t="s">
        <v>29</v>
      </c>
      <c r="I134" s="81" t="s">
        <v>3000</v>
      </c>
      <c r="J134" s="81">
        <v>350</v>
      </c>
      <c r="K134" s="86"/>
      <c r="M134" s="78" t="s">
        <v>776</v>
      </c>
      <c r="N134" s="82"/>
      <c r="O134" s="81" t="s">
        <v>2256</v>
      </c>
      <c r="P134" s="81" t="s">
        <v>2256</v>
      </c>
      <c r="Q134" s="81"/>
      <c r="R134" s="83">
        <v>3000</v>
      </c>
      <c r="S134" s="79" t="s">
        <v>2999</v>
      </c>
      <c r="T134" s="84">
        <v>3000000</v>
      </c>
      <c r="U134" s="81"/>
      <c r="V134" s="81"/>
      <c r="W134" s="78" t="s">
        <v>776</v>
      </c>
      <c r="X134" s="82"/>
      <c r="Y134" s="81" t="s">
        <v>2256</v>
      </c>
      <c r="Z134" s="81" t="s">
        <v>2256</v>
      </c>
      <c r="AA134" s="83">
        <v>20000</v>
      </c>
      <c r="AB134" s="85"/>
      <c r="AD134" s="78" t="s">
        <v>776</v>
      </c>
      <c r="AE134" s="82"/>
      <c r="AF134" s="81" t="s">
        <v>2256</v>
      </c>
      <c r="AG134" s="81" t="s">
        <v>2256</v>
      </c>
      <c r="AH134" s="83">
        <v>20000</v>
      </c>
      <c r="AI134" s="85"/>
    </row>
    <row r="135" spans="1:35" s="79" customFormat="1" ht="11.25" customHeight="1" x14ac:dyDescent="0.2">
      <c r="A135" s="77" t="s">
        <v>2123</v>
      </c>
      <c r="B135" s="80">
        <v>1254</v>
      </c>
      <c r="C135" s="81" t="s">
        <v>2122</v>
      </c>
      <c r="D135" s="73">
        <v>1000</v>
      </c>
      <c r="E135" s="79" t="s">
        <v>307</v>
      </c>
      <c r="F135" s="79" t="s">
        <v>30</v>
      </c>
      <c r="G135" s="79" t="s">
        <v>2994</v>
      </c>
      <c r="H135" s="79" t="s">
        <v>49</v>
      </c>
      <c r="I135" s="81"/>
      <c r="J135" s="81">
        <v>25</v>
      </c>
      <c r="K135" s="86"/>
      <c r="M135" s="78" t="s">
        <v>1904</v>
      </c>
      <c r="N135" s="82"/>
      <c r="O135" s="81" t="s">
        <v>2734</v>
      </c>
      <c r="P135" s="81" t="s">
        <v>2256</v>
      </c>
      <c r="Q135" s="81"/>
      <c r="R135" s="83">
        <v>8700</v>
      </c>
      <c r="S135" s="79" t="s">
        <v>3226</v>
      </c>
      <c r="T135" s="84">
        <v>8700000</v>
      </c>
      <c r="U135" s="81"/>
      <c r="V135" s="81"/>
      <c r="W135" s="78" t="s">
        <v>1904</v>
      </c>
      <c r="X135" s="82"/>
      <c r="Y135" s="81" t="s">
        <v>2734</v>
      </c>
      <c r="Z135" s="81" t="s">
        <v>2256</v>
      </c>
      <c r="AA135" s="83">
        <v>20000</v>
      </c>
      <c r="AB135" s="85"/>
      <c r="AD135" s="78" t="s">
        <v>1904</v>
      </c>
      <c r="AE135" s="82"/>
      <c r="AF135" s="81" t="s">
        <v>2734</v>
      </c>
      <c r="AG135" s="81" t="s">
        <v>2256</v>
      </c>
      <c r="AH135" s="83">
        <v>30000</v>
      </c>
      <c r="AI135" s="85"/>
    </row>
    <row r="136" spans="1:35" s="79" customFormat="1" ht="11.25" customHeight="1" x14ac:dyDescent="0.2">
      <c r="A136" s="77" t="s">
        <v>2125</v>
      </c>
      <c r="B136" s="80">
        <v>1253</v>
      </c>
      <c r="C136" s="81" t="s">
        <v>1904</v>
      </c>
      <c r="D136" s="73">
        <v>1000</v>
      </c>
      <c r="E136" s="79" t="s">
        <v>307</v>
      </c>
      <c r="F136" s="79" t="s">
        <v>3725</v>
      </c>
      <c r="G136" s="79" t="s">
        <v>2997</v>
      </c>
      <c r="H136" s="79" t="s">
        <v>49</v>
      </c>
      <c r="I136" s="81"/>
      <c r="J136" s="81">
        <v>25</v>
      </c>
      <c r="K136" s="86"/>
      <c r="M136" s="78" t="s">
        <v>1904</v>
      </c>
      <c r="N136" s="82"/>
      <c r="O136" s="81" t="s">
        <v>2256</v>
      </c>
      <c r="P136" s="81" t="s">
        <v>2256</v>
      </c>
      <c r="Q136" s="81"/>
      <c r="R136" s="83">
        <v>8700</v>
      </c>
      <c r="S136" s="79" t="s">
        <v>2999</v>
      </c>
      <c r="T136" s="84">
        <v>8700000</v>
      </c>
      <c r="U136" s="81"/>
      <c r="V136" s="81"/>
      <c r="W136" s="78" t="s">
        <v>1904</v>
      </c>
      <c r="X136" s="82"/>
      <c r="Y136" s="81" t="s">
        <v>2256</v>
      </c>
      <c r="Z136" s="81" t="s">
        <v>2256</v>
      </c>
      <c r="AA136" s="83">
        <v>20000</v>
      </c>
      <c r="AB136" s="85"/>
      <c r="AD136" s="78" t="s">
        <v>1904</v>
      </c>
      <c r="AE136" s="82"/>
      <c r="AF136" s="81" t="s">
        <v>2256</v>
      </c>
      <c r="AG136" s="81" t="s">
        <v>2256</v>
      </c>
      <c r="AH136" s="83">
        <v>30000</v>
      </c>
      <c r="AI136" s="85"/>
    </row>
    <row r="137" spans="1:35" s="79" customFormat="1" ht="11.25" customHeight="1" x14ac:dyDescent="0.2">
      <c r="A137" s="77" t="s">
        <v>2126</v>
      </c>
      <c r="B137" s="80">
        <v>1250</v>
      </c>
      <c r="C137" s="81" t="s">
        <v>50</v>
      </c>
      <c r="D137" s="73">
        <v>1000</v>
      </c>
      <c r="E137" s="79" t="s">
        <v>48</v>
      </c>
      <c r="F137" s="79" t="s">
        <v>3725</v>
      </c>
      <c r="G137" s="79" t="s">
        <v>2997</v>
      </c>
      <c r="H137" s="79" t="s">
        <v>49</v>
      </c>
      <c r="I137" s="81"/>
      <c r="J137" s="81">
        <v>25</v>
      </c>
      <c r="K137" s="86"/>
      <c r="M137" s="78" t="s">
        <v>50</v>
      </c>
      <c r="N137" s="82"/>
      <c r="O137" s="81" t="s">
        <v>2256</v>
      </c>
      <c r="P137" s="81" t="s">
        <v>2256</v>
      </c>
      <c r="Q137" s="81"/>
      <c r="R137" s="83">
        <v>28000</v>
      </c>
      <c r="S137" s="79" t="s">
        <v>2999</v>
      </c>
      <c r="T137" s="84">
        <v>28000000</v>
      </c>
      <c r="U137" s="81"/>
      <c r="V137" s="81"/>
      <c r="W137" s="78" t="s">
        <v>50</v>
      </c>
      <c r="X137" s="82"/>
      <c r="Y137" s="81" t="s">
        <v>2256</v>
      </c>
      <c r="Z137" s="81" t="s">
        <v>2256</v>
      </c>
      <c r="AA137" s="83">
        <v>50000</v>
      </c>
      <c r="AB137" s="85"/>
      <c r="AD137" s="78" t="s">
        <v>50</v>
      </c>
      <c r="AE137" s="82"/>
      <c r="AF137" s="81" t="s">
        <v>2256</v>
      </c>
      <c r="AG137" s="81" t="s">
        <v>2256</v>
      </c>
      <c r="AH137" s="83">
        <v>70000</v>
      </c>
      <c r="AI137" s="85"/>
    </row>
    <row r="138" spans="1:35" s="79" customFormat="1" ht="11.25" customHeight="1" x14ac:dyDescent="0.2">
      <c r="A138" s="77" t="s">
        <v>2128</v>
      </c>
      <c r="B138" s="80">
        <v>1251</v>
      </c>
      <c r="C138" s="81" t="s">
        <v>2127</v>
      </c>
      <c r="D138" s="73">
        <v>1000</v>
      </c>
      <c r="E138" s="79" t="s">
        <v>48</v>
      </c>
      <c r="F138" s="79" t="s">
        <v>30</v>
      </c>
      <c r="G138" s="79" t="s">
        <v>2994</v>
      </c>
      <c r="H138" s="79" t="s">
        <v>49</v>
      </c>
      <c r="I138" s="81"/>
      <c r="J138" s="81">
        <v>25</v>
      </c>
      <c r="K138" s="86"/>
      <c r="M138" s="78" t="s">
        <v>50</v>
      </c>
      <c r="N138" s="82"/>
      <c r="O138" s="81" t="s">
        <v>2735</v>
      </c>
      <c r="P138" s="81" t="s">
        <v>2256</v>
      </c>
      <c r="Q138" s="81"/>
      <c r="R138" s="83">
        <v>28000</v>
      </c>
      <c r="S138" s="79" t="s">
        <v>3008</v>
      </c>
      <c r="T138" s="84">
        <v>28000000</v>
      </c>
      <c r="U138" s="81"/>
      <c r="V138" s="81"/>
      <c r="W138" s="78" t="s">
        <v>50</v>
      </c>
      <c r="X138" s="82"/>
      <c r="Y138" s="81" t="s">
        <v>2735</v>
      </c>
      <c r="Z138" s="81" t="s">
        <v>2256</v>
      </c>
      <c r="AA138" s="83">
        <v>50000</v>
      </c>
      <c r="AB138" s="85"/>
      <c r="AD138" s="78" t="s">
        <v>50</v>
      </c>
      <c r="AE138" s="82"/>
      <c r="AF138" s="81" t="s">
        <v>2735</v>
      </c>
      <c r="AG138" s="81" t="s">
        <v>2256</v>
      </c>
      <c r="AH138" s="83">
        <v>70000</v>
      </c>
      <c r="AI138" s="85"/>
    </row>
    <row r="139" spans="1:35" s="79" customFormat="1" ht="11.25" customHeight="1" x14ac:dyDescent="0.2">
      <c r="A139" s="77" t="s">
        <v>2225</v>
      </c>
      <c r="B139" s="80">
        <v>1252</v>
      </c>
      <c r="C139" s="81" t="s">
        <v>2224</v>
      </c>
      <c r="D139" s="73">
        <v>1000</v>
      </c>
      <c r="E139" s="79" t="s">
        <v>48</v>
      </c>
      <c r="F139" s="79" t="s">
        <v>30</v>
      </c>
      <c r="G139" s="79" t="s">
        <v>2994</v>
      </c>
      <c r="H139" s="79" t="s">
        <v>49</v>
      </c>
      <c r="I139" s="81"/>
      <c r="J139" s="81">
        <v>25</v>
      </c>
      <c r="K139" s="86"/>
      <c r="M139" s="78" t="s">
        <v>50</v>
      </c>
      <c r="N139" s="82"/>
      <c r="O139" s="81" t="s">
        <v>2762</v>
      </c>
      <c r="P139" s="81" t="s">
        <v>2256</v>
      </c>
      <c r="Q139" s="81"/>
      <c r="R139" s="83">
        <v>28000</v>
      </c>
      <c r="S139" s="79" t="s">
        <v>3008</v>
      </c>
      <c r="T139" s="84">
        <v>28000000</v>
      </c>
      <c r="U139" s="81"/>
      <c r="V139" s="81"/>
      <c r="W139" s="78" t="s">
        <v>50</v>
      </c>
      <c r="X139" s="82"/>
      <c r="Y139" s="81" t="s">
        <v>2762</v>
      </c>
      <c r="Z139" s="81" t="s">
        <v>2256</v>
      </c>
      <c r="AA139" s="83">
        <v>50000</v>
      </c>
      <c r="AB139" s="85"/>
      <c r="AD139" s="78" t="s">
        <v>50</v>
      </c>
      <c r="AE139" s="82"/>
      <c r="AF139" s="81" t="s">
        <v>2762</v>
      </c>
      <c r="AG139" s="81" t="s">
        <v>2256</v>
      </c>
      <c r="AH139" s="83">
        <v>70000</v>
      </c>
      <c r="AI139" s="85"/>
    </row>
    <row r="140" spans="1:35" s="79" customFormat="1" ht="11.25" customHeight="1" x14ac:dyDescent="0.2">
      <c r="A140" s="77" t="s">
        <v>1668</v>
      </c>
      <c r="B140" s="80">
        <v>1269</v>
      </c>
      <c r="C140" s="81" t="s">
        <v>1667</v>
      </c>
      <c r="D140" s="73">
        <v>1000</v>
      </c>
      <c r="E140" s="79" t="s">
        <v>48</v>
      </c>
      <c r="F140" s="79" t="s">
        <v>3725</v>
      </c>
      <c r="G140" s="79" t="s">
        <v>2997</v>
      </c>
      <c r="H140" s="79" t="s">
        <v>49</v>
      </c>
      <c r="I140" s="81"/>
      <c r="J140" s="81">
        <v>25</v>
      </c>
      <c r="K140" s="86"/>
      <c r="M140" s="78" t="s">
        <v>50</v>
      </c>
      <c r="N140" s="82"/>
      <c r="O140" s="81" t="s">
        <v>2635</v>
      </c>
      <c r="P140" s="81" t="s">
        <v>2256</v>
      </c>
      <c r="Q140" s="81"/>
      <c r="R140" s="83">
        <v>28000</v>
      </c>
      <c r="S140" s="79" t="s">
        <v>3008</v>
      </c>
      <c r="T140" s="84">
        <v>28000000</v>
      </c>
      <c r="U140" s="81"/>
      <c r="V140" s="81"/>
      <c r="W140" s="78" t="s">
        <v>50</v>
      </c>
      <c r="X140" s="82"/>
      <c r="Y140" s="81" t="s">
        <v>2635</v>
      </c>
      <c r="Z140" s="81" t="s">
        <v>2256</v>
      </c>
      <c r="AA140" s="83">
        <v>50000</v>
      </c>
      <c r="AB140" s="85"/>
      <c r="AD140" s="78" t="s">
        <v>50</v>
      </c>
      <c r="AE140" s="82"/>
      <c r="AF140" s="81" t="s">
        <v>2635</v>
      </c>
      <c r="AG140" s="81" t="s">
        <v>2256</v>
      </c>
      <c r="AH140" s="83">
        <v>70000</v>
      </c>
      <c r="AI140" s="85"/>
    </row>
    <row r="141" spans="1:35" s="79" customFormat="1" ht="11.25" customHeight="1" x14ac:dyDescent="0.2">
      <c r="A141" s="77" t="s">
        <v>234</v>
      </c>
      <c r="B141" s="80">
        <v>1274</v>
      </c>
      <c r="C141" s="81" t="s">
        <v>233</v>
      </c>
      <c r="D141" s="73">
        <v>1000</v>
      </c>
      <c r="E141" s="79" t="s">
        <v>235</v>
      </c>
      <c r="F141" s="79" t="s">
        <v>30</v>
      </c>
      <c r="G141" s="79" t="s">
        <v>2994</v>
      </c>
      <c r="H141" s="79" t="s">
        <v>49</v>
      </c>
      <c r="I141" s="81"/>
      <c r="J141" s="81">
        <v>25</v>
      </c>
      <c r="K141" s="86"/>
      <c r="M141" s="78" t="s">
        <v>236</v>
      </c>
      <c r="N141" s="82"/>
      <c r="O141" s="81" t="s">
        <v>2293</v>
      </c>
      <c r="P141" s="81" t="s">
        <v>2256</v>
      </c>
      <c r="Q141" s="81"/>
      <c r="R141" s="83">
        <v>2200</v>
      </c>
      <c r="S141" s="79" t="s">
        <v>3028</v>
      </c>
      <c r="T141" s="84">
        <v>2200000</v>
      </c>
      <c r="U141" s="81"/>
      <c r="V141" s="81"/>
      <c r="W141" s="78" t="s">
        <v>236</v>
      </c>
      <c r="X141" s="82"/>
      <c r="Y141" s="81" t="s">
        <v>2293</v>
      </c>
      <c r="Z141" s="81" t="s">
        <v>2256</v>
      </c>
      <c r="AA141" s="83">
        <v>6400</v>
      </c>
      <c r="AB141" s="85"/>
      <c r="AD141" s="78" t="s">
        <v>236</v>
      </c>
      <c r="AE141" s="82"/>
      <c r="AF141" s="81" t="s">
        <v>2293</v>
      </c>
      <c r="AG141" s="81" t="s">
        <v>2256</v>
      </c>
      <c r="AH141" s="83">
        <v>18000</v>
      </c>
      <c r="AI141" s="85"/>
    </row>
    <row r="142" spans="1:35" s="79" customFormat="1" ht="11.25" customHeight="1" x14ac:dyDescent="0.2">
      <c r="A142" s="77" t="s">
        <v>255</v>
      </c>
      <c r="B142" s="80">
        <v>1273</v>
      </c>
      <c r="C142" s="81" t="s">
        <v>236</v>
      </c>
      <c r="D142" s="73">
        <v>1000</v>
      </c>
      <c r="E142" s="79" t="s">
        <v>235</v>
      </c>
      <c r="F142" s="79" t="s">
        <v>3725</v>
      </c>
      <c r="G142" s="79" t="s">
        <v>2997</v>
      </c>
      <c r="H142" s="79" t="s">
        <v>49</v>
      </c>
      <c r="I142" s="81"/>
      <c r="J142" s="81">
        <v>25</v>
      </c>
      <c r="K142" s="86"/>
      <c r="M142" s="78" t="s">
        <v>236</v>
      </c>
      <c r="N142" s="82"/>
      <c r="O142" s="81" t="s">
        <v>2256</v>
      </c>
      <c r="P142" s="81" t="s">
        <v>2256</v>
      </c>
      <c r="Q142" s="81"/>
      <c r="R142" s="83">
        <v>2200</v>
      </c>
      <c r="S142" s="79" t="s">
        <v>2999</v>
      </c>
      <c r="T142" s="84">
        <v>2200000</v>
      </c>
      <c r="U142" s="81"/>
      <c r="V142" s="81"/>
      <c r="W142" s="78" t="s">
        <v>236</v>
      </c>
      <c r="X142" s="82"/>
      <c r="Y142" s="81" t="s">
        <v>2256</v>
      </c>
      <c r="Z142" s="81" t="s">
        <v>2256</v>
      </c>
      <c r="AA142" s="83">
        <v>6400</v>
      </c>
      <c r="AB142" s="85"/>
      <c r="AD142" s="78" t="s">
        <v>236</v>
      </c>
      <c r="AE142" s="82"/>
      <c r="AF142" s="81" t="s">
        <v>2256</v>
      </c>
      <c r="AG142" s="81" t="s">
        <v>2256</v>
      </c>
      <c r="AH142" s="83">
        <v>18000</v>
      </c>
      <c r="AI142" s="85"/>
    </row>
    <row r="143" spans="1:35" s="79" customFormat="1" ht="11.25" customHeight="1" x14ac:dyDescent="0.2">
      <c r="A143" s="77" t="s">
        <v>3557</v>
      </c>
      <c r="B143" s="81">
        <v>1266</v>
      </c>
      <c r="C143" s="81" t="s">
        <v>3558</v>
      </c>
      <c r="D143" s="73">
        <v>1000</v>
      </c>
      <c r="E143" s="79" t="s">
        <v>307</v>
      </c>
      <c r="F143" s="79" t="s">
        <v>30</v>
      </c>
      <c r="G143" s="79" t="s">
        <v>2994</v>
      </c>
      <c r="H143" s="79" t="s">
        <v>49</v>
      </c>
      <c r="I143" s="81"/>
      <c r="J143" s="81">
        <v>25</v>
      </c>
      <c r="K143" s="86"/>
      <c r="M143" s="78" t="s">
        <v>305</v>
      </c>
      <c r="N143" s="82"/>
      <c r="O143" s="81" t="s">
        <v>3559</v>
      </c>
      <c r="P143" s="81"/>
      <c r="Q143" s="81"/>
      <c r="R143" s="83">
        <v>6000</v>
      </c>
      <c r="S143" s="79" t="s">
        <v>3556</v>
      </c>
      <c r="T143" s="84">
        <v>6000000</v>
      </c>
      <c r="U143" s="81"/>
      <c r="V143" s="81"/>
      <c r="W143" s="78" t="s">
        <v>305</v>
      </c>
      <c r="X143" s="82"/>
      <c r="Y143" s="81" t="s">
        <v>3559</v>
      </c>
      <c r="Z143" s="81"/>
      <c r="AA143" s="83">
        <v>20000</v>
      </c>
      <c r="AB143" s="85"/>
      <c r="AD143" s="78" t="s">
        <v>305</v>
      </c>
      <c r="AE143" s="82"/>
      <c r="AF143" s="81" t="s">
        <v>3559</v>
      </c>
      <c r="AG143" s="81"/>
      <c r="AH143" s="83">
        <v>30000</v>
      </c>
      <c r="AI143" s="85"/>
    </row>
    <row r="144" spans="1:35" s="79" customFormat="1" ht="11.25" customHeight="1" x14ac:dyDescent="0.2">
      <c r="A144" s="77" t="s">
        <v>306</v>
      </c>
      <c r="B144" s="80">
        <v>1256</v>
      </c>
      <c r="C144" s="81" t="s">
        <v>305</v>
      </c>
      <c r="D144" s="73">
        <v>1000</v>
      </c>
      <c r="E144" s="79" t="s">
        <v>307</v>
      </c>
      <c r="F144" s="79" t="s">
        <v>3725</v>
      </c>
      <c r="G144" s="79" t="s">
        <v>2997</v>
      </c>
      <c r="H144" s="79" t="s">
        <v>49</v>
      </c>
      <c r="I144" s="81"/>
      <c r="J144" s="81">
        <v>25</v>
      </c>
      <c r="K144" s="86"/>
      <c r="M144" s="78" t="s">
        <v>305</v>
      </c>
      <c r="N144" s="82"/>
      <c r="O144" s="81" t="s">
        <v>2256</v>
      </c>
      <c r="P144" s="81" t="s">
        <v>2256</v>
      </c>
      <c r="Q144" s="81"/>
      <c r="R144" s="83">
        <v>6000</v>
      </c>
      <c r="S144" s="79" t="s">
        <v>2999</v>
      </c>
      <c r="T144" s="84">
        <v>6000000</v>
      </c>
      <c r="U144" s="81"/>
      <c r="V144" s="81"/>
      <c r="W144" s="78" t="s">
        <v>305</v>
      </c>
      <c r="X144" s="82"/>
      <c r="Y144" s="81" t="s">
        <v>2256</v>
      </c>
      <c r="Z144" s="81" t="s">
        <v>2256</v>
      </c>
      <c r="AA144" s="83">
        <v>20000</v>
      </c>
      <c r="AB144" s="85"/>
      <c r="AD144" s="78" t="s">
        <v>305</v>
      </c>
      <c r="AE144" s="82"/>
      <c r="AF144" s="81" t="s">
        <v>2256</v>
      </c>
      <c r="AG144" s="81" t="s">
        <v>2256</v>
      </c>
      <c r="AH144" s="83">
        <v>30000</v>
      </c>
      <c r="AI144" s="85"/>
    </row>
    <row r="145" spans="1:35" s="79" customFormat="1" ht="11.25" customHeight="1" x14ac:dyDescent="0.2">
      <c r="A145" s="77" t="s">
        <v>3553</v>
      </c>
      <c r="B145" s="81">
        <v>1265</v>
      </c>
      <c r="C145" s="81" t="s">
        <v>3554</v>
      </c>
      <c r="D145" s="73">
        <v>1000</v>
      </c>
      <c r="E145" s="79" t="s">
        <v>307</v>
      </c>
      <c r="F145" s="79" t="s">
        <v>30</v>
      </c>
      <c r="G145" s="79" t="s">
        <v>2994</v>
      </c>
      <c r="H145" s="79" t="s">
        <v>49</v>
      </c>
      <c r="I145" s="81"/>
      <c r="J145" s="81">
        <v>25</v>
      </c>
      <c r="K145" s="86"/>
      <c r="M145" s="78" t="s">
        <v>305</v>
      </c>
      <c r="N145" s="82"/>
      <c r="O145" s="81" t="s">
        <v>3555</v>
      </c>
      <c r="P145" s="81"/>
      <c r="Q145" s="81"/>
      <c r="R145" s="83">
        <v>6000</v>
      </c>
      <c r="S145" s="79" t="s">
        <v>3556</v>
      </c>
      <c r="T145" s="84">
        <v>6000000</v>
      </c>
      <c r="U145" s="81"/>
      <c r="V145" s="81"/>
      <c r="W145" s="78" t="s">
        <v>305</v>
      </c>
      <c r="X145" s="82"/>
      <c r="Y145" s="81" t="s">
        <v>3555</v>
      </c>
      <c r="Z145" s="81"/>
      <c r="AA145" s="83">
        <v>20000</v>
      </c>
      <c r="AB145" s="85"/>
      <c r="AD145" s="78" t="s">
        <v>305</v>
      </c>
      <c r="AE145" s="82"/>
      <c r="AF145" s="81" t="s">
        <v>3555</v>
      </c>
      <c r="AG145" s="81"/>
      <c r="AH145" s="83">
        <v>30000</v>
      </c>
      <c r="AI145" s="85"/>
    </row>
    <row r="146" spans="1:35" s="79" customFormat="1" ht="11.25" customHeight="1" x14ac:dyDescent="0.2">
      <c r="A146" s="77" t="s">
        <v>2211</v>
      </c>
      <c r="B146" s="80">
        <v>1261</v>
      </c>
      <c r="C146" s="81" t="s">
        <v>2210</v>
      </c>
      <c r="D146" s="73">
        <v>1000</v>
      </c>
      <c r="E146" s="79" t="s">
        <v>297</v>
      </c>
      <c r="F146" s="79" t="s">
        <v>3725</v>
      </c>
      <c r="G146" s="79" t="s">
        <v>2997</v>
      </c>
      <c r="H146" s="79" t="s">
        <v>49</v>
      </c>
      <c r="I146" s="81"/>
      <c r="J146" s="81">
        <v>10</v>
      </c>
      <c r="K146" s="86"/>
      <c r="M146" s="78" t="s">
        <v>298</v>
      </c>
      <c r="N146" s="82"/>
      <c r="O146" s="81" t="s">
        <v>2760</v>
      </c>
      <c r="P146" s="81" t="s">
        <v>2256</v>
      </c>
      <c r="Q146" s="81"/>
      <c r="R146" s="83">
        <v>100</v>
      </c>
      <c r="S146" s="79" t="s">
        <v>3036</v>
      </c>
      <c r="T146" s="84">
        <v>100000</v>
      </c>
      <c r="U146" s="81"/>
      <c r="V146" s="81"/>
      <c r="W146" s="78" t="s">
        <v>298</v>
      </c>
      <c r="X146" s="82"/>
      <c r="Y146" s="81" t="s">
        <v>2760</v>
      </c>
      <c r="Z146" s="81" t="s">
        <v>2256</v>
      </c>
      <c r="AA146" s="80">
        <v>500</v>
      </c>
      <c r="AB146" s="85"/>
      <c r="AD146" s="78" t="s">
        <v>298</v>
      </c>
      <c r="AE146" s="82"/>
      <c r="AF146" s="81" t="s">
        <v>2760</v>
      </c>
      <c r="AG146" s="81" t="s">
        <v>2256</v>
      </c>
      <c r="AH146" s="80">
        <v>700</v>
      </c>
      <c r="AI146" s="85"/>
    </row>
    <row r="147" spans="1:35" s="79" customFormat="1" ht="11.25" customHeight="1" x14ac:dyDescent="0.2">
      <c r="A147" s="77" t="s">
        <v>2213</v>
      </c>
      <c r="B147" s="80">
        <v>1261</v>
      </c>
      <c r="C147" s="81" t="s">
        <v>2212</v>
      </c>
      <c r="D147" s="73">
        <v>1000</v>
      </c>
      <c r="E147" s="79" t="s">
        <v>297</v>
      </c>
      <c r="F147" s="79" t="s">
        <v>3725</v>
      </c>
      <c r="G147" s="79" t="s">
        <v>2997</v>
      </c>
      <c r="H147" s="79" t="s">
        <v>49</v>
      </c>
      <c r="I147" s="81"/>
      <c r="J147" s="81">
        <v>10</v>
      </c>
      <c r="K147" s="86"/>
      <c r="M147" s="78" t="s">
        <v>298</v>
      </c>
      <c r="N147" s="82"/>
      <c r="O147" s="81" t="s">
        <v>3566</v>
      </c>
      <c r="P147" s="81" t="s">
        <v>2256</v>
      </c>
      <c r="Q147" s="81"/>
      <c r="R147" s="83">
        <v>100</v>
      </c>
      <c r="S147" s="79" t="s">
        <v>3036</v>
      </c>
      <c r="T147" s="84">
        <v>100000</v>
      </c>
      <c r="U147" s="81"/>
      <c r="V147" s="81"/>
      <c r="W147" s="78" t="s">
        <v>298</v>
      </c>
      <c r="X147" s="82"/>
      <c r="Y147" s="81" t="s">
        <v>3566</v>
      </c>
      <c r="Z147" s="81" t="s">
        <v>2256</v>
      </c>
      <c r="AA147" s="80">
        <v>500</v>
      </c>
      <c r="AB147" s="85"/>
      <c r="AD147" s="78" t="s">
        <v>298</v>
      </c>
      <c r="AE147" s="82"/>
      <c r="AF147" s="81" t="s">
        <v>3566</v>
      </c>
      <c r="AG147" s="81" t="s">
        <v>2256</v>
      </c>
      <c r="AH147" s="80">
        <v>700</v>
      </c>
      <c r="AI147" s="85"/>
    </row>
    <row r="148" spans="1:35" s="79" customFormat="1" ht="11.25" customHeight="1" x14ac:dyDescent="0.2">
      <c r="A148" s="77" t="s">
        <v>2215</v>
      </c>
      <c r="B148" s="80">
        <v>1261</v>
      </c>
      <c r="C148" s="81" t="s">
        <v>2214</v>
      </c>
      <c r="D148" s="73">
        <v>1000</v>
      </c>
      <c r="E148" s="79" t="s">
        <v>297</v>
      </c>
      <c r="F148" s="79" t="s">
        <v>3725</v>
      </c>
      <c r="G148" s="79" t="s">
        <v>2997</v>
      </c>
      <c r="H148" s="79" t="s">
        <v>49</v>
      </c>
      <c r="I148" s="81"/>
      <c r="J148" s="81">
        <v>10</v>
      </c>
      <c r="K148" s="86"/>
      <c r="M148" s="78" t="s">
        <v>298</v>
      </c>
      <c r="N148" s="82"/>
      <c r="O148" s="81" t="s">
        <v>3567</v>
      </c>
      <c r="P148" s="81" t="s">
        <v>2256</v>
      </c>
      <c r="Q148" s="81"/>
      <c r="R148" s="83">
        <v>100</v>
      </c>
      <c r="S148" s="79" t="s">
        <v>3036</v>
      </c>
      <c r="T148" s="84">
        <v>100000</v>
      </c>
      <c r="U148" s="81"/>
      <c r="V148" s="81"/>
      <c r="W148" s="78" t="s">
        <v>298</v>
      </c>
      <c r="X148" s="82"/>
      <c r="Y148" s="81" t="s">
        <v>3567</v>
      </c>
      <c r="Z148" s="81" t="s">
        <v>2256</v>
      </c>
      <c r="AA148" s="80">
        <v>500</v>
      </c>
      <c r="AB148" s="85"/>
      <c r="AD148" s="78" t="s">
        <v>298</v>
      </c>
      <c r="AE148" s="82"/>
      <c r="AF148" s="81" t="s">
        <v>3567</v>
      </c>
      <c r="AG148" s="81" t="s">
        <v>2256</v>
      </c>
      <c r="AH148" s="80">
        <v>700</v>
      </c>
      <c r="AI148" s="85"/>
    </row>
    <row r="149" spans="1:35" s="79" customFormat="1" ht="11.25" customHeight="1" x14ac:dyDescent="0.2">
      <c r="A149" s="77" t="s">
        <v>2217</v>
      </c>
      <c r="B149" s="80">
        <v>1261</v>
      </c>
      <c r="C149" s="81" t="s">
        <v>2216</v>
      </c>
      <c r="D149" s="73">
        <v>1000</v>
      </c>
      <c r="E149" s="79" t="s">
        <v>297</v>
      </c>
      <c r="F149" s="79" t="s">
        <v>3725</v>
      </c>
      <c r="G149" s="79" t="s">
        <v>2997</v>
      </c>
      <c r="H149" s="79" t="s">
        <v>49</v>
      </c>
      <c r="I149" s="81"/>
      <c r="J149" s="81">
        <v>10</v>
      </c>
      <c r="K149" s="86"/>
      <c r="M149" s="78" t="s">
        <v>298</v>
      </c>
      <c r="N149" s="82"/>
      <c r="O149" s="81" t="s">
        <v>3568</v>
      </c>
      <c r="P149" s="81" t="s">
        <v>2256</v>
      </c>
      <c r="Q149" s="81"/>
      <c r="R149" s="83">
        <v>100</v>
      </c>
      <c r="S149" s="79" t="s">
        <v>3036</v>
      </c>
      <c r="T149" s="84">
        <v>100000</v>
      </c>
      <c r="U149" s="81"/>
      <c r="V149" s="81"/>
      <c r="W149" s="78" t="s">
        <v>298</v>
      </c>
      <c r="X149" s="82"/>
      <c r="Y149" s="81" t="s">
        <v>3568</v>
      </c>
      <c r="Z149" s="81" t="s">
        <v>2256</v>
      </c>
      <c r="AA149" s="80">
        <v>500</v>
      </c>
      <c r="AB149" s="85"/>
      <c r="AD149" s="78" t="s">
        <v>298</v>
      </c>
      <c r="AE149" s="82"/>
      <c r="AF149" s="81" t="s">
        <v>3568</v>
      </c>
      <c r="AG149" s="81" t="s">
        <v>2256</v>
      </c>
      <c r="AH149" s="80">
        <v>700</v>
      </c>
      <c r="AI149" s="85"/>
    </row>
    <row r="150" spans="1:35" s="79" customFormat="1" ht="11.25" customHeight="1" x14ac:dyDescent="0.2">
      <c r="A150" s="77" t="s">
        <v>296</v>
      </c>
      <c r="B150" s="80">
        <v>1262</v>
      </c>
      <c r="C150" s="81" t="s">
        <v>295</v>
      </c>
      <c r="D150" s="73">
        <v>1000</v>
      </c>
      <c r="E150" s="79" t="s">
        <v>297</v>
      </c>
      <c r="F150" s="79" t="s">
        <v>30</v>
      </c>
      <c r="G150" s="79" t="s">
        <v>2994</v>
      </c>
      <c r="H150" s="79" t="s">
        <v>49</v>
      </c>
      <c r="I150" s="81"/>
      <c r="J150" s="81">
        <v>10</v>
      </c>
      <c r="K150" s="86"/>
      <c r="M150" s="78" t="s">
        <v>298</v>
      </c>
      <c r="N150" s="82"/>
      <c r="O150" s="81" t="s">
        <v>2303</v>
      </c>
      <c r="P150" s="81" t="s">
        <v>2256</v>
      </c>
      <c r="Q150" s="81"/>
      <c r="R150" s="83">
        <v>100</v>
      </c>
      <c r="S150" s="79" t="s">
        <v>3036</v>
      </c>
      <c r="T150" s="84">
        <v>100000</v>
      </c>
      <c r="U150" s="81"/>
      <c r="V150" s="81"/>
      <c r="W150" s="78" t="s">
        <v>298</v>
      </c>
      <c r="X150" s="82"/>
      <c r="Y150" s="81" t="s">
        <v>2303</v>
      </c>
      <c r="Z150" s="81" t="s">
        <v>2256</v>
      </c>
      <c r="AA150" s="80">
        <v>500</v>
      </c>
      <c r="AB150" s="85"/>
      <c r="AD150" s="78" t="s">
        <v>298</v>
      </c>
      <c r="AE150" s="82"/>
      <c r="AF150" s="81" t="s">
        <v>2303</v>
      </c>
      <c r="AG150" s="81" t="s">
        <v>2256</v>
      </c>
      <c r="AH150" s="80">
        <v>700</v>
      </c>
      <c r="AI150" s="85"/>
    </row>
    <row r="151" spans="1:35" s="79" customFormat="1" ht="11.25" customHeight="1" x14ac:dyDescent="0.2">
      <c r="A151" s="77" t="s">
        <v>314</v>
      </c>
      <c r="B151" s="80">
        <v>1261</v>
      </c>
      <c r="C151" s="81" t="s">
        <v>298</v>
      </c>
      <c r="D151" s="73">
        <v>1000</v>
      </c>
      <c r="E151" s="79" t="s">
        <v>297</v>
      </c>
      <c r="F151" s="79" t="s">
        <v>3725</v>
      </c>
      <c r="G151" s="79" t="s">
        <v>2997</v>
      </c>
      <c r="H151" s="79" t="s">
        <v>49</v>
      </c>
      <c r="I151" s="81"/>
      <c r="J151" s="81">
        <v>10</v>
      </c>
      <c r="K151" s="86"/>
      <c r="M151" s="78" t="s">
        <v>298</v>
      </c>
      <c r="N151" s="82"/>
      <c r="O151" s="81" t="s">
        <v>2256</v>
      </c>
      <c r="P151" s="81" t="s">
        <v>2256</v>
      </c>
      <c r="Q151" s="81"/>
      <c r="R151" s="83">
        <v>100</v>
      </c>
      <c r="S151" s="79" t="s">
        <v>2999</v>
      </c>
      <c r="T151" s="84">
        <v>100000</v>
      </c>
      <c r="U151" s="81"/>
      <c r="V151" s="81"/>
      <c r="W151" s="78" t="s">
        <v>298</v>
      </c>
      <c r="X151" s="82"/>
      <c r="Y151" s="81" t="s">
        <v>2256</v>
      </c>
      <c r="Z151" s="81" t="s">
        <v>2256</v>
      </c>
      <c r="AA151" s="80">
        <v>500</v>
      </c>
      <c r="AB151" s="85"/>
      <c r="AD151" s="78" t="s">
        <v>298</v>
      </c>
      <c r="AE151" s="82"/>
      <c r="AF151" s="81" t="s">
        <v>2256</v>
      </c>
      <c r="AG151" s="81" t="s">
        <v>2256</v>
      </c>
      <c r="AH151" s="80">
        <v>700</v>
      </c>
      <c r="AI151" s="85"/>
    </row>
    <row r="152" spans="1:35" s="79" customFormat="1" ht="11.25" customHeight="1" x14ac:dyDescent="0.2">
      <c r="A152" s="77" t="s">
        <v>715</v>
      </c>
      <c r="B152" s="80">
        <v>1260</v>
      </c>
      <c r="C152" s="81" t="s">
        <v>714</v>
      </c>
      <c r="D152" s="73">
        <v>1000</v>
      </c>
      <c r="E152" s="79" t="s">
        <v>48</v>
      </c>
      <c r="F152" s="79" t="s">
        <v>3725</v>
      </c>
      <c r="G152" s="79" t="s">
        <v>2997</v>
      </c>
      <c r="H152" s="79" t="s">
        <v>49</v>
      </c>
      <c r="I152" s="81"/>
      <c r="J152" s="81">
        <v>1</v>
      </c>
      <c r="K152" s="86"/>
      <c r="M152" s="78" t="s">
        <v>714</v>
      </c>
      <c r="N152" s="82"/>
      <c r="O152" s="81" t="s">
        <v>2256</v>
      </c>
      <c r="P152" s="81" t="s">
        <v>2256</v>
      </c>
      <c r="Q152" s="81"/>
      <c r="R152" s="83">
        <v>1800</v>
      </c>
      <c r="S152" s="79" t="s">
        <v>2999</v>
      </c>
      <c r="T152" s="84">
        <v>1800000</v>
      </c>
      <c r="U152" s="81"/>
      <c r="V152" s="81"/>
      <c r="W152" s="78" t="s">
        <v>714</v>
      </c>
      <c r="X152" s="82"/>
      <c r="Y152" s="81" t="s">
        <v>2256</v>
      </c>
      <c r="Z152" s="81" t="s">
        <v>2256</v>
      </c>
      <c r="AA152" s="83">
        <v>1800</v>
      </c>
      <c r="AB152" s="85"/>
      <c r="AD152" s="78" t="s">
        <v>714</v>
      </c>
      <c r="AE152" s="82"/>
      <c r="AF152" s="81" t="s">
        <v>2256</v>
      </c>
      <c r="AG152" s="81" t="s">
        <v>2256</v>
      </c>
      <c r="AH152" s="83">
        <v>1800</v>
      </c>
      <c r="AI152" s="85"/>
    </row>
    <row r="153" spans="1:35" s="79" customFormat="1" ht="11.25" customHeight="1" x14ac:dyDescent="0.2">
      <c r="A153" s="77" t="s">
        <v>789</v>
      </c>
      <c r="B153" s="80">
        <v>1257</v>
      </c>
      <c r="C153" s="81" t="s">
        <v>788</v>
      </c>
      <c r="D153" s="73">
        <v>1000</v>
      </c>
      <c r="E153" s="79" t="s">
        <v>48</v>
      </c>
      <c r="F153" s="79" t="s">
        <v>3725</v>
      </c>
      <c r="G153" s="79" t="s">
        <v>2997</v>
      </c>
      <c r="H153" s="79" t="s">
        <v>49</v>
      </c>
      <c r="I153" s="81"/>
      <c r="J153" s="81">
        <v>25</v>
      </c>
      <c r="K153" s="86"/>
      <c r="M153" s="78" t="s">
        <v>788</v>
      </c>
      <c r="N153" s="82"/>
      <c r="O153" s="81" t="s">
        <v>2256</v>
      </c>
      <c r="P153" s="81" t="s">
        <v>2256</v>
      </c>
      <c r="Q153" s="81"/>
      <c r="R153" s="83">
        <v>3000</v>
      </c>
      <c r="S153" s="79" t="s">
        <v>2999</v>
      </c>
      <c r="T153" s="84">
        <v>3000000</v>
      </c>
      <c r="U153" s="81"/>
      <c r="V153" s="81"/>
      <c r="W153" s="78" t="s">
        <v>788</v>
      </c>
      <c r="X153" s="82"/>
      <c r="Y153" s="81" t="s">
        <v>2256</v>
      </c>
      <c r="Z153" s="81" t="s">
        <v>2256</v>
      </c>
      <c r="AA153" s="83">
        <v>6000</v>
      </c>
      <c r="AB153" s="85"/>
      <c r="AD153" s="78" t="s">
        <v>788</v>
      </c>
      <c r="AE153" s="82"/>
      <c r="AF153" s="81" t="s">
        <v>2256</v>
      </c>
      <c r="AG153" s="81" t="s">
        <v>2256</v>
      </c>
      <c r="AH153" s="83">
        <v>9000</v>
      </c>
      <c r="AI153" s="85"/>
    </row>
    <row r="154" spans="1:35" s="79" customFormat="1" ht="11.25" customHeight="1" x14ac:dyDescent="0.2">
      <c r="A154" s="77" t="s">
        <v>701</v>
      </c>
      <c r="B154" s="80">
        <v>1259</v>
      </c>
      <c r="C154" s="81" t="s">
        <v>700</v>
      </c>
      <c r="D154" s="73">
        <v>1000</v>
      </c>
      <c r="E154" s="79" t="s">
        <v>702</v>
      </c>
      <c r="F154" s="79" t="s">
        <v>30</v>
      </c>
      <c r="G154" s="79" t="s">
        <v>2994</v>
      </c>
      <c r="H154" s="79" t="s">
        <v>49</v>
      </c>
      <c r="I154" s="81"/>
      <c r="J154" s="81">
        <v>25</v>
      </c>
      <c r="K154" s="86"/>
      <c r="M154" s="78" t="s">
        <v>703</v>
      </c>
      <c r="N154" s="82"/>
      <c r="O154" s="81" t="s">
        <v>2397</v>
      </c>
      <c r="P154" s="81" t="s">
        <v>2256</v>
      </c>
      <c r="Q154" s="81"/>
      <c r="R154" s="83">
        <v>4000</v>
      </c>
      <c r="S154" s="79" t="s">
        <v>3090</v>
      </c>
      <c r="T154" s="84">
        <v>4000000</v>
      </c>
      <c r="U154" s="81"/>
      <c r="V154" s="81"/>
      <c r="W154" s="78" t="s">
        <v>703</v>
      </c>
      <c r="X154" s="82"/>
      <c r="Y154" s="81" t="s">
        <v>2397</v>
      </c>
      <c r="Z154" s="81" t="s">
        <v>2256</v>
      </c>
      <c r="AA154" s="83">
        <v>8000</v>
      </c>
      <c r="AB154" s="85"/>
      <c r="AD154" s="78" t="s">
        <v>703</v>
      </c>
      <c r="AE154" s="82"/>
      <c r="AF154" s="81" t="s">
        <v>2397</v>
      </c>
      <c r="AG154" s="81" t="s">
        <v>2256</v>
      </c>
      <c r="AH154" s="83">
        <v>12000</v>
      </c>
      <c r="AI154" s="85"/>
    </row>
    <row r="155" spans="1:35" s="79" customFormat="1" ht="11.25" customHeight="1" x14ac:dyDescent="0.2">
      <c r="A155" s="77" t="s">
        <v>1673</v>
      </c>
      <c r="B155" s="80">
        <v>1258</v>
      </c>
      <c r="C155" s="81" t="s">
        <v>703</v>
      </c>
      <c r="D155" s="73">
        <v>1000</v>
      </c>
      <c r="E155" s="79" t="s">
        <v>702</v>
      </c>
      <c r="F155" s="79" t="s">
        <v>3725</v>
      </c>
      <c r="G155" s="79" t="s">
        <v>2997</v>
      </c>
      <c r="H155" s="79" t="s">
        <v>49</v>
      </c>
      <c r="I155" s="81"/>
      <c r="J155" s="81">
        <v>25</v>
      </c>
      <c r="K155" s="86"/>
      <c r="M155" s="78" t="s">
        <v>703</v>
      </c>
      <c r="N155" s="82"/>
      <c r="O155" s="81" t="s">
        <v>2256</v>
      </c>
      <c r="P155" s="81" t="s">
        <v>2256</v>
      </c>
      <c r="Q155" s="81"/>
      <c r="R155" s="83">
        <v>4000</v>
      </c>
      <c r="S155" s="79" t="s">
        <v>2999</v>
      </c>
      <c r="T155" s="84">
        <v>4000000</v>
      </c>
      <c r="U155" s="81"/>
      <c r="V155" s="81"/>
      <c r="W155" s="78" t="s">
        <v>703</v>
      </c>
      <c r="X155" s="82"/>
      <c r="Y155" s="81" t="s">
        <v>2256</v>
      </c>
      <c r="Z155" s="81" t="s">
        <v>2256</v>
      </c>
      <c r="AA155" s="83">
        <v>8000</v>
      </c>
      <c r="AB155" s="85"/>
      <c r="AD155" s="78" t="s">
        <v>703</v>
      </c>
      <c r="AE155" s="82"/>
      <c r="AF155" s="81" t="s">
        <v>2256</v>
      </c>
      <c r="AG155" s="81" t="s">
        <v>2256</v>
      </c>
      <c r="AH155" s="83">
        <v>12000</v>
      </c>
      <c r="AI155" s="85"/>
    </row>
    <row r="156" spans="1:35" s="79" customFormat="1" ht="11.25" customHeight="1" x14ac:dyDescent="0.2">
      <c r="A156" s="77" t="s">
        <v>3560</v>
      </c>
      <c r="B156" s="81">
        <v>1267</v>
      </c>
      <c r="C156" s="81" t="s">
        <v>3561</v>
      </c>
      <c r="D156" s="73">
        <v>1000</v>
      </c>
      <c r="E156" s="79" t="s">
        <v>702</v>
      </c>
      <c r="F156" s="79" t="s">
        <v>30</v>
      </c>
      <c r="G156" s="79" t="s">
        <v>2994</v>
      </c>
      <c r="H156" s="79" t="s">
        <v>49</v>
      </c>
      <c r="I156" s="81"/>
      <c r="J156" s="81">
        <v>25</v>
      </c>
      <c r="K156" s="86"/>
      <c r="M156" s="78" t="s">
        <v>703</v>
      </c>
      <c r="N156" s="82"/>
      <c r="O156" s="81" t="s">
        <v>3562</v>
      </c>
      <c r="P156" s="81"/>
      <c r="Q156" s="81"/>
      <c r="R156" s="83">
        <v>4000</v>
      </c>
      <c r="S156" s="79" t="s">
        <v>3090</v>
      </c>
      <c r="T156" s="84">
        <v>4000000</v>
      </c>
      <c r="U156" s="81"/>
      <c r="V156" s="81"/>
      <c r="W156" s="78" t="s">
        <v>703</v>
      </c>
      <c r="X156" s="82"/>
      <c r="Y156" s="81" t="s">
        <v>3562</v>
      </c>
      <c r="Z156" s="81"/>
      <c r="AA156" s="83">
        <v>8000</v>
      </c>
      <c r="AB156" s="85"/>
      <c r="AD156" s="78" t="s">
        <v>703</v>
      </c>
      <c r="AE156" s="82"/>
      <c r="AF156" s="81" t="s">
        <v>3562</v>
      </c>
      <c r="AG156" s="81"/>
      <c r="AH156" s="83">
        <v>12000</v>
      </c>
      <c r="AI156" s="85"/>
    </row>
    <row r="157" spans="1:35" s="79" customFormat="1" ht="11.25" customHeight="1" x14ac:dyDescent="0.2">
      <c r="A157" s="77" t="s">
        <v>2137</v>
      </c>
      <c r="B157" s="80">
        <v>1263</v>
      </c>
      <c r="C157" s="81" t="s">
        <v>2136</v>
      </c>
      <c r="D157" s="73">
        <v>1000</v>
      </c>
      <c r="E157" s="79" t="s">
        <v>1483</v>
      </c>
      <c r="F157" s="79" t="s">
        <v>3725</v>
      </c>
      <c r="G157" s="79" t="s">
        <v>2997</v>
      </c>
      <c r="H157" s="79" t="s">
        <v>49</v>
      </c>
      <c r="I157" s="81"/>
      <c r="J157" s="81">
        <v>25</v>
      </c>
      <c r="K157" s="86"/>
      <c r="M157" s="78" t="s">
        <v>1484</v>
      </c>
      <c r="N157" s="82"/>
      <c r="O157" s="81" t="s">
        <v>3563</v>
      </c>
      <c r="P157" s="81" t="s">
        <v>2256</v>
      </c>
      <c r="Q157" s="81"/>
      <c r="R157" s="83">
        <v>2000</v>
      </c>
      <c r="S157" s="79" t="s">
        <v>3183</v>
      </c>
      <c r="T157" s="84">
        <v>2000000</v>
      </c>
      <c r="U157" s="81"/>
      <c r="V157" s="81"/>
      <c r="W157" s="78" t="s">
        <v>1484</v>
      </c>
      <c r="X157" s="82"/>
      <c r="Y157" s="81" t="s">
        <v>3563</v>
      </c>
      <c r="Z157" s="81" t="s">
        <v>2256</v>
      </c>
      <c r="AA157" s="80">
        <v>5000</v>
      </c>
      <c r="AB157" s="85"/>
      <c r="AD157" s="78" t="s">
        <v>1484</v>
      </c>
      <c r="AE157" s="82"/>
      <c r="AF157" s="81" t="s">
        <v>3563</v>
      </c>
      <c r="AG157" s="81" t="s">
        <v>2256</v>
      </c>
      <c r="AH157" s="80">
        <v>7000</v>
      </c>
      <c r="AI157" s="85"/>
    </row>
    <row r="158" spans="1:35" s="79" customFormat="1" ht="11.25" customHeight="1" x14ac:dyDescent="0.2">
      <c r="A158" s="77" t="s">
        <v>2175</v>
      </c>
      <c r="B158" s="80">
        <v>1263</v>
      </c>
      <c r="C158" s="81" t="s">
        <v>2174</v>
      </c>
      <c r="D158" s="73">
        <v>1000</v>
      </c>
      <c r="E158" s="79" t="s">
        <v>1483</v>
      </c>
      <c r="F158" s="79" t="s">
        <v>3725</v>
      </c>
      <c r="G158" s="79" t="s">
        <v>2997</v>
      </c>
      <c r="H158" s="79" t="s">
        <v>49</v>
      </c>
      <c r="I158" s="81"/>
      <c r="J158" s="81">
        <v>25</v>
      </c>
      <c r="K158" s="86"/>
      <c r="M158" s="78" t="s">
        <v>1484</v>
      </c>
      <c r="N158" s="82"/>
      <c r="O158" s="81" t="s">
        <v>3564</v>
      </c>
      <c r="P158" s="81" t="s">
        <v>2256</v>
      </c>
      <c r="Q158" s="81"/>
      <c r="R158" s="83">
        <v>2000</v>
      </c>
      <c r="S158" s="79" t="s">
        <v>3183</v>
      </c>
      <c r="T158" s="84">
        <v>2000000</v>
      </c>
      <c r="U158" s="81"/>
      <c r="V158" s="81"/>
      <c r="W158" s="78" t="s">
        <v>1484</v>
      </c>
      <c r="X158" s="82"/>
      <c r="Y158" s="81" t="s">
        <v>3564</v>
      </c>
      <c r="Z158" s="81" t="s">
        <v>2256</v>
      </c>
      <c r="AA158" s="80">
        <v>5000</v>
      </c>
      <c r="AB158" s="85"/>
      <c r="AD158" s="78" t="s">
        <v>1484</v>
      </c>
      <c r="AE158" s="82"/>
      <c r="AF158" s="81" t="s">
        <v>3564</v>
      </c>
      <c r="AG158" s="81" t="s">
        <v>2256</v>
      </c>
      <c r="AH158" s="80">
        <v>7000</v>
      </c>
      <c r="AI158" s="85"/>
    </row>
    <row r="159" spans="1:35" s="79" customFormat="1" ht="11.25" customHeight="1" x14ac:dyDescent="0.2">
      <c r="A159" s="77" t="s">
        <v>2219</v>
      </c>
      <c r="B159" s="80">
        <v>1263</v>
      </c>
      <c r="C159" s="81" t="s">
        <v>2218</v>
      </c>
      <c r="D159" s="73">
        <v>1000</v>
      </c>
      <c r="E159" s="79" t="s">
        <v>1483</v>
      </c>
      <c r="F159" s="79" t="s">
        <v>3725</v>
      </c>
      <c r="G159" s="79" t="s">
        <v>2997</v>
      </c>
      <c r="H159" s="79" t="s">
        <v>49</v>
      </c>
      <c r="I159" s="81"/>
      <c r="J159" s="81">
        <v>25</v>
      </c>
      <c r="K159" s="86"/>
      <c r="M159" s="78" t="s">
        <v>1484</v>
      </c>
      <c r="N159" s="82"/>
      <c r="O159" s="81" t="s">
        <v>3565</v>
      </c>
      <c r="P159" s="81" t="s">
        <v>2256</v>
      </c>
      <c r="Q159" s="81"/>
      <c r="R159" s="83">
        <v>2000</v>
      </c>
      <c r="S159" s="79" t="s">
        <v>3183</v>
      </c>
      <c r="T159" s="84">
        <v>2000000</v>
      </c>
      <c r="U159" s="81"/>
      <c r="V159" s="81"/>
      <c r="W159" s="78" t="s">
        <v>1484</v>
      </c>
      <c r="X159" s="82"/>
      <c r="Y159" s="81" t="s">
        <v>3565</v>
      </c>
      <c r="Z159" s="81" t="s">
        <v>2256</v>
      </c>
      <c r="AA159" s="80">
        <v>5000</v>
      </c>
      <c r="AB159" s="85"/>
      <c r="AD159" s="78" t="s">
        <v>1484</v>
      </c>
      <c r="AE159" s="82"/>
      <c r="AF159" s="81" t="s">
        <v>3565</v>
      </c>
      <c r="AG159" s="81" t="s">
        <v>2256</v>
      </c>
      <c r="AH159" s="80">
        <v>7000</v>
      </c>
      <c r="AI159" s="85"/>
    </row>
    <row r="160" spans="1:35" s="79" customFormat="1" ht="11.25" customHeight="1" x14ac:dyDescent="0.2">
      <c r="A160" s="77" t="s">
        <v>2221</v>
      </c>
      <c r="B160" s="80">
        <v>1263</v>
      </c>
      <c r="C160" s="81" t="s">
        <v>2220</v>
      </c>
      <c r="D160" s="73">
        <v>1000</v>
      </c>
      <c r="E160" s="79" t="s">
        <v>1483</v>
      </c>
      <c r="F160" s="79" t="s">
        <v>3725</v>
      </c>
      <c r="G160" s="79" t="s">
        <v>2997</v>
      </c>
      <c r="H160" s="79" t="s">
        <v>49</v>
      </c>
      <c r="I160" s="81"/>
      <c r="J160" s="81">
        <v>25</v>
      </c>
      <c r="K160" s="86"/>
      <c r="M160" s="78" t="s">
        <v>1484</v>
      </c>
      <c r="N160" s="82"/>
      <c r="O160" s="81" t="s">
        <v>2761</v>
      </c>
      <c r="P160" s="81" t="s">
        <v>2256</v>
      </c>
      <c r="Q160" s="81"/>
      <c r="R160" s="83">
        <v>2000</v>
      </c>
      <c r="S160" s="79" t="s">
        <v>3183</v>
      </c>
      <c r="T160" s="84">
        <v>2000000</v>
      </c>
      <c r="U160" s="81"/>
      <c r="V160" s="81"/>
      <c r="W160" s="78" t="s">
        <v>1484</v>
      </c>
      <c r="X160" s="82"/>
      <c r="Y160" s="81" t="s">
        <v>2761</v>
      </c>
      <c r="Z160" s="81" t="s">
        <v>2256</v>
      </c>
      <c r="AA160" s="83">
        <v>10000</v>
      </c>
      <c r="AB160" s="85"/>
      <c r="AD160" s="78" t="s">
        <v>1484</v>
      </c>
      <c r="AE160" s="82"/>
      <c r="AF160" s="81" t="s">
        <v>2761</v>
      </c>
      <c r="AG160" s="81" t="s">
        <v>2256</v>
      </c>
      <c r="AH160" s="83">
        <v>14000</v>
      </c>
      <c r="AI160" s="85"/>
    </row>
    <row r="161" spans="1:35" s="79" customFormat="1" ht="11.25" customHeight="1" x14ac:dyDescent="0.2">
      <c r="A161" s="77" t="s">
        <v>1482</v>
      </c>
      <c r="B161" s="80">
        <v>1264</v>
      </c>
      <c r="C161" s="81" t="s">
        <v>1481</v>
      </c>
      <c r="D161" s="73">
        <v>1000</v>
      </c>
      <c r="E161" s="79" t="s">
        <v>1483</v>
      </c>
      <c r="F161" s="79" t="s">
        <v>30</v>
      </c>
      <c r="G161" s="79" t="s">
        <v>2994</v>
      </c>
      <c r="H161" s="79" t="s">
        <v>49</v>
      </c>
      <c r="I161" s="81"/>
      <c r="J161" s="81">
        <v>25</v>
      </c>
      <c r="K161" s="86"/>
      <c r="M161" s="78" t="s">
        <v>1484</v>
      </c>
      <c r="N161" s="82"/>
      <c r="O161" s="81" t="s">
        <v>2599</v>
      </c>
      <c r="P161" s="81" t="s">
        <v>2256</v>
      </c>
      <c r="Q161" s="81"/>
      <c r="R161" s="83">
        <v>2000</v>
      </c>
      <c r="S161" s="79" t="s">
        <v>3183</v>
      </c>
      <c r="T161" s="84">
        <v>2000000</v>
      </c>
      <c r="U161" s="81"/>
      <c r="V161" s="81"/>
      <c r="W161" s="78" t="s">
        <v>1484</v>
      </c>
      <c r="X161" s="82"/>
      <c r="Y161" s="81" t="s">
        <v>2599</v>
      </c>
      <c r="Z161" s="81" t="s">
        <v>2256</v>
      </c>
      <c r="AA161" s="83">
        <v>10000</v>
      </c>
      <c r="AB161" s="85"/>
      <c r="AD161" s="78" t="s">
        <v>1484</v>
      </c>
      <c r="AE161" s="82"/>
      <c r="AF161" s="81" t="s">
        <v>2599</v>
      </c>
      <c r="AG161" s="81" t="s">
        <v>2256</v>
      </c>
      <c r="AH161" s="83">
        <v>14000</v>
      </c>
      <c r="AI161" s="85"/>
    </row>
    <row r="162" spans="1:35" s="79" customFormat="1" ht="11.25" customHeight="1" x14ac:dyDescent="0.2">
      <c r="A162" s="77" t="s">
        <v>1681</v>
      </c>
      <c r="B162" s="80">
        <v>1263</v>
      </c>
      <c r="C162" s="81" t="s">
        <v>1484</v>
      </c>
      <c r="D162" s="73">
        <v>1000</v>
      </c>
      <c r="E162" s="79" t="s">
        <v>1483</v>
      </c>
      <c r="F162" s="79" t="s">
        <v>3725</v>
      </c>
      <c r="G162" s="79" t="s">
        <v>2997</v>
      </c>
      <c r="H162" s="79" t="s">
        <v>49</v>
      </c>
      <c r="I162" s="81"/>
      <c r="J162" s="81">
        <v>25</v>
      </c>
      <c r="K162" s="86"/>
      <c r="M162" s="78" t="s">
        <v>1484</v>
      </c>
      <c r="N162" s="82"/>
      <c r="O162" s="81" t="s">
        <v>2256</v>
      </c>
      <c r="P162" s="81" t="s">
        <v>2256</v>
      </c>
      <c r="Q162" s="81"/>
      <c r="R162" s="83">
        <v>2000</v>
      </c>
      <c r="S162" s="79" t="s">
        <v>2999</v>
      </c>
      <c r="T162" s="84">
        <v>2000000</v>
      </c>
      <c r="U162" s="81"/>
      <c r="V162" s="81"/>
      <c r="W162" s="78" t="s">
        <v>1484</v>
      </c>
      <c r="X162" s="82"/>
      <c r="Y162" s="81" t="s">
        <v>2256</v>
      </c>
      <c r="Z162" s="81" t="s">
        <v>2256</v>
      </c>
      <c r="AA162" s="83">
        <v>10000</v>
      </c>
      <c r="AB162" s="85"/>
      <c r="AD162" s="78" t="s">
        <v>1484</v>
      </c>
      <c r="AE162" s="82"/>
      <c r="AF162" s="81" t="s">
        <v>2256</v>
      </c>
      <c r="AG162" s="81" t="s">
        <v>2256</v>
      </c>
      <c r="AH162" s="83">
        <v>14000</v>
      </c>
      <c r="AI162" s="85"/>
    </row>
    <row r="163" spans="1:35" s="79" customFormat="1" ht="11.25" customHeight="1" x14ac:dyDescent="0.2">
      <c r="A163" s="77" t="s">
        <v>496</v>
      </c>
      <c r="B163" s="80">
        <v>193</v>
      </c>
      <c r="C163" s="81" t="s">
        <v>495</v>
      </c>
      <c r="D163" s="73">
        <v>100</v>
      </c>
      <c r="E163" s="79" t="s">
        <v>497</v>
      </c>
      <c r="F163" s="79" t="s">
        <v>3725</v>
      </c>
      <c r="G163" s="79" t="s">
        <v>2996</v>
      </c>
      <c r="H163" s="79" t="s">
        <v>332</v>
      </c>
      <c r="I163" s="81" t="s">
        <v>3000</v>
      </c>
      <c r="J163" s="81">
        <v>5</v>
      </c>
      <c r="K163" s="86"/>
      <c r="M163" s="78" t="s">
        <v>495</v>
      </c>
      <c r="N163" s="82"/>
      <c r="O163" s="81" t="s">
        <v>2256</v>
      </c>
      <c r="P163" s="81" t="s">
        <v>2256</v>
      </c>
      <c r="Q163" s="81"/>
      <c r="R163" s="83">
        <v>100</v>
      </c>
      <c r="S163" s="79" t="s">
        <v>2999</v>
      </c>
      <c r="T163" s="84">
        <v>10000</v>
      </c>
      <c r="U163" s="81"/>
      <c r="V163" s="81"/>
      <c r="W163" s="78" t="s">
        <v>495</v>
      </c>
      <c r="X163" s="82"/>
      <c r="Y163" s="81" t="s">
        <v>2256</v>
      </c>
      <c r="Z163" s="81" t="s">
        <v>2256</v>
      </c>
      <c r="AA163" s="80">
        <v>500</v>
      </c>
      <c r="AB163" s="85"/>
      <c r="AD163" s="78" t="s">
        <v>495</v>
      </c>
      <c r="AE163" s="82"/>
      <c r="AF163" s="81" t="s">
        <v>2256</v>
      </c>
      <c r="AG163" s="81" t="s">
        <v>2256</v>
      </c>
      <c r="AH163" s="80">
        <v>750</v>
      </c>
      <c r="AI163" s="85"/>
    </row>
    <row r="164" spans="1:35" s="79" customFormat="1" ht="11.25" customHeight="1" x14ac:dyDescent="0.2">
      <c r="A164" s="77" t="s">
        <v>331</v>
      </c>
      <c r="B164" s="80">
        <v>582</v>
      </c>
      <c r="C164" s="81" t="s">
        <v>330</v>
      </c>
      <c r="D164" s="73">
        <v>42000</v>
      </c>
      <c r="E164" s="79" t="s">
        <v>42</v>
      </c>
      <c r="F164" s="79" t="s">
        <v>3725</v>
      </c>
      <c r="G164" s="79" t="s">
        <v>2996</v>
      </c>
      <c r="H164" s="79" t="s">
        <v>332</v>
      </c>
      <c r="I164" s="81" t="s">
        <v>3000</v>
      </c>
      <c r="J164" s="81">
        <v>25</v>
      </c>
      <c r="K164" s="86"/>
      <c r="M164" s="78" t="s">
        <v>330</v>
      </c>
      <c r="N164" s="82"/>
      <c r="O164" s="81" t="s">
        <v>2256</v>
      </c>
      <c r="P164" s="81" t="s">
        <v>2256</v>
      </c>
      <c r="Q164" s="81"/>
      <c r="R164" s="83">
        <v>1000</v>
      </c>
      <c r="S164" s="79" t="s">
        <v>2999</v>
      </c>
      <c r="T164" s="84">
        <v>42000000</v>
      </c>
      <c r="U164" s="81"/>
      <c r="V164" s="81"/>
      <c r="W164" s="78" t="s">
        <v>330</v>
      </c>
      <c r="X164" s="82"/>
      <c r="Y164" s="81" t="s">
        <v>2256</v>
      </c>
      <c r="Z164" s="81" t="s">
        <v>2256</v>
      </c>
      <c r="AA164" s="83">
        <v>7000</v>
      </c>
      <c r="AB164" s="85"/>
      <c r="AD164" s="78" t="s">
        <v>330</v>
      </c>
      <c r="AE164" s="82"/>
      <c r="AF164" s="81" t="s">
        <v>2256</v>
      </c>
      <c r="AG164" s="81" t="s">
        <v>2256</v>
      </c>
      <c r="AH164" s="83">
        <v>7000</v>
      </c>
      <c r="AI164" s="85"/>
    </row>
    <row r="165" spans="1:35" s="79" customFormat="1" ht="11.25" customHeight="1" x14ac:dyDescent="0.2">
      <c r="A165" s="77" t="s">
        <v>339</v>
      </c>
      <c r="B165" s="80">
        <v>422</v>
      </c>
      <c r="C165" s="81" t="s">
        <v>338</v>
      </c>
      <c r="D165" s="73">
        <v>42000</v>
      </c>
      <c r="E165" s="79" t="s">
        <v>42</v>
      </c>
      <c r="F165" s="79" t="s">
        <v>30</v>
      </c>
      <c r="G165" s="79" t="s">
        <v>3001</v>
      </c>
      <c r="H165" s="79" t="s">
        <v>332</v>
      </c>
      <c r="I165" s="81" t="s">
        <v>3000</v>
      </c>
      <c r="J165" s="81">
        <v>25</v>
      </c>
      <c r="K165" s="86"/>
      <c r="M165" s="78" t="s">
        <v>330</v>
      </c>
      <c r="N165" s="82"/>
      <c r="O165" s="81" t="s">
        <v>2313</v>
      </c>
      <c r="P165" s="81" t="s">
        <v>2256</v>
      </c>
      <c r="Q165" s="81"/>
      <c r="R165" s="83">
        <v>1000</v>
      </c>
      <c r="S165" s="79" t="s">
        <v>3042</v>
      </c>
      <c r="T165" s="84">
        <v>42000000</v>
      </c>
      <c r="U165" s="81"/>
      <c r="V165" s="81"/>
      <c r="W165" s="78" t="s">
        <v>330</v>
      </c>
      <c r="X165" s="82"/>
      <c r="Y165" s="81" t="s">
        <v>2313</v>
      </c>
      <c r="Z165" s="81" t="s">
        <v>2256</v>
      </c>
      <c r="AA165" s="83">
        <v>7000</v>
      </c>
      <c r="AB165" s="85"/>
      <c r="AD165" s="78" t="s">
        <v>330</v>
      </c>
      <c r="AE165" s="82"/>
      <c r="AF165" s="81" t="s">
        <v>2313</v>
      </c>
      <c r="AG165" s="81" t="s">
        <v>2256</v>
      </c>
      <c r="AH165" s="83">
        <v>7000</v>
      </c>
      <c r="AI165" s="85"/>
    </row>
    <row r="166" spans="1:35" s="79" customFormat="1" ht="11.25" customHeight="1" x14ac:dyDescent="0.2">
      <c r="A166" s="77" t="s">
        <v>745</v>
      </c>
      <c r="B166" s="80">
        <v>583</v>
      </c>
      <c r="C166" s="81" t="s">
        <v>744</v>
      </c>
      <c r="D166" s="73">
        <v>42000</v>
      </c>
      <c r="E166" s="79" t="s">
        <v>42</v>
      </c>
      <c r="F166" s="79" t="s">
        <v>3725</v>
      </c>
      <c r="G166" s="79" t="s">
        <v>2996</v>
      </c>
      <c r="H166" s="79" t="s">
        <v>332</v>
      </c>
      <c r="I166" s="81" t="s">
        <v>3000</v>
      </c>
      <c r="J166" s="81">
        <v>25</v>
      </c>
      <c r="K166" s="86"/>
      <c r="M166" s="78" t="s">
        <v>744</v>
      </c>
      <c r="N166" s="82"/>
      <c r="O166" s="81" t="s">
        <v>2256</v>
      </c>
      <c r="P166" s="81" t="s">
        <v>2256</v>
      </c>
      <c r="Q166" s="81"/>
      <c r="R166" s="83">
        <v>1000</v>
      </c>
      <c r="S166" s="79" t="s">
        <v>2999</v>
      </c>
      <c r="T166" s="84">
        <v>42000000</v>
      </c>
      <c r="U166" s="81"/>
      <c r="V166" s="81"/>
      <c r="W166" s="78" t="s">
        <v>744</v>
      </c>
      <c r="X166" s="82"/>
      <c r="Y166" s="81" t="s">
        <v>2256</v>
      </c>
      <c r="Z166" s="81" t="s">
        <v>2256</v>
      </c>
      <c r="AA166" s="83">
        <v>7000</v>
      </c>
      <c r="AB166" s="85"/>
      <c r="AD166" s="78" t="s">
        <v>744</v>
      </c>
      <c r="AE166" s="82"/>
      <c r="AF166" s="81" t="s">
        <v>2256</v>
      </c>
      <c r="AG166" s="81" t="s">
        <v>2256</v>
      </c>
      <c r="AH166" s="83">
        <v>7000</v>
      </c>
      <c r="AI166" s="85"/>
    </row>
    <row r="167" spans="1:35" s="79" customFormat="1" ht="11.25" customHeight="1" x14ac:dyDescent="0.2">
      <c r="A167" s="77" t="s">
        <v>1422</v>
      </c>
      <c r="B167" s="80">
        <v>423</v>
      </c>
      <c r="C167" s="81" t="s">
        <v>1421</v>
      </c>
      <c r="D167" s="73">
        <v>42000</v>
      </c>
      <c r="E167" s="79" t="s">
        <v>42</v>
      </c>
      <c r="F167" s="79" t="s">
        <v>30</v>
      </c>
      <c r="G167" s="79" t="s">
        <v>3001</v>
      </c>
      <c r="H167" s="79" t="s">
        <v>332</v>
      </c>
      <c r="I167" s="81" t="s">
        <v>3000</v>
      </c>
      <c r="J167" s="81">
        <v>25</v>
      </c>
      <c r="K167" s="86"/>
      <c r="M167" s="78" t="s">
        <v>744</v>
      </c>
      <c r="N167" s="82"/>
      <c r="O167" s="81" t="s">
        <v>2579</v>
      </c>
      <c r="P167" s="81" t="s">
        <v>2256</v>
      </c>
      <c r="Q167" s="81"/>
      <c r="R167" s="83">
        <v>1000</v>
      </c>
      <c r="S167" s="79" t="s">
        <v>3173</v>
      </c>
      <c r="T167" s="84">
        <v>42000000</v>
      </c>
      <c r="U167" s="81"/>
      <c r="V167" s="81"/>
      <c r="W167" s="78" t="s">
        <v>744</v>
      </c>
      <c r="X167" s="82"/>
      <c r="Y167" s="81" t="s">
        <v>2579</v>
      </c>
      <c r="Z167" s="81" t="s">
        <v>2256</v>
      </c>
      <c r="AA167" s="83">
        <v>7000</v>
      </c>
      <c r="AB167" s="85"/>
      <c r="AD167" s="78" t="s">
        <v>744</v>
      </c>
      <c r="AE167" s="82"/>
      <c r="AF167" s="81" t="s">
        <v>2579</v>
      </c>
      <c r="AG167" s="81" t="s">
        <v>2256</v>
      </c>
      <c r="AH167" s="83">
        <v>7000</v>
      </c>
      <c r="AI167" s="85"/>
    </row>
    <row r="168" spans="1:35" s="79" customFormat="1" ht="11.25" customHeight="1" x14ac:dyDescent="0.2">
      <c r="A168" s="77" t="s">
        <v>1947</v>
      </c>
      <c r="B168" s="80">
        <v>209</v>
      </c>
      <c r="C168" s="81" t="s">
        <v>1946</v>
      </c>
      <c r="D168" s="73">
        <v>100</v>
      </c>
      <c r="E168" s="79" t="s">
        <v>497</v>
      </c>
      <c r="F168" s="79" t="s">
        <v>3725</v>
      </c>
      <c r="G168" s="79" t="s">
        <v>2996</v>
      </c>
      <c r="H168" s="79" t="s">
        <v>332</v>
      </c>
      <c r="I168" s="81" t="s">
        <v>3000</v>
      </c>
      <c r="J168" s="81">
        <v>25</v>
      </c>
      <c r="K168" s="86"/>
      <c r="M168" s="78" t="s">
        <v>1946</v>
      </c>
      <c r="N168" s="82"/>
      <c r="O168" s="81" t="s">
        <v>2256</v>
      </c>
      <c r="P168" s="81" t="s">
        <v>2256</v>
      </c>
      <c r="Q168" s="81"/>
      <c r="R168" s="83">
        <v>100</v>
      </c>
      <c r="S168" s="79" t="s">
        <v>2999</v>
      </c>
      <c r="T168" s="84">
        <v>10000</v>
      </c>
      <c r="U168" s="81"/>
      <c r="V168" s="81"/>
      <c r="W168" s="78" t="s">
        <v>1946</v>
      </c>
      <c r="X168" s="82"/>
      <c r="Y168" s="81" t="s">
        <v>2256</v>
      </c>
      <c r="Z168" s="81" t="s">
        <v>2256</v>
      </c>
      <c r="AA168" s="80">
        <v>500</v>
      </c>
      <c r="AB168" s="85"/>
      <c r="AD168" s="78" t="s">
        <v>1946</v>
      </c>
      <c r="AE168" s="82"/>
      <c r="AF168" s="81" t="s">
        <v>2256</v>
      </c>
      <c r="AG168" s="81" t="s">
        <v>2256</v>
      </c>
      <c r="AH168" s="80">
        <v>750</v>
      </c>
      <c r="AI168" s="85"/>
    </row>
    <row r="169" spans="1:35" s="79" customFormat="1" ht="11.25" customHeight="1" x14ac:dyDescent="0.2">
      <c r="A169" s="77" t="s">
        <v>2006</v>
      </c>
      <c r="B169" s="80">
        <v>210</v>
      </c>
      <c r="C169" s="81" t="s">
        <v>2005</v>
      </c>
      <c r="D169" s="73">
        <v>100</v>
      </c>
      <c r="E169" s="79" t="s">
        <v>497</v>
      </c>
      <c r="F169" s="79" t="s">
        <v>3725</v>
      </c>
      <c r="G169" s="79" t="s">
        <v>2996</v>
      </c>
      <c r="H169" s="79" t="s">
        <v>332</v>
      </c>
      <c r="I169" s="81" t="s">
        <v>3000</v>
      </c>
      <c r="J169" s="81">
        <v>25</v>
      </c>
      <c r="K169" s="86"/>
      <c r="M169" s="78" t="s">
        <v>2005</v>
      </c>
      <c r="N169" s="82"/>
      <c r="O169" s="81" t="s">
        <v>2256</v>
      </c>
      <c r="P169" s="81" t="s">
        <v>2256</v>
      </c>
      <c r="Q169" s="81"/>
      <c r="R169" s="83">
        <v>100</v>
      </c>
      <c r="S169" s="79" t="s">
        <v>2999</v>
      </c>
      <c r="T169" s="84">
        <v>10000</v>
      </c>
      <c r="U169" s="81"/>
      <c r="V169" s="81"/>
      <c r="W169" s="78" t="s">
        <v>2005</v>
      </c>
      <c r="X169" s="82"/>
      <c r="Y169" s="81" t="s">
        <v>2256</v>
      </c>
      <c r="Z169" s="81" t="s">
        <v>2256</v>
      </c>
      <c r="AA169" s="80">
        <v>500</v>
      </c>
      <c r="AB169" s="85"/>
      <c r="AD169" s="78" t="s">
        <v>2005</v>
      </c>
      <c r="AE169" s="82"/>
      <c r="AF169" s="81" t="s">
        <v>2256</v>
      </c>
      <c r="AG169" s="81" t="s">
        <v>2256</v>
      </c>
      <c r="AH169" s="80">
        <v>750</v>
      </c>
      <c r="AI169" s="85"/>
    </row>
    <row r="170" spans="1:35" s="79" customFormat="1" ht="11.25" customHeight="1" x14ac:dyDescent="0.2">
      <c r="A170" s="77" t="s">
        <v>2022</v>
      </c>
      <c r="B170" s="80">
        <v>194</v>
      </c>
      <c r="C170" s="81" t="s">
        <v>2021</v>
      </c>
      <c r="D170" s="73">
        <v>100</v>
      </c>
      <c r="E170" s="79" t="s">
        <v>497</v>
      </c>
      <c r="F170" s="79" t="s">
        <v>3725</v>
      </c>
      <c r="G170" s="79" t="s">
        <v>2996</v>
      </c>
      <c r="H170" s="79" t="s">
        <v>332</v>
      </c>
      <c r="I170" s="81" t="s">
        <v>3000</v>
      </c>
      <c r="J170" s="81">
        <v>5</v>
      </c>
      <c r="K170" s="86"/>
      <c r="M170" s="78" t="s">
        <v>2021</v>
      </c>
      <c r="N170" s="82"/>
      <c r="O170" s="81" t="s">
        <v>2256</v>
      </c>
      <c r="P170" s="81" t="s">
        <v>2256</v>
      </c>
      <c r="Q170" s="81"/>
      <c r="R170" s="83">
        <v>100</v>
      </c>
      <c r="S170" s="79" t="s">
        <v>2999</v>
      </c>
      <c r="T170" s="84">
        <v>10000</v>
      </c>
      <c r="U170" s="81"/>
      <c r="V170" s="81"/>
      <c r="W170" s="78" t="s">
        <v>2021</v>
      </c>
      <c r="X170" s="82"/>
      <c r="Y170" s="81" t="s">
        <v>2256</v>
      </c>
      <c r="Z170" s="81" t="s">
        <v>2256</v>
      </c>
      <c r="AA170" s="80">
        <v>500</v>
      </c>
      <c r="AB170" s="85"/>
      <c r="AD170" s="78" t="s">
        <v>2021</v>
      </c>
      <c r="AE170" s="82"/>
      <c r="AF170" s="81" t="s">
        <v>2256</v>
      </c>
      <c r="AG170" s="81" t="s">
        <v>2256</v>
      </c>
      <c r="AH170" s="80">
        <v>750</v>
      </c>
      <c r="AI170" s="85"/>
    </row>
    <row r="171" spans="1:35" s="79" customFormat="1" ht="11.25" customHeight="1" x14ac:dyDescent="0.2">
      <c r="A171" s="77" t="s">
        <v>1895</v>
      </c>
      <c r="B171" s="80">
        <v>972</v>
      </c>
      <c r="C171" s="81" t="s">
        <v>1894</v>
      </c>
      <c r="D171" s="73">
        <v>10</v>
      </c>
      <c r="E171" s="79" t="s">
        <v>1896</v>
      </c>
      <c r="F171" s="79" t="s">
        <v>3725</v>
      </c>
      <c r="G171" s="79" t="s">
        <v>2996</v>
      </c>
      <c r="H171" s="79" t="s">
        <v>1897</v>
      </c>
      <c r="I171" s="81"/>
      <c r="J171" s="81">
        <v>350</v>
      </c>
      <c r="K171" s="86"/>
      <c r="M171" s="78" t="s">
        <v>1894</v>
      </c>
      <c r="N171" s="82"/>
      <c r="O171" s="81" t="s">
        <v>2256</v>
      </c>
      <c r="P171" s="81" t="s">
        <v>2256</v>
      </c>
      <c r="Q171" s="81"/>
      <c r="R171" s="83">
        <v>4000</v>
      </c>
      <c r="S171" s="79" t="s">
        <v>2999</v>
      </c>
      <c r="T171" s="84">
        <v>40000</v>
      </c>
      <c r="U171" s="81"/>
      <c r="V171" s="81"/>
      <c r="W171" s="78" t="s">
        <v>1894</v>
      </c>
      <c r="X171" s="82"/>
      <c r="Y171" s="81" t="s">
        <v>2256</v>
      </c>
      <c r="Z171" s="81" t="s">
        <v>2256</v>
      </c>
      <c r="AA171" s="83">
        <v>12000</v>
      </c>
      <c r="AB171" s="85"/>
      <c r="AD171" s="78" t="s">
        <v>1894</v>
      </c>
      <c r="AE171" s="82"/>
      <c r="AF171" s="81" t="s">
        <v>2256</v>
      </c>
      <c r="AG171" s="81" t="s">
        <v>2256</v>
      </c>
      <c r="AH171" s="83">
        <v>20000</v>
      </c>
      <c r="AI171" s="85"/>
    </row>
    <row r="172" spans="1:35" s="79" customFormat="1" ht="11.25" customHeight="1" x14ac:dyDescent="0.2">
      <c r="A172" s="77" t="s">
        <v>272</v>
      </c>
      <c r="B172" s="80">
        <v>944</v>
      </c>
      <c r="C172" s="81" t="s">
        <v>271</v>
      </c>
      <c r="D172" s="73">
        <v>1</v>
      </c>
      <c r="E172" s="79" t="s">
        <v>273</v>
      </c>
      <c r="F172" s="79" t="s">
        <v>3725</v>
      </c>
      <c r="G172" s="79" t="s">
        <v>2996</v>
      </c>
      <c r="H172" s="79" t="s">
        <v>274</v>
      </c>
      <c r="I172" s="81" t="s">
        <v>3000</v>
      </c>
      <c r="J172" s="81">
        <v>25</v>
      </c>
      <c r="K172" s="86"/>
      <c r="M172" s="78" t="s">
        <v>271</v>
      </c>
      <c r="N172" s="82"/>
      <c r="O172" s="81" t="s">
        <v>2256</v>
      </c>
      <c r="P172" s="81" t="s">
        <v>2256</v>
      </c>
      <c r="Q172" s="81"/>
      <c r="R172" s="83">
        <v>1000</v>
      </c>
      <c r="S172" s="79" t="s">
        <v>2999</v>
      </c>
      <c r="T172" s="84">
        <v>1000</v>
      </c>
      <c r="U172" s="81"/>
      <c r="V172" s="81"/>
      <c r="W172" s="78" t="s">
        <v>271</v>
      </c>
      <c r="X172" s="82"/>
      <c r="Y172" s="81" t="s">
        <v>2256</v>
      </c>
      <c r="Z172" s="81" t="s">
        <v>2256</v>
      </c>
      <c r="AA172" s="83">
        <v>10000</v>
      </c>
      <c r="AB172" s="85"/>
      <c r="AD172" s="78" t="s">
        <v>271</v>
      </c>
      <c r="AE172" s="82"/>
      <c r="AF172" s="81" t="s">
        <v>2256</v>
      </c>
      <c r="AG172" s="81" t="s">
        <v>2256</v>
      </c>
      <c r="AH172" s="83">
        <v>10000</v>
      </c>
      <c r="AI172" s="85"/>
    </row>
    <row r="173" spans="1:35" s="79" customFormat="1" ht="11.25" customHeight="1" x14ac:dyDescent="0.2">
      <c r="A173" s="77" t="s">
        <v>322</v>
      </c>
      <c r="B173" s="80">
        <v>937</v>
      </c>
      <c r="C173" s="81" t="s">
        <v>321</v>
      </c>
      <c r="D173" s="76">
        <v>0.25</v>
      </c>
      <c r="E173" s="79" t="s">
        <v>323</v>
      </c>
      <c r="F173" s="79" t="s">
        <v>3725</v>
      </c>
      <c r="G173" s="79" t="s">
        <v>2996</v>
      </c>
      <c r="H173" s="79" t="s">
        <v>274</v>
      </c>
      <c r="I173" s="81" t="s">
        <v>3000</v>
      </c>
      <c r="J173" s="81">
        <v>25</v>
      </c>
      <c r="K173" s="86"/>
      <c r="M173" s="78" t="s">
        <v>271</v>
      </c>
      <c r="N173" s="82"/>
      <c r="O173" s="81" t="s">
        <v>2310</v>
      </c>
      <c r="P173" s="81" t="s">
        <v>2256</v>
      </c>
      <c r="Q173" s="81"/>
      <c r="R173" s="83">
        <v>1000</v>
      </c>
      <c r="S173" s="79" t="s">
        <v>3039</v>
      </c>
      <c r="T173" s="84">
        <v>1000</v>
      </c>
      <c r="U173" s="81"/>
      <c r="V173" s="81"/>
      <c r="W173" s="78" t="s">
        <v>271</v>
      </c>
      <c r="X173" s="82"/>
      <c r="Y173" s="81" t="s">
        <v>2310</v>
      </c>
      <c r="Z173" s="81" t="s">
        <v>2256</v>
      </c>
      <c r="AA173" s="83">
        <v>10000</v>
      </c>
      <c r="AB173" s="85"/>
      <c r="AD173" s="78" t="s">
        <v>271</v>
      </c>
      <c r="AE173" s="82"/>
      <c r="AF173" s="81" t="s">
        <v>2310</v>
      </c>
      <c r="AG173" s="81" t="s">
        <v>2256</v>
      </c>
      <c r="AH173" s="83">
        <v>10000</v>
      </c>
      <c r="AI173" s="85"/>
    </row>
    <row r="174" spans="1:35" s="79" customFormat="1" ht="11.25" customHeight="1" x14ac:dyDescent="0.2">
      <c r="A174" s="77" t="s">
        <v>1215</v>
      </c>
      <c r="B174" s="80">
        <v>938</v>
      </c>
      <c r="C174" s="81" t="s">
        <v>1214</v>
      </c>
      <c r="D174" s="73">
        <v>1</v>
      </c>
      <c r="E174" s="79" t="s">
        <v>273</v>
      </c>
      <c r="F174" s="79" t="s">
        <v>3725</v>
      </c>
      <c r="G174" s="79" t="s">
        <v>2996</v>
      </c>
      <c r="H174" s="79" t="s">
        <v>274</v>
      </c>
      <c r="I174" s="81" t="s">
        <v>3000</v>
      </c>
      <c r="J174" s="81">
        <v>25</v>
      </c>
      <c r="K174" s="86"/>
      <c r="M174" s="78" t="s">
        <v>271</v>
      </c>
      <c r="N174" s="82"/>
      <c r="O174" s="81" t="s">
        <v>2522</v>
      </c>
      <c r="P174" s="81" t="s">
        <v>2256</v>
      </c>
      <c r="Q174" s="81"/>
      <c r="R174" s="83">
        <v>1000</v>
      </c>
      <c r="S174" s="79" t="s">
        <v>3039</v>
      </c>
      <c r="T174" s="84">
        <v>1000</v>
      </c>
      <c r="U174" s="81"/>
      <c r="V174" s="81"/>
      <c r="W174" s="78" t="s">
        <v>271</v>
      </c>
      <c r="X174" s="82"/>
      <c r="Y174" s="81" t="s">
        <v>2522</v>
      </c>
      <c r="Z174" s="81" t="s">
        <v>2256</v>
      </c>
      <c r="AA174" s="83">
        <v>10000</v>
      </c>
      <c r="AB174" s="85"/>
      <c r="AD174" s="78" t="s">
        <v>271</v>
      </c>
      <c r="AE174" s="82"/>
      <c r="AF174" s="81" t="s">
        <v>2522</v>
      </c>
      <c r="AG174" s="81" t="s">
        <v>2256</v>
      </c>
      <c r="AH174" s="83">
        <v>10000</v>
      </c>
      <c r="AI174" s="85"/>
    </row>
    <row r="175" spans="1:35" s="79" customFormat="1" ht="11.25" customHeight="1" x14ac:dyDescent="0.2">
      <c r="A175" s="77" t="s">
        <v>807</v>
      </c>
      <c r="B175" s="80">
        <v>522</v>
      </c>
      <c r="C175" s="81" t="s">
        <v>806</v>
      </c>
      <c r="D175" s="73">
        <v>1000</v>
      </c>
      <c r="E175" s="79" t="s">
        <v>20</v>
      </c>
      <c r="F175" s="79" t="s">
        <v>3725</v>
      </c>
      <c r="G175" s="79" t="s">
        <v>2996</v>
      </c>
      <c r="H175" s="79" t="s">
        <v>274</v>
      </c>
      <c r="I175" s="81" t="s">
        <v>3000</v>
      </c>
      <c r="J175" s="81">
        <v>25</v>
      </c>
      <c r="K175" s="86"/>
      <c r="M175" s="78" t="s">
        <v>806</v>
      </c>
      <c r="N175" s="82"/>
      <c r="O175" s="81" t="s">
        <v>2256</v>
      </c>
      <c r="P175" s="81" t="s">
        <v>2256</v>
      </c>
      <c r="Q175" s="81"/>
      <c r="R175" s="83">
        <v>500</v>
      </c>
      <c r="S175" s="79" t="s">
        <v>2999</v>
      </c>
      <c r="T175" s="84">
        <v>500000</v>
      </c>
      <c r="U175" s="81"/>
      <c r="V175" s="81"/>
      <c r="W175" s="78" t="s">
        <v>806</v>
      </c>
      <c r="X175" s="82"/>
      <c r="Y175" s="81" t="s">
        <v>2256</v>
      </c>
      <c r="Z175" s="81" t="s">
        <v>2256</v>
      </c>
      <c r="AA175" s="83">
        <v>5000</v>
      </c>
      <c r="AB175" s="85"/>
      <c r="AD175" s="78" t="s">
        <v>806</v>
      </c>
      <c r="AE175" s="82"/>
      <c r="AF175" s="81" t="s">
        <v>2256</v>
      </c>
      <c r="AG175" s="81" t="s">
        <v>2256</v>
      </c>
      <c r="AH175" s="83">
        <v>5000</v>
      </c>
      <c r="AI175" s="85"/>
    </row>
    <row r="176" spans="1:35" s="79" customFormat="1" ht="11.25" customHeight="1" x14ac:dyDescent="0.2">
      <c r="A176" s="77" t="s">
        <v>904</v>
      </c>
      <c r="B176" s="80">
        <v>935</v>
      </c>
      <c r="C176" s="81" t="s">
        <v>903</v>
      </c>
      <c r="D176" s="76">
        <v>0.25</v>
      </c>
      <c r="E176" s="79" t="s">
        <v>323</v>
      </c>
      <c r="F176" s="79" t="s">
        <v>3725</v>
      </c>
      <c r="G176" s="79" t="s">
        <v>2996</v>
      </c>
      <c r="H176" s="79" t="s">
        <v>274</v>
      </c>
      <c r="I176" s="81" t="s">
        <v>3000</v>
      </c>
      <c r="J176" s="81">
        <v>25</v>
      </c>
      <c r="K176" s="86"/>
      <c r="M176" s="78" t="s">
        <v>905</v>
      </c>
      <c r="N176" s="82"/>
      <c r="O176" s="81" t="s">
        <v>2456</v>
      </c>
      <c r="P176" s="81" t="s">
        <v>2256</v>
      </c>
      <c r="Q176" s="81"/>
      <c r="R176" s="83">
        <v>500</v>
      </c>
      <c r="S176" s="79" t="s">
        <v>3139</v>
      </c>
      <c r="T176" s="84">
        <v>500</v>
      </c>
      <c r="U176" s="81"/>
      <c r="V176" s="81"/>
      <c r="W176" s="78" t="s">
        <v>905</v>
      </c>
      <c r="X176" s="82"/>
      <c r="Y176" s="81" t="s">
        <v>2456</v>
      </c>
      <c r="Z176" s="81" t="s">
        <v>2256</v>
      </c>
      <c r="AA176" s="83">
        <v>5000</v>
      </c>
      <c r="AB176" s="85"/>
      <c r="AD176" s="78" t="s">
        <v>905</v>
      </c>
      <c r="AE176" s="82"/>
      <c r="AF176" s="81" t="s">
        <v>2456</v>
      </c>
      <c r="AG176" s="81" t="s">
        <v>2256</v>
      </c>
      <c r="AH176" s="83">
        <v>5000</v>
      </c>
      <c r="AI176" s="85"/>
    </row>
    <row r="177" spans="1:35" s="79" customFormat="1" ht="11.25" customHeight="1" x14ac:dyDescent="0.2">
      <c r="A177" s="77" t="s">
        <v>919</v>
      </c>
      <c r="B177" s="80">
        <v>943</v>
      </c>
      <c r="C177" s="81" t="s">
        <v>905</v>
      </c>
      <c r="D177" s="73">
        <v>1</v>
      </c>
      <c r="E177" s="79" t="s">
        <v>273</v>
      </c>
      <c r="F177" s="79" t="s">
        <v>3725</v>
      </c>
      <c r="G177" s="79" t="s">
        <v>2996</v>
      </c>
      <c r="H177" s="79" t="s">
        <v>274</v>
      </c>
      <c r="I177" s="81" t="s">
        <v>3000</v>
      </c>
      <c r="J177" s="81">
        <v>25</v>
      </c>
      <c r="K177" s="86"/>
      <c r="M177" s="78" t="s">
        <v>905</v>
      </c>
      <c r="N177" s="82"/>
      <c r="O177" s="81" t="s">
        <v>2256</v>
      </c>
      <c r="P177" s="81" t="s">
        <v>2256</v>
      </c>
      <c r="Q177" s="81"/>
      <c r="R177" s="83">
        <v>500</v>
      </c>
      <c r="S177" s="79" t="s">
        <v>2999</v>
      </c>
      <c r="T177" s="84">
        <v>500</v>
      </c>
      <c r="U177" s="81"/>
      <c r="V177" s="81"/>
      <c r="W177" s="78" t="s">
        <v>905</v>
      </c>
      <c r="X177" s="82"/>
      <c r="Y177" s="81" t="s">
        <v>2256</v>
      </c>
      <c r="Z177" s="81" t="s">
        <v>2256</v>
      </c>
      <c r="AA177" s="83">
        <v>5000</v>
      </c>
      <c r="AB177" s="85"/>
      <c r="AD177" s="78" t="s">
        <v>905</v>
      </c>
      <c r="AE177" s="82"/>
      <c r="AF177" s="81" t="s">
        <v>2256</v>
      </c>
      <c r="AG177" s="81" t="s">
        <v>2256</v>
      </c>
      <c r="AH177" s="83">
        <v>5000</v>
      </c>
      <c r="AI177" s="85"/>
    </row>
    <row r="178" spans="1:35" s="79" customFormat="1" ht="11.25" customHeight="1" x14ac:dyDescent="0.2">
      <c r="A178" s="77" t="s">
        <v>1596</v>
      </c>
      <c r="B178" s="80">
        <v>936</v>
      </c>
      <c r="C178" s="81" t="s">
        <v>1595</v>
      </c>
      <c r="D178" s="73">
        <v>1</v>
      </c>
      <c r="E178" s="79" t="s">
        <v>273</v>
      </c>
      <c r="F178" s="79" t="s">
        <v>3725</v>
      </c>
      <c r="G178" s="79" t="s">
        <v>2996</v>
      </c>
      <c r="H178" s="79" t="s">
        <v>274</v>
      </c>
      <c r="I178" s="81" t="s">
        <v>3000</v>
      </c>
      <c r="J178" s="81">
        <v>25</v>
      </c>
      <c r="K178" s="86"/>
      <c r="M178" s="78" t="s">
        <v>905</v>
      </c>
      <c r="N178" s="82"/>
      <c r="O178" s="81" t="s">
        <v>2619</v>
      </c>
      <c r="P178" s="81" t="s">
        <v>2256</v>
      </c>
      <c r="Q178" s="81"/>
      <c r="R178" s="83">
        <v>500</v>
      </c>
      <c r="S178" s="79" t="s">
        <v>3139</v>
      </c>
      <c r="T178" s="84">
        <v>500</v>
      </c>
      <c r="U178" s="81"/>
      <c r="V178" s="81"/>
      <c r="W178" s="78" t="s">
        <v>905</v>
      </c>
      <c r="X178" s="82"/>
      <c r="Y178" s="81" t="s">
        <v>2619</v>
      </c>
      <c r="Z178" s="81" t="s">
        <v>2256</v>
      </c>
      <c r="AA178" s="83">
        <v>5000</v>
      </c>
      <c r="AB178" s="85"/>
      <c r="AD178" s="78" t="s">
        <v>905</v>
      </c>
      <c r="AE178" s="82"/>
      <c r="AF178" s="81" t="s">
        <v>2619</v>
      </c>
      <c r="AG178" s="81" t="s">
        <v>2256</v>
      </c>
      <c r="AH178" s="83">
        <v>5000</v>
      </c>
      <c r="AI178" s="85"/>
    </row>
    <row r="179" spans="1:35" s="79" customFormat="1" ht="11.25" customHeight="1" x14ac:dyDescent="0.2">
      <c r="A179" s="77" t="s">
        <v>747</v>
      </c>
      <c r="B179" s="80">
        <v>939</v>
      </c>
      <c r="C179" s="81" t="s">
        <v>746</v>
      </c>
      <c r="D179" s="76">
        <v>0.25</v>
      </c>
      <c r="E179" s="79" t="s">
        <v>323</v>
      </c>
      <c r="F179" s="79" t="s">
        <v>3725</v>
      </c>
      <c r="G179" s="79" t="s">
        <v>2996</v>
      </c>
      <c r="H179" s="79" t="s">
        <v>274</v>
      </c>
      <c r="I179" s="81" t="s">
        <v>3000</v>
      </c>
      <c r="J179" s="81">
        <v>25</v>
      </c>
      <c r="K179" s="86"/>
      <c r="M179" s="78" t="s">
        <v>748</v>
      </c>
      <c r="N179" s="82"/>
      <c r="O179" s="81" t="s">
        <v>2404</v>
      </c>
      <c r="P179" s="81" t="s">
        <v>2256</v>
      </c>
      <c r="Q179" s="81"/>
      <c r="R179" s="83">
        <v>1000</v>
      </c>
      <c r="S179" s="79" t="s">
        <v>3096</v>
      </c>
      <c r="T179" s="84">
        <v>1000</v>
      </c>
      <c r="U179" s="81"/>
      <c r="V179" s="81"/>
      <c r="W179" s="78" t="s">
        <v>748</v>
      </c>
      <c r="X179" s="82"/>
      <c r="Y179" s="81" t="s">
        <v>2404</v>
      </c>
      <c r="Z179" s="81" t="s">
        <v>2256</v>
      </c>
      <c r="AA179" s="83">
        <v>10000</v>
      </c>
      <c r="AB179" s="85"/>
      <c r="AD179" s="78" t="s">
        <v>748</v>
      </c>
      <c r="AE179" s="82"/>
      <c r="AF179" s="81" t="s">
        <v>2404</v>
      </c>
      <c r="AG179" s="81" t="s">
        <v>2256</v>
      </c>
      <c r="AH179" s="83">
        <v>10000</v>
      </c>
      <c r="AI179" s="85"/>
    </row>
    <row r="180" spans="1:35" s="79" customFormat="1" ht="11.25" customHeight="1" x14ac:dyDescent="0.2">
      <c r="A180" s="77" t="s">
        <v>1342</v>
      </c>
      <c r="B180" s="80">
        <v>940</v>
      </c>
      <c r="C180" s="81" t="s">
        <v>1341</v>
      </c>
      <c r="D180" s="73">
        <v>1</v>
      </c>
      <c r="E180" s="79" t="s">
        <v>273</v>
      </c>
      <c r="F180" s="79" t="s">
        <v>3725</v>
      </c>
      <c r="G180" s="79" t="s">
        <v>2996</v>
      </c>
      <c r="H180" s="79" t="s">
        <v>274</v>
      </c>
      <c r="I180" s="81" t="s">
        <v>3000</v>
      </c>
      <c r="J180" s="81">
        <v>25</v>
      </c>
      <c r="K180" s="86"/>
      <c r="M180" s="78" t="s">
        <v>748</v>
      </c>
      <c r="N180" s="82"/>
      <c r="O180" s="81" t="s">
        <v>2563</v>
      </c>
      <c r="P180" s="81" t="s">
        <v>2256</v>
      </c>
      <c r="Q180" s="81"/>
      <c r="R180" s="83">
        <v>1000</v>
      </c>
      <c r="S180" s="79" t="s">
        <v>3096</v>
      </c>
      <c r="T180" s="84">
        <v>1000</v>
      </c>
      <c r="U180" s="81"/>
      <c r="V180" s="81"/>
      <c r="W180" s="78" t="s">
        <v>748</v>
      </c>
      <c r="X180" s="82"/>
      <c r="Y180" s="81" t="s">
        <v>2563</v>
      </c>
      <c r="Z180" s="81" t="s">
        <v>2256</v>
      </c>
      <c r="AA180" s="83">
        <v>10000</v>
      </c>
      <c r="AB180" s="85"/>
      <c r="AD180" s="78" t="s">
        <v>748</v>
      </c>
      <c r="AE180" s="82"/>
      <c r="AF180" s="81" t="s">
        <v>2563</v>
      </c>
      <c r="AG180" s="81" t="s">
        <v>2256</v>
      </c>
      <c r="AH180" s="83">
        <v>10000</v>
      </c>
      <c r="AI180" s="85"/>
    </row>
    <row r="181" spans="1:35" s="79" customFormat="1" ht="11.25" customHeight="1" x14ac:dyDescent="0.2">
      <c r="A181" s="77" t="s">
        <v>1537</v>
      </c>
      <c r="B181" s="80">
        <v>945</v>
      </c>
      <c r="C181" s="81" t="s">
        <v>748</v>
      </c>
      <c r="D181" s="73">
        <v>1</v>
      </c>
      <c r="E181" s="79" t="s">
        <v>273</v>
      </c>
      <c r="F181" s="79" t="s">
        <v>3725</v>
      </c>
      <c r="G181" s="79" t="s">
        <v>2996</v>
      </c>
      <c r="H181" s="79" t="s">
        <v>274</v>
      </c>
      <c r="I181" s="81" t="s">
        <v>3000</v>
      </c>
      <c r="J181" s="81">
        <v>25</v>
      </c>
      <c r="K181" s="86"/>
      <c r="M181" s="78" t="s">
        <v>748</v>
      </c>
      <c r="N181" s="82"/>
      <c r="O181" s="81" t="s">
        <v>2256</v>
      </c>
      <c r="P181" s="81" t="s">
        <v>2256</v>
      </c>
      <c r="Q181" s="81"/>
      <c r="R181" s="83">
        <v>1000</v>
      </c>
      <c r="S181" s="79" t="s">
        <v>2999</v>
      </c>
      <c r="T181" s="84">
        <v>1000</v>
      </c>
      <c r="U181" s="81"/>
      <c r="V181" s="81"/>
      <c r="W181" s="78" t="s">
        <v>748</v>
      </c>
      <c r="X181" s="82"/>
      <c r="Y181" s="81" t="s">
        <v>2256</v>
      </c>
      <c r="Z181" s="81" t="s">
        <v>2256</v>
      </c>
      <c r="AA181" s="83">
        <v>10000</v>
      </c>
      <c r="AB181" s="85"/>
      <c r="AD181" s="78" t="s">
        <v>748</v>
      </c>
      <c r="AE181" s="82"/>
      <c r="AF181" s="81" t="s">
        <v>2256</v>
      </c>
      <c r="AG181" s="81" t="s">
        <v>2256</v>
      </c>
      <c r="AH181" s="83">
        <v>10000</v>
      </c>
      <c r="AI181" s="85"/>
    </row>
    <row r="182" spans="1:35" s="79" customFormat="1" ht="11.25" customHeight="1" x14ac:dyDescent="0.2">
      <c r="A182" s="77" t="s">
        <v>821</v>
      </c>
      <c r="B182" s="80">
        <v>941</v>
      </c>
      <c r="C182" s="81" t="s">
        <v>820</v>
      </c>
      <c r="D182" s="76">
        <v>0.25</v>
      </c>
      <c r="E182" s="79" t="s">
        <v>323</v>
      </c>
      <c r="F182" s="79" t="s">
        <v>3725</v>
      </c>
      <c r="G182" s="79" t="s">
        <v>2996</v>
      </c>
      <c r="H182" s="79" t="s">
        <v>274</v>
      </c>
      <c r="I182" s="81" t="s">
        <v>3000</v>
      </c>
      <c r="J182" s="81">
        <v>25</v>
      </c>
      <c r="K182" s="86"/>
      <c r="M182" s="78" t="s">
        <v>822</v>
      </c>
      <c r="N182" s="82"/>
      <c r="O182" s="81" t="s">
        <v>2429</v>
      </c>
      <c r="P182" s="81" t="s">
        <v>2256</v>
      </c>
      <c r="Q182" s="81"/>
      <c r="R182" s="83">
        <v>750</v>
      </c>
      <c r="S182" s="79" t="s">
        <v>3116</v>
      </c>
      <c r="T182" s="84">
        <v>750</v>
      </c>
      <c r="U182" s="81"/>
      <c r="V182" s="81"/>
      <c r="W182" s="78" t="s">
        <v>822</v>
      </c>
      <c r="X182" s="82"/>
      <c r="Y182" s="81" t="s">
        <v>2429</v>
      </c>
      <c r="Z182" s="81" t="s">
        <v>2256</v>
      </c>
      <c r="AA182" s="83">
        <v>7500</v>
      </c>
      <c r="AB182" s="85"/>
      <c r="AD182" s="78" t="s">
        <v>822</v>
      </c>
      <c r="AE182" s="82"/>
      <c r="AF182" s="81" t="s">
        <v>2429</v>
      </c>
      <c r="AG182" s="81" t="s">
        <v>2256</v>
      </c>
      <c r="AH182" s="83">
        <v>7500</v>
      </c>
      <c r="AI182" s="85"/>
    </row>
    <row r="183" spans="1:35" s="79" customFormat="1" ht="11.25" customHeight="1" x14ac:dyDescent="0.2">
      <c r="A183" s="77" t="s">
        <v>1495</v>
      </c>
      <c r="B183" s="80">
        <v>942</v>
      </c>
      <c r="C183" s="81" t="s">
        <v>1494</v>
      </c>
      <c r="D183" s="73">
        <v>1</v>
      </c>
      <c r="E183" s="79" t="s">
        <v>273</v>
      </c>
      <c r="F183" s="79" t="s">
        <v>3725</v>
      </c>
      <c r="G183" s="79" t="s">
        <v>2996</v>
      </c>
      <c r="H183" s="79" t="s">
        <v>274</v>
      </c>
      <c r="I183" s="81" t="s">
        <v>3000</v>
      </c>
      <c r="J183" s="81">
        <v>25</v>
      </c>
      <c r="K183" s="86"/>
      <c r="M183" s="78" t="s">
        <v>822</v>
      </c>
      <c r="N183" s="82"/>
      <c r="O183" s="81" t="s">
        <v>2603</v>
      </c>
      <c r="P183" s="81" t="s">
        <v>2256</v>
      </c>
      <c r="Q183" s="81"/>
      <c r="R183" s="83">
        <v>750</v>
      </c>
      <c r="S183" s="79" t="s">
        <v>3116</v>
      </c>
      <c r="T183" s="84">
        <v>750</v>
      </c>
      <c r="U183" s="81"/>
      <c r="V183" s="81"/>
      <c r="W183" s="78" t="s">
        <v>822</v>
      </c>
      <c r="X183" s="82"/>
      <c r="Y183" s="81" t="s">
        <v>2603</v>
      </c>
      <c r="Z183" s="81" t="s">
        <v>2256</v>
      </c>
      <c r="AA183" s="83">
        <v>7500</v>
      </c>
      <c r="AB183" s="85"/>
      <c r="AD183" s="78" t="s">
        <v>822</v>
      </c>
      <c r="AE183" s="82"/>
      <c r="AF183" s="81" t="s">
        <v>2603</v>
      </c>
      <c r="AG183" s="81" t="s">
        <v>2256</v>
      </c>
      <c r="AH183" s="83">
        <v>7500</v>
      </c>
      <c r="AI183" s="85"/>
    </row>
    <row r="184" spans="1:35" s="79" customFormat="1" ht="11.25" customHeight="1" x14ac:dyDescent="0.2">
      <c r="A184" s="77" t="s">
        <v>1728</v>
      </c>
      <c r="B184" s="80">
        <v>946</v>
      </c>
      <c r="C184" s="81" t="s">
        <v>822</v>
      </c>
      <c r="D184" s="73">
        <v>1</v>
      </c>
      <c r="E184" s="79" t="s">
        <v>273</v>
      </c>
      <c r="F184" s="79" t="s">
        <v>3725</v>
      </c>
      <c r="G184" s="79" t="s">
        <v>2996</v>
      </c>
      <c r="H184" s="79" t="s">
        <v>274</v>
      </c>
      <c r="I184" s="81" t="s">
        <v>3000</v>
      </c>
      <c r="J184" s="81">
        <v>25</v>
      </c>
      <c r="K184" s="86"/>
      <c r="M184" s="78" t="s">
        <v>822</v>
      </c>
      <c r="N184" s="82"/>
      <c r="O184" s="81" t="s">
        <v>2256</v>
      </c>
      <c r="P184" s="81" t="s">
        <v>2256</v>
      </c>
      <c r="Q184" s="81"/>
      <c r="R184" s="83">
        <v>750</v>
      </c>
      <c r="S184" s="79" t="s">
        <v>2999</v>
      </c>
      <c r="T184" s="84">
        <v>750</v>
      </c>
      <c r="U184" s="81"/>
      <c r="V184" s="81"/>
      <c r="W184" s="78" t="s">
        <v>822</v>
      </c>
      <c r="X184" s="82"/>
      <c r="Y184" s="81" t="s">
        <v>2256</v>
      </c>
      <c r="Z184" s="81" t="s">
        <v>2256</v>
      </c>
      <c r="AA184" s="83">
        <v>7500</v>
      </c>
      <c r="AB184" s="85"/>
      <c r="AD184" s="78" t="s">
        <v>822</v>
      </c>
      <c r="AE184" s="82"/>
      <c r="AF184" s="81" t="s">
        <v>2256</v>
      </c>
      <c r="AG184" s="81" t="s">
        <v>2256</v>
      </c>
      <c r="AH184" s="83">
        <v>7500</v>
      </c>
      <c r="AI184" s="85"/>
    </row>
    <row r="185" spans="1:35" s="79" customFormat="1" ht="11.25" customHeight="1" x14ac:dyDescent="0.2">
      <c r="A185" s="77" t="s">
        <v>1793</v>
      </c>
      <c r="B185" s="80">
        <v>1053</v>
      </c>
      <c r="C185" s="81" t="s">
        <v>1792</v>
      </c>
      <c r="D185" s="73">
        <v>1000</v>
      </c>
      <c r="E185" s="79" t="s">
        <v>20</v>
      </c>
      <c r="F185" s="79" t="s">
        <v>3725</v>
      </c>
      <c r="G185" s="79" t="s">
        <v>2996</v>
      </c>
      <c r="H185" s="79" t="s">
        <v>274</v>
      </c>
      <c r="I185" s="81" t="s">
        <v>3000</v>
      </c>
      <c r="J185" s="81">
        <v>25</v>
      </c>
      <c r="K185" s="86"/>
      <c r="M185" s="78" t="s">
        <v>1792</v>
      </c>
      <c r="N185" s="82"/>
      <c r="O185" s="81" t="s">
        <v>2256</v>
      </c>
      <c r="P185" s="81" t="s">
        <v>2256</v>
      </c>
      <c r="Q185" s="81"/>
      <c r="R185" s="83">
        <v>60</v>
      </c>
      <c r="S185" s="79" t="s">
        <v>2999</v>
      </c>
      <c r="T185" s="84">
        <v>60000</v>
      </c>
      <c r="U185" s="81"/>
      <c r="V185" s="81"/>
      <c r="W185" s="78" t="s">
        <v>1792</v>
      </c>
      <c r="X185" s="82"/>
      <c r="Y185" s="81" t="s">
        <v>2256</v>
      </c>
      <c r="Z185" s="81" t="s">
        <v>2256</v>
      </c>
      <c r="AA185" s="80">
        <v>600</v>
      </c>
      <c r="AB185" s="85"/>
      <c r="AD185" s="78" t="s">
        <v>1792</v>
      </c>
      <c r="AE185" s="82"/>
      <c r="AF185" s="81" t="s">
        <v>2256</v>
      </c>
      <c r="AG185" s="81" t="s">
        <v>2256</v>
      </c>
      <c r="AH185" s="80">
        <v>600</v>
      </c>
      <c r="AI185" s="85"/>
    </row>
    <row r="186" spans="1:35" s="79" customFormat="1" ht="11.25" customHeight="1" x14ac:dyDescent="0.2">
      <c r="A186" s="77" t="s">
        <v>3637</v>
      </c>
      <c r="B186" s="80">
        <v>948</v>
      </c>
      <c r="C186" s="81" t="s">
        <v>1794</v>
      </c>
      <c r="D186" s="73">
        <v>1000</v>
      </c>
      <c r="E186" s="79" t="s">
        <v>20</v>
      </c>
      <c r="F186" s="79" t="s">
        <v>30</v>
      </c>
      <c r="G186" s="79" t="s">
        <v>3001</v>
      </c>
      <c r="H186" s="79" t="s">
        <v>274</v>
      </c>
      <c r="I186" s="81" t="s">
        <v>3000</v>
      </c>
      <c r="J186" s="81">
        <v>25</v>
      </c>
      <c r="K186" s="86"/>
      <c r="M186" s="78" t="s">
        <v>1795</v>
      </c>
      <c r="N186" s="82"/>
      <c r="O186" s="81" t="s">
        <v>2664</v>
      </c>
      <c r="P186" s="81" t="s">
        <v>2256</v>
      </c>
      <c r="Q186" s="81"/>
      <c r="R186" s="83">
        <v>1000</v>
      </c>
      <c r="S186" s="79" t="s">
        <v>3214</v>
      </c>
      <c r="T186" s="84">
        <v>1000000</v>
      </c>
      <c r="U186" s="81"/>
      <c r="V186" s="81"/>
      <c r="W186" s="78" t="s">
        <v>1795</v>
      </c>
      <c r="X186" s="82"/>
      <c r="Y186" s="81" t="s">
        <v>2664</v>
      </c>
      <c r="Z186" s="81" t="s">
        <v>2256</v>
      </c>
      <c r="AA186" s="83">
        <v>10000</v>
      </c>
      <c r="AB186" s="85"/>
      <c r="AD186" s="78" t="s">
        <v>1795</v>
      </c>
      <c r="AE186" s="82"/>
      <c r="AF186" s="81" t="s">
        <v>2664</v>
      </c>
      <c r="AG186" s="81" t="s">
        <v>2256</v>
      </c>
      <c r="AH186" s="83">
        <v>10000</v>
      </c>
      <c r="AI186" s="85"/>
    </row>
    <row r="187" spans="1:35" s="79" customFormat="1" ht="11.25" customHeight="1" x14ac:dyDescent="0.2">
      <c r="A187" s="77" t="s">
        <v>1803</v>
      </c>
      <c r="B187" s="80">
        <v>682</v>
      </c>
      <c r="C187" s="81" t="s">
        <v>1795</v>
      </c>
      <c r="D187" s="73">
        <v>1000</v>
      </c>
      <c r="E187" s="79" t="s">
        <v>20</v>
      </c>
      <c r="F187" s="79" t="s">
        <v>3725</v>
      </c>
      <c r="G187" s="79" t="s">
        <v>2996</v>
      </c>
      <c r="H187" s="79" t="s">
        <v>274</v>
      </c>
      <c r="I187" s="81" t="s">
        <v>3000</v>
      </c>
      <c r="J187" s="81">
        <v>25</v>
      </c>
      <c r="K187" s="86"/>
      <c r="M187" s="78" t="s">
        <v>1795</v>
      </c>
      <c r="N187" s="82"/>
      <c r="O187" s="81" t="s">
        <v>2256</v>
      </c>
      <c r="P187" s="81" t="s">
        <v>2256</v>
      </c>
      <c r="Q187" s="81"/>
      <c r="R187" s="83">
        <v>1000</v>
      </c>
      <c r="S187" s="79" t="s">
        <v>2999</v>
      </c>
      <c r="T187" s="84">
        <v>1000000</v>
      </c>
      <c r="U187" s="81"/>
      <c r="V187" s="81"/>
      <c r="W187" s="78" t="s">
        <v>1795</v>
      </c>
      <c r="X187" s="82"/>
      <c r="Y187" s="81" t="s">
        <v>2256</v>
      </c>
      <c r="Z187" s="81" t="s">
        <v>2256</v>
      </c>
      <c r="AA187" s="83">
        <v>10000</v>
      </c>
      <c r="AB187" s="85"/>
      <c r="AD187" s="78" t="s">
        <v>1795</v>
      </c>
      <c r="AE187" s="82"/>
      <c r="AF187" s="81" t="s">
        <v>2256</v>
      </c>
      <c r="AG187" s="81" t="s">
        <v>2256</v>
      </c>
      <c r="AH187" s="83">
        <v>10000</v>
      </c>
      <c r="AI187" s="85"/>
    </row>
    <row r="188" spans="1:35" s="79" customFormat="1" ht="11.25" customHeight="1" x14ac:dyDescent="0.2">
      <c r="A188" s="77" t="s">
        <v>1805</v>
      </c>
      <c r="B188" s="80">
        <v>685</v>
      </c>
      <c r="C188" s="81" t="s">
        <v>1804</v>
      </c>
      <c r="D188" s="73">
        <v>1000</v>
      </c>
      <c r="E188" s="79" t="s">
        <v>20</v>
      </c>
      <c r="F188" s="79" t="s">
        <v>3725</v>
      </c>
      <c r="G188" s="79" t="s">
        <v>2996</v>
      </c>
      <c r="H188" s="79" t="s">
        <v>274</v>
      </c>
      <c r="I188" s="81" t="s">
        <v>3000</v>
      </c>
      <c r="J188" s="81">
        <v>25</v>
      </c>
      <c r="K188" s="86"/>
      <c r="M188" s="78" t="s">
        <v>1804</v>
      </c>
      <c r="N188" s="82"/>
      <c r="O188" s="81" t="s">
        <v>2256</v>
      </c>
      <c r="P188" s="81" t="s">
        <v>2256</v>
      </c>
      <c r="Q188" s="81"/>
      <c r="R188" s="83">
        <v>2500</v>
      </c>
      <c r="S188" s="79" t="s">
        <v>2999</v>
      </c>
      <c r="T188" s="84">
        <v>2500000</v>
      </c>
      <c r="U188" s="81"/>
      <c r="V188" s="81"/>
      <c r="W188" s="78" t="s">
        <v>1804</v>
      </c>
      <c r="X188" s="82"/>
      <c r="Y188" s="81" t="s">
        <v>2256</v>
      </c>
      <c r="Z188" s="81" t="s">
        <v>2256</v>
      </c>
      <c r="AA188" s="83">
        <v>10000</v>
      </c>
      <c r="AB188" s="85"/>
      <c r="AD188" s="78" t="s">
        <v>1804</v>
      </c>
      <c r="AE188" s="82"/>
      <c r="AF188" s="81" t="s">
        <v>2256</v>
      </c>
      <c r="AG188" s="81" t="s">
        <v>2256</v>
      </c>
      <c r="AH188" s="83">
        <v>10000</v>
      </c>
      <c r="AI188" s="85"/>
    </row>
    <row r="189" spans="1:35" s="79" customFormat="1" ht="11.25" customHeight="1" x14ac:dyDescent="0.2">
      <c r="A189" s="77" t="s">
        <v>1810</v>
      </c>
      <c r="B189" s="80">
        <v>681</v>
      </c>
      <c r="C189" s="81" t="s">
        <v>1809</v>
      </c>
      <c r="D189" s="73">
        <v>1000</v>
      </c>
      <c r="E189" s="79" t="s">
        <v>20</v>
      </c>
      <c r="F189" s="79" t="s">
        <v>3725</v>
      </c>
      <c r="G189" s="79" t="s">
        <v>2996</v>
      </c>
      <c r="H189" s="79" t="s">
        <v>274</v>
      </c>
      <c r="I189" s="81" t="s">
        <v>3000</v>
      </c>
      <c r="J189" s="81">
        <v>25</v>
      </c>
      <c r="K189" s="86"/>
      <c r="M189" s="78" t="s">
        <v>1809</v>
      </c>
      <c r="N189" s="82"/>
      <c r="O189" s="81" t="s">
        <v>2256</v>
      </c>
      <c r="P189" s="81" t="s">
        <v>2256</v>
      </c>
      <c r="Q189" s="81"/>
      <c r="R189" s="83">
        <v>500</v>
      </c>
      <c r="S189" s="79" t="s">
        <v>2999</v>
      </c>
      <c r="T189" s="84">
        <v>500000</v>
      </c>
      <c r="U189" s="81"/>
      <c r="V189" s="81"/>
      <c r="W189" s="78" t="s">
        <v>1809</v>
      </c>
      <c r="X189" s="82"/>
      <c r="Y189" s="81" t="s">
        <v>2256</v>
      </c>
      <c r="Z189" s="81" t="s">
        <v>2256</v>
      </c>
      <c r="AA189" s="83">
        <v>5000</v>
      </c>
      <c r="AB189" s="85"/>
      <c r="AD189" s="78" t="s">
        <v>1809</v>
      </c>
      <c r="AE189" s="82"/>
      <c r="AF189" s="81" t="s">
        <v>2256</v>
      </c>
      <c r="AG189" s="81" t="s">
        <v>2256</v>
      </c>
      <c r="AH189" s="83">
        <v>5000</v>
      </c>
      <c r="AI189" s="85"/>
    </row>
    <row r="190" spans="1:35" s="79" customFormat="1" ht="11.25" customHeight="1" x14ac:dyDescent="0.2">
      <c r="A190" s="77" t="s">
        <v>1812</v>
      </c>
      <c r="B190" s="80">
        <v>686</v>
      </c>
      <c r="C190" s="81" t="s">
        <v>1811</v>
      </c>
      <c r="D190" s="73">
        <v>1000</v>
      </c>
      <c r="E190" s="79" t="s">
        <v>20</v>
      </c>
      <c r="F190" s="79" t="s">
        <v>3725</v>
      </c>
      <c r="G190" s="79" t="s">
        <v>2996</v>
      </c>
      <c r="H190" s="79" t="s">
        <v>274</v>
      </c>
      <c r="I190" s="81" t="s">
        <v>3000</v>
      </c>
      <c r="J190" s="81">
        <v>25</v>
      </c>
      <c r="K190" s="86"/>
      <c r="M190" s="78" t="s">
        <v>1811</v>
      </c>
      <c r="N190" s="82"/>
      <c r="O190" s="81" t="s">
        <v>2256</v>
      </c>
      <c r="P190" s="81" t="s">
        <v>2256</v>
      </c>
      <c r="Q190" s="81"/>
      <c r="R190" s="83">
        <v>1000</v>
      </c>
      <c r="S190" s="79" t="s">
        <v>2999</v>
      </c>
      <c r="T190" s="84">
        <v>1000000</v>
      </c>
      <c r="U190" s="81"/>
      <c r="V190" s="81"/>
      <c r="W190" s="78" t="s">
        <v>1811</v>
      </c>
      <c r="X190" s="82"/>
      <c r="Y190" s="81" t="s">
        <v>2256</v>
      </c>
      <c r="Z190" s="81" t="s">
        <v>2256</v>
      </c>
      <c r="AA190" s="83">
        <v>10000</v>
      </c>
      <c r="AB190" s="85"/>
      <c r="AD190" s="78" t="s">
        <v>1811</v>
      </c>
      <c r="AE190" s="82"/>
      <c r="AF190" s="81" t="s">
        <v>2256</v>
      </c>
      <c r="AG190" s="81" t="s">
        <v>2256</v>
      </c>
      <c r="AH190" s="83">
        <v>10000</v>
      </c>
      <c r="AI190" s="85"/>
    </row>
    <row r="191" spans="1:35" s="79" customFormat="1" ht="11.25" customHeight="1" x14ac:dyDescent="0.2">
      <c r="A191" s="77" t="s">
        <v>1800</v>
      </c>
      <c r="B191" s="80">
        <v>949</v>
      </c>
      <c r="C191" s="81" t="s">
        <v>1799</v>
      </c>
      <c r="D191" s="73">
        <v>1000</v>
      </c>
      <c r="E191" s="79" t="s">
        <v>20</v>
      </c>
      <c r="F191" s="79" t="s">
        <v>30</v>
      </c>
      <c r="G191" s="79" t="s">
        <v>3001</v>
      </c>
      <c r="H191" s="79" t="s">
        <v>274</v>
      </c>
      <c r="I191" s="81" t="s">
        <v>3000</v>
      </c>
      <c r="J191" s="81">
        <v>25</v>
      </c>
      <c r="K191" s="86"/>
      <c r="M191" s="78" t="s">
        <v>1801</v>
      </c>
      <c r="N191" s="82"/>
      <c r="O191" s="81" t="s">
        <v>2666</v>
      </c>
      <c r="P191" s="81" t="s">
        <v>2256</v>
      </c>
      <c r="Q191" s="81"/>
      <c r="R191" s="83">
        <v>2500</v>
      </c>
      <c r="S191" s="79" t="s">
        <v>3216</v>
      </c>
      <c r="T191" s="84">
        <v>2500000</v>
      </c>
      <c r="U191" s="81"/>
      <c r="V191" s="81"/>
      <c r="W191" s="78" t="s">
        <v>1801</v>
      </c>
      <c r="X191" s="82"/>
      <c r="Y191" s="81" t="s">
        <v>2666</v>
      </c>
      <c r="Z191" s="81" t="s">
        <v>2256</v>
      </c>
      <c r="AA191" s="83">
        <v>10000</v>
      </c>
      <c r="AB191" s="85"/>
      <c r="AD191" s="78" t="s">
        <v>1801</v>
      </c>
      <c r="AE191" s="82"/>
      <c r="AF191" s="81" t="s">
        <v>2666</v>
      </c>
      <c r="AG191" s="81" t="s">
        <v>2256</v>
      </c>
      <c r="AH191" s="83">
        <v>10000</v>
      </c>
      <c r="AI191" s="85"/>
    </row>
    <row r="192" spans="1:35" s="79" customFormat="1" ht="11.25" customHeight="1" x14ac:dyDescent="0.2">
      <c r="A192" s="77" t="s">
        <v>1813</v>
      </c>
      <c r="B192" s="80">
        <v>684</v>
      </c>
      <c r="C192" s="81" t="s">
        <v>1801</v>
      </c>
      <c r="D192" s="73">
        <v>1000</v>
      </c>
      <c r="E192" s="79" t="s">
        <v>20</v>
      </c>
      <c r="F192" s="79" t="s">
        <v>3725</v>
      </c>
      <c r="G192" s="79" t="s">
        <v>2996</v>
      </c>
      <c r="H192" s="79" t="s">
        <v>274</v>
      </c>
      <c r="I192" s="81" t="s">
        <v>3000</v>
      </c>
      <c r="J192" s="81">
        <v>25</v>
      </c>
      <c r="K192" s="86"/>
      <c r="M192" s="78" t="s">
        <v>1801</v>
      </c>
      <c r="N192" s="82"/>
      <c r="O192" s="81" t="s">
        <v>2256</v>
      </c>
      <c r="P192" s="81" t="s">
        <v>2256</v>
      </c>
      <c r="Q192" s="81"/>
      <c r="R192" s="83">
        <v>2500</v>
      </c>
      <c r="S192" s="79" t="s">
        <v>2999</v>
      </c>
      <c r="T192" s="84">
        <v>2500000</v>
      </c>
      <c r="U192" s="81"/>
      <c r="V192" s="81"/>
      <c r="W192" s="78" t="s">
        <v>1801</v>
      </c>
      <c r="X192" s="82"/>
      <c r="Y192" s="81" t="s">
        <v>2256</v>
      </c>
      <c r="Z192" s="81" t="s">
        <v>2256</v>
      </c>
      <c r="AA192" s="83">
        <v>10000</v>
      </c>
      <c r="AB192" s="85"/>
      <c r="AD192" s="78" t="s">
        <v>1801</v>
      </c>
      <c r="AE192" s="82"/>
      <c r="AF192" s="81" t="s">
        <v>2256</v>
      </c>
      <c r="AG192" s="81" t="s">
        <v>2256</v>
      </c>
      <c r="AH192" s="83">
        <v>10000</v>
      </c>
      <c r="AI192" s="85"/>
    </row>
    <row r="193" spans="1:35" s="79" customFormat="1" ht="11.25" customHeight="1" x14ac:dyDescent="0.2">
      <c r="A193" s="77" t="s">
        <v>1797</v>
      </c>
      <c r="B193" s="80">
        <v>947</v>
      </c>
      <c r="C193" s="81" t="s">
        <v>1796</v>
      </c>
      <c r="D193" s="73">
        <v>1000</v>
      </c>
      <c r="E193" s="79" t="s">
        <v>20</v>
      </c>
      <c r="F193" s="79" t="s">
        <v>30</v>
      </c>
      <c r="G193" s="79" t="s">
        <v>3001</v>
      </c>
      <c r="H193" s="79" t="s">
        <v>274</v>
      </c>
      <c r="I193" s="81" t="s">
        <v>3000</v>
      </c>
      <c r="J193" s="81">
        <v>25</v>
      </c>
      <c r="K193" s="86"/>
      <c r="M193" s="78" t="s">
        <v>1798</v>
      </c>
      <c r="N193" s="82"/>
      <c r="O193" s="81" t="s">
        <v>2665</v>
      </c>
      <c r="P193" s="81" t="s">
        <v>2256</v>
      </c>
      <c r="Q193" s="81"/>
      <c r="R193" s="83">
        <v>500</v>
      </c>
      <c r="S193" s="79" t="s">
        <v>3215</v>
      </c>
      <c r="T193" s="84">
        <v>500000</v>
      </c>
      <c r="U193" s="81"/>
      <c r="V193" s="81"/>
      <c r="W193" s="78" t="s">
        <v>1798</v>
      </c>
      <c r="X193" s="82"/>
      <c r="Y193" s="81" t="s">
        <v>2665</v>
      </c>
      <c r="Z193" s="81" t="s">
        <v>2256</v>
      </c>
      <c r="AA193" s="83">
        <v>5000</v>
      </c>
      <c r="AB193" s="85"/>
      <c r="AD193" s="78" t="s">
        <v>1798</v>
      </c>
      <c r="AE193" s="82"/>
      <c r="AF193" s="81" t="s">
        <v>2665</v>
      </c>
      <c r="AG193" s="81" t="s">
        <v>2256</v>
      </c>
      <c r="AH193" s="83">
        <v>5000</v>
      </c>
      <c r="AI193" s="85"/>
    </row>
    <row r="194" spans="1:35" s="79" customFormat="1" ht="11.25" customHeight="1" x14ac:dyDescent="0.2">
      <c r="A194" s="77" t="s">
        <v>1814</v>
      </c>
      <c r="B194" s="80">
        <v>683</v>
      </c>
      <c r="C194" s="81" t="s">
        <v>1798</v>
      </c>
      <c r="D194" s="73">
        <v>1000</v>
      </c>
      <c r="E194" s="79" t="s">
        <v>20</v>
      </c>
      <c r="F194" s="79" t="s">
        <v>3725</v>
      </c>
      <c r="G194" s="79" t="s">
        <v>2996</v>
      </c>
      <c r="H194" s="79" t="s">
        <v>274</v>
      </c>
      <c r="I194" s="81" t="s">
        <v>3000</v>
      </c>
      <c r="J194" s="81">
        <v>25</v>
      </c>
      <c r="K194" s="86"/>
      <c r="M194" s="78" t="s">
        <v>1798</v>
      </c>
      <c r="N194" s="82"/>
      <c r="O194" s="81" t="s">
        <v>2256</v>
      </c>
      <c r="P194" s="81" t="s">
        <v>2256</v>
      </c>
      <c r="Q194" s="81"/>
      <c r="R194" s="83">
        <v>500</v>
      </c>
      <c r="S194" s="79" t="s">
        <v>2999</v>
      </c>
      <c r="T194" s="84">
        <v>500000</v>
      </c>
      <c r="U194" s="81"/>
      <c r="V194" s="81"/>
      <c r="W194" s="78" t="s">
        <v>1798</v>
      </c>
      <c r="X194" s="82"/>
      <c r="Y194" s="81" t="s">
        <v>2256</v>
      </c>
      <c r="Z194" s="81" t="s">
        <v>2256</v>
      </c>
      <c r="AA194" s="83">
        <v>5000</v>
      </c>
      <c r="AB194" s="85"/>
      <c r="AD194" s="78" t="s">
        <v>1798</v>
      </c>
      <c r="AE194" s="82"/>
      <c r="AF194" s="81" t="s">
        <v>2256</v>
      </c>
      <c r="AG194" s="81" t="s">
        <v>2256</v>
      </c>
      <c r="AH194" s="83">
        <v>5000</v>
      </c>
      <c r="AI194" s="85"/>
    </row>
    <row r="195" spans="1:35" s="79" customFormat="1" ht="11.25" customHeight="1" x14ac:dyDescent="0.2">
      <c r="A195" s="77" t="s">
        <v>1628</v>
      </c>
      <c r="B195" s="80">
        <v>912</v>
      </c>
      <c r="C195" s="81" t="s">
        <v>1627</v>
      </c>
      <c r="D195" s="73">
        <v>2500</v>
      </c>
      <c r="E195" s="79" t="s">
        <v>827</v>
      </c>
      <c r="F195" s="79" t="s">
        <v>3725</v>
      </c>
      <c r="G195" s="79" t="s">
        <v>2996</v>
      </c>
      <c r="H195" s="79" t="s">
        <v>21</v>
      </c>
      <c r="I195" s="81"/>
      <c r="J195" s="81">
        <v>25</v>
      </c>
      <c r="K195" s="86"/>
      <c r="M195" s="78" t="s">
        <v>1629</v>
      </c>
      <c r="N195" s="82"/>
      <c r="O195" s="81" t="s">
        <v>2628</v>
      </c>
      <c r="P195" s="81" t="s">
        <v>2256</v>
      </c>
      <c r="Q195" s="80">
        <v>500</v>
      </c>
      <c r="R195" s="83" t="s">
        <v>213</v>
      </c>
      <c r="S195" s="79" t="s">
        <v>3736</v>
      </c>
      <c r="T195" s="84" t="s">
        <v>213</v>
      </c>
      <c r="U195" s="81"/>
      <c r="V195" s="81"/>
      <c r="W195" s="78" t="s">
        <v>1629</v>
      </c>
      <c r="X195" s="82"/>
      <c r="Y195" s="81" t="s">
        <v>2628</v>
      </c>
      <c r="Z195" s="81" t="s">
        <v>2256</v>
      </c>
      <c r="AA195" s="83">
        <v>3000</v>
      </c>
      <c r="AB195" s="85"/>
      <c r="AD195" s="78" t="s">
        <v>1629</v>
      </c>
      <c r="AE195" s="82"/>
      <c r="AF195" s="81" t="s">
        <v>2628</v>
      </c>
      <c r="AG195" s="81" t="s">
        <v>2256</v>
      </c>
      <c r="AH195" s="83">
        <v>3000</v>
      </c>
      <c r="AI195" s="85"/>
    </row>
    <row r="196" spans="1:35" s="79" customFormat="1" ht="11.25" customHeight="1" x14ac:dyDescent="0.2">
      <c r="A196" s="77" t="s">
        <v>2124</v>
      </c>
      <c r="B196" s="80">
        <v>408</v>
      </c>
      <c r="C196" s="81" t="s">
        <v>1629</v>
      </c>
      <c r="D196" s="73">
        <v>1000</v>
      </c>
      <c r="E196" s="79" t="s">
        <v>827</v>
      </c>
      <c r="F196" s="79" t="s">
        <v>3725</v>
      </c>
      <c r="G196" s="79" t="s">
        <v>2996</v>
      </c>
      <c r="H196" s="79" t="s">
        <v>21</v>
      </c>
      <c r="I196" s="81"/>
      <c r="J196" s="81">
        <v>25</v>
      </c>
      <c r="K196" s="86"/>
      <c r="M196" s="78" t="s">
        <v>1629</v>
      </c>
      <c r="N196" s="82"/>
      <c r="O196" s="81" t="s">
        <v>2256</v>
      </c>
      <c r="P196" s="81" t="s">
        <v>2256</v>
      </c>
      <c r="Q196" s="80">
        <v>500</v>
      </c>
      <c r="R196" s="83" t="s">
        <v>213</v>
      </c>
      <c r="S196" s="79" t="s">
        <v>3733</v>
      </c>
      <c r="T196" s="84" t="s">
        <v>213</v>
      </c>
      <c r="U196" s="81"/>
      <c r="V196" s="81"/>
      <c r="W196" s="78" t="s">
        <v>1629</v>
      </c>
      <c r="X196" s="82"/>
      <c r="Y196" s="81" t="s">
        <v>2256</v>
      </c>
      <c r="Z196" s="81" t="s">
        <v>2256</v>
      </c>
      <c r="AA196" s="83">
        <v>3000</v>
      </c>
      <c r="AB196" s="85"/>
      <c r="AD196" s="78" t="s">
        <v>1629</v>
      </c>
      <c r="AE196" s="82"/>
      <c r="AF196" s="81" t="s">
        <v>2256</v>
      </c>
      <c r="AG196" s="81" t="s">
        <v>2256</v>
      </c>
      <c r="AH196" s="83">
        <v>3000</v>
      </c>
      <c r="AI196" s="85"/>
    </row>
    <row r="197" spans="1:35" s="79" customFormat="1" ht="11.25" customHeight="1" x14ac:dyDescent="0.2">
      <c r="A197" s="77" t="s">
        <v>46</v>
      </c>
      <c r="B197" s="80">
        <v>1189</v>
      </c>
      <c r="C197" s="81" t="s">
        <v>45</v>
      </c>
      <c r="D197" s="73">
        <v>25</v>
      </c>
      <c r="E197" s="79" t="s">
        <v>47</v>
      </c>
      <c r="F197" s="79" t="s">
        <v>3725</v>
      </c>
      <c r="G197" s="79" t="s">
        <v>2996</v>
      </c>
      <c r="H197" s="79" t="s">
        <v>21</v>
      </c>
      <c r="I197" s="81" t="s">
        <v>3000</v>
      </c>
      <c r="J197" s="81">
        <v>25</v>
      </c>
      <c r="K197" s="86"/>
      <c r="M197" s="78" t="s">
        <v>45</v>
      </c>
      <c r="N197" s="82"/>
      <c r="O197" s="81" t="s">
        <v>2256</v>
      </c>
      <c r="P197" s="81" t="s">
        <v>2256</v>
      </c>
      <c r="Q197" s="81"/>
      <c r="R197" s="83">
        <v>5000</v>
      </c>
      <c r="S197" s="79" t="s">
        <v>3641</v>
      </c>
      <c r="T197" s="84">
        <v>125000</v>
      </c>
      <c r="U197" s="81"/>
      <c r="V197" s="81"/>
      <c r="W197" s="78" t="s">
        <v>45</v>
      </c>
      <c r="X197" s="82"/>
      <c r="Y197" s="81" t="s">
        <v>2256</v>
      </c>
      <c r="Z197" s="81" t="s">
        <v>2256</v>
      </c>
      <c r="AA197" s="83">
        <v>20000</v>
      </c>
      <c r="AB197" s="85"/>
      <c r="AD197" s="78" t="s">
        <v>45</v>
      </c>
      <c r="AE197" s="82"/>
      <c r="AF197" s="81" t="s">
        <v>2256</v>
      </c>
      <c r="AG197" s="81" t="s">
        <v>2256</v>
      </c>
      <c r="AH197" s="83">
        <v>20000</v>
      </c>
      <c r="AI197" s="85"/>
    </row>
    <row r="198" spans="1:35" s="79" customFormat="1" ht="11.25" customHeight="1" x14ac:dyDescent="0.2">
      <c r="A198" s="77" t="s">
        <v>165</v>
      </c>
      <c r="B198" s="80">
        <v>601</v>
      </c>
      <c r="C198" s="81" t="s">
        <v>164</v>
      </c>
      <c r="D198" s="73">
        <v>20</v>
      </c>
      <c r="E198" s="79" t="s">
        <v>166</v>
      </c>
      <c r="F198" s="79" t="s">
        <v>3725</v>
      </c>
      <c r="G198" s="79" t="s">
        <v>2996</v>
      </c>
      <c r="H198" s="79" t="s">
        <v>21</v>
      </c>
      <c r="I198" s="81"/>
      <c r="J198" s="81">
        <v>25</v>
      </c>
      <c r="K198" s="86"/>
      <c r="M198" s="78" t="s">
        <v>164</v>
      </c>
      <c r="N198" s="82"/>
      <c r="O198" s="81" t="s">
        <v>2256</v>
      </c>
      <c r="P198" s="81" t="s">
        <v>2256</v>
      </c>
      <c r="Q198" s="81"/>
      <c r="R198" s="83">
        <v>17000</v>
      </c>
      <c r="S198" s="79" t="s">
        <v>3641</v>
      </c>
      <c r="T198" s="84">
        <v>340000</v>
      </c>
      <c r="U198" s="81"/>
      <c r="V198" s="81"/>
      <c r="W198" s="78" t="s">
        <v>164</v>
      </c>
      <c r="X198" s="82"/>
      <c r="Y198" s="81" t="s">
        <v>2256</v>
      </c>
      <c r="Z198" s="81" t="s">
        <v>2256</v>
      </c>
      <c r="AA198" s="83">
        <v>68000</v>
      </c>
      <c r="AB198" s="85"/>
      <c r="AD198" s="78" t="s">
        <v>164</v>
      </c>
      <c r="AE198" s="82"/>
      <c r="AF198" s="81" t="s">
        <v>2256</v>
      </c>
      <c r="AG198" s="81" t="s">
        <v>2256</v>
      </c>
      <c r="AH198" s="83">
        <v>68000</v>
      </c>
      <c r="AI198" s="85"/>
    </row>
    <row r="199" spans="1:35" s="79" customFormat="1" ht="11.25" customHeight="1" x14ac:dyDescent="0.2">
      <c r="A199" s="77" t="s">
        <v>811</v>
      </c>
      <c r="B199" s="80">
        <v>867</v>
      </c>
      <c r="C199" s="81" t="s">
        <v>810</v>
      </c>
      <c r="D199" s="73">
        <v>50</v>
      </c>
      <c r="E199" s="79" t="s">
        <v>20</v>
      </c>
      <c r="F199" s="79" t="s">
        <v>3725</v>
      </c>
      <c r="G199" s="79" t="s">
        <v>2996</v>
      </c>
      <c r="H199" s="79" t="s">
        <v>21</v>
      </c>
      <c r="I199" s="81" t="s">
        <v>3000</v>
      </c>
      <c r="J199" s="81">
        <v>25</v>
      </c>
      <c r="K199" s="86"/>
      <c r="M199" s="78" t="s">
        <v>810</v>
      </c>
      <c r="N199" s="82"/>
      <c r="O199" s="81" t="s">
        <v>2256</v>
      </c>
      <c r="P199" s="81" t="s">
        <v>2256</v>
      </c>
      <c r="Q199" s="81"/>
      <c r="R199" s="83">
        <v>8000</v>
      </c>
      <c r="S199" s="79" t="s">
        <v>3641</v>
      </c>
      <c r="T199" s="84">
        <v>400000</v>
      </c>
      <c r="U199" s="81"/>
      <c r="V199" s="81"/>
      <c r="W199" s="78" t="s">
        <v>810</v>
      </c>
      <c r="X199" s="82"/>
      <c r="Y199" s="81" t="s">
        <v>2256</v>
      </c>
      <c r="Z199" s="81" t="s">
        <v>2256</v>
      </c>
      <c r="AA199" s="83">
        <v>40000</v>
      </c>
      <c r="AB199" s="85"/>
      <c r="AD199" s="78" t="s">
        <v>810</v>
      </c>
      <c r="AE199" s="82"/>
      <c r="AF199" s="81" t="s">
        <v>2256</v>
      </c>
      <c r="AG199" s="81" t="s">
        <v>2256</v>
      </c>
      <c r="AH199" s="83">
        <v>50000</v>
      </c>
      <c r="AI199" s="85"/>
    </row>
    <row r="200" spans="1:35" s="79" customFormat="1" ht="11.25" customHeight="1" x14ac:dyDescent="0.2">
      <c r="A200" s="77" t="s">
        <v>3569</v>
      </c>
      <c r="B200" s="80">
        <v>334</v>
      </c>
      <c r="C200" s="81" t="s">
        <v>826</v>
      </c>
      <c r="D200" s="72">
        <v>1E-3</v>
      </c>
      <c r="E200" s="79" t="s">
        <v>827</v>
      </c>
      <c r="F200" s="79" t="s">
        <v>828</v>
      </c>
      <c r="G200" s="79" t="s">
        <v>3372</v>
      </c>
      <c r="H200" s="79" t="s">
        <v>21</v>
      </c>
      <c r="I200" s="81"/>
      <c r="J200" s="81">
        <v>25</v>
      </c>
      <c r="K200" s="86"/>
      <c r="M200" s="78" t="s">
        <v>826</v>
      </c>
      <c r="N200" s="82"/>
      <c r="O200" s="81" t="s">
        <v>2256</v>
      </c>
      <c r="P200" s="81" t="s">
        <v>2256</v>
      </c>
      <c r="Q200" s="83">
        <v>10000</v>
      </c>
      <c r="R200" s="83" t="s">
        <v>213</v>
      </c>
      <c r="S200" s="79" t="s">
        <v>3733</v>
      </c>
      <c r="T200" s="84" t="s">
        <v>213</v>
      </c>
      <c r="U200" s="81"/>
      <c r="V200" s="81"/>
      <c r="W200" s="78" t="s">
        <v>826</v>
      </c>
      <c r="X200" s="82"/>
      <c r="Y200" s="81" t="s">
        <v>2256</v>
      </c>
      <c r="Z200" s="81" t="s">
        <v>2256</v>
      </c>
      <c r="AA200" s="81"/>
      <c r="AB200" s="85"/>
      <c r="AD200" s="78" t="s">
        <v>826</v>
      </c>
      <c r="AE200" s="82"/>
      <c r="AF200" s="81" t="s">
        <v>2256</v>
      </c>
      <c r="AG200" s="81" t="s">
        <v>2256</v>
      </c>
      <c r="AH200" s="81"/>
      <c r="AI200" s="85"/>
    </row>
    <row r="201" spans="1:35" s="79" customFormat="1" ht="11.25" customHeight="1" x14ac:dyDescent="0.2">
      <c r="A201" s="77" t="s">
        <v>836</v>
      </c>
      <c r="B201" s="80">
        <v>1081</v>
      </c>
      <c r="C201" s="81" t="s">
        <v>835</v>
      </c>
      <c r="D201" s="72">
        <v>1E-3</v>
      </c>
      <c r="E201" s="79" t="s">
        <v>827</v>
      </c>
      <c r="F201" s="79" t="s">
        <v>828</v>
      </c>
      <c r="G201" s="79" t="s">
        <v>3372</v>
      </c>
      <c r="H201" s="79" t="s">
        <v>21</v>
      </c>
      <c r="I201" s="81"/>
      <c r="J201" s="81">
        <v>25</v>
      </c>
      <c r="K201" s="86"/>
      <c r="M201" s="78" t="s">
        <v>826</v>
      </c>
      <c r="N201" s="82"/>
      <c r="O201" s="81" t="s">
        <v>2433</v>
      </c>
      <c r="P201" s="81" t="s">
        <v>2256</v>
      </c>
      <c r="Q201" s="83">
        <v>10000</v>
      </c>
      <c r="R201" s="83" t="s">
        <v>213</v>
      </c>
      <c r="S201" s="79" t="s">
        <v>3734</v>
      </c>
      <c r="T201" s="84" t="s">
        <v>213</v>
      </c>
      <c r="U201" s="81"/>
      <c r="V201" s="81"/>
      <c r="W201" s="78" t="s">
        <v>826</v>
      </c>
      <c r="X201" s="82"/>
      <c r="Y201" s="81" t="s">
        <v>2433</v>
      </c>
      <c r="Z201" s="81" t="s">
        <v>2256</v>
      </c>
      <c r="AA201" s="81"/>
      <c r="AB201" s="85"/>
      <c r="AD201" s="78" t="s">
        <v>826</v>
      </c>
      <c r="AE201" s="82"/>
      <c r="AF201" s="81" t="s">
        <v>2433</v>
      </c>
      <c r="AG201" s="81" t="s">
        <v>2256</v>
      </c>
      <c r="AH201" s="81"/>
      <c r="AI201" s="85"/>
    </row>
    <row r="202" spans="1:35" s="79" customFormat="1" ht="11.25" customHeight="1" x14ac:dyDescent="0.2">
      <c r="A202" s="77" t="s">
        <v>840</v>
      </c>
      <c r="B202" s="80">
        <v>113</v>
      </c>
      <c r="C202" s="81" t="s">
        <v>839</v>
      </c>
      <c r="D202" s="73">
        <v>100</v>
      </c>
      <c r="E202" s="79" t="s">
        <v>827</v>
      </c>
      <c r="F202" s="79" t="s">
        <v>3725</v>
      </c>
      <c r="G202" s="79" t="s">
        <v>2997</v>
      </c>
      <c r="H202" s="79" t="s">
        <v>21</v>
      </c>
      <c r="I202" s="81"/>
      <c r="J202" s="81">
        <v>200</v>
      </c>
      <c r="K202" s="86" t="s">
        <v>3404</v>
      </c>
      <c r="M202" s="78" t="s">
        <v>839</v>
      </c>
      <c r="N202" s="82"/>
      <c r="O202" s="81" t="s">
        <v>2256</v>
      </c>
      <c r="P202" s="81" t="s">
        <v>2256</v>
      </c>
      <c r="Q202" s="81"/>
      <c r="R202" s="83">
        <v>3000</v>
      </c>
      <c r="S202" s="79" t="s">
        <v>2998</v>
      </c>
      <c r="T202" s="84">
        <v>300000</v>
      </c>
      <c r="U202" s="81"/>
      <c r="V202" s="81"/>
      <c r="W202" s="78" t="s">
        <v>839</v>
      </c>
      <c r="X202" s="82"/>
      <c r="Y202" s="81" t="s">
        <v>2256</v>
      </c>
      <c r="Z202" s="81" t="s">
        <v>2256</v>
      </c>
      <c r="AA202" s="83">
        <v>6000</v>
      </c>
      <c r="AB202" s="85"/>
      <c r="AD202" s="78" t="s">
        <v>839</v>
      </c>
      <c r="AE202" s="82"/>
      <c r="AF202" s="81" t="s">
        <v>2256</v>
      </c>
      <c r="AG202" s="81" t="s">
        <v>2256</v>
      </c>
      <c r="AH202" s="83">
        <v>6000</v>
      </c>
      <c r="AI202" s="85"/>
    </row>
    <row r="203" spans="1:35" s="79" customFormat="1" ht="11.25" customHeight="1" x14ac:dyDescent="0.2">
      <c r="A203" s="77" t="s">
        <v>1157</v>
      </c>
      <c r="B203" s="80">
        <v>1067</v>
      </c>
      <c r="C203" s="81" t="s">
        <v>1156</v>
      </c>
      <c r="D203" s="73">
        <v>100</v>
      </c>
      <c r="E203" s="79" t="s">
        <v>827</v>
      </c>
      <c r="F203" s="79" t="s">
        <v>30</v>
      </c>
      <c r="G203" s="79" t="s">
        <v>2994</v>
      </c>
      <c r="H203" s="79" t="s">
        <v>21</v>
      </c>
      <c r="I203" s="81"/>
      <c r="J203" s="81">
        <v>25</v>
      </c>
      <c r="K203" s="86" t="s">
        <v>3404</v>
      </c>
      <c r="M203" s="78" t="s">
        <v>839</v>
      </c>
      <c r="N203" s="82"/>
      <c r="O203" s="81" t="s">
        <v>2510</v>
      </c>
      <c r="P203" s="81" t="s">
        <v>2256</v>
      </c>
      <c r="Q203" s="81"/>
      <c r="R203" s="83">
        <v>3000</v>
      </c>
      <c r="S203" s="79" t="s">
        <v>3157</v>
      </c>
      <c r="T203" s="84">
        <v>300000</v>
      </c>
      <c r="U203" s="81"/>
      <c r="V203" s="81"/>
      <c r="W203" s="78" t="s">
        <v>839</v>
      </c>
      <c r="X203" s="82"/>
      <c r="Y203" s="81" t="s">
        <v>2510</v>
      </c>
      <c r="Z203" s="81" t="s">
        <v>2256</v>
      </c>
      <c r="AA203" s="83">
        <v>6000</v>
      </c>
      <c r="AB203" s="85"/>
      <c r="AD203" s="78" t="s">
        <v>839</v>
      </c>
      <c r="AE203" s="82"/>
      <c r="AF203" s="81" t="s">
        <v>2510</v>
      </c>
      <c r="AG203" s="81" t="s">
        <v>2256</v>
      </c>
      <c r="AH203" s="83">
        <v>6000</v>
      </c>
      <c r="AI203" s="85"/>
    </row>
    <row r="204" spans="1:35" s="79" customFormat="1" ht="11.25" customHeight="1" x14ac:dyDescent="0.2">
      <c r="A204" s="77" t="s">
        <v>1287</v>
      </c>
      <c r="B204" s="80">
        <v>120</v>
      </c>
      <c r="C204" s="81" t="s">
        <v>1286</v>
      </c>
      <c r="D204" s="73">
        <v>10</v>
      </c>
      <c r="E204" s="79" t="s">
        <v>827</v>
      </c>
      <c r="F204" s="79" t="s">
        <v>3725</v>
      </c>
      <c r="G204" s="79" t="s">
        <v>2997</v>
      </c>
      <c r="H204" s="79" t="s">
        <v>21</v>
      </c>
      <c r="I204" s="81"/>
      <c r="J204" s="81">
        <v>200</v>
      </c>
      <c r="K204" s="86" t="s">
        <v>3404</v>
      </c>
      <c r="M204" s="78" t="s">
        <v>839</v>
      </c>
      <c r="N204" s="82"/>
      <c r="O204" s="81" t="s">
        <v>2544</v>
      </c>
      <c r="P204" s="81" t="s">
        <v>2256</v>
      </c>
      <c r="Q204" s="81"/>
      <c r="R204" s="83">
        <v>3000</v>
      </c>
      <c r="S204" s="79" t="s">
        <v>3157</v>
      </c>
      <c r="T204" s="84">
        <v>300000</v>
      </c>
      <c r="U204" s="81"/>
      <c r="V204" s="81"/>
      <c r="W204" s="78" t="s">
        <v>839</v>
      </c>
      <c r="X204" s="82"/>
      <c r="Y204" s="81" t="s">
        <v>2544</v>
      </c>
      <c r="Z204" s="81" t="s">
        <v>2256</v>
      </c>
      <c r="AA204" s="83">
        <v>6000</v>
      </c>
      <c r="AB204" s="85"/>
      <c r="AD204" s="78" t="s">
        <v>839</v>
      </c>
      <c r="AE204" s="82"/>
      <c r="AF204" s="81" t="s">
        <v>2544</v>
      </c>
      <c r="AG204" s="81" t="s">
        <v>2256</v>
      </c>
      <c r="AH204" s="83">
        <v>6000</v>
      </c>
      <c r="AI204" s="85"/>
    </row>
    <row r="205" spans="1:35" s="79" customFormat="1" ht="11.25" customHeight="1" x14ac:dyDescent="0.2">
      <c r="A205" s="77" t="s">
        <v>1465</v>
      </c>
      <c r="B205" s="80">
        <v>115</v>
      </c>
      <c r="C205" s="81" t="s">
        <v>1464</v>
      </c>
      <c r="D205" s="73">
        <v>100</v>
      </c>
      <c r="E205" s="79" t="s">
        <v>827</v>
      </c>
      <c r="F205" s="79" t="s">
        <v>129</v>
      </c>
      <c r="G205" s="79" t="s">
        <v>2994</v>
      </c>
      <c r="H205" s="79" t="s">
        <v>21</v>
      </c>
      <c r="I205" s="81"/>
      <c r="J205" s="81">
        <v>200</v>
      </c>
      <c r="K205" s="86" t="s">
        <v>3404</v>
      </c>
      <c r="M205" s="78" t="s">
        <v>839</v>
      </c>
      <c r="N205" s="82"/>
      <c r="O205" s="81" t="s">
        <v>2594</v>
      </c>
      <c r="P205" s="81" t="s">
        <v>2256</v>
      </c>
      <c r="Q205" s="81"/>
      <c r="R205" s="83">
        <v>3000</v>
      </c>
      <c r="S205" s="79" t="s">
        <v>3157</v>
      </c>
      <c r="T205" s="84">
        <v>300000</v>
      </c>
      <c r="U205" s="81"/>
      <c r="V205" s="81"/>
      <c r="W205" s="78" t="s">
        <v>839</v>
      </c>
      <c r="X205" s="82"/>
      <c r="Y205" s="81" t="s">
        <v>2594</v>
      </c>
      <c r="Z205" s="81" t="s">
        <v>2256</v>
      </c>
      <c r="AA205" s="83">
        <v>6000</v>
      </c>
      <c r="AB205" s="85"/>
      <c r="AD205" s="78" t="s">
        <v>839</v>
      </c>
      <c r="AE205" s="82"/>
      <c r="AF205" s="81" t="s">
        <v>2594</v>
      </c>
      <c r="AG205" s="81" t="s">
        <v>2256</v>
      </c>
      <c r="AH205" s="83">
        <v>6000</v>
      </c>
      <c r="AI205" s="85"/>
    </row>
    <row r="206" spans="1:35" s="79" customFormat="1" ht="11.25" customHeight="1" x14ac:dyDescent="0.2">
      <c r="A206" s="77" t="s">
        <v>893</v>
      </c>
      <c r="B206" s="80">
        <v>984</v>
      </c>
      <c r="C206" s="81" t="s">
        <v>892</v>
      </c>
      <c r="D206" s="73">
        <v>500</v>
      </c>
      <c r="E206" s="79" t="s">
        <v>335</v>
      </c>
      <c r="F206" s="79" t="s">
        <v>3725</v>
      </c>
      <c r="G206" s="79" t="s">
        <v>2996</v>
      </c>
      <c r="H206" s="79" t="s">
        <v>21</v>
      </c>
      <c r="I206" s="81"/>
      <c r="J206" s="81">
        <v>25</v>
      </c>
      <c r="K206" s="86"/>
      <c r="M206" s="78" t="s">
        <v>892</v>
      </c>
      <c r="N206" s="82"/>
      <c r="O206" s="81" t="s">
        <v>2256</v>
      </c>
      <c r="P206" s="81" t="s">
        <v>2256</v>
      </c>
      <c r="Q206" s="81"/>
      <c r="R206" s="83">
        <v>6000</v>
      </c>
      <c r="S206" s="79" t="s">
        <v>3641</v>
      </c>
      <c r="T206" s="84">
        <v>3000000</v>
      </c>
      <c r="U206" s="81"/>
      <c r="V206" s="81"/>
      <c r="W206" s="78" t="s">
        <v>892</v>
      </c>
      <c r="X206" s="82"/>
      <c r="Y206" s="81" t="s">
        <v>2256</v>
      </c>
      <c r="Z206" s="81" t="s">
        <v>2256</v>
      </c>
      <c r="AA206" s="83">
        <v>12000</v>
      </c>
      <c r="AB206" s="85"/>
      <c r="AD206" s="78" t="s">
        <v>892</v>
      </c>
      <c r="AE206" s="82"/>
      <c r="AF206" s="81" t="s">
        <v>2256</v>
      </c>
      <c r="AG206" s="81" t="s">
        <v>2256</v>
      </c>
      <c r="AH206" s="83">
        <v>12000</v>
      </c>
      <c r="AI206" s="85"/>
    </row>
    <row r="207" spans="1:35" s="79" customFormat="1" ht="11.25" customHeight="1" x14ac:dyDescent="0.2">
      <c r="A207" s="77" t="s">
        <v>895</v>
      </c>
      <c r="B207" s="80">
        <v>985</v>
      </c>
      <c r="C207" s="81" t="s">
        <v>894</v>
      </c>
      <c r="D207" s="73">
        <v>500</v>
      </c>
      <c r="E207" s="79" t="s">
        <v>335</v>
      </c>
      <c r="F207" s="79" t="s">
        <v>30</v>
      </c>
      <c r="G207" s="79" t="s">
        <v>3001</v>
      </c>
      <c r="H207" s="79" t="s">
        <v>21</v>
      </c>
      <c r="I207" s="81"/>
      <c r="J207" s="81">
        <v>25</v>
      </c>
      <c r="K207" s="86"/>
      <c r="M207" s="78" t="s">
        <v>892</v>
      </c>
      <c r="N207" s="82"/>
      <c r="O207" s="81" t="s">
        <v>2452</v>
      </c>
      <c r="P207" s="81" t="s">
        <v>2256</v>
      </c>
      <c r="Q207" s="81"/>
      <c r="R207" s="83">
        <v>6000</v>
      </c>
      <c r="S207" s="79" t="s">
        <v>3644</v>
      </c>
      <c r="T207" s="84">
        <v>3000000</v>
      </c>
      <c r="U207" s="81"/>
      <c r="V207" s="81"/>
      <c r="W207" s="78" t="s">
        <v>892</v>
      </c>
      <c r="X207" s="82"/>
      <c r="Y207" s="81" t="s">
        <v>2452</v>
      </c>
      <c r="Z207" s="81" t="s">
        <v>2256</v>
      </c>
      <c r="AA207" s="83">
        <v>12000</v>
      </c>
      <c r="AB207" s="85"/>
      <c r="AD207" s="78" t="s">
        <v>892</v>
      </c>
      <c r="AE207" s="82"/>
      <c r="AF207" s="81" t="s">
        <v>2452</v>
      </c>
      <c r="AG207" s="81" t="s">
        <v>2256</v>
      </c>
      <c r="AH207" s="83">
        <v>12000</v>
      </c>
      <c r="AI207" s="85"/>
    </row>
    <row r="208" spans="1:35" s="79" customFormat="1" ht="11.25" customHeight="1" x14ac:dyDescent="0.2">
      <c r="A208" s="77" t="s">
        <v>921</v>
      </c>
      <c r="B208" s="80">
        <v>111</v>
      </c>
      <c r="C208" s="81" t="s">
        <v>920</v>
      </c>
      <c r="D208" s="73">
        <v>25000</v>
      </c>
      <c r="E208" s="79" t="s">
        <v>239</v>
      </c>
      <c r="F208" s="79" t="s">
        <v>3725</v>
      </c>
      <c r="G208" s="79" t="s">
        <v>2997</v>
      </c>
      <c r="H208" s="79" t="s">
        <v>21</v>
      </c>
      <c r="I208" s="81"/>
      <c r="J208" s="81">
        <v>25</v>
      </c>
      <c r="K208" s="86" t="s">
        <v>3404</v>
      </c>
      <c r="M208" s="78" t="s">
        <v>920</v>
      </c>
      <c r="N208" s="82"/>
      <c r="O208" s="81" t="s">
        <v>2256</v>
      </c>
      <c r="P208" s="81" t="s">
        <v>2256</v>
      </c>
      <c r="Q208" s="81"/>
      <c r="R208" s="83">
        <v>1200</v>
      </c>
      <c r="S208" s="79" t="s">
        <v>2998</v>
      </c>
      <c r="T208" s="84">
        <v>30000000</v>
      </c>
      <c r="U208" s="81"/>
      <c r="V208" s="81"/>
      <c r="W208" s="78" t="s">
        <v>920</v>
      </c>
      <c r="X208" s="82"/>
      <c r="Y208" s="81" t="s">
        <v>2256</v>
      </c>
      <c r="Z208" s="81" t="s">
        <v>2256</v>
      </c>
      <c r="AA208" s="83">
        <v>5000</v>
      </c>
      <c r="AB208" s="85"/>
      <c r="AD208" s="78" t="s">
        <v>920</v>
      </c>
      <c r="AE208" s="82"/>
      <c r="AF208" s="81" t="s">
        <v>2256</v>
      </c>
      <c r="AG208" s="81" t="s">
        <v>2256</v>
      </c>
      <c r="AH208" s="83">
        <v>5000</v>
      </c>
      <c r="AI208" s="85"/>
    </row>
    <row r="209" spans="1:35" s="79" customFormat="1" ht="11.25" customHeight="1" x14ac:dyDescent="0.2">
      <c r="A209" s="77" t="s">
        <v>953</v>
      </c>
      <c r="B209" s="80">
        <v>117</v>
      </c>
      <c r="C209" s="81" t="s">
        <v>952</v>
      </c>
      <c r="D209" s="73">
        <v>25000</v>
      </c>
      <c r="E209" s="79" t="s">
        <v>239</v>
      </c>
      <c r="F209" s="79" t="s">
        <v>129</v>
      </c>
      <c r="G209" s="79" t="s">
        <v>2994</v>
      </c>
      <c r="H209" s="79" t="s">
        <v>21</v>
      </c>
      <c r="I209" s="81"/>
      <c r="J209" s="81">
        <v>25</v>
      </c>
      <c r="K209" s="86" t="s">
        <v>3404</v>
      </c>
      <c r="M209" s="78" t="s">
        <v>920</v>
      </c>
      <c r="N209" s="82"/>
      <c r="O209" s="81" t="s">
        <v>2464</v>
      </c>
      <c r="P209" s="81" t="s">
        <v>2256</v>
      </c>
      <c r="Q209" s="81"/>
      <c r="R209" s="83">
        <v>1200</v>
      </c>
      <c r="S209" s="21" t="s">
        <v>3143</v>
      </c>
      <c r="T209" s="84">
        <f>1200*25000</f>
        <v>30000000</v>
      </c>
      <c r="U209" s="81"/>
      <c r="V209" s="81"/>
      <c r="W209" s="78" t="s">
        <v>920</v>
      </c>
      <c r="X209" s="82"/>
      <c r="Y209" s="81" t="s">
        <v>2464</v>
      </c>
      <c r="Z209" s="81" t="s">
        <v>2256</v>
      </c>
      <c r="AA209" s="83">
        <v>5000</v>
      </c>
      <c r="AB209" s="85"/>
      <c r="AD209" s="78" t="s">
        <v>920</v>
      </c>
      <c r="AE209" s="82"/>
      <c r="AF209" s="81" t="s">
        <v>2464</v>
      </c>
      <c r="AG209" s="81" t="s">
        <v>2256</v>
      </c>
      <c r="AH209" s="83">
        <v>5000</v>
      </c>
      <c r="AI209" s="85"/>
    </row>
    <row r="210" spans="1:35" s="79" customFormat="1" ht="11.25" customHeight="1" x14ac:dyDescent="0.2">
      <c r="A210" s="77" t="s">
        <v>238</v>
      </c>
      <c r="B210" s="80">
        <v>1191</v>
      </c>
      <c r="C210" s="81" t="s">
        <v>237</v>
      </c>
      <c r="D210" s="73">
        <v>25000</v>
      </c>
      <c r="E210" s="79" t="s">
        <v>239</v>
      </c>
      <c r="F210" s="79" t="s">
        <v>30</v>
      </c>
      <c r="G210" s="79" t="s">
        <v>3001</v>
      </c>
      <c r="H210" s="79" t="s">
        <v>21</v>
      </c>
      <c r="I210" s="81" t="s">
        <v>3000</v>
      </c>
      <c r="J210" s="81">
        <v>25</v>
      </c>
      <c r="K210" s="86"/>
      <c r="M210" s="78" t="s">
        <v>240</v>
      </c>
      <c r="N210" s="82"/>
      <c r="O210" s="81" t="s">
        <v>2294</v>
      </c>
      <c r="P210" s="81" t="s">
        <v>2256</v>
      </c>
      <c r="Q210" s="81"/>
      <c r="R210" s="83">
        <v>1200</v>
      </c>
      <c r="S210" s="79" t="s">
        <v>3645</v>
      </c>
      <c r="T210" s="84">
        <v>30000000</v>
      </c>
      <c r="U210" s="81"/>
      <c r="V210" s="81"/>
      <c r="W210" s="78" t="s">
        <v>240</v>
      </c>
      <c r="X210" s="82"/>
      <c r="Y210" s="81" t="s">
        <v>2294</v>
      </c>
      <c r="Z210" s="81" t="s">
        <v>2256</v>
      </c>
      <c r="AA210" s="83">
        <v>5000</v>
      </c>
      <c r="AB210" s="85"/>
      <c r="AD210" s="78" t="s">
        <v>240</v>
      </c>
      <c r="AE210" s="82"/>
      <c r="AF210" s="81" t="s">
        <v>2294</v>
      </c>
      <c r="AG210" s="81" t="s">
        <v>2256</v>
      </c>
      <c r="AH210" s="83">
        <v>5000</v>
      </c>
      <c r="AI210" s="85"/>
    </row>
    <row r="211" spans="1:35" s="79" customFormat="1" ht="11.25" customHeight="1" x14ac:dyDescent="0.2">
      <c r="A211" s="77" t="s">
        <v>922</v>
      </c>
      <c r="B211" s="80">
        <v>1190</v>
      </c>
      <c r="C211" s="81" t="s">
        <v>240</v>
      </c>
      <c r="D211" s="73">
        <v>25000</v>
      </c>
      <c r="E211" s="79" t="s">
        <v>239</v>
      </c>
      <c r="F211" s="79" t="s">
        <v>3725</v>
      </c>
      <c r="G211" s="79" t="s">
        <v>2996</v>
      </c>
      <c r="H211" s="79" t="s">
        <v>21</v>
      </c>
      <c r="I211" s="81" t="s">
        <v>3000</v>
      </c>
      <c r="J211" s="81">
        <v>25</v>
      </c>
      <c r="K211" s="86"/>
      <c r="M211" s="78" t="s">
        <v>240</v>
      </c>
      <c r="N211" s="82"/>
      <c r="O211" s="81" t="s">
        <v>2256</v>
      </c>
      <c r="P211" s="81" t="s">
        <v>2256</v>
      </c>
      <c r="Q211" s="81"/>
      <c r="R211" s="83">
        <v>1200</v>
      </c>
      <c r="S211" s="79" t="s">
        <v>2998</v>
      </c>
      <c r="T211" s="84">
        <v>30000000</v>
      </c>
      <c r="U211" s="81"/>
      <c r="V211" s="81"/>
      <c r="W211" s="78" t="s">
        <v>240</v>
      </c>
      <c r="X211" s="82"/>
      <c r="Y211" s="81" t="s">
        <v>2256</v>
      </c>
      <c r="Z211" s="81" t="s">
        <v>2256</v>
      </c>
      <c r="AA211" s="83">
        <v>5000</v>
      </c>
      <c r="AB211" s="85"/>
      <c r="AD211" s="78" t="s">
        <v>240</v>
      </c>
      <c r="AE211" s="82"/>
      <c r="AF211" s="81" t="s">
        <v>2256</v>
      </c>
      <c r="AG211" s="81" t="s">
        <v>2256</v>
      </c>
      <c r="AH211" s="83">
        <v>5000</v>
      </c>
      <c r="AI211" s="85"/>
    </row>
    <row r="212" spans="1:35" s="79" customFormat="1" ht="11.25" customHeight="1" x14ac:dyDescent="0.2">
      <c r="A212" s="77" t="s">
        <v>949</v>
      </c>
      <c r="B212" s="80">
        <v>920</v>
      </c>
      <c r="C212" s="81" t="s">
        <v>948</v>
      </c>
      <c r="D212" s="73">
        <v>20</v>
      </c>
      <c r="E212" s="79" t="s">
        <v>3812</v>
      </c>
      <c r="F212" s="79" t="s">
        <v>3725</v>
      </c>
      <c r="G212" s="79" t="s">
        <v>2996</v>
      </c>
      <c r="H212" s="79" t="s">
        <v>21</v>
      </c>
      <c r="I212" s="81" t="s">
        <v>3000</v>
      </c>
      <c r="J212" s="81">
        <v>250</v>
      </c>
      <c r="K212" s="86"/>
      <c r="M212" s="78" t="s">
        <v>948</v>
      </c>
      <c r="N212" s="82"/>
      <c r="O212" s="81" t="s">
        <v>2256</v>
      </c>
      <c r="P212" s="81" t="s">
        <v>2256</v>
      </c>
      <c r="Q212" s="81"/>
      <c r="R212" s="83">
        <v>3000</v>
      </c>
      <c r="S212" s="79" t="s">
        <v>3641</v>
      </c>
      <c r="T212" s="84">
        <v>60000</v>
      </c>
      <c r="U212" s="81"/>
      <c r="V212" s="81"/>
      <c r="W212" s="78" t="s">
        <v>948</v>
      </c>
      <c r="X212" s="82"/>
      <c r="Y212" s="81" t="s">
        <v>2256</v>
      </c>
      <c r="Z212" s="81" t="s">
        <v>2256</v>
      </c>
      <c r="AA212" s="83">
        <v>10000</v>
      </c>
      <c r="AB212" s="85"/>
      <c r="AD212" s="78" t="s">
        <v>948</v>
      </c>
      <c r="AE212" s="82"/>
      <c r="AF212" s="81" t="s">
        <v>2256</v>
      </c>
      <c r="AG212" s="81" t="s">
        <v>2256</v>
      </c>
      <c r="AH212" s="83">
        <v>20000</v>
      </c>
      <c r="AI212" s="85"/>
    </row>
    <row r="213" spans="1:35" s="79" customFormat="1" ht="11.25" customHeight="1" x14ac:dyDescent="0.2">
      <c r="A213" s="77" t="s">
        <v>951</v>
      </c>
      <c r="B213" s="80">
        <v>1095</v>
      </c>
      <c r="C213" s="81" t="s">
        <v>950</v>
      </c>
      <c r="D213" s="73">
        <v>20</v>
      </c>
      <c r="E213" s="79" t="s">
        <v>3812</v>
      </c>
      <c r="F213" s="79" t="s">
        <v>30</v>
      </c>
      <c r="G213" s="79" t="s">
        <v>3001</v>
      </c>
      <c r="H213" s="79" t="s">
        <v>21</v>
      </c>
      <c r="I213" s="81" t="s">
        <v>3000</v>
      </c>
      <c r="J213" s="81">
        <v>250</v>
      </c>
      <c r="K213" s="86"/>
      <c r="M213" s="78" t="s">
        <v>948</v>
      </c>
      <c r="N213" s="82"/>
      <c r="O213" s="81" t="s">
        <v>2463</v>
      </c>
      <c r="P213" s="81" t="s">
        <v>2256</v>
      </c>
      <c r="Q213" s="81"/>
      <c r="R213" s="83">
        <v>3000</v>
      </c>
      <c r="S213" s="79" t="s">
        <v>3643</v>
      </c>
      <c r="T213" s="84">
        <v>60000</v>
      </c>
      <c r="U213" s="81"/>
      <c r="V213" s="81"/>
      <c r="W213" s="78" t="s">
        <v>948</v>
      </c>
      <c r="X213" s="82"/>
      <c r="Y213" s="81" t="s">
        <v>2463</v>
      </c>
      <c r="Z213" s="81" t="s">
        <v>2256</v>
      </c>
      <c r="AA213" s="83">
        <v>10000</v>
      </c>
      <c r="AB213" s="85"/>
      <c r="AD213" s="78" t="s">
        <v>948</v>
      </c>
      <c r="AE213" s="82"/>
      <c r="AF213" s="81" t="s">
        <v>2463</v>
      </c>
      <c r="AG213" s="81" t="s">
        <v>2256</v>
      </c>
      <c r="AH213" s="83">
        <v>20000</v>
      </c>
      <c r="AI213" s="85"/>
    </row>
    <row r="214" spans="1:35" s="79" customFormat="1" ht="11.25" customHeight="1" x14ac:dyDescent="0.2">
      <c r="A214" s="77" t="s">
        <v>1209</v>
      </c>
      <c r="B214" s="80">
        <v>1083</v>
      </c>
      <c r="C214" s="81" t="s">
        <v>1208</v>
      </c>
      <c r="D214" s="72">
        <v>1E-3</v>
      </c>
      <c r="E214" s="79" t="s">
        <v>827</v>
      </c>
      <c r="F214" s="79" t="s">
        <v>828</v>
      </c>
      <c r="G214" s="79" t="s">
        <v>3372</v>
      </c>
      <c r="H214" s="79" t="s">
        <v>21</v>
      </c>
      <c r="I214" s="81"/>
      <c r="J214" s="81">
        <v>25</v>
      </c>
      <c r="K214" s="86"/>
      <c r="M214" s="78" t="s">
        <v>1208</v>
      </c>
      <c r="N214" s="82"/>
      <c r="O214" s="81" t="s">
        <v>2256</v>
      </c>
      <c r="P214" s="81" t="s">
        <v>2256</v>
      </c>
      <c r="Q214" s="83">
        <v>50000</v>
      </c>
      <c r="R214" s="83" t="s">
        <v>213</v>
      </c>
      <c r="S214" s="79" t="s">
        <v>3733</v>
      </c>
      <c r="T214" s="84" t="s">
        <v>213</v>
      </c>
      <c r="U214" s="81"/>
      <c r="V214" s="81"/>
      <c r="W214" s="78" t="s">
        <v>1208</v>
      </c>
      <c r="X214" s="82"/>
      <c r="Y214" s="81" t="s">
        <v>2256</v>
      </c>
      <c r="Z214" s="81" t="s">
        <v>2256</v>
      </c>
      <c r="AA214" s="81"/>
      <c r="AB214" s="85"/>
      <c r="AD214" s="78" t="s">
        <v>1208</v>
      </c>
      <c r="AE214" s="82"/>
      <c r="AF214" s="81" t="s">
        <v>2256</v>
      </c>
      <c r="AG214" s="81" t="s">
        <v>2256</v>
      </c>
      <c r="AH214" s="81"/>
      <c r="AI214" s="85"/>
    </row>
    <row r="215" spans="1:35" s="79" customFormat="1" ht="11.25" customHeight="1" x14ac:dyDescent="0.2">
      <c r="A215" s="77" t="s">
        <v>1417</v>
      </c>
      <c r="B215" s="80">
        <v>871</v>
      </c>
      <c r="C215" s="81" t="s">
        <v>1416</v>
      </c>
      <c r="D215" s="73">
        <v>50</v>
      </c>
      <c r="E215" s="79" t="s">
        <v>20</v>
      </c>
      <c r="F215" s="79" t="s">
        <v>3725</v>
      </c>
      <c r="G215" s="79" t="s">
        <v>2996</v>
      </c>
      <c r="H215" s="79" t="s">
        <v>21</v>
      </c>
      <c r="I215" s="81" t="s">
        <v>3000</v>
      </c>
      <c r="J215" s="81">
        <v>25</v>
      </c>
      <c r="K215" s="86"/>
      <c r="M215" s="78" t="s">
        <v>1416</v>
      </c>
      <c r="N215" s="82"/>
      <c r="O215" s="81" t="s">
        <v>2256</v>
      </c>
      <c r="P215" s="81" t="s">
        <v>2256</v>
      </c>
      <c r="Q215" s="81"/>
      <c r="R215" s="83">
        <v>7500</v>
      </c>
      <c r="S215" s="79" t="s">
        <v>3641</v>
      </c>
      <c r="T215" s="84">
        <v>375000</v>
      </c>
      <c r="U215" s="81"/>
      <c r="V215" s="81"/>
      <c r="W215" s="78" t="s">
        <v>1416</v>
      </c>
      <c r="X215" s="82"/>
      <c r="Y215" s="81" t="s">
        <v>2256</v>
      </c>
      <c r="Z215" s="81" t="s">
        <v>2256</v>
      </c>
      <c r="AA215" s="83">
        <v>30000</v>
      </c>
      <c r="AB215" s="85"/>
      <c r="AD215" s="78" t="s">
        <v>1416</v>
      </c>
      <c r="AE215" s="82"/>
      <c r="AF215" s="81" t="s">
        <v>2256</v>
      </c>
      <c r="AG215" s="81" t="s">
        <v>2256</v>
      </c>
      <c r="AH215" s="83">
        <v>50000</v>
      </c>
      <c r="AI215" s="85"/>
    </row>
    <row r="216" spans="1:35" s="79" customFormat="1" ht="11.25" customHeight="1" x14ac:dyDescent="0.2">
      <c r="A216" s="77" t="s">
        <v>1515</v>
      </c>
      <c r="B216" s="80">
        <v>106</v>
      </c>
      <c r="C216" s="81" t="s">
        <v>1514</v>
      </c>
      <c r="D216" s="73">
        <v>100</v>
      </c>
      <c r="E216" s="79" t="s">
        <v>827</v>
      </c>
      <c r="F216" s="79" t="s">
        <v>3725</v>
      </c>
      <c r="G216" s="79" t="s">
        <v>2997</v>
      </c>
      <c r="H216" s="79" t="s">
        <v>21</v>
      </c>
      <c r="I216" s="81"/>
      <c r="J216" s="81">
        <v>25</v>
      </c>
      <c r="K216" s="86" t="s">
        <v>3404</v>
      </c>
      <c r="M216" s="78" t="s">
        <v>1514</v>
      </c>
      <c r="N216" s="82"/>
      <c r="O216" s="81" t="s">
        <v>2256</v>
      </c>
      <c r="P216" s="81" t="s">
        <v>2256</v>
      </c>
      <c r="Q216" s="81"/>
      <c r="R216" s="83">
        <v>650</v>
      </c>
      <c r="S216" s="79" t="s">
        <v>2998</v>
      </c>
      <c r="T216" s="84">
        <v>65000</v>
      </c>
      <c r="U216" s="81"/>
      <c r="V216" s="81"/>
      <c r="W216" s="78" t="s">
        <v>1514</v>
      </c>
      <c r="X216" s="82"/>
      <c r="Y216" s="81" t="s">
        <v>2256</v>
      </c>
      <c r="Z216" s="81" t="s">
        <v>2256</v>
      </c>
      <c r="AA216" s="83">
        <v>1000</v>
      </c>
      <c r="AB216" s="85"/>
      <c r="AD216" s="78" t="s">
        <v>1514</v>
      </c>
      <c r="AE216" s="82"/>
      <c r="AF216" s="81" t="s">
        <v>2256</v>
      </c>
      <c r="AG216" s="81" t="s">
        <v>2256</v>
      </c>
      <c r="AH216" s="83">
        <v>1000</v>
      </c>
      <c r="AI216" s="85"/>
    </row>
    <row r="217" spans="1:35" s="79" customFormat="1" ht="11.25" customHeight="1" x14ac:dyDescent="0.2">
      <c r="A217" s="77" t="s">
        <v>1517</v>
      </c>
      <c r="B217" s="80">
        <v>119</v>
      </c>
      <c r="C217" s="81" t="s">
        <v>1516</v>
      </c>
      <c r="D217" s="73">
        <v>100</v>
      </c>
      <c r="E217" s="79" t="s">
        <v>827</v>
      </c>
      <c r="F217" s="79" t="s">
        <v>129</v>
      </c>
      <c r="G217" s="79" t="s">
        <v>2994</v>
      </c>
      <c r="H217" s="79" t="s">
        <v>21</v>
      </c>
      <c r="I217" s="81"/>
      <c r="J217" s="81">
        <v>25</v>
      </c>
      <c r="K217" s="86" t="s">
        <v>3404</v>
      </c>
      <c r="M217" s="78" t="s">
        <v>1514</v>
      </c>
      <c r="N217" s="82"/>
      <c r="O217" s="81" t="s">
        <v>2604</v>
      </c>
      <c r="P217" s="81" t="s">
        <v>2256</v>
      </c>
      <c r="Q217" s="81"/>
      <c r="R217" s="83">
        <v>650</v>
      </c>
      <c r="S217" s="79" t="s">
        <v>3185</v>
      </c>
      <c r="T217" s="84">
        <v>65000</v>
      </c>
      <c r="U217" s="81"/>
      <c r="V217" s="81"/>
      <c r="W217" s="78" t="s">
        <v>1514</v>
      </c>
      <c r="X217" s="82"/>
      <c r="Y217" s="81" t="s">
        <v>2604</v>
      </c>
      <c r="Z217" s="81" t="s">
        <v>2256</v>
      </c>
      <c r="AA217" s="83">
        <v>1000</v>
      </c>
      <c r="AB217" s="85"/>
      <c r="AD217" s="78" t="s">
        <v>1514</v>
      </c>
      <c r="AE217" s="82"/>
      <c r="AF217" s="81" t="s">
        <v>2604</v>
      </c>
      <c r="AG217" s="81" t="s">
        <v>2256</v>
      </c>
      <c r="AH217" s="83">
        <v>1000</v>
      </c>
      <c r="AI217" s="85"/>
    </row>
    <row r="218" spans="1:35" s="79" customFormat="1" ht="11.25" customHeight="1" x14ac:dyDescent="0.2">
      <c r="A218" s="77" t="s">
        <v>977</v>
      </c>
      <c r="B218" s="80">
        <v>645</v>
      </c>
      <c r="C218" s="81" t="s">
        <v>976</v>
      </c>
      <c r="D218" s="73">
        <v>1000</v>
      </c>
      <c r="E218" s="79" t="s">
        <v>1808</v>
      </c>
      <c r="F218" s="79" t="s">
        <v>30</v>
      </c>
      <c r="G218" s="79" t="s">
        <v>3001</v>
      </c>
      <c r="H218" s="79" t="s">
        <v>21</v>
      </c>
      <c r="I218" s="81" t="s">
        <v>3000</v>
      </c>
      <c r="J218" s="81">
        <v>25</v>
      </c>
      <c r="K218" s="86"/>
      <c r="M218" s="78" t="s">
        <v>978</v>
      </c>
      <c r="N218" s="82"/>
      <c r="O218" s="81" t="s">
        <v>2467</v>
      </c>
      <c r="P218" s="81" t="s">
        <v>2256</v>
      </c>
      <c r="Q218" s="81"/>
      <c r="R218" s="83">
        <v>7500</v>
      </c>
      <c r="S218" s="79" t="s">
        <v>3642</v>
      </c>
      <c r="T218" s="84">
        <v>7500000</v>
      </c>
      <c r="U218" s="81"/>
      <c r="V218" s="81"/>
      <c r="W218" s="78" t="s">
        <v>978</v>
      </c>
      <c r="X218" s="82"/>
      <c r="Y218" s="81" t="s">
        <v>2467</v>
      </c>
      <c r="Z218" s="81" t="s">
        <v>2256</v>
      </c>
      <c r="AA218" s="83">
        <v>12500</v>
      </c>
      <c r="AB218" s="85"/>
      <c r="AD218" s="78" t="s">
        <v>978</v>
      </c>
      <c r="AE218" s="82"/>
      <c r="AF218" s="81" t="s">
        <v>2467</v>
      </c>
      <c r="AG218" s="81" t="s">
        <v>2256</v>
      </c>
      <c r="AH218" s="83">
        <v>12500</v>
      </c>
      <c r="AI218" s="85"/>
    </row>
    <row r="219" spans="1:35" s="79" customFormat="1" ht="11.25" customHeight="1" x14ac:dyDescent="0.2">
      <c r="A219" s="77" t="s">
        <v>980</v>
      </c>
      <c r="B219" s="80">
        <v>644</v>
      </c>
      <c r="C219" s="81" t="s">
        <v>979</v>
      </c>
      <c r="D219" s="73">
        <v>500</v>
      </c>
      <c r="E219" s="79" t="s">
        <v>1808</v>
      </c>
      <c r="F219" s="79" t="s">
        <v>30</v>
      </c>
      <c r="G219" s="79" t="s">
        <v>3001</v>
      </c>
      <c r="H219" s="79" t="s">
        <v>21</v>
      </c>
      <c r="I219" s="81" t="s">
        <v>3000</v>
      </c>
      <c r="J219" s="81">
        <v>25</v>
      </c>
      <c r="K219" s="86"/>
      <c r="M219" s="78" t="s">
        <v>978</v>
      </c>
      <c r="N219" s="82"/>
      <c r="O219" s="81" t="s">
        <v>2468</v>
      </c>
      <c r="P219" s="81" t="s">
        <v>2256</v>
      </c>
      <c r="Q219" s="81"/>
      <c r="R219" s="83">
        <v>7500</v>
      </c>
      <c r="S219" s="79" t="s">
        <v>3642</v>
      </c>
      <c r="T219" s="84">
        <v>7500000</v>
      </c>
      <c r="U219" s="81"/>
      <c r="V219" s="81"/>
      <c r="W219" s="78" t="s">
        <v>978</v>
      </c>
      <c r="X219" s="82"/>
      <c r="Y219" s="81" t="s">
        <v>2468</v>
      </c>
      <c r="Z219" s="81" t="s">
        <v>2256</v>
      </c>
      <c r="AA219" s="83">
        <v>12500</v>
      </c>
      <c r="AB219" s="85"/>
      <c r="AD219" s="78" t="s">
        <v>978</v>
      </c>
      <c r="AE219" s="82"/>
      <c r="AF219" s="81" t="s">
        <v>2468</v>
      </c>
      <c r="AG219" s="81" t="s">
        <v>2256</v>
      </c>
      <c r="AH219" s="83">
        <v>12500</v>
      </c>
      <c r="AI219" s="85"/>
    </row>
    <row r="220" spans="1:35" s="79" customFormat="1" ht="11.25" customHeight="1" x14ac:dyDescent="0.2">
      <c r="A220" s="77" t="s">
        <v>1542</v>
      </c>
      <c r="B220" s="80">
        <v>925</v>
      </c>
      <c r="C220" s="81" t="s">
        <v>978</v>
      </c>
      <c r="D220" s="73">
        <v>1000</v>
      </c>
      <c r="E220" s="79" t="s">
        <v>1808</v>
      </c>
      <c r="F220" s="79" t="s">
        <v>3725</v>
      </c>
      <c r="G220" s="79" t="s">
        <v>2996</v>
      </c>
      <c r="H220" s="79" t="s">
        <v>21</v>
      </c>
      <c r="I220" s="81" t="s">
        <v>3000</v>
      </c>
      <c r="J220" s="81">
        <v>25</v>
      </c>
      <c r="K220" s="86"/>
      <c r="M220" s="78" t="s">
        <v>978</v>
      </c>
      <c r="N220" s="82"/>
      <c r="O220" s="81" t="s">
        <v>2256</v>
      </c>
      <c r="P220" s="81" t="s">
        <v>2256</v>
      </c>
      <c r="Q220" s="81"/>
      <c r="R220" s="83">
        <v>7500</v>
      </c>
      <c r="S220" s="79" t="s">
        <v>3641</v>
      </c>
      <c r="T220" s="84">
        <v>7500000</v>
      </c>
      <c r="U220" s="81"/>
      <c r="V220" s="81"/>
      <c r="W220" s="78" t="s">
        <v>978</v>
      </c>
      <c r="X220" s="82"/>
      <c r="Y220" s="81" t="s">
        <v>2256</v>
      </c>
      <c r="Z220" s="81" t="s">
        <v>2256</v>
      </c>
      <c r="AA220" s="83">
        <v>12500</v>
      </c>
      <c r="AB220" s="85"/>
      <c r="AD220" s="78" t="s">
        <v>978</v>
      </c>
      <c r="AE220" s="82"/>
      <c r="AF220" s="81" t="s">
        <v>2256</v>
      </c>
      <c r="AG220" s="81" t="s">
        <v>2256</v>
      </c>
      <c r="AH220" s="83">
        <v>12500</v>
      </c>
      <c r="AI220" s="85"/>
    </row>
    <row r="221" spans="1:35" s="79" customFormat="1" ht="11.25" customHeight="1" x14ac:dyDescent="0.2">
      <c r="A221" s="77" t="s">
        <v>1807</v>
      </c>
      <c r="B221" s="80">
        <v>919</v>
      </c>
      <c r="C221" s="81" t="s">
        <v>1806</v>
      </c>
      <c r="D221" s="73">
        <v>500</v>
      </c>
      <c r="E221" s="79" t="s">
        <v>1808</v>
      </c>
      <c r="F221" s="79" t="s">
        <v>3725</v>
      </c>
      <c r="G221" s="79" t="s">
        <v>2996</v>
      </c>
      <c r="H221" s="79" t="s">
        <v>21</v>
      </c>
      <c r="I221" s="81" t="s">
        <v>3000</v>
      </c>
      <c r="J221" s="81">
        <v>25</v>
      </c>
      <c r="K221" s="86"/>
      <c r="M221" s="78" t="s">
        <v>978</v>
      </c>
      <c r="N221" s="82"/>
      <c r="O221" s="81" t="s">
        <v>2667</v>
      </c>
      <c r="P221" s="81" t="s">
        <v>2256</v>
      </c>
      <c r="Q221" s="81"/>
      <c r="R221" s="83">
        <v>7500</v>
      </c>
      <c r="S221" s="79" t="s">
        <v>3642</v>
      </c>
      <c r="T221" s="84">
        <v>7500000</v>
      </c>
      <c r="U221" s="81"/>
      <c r="V221" s="81"/>
      <c r="W221" s="78" t="s">
        <v>978</v>
      </c>
      <c r="X221" s="82"/>
      <c r="Y221" s="81" t="s">
        <v>2667</v>
      </c>
      <c r="Z221" s="81" t="s">
        <v>2256</v>
      </c>
      <c r="AA221" s="83">
        <v>12500</v>
      </c>
      <c r="AB221" s="85"/>
      <c r="AD221" s="78" t="s">
        <v>978</v>
      </c>
      <c r="AE221" s="82"/>
      <c r="AF221" s="81" t="s">
        <v>2667</v>
      </c>
      <c r="AG221" s="81" t="s">
        <v>2256</v>
      </c>
      <c r="AH221" s="83">
        <v>12500</v>
      </c>
      <c r="AI221" s="85"/>
    </row>
    <row r="222" spans="1:35" s="79" customFormat="1" ht="11.25" customHeight="1" x14ac:dyDescent="0.2">
      <c r="A222" s="77" t="s">
        <v>1558</v>
      </c>
      <c r="B222" s="80">
        <v>105</v>
      </c>
      <c r="C222" s="81" t="s">
        <v>1557</v>
      </c>
      <c r="D222" s="73">
        <v>50</v>
      </c>
      <c r="E222" s="79" t="s">
        <v>827</v>
      </c>
      <c r="F222" s="79" t="s">
        <v>3725</v>
      </c>
      <c r="G222" s="79" t="s">
        <v>2997</v>
      </c>
      <c r="H222" s="79" t="s">
        <v>21</v>
      </c>
      <c r="I222" s="81"/>
      <c r="J222" s="81">
        <v>25</v>
      </c>
      <c r="K222" s="86" t="s">
        <v>3404</v>
      </c>
      <c r="M222" s="78" t="s">
        <v>1557</v>
      </c>
      <c r="N222" s="82"/>
      <c r="O222" s="81" t="s">
        <v>2256</v>
      </c>
      <c r="P222" s="81" t="s">
        <v>2256</v>
      </c>
      <c r="Q222" s="81"/>
      <c r="R222" s="83">
        <v>500</v>
      </c>
      <c r="S222" s="79" t="s">
        <v>2998</v>
      </c>
      <c r="T222" s="84">
        <v>25000</v>
      </c>
      <c r="U222" s="81"/>
      <c r="V222" s="81"/>
      <c r="W222" s="78" t="s">
        <v>1557</v>
      </c>
      <c r="X222" s="82"/>
      <c r="Y222" s="81" t="s">
        <v>2256</v>
      </c>
      <c r="Z222" s="81" t="s">
        <v>2256</v>
      </c>
      <c r="AA222" s="83">
        <v>1500</v>
      </c>
      <c r="AB222" s="85"/>
      <c r="AD222" s="78" t="s">
        <v>1557</v>
      </c>
      <c r="AE222" s="82"/>
      <c r="AF222" s="81" t="s">
        <v>2256</v>
      </c>
      <c r="AG222" s="81" t="s">
        <v>2256</v>
      </c>
      <c r="AH222" s="83">
        <v>1500</v>
      </c>
      <c r="AI222" s="85"/>
    </row>
    <row r="223" spans="1:35" s="79" customFormat="1" ht="11.25" customHeight="1" x14ac:dyDescent="0.2">
      <c r="A223" s="77" t="s">
        <v>1565</v>
      </c>
      <c r="B223" s="80">
        <v>360</v>
      </c>
      <c r="C223" s="81" t="s">
        <v>1564</v>
      </c>
      <c r="D223" s="73">
        <v>50</v>
      </c>
      <c r="E223" s="79" t="s">
        <v>827</v>
      </c>
      <c r="F223" s="79" t="s">
        <v>129</v>
      </c>
      <c r="G223" s="79" t="s">
        <v>2994</v>
      </c>
      <c r="H223" s="79" t="s">
        <v>21</v>
      </c>
      <c r="I223" s="81"/>
      <c r="J223" s="81">
        <v>25</v>
      </c>
      <c r="K223" s="86" t="s">
        <v>3404</v>
      </c>
      <c r="M223" s="78" t="s">
        <v>1557</v>
      </c>
      <c r="N223" s="82"/>
      <c r="O223" s="81" t="s">
        <v>2610</v>
      </c>
      <c r="P223" s="81" t="s">
        <v>2256</v>
      </c>
      <c r="Q223" s="81"/>
      <c r="R223" s="83">
        <v>500</v>
      </c>
      <c r="S223" s="79" t="s">
        <v>3192</v>
      </c>
      <c r="T223" s="84">
        <f>50*500</f>
        <v>25000</v>
      </c>
      <c r="U223" s="81"/>
      <c r="V223" s="81"/>
      <c r="W223" s="78" t="s">
        <v>1557</v>
      </c>
      <c r="X223" s="82"/>
      <c r="Y223" s="81" t="s">
        <v>2610</v>
      </c>
      <c r="Z223" s="81" t="s">
        <v>2256</v>
      </c>
      <c r="AA223" s="83">
        <v>1500</v>
      </c>
      <c r="AB223" s="85"/>
      <c r="AD223" s="78" t="s">
        <v>1557</v>
      </c>
      <c r="AE223" s="82"/>
      <c r="AF223" s="81" t="s">
        <v>2610</v>
      </c>
      <c r="AG223" s="81" t="s">
        <v>2256</v>
      </c>
      <c r="AH223" s="83">
        <v>1500</v>
      </c>
      <c r="AI223" s="85"/>
    </row>
    <row r="224" spans="1:35" s="79" customFormat="1" ht="11.25" customHeight="1" x14ac:dyDescent="0.2">
      <c r="A224" s="77" t="s">
        <v>1622</v>
      </c>
      <c r="B224" s="80">
        <v>913</v>
      </c>
      <c r="C224" s="81" t="s">
        <v>1621</v>
      </c>
      <c r="D224" s="73">
        <v>12500</v>
      </c>
      <c r="E224" s="79" t="s">
        <v>239</v>
      </c>
      <c r="F224" s="79" t="s">
        <v>3725</v>
      </c>
      <c r="G224" s="79" t="s">
        <v>2996</v>
      </c>
      <c r="H224" s="79" t="s">
        <v>21</v>
      </c>
      <c r="I224" s="81"/>
      <c r="J224" s="81">
        <v>25</v>
      </c>
      <c r="K224" s="86"/>
      <c r="M224" s="78" t="s">
        <v>1621</v>
      </c>
      <c r="N224" s="82"/>
      <c r="O224" s="81" t="s">
        <v>2256</v>
      </c>
      <c r="P224" s="81" t="s">
        <v>2256</v>
      </c>
      <c r="Q224" s="80">
        <v>400</v>
      </c>
      <c r="R224" s="83" t="s">
        <v>213</v>
      </c>
      <c r="S224" s="79" t="s">
        <v>3733</v>
      </c>
      <c r="T224" s="84" t="s">
        <v>213</v>
      </c>
      <c r="U224" s="81"/>
      <c r="V224" s="81"/>
      <c r="W224" s="78" t="s">
        <v>1621</v>
      </c>
      <c r="X224" s="82"/>
      <c r="Y224" s="81" t="s">
        <v>2256</v>
      </c>
      <c r="Z224" s="81" t="s">
        <v>2256</v>
      </c>
      <c r="AA224" s="83">
        <v>5000</v>
      </c>
      <c r="AB224" s="85"/>
      <c r="AD224" s="78" t="s">
        <v>1621</v>
      </c>
      <c r="AE224" s="82"/>
      <c r="AF224" s="81" t="s">
        <v>2256</v>
      </c>
      <c r="AG224" s="81" t="s">
        <v>2256</v>
      </c>
      <c r="AH224" s="83">
        <v>5000</v>
      </c>
      <c r="AI224" s="85"/>
    </row>
    <row r="225" spans="1:35" s="79" customFormat="1" ht="11.25" customHeight="1" x14ac:dyDescent="0.2">
      <c r="A225" s="77" t="s">
        <v>1634</v>
      </c>
      <c r="B225" s="80">
        <v>911</v>
      </c>
      <c r="C225" s="81" t="s">
        <v>1633</v>
      </c>
      <c r="D225" s="73">
        <v>50</v>
      </c>
      <c r="E225" s="79" t="s">
        <v>827</v>
      </c>
      <c r="F225" s="79" t="s">
        <v>3725</v>
      </c>
      <c r="G225" s="79" t="s">
        <v>2996</v>
      </c>
      <c r="H225" s="79" t="s">
        <v>21</v>
      </c>
      <c r="I225" s="81"/>
      <c r="J225" s="81">
        <v>25</v>
      </c>
      <c r="K225" s="86"/>
      <c r="M225" s="78" t="s">
        <v>1633</v>
      </c>
      <c r="N225" s="82"/>
      <c r="O225" s="81" t="s">
        <v>2256</v>
      </c>
      <c r="P225" s="81" t="s">
        <v>2256</v>
      </c>
      <c r="Q225" s="83">
        <v>2000</v>
      </c>
      <c r="R225" s="83" t="s">
        <v>213</v>
      </c>
      <c r="S225" s="79" t="s">
        <v>3733</v>
      </c>
      <c r="T225" s="84" t="s">
        <v>213</v>
      </c>
      <c r="U225" s="81"/>
      <c r="V225" s="81"/>
      <c r="W225" s="78" t="s">
        <v>1633</v>
      </c>
      <c r="X225" s="82"/>
      <c r="Y225" s="81" t="s">
        <v>2256</v>
      </c>
      <c r="Z225" s="81" t="s">
        <v>2256</v>
      </c>
      <c r="AA225" s="83">
        <v>10000</v>
      </c>
      <c r="AB225" s="85"/>
      <c r="AD225" s="78" t="s">
        <v>1633</v>
      </c>
      <c r="AE225" s="82"/>
      <c r="AF225" s="81" t="s">
        <v>2256</v>
      </c>
      <c r="AG225" s="81" t="s">
        <v>2256</v>
      </c>
      <c r="AH225" s="83">
        <v>10000</v>
      </c>
      <c r="AI225" s="85"/>
    </row>
    <row r="226" spans="1:35" s="79" customFormat="1" ht="11.25" customHeight="1" x14ac:dyDescent="0.2">
      <c r="A226" s="77" t="s">
        <v>1666</v>
      </c>
      <c r="B226" s="80">
        <v>1286</v>
      </c>
      <c r="C226" s="81" t="s">
        <v>1665</v>
      </c>
      <c r="D226" s="73">
        <v>100</v>
      </c>
      <c r="E226" s="79" t="s">
        <v>20</v>
      </c>
      <c r="F226" s="79" t="s">
        <v>3725</v>
      </c>
      <c r="G226" s="79" t="s">
        <v>2996</v>
      </c>
      <c r="H226" s="79" t="s">
        <v>21</v>
      </c>
      <c r="I226" s="81" t="s">
        <v>3000</v>
      </c>
      <c r="J226" s="81">
        <v>25</v>
      </c>
      <c r="K226" s="86"/>
      <c r="M226" s="78" t="s">
        <v>1665</v>
      </c>
      <c r="N226" s="82"/>
      <c r="O226" s="81" t="s">
        <v>2256</v>
      </c>
      <c r="P226" s="81" t="s">
        <v>2256</v>
      </c>
      <c r="Q226" s="81"/>
      <c r="R226" s="83">
        <v>10000</v>
      </c>
      <c r="S226" s="79" t="s">
        <v>3641</v>
      </c>
      <c r="T226" s="84">
        <v>1000000</v>
      </c>
      <c r="U226" s="81"/>
      <c r="V226" s="81"/>
      <c r="W226" s="78" t="s">
        <v>1665</v>
      </c>
      <c r="X226" s="82"/>
      <c r="Y226" s="81" t="s">
        <v>2256</v>
      </c>
      <c r="Z226" s="81" t="s">
        <v>2256</v>
      </c>
      <c r="AA226" s="83">
        <v>50000</v>
      </c>
      <c r="AB226" s="85"/>
      <c r="AD226" s="78" t="s">
        <v>1665</v>
      </c>
      <c r="AE226" s="82"/>
      <c r="AF226" s="81" t="s">
        <v>2256</v>
      </c>
      <c r="AG226" s="81" t="s">
        <v>2256</v>
      </c>
      <c r="AH226" s="83">
        <v>50000</v>
      </c>
      <c r="AI226" s="85"/>
    </row>
    <row r="227" spans="1:35" s="79" customFormat="1" ht="11.25" customHeight="1" x14ac:dyDescent="0.2">
      <c r="A227" s="77" t="s">
        <v>1734</v>
      </c>
      <c r="B227" s="80">
        <v>112</v>
      </c>
      <c r="C227" s="81" t="s">
        <v>1733</v>
      </c>
      <c r="D227" s="73">
        <v>5000</v>
      </c>
      <c r="E227" s="79" t="s">
        <v>827</v>
      </c>
      <c r="F227" s="79" t="s">
        <v>3725</v>
      </c>
      <c r="G227" s="79" t="s">
        <v>2997</v>
      </c>
      <c r="H227" s="79" t="s">
        <v>21</v>
      </c>
      <c r="I227" s="81"/>
      <c r="J227" s="81">
        <v>150</v>
      </c>
      <c r="K227" s="86" t="s">
        <v>3404</v>
      </c>
      <c r="M227" s="78" t="s">
        <v>1733</v>
      </c>
      <c r="N227" s="82"/>
      <c r="O227" s="81" t="s">
        <v>2256</v>
      </c>
      <c r="P227" s="81" t="s">
        <v>2256</v>
      </c>
      <c r="Q227" s="81"/>
      <c r="R227" s="83">
        <v>1500</v>
      </c>
      <c r="S227" s="79" t="s">
        <v>2998</v>
      </c>
      <c r="T227" s="84">
        <v>7500000</v>
      </c>
      <c r="U227" s="81"/>
      <c r="V227" s="81"/>
      <c r="W227" s="78" t="s">
        <v>1733</v>
      </c>
      <c r="X227" s="82"/>
      <c r="Y227" s="81" t="s">
        <v>2256</v>
      </c>
      <c r="Z227" s="81" t="s">
        <v>2256</v>
      </c>
      <c r="AA227" s="83">
        <v>6000</v>
      </c>
      <c r="AB227" s="85"/>
      <c r="AD227" s="78" t="s">
        <v>1733</v>
      </c>
      <c r="AE227" s="82"/>
      <c r="AF227" s="81" t="s">
        <v>2256</v>
      </c>
      <c r="AG227" s="81" t="s">
        <v>2256</v>
      </c>
      <c r="AH227" s="83">
        <v>6000</v>
      </c>
      <c r="AI227" s="85"/>
    </row>
    <row r="228" spans="1:35" s="79" customFormat="1" ht="11.25" customHeight="1" x14ac:dyDescent="0.2">
      <c r="A228" s="77" t="s">
        <v>1746</v>
      </c>
      <c r="B228" s="80">
        <v>116</v>
      </c>
      <c r="C228" s="81" t="s">
        <v>1745</v>
      </c>
      <c r="D228" s="73">
        <v>5000</v>
      </c>
      <c r="E228" s="79" t="s">
        <v>827</v>
      </c>
      <c r="F228" s="79" t="s">
        <v>129</v>
      </c>
      <c r="G228" s="79" t="s">
        <v>2994</v>
      </c>
      <c r="H228" s="79" t="s">
        <v>21</v>
      </c>
      <c r="I228" s="81"/>
      <c r="J228" s="81">
        <v>150</v>
      </c>
      <c r="K228" s="86" t="s">
        <v>3404</v>
      </c>
      <c r="M228" s="78" t="s">
        <v>1733</v>
      </c>
      <c r="N228" s="82"/>
      <c r="O228" s="81" t="s">
        <v>2655</v>
      </c>
      <c r="P228" s="81" t="s">
        <v>2256</v>
      </c>
      <c r="Q228" s="81"/>
      <c r="R228" s="83">
        <v>1500</v>
      </c>
      <c r="S228" s="79" t="s">
        <v>3209</v>
      </c>
      <c r="T228" s="84">
        <f>5000*R228</f>
        <v>7500000</v>
      </c>
      <c r="U228" s="81"/>
      <c r="V228" s="81"/>
      <c r="W228" s="78" t="s">
        <v>1733</v>
      </c>
      <c r="X228" s="82"/>
      <c r="Y228" s="81" t="s">
        <v>2655</v>
      </c>
      <c r="Z228" s="81" t="s">
        <v>2256</v>
      </c>
      <c r="AA228" s="83">
        <v>6000</v>
      </c>
      <c r="AB228" s="85"/>
      <c r="AD228" s="78" t="s">
        <v>1733</v>
      </c>
      <c r="AE228" s="82"/>
      <c r="AF228" s="81" t="s">
        <v>2655</v>
      </c>
      <c r="AG228" s="81" t="s">
        <v>2256</v>
      </c>
      <c r="AH228" s="83">
        <v>6000</v>
      </c>
      <c r="AI228" s="85"/>
    </row>
    <row r="229" spans="1:35" s="79" customFormat="1" ht="11.25" customHeight="1" x14ac:dyDescent="0.2">
      <c r="A229" s="77" t="s">
        <v>1752</v>
      </c>
      <c r="B229" s="80">
        <v>869</v>
      </c>
      <c r="C229" s="81" t="s">
        <v>1751</v>
      </c>
      <c r="D229" s="73">
        <v>100</v>
      </c>
      <c r="E229" s="79" t="s">
        <v>20</v>
      </c>
      <c r="F229" s="79" t="s">
        <v>3725</v>
      </c>
      <c r="G229" s="79" t="s">
        <v>2996</v>
      </c>
      <c r="H229" s="79" t="s">
        <v>21</v>
      </c>
      <c r="I229" s="81" t="s">
        <v>3000</v>
      </c>
      <c r="J229" s="81">
        <v>25</v>
      </c>
      <c r="K229" s="86"/>
      <c r="M229" s="78" t="s">
        <v>1751</v>
      </c>
      <c r="N229" s="82"/>
      <c r="O229" s="81" t="s">
        <v>2256</v>
      </c>
      <c r="P229" s="81" t="s">
        <v>2256</v>
      </c>
      <c r="Q229" s="81"/>
      <c r="R229" s="83">
        <v>3000</v>
      </c>
      <c r="S229" s="79" t="s">
        <v>3641</v>
      </c>
      <c r="T229" s="84">
        <v>300000</v>
      </c>
      <c r="U229" s="81"/>
      <c r="V229" s="81"/>
      <c r="W229" s="78" t="s">
        <v>1751</v>
      </c>
      <c r="X229" s="82"/>
      <c r="Y229" s="81" t="s">
        <v>2256</v>
      </c>
      <c r="Z229" s="81" t="s">
        <v>2256</v>
      </c>
      <c r="AA229" s="83">
        <v>15000</v>
      </c>
      <c r="AB229" s="85"/>
      <c r="AD229" s="78" t="s">
        <v>1751</v>
      </c>
      <c r="AE229" s="82"/>
      <c r="AF229" s="81" t="s">
        <v>2256</v>
      </c>
      <c r="AG229" s="81" t="s">
        <v>2256</v>
      </c>
      <c r="AH229" s="83">
        <v>20000</v>
      </c>
      <c r="AI229" s="85"/>
    </row>
    <row r="230" spans="1:35" s="79" customFormat="1" ht="11.25" customHeight="1" x14ac:dyDescent="0.2">
      <c r="A230" s="77" t="s">
        <v>1887</v>
      </c>
      <c r="B230" s="80">
        <v>970</v>
      </c>
      <c r="C230" s="81" t="s">
        <v>1886</v>
      </c>
      <c r="D230" s="73">
        <v>250</v>
      </c>
      <c r="E230" s="79" t="s">
        <v>239</v>
      </c>
      <c r="F230" s="79" t="s">
        <v>3725</v>
      </c>
      <c r="G230" s="79" t="s">
        <v>2996</v>
      </c>
      <c r="H230" s="79" t="s">
        <v>21</v>
      </c>
      <c r="I230" s="81"/>
      <c r="J230" s="81">
        <v>25</v>
      </c>
      <c r="K230" s="86"/>
      <c r="M230" s="78" t="s">
        <v>1886</v>
      </c>
      <c r="N230" s="82"/>
      <c r="O230" s="81" t="s">
        <v>2256</v>
      </c>
      <c r="P230" s="81" t="s">
        <v>2256</v>
      </c>
      <c r="Q230" s="81"/>
      <c r="R230" s="83">
        <v>1000</v>
      </c>
      <c r="S230" s="79" t="s">
        <v>3641</v>
      </c>
      <c r="T230" s="84">
        <v>250000</v>
      </c>
      <c r="U230" s="81"/>
      <c r="V230" s="81"/>
      <c r="W230" s="78" t="s">
        <v>1886</v>
      </c>
      <c r="X230" s="82"/>
      <c r="Y230" s="81" t="s">
        <v>2256</v>
      </c>
      <c r="Z230" s="81" t="s">
        <v>2256</v>
      </c>
      <c r="AA230" s="83">
        <v>3500</v>
      </c>
      <c r="AB230" s="85"/>
      <c r="AD230" s="78" t="s">
        <v>1886</v>
      </c>
      <c r="AE230" s="82"/>
      <c r="AF230" s="81" t="s">
        <v>2256</v>
      </c>
      <c r="AG230" s="81" t="s">
        <v>2256</v>
      </c>
      <c r="AH230" s="83">
        <v>3500</v>
      </c>
      <c r="AI230" s="85"/>
    </row>
    <row r="231" spans="1:35" s="79" customFormat="1" ht="11.25" customHeight="1" x14ac:dyDescent="0.2">
      <c r="A231" s="77" t="s">
        <v>2103</v>
      </c>
      <c r="B231" s="80">
        <v>428</v>
      </c>
      <c r="C231" s="81" t="s">
        <v>1164</v>
      </c>
      <c r="D231" s="73">
        <v>2500</v>
      </c>
      <c r="E231" s="79" t="s">
        <v>65</v>
      </c>
      <c r="F231" s="79" t="s">
        <v>3725</v>
      </c>
      <c r="G231" s="79" t="s">
        <v>2996</v>
      </c>
      <c r="H231" s="79" t="s">
        <v>66</v>
      </c>
      <c r="I231" s="81"/>
      <c r="J231" s="81">
        <v>25</v>
      </c>
      <c r="K231" s="86"/>
      <c r="M231" s="78" t="s">
        <v>1164</v>
      </c>
      <c r="N231" s="82"/>
      <c r="O231" s="81" t="s">
        <v>2256</v>
      </c>
      <c r="P231" s="81" t="s">
        <v>2256</v>
      </c>
      <c r="Q231" s="81"/>
      <c r="R231" s="83">
        <v>500</v>
      </c>
      <c r="S231" s="79" t="s">
        <v>2999</v>
      </c>
      <c r="T231" s="84">
        <v>1250000</v>
      </c>
      <c r="U231" s="81"/>
      <c r="V231" s="81"/>
      <c r="W231" s="78" t="s">
        <v>1164</v>
      </c>
      <c r="X231" s="82"/>
      <c r="Y231" s="81" t="s">
        <v>2256</v>
      </c>
      <c r="Z231" s="81" t="s">
        <v>2256</v>
      </c>
      <c r="AA231" s="83">
        <v>5000</v>
      </c>
      <c r="AB231" s="85"/>
      <c r="AD231" s="78" t="s">
        <v>1164</v>
      </c>
      <c r="AE231" s="82"/>
      <c r="AF231" s="81" t="s">
        <v>2256</v>
      </c>
      <c r="AG231" s="81" t="s">
        <v>2256</v>
      </c>
      <c r="AH231" s="83">
        <v>7000</v>
      </c>
      <c r="AI231" s="85"/>
    </row>
    <row r="232" spans="1:35" s="79" customFormat="1" ht="11.25" customHeight="1" x14ac:dyDescent="0.2">
      <c r="A232" s="77" t="s">
        <v>2135</v>
      </c>
      <c r="B232" s="80">
        <v>432</v>
      </c>
      <c r="C232" s="81" t="s">
        <v>1172</v>
      </c>
      <c r="D232" s="73">
        <v>2500</v>
      </c>
      <c r="E232" s="79" t="s">
        <v>65</v>
      </c>
      <c r="F232" s="79" t="s">
        <v>3725</v>
      </c>
      <c r="G232" s="79" t="s">
        <v>2996</v>
      </c>
      <c r="H232" s="79" t="s">
        <v>66</v>
      </c>
      <c r="I232" s="81"/>
      <c r="J232" s="81">
        <v>25</v>
      </c>
      <c r="K232" s="86"/>
      <c r="M232" s="78" t="s">
        <v>1172</v>
      </c>
      <c r="N232" s="82"/>
      <c r="O232" s="81" t="s">
        <v>2256</v>
      </c>
      <c r="P232" s="81" t="s">
        <v>2256</v>
      </c>
      <c r="Q232" s="81"/>
      <c r="R232" s="83">
        <v>150</v>
      </c>
      <c r="S232" s="79" t="s">
        <v>2999</v>
      </c>
      <c r="T232" s="84">
        <v>375000</v>
      </c>
      <c r="U232" s="81"/>
      <c r="V232" s="81"/>
      <c r="W232" s="78" t="s">
        <v>1172</v>
      </c>
      <c r="X232" s="82"/>
      <c r="Y232" s="81" t="s">
        <v>2256</v>
      </c>
      <c r="Z232" s="81" t="s">
        <v>2256</v>
      </c>
      <c r="AA232" s="83">
        <v>2000</v>
      </c>
      <c r="AB232" s="85"/>
      <c r="AD232" s="78" t="s">
        <v>1172</v>
      </c>
      <c r="AE232" s="82"/>
      <c r="AF232" s="81" t="s">
        <v>2256</v>
      </c>
      <c r="AG232" s="81" t="s">
        <v>2256</v>
      </c>
      <c r="AH232" s="83">
        <v>3000</v>
      </c>
      <c r="AI232" s="85"/>
    </row>
    <row r="233" spans="1:35" s="79" customFormat="1" ht="11.25" customHeight="1" x14ac:dyDescent="0.2">
      <c r="A233" s="77" t="s">
        <v>2178</v>
      </c>
      <c r="B233" s="80">
        <v>429</v>
      </c>
      <c r="C233" s="81" t="s">
        <v>195</v>
      </c>
      <c r="D233" s="73">
        <v>2500</v>
      </c>
      <c r="E233" s="79" t="s">
        <v>65</v>
      </c>
      <c r="F233" s="79" t="s">
        <v>3725</v>
      </c>
      <c r="G233" s="79" t="s">
        <v>2996</v>
      </c>
      <c r="H233" s="79" t="s">
        <v>66</v>
      </c>
      <c r="I233" s="81"/>
      <c r="J233" s="81">
        <v>25</v>
      </c>
      <c r="K233" s="86"/>
      <c r="M233" s="78" t="s">
        <v>195</v>
      </c>
      <c r="N233" s="82"/>
      <c r="O233" s="81" t="s">
        <v>2256</v>
      </c>
      <c r="P233" s="81" t="s">
        <v>2256</v>
      </c>
      <c r="Q233" s="81"/>
      <c r="R233" s="83">
        <v>150</v>
      </c>
      <c r="S233" s="79" t="s">
        <v>2999</v>
      </c>
      <c r="T233" s="84">
        <v>375000</v>
      </c>
      <c r="U233" s="81"/>
      <c r="V233" s="81"/>
      <c r="W233" s="78" t="s">
        <v>195</v>
      </c>
      <c r="X233" s="82"/>
      <c r="Y233" s="81" t="s">
        <v>2256</v>
      </c>
      <c r="Z233" s="81" t="s">
        <v>2256</v>
      </c>
      <c r="AA233" s="83">
        <v>2000</v>
      </c>
      <c r="AB233" s="85"/>
      <c r="AD233" s="78" t="s">
        <v>195</v>
      </c>
      <c r="AE233" s="82"/>
      <c r="AF233" s="81" t="s">
        <v>2256</v>
      </c>
      <c r="AG233" s="81" t="s">
        <v>2256</v>
      </c>
      <c r="AH233" s="83">
        <v>3000</v>
      </c>
      <c r="AI233" s="85"/>
    </row>
    <row r="234" spans="1:35" s="79" customFormat="1" ht="11.25" customHeight="1" x14ac:dyDescent="0.2">
      <c r="A234" s="77" t="s">
        <v>2179</v>
      </c>
      <c r="B234" s="80">
        <v>433</v>
      </c>
      <c r="C234" s="81" t="s">
        <v>188</v>
      </c>
      <c r="D234" s="73">
        <v>2500</v>
      </c>
      <c r="E234" s="79" t="s">
        <v>65</v>
      </c>
      <c r="F234" s="79" t="s">
        <v>3725</v>
      </c>
      <c r="G234" s="79" t="s">
        <v>2996</v>
      </c>
      <c r="H234" s="79" t="s">
        <v>66</v>
      </c>
      <c r="I234" s="81"/>
      <c r="J234" s="81">
        <v>25</v>
      </c>
      <c r="K234" s="86"/>
      <c r="M234" s="78" t="s">
        <v>188</v>
      </c>
      <c r="N234" s="82"/>
      <c r="O234" s="81" t="s">
        <v>2256</v>
      </c>
      <c r="P234" s="81" t="s">
        <v>2256</v>
      </c>
      <c r="Q234" s="81"/>
      <c r="R234" s="83">
        <v>250</v>
      </c>
      <c r="S234" s="79" t="s">
        <v>2999</v>
      </c>
      <c r="T234" s="84">
        <v>625000</v>
      </c>
      <c r="U234" s="81"/>
      <c r="V234" s="81"/>
      <c r="W234" s="78" t="s">
        <v>188</v>
      </c>
      <c r="X234" s="82"/>
      <c r="Y234" s="81" t="s">
        <v>2256</v>
      </c>
      <c r="Z234" s="81" t="s">
        <v>2256</v>
      </c>
      <c r="AA234" s="83">
        <v>2500</v>
      </c>
      <c r="AB234" s="85"/>
      <c r="AD234" s="78" t="s">
        <v>188</v>
      </c>
      <c r="AE234" s="82"/>
      <c r="AF234" s="81" t="s">
        <v>2256</v>
      </c>
      <c r="AG234" s="81" t="s">
        <v>2256</v>
      </c>
      <c r="AH234" s="83">
        <v>3500</v>
      </c>
      <c r="AI234" s="85"/>
    </row>
    <row r="235" spans="1:35" s="79" customFormat="1" ht="11.25" customHeight="1" x14ac:dyDescent="0.2">
      <c r="A235" s="77" t="s">
        <v>2184</v>
      </c>
      <c r="B235" s="80">
        <v>435</v>
      </c>
      <c r="C235" s="81" t="s">
        <v>204</v>
      </c>
      <c r="D235" s="73">
        <v>2500</v>
      </c>
      <c r="E235" s="79" t="s">
        <v>65</v>
      </c>
      <c r="F235" s="79" t="s">
        <v>3725</v>
      </c>
      <c r="G235" s="79" t="s">
        <v>2996</v>
      </c>
      <c r="H235" s="79" t="s">
        <v>66</v>
      </c>
      <c r="I235" s="81"/>
      <c r="J235" s="81">
        <v>25</v>
      </c>
      <c r="K235" s="86"/>
      <c r="M235" s="78" t="s">
        <v>204</v>
      </c>
      <c r="N235" s="82"/>
      <c r="O235" s="81" t="s">
        <v>2256</v>
      </c>
      <c r="P235" s="81" t="s">
        <v>2256</v>
      </c>
      <c r="Q235" s="81"/>
      <c r="R235" s="83">
        <v>500</v>
      </c>
      <c r="S235" s="79" t="s">
        <v>2999</v>
      </c>
      <c r="T235" s="84">
        <v>1250000</v>
      </c>
      <c r="U235" s="81"/>
      <c r="V235" s="81"/>
      <c r="W235" s="78" t="s">
        <v>204</v>
      </c>
      <c r="X235" s="82"/>
      <c r="Y235" s="81" t="s">
        <v>2256</v>
      </c>
      <c r="Z235" s="81" t="s">
        <v>2256</v>
      </c>
      <c r="AA235" s="83">
        <v>5000</v>
      </c>
      <c r="AB235" s="85"/>
      <c r="AD235" s="78" t="s">
        <v>204</v>
      </c>
      <c r="AE235" s="82"/>
      <c r="AF235" s="81" t="s">
        <v>2256</v>
      </c>
      <c r="AG235" s="81" t="s">
        <v>2256</v>
      </c>
      <c r="AH235" s="83">
        <v>7000</v>
      </c>
      <c r="AI235" s="85"/>
    </row>
    <row r="236" spans="1:35" s="79" customFormat="1" ht="11.25" customHeight="1" x14ac:dyDescent="0.2">
      <c r="A236" s="77" t="s">
        <v>2185</v>
      </c>
      <c r="B236" s="80">
        <v>436</v>
      </c>
      <c r="C236" s="81" t="s">
        <v>1182</v>
      </c>
      <c r="D236" s="73">
        <v>2500</v>
      </c>
      <c r="E236" s="79" t="s">
        <v>65</v>
      </c>
      <c r="F236" s="79" t="s">
        <v>3725</v>
      </c>
      <c r="G236" s="79" t="s">
        <v>2996</v>
      </c>
      <c r="H236" s="79" t="s">
        <v>66</v>
      </c>
      <c r="I236" s="81"/>
      <c r="J236" s="81">
        <v>25</v>
      </c>
      <c r="K236" s="86"/>
      <c r="M236" s="78" t="s">
        <v>1182</v>
      </c>
      <c r="N236" s="82"/>
      <c r="O236" s="81" t="s">
        <v>2256</v>
      </c>
      <c r="P236" s="81" t="s">
        <v>2256</v>
      </c>
      <c r="Q236" s="81"/>
      <c r="R236" s="83">
        <v>500</v>
      </c>
      <c r="S236" s="79" t="s">
        <v>2999</v>
      </c>
      <c r="T236" s="84">
        <v>1250000</v>
      </c>
      <c r="U236" s="81"/>
      <c r="V236" s="81"/>
      <c r="W236" s="78" t="s">
        <v>1182</v>
      </c>
      <c r="X236" s="82"/>
      <c r="Y236" s="81" t="s">
        <v>2256</v>
      </c>
      <c r="Z236" s="81" t="s">
        <v>2256</v>
      </c>
      <c r="AA236" s="83">
        <v>5000</v>
      </c>
      <c r="AB236" s="85"/>
      <c r="AD236" s="78" t="s">
        <v>1182</v>
      </c>
      <c r="AE236" s="82"/>
      <c r="AF236" s="81" t="s">
        <v>2256</v>
      </c>
      <c r="AG236" s="81" t="s">
        <v>2256</v>
      </c>
      <c r="AH236" s="83">
        <v>7000</v>
      </c>
      <c r="AI236" s="85"/>
    </row>
    <row r="237" spans="1:35" s="79" customFormat="1" ht="11.25" customHeight="1" x14ac:dyDescent="0.2">
      <c r="A237" s="77" t="s">
        <v>2203</v>
      </c>
      <c r="B237" s="80">
        <v>430</v>
      </c>
      <c r="C237" s="81" t="s">
        <v>224</v>
      </c>
      <c r="D237" s="73">
        <v>2500</v>
      </c>
      <c r="E237" s="79" t="s">
        <v>65</v>
      </c>
      <c r="F237" s="79" t="s">
        <v>3725</v>
      </c>
      <c r="G237" s="79" t="s">
        <v>2996</v>
      </c>
      <c r="H237" s="79" t="s">
        <v>66</v>
      </c>
      <c r="I237" s="81"/>
      <c r="J237" s="81">
        <v>25</v>
      </c>
      <c r="K237" s="86"/>
      <c r="M237" s="78" t="s">
        <v>224</v>
      </c>
      <c r="N237" s="82"/>
      <c r="O237" s="81" t="s">
        <v>2256</v>
      </c>
      <c r="P237" s="81" t="s">
        <v>2256</v>
      </c>
      <c r="Q237" s="81"/>
      <c r="R237" s="83">
        <v>250</v>
      </c>
      <c r="S237" s="79" t="s">
        <v>2999</v>
      </c>
      <c r="T237" s="84">
        <v>625000</v>
      </c>
      <c r="U237" s="81"/>
      <c r="V237" s="81"/>
      <c r="W237" s="78" t="s">
        <v>224</v>
      </c>
      <c r="X237" s="82"/>
      <c r="Y237" s="81" t="s">
        <v>2256</v>
      </c>
      <c r="Z237" s="81" t="s">
        <v>2256</v>
      </c>
      <c r="AA237" s="83">
        <v>2500</v>
      </c>
      <c r="AB237" s="85"/>
      <c r="AD237" s="78" t="s">
        <v>224</v>
      </c>
      <c r="AE237" s="82"/>
      <c r="AF237" s="81" t="s">
        <v>2256</v>
      </c>
      <c r="AG237" s="81" t="s">
        <v>2256</v>
      </c>
      <c r="AH237" s="83">
        <v>3500</v>
      </c>
      <c r="AI237" s="85"/>
    </row>
    <row r="238" spans="1:35" s="79" customFormat="1" ht="11.25" customHeight="1" x14ac:dyDescent="0.2">
      <c r="A238" s="77" t="s">
        <v>2204</v>
      </c>
      <c r="B238" s="80">
        <v>431</v>
      </c>
      <c r="C238" s="81" t="s">
        <v>232</v>
      </c>
      <c r="D238" s="73">
        <v>2500</v>
      </c>
      <c r="E238" s="79" t="s">
        <v>65</v>
      </c>
      <c r="F238" s="79" t="s">
        <v>3725</v>
      </c>
      <c r="G238" s="79" t="s">
        <v>2996</v>
      </c>
      <c r="H238" s="79" t="s">
        <v>66</v>
      </c>
      <c r="I238" s="81"/>
      <c r="J238" s="81">
        <v>25</v>
      </c>
      <c r="K238" s="86"/>
      <c r="M238" s="78" t="s">
        <v>232</v>
      </c>
      <c r="N238" s="82"/>
      <c r="O238" s="81" t="s">
        <v>2256</v>
      </c>
      <c r="P238" s="81" t="s">
        <v>2256</v>
      </c>
      <c r="Q238" s="81"/>
      <c r="R238" s="83">
        <v>250</v>
      </c>
      <c r="S238" s="79" t="s">
        <v>2999</v>
      </c>
      <c r="T238" s="84">
        <v>625000</v>
      </c>
      <c r="U238" s="81"/>
      <c r="V238" s="81"/>
      <c r="W238" s="78" t="s">
        <v>232</v>
      </c>
      <c r="X238" s="82"/>
      <c r="Y238" s="81" t="s">
        <v>2256</v>
      </c>
      <c r="Z238" s="81" t="s">
        <v>2256</v>
      </c>
      <c r="AA238" s="83">
        <v>2500</v>
      </c>
      <c r="AB238" s="85"/>
      <c r="AD238" s="78" t="s">
        <v>232</v>
      </c>
      <c r="AE238" s="82"/>
      <c r="AF238" s="81" t="s">
        <v>2256</v>
      </c>
      <c r="AG238" s="81" t="s">
        <v>2256</v>
      </c>
      <c r="AH238" s="83">
        <v>3500</v>
      </c>
      <c r="AI238" s="85"/>
    </row>
    <row r="239" spans="1:35" s="79" customFormat="1" ht="11.25" customHeight="1" x14ac:dyDescent="0.2">
      <c r="A239" s="77" t="s">
        <v>1731</v>
      </c>
      <c r="B239" s="80">
        <v>914</v>
      </c>
      <c r="C239" s="81" t="s">
        <v>1730</v>
      </c>
      <c r="D239" s="73">
        <v>2500</v>
      </c>
      <c r="E239" s="79" t="s">
        <v>65</v>
      </c>
      <c r="F239" s="79" t="s">
        <v>3725</v>
      </c>
      <c r="G239" s="79" t="s">
        <v>2996</v>
      </c>
      <c r="H239" s="79" t="s">
        <v>66</v>
      </c>
      <c r="I239" s="81"/>
      <c r="J239" s="81">
        <v>25</v>
      </c>
      <c r="K239" s="86"/>
      <c r="M239" s="78" t="s">
        <v>1358</v>
      </c>
      <c r="N239" s="82"/>
      <c r="O239" s="81" t="s">
        <v>2653</v>
      </c>
      <c r="P239" s="81" t="s">
        <v>2256</v>
      </c>
      <c r="Q239" s="81"/>
      <c r="R239" s="83">
        <v>2000</v>
      </c>
      <c r="S239" s="79" t="s">
        <v>3207</v>
      </c>
      <c r="T239" s="84">
        <v>5000000</v>
      </c>
      <c r="U239" s="81"/>
      <c r="V239" s="81"/>
      <c r="W239" s="78" t="s">
        <v>1358</v>
      </c>
      <c r="X239" s="82"/>
      <c r="Y239" s="81" t="s">
        <v>2653</v>
      </c>
      <c r="Z239" s="81" t="s">
        <v>2256</v>
      </c>
      <c r="AA239" s="83">
        <v>5000</v>
      </c>
      <c r="AB239" s="85"/>
      <c r="AD239" s="78" t="s">
        <v>1358</v>
      </c>
      <c r="AE239" s="82"/>
      <c r="AF239" s="81" t="s">
        <v>2653</v>
      </c>
      <c r="AG239" s="81" t="s">
        <v>2256</v>
      </c>
      <c r="AH239" s="83">
        <v>7000</v>
      </c>
      <c r="AI239" s="85"/>
    </row>
    <row r="240" spans="1:35" s="79" customFormat="1" ht="11.25" customHeight="1" x14ac:dyDescent="0.2">
      <c r="A240" s="77" t="s">
        <v>2222</v>
      </c>
      <c r="B240" s="80">
        <v>437</v>
      </c>
      <c r="C240" s="81" t="s">
        <v>1358</v>
      </c>
      <c r="D240" s="73">
        <v>2500</v>
      </c>
      <c r="E240" s="79" t="s">
        <v>65</v>
      </c>
      <c r="F240" s="79" t="s">
        <v>3725</v>
      </c>
      <c r="G240" s="79" t="s">
        <v>2996</v>
      </c>
      <c r="H240" s="79" t="s">
        <v>66</v>
      </c>
      <c r="I240" s="81"/>
      <c r="J240" s="81">
        <v>25</v>
      </c>
      <c r="K240" s="86"/>
      <c r="M240" s="78" t="s">
        <v>1358</v>
      </c>
      <c r="N240" s="82"/>
      <c r="O240" s="81" t="s">
        <v>2256</v>
      </c>
      <c r="P240" s="81" t="s">
        <v>2256</v>
      </c>
      <c r="Q240" s="81"/>
      <c r="R240" s="83">
        <v>2000</v>
      </c>
      <c r="S240" s="79" t="s">
        <v>2999</v>
      </c>
      <c r="T240" s="84">
        <v>5000000</v>
      </c>
      <c r="U240" s="81"/>
      <c r="V240" s="81"/>
      <c r="W240" s="78" t="s">
        <v>1358</v>
      </c>
      <c r="X240" s="82"/>
      <c r="Y240" s="81" t="s">
        <v>2256</v>
      </c>
      <c r="Z240" s="81" t="s">
        <v>2256</v>
      </c>
      <c r="AA240" s="83">
        <v>5000</v>
      </c>
      <c r="AB240" s="85"/>
      <c r="AD240" s="78" t="s">
        <v>1358</v>
      </c>
      <c r="AE240" s="82"/>
      <c r="AF240" s="81" t="s">
        <v>2256</v>
      </c>
      <c r="AG240" s="81" t="s">
        <v>2256</v>
      </c>
      <c r="AH240" s="83">
        <v>7000</v>
      </c>
      <c r="AI240" s="85"/>
    </row>
    <row r="241" spans="1:35" s="79" customFormat="1" ht="11.25" customHeight="1" x14ac:dyDescent="0.2">
      <c r="A241" s="77" t="s">
        <v>2223</v>
      </c>
      <c r="B241" s="80">
        <v>434</v>
      </c>
      <c r="C241" s="81" t="s">
        <v>1354</v>
      </c>
      <c r="D241" s="73">
        <v>2500</v>
      </c>
      <c r="E241" s="79" t="s">
        <v>65</v>
      </c>
      <c r="F241" s="79" t="s">
        <v>3725</v>
      </c>
      <c r="G241" s="79" t="s">
        <v>2996</v>
      </c>
      <c r="H241" s="79" t="s">
        <v>66</v>
      </c>
      <c r="I241" s="81"/>
      <c r="J241" s="81">
        <v>25</v>
      </c>
      <c r="K241" s="86"/>
      <c r="M241" s="78" t="s">
        <v>1354</v>
      </c>
      <c r="N241" s="82"/>
      <c r="O241" s="81" t="s">
        <v>2256</v>
      </c>
      <c r="P241" s="81" t="s">
        <v>2256</v>
      </c>
      <c r="Q241" s="81"/>
      <c r="R241" s="83">
        <v>500</v>
      </c>
      <c r="S241" s="79" t="s">
        <v>2999</v>
      </c>
      <c r="T241" s="84">
        <v>1250000</v>
      </c>
      <c r="U241" s="81"/>
      <c r="V241" s="81"/>
      <c r="W241" s="78" t="s">
        <v>1354</v>
      </c>
      <c r="X241" s="82"/>
      <c r="Y241" s="81" t="s">
        <v>2256</v>
      </c>
      <c r="Z241" s="81" t="s">
        <v>2256</v>
      </c>
      <c r="AA241" s="83">
        <v>5000</v>
      </c>
      <c r="AB241" s="85"/>
      <c r="AD241" s="78" t="s">
        <v>1354</v>
      </c>
      <c r="AE241" s="82"/>
      <c r="AF241" s="81" t="s">
        <v>2256</v>
      </c>
      <c r="AG241" s="81" t="s">
        <v>2256</v>
      </c>
      <c r="AH241" s="83">
        <v>7000</v>
      </c>
      <c r="AI241" s="85"/>
    </row>
    <row r="242" spans="1:35" s="79" customFormat="1" ht="11.25" customHeight="1" x14ac:dyDescent="0.2">
      <c r="A242" s="77" t="s">
        <v>1598</v>
      </c>
      <c r="B242" s="80">
        <v>877</v>
      </c>
      <c r="C242" s="81" t="s">
        <v>1597</v>
      </c>
      <c r="D242" s="73">
        <v>2500</v>
      </c>
      <c r="E242" s="79" t="s">
        <v>65</v>
      </c>
      <c r="F242" s="79" t="s">
        <v>3725</v>
      </c>
      <c r="G242" s="79" t="s">
        <v>2996</v>
      </c>
      <c r="H242" s="79" t="s">
        <v>66</v>
      </c>
      <c r="I242" s="81"/>
      <c r="J242" s="81">
        <v>25</v>
      </c>
      <c r="K242" s="86"/>
      <c r="M242" s="78" t="s">
        <v>1599</v>
      </c>
      <c r="N242" s="82" t="s">
        <v>269</v>
      </c>
      <c r="O242" s="81" t="s">
        <v>2620</v>
      </c>
      <c r="P242" s="81" t="s">
        <v>3674</v>
      </c>
      <c r="Q242" s="81"/>
      <c r="R242" s="83" t="s">
        <v>3442</v>
      </c>
      <c r="S242" s="79" t="s">
        <v>3675</v>
      </c>
      <c r="T242" s="84" t="s">
        <v>3634</v>
      </c>
      <c r="U242" s="81"/>
      <c r="V242" s="81"/>
      <c r="W242" s="78" t="s">
        <v>1599</v>
      </c>
      <c r="X242" s="82" t="s">
        <v>269</v>
      </c>
      <c r="Y242" s="81" t="s">
        <v>2620</v>
      </c>
      <c r="Z242" s="81" t="s">
        <v>3674</v>
      </c>
      <c r="AA242" s="81" t="s">
        <v>1146</v>
      </c>
      <c r="AB242" s="85"/>
      <c r="AD242" s="78" t="s">
        <v>1599</v>
      </c>
      <c r="AE242" s="82" t="s">
        <v>269</v>
      </c>
      <c r="AF242" s="81" t="s">
        <v>2620</v>
      </c>
      <c r="AG242" s="81" t="s">
        <v>3674</v>
      </c>
      <c r="AH242" s="81" t="s">
        <v>799</v>
      </c>
      <c r="AI242" s="85"/>
    </row>
    <row r="243" spans="1:35" s="79" customFormat="1" ht="11.25" customHeight="1" x14ac:dyDescent="0.2">
      <c r="A243" s="77" t="s">
        <v>2241</v>
      </c>
      <c r="B243" s="80">
        <v>884</v>
      </c>
      <c r="C243" s="81" t="s">
        <v>1599</v>
      </c>
      <c r="D243" s="73">
        <v>2500</v>
      </c>
      <c r="E243" s="79" t="s">
        <v>65</v>
      </c>
      <c r="F243" s="79" t="s">
        <v>3725</v>
      </c>
      <c r="G243" s="79" t="s">
        <v>2996</v>
      </c>
      <c r="H243" s="79" t="s">
        <v>66</v>
      </c>
      <c r="I243" s="81"/>
      <c r="J243" s="81">
        <v>25</v>
      </c>
      <c r="K243" s="86"/>
      <c r="M243" s="78" t="s">
        <v>1599</v>
      </c>
      <c r="N243" s="82"/>
      <c r="O243" s="81" t="s">
        <v>2256</v>
      </c>
      <c r="P243" s="81" t="s">
        <v>2256</v>
      </c>
      <c r="Q243" s="81"/>
      <c r="R243" s="83">
        <v>275</v>
      </c>
      <c r="S243" s="79" t="s">
        <v>3484</v>
      </c>
      <c r="T243" s="84">
        <v>687500</v>
      </c>
      <c r="U243" s="81"/>
      <c r="V243" s="81"/>
      <c r="W243" s="78" t="s">
        <v>1599</v>
      </c>
      <c r="X243" s="82"/>
      <c r="Y243" s="81" t="s">
        <v>2256</v>
      </c>
      <c r="Z243" s="81" t="s">
        <v>2256</v>
      </c>
      <c r="AA243" s="83">
        <v>1500</v>
      </c>
      <c r="AB243" s="85"/>
      <c r="AD243" s="78" t="s">
        <v>1599</v>
      </c>
      <c r="AE243" s="82"/>
      <c r="AF243" s="81" t="s">
        <v>2256</v>
      </c>
      <c r="AG243" s="81" t="s">
        <v>2256</v>
      </c>
      <c r="AH243" s="83">
        <v>2000</v>
      </c>
      <c r="AI243" s="85"/>
    </row>
    <row r="244" spans="1:35" s="79" customFormat="1" ht="11.25" customHeight="1" x14ac:dyDescent="0.2">
      <c r="A244" s="77" t="s">
        <v>76</v>
      </c>
      <c r="B244" s="80">
        <v>876</v>
      </c>
      <c r="C244" s="81" t="s">
        <v>75</v>
      </c>
      <c r="D244" s="73">
        <v>2500</v>
      </c>
      <c r="E244" s="79" t="s">
        <v>65</v>
      </c>
      <c r="F244" s="79" t="s">
        <v>3725</v>
      </c>
      <c r="G244" s="79" t="s">
        <v>2996</v>
      </c>
      <c r="H244" s="79" t="s">
        <v>66</v>
      </c>
      <c r="I244" s="81"/>
      <c r="J244" s="81">
        <v>25</v>
      </c>
      <c r="K244" s="86"/>
      <c r="M244" s="78" t="s">
        <v>75</v>
      </c>
      <c r="N244" s="82"/>
      <c r="O244" s="81" t="s">
        <v>2256</v>
      </c>
      <c r="P244" s="81" t="s">
        <v>2256</v>
      </c>
      <c r="Q244" s="81"/>
      <c r="R244" s="83">
        <v>2000</v>
      </c>
      <c r="S244" s="79" t="s">
        <v>2999</v>
      </c>
      <c r="T244" s="84">
        <v>5000000</v>
      </c>
      <c r="U244" s="81"/>
      <c r="V244" s="81"/>
      <c r="W244" s="78" t="s">
        <v>75</v>
      </c>
      <c r="X244" s="82"/>
      <c r="Y244" s="81" t="s">
        <v>2256</v>
      </c>
      <c r="Z244" s="81" t="s">
        <v>2256</v>
      </c>
      <c r="AA244" s="83">
        <v>10000</v>
      </c>
      <c r="AB244" s="85"/>
      <c r="AD244" s="78" t="s">
        <v>75</v>
      </c>
      <c r="AE244" s="82"/>
      <c r="AF244" s="81" t="s">
        <v>2256</v>
      </c>
      <c r="AG244" s="81" t="s">
        <v>2256</v>
      </c>
      <c r="AH244" s="83">
        <v>10000</v>
      </c>
      <c r="AI244" s="85"/>
    </row>
    <row r="245" spans="1:35" s="79" customFormat="1" ht="11.25" customHeight="1" x14ac:dyDescent="0.2">
      <c r="A245" s="77" t="s">
        <v>1366</v>
      </c>
      <c r="B245" s="80">
        <v>458</v>
      </c>
      <c r="C245" s="81" t="s">
        <v>1365</v>
      </c>
      <c r="D245" s="73">
        <v>2500</v>
      </c>
      <c r="E245" s="79" t="s">
        <v>65</v>
      </c>
      <c r="F245" s="79" t="s">
        <v>3725</v>
      </c>
      <c r="G245" s="79" t="s">
        <v>2996</v>
      </c>
      <c r="H245" s="79" t="s">
        <v>66</v>
      </c>
      <c r="I245" s="81"/>
      <c r="J245" s="81">
        <v>25</v>
      </c>
      <c r="K245" s="86"/>
      <c r="M245" s="78" t="s">
        <v>217</v>
      </c>
      <c r="N245" s="82" t="s">
        <v>1367</v>
      </c>
      <c r="O245" s="81" t="s">
        <v>2569</v>
      </c>
      <c r="P245" s="81" t="s">
        <v>2911</v>
      </c>
      <c r="Q245" s="81"/>
      <c r="R245" s="83" t="s">
        <v>3441</v>
      </c>
      <c r="S245" s="79" t="s">
        <v>3511</v>
      </c>
      <c r="T245" s="84" t="s">
        <v>3632</v>
      </c>
      <c r="U245" s="81"/>
      <c r="V245" s="81"/>
      <c r="W245" s="78" t="s">
        <v>217</v>
      </c>
      <c r="X245" s="82" t="s">
        <v>1367</v>
      </c>
      <c r="Y245" s="81" t="s">
        <v>2569</v>
      </c>
      <c r="Z245" s="81" t="s">
        <v>2911</v>
      </c>
      <c r="AA245" s="81" t="s">
        <v>1369</v>
      </c>
      <c r="AB245" s="85"/>
      <c r="AD245" s="78" t="s">
        <v>217</v>
      </c>
      <c r="AE245" s="82" t="s">
        <v>1367</v>
      </c>
      <c r="AF245" s="81" t="s">
        <v>2569</v>
      </c>
      <c r="AG245" s="81" t="s">
        <v>2911</v>
      </c>
      <c r="AH245" s="81" t="s">
        <v>1368</v>
      </c>
      <c r="AI245" s="85"/>
    </row>
    <row r="246" spans="1:35" s="79" customFormat="1" ht="11.25" customHeight="1" x14ac:dyDescent="0.2">
      <c r="A246" s="77" t="s">
        <v>218</v>
      </c>
      <c r="B246" s="80">
        <v>749</v>
      </c>
      <c r="C246" s="81" t="s">
        <v>217</v>
      </c>
      <c r="D246" s="73">
        <v>2500</v>
      </c>
      <c r="E246" s="79" t="s">
        <v>65</v>
      </c>
      <c r="F246" s="79" t="s">
        <v>3725</v>
      </c>
      <c r="G246" s="79" t="s">
        <v>2996</v>
      </c>
      <c r="H246" s="79" t="s">
        <v>66</v>
      </c>
      <c r="I246" s="81"/>
      <c r="J246" s="81">
        <v>25</v>
      </c>
      <c r="K246" s="86"/>
      <c r="M246" s="78" t="s">
        <v>217</v>
      </c>
      <c r="N246" s="82"/>
      <c r="O246" s="81" t="s">
        <v>2256</v>
      </c>
      <c r="P246" s="81" t="s">
        <v>2256</v>
      </c>
      <c r="Q246" s="81"/>
      <c r="R246" s="83">
        <v>50</v>
      </c>
      <c r="S246" s="79" t="s">
        <v>3484</v>
      </c>
      <c r="T246" s="84">
        <v>125000</v>
      </c>
      <c r="U246" s="81"/>
      <c r="V246" s="81"/>
      <c r="W246" s="78" t="s">
        <v>217</v>
      </c>
      <c r="X246" s="82"/>
      <c r="Y246" s="81" t="s">
        <v>2256</v>
      </c>
      <c r="Z246" s="81" t="s">
        <v>2256</v>
      </c>
      <c r="AA246" s="80">
        <v>250</v>
      </c>
      <c r="AB246" s="85"/>
      <c r="AD246" s="78" t="s">
        <v>217</v>
      </c>
      <c r="AE246" s="82"/>
      <c r="AF246" s="81" t="s">
        <v>2256</v>
      </c>
      <c r="AG246" s="81" t="s">
        <v>2256</v>
      </c>
      <c r="AH246" s="80">
        <v>350</v>
      </c>
      <c r="AI246" s="85"/>
    </row>
    <row r="247" spans="1:35" s="79" customFormat="1" ht="11.25" customHeight="1" x14ac:dyDescent="0.2">
      <c r="A247" s="77" t="s">
        <v>1364</v>
      </c>
      <c r="B247" s="80">
        <v>457</v>
      </c>
      <c r="C247" s="81" t="s">
        <v>1363</v>
      </c>
      <c r="D247" s="73">
        <v>2500</v>
      </c>
      <c r="E247" s="79" t="s">
        <v>65</v>
      </c>
      <c r="F247" s="79" t="s">
        <v>3725</v>
      </c>
      <c r="G247" s="79" t="s">
        <v>2996</v>
      </c>
      <c r="H247" s="79" t="s">
        <v>66</v>
      </c>
      <c r="I247" s="81"/>
      <c r="J247" s="81">
        <v>25</v>
      </c>
      <c r="K247" s="86"/>
      <c r="M247" s="78" t="s">
        <v>227</v>
      </c>
      <c r="N247" s="82" t="s">
        <v>75</v>
      </c>
      <c r="O247" s="81" t="s">
        <v>2568</v>
      </c>
      <c r="P247" s="81" t="s">
        <v>2910</v>
      </c>
      <c r="Q247" s="81"/>
      <c r="R247" s="83" t="s">
        <v>197</v>
      </c>
      <c r="S247" s="79" t="s">
        <v>3510</v>
      </c>
      <c r="T247" s="84" t="s">
        <v>3616</v>
      </c>
      <c r="U247" s="81"/>
      <c r="V247" s="81"/>
      <c r="W247" s="78" t="s">
        <v>227</v>
      </c>
      <c r="X247" s="82" t="s">
        <v>75</v>
      </c>
      <c r="Y247" s="81" t="s">
        <v>2568</v>
      </c>
      <c r="Z247" s="81" t="s">
        <v>2910</v>
      </c>
      <c r="AA247" s="81" t="s">
        <v>71</v>
      </c>
      <c r="AB247" s="85"/>
      <c r="AD247" s="78" t="s">
        <v>227</v>
      </c>
      <c r="AE247" s="82" t="s">
        <v>75</v>
      </c>
      <c r="AF247" s="81" t="s">
        <v>2568</v>
      </c>
      <c r="AG247" s="81" t="s">
        <v>2910</v>
      </c>
      <c r="AH247" s="81" t="s">
        <v>70</v>
      </c>
      <c r="AI247" s="85"/>
    </row>
    <row r="248" spans="1:35" s="79" customFormat="1" ht="11.25" customHeight="1" x14ac:dyDescent="0.2">
      <c r="A248" s="77" t="s">
        <v>228</v>
      </c>
      <c r="B248" s="80">
        <v>709</v>
      </c>
      <c r="C248" s="81" t="s">
        <v>227</v>
      </c>
      <c r="D248" s="73">
        <v>2500</v>
      </c>
      <c r="E248" s="79" t="s">
        <v>65</v>
      </c>
      <c r="F248" s="79" t="s">
        <v>3725</v>
      </c>
      <c r="G248" s="79" t="s">
        <v>2996</v>
      </c>
      <c r="H248" s="79" t="s">
        <v>66</v>
      </c>
      <c r="I248" s="81"/>
      <c r="J248" s="81">
        <v>25</v>
      </c>
      <c r="K248" s="86"/>
      <c r="M248" s="78" t="s">
        <v>227</v>
      </c>
      <c r="N248" s="82"/>
      <c r="O248" s="81" t="s">
        <v>2256</v>
      </c>
      <c r="P248" s="81" t="s">
        <v>2256</v>
      </c>
      <c r="Q248" s="81"/>
      <c r="R248" s="83">
        <v>500</v>
      </c>
      <c r="S248" s="79" t="s">
        <v>3484</v>
      </c>
      <c r="T248" s="84">
        <v>1250000</v>
      </c>
      <c r="U248" s="81"/>
      <c r="V248" s="81"/>
      <c r="W248" s="78" t="s">
        <v>227</v>
      </c>
      <c r="X248" s="82"/>
      <c r="Y248" s="81" t="s">
        <v>2256</v>
      </c>
      <c r="Z248" s="81" t="s">
        <v>2256</v>
      </c>
      <c r="AA248" s="83">
        <v>2500</v>
      </c>
      <c r="AB248" s="85"/>
      <c r="AD248" s="78" t="s">
        <v>227</v>
      </c>
      <c r="AE248" s="82"/>
      <c r="AF248" s="81" t="s">
        <v>2256</v>
      </c>
      <c r="AG248" s="81" t="s">
        <v>2256</v>
      </c>
      <c r="AH248" s="83">
        <v>3500</v>
      </c>
      <c r="AI248" s="85"/>
    </row>
    <row r="249" spans="1:35" s="79" customFormat="1" ht="11.25" customHeight="1" x14ac:dyDescent="0.2">
      <c r="A249" s="77" t="s">
        <v>270</v>
      </c>
      <c r="B249" s="80">
        <v>1276</v>
      </c>
      <c r="C249" s="81" t="s">
        <v>269</v>
      </c>
      <c r="D249" s="73">
        <v>2500</v>
      </c>
      <c r="E249" s="79" t="s">
        <v>65</v>
      </c>
      <c r="F249" s="79" t="s">
        <v>3725</v>
      </c>
      <c r="G249" s="79" t="s">
        <v>2996</v>
      </c>
      <c r="H249" s="79" t="s">
        <v>66</v>
      </c>
      <c r="I249" s="81"/>
      <c r="J249" s="81">
        <v>25</v>
      </c>
      <c r="K249" s="86"/>
      <c r="M249" s="78" t="s">
        <v>269</v>
      </c>
      <c r="N249" s="82"/>
      <c r="O249" s="81" t="s">
        <v>2256</v>
      </c>
      <c r="P249" s="81" t="s">
        <v>2256</v>
      </c>
      <c r="Q249" s="81"/>
      <c r="R249" s="83">
        <v>2500</v>
      </c>
      <c r="S249" s="79" t="s">
        <v>2999</v>
      </c>
      <c r="T249" s="84">
        <v>6250000</v>
      </c>
      <c r="U249" s="81"/>
      <c r="V249" s="81"/>
      <c r="W249" s="78" t="s">
        <v>269</v>
      </c>
      <c r="X249" s="82"/>
      <c r="Y249" s="81" t="s">
        <v>2256</v>
      </c>
      <c r="Z249" s="81" t="s">
        <v>2256</v>
      </c>
      <c r="AA249" s="83">
        <v>10000</v>
      </c>
      <c r="AB249" s="85"/>
      <c r="AD249" s="78" t="s">
        <v>269</v>
      </c>
      <c r="AE249" s="82"/>
      <c r="AF249" s="81" t="s">
        <v>2256</v>
      </c>
      <c r="AG249" s="81" t="s">
        <v>2256</v>
      </c>
      <c r="AH249" s="83">
        <v>10000</v>
      </c>
      <c r="AI249" s="85"/>
    </row>
    <row r="250" spans="1:35" s="79" customFormat="1" ht="11.25" customHeight="1" x14ac:dyDescent="0.2">
      <c r="A250" s="77" t="s">
        <v>1791</v>
      </c>
      <c r="B250" s="80">
        <v>622</v>
      </c>
      <c r="C250" s="81" t="s">
        <v>1600</v>
      </c>
      <c r="D250" s="73">
        <v>2500</v>
      </c>
      <c r="E250" s="79" t="s">
        <v>65</v>
      </c>
      <c r="F250" s="79" t="s">
        <v>3725</v>
      </c>
      <c r="G250" s="79" t="s">
        <v>2996</v>
      </c>
      <c r="H250" s="79" t="s">
        <v>66</v>
      </c>
      <c r="I250" s="81"/>
      <c r="J250" s="81">
        <v>175</v>
      </c>
      <c r="K250" s="86"/>
      <c r="M250" s="78" t="s">
        <v>269</v>
      </c>
      <c r="N250" s="82"/>
      <c r="O250" s="81" t="s">
        <v>3671</v>
      </c>
      <c r="P250" s="81" t="s">
        <v>2256</v>
      </c>
      <c r="Q250" s="81"/>
      <c r="R250" s="83">
        <v>2500</v>
      </c>
      <c r="S250" s="79" t="s">
        <v>3673</v>
      </c>
      <c r="T250" s="84">
        <v>6250000</v>
      </c>
      <c r="U250" s="81"/>
      <c r="V250" s="81"/>
      <c r="W250" s="78" t="s">
        <v>269</v>
      </c>
      <c r="X250" s="82"/>
      <c r="Y250" s="81" t="s">
        <v>3671</v>
      </c>
      <c r="Z250" s="81" t="s">
        <v>2256</v>
      </c>
      <c r="AA250" s="83">
        <v>10000</v>
      </c>
      <c r="AB250" s="85"/>
      <c r="AD250" s="78" t="s">
        <v>269</v>
      </c>
      <c r="AE250" s="82"/>
      <c r="AF250" s="81" t="s">
        <v>3671</v>
      </c>
      <c r="AG250" s="81" t="s">
        <v>2256</v>
      </c>
      <c r="AH250" s="83">
        <v>10000</v>
      </c>
      <c r="AI250" s="85"/>
    </row>
    <row r="251" spans="1:35" s="79" customFormat="1" ht="11.25" customHeight="1" x14ac:dyDescent="0.2">
      <c r="A251" s="77" t="s">
        <v>2068</v>
      </c>
      <c r="B251" s="81" t="s">
        <v>2069</v>
      </c>
      <c r="C251" s="81" t="s">
        <v>2067</v>
      </c>
      <c r="D251" s="73">
        <v>2500</v>
      </c>
      <c r="E251" s="79" t="s">
        <v>65</v>
      </c>
      <c r="F251" s="79" t="s">
        <v>30</v>
      </c>
      <c r="G251" s="79" t="s">
        <v>3001</v>
      </c>
      <c r="H251" s="79" t="s">
        <v>66</v>
      </c>
      <c r="I251" s="81"/>
      <c r="J251" s="81">
        <v>175</v>
      </c>
      <c r="K251" s="86"/>
      <c r="M251" s="78" t="s">
        <v>269</v>
      </c>
      <c r="N251" s="82"/>
      <c r="O251" s="81" t="s">
        <v>3672</v>
      </c>
      <c r="P251" s="81" t="s">
        <v>2256</v>
      </c>
      <c r="Q251" s="81"/>
      <c r="R251" s="83">
        <v>2500</v>
      </c>
      <c r="S251" s="79" t="s">
        <v>3673</v>
      </c>
      <c r="T251" s="84">
        <v>6250000</v>
      </c>
      <c r="U251" s="81"/>
      <c r="V251" s="81"/>
      <c r="W251" s="78" t="s">
        <v>269</v>
      </c>
      <c r="X251" s="82"/>
      <c r="Y251" s="81" t="s">
        <v>3672</v>
      </c>
      <c r="Z251" s="81" t="s">
        <v>2256</v>
      </c>
      <c r="AA251" s="83">
        <v>10000</v>
      </c>
      <c r="AB251" s="85"/>
      <c r="AD251" s="78" t="s">
        <v>269</v>
      </c>
      <c r="AE251" s="82"/>
      <c r="AF251" s="81" t="s">
        <v>3672</v>
      </c>
      <c r="AG251" s="81" t="s">
        <v>2256</v>
      </c>
      <c r="AH251" s="83">
        <v>10000</v>
      </c>
      <c r="AI251" s="85"/>
    </row>
    <row r="252" spans="1:35" s="79" customFormat="1" ht="11.25" customHeight="1" x14ac:dyDescent="0.2">
      <c r="A252" s="77" t="s">
        <v>283</v>
      </c>
      <c r="B252" s="80">
        <v>633</v>
      </c>
      <c r="C252" s="81" t="s">
        <v>282</v>
      </c>
      <c r="D252" s="73">
        <v>2500</v>
      </c>
      <c r="E252" s="79" t="s">
        <v>65</v>
      </c>
      <c r="F252" s="79" t="s">
        <v>3725</v>
      </c>
      <c r="G252" s="79" t="s">
        <v>2996</v>
      </c>
      <c r="H252" s="79" t="s">
        <v>66</v>
      </c>
      <c r="I252" s="81"/>
      <c r="J252" s="81">
        <v>25</v>
      </c>
      <c r="K252" s="86"/>
      <c r="M252" s="78" t="s">
        <v>282</v>
      </c>
      <c r="N252" s="82"/>
      <c r="O252" s="81" t="s">
        <v>2256</v>
      </c>
      <c r="P252" s="81" t="s">
        <v>2256</v>
      </c>
      <c r="Q252" s="81"/>
      <c r="R252" s="83">
        <v>1000</v>
      </c>
      <c r="S252" s="79" t="s">
        <v>2999</v>
      </c>
      <c r="T252" s="84">
        <v>2500000</v>
      </c>
      <c r="U252" s="81"/>
      <c r="V252" s="81"/>
      <c r="W252" s="78" t="s">
        <v>282</v>
      </c>
      <c r="X252" s="82"/>
      <c r="Y252" s="81" t="s">
        <v>2256</v>
      </c>
      <c r="Z252" s="81" t="s">
        <v>2256</v>
      </c>
      <c r="AA252" s="83">
        <v>10000</v>
      </c>
      <c r="AB252" s="85"/>
      <c r="AD252" s="78" t="s">
        <v>282</v>
      </c>
      <c r="AE252" s="82"/>
      <c r="AF252" s="81" t="s">
        <v>2256</v>
      </c>
      <c r="AG252" s="81" t="s">
        <v>2256</v>
      </c>
      <c r="AH252" s="83">
        <v>10000</v>
      </c>
      <c r="AI252" s="85"/>
    </row>
    <row r="253" spans="1:35" s="79" customFormat="1" ht="11.25" customHeight="1" x14ac:dyDescent="0.2">
      <c r="A253" s="77" t="s">
        <v>347</v>
      </c>
      <c r="B253" s="80">
        <v>639</v>
      </c>
      <c r="C253" s="81" t="s">
        <v>346</v>
      </c>
      <c r="D253" s="73">
        <v>2500</v>
      </c>
      <c r="E253" s="79" t="s">
        <v>65</v>
      </c>
      <c r="F253" s="79" t="s">
        <v>3725</v>
      </c>
      <c r="G253" s="79" t="s">
        <v>2996</v>
      </c>
      <c r="H253" s="79" t="s">
        <v>66</v>
      </c>
      <c r="I253" s="81"/>
      <c r="J253" s="81">
        <v>175</v>
      </c>
      <c r="K253" s="86"/>
      <c r="M253" s="78" t="s">
        <v>346</v>
      </c>
      <c r="N253" s="82"/>
      <c r="O253" s="81" t="s">
        <v>2256</v>
      </c>
      <c r="P253" s="81" t="s">
        <v>2256</v>
      </c>
      <c r="Q253" s="81"/>
      <c r="R253" s="83">
        <v>1000</v>
      </c>
      <c r="S253" s="79" t="s">
        <v>2999</v>
      </c>
      <c r="T253" s="84">
        <v>2500000</v>
      </c>
      <c r="U253" s="81"/>
      <c r="V253" s="81"/>
      <c r="W253" s="78" t="s">
        <v>346</v>
      </c>
      <c r="X253" s="82"/>
      <c r="Y253" s="81" t="s">
        <v>2256</v>
      </c>
      <c r="Z253" s="81" t="s">
        <v>2256</v>
      </c>
      <c r="AA253" s="83">
        <v>10000</v>
      </c>
      <c r="AB253" s="85"/>
      <c r="AD253" s="78" t="s">
        <v>346</v>
      </c>
      <c r="AE253" s="82"/>
      <c r="AF253" s="81" t="s">
        <v>2256</v>
      </c>
      <c r="AG253" s="81" t="s">
        <v>2256</v>
      </c>
      <c r="AH253" s="83">
        <v>10000</v>
      </c>
      <c r="AI253" s="85"/>
    </row>
    <row r="254" spans="1:35" s="79" customFormat="1" ht="11.25" customHeight="1" x14ac:dyDescent="0.2">
      <c r="A254" s="77" t="s">
        <v>631</v>
      </c>
      <c r="B254" s="80">
        <v>1275</v>
      </c>
      <c r="C254" s="81" t="s">
        <v>630</v>
      </c>
      <c r="D254" s="73">
        <v>2500</v>
      </c>
      <c r="E254" s="79" t="s">
        <v>65</v>
      </c>
      <c r="F254" s="79" t="s">
        <v>3725</v>
      </c>
      <c r="G254" s="79" t="s">
        <v>2996</v>
      </c>
      <c r="H254" s="79" t="s">
        <v>66</v>
      </c>
      <c r="I254" s="81"/>
      <c r="J254" s="81">
        <v>25</v>
      </c>
      <c r="K254" s="86"/>
      <c r="M254" s="78" t="s">
        <v>630</v>
      </c>
      <c r="N254" s="82"/>
      <c r="O254" s="81" t="s">
        <v>2256</v>
      </c>
      <c r="P254" s="81" t="s">
        <v>2256</v>
      </c>
      <c r="Q254" s="81"/>
      <c r="R254" s="83">
        <v>2000</v>
      </c>
      <c r="S254" s="79" t="s">
        <v>2999</v>
      </c>
      <c r="T254" s="84">
        <v>5000000</v>
      </c>
      <c r="U254" s="81"/>
      <c r="V254" s="81"/>
      <c r="W254" s="78" t="s">
        <v>630</v>
      </c>
      <c r="X254" s="82"/>
      <c r="Y254" s="81" t="s">
        <v>2256</v>
      </c>
      <c r="Z254" s="81" t="s">
        <v>2256</v>
      </c>
      <c r="AA254" s="83">
        <v>10000</v>
      </c>
      <c r="AB254" s="85"/>
      <c r="AD254" s="78" t="s">
        <v>630</v>
      </c>
      <c r="AE254" s="82"/>
      <c r="AF254" s="81" t="s">
        <v>2256</v>
      </c>
      <c r="AG254" s="81" t="s">
        <v>2256</v>
      </c>
      <c r="AH254" s="83">
        <v>10000</v>
      </c>
      <c r="AI254" s="85"/>
    </row>
    <row r="255" spans="1:35" s="79" customFormat="1" ht="11.25" customHeight="1" x14ac:dyDescent="0.2">
      <c r="A255" s="77" t="s">
        <v>1538</v>
      </c>
      <c r="B255" s="80">
        <v>632</v>
      </c>
      <c r="C255" s="81" t="s">
        <v>992</v>
      </c>
      <c r="D255" s="73">
        <v>2500</v>
      </c>
      <c r="E255" s="79" t="s">
        <v>65</v>
      </c>
      <c r="F255" s="79" t="s">
        <v>3725</v>
      </c>
      <c r="G255" s="79" t="s">
        <v>2996</v>
      </c>
      <c r="H255" s="79" t="s">
        <v>66</v>
      </c>
      <c r="I255" s="81"/>
      <c r="J255" s="81">
        <v>25</v>
      </c>
      <c r="K255" s="86"/>
      <c r="M255" s="78" t="s">
        <v>630</v>
      </c>
      <c r="N255" s="82"/>
      <c r="O255" s="81" t="s">
        <v>3683</v>
      </c>
      <c r="P255" s="81" t="s">
        <v>2256</v>
      </c>
      <c r="Q255" s="81"/>
      <c r="R255" s="83">
        <v>2000</v>
      </c>
      <c r="S255" s="79" t="s">
        <v>3677</v>
      </c>
      <c r="T255" s="84">
        <v>5000000</v>
      </c>
      <c r="U255" s="81"/>
      <c r="V255" s="81"/>
      <c r="W255" s="78" t="s">
        <v>630</v>
      </c>
      <c r="X255" s="82"/>
      <c r="Y255" s="81" t="s">
        <v>3683</v>
      </c>
      <c r="Z255" s="81" t="s">
        <v>2256</v>
      </c>
      <c r="AA255" s="83">
        <v>10000</v>
      </c>
      <c r="AB255" s="85"/>
      <c r="AD255" s="78" t="s">
        <v>630</v>
      </c>
      <c r="AE255" s="82"/>
      <c r="AF255" s="81" t="s">
        <v>3683</v>
      </c>
      <c r="AG255" s="81" t="s">
        <v>2256</v>
      </c>
      <c r="AH255" s="83">
        <v>10000</v>
      </c>
      <c r="AI255" s="85"/>
    </row>
    <row r="256" spans="1:35" s="79" customFormat="1" ht="11.25" customHeight="1" x14ac:dyDescent="0.2">
      <c r="A256" s="77" t="s">
        <v>384</v>
      </c>
      <c r="B256" s="80">
        <v>812</v>
      </c>
      <c r="C256" s="81" t="s">
        <v>383</v>
      </c>
      <c r="D256" s="73">
        <v>2500</v>
      </c>
      <c r="E256" s="79" t="s">
        <v>65</v>
      </c>
      <c r="F256" s="79" t="s">
        <v>3725</v>
      </c>
      <c r="G256" s="79" t="s">
        <v>2996</v>
      </c>
      <c r="H256" s="79" t="s">
        <v>66</v>
      </c>
      <c r="I256" s="81"/>
      <c r="J256" s="81">
        <v>25</v>
      </c>
      <c r="K256" s="86"/>
      <c r="M256" s="78" t="s">
        <v>385</v>
      </c>
      <c r="N256" s="82" t="s">
        <v>386</v>
      </c>
      <c r="O256" s="81" t="s">
        <v>2325</v>
      </c>
      <c r="P256" s="81" t="s">
        <v>2790</v>
      </c>
      <c r="Q256" s="81"/>
      <c r="R256" s="83" t="s">
        <v>864</v>
      </c>
      <c r="S256" s="79" t="s">
        <v>3486</v>
      </c>
      <c r="T256" s="84" t="s">
        <v>3422</v>
      </c>
      <c r="U256" s="81"/>
      <c r="V256" s="81"/>
      <c r="W256" s="78" t="s">
        <v>385</v>
      </c>
      <c r="X256" s="82" t="s">
        <v>386</v>
      </c>
      <c r="Y256" s="81" t="s">
        <v>2325</v>
      </c>
      <c r="Z256" s="81" t="s">
        <v>2790</v>
      </c>
      <c r="AA256" s="81" t="s">
        <v>252</v>
      </c>
      <c r="AB256" s="85"/>
      <c r="AD256" s="78" t="s">
        <v>385</v>
      </c>
      <c r="AE256" s="82" t="s">
        <v>386</v>
      </c>
      <c r="AF256" s="81" t="s">
        <v>2325</v>
      </c>
      <c r="AG256" s="81" t="s">
        <v>2790</v>
      </c>
      <c r="AH256" s="81" t="s">
        <v>252</v>
      </c>
      <c r="AI256" s="85"/>
    </row>
    <row r="257" spans="1:35" s="79" customFormat="1" ht="11.25" x14ac:dyDescent="0.2">
      <c r="A257" s="77" t="s">
        <v>636</v>
      </c>
      <c r="B257" s="80">
        <v>819</v>
      </c>
      <c r="C257" s="81" t="s">
        <v>385</v>
      </c>
      <c r="D257" s="73">
        <v>2500</v>
      </c>
      <c r="E257" s="79" t="s">
        <v>65</v>
      </c>
      <c r="F257" s="79" t="s">
        <v>3725</v>
      </c>
      <c r="G257" s="79" t="s">
        <v>2996</v>
      </c>
      <c r="H257" s="79" t="s">
        <v>66</v>
      </c>
      <c r="I257" s="81"/>
      <c r="J257" s="81">
        <v>25</v>
      </c>
      <c r="K257" s="86"/>
      <c r="M257" s="78" t="s">
        <v>385</v>
      </c>
      <c r="N257" s="82"/>
      <c r="O257" s="81" t="s">
        <v>2256</v>
      </c>
      <c r="P257" s="81" t="s">
        <v>2256</v>
      </c>
      <c r="Q257" s="81"/>
      <c r="R257" s="83">
        <v>1000</v>
      </c>
      <c r="S257" s="79" t="s">
        <v>3484</v>
      </c>
      <c r="T257" s="84">
        <v>2500000</v>
      </c>
      <c r="U257" s="81"/>
      <c r="V257" s="81"/>
      <c r="W257" s="78" t="s">
        <v>385</v>
      </c>
      <c r="X257" s="82"/>
      <c r="Y257" s="81" t="s">
        <v>2256</v>
      </c>
      <c r="Z257" s="81" t="s">
        <v>2256</v>
      </c>
      <c r="AA257" s="83">
        <v>10000</v>
      </c>
      <c r="AB257" s="85"/>
      <c r="AD257" s="78" t="s">
        <v>385</v>
      </c>
      <c r="AE257" s="82"/>
      <c r="AF257" s="81" t="s">
        <v>2256</v>
      </c>
      <c r="AG257" s="81" t="s">
        <v>2256</v>
      </c>
      <c r="AH257" s="83">
        <v>10000</v>
      </c>
      <c r="AI257" s="85"/>
    </row>
    <row r="258" spans="1:35" s="79" customFormat="1" ht="11.25" customHeight="1" x14ac:dyDescent="0.2">
      <c r="A258" s="77" t="s">
        <v>638</v>
      </c>
      <c r="B258" s="80">
        <v>808</v>
      </c>
      <c r="C258" s="81" t="s">
        <v>637</v>
      </c>
      <c r="D258" s="73">
        <v>2500</v>
      </c>
      <c r="E258" s="79" t="s">
        <v>65</v>
      </c>
      <c r="F258" s="79" t="s">
        <v>3725</v>
      </c>
      <c r="G258" s="79" t="s">
        <v>2996</v>
      </c>
      <c r="H258" s="79" t="s">
        <v>66</v>
      </c>
      <c r="I258" s="81"/>
      <c r="J258" s="81">
        <v>25</v>
      </c>
      <c r="K258" s="86"/>
      <c r="M258" s="78" t="s">
        <v>637</v>
      </c>
      <c r="N258" s="82"/>
      <c r="O258" s="81" t="s">
        <v>2256</v>
      </c>
      <c r="P258" s="81" t="s">
        <v>2256</v>
      </c>
      <c r="Q258" s="81"/>
      <c r="R258" s="83">
        <v>2000</v>
      </c>
      <c r="S258" s="79" t="s">
        <v>2999</v>
      </c>
      <c r="T258" s="84">
        <v>5000000</v>
      </c>
      <c r="U258" s="81"/>
      <c r="V258" s="81"/>
      <c r="W258" s="78" t="s">
        <v>637</v>
      </c>
      <c r="X258" s="82"/>
      <c r="Y258" s="81" t="s">
        <v>2256</v>
      </c>
      <c r="Z258" s="81" t="s">
        <v>2256</v>
      </c>
      <c r="AA258" s="83">
        <v>10000</v>
      </c>
      <c r="AB258" s="85"/>
      <c r="AD258" s="78" t="s">
        <v>637</v>
      </c>
      <c r="AE258" s="82"/>
      <c r="AF258" s="81" t="s">
        <v>2256</v>
      </c>
      <c r="AG258" s="81" t="s">
        <v>2256</v>
      </c>
      <c r="AH258" s="83">
        <v>10000</v>
      </c>
      <c r="AI258" s="85"/>
    </row>
    <row r="259" spans="1:35" s="79" customFormat="1" ht="11.25" customHeight="1" x14ac:dyDescent="0.2">
      <c r="A259" s="77" t="s">
        <v>642</v>
      </c>
      <c r="B259" s="80">
        <v>332</v>
      </c>
      <c r="C259" s="81" t="s">
        <v>641</v>
      </c>
      <c r="D259" s="73">
        <v>2500</v>
      </c>
      <c r="E259" s="79" t="s">
        <v>65</v>
      </c>
      <c r="F259" s="79" t="s">
        <v>3725</v>
      </c>
      <c r="G259" s="79" t="s">
        <v>2996</v>
      </c>
      <c r="H259" s="79" t="s">
        <v>66</v>
      </c>
      <c r="I259" s="81"/>
      <c r="J259" s="81">
        <v>25</v>
      </c>
      <c r="K259" s="86"/>
      <c r="M259" s="78" t="s">
        <v>641</v>
      </c>
      <c r="N259" s="82"/>
      <c r="O259" s="81" t="s">
        <v>2256</v>
      </c>
      <c r="P259" s="81" t="s">
        <v>2256</v>
      </c>
      <c r="Q259" s="81"/>
      <c r="R259" s="83">
        <v>500</v>
      </c>
      <c r="S259" s="79" t="s">
        <v>2999</v>
      </c>
      <c r="T259" s="84">
        <v>1250000</v>
      </c>
      <c r="U259" s="81"/>
      <c r="V259" s="81"/>
      <c r="W259" s="78" t="s">
        <v>641</v>
      </c>
      <c r="X259" s="82"/>
      <c r="Y259" s="81" t="s">
        <v>2256</v>
      </c>
      <c r="Z259" s="81" t="s">
        <v>2256</v>
      </c>
      <c r="AA259" s="83">
        <v>2500</v>
      </c>
      <c r="AB259" s="85"/>
      <c r="AD259" s="78" t="s">
        <v>641</v>
      </c>
      <c r="AE259" s="82"/>
      <c r="AF259" s="81" t="s">
        <v>2256</v>
      </c>
      <c r="AG259" s="81" t="s">
        <v>2256</v>
      </c>
      <c r="AH259" s="83">
        <v>3500</v>
      </c>
      <c r="AI259" s="85"/>
    </row>
    <row r="260" spans="1:35" s="79" customFormat="1" ht="11.25" customHeight="1" x14ac:dyDescent="0.2">
      <c r="A260" s="77" t="s">
        <v>805</v>
      </c>
      <c r="B260" s="80">
        <v>806</v>
      </c>
      <c r="C260" s="81" t="s">
        <v>804</v>
      </c>
      <c r="D260" s="73">
        <v>2500</v>
      </c>
      <c r="E260" s="79" t="s">
        <v>65</v>
      </c>
      <c r="F260" s="79" t="s">
        <v>3725</v>
      </c>
      <c r="G260" s="79" t="s">
        <v>2996</v>
      </c>
      <c r="H260" s="79" t="s">
        <v>66</v>
      </c>
      <c r="I260" s="81"/>
      <c r="J260" s="81">
        <v>25</v>
      </c>
      <c r="K260" s="86"/>
      <c r="M260" s="78" t="s">
        <v>804</v>
      </c>
      <c r="N260" s="82"/>
      <c r="O260" s="81" t="s">
        <v>2256</v>
      </c>
      <c r="P260" s="81" t="s">
        <v>2256</v>
      </c>
      <c r="Q260" s="81"/>
      <c r="R260" s="83">
        <v>500</v>
      </c>
      <c r="S260" s="79" t="s">
        <v>2999</v>
      </c>
      <c r="T260" s="84">
        <v>1250000</v>
      </c>
      <c r="U260" s="81"/>
      <c r="V260" s="81"/>
      <c r="W260" s="78" t="s">
        <v>804</v>
      </c>
      <c r="X260" s="82"/>
      <c r="Y260" s="81" t="s">
        <v>2256</v>
      </c>
      <c r="Z260" s="81" t="s">
        <v>2256</v>
      </c>
      <c r="AA260" s="83">
        <v>10000</v>
      </c>
      <c r="AB260" s="85"/>
      <c r="AD260" s="78" t="s">
        <v>804</v>
      </c>
      <c r="AE260" s="82"/>
      <c r="AF260" s="81" t="s">
        <v>2256</v>
      </c>
      <c r="AG260" s="81" t="s">
        <v>2256</v>
      </c>
      <c r="AH260" s="83">
        <v>10000</v>
      </c>
      <c r="AI260" s="85"/>
    </row>
    <row r="261" spans="1:35" s="79" customFormat="1" ht="11.25" customHeight="1" x14ac:dyDescent="0.2">
      <c r="A261" s="77" t="s">
        <v>869</v>
      </c>
      <c r="B261" s="80">
        <v>638</v>
      </c>
      <c r="C261" s="81" t="s">
        <v>868</v>
      </c>
      <c r="D261" s="73">
        <v>2500</v>
      </c>
      <c r="E261" s="79" t="s">
        <v>65</v>
      </c>
      <c r="F261" s="79" t="s">
        <v>3725</v>
      </c>
      <c r="G261" s="79" t="s">
        <v>2996</v>
      </c>
      <c r="H261" s="79" t="s">
        <v>66</v>
      </c>
      <c r="I261" s="81"/>
      <c r="J261" s="81">
        <v>175</v>
      </c>
      <c r="K261" s="86"/>
      <c r="M261" s="78" t="s">
        <v>868</v>
      </c>
      <c r="N261" s="82"/>
      <c r="O261" s="81" t="s">
        <v>2256</v>
      </c>
      <c r="P261" s="81" t="s">
        <v>2256</v>
      </c>
      <c r="Q261" s="81"/>
      <c r="R261" s="83">
        <v>500</v>
      </c>
      <c r="S261" s="79" t="s">
        <v>2999</v>
      </c>
      <c r="T261" s="84">
        <v>1250000</v>
      </c>
      <c r="U261" s="81"/>
      <c r="V261" s="81"/>
      <c r="W261" s="78" t="s">
        <v>868</v>
      </c>
      <c r="X261" s="82"/>
      <c r="Y261" s="81" t="s">
        <v>2256</v>
      </c>
      <c r="Z261" s="81" t="s">
        <v>2256</v>
      </c>
      <c r="AA261" s="83">
        <v>10000</v>
      </c>
      <c r="AB261" s="85"/>
      <c r="AD261" s="78" t="s">
        <v>868</v>
      </c>
      <c r="AE261" s="82"/>
      <c r="AF261" s="81" t="s">
        <v>2256</v>
      </c>
      <c r="AG261" s="81" t="s">
        <v>2256</v>
      </c>
      <c r="AH261" s="83">
        <v>10000</v>
      </c>
      <c r="AI261" s="85"/>
    </row>
    <row r="262" spans="1:35" s="79" customFormat="1" ht="11.25" customHeight="1" x14ac:dyDescent="0.2">
      <c r="A262" s="77" t="s">
        <v>576</v>
      </c>
      <c r="B262" s="80">
        <v>352</v>
      </c>
      <c r="C262" s="81" t="s">
        <v>575</v>
      </c>
      <c r="D262" s="73">
        <v>17500</v>
      </c>
      <c r="E262" s="79" t="s">
        <v>65</v>
      </c>
      <c r="F262" s="79" t="s">
        <v>30</v>
      </c>
      <c r="G262" s="79" t="s">
        <v>2995</v>
      </c>
      <c r="H262" s="79" t="s">
        <v>66</v>
      </c>
      <c r="I262" s="81"/>
      <c r="J262" s="81">
        <v>100</v>
      </c>
      <c r="K262" s="86"/>
      <c r="M262" s="78" t="s">
        <v>577</v>
      </c>
      <c r="N262" s="82"/>
      <c r="O262" s="81" t="s">
        <v>2368</v>
      </c>
      <c r="P262" s="81" t="s">
        <v>2256</v>
      </c>
      <c r="Q262" s="81"/>
      <c r="R262" s="83">
        <v>1000</v>
      </c>
      <c r="S262" s="79" t="s">
        <v>3570</v>
      </c>
      <c r="T262" s="84">
        <v>10000000</v>
      </c>
      <c r="U262" s="81"/>
      <c r="V262" s="81"/>
      <c r="W262" s="78" t="s">
        <v>577</v>
      </c>
      <c r="X262" s="82"/>
      <c r="Y262" s="81" t="s">
        <v>2368</v>
      </c>
      <c r="Z262" s="81" t="s">
        <v>2256</v>
      </c>
      <c r="AA262" s="83">
        <v>12000</v>
      </c>
      <c r="AB262" s="85"/>
      <c r="AD262" s="78" t="s">
        <v>577</v>
      </c>
      <c r="AE262" s="82"/>
      <c r="AF262" s="81" t="s">
        <v>2368</v>
      </c>
      <c r="AG262" s="81" t="s">
        <v>2256</v>
      </c>
      <c r="AH262" s="83">
        <v>12000</v>
      </c>
      <c r="AI262" s="85"/>
    </row>
    <row r="263" spans="1:35" s="79" customFormat="1" ht="11.25" customHeight="1" x14ac:dyDescent="0.2">
      <c r="A263" s="77" t="s">
        <v>657</v>
      </c>
      <c r="B263" s="80">
        <v>375</v>
      </c>
      <c r="C263" s="81" t="s">
        <v>656</v>
      </c>
      <c r="D263" s="73">
        <v>10000</v>
      </c>
      <c r="E263" s="79" t="s">
        <v>65</v>
      </c>
      <c r="F263" s="79" t="s">
        <v>30</v>
      </c>
      <c r="G263" s="79" t="s">
        <v>3001</v>
      </c>
      <c r="H263" s="79" t="s">
        <v>66</v>
      </c>
      <c r="I263" s="81"/>
      <c r="J263" s="81">
        <v>100</v>
      </c>
      <c r="K263" s="86"/>
      <c r="M263" s="78" t="s">
        <v>577</v>
      </c>
      <c r="N263" s="82"/>
      <c r="O263" s="81" t="s">
        <v>2388</v>
      </c>
      <c r="P263" s="81" t="s">
        <v>2256</v>
      </c>
      <c r="Q263" s="81"/>
      <c r="R263" s="83">
        <v>1000</v>
      </c>
      <c r="S263" s="79" t="s">
        <v>3570</v>
      </c>
      <c r="T263" s="84">
        <v>10000000</v>
      </c>
      <c r="U263" s="81"/>
      <c r="V263" s="81"/>
      <c r="W263" s="78" t="s">
        <v>577</v>
      </c>
      <c r="X263" s="82"/>
      <c r="Y263" s="81" t="s">
        <v>2388</v>
      </c>
      <c r="Z263" s="81" t="s">
        <v>2256</v>
      </c>
      <c r="AA263" s="83">
        <v>12000</v>
      </c>
      <c r="AB263" s="85"/>
      <c r="AD263" s="78" t="s">
        <v>577</v>
      </c>
      <c r="AE263" s="82"/>
      <c r="AF263" s="81" t="s">
        <v>2388</v>
      </c>
      <c r="AG263" s="81" t="s">
        <v>2256</v>
      </c>
      <c r="AH263" s="83">
        <v>12000</v>
      </c>
      <c r="AI263" s="85"/>
    </row>
    <row r="264" spans="1:35" s="79" customFormat="1" ht="11.25" customHeight="1" x14ac:dyDescent="0.2">
      <c r="A264" s="77" t="s">
        <v>923</v>
      </c>
      <c r="B264" s="80">
        <v>823</v>
      </c>
      <c r="C264" s="81" t="s">
        <v>577</v>
      </c>
      <c r="D264" s="73">
        <v>10000</v>
      </c>
      <c r="E264" s="79" t="s">
        <v>65</v>
      </c>
      <c r="F264" s="79" t="s">
        <v>3725</v>
      </c>
      <c r="G264" s="79" t="s">
        <v>2996</v>
      </c>
      <c r="H264" s="79" t="s">
        <v>66</v>
      </c>
      <c r="I264" s="81"/>
      <c r="J264" s="81">
        <v>100</v>
      </c>
      <c r="K264" s="86"/>
      <c r="M264" s="78" t="s">
        <v>577</v>
      </c>
      <c r="N264" s="82"/>
      <c r="O264" s="81" t="s">
        <v>2256</v>
      </c>
      <c r="P264" s="81" t="s">
        <v>2256</v>
      </c>
      <c r="Q264" s="81"/>
      <c r="R264" s="83">
        <v>1000</v>
      </c>
      <c r="S264" s="79" t="s">
        <v>2999</v>
      </c>
      <c r="T264" s="84">
        <v>10000000</v>
      </c>
      <c r="U264" s="81"/>
      <c r="V264" s="81"/>
      <c r="W264" s="78" t="s">
        <v>577</v>
      </c>
      <c r="X264" s="82"/>
      <c r="Y264" s="81" t="s">
        <v>2256</v>
      </c>
      <c r="Z264" s="81" t="s">
        <v>2256</v>
      </c>
      <c r="AA264" s="83">
        <v>12000</v>
      </c>
      <c r="AB264" s="85"/>
      <c r="AD264" s="78" t="s">
        <v>577</v>
      </c>
      <c r="AE264" s="82"/>
      <c r="AF264" s="81" t="s">
        <v>2256</v>
      </c>
      <c r="AG264" s="81" t="s">
        <v>2256</v>
      </c>
      <c r="AH264" s="83">
        <v>12000</v>
      </c>
      <c r="AI264" s="85"/>
    </row>
    <row r="265" spans="1:35" s="79" customFormat="1" ht="11.25" customHeight="1" x14ac:dyDescent="0.2">
      <c r="A265" s="77" t="s">
        <v>1126</v>
      </c>
      <c r="B265" s="80">
        <v>832</v>
      </c>
      <c r="C265" s="81" t="s">
        <v>1125</v>
      </c>
      <c r="D265" s="73">
        <v>10000</v>
      </c>
      <c r="E265" s="79" t="s">
        <v>65</v>
      </c>
      <c r="F265" s="79" t="s">
        <v>30</v>
      </c>
      <c r="G265" s="79" t="s">
        <v>3001</v>
      </c>
      <c r="H265" s="79" t="s">
        <v>66</v>
      </c>
      <c r="I265" s="81"/>
      <c r="J265" s="81" t="s">
        <v>213</v>
      </c>
      <c r="K265" s="86"/>
      <c r="M265" s="78" t="s">
        <v>577</v>
      </c>
      <c r="N265" s="82"/>
      <c r="O265" s="81" t="s">
        <v>2502</v>
      </c>
      <c r="P265" s="81" t="s">
        <v>2256</v>
      </c>
      <c r="Q265" s="81"/>
      <c r="R265" s="83">
        <v>1000</v>
      </c>
      <c r="S265" s="79" t="s">
        <v>3499</v>
      </c>
      <c r="T265" s="84">
        <v>10000000</v>
      </c>
      <c r="U265" s="81"/>
      <c r="V265" s="81"/>
      <c r="W265" s="78" t="s">
        <v>577</v>
      </c>
      <c r="X265" s="82"/>
      <c r="Y265" s="81" t="s">
        <v>2502</v>
      </c>
      <c r="Z265" s="81" t="s">
        <v>2256</v>
      </c>
      <c r="AA265" s="83">
        <v>12000</v>
      </c>
      <c r="AB265" s="85"/>
      <c r="AD265" s="78" t="s">
        <v>577</v>
      </c>
      <c r="AE265" s="82"/>
      <c r="AF265" s="81" t="s">
        <v>2502</v>
      </c>
      <c r="AG265" s="81" t="s">
        <v>2256</v>
      </c>
      <c r="AH265" s="83">
        <v>12000</v>
      </c>
      <c r="AI265" s="85"/>
    </row>
    <row r="266" spans="1:35" s="79" customFormat="1" ht="11.25" customHeight="1" x14ac:dyDescent="0.2">
      <c r="A266" s="77" t="s">
        <v>1402</v>
      </c>
      <c r="B266" s="80">
        <v>508</v>
      </c>
      <c r="C266" s="81" t="s">
        <v>1401</v>
      </c>
      <c r="D266" s="73">
        <v>2500</v>
      </c>
      <c r="E266" s="79" t="s">
        <v>65</v>
      </c>
      <c r="F266" s="79" t="s">
        <v>3725</v>
      </c>
      <c r="G266" s="79" t="s">
        <v>2996</v>
      </c>
      <c r="H266" s="79" t="s">
        <v>66</v>
      </c>
      <c r="I266" s="81"/>
      <c r="J266" s="81">
        <v>175</v>
      </c>
      <c r="K266" s="86"/>
      <c r="M266" s="78" t="s">
        <v>577</v>
      </c>
      <c r="N266" s="82"/>
      <c r="O266" s="81" t="s">
        <v>2576</v>
      </c>
      <c r="P266" s="81" t="s">
        <v>2256</v>
      </c>
      <c r="Q266" s="81"/>
      <c r="R266" s="83">
        <v>1000</v>
      </c>
      <c r="S266" s="79" t="s">
        <v>3570</v>
      </c>
      <c r="T266" s="84">
        <v>10000000</v>
      </c>
      <c r="U266" s="81"/>
      <c r="V266" s="81"/>
      <c r="W266" s="78" t="s">
        <v>577</v>
      </c>
      <c r="X266" s="82"/>
      <c r="Y266" s="81" t="s">
        <v>2576</v>
      </c>
      <c r="Z266" s="81" t="s">
        <v>2256</v>
      </c>
      <c r="AA266" s="83">
        <v>12000</v>
      </c>
      <c r="AB266" s="85"/>
      <c r="AD266" s="78" t="s">
        <v>577</v>
      </c>
      <c r="AE266" s="82"/>
      <c r="AF266" s="81" t="s">
        <v>2576</v>
      </c>
      <c r="AG266" s="81" t="s">
        <v>2256</v>
      </c>
      <c r="AH266" s="83">
        <v>12000</v>
      </c>
      <c r="AI266" s="85"/>
    </row>
    <row r="267" spans="1:35" s="79" customFormat="1" ht="11.25" customHeight="1" x14ac:dyDescent="0.2">
      <c r="A267" s="77" t="s">
        <v>2111</v>
      </c>
      <c r="B267" s="80">
        <v>353</v>
      </c>
      <c r="C267" s="81" t="s">
        <v>2110</v>
      </c>
      <c r="D267" s="73">
        <v>12500</v>
      </c>
      <c r="E267" s="79" t="s">
        <v>65</v>
      </c>
      <c r="F267" s="79" t="s">
        <v>30</v>
      </c>
      <c r="G267" s="79" t="s">
        <v>2995</v>
      </c>
      <c r="H267" s="79" t="s">
        <v>66</v>
      </c>
      <c r="I267" s="81"/>
      <c r="J267" s="81">
        <v>100</v>
      </c>
      <c r="K267" s="86"/>
      <c r="M267" s="78" t="s">
        <v>577</v>
      </c>
      <c r="N267" s="82"/>
      <c r="O267" s="81" t="s">
        <v>2728</v>
      </c>
      <c r="P267" s="81" t="s">
        <v>2256</v>
      </c>
      <c r="Q267" s="81"/>
      <c r="R267" s="83">
        <v>1000</v>
      </c>
      <c r="S267" s="79" t="s">
        <v>3570</v>
      </c>
      <c r="T267" s="84">
        <v>10000000</v>
      </c>
      <c r="U267" s="81"/>
      <c r="V267" s="81"/>
      <c r="W267" s="78" t="s">
        <v>577</v>
      </c>
      <c r="X267" s="82"/>
      <c r="Y267" s="81" t="s">
        <v>2728</v>
      </c>
      <c r="Z267" s="81" t="s">
        <v>2256</v>
      </c>
      <c r="AA267" s="83">
        <v>12000</v>
      </c>
      <c r="AB267" s="85"/>
      <c r="AD267" s="78" t="s">
        <v>577</v>
      </c>
      <c r="AE267" s="82"/>
      <c r="AF267" s="81" t="s">
        <v>2728</v>
      </c>
      <c r="AG267" s="81" t="s">
        <v>2256</v>
      </c>
      <c r="AH267" s="83">
        <v>12000</v>
      </c>
      <c r="AI267" s="85"/>
    </row>
    <row r="268" spans="1:35" s="79" customFormat="1" ht="11.25" customHeight="1" x14ac:dyDescent="0.2">
      <c r="A268" s="77" t="s">
        <v>2113</v>
      </c>
      <c r="B268" s="80">
        <v>351</v>
      </c>
      <c r="C268" s="81" t="s">
        <v>2112</v>
      </c>
      <c r="D268" s="73">
        <v>30000</v>
      </c>
      <c r="E268" s="79" t="s">
        <v>65</v>
      </c>
      <c r="F268" s="79" t="s">
        <v>30</v>
      </c>
      <c r="G268" s="79" t="s">
        <v>2995</v>
      </c>
      <c r="H268" s="79" t="s">
        <v>66</v>
      </c>
      <c r="I268" s="81"/>
      <c r="J268" s="81">
        <v>100</v>
      </c>
      <c r="K268" s="86"/>
      <c r="M268" s="78" t="s">
        <v>577</v>
      </c>
      <c r="N268" s="82"/>
      <c r="O268" s="81" t="s">
        <v>2729</v>
      </c>
      <c r="P268" s="81" t="s">
        <v>2256</v>
      </c>
      <c r="Q268" s="81"/>
      <c r="R268" s="83">
        <v>1000</v>
      </c>
      <c r="S268" s="79" t="s">
        <v>3570</v>
      </c>
      <c r="T268" s="84">
        <v>10000000</v>
      </c>
      <c r="U268" s="81"/>
      <c r="V268" s="81"/>
      <c r="W268" s="78" t="s">
        <v>577</v>
      </c>
      <c r="X268" s="82"/>
      <c r="Y268" s="81" t="s">
        <v>2729</v>
      </c>
      <c r="Z268" s="81" t="s">
        <v>2256</v>
      </c>
      <c r="AA268" s="83">
        <v>12000</v>
      </c>
      <c r="AB268" s="85"/>
      <c r="AD268" s="78" t="s">
        <v>577</v>
      </c>
      <c r="AE268" s="82"/>
      <c r="AF268" s="81" t="s">
        <v>2729</v>
      </c>
      <c r="AG268" s="81" t="s">
        <v>2256</v>
      </c>
      <c r="AH268" s="83">
        <v>12000</v>
      </c>
      <c r="AI268" s="85"/>
    </row>
    <row r="269" spans="1:35" s="79" customFormat="1" ht="11.25" customHeight="1" x14ac:dyDescent="0.2">
      <c r="A269" s="77" t="s">
        <v>918</v>
      </c>
      <c r="B269" s="80">
        <v>509</v>
      </c>
      <c r="C269" s="81" t="s">
        <v>917</v>
      </c>
      <c r="D269" s="73">
        <v>2500</v>
      </c>
      <c r="E269" s="79" t="s">
        <v>65</v>
      </c>
      <c r="F269" s="79" t="s">
        <v>3725</v>
      </c>
      <c r="G269" s="79" t="s">
        <v>2996</v>
      </c>
      <c r="H269" s="79" t="s">
        <v>66</v>
      </c>
      <c r="I269" s="81"/>
      <c r="J269" s="81">
        <v>175</v>
      </c>
      <c r="K269" s="86"/>
      <c r="M269" s="78" t="s">
        <v>927</v>
      </c>
      <c r="N269" s="82"/>
      <c r="O269" s="81" t="s">
        <v>3706</v>
      </c>
      <c r="P269" s="81" t="s">
        <v>2256</v>
      </c>
      <c r="Q269" s="81"/>
      <c r="R269" s="83">
        <v>2000</v>
      </c>
      <c r="S269" s="79" t="s">
        <v>3708</v>
      </c>
      <c r="T269" s="84">
        <v>5000000</v>
      </c>
      <c r="U269" s="81"/>
      <c r="V269" s="81"/>
      <c r="W269" s="78" t="s">
        <v>927</v>
      </c>
      <c r="X269" s="82"/>
      <c r="Y269" s="81" t="s">
        <v>3706</v>
      </c>
      <c r="Z269" s="81" t="s">
        <v>2256</v>
      </c>
      <c r="AA269" s="83">
        <v>10000</v>
      </c>
      <c r="AB269" s="85"/>
      <c r="AD269" s="78" t="s">
        <v>927</v>
      </c>
      <c r="AE269" s="82"/>
      <c r="AF269" s="81" t="s">
        <v>3706</v>
      </c>
      <c r="AG269" s="81" t="s">
        <v>2256</v>
      </c>
      <c r="AH269" s="83">
        <v>10000</v>
      </c>
      <c r="AI269" s="85"/>
    </row>
    <row r="270" spans="1:35" s="79" customFormat="1" ht="11.25" customHeight="1" x14ac:dyDescent="0.2">
      <c r="A270" s="77" t="s">
        <v>2071</v>
      </c>
      <c r="B270" s="81" t="s">
        <v>2072</v>
      </c>
      <c r="C270" s="81" t="s">
        <v>2070</v>
      </c>
      <c r="D270" s="73">
        <v>2500</v>
      </c>
      <c r="E270" s="79" t="s">
        <v>65</v>
      </c>
      <c r="F270" s="79" t="s">
        <v>30</v>
      </c>
      <c r="G270" s="79" t="s">
        <v>3001</v>
      </c>
      <c r="H270" s="79" t="s">
        <v>66</v>
      </c>
      <c r="I270" s="81"/>
      <c r="J270" s="81">
        <v>175</v>
      </c>
      <c r="K270" s="86"/>
      <c r="M270" s="78" t="s">
        <v>927</v>
      </c>
      <c r="N270" s="82"/>
      <c r="O270" s="81" t="s">
        <v>3705</v>
      </c>
      <c r="P270" s="81" t="s">
        <v>2256</v>
      </c>
      <c r="Q270" s="81"/>
      <c r="R270" s="83">
        <v>2000</v>
      </c>
      <c r="S270" s="79" t="s">
        <v>3708</v>
      </c>
      <c r="T270" s="84">
        <v>5000000</v>
      </c>
      <c r="U270" s="81"/>
      <c r="V270" s="81"/>
      <c r="W270" s="78" t="s">
        <v>927</v>
      </c>
      <c r="X270" s="82"/>
      <c r="Y270" s="81" t="s">
        <v>3705</v>
      </c>
      <c r="Z270" s="81" t="s">
        <v>2256</v>
      </c>
      <c r="AA270" s="83">
        <v>10000</v>
      </c>
      <c r="AB270" s="85"/>
      <c r="AD270" s="78" t="s">
        <v>927</v>
      </c>
      <c r="AE270" s="82"/>
      <c r="AF270" s="81" t="s">
        <v>3705</v>
      </c>
      <c r="AG270" s="81" t="s">
        <v>2256</v>
      </c>
      <c r="AH270" s="83">
        <v>10000</v>
      </c>
      <c r="AI270" s="85"/>
    </row>
    <row r="271" spans="1:35" s="79" customFormat="1" ht="11.25" customHeight="1" x14ac:dyDescent="0.2">
      <c r="A271" s="77" t="s">
        <v>928</v>
      </c>
      <c r="B271" s="80">
        <v>1279</v>
      </c>
      <c r="C271" s="81" t="s">
        <v>927</v>
      </c>
      <c r="D271" s="73">
        <v>2500</v>
      </c>
      <c r="E271" s="79" t="s">
        <v>65</v>
      </c>
      <c r="F271" s="79" t="s">
        <v>3725</v>
      </c>
      <c r="G271" s="79" t="s">
        <v>2996</v>
      </c>
      <c r="H271" s="79" t="s">
        <v>66</v>
      </c>
      <c r="I271" s="81"/>
      <c r="J271" s="81">
        <v>25</v>
      </c>
      <c r="K271" s="86"/>
      <c r="M271" s="78" t="s">
        <v>927</v>
      </c>
      <c r="N271" s="82"/>
      <c r="O271" s="81" t="s">
        <v>2256</v>
      </c>
      <c r="P271" s="81" t="s">
        <v>2256</v>
      </c>
      <c r="Q271" s="81"/>
      <c r="R271" s="83">
        <v>2000</v>
      </c>
      <c r="S271" s="79" t="s">
        <v>2999</v>
      </c>
      <c r="T271" s="84">
        <v>5000000</v>
      </c>
      <c r="U271" s="81"/>
      <c r="V271" s="81"/>
      <c r="W271" s="78" t="s">
        <v>927</v>
      </c>
      <c r="X271" s="82"/>
      <c r="Y271" s="81" t="s">
        <v>2256</v>
      </c>
      <c r="Z271" s="81" t="s">
        <v>2256</v>
      </c>
      <c r="AA271" s="83">
        <v>10000</v>
      </c>
      <c r="AB271" s="85"/>
      <c r="AD271" s="78" t="s">
        <v>927</v>
      </c>
      <c r="AE271" s="82"/>
      <c r="AF271" s="81" t="s">
        <v>2256</v>
      </c>
      <c r="AG271" s="81" t="s">
        <v>2256</v>
      </c>
      <c r="AH271" s="83">
        <v>10000</v>
      </c>
      <c r="AI271" s="85"/>
    </row>
    <row r="272" spans="1:35" s="79" customFormat="1" ht="11.25" customHeight="1" x14ac:dyDescent="0.2">
      <c r="A272" s="77" t="s">
        <v>3354</v>
      </c>
      <c r="B272" s="80">
        <v>399</v>
      </c>
      <c r="C272" s="81" t="s">
        <v>3267</v>
      </c>
      <c r="D272" s="73">
        <v>10000</v>
      </c>
      <c r="E272" s="79" t="s">
        <v>65</v>
      </c>
      <c r="F272" s="79" t="s">
        <v>30</v>
      </c>
      <c r="G272" s="79" t="s">
        <v>2995</v>
      </c>
      <c r="H272" s="79" t="str">
        <f>VLOOKUP(M272,C:H,6,FALSE)</f>
        <v>Natural Gas</v>
      </c>
      <c r="I272" s="81"/>
      <c r="J272" s="81">
        <v>100</v>
      </c>
      <c r="K272" s="86"/>
      <c r="M272" s="78" t="s">
        <v>823</v>
      </c>
      <c r="N272" s="82" t="s">
        <v>823</v>
      </c>
      <c r="O272" s="81" t="s">
        <v>3278</v>
      </c>
      <c r="P272" s="81" t="s">
        <v>2256</v>
      </c>
      <c r="Q272" s="83">
        <v>1000</v>
      </c>
      <c r="R272" s="83" t="s">
        <v>213</v>
      </c>
      <c r="S272" s="79" t="s">
        <v>3735</v>
      </c>
      <c r="T272" s="84" t="s">
        <v>213</v>
      </c>
      <c r="U272" s="81"/>
      <c r="V272" s="81"/>
      <c r="W272" s="78" t="s">
        <v>823</v>
      </c>
      <c r="X272" s="82" t="s">
        <v>823</v>
      </c>
      <c r="Y272" s="81" t="s">
        <v>3278</v>
      </c>
      <c r="Z272" s="81" t="s">
        <v>2256</v>
      </c>
      <c r="AA272" s="83">
        <v>12000</v>
      </c>
      <c r="AB272" s="85"/>
      <c r="AD272" s="78" t="s">
        <v>823</v>
      </c>
      <c r="AE272" s="82" t="s">
        <v>823</v>
      </c>
      <c r="AF272" s="81" t="s">
        <v>3278</v>
      </c>
      <c r="AG272" s="81" t="s">
        <v>2256</v>
      </c>
      <c r="AH272" s="83">
        <v>12000</v>
      </c>
      <c r="AI272" s="85"/>
    </row>
    <row r="273" spans="1:35" s="79" customFormat="1" ht="11.25" customHeight="1" x14ac:dyDescent="0.2">
      <c r="A273" s="77" t="s">
        <v>3355</v>
      </c>
      <c r="B273" s="80">
        <v>399</v>
      </c>
      <c r="C273" s="81" t="s">
        <v>3268</v>
      </c>
      <c r="D273" s="73">
        <v>10000</v>
      </c>
      <c r="E273" s="79" t="s">
        <v>65</v>
      </c>
      <c r="F273" s="79" t="s">
        <v>30</v>
      </c>
      <c r="G273" s="79" t="s">
        <v>2995</v>
      </c>
      <c r="H273" s="79" t="str">
        <f>VLOOKUP(M273,C:H,6,FALSE)</f>
        <v>Natural Gas</v>
      </c>
      <c r="I273" s="81"/>
      <c r="J273" s="81">
        <v>100</v>
      </c>
      <c r="K273" s="86"/>
      <c r="M273" s="78" t="s">
        <v>823</v>
      </c>
      <c r="N273" s="82" t="s">
        <v>823</v>
      </c>
      <c r="O273" s="81" t="s">
        <v>3279</v>
      </c>
      <c r="P273" s="81" t="s">
        <v>2256</v>
      </c>
      <c r="Q273" s="83">
        <v>1000</v>
      </c>
      <c r="R273" s="83" t="s">
        <v>213</v>
      </c>
      <c r="S273" s="79" t="s">
        <v>3735</v>
      </c>
      <c r="T273" s="84" t="s">
        <v>213</v>
      </c>
      <c r="U273" s="81"/>
      <c r="V273" s="81"/>
      <c r="W273" s="78" t="s">
        <v>823</v>
      </c>
      <c r="X273" s="82" t="s">
        <v>823</v>
      </c>
      <c r="Y273" s="81" t="s">
        <v>3279</v>
      </c>
      <c r="Z273" s="81" t="s">
        <v>2256</v>
      </c>
      <c r="AA273" s="83">
        <v>12000</v>
      </c>
      <c r="AB273" s="85"/>
      <c r="AD273" s="78" t="s">
        <v>823</v>
      </c>
      <c r="AE273" s="82" t="s">
        <v>823</v>
      </c>
      <c r="AF273" s="81" t="s">
        <v>3279</v>
      </c>
      <c r="AG273" s="81" t="s">
        <v>2256</v>
      </c>
      <c r="AH273" s="83">
        <v>12000</v>
      </c>
      <c r="AI273" s="85"/>
    </row>
    <row r="274" spans="1:35" s="79" customFormat="1" ht="11.25" customHeight="1" x14ac:dyDescent="0.2">
      <c r="A274" s="77" t="s">
        <v>3356</v>
      </c>
      <c r="B274" s="80">
        <v>399</v>
      </c>
      <c r="C274" s="81" t="s">
        <v>3269</v>
      </c>
      <c r="D274" s="73">
        <v>10000</v>
      </c>
      <c r="E274" s="79" t="s">
        <v>65</v>
      </c>
      <c r="F274" s="79" t="s">
        <v>30</v>
      </c>
      <c r="G274" s="79" t="s">
        <v>2995</v>
      </c>
      <c r="H274" s="79" t="str">
        <f>VLOOKUP(M274,C:H,6,FALSE)</f>
        <v>Natural Gas</v>
      </c>
      <c r="I274" s="81"/>
      <c r="J274" s="81">
        <v>100</v>
      </c>
      <c r="K274" s="86"/>
      <c r="M274" s="78" t="s">
        <v>823</v>
      </c>
      <c r="N274" s="82" t="s">
        <v>823</v>
      </c>
      <c r="O274" s="81" t="s">
        <v>3280</v>
      </c>
      <c r="P274" s="81" t="s">
        <v>2256</v>
      </c>
      <c r="Q274" s="83">
        <v>1000</v>
      </c>
      <c r="R274" s="83" t="s">
        <v>213</v>
      </c>
      <c r="S274" s="79" t="s">
        <v>3735</v>
      </c>
      <c r="T274" s="84" t="s">
        <v>213</v>
      </c>
      <c r="U274" s="81"/>
      <c r="V274" s="81"/>
      <c r="W274" s="78" t="s">
        <v>823</v>
      </c>
      <c r="X274" s="82" t="s">
        <v>823</v>
      </c>
      <c r="Y274" s="81" t="s">
        <v>3280</v>
      </c>
      <c r="Z274" s="81" t="s">
        <v>2256</v>
      </c>
      <c r="AA274" s="83">
        <v>12000</v>
      </c>
      <c r="AB274" s="85"/>
      <c r="AD274" s="78" t="s">
        <v>823</v>
      </c>
      <c r="AE274" s="82" t="s">
        <v>823</v>
      </c>
      <c r="AF274" s="81" t="s">
        <v>3280</v>
      </c>
      <c r="AG274" s="81" t="s">
        <v>2256</v>
      </c>
      <c r="AH274" s="83">
        <v>12000</v>
      </c>
      <c r="AI274" s="85"/>
    </row>
    <row r="275" spans="1:35" s="79" customFormat="1" ht="11.25" customHeight="1" x14ac:dyDescent="0.2">
      <c r="A275" s="77" t="s">
        <v>3357</v>
      </c>
      <c r="B275" s="80">
        <v>399</v>
      </c>
      <c r="C275" s="81" t="s">
        <v>3270</v>
      </c>
      <c r="D275" s="73">
        <v>10000</v>
      </c>
      <c r="E275" s="79" t="s">
        <v>65</v>
      </c>
      <c r="F275" s="79" t="s">
        <v>30</v>
      </c>
      <c r="G275" s="79" t="s">
        <v>2995</v>
      </c>
      <c r="H275" s="79" t="str">
        <f>VLOOKUP(M275,C:H,6,FALSE)</f>
        <v>Natural Gas</v>
      </c>
      <c r="I275" s="81"/>
      <c r="J275" s="81">
        <v>100</v>
      </c>
      <c r="K275" s="86"/>
      <c r="M275" s="78" t="s">
        <v>823</v>
      </c>
      <c r="N275" s="82" t="s">
        <v>823</v>
      </c>
      <c r="O275" s="81" t="s">
        <v>3281</v>
      </c>
      <c r="P275" s="81" t="s">
        <v>2256</v>
      </c>
      <c r="Q275" s="83">
        <v>1000</v>
      </c>
      <c r="R275" s="83" t="s">
        <v>213</v>
      </c>
      <c r="S275" s="79" t="s">
        <v>3735</v>
      </c>
      <c r="T275" s="84" t="s">
        <v>213</v>
      </c>
      <c r="U275" s="81"/>
      <c r="V275" s="81"/>
      <c r="W275" s="78" t="s">
        <v>823</v>
      </c>
      <c r="X275" s="82" t="s">
        <v>823</v>
      </c>
      <c r="Y275" s="81" t="s">
        <v>3281</v>
      </c>
      <c r="Z275" s="81" t="s">
        <v>2256</v>
      </c>
      <c r="AA275" s="83">
        <v>12000</v>
      </c>
      <c r="AB275" s="85"/>
      <c r="AD275" s="78" t="s">
        <v>823</v>
      </c>
      <c r="AE275" s="82" t="s">
        <v>823</v>
      </c>
      <c r="AF275" s="81" t="s">
        <v>3281</v>
      </c>
      <c r="AG275" s="81" t="s">
        <v>2256</v>
      </c>
      <c r="AH275" s="83">
        <v>12000</v>
      </c>
      <c r="AI275" s="85"/>
    </row>
    <row r="276" spans="1:35" s="79" customFormat="1" ht="11.25" customHeight="1" x14ac:dyDescent="0.2">
      <c r="A276" s="77" t="s">
        <v>3358</v>
      </c>
      <c r="B276" s="80">
        <v>399</v>
      </c>
      <c r="C276" s="81" t="s">
        <v>3271</v>
      </c>
      <c r="D276" s="73">
        <v>10000</v>
      </c>
      <c r="E276" s="79" t="s">
        <v>65</v>
      </c>
      <c r="F276" s="79" t="s">
        <v>30</v>
      </c>
      <c r="G276" s="79" t="s">
        <v>2995</v>
      </c>
      <c r="H276" s="79" t="str">
        <f>VLOOKUP(M276,C:H,6,FALSE)</f>
        <v>Natural Gas</v>
      </c>
      <c r="I276" s="81"/>
      <c r="J276" s="81">
        <v>100</v>
      </c>
      <c r="K276" s="86"/>
      <c r="M276" s="78" t="s">
        <v>823</v>
      </c>
      <c r="N276" s="82" t="s">
        <v>823</v>
      </c>
      <c r="O276" s="81" t="s">
        <v>3282</v>
      </c>
      <c r="P276" s="81" t="s">
        <v>2256</v>
      </c>
      <c r="Q276" s="83">
        <v>1000</v>
      </c>
      <c r="R276" s="83" t="s">
        <v>213</v>
      </c>
      <c r="S276" s="79" t="s">
        <v>3735</v>
      </c>
      <c r="T276" s="84" t="s">
        <v>213</v>
      </c>
      <c r="U276" s="81"/>
      <c r="V276" s="81"/>
      <c r="W276" s="78" t="s">
        <v>823</v>
      </c>
      <c r="X276" s="82" t="s">
        <v>823</v>
      </c>
      <c r="Y276" s="81" t="s">
        <v>3282</v>
      </c>
      <c r="Z276" s="81" t="s">
        <v>2256</v>
      </c>
      <c r="AA276" s="83">
        <v>12000</v>
      </c>
      <c r="AB276" s="85"/>
      <c r="AD276" s="78" t="s">
        <v>823</v>
      </c>
      <c r="AE276" s="82" t="s">
        <v>823</v>
      </c>
      <c r="AF276" s="81" t="s">
        <v>3282</v>
      </c>
      <c r="AG276" s="81" t="s">
        <v>2256</v>
      </c>
      <c r="AH276" s="83">
        <v>12000</v>
      </c>
      <c r="AI276" s="85"/>
    </row>
    <row r="277" spans="1:35" s="79" customFormat="1" ht="11.25" customHeight="1" x14ac:dyDescent="0.2">
      <c r="A277" s="77" t="s">
        <v>3359</v>
      </c>
      <c r="B277" s="80">
        <v>399</v>
      </c>
      <c r="C277" s="81" t="s">
        <v>3272</v>
      </c>
      <c r="D277" s="73">
        <v>10000</v>
      </c>
      <c r="E277" s="79" t="s">
        <v>65</v>
      </c>
      <c r="F277" s="79" t="s">
        <v>30</v>
      </c>
      <c r="G277" s="79" t="s">
        <v>2995</v>
      </c>
      <c r="H277" s="79" t="str">
        <f>VLOOKUP(M277,C:H,6,FALSE)</f>
        <v>Natural Gas</v>
      </c>
      <c r="I277" s="81"/>
      <c r="J277" s="81">
        <v>100</v>
      </c>
      <c r="K277" s="86"/>
      <c r="M277" s="78" t="s">
        <v>823</v>
      </c>
      <c r="N277" s="82" t="s">
        <v>823</v>
      </c>
      <c r="O277" s="81" t="s">
        <v>3283</v>
      </c>
      <c r="P277" s="81" t="s">
        <v>2256</v>
      </c>
      <c r="Q277" s="83">
        <v>1000</v>
      </c>
      <c r="R277" s="83" t="s">
        <v>213</v>
      </c>
      <c r="S277" s="79" t="s">
        <v>3735</v>
      </c>
      <c r="T277" s="84" t="s">
        <v>213</v>
      </c>
      <c r="U277" s="81"/>
      <c r="V277" s="81"/>
      <c r="W277" s="78" t="s">
        <v>823</v>
      </c>
      <c r="X277" s="82" t="s">
        <v>823</v>
      </c>
      <c r="Y277" s="81" t="s">
        <v>3283</v>
      </c>
      <c r="Z277" s="81" t="s">
        <v>2256</v>
      </c>
      <c r="AA277" s="83">
        <v>12000</v>
      </c>
      <c r="AB277" s="85"/>
      <c r="AD277" s="78" t="s">
        <v>823</v>
      </c>
      <c r="AE277" s="82" t="s">
        <v>823</v>
      </c>
      <c r="AF277" s="81" t="s">
        <v>3283</v>
      </c>
      <c r="AG277" s="81" t="s">
        <v>2256</v>
      </c>
      <c r="AH277" s="83">
        <v>12000</v>
      </c>
      <c r="AI277" s="85"/>
    </row>
    <row r="278" spans="1:35" s="79" customFormat="1" ht="11.25" customHeight="1" x14ac:dyDescent="0.2">
      <c r="A278" s="77" t="s">
        <v>943</v>
      </c>
      <c r="B278" s="80">
        <v>824</v>
      </c>
      <c r="C278" s="81" t="s">
        <v>823</v>
      </c>
      <c r="D278" s="73">
        <v>10000</v>
      </c>
      <c r="E278" s="79" t="s">
        <v>65</v>
      </c>
      <c r="F278" s="79" t="s">
        <v>3725</v>
      </c>
      <c r="G278" s="79" t="s">
        <v>2996</v>
      </c>
      <c r="H278" s="79" t="s">
        <v>66</v>
      </c>
      <c r="I278" s="81"/>
      <c r="J278" s="81">
        <v>100</v>
      </c>
      <c r="K278" s="86"/>
      <c r="M278" s="78" t="s">
        <v>823</v>
      </c>
      <c r="N278" s="82"/>
      <c r="O278" s="81" t="s">
        <v>2256</v>
      </c>
      <c r="P278" s="81" t="s">
        <v>2256</v>
      </c>
      <c r="Q278" s="83">
        <v>1000</v>
      </c>
      <c r="R278" s="83" t="s">
        <v>213</v>
      </c>
      <c r="S278" s="79" t="s">
        <v>3733</v>
      </c>
      <c r="T278" s="84" t="s">
        <v>213</v>
      </c>
      <c r="U278" s="81"/>
      <c r="V278" s="81"/>
      <c r="W278" s="78" t="s">
        <v>823</v>
      </c>
      <c r="X278" s="82"/>
      <c r="Y278" s="81" t="s">
        <v>2256</v>
      </c>
      <c r="Z278" s="81" t="s">
        <v>2256</v>
      </c>
      <c r="AA278" s="83">
        <v>12000</v>
      </c>
      <c r="AB278" s="85"/>
      <c r="AD278" s="78" t="s">
        <v>823</v>
      </c>
      <c r="AE278" s="82"/>
      <c r="AF278" s="81" t="s">
        <v>2256</v>
      </c>
      <c r="AG278" s="81" t="s">
        <v>2256</v>
      </c>
      <c r="AH278" s="83">
        <v>12000</v>
      </c>
      <c r="AI278" s="85"/>
    </row>
    <row r="279" spans="1:35" s="79" customFormat="1" ht="11.25" customHeight="1" x14ac:dyDescent="0.2">
      <c r="A279" s="77" t="s">
        <v>1204</v>
      </c>
      <c r="B279" s="80">
        <v>560</v>
      </c>
      <c r="C279" s="81" t="s">
        <v>1203</v>
      </c>
      <c r="D279" s="73">
        <v>10000</v>
      </c>
      <c r="E279" s="79" t="s">
        <v>65</v>
      </c>
      <c r="F279" s="79" t="s">
        <v>30</v>
      </c>
      <c r="G279" s="79" t="s">
        <v>3001</v>
      </c>
      <c r="H279" s="79" t="s">
        <v>66</v>
      </c>
      <c r="I279" s="81"/>
      <c r="J279" s="81">
        <v>100</v>
      </c>
      <c r="K279" s="86"/>
      <c r="M279" s="78" t="s">
        <v>823</v>
      </c>
      <c r="N279" s="82"/>
      <c r="O279" s="81" t="s">
        <v>2519</v>
      </c>
      <c r="P279" s="81" t="s">
        <v>2256</v>
      </c>
      <c r="Q279" s="83">
        <v>1000</v>
      </c>
      <c r="R279" s="83" t="s">
        <v>213</v>
      </c>
      <c r="S279" s="79" t="s">
        <v>3735</v>
      </c>
      <c r="T279" s="84" t="s">
        <v>213</v>
      </c>
      <c r="U279" s="81"/>
      <c r="V279" s="81"/>
      <c r="W279" s="78" t="s">
        <v>823</v>
      </c>
      <c r="X279" s="82"/>
      <c r="Y279" s="81" t="s">
        <v>2519</v>
      </c>
      <c r="Z279" s="81" t="s">
        <v>2256</v>
      </c>
      <c r="AA279" s="83">
        <v>12000</v>
      </c>
      <c r="AB279" s="85"/>
      <c r="AD279" s="78" t="s">
        <v>823</v>
      </c>
      <c r="AE279" s="82"/>
      <c r="AF279" s="81" t="s">
        <v>2519</v>
      </c>
      <c r="AG279" s="81" t="s">
        <v>2256</v>
      </c>
      <c r="AH279" s="83">
        <v>12000</v>
      </c>
      <c r="AI279" s="85"/>
    </row>
    <row r="280" spans="1:35" s="79" customFormat="1" ht="11.25" customHeight="1" x14ac:dyDescent="0.2">
      <c r="A280" s="77" t="s">
        <v>1409</v>
      </c>
      <c r="B280" s="80">
        <v>529</v>
      </c>
      <c r="C280" s="81" t="s">
        <v>1408</v>
      </c>
      <c r="D280" s="73">
        <v>2500</v>
      </c>
      <c r="E280" s="79" t="s">
        <v>65</v>
      </c>
      <c r="F280" s="79" t="s">
        <v>3725</v>
      </c>
      <c r="G280" s="79" t="s">
        <v>2996</v>
      </c>
      <c r="H280" s="79" t="s">
        <v>66</v>
      </c>
      <c r="I280" s="81"/>
      <c r="J280" s="81">
        <v>100</v>
      </c>
      <c r="K280" s="86"/>
      <c r="M280" s="78" t="s">
        <v>823</v>
      </c>
      <c r="N280" s="82"/>
      <c r="O280" s="81" t="s">
        <v>2578</v>
      </c>
      <c r="P280" s="81" t="s">
        <v>2256</v>
      </c>
      <c r="Q280" s="83">
        <v>1000</v>
      </c>
      <c r="R280" s="83" t="s">
        <v>213</v>
      </c>
      <c r="S280" s="79" t="s">
        <v>3735</v>
      </c>
      <c r="T280" s="84" t="s">
        <v>213</v>
      </c>
      <c r="U280" s="81"/>
      <c r="V280" s="81"/>
      <c r="W280" s="78" t="s">
        <v>823</v>
      </c>
      <c r="X280" s="82"/>
      <c r="Y280" s="81" t="s">
        <v>2578</v>
      </c>
      <c r="Z280" s="81" t="s">
        <v>2256</v>
      </c>
      <c r="AA280" s="83">
        <v>12000</v>
      </c>
      <c r="AB280" s="85"/>
      <c r="AD280" s="78" t="s">
        <v>823</v>
      </c>
      <c r="AE280" s="82"/>
      <c r="AF280" s="81" t="s">
        <v>2578</v>
      </c>
      <c r="AG280" s="81" t="s">
        <v>2256</v>
      </c>
      <c r="AH280" s="83">
        <v>12000</v>
      </c>
      <c r="AI280" s="85"/>
    </row>
    <row r="281" spans="1:35" s="79" customFormat="1" ht="11.25" customHeight="1" x14ac:dyDescent="0.2">
      <c r="A281" s="77" t="s">
        <v>1624</v>
      </c>
      <c r="B281" s="80">
        <v>402</v>
      </c>
      <c r="C281" s="81" t="s">
        <v>1623</v>
      </c>
      <c r="D281" s="73">
        <v>2500</v>
      </c>
      <c r="E281" s="79" t="s">
        <v>65</v>
      </c>
      <c r="F281" s="79" t="s">
        <v>3725</v>
      </c>
      <c r="G281" s="79" t="s">
        <v>2996</v>
      </c>
      <c r="H281" s="79" t="s">
        <v>66</v>
      </c>
      <c r="I281" s="81"/>
      <c r="J281" s="81">
        <v>175</v>
      </c>
      <c r="K281" s="86"/>
      <c r="M281" s="78" t="s">
        <v>823</v>
      </c>
      <c r="N281" s="82"/>
      <c r="O281" s="81" t="s">
        <v>2626</v>
      </c>
      <c r="P281" s="81" t="s">
        <v>2256</v>
      </c>
      <c r="Q281" s="83">
        <v>1000</v>
      </c>
      <c r="R281" s="83" t="s">
        <v>213</v>
      </c>
      <c r="S281" s="79" t="s">
        <v>3735</v>
      </c>
      <c r="T281" s="84" t="s">
        <v>213</v>
      </c>
      <c r="U281" s="81"/>
      <c r="V281" s="81"/>
      <c r="W281" s="78" t="s">
        <v>823</v>
      </c>
      <c r="X281" s="82"/>
      <c r="Y281" s="81" t="s">
        <v>2626</v>
      </c>
      <c r="Z281" s="81" t="s">
        <v>2256</v>
      </c>
      <c r="AA281" s="83">
        <v>12000</v>
      </c>
      <c r="AB281" s="85"/>
      <c r="AD281" s="78" t="s">
        <v>823</v>
      </c>
      <c r="AE281" s="82"/>
      <c r="AF281" s="81" t="s">
        <v>2626</v>
      </c>
      <c r="AG281" s="81" t="s">
        <v>2256</v>
      </c>
      <c r="AH281" s="83">
        <v>12000</v>
      </c>
      <c r="AI281" s="85"/>
    </row>
    <row r="282" spans="1:35" s="79" customFormat="1" ht="11.25" customHeight="1" x14ac:dyDescent="0.2">
      <c r="A282" s="77" t="s">
        <v>64</v>
      </c>
      <c r="B282" s="80">
        <v>448</v>
      </c>
      <c r="C282" s="81" t="s">
        <v>63</v>
      </c>
      <c r="D282" s="73">
        <v>2500</v>
      </c>
      <c r="E282" s="79" t="s">
        <v>65</v>
      </c>
      <c r="F282" s="79" t="s">
        <v>3725</v>
      </c>
      <c r="G282" s="79" t="s">
        <v>2996</v>
      </c>
      <c r="H282" s="79" t="s">
        <v>66</v>
      </c>
      <c r="I282" s="81"/>
      <c r="J282" s="81">
        <v>25</v>
      </c>
      <c r="K282" s="86"/>
      <c r="M282" s="78" t="s">
        <v>68</v>
      </c>
      <c r="N282" s="82" t="s">
        <v>69</v>
      </c>
      <c r="O282" s="81" t="s">
        <v>2259</v>
      </c>
      <c r="P282" s="81" t="s">
        <v>2770</v>
      </c>
      <c r="Q282" s="81"/>
      <c r="R282" s="83" t="s">
        <v>67</v>
      </c>
      <c r="S282" s="79" t="s">
        <v>3487</v>
      </c>
      <c r="T282" s="84" t="s">
        <v>3415</v>
      </c>
      <c r="U282" s="81"/>
      <c r="V282" s="81"/>
      <c r="W282" s="78" t="s">
        <v>68</v>
      </c>
      <c r="X282" s="82" t="s">
        <v>69</v>
      </c>
      <c r="Y282" s="81" t="s">
        <v>2259</v>
      </c>
      <c r="Z282" s="81" t="s">
        <v>2770</v>
      </c>
      <c r="AA282" s="81" t="s">
        <v>71</v>
      </c>
      <c r="AB282" s="85"/>
      <c r="AD282" s="78" t="s">
        <v>68</v>
      </c>
      <c r="AE282" s="82" t="s">
        <v>69</v>
      </c>
      <c r="AF282" s="81" t="s">
        <v>2259</v>
      </c>
      <c r="AG282" s="81" t="s">
        <v>2770</v>
      </c>
      <c r="AH282" s="81" t="s">
        <v>70</v>
      </c>
      <c r="AI282" s="85"/>
    </row>
    <row r="283" spans="1:35" s="79" customFormat="1" ht="11.25" customHeight="1" x14ac:dyDescent="0.2">
      <c r="A283" s="77" t="s">
        <v>1057</v>
      </c>
      <c r="B283" s="80">
        <v>677</v>
      </c>
      <c r="C283" s="81" t="s">
        <v>68</v>
      </c>
      <c r="D283" s="73">
        <v>2500</v>
      </c>
      <c r="E283" s="79" t="s">
        <v>65</v>
      </c>
      <c r="F283" s="79" t="s">
        <v>3725</v>
      </c>
      <c r="G283" s="79" t="s">
        <v>2996</v>
      </c>
      <c r="H283" s="79" t="s">
        <v>66</v>
      </c>
      <c r="I283" s="81"/>
      <c r="J283" s="81">
        <v>25</v>
      </c>
      <c r="K283" s="86"/>
      <c r="M283" s="78" t="s">
        <v>68</v>
      </c>
      <c r="N283" s="82"/>
      <c r="O283" s="81" t="s">
        <v>2256</v>
      </c>
      <c r="P283" s="81" t="s">
        <v>2256</v>
      </c>
      <c r="Q283" s="81"/>
      <c r="R283" s="83">
        <v>500</v>
      </c>
      <c r="S283" s="79" t="s">
        <v>3484</v>
      </c>
      <c r="T283" s="84">
        <v>1250000</v>
      </c>
      <c r="U283" s="81"/>
      <c r="V283" s="81"/>
      <c r="W283" s="78" t="s">
        <v>68</v>
      </c>
      <c r="X283" s="82"/>
      <c r="Y283" s="81" t="s">
        <v>2256</v>
      </c>
      <c r="Z283" s="81" t="s">
        <v>2256</v>
      </c>
      <c r="AA283" s="83">
        <v>2500</v>
      </c>
      <c r="AB283" s="85"/>
      <c r="AD283" s="78" t="s">
        <v>68</v>
      </c>
      <c r="AE283" s="82"/>
      <c r="AF283" s="81" t="s">
        <v>2256</v>
      </c>
      <c r="AG283" s="81" t="s">
        <v>2256</v>
      </c>
      <c r="AH283" s="83">
        <v>3500</v>
      </c>
      <c r="AI283" s="85"/>
    </row>
    <row r="284" spans="1:35" s="79" customFormat="1" ht="11.25" customHeight="1" x14ac:dyDescent="0.2">
      <c r="A284" s="77" t="s">
        <v>1721</v>
      </c>
      <c r="B284" s="80">
        <v>449</v>
      </c>
      <c r="C284" s="81" t="s">
        <v>1720</v>
      </c>
      <c r="D284" s="73">
        <v>2500</v>
      </c>
      <c r="E284" s="79" t="s">
        <v>65</v>
      </c>
      <c r="F284" s="79" t="s">
        <v>3725</v>
      </c>
      <c r="G284" s="79" t="s">
        <v>2996</v>
      </c>
      <c r="H284" s="79" t="s">
        <v>66</v>
      </c>
      <c r="I284" s="81"/>
      <c r="J284" s="81">
        <v>25</v>
      </c>
      <c r="K284" s="86"/>
      <c r="M284" s="78" t="s">
        <v>1060</v>
      </c>
      <c r="N284" s="82" t="s">
        <v>868</v>
      </c>
      <c r="O284" s="81" t="s">
        <v>2651</v>
      </c>
      <c r="P284" s="81" t="s">
        <v>2937</v>
      </c>
      <c r="Q284" s="81"/>
      <c r="R284" s="83" t="s">
        <v>67</v>
      </c>
      <c r="S284" s="79" t="s">
        <v>3517</v>
      </c>
      <c r="T284" s="84" t="s">
        <v>3415</v>
      </c>
      <c r="U284" s="81"/>
      <c r="V284" s="81"/>
      <c r="W284" s="78" t="s">
        <v>1060</v>
      </c>
      <c r="X284" s="82" t="s">
        <v>868</v>
      </c>
      <c r="Y284" s="81" t="s">
        <v>2651</v>
      </c>
      <c r="Z284" s="81" t="s">
        <v>2937</v>
      </c>
      <c r="AA284" s="81" t="s">
        <v>71</v>
      </c>
      <c r="AB284" s="85"/>
      <c r="AD284" s="78" t="s">
        <v>1060</v>
      </c>
      <c r="AE284" s="82" t="s">
        <v>868</v>
      </c>
      <c r="AF284" s="81" t="s">
        <v>2651</v>
      </c>
      <c r="AG284" s="81" t="s">
        <v>2937</v>
      </c>
      <c r="AH284" s="81" t="s">
        <v>70</v>
      </c>
      <c r="AI284" s="85"/>
    </row>
    <row r="285" spans="1:35" s="79" customFormat="1" ht="11.25" customHeight="1" x14ac:dyDescent="0.2">
      <c r="A285" s="77" t="s">
        <v>1061</v>
      </c>
      <c r="B285" s="80">
        <v>678</v>
      </c>
      <c r="C285" s="81" t="s">
        <v>1060</v>
      </c>
      <c r="D285" s="73">
        <v>2500</v>
      </c>
      <c r="E285" s="79" t="s">
        <v>65</v>
      </c>
      <c r="F285" s="79" t="s">
        <v>3725</v>
      </c>
      <c r="G285" s="79" t="s">
        <v>2996</v>
      </c>
      <c r="H285" s="79" t="s">
        <v>66</v>
      </c>
      <c r="I285" s="81"/>
      <c r="J285" s="81">
        <v>25</v>
      </c>
      <c r="K285" s="86"/>
      <c r="M285" s="78" t="s">
        <v>1060</v>
      </c>
      <c r="N285" s="82"/>
      <c r="O285" s="81" t="s">
        <v>2256</v>
      </c>
      <c r="P285" s="81" t="s">
        <v>2256</v>
      </c>
      <c r="Q285" s="81"/>
      <c r="R285" s="83">
        <v>500</v>
      </c>
      <c r="S285" s="79" t="s">
        <v>3484</v>
      </c>
      <c r="T285" s="84">
        <v>1250000</v>
      </c>
      <c r="U285" s="81"/>
      <c r="V285" s="81"/>
      <c r="W285" s="78" t="s">
        <v>1060</v>
      </c>
      <c r="X285" s="82"/>
      <c r="Y285" s="81" t="s">
        <v>2256</v>
      </c>
      <c r="Z285" s="81" t="s">
        <v>2256</v>
      </c>
      <c r="AA285" s="83">
        <v>2500</v>
      </c>
      <c r="AB285" s="85"/>
      <c r="AD285" s="78" t="s">
        <v>1060</v>
      </c>
      <c r="AE285" s="82"/>
      <c r="AF285" s="81" t="s">
        <v>2256</v>
      </c>
      <c r="AG285" s="81" t="s">
        <v>2256</v>
      </c>
      <c r="AH285" s="83">
        <v>3500</v>
      </c>
      <c r="AI285" s="85"/>
    </row>
    <row r="286" spans="1:35" s="79" customFormat="1" ht="11.25" customHeight="1" x14ac:dyDescent="0.2">
      <c r="A286" s="77" t="s">
        <v>1718</v>
      </c>
      <c r="B286" s="80">
        <v>834</v>
      </c>
      <c r="C286" s="81" t="s">
        <v>1717</v>
      </c>
      <c r="D286" s="73">
        <v>2500</v>
      </c>
      <c r="E286" s="79" t="s">
        <v>65</v>
      </c>
      <c r="F286" s="79" t="s">
        <v>3725</v>
      </c>
      <c r="G286" s="79" t="s">
        <v>2996</v>
      </c>
      <c r="H286" s="79" t="s">
        <v>66</v>
      </c>
      <c r="I286" s="81"/>
      <c r="J286" s="81">
        <v>25</v>
      </c>
      <c r="K286" s="86"/>
      <c r="M286" s="78" t="s">
        <v>1062</v>
      </c>
      <c r="N286" s="82" t="s">
        <v>1719</v>
      </c>
      <c r="O286" s="81" t="s">
        <v>2650</v>
      </c>
      <c r="P286" s="81" t="s">
        <v>2936</v>
      </c>
      <c r="Q286" s="81"/>
      <c r="R286" s="83" t="s">
        <v>3426</v>
      </c>
      <c r="S286" s="79" t="s">
        <v>3516</v>
      </c>
      <c r="T286" s="84" t="s">
        <v>3633</v>
      </c>
      <c r="U286" s="81"/>
      <c r="V286" s="81"/>
      <c r="W286" s="78" t="s">
        <v>1062</v>
      </c>
      <c r="X286" s="82" t="s">
        <v>1719</v>
      </c>
      <c r="Y286" s="81" t="s">
        <v>2650</v>
      </c>
      <c r="Z286" s="81" t="s">
        <v>2936</v>
      </c>
      <c r="AA286" s="81" t="s">
        <v>1229</v>
      </c>
      <c r="AB286" s="85"/>
      <c r="AD286" s="78" t="s">
        <v>1062</v>
      </c>
      <c r="AE286" s="82" t="s">
        <v>1719</v>
      </c>
      <c r="AF286" s="81" t="s">
        <v>2650</v>
      </c>
      <c r="AG286" s="81" t="s">
        <v>2936</v>
      </c>
      <c r="AH286" s="81" t="s">
        <v>1608</v>
      </c>
      <c r="AI286" s="85"/>
    </row>
    <row r="287" spans="1:35" s="79" customFormat="1" ht="11.25" customHeight="1" x14ac:dyDescent="0.2">
      <c r="A287" s="77" t="s">
        <v>1063</v>
      </c>
      <c r="B287" s="80">
        <v>679</v>
      </c>
      <c r="C287" s="81" t="s">
        <v>1062</v>
      </c>
      <c r="D287" s="73">
        <v>2500</v>
      </c>
      <c r="E287" s="79" t="s">
        <v>65</v>
      </c>
      <c r="F287" s="79" t="s">
        <v>3725</v>
      </c>
      <c r="G287" s="79" t="s">
        <v>2996</v>
      </c>
      <c r="H287" s="79" t="s">
        <v>66</v>
      </c>
      <c r="I287" s="81"/>
      <c r="J287" s="81">
        <v>25</v>
      </c>
      <c r="K287" s="86"/>
      <c r="M287" s="78" t="s">
        <v>1062</v>
      </c>
      <c r="N287" s="82"/>
      <c r="O287" s="81" t="s">
        <v>2256</v>
      </c>
      <c r="P287" s="81" t="s">
        <v>2256</v>
      </c>
      <c r="Q287" s="81"/>
      <c r="R287" s="83">
        <v>150</v>
      </c>
      <c r="S287" s="79" t="s">
        <v>3484</v>
      </c>
      <c r="T287" s="84">
        <v>375000</v>
      </c>
      <c r="U287" s="81"/>
      <c r="V287" s="81"/>
      <c r="W287" s="78" t="s">
        <v>1062</v>
      </c>
      <c r="X287" s="82"/>
      <c r="Y287" s="81" t="s">
        <v>2256</v>
      </c>
      <c r="Z287" s="81" t="s">
        <v>2256</v>
      </c>
      <c r="AA287" s="80">
        <v>750</v>
      </c>
      <c r="AB287" s="85"/>
      <c r="AD287" s="78" t="s">
        <v>1062</v>
      </c>
      <c r="AE287" s="82"/>
      <c r="AF287" s="81" t="s">
        <v>2256</v>
      </c>
      <c r="AG287" s="81" t="s">
        <v>2256</v>
      </c>
      <c r="AH287" s="83">
        <v>1000</v>
      </c>
      <c r="AI287" s="85"/>
    </row>
    <row r="288" spans="1:35" s="79" customFormat="1" ht="11.25" customHeight="1" x14ac:dyDescent="0.2">
      <c r="A288" s="77" t="s">
        <v>1618</v>
      </c>
      <c r="B288" s="80">
        <v>447</v>
      </c>
      <c r="C288" s="81" t="s">
        <v>1617</v>
      </c>
      <c r="D288" s="73">
        <v>2500</v>
      </c>
      <c r="E288" s="79" t="s">
        <v>65</v>
      </c>
      <c r="F288" s="79" t="s">
        <v>3725</v>
      </c>
      <c r="G288" s="79" t="s">
        <v>2996</v>
      </c>
      <c r="H288" s="79" t="s">
        <v>66</v>
      </c>
      <c r="I288" s="81"/>
      <c r="J288" s="81">
        <v>25</v>
      </c>
      <c r="K288" s="86"/>
      <c r="M288" s="78" t="s">
        <v>1064</v>
      </c>
      <c r="N288" s="82" t="s">
        <v>804</v>
      </c>
      <c r="O288" s="81" t="s">
        <v>2624</v>
      </c>
      <c r="P288" s="81" t="s">
        <v>2924</v>
      </c>
      <c r="Q288" s="81"/>
      <c r="R288" s="83" t="s">
        <v>67</v>
      </c>
      <c r="S288" s="79" t="s">
        <v>3515</v>
      </c>
      <c r="T288" s="84" t="s">
        <v>3415</v>
      </c>
      <c r="U288" s="81"/>
      <c r="V288" s="81"/>
      <c r="W288" s="78" t="s">
        <v>1064</v>
      </c>
      <c r="X288" s="82" t="s">
        <v>804</v>
      </c>
      <c r="Y288" s="81" t="s">
        <v>2624</v>
      </c>
      <c r="Z288" s="81" t="s">
        <v>2924</v>
      </c>
      <c r="AA288" s="81" t="s">
        <v>71</v>
      </c>
      <c r="AB288" s="85"/>
      <c r="AD288" s="78" t="s">
        <v>1064</v>
      </c>
      <c r="AE288" s="82" t="s">
        <v>804</v>
      </c>
      <c r="AF288" s="81" t="s">
        <v>2624</v>
      </c>
      <c r="AG288" s="81" t="s">
        <v>2924</v>
      </c>
      <c r="AH288" s="81" t="s">
        <v>70</v>
      </c>
      <c r="AI288" s="85"/>
    </row>
    <row r="289" spans="1:35" s="79" customFormat="1" ht="11.25" customHeight="1" x14ac:dyDescent="0.2">
      <c r="A289" s="77" t="s">
        <v>1065</v>
      </c>
      <c r="B289" s="80">
        <v>676</v>
      </c>
      <c r="C289" s="81" t="s">
        <v>1064</v>
      </c>
      <c r="D289" s="73">
        <v>2500</v>
      </c>
      <c r="E289" s="79" t="s">
        <v>65</v>
      </c>
      <c r="F289" s="79" t="s">
        <v>3725</v>
      </c>
      <c r="G289" s="79" t="s">
        <v>2996</v>
      </c>
      <c r="H289" s="79" t="s">
        <v>66</v>
      </c>
      <c r="I289" s="81"/>
      <c r="J289" s="81">
        <v>25</v>
      </c>
      <c r="K289" s="86"/>
      <c r="M289" s="78" t="s">
        <v>1064</v>
      </c>
      <c r="N289" s="82"/>
      <c r="O289" s="81" t="s">
        <v>2256</v>
      </c>
      <c r="P289" s="81" t="s">
        <v>2256</v>
      </c>
      <c r="Q289" s="81"/>
      <c r="R289" s="83">
        <v>500</v>
      </c>
      <c r="S289" s="79" t="s">
        <v>3484</v>
      </c>
      <c r="T289" s="84">
        <v>1250000</v>
      </c>
      <c r="U289" s="81"/>
      <c r="V289" s="81"/>
      <c r="W289" s="78" t="s">
        <v>1064</v>
      </c>
      <c r="X289" s="82"/>
      <c r="Y289" s="81" t="s">
        <v>2256</v>
      </c>
      <c r="Z289" s="81" t="s">
        <v>2256</v>
      </c>
      <c r="AA289" s="83">
        <v>2500</v>
      </c>
      <c r="AB289" s="85"/>
      <c r="AD289" s="78" t="s">
        <v>1064</v>
      </c>
      <c r="AE289" s="82"/>
      <c r="AF289" s="81" t="s">
        <v>2256</v>
      </c>
      <c r="AG289" s="81" t="s">
        <v>2256</v>
      </c>
      <c r="AH289" s="83">
        <v>3500</v>
      </c>
      <c r="AI289" s="85"/>
    </row>
    <row r="290" spans="1:35" s="79" customFormat="1" ht="11.25" customHeight="1" x14ac:dyDescent="0.2">
      <c r="A290" s="77" t="s">
        <v>1224</v>
      </c>
      <c r="B290" s="80">
        <v>454</v>
      </c>
      <c r="C290" s="81" t="s">
        <v>1223</v>
      </c>
      <c r="D290" s="73">
        <v>2500</v>
      </c>
      <c r="E290" s="79" t="s">
        <v>65</v>
      </c>
      <c r="F290" s="79" t="s">
        <v>3725</v>
      </c>
      <c r="G290" s="79" t="s">
        <v>2996</v>
      </c>
      <c r="H290" s="79" t="s">
        <v>66</v>
      </c>
      <c r="I290" s="81"/>
      <c r="J290" s="81">
        <v>25</v>
      </c>
      <c r="K290" s="86"/>
      <c r="M290" s="78" t="s">
        <v>1114</v>
      </c>
      <c r="N290" s="82" t="s">
        <v>1225</v>
      </c>
      <c r="O290" s="81" t="s">
        <v>2524</v>
      </c>
      <c r="P290" s="81" t="s">
        <v>2889</v>
      </c>
      <c r="Q290" s="81"/>
      <c r="R290" s="83" t="s">
        <v>3427</v>
      </c>
      <c r="S290" s="79" t="s">
        <v>3503</v>
      </c>
      <c r="T290" s="84" t="s">
        <v>3621</v>
      </c>
      <c r="U290" s="81"/>
      <c r="V290" s="81"/>
      <c r="W290" s="78" t="s">
        <v>1114</v>
      </c>
      <c r="X290" s="82" t="s">
        <v>1225</v>
      </c>
      <c r="Y290" s="81" t="s">
        <v>2524</v>
      </c>
      <c r="Z290" s="81" t="s">
        <v>2889</v>
      </c>
      <c r="AA290" s="81" t="s">
        <v>71</v>
      </c>
      <c r="AB290" s="85"/>
      <c r="AD290" s="78" t="s">
        <v>1114</v>
      </c>
      <c r="AE290" s="82" t="s">
        <v>1225</v>
      </c>
      <c r="AF290" s="81" t="s">
        <v>2524</v>
      </c>
      <c r="AG290" s="81" t="s">
        <v>2889</v>
      </c>
      <c r="AH290" s="81" t="s">
        <v>70</v>
      </c>
      <c r="AI290" s="85"/>
    </row>
    <row r="291" spans="1:35" s="79" customFormat="1" ht="11.25" customHeight="1" x14ac:dyDescent="0.2">
      <c r="A291" s="77" t="s">
        <v>1115</v>
      </c>
      <c r="B291" s="80">
        <v>707</v>
      </c>
      <c r="C291" s="81" t="s">
        <v>1114</v>
      </c>
      <c r="D291" s="73">
        <v>2500</v>
      </c>
      <c r="E291" s="79" t="s">
        <v>65</v>
      </c>
      <c r="F291" s="79" t="s">
        <v>3725</v>
      </c>
      <c r="G291" s="79" t="s">
        <v>2996</v>
      </c>
      <c r="H291" s="79" t="s">
        <v>66</v>
      </c>
      <c r="I291" s="81"/>
      <c r="J291" s="81">
        <v>25</v>
      </c>
      <c r="K291" s="86"/>
      <c r="M291" s="78" t="s">
        <v>1114</v>
      </c>
      <c r="N291" s="82"/>
      <c r="O291" s="81" t="s">
        <v>2256</v>
      </c>
      <c r="P291" s="81" t="s">
        <v>2256</v>
      </c>
      <c r="Q291" s="81"/>
      <c r="R291" s="83">
        <v>500</v>
      </c>
      <c r="S291" s="79" t="s">
        <v>3484</v>
      </c>
      <c r="T291" s="84">
        <v>1250000</v>
      </c>
      <c r="U291" s="81"/>
      <c r="V291" s="81"/>
      <c r="W291" s="78" t="s">
        <v>1114</v>
      </c>
      <c r="X291" s="82"/>
      <c r="Y291" s="81" t="s">
        <v>2256</v>
      </c>
      <c r="Z291" s="81" t="s">
        <v>2256</v>
      </c>
      <c r="AA291" s="83">
        <v>2500</v>
      </c>
      <c r="AB291" s="85"/>
      <c r="AD291" s="78" t="s">
        <v>1114</v>
      </c>
      <c r="AE291" s="82"/>
      <c r="AF291" s="81" t="s">
        <v>2256</v>
      </c>
      <c r="AG291" s="81" t="s">
        <v>2256</v>
      </c>
      <c r="AH291" s="83">
        <v>3500</v>
      </c>
      <c r="AI291" s="85"/>
    </row>
    <row r="292" spans="1:35" s="79" customFormat="1" ht="11.25" customHeight="1" x14ac:dyDescent="0.2">
      <c r="A292" s="77" t="s">
        <v>1227</v>
      </c>
      <c r="B292" s="80">
        <v>837</v>
      </c>
      <c r="C292" s="81" t="s">
        <v>1226</v>
      </c>
      <c r="D292" s="73">
        <v>2500</v>
      </c>
      <c r="E292" s="79" t="s">
        <v>65</v>
      </c>
      <c r="F292" s="79" t="s">
        <v>3725</v>
      </c>
      <c r="G292" s="79" t="s">
        <v>2996</v>
      </c>
      <c r="H292" s="79" t="s">
        <v>66</v>
      </c>
      <c r="I292" s="81"/>
      <c r="J292" s="81">
        <v>25</v>
      </c>
      <c r="K292" s="86"/>
      <c r="M292" s="78" t="s">
        <v>1116</v>
      </c>
      <c r="N292" s="82" t="s">
        <v>1228</v>
      </c>
      <c r="O292" s="81" t="s">
        <v>2525</v>
      </c>
      <c r="P292" s="81" t="s">
        <v>2890</v>
      </c>
      <c r="Q292" s="81"/>
      <c r="R292" s="83" t="s">
        <v>3445</v>
      </c>
      <c r="S292" s="79" t="s">
        <v>3504</v>
      </c>
      <c r="T292" s="84" t="s">
        <v>3627</v>
      </c>
      <c r="U292" s="81"/>
      <c r="V292" s="81"/>
      <c r="W292" s="78" t="s">
        <v>1116</v>
      </c>
      <c r="X292" s="82" t="s">
        <v>1228</v>
      </c>
      <c r="Y292" s="81" t="s">
        <v>2525</v>
      </c>
      <c r="Z292" s="81" t="s">
        <v>2890</v>
      </c>
      <c r="AA292" s="81" t="s">
        <v>1230</v>
      </c>
      <c r="AB292" s="85"/>
      <c r="AD292" s="78" t="s">
        <v>1116</v>
      </c>
      <c r="AE292" s="82" t="s">
        <v>1228</v>
      </c>
      <c r="AF292" s="81" t="s">
        <v>2525</v>
      </c>
      <c r="AG292" s="81" t="s">
        <v>2890</v>
      </c>
      <c r="AH292" s="81" t="s">
        <v>1229</v>
      </c>
      <c r="AI292" s="85"/>
    </row>
    <row r="293" spans="1:35" s="79" customFormat="1" ht="11.25" customHeight="1" x14ac:dyDescent="0.2">
      <c r="A293" s="77" t="s">
        <v>1117</v>
      </c>
      <c r="B293" s="80">
        <v>706</v>
      </c>
      <c r="C293" s="81" t="s">
        <v>1116</v>
      </c>
      <c r="D293" s="73">
        <v>2500</v>
      </c>
      <c r="E293" s="79" t="s">
        <v>65</v>
      </c>
      <c r="F293" s="79" t="s">
        <v>3725</v>
      </c>
      <c r="G293" s="79" t="s">
        <v>2996</v>
      </c>
      <c r="H293" s="79" t="s">
        <v>66</v>
      </c>
      <c r="I293" s="81"/>
      <c r="J293" s="81">
        <v>25</v>
      </c>
      <c r="K293" s="86"/>
      <c r="M293" s="78" t="s">
        <v>1116</v>
      </c>
      <c r="N293" s="82"/>
      <c r="O293" s="81" t="s">
        <v>2256</v>
      </c>
      <c r="P293" s="81" t="s">
        <v>2256</v>
      </c>
      <c r="Q293" s="81"/>
      <c r="R293" s="83">
        <v>100</v>
      </c>
      <c r="S293" s="79" t="s">
        <v>3484</v>
      </c>
      <c r="T293" s="84">
        <v>250000</v>
      </c>
      <c r="U293" s="81"/>
      <c r="V293" s="81"/>
      <c r="W293" s="78" t="s">
        <v>1116</v>
      </c>
      <c r="X293" s="82"/>
      <c r="Y293" s="81" t="s">
        <v>2256</v>
      </c>
      <c r="Z293" s="81" t="s">
        <v>2256</v>
      </c>
      <c r="AA293" s="80">
        <v>500</v>
      </c>
      <c r="AB293" s="85"/>
      <c r="AD293" s="78" t="s">
        <v>1116</v>
      </c>
      <c r="AE293" s="82"/>
      <c r="AF293" s="81" t="s">
        <v>2256</v>
      </c>
      <c r="AG293" s="81" t="s">
        <v>2256</v>
      </c>
      <c r="AH293" s="80">
        <v>750</v>
      </c>
      <c r="AI293" s="85"/>
    </row>
    <row r="294" spans="1:35" s="79" customFormat="1" ht="11.25" customHeight="1" x14ac:dyDescent="0.2">
      <c r="A294" s="77" t="s">
        <v>1232</v>
      </c>
      <c r="B294" s="80">
        <v>836</v>
      </c>
      <c r="C294" s="81" t="s">
        <v>1231</v>
      </c>
      <c r="D294" s="73">
        <v>2500</v>
      </c>
      <c r="E294" s="79" t="s">
        <v>65</v>
      </c>
      <c r="F294" s="79" t="s">
        <v>3725</v>
      </c>
      <c r="G294" s="79" t="s">
        <v>2996</v>
      </c>
      <c r="H294" s="79" t="s">
        <v>66</v>
      </c>
      <c r="I294" s="81"/>
      <c r="J294" s="81">
        <v>25</v>
      </c>
      <c r="K294" s="86"/>
      <c r="M294" s="78" t="s">
        <v>1118</v>
      </c>
      <c r="N294" s="82" t="s">
        <v>1233</v>
      </c>
      <c r="O294" s="81" t="s">
        <v>2526</v>
      </c>
      <c r="P294" s="81" t="s">
        <v>2891</v>
      </c>
      <c r="Q294" s="81"/>
      <c r="R294" s="83" t="s">
        <v>3434</v>
      </c>
      <c r="S294" s="79" t="s">
        <v>3505</v>
      </c>
      <c r="T294" s="84" t="s">
        <v>3631</v>
      </c>
      <c r="U294" s="81"/>
      <c r="V294" s="81"/>
      <c r="W294" s="78" t="s">
        <v>1118</v>
      </c>
      <c r="X294" s="82" t="s">
        <v>1233</v>
      </c>
      <c r="Y294" s="81" t="s">
        <v>2526</v>
      </c>
      <c r="Z294" s="81" t="s">
        <v>2891</v>
      </c>
      <c r="AA294" s="81" t="s">
        <v>414</v>
      </c>
      <c r="AB294" s="85"/>
      <c r="AD294" s="78" t="s">
        <v>1118</v>
      </c>
      <c r="AE294" s="82" t="s">
        <v>1233</v>
      </c>
      <c r="AF294" s="81" t="s">
        <v>2526</v>
      </c>
      <c r="AG294" s="81" t="s">
        <v>2891</v>
      </c>
      <c r="AH294" s="81" t="s">
        <v>290</v>
      </c>
      <c r="AI294" s="85"/>
    </row>
    <row r="295" spans="1:35" s="79" customFormat="1" ht="11.25" customHeight="1" x14ac:dyDescent="0.2">
      <c r="A295" s="77" t="s">
        <v>1119</v>
      </c>
      <c r="B295" s="80">
        <v>690</v>
      </c>
      <c r="C295" s="81" t="s">
        <v>1118</v>
      </c>
      <c r="D295" s="73">
        <v>2500</v>
      </c>
      <c r="E295" s="79" t="s">
        <v>65</v>
      </c>
      <c r="F295" s="79" t="s">
        <v>3725</v>
      </c>
      <c r="G295" s="79" t="s">
        <v>2996</v>
      </c>
      <c r="H295" s="79" t="s">
        <v>66</v>
      </c>
      <c r="I295" s="81"/>
      <c r="J295" s="81">
        <v>25</v>
      </c>
      <c r="K295" s="86"/>
      <c r="M295" s="78" t="s">
        <v>1118</v>
      </c>
      <c r="N295" s="82"/>
      <c r="O295" s="81" t="s">
        <v>2256</v>
      </c>
      <c r="P295" s="81" t="s">
        <v>2256</v>
      </c>
      <c r="Q295" s="81"/>
      <c r="R295" s="83">
        <v>1000</v>
      </c>
      <c r="S295" s="79" t="s">
        <v>3484</v>
      </c>
      <c r="T295" s="84">
        <v>2500000</v>
      </c>
      <c r="U295" s="81"/>
      <c r="V295" s="81"/>
      <c r="W295" s="78" t="s">
        <v>1118</v>
      </c>
      <c r="X295" s="82"/>
      <c r="Y295" s="81" t="s">
        <v>2256</v>
      </c>
      <c r="Z295" s="81" t="s">
        <v>2256</v>
      </c>
      <c r="AA295" s="83">
        <v>5000</v>
      </c>
      <c r="AB295" s="85"/>
      <c r="AD295" s="78" t="s">
        <v>1118</v>
      </c>
      <c r="AE295" s="82"/>
      <c r="AF295" s="81" t="s">
        <v>2256</v>
      </c>
      <c r="AG295" s="81" t="s">
        <v>2256</v>
      </c>
      <c r="AH295" s="83">
        <v>7000</v>
      </c>
      <c r="AI295" s="85"/>
    </row>
    <row r="296" spans="1:35" s="79" customFormat="1" ht="11.25" customHeight="1" x14ac:dyDescent="0.2">
      <c r="A296" s="77" t="s">
        <v>1235</v>
      </c>
      <c r="B296" s="80">
        <v>835</v>
      </c>
      <c r="C296" s="81" t="s">
        <v>1234</v>
      </c>
      <c r="D296" s="73">
        <v>2500</v>
      </c>
      <c r="E296" s="79" t="s">
        <v>65</v>
      </c>
      <c r="F296" s="79" t="s">
        <v>3725</v>
      </c>
      <c r="G296" s="79" t="s">
        <v>2996</v>
      </c>
      <c r="H296" s="79" t="s">
        <v>66</v>
      </c>
      <c r="I296" s="81"/>
      <c r="J296" s="81">
        <v>25</v>
      </c>
      <c r="K296" s="86"/>
      <c r="M296" s="78" t="s">
        <v>1120</v>
      </c>
      <c r="N296" s="82" t="s">
        <v>1236</v>
      </c>
      <c r="O296" s="81" t="s">
        <v>2527</v>
      </c>
      <c r="P296" s="81" t="s">
        <v>2892</v>
      </c>
      <c r="Q296" s="81"/>
      <c r="R296" s="83" t="s">
        <v>67</v>
      </c>
      <c r="S296" s="79" t="s">
        <v>3506</v>
      </c>
      <c r="T296" s="84" t="s">
        <v>3415</v>
      </c>
      <c r="U296" s="81"/>
      <c r="V296" s="81"/>
      <c r="W296" s="78" t="s">
        <v>1120</v>
      </c>
      <c r="X296" s="82" t="s">
        <v>1236</v>
      </c>
      <c r="Y296" s="81" t="s">
        <v>2527</v>
      </c>
      <c r="Z296" s="81" t="s">
        <v>2892</v>
      </c>
      <c r="AA296" s="81" t="s">
        <v>71</v>
      </c>
      <c r="AB296" s="85"/>
      <c r="AD296" s="78" t="s">
        <v>1120</v>
      </c>
      <c r="AE296" s="82" t="s">
        <v>1236</v>
      </c>
      <c r="AF296" s="81" t="s">
        <v>2527</v>
      </c>
      <c r="AG296" s="81" t="s">
        <v>2892</v>
      </c>
      <c r="AH296" s="81" t="s">
        <v>70</v>
      </c>
      <c r="AI296" s="85"/>
    </row>
    <row r="297" spans="1:35" s="79" customFormat="1" ht="11.25" customHeight="1" x14ac:dyDescent="0.2">
      <c r="A297" s="77" t="s">
        <v>1121</v>
      </c>
      <c r="B297" s="80">
        <v>689</v>
      </c>
      <c r="C297" s="81" t="s">
        <v>1120</v>
      </c>
      <c r="D297" s="73">
        <v>2500</v>
      </c>
      <c r="E297" s="79" t="s">
        <v>65</v>
      </c>
      <c r="F297" s="79" t="s">
        <v>3725</v>
      </c>
      <c r="G297" s="79" t="s">
        <v>2996</v>
      </c>
      <c r="H297" s="79" t="s">
        <v>66</v>
      </c>
      <c r="I297" s="81"/>
      <c r="J297" s="81">
        <v>25</v>
      </c>
      <c r="K297" s="86"/>
      <c r="M297" s="78" t="s">
        <v>1120</v>
      </c>
      <c r="N297" s="82"/>
      <c r="O297" s="81" t="s">
        <v>2256</v>
      </c>
      <c r="P297" s="81" t="s">
        <v>2256</v>
      </c>
      <c r="Q297" s="81"/>
      <c r="R297" s="83">
        <v>500</v>
      </c>
      <c r="S297" s="79" t="s">
        <v>3484</v>
      </c>
      <c r="T297" s="84">
        <v>1250000</v>
      </c>
      <c r="U297" s="81"/>
      <c r="V297" s="81"/>
      <c r="W297" s="78" t="s">
        <v>1120</v>
      </c>
      <c r="X297" s="82"/>
      <c r="Y297" s="81" t="s">
        <v>2256</v>
      </c>
      <c r="Z297" s="81" t="s">
        <v>2256</v>
      </c>
      <c r="AA297" s="83">
        <v>2500</v>
      </c>
      <c r="AB297" s="85"/>
      <c r="AD297" s="78" t="s">
        <v>1120</v>
      </c>
      <c r="AE297" s="82"/>
      <c r="AF297" s="81" t="s">
        <v>2256</v>
      </c>
      <c r="AG297" s="81" t="s">
        <v>2256</v>
      </c>
      <c r="AH297" s="83">
        <v>3500</v>
      </c>
      <c r="AI297" s="85"/>
    </row>
    <row r="298" spans="1:35" s="79" customFormat="1" ht="11.25" customHeight="1" x14ac:dyDescent="0.2">
      <c r="A298" s="77" t="s">
        <v>1084</v>
      </c>
      <c r="B298" s="80">
        <v>868</v>
      </c>
      <c r="C298" s="81" t="s">
        <v>1083</v>
      </c>
      <c r="D298" s="73">
        <v>10000</v>
      </c>
      <c r="E298" s="79" t="s">
        <v>65</v>
      </c>
      <c r="F298" s="79" t="s">
        <v>3725</v>
      </c>
      <c r="G298" s="79" t="s">
        <v>2996</v>
      </c>
      <c r="H298" s="79" t="s">
        <v>66</v>
      </c>
      <c r="I298" s="81" t="s">
        <v>3000</v>
      </c>
      <c r="J298" s="81">
        <v>25</v>
      </c>
      <c r="K298" s="86"/>
      <c r="M298" s="78" t="s">
        <v>1085</v>
      </c>
      <c r="N298" s="82"/>
      <c r="O298" s="81" t="s">
        <v>2494</v>
      </c>
      <c r="P298" s="81" t="s">
        <v>2256</v>
      </c>
      <c r="Q298" s="81"/>
      <c r="R298" s="83">
        <v>5000</v>
      </c>
      <c r="S298" s="79" t="s">
        <v>3606</v>
      </c>
      <c r="T298" s="84">
        <v>50000000</v>
      </c>
      <c r="U298" s="81"/>
      <c r="V298" s="81"/>
      <c r="W298" s="78" t="s">
        <v>1085</v>
      </c>
      <c r="X298" s="82"/>
      <c r="Y298" s="81" t="s">
        <v>2494</v>
      </c>
      <c r="Z298" s="81" t="s">
        <v>2256</v>
      </c>
      <c r="AA298" s="83">
        <v>10000</v>
      </c>
      <c r="AB298" s="85"/>
      <c r="AD298" s="78" t="s">
        <v>1085</v>
      </c>
      <c r="AE298" s="82"/>
      <c r="AF298" s="81" t="s">
        <v>2494</v>
      </c>
      <c r="AG298" s="81" t="s">
        <v>2256</v>
      </c>
      <c r="AH298" s="83">
        <v>10000</v>
      </c>
      <c r="AI298" s="85"/>
    </row>
    <row r="299" spans="1:35" s="79" customFormat="1" ht="11.25" customHeight="1" x14ac:dyDescent="0.2">
      <c r="A299" s="77" t="s">
        <v>1188</v>
      </c>
      <c r="B299" s="80">
        <v>1249</v>
      </c>
      <c r="C299" s="81" t="s">
        <v>1085</v>
      </c>
      <c r="D299" s="73">
        <v>10000</v>
      </c>
      <c r="E299" s="79" t="s">
        <v>65</v>
      </c>
      <c r="F299" s="79" t="s">
        <v>3725</v>
      </c>
      <c r="G299" s="79" t="s">
        <v>2996</v>
      </c>
      <c r="H299" s="79" t="s">
        <v>66</v>
      </c>
      <c r="I299" s="81" t="s">
        <v>3000</v>
      </c>
      <c r="J299" s="81">
        <v>25</v>
      </c>
      <c r="K299" s="86"/>
      <c r="M299" s="78" t="s">
        <v>1085</v>
      </c>
      <c r="N299" s="82"/>
      <c r="O299" s="81" t="s">
        <v>2256</v>
      </c>
      <c r="P299" s="81" t="s">
        <v>2256</v>
      </c>
      <c r="Q299" s="81"/>
      <c r="R299" s="83">
        <v>5000</v>
      </c>
      <c r="S299" s="79" t="s">
        <v>2999</v>
      </c>
      <c r="T299" s="84">
        <v>50000000</v>
      </c>
      <c r="U299" s="81"/>
      <c r="V299" s="81"/>
      <c r="W299" s="78" t="s">
        <v>1085</v>
      </c>
      <c r="X299" s="82"/>
      <c r="Y299" s="81" t="s">
        <v>2256</v>
      </c>
      <c r="Z299" s="81" t="s">
        <v>2256</v>
      </c>
      <c r="AA299" s="83">
        <v>10000</v>
      </c>
      <c r="AB299" s="85"/>
      <c r="AD299" s="78" t="s">
        <v>1085</v>
      </c>
      <c r="AE299" s="82"/>
      <c r="AF299" s="81" t="s">
        <v>2256</v>
      </c>
      <c r="AG299" s="81" t="s">
        <v>2256</v>
      </c>
      <c r="AH299" s="83">
        <v>10000</v>
      </c>
      <c r="AI299" s="85"/>
    </row>
    <row r="300" spans="1:35" s="79" customFormat="1" ht="11.25" customHeight="1" x14ac:dyDescent="0.2">
      <c r="A300" s="77" t="s">
        <v>221</v>
      </c>
      <c r="B300" s="80">
        <v>439</v>
      </c>
      <c r="C300" s="81" t="s">
        <v>220</v>
      </c>
      <c r="D300" s="73">
        <v>2500</v>
      </c>
      <c r="E300" s="79" t="s">
        <v>65</v>
      </c>
      <c r="F300" s="79" t="s">
        <v>3725</v>
      </c>
      <c r="G300" s="79" t="s">
        <v>2996</v>
      </c>
      <c r="H300" s="79" t="s">
        <v>66</v>
      </c>
      <c r="I300" s="81"/>
      <c r="J300" s="81">
        <v>25</v>
      </c>
      <c r="K300" s="86"/>
      <c r="M300" s="78" t="s">
        <v>223</v>
      </c>
      <c r="N300" s="82" t="s">
        <v>224</v>
      </c>
      <c r="O300" s="81" t="s">
        <v>2291</v>
      </c>
      <c r="P300" s="81" t="s">
        <v>2781</v>
      </c>
      <c r="Q300" s="81"/>
      <c r="R300" s="83" t="s">
        <v>222</v>
      </c>
      <c r="S300" s="79" t="s">
        <v>3483</v>
      </c>
      <c r="T300" s="84" t="s">
        <v>3615</v>
      </c>
      <c r="U300" s="81"/>
      <c r="V300" s="81"/>
      <c r="W300" s="78" t="s">
        <v>223</v>
      </c>
      <c r="X300" s="82" t="s">
        <v>224</v>
      </c>
      <c r="Y300" s="81" t="s">
        <v>2291</v>
      </c>
      <c r="Z300" s="81" t="s">
        <v>2781</v>
      </c>
      <c r="AA300" s="81" t="s">
        <v>226</v>
      </c>
      <c r="AB300" s="85"/>
      <c r="AD300" s="78" t="s">
        <v>223</v>
      </c>
      <c r="AE300" s="82" t="s">
        <v>224</v>
      </c>
      <c r="AF300" s="81" t="s">
        <v>2291</v>
      </c>
      <c r="AG300" s="81" t="s">
        <v>2781</v>
      </c>
      <c r="AH300" s="81" t="s">
        <v>225</v>
      </c>
      <c r="AI300" s="85"/>
    </row>
    <row r="301" spans="1:35" s="79" customFormat="1" ht="11.25" customHeight="1" x14ac:dyDescent="0.2">
      <c r="A301" s="77" t="s">
        <v>1221</v>
      </c>
      <c r="B301" s="80">
        <v>461</v>
      </c>
      <c r="C301" s="81" t="s">
        <v>223</v>
      </c>
      <c r="D301" s="73">
        <v>2500</v>
      </c>
      <c r="E301" s="79" t="s">
        <v>65</v>
      </c>
      <c r="F301" s="79" t="s">
        <v>3725</v>
      </c>
      <c r="G301" s="79" t="s">
        <v>2996</v>
      </c>
      <c r="H301" s="79" t="s">
        <v>66</v>
      </c>
      <c r="I301" s="81"/>
      <c r="J301" s="81">
        <v>25</v>
      </c>
      <c r="K301" s="86"/>
      <c r="M301" s="78" t="s">
        <v>223</v>
      </c>
      <c r="N301" s="82"/>
      <c r="O301" s="81" t="s">
        <v>2256</v>
      </c>
      <c r="P301" s="81" t="s">
        <v>2256</v>
      </c>
      <c r="Q301" s="81"/>
      <c r="R301" s="83">
        <v>100</v>
      </c>
      <c r="S301" s="79" t="s">
        <v>3484</v>
      </c>
      <c r="T301" s="84">
        <v>250000</v>
      </c>
      <c r="U301" s="81"/>
      <c r="V301" s="81"/>
      <c r="W301" s="78" t="s">
        <v>223</v>
      </c>
      <c r="X301" s="82"/>
      <c r="Y301" s="81" t="s">
        <v>2256</v>
      </c>
      <c r="Z301" s="81" t="s">
        <v>2256</v>
      </c>
      <c r="AA301" s="80">
        <v>500</v>
      </c>
      <c r="AB301" s="85"/>
      <c r="AD301" s="78" t="s">
        <v>223</v>
      </c>
      <c r="AE301" s="82"/>
      <c r="AF301" s="81" t="s">
        <v>2256</v>
      </c>
      <c r="AG301" s="81" t="s">
        <v>2256</v>
      </c>
      <c r="AH301" s="80">
        <v>750</v>
      </c>
      <c r="AI301" s="85"/>
    </row>
    <row r="302" spans="1:35" s="79" customFormat="1" ht="11.25" customHeight="1" x14ac:dyDescent="0.2">
      <c r="A302" s="77" t="s">
        <v>230</v>
      </c>
      <c r="B302" s="80">
        <v>438</v>
      </c>
      <c r="C302" s="81" t="s">
        <v>229</v>
      </c>
      <c r="D302" s="73">
        <v>2500</v>
      </c>
      <c r="E302" s="79" t="s">
        <v>65</v>
      </c>
      <c r="F302" s="79" t="s">
        <v>3725</v>
      </c>
      <c r="G302" s="79" t="s">
        <v>2996</v>
      </c>
      <c r="H302" s="79" t="s">
        <v>66</v>
      </c>
      <c r="I302" s="81"/>
      <c r="J302" s="81">
        <v>25</v>
      </c>
      <c r="K302" s="86"/>
      <c r="M302" s="78" t="s">
        <v>231</v>
      </c>
      <c r="N302" s="82" t="s">
        <v>232</v>
      </c>
      <c r="O302" s="81" t="s">
        <v>2292</v>
      </c>
      <c r="P302" s="81" t="s">
        <v>2782</v>
      </c>
      <c r="Q302" s="81"/>
      <c r="R302" s="83" t="s">
        <v>222</v>
      </c>
      <c r="S302" s="79" t="s">
        <v>3485</v>
      </c>
      <c r="T302" s="84" t="s">
        <v>3615</v>
      </c>
      <c r="U302" s="81"/>
      <c r="V302" s="81"/>
      <c r="W302" s="78" t="s">
        <v>231</v>
      </c>
      <c r="X302" s="82" t="s">
        <v>232</v>
      </c>
      <c r="Y302" s="81" t="s">
        <v>2292</v>
      </c>
      <c r="Z302" s="81" t="s">
        <v>2782</v>
      </c>
      <c r="AA302" s="81" t="s">
        <v>226</v>
      </c>
      <c r="AB302" s="85"/>
      <c r="AD302" s="78" t="s">
        <v>231</v>
      </c>
      <c r="AE302" s="82" t="s">
        <v>232</v>
      </c>
      <c r="AF302" s="81" t="s">
        <v>2292</v>
      </c>
      <c r="AG302" s="81" t="s">
        <v>2782</v>
      </c>
      <c r="AH302" s="81" t="s">
        <v>225</v>
      </c>
      <c r="AI302" s="85"/>
    </row>
    <row r="303" spans="1:35" s="79" customFormat="1" ht="11.25" customHeight="1" x14ac:dyDescent="0.2">
      <c r="A303" s="77" t="s">
        <v>1222</v>
      </c>
      <c r="B303" s="80">
        <v>460</v>
      </c>
      <c r="C303" s="81" t="s">
        <v>231</v>
      </c>
      <c r="D303" s="73">
        <v>2500</v>
      </c>
      <c r="E303" s="79" t="s">
        <v>65</v>
      </c>
      <c r="F303" s="79" t="s">
        <v>3725</v>
      </c>
      <c r="G303" s="79" t="s">
        <v>2996</v>
      </c>
      <c r="H303" s="79" t="s">
        <v>66</v>
      </c>
      <c r="I303" s="81"/>
      <c r="J303" s="81">
        <v>25</v>
      </c>
      <c r="K303" s="86"/>
      <c r="M303" s="78" t="s">
        <v>231</v>
      </c>
      <c r="N303" s="82"/>
      <c r="O303" s="81" t="s">
        <v>2256</v>
      </c>
      <c r="P303" s="81" t="s">
        <v>2256</v>
      </c>
      <c r="Q303" s="81"/>
      <c r="R303" s="83">
        <v>100</v>
      </c>
      <c r="S303" s="79" t="s">
        <v>3484</v>
      </c>
      <c r="T303" s="84">
        <v>250000</v>
      </c>
      <c r="U303" s="81"/>
      <c r="V303" s="81"/>
      <c r="W303" s="78" t="s">
        <v>231</v>
      </c>
      <c r="X303" s="82"/>
      <c r="Y303" s="81" t="s">
        <v>2256</v>
      </c>
      <c r="Z303" s="81" t="s">
        <v>2256</v>
      </c>
      <c r="AA303" s="80">
        <v>500</v>
      </c>
      <c r="AB303" s="85"/>
      <c r="AD303" s="78" t="s">
        <v>231</v>
      </c>
      <c r="AE303" s="82"/>
      <c r="AF303" s="81" t="s">
        <v>2256</v>
      </c>
      <c r="AG303" s="81" t="s">
        <v>2256</v>
      </c>
      <c r="AH303" s="80">
        <v>750</v>
      </c>
      <c r="AI303" s="85"/>
    </row>
    <row r="304" spans="1:35" s="79" customFormat="1" ht="11.25" customHeight="1" x14ac:dyDescent="0.2">
      <c r="A304" s="77" t="s">
        <v>1279</v>
      </c>
      <c r="B304" s="80">
        <v>1285</v>
      </c>
      <c r="C304" s="81" t="s">
        <v>1278</v>
      </c>
      <c r="D304" s="73">
        <v>2500</v>
      </c>
      <c r="E304" s="79" t="s">
        <v>65</v>
      </c>
      <c r="F304" s="79" t="s">
        <v>3725</v>
      </c>
      <c r="G304" s="79" t="s">
        <v>2996</v>
      </c>
      <c r="H304" s="79" t="s">
        <v>66</v>
      </c>
      <c r="I304" s="81"/>
      <c r="J304" s="81">
        <v>25</v>
      </c>
      <c r="K304" s="86"/>
      <c r="M304" s="78" t="s">
        <v>1278</v>
      </c>
      <c r="N304" s="82"/>
      <c r="O304" s="81" t="s">
        <v>2256</v>
      </c>
      <c r="P304" s="81" t="s">
        <v>2256</v>
      </c>
      <c r="Q304" s="81"/>
      <c r="R304" s="83">
        <v>500</v>
      </c>
      <c r="S304" s="79" t="s">
        <v>2999</v>
      </c>
      <c r="T304" s="84">
        <v>1250000</v>
      </c>
      <c r="U304" s="81"/>
      <c r="V304" s="81"/>
      <c r="W304" s="78" t="s">
        <v>1278</v>
      </c>
      <c r="X304" s="82"/>
      <c r="Y304" s="81" t="s">
        <v>2256</v>
      </c>
      <c r="Z304" s="81" t="s">
        <v>2256</v>
      </c>
      <c r="AA304" s="83">
        <v>10000</v>
      </c>
      <c r="AB304" s="85"/>
      <c r="AD304" s="78" t="s">
        <v>1278</v>
      </c>
      <c r="AE304" s="82"/>
      <c r="AF304" s="81" t="s">
        <v>2256</v>
      </c>
      <c r="AG304" s="81" t="s">
        <v>2256</v>
      </c>
      <c r="AH304" s="83">
        <v>10000</v>
      </c>
      <c r="AI304" s="85"/>
    </row>
    <row r="305" spans="1:35" s="79" customFormat="1" ht="11.25" customHeight="1" x14ac:dyDescent="0.2">
      <c r="A305" s="77" t="s">
        <v>1386</v>
      </c>
      <c r="B305" s="80">
        <v>619</v>
      </c>
      <c r="C305" s="81" t="s">
        <v>1385</v>
      </c>
      <c r="D305" s="73">
        <v>2500</v>
      </c>
      <c r="E305" s="79" t="s">
        <v>65</v>
      </c>
      <c r="F305" s="79" t="s">
        <v>3725</v>
      </c>
      <c r="G305" s="79" t="s">
        <v>2996</v>
      </c>
      <c r="H305" s="79" t="s">
        <v>66</v>
      </c>
      <c r="I305" s="81"/>
      <c r="J305" s="81">
        <v>175</v>
      </c>
      <c r="K305" s="86"/>
      <c r="M305" s="78" t="s">
        <v>1278</v>
      </c>
      <c r="N305" s="82"/>
      <c r="O305" s="81" t="s">
        <v>3710</v>
      </c>
      <c r="P305" s="81" t="s">
        <v>2256</v>
      </c>
      <c r="Q305" s="81"/>
      <c r="R305" s="83">
        <v>500</v>
      </c>
      <c r="S305" s="79" t="s">
        <v>3713</v>
      </c>
      <c r="T305" s="84">
        <v>1250000</v>
      </c>
      <c r="U305" s="81"/>
      <c r="V305" s="81"/>
      <c r="W305" s="78" t="s">
        <v>1278</v>
      </c>
      <c r="X305" s="82"/>
      <c r="Y305" s="81" t="s">
        <v>3710</v>
      </c>
      <c r="Z305" s="81" t="s">
        <v>2256</v>
      </c>
      <c r="AA305" s="83">
        <v>10000</v>
      </c>
      <c r="AB305" s="85"/>
      <c r="AD305" s="78" t="s">
        <v>1278</v>
      </c>
      <c r="AE305" s="82"/>
      <c r="AF305" s="81" t="s">
        <v>3710</v>
      </c>
      <c r="AG305" s="81" t="s">
        <v>2256</v>
      </c>
      <c r="AH305" s="83">
        <v>10000</v>
      </c>
      <c r="AI305" s="85"/>
    </row>
    <row r="306" spans="1:35" s="79" customFormat="1" ht="11.25" customHeight="1" x14ac:dyDescent="0.2">
      <c r="A306" s="77" t="s">
        <v>2045</v>
      </c>
      <c r="B306" s="81" t="s">
        <v>2046</v>
      </c>
      <c r="C306" s="81" t="s">
        <v>2044</v>
      </c>
      <c r="D306" s="73">
        <v>2500</v>
      </c>
      <c r="E306" s="79" t="s">
        <v>65</v>
      </c>
      <c r="F306" s="79" t="s">
        <v>30</v>
      </c>
      <c r="G306" s="79" t="s">
        <v>3001</v>
      </c>
      <c r="H306" s="79" t="s">
        <v>66</v>
      </c>
      <c r="I306" s="81"/>
      <c r="J306" s="81">
        <v>175</v>
      </c>
      <c r="K306" s="86"/>
      <c r="M306" s="78" t="s">
        <v>1278</v>
      </c>
      <c r="N306" s="82"/>
      <c r="O306" s="81" t="s">
        <v>3711</v>
      </c>
      <c r="P306" s="81" t="s">
        <v>2256</v>
      </c>
      <c r="Q306" s="81"/>
      <c r="R306" s="83">
        <v>500</v>
      </c>
      <c r="S306" s="79" t="s">
        <v>3713</v>
      </c>
      <c r="T306" s="84">
        <v>1250000</v>
      </c>
      <c r="U306" s="81"/>
      <c r="V306" s="81"/>
      <c r="W306" s="78" t="s">
        <v>1278</v>
      </c>
      <c r="X306" s="82"/>
      <c r="Y306" s="81" t="s">
        <v>3711</v>
      </c>
      <c r="Z306" s="81" t="s">
        <v>2256</v>
      </c>
      <c r="AA306" s="83">
        <v>10000</v>
      </c>
      <c r="AB306" s="85"/>
      <c r="AD306" s="78" t="s">
        <v>1278</v>
      </c>
      <c r="AE306" s="82"/>
      <c r="AF306" s="81" t="s">
        <v>3711</v>
      </c>
      <c r="AG306" s="81" t="s">
        <v>2256</v>
      </c>
      <c r="AH306" s="83">
        <v>10000</v>
      </c>
      <c r="AI306" s="85"/>
    </row>
    <row r="307" spans="1:35" s="79" customFormat="1" ht="11.25" customHeight="1" x14ac:dyDescent="0.2">
      <c r="A307" s="77" t="s">
        <v>1374</v>
      </c>
      <c r="B307" s="80">
        <v>517</v>
      </c>
      <c r="C307" s="81" t="s">
        <v>1026</v>
      </c>
      <c r="D307" s="73">
        <v>2500</v>
      </c>
      <c r="E307" s="79" t="s">
        <v>65</v>
      </c>
      <c r="F307" s="79" t="s">
        <v>3725</v>
      </c>
      <c r="G307" s="79" t="s">
        <v>2996</v>
      </c>
      <c r="H307" s="79" t="s">
        <v>66</v>
      </c>
      <c r="I307" s="81"/>
      <c r="J307" s="81">
        <v>175</v>
      </c>
      <c r="K307" s="86"/>
      <c r="M307" s="78" t="s">
        <v>1026</v>
      </c>
      <c r="N307" s="82"/>
      <c r="O307" s="81" t="s">
        <v>2256</v>
      </c>
      <c r="P307" s="81" t="s">
        <v>2256</v>
      </c>
      <c r="Q307" s="81"/>
      <c r="R307" s="83">
        <v>5000</v>
      </c>
      <c r="S307" s="79" t="s">
        <v>2999</v>
      </c>
      <c r="T307" s="84">
        <v>12500000</v>
      </c>
      <c r="U307" s="81"/>
      <c r="V307" s="81"/>
      <c r="W307" s="78" t="s">
        <v>1026</v>
      </c>
      <c r="X307" s="82"/>
      <c r="Y307" s="81" t="s">
        <v>2256</v>
      </c>
      <c r="Z307" s="81" t="s">
        <v>2256</v>
      </c>
      <c r="AA307" s="83">
        <v>10000</v>
      </c>
      <c r="AB307" s="85"/>
      <c r="AD307" s="78" t="s">
        <v>1026</v>
      </c>
      <c r="AE307" s="82"/>
      <c r="AF307" s="81" t="s">
        <v>2256</v>
      </c>
      <c r="AG307" s="81" t="s">
        <v>2256</v>
      </c>
      <c r="AH307" s="83">
        <v>10000</v>
      </c>
      <c r="AI307" s="85"/>
    </row>
    <row r="308" spans="1:35" s="79" customFormat="1" ht="11.25" customHeight="1" x14ac:dyDescent="0.2">
      <c r="A308" s="77" t="s">
        <v>1593</v>
      </c>
      <c r="B308" s="81" t="s">
        <v>1594</v>
      </c>
      <c r="C308" s="81" t="s">
        <v>1592</v>
      </c>
      <c r="D308" s="73">
        <v>2500</v>
      </c>
      <c r="E308" s="79" t="s">
        <v>65</v>
      </c>
      <c r="F308" s="79" t="s">
        <v>30</v>
      </c>
      <c r="G308" s="79" t="s">
        <v>3001</v>
      </c>
      <c r="H308" s="79" t="s">
        <v>66</v>
      </c>
      <c r="I308" s="81"/>
      <c r="J308" s="81">
        <v>25</v>
      </c>
      <c r="K308" s="86"/>
      <c r="M308" s="78" t="s">
        <v>1026</v>
      </c>
      <c r="N308" s="82"/>
      <c r="O308" s="81" t="s">
        <v>2618</v>
      </c>
      <c r="P308" s="81" t="s">
        <v>2256</v>
      </c>
      <c r="Q308" s="81"/>
      <c r="R308" s="83">
        <v>5000</v>
      </c>
      <c r="S308" s="79" t="s">
        <v>3197</v>
      </c>
      <c r="T308" s="84">
        <v>12500000</v>
      </c>
      <c r="U308" s="81"/>
      <c r="V308" s="81"/>
      <c r="W308" s="78" t="s">
        <v>1026</v>
      </c>
      <c r="X308" s="82"/>
      <c r="Y308" s="81" t="s">
        <v>2618</v>
      </c>
      <c r="Z308" s="81" t="s">
        <v>2256</v>
      </c>
      <c r="AA308" s="83">
        <v>10000</v>
      </c>
      <c r="AB308" s="85"/>
      <c r="AD308" s="78" t="s">
        <v>1026</v>
      </c>
      <c r="AE308" s="82"/>
      <c r="AF308" s="81" t="s">
        <v>2618</v>
      </c>
      <c r="AG308" s="81" t="s">
        <v>2256</v>
      </c>
      <c r="AH308" s="83">
        <v>10000</v>
      </c>
      <c r="AI308" s="85"/>
    </row>
    <row r="309" spans="1:35" s="79" customFormat="1" ht="11.25" customHeight="1" x14ac:dyDescent="0.2">
      <c r="A309" s="77" t="s">
        <v>1381</v>
      </c>
      <c r="B309" s="80">
        <v>767</v>
      </c>
      <c r="C309" s="81" t="s">
        <v>1225</v>
      </c>
      <c r="D309" s="73">
        <v>2500</v>
      </c>
      <c r="E309" s="79" t="s">
        <v>65</v>
      </c>
      <c r="F309" s="79" t="s">
        <v>3725</v>
      </c>
      <c r="G309" s="79" t="s">
        <v>2996</v>
      </c>
      <c r="H309" s="79" t="s">
        <v>66</v>
      </c>
      <c r="I309" s="81"/>
      <c r="J309" s="81">
        <v>25</v>
      </c>
      <c r="K309" s="86"/>
      <c r="M309" s="78" t="s">
        <v>1225</v>
      </c>
      <c r="N309" s="82"/>
      <c r="O309" s="81" t="s">
        <v>2256</v>
      </c>
      <c r="P309" s="81" t="s">
        <v>2256</v>
      </c>
      <c r="Q309" s="81"/>
      <c r="R309" s="83">
        <v>1000</v>
      </c>
      <c r="S309" s="79" t="s">
        <v>2999</v>
      </c>
      <c r="T309" s="84">
        <v>2500000</v>
      </c>
      <c r="U309" s="81"/>
      <c r="V309" s="81"/>
      <c r="W309" s="78" t="s">
        <v>1225</v>
      </c>
      <c r="X309" s="82"/>
      <c r="Y309" s="81" t="s">
        <v>2256</v>
      </c>
      <c r="Z309" s="81" t="s">
        <v>2256</v>
      </c>
      <c r="AA309" s="83">
        <v>10000</v>
      </c>
      <c r="AB309" s="85"/>
      <c r="AD309" s="78" t="s">
        <v>1225</v>
      </c>
      <c r="AE309" s="82"/>
      <c r="AF309" s="81" t="s">
        <v>2256</v>
      </c>
      <c r="AG309" s="81" t="s">
        <v>2256</v>
      </c>
      <c r="AH309" s="83">
        <v>10000</v>
      </c>
      <c r="AI309" s="85"/>
    </row>
    <row r="310" spans="1:35" s="79" customFormat="1" ht="11.25" customHeight="1" x14ac:dyDescent="0.2">
      <c r="A310" s="77" t="s">
        <v>1382</v>
      </c>
      <c r="B310" s="80">
        <v>627</v>
      </c>
      <c r="C310" s="81" t="s">
        <v>1018</v>
      </c>
      <c r="D310" s="73">
        <v>2500</v>
      </c>
      <c r="E310" s="79" t="s">
        <v>65</v>
      </c>
      <c r="F310" s="79" t="s">
        <v>3725</v>
      </c>
      <c r="G310" s="79" t="s">
        <v>2996</v>
      </c>
      <c r="H310" s="79" t="s">
        <v>66</v>
      </c>
      <c r="I310" s="81"/>
      <c r="J310" s="81">
        <v>175</v>
      </c>
      <c r="K310" s="86"/>
      <c r="M310" s="78" t="s">
        <v>1018</v>
      </c>
      <c r="N310" s="82"/>
      <c r="O310" s="81" t="s">
        <v>2256</v>
      </c>
      <c r="P310" s="81" t="s">
        <v>2256</v>
      </c>
      <c r="Q310" s="81"/>
      <c r="R310" s="83">
        <v>500</v>
      </c>
      <c r="S310" s="79" t="s">
        <v>2999</v>
      </c>
      <c r="T310" s="84">
        <v>1250000</v>
      </c>
      <c r="U310" s="81"/>
      <c r="V310" s="81"/>
      <c r="W310" s="78" t="s">
        <v>1018</v>
      </c>
      <c r="X310" s="82"/>
      <c r="Y310" s="81" t="s">
        <v>2256</v>
      </c>
      <c r="Z310" s="81" t="s">
        <v>2256</v>
      </c>
      <c r="AA310" s="83">
        <v>10000</v>
      </c>
      <c r="AB310" s="85"/>
      <c r="AD310" s="78" t="s">
        <v>1018</v>
      </c>
      <c r="AE310" s="82"/>
      <c r="AF310" s="81" t="s">
        <v>2256</v>
      </c>
      <c r="AG310" s="81" t="s">
        <v>2256</v>
      </c>
      <c r="AH310" s="83">
        <v>10000</v>
      </c>
      <c r="AI310" s="85"/>
    </row>
    <row r="311" spans="1:35" s="79" customFormat="1" ht="11.25" customHeight="1" x14ac:dyDescent="0.2">
      <c r="A311" s="77" t="s">
        <v>1392</v>
      </c>
      <c r="B311" s="80">
        <v>1284</v>
      </c>
      <c r="C311" s="81" t="s">
        <v>1391</v>
      </c>
      <c r="D311" s="73">
        <v>2500</v>
      </c>
      <c r="E311" s="79" t="s">
        <v>65</v>
      </c>
      <c r="F311" s="79" t="s">
        <v>3725</v>
      </c>
      <c r="G311" s="79" t="s">
        <v>2996</v>
      </c>
      <c r="H311" s="79" t="s">
        <v>66</v>
      </c>
      <c r="I311" s="81"/>
      <c r="J311" s="81">
        <v>25</v>
      </c>
      <c r="K311" s="86"/>
      <c r="M311" s="78" t="s">
        <v>1391</v>
      </c>
      <c r="N311" s="82"/>
      <c r="O311" s="81" t="s">
        <v>2256</v>
      </c>
      <c r="P311" s="81" t="s">
        <v>2256</v>
      </c>
      <c r="Q311" s="81"/>
      <c r="R311" s="83">
        <v>500</v>
      </c>
      <c r="S311" s="79" t="s">
        <v>2999</v>
      </c>
      <c r="T311" s="84">
        <v>1250000</v>
      </c>
      <c r="U311" s="81"/>
      <c r="V311" s="81"/>
      <c r="W311" s="78" t="s">
        <v>1391</v>
      </c>
      <c r="X311" s="82"/>
      <c r="Y311" s="81" t="s">
        <v>2256</v>
      </c>
      <c r="Z311" s="81" t="s">
        <v>2256</v>
      </c>
      <c r="AA311" s="83">
        <v>10000</v>
      </c>
      <c r="AB311" s="85"/>
      <c r="AD311" s="78" t="s">
        <v>1391</v>
      </c>
      <c r="AE311" s="82"/>
      <c r="AF311" s="81" t="s">
        <v>2256</v>
      </c>
      <c r="AG311" s="81" t="s">
        <v>2256</v>
      </c>
      <c r="AH311" s="83">
        <v>10000</v>
      </c>
      <c r="AI311" s="85"/>
    </row>
    <row r="312" spans="1:35" s="79" customFormat="1" ht="11.25" customHeight="1" x14ac:dyDescent="0.2">
      <c r="A312" s="77" t="s">
        <v>1398</v>
      </c>
      <c r="B312" s="80">
        <v>629</v>
      </c>
      <c r="C312" s="81" t="s">
        <v>1042</v>
      </c>
      <c r="D312" s="73">
        <v>2500</v>
      </c>
      <c r="E312" s="79" t="s">
        <v>65</v>
      </c>
      <c r="F312" s="79" t="s">
        <v>3725</v>
      </c>
      <c r="G312" s="79" t="s">
        <v>2996</v>
      </c>
      <c r="H312" s="79" t="s">
        <v>66</v>
      </c>
      <c r="I312" s="81"/>
      <c r="J312" s="81">
        <v>175</v>
      </c>
      <c r="K312" s="86"/>
      <c r="M312" s="78" t="s">
        <v>1391</v>
      </c>
      <c r="N312" s="82"/>
      <c r="O312" s="81" t="s">
        <v>3690</v>
      </c>
      <c r="P312" s="81" t="s">
        <v>2256</v>
      </c>
      <c r="Q312" s="81"/>
      <c r="R312" s="83">
        <v>500</v>
      </c>
      <c r="S312" s="79" t="s">
        <v>3694</v>
      </c>
      <c r="T312" s="84">
        <v>1250000</v>
      </c>
      <c r="U312" s="81"/>
      <c r="V312" s="81"/>
      <c r="W312" s="78" t="s">
        <v>1391</v>
      </c>
      <c r="X312" s="82"/>
      <c r="Y312" s="81" t="s">
        <v>3690</v>
      </c>
      <c r="Z312" s="81" t="s">
        <v>2256</v>
      </c>
      <c r="AA312" s="83">
        <v>10000</v>
      </c>
      <c r="AB312" s="85"/>
      <c r="AD312" s="78" t="s">
        <v>1391</v>
      </c>
      <c r="AE312" s="82"/>
      <c r="AF312" s="81" t="s">
        <v>3690</v>
      </c>
      <c r="AG312" s="81" t="s">
        <v>2256</v>
      </c>
      <c r="AH312" s="83">
        <v>10000</v>
      </c>
      <c r="AI312" s="85"/>
    </row>
    <row r="313" spans="1:35" s="79" customFormat="1" ht="11.25" customHeight="1" x14ac:dyDescent="0.2">
      <c r="A313" s="77" t="s">
        <v>2077</v>
      </c>
      <c r="B313" s="81" t="s">
        <v>2078</v>
      </c>
      <c r="C313" s="81" t="s">
        <v>2076</v>
      </c>
      <c r="D313" s="73">
        <v>2500</v>
      </c>
      <c r="E313" s="79" t="s">
        <v>65</v>
      </c>
      <c r="F313" s="79" t="s">
        <v>30</v>
      </c>
      <c r="G313" s="79" t="s">
        <v>3001</v>
      </c>
      <c r="H313" s="79" t="s">
        <v>66</v>
      </c>
      <c r="I313" s="81"/>
      <c r="J313" s="81">
        <v>175</v>
      </c>
      <c r="K313" s="86"/>
      <c r="M313" s="78" t="s">
        <v>1391</v>
      </c>
      <c r="N313" s="82"/>
      <c r="O313" s="81" t="s">
        <v>3691</v>
      </c>
      <c r="P313" s="81" t="s">
        <v>2256</v>
      </c>
      <c r="Q313" s="81"/>
      <c r="R313" s="83">
        <v>500</v>
      </c>
      <c r="S313" s="79" t="s">
        <v>3694</v>
      </c>
      <c r="T313" s="84">
        <v>1250000</v>
      </c>
      <c r="U313" s="81"/>
      <c r="V313" s="81"/>
      <c r="W313" s="78" t="s">
        <v>1391</v>
      </c>
      <c r="X313" s="82"/>
      <c r="Y313" s="81" t="s">
        <v>3691</v>
      </c>
      <c r="Z313" s="81" t="s">
        <v>2256</v>
      </c>
      <c r="AA313" s="83">
        <v>10000</v>
      </c>
      <c r="AB313" s="85"/>
      <c r="AD313" s="78" t="s">
        <v>1391</v>
      </c>
      <c r="AE313" s="82"/>
      <c r="AF313" s="81" t="s">
        <v>3691</v>
      </c>
      <c r="AG313" s="81" t="s">
        <v>2256</v>
      </c>
      <c r="AH313" s="83">
        <v>10000</v>
      </c>
      <c r="AI313" s="85"/>
    </row>
    <row r="314" spans="1:35" s="79" customFormat="1" ht="11.25" customHeight="1" x14ac:dyDescent="0.2">
      <c r="A314" s="77" t="s">
        <v>3379</v>
      </c>
      <c r="B314" s="80">
        <v>391</v>
      </c>
      <c r="C314" s="81" t="s">
        <v>3299</v>
      </c>
      <c r="D314" s="73">
        <v>10000</v>
      </c>
      <c r="E314" s="79" t="s">
        <v>65</v>
      </c>
      <c r="F314" s="79" t="s">
        <v>30</v>
      </c>
      <c r="G314" s="79" t="s">
        <v>2994</v>
      </c>
      <c r="H314" s="79" t="str">
        <f>VLOOKUP(M314,C:H,6,FALSE)</f>
        <v>Natural Gas</v>
      </c>
      <c r="I314" s="81"/>
      <c r="J314" s="81">
        <v>175</v>
      </c>
      <c r="K314" s="86"/>
      <c r="M314" s="78" t="s">
        <v>926</v>
      </c>
      <c r="N314" s="81" t="s">
        <v>926</v>
      </c>
      <c r="O314" s="81" t="s">
        <v>3305</v>
      </c>
      <c r="P314" s="81" t="s">
        <v>2256</v>
      </c>
      <c r="Q314" s="81"/>
      <c r="R314" s="83">
        <v>1000</v>
      </c>
      <c r="S314" s="79" t="s">
        <v>3571</v>
      </c>
      <c r="T314" s="84">
        <v>10000000</v>
      </c>
      <c r="U314" s="81"/>
      <c r="V314" s="81"/>
      <c r="W314" s="78" t="s">
        <v>926</v>
      </c>
      <c r="X314" s="81" t="s">
        <v>926</v>
      </c>
      <c r="Y314" s="81" t="s">
        <v>3305</v>
      </c>
      <c r="Z314" s="81" t="s">
        <v>2256</v>
      </c>
      <c r="AA314" s="83">
        <v>6000</v>
      </c>
      <c r="AB314" s="85"/>
      <c r="AD314" s="78" t="s">
        <v>926</v>
      </c>
      <c r="AE314" s="81" t="s">
        <v>926</v>
      </c>
      <c r="AF314" s="81" t="s">
        <v>3305</v>
      </c>
      <c r="AG314" s="81" t="s">
        <v>2256</v>
      </c>
      <c r="AH314" s="83">
        <v>12000</v>
      </c>
      <c r="AI314" s="85"/>
    </row>
    <row r="315" spans="1:35" s="79" customFormat="1" ht="11.25" customHeight="1" x14ac:dyDescent="0.2">
      <c r="A315" s="77" t="s">
        <v>3380</v>
      </c>
      <c r="B315" s="80">
        <v>391</v>
      </c>
      <c r="C315" s="81" t="s">
        <v>3300</v>
      </c>
      <c r="D315" s="73">
        <v>10000</v>
      </c>
      <c r="E315" s="79" t="s">
        <v>65</v>
      </c>
      <c r="F315" s="79" t="s">
        <v>30</v>
      </c>
      <c r="G315" s="79" t="s">
        <v>2994</v>
      </c>
      <c r="H315" s="79" t="str">
        <f>VLOOKUP(M315,C:H,6,FALSE)</f>
        <v>Natural Gas</v>
      </c>
      <c r="I315" s="81"/>
      <c r="J315" s="81">
        <v>175</v>
      </c>
      <c r="K315" s="86"/>
      <c r="M315" s="78" t="s">
        <v>926</v>
      </c>
      <c r="N315" s="81" t="s">
        <v>926</v>
      </c>
      <c r="O315" s="81" t="s">
        <v>3306</v>
      </c>
      <c r="P315" s="81" t="s">
        <v>2256</v>
      </c>
      <c r="Q315" s="81"/>
      <c r="R315" s="83">
        <v>1000</v>
      </c>
      <c r="S315" s="79" t="s">
        <v>3571</v>
      </c>
      <c r="T315" s="84">
        <v>10000000</v>
      </c>
      <c r="U315" s="81"/>
      <c r="V315" s="81"/>
      <c r="W315" s="78" t="s">
        <v>926</v>
      </c>
      <c r="X315" s="81" t="s">
        <v>926</v>
      </c>
      <c r="Y315" s="81" t="s">
        <v>3306</v>
      </c>
      <c r="Z315" s="81" t="s">
        <v>2256</v>
      </c>
      <c r="AA315" s="83">
        <v>6000</v>
      </c>
      <c r="AB315" s="85"/>
      <c r="AD315" s="78" t="s">
        <v>926</v>
      </c>
      <c r="AE315" s="81" t="s">
        <v>926</v>
      </c>
      <c r="AF315" s="81" t="s">
        <v>3306</v>
      </c>
      <c r="AG315" s="81" t="s">
        <v>2256</v>
      </c>
      <c r="AH315" s="83">
        <v>12000</v>
      </c>
      <c r="AI315" s="85"/>
    </row>
    <row r="316" spans="1:35" s="79" customFormat="1" ht="11.25" customHeight="1" x14ac:dyDescent="0.2">
      <c r="A316" s="77" t="s">
        <v>3381</v>
      </c>
      <c r="B316" s="80">
        <v>391</v>
      </c>
      <c r="C316" s="81" t="s">
        <v>3301</v>
      </c>
      <c r="D316" s="73">
        <v>10000</v>
      </c>
      <c r="E316" s="79" t="s">
        <v>65</v>
      </c>
      <c r="F316" s="79" t="s">
        <v>30</v>
      </c>
      <c r="G316" s="79" t="s">
        <v>2994</v>
      </c>
      <c r="H316" s="79" t="str">
        <f>VLOOKUP(M316,C:H,6,FALSE)</f>
        <v>Natural Gas</v>
      </c>
      <c r="I316" s="81"/>
      <c r="J316" s="81">
        <v>175</v>
      </c>
      <c r="K316" s="86"/>
      <c r="M316" s="78" t="s">
        <v>926</v>
      </c>
      <c r="N316" s="81" t="s">
        <v>926</v>
      </c>
      <c r="O316" s="81" t="s">
        <v>3307</v>
      </c>
      <c r="P316" s="81" t="s">
        <v>2256</v>
      </c>
      <c r="Q316" s="81"/>
      <c r="R316" s="83">
        <v>1000</v>
      </c>
      <c r="S316" s="79" t="s">
        <v>3571</v>
      </c>
      <c r="T316" s="84">
        <v>10000000</v>
      </c>
      <c r="U316" s="81"/>
      <c r="V316" s="81"/>
      <c r="W316" s="78" t="s">
        <v>926</v>
      </c>
      <c r="X316" s="81" t="s">
        <v>926</v>
      </c>
      <c r="Y316" s="81" t="s">
        <v>3307</v>
      </c>
      <c r="Z316" s="81" t="s">
        <v>2256</v>
      </c>
      <c r="AA316" s="83">
        <v>6000</v>
      </c>
      <c r="AB316" s="85"/>
      <c r="AD316" s="78" t="s">
        <v>926</v>
      </c>
      <c r="AE316" s="81" t="s">
        <v>926</v>
      </c>
      <c r="AF316" s="81" t="s">
        <v>3307</v>
      </c>
      <c r="AG316" s="81" t="s">
        <v>2256</v>
      </c>
      <c r="AH316" s="83">
        <v>12000</v>
      </c>
      <c r="AI316" s="85"/>
    </row>
    <row r="317" spans="1:35" s="79" customFormat="1" ht="11.25" customHeight="1" x14ac:dyDescent="0.2">
      <c r="A317" s="77" t="s">
        <v>3382</v>
      </c>
      <c r="B317" s="80">
        <v>391</v>
      </c>
      <c r="C317" s="81" t="s">
        <v>3302</v>
      </c>
      <c r="D317" s="73">
        <v>10000</v>
      </c>
      <c r="E317" s="79" t="s">
        <v>65</v>
      </c>
      <c r="F317" s="79" t="s">
        <v>30</v>
      </c>
      <c r="G317" s="79" t="s">
        <v>2994</v>
      </c>
      <c r="H317" s="79" t="str">
        <f>VLOOKUP(M317,C:H,6,FALSE)</f>
        <v>Natural Gas</v>
      </c>
      <c r="I317" s="81"/>
      <c r="J317" s="81">
        <v>175</v>
      </c>
      <c r="K317" s="86"/>
      <c r="M317" s="78" t="s">
        <v>926</v>
      </c>
      <c r="N317" s="81" t="s">
        <v>926</v>
      </c>
      <c r="O317" s="81" t="s">
        <v>3308</v>
      </c>
      <c r="P317" s="81" t="s">
        <v>2256</v>
      </c>
      <c r="Q317" s="81"/>
      <c r="R317" s="83">
        <v>1000</v>
      </c>
      <c r="S317" s="79" t="s">
        <v>3571</v>
      </c>
      <c r="T317" s="84">
        <v>10000000</v>
      </c>
      <c r="U317" s="81"/>
      <c r="V317" s="81"/>
      <c r="W317" s="78" t="s">
        <v>926</v>
      </c>
      <c r="X317" s="81" t="s">
        <v>926</v>
      </c>
      <c r="Y317" s="81" t="s">
        <v>3308</v>
      </c>
      <c r="Z317" s="81" t="s">
        <v>2256</v>
      </c>
      <c r="AA317" s="83">
        <v>6000</v>
      </c>
      <c r="AB317" s="85"/>
      <c r="AD317" s="78" t="s">
        <v>926</v>
      </c>
      <c r="AE317" s="81" t="s">
        <v>926</v>
      </c>
      <c r="AF317" s="81" t="s">
        <v>3308</v>
      </c>
      <c r="AG317" s="81" t="s">
        <v>2256</v>
      </c>
      <c r="AH317" s="83">
        <v>12000</v>
      </c>
      <c r="AI317" s="85"/>
    </row>
    <row r="318" spans="1:35" s="79" customFormat="1" ht="11.25" customHeight="1" x14ac:dyDescent="0.2">
      <c r="A318" s="77" t="s">
        <v>3383</v>
      </c>
      <c r="B318" s="80">
        <v>391</v>
      </c>
      <c r="C318" s="81" t="s">
        <v>3303</v>
      </c>
      <c r="D318" s="73">
        <v>10000</v>
      </c>
      <c r="E318" s="79" t="s">
        <v>65</v>
      </c>
      <c r="F318" s="79" t="s">
        <v>30</v>
      </c>
      <c r="G318" s="79" t="s">
        <v>2994</v>
      </c>
      <c r="H318" s="79" t="str">
        <f>VLOOKUP(M318,C:H,6,FALSE)</f>
        <v>Natural Gas</v>
      </c>
      <c r="I318" s="81"/>
      <c r="J318" s="81">
        <v>175</v>
      </c>
      <c r="K318" s="86"/>
      <c r="M318" s="78" t="s">
        <v>926</v>
      </c>
      <c r="N318" s="81" t="s">
        <v>926</v>
      </c>
      <c r="O318" s="81" t="s">
        <v>3310</v>
      </c>
      <c r="P318" s="81" t="s">
        <v>2256</v>
      </c>
      <c r="Q318" s="81"/>
      <c r="R318" s="83">
        <v>1000</v>
      </c>
      <c r="S318" s="79" t="s">
        <v>3571</v>
      </c>
      <c r="T318" s="84">
        <v>10000000</v>
      </c>
      <c r="U318" s="81"/>
      <c r="V318" s="81"/>
      <c r="W318" s="78" t="s">
        <v>926</v>
      </c>
      <c r="X318" s="81" t="s">
        <v>926</v>
      </c>
      <c r="Y318" s="81" t="s">
        <v>3310</v>
      </c>
      <c r="Z318" s="81" t="s">
        <v>2256</v>
      </c>
      <c r="AA318" s="83">
        <v>6000</v>
      </c>
      <c r="AB318" s="85"/>
      <c r="AD318" s="78" t="s">
        <v>926</v>
      </c>
      <c r="AE318" s="81" t="s">
        <v>926</v>
      </c>
      <c r="AF318" s="81" t="s">
        <v>3310</v>
      </c>
      <c r="AG318" s="81" t="s">
        <v>2256</v>
      </c>
      <c r="AH318" s="83">
        <v>12000</v>
      </c>
      <c r="AI318" s="85"/>
    </row>
    <row r="319" spans="1:35" s="79" customFormat="1" ht="11.25" customHeight="1" x14ac:dyDescent="0.2">
      <c r="A319" s="77" t="s">
        <v>3384</v>
      </c>
      <c r="B319" s="80">
        <v>391</v>
      </c>
      <c r="C319" s="81" t="s">
        <v>3304</v>
      </c>
      <c r="D319" s="73">
        <v>10000</v>
      </c>
      <c r="E319" s="79" t="s">
        <v>65</v>
      </c>
      <c r="F319" s="79" t="s">
        <v>30</v>
      </c>
      <c r="G319" s="79" t="s">
        <v>2994</v>
      </c>
      <c r="H319" s="79" t="str">
        <f>VLOOKUP(M319,C:H,6,FALSE)</f>
        <v>Natural Gas</v>
      </c>
      <c r="I319" s="81"/>
      <c r="J319" s="81">
        <v>175</v>
      </c>
      <c r="K319" s="86"/>
      <c r="M319" s="78" t="s">
        <v>926</v>
      </c>
      <c r="N319" s="81" t="s">
        <v>926</v>
      </c>
      <c r="O319" s="81" t="s">
        <v>3309</v>
      </c>
      <c r="P319" s="81" t="s">
        <v>2256</v>
      </c>
      <c r="Q319" s="81"/>
      <c r="R319" s="83">
        <v>1000</v>
      </c>
      <c r="S319" s="79" t="s">
        <v>3571</v>
      </c>
      <c r="T319" s="84">
        <v>10000000</v>
      </c>
      <c r="U319" s="81"/>
      <c r="V319" s="81"/>
      <c r="W319" s="78" t="s">
        <v>926</v>
      </c>
      <c r="X319" s="81" t="s">
        <v>926</v>
      </c>
      <c r="Y319" s="81" t="s">
        <v>3309</v>
      </c>
      <c r="Z319" s="81" t="s">
        <v>2256</v>
      </c>
      <c r="AA319" s="83">
        <v>6000</v>
      </c>
      <c r="AB319" s="85"/>
      <c r="AD319" s="78" t="s">
        <v>926</v>
      </c>
      <c r="AE319" s="81" t="s">
        <v>926</v>
      </c>
      <c r="AF319" s="81" t="s">
        <v>3309</v>
      </c>
      <c r="AG319" s="81" t="s">
        <v>2256</v>
      </c>
      <c r="AH319" s="83">
        <v>12000</v>
      </c>
      <c r="AI319" s="85"/>
    </row>
    <row r="320" spans="1:35" s="79" customFormat="1" ht="11.25" customHeight="1" x14ac:dyDescent="0.2">
      <c r="A320" s="77" t="s">
        <v>925</v>
      </c>
      <c r="B320" s="80">
        <v>374</v>
      </c>
      <c r="C320" s="81" t="s">
        <v>924</v>
      </c>
      <c r="D320" s="73">
        <v>10000</v>
      </c>
      <c r="E320" s="79" t="s">
        <v>65</v>
      </c>
      <c r="F320" s="79" t="s">
        <v>129</v>
      </c>
      <c r="G320" s="79" t="s">
        <v>2994</v>
      </c>
      <c r="H320" s="79" t="s">
        <v>66</v>
      </c>
      <c r="I320" s="81"/>
      <c r="J320" s="81">
        <v>175</v>
      </c>
      <c r="K320" s="86"/>
      <c r="M320" s="78" t="s">
        <v>926</v>
      </c>
      <c r="N320" s="82"/>
      <c r="O320" s="81" t="s">
        <v>2459</v>
      </c>
      <c r="P320" s="81" t="s">
        <v>2256</v>
      </c>
      <c r="Q320" s="81"/>
      <c r="R320" s="83">
        <v>1000</v>
      </c>
      <c r="S320" s="79" t="s">
        <v>3571</v>
      </c>
      <c r="T320" s="84">
        <v>10000000</v>
      </c>
      <c r="U320" s="81"/>
      <c r="V320" s="81"/>
      <c r="W320" s="78" t="s">
        <v>926</v>
      </c>
      <c r="X320" s="82"/>
      <c r="Y320" s="81" t="s">
        <v>2459</v>
      </c>
      <c r="Z320" s="81" t="s">
        <v>2256</v>
      </c>
      <c r="AA320" s="83">
        <v>6000</v>
      </c>
      <c r="AB320" s="85"/>
      <c r="AD320" s="78" t="s">
        <v>926</v>
      </c>
      <c r="AE320" s="82"/>
      <c r="AF320" s="81" t="s">
        <v>2459</v>
      </c>
      <c r="AG320" s="81" t="s">
        <v>2256</v>
      </c>
      <c r="AH320" s="83">
        <v>12000</v>
      </c>
      <c r="AI320" s="85"/>
    </row>
    <row r="321" spans="1:35" s="79" customFormat="1" ht="11.25" customHeight="1" x14ac:dyDescent="0.2">
      <c r="A321" s="77" t="s">
        <v>1312</v>
      </c>
      <c r="B321" s="80">
        <v>1156</v>
      </c>
      <c r="C321" s="81" t="s">
        <v>1311</v>
      </c>
      <c r="D321" s="73">
        <v>2500</v>
      </c>
      <c r="E321" s="79" t="s">
        <v>3405</v>
      </c>
      <c r="F321" s="79" t="s">
        <v>3725</v>
      </c>
      <c r="G321" s="79" t="s">
        <v>2997</v>
      </c>
      <c r="H321" s="79" t="s">
        <v>66</v>
      </c>
      <c r="I321" s="81"/>
      <c r="J321" s="81">
        <v>25</v>
      </c>
      <c r="K321" s="86"/>
      <c r="M321" s="78" t="s">
        <v>926</v>
      </c>
      <c r="N321" s="82"/>
      <c r="O321" s="81" t="s">
        <v>2554</v>
      </c>
      <c r="P321" s="81" t="s">
        <v>2256</v>
      </c>
      <c r="Q321" s="81"/>
      <c r="R321" s="83">
        <v>1000</v>
      </c>
      <c r="S321" s="79" t="s">
        <v>3571</v>
      </c>
      <c r="T321" s="84">
        <v>10000000</v>
      </c>
      <c r="U321" s="81"/>
      <c r="V321" s="81"/>
      <c r="W321" s="78" t="s">
        <v>926</v>
      </c>
      <c r="X321" s="82"/>
      <c r="Y321" s="81" t="s">
        <v>2554</v>
      </c>
      <c r="Z321" s="81" t="s">
        <v>2256</v>
      </c>
      <c r="AA321" s="83">
        <v>6000</v>
      </c>
      <c r="AB321" s="85"/>
      <c r="AD321" s="78" t="s">
        <v>926</v>
      </c>
      <c r="AE321" s="82"/>
      <c r="AF321" s="81" t="s">
        <v>2554</v>
      </c>
      <c r="AG321" s="81" t="s">
        <v>2256</v>
      </c>
      <c r="AH321" s="83">
        <v>12000</v>
      </c>
      <c r="AI321" s="85"/>
    </row>
    <row r="322" spans="1:35" s="79" customFormat="1" ht="11.25" customHeight="1" x14ac:dyDescent="0.2">
      <c r="A322" s="77" t="s">
        <v>1393</v>
      </c>
      <c r="B322" s="80">
        <v>220</v>
      </c>
      <c r="C322" s="81" t="s">
        <v>926</v>
      </c>
      <c r="D322" s="73">
        <v>10000</v>
      </c>
      <c r="E322" s="79" t="s">
        <v>65</v>
      </c>
      <c r="F322" s="79" t="s">
        <v>3725</v>
      </c>
      <c r="G322" s="79" t="s">
        <v>2997</v>
      </c>
      <c r="H322" s="79" t="s">
        <v>66</v>
      </c>
      <c r="I322" s="81"/>
      <c r="J322" s="81">
        <v>175</v>
      </c>
      <c r="K322" s="86"/>
      <c r="M322" s="78" t="s">
        <v>926</v>
      </c>
      <c r="N322" s="82"/>
      <c r="O322" s="81" t="s">
        <v>2256</v>
      </c>
      <c r="P322" s="81" t="s">
        <v>2256</v>
      </c>
      <c r="Q322" s="81"/>
      <c r="R322" s="83">
        <v>1000</v>
      </c>
      <c r="S322" s="79" t="s">
        <v>2999</v>
      </c>
      <c r="T322" s="84">
        <v>10000000</v>
      </c>
      <c r="U322" s="81"/>
      <c r="V322" s="81"/>
      <c r="W322" s="78" t="s">
        <v>926</v>
      </c>
      <c r="X322" s="82"/>
      <c r="Y322" s="81" t="s">
        <v>2256</v>
      </c>
      <c r="Z322" s="81" t="s">
        <v>2256</v>
      </c>
      <c r="AA322" s="83">
        <v>6000</v>
      </c>
      <c r="AB322" s="85"/>
      <c r="AD322" s="78" t="s">
        <v>926</v>
      </c>
      <c r="AE322" s="82"/>
      <c r="AF322" s="81" t="s">
        <v>2256</v>
      </c>
      <c r="AG322" s="81" t="s">
        <v>2256</v>
      </c>
      <c r="AH322" s="83">
        <v>12000</v>
      </c>
      <c r="AI322" s="85"/>
    </row>
    <row r="323" spans="1:35" s="79" customFormat="1" ht="11.25" customHeight="1" x14ac:dyDescent="0.2">
      <c r="A323" s="77" t="s">
        <v>1476</v>
      </c>
      <c r="B323" s="80">
        <v>370</v>
      </c>
      <c r="C323" s="81" t="s">
        <v>1475</v>
      </c>
      <c r="D323" s="73">
        <v>10000</v>
      </c>
      <c r="E323" s="79" t="s">
        <v>65</v>
      </c>
      <c r="F323" s="79" t="s">
        <v>129</v>
      </c>
      <c r="G323" s="79" t="s">
        <v>2994</v>
      </c>
      <c r="H323" s="79" t="s">
        <v>66</v>
      </c>
      <c r="I323" s="81"/>
      <c r="J323" s="81">
        <v>175</v>
      </c>
      <c r="K323" s="86"/>
      <c r="M323" s="78" t="s">
        <v>926</v>
      </c>
      <c r="N323" s="82"/>
      <c r="O323" s="81" t="s">
        <v>2597</v>
      </c>
      <c r="P323" s="81" t="s">
        <v>2256</v>
      </c>
      <c r="Q323" s="81"/>
      <c r="R323" s="83">
        <v>1000</v>
      </c>
      <c r="S323" s="79" t="s">
        <v>3571</v>
      </c>
      <c r="T323" s="84">
        <v>10000000</v>
      </c>
      <c r="U323" s="81"/>
      <c r="V323" s="81"/>
      <c r="W323" s="78" t="s">
        <v>926</v>
      </c>
      <c r="X323" s="82"/>
      <c r="Y323" s="81" t="s">
        <v>2597</v>
      </c>
      <c r="Z323" s="81" t="s">
        <v>2256</v>
      </c>
      <c r="AA323" s="83">
        <v>6000</v>
      </c>
      <c r="AB323" s="85"/>
      <c r="AD323" s="78" t="s">
        <v>926</v>
      </c>
      <c r="AE323" s="82"/>
      <c r="AF323" s="81" t="s">
        <v>2597</v>
      </c>
      <c r="AG323" s="81" t="s">
        <v>2256</v>
      </c>
      <c r="AH323" s="83">
        <v>12000</v>
      </c>
      <c r="AI323" s="85"/>
    </row>
    <row r="324" spans="1:35" s="79" customFormat="1" ht="11.25" customHeight="1" x14ac:dyDescent="0.2">
      <c r="A324" s="77" t="s">
        <v>1397</v>
      </c>
      <c r="B324" s="80">
        <v>628</v>
      </c>
      <c r="C324" s="81" t="s">
        <v>1034</v>
      </c>
      <c r="D324" s="73">
        <v>2500</v>
      </c>
      <c r="E324" s="79" t="s">
        <v>65</v>
      </c>
      <c r="F324" s="79" t="s">
        <v>3725</v>
      </c>
      <c r="G324" s="79" t="s">
        <v>2996</v>
      </c>
      <c r="H324" s="79" t="s">
        <v>66</v>
      </c>
      <c r="I324" s="81"/>
      <c r="J324" s="81">
        <v>25</v>
      </c>
      <c r="K324" s="86"/>
      <c r="M324" s="78" t="s">
        <v>1034</v>
      </c>
      <c r="N324" s="82"/>
      <c r="O324" s="81" t="s">
        <v>2256</v>
      </c>
      <c r="P324" s="81" t="s">
        <v>2256</v>
      </c>
      <c r="Q324" s="81"/>
      <c r="R324" s="83">
        <v>1000</v>
      </c>
      <c r="S324" s="79" t="s">
        <v>2999</v>
      </c>
      <c r="T324" s="84">
        <v>2500000</v>
      </c>
      <c r="U324" s="81"/>
      <c r="V324" s="81"/>
      <c r="W324" s="78" t="s">
        <v>1034</v>
      </c>
      <c r="X324" s="82"/>
      <c r="Y324" s="81" t="s">
        <v>2256</v>
      </c>
      <c r="Z324" s="81" t="s">
        <v>2256</v>
      </c>
      <c r="AA324" s="83">
        <v>10000</v>
      </c>
      <c r="AB324" s="85"/>
      <c r="AD324" s="78" t="s">
        <v>1034</v>
      </c>
      <c r="AE324" s="82"/>
      <c r="AF324" s="81" t="s">
        <v>2256</v>
      </c>
      <c r="AG324" s="81" t="s">
        <v>2256</v>
      </c>
      <c r="AH324" s="83">
        <v>10000</v>
      </c>
      <c r="AI324" s="85"/>
    </row>
    <row r="325" spans="1:35" s="79" customFormat="1" ht="11.25" customHeight="1" x14ac:dyDescent="0.2">
      <c r="A325" s="77" t="s">
        <v>1400</v>
      </c>
      <c r="B325" s="80">
        <v>770</v>
      </c>
      <c r="C325" s="81" t="s">
        <v>1399</v>
      </c>
      <c r="D325" s="73">
        <v>2500</v>
      </c>
      <c r="E325" s="79" t="s">
        <v>65</v>
      </c>
      <c r="F325" s="79" t="s">
        <v>3725</v>
      </c>
      <c r="G325" s="79" t="s">
        <v>2996</v>
      </c>
      <c r="H325" s="79" t="s">
        <v>66</v>
      </c>
      <c r="I325" s="81"/>
      <c r="J325" s="81">
        <v>25</v>
      </c>
      <c r="K325" s="86"/>
      <c r="M325" s="78" t="s">
        <v>1399</v>
      </c>
      <c r="N325" s="82"/>
      <c r="O325" s="81" t="s">
        <v>2256</v>
      </c>
      <c r="P325" s="81" t="s">
        <v>2256</v>
      </c>
      <c r="Q325" s="81"/>
      <c r="R325" s="83">
        <v>1500</v>
      </c>
      <c r="S325" s="79" t="s">
        <v>2999</v>
      </c>
      <c r="T325" s="84">
        <v>3750000</v>
      </c>
      <c r="U325" s="81"/>
      <c r="V325" s="81"/>
      <c r="W325" s="78" t="s">
        <v>1399</v>
      </c>
      <c r="X325" s="82"/>
      <c r="Y325" s="81" t="s">
        <v>2256</v>
      </c>
      <c r="Z325" s="81" t="s">
        <v>2256</v>
      </c>
      <c r="AA325" s="83">
        <v>10000</v>
      </c>
      <c r="AB325" s="85"/>
      <c r="AD325" s="78" t="s">
        <v>1399</v>
      </c>
      <c r="AE325" s="82"/>
      <c r="AF325" s="81" t="s">
        <v>2256</v>
      </c>
      <c r="AG325" s="81" t="s">
        <v>2256</v>
      </c>
      <c r="AH325" s="83">
        <v>10000</v>
      </c>
      <c r="AI325" s="85"/>
    </row>
    <row r="326" spans="1:35" s="79" customFormat="1" ht="11.25" customHeight="1" x14ac:dyDescent="0.2">
      <c r="A326" s="77" t="s">
        <v>1411</v>
      </c>
      <c r="B326" s="80">
        <v>771</v>
      </c>
      <c r="C326" s="81" t="s">
        <v>1410</v>
      </c>
      <c r="D326" s="73">
        <v>2500</v>
      </c>
      <c r="E326" s="79" t="s">
        <v>65</v>
      </c>
      <c r="F326" s="79" t="s">
        <v>3725</v>
      </c>
      <c r="G326" s="79" t="s">
        <v>2996</v>
      </c>
      <c r="H326" s="79" t="s">
        <v>66</v>
      </c>
      <c r="I326" s="81"/>
      <c r="J326" s="81">
        <v>25</v>
      </c>
      <c r="K326" s="86"/>
      <c r="M326" s="78" t="s">
        <v>1410</v>
      </c>
      <c r="N326" s="82"/>
      <c r="O326" s="81" t="s">
        <v>2256</v>
      </c>
      <c r="P326" s="81" t="s">
        <v>2256</v>
      </c>
      <c r="Q326" s="81"/>
      <c r="R326" s="83">
        <v>1500</v>
      </c>
      <c r="S326" s="79" t="s">
        <v>2999</v>
      </c>
      <c r="T326" s="84">
        <v>3750000</v>
      </c>
      <c r="U326" s="81"/>
      <c r="V326" s="81"/>
      <c r="W326" s="78" t="s">
        <v>1410</v>
      </c>
      <c r="X326" s="82"/>
      <c r="Y326" s="81" t="s">
        <v>2256</v>
      </c>
      <c r="Z326" s="81" t="s">
        <v>2256</v>
      </c>
      <c r="AA326" s="83">
        <v>10000</v>
      </c>
      <c r="AB326" s="85"/>
      <c r="AD326" s="78" t="s">
        <v>1410</v>
      </c>
      <c r="AE326" s="82"/>
      <c r="AF326" s="81" t="s">
        <v>2256</v>
      </c>
      <c r="AG326" s="81" t="s">
        <v>2256</v>
      </c>
      <c r="AH326" s="83">
        <v>10000</v>
      </c>
      <c r="AI326" s="85"/>
    </row>
    <row r="327" spans="1:35" s="79" customFormat="1" ht="11.25" customHeight="1" x14ac:dyDescent="0.2">
      <c r="A327" s="77" t="s">
        <v>2042</v>
      </c>
      <c r="B327" s="81" t="s">
        <v>2043</v>
      </c>
      <c r="C327" s="81" t="s">
        <v>2041</v>
      </c>
      <c r="D327" s="73">
        <v>2500</v>
      </c>
      <c r="E327" s="79" t="s">
        <v>65</v>
      </c>
      <c r="F327" s="79" t="s">
        <v>30</v>
      </c>
      <c r="G327" s="79" t="s">
        <v>3001</v>
      </c>
      <c r="H327" s="79" t="s">
        <v>66</v>
      </c>
      <c r="I327" s="81"/>
      <c r="J327" s="81">
        <v>25</v>
      </c>
      <c r="K327" s="86"/>
      <c r="M327" s="78" t="s">
        <v>1022</v>
      </c>
      <c r="N327" s="82"/>
      <c r="O327" s="81" t="s">
        <v>2715</v>
      </c>
      <c r="P327" s="81" t="s">
        <v>2256</v>
      </c>
      <c r="Q327" s="81"/>
      <c r="R327" s="83">
        <v>7500</v>
      </c>
      <c r="S327" s="79" t="s">
        <v>3243</v>
      </c>
      <c r="T327" s="84">
        <v>18750000</v>
      </c>
      <c r="U327" s="81"/>
      <c r="V327" s="81"/>
      <c r="W327" s="78" t="s">
        <v>1022</v>
      </c>
      <c r="X327" s="82"/>
      <c r="Y327" s="81" t="s">
        <v>2715</v>
      </c>
      <c r="Z327" s="81" t="s">
        <v>2256</v>
      </c>
      <c r="AA327" s="83">
        <v>10000</v>
      </c>
      <c r="AB327" s="85"/>
      <c r="AD327" s="78" t="s">
        <v>1022</v>
      </c>
      <c r="AE327" s="82"/>
      <c r="AF327" s="81" t="s">
        <v>2715</v>
      </c>
      <c r="AG327" s="81" t="s">
        <v>2256</v>
      </c>
      <c r="AH327" s="83">
        <v>10000</v>
      </c>
      <c r="AI327" s="85"/>
    </row>
    <row r="328" spans="1:35" s="79" customFormat="1" ht="11.25" customHeight="1" x14ac:dyDescent="0.2">
      <c r="A328" s="77" t="s">
        <v>1415</v>
      </c>
      <c r="B328" s="80">
        <v>520</v>
      </c>
      <c r="C328" s="81" t="s">
        <v>986</v>
      </c>
      <c r="D328" s="73">
        <v>2500</v>
      </c>
      <c r="E328" s="79" t="s">
        <v>65</v>
      </c>
      <c r="F328" s="79" t="s">
        <v>3725</v>
      </c>
      <c r="G328" s="79" t="s">
        <v>2996</v>
      </c>
      <c r="H328" s="79" t="s">
        <v>66</v>
      </c>
      <c r="I328" s="81"/>
      <c r="J328" s="81">
        <v>25</v>
      </c>
      <c r="K328" s="86"/>
      <c r="M328" s="78" t="s">
        <v>986</v>
      </c>
      <c r="N328" s="82"/>
      <c r="O328" s="81" t="s">
        <v>2256</v>
      </c>
      <c r="P328" s="81" t="s">
        <v>2256</v>
      </c>
      <c r="Q328" s="81"/>
      <c r="R328" s="83">
        <v>12500</v>
      </c>
      <c r="S328" s="79" t="s">
        <v>2999</v>
      </c>
      <c r="T328" s="84">
        <v>31250000</v>
      </c>
      <c r="U328" s="81"/>
      <c r="V328" s="81"/>
      <c r="W328" s="78" t="s">
        <v>986</v>
      </c>
      <c r="X328" s="82"/>
      <c r="Y328" s="81" t="s">
        <v>2256</v>
      </c>
      <c r="Z328" s="81" t="s">
        <v>2256</v>
      </c>
      <c r="AA328" s="83">
        <v>10000</v>
      </c>
      <c r="AB328" s="85"/>
      <c r="AD328" s="78" t="s">
        <v>986</v>
      </c>
      <c r="AE328" s="82"/>
      <c r="AF328" s="81" t="s">
        <v>2256</v>
      </c>
      <c r="AG328" s="81" t="s">
        <v>2256</v>
      </c>
      <c r="AH328" s="83">
        <v>10000</v>
      </c>
      <c r="AI328" s="85"/>
    </row>
    <row r="329" spans="1:35" s="79" customFormat="1" ht="11.25" customHeight="1" x14ac:dyDescent="0.2">
      <c r="A329" s="77" t="s">
        <v>2039</v>
      </c>
      <c r="B329" s="81" t="s">
        <v>2040</v>
      </c>
      <c r="C329" s="81" t="s">
        <v>2038</v>
      </c>
      <c r="D329" s="73">
        <v>2500</v>
      </c>
      <c r="E329" s="79" t="s">
        <v>65</v>
      </c>
      <c r="F329" s="79" t="s">
        <v>30</v>
      </c>
      <c r="G329" s="79" t="s">
        <v>3001</v>
      </c>
      <c r="H329" s="79" t="s">
        <v>66</v>
      </c>
      <c r="I329" s="81"/>
      <c r="J329" s="81">
        <v>25</v>
      </c>
      <c r="K329" s="86"/>
      <c r="M329" s="78" t="s">
        <v>986</v>
      </c>
      <c r="N329" s="82"/>
      <c r="O329" s="81" t="s">
        <v>2714</v>
      </c>
      <c r="P329" s="81" t="s">
        <v>2256</v>
      </c>
      <c r="Q329" s="81"/>
      <c r="R329" s="83">
        <v>12500</v>
      </c>
      <c r="S329" s="79" t="s">
        <v>3242</v>
      </c>
      <c r="T329" s="84">
        <v>31250000</v>
      </c>
      <c r="U329" s="81"/>
      <c r="V329" s="81"/>
      <c r="W329" s="78" t="s">
        <v>986</v>
      </c>
      <c r="X329" s="82"/>
      <c r="Y329" s="81" t="s">
        <v>2714</v>
      </c>
      <c r="Z329" s="81" t="s">
        <v>2256</v>
      </c>
      <c r="AA329" s="83">
        <v>10000</v>
      </c>
      <c r="AB329" s="85"/>
      <c r="AD329" s="78" t="s">
        <v>986</v>
      </c>
      <c r="AE329" s="82"/>
      <c r="AF329" s="81" t="s">
        <v>2714</v>
      </c>
      <c r="AG329" s="81" t="s">
        <v>2256</v>
      </c>
      <c r="AH329" s="83">
        <v>10000</v>
      </c>
      <c r="AI329" s="85"/>
    </row>
    <row r="330" spans="1:35" s="79" customFormat="1" ht="11.25" customHeight="1" x14ac:dyDescent="0.2">
      <c r="A330" s="77" t="s">
        <v>2091</v>
      </c>
      <c r="B330" s="81" t="s">
        <v>2092</v>
      </c>
      <c r="C330" s="81" t="s">
        <v>2090</v>
      </c>
      <c r="D330" s="73">
        <v>2500</v>
      </c>
      <c r="E330" s="79" t="s">
        <v>65</v>
      </c>
      <c r="F330" s="79" t="s">
        <v>30</v>
      </c>
      <c r="G330" s="79" t="s">
        <v>3001</v>
      </c>
      <c r="H330" s="79" t="s">
        <v>66</v>
      </c>
      <c r="I330" s="81"/>
      <c r="J330" s="81">
        <v>25</v>
      </c>
      <c r="K330" s="86"/>
      <c r="M330" s="78" t="s">
        <v>986</v>
      </c>
      <c r="N330" s="82"/>
      <c r="O330" s="81" t="s">
        <v>2722</v>
      </c>
      <c r="P330" s="81" t="s">
        <v>2256</v>
      </c>
      <c r="Q330" s="81"/>
      <c r="R330" s="83">
        <v>12500</v>
      </c>
      <c r="S330" s="79" t="s">
        <v>3242</v>
      </c>
      <c r="T330" s="84">
        <v>31250000</v>
      </c>
      <c r="U330" s="81"/>
      <c r="V330" s="81"/>
      <c r="W330" s="78" t="s">
        <v>986</v>
      </c>
      <c r="X330" s="82"/>
      <c r="Y330" s="81" t="s">
        <v>2722</v>
      </c>
      <c r="Z330" s="81" t="s">
        <v>2256</v>
      </c>
      <c r="AA330" s="83">
        <v>10000</v>
      </c>
      <c r="AB330" s="85"/>
      <c r="AD330" s="78" t="s">
        <v>986</v>
      </c>
      <c r="AE330" s="82"/>
      <c r="AF330" s="81" t="s">
        <v>2722</v>
      </c>
      <c r="AG330" s="81" t="s">
        <v>2256</v>
      </c>
      <c r="AH330" s="83">
        <v>10000</v>
      </c>
      <c r="AI330" s="85"/>
    </row>
    <row r="331" spans="1:35" s="79" customFormat="1" ht="11.25" customHeight="1" x14ac:dyDescent="0.2">
      <c r="A331" s="77" t="s">
        <v>1418</v>
      </c>
      <c r="B331" s="80">
        <v>773</v>
      </c>
      <c r="C331" s="81" t="s">
        <v>1228</v>
      </c>
      <c r="D331" s="73">
        <v>2500</v>
      </c>
      <c r="E331" s="79" t="s">
        <v>65</v>
      </c>
      <c r="F331" s="79" t="s">
        <v>3725</v>
      </c>
      <c r="G331" s="79" t="s">
        <v>2996</v>
      </c>
      <c r="H331" s="79" t="s">
        <v>66</v>
      </c>
      <c r="I331" s="81"/>
      <c r="J331" s="81">
        <v>25</v>
      </c>
      <c r="K331" s="86"/>
      <c r="M331" s="78" t="s">
        <v>1228</v>
      </c>
      <c r="N331" s="82"/>
      <c r="O331" s="81" t="s">
        <v>2256</v>
      </c>
      <c r="P331" s="81" t="s">
        <v>2256</v>
      </c>
      <c r="Q331" s="81"/>
      <c r="R331" s="83">
        <v>1000</v>
      </c>
      <c r="S331" s="79" t="s">
        <v>2999</v>
      </c>
      <c r="T331" s="84">
        <v>2500000</v>
      </c>
      <c r="U331" s="81"/>
      <c r="V331" s="81"/>
      <c r="W331" s="78" t="s">
        <v>1228</v>
      </c>
      <c r="X331" s="82"/>
      <c r="Y331" s="81" t="s">
        <v>2256</v>
      </c>
      <c r="Z331" s="81" t="s">
        <v>2256</v>
      </c>
      <c r="AA331" s="83">
        <v>10000</v>
      </c>
      <c r="AB331" s="85"/>
      <c r="AD331" s="78" t="s">
        <v>1228</v>
      </c>
      <c r="AE331" s="82"/>
      <c r="AF331" s="81" t="s">
        <v>2256</v>
      </c>
      <c r="AG331" s="81" t="s">
        <v>2256</v>
      </c>
      <c r="AH331" s="83">
        <v>10000</v>
      </c>
      <c r="AI331" s="85"/>
    </row>
    <row r="332" spans="1:35" s="79" customFormat="1" ht="11.25" customHeight="1" x14ac:dyDescent="0.2">
      <c r="A332" s="77" t="s">
        <v>1420</v>
      </c>
      <c r="B332" s="80">
        <v>768</v>
      </c>
      <c r="C332" s="81" t="s">
        <v>1419</v>
      </c>
      <c r="D332" s="73">
        <v>2500</v>
      </c>
      <c r="E332" s="79" t="s">
        <v>65</v>
      </c>
      <c r="F332" s="79" t="s">
        <v>3725</v>
      </c>
      <c r="G332" s="79" t="s">
        <v>2996</v>
      </c>
      <c r="H332" s="79" t="s">
        <v>66</v>
      </c>
      <c r="I332" s="81"/>
      <c r="J332" s="81">
        <v>25</v>
      </c>
      <c r="K332" s="86"/>
      <c r="M332" s="78" t="s">
        <v>1419</v>
      </c>
      <c r="N332" s="82"/>
      <c r="O332" s="81" t="s">
        <v>2256</v>
      </c>
      <c r="P332" s="81" t="s">
        <v>2256</v>
      </c>
      <c r="Q332" s="81"/>
      <c r="R332" s="83">
        <v>1000</v>
      </c>
      <c r="S332" s="79" t="s">
        <v>2999</v>
      </c>
      <c r="T332" s="84">
        <v>2500000</v>
      </c>
      <c r="U332" s="81"/>
      <c r="V332" s="81"/>
      <c r="W332" s="78" t="s">
        <v>1419</v>
      </c>
      <c r="X332" s="82"/>
      <c r="Y332" s="81" t="s">
        <v>2256</v>
      </c>
      <c r="Z332" s="81" t="s">
        <v>2256</v>
      </c>
      <c r="AA332" s="83">
        <v>10000</v>
      </c>
      <c r="AB332" s="85"/>
      <c r="AD332" s="78" t="s">
        <v>1419</v>
      </c>
      <c r="AE332" s="82"/>
      <c r="AF332" s="81" t="s">
        <v>2256</v>
      </c>
      <c r="AG332" s="81" t="s">
        <v>2256</v>
      </c>
      <c r="AH332" s="83">
        <v>10000</v>
      </c>
      <c r="AI332" s="85"/>
    </row>
    <row r="333" spans="1:35" s="79" customFormat="1" ht="11.25" customHeight="1" x14ac:dyDescent="0.2">
      <c r="A333" s="77" t="s">
        <v>1426</v>
      </c>
      <c r="B333" s="80">
        <v>621</v>
      </c>
      <c r="C333" s="81" t="s">
        <v>1046</v>
      </c>
      <c r="D333" s="73">
        <v>2500</v>
      </c>
      <c r="E333" s="79" t="s">
        <v>65</v>
      </c>
      <c r="F333" s="79" t="s">
        <v>3725</v>
      </c>
      <c r="G333" s="79" t="s">
        <v>2996</v>
      </c>
      <c r="H333" s="79" t="s">
        <v>66</v>
      </c>
      <c r="I333" s="81"/>
      <c r="J333" s="81">
        <v>25</v>
      </c>
      <c r="K333" s="86"/>
      <c r="M333" s="78" t="s">
        <v>1046</v>
      </c>
      <c r="N333" s="82"/>
      <c r="O333" s="81" t="s">
        <v>2256</v>
      </c>
      <c r="P333" s="81" t="s">
        <v>2256</v>
      </c>
      <c r="Q333" s="81"/>
      <c r="R333" s="83">
        <v>1500</v>
      </c>
      <c r="S333" s="79" t="s">
        <v>2999</v>
      </c>
      <c r="T333" s="84">
        <v>3750000</v>
      </c>
      <c r="U333" s="81"/>
      <c r="V333" s="81"/>
      <c r="W333" s="78" t="s">
        <v>1046</v>
      </c>
      <c r="X333" s="82"/>
      <c r="Y333" s="81" t="s">
        <v>2256</v>
      </c>
      <c r="Z333" s="81" t="s">
        <v>2256</v>
      </c>
      <c r="AA333" s="83">
        <v>10000</v>
      </c>
      <c r="AB333" s="85"/>
      <c r="AD333" s="78" t="s">
        <v>1046</v>
      </c>
      <c r="AE333" s="82"/>
      <c r="AF333" s="81" t="s">
        <v>2256</v>
      </c>
      <c r="AG333" s="81" t="s">
        <v>2256</v>
      </c>
      <c r="AH333" s="83">
        <v>10000</v>
      </c>
      <c r="AI333" s="85"/>
    </row>
    <row r="334" spans="1:35" s="79" customFormat="1" ht="11.25" customHeight="1" x14ac:dyDescent="0.2">
      <c r="A334" s="77" t="s">
        <v>2094</v>
      </c>
      <c r="B334" s="81" t="s">
        <v>2095</v>
      </c>
      <c r="C334" s="81" t="s">
        <v>2093</v>
      </c>
      <c r="D334" s="73">
        <v>2500</v>
      </c>
      <c r="E334" s="79" t="s">
        <v>65</v>
      </c>
      <c r="F334" s="79" t="s">
        <v>30</v>
      </c>
      <c r="G334" s="79" t="s">
        <v>3001</v>
      </c>
      <c r="H334" s="79" t="s">
        <v>66</v>
      </c>
      <c r="I334" s="81"/>
      <c r="J334" s="81">
        <v>25</v>
      </c>
      <c r="K334" s="86"/>
      <c r="M334" s="78" t="s">
        <v>1046</v>
      </c>
      <c r="N334" s="82"/>
      <c r="O334" s="81" t="s">
        <v>2723</v>
      </c>
      <c r="P334" s="81" t="s">
        <v>2256</v>
      </c>
      <c r="Q334" s="81"/>
      <c r="R334" s="83">
        <v>1500</v>
      </c>
      <c r="S334" s="79" t="s">
        <v>3246</v>
      </c>
      <c r="T334" s="84">
        <v>3750000</v>
      </c>
      <c r="U334" s="81"/>
      <c r="V334" s="81"/>
      <c r="W334" s="78" t="s">
        <v>1046</v>
      </c>
      <c r="X334" s="82"/>
      <c r="Y334" s="81" t="s">
        <v>2723</v>
      </c>
      <c r="Z334" s="81" t="s">
        <v>2256</v>
      </c>
      <c r="AA334" s="83">
        <v>10000</v>
      </c>
      <c r="AB334" s="85"/>
      <c r="AD334" s="78" t="s">
        <v>1046</v>
      </c>
      <c r="AE334" s="82"/>
      <c r="AF334" s="81" t="s">
        <v>2723</v>
      </c>
      <c r="AG334" s="81" t="s">
        <v>2256</v>
      </c>
      <c r="AH334" s="83">
        <v>10000</v>
      </c>
      <c r="AI334" s="85"/>
    </row>
    <row r="335" spans="1:35" s="79" customFormat="1" ht="11.25" customHeight="1" x14ac:dyDescent="0.2">
      <c r="A335" s="77" t="s">
        <v>1448</v>
      </c>
      <c r="B335" s="80">
        <v>521</v>
      </c>
      <c r="C335" s="81" t="s">
        <v>1030</v>
      </c>
      <c r="D335" s="73">
        <v>2500</v>
      </c>
      <c r="E335" s="79" t="s">
        <v>65</v>
      </c>
      <c r="F335" s="79" t="s">
        <v>3725</v>
      </c>
      <c r="G335" s="79" t="s">
        <v>2996</v>
      </c>
      <c r="H335" s="79" t="s">
        <v>66</v>
      </c>
      <c r="I335" s="81"/>
      <c r="J335" s="81">
        <v>25</v>
      </c>
      <c r="K335" s="86"/>
      <c r="M335" s="78" t="s">
        <v>1030</v>
      </c>
      <c r="N335" s="82"/>
      <c r="O335" s="81" t="s">
        <v>2256</v>
      </c>
      <c r="P335" s="81" t="s">
        <v>2256</v>
      </c>
      <c r="Q335" s="81"/>
      <c r="R335" s="83">
        <v>1500</v>
      </c>
      <c r="S335" s="79" t="s">
        <v>2999</v>
      </c>
      <c r="T335" s="84">
        <v>3750000</v>
      </c>
      <c r="U335" s="81"/>
      <c r="V335" s="81"/>
      <c r="W335" s="78" t="s">
        <v>1030</v>
      </c>
      <c r="X335" s="82"/>
      <c r="Y335" s="81" t="s">
        <v>2256</v>
      </c>
      <c r="Z335" s="81" t="s">
        <v>2256</v>
      </c>
      <c r="AA335" s="83">
        <v>10000</v>
      </c>
      <c r="AB335" s="85"/>
      <c r="AD335" s="78" t="s">
        <v>1030</v>
      </c>
      <c r="AE335" s="82"/>
      <c r="AF335" s="81" t="s">
        <v>2256</v>
      </c>
      <c r="AG335" s="81" t="s">
        <v>2256</v>
      </c>
      <c r="AH335" s="83">
        <v>10000</v>
      </c>
      <c r="AI335" s="85"/>
    </row>
    <row r="336" spans="1:35" s="79" customFormat="1" ht="11.25" customHeight="1" x14ac:dyDescent="0.2">
      <c r="A336" s="77" t="s">
        <v>1826</v>
      </c>
      <c r="B336" s="81" t="s">
        <v>1827</v>
      </c>
      <c r="C336" s="81" t="s">
        <v>1825</v>
      </c>
      <c r="D336" s="73">
        <v>2500</v>
      </c>
      <c r="E336" s="79" t="s">
        <v>65</v>
      </c>
      <c r="F336" s="79" t="s">
        <v>30</v>
      </c>
      <c r="G336" s="79" t="s">
        <v>3001</v>
      </c>
      <c r="H336" s="79" t="s">
        <v>66</v>
      </c>
      <c r="I336" s="81"/>
      <c r="J336" s="81">
        <v>25</v>
      </c>
      <c r="K336" s="86"/>
      <c r="M336" s="78" t="s">
        <v>1030</v>
      </c>
      <c r="N336" s="82"/>
      <c r="O336" s="81" t="s">
        <v>2670</v>
      </c>
      <c r="P336" s="81" t="s">
        <v>2256</v>
      </c>
      <c r="Q336" s="81"/>
      <c r="R336" s="83">
        <v>1500</v>
      </c>
      <c r="S336" s="79" t="s">
        <v>3217</v>
      </c>
      <c r="T336" s="84">
        <v>3750000</v>
      </c>
      <c r="U336" s="81"/>
      <c r="V336" s="81"/>
      <c r="W336" s="78" t="s">
        <v>1030</v>
      </c>
      <c r="X336" s="82"/>
      <c r="Y336" s="81" t="s">
        <v>2670</v>
      </c>
      <c r="Z336" s="81" t="s">
        <v>2256</v>
      </c>
      <c r="AA336" s="83">
        <v>10000</v>
      </c>
      <c r="AB336" s="85"/>
      <c r="AD336" s="78" t="s">
        <v>1030</v>
      </c>
      <c r="AE336" s="82"/>
      <c r="AF336" s="81" t="s">
        <v>2670</v>
      </c>
      <c r="AG336" s="81" t="s">
        <v>2256</v>
      </c>
      <c r="AH336" s="83">
        <v>10000</v>
      </c>
      <c r="AI336" s="85"/>
    </row>
    <row r="337" spans="1:35" s="79" customFormat="1" ht="11.25" customHeight="1" x14ac:dyDescent="0.2">
      <c r="A337" s="77" t="s">
        <v>1469</v>
      </c>
      <c r="B337" s="80">
        <v>814</v>
      </c>
      <c r="C337" s="81" t="s">
        <v>1468</v>
      </c>
      <c r="D337" s="73">
        <v>2500</v>
      </c>
      <c r="E337" s="79" t="s">
        <v>65</v>
      </c>
      <c r="F337" s="79" t="s">
        <v>3725</v>
      </c>
      <c r="G337" s="79" t="s">
        <v>2996</v>
      </c>
      <c r="H337" s="79" t="s">
        <v>66</v>
      </c>
      <c r="I337" s="81"/>
      <c r="J337" s="81">
        <v>25</v>
      </c>
      <c r="K337" s="86"/>
      <c r="M337" s="78" t="s">
        <v>1470</v>
      </c>
      <c r="N337" s="82" t="s">
        <v>1471</v>
      </c>
      <c r="O337" s="81" t="s">
        <v>2596</v>
      </c>
      <c r="P337" s="81" t="s">
        <v>2921</v>
      </c>
      <c r="Q337" s="81"/>
      <c r="R337" s="83" t="s">
        <v>864</v>
      </c>
      <c r="S337" s="79" t="s">
        <v>3512</v>
      </c>
      <c r="T337" s="84" t="s">
        <v>3422</v>
      </c>
      <c r="U337" s="81"/>
      <c r="V337" s="81"/>
      <c r="W337" s="78" t="s">
        <v>1470</v>
      </c>
      <c r="X337" s="82" t="s">
        <v>1471</v>
      </c>
      <c r="Y337" s="81" t="s">
        <v>2596</v>
      </c>
      <c r="Z337" s="81" t="s">
        <v>2921</v>
      </c>
      <c r="AA337" s="81" t="s">
        <v>252</v>
      </c>
      <c r="AB337" s="85"/>
      <c r="AD337" s="78" t="s">
        <v>1470</v>
      </c>
      <c r="AE337" s="82" t="s">
        <v>1471</v>
      </c>
      <c r="AF337" s="81" t="s">
        <v>2596</v>
      </c>
      <c r="AG337" s="81" t="s">
        <v>2921</v>
      </c>
      <c r="AH337" s="81" t="s">
        <v>252</v>
      </c>
      <c r="AI337" s="85"/>
    </row>
    <row r="338" spans="1:35" s="79" customFormat="1" ht="11.25" customHeight="1" x14ac:dyDescent="0.2">
      <c r="A338" s="77" t="s">
        <v>1491</v>
      </c>
      <c r="B338" s="80">
        <v>821</v>
      </c>
      <c r="C338" s="81" t="s">
        <v>1470</v>
      </c>
      <c r="D338" s="73">
        <v>2500</v>
      </c>
      <c r="E338" s="79" t="s">
        <v>65</v>
      </c>
      <c r="F338" s="79" t="s">
        <v>3725</v>
      </c>
      <c r="G338" s="79" t="s">
        <v>2996</v>
      </c>
      <c r="H338" s="79" t="s">
        <v>66</v>
      </c>
      <c r="I338" s="81"/>
      <c r="J338" s="81">
        <v>25</v>
      </c>
      <c r="K338" s="86"/>
      <c r="M338" s="78" t="s">
        <v>1470</v>
      </c>
      <c r="N338" s="82"/>
      <c r="O338" s="81" t="s">
        <v>2256</v>
      </c>
      <c r="P338" s="81" t="s">
        <v>2256</v>
      </c>
      <c r="Q338" s="81"/>
      <c r="R338" s="83">
        <v>1000</v>
      </c>
      <c r="S338" s="79" t="s">
        <v>3484</v>
      </c>
      <c r="T338" s="84">
        <v>2500000</v>
      </c>
      <c r="U338" s="81"/>
      <c r="V338" s="81"/>
      <c r="W338" s="78" t="s">
        <v>1470</v>
      </c>
      <c r="X338" s="82"/>
      <c r="Y338" s="81" t="s">
        <v>2256</v>
      </c>
      <c r="Z338" s="81" t="s">
        <v>2256</v>
      </c>
      <c r="AA338" s="83">
        <v>10000</v>
      </c>
      <c r="AB338" s="85"/>
      <c r="AD338" s="78" t="s">
        <v>1470</v>
      </c>
      <c r="AE338" s="82"/>
      <c r="AF338" s="81" t="s">
        <v>2256</v>
      </c>
      <c r="AG338" s="81" t="s">
        <v>2256</v>
      </c>
      <c r="AH338" s="83">
        <v>10000</v>
      </c>
      <c r="AI338" s="85"/>
    </row>
    <row r="339" spans="1:35" s="79" customFormat="1" ht="11.25" x14ac:dyDescent="0.2">
      <c r="A339" s="77" t="s">
        <v>1520</v>
      </c>
      <c r="B339" s="80">
        <v>623</v>
      </c>
      <c r="C339" s="81" t="s">
        <v>1519</v>
      </c>
      <c r="D339" s="73">
        <v>2500</v>
      </c>
      <c r="E339" s="79" t="s">
        <v>65</v>
      </c>
      <c r="F339" s="79" t="s">
        <v>3725</v>
      </c>
      <c r="G339" s="79" t="s">
        <v>2996</v>
      </c>
      <c r="H339" s="79" t="s">
        <v>66</v>
      </c>
      <c r="I339" s="81"/>
      <c r="J339" s="81">
        <v>25</v>
      </c>
      <c r="K339" s="86"/>
      <c r="M339" s="78" t="s">
        <v>1519</v>
      </c>
      <c r="N339" s="82"/>
      <c r="O339" s="81" t="s">
        <v>2256</v>
      </c>
      <c r="P339" s="81" t="s">
        <v>2256</v>
      </c>
      <c r="Q339" s="81"/>
      <c r="R339" s="83">
        <v>2000</v>
      </c>
      <c r="S339" s="79" t="s">
        <v>2999</v>
      </c>
      <c r="T339" s="84">
        <v>5000000</v>
      </c>
      <c r="U339" s="81"/>
      <c r="V339" s="81"/>
      <c r="W339" s="78" t="s">
        <v>1519</v>
      </c>
      <c r="X339" s="82"/>
      <c r="Y339" s="81" t="s">
        <v>2256</v>
      </c>
      <c r="Z339" s="81" t="s">
        <v>2256</v>
      </c>
      <c r="AA339" s="83">
        <v>10000</v>
      </c>
      <c r="AB339" s="85"/>
      <c r="AD339" s="78" t="s">
        <v>1519</v>
      </c>
      <c r="AE339" s="82"/>
      <c r="AF339" s="81" t="s">
        <v>2256</v>
      </c>
      <c r="AG339" s="81" t="s">
        <v>2256</v>
      </c>
      <c r="AH339" s="83">
        <v>10000</v>
      </c>
      <c r="AI339" s="85"/>
    </row>
    <row r="340" spans="1:35" s="79" customFormat="1" ht="11.25" customHeight="1" x14ac:dyDescent="0.2">
      <c r="A340" s="77" t="s">
        <v>341</v>
      </c>
      <c r="B340" s="81" t="s">
        <v>342</v>
      </c>
      <c r="C340" s="81" t="s">
        <v>340</v>
      </c>
      <c r="D340" s="73">
        <v>2500</v>
      </c>
      <c r="E340" s="79" t="s">
        <v>65</v>
      </c>
      <c r="F340" s="79" t="s">
        <v>30</v>
      </c>
      <c r="G340" s="79" t="s">
        <v>3001</v>
      </c>
      <c r="H340" s="79" t="s">
        <v>66</v>
      </c>
      <c r="I340" s="81"/>
      <c r="J340" s="81">
        <v>25</v>
      </c>
      <c r="K340" s="86"/>
      <c r="M340" s="78" t="s">
        <v>343</v>
      </c>
      <c r="N340" s="82"/>
      <c r="O340" s="81" t="s">
        <v>2314</v>
      </c>
      <c r="P340" s="81" t="s">
        <v>2256</v>
      </c>
      <c r="Q340" s="81"/>
      <c r="R340" s="83">
        <v>5000</v>
      </c>
      <c r="S340" s="79" t="s">
        <v>3043</v>
      </c>
      <c r="T340" s="84">
        <v>12500000</v>
      </c>
      <c r="U340" s="81"/>
      <c r="V340" s="81"/>
      <c r="W340" s="78" t="s">
        <v>343</v>
      </c>
      <c r="X340" s="82"/>
      <c r="Y340" s="81" t="s">
        <v>2314</v>
      </c>
      <c r="Z340" s="81" t="s">
        <v>2256</v>
      </c>
      <c r="AA340" s="83">
        <v>10000</v>
      </c>
      <c r="AB340" s="85"/>
      <c r="AD340" s="78" t="s">
        <v>343</v>
      </c>
      <c r="AE340" s="82"/>
      <c r="AF340" s="81" t="s">
        <v>2314</v>
      </c>
      <c r="AG340" s="81" t="s">
        <v>2256</v>
      </c>
      <c r="AH340" s="83">
        <v>10000</v>
      </c>
      <c r="AI340" s="85"/>
    </row>
    <row r="341" spans="1:35" s="79" customFormat="1" ht="11.25" customHeight="1" x14ac:dyDescent="0.2">
      <c r="A341" s="77" t="s">
        <v>1521</v>
      </c>
      <c r="B341" s="80">
        <v>624</v>
      </c>
      <c r="C341" s="81" t="s">
        <v>343</v>
      </c>
      <c r="D341" s="73">
        <v>2500</v>
      </c>
      <c r="E341" s="79" t="s">
        <v>65</v>
      </c>
      <c r="F341" s="79" t="s">
        <v>3725</v>
      </c>
      <c r="G341" s="79" t="s">
        <v>2996</v>
      </c>
      <c r="H341" s="79" t="s">
        <v>66</v>
      </c>
      <c r="I341" s="81"/>
      <c r="J341" s="81">
        <v>175</v>
      </c>
      <c r="K341" s="86"/>
      <c r="M341" s="78" t="s">
        <v>343</v>
      </c>
      <c r="N341" s="82"/>
      <c r="O341" s="81" t="s">
        <v>2256</v>
      </c>
      <c r="P341" s="81" t="s">
        <v>2256</v>
      </c>
      <c r="Q341" s="81"/>
      <c r="R341" s="83">
        <v>5000</v>
      </c>
      <c r="S341" s="79" t="s">
        <v>2999</v>
      </c>
      <c r="T341" s="84">
        <v>12500000</v>
      </c>
      <c r="U341" s="81"/>
      <c r="V341" s="81"/>
      <c r="W341" s="78" t="s">
        <v>343</v>
      </c>
      <c r="X341" s="82"/>
      <c r="Y341" s="81" t="s">
        <v>2256</v>
      </c>
      <c r="Z341" s="81" t="s">
        <v>2256</v>
      </c>
      <c r="AA341" s="83">
        <v>10000</v>
      </c>
      <c r="AB341" s="85"/>
      <c r="AD341" s="78" t="s">
        <v>343</v>
      </c>
      <c r="AE341" s="82"/>
      <c r="AF341" s="81" t="s">
        <v>2256</v>
      </c>
      <c r="AG341" s="81" t="s">
        <v>2256</v>
      </c>
      <c r="AH341" s="83">
        <v>10000</v>
      </c>
      <c r="AI341" s="85"/>
    </row>
    <row r="342" spans="1:35" s="79" customFormat="1" ht="11.25" customHeight="1" x14ac:dyDescent="0.2">
      <c r="A342" s="77" t="s">
        <v>1522</v>
      </c>
      <c r="B342" s="80">
        <v>625</v>
      </c>
      <c r="C342" s="81" t="s">
        <v>1471</v>
      </c>
      <c r="D342" s="73">
        <v>2500</v>
      </c>
      <c r="E342" s="79" t="s">
        <v>65</v>
      </c>
      <c r="F342" s="79" t="s">
        <v>3725</v>
      </c>
      <c r="G342" s="79" t="s">
        <v>2996</v>
      </c>
      <c r="H342" s="79" t="s">
        <v>66</v>
      </c>
      <c r="I342" s="81"/>
      <c r="J342" s="81">
        <v>175</v>
      </c>
      <c r="K342" s="86"/>
      <c r="M342" s="78" t="s">
        <v>1471</v>
      </c>
      <c r="N342" s="82"/>
      <c r="O342" s="81" t="s">
        <v>2256</v>
      </c>
      <c r="P342" s="81" t="s">
        <v>2256</v>
      </c>
      <c r="Q342" s="81"/>
      <c r="R342" s="83">
        <v>1000</v>
      </c>
      <c r="S342" s="79" t="s">
        <v>2999</v>
      </c>
      <c r="T342" s="84">
        <v>2500000</v>
      </c>
      <c r="U342" s="81"/>
      <c r="V342" s="81"/>
      <c r="W342" s="78" t="s">
        <v>1471</v>
      </c>
      <c r="X342" s="82"/>
      <c r="Y342" s="81" t="s">
        <v>2256</v>
      </c>
      <c r="Z342" s="81" t="s">
        <v>2256</v>
      </c>
      <c r="AA342" s="83">
        <v>10000</v>
      </c>
      <c r="AB342" s="85"/>
      <c r="AD342" s="78" t="s">
        <v>1471</v>
      </c>
      <c r="AE342" s="82"/>
      <c r="AF342" s="81" t="s">
        <v>2256</v>
      </c>
      <c r="AG342" s="81" t="s">
        <v>2256</v>
      </c>
      <c r="AH342" s="83">
        <v>10000</v>
      </c>
      <c r="AI342" s="85"/>
    </row>
    <row r="343" spans="1:35" s="79" customFormat="1" ht="11.25" customHeight="1" x14ac:dyDescent="0.2">
      <c r="A343" s="77" t="s">
        <v>2080</v>
      </c>
      <c r="B343" s="81" t="s">
        <v>2081</v>
      </c>
      <c r="C343" s="81" t="s">
        <v>2079</v>
      </c>
      <c r="D343" s="73">
        <v>2500</v>
      </c>
      <c r="E343" s="79" t="s">
        <v>65</v>
      </c>
      <c r="F343" s="79" t="s">
        <v>30</v>
      </c>
      <c r="G343" s="79" t="s">
        <v>3001</v>
      </c>
      <c r="H343" s="79" t="s">
        <v>66</v>
      </c>
      <c r="I343" s="81"/>
      <c r="J343" s="81">
        <v>175</v>
      </c>
      <c r="K343" s="86"/>
      <c r="M343" s="78" t="s">
        <v>1471</v>
      </c>
      <c r="N343" s="82"/>
      <c r="O343" s="81" t="s">
        <v>2720</v>
      </c>
      <c r="P343" s="81" t="s">
        <v>2256</v>
      </c>
      <c r="Q343" s="81"/>
      <c r="R343" s="83">
        <v>1000</v>
      </c>
      <c r="S343" s="79" t="s">
        <v>3245</v>
      </c>
      <c r="T343" s="84">
        <v>2500000</v>
      </c>
      <c r="U343" s="81"/>
      <c r="V343" s="81"/>
      <c r="W343" s="78" t="s">
        <v>1471</v>
      </c>
      <c r="X343" s="82"/>
      <c r="Y343" s="81" t="s">
        <v>2720</v>
      </c>
      <c r="Z343" s="81" t="s">
        <v>2256</v>
      </c>
      <c r="AA343" s="83">
        <v>10000</v>
      </c>
      <c r="AB343" s="85"/>
      <c r="AD343" s="78" t="s">
        <v>1471</v>
      </c>
      <c r="AE343" s="82"/>
      <c r="AF343" s="81" t="s">
        <v>2720</v>
      </c>
      <c r="AG343" s="81" t="s">
        <v>2256</v>
      </c>
      <c r="AH343" s="83">
        <v>10000</v>
      </c>
      <c r="AI343" s="85"/>
    </row>
    <row r="344" spans="1:35" s="79" customFormat="1" ht="11.25" customHeight="1" x14ac:dyDescent="0.2">
      <c r="A344" s="77" t="s">
        <v>1527</v>
      </c>
      <c r="B344" s="80">
        <v>630</v>
      </c>
      <c r="C344" s="81" t="s">
        <v>386</v>
      </c>
      <c r="D344" s="73">
        <v>2500</v>
      </c>
      <c r="E344" s="79" t="s">
        <v>65</v>
      </c>
      <c r="F344" s="79" t="s">
        <v>3725</v>
      </c>
      <c r="G344" s="79" t="s">
        <v>2996</v>
      </c>
      <c r="H344" s="79" t="s">
        <v>66</v>
      </c>
      <c r="I344" s="81"/>
      <c r="J344" s="81">
        <v>175</v>
      </c>
      <c r="K344" s="86"/>
      <c r="M344" s="78" t="s">
        <v>386</v>
      </c>
      <c r="N344" s="82"/>
      <c r="O344" s="81" t="s">
        <v>2256</v>
      </c>
      <c r="P344" s="81" t="s">
        <v>2256</v>
      </c>
      <c r="Q344" s="81"/>
      <c r="R344" s="83">
        <v>1000</v>
      </c>
      <c r="S344" s="79" t="s">
        <v>2999</v>
      </c>
      <c r="T344" s="84">
        <v>2500000</v>
      </c>
      <c r="U344" s="81"/>
      <c r="V344" s="81"/>
      <c r="W344" s="78" t="s">
        <v>386</v>
      </c>
      <c r="X344" s="82"/>
      <c r="Y344" s="81" t="s">
        <v>2256</v>
      </c>
      <c r="Z344" s="81" t="s">
        <v>2256</v>
      </c>
      <c r="AA344" s="83">
        <v>10000</v>
      </c>
      <c r="AB344" s="85"/>
      <c r="AD344" s="78" t="s">
        <v>386</v>
      </c>
      <c r="AE344" s="82"/>
      <c r="AF344" s="81" t="s">
        <v>2256</v>
      </c>
      <c r="AG344" s="81" t="s">
        <v>2256</v>
      </c>
      <c r="AH344" s="83">
        <v>10000</v>
      </c>
      <c r="AI344" s="85"/>
    </row>
    <row r="345" spans="1:35" s="79" customFormat="1" ht="11.25" customHeight="1" x14ac:dyDescent="0.2">
      <c r="A345" s="77" t="s">
        <v>1534</v>
      </c>
      <c r="B345" s="80">
        <v>631</v>
      </c>
      <c r="C345" s="81" t="s">
        <v>1533</v>
      </c>
      <c r="D345" s="73">
        <v>2500</v>
      </c>
      <c r="E345" s="79" t="s">
        <v>65</v>
      </c>
      <c r="F345" s="79" t="s">
        <v>3725</v>
      </c>
      <c r="G345" s="79" t="s">
        <v>2996</v>
      </c>
      <c r="H345" s="79" t="s">
        <v>66</v>
      </c>
      <c r="I345" s="81"/>
      <c r="J345" s="81">
        <v>175</v>
      </c>
      <c r="K345" s="86"/>
      <c r="M345" s="78" t="s">
        <v>1533</v>
      </c>
      <c r="N345" s="82"/>
      <c r="O345" s="81" t="s">
        <v>2256</v>
      </c>
      <c r="P345" s="81" t="s">
        <v>2256</v>
      </c>
      <c r="Q345" s="81"/>
      <c r="R345" s="83">
        <v>2000</v>
      </c>
      <c r="S345" s="79" t="s">
        <v>2999</v>
      </c>
      <c r="T345" s="84">
        <v>5000000</v>
      </c>
      <c r="U345" s="81"/>
      <c r="V345" s="81"/>
      <c r="W345" s="78" t="s">
        <v>1533</v>
      </c>
      <c r="X345" s="82"/>
      <c r="Y345" s="81" t="s">
        <v>2256</v>
      </c>
      <c r="Z345" s="81" t="s">
        <v>2256</v>
      </c>
      <c r="AA345" s="83">
        <v>10000</v>
      </c>
      <c r="AB345" s="85"/>
      <c r="AD345" s="78" t="s">
        <v>1533</v>
      </c>
      <c r="AE345" s="82"/>
      <c r="AF345" s="81" t="s">
        <v>2256</v>
      </c>
      <c r="AG345" s="81" t="s">
        <v>2256</v>
      </c>
      <c r="AH345" s="83">
        <v>10000</v>
      </c>
      <c r="AI345" s="85"/>
    </row>
    <row r="346" spans="1:35" s="79" customFormat="1" ht="11.25" customHeight="1" x14ac:dyDescent="0.2">
      <c r="A346" s="77" t="s">
        <v>1536</v>
      </c>
      <c r="B346" s="80">
        <v>1277</v>
      </c>
      <c r="C346" s="81" t="s">
        <v>1535</v>
      </c>
      <c r="D346" s="73">
        <v>2500</v>
      </c>
      <c r="E346" s="79" t="s">
        <v>65</v>
      </c>
      <c r="F346" s="79" t="s">
        <v>3725</v>
      </c>
      <c r="G346" s="79" t="s">
        <v>2996</v>
      </c>
      <c r="H346" s="79" t="s">
        <v>66</v>
      </c>
      <c r="I346" s="81"/>
      <c r="J346" s="81">
        <v>25</v>
      </c>
      <c r="K346" s="86"/>
      <c r="M346" s="78" t="s">
        <v>1535</v>
      </c>
      <c r="N346" s="82"/>
      <c r="O346" s="81" t="s">
        <v>2256</v>
      </c>
      <c r="P346" s="81" t="s">
        <v>2256</v>
      </c>
      <c r="Q346" s="81"/>
      <c r="R346" s="83">
        <v>2000</v>
      </c>
      <c r="S346" s="79" t="s">
        <v>2999</v>
      </c>
      <c r="T346" s="84">
        <v>5000000</v>
      </c>
      <c r="U346" s="81"/>
      <c r="V346" s="81"/>
      <c r="W346" s="78" t="s">
        <v>1535</v>
      </c>
      <c r="X346" s="82"/>
      <c r="Y346" s="81" t="s">
        <v>2256</v>
      </c>
      <c r="Z346" s="81" t="s">
        <v>2256</v>
      </c>
      <c r="AA346" s="83">
        <v>10000</v>
      </c>
      <c r="AB346" s="85"/>
      <c r="AD346" s="78" t="s">
        <v>1535</v>
      </c>
      <c r="AE346" s="82"/>
      <c r="AF346" s="81" t="s">
        <v>2256</v>
      </c>
      <c r="AG346" s="81" t="s">
        <v>2256</v>
      </c>
      <c r="AH346" s="83">
        <v>10000</v>
      </c>
      <c r="AI346" s="85"/>
    </row>
    <row r="347" spans="1:35" s="79" customFormat="1" ht="11.25" customHeight="1" x14ac:dyDescent="0.2">
      <c r="A347" s="77" t="s">
        <v>1559</v>
      </c>
      <c r="B347" s="80">
        <v>620</v>
      </c>
      <c r="C347" s="81" t="s">
        <v>1007</v>
      </c>
      <c r="D347" s="73">
        <v>2500</v>
      </c>
      <c r="E347" s="79" t="s">
        <v>65</v>
      </c>
      <c r="F347" s="79" t="s">
        <v>3725</v>
      </c>
      <c r="G347" s="79" t="s">
        <v>2996</v>
      </c>
      <c r="H347" s="79" t="s">
        <v>66</v>
      </c>
      <c r="I347" s="81"/>
      <c r="J347" s="81">
        <v>175</v>
      </c>
      <c r="K347" s="86"/>
      <c r="M347" s="78" t="s">
        <v>1535</v>
      </c>
      <c r="N347" s="82"/>
      <c r="O347" s="81" t="s">
        <v>3687</v>
      </c>
      <c r="P347" s="81" t="s">
        <v>2256</v>
      </c>
      <c r="Q347" s="81"/>
      <c r="R347" s="83">
        <v>2000</v>
      </c>
      <c r="S347" s="79" t="s">
        <v>3688</v>
      </c>
      <c r="T347" s="84">
        <v>5000000</v>
      </c>
      <c r="U347" s="81"/>
      <c r="V347" s="81"/>
      <c r="W347" s="78" t="s">
        <v>1535</v>
      </c>
      <c r="X347" s="82"/>
      <c r="Y347" s="81" t="s">
        <v>3687</v>
      </c>
      <c r="Z347" s="81" t="s">
        <v>2256</v>
      </c>
      <c r="AA347" s="83">
        <v>10000</v>
      </c>
      <c r="AB347" s="85"/>
      <c r="AD347" s="78" t="s">
        <v>1535</v>
      </c>
      <c r="AE347" s="82"/>
      <c r="AF347" s="81" t="s">
        <v>3687</v>
      </c>
      <c r="AG347" s="81" t="s">
        <v>2256</v>
      </c>
      <c r="AH347" s="83">
        <v>10000</v>
      </c>
      <c r="AI347" s="85"/>
    </row>
    <row r="348" spans="1:35" s="79" customFormat="1" ht="11.25" customHeight="1" x14ac:dyDescent="0.2">
      <c r="A348" s="77" t="s">
        <v>1567</v>
      </c>
      <c r="B348" s="80">
        <v>228</v>
      </c>
      <c r="C348" s="81" t="s">
        <v>1566</v>
      </c>
      <c r="D348" s="73">
        <v>2500</v>
      </c>
      <c r="E348" s="79" t="s">
        <v>65</v>
      </c>
      <c r="F348" s="79" t="s">
        <v>3725</v>
      </c>
      <c r="G348" s="79" t="s">
        <v>2997</v>
      </c>
      <c r="H348" s="79" t="s">
        <v>66</v>
      </c>
      <c r="I348" s="81"/>
      <c r="J348" s="81">
        <v>1</v>
      </c>
      <c r="K348" s="86"/>
      <c r="M348" s="78" t="s">
        <v>1568</v>
      </c>
      <c r="N348" s="82"/>
      <c r="O348" s="81" t="s">
        <v>2611</v>
      </c>
      <c r="P348" s="81" t="s">
        <v>2256</v>
      </c>
      <c r="Q348" s="81"/>
      <c r="R348" s="83">
        <v>150</v>
      </c>
      <c r="S348" s="79" t="s">
        <v>3414</v>
      </c>
      <c r="T348" s="84">
        <v>375000</v>
      </c>
      <c r="U348" s="81"/>
      <c r="V348" s="81"/>
      <c r="W348" s="78" t="s">
        <v>1568</v>
      </c>
      <c r="X348" s="82"/>
      <c r="Y348" s="81" t="s">
        <v>2611</v>
      </c>
      <c r="Z348" s="81" t="s">
        <v>2256</v>
      </c>
      <c r="AA348" s="80">
        <v>150</v>
      </c>
      <c r="AB348" s="85"/>
      <c r="AD348" s="78" t="s">
        <v>1568</v>
      </c>
      <c r="AE348" s="82"/>
      <c r="AF348" s="81" t="s">
        <v>2611</v>
      </c>
      <c r="AG348" s="81" t="s">
        <v>2256</v>
      </c>
      <c r="AH348" s="80">
        <v>150</v>
      </c>
      <c r="AI348" s="85"/>
    </row>
    <row r="349" spans="1:35" s="79" customFormat="1" ht="11.25" customHeight="1" x14ac:dyDescent="0.2">
      <c r="A349" s="77" t="s">
        <v>1570</v>
      </c>
      <c r="B349" s="80">
        <v>227</v>
      </c>
      <c r="C349" s="81" t="s">
        <v>1569</v>
      </c>
      <c r="D349" s="73">
        <v>2500</v>
      </c>
      <c r="E349" s="79" t="s">
        <v>65</v>
      </c>
      <c r="F349" s="79" t="s">
        <v>3725</v>
      </c>
      <c r="G349" s="79" t="s">
        <v>2997</v>
      </c>
      <c r="H349" s="79" t="s">
        <v>66</v>
      </c>
      <c r="I349" s="81"/>
      <c r="J349" s="81">
        <v>1</v>
      </c>
      <c r="K349" s="86"/>
      <c r="M349" s="78" t="s">
        <v>1568</v>
      </c>
      <c r="N349" s="82"/>
      <c r="O349" s="81" t="s">
        <v>2612</v>
      </c>
      <c r="P349" s="81" t="s">
        <v>2256</v>
      </c>
      <c r="Q349" s="81"/>
      <c r="R349" s="83">
        <v>150</v>
      </c>
      <c r="S349" s="79" t="s">
        <v>3414</v>
      </c>
      <c r="T349" s="84">
        <v>375000</v>
      </c>
      <c r="U349" s="81"/>
      <c r="V349" s="81"/>
      <c r="W349" s="78" t="s">
        <v>1568</v>
      </c>
      <c r="X349" s="82"/>
      <c r="Y349" s="81" t="s">
        <v>2612</v>
      </c>
      <c r="Z349" s="81" t="s">
        <v>2256</v>
      </c>
      <c r="AA349" s="80">
        <v>150</v>
      </c>
      <c r="AB349" s="85"/>
      <c r="AD349" s="78" t="s">
        <v>1568</v>
      </c>
      <c r="AE349" s="82"/>
      <c r="AF349" s="81" t="s">
        <v>2612</v>
      </c>
      <c r="AG349" s="81" t="s">
        <v>2256</v>
      </c>
      <c r="AH349" s="80">
        <v>150</v>
      </c>
      <c r="AI349" s="85"/>
    </row>
    <row r="350" spans="1:35" s="79" customFormat="1" ht="11.25" customHeight="1" x14ac:dyDescent="0.2">
      <c r="A350" s="77" t="s">
        <v>1572</v>
      </c>
      <c r="B350" s="80">
        <v>1107</v>
      </c>
      <c r="C350" s="81" t="s">
        <v>1571</v>
      </c>
      <c r="D350" s="73">
        <v>2500</v>
      </c>
      <c r="E350" s="79" t="s">
        <v>65</v>
      </c>
      <c r="F350" s="79" t="s">
        <v>3725</v>
      </c>
      <c r="G350" s="79" t="s">
        <v>2997</v>
      </c>
      <c r="H350" s="79" t="s">
        <v>66</v>
      </c>
      <c r="I350" s="81"/>
      <c r="J350" s="81">
        <v>1</v>
      </c>
      <c r="K350" s="86"/>
      <c r="M350" s="78" t="s">
        <v>1568</v>
      </c>
      <c r="N350" s="82"/>
      <c r="O350" s="81" t="s">
        <v>2613</v>
      </c>
      <c r="P350" s="81" t="s">
        <v>2256</v>
      </c>
      <c r="Q350" s="81"/>
      <c r="R350" s="83">
        <v>150</v>
      </c>
      <c r="S350" s="79" t="s">
        <v>3414</v>
      </c>
      <c r="T350" s="84">
        <v>375000</v>
      </c>
      <c r="U350" s="81"/>
      <c r="V350" s="81"/>
      <c r="W350" s="78" t="s">
        <v>1568</v>
      </c>
      <c r="X350" s="82"/>
      <c r="Y350" s="81" t="s">
        <v>2613</v>
      </c>
      <c r="Z350" s="81" t="s">
        <v>2256</v>
      </c>
      <c r="AA350" s="80">
        <v>150</v>
      </c>
      <c r="AB350" s="85"/>
      <c r="AD350" s="78" t="s">
        <v>1568</v>
      </c>
      <c r="AE350" s="82"/>
      <c r="AF350" s="81" t="s">
        <v>2613</v>
      </c>
      <c r="AG350" s="81" t="s">
        <v>2256</v>
      </c>
      <c r="AH350" s="80">
        <v>150</v>
      </c>
      <c r="AI350" s="85"/>
    </row>
    <row r="351" spans="1:35" s="79" customFormat="1" ht="11.25" customHeight="1" x14ac:dyDescent="0.2">
      <c r="A351" s="77" t="s">
        <v>1573</v>
      </c>
      <c r="B351" s="80">
        <v>229</v>
      </c>
      <c r="C351" s="81" t="s">
        <v>1568</v>
      </c>
      <c r="D351" s="73">
        <v>2500</v>
      </c>
      <c r="E351" s="79" t="s">
        <v>65</v>
      </c>
      <c r="F351" s="79" t="s">
        <v>3725</v>
      </c>
      <c r="G351" s="79" t="s">
        <v>2997</v>
      </c>
      <c r="H351" s="79" t="s">
        <v>66</v>
      </c>
      <c r="I351" s="81"/>
      <c r="J351" s="81">
        <v>1</v>
      </c>
      <c r="K351" s="86"/>
      <c r="M351" s="78" t="s">
        <v>1568</v>
      </c>
      <c r="N351" s="82"/>
      <c r="O351" s="81" t="s">
        <v>2256</v>
      </c>
      <c r="P351" s="81" t="s">
        <v>2256</v>
      </c>
      <c r="Q351" s="81"/>
      <c r="R351" s="83">
        <v>150</v>
      </c>
      <c r="S351" s="79" t="s">
        <v>3413</v>
      </c>
      <c r="T351" s="84">
        <v>375000</v>
      </c>
      <c r="U351" s="81"/>
      <c r="V351" s="81"/>
      <c r="W351" s="78" t="s">
        <v>1568</v>
      </c>
      <c r="X351" s="82"/>
      <c r="Y351" s="81" t="s">
        <v>2256</v>
      </c>
      <c r="Z351" s="81" t="s">
        <v>2256</v>
      </c>
      <c r="AA351" s="80">
        <v>150</v>
      </c>
      <c r="AB351" s="85"/>
      <c r="AD351" s="78" t="s">
        <v>1568</v>
      </c>
      <c r="AE351" s="82"/>
      <c r="AF351" s="81" t="s">
        <v>2256</v>
      </c>
      <c r="AG351" s="81" t="s">
        <v>2256</v>
      </c>
      <c r="AH351" s="80">
        <v>150</v>
      </c>
      <c r="AI351" s="85"/>
    </row>
    <row r="352" spans="1:35" s="79" customFormat="1" ht="11.25" customHeight="1" x14ac:dyDescent="0.2">
      <c r="A352" s="77" t="s">
        <v>1588</v>
      </c>
      <c r="B352" s="80">
        <v>807</v>
      </c>
      <c r="C352" s="81" t="s">
        <v>996</v>
      </c>
      <c r="D352" s="73">
        <v>2500</v>
      </c>
      <c r="E352" s="79" t="s">
        <v>65</v>
      </c>
      <c r="F352" s="79" t="s">
        <v>3725</v>
      </c>
      <c r="G352" s="79" t="s">
        <v>2996</v>
      </c>
      <c r="H352" s="79" t="s">
        <v>66</v>
      </c>
      <c r="I352" s="81"/>
      <c r="J352" s="81">
        <v>25</v>
      </c>
      <c r="K352" s="86"/>
      <c r="M352" s="78" t="s">
        <v>996</v>
      </c>
      <c r="N352" s="82"/>
      <c r="O352" s="81" t="s">
        <v>2256</v>
      </c>
      <c r="P352" s="81" t="s">
        <v>2256</v>
      </c>
      <c r="Q352" s="81"/>
      <c r="R352" s="83">
        <v>2000</v>
      </c>
      <c r="S352" s="79" t="s">
        <v>2999</v>
      </c>
      <c r="T352" s="84">
        <v>5000000</v>
      </c>
      <c r="U352" s="81"/>
      <c r="V352" s="81"/>
      <c r="W352" s="78" t="s">
        <v>996</v>
      </c>
      <c r="X352" s="82"/>
      <c r="Y352" s="81" t="s">
        <v>2256</v>
      </c>
      <c r="Z352" s="81" t="s">
        <v>2256</v>
      </c>
      <c r="AA352" s="83">
        <v>10000</v>
      </c>
      <c r="AB352" s="85"/>
      <c r="AD352" s="78" t="s">
        <v>996</v>
      </c>
      <c r="AE352" s="82"/>
      <c r="AF352" s="81" t="s">
        <v>2256</v>
      </c>
      <c r="AG352" s="81" t="s">
        <v>2256</v>
      </c>
      <c r="AH352" s="83">
        <v>10000</v>
      </c>
      <c r="AI352" s="85"/>
    </row>
    <row r="353" spans="1:35" s="79" customFormat="1" ht="11.25" customHeight="1" x14ac:dyDescent="0.2">
      <c r="A353" s="77" t="s">
        <v>1040</v>
      </c>
      <c r="B353" s="80">
        <v>813</v>
      </c>
      <c r="C353" s="81" t="s">
        <v>1039</v>
      </c>
      <c r="D353" s="73">
        <v>2500</v>
      </c>
      <c r="E353" s="79" t="s">
        <v>65</v>
      </c>
      <c r="F353" s="79" t="s">
        <v>3725</v>
      </c>
      <c r="G353" s="79" t="s">
        <v>2996</v>
      </c>
      <c r="H353" s="79" t="s">
        <v>66</v>
      </c>
      <c r="I353" s="81"/>
      <c r="J353" s="81">
        <v>25</v>
      </c>
      <c r="K353" s="86"/>
      <c r="M353" s="78" t="s">
        <v>1041</v>
      </c>
      <c r="N353" s="82" t="s">
        <v>1391</v>
      </c>
      <c r="O353" s="81" t="s">
        <v>2484</v>
      </c>
      <c r="P353" s="81" t="s">
        <v>3692</v>
      </c>
      <c r="Q353" s="81"/>
      <c r="R353" s="83" t="s">
        <v>67</v>
      </c>
      <c r="S353" s="79" t="s">
        <v>3693</v>
      </c>
      <c r="T353" s="84" t="s">
        <v>3415</v>
      </c>
      <c r="U353" s="81"/>
      <c r="V353" s="81"/>
      <c r="W353" s="78" t="s">
        <v>1041</v>
      </c>
      <c r="X353" s="82" t="s">
        <v>1391</v>
      </c>
      <c r="Y353" s="81" t="s">
        <v>2484</v>
      </c>
      <c r="Z353" s="81" t="s">
        <v>3692</v>
      </c>
      <c r="AA353" s="81" t="s">
        <v>252</v>
      </c>
      <c r="AB353" s="85"/>
      <c r="AD353" s="78" t="s">
        <v>1041</v>
      </c>
      <c r="AE353" s="82" t="s">
        <v>1391</v>
      </c>
      <c r="AF353" s="81" t="s">
        <v>2484</v>
      </c>
      <c r="AG353" s="81" t="s">
        <v>3692</v>
      </c>
      <c r="AH353" s="81" t="s">
        <v>252</v>
      </c>
      <c r="AI353" s="85"/>
    </row>
    <row r="354" spans="1:35" s="79" customFormat="1" ht="11.25" customHeight="1" x14ac:dyDescent="0.2">
      <c r="A354" s="77" t="s">
        <v>1591</v>
      </c>
      <c r="B354" s="80">
        <v>820</v>
      </c>
      <c r="C354" s="81" t="s">
        <v>1041</v>
      </c>
      <c r="D354" s="73">
        <v>2500</v>
      </c>
      <c r="E354" s="79" t="s">
        <v>65</v>
      </c>
      <c r="F354" s="79" t="s">
        <v>3725</v>
      </c>
      <c r="G354" s="79" t="s">
        <v>2996</v>
      </c>
      <c r="H354" s="79" t="s">
        <v>66</v>
      </c>
      <c r="I354" s="81"/>
      <c r="J354" s="81">
        <v>25</v>
      </c>
      <c r="K354" s="86"/>
      <c r="M354" s="78" t="s">
        <v>1041</v>
      </c>
      <c r="N354" s="82"/>
      <c r="O354" s="81" t="s">
        <v>2256</v>
      </c>
      <c r="P354" s="81" t="s">
        <v>2256</v>
      </c>
      <c r="Q354" s="81"/>
      <c r="R354" s="83">
        <v>500</v>
      </c>
      <c r="S354" s="79" t="s">
        <v>3484</v>
      </c>
      <c r="T354" s="84">
        <v>1250000</v>
      </c>
      <c r="U354" s="81"/>
      <c r="V354" s="81"/>
      <c r="W354" s="78" t="s">
        <v>1041</v>
      </c>
      <c r="X354" s="82"/>
      <c r="Y354" s="81" t="s">
        <v>2256</v>
      </c>
      <c r="Z354" s="81" t="s">
        <v>2256</v>
      </c>
      <c r="AA354" s="83">
        <v>10000</v>
      </c>
      <c r="AB354" s="85"/>
      <c r="AD354" s="78" t="s">
        <v>1041</v>
      </c>
      <c r="AE354" s="82"/>
      <c r="AF354" s="81" t="s">
        <v>2256</v>
      </c>
      <c r="AG354" s="81" t="s">
        <v>2256</v>
      </c>
      <c r="AH354" s="83">
        <v>10000</v>
      </c>
      <c r="AI354" s="85"/>
    </row>
    <row r="355" spans="1:35" s="79" customFormat="1" ht="11.25" customHeight="1" x14ac:dyDescent="0.2">
      <c r="A355" s="77" t="s">
        <v>1360</v>
      </c>
      <c r="B355" s="80">
        <v>456</v>
      </c>
      <c r="C355" s="81" t="s">
        <v>1359</v>
      </c>
      <c r="D355" s="73">
        <v>2500</v>
      </c>
      <c r="E355" s="79" t="s">
        <v>65</v>
      </c>
      <c r="F355" s="79" t="s">
        <v>3725</v>
      </c>
      <c r="G355" s="79" t="s">
        <v>2996</v>
      </c>
      <c r="H355" s="79" t="s">
        <v>66</v>
      </c>
      <c r="I355" s="81"/>
      <c r="J355" s="81">
        <v>25</v>
      </c>
      <c r="K355" s="86"/>
      <c r="M355" s="78" t="s">
        <v>1361</v>
      </c>
      <c r="N355" s="82" t="s">
        <v>1362</v>
      </c>
      <c r="O355" s="81" t="s">
        <v>2567</v>
      </c>
      <c r="P355" s="81" t="s">
        <v>2909</v>
      </c>
      <c r="Q355" s="81"/>
      <c r="R355" s="83" t="s">
        <v>197</v>
      </c>
      <c r="S355" s="79" t="s">
        <v>3509</v>
      </c>
      <c r="T355" s="84" t="s">
        <v>3616</v>
      </c>
      <c r="U355" s="81"/>
      <c r="V355" s="81"/>
      <c r="W355" s="78" t="s">
        <v>1361</v>
      </c>
      <c r="X355" s="82" t="s">
        <v>1362</v>
      </c>
      <c r="Y355" s="81" t="s">
        <v>2567</v>
      </c>
      <c r="Z355" s="81" t="s">
        <v>2909</v>
      </c>
      <c r="AA355" s="81" t="s">
        <v>71</v>
      </c>
      <c r="AB355" s="85"/>
      <c r="AD355" s="78" t="s">
        <v>1361</v>
      </c>
      <c r="AE355" s="82" t="s">
        <v>1362</v>
      </c>
      <c r="AF355" s="81" t="s">
        <v>2567</v>
      </c>
      <c r="AG355" s="81" t="s">
        <v>2909</v>
      </c>
      <c r="AH355" s="81" t="s">
        <v>70</v>
      </c>
      <c r="AI355" s="85"/>
    </row>
    <row r="356" spans="1:35" s="79" customFormat="1" ht="11.25" customHeight="1" x14ac:dyDescent="0.2">
      <c r="A356" s="77" t="s">
        <v>1614</v>
      </c>
      <c r="B356" s="80">
        <v>708</v>
      </c>
      <c r="C356" s="81" t="s">
        <v>1361</v>
      </c>
      <c r="D356" s="73">
        <v>2500</v>
      </c>
      <c r="E356" s="79" t="s">
        <v>65</v>
      </c>
      <c r="F356" s="79" t="s">
        <v>3725</v>
      </c>
      <c r="G356" s="79" t="s">
        <v>2996</v>
      </c>
      <c r="H356" s="79" t="s">
        <v>66</v>
      </c>
      <c r="I356" s="81"/>
      <c r="J356" s="81">
        <v>25</v>
      </c>
      <c r="K356" s="86"/>
      <c r="M356" s="78" t="s">
        <v>1361</v>
      </c>
      <c r="N356" s="82"/>
      <c r="O356" s="81" t="s">
        <v>2256</v>
      </c>
      <c r="P356" s="81" t="s">
        <v>2256</v>
      </c>
      <c r="Q356" s="81"/>
      <c r="R356" s="83">
        <v>500</v>
      </c>
      <c r="S356" s="79" t="s">
        <v>3484</v>
      </c>
      <c r="T356" s="84">
        <v>1250000</v>
      </c>
      <c r="U356" s="81"/>
      <c r="V356" s="81"/>
      <c r="W356" s="78" t="s">
        <v>1361</v>
      </c>
      <c r="X356" s="82"/>
      <c r="Y356" s="81" t="s">
        <v>2256</v>
      </c>
      <c r="Z356" s="81" t="s">
        <v>2256</v>
      </c>
      <c r="AA356" s="83">
        <v>2500</v>
      </c>
      <c r="AB356" s="85"/>
      <c r="AD356" s="78" t="s">
        <v>1361</v>
      </c>
      <c r="AE356" s="82"/>
      <c r="AF356" s="81" t="s">
        <v>2256</v>
      </c>
      <c r="AG356" s="81" t="s">
        <v>2256</v>
      </c>
      <c r="AH356" s="83">
        <v>3500</v>
      </c>
      <c r="AI356" s="85"/>
    </row>
    <row r="357" spans="1:35" s="79" customFormat="1" ht="11.25" customHeight="1" x14ac:dyDescent="0.2">
      <c r="A357" s="77" t="s">
        <v>984</v>
      </c>
      <c r="B357" s="80">
        <v>793</v>
      </c>
      <c r="C357" s="81" t="s">
        <v>983</v>
      </c>
      <c r="D357" s="73">
        <v>2500</v>
      </c>
      <c r="E357" s="79" t="s">
        <v>65</v>
      </c>
      <c r="F357" s="79" t="s">
        <v>3725</v>
      </c>
      <c r="G357" s="79" t="s">
        <v>2996</v>
      </c>
      <c r="H357" s="79" t="s">
        <v>66</v>
      </c>
      <c r="I357" s="81"/>
      <c r="J357" s="81">
        <v>25</v>
      </c>
      <c r="K357" s="86"/>
      <c r="M357" s="78" t="s">
        <v>985</v>
      </c>
      <c r="N357" s="82" t="s">
        <v>986</v>
      </c>
      <c r="O357" s="81" t="s">
        <v>2469</v>
      </c>
      <c r="P357" s="81" t="s">
        <v>2867</v>
      </c>
      <c r="Q357" s="81"/>
      <c r="R357" s="83" t="s">
        <v>3448</v>
      </c>
      <c r="S357" s="79" t="s">
        <v>3491</v>
      </c>
      <c r="T357" s="84" t="s">
        <v>3626</v>
      </c>
      <c r="U357" s="81"/>
      <c r="V357" s="81"/>
      <c r="W357" s="78" t="s">
        <v>985</v>
      </c>
      <c r="X357" s="82" t="s">
        <v>986</v>
      </c>
      <c r="Y357" s="81" t="s">
        <v>2469</v>
      </c>
      <c r="Z357" s="81" t="s">
        <v>2867</v>
      </c>
      <c r="AA357" s="81" t="s">
        <v>252</v>
      </c>
      <c r="AB357" s="85"/>
      <c r="AD357" s="78" t="s">
        <v>985</v>
      </c>
      <c r="AE357" s="82" t="s">
        <v>986</v>
      </c>
      <c r="AF357" s="81" t="s">
        <v>2469</v>
      </c>
      <c r="AG357" s="81" t="s">
        <v>2867</v>
      </c>
      <c r="AH357" s="81" t="s">
        <v>252</v>
      </c>
      <c r="AI357" s="85"/>
    </row>
    <row r="358" spans="1:35" s="79" customFormat="1" ht="11.25" customHeight="1" x14ac:dyDescent="0.2">
      <c r="A358" s="77" t="s">
        <v>1725</v>
      </c>
      <c r="B358" s="80">
        <v>788</v>
      </c>
      <c r="C358" s="81" t="s">
        <v>985</v>
      </c>
      <c r="D358" s="73">
        <v>2500</v>
      </c>
      <c r="E358" s="79" t="s">
        <v>65</v>
      </c>
      <c r="F358" s="79" t="s">
        <v>3725</v>
      </c>
      <c r="G358" s="79" t="s">
        <v>2996</v>
      </c>
      <c r="H358" s="79" t="s">
        <v>66</v>
      </c>
      <c r="I358" s="81"/>
      <c r="J358" s="81">
        <v>25</v>
      </c>
      <c r="K358" s="86"/>
      <c r="M358" s="78" t="s">
        <v>985</v>
      </c>
      <c r="N358" s="82"/>
      <c r="O358" s="81" t="s">
        <v>2256</v>
      </c>
      <c r="P358" s="81" t="s">
        <v>2256</v>
      </c>
      <c r="Q358" s="81"/>
      <c r="R358" s="83">
        <v>2000</v>
      </c>
      <c r="S358" s="79" t="s">
        <v>3484</v>
      </c>
      <c r="T358" s="84">
        <v>5000000</v>
      </c>
      <c r="U358" s="81"/>
      <c r="V358" s="81"/>
      <c r="W358" s="78" t="s">
        <v>985</v>
      </c>
      <c r="X358" s="82"/>
      <c r="Y358" s="81" t="s">
        <v>2256</v>
      </c>
      <c r="Z358" s="81" t="s">
        <v>2256</v>
      </c>
      <c r="AA358" s="83">
        <v>10000</v>
      </c>
      <c r="AB358" s="85"/>
      <c r="AD358" s="78" t="s">
        <v>985</v>
      </c>
      <c r="AE358" s="82"/>
      <c r="AF358" s="81" t="s">
        <v>2256</v>
      </c>
      <c r="AG358" s="81" t="s">
        <v>2256</v>
      </c>
      <c r="AH358" s="83">
        <v>10000</v>
      </c>
      <c r="AI358" s="85"/>
    </row>
    <row r="359" spans="1:35" s="79" customFormat="1" ht="11.25" customHeight="1" x14ac:dyDescent="0.2">
      <c r="A359" s="77" t="s">
        <v>990</v>
      </c>
      <c r="B359" s="80">
        <v>794</v>
      </c>
      <c r="C359" s="81" t="s">
        <v>989</v>
      </c>
      <c r="D359" s="73">
        <v>2500</v>
      </c>
      <c r="E359" s="79" t="s">
        <v>65</v>
      </c>
      <c r="F359" s="79" t="s">
        <v>3725</v>
      </c>
      <c r="G359" s="79" t="s">
        <v>2996</v>
      </c>
      <c r="H359" s="79" t="s">
        <v>66</v>
      </c>
      <c r="I359" s="81"/>
      <c r="J359" s="81">
        <v>25</v>
      </c>
      <c r="K359" s="86"/>
      <c r="M359" s="78" t="s">
        <v>991</v>
      </c>
      <c r="N359" s="82" t="s">
        <v>630</v>
      </c>
      <c r="O359" s="81" t="s">
        <v>2471</v>
      </c>
      <c r="P359" s="81" t="s">
        <v>3676</v>
      </c>
      <c r="Q359" s="81"/>
      <c r="R359" s="83" t="s">
        <v>3435</v>
      </c>
      <c r="S359" s="79" t="s">
        <v>3721</v>
      </c>
      <c r="T359" s="84" t="s">
        <v>3421</v>
      </c>
      <c r="U359" s="81"/>
      <c r="V359" s="81"/>
      <c r="W359" s="78" t="s">
        <v>991</v>
      </c>
      <c r="X359" s="82" t="s">
        <v>630</v>
      </c>
      <c r="Y359" s="81" t="s">
        <v>2471</v>
      </c>
      <c r="Z359" s="81" t="s">
        <v>3676</v>
      </c>
      <c r="AA359" s="81" t="s">
        <v>252</v>
      </c>
      <c r="AB359" s="85"/>
      <c r="AD359" s="78" t="s">
        <v>991</v>
      </c>
      <c r="AE359" s="81" t="s">
        <v>630</v>
      </c>
      <c r="AF359" s="81" t="s">
        <v>2471</v>
      </c>
      <c r="AG359" s="81" t="s">
        <v>3676</v>
      </c>
      <c r="AH359" s="81" t="s">
        <v>252</v>
      </c>
      <c r="AI359" s="85"/>
    </row>
    <row r="360" spans="1:35" s="79" customFormat="1" ht="11.25" customHeight="1" x14ac:dyDescent="0.2">
      <c r="A360" s="77" t="s">
        <v>1732</v>
      </c>
      <c r="B360" s="80">
        <v>784</v>
      </c>
      <c r="C360" s="81" t="s">
        <v>991</v>
      </c>
      <c r="D360" s="73">
        <v>2500</v>
      </c>
      <c r="E360" s="79" t="s">
        <v>65</v>
      </c>
      <c r="F360" s="79" t="s">
        <v>3725</v>
      </c>
      <c r="G360" s="79" t="s">
        <v>2996</v>
      </c>
      <c r="H360" s="79" t="s">
        <v>66</v>
      </c>
      <c r="I360" s="81"/>
      <c r="J360" s="81">
        <v>25</v>
      </c>
      <c r="K360" s="86"/>
      <c r="M360" s="78" t="s">
        <v>991</v>
      </c>
      <c r="N360" s="82"/>
      <c r="O360" s="81" t="s">
        <v>2256</v>
      </c>
      <c r="P360" s="81" t="s">
        <v>2256</v>
      </c>
      <c r="Q360" s="81"/>
      <c r="R360" s="83">
        <v>2000</v>
      </c>
      <c r="S360" s="79" t="s">
        <v>3484</v>
      </c>
      <c r="T360" s="84">
        <v>5000000</v>
      </c>
      <c r="U360" s="81"/>
      <c r="V360" s="81"/>
      <c r="W360" s="78" t="s">
        <v>991</v>
      </c>
      <c r="X360" s="82"/>
      <c r="Y360" s="81" t="s">
        <v>2256</v>
      </c>
      <c r="Z360" s="81" t="s">
        <v>2256</v>
      </c>
      <c r="AA360" s="83">
        <v>10000</v>
      </c>
      <c r="AB360" s="85"/>
      <c r="AD360" s="78" t="s">
        <v>991</v>
      </c>
      <c r="AE360" s="82"/>
      <c r="AF360" s="81" t="s">
        <v>2256</v>
      </c>
      <c r="AG360" s="81" t="s">
        <v>2256</v>
      </c>
      <c r="AH360" s="83">
        <v>10000</v>
      </c>
      <c r="AI360" s="85"/>
    </row>
    <row r="361" spans="1:35" s="79" customFormat="1" ht="11.25" customHeight="1" x14ac:dyDescent="0.2">
      <c r="A361" s="77" t="s">
        <v>998</v>
      </c>
      <c r="B361" s="80">
        <v>796</v>
      </c>
      <c r="C361" s="81" t="s">
        <v>997</v>
      </c>
      <c r="D361" s="73">
        <v>2500</v>
      </c>
      <c r="E361" s="79" t="s">
        <v>65</v>
      </c>
      <c r="F361" s="79" t="s">
        <v>3725</v>
      </c>
      <c r="G361" s="79" t="s">
        <v>2996</v>
      </c>
      <c r="H361" s="79" t="s">
        <v>66</v>
      </c>
      <c r="I361" s="81"/>
      <c r="J361" s="81">
        <v>25</v>
      </c>
      <c r="K361" s="86"/>
      <c r="M361" s="78" t="s">
        <v>999</v>
      </c>
      <c r="N361" s="82" t="s">
        <v>1988</v>
      </c>
      <c r="O361" s="81" t="s">
        <v>2473</v>
      </c>
      <c r="P361" s="81" t="s">
        <v>3685</v>
      </c>
      <c r="Q361" s="81"/>
      <c r="R361" s="83" t="s">
        <v>3435</v>
      </c>
      <c r="S361" s="79" t="s">
        <v>3722</v>
      </c>
      <c r="T361" s="84" t="s">
        <v>3421</v>
      </c>
      <c r="U361" s="81"/>
      <c r="V361" s="81"/>
      <c r="W361" s="78" t="s">
        <v>999</v>
      </c>
      <c r="X361" s="82" t="s">
        <v>1988</v>
      </c>
      <c r="Y361" s="81" t="s">
        <v>2473</v>
      </c>
      <c r="Z361" s="81" t="s">
        <v>3685</v>
      </c>
      <c r="AA361" s="81" t="s">
        <v>252</v>
      </c>
      <c r="AB361" s="85"/>
      <c r="AD361" s="78" t="s">
        <v>999</v>
      </c>
      <c r="AE361" s="82" t="s">
        <v>1988</v>
      </c>
      <c r="AF361" s="81" t="s">
        <v>2473</v>
      </c>
      <c r="AG361" s="81" t="s">
        <v>3685</v>
      </c>
      <c r="AH361" s="81" t="s">
        <v>252</v>
      </c>
      <c r="AI361" s="85"/>
    </row>
    <row r="362" spans="1:35" s="79" customFormat="1" ht="11.25" customHeight="1" x14ac:dyDescent="0.2">
      <c r="A362" s="77" t="s">
        <v>1544</v>
      </c>
      <c r="B362" s="81" t="s">
        <v>1545</v>
      </c>
      <c r="C362" s="81" t="s">
        <v>1543</v>
      </c>
      <c r="D362" s="73">
        <v>2500</v>
      </c>
      <c r="E362" s="79" t="s">
        <v>65</v>
      </c>
      <c r="F362" s="79" t="s">
        <v>30</v>
      </c>
      <c r="G362" s="79" t="s">
        <v>3001</v>
      </c>
      <c r="H362" s="79" t="s">
        <v>66</v>
      </c>
      <c r="I362" s="81"/>
      <c r="J362" s="81">
        <v>25</v>
      </c>
      <c r="K362" s="86"/>
      <c r="M362" s="78" t="s">
        <v>999</v>
      </c>
      <c r="N362" s="82"/>
      <c r="O362" s="81" t="s">
        <v>2607</v>
      </c>
      <c r="P362" s="81" t="s">
        <v>2256</v>
      </c>
      <c r="Q362" s="81"/>
      <c r="R362" s="83">
        <v>2000</v>
      </c>
      <c r="S362" s="79" t="s">
        <v>3607</v>
      </c>
      <c r="T362" s="84">
        <v>5000000</v>
      </c>
      <c r="U362" s="81"/>
      <c r="V362" s="81"/>
      <c r="W362" s="78" t="s">
        <v>999</v>
      </c>
      <c r="X362" s="82"/>
      <c r="Y362" s="81" t="s">
        <v>2607</v>
      </c>
      <c r="Z362" s="81" t="s">
        <v>2256</v>
      </c>
      <c r="AA362" s="83">
        <v>10000</v>
      </c>
      <c r="AB362" s="85"/>
      <c r="AD362" s="78" t="s">
        <v>999</v>
      </c>
      <c r="AE362" s="82"/>
      <c r="AF362" s="81" t="s">
        <v>2607</v>
      </c>
      <c r="AG362" s="81" t="s">
        <v>2256</v>
      </c>
      <c r="AH362" s="83">
        <v>10000</v>
      </c>
      <c r="AI362" s="85"/>
    </row>
    <row r="363" spans="1:35" s="79" customFormat="1" ht="11.25" customHeight="1" x14ac:dyDescent="0.2">
      <c r="A363" s="77" t="s">
        <v>1735</v>
      </c>
      <c r="B363" s="80">
        <v>787</v>
      </c>
      <c r="C363" s="81" t="s">
        <v>999</v>
      </c>
      <c r="D363" s="73">
        <v>2500</v>
      </c>
      <c r="E363" s="79" t="s">
        <v>65</v>
      </c>
      <c r="F363" s="79" t="s">
        <v>3725</v>
      </c>
      <c r="G363" s="79" t="s">
        <v>2996</v>
      </c>
      <c r="H363" s="79" t="s">
        <v>66</v>
      </c>
      <c r="I363" s="81"/>
      <c r="J363" s="81">
        <v>25</v>
      </c>
      <c r="K363" s="86"/>
      <c r="M363" s="78" t="s">
        <v>999</v>
      </c>
      <c r="N363" s="82"/>
      <c r="O363" s="81" t="s">
        <v>2256</v>
      </c>
      <c r="P363" s="81" t="s">
        <v>2256</v>
      </c>
      <c r="Q363" s="81"/>
      <c r="R363" s="83">
        <v>2000</v>
      </c>
      <c r="S363" s="79" t="s">
        <v>3484</v>
      </c>
      <c r="T363" s="84">
        <v>5000000</v>
      </c>
      <c r="U363" s="81"/>
      <c r="V363" s="81"/>
      <c r="W363" s="78" t="s">
        <v>999</v>
      </c>
      <c r="X363" s="82"/>
      <c r="Y363" s="81" t="s">
        <v>2256</v>
      </c>
      <c r="Z363" s="81" t="s">
        <v>2256</v>
      </c>
      <c r="AA363" s="83">
        <v>10000</v>
      </c>
      <c r="AB363" s="85"/>
      <c r="AD363" s="78" t="s">
        <v>999</v>
      </c>
      <c r="AE363" s="82"/>
      <c r="AF363" s="81" t="s">
        <v>2256</v>
      </c>
      <c r="AG363" s="81" t="s">
        <v>2256</v>
      </c>
      <c r="AH363" s="83">
        <v>10000</v>
      </c>
      <c r="AI363" s="85"/>
    </row>
    <row r="364" spans="1:35" s="79" customFormat="1" ht="11.25" customHeight="1" x14ac:dyDescent="0.2">
      <c r="A364" s="77" t="s">
        <v>1002</v>
      </c>
      <c r="B364" s="80">
        <v>792</v>
      </c>
      <c r="C364" s="81" t="s">
        <v>1001</v>
      </c>
      <c r="D364" s="73">
        <v>2500</v>
      </c>
      <c r="E364" s="79" t="s">
        <v>65</v>
      </c>
      <c r="F364" s="79" t="s">
        <v>3725</v>
      </c>
      <c r="G364" s="79" t="s">
        <v>2996</v>
      </c>
      <c r="H364" s="79" t="s">
        <v>66</v>
      </c>
      <c r="I364" s="81"/>
      <c r="J364" s="81">
        <v>25</v>
      </c>
      <c r="K364" s="86"/>
      <c r="M364" s="78" t="s">
        <v>1003</v>
      </c>
      <c r="N364" s="82" t="s">
        <v>343</v>
      </c>
      <c r="O364" s="81" t="s">
        <v>2474</v>
      </c>
      <c r="P364" s="81" t="s">
        <v>2869</v>
      </c>
      <c r="Q364" s="81"/>
      <c r="R364" s="83" t="s">
        <v>3446</v>
      </c>
      <c r="S364" s="79" t="s">
        <v>3493</v>
      </c>
      <c r="T364" s="84" t="s">
        <v>3620</v>
      </c>
      <c r="U364" s="81"/>
      <c r="V364" s="81"/>
      <c r="W364" s="78" t="s">
        <v>1003</v>
      </c>
      <c r="X364" s="82" t="s">
        <v>343</v>
      </c>
      <c r="Y364" s="81" t="s">
        <v>2474</v>
      </c>
      <c r="Z364" s="81" t="s">
        <v>2869</v>
      </c>
      <c r="AA364" s="81" t="s">
        <v>252</v>
      </c>
      <c r="AB364" s="85"/>
      <c r="AD364" s="78" t="s">
        <v>1003</v>
      </c>
      <c r="AE364" s="82" t="s">
        <v>343</v>
      </c>
      <c r="AF364" s="81" t="s">
        <v>2474</v>
      </c>
      <c r="AG364" s="81" t="s">
        <v>2869</v>
      </c>
      <c r="AH364" s="81" t="s">
        <v>252</v>
      </c>
      <c r="AI364" s="85"/>
    </row>
    <row r="365" spans="1:35" s="79" customFormat="1" ht="11.25" customHeight="1" x14ac:dyDescent="0.2">
      <c r="A365" s="77" t="s">
        <v>1736</v>
      </c>
      <c r="B365" s="80">
        <v>786</v>
      </c>
      <c r="C365" s="81" t="s">
        <v>1003</v>
      </c>
      <c r="D365" s="73">
        <v>2500</v>
      </c>
      <c r="E365" s="79" t="s">
        <v>65</v>
      </c>
      <c r="F365" s="79" t="s">
        <v>3725</v>
      </c>
      <c r="G365" s="79" t="s">
        <v>2996</v>
      </c>
      <c r="H365" s="79" t="s">
        <v>66</v>
      </c>
      <c r="I365" s="81"/>
      <c r="J365" s="81">
        <v>25</v>
      </c>
      <c r="K365" s="86"/>
      <c r="M365" s="78" t="s">
        <v>1003</v>
      </c>
      <c r="N365" s="82"/>
      <c r="O365" s="81" t="s">
        <v>2256</v>
      </c>
      <c r="P365" s="81" t="s">
        <v>2256</v>
      </c>
      <c r="Q365" s="81"/>
      <c r="R365" s="83">
        <v>2000</v>
      </c>
      <c r="S365" s="79" t="s">
        <v>3484</v>
      </c>
      <c r="T365" s="84">
        <v>5000000</v>
      </c>
      <c r="U365" s="81"/>
      <c r="V365" s="81"/>
      <c r="W365" s="78" t="s">
        <v>1003</v>
      </c>
      <c r="X365" s="82"/>
      <c r="Y365" s="81" t="s">
        <v>2256</v>
      </c>
      <c r="Z365" s="81" t="s">
        <v>2256</v>
      </c>
      <c r="AA365" s="83">
        <v>10000</v>
      </c>
      <c r="AB365" s="85"/>
      <c r="AD365" s="78" t="s">
        <v>1003</v>
      </c>
      <c r="AE365" s="82"/>
      <c r="AF365" s="81" t="s">
        <v>2256</v>
      </c>
      <c r="AG365" s="81" t="s">
        <v>2256</v>
      </c>
      <c r="AH365" s="83">
        <v>10000</v>
      </c>
      <c r="AI365" s="85"/>
    </row>
    <row r="366" spans="1:35" s="79" customFormat="1" ht="11.25" customHeight="1" x14ac:dyDescent="0.2">
      <c r="A366" s="77" t="s">
        <v>1005</v>
      </c>
      <c r="B366" s="80">
        <v>701</v>
      </c>
      <c r="C366" s="81" t="s">
        <v>1004</v>
      </c>
      <c r="D366" s="73">
        <v>2500</v>
      </c>
      <c r="E366" s="79" t="s">
        <v>65</v>
      </c>
      <c r="F366" s="79" t="s">
        <v>3725</v>
      </c>
      <c r="G366" s="79" t="s">
        <v>2996</v>
      </c>
      <c r="H366" s="79" t="s">
        <v>66</v>
      </c>
      <c r="I366" s="81"/>
      <c r="J366" s="81">
        <v>25</v>
      </c>
      <c r="K366" s="86"/>
      <c r="M366" s="78" t="s">
        <v>1006</v>
      </c>
      <c r="N366" s="82" t="s">
        <v>1535</v>
      </c>
      <c r="O366" s="81" t="s">
        <v>2475</v>
      </c>
      <c r="P366" s="81" t="s">
        <v>3686</v>
      </c>
      <c r="Q366" s="81"/>
      <c r="R366" s="83" t="s">
        <v>3435</v>
      </c>
      <c r="S366" s="79" t="s">
        <v>3689</v>
      </c>
      <c r="T366" s="84" t="s">
        <v>3421</v>
      </c>
      <c r="U366" s="81"/>
      <c r="V366" s="81"/>
      <c r="W366" s="78" t="s">
        <v>1006</v>
      </c>
      <c r="X366" s="82" t="s">
        <v>1535</v>
      </c>
      <c r="Y366" s="81" t="s">
        <v>2475</v>
      </c>
      <c r="Z366" s="81" t="s">
        <v>3686</v>
      </c>
      <c r="AA366" s="81" t="s">
        <v>252</v>
      </c>
      <c r="AB366" s="85"/>
      <c r="AD366" s="78" t="s">
        <v>1006</v>
      </c>
      <c r="AE366" s="82" t="s">
        <v>1535</v>
      </c>
      <c r="AF366" s="81" t="s">
        <v>2475</v>
      </c>
      <c r="AG366" s="81" t="s">
        <v>3686</v>
      </c>
      <c r="AH366" s="81" t="s">
        <v>252</v>
      </c>
      <c r="AI366" s="85"/>
    </row>
    <row r="367" spans="1:35" s="79" customFormat="1" ht="11.25" customHeight="1" x14ac:dyDescent="0.2">
      <c r="A367" s="77" t="s">
        <v>1737</v>
      </c>
      <c r="B367" s="80">
        <v>751</v>
      </c>
      <c r="C367" s="81" t="s">
        <v>1006</v>
      </c>
      <c r="D367" s="73">
        <v>2500</v>
      </c>
      <c r="E367" s="79" t="s">
        <v>65</v>
      </c>
      <c r="F367" s="79" t="s">
        <v>3725</v>
      </c>
      <c r="G367" s="79" t="s">
        <v>2996</v>
      </c>
      <c r="H367" s="79" t="s">
        <v>66</v>
      </c>
      <c r="I367" s="81"/>
      <c r="J367" s="81">
        <v>25</v>
      </c>
      <c r="K367" s="86"/>
      <c r="M367" s="78" t="s">
        <v>1006</v>
      </c>
      <c r="N367" s="82"/>
      <c r="O367" s="81" t="s">
        <v>2256</v>
      </c>
      <c r="P367" s="81" t="s">
        <v>2256</v>
      </c>
      <c r="Q367" s="81"/>
      <c r="R367" s="83">
        <v>2000</v>
      </c>
      <c r="S367" s="79" t="s">
        <v>3484</v>
      </c>
      <c r="T367" s="84">
        <v>5000000</v>
      </c>
      <c r="U367" s="81"/>
      <c r="V367" s="81"/>
      <c r="W367" s="78" t="s">
        <v>1006</v>
      </c>
      <c r="X367" s="82"/>
      <c r="Y367" s="81" t="s">
        <v>2256</v>
      </c>
      <c r="Z367" s="81" t="s">
        <v>2256</v>
      </c>
      <c r="AA367" s="83">
        <v>10000</v>
      </c>
      <c r="AB367" s="85"/>
      <c r="AD367" s="78" t="s">
        <v>1006</v>
      </c>
      <c r="AE367" s="82"/>
      <c r="AF367" s="81" t="s">
        <v>2256</v>
      </c>
      <c r="AG367" s="81" t="s">
        <v>2256</v>
      </c>
      <c r="AH367" s="83">
        <v>10000</v>
      </c>
      <c r="AI367" s="85"/>
    </row>
    <row r="368" spans="1:35" s="79" customFormat="1" ht="11.25" customHeight="1" x14ac:dyDescent="0.2">
      <c r="A368" s="77" t="s">
        <v>1012</v>
      </c>
      <c r="B368" s="80">
        <v>703</v>
      </c>
      <c r="C368" s="81" t="s">
        <v>1011</v>
      </c>
      <c r="D368" s="73">
        <v>2500</v>
      </c>
      <c r="E368" s="79" t="s">
        <v>65</v>
      </c>
      <c r="F368" s="79" t="s">
        <v>3725</v>
      </c>
      <c r="G368" s="79" t="s">
        <v>2996</v>
      </c>
      <c r="H368" s="79" t="s">
        <v>66</v>
      </c>
      <c r="I368" s="81"/>
      <c r="J368" s="81">
        <v>25</v>
      </c>
      <c r="K368" s="86"/>
      <c r="M368" s="78" t="s">
        <v>1013</v>
      </c>
      <c r="N368" s="82" t="s">
        <v>1982</v>
      </c>
      <c r="O368" s="81" t="s">
        <v>2477</v>
      </c>
      <c r="P368" s="81" t="s">
        <v>3680</v>
      </c>
      <c r="Q368" s="81"/>
      <c r="R368" s="83" t="s">
        <v>3447</v>
      </c>
      <c r="S368" s="79" t="s">
        <v>3682</v>
      </c>
      <c r="T368" s="84" t="s">
        <v>3623</v>
      </c>
      <c r="U368" s="81"/>
      <c r="V368" s="81"/>
      <c r="W368" s="78" t="s">
        <v>1013</v>
      </c>
      <c r="X368" s="82" t="s">
        <v>1982</v>
      </c>
      <c r="Y368" s="81" t="s">
        <v>2477</v>
      </c>
      <c r="Z368" s="81" t="s">
        <v>3680</v>
      </c>
      <c r="AA368" s="81" t="s">
        <v>252</v>
      </c>
      <c r="AB368" s="85"/>
      <c r="AD368" s="78" t="s">
        <v>1013</v>
      </c>
      <c r="AE368" s="82" t="s">
        <v>1982</v>
      </c>
      <c r="AF368" s="81" t="s">
        <v>2477</v>
      </c>
      <c r="AG368" s="81" t="s">
        <v>3680</v>
      </c>
      <c r="AH368" s="81" t="s">
        <v>252</v>
      </c>
      <c r="AI368" s="85"/>
    </row>
    <row r="369" spans="1:35" s="79" customFormat="1" ht="11.25" customHeight="1" x14ac:dyDescent="0.2">
      <c r="A369" s="77" t="s">
        <v>1555</v>
      </c>
      <c r="B369" s="81" t="s">
        <v>1556</v>
      </c>
      <c r="C369" s="81" t="s">
        <v>1554</v>
      </c>
      <c r="D369" s="73">
        <v>2500</v>
      </c>
      <c r="E369" s="79" t="s">
        <v>65</v>
      </c>
      <c r="F369" s="79" t="s">
        <v>30</v>
      </c>
      <c r="G369" s="79" t="s">
        <v>3001</v>
      </c>
      <c r="H369" s="79" t="s">
        <v>66</v>
      </c>
      <c r="I369" s="81"/>
      <c r="J369" s="81">
        <v>25</v>
      </c>
      <c r="K369" s="86"/>
      <c r="M369" s="78" t="s">
        <v>1013</v>
      </c>
      <c r="N369" s="82"/>
      <c r="O369" s="81" t="s">
        <v>2608</v>
      </c>
      <c r="P369" s="81" t="s">
        <v>2256</v>
      </c>
      <c r="Q369" s="81"/>
      <c r="R369" s="83">
        <v>2000</v>
      </c>
      <c r="S369" s="79" t="s">
        <v>3608</v>
      </c>
      <c r="T369" s="84">
        <v>5000000</v>
      </c>
      <c r="U369" s="81"/>
      <c r="V369" s="81"/>
      <c r="W369" s="78" t="s">
        <v>1013</v>
      </c>
      <c r="X369" s="82"/>
      <c r="Y369" s="81" t="s">
        <v>2608</v>
      </c>
      <c r="Z369" s="81" t="s">
        <v>2256</v>
      </c>
      <c r="AA369" s="83">
        <v>10000</v>
      </c>
      <c r="AB369" s="85"/>
      <c r="AD369" s="78" t="s">
        <v>1013</v>
      </c>
      <c r="AE369" s="82"/>
      <c r="AF369" s="81" t="s">
        <v>2608</v>
      </c>
      <c r="AG369" s="81" t="s">
        <v>2256</v>
      </c>
      <c r="AH369" s="83">
        <v>10000</v>
      </c>
      <c r="AI369" s="85"/>
    </row>
    <row r="370" spans="1:35" s="79" customFormat="1" ht="11.25" customHeight="1" x14ac:dyDescent="0.2">
      <c r="A370" s="77" t="s">
        <v>1738</v>
      </c>
      <c r="B370" s="80">
        <v>753</v>
      </c>
      <c r="C370" s="81" t="s">
        <v>1013</v>
      </c>
      <c r="D370" s="73">
        <v>2500</v>
      </c>
      <c r="E370" s="79" t="s">
        <v>65</v>
      </c>
      <c r="F370" s="79" t="s">
        <v>3725</v>
      </c>
      <c r="G370" s="79" t="s">
        <v>2996</v>
      </c>
      <c r="H370" s="79" t="s">
        <v>66</v>
      </c>
      <c r="I370" s="81"/>
      <c r="J370" s="81">
        <v>25</v>
      </c>
      <c r="K370" s="86"/>
      <c r="M370" s="78" t="s">
        <v>1013</v>
      </c>
      <c r="N370" s="82"/>
      <c r="O370" s="81" t="s">
        <v>2256</v>
      </c>
      <c r="P370" s="81" t="s">
        <v>2256</v>
      </c>
      <c r="Q370" s="81"/>
      <c r="R370" s="83">
        <v>2000</v>
      </c>
      <c r="S370" s="79" t="s">
        <v>3484</v>
      </c>
      <c r="T370" s="84">
        <v>5000000</v>
      </c>
      <c r="U370" s="81"/>
      <c r="V370" s="81"/>
      <c r="W370" s="78" t="s">
        <v>1013</v>
      </c>
      <c r="X370" s="82"/>
      <c r="Y370" s="81" t="s">
        <v>2256</v>
      </c>
      <c r="Z370" s="81" t="s">
        <v>2256</v>
      </c>
      <c r="AA370" s="83">
        <v>10000</v>
      </c>
      <c r="AB370" s="85"/>
      <c r="AD370" s="78" t="s">
        <v>1013</v>
      </c>
      <c r="AE370" s="82"/>
      <c r="AF370" s="81" t="s">
        <v>2256</v>
      </c>
      <c r="AG370" s="81" t="s">
        <v>2256</v>
      </c>
      <c r="AH370" s="83">
        <v>10000</v>
      </c>
      <c r="AI370" s="85"/>
    </row>
    <row r="371" spans="1:35" s="79" customFormat="1" ht="11.25" customHeight="1" x14ac:dyDescent="0.2">
      <c r="A371" s="77" t="s">
        <v>1009</v>
      </c>
      <c r="B371" s="80">
        <v>702</v>
      </c>
      <c r="C371" s="81" t="s">
        <v>1008</v>
      </c>
      <c r="D371" s="73">
        <v>2500</v>
      </c>
      <c r="E371" s="79" t="s">
        <v>65</v>
      </c>
      <c r="F371" s="79" t="s">
        <v>3725</v>
      </c>
      <c r="G371" s="79" t="s">
        <v>2996</v>
      </c>
      <c r="H371" s="79" t="s">
        <v>66</v>
      </c>
      <c r="I371" s="81"/>
      <c r="J371" s="81">
        <v>25</v>
      </c>
      <c r="K371" s="86"/>
      <c r="M371" s="78" t="s">
        <v>1010</v>
      </c>
      <c r="N371" s="82" t="s">
        <v>927</v>
      </c>
      <c r="O371" s="81" t="s">
        <v>2476</v>
      </c>
      <c r="P371" s="81" t="s">
        <v>3707</v>
      </c>
      <c r="Q371" s="81"/>
      <c r="R371" s="83" t="s">
        <v>3435</v>
      </c>
      <c r="S371" s="79" t="s">
        <v>3709</v>
      </c>
      <c r="T371" s="84" t="s">
        <v>3421</v>
      </c>
      <c r="U371" s="81"/>
      <c r="V371" s="81"/>
      <c r="W371" s="78" t="s">
        <v>1010</v>
      </c>
      <c r="X371" s="82" t="s">
        <v>927</v>
      </c>
      <c r="Y371" s="81" t="s">
        <v>2476</v>
      </c>
      <c r="Z371" s="81" t="s">
        <v>3707</v>
      </c>
      <c r="AA371" s="81" t="s">
        <v>252</v>
      </c>
      <c r="AB371" s="85"/>
      <c r="AD371" s="78" t="s">
        <v>1010</v>
      </c>
      <c r="AE371" s="82" t="s">
        <v>927</v>
      </c>
      <c r="AF371" s="81" t="s">
        <v>2476</v>
      </c>
      <c r="AG371" s="81" t="s">
        <v>3707</v>
      </c>
      <c r="AH371" s="81" t="s">
        <v>252</v>
      </c>
      <c r="AI371" s="85"/>
    </row>
    <row r="372" spans="1:35" s="79" customFormat="1" ht="11.25" customHeight="1" x14ac:dyDescent="0.2">
      <c r="A372" s="77" t="s">
        <v>1744</v>
      </c>
      <c r="B372" s="80">
        <v>752</v>
      </c>
      <c r="C372" s="81" t="s">
        <v>1010</v>
      </c>
      <c r="D372" s="73">
        <v>2500</v>
      </c>
      <c r="E372" s="79" t="s">
        <v>65</v>
      </c>
      <c r="F372" s="79" t="s">
        <v>3725</v>
      </c>
      <c r="G372" s="79" t="s">
        <v>2996</v>
      </c>
      <c r="H372" s="79" t="s">
        <v>66</v>
      </c>
      <c r="I372" s="81"/>
      <c r="J372" s="81">
        <v>25</v>
      </c>
      <c r="K372" s="86"/>
      <c r="M372" s="78" t="s">
        <v>1010</v>
      </c>
      <c r="N372" s="82"/>
      <c r="O372" s="81" t="s">
        <v>2256</v>
      </c>
      <c r="P372" s="81" t="s">
        <v>2256</v>
      </c>
      <c r="Q372" s="81"/>
      <c r="R372" s="83">
        <v>2000</v>
      </c>
      <c r="S372" s="79" t="s">
        <v>3484</v>
      </c>
      <c r="T372" s="84">
        <v>5000000</v>
      </c>
      <c r="U372" s="81"/>
      <c r="V372" s="81"/>
      <c r="W372" s="78" t="s">
        <v>1010</v>
      </c>
      <c r="X372" s="82"/>
      <c r="Y372" s="81" t="s">
        <v>2256</v>
      </c>
      <c r="Z372" s="81" t="s">
        <v>2256</v>
      </c>
      <c r="AA372" s="83">
        <v>10000</v>
      </c>
      <c r="AB372" s="85"/>
      <c r="AD372" s="78" t="s">
        <v>1010</v>
      </c>
      <c r="AE372" s="82"/>
      <c r="AF372" s="81" t="s">
        <v>2256</v>
      </c>
      <c r="AG372" s="81" t="s">
        <v>2256</v>
      </c>
      <c r="AH372" s="83">
        <v>10000</v>
      </c>
      <c r="AI372" s="85"/>
    </row>
    <row r="373" spans="1:35" s="79" customFormat="1" ht="11.25" customHeight="1" x14ac:dyDescent="0.2">
      <c r="A373" s="77" t="s">
        <v>1016</v>
      </c>
      <c r="B373" s="80">
        <v>809</v>
      </c>
      <c r="C373" s="81" t="s">
        <v>1015</v>
      </c>
      <c r="D373" s="73">
        <v>2500</v>
      </c>
      <c r="E373" s="79" t="s">
        <v>65</v>
      </c>
      <c r="F373" s="79" t="s">
        <v>3725</v>
      </c>
      <c r="G373" s="79" t="s">
        <v>2996</v>
      </c>
      <c r="H373" s="79" t="s">
        <v>66</v>
      </c>
      <c r="I373" s="81"/>
      <c r="J373" s="81">
        <v>25</v>
      </c>
      <c r="K373" s="86"/>
      <c r="M373" s="78" t="s">
        <v>1017</v>
      </c>
      <c r="N373" s="82" t="s">
        <v>1018</v>
      </c>
      <c r="O373" s="81" t="s">
        <v>2478</v>
      </c>
      <c r="P373" s="81" t="s">
        <v>2870</v>
      </c>
      <c r="Q373" s="81"/>
      <c r="R373" s="83" t="s">
        <v>67</v>
      </c>
      <c r="S373" s="79" t="s">
        <v>3494</v>
      </c>
      <c r="T373" s="84" t="s">
        <v>3415</v>
      </c>
      <c r="U373" s="81"/>
      <c r="V373" s="81"/>
      <c r="W373" s="78" t="s">
        <v>1017</v>
      </c>
      <c r="X373" s="82" t="s">
        <v>1018</v>
      </c>
      <c r="Y373" s="81" t="s">
        <v>2478</v>
      </c>
      <c r="Z373" s="81" t="s">
        <v>2870</v>
      </c>
      <c r="AA373" s="81" t="s">
        <v>252</v>
      </c>
      <c r="AB373" s="85"/>
      <c r="AD373" s="78" t="s">
        <v>1017</v>
      </c>
      <c r="AE373" s="82" t="s">
        <v>1018</v>
      </c>
      <c r="AF373" s="81" t="s">
        <v>2478</v>
      </c>
      <c r="AG373" s="81" t="s">
        <v>2870</v>
      </c>
      <c r="AH373" s="81" t="s">
        <v>252</v>
      </c>
      <c r="AI373" s="85"/>
    </row>
    <row r="374" spans="1:35" s="79" customFormat="1" ht="11.25" customHeight="1" x14ac:dyDescent="0.2">
      <c r="A374" s="77" t="s">
        <v>1748</v>
      </c>
      <c r="B374" s="80">
        <v>816</v>
      </c>
      <c r="C374" s="81" t="s">
        <v>1017</v>
      </c>
      <c r="D374" s="73">
        <v>2500</v>
      </c>
      <c r="E374" s="79" t="s">
        <v>65</v>
      </c>
      <c r="F374" s="79" t="s">
        <v>3725</v>
      </c>
      <c r="G374" s="79" t="s">
        <v>2996</v>
      </c>
      <c r="H374" s="79" t="s">
        <v>66</v>
      </c>
      <c r="I374" s="81"/>
      <c r="J374" s="81">
        <v>25</v>
      </c>
      <c r="K374" s="86"/>
      <c r="M374" s="78" t="s">
        <v>1017</v>
      </c>
      <c r="N374" s="82"/>
      <c r="O374" s="81" t="s">
        <v>2256</v>
      </c>
      <c r="P374" s="81" t="s">
        <v>2256</v>
      </c>
      <c r="Q374" s="81"/>
      <c r="R374" s="83">
        <v>500</v>
      </c>
      <c r="S374" s="79" t="s">
        <v>3484</v>
      </c>
      <c r="T374" s="84">
        <v>1250000</v>
      </c>
      <c r="U374" s="81"/>
      <c r="V374" s="81"/>
      <c r="W374" s="78" t="s">
        <v>1017</v>
      </c>
      <c r="X374" s="82"/>
      <c r="Y374" s="81" t="s">
        <v>2256</v>
      </c>
      <c r="Z374" s="81" t="s">
        <v>2256</v>
      </c>
      <c r="AA374" s="83">
        <v>10000</v>
      </c>
      <c r="AB374" s="85"/>
      <c r="AD374" s="78" t="s">
        <v>1017</v>
      </c>
      <c r="AE374" s="82"/>
      <c r="AF374" s="81" t="s">
        <v>2256</v>
      </c>
      <c r="AG374" s="81" t="s">
        <v>2256</v>
      </c>
      <c r="AH374" s="83">
        <v>10000</v>
      </c>
      <c r="AI374" s="85"/>
    </row>
    <row r="375" spans="1:35" s="79" customFormat="1" ht="11.25" customHeight="1" x14ac:dyDescent="0.2">
      <c r="A375" s="77" t="s">
        <v>1020</v>
      </c>
      <c r="B375" s="80">
        <v>795</v>
      </c>
      <c r="C375" s="81" t="s">
        <v>1019</v>
      </c>
      <c r="D375" s="73">
        <v>2500</v>
      </c>
      <c r="E375" s="79" t="s">
        <v>65</v>
      </c>
      <c r="F375" s="79" t="s">
        <v>3725</v>
      </c>
      <c r="G375" s="79" t="s">
        <v>2996</v>
      </c>
      <c r="H375" s="79" t="s">
        <v>66</v>
      </c>
      <c r="I375" s="81"/>
      <c r="J375" s="81">
        <v>25</v>
      </c>
      <c r="K375" s="86"/>
      <c r="M375" s="78" t="s">
        <v>1021</v>
      </c>
      <c r="N375" s="82" t="s">
        <v>1986</v>
      </c>
      <c r="O375" s="81" t="s">
        <v>2479</v>
      </c>
      <c r="P375" s="81" t="s">
        <v>3697</v>
      </c>
      <c r="Q375" s="81"/>
      <c r="R375" s="83" t="s">
        <v>3447</v>
      </c>
      <c r="S375" s="79" t="s">
        <v>3699</v>
      </c>
      <c r="T375" s="84" t="s">
        <v>3623</v>
      </c>
      <c r="U375" s="81"/>
      <c r="V375" s="81"/>
      <c r="W375" s="78" t="s">
        <v>1021</v>
      </c>
      <c r="X375" s="82" t="s">
        <v>1986</v>
      </c>
      <c r="Y375" s="81" t="s">
        <v>2479</v>
      </c>
      <c r="Z375" s="81" t="s">
        <v>3697</v>
      </c>
      <c r="AA375" s="81" t="s">
        <v>252</v>
      </c>
      <c r="AB375" s="85"/>
      <c r="AD375" s="78" t="s">
        <v>1021</v>
      </c>
      <c r="AE375" s="82" t="s">
        <v>1986</v>
      </c>
      <c r="AF375" s="81" t="s">
        <v>2479</v>
      </c>
      <c r="AG375" s="81" t="s">
        <v>3697</v>
      </c>
      <c r="AH375" s="81" t="s">
        <v>252</v>
      </c>
      <c r="AI375" s="85"/>
    </row>
    <row r="376" spans="1:35" s="79" customFormat="1" ht="11.25" customHeight="1" x14ac:dyDescent="0.2">
      <c r="A376" s="77" t="s">
        <v>1749</v>
      </c>
      <c r="B376" s="80">
        <v>785</v>
      </c>
      <c r="C376" s="81" t="s">
        <v>1021</v>
      </c>
      <c r="D376" s="73">
        <v>2500</v>
      </c>
      <c r="E376" s="79" t="s">
        <v>65</v>
      </c>
      <c r="F376" s="79" t="s">
        <v>3725</v>
      </c>
      <c r="G376" s="79" t="s">
        <v>2996</v>
      </c>
      <c r="H376" s="79" t="s">
        <v>66</v>
      </c>
      <c r="I376" s="81"/>
      <c r="J376" s="81">
        <v>25</v>
      </c>
      <c r="K376" s="86"/>
      <c r="M376" s="78" t="s">
        <v>1021</v>
      </c>
      <c r="N376" s="82"/>
      <c r="O376" s="81" t="s">
        <v>2256</v>
      </c>
      <c r="P376" s="81" t="s">
        <v>2256</v>
      </c>
      <c r="Q376" s="81"/>
      <c r="R376" s="83">
        <v>2000</v>
      </c>
      <c r="S376" s="79" t="s">
        <v>3484</v>
      </c>
      <c r="T376" s="84">
        <v>5000000</v>
      </c>
      <c r="U376" s="81"/>
      <c r="V376" s="81"/>
      <c r="W376" s="78" t="s">
        <v>1021</v>
      </c>
      <c r="X376" s="82"/>
      <c r="Y376" s="81" t="s">
        <v>2256</v>
      </c>
      <c r="Z376" s="81" t="s">
        <v>2256</v>
      </c>
      <c r="AA376" s="83">
        <v>10000</v>
      </c>
      <c r="AB376" s="85"/>
      <c r="AD376" s="78" t="s">
        <v>1021</v>
      </c>
      <c r="AE376" s="82"/>
      <c r="AF376" s="81" t="s">
        <v>2256</v>
      </c>
      <c r="AG376" s="81" t="s">
        <v>2256</v>
      </c>
      <c r="AH376" s="83">
        <v>10000</v>
      </c>
      <c r="AI376" s="85"/>
    </row>
    <row r="377" spans="1:35" s="79" customFormat="1" ht="11.25" customHeight="1" x14ac:dyDescent="0.2">
      <c r="A377" s="77" t="s">
        <v>1024</v>
      </c>
      <c r="B377" s="80">
        <v>700</v>
      </c>
      <c r="C377" s="81" t="s">
        <v>1023</v>
      </c>
      <c r="D377" s="73">
        <v>2500</v>
      </c>
      <c r="E377" s="79" t="s">
        <v>65</v>
      </c>
      <c r="F377" s="79" t="s">
        <v>3725</v>
      </c>
      <c r="G377" s="79" t="s">
        <v>2996</v>
      </c>
      <c r="H377" s="79" t="s">
        <v>66</v>
      </c>
      <c r="I377" s="81"/>
      <c r="J377" s="81">
        <v>25</v>
      </c>
      <c r="K377" s="86"/>
      <c r="M377" s="78" t="s">
        <v>1025</v>
      </c>
      <c r="N377" s="82" t="s">
        <v>1026</v>
      </c>
      <c r="O377" s="81" t="s">
        <v>2480</v>
      </c>
      <c r="P377" s="81" t="s">
        <v>2871</v>
      </c>
      <c r="Q377" s="81"/>
      <c r="R377" s="83" t="s">
        <v>3446</v>
      </c>
      <c r="S377" s="79" t="s">
        <v>3495</v>
      </c>
      <c r="T377" s="84" t="s">
        <v>3620</v>
      </c>
      <c r="U377" s="81"/>
      <c r="V377" s="81"/>
      <c r="W377" s="78" t="s">
        <v>1025</v>
      </c>
      <c r="X377" s="82" t="s">
        <v>1026</v>
      </c>
      <c r="Y377" s="81" t="s">
        <v>2480</v>
      </c>
      <c r="Z377" s="81" t="s">
        <v>2871</v>
      </c>
      <c r="AA377" s="81" t="s">
        <v>252</v>
      </c>
      <c r="AB377" s="85"/>
      <c r="AD377" s="78" t="s">
        <v>1025</v>
      </c>
      <c r="AE377" s="82" t="s">
        <v>1026</v>
      </c>
      <c r="AF377" s="81" t="s">
        <v>2480</v>
      </c>
      <c r="AG377" s="81" t="s">
        <v>2871</v>
      </c>
      <c r="AH377" s="81" t="s">
        <v>252</v>
      </c>
      <c r="AI377" s="85"/>
    </row>
    <row r="378" spans="1:35" s="79" customFormat="1" ht="11.25" customHeight="1" x14ac:dyDescent="0.2">
      <c r="A378" s="77" t="s">
        <v>1750</v>
      </c>
      <c r="B378" s="80">
        <v>750</v>
      </c>
      <c r="C378" s="81" t="s">
        <v>1025</v>
      </c>
      <c r="D378" s="73">
        <v>2500</v>
      </c>
      <c r="E378" s="79" t="s">
        <v>65</v>
      </c>
      <c r="F378" s="79" t="s">
        <v>3725</v>
      </c>
      <c r="G378" s="79" t="s">
        <v>2996</v>
      </c>
      <c r="H378" s="79" t="s">
        <v>66</v>
      </c>
      <c r="I378" s="81"/>
      <c r="J378" s="81">
        <v>25</v>
      </c>
      <c r="K378" s="86"/>
      <c r="M378" s="78" t="s">
        <v>1025</v>
      </c>
      <c r="N378" s="82"/>
      <c r="O378" s="81" t="s">
        <v>2256</v>
      </c>
      <c r="P378" s="81" t="s">
        <v>2256</v>
      </c>
      <c r="Q378" s="81"/>
      <c r="R378" s="83">
        <v>2000</v>
      </c>
      <c r="S378" s="79" t="s">
        <v>3484</v>
      </c>
      <c r="T378" s="84">
        <v>5000000</v>
      </c>
      <c r="U378" s="81"/>
      <c r="V378" s="81"/>
      <c r="W378" s="78" t="s">
        <v>1025</v>
      </c>
      <c r="X378" s="82"/>
      <c r="Y378" s="81" t="s">
        <v>2256</v>
      </c>
      <c r="Z378" s="81" t="s">
        <v>2256</v>
      </c>
      <c r="AA378" s="83">
        <v>10000</v>
      </c>
      <c r="AB378" s="85"/>
      <c r="AD378" s="78" t="s">
        <v>1025</v>
      </c>
      <c r="AE378" s="82"/>
      <c r="AF378" s="81" t="s">
        <v>2256</v>
      </c>
      <c r="AG378" s="81" t="s">
        <v>2256</v>
      </c>
      <c r="AH378" s="83">
        <v>10000</v>
      </c>
      <c r="AI378" s="85"/>
    </row>
    <row r="379" spans="1:35" s="79" customFormat="1" ht="11.25" customHeight="1" x14ac:dyDescent="0.2">
      <c r="A379" s="77" t="s">
        <v>1028</v>
      </c>
      <c r="B379" s="80">
        <v>799</v>
      </c>
      <c r="C379" s="81" t="s">
        <v>1027</v>
      </c>
      <c r="D379" s="73">
        <v>2500</v>
      </c>
      <c r="E379" s="79" t="s">
        <v>65</v>
      </c>
      <c r="F379" s="79" t="s">
        <v>3725</v>
      </c>
      <c r="G379" s="79" t="s">
        <v>2996</v>
      </c>
      <c r="H379" s="79" t="s">
        <v>66</v>
      </c>
      <c r="I379" s="81"/>
      <c r="J379" s="81">
        <v>25</v>
      </c>
      <c r="K379" s="86"/>
      <c r="M379" s="78" t="s">
        <v>1029</v>
      </c>
      <c r="N379" s="82" t="s">
        <v>1030</v>
      </c>
      <c r="O379" s="81" t="s">
        <v>2481</v>
      </c>
      <c r="P379" s="81" t="s">
        <v>2872</v>
      </c>
      <c r="Q379" s="81"/>
      <c r="R379" s="83" t="s">
        <v>516</v>
      </c>
      <c r="S379" s="79" t="s">
        <v>3496</v>
      </c>
      <c r="T379" s="84" t="s">
        <v>3423</v>
      </c>
      <c r="U379" s="81"/>
      <c r="V379" s="81"/>
      <c r="W379" s="78" t="s">
        <v>1029</v>
      </c>
      <c r="X379" s="82" t="s">
        <v>1030</v>
      </c>
      <c r="Y379" s="81" t="s">
        <v>2481</v>
      </c>
      <c r="Z379" s="81" t="s">
        <v>2872</v>
      </c>
      <c r="AA379" s="81" t="s">
        <v>252</v>
      </c>
      <c r="AB379" s="85"/>
      <c r="AD379" s="78" t="s">
        <v>1029</v>
      </c>
      <c r="AE379" s="82" t="s">
        <v>1030</v>
      </c>
      <c r="AF379" s="81" t="s">
        <v>2481</v>
      </c>
      <c r="AG379" s="81" t="s">
        <v>2872</v>
      </c>
      <c r="AH379" s="81" t="s">
        <v>252</v>
      </c>
      <c r="AI379" s="85"/>
    </row>
    <row r="380" spans="1:35" s="79" customFormat="1" ht="11.25" customHeight="1" x14ac:dyDescent="0.2">
      <c r="A380" s="77" t="s">
        <v>1755</v>
      </c>
      <c r="B380" s="80">
        <v>791</v>
      </c>
      <c r="C380" s="81" t="s">
        <v>1029</v>
      </c>
      <c r="D380" s="73">
        <v>2500</v>
      </c>
      <c r="E380" s="79" t="s">
        <v>65</v>
      </c>
      <c r="F380" s="79" t="s">
        <v>3725</v>
      </c>
      <c r="G380" s="79" t="s">
        <v>2996</v>
      </c>
      <c r="H380" s="79" t="s">
        <v>66</v>
      </c>
      <c r="I380" s="81"/>
      <c r="J380" s="81">
        <v>25</v>
      </c>
      <c r="K380" s="86"/>
      <c r="M380" s="78" t="s">
        <v>1029</v>
      </c>
      <c r="N380" s="82"/>
      <c r="O380" s="81" t="s">
        <v>2256</v>
      </c>
      <c r="P380" s="81" t="s">
        <v>2256</v>
      </c>
      <c r="Q380" s="81"/>
      <c r="R380" s="83">
        <v>1500</v>
      </c>
      <c r="S380" s="79" t="s">
        <v>3484</v>
      </c>
      <c r="T380" s="84">
        <v>3750000</v>
      </c>
      <c r="U380" s="81"/>
      <c r="V380" s="81"/>
      <c r="W380" s="78" t="s">
        <v>1029</v>
      </c>
      <c r="X380" s="82"/>
      <c r="Y380" s="81" t="s">
        <v>2256</v>
      </c>
      <c r="Z380" s="81" t="s">
        <v>2256</v>
      </c>
      <c r="AA380" s="83">
        <v>10000</v>
      </c>
      <c r="AB380" s="85"/>
      <c r="AD380" s="78" t="s">
        <v>1029</v>
      </c>
      <c r="AE380" s="82"/>
      <c r="AF380" s="81" t="s">
        <v>2256</v>
      </c>
      <c r="AG380" s="81" t="s">
        <v>2256</v>
      </c>
      <c r="AH380" s="83">
        <v>10000</v>
      </c>
      <c r="AI380" s="85"/>
    </row>
    <row r="381" spans="1:35" s="79" customFormat="1" ht="11.25" customHeight="1" x14ac:dyDescent="0.2">
      <c r="A381" s="77" t="s">
        <v>1032</v>
      </c>
      <c r="B381" s="80">
        <v>797</v>
      </c>
      <c r="C381" s="81" t="s">
        <v>1031</v>
      </c>
      <c r="D381" s="73">
        <v>2500</v>
      </c>
      <c r="E381" s="79" t="s">
        <v>65</v>
      </c>
      <c r="F381" s="79" t="s">
        <v>3725</v>
      </c>
      <c r="G381" s="79" t="s">
        <v>2996</v>
      </c>
      <c r="H381" s="79" t="s">
        <v>66</v>
      </c>
      <c r="I381" s="81"/>
      <c r="J381" s="81">
        <v>25</v>
      </c>
      <c r="K381" s="86"/>
      <c r="M381" s="78" t="s">
        <v>1033</v>
      </c>
      <c r="N381" s="82" t="s">
        <v>1034</v>
      </c>
      <c r="O381" s="81" t="s">
        <v>2482</v>
      </c>
      <c r="P381" s="81" t="s">
        <v>2873</v>
      </c>
      <c r="Q381" s="81"/>
      <c r="R381" s="83" t="s">
        <v>864</v>
      </c>
      <c r="S381" s="79" t="s">
        <v>3497</v>
      </c>
      <c r="T381" s="84" t="s">
        <v>3422</v>
      </c>
      <c r="U381" s="81"/>
      <c r="V381" s="81"/>
      <c r="W381" s="78" t="s">
        <v>1033</v>
      </c>
      <c r="X381" s="82" t="s">
        <v>1034</v>
      </c>
      <c r="Y381" s="81" t="s">
        <v>2482</v>
      </c>
      <c r="Z381" s="81" t="s">
        <v>2873</v>
      </c>
      <c r="AA381" s="81" t="s">
        <v>252</v>
      </c>
      <c r="AB381" s="85"/>
      <c r="AD381" s="78" t="s">
        <v>1033</v>
      </c>
      <c r="AE381" s="82" t="s">
        <v>1034</v>
      </c>
      <c r="AF381" s="81" t="s">
        <v>2482</v>
      </c>
      <c r="AG381" s="81" t="s">
        <v>2873</v>
      </c>
      <c r="AH381" s="81" t="s">
        <v>252</v>
      </c>
      <c r="AI381" s="85"/>
    </row>
    <row r="382" spans="1:35" s="79" customFormat="1" ht="11.25" customHeight="1" x14ac:dyDescent="0.2">
      <c r="A382" s="77" t="s">
        <v>1770</v>
      </c>
      <c r="B382" s="80">
        <v>789</v>
      </c>
      <c r="C382" s="81" t="s">
        <v>1033</v>
      </c>
      <c r="D382" s="73">
        <v>2500</v>
      </c>
      <c r="E382" s="79" t="s">
        <v>65</v>
      </c>
      <c r="F382" s="79" t="s">
        <v>3725</v>
      </c>
      <c r="G382" s="79" t="s">
        <v>2996</v>
      </c>
      <c r="H382" s="79" t="s">
        <v>66</v>
      </c>
      <c r="I382" s="81"/>
      <c r="J382" s="81">
        <v>25</v>
      </c>
      <c r="K382" s="86"/>
      <c r="M382" s="78" t="s">
        <v>1033</v>
      </c>
      <c r="N382" s="82"/>
      <c r="O382" s="81" t="s">
        <v>2256</v>
      </c>
      <c r="P382" s="81" t="s">
        <v>2256</v>
      </c>
      <c r="Q382" s="81"/>
      <c r="R382" s="83">
        <v>1000</v>
      </c>
      <c r="S382" s="79" t="s">
        <v>3484</v>
      </c>
      <c r="T382" s="84">
        <v>2500000</v>
      </c>
      <c r="U382" s="81"/>
      <c r="V382" s="81"/>
      <c r="W382" s="78" t="s">
        <v>1033</v>
      </c>
      <c r="X382" s="82"/>
      <c r="Y382" s="81" t="s">
        <v>2256</v>
      </c>
      <c r="Z382" s="81" t="s">
        <v>2256</v>
      </c>
      <c r="AA382" s="83">
        <v>10000</v>
      </c>
      <c r="AB382" s="85"/>
      <c r="AD382" s="78" t="s">
        <v>1033</v>
      </c>
      <c r="AE382" s="82"/>
      <c r="AF382" s="81" t="s">
        <v>2256</v>
      </c>
      <c r="AG382" s="81" t="s">
        <v>2256</v>
      </c>
      <c r="AH382" s="83">
        <v>10000</v>
      </c>
      <c r="AI382" s="85"/>
    </row>
    <row r="383" spans="1:35" s="79" customFormat="1" ht="11.25" customHeight="1" x14ac:dyDescent="0.2">
      <c r="A383" s="77" t="s">
        <v>1036</v>
      </c>
      <c r="B383" s="80">
        <v>704</v>
      </c>
      <c r="C383" s="81" t="s">
        <v>1035</v>
      </c>
      <c r="D383" s="73">
        <v>2500</v>
      </c>
      <c r="E383" s="79" t="s">
        <v>65</v>
      </c>
      <c r="F383" s="79" t="s">
        <v>3725</v>
      </c>
      <c r="G383" s="79" t="s">
        <v>2996</v>
      </c>
      <c r="H383" s="79" t="s">
        <v>66</v>
      </c>
      <c r="I383" s="81"/>
      <c r="J383" s="81">
        <v>25</v>
      </c>
      <c r="K383" s="86"/>
      <c r="M383" s="78" t="s">
        <v>1037</v>
      </c>
      <c r="N383" s="82" t="s">
        <v>1980</v>
      </c>
      <c r="O383" s="81" t="s">
        <v>2483</v>
      </c>
      <c r="P383" s="81" t="s">
        <v>3701</v>
      </c>
      <c r="Q383" s="81"/>
      <c r="R383" s="83" t="s">
        <v>3435</v>
      </c>
      <c r="S383" s="79" t="s">
        <v>3704</v>
      </c>
      <c r="T383" s="84" t="s">
        <v>3421</v>
      </c>
      <c r="U383" s="81"/>
      <c r="V383" s="81"/>
      <c r="W383" s="78" t="s">
        <v>1037</v>
      </c>
      <c r="X383" s="82" t="s">
        <v>1980</v>
      </c>
      <c r="Y383" s="81" t="s">
        <v>2483</v>
      </c>
      <c r="Z383" s="81" t="s">
        <v>3701</v>
      </c>
      <c r="AA383" s="81" t="s">
        <v>252</v>
      </c>
      <c r="AB383" s="85"/>
      <c r="AD383" s="78" t="s">
        <v>1037</v>
      </c>
      <c r="AE383" s="82" t="s">
        <v>1980</v>
      </c>
      <c r="AF383" s="81" t="s">
        <v>2483</v>
      </c>
      <c r="AG383" s="81" t="s">
        <v>3701</v>
      </c>
      <c r="AH383" s="81" t="s">
        <v>252</v>
      </c>
      <c r="AI383" s="85"/>
    </row>
    <row r="384" spans="1:35" s="79" customFormat="1" ht="11.25" customHeight="1" x14ac:dyDescent="0.2">
      <c r="A384" s="77" t="s">
        <v>1586</v>
      </c>
      <c r="B384" s="81" t="s">
        <v>1587</v>
      </c>
      <c r="C384" s="81" t="s">
        <v>1585</v>
      </c>
      <c r="D384" s="73">
        <v>2500</v>
      </c>
      <c r="E384" s="79" t="s">
        <v>65</v>
      </c>
      <c r="F384" s="79" t="s">
        <v>30</v>
      </c>
      <c r="G384" s="79" t="s">
        <v>3001</v>
      </c>
      <c r="H384" s="79" t="s">
        <v>66</v>
      </c>
      <c r="I384" s="81"/>
      <c r="J384" s="81">
        <v>25</v>
      </c>
      <c r="K384" s="86"/>
      <c r="M384" s="78" t="s">
        <v>1037</v>
      </c>
      <c r="N384" s="82"/>
      <c r="O384" s="81" t="s">
        <v>2617</v>
      </c>
      <c r="P384" s="81" t="s">
        <v>2256</v>
      </c>
      <c r="Q384" s="81"/>
      <c r="R384" s="83">
        <v>2000</v>
      </c>
      <c r="S384" s="79" t="s">
        <v>3609</v>
      </c>
      <c r="T384" s="84">
        <v>5000000</v>
      </c>
      <c r="U384" s="81"/>
      <c r="V384" s="81"/>
      <c r="W384" s="78" t="s">
        <v>1037</v>
      </c>
      <c r="X384" s="82"/>
      <c r="Y384" s="81" t="s">
        <v>2617</v>
      </c>
      <c r="Z384" s="81" t="s">
        <v>2256</v>
      </c>
      <c r="AA384" s="83">
        <v>10000</v>
      </c>
      <c r="AB384" s="85"/>
      <c r="AD384" s="78" t="s">
        <v>1037</v>
      </c>
      <c r="AE384" s="82"/>
      <c r="AF384" s="81" t="s">
        <v>2617</v>
      </c>
      <c r="AG384" s="81" t="s">
        <v>2256</v>
      </c>
      <c r="AH384" s="83">
        <v>10000</v>
      </c>
      <c r="AI384" s="85"/>
    </row>
    <row r="385" spans="1:35" s="79" customFormat="1" ht="11.25" customHeight="1" x14ac:dyDescent="0.2">
      <c r="A385" s="77" t="s">
        <v>1771</v>
      </c>
      <c r="B385" s="80">
        <v>754</v>
      </c>
      <c r="C385" s="81" t="s">
        <v>1037</v>
      </c>
      <c r="D385" s="73">
        <v>2500</v>
      </c>
      <c r="E385" s="79" t="s">
        <v>65</v>
      </c>
      <c r="F385" s="79" t="s">
        <v>3725</v>
      </c>
      <c r="G385" s="79" t="s">
        <v>2996</v>
      </c>
      <c r="H385" s="79" t="s">
        <v>66</v>
      </c>
      <c r="I385" s="81"/>
      <c r="J385" s="81">
        <v>25</v>
      </c>
      <c r="K385" s="86"/>
      <c r="M385" s="78" t="s">
        <v>1037</v>
      </c>
      <c r="N385" s="82"/>
      <c r="O385" s="81" t="s">
        <v>2256</v>
      </c>
      <c r="P385" s="81" t="s">
        <v>2256</v>
      </c>
      <c r="Q385" s="81"/>
      <c r="R385" s="83">
        <v>2000</v>
      </c>
      <c r="S385" s="79" t="s">
        <v>3484</v>
      </c>
      <c r="T385" s="84">
        <v>5000000</v>
      </c>
      <c r="U385" s="81"/>
      <c r="V385" s="81"/>
      <c r="W385" s="78" t="s">
        <v>1037</v>
      </c>
      <c r="X385" s="82"/>
      <c r="Y385" s="81" t="s">
        <v>2256</v>
      </c>
      <c r="Z385" s="81" t="s">
        <v>2256</v>
      </c>
      <c r="AA385" s="83">
        <v>10000</v>
      </c>
      <c r="AB385" s="85"/>
      <c r="AD385" s="78" t="s">
        <v>1037</v>
      </c>
      <c r="AE385" s="82"/>
      <c r="AF385" s="81" t="s">
        <v>2256</v>
      </c>
      <c r="AG385" s="81" t="s">
        <v>2256</v>
      </c>
      <c r="AH385" s="83">
        <v>10000</v>
      </c>
      <c r="AI385" s="85"/>
    </row>
    <row r="386" spans="1:35" s="79" customFormat="1" ht="11.25" customHeight="1" x14ac:dyDescent="0.2">
      <c r="A386" s="77" t="s">
        <v>1044</v>
      </c>
      <c r="B386" s="80">
        <v>798</v>
      </c>
      <c r="C386" s="81" t="s">
        <v>1043</v>
      </c>
      <c r="D386" s="73">
        <v>2500</v>
      </c>
      <c r="E386" s="79" t="s">
        <v>65</v>
      </c>
      <c r="F386" s="79" t="s">
        <v>3725</v>
      </c>
      <c r="G386" s="79" t="s">
        <v>2996</v>
      </c>
      <c r="H386" s="79" t="s">
        <v>66</v>
      </c>
      <c r="I386" s="81"/>
      <c r="J386" s="81">
        <v>25</v>
      </c>
      <c r="K386" s="86"/>
      <c r="M386" s="78" t="s">
        <v>1045</v>
      </c>
      <c r="N386" s="82" t="s">
        <v>1046</v>
      </c>
      <c r="O386" s="81" t="s">
        <v>2485</v>
      </c>
      <c r="P386" s="81" t="s">
        <v>2874</v>
      </c>
      <c r="Q386" s="81"/>
      <c r="R386" s="83" t="s">
        <v>516</v>
      </c>
      <c r="S386" s="79" t="s">
        <v>3498</v>
      </c>
      <c r="T386" s="84" t="s">
        <v>3423</v>
      </c>
      <c r="U386" s="81"/>
      <c r="V386" s="81"/>
      <c r="W386" s="78" t="s">
        <v>1045</v>
      </c>
      <c r="X386" s="82" t="s">
        <v>1046</v>
      </c>
      <c r="Y386" s="81" t="s">
        <v>2485</v>
      </c>
      <c r="Z386" s="81" t="s">
        <v>2874</v>
      </c>
      <c r="AA386" s="81" t="s">
        <v>252</v>
      </c>
      <c r="AB386" s="85"/>
      <c r="AD386" s="78" t="s">
        <v>1045</v>
      </c>
      <c r="AE386" s="82" t="s">
        <v>1046</v>
      </c>
      <c r="AF386" s="81" t="s">
        <v>2485</v>
      </c>
      <c r="AG386" s="81" t="s">
        <v>2874</v>
      </c>
      <c r="AH386" s="81" t="s">
        <v>252</v>
      </c>
      <c r="AI386" s="85"/>
    </row>
    <row r="387" spans="1:35" s="79" customFormat="1" ht="11.25" customHeight="1" x14ac:dyDescent="0.2">
      <c r="A387" s="77" t="s">
        <v>1772</v>
      </c>
      <c r="B387" s="80">
        <v>790</v>
      </c>
      <c r="C387" s="81" t="s">
        <v>1045</v>
      </c>
      <c r="D387" s="73">
        <v>2500</v>
      </c>
      <c r="E387" s="79" t="s">
        <v>65</v>
      </c>
      <c r="F387" s="79" t="s">
        <v>3725</v>
      </c>
      <c r="G387" s="79" t="s">
        <v>2996</v>
      </c>
      <c r="H387" s="79" t="s">
        <v>66</v>
      </c>
      <c r="I387" s="81"/>
      <c r="J387" s="81">
        <v>25</v>
      </c>
      <c r="K387" s="86"/>
      <c r="M387" s="78" t="s">
        <v>1045</v>
      </c>
      <c r="N387" s="82"/>
      <c r="O387" s="81" t="s">
        <v>2256</v>
      </c>
      <c r="P387" s="81" t="s">
        <v>2256</v>
      </c>
      <c r="Q387" s="81"/>
      <c r="R387" s="83">
        <v>1500</v>
      </c>
      <c r="S387" s="79" t="s">
        <v>3484</v>
      </c>
      <c r="T387" s="84">
        <v>3750000</v>
      </c>
      <c r="U387" s="81"/>
      <c r="V387" s="81"/>
      <c r="W387" s="78" t="s">
        <v>1045</v>
      </c>
      <c r="X387" s="82"/>
      <c r="Y387" s="81" t="s">
        <v>2256</v>
      </c>
      <c r="Z387" s="81" t="s">
        <v>2256</v>
      </c>
      <c r="AA387" s="83">
        <v>10000</v>
      </c>
      <c r="AB387" s="85"/>
      <c r="AD387" s="78" t="s">
        <v>1045</v>
      </c>
      <c r="AE387" s="82"/>
      <c r="AF387" s="81" t="s">
        <v>2256</v>
      </c>
      <c r="AG387" s="81" t="s">
        <v>2256</v>
      </c>
      <c r="AH387" s="83">
        <v>10000</v>
      </c>
      <c r="AI387" s="85"/>
    </row>
    <row r="388" spans="1:35" s="79" customFormat="1" ht="11.25" customHeight="1" x14ac:dyDescent="0.2">
      <c r="A388" s="77" t="s">
        <v>1048</v>
      </c>
      <c r="B388" s="80">
        <v>705</v>
      </c>
      <c r="C388" s="81" t="s">
        <v>1047</v>
      </c>
      <c r="D388" s="73">
        <v>2500</v>
      </c>
      <c r="E388" s="79" t="s">
        <v>65</v>
      </c>
      <c r="F388" s="79" t="s">
        <v>3725</v>
      </c>
      <c r="G388" s="79" t="s">
        <v>2996</v>
      </c>
      <c r="H388" s="79" t="s">
        <v>66</v>
      </c>
      <c r="I388" s="81"/>
      <c r="J388" s="81">
        <v>25</v>
      </c>
      <c r="K388" s="86"/>
      <c r="M388" s="78" t="s">
        <v>1049</v>
      </c>
      <c r="N388" s="82" t="s">
        <v>1948</v>
      </c>
      <c r="O388" s="81" t="s">
        <v>2486</v>
      </c>
      <c r="P388" s="81" t="s">
        <v>3717</v>
      </c>
      <c r="Q388" s="81"/>
      <c r="R388" s="83" t="s">
        <v>3446</v>
      </c>
      <c r="S388" s="79" t="s">
        <v>3719</v>
      </c>
      <c r="T388" s="84" t="s">
        <v>3620</v>
      </c>
      <c r="U388" s="81"/>
      <c r="V388" s="81"/>
      <c r="W388" s="78" t="s">
        <v>1049</v>
      </c>
      <c r="X388" s="82" t="s">
        <v>1948</v>
      </c>
      <c r="Y388" s="81" t="s">
        <v>2486</v>
      </c>
      <c r="Z388" s="81" t="s">
        <v>3717</v>
      </c>
      <c r="AA388" s="81" t="s">
        <v>252</v>
      </c>
      <c r="AB388" s="85"/>
      <c r="AD388" s="78" t="s">
        <v>1049</v>
      </c>
      <c r="AE388" s="82" t="s">
        <v>1948</v>
      </c>
      <c r="AF388" s="81" t="s">
        <v>2486</v>
      </c>
      <c r="AG388" s="81" t="s">
        <v>3717</v>
      </c>
      <c r="AH388" s="81" t="s">
        <v>252</v>
      </c>
      <c r="AI388" s="85"/>
    </row>
    <row r="389" spans="1:35" s="79" customFormat="1" ht="11.25" customHeight="1" x14ac:dyDescent="0.2">
      <c r="A389" s="77" t="s">
        <v>1773</v>
      </c>
      <c r="B389" s="80">
        <v>755</v>
      </c>
      <c r="C389" s="81" t="s">
        <v>1049</v>
      </c>
      <c r="D389" s="73">
        <v>2500</v>
      </c>
      <c r="E389" s="79" t="s">
        <v>65</v>
      </c>
      <c r="F389" s="79" t="s">
        <v>3725</v>
      </c>
      <c r="G389" s="79" t="s">
        <v>2996</v>
      </c>
      <c r="H389" s="79" t="s">
        <v>66</v>
      </c>
      <c r="I389" s="81"/>
      <c r="J389" s="81">
        <v>25</v>
      </c>
      <c r="K389" s="86"/>
      <c r="M389" s="78" t="s">
        <v>1049</v>
      </c>
      <c r="N389" s="82"/>
      <c r="O389" s="81" t="s">
        <v>2256</v>
      </c>
      <c r="P389" s="81" t="s">
        <v>2256</v>
      </c>
      <c r="Q389" s="81"/>
      <c r="R389" s="83">
        <v>2000</v>
      </c>
      <c r="S389" s="79" t="s">
        <v>3484</v>
      </c>
      <c r="T389" s="84">
        <v>5000000</v>
      </c>
      <c r="U389" s="81"/>
      <c r="V389" s="81"/>
      <c r="W389" s="78" t="s">
        <v>1049</v>
      </c>
      <c r="X389" s="82"/>
      <c r="Y389" s="81" t="s">
        <v>2256</v>
      </c>
      <c r="Z389" s="81" t="s">
        <v>2256</v>
      </c>
      <c r="AA389" s="83">
        <v>10000</v>
      </c>
      <c r="AB389" s="85"/>
      <c r="AD389" s="78" t="s">
        <v>1049</v>
      </c>
      <c r="AE389" s="82"/>
      <c r="AF389" s="81" t="s">
        <v>2256</v>
      </c>
      <c r="AG389" s="81" t="s">
        <v>2256</v>
      </c>
      <c r="AH389" s="83">
        <v>10000</v>
      </c>
      <c r="AI389" s="85"/>
    </row>
    <row r="390" spans="1:35" s="79" customFormat="1" ht="11.25" customHeight="1" x14ac:dyDescent="0.2">
      <c r="A390" s="77" t="s">
        <v>1774</v>
      </c>
      <c r="B390" s="80">
        <v>804</v>
      </c>
      <c r="C390" s="81" t="s">
        <v>1233</v>
      </c>
      <c r="D390" s="73">
        <v>2500</v>
      </c>
      <c r="E390" s="79" t="s">
        <v>65</v>
      </c>
      <c r="F390" s="79" t="s">
        <v>3725</v>
      </c>
      <c r="G390" s="79" t="s">
        <v>2996</v>
      </c>
      <c r="H390" s="79" t="s">
        <v>66</v>
      </c>
      <c r="I390" s="81"/>
      <c r="J390" s="81">
        <v>25</v>
      </c>
      <c r="K390" s="86"/>
      <c r="M390" s="78" t="s">
        <v>1233</v>
      </c>
      <c r="N390" s="82"/>
      <c r="O390" s="81" t="s">
        <v>2256</v>
      </c>
      <c r="P390" s="81" t="s">
        <v>2256</v>
      </c>
      <c r="Q390" s="81"/>
      <c r="R390" s="83">
        <v>500</v>
      </c>
      <c r="S390" s="79" t="s">
        <v>2999</v>
      </c>
      <c r="T390" s="84">
        <v>1250000</v>
      </c>
      <c r="U390" s="81"/>
      <c r="V390" s="81"/>
      <c r="W390" s="78" t="s">
        <v>1233</v>
      </c>
      <c r="X390" s="82"/>
      <c r="Y390" s="81" t="s">
        <v>2256</v>
      </c>
      <c r="Z390" s="81" t="s">
        <v>2256</v>
      </c>
      <c r="AA390" s="83">
        <v>10000</v>
      </c>
      <c r="AB390" s="85"/>
      <c r="AD390" s="78" t="s">
        <v>1233</v>
      </c>
      <c r="AE390" s="82"/>
      <c r="AF390" s="81" t="s">
        <v>2256</v>
      </c>
      <c r="AG390" s="81" t="s">
        <v>2256</v>
      </c>
      <c r="AH390" s="83">
        <v>10000</v>
      </c>
      <c r="AI390" s="85"/>
    </row>
    <row r="391" spans="1:35" s="79" customFormat="1" ht="11.25" customHeight="1" x14ac:dyDescent="0.2">
      <c r="A391" s="77" t="s">
        <v>1602</v>
      </c>
      <c r="B391" s="80">
        <v>878</v>
      </c>
      <c r="C391" s="81" t="s">
        <v>1601</v>
      </c>
      <c r="D391" s="73">
        <v>2500</v>
      </c>
      <c r="E391" s="79" t="s">
        <v>65</v>
      </c>
      <c r="F391" s="79" t="s">
        <v>3725</v>
      </c>
      <c r="G391" s="79" t="s">
        <v>2996</v>
      </c>
      <c r="H391" s="79" t="s">
        <v>66</v>
      </c>
      <c r="I391" s="81"/>
      <c r="J391" s="81">
        <v>25</v>
      </c>
      <c r="K391" s="86"/>
      <c r="M391" s="78" t="s">
        <v>1603</v>
      </c>
      <c r="N391" s="82" t="s">
        <v>1604</v>
      </c>
      <c r="O391" s="81" t="s">
        <v>2621</v>
      </c>
      <c r="P391" s="81" t="s">
        <v>2922</v>
      </c>
      <c r="Q391" s="81"/>
      <c r="R391" s="83" t="s">
        <v>3441</v>
      </c>
      <c r="S391" s="79" t="s">
        <v>3513</v>
      </c>
      <c r="T391" s="84" t="s">
        <v>3632</v>
      </c>
      <c r="U391" s="81"/>
      <c r="V391" s="81"/>
      <c r="W391" s="78" t="s">
        <v>1603</v>
      </c>
      <c r="X391" s="82" t="s">
        <v>1604</v>
      </c>
      <c r="Y391" s="81" t="s">
        <v>2621</v>
      </c>
      <c r="Z391" s="81" t="s">
        <v>2922</v>
      </c>
      <c r="AA391" s="81" t="s">
        <v>1230</v>
      </c>
      <c r="AB391" s="85"/>
      <c r="AD391" s="78" t="s">
        <v>1603</v>
      </c>
      <c r="AE391" s="82" t="s">
        <v>1604</v>
      </c>
      <c r="AF391" s="81" t="s">
        <v>2621</v>
      </c>
      <c r="AG391" s="81" t="s">
        <v>2922</v>
      </c>
      <c r="AH391" s="81" t="s">
        <v>1229</v>
      </c>
      <c r="AI391" s="85"/>
    </row>
    <row r="392" spans="1:35" s="79" customFormat="1" ht="11.25" customHeight="1" x14ac:dyDescent="0.2">
      <c r="A392" s="77" t="s">
        <v>1777</v>
      </c>
      <c r="B392" s="80">
        <v>885</v>
      </c>
      <c r="C392" s="81" t="s">
        <v>1603</v>
      </c>
      <c r="D392" s="73">
        <v>2500</v>
      </c>
      <c r="E392" s="79" t="s">
        <v>65</v>
      </c>
      <c r="F392" s="79" t="s">
        <v>3725</v>
      </c>
      <c r="G392" s="79" t="s">
        <v>2996</v>
      </c>
      <c r="H392" s="79" t="s">
        <v>66</v>
      </c>
      <c r="I392" s="81"/>
      <c r="J392" s="81">
        <v>25</v>
      </c>
      <c r="K392" s="86"/>
      <c r="M392" s="78" t="s">
        <v>1603</v>
      </c>
      <c r="N392" s="82"/>
      <c r="O392" s="81" t="s">
        <v>2256</v>
      </c>
      <c r="P392" s="81" t="s">
        <v>2256</v>
      </c>
      <c r="Q392" s="81"/>
      <c r="R392" s="83">
        <v>50</v>
      </c>
      <c r="S392" s="79" t="s">
        <v>3484</v>
      </c>
      <c r="T392" s="84">
        <v>125000</v>
      </c>
      <c r="U392" s="81"/>
      <c r="V392" s="81"/>
      <c r="W392" s="78" t="s">
        <v>1603</v>
      </c>
      <c r="X392" s="82"/>
      <c r="Y392" s="81" t="s">
        <v>2256</v>
      </c>
      <c r="Z392" s="81" t="s">
        <v>2256</v>
      </c>
      <c r="AA392" s="80">
        <v>500</v>
      </c>
      <c r="AB392" s="85"/>
      <c r="AD392" s="78" t="s">
        <v>1603</v>
      </c>
      <c r="AE392" s="82"/>
      <c r="AF392" s="81" t="s">
        <v>2256</v>
      </c>
      <c r="AG392" s="81" t="s">
        <v>2256</v>
      </c>
      <c r="AH392" s="80">
        <v>750</v>
      </c>
      <c r="AI392" s="85"/>
    </row>
    <row r="393" spans="1:35" s="79" customFormat="1" ht="11.25" customHeight="1" x14ac:dyDescent="0.2">
      <c r="A393" s="77" t="s">
        <v>1606</v>
      </c>
      <c r="B393" s="80">
        <v>879</v>
      </c>
      <c r="C393" s="81" t="s">
        <v>1605</v>
      </c>
      <c r="D393" s="73">
        <v>2500</v>
      </c>
      <c r="E393" s="79" t="s">
        <v>65</v>
      </c>
      <c r="F393" s="79" t="s">
        <v>3725</v>
      </c>
      <c r="G393" s="79" t="s">
        <v>2996</v>
      </c>
      <c r="H393" s="79" t="s">
        <v>66</v>
      </c>
      <c r="I393" s="81"/>
      <c r="J393" s="81">
        <v>25</v>
      </c>
      <c r="K393" s="86"/>
      <c r="M393" s="78" t="s">
        <v>1607</v>
      </c>
      <c r="N393" s="82" t="s">
        <v>1410</v>
      </c>
      <c r="O393" s="81" t="s">
        <v>2622</v>
      </c>
      <c r="P393" s="81" t="s">
        <v>2923</v>
      </c>
      <c r="Q393" s="81"/>
      <c r="R393" s="83" t="s">
        <v>3440</v>
      </c>
      <c r="S393" s="79" t="s">
        <v>3514</v>
      </c>
      <c r="T393" s="84" t="s">
        <v>3625</v>
      </c>
      <c r="U393" s="81"/>
      <c r="V393" s="81"/>
      <c r="W393" s="78" t="s">
        <v>1607</v>
      </c>
      <c r="X393" s="82" t="s">
        <v>1410</v>
      </c>
      <c r="Y393" s="81" t="s">
        <v>2622</v>
      </c>
      <c r="Z393" s="81" t="s">
        <v>2923</v>
      </c>
      <c r="AA393" s="81" t="s">
        <v>1229</v>
      </c>
      <c r="AB393" s="85"/>
      <c r="AD393" s="78" t="s">
        <v>1607</v>
      </c>
      <c r="AE393" s="82" t="s">
        <v>1410</v>
      </c>
      <c r="AF393" s="81" t="s">
        <v>2622</v>
      </c>
      <c r="AG393" s="81" t="s">
        <v>2923</v>
      </c>
      <c r="AH393" s="81" t="s">
        <v>1608</v>
      </c>
      <c r="AI393" s="85"/>
    </row>
    <row r="394" spans="1:35" s="79" customFormat="1" ht="11.25" customHeight="1" x14ac:dyDescent="0.2">
      <c r="A394" s="77" t="s">
        <v>1780</v>
      </c>
      <c r="B394" s="80">
        <v>886</v>
      </c>
      <c r="C394" s="81" t="s">
        <v>1607</v>
      </c>
      <c r="D394" s="73">
        <v>2500</v>
      </c>
      <c r="E394" s="79" t="s">
        <v>65</v>
      </c>
      <c r="F394" s="79" t="s">
        <v>3725</v>
      </c>
      <c r="G394" s="79" t="s">
        <v>2996</v>
      </c>
      <c r="H394" s="79" t="s">
        <v>66</v>
      </c>
      <c r="I394" s="81"/>
      <c r="J394" s="81">
        <v>25</v>
      </c>
      <c r="K394" s="86"/>
      <c r="M394" s="78" t="s">
        <v>1607</v>
      </c>
      <c r="N394" s="82"/>
      <c r="O394" s="81" t="s">
        <v>2256</v>
      </c>
      <c r="P394" s="81" t="s">
        <v>2256</v>
      </c>
      <c r="Q394" s="81"/>
      <c r="R394" s="83">
        <v>75</v>
      </c>
      <c r="S394" s="79" t="s">
        <v>3484</v>
      </c>
      <c r="T394" s="84">
        <v>187500</v>
      </c>
      <c r="U394" s="81"/>
      <c r="V394" s="81"/>
      <c r="W394" s="78" t="s">
        <v>1607</v>
      </c>
      <c r="X394" s="82"/>
      <c r="Y394" s="81" t="s">
        <v>2256</v>
      </c>
      <c r="Z394" s="81" t="s">
        <v>2256</v>
      </c>
      <c r="AA394" s="80">
        <v>750</v>
      </c>
      <c r="AB394" s="85"/>
      <c r="AD394" s="78" t="s">
        <v>1607</v>
      </c>
      <c r="AE394" s="82"/>
      <c r="AF394" s="81" t="s">
        <v>2256</v>
      </c>
      <c r="AG394" s="81" t="s">
        <v>2256</v>
      </c>
      <c r="AH394" s="83">
        <v>1000</v>
      </c>
      <c r="AI394" s="85"/>
    </row>
    <row r="395" spans="1:35" s="79" customFormat="1" ht="11.25" customHeight="1" x14ac:dyDescent="0.2">
      <c r="A395" s="77" t="s">
        <v>1781</v>
      </c>
      <c r="B395" s="80">
        <v>875</v>
      </c>
      <c r="C395" s="81" t="s">
        <v>1362</v>
      </c>
      <c r="D395" s="73">
        <v>2500</v>
      </c>
      <c r="E395" s="79" t="s">
        <v>65</v>
      </c>
      <c r="F395" s="79" t="s">
        <v>3725</v>
      </c>
      <c r="G395" s="79" t="s">
        <v>2996</v>
      </c>
      <c r="H395" s="79" t="s">
        <v>66</v>
      </c>
      <c r="I395" s="81"/>
      <c r="J395" s="81">
        <v>25</v>
      </c>
      <c r="K395" s="86"/>
      <c r="M395" s="78" t="s">
        <v>1362</v>
      </c>
      <c r="N395" s="82"/>
      <c r="O395" s="81" t="s">
        <v>2256</v>
      </c>
      <c r="P395" s="81" t="s">
        <v>2256</v>
      </c>
      <c r="Q395" s="81"/>
      <c r="R395" s="83">
        <v>2000</v>
      </c>
      <c r="S395" s="79" t="s">
        <v>2999</v>
      </c>
      <c r="T395" s="84">
        <v>5000000</v>
      </c>
      <c r="U395" s="81"/>
      <c r="V395" s="81"/>
      <c r="W395" s="78" t="s">
        <v>1362</v>
      </c>
      <c r="X395" s="82"/>
      <c r="Y395" s="81" t="s">
        <v>2256</v>
      </c>
      <c r="Z395" s="81" t="s">
        <v>2256</v>
      </c>
      <c r="AA395" s="83">
        <v>10000</v>
      </c>
      <c r="AB395" s="85"/>
      <c r="AD395" s="78" t="s">
        <v>1362</v>
      </c>
      <c r="AE395" s="82"/>
      <c r="AF395" s="81" t="s">
        <v>2256</v>
      </c>
      <c r="AG395" s="81" t="s">
        <v>2256</v>
      </c>
      <c r="AH395" s="83">
        <v>10000</v>
      </c>
      <c r="AI395" s="85"/>
    </row>
    <row r="396" spans="1:35" s="79" customFormat="1" ht="11.25" customHeight="1" x14ac:dyDescent="0.2">
      <c r="A396" s="77" t="s">
        <v>1997</v>
      </c>
      <c r="B396" s="80">
        <v>880</v>
      </c>
      <c r="C396" s="81" t="s">
        <v>1996</v>
      </c>
      <c r="D396" s="73">
        <v>2500</v>
      </c>
      <c r="E396" s="79" t="s">
        <v>65</v>
      </c>
      <c r="F396" s="79" t="s">
        <v>3725</v>
      </c>
      <c r="G396" s="79" t="s">
        <v>2996</v>
      </c>
      <c r="H396" s="79" t="s">
        <v>66</v>
      </c>
      <c r="I396" s="81"/>
      <c r="J396" s="81">
        <v>25</v>
      </c>
      <c r="K396" s="86"/>
      <c r="M396" s="78" t="s">
        <v>1782</v>
      </c>
      <c r="N396" s="82" t="s">
        <v>346</v>
      </c>
      <c r="O396" s="81" t="s">
        <v>2703</v>
      </c>
      <c r="P396" s="81" t="s">
        <v>2964</v>
      </c>
      <c r="Q396" s="81"/>
      <c r="R396" s="83" t="s">
        <v>3433</v>
      </c>
      <c r="S396" s="79" t="s">
        <v>3521</v>
      </c>
      <c r="T396" s="84" t="s">
        <v>3619</v>
      </c>
      <c r="U396" s="81"/>
      <c r="V396" s="81"/>
      <c r="W396" s="78" t="s">
        <v>1782</v>
      </c>
      <c r="X396" s="82" t="s">
        <v>346</v>
      </c>
      <c r="Y396" s="81" t="s">
        <v>2703</v>
      </c>
      <c r="Z396" s="81" t="s">
        <v>2964</v>
      </c>
      <c r="AA396" s="81" t="s">
        <v>799</v>
      </c>
      <c r="AB396" s="85"/>
      <c r="AD396" s="78" t="s">
        <v>1782</v>
      </c>
      <c r="AE396" s="82" t="s">
        <v>346</v>
      </c>
      <c r="AF396" s="81" t="s">
        <v>2703</v>
      </c>
      <c r="AG396" s="81" t="s">
        <v>2964</v>
      </c>
      <c r="AH396" s="81" t="s">
        <v>1998</v>
      </c>
      <c r="AI396" s="85"/>
    </row>
    <row r="397" spans="1:35" s="79" customFormat="1" ht="11.25" customHeight="1" x14ac:dyDescent="0.2">
      <c r="A397" s="77" t="s">
        <v>1783</v>
      </c>
      <c r="B397" s="80">
        <v>889</v>
      </c>
      <c r="C397" s="81" t="s">
        <v>1782</v>
      </c>
      <c r="D397" s="73">
        <v>2500</v>
      </c>
      <c r="E397" s="79" t="s">
        <v>65</v>
      </c>
      <c r="F397" s="79" t="s">
        <v>3725</v>
      </c>
      <c r="G397" s="79" t="s">
        <v>2996</v>
      </c>
      <c r="H397" s="79" t="s">
        <v>66</v>
      </c>
      <c r="I397" s="81"/>
      <c r="J397" s="81">
        <v>25</v>
      </c>
      <c r="K397" s="86"/>
      <c r="M397" s="78" t="s">
        <v>1782</v>
      </c>
      <c r="N397" s="82"/>
      <c r="O397" s="81" t="s">
        <v>2256</v>
      </c>
      <c r="P397" s="81" t="s">
        <v>2256</v>
      </c>
      <c r="Q397" s="81"/>
      <c r="R397" s="83">
        <v>300</v>
      </c>
      <c r="S397" s="79" t="s">
        <v>3484</v>
      </c>
      <c r="T397" s="84">
        <v>750000</v>
      </c>
      <c r="U397" s="81"/>
      <c r="V397" s="81"/>
      <c r="W397" s="78" t="s">
        <v>1782</v>
      </c>
      <c r="X397" s="82"/>
      <c r="Y397" s="81" t="s">
        <v>2256</v>
      </c>
      <c r="Z397" s="81" t="s">
        <v>2256</v>
      </c>
      <c r="AA397" s="83">
        <v>2000</v>
      </c>
      <c r="AB397" s="85"/>
      <c r="AD397" s="78" t="s">
        <v>1782</v>
      </c>
      <c r="AE397" s="82"/>
      <c r="AF397" s="81" t="s">
        <v>2256</v>
      </c>
      <c r="AG397" s="81" t="s">
        <v>2256</v>
      </c>
      <c r="AH397" s="83">
        <v>3000</v>
      </c>
      <c r="AI397" s="85"/>
    </row>
    <row r="398" spans="1:35" s="79" customFormat="1" ht="11.25" customHeight="1" x14ac:dyDescent="0.2">
      <c r="A398" s="77" t="s">
        <v>2000</v>
      </c>
      <c r="B398" s="80">
        <v>881</v>
      </c>
      <c r="C398" s="81" t="s">
        <v>1999</v>
      </c>
      <c r="D398" s="73">
        <v>2500</v>
      </c>
      <c r="E398" s="79" t="s">
        <v>65</v>
      </c>
      <c r="F398" s="79" t="s">
        <v>3725</v>
      </c>
      <c r="G398" s="79" t="s">
        <v>2996</v>
      </c>
      <c r="H398" s="79" t="s">
        <v>66</v>
      </c>
      <c r="I398" s="81"/>
      <c r="J398" s="81">
        <v>25</v>
      </c>
      <c r="K398" s="86"/>
      <c r="M398" s="78" t="s">
        <v>1784</v>
      </c>
      <c r="N398" s="82" t="s">
        <v>1399</v>
      </c>
      <c r="O398" s="81" t="s">
        <v>2704</v>
      </c>
      <c r="P398" s="81" t="s">
        <v>2965</v>
      </c>
      <c r="Q398" s="81"/>
      <c r="R398" s="83" t="s">
        <v>3432</v>
      </c>
      <c r="S398" s="79" t="s">
        <v>3522</v>
      </c>
      <c r="T398" s="84" t="s">
        <v>3624</v>
      </c>
      <c r="U398" s="81"/>
      <c r="V398" s="81"/>
      <c r="W398" s="78" t="s">
        <v>1784</v>
      </c>
      <c r="X398" s="82" t="s">
        <v>1399</v>
      </c>
      <c r="Y398" s="81" t="s">
        <v>2704</v>
      </c>
      <c r="Z398" s="81" t="s">
        <v>2965</v>
      </c>
      <c r="AA398" s="81" t="s">
        <v>1146</v>
      </c>
      <c r="AB398" s="85"/>
      <c r="AD398" s="78" t="s">
        <v>1784</v>
      </c>
      <c r="AE398" s="82" t="s">
        <v>1399</v>
      </c>
      <c r="AF398" s="81" t="s">
        <v>2704</v>
      </c>
      <c r="AG398" s="81" t="s">
        <v>2965</v>
      </c>
      <c r="AH398" s="81" t="s">
        <v>799</v>
      </c>
      <c r="AI398" s="85"/>
    </row>
    <row r="399" spans="1:35" s="79" customFormat="1" ht="11.25" customHeight="1" x14ac:dyDescent="0.2">
      <c r="A399" s="77" t="s">
        <v>1785</v>
      </c>
      <c r="B399" s="80">
        <v>890</v>
      </c>
      <c r="C399" s="81" t="s">
        <v>1784</v>
      </c>
      <c r="D399" s="73">
        <v>2500</v>
      </c>
      <c r="E399" s="79" t="s">
        <v>65</v>
      </c>
      <c r="F399" s="79" t="s">
        <v>3725</v>
      </c>
      <c r="G399" s="79" t="s">
        <v>2996</v>
      </c>
      <c r="H399" s="79" t="s">
        <v>66</v>
      </c>
      <c r="I399" s="81"/>
      <c r="J399" s="81">
        <v>25</v>
      </c>
      <c r="K399" s="86"/>
      <c r="M399" s="78" t="s">
        <v>1784</v>
      </c>
      <c r="N399" s="82"/>
      <c r="O399" s="81" t="s">
        <v>2256</v>
      </c>
      <c r="P399" s="81" t="s">
        <v>2256</v>
      </c>
      <c r="Q399" s="81"/>
      <c r="R399" s="83">
        <v>275</v>
      </c>
      <c r="S399" s="79" t="s">
        <v>3484</v>
      </c>
      <c r="T399" s="84">
        <v>687500</v>
      </c>
      <c r="U399" s="81"/>
      <c r="V399" s="81"/>
      <c r="W399" s="78" t="s">
        <v>1784</v>
      </c>
      <c r="X399" s="82"/>
      <c r="Y399" s="81" t="s">
        <v>2256</v>
      </c>
      <c r="Z399" s="81" t="s">
        <v>2256</v>
      </c>
      <c r="AA399" s="83">
        <v>1500</v>
      </c>
      <c r="AB399" s="85"/>
      <c r="AD399" s="78" t="s">
        <v>1784</v>
      </c>
      <c r="AE399" s="82"/>
      <c r="AF399" s="81" t="s">
        <v>2256</v>
      </c>
      <c r="AG399" s="81" t="s">
        <v>2256</v>
      </c>
      <c r="AH399" s="83">
        <v>2000</v>
      </c>
      <c r="AI399" s="85"/>
    </row>
    <row r="400" spans="1:35" s="79" customFormat="1" ht="11.25" customHeight="1" x14ac:dyDescent="0.2">
      <c r="A400" s="77" t="s">
        <v>2002</v>
      </c>
      <c r="B400" s="80">
        <v>882</v>
      </c>
      <c r="C400" s="81" t="s">
        <v>2001</v>
      </c>
      <c r="D400" s="73">
        <v>2500</v>
      </c>
      <c r="E400" s="79" t="s">
        <v>65</v>
      </c>
      <c r="F400" s="79" t="s">
        <v>3725</v>
      </c>
      <c r="G400" s="79" t="s">
        <v>2996</v>
      </c>
      <c r="H400" s="79" t="s">
        <v>66</v>
      </c>
      <c r="I400" s="81"/>
      <c r="J400" s="81">
        <v>25</v>
      </c>
      <c r="K400" s="86"/>
      <c r="M400" s="78" t="s">
        <v>1786</v>
      </c>
      <c r="N400" s="82" t="s">
        <v>1278</v>
      </c>
      <c r="O400" s="81" t="s">
        <v>2705</v>
      </c>
      <c r="P400" s="81" t="s">
        <v>3712</v>
      </c>
      <c r="Q400" s="81"/>
      <c r="R400" s="83" t="s">
        <v>2003</v>
      </c>
      <c r="S400" s="79" t="s">
        <v>3714</v>
      </c>
      <c r="T400" s="84" t="s">
        <v>3622</v>
      </c>
      <c r="U400" s="81"/>
      <c r="V400" s="81"/>
      <c r="W400" s="78" t="s">
        <v>1786</v>
      </c>
      <c r="X400" s="82" t="s">
        <v>1278</v>
      </c>
      <c r="Y400" s="81" t="s">
        <v>2705</v>
      </c>
      <c r="Z400" s="81" t="s">
        <v>3712</v>
      </c>
      <c r="AA400" s="81" t="s">
        <v>1608</v>
      </c>
      <c r="AB400" s="85"/>
      <c r="AD400" s="78" t="s">
        <v>1786</v>
      </c>
      <c r="AE400" s="82" t="s">
        <v>1278</v>
      </c>
      <c r="AF400" s="81" t="s">
        <v>2705</v>
      </c>
      <c r="AG400" s="81" t="s">
        <v>3712</v>
      </c>
      <c r="AH400" s="81" t="s">
        <v>1146</v>
      </c>
      <c r="AI400" s="85"/>
    </row>
    <row r="401" spans="1:35" s="79" customFormat="1" ht="11.25" customHeight="1" x14ac:dyDescent="0.2">
      <c r="A401" s="77" t="s">
        <v>1787</v>
      </c>
      <c r="B401" s="80">
        <v>891</v>
      </c>
      <c r="C401" s="81" t="s">
        <v>1786</v>
      </c>
      <c r="D401" s="73">
        <v>2500</v>
      </c>
      <c r="E401" s="79" t="s">
        <v>65</v>
      </c>
      <c r="F401" s="79" t="s">
        <v>3725</v>
      </c>
      <c r="G401" s="79" t="s">
        <v>2996</v>
      </c>
      <c r="H401" s="79" t="s">
        <v>66</v>
      </c>
      <c r="I401" s="81"/>
      <c r="J401" s="81">
        <v>25</v>
      </c>
      <c r="K401" s="86"/>
      <c r="M401" s="78" t="s">
        <v>1786</v>
      </c>
      <c r="N401" s="82"/>
      <c r="O401" s="81" t="s">
        <v>2256</v>
      </c>
      <c r="P401" s="81" t="s">
        <v>2256</v>
      </c>
      <c r="Q401" s="81"/>
      <c r="R401" s="83">
        <v>250</v>
      </c>
      <c r="S401" s="79" t="s">
        <v>3484</v>
      </c>
      <c r="T401" s="84">
        <v>625000</v>
      </c>
      <c r="U401" s="81"/>
      <c r="V401" s="81"/>
      <c r="W401" s="78" t="s">
        <v>1786</v>
      </c>
      <c r="X401" s="82"/>
      <c r="Y401" s="81" t="s">
        <v>2256</v>
      </c>
      <c r="Z401" s="81" t="s">
        <v>2256</v>
      </c>
      <c r="AA401" s="83">
        <v>1000</v>
      </c>
      <c r="AB401" s="85"/>
      <c r="AD401" s="78" t="s">
        <v>1786</v>
      </c>
      <c r="AE401" s="82"/>
      <c r="AF401" s="81" t="s">
        <v>2256</v>
      </c>
      <c r="AG401" s="81" t="s">
        <v>2256</v>
      </c>
      <c r="AH401" s="83">
        <v>1500</v>
      </c>
      <c r="AI401" s="85"/>
    </row>
    <row r="402" spans="1:35" s="79" customFormat="1" ht="11.25" customHeight="1" x14ac:dyDescent="0.2">
      <c r="A402" s="77" t="s">
        <v>1356</v>
      </c>
      <c r="B402" s="80">
        <v>455</v>
      </c>
      <c r="C402" s="81" t="s">
        <v>1355</v>
      </c>
      <c r="D402" s="73">
        <v>2500</v>
      </c>
      <c r="E402" s="79" t="s">
        <v>65</v>
      </c>
      <c r="F402" s="79" t="s">
        <v>3725</v>
      </c>
      <c r="G402" s="79" t="s">
        <v>2996</v>
      </c>
      <c r="H402" s="79" t="s">
        <v>66</v>
      </c>
      <c r="I402" s="81"/>
      <c r="J402" s="81">
        <v>25</v>
      </c>
      <c r="K402" s="86"/>
      <c r="M402" s="78" t="s">
        <v>1357</v>
      </c>
      <c r="N402" s="82" t="s">
        <v>1358</v>
      </c>
      <c r="O402" s="81" t="s">
        <v>2566</v>
      </c>
      <c r="P402" s="81" t="s">
        <v>2908</v>
      </c>
      <c r="Q402" s="81"/>
      <c r="R402" s="83" t="s">
        <v>197</v>
      </c>
      <c r="S402" s="79" t="s">
        <v>3508</v>
      </c>
      <c r="T402" s="84" t="s">
        <v>3616</v>
      </c>
      <c r="U402" s="81"/>
      <c r="V402" s="81"/>
      <c r="W402" s="78" t="s">
        <v>1357</v>
      </c>
      <c r="X402" s="82" t="s">
        <v>1358</v>
      </c>
      <c r="Y402" s="81" t="s">
        <v>2566</v>
      </c>
      <c r="Z402" s="81" t="s">
        <v>2908</v>
      </c>
      <c r="AA402" s="81" t="s">
        <v>1183</v>
      </c>
      <c r="AB402" s="85"/>
      <c r="AD402" s="78" t="s">
        <v>1357</v>
      </c>
      <c r="AE402" s="82" t="s">
        <v>1358</v>
      </c>
      <c r="AF402" s="81" t="s">
        <v>2566</v>
      </c>
      <c r="AG402" s="81" t="s">
        <v>2908</v>
      </c>
      <c r="AH402" s="81" t="s">
        <v>1129</v>
      </c>
      <c r="AI402" s="85"/>
    </row>
    <row r="403" spans="1:35" s="79" customFormat="1" ht="11.25" customHeight="1" x14ac:dyDescent="0.2">
      <c r="A403" s="77" t="s">
        <v>1788</v>
      </c>
      <c r="B403" s="80">
        <v>459</v>
      </c>
      <c r="C403" s="81" t="s">
        <v>1357</v>
      </c>
      <c r="D403" s="73">
        <v>2500</v>
      </c>
      <c r="E403" s="79" t="s">
        <v>65</v>
      </c>
      <c r="F403" s="79" t="s">
        <v>3725</v>
      </c>
      <c r="G403" s="79" t="s">
        <v>2996</v>
      </c>
      <c r="H403" s="79" t="s">
        <v>66</v>
      </c>
      <c r="I403" s="81"/>
      <c r="J403" s="81">
        <v>25</v>
      </c>
      <c r="K403" s="86"/>
      <c r="M403" s="78" t="s">
        <v>1357</v>
      </c>
      <c r="N403" s="82"/>
      <c r="O403" s="81" t="s">
        <v>2256</v>
      </c>
      <c r="P403" s="81" t="s">
        <v>2256</v>
      </c>
      <c r="Q403" s="81"/>
      <c r="R403" s="83">
        <v>500</v>
      </c>
      <c r="S403" s="79" t="s">
        <v>3484</v>
      </c>
      <c r="T403" s="84">
        <v>1250000</v>
      </c>
      <c r="U403" s="81"/>
      <c r="V403" s="81"/>
      <c r="W403" s="78" t="s">
        <v>1357</v>
      </c>
      <c r="X403" s="82"/>
      <c r="Y403" s="81" t="s">
        <v>2256</v>
      </c>
      <c r="Z403" s="81" t="s">
        <v>2256</v>
      </c>
      <c r="AA403" s="83">
        <v>2500</v>
      </c>
      <c r="AB403" s="85"/>
      <c r="AD403" s="78" t="s">
        <v>1357</v>
      </c>
      <c r="AE403" s="82"/>
      <c r="AF403" s="81" t="s">
        <v>2256</v>
      </c>
      <c r="AG403" s="81" t="s">
        <v>2256</v>
      </c>
      <c r="AH403" s="83">
        <v>3500</v>
      </c>
      <c r="AI403" s="85"/>
    </row>
    <row r="404" spans="1:35" s="79" customFormat="1" ht="11.25" customHeight="1" x14ac:dyDescent="0.2">
      <c r="A404" s="77" t="s">
        <v>1789</v>
      </c>
      <c r="B404" s="80">
        <v>769</v>
      </c>
      <c r="C404" s="81" t="s">
        <v>1367</v>
      </c>
      <c r="D404" s="73">
        <v>2500</v>
      </c>
      <c r="E404" s="79" t="s">
        <v>65</v>
      </c>
      <c r="F404" s="79" t="s">
        <v>3725</v>
      </c>
      <c r="G404" s="79" t="s">
        <v>2996</v>
      </c>
      <c r="H404" s="79" t="s">
        <v>66</v>
      </c>
      <c r="I404" s="81"/>
      <c r="J404" s="81">
        <v>25</v>
      </c>
      <c r="K404" s="86"/>
      <c r="M404" s="78" t="s">
        <v>1367</v>
      </c>
      <c r="N404" s="82"/>
      <c r="O404" s="81" t="s">
        <v>2256</v>
      </c>
      <c r="P404" s="81" t="s">
        <v>2256</v>
      </c>
      <c r="Q404" s="81"/>
      <c r="R404" s="83">
        <v>1000</v>
      </c>
      <c r="S404" s="79" t="s">
        <v>2999</v>
      </c>
      <c r="T404" s="84">
        <v>2500000</v>
      </c>
      <c r="U404" s="81"/>
      <c r="V404" s="81"/>
      <c r="W404" s="78" t="s">
        <v>1367</v>
      </c>
      <c r="X404" s="82"/>
      <c r="Y404" s="81" t="s">
        <v>2256</v>
      </c>
      <c r="Z404" s="81" t="s">
        <v>2256</v>
      </c>
      <c r="AA404" s="83">
        <v>10000</v>
      </c>
      <c r="AB404" s="85"/>
      <c r="AD404" s="78" t="s">
        <v>1367</v>
      </c>
      <c r="AE404" s="82"/>
      <c r="AF404" s="81" t="s">
        <v>2256</v>
      </c>
      <c r="AG404" s="81" t="s">
        <v>2256</v>
      </c>
      <c r="AH404" s="83">
        <v>10000</v>
      </c>
      <c r="AI404" s="85"/>
    </row>
    <row r="405" spans="1:35" s="79" customFormat="1" ht="11.25" customHeight="1" x14ac:dyDescent="0.2">
      <c r="A405" s="77" t="s">
        <v>1790</v>
      </c>
      <c r="B405" s="80">
        <v>772</v>
      </c>
      <c r="C405" s="81" t="s">
        <v>1719</v>
      </c>
      <c r="D405" s="73">
        <v>2500</v>
      </c>
      <c r="E405" s="79" t="s">
        <v>65</v>
      </c>
      <c r="F405" s="79" t="s">
        <v>3725</v>
      </c>
      <c r="G405" s="79" t="s">
        <v>2996</v>
      </c>
      <c r="H405" s="79" t="s">
        <v>66</v>
      </c>
      <c r="I405" s="81"/>
      <c r="J405" s="81">
        <v>25</v>
      </c>
      <c r="K405" s="86"/>
      <c r="M405" s="78" t="s">
        <v>1719</v>
      </c>
      <c r="N405" s="82"/>
      <c r="O405" s="81" t="s">
        <v>2256</v>
      </c>
      <c r="P405" s="81" t="s">
        <v>2256</v>
      </c>
      <c r="Q405" s="81"/>
      <c r="R405" s="83">
        <v>1000</v>
      </c>
      <c r="S405" s="79" t="s">
        <v>2999</v>
      </c>
      <c r="T405" s="84">
        <v>2500000</v>
      </c>
      <c r="U405" s="81"/>
      <c r="V405" s="81"/>
      <c r="W405" s="78" t="s">
        <v>1719</v>
      </c>
      <c r="X405" s="82"/>
      <c r="Y405" s="81" t="s">
        <v>2256</v>
      </c>
      <c r="Z405" s="81" t="s">
        <v>2256</v>
      </c>
      <c r="AA405" s="83">
        <v>10000</v>
      </c>
      <c r="AB405" s="85"/>
      <c r="AD405" s="78" t="s">
        <v>1719</v>
      </c>
      <c r="AE405" s="82"/>
      <c r="AF405" s="81" t="s">
        <v>2256</v>
      </c>
      <c r="AG405" s="81" t="s">
        <v>2256</v>
      </c>
      <c r="AH405" s="83">
        <v>10000</v>
      </c>
      <c r="AI405" s="85"/>
    </row>
    <row r="406" spans="1:35" s="79" customFormat="1" ht="11.25" customHeight="1" x14ac:dyDescent="0.2">
      <c r="A406" s="77" t="s">
        <v>1802</v>
      </c>
      <c r="B406" s="80">
        <v>640</v>
      </c>
      <c r="C406" s="81" t="s">
        <v>1236</v>
      </c>
      <c r="D406" s="73">
        <v>2500</v>
      </c>
      <c r="E406" s="79" t="s">
        <v>65</v>
      </c>
      <c r="F406" s="79" t="s">
        <v>3725</v>
      </c>
      <c r="G406" s="79" t="s">
        <v>2996</v>
      </c>
      <c r="H406" s="79" t="s">
        <v>66</v>
      </c>
      <c r="I406" s="81"/>
      <c r="J406" s="81">
        <v>175</v>
      </c>
      <c r="K406" s="86"/>
      <c r="M406" s="78" t="s">
        <v>1236</v>
      </c>
      <c r="N406" s="82"/>
      <c r="O406" s="81" t="s">
        <v>2256</v>
      </c>
      <c r="P406" s="81" t="s">
        <v>2256</v>
      </c>
      <c r="Q406" s="81"/>
      <c r="R406" s="83">
        <v>500</v>
      </c>
      <c r="S406" s="79" t="s">
        <v>2999</v>
      </c>
      <c r="T406" s="84">
        <v>1250000</v>
      </c>
      <c r="U406" s="81"/>
      <c r="V406" s="81"/>
      <c r="W406" s="78" t="s">
        <v>1236</v>
      </c>
      <c r="X406" s="82"/>
      <c r="Y406" s="81" t="s">
        <v>2256</v>
      </c>
      <c r="Z406" s="81" t="s">
        <v>2256</v>
      </c>
      <c r="AA406" s="83">
        <v>10000</v>
      </c>
      <c r="AB406" s="85"/>
      <c r="AD406" s="78" t="s">
        <v>1236</v>
      </c>
      <c r="AE406" s="82"/>
      <c r="AF406" s="81" t="s">
        <v>2256</v>
      </c>
      <c r="AG406" s="81" t="s">
        <v>2256</v>
      </c>
      <c r="AH406" s="83">
        <v>10000</v>
      </c>
      <c r="AI406" s="85"/>
    </row>
    <row r="407" spans="1:35" s="79" customFormat="1" ht="11.25" customHeight="1" x14ac:dyDescent="0.2">
      <c r="A407" s="77" t="s">
        <v>1817</v>
      </c>
      <c r="B407" s="80">
        <v>805</v>
      </c>
      <c r="C407" s="81" t="s">
        <v>69</v>
      </c>
      <c r="D407" s="73">
        <v>2500</v>
      </c>
      <c r="E407" s="79" t="s">
        <v>65</v>
      </c>
      <c r="F407" s="79" t="s">
        <v>3725</v>
      </c>
      <c r="G407" s="79" t="s">
        <v>2996</v>
      </c>
      <c r="H407" s="79" t="s">
        <v>66</v>
      </c>
      <c r="I407" s="81"/>
      <c r="J407" s="81">
        <v>25</v>
      </c>
      <c r="K407" s="86"/>
      <c r="M407" s="78" t="s">
        <v>69</v>
      </c>
      <c r="N407" s="82"/>
      <c r="O407" s="81" t="s">
        <v>2256</v>
      </c>
      <c r="P407" s="81" t="s">
        <v>2256</v>
      </c>
      <c r="Q407" s="81"/>
      <c r="R407" s="83">
        <v>500</v>
      </c>
      <c r="S407" s="79" t="s">
        <v>2999</v>
      </c>
      <c r="T407" s="84">
        <v>1250000</v>
      </c>
      <c r="U407" s="81"/>
      <c r="V407" s="81"/>
      <c r="W407" s="78" t="s">
        <v>69</v>
      </c>
      <c r="X407" s="82"/>
      <c r="Y407" s="81" t="s">
        <v>2256</v>
      </c>
      <c r="Z407" s="81" t="s">
        <v>2256</v>
      </c>
      <c r="AA407" s="83">
        <v>10000</v>
      </c>
      <c r="AB407" s="85"/>
      <c r="AD407" s="78" t="s">
        <v>69</v>
      </c>
      <c r="AE407" s="82"/>
      <c r="AF407" s="81" t="s">
        <v>2256</v>
      </c>
      <c r="AG407" s="81" t="s">
        <v>2256</v>
      </c>
      <c r="AH407" s="83">
        <v>10000</v>
      </c>
      <c r="AI407" s="85"/>
    </row>
    <row r="408" spans="1:35" s="79" customFormat="1" ht="11.25" customHeight="1" x14ac:dyDescent="0.2">
      <c r="A408" s="77" t="s">
        <v>1823</v>
      </c>
      <c r="B408" s="80">
        <v>641</v>
      </c>
      <c r="C408" s="81" t="s">
        <v>1604</v>
      </c>
      <c r="D408" s="73">
        <v>2500</v>
      </c>
      <c r="E408" s="79" t="s">
        <v>65</v>
      </c>
      <c r="F408" s="79" t="s">
        <v>3725</v>
      </c>
      <c r="G408" s="79" t="s">
        <v>2996</v>
      </c>
      <c r="H408" s="79" t="s">
        <v>66</v>
      </c>
      <c r="I408" s="81"/>
      <c r="J408" s="81">
        <v>175</v>
      </c>
      <c r="K408" s="86"/>
      <c r="M408" s="78" t="s">
        <v>1604</v>
      </c>
      <c r="N408" s="82"/>
      <c r="O408" s="81" t="s">
        <v>2256</v>
      </c>
      <c r="P408" s="81" t="s">
        <v>2256</v>
      </c>
      <c r="Q408" s="81"/>
      <c r="R408" s="83">
        <v>1000</v>
      </c>
      <c r="S408" s="79" t="s">
        <v>2999</v>
      </c>
      <c r="T408" s="84">
        <v>2500000</v>
      </c>
      <c r="U408" s="81"/>
      <c r="V408" s="81"/>
      <c r="W408" s="78" t="s">
        <v>1604</v>
      </c>
      <c r="X408" s="82"/>
      <c r="Y408" s="81" t="s">
        <v>2256</v>
      </c>
      <c r="Z408" s="81" t="s">
        <v>2256</v>
      </c>
      <c r="AA408" s="83">
        <v>10000</v>
      </c>
      <c r="AB408" s="85"/>
      <c r="AD408" s="78" t="s">
        <v>1604</v>
      </c>
      <c r="AE408" s="82"/>
      <c r="AF408" s="81" t="s">
        <v>2256</v>
      </c>
      <c r="AG408" s="81" t="s">
        <v>2256</v>
      </c>
      <c r="AH408" s="83">
        <v>10000</v>
      </c>
      <c r="AI408" s="85"/>
    </row>
    <row r="409" spans="1:35" s="79" customFormat="1" ht="11.25" customHeight="1" x14ac:dyDescent="0.2">
      <c r="A409" s="77" t="s">
        <v>1829</v>
      </c>
      <c r="B409" s="80">
        <v>1288</v>
      </c>
      <c r="C409" s="81" t="s">
        <v>1828</v>
      </c>
      <c r="D409" s="73">
        <v>2500</v>
      </c>
      <c r="E409" s="79" t="s">
        <v>65</v>
      </c>
      <c r="F409" s="79" t="s">
        <v>3725</v>
      </c>
      <c r="G409" s="79" t="s">
        <v>2996</v>
      </c>
      <c r="H409" s="79" t="s">
        <v>66</v>
      </c>
      <c r="I409" s="81"/>
      <c r="J409" s="81">
        <v>25</v>
      </c>
      <c r="K409" s="86"/>
      <c r="M409" s="78" t="s">
        <v>1828</v>
      </c>
      <c r="N409" s="82"/>
      <c r="O409" s="81" t="s">
        <v>2256</v>
      </c>
      <c r="P409" s="81" t="s">
        <v>2256</v>
      </c>
      <c r="Q409" s="81"/>
      <c r="R409" s="83">
        <v>500</v>
      </c>
      <c r="S409" s="79" t="s">
        <v>3484</v>
      </c>
      <c r="T409" s="84">
        <v>1250000</v>
      </c>
      <c r="U409" s="81"/>
      <c r="V409" s="81"/>
      <c r="W409" s="78" t="s">
        <v>1828</v>
      </c>
      <c r="X409" s="82"/>
      <c r="Y409" s="81" t="s">
        <v>2256</v>
      </c>
      <c r="Z409" s="81" t="s">
        <v>2256</v>
      </c>
      <c r="AA409" s="83">
        <v>2000</v>
      </c>
      <c r="AB409" s="85"/>
      <c r="AD409" s="78" t="s">
        <v>1828</v>
      </c>
      <c r="AE409" s="82"/>
      <c r="AF409" s="81" t="s">
        <v>2256</v>
      </c>
      <c r="AG409" s="81" t="s">
        <v>2256</v>
      </c>
      <c r="AH409" s="83">
        <v>5000</v>
      </c>
      <c r="AI409" s="85"/>
    </row>
    <row r="410" spans="1:35" s="79" customFormat="1" ht="11.25" customHeight="1" x14ac:dyDescent="0.2">
      <c r="A410" s="77" t="s">
        <v>1831</v>
      </c>
      <c r="B410" s="80">
        <v>1295</v>
      </c>
      <c r="C410" s="81" t="s">
        <v>1830</v>
      </c>
      <c r="D410" s="73">
        <v>2500</v>
      </c>
      <c r="E410" s="79" t="s">
        <v>65</v>
      </c>
      <c r="F410" s="79" t="s">
        <v>3725</v>
      </c>
      <c r="G410" s="79" t="s">
        <v>2996</v>
      </c>
      <c r="H410" s="79" t="s">
        <v>66</v>
      </c>
      <c r="I410" s="81"/>
      <c r="J410" s="81">
        <v>25</v>
      </c>
      <c r="K410" s="86"/>
      <c r="M410" s="78" t="s">
        <v>1830</v>
      </c>
      <c r="N410" s="82"/>
      <c r="O410" s="81" t="s">
        <v>2256</v>
      </c>
      <c r="P410" s="81" t="s">
        <v>2256</v>
      </c>
      <c r="Q410" s="81"/>
      <c r="R410" s="83">
        <v>5000</v>
      </c>
      <c r="S410" s="79" t="s">
        <v>2999</v>
      </c>
      <c r="T410" s="84">
        <v>12500000</v>
      </c>
      <c r="U410" s="81"/>
      <c r="V410" s="81"/>
      <c r="W410" s="78" t="s">
        <v>1830</v>
      </c>
      <c r="X410" s="82"/>
      <c r="Y410" s="81" t="s">
        <v>2256</v>
      </c>
      <c r="Z410" s="81" t="s">
        <v>2256</v>
      </c>
      <c r="AA410" s="83">
        <v>10000</v>
      </c>
      <c r="AB410" s="85"/>
      <c r="AD410" s="78" t="s">
        <v>1830</v>
      </c>
      <c r="AE410" s="82"/>
      <c r="AF410" s="81" t="s">
        <v>2256</v>
      </c>
      <c r="AG410" s="81" t="s">
        <v>2256</v>
      </c>
      <c r="AH410" s="83">
        <v>10000</v>
      </c>
      <c r="AI410" s="85"/>
    </row>
    <row r="411" spans="1:35" s="79" customFormat="1" ht="11.25" customHeight="1" x14ac:dyDescent="0.2">
      <c r="A411" s="77" t="s">
        <v>1833</v>
      </c>
      <c r="B411" s="80">
        <v>1293</v>
      </c>
      <c r="C411" s="81" t="s">
        <v>1832</v>
      </c>
      <c r="D411" s="73">
        <v>2500</v>
      </c>
      <c r="E411" s="79" t="s">
        <v>65</v>
      </c>
      <c r="F411" s="79" t="s">
        <v>3725</v>
      </c>
      <c r="G411" s="79" t="s">
        <v>2996</v>
      </c>
      <c r="H411" s="79" t="s">
        <v>66</v>
      </c>
      <c r="I411" s="81"/>
      <c r="J411" s="81">
        <v>25</v>
      </c>
      <c r="K411" s="86"/>
      <c r="M411" s="78" t="s">
        <v>1834</v>
      </c>
      <c r="N411" s="82" t="s">
        <v>1830</v>
      </c>
      <c r="O411" s="81" t="s">
        <v>2671</v>
      </c>
      <c r="P411" s="81" t="s">
        <v>2948</v>
      </c>
      <c r="Q411" s="81"/>
      <c r="R411" s="83" t="s">
        <v>3437</v>
      </c>
      <c r="S411" s="79" t="s">
        <v>3518</v>
      </c>
      <c r="T411" s="84" t="s">
        <v>3635</v>
      </c>
      <c r="U411" s="81"/>
      <c r="V411" s="81"/>
      <c r="W411" s="78" t="s">
        <v>1834</v>
      </c>
      <c r="X411" s="82" t="s">
        <v>1830</v>
      </c>
      <c r="Y411" s="81" t="s">
        <v>2671</v>
      </c>
      <c r="Z411" s="81" t="s">
        <v>2948</v>
      </c>
      <c r="AA411" s="81" t="s">
        <v>1836</v>
      </c>
      <c r="AB411" s="85"/>
      <c r="AD411" s="78" t="s">
        <v>1834</v>
      </c>
      <c r="AE411" s="82" t="s">
        <v>1830</v>
      </c>
      <c r="AF411" s="81" t="s">
        <v>2671</v>
      </c>
      <c r="AG411" s="81" t="s">
        <v>2948</v>
      </c>
      <c r="AH411" s="81" t="s">
        <v>1835</v>
      </c>
      <c r="AI411" s="85"/>
    </row>
    <row r="412" spans="1:35" s="79" customFormat="1" ht="11.25" customHeight="1" x14ac:dyDescent="0.2">
      <c r="A412" s="77" t="s">
        <v>1837</v>
      </c>
      <c r="B412" s="80">
        <v>1287</v>
      </c>
      <c r="C412" s="81" t="s">
        <v>1834</v>
      </c>
      <c r="D412" s="73">
        <v>2500</v>
      </c>
      <c r="E412" s="79" t="s">
        <v>65</v>
      </c>
      <c r="F412" s="79" t="s">
        <v>3725</v>
      </c>
      <c r="G412" s="79" t="s">
        <v>2996</v>
      </c>
      <c r="H412" s="79" t="s">
        <v>66</v>
      </c>
      <c r="I412" s="81"/>
      <c r="J412" s="81">
        <v>25</v>
      </c>
      <c r="K412" s="86"/>
      <c r="M412" s="78" t="s">
        <v>1834</v>
      </c>
      <c r="N412" s="82"/>
      <c r="O412" s="81" t="s">
        <v>2256</v>
      </c>
      <c r="P412" s="81" t="s">
        <v>2256</v>
      </c>
      <c r="Q412" s="81"/>
      <c r="R412" s="83">
        <v>150</v>
      </c>
      <c r="S412" s="79" t="s">
        <v>3484</v>
      </c>
      <c r="T412" s="84">
        <v>375000</v>
      </c>
      <c r="U412" s="81"/>
      <c r="V412" s="81"/>
      <c r="W412" s="78" t="s">
        <v>1834</v>
      </c>
      <c r="X412" s="82"/>
      <c r="Y412" s="81" t="s">
        <v>2256</v>
      </c>
      <c r="Z412" s="81" t="s">
        <v>2256</v>
      </c>
      <c r="AA412" s="80">
        <v>500</v>
      </c>
      <c r="AB412" s="85"/>
      <c r="AD412" s="78" t="s">
        <v>1834</v>
      </c>
      <c r="AE412" s="82"/>
      <c r="AF412" s="81" t="s">
        <v>2256</v>
      </c>
      <c r="AG412" s="81" t="s">
        <v>2256</v>
      </c>
      <c r="AH412" s="83">
        <v>1000</v>
      </c>
      <c r="AI412" s="85"/>
    </row>
    <row r="413" spans="1:35" s="79" customFormat="1" ht="11.25" customHeight="1" x14ac:dyDescent="0.2">
      <c r="A413" s="77" t="s">
        <v>1839</v>
      </c>
      <c r="B413" s="80">
        <v>1066</v>
      </c>
      <c r="C413" s="81" t="s">
        <v>1838</v>
      </c>
      <c r="D413" s="73">
        <v>10000</v>
      </c>
      <c r="E413" s="79" t="s">
        <v>65</v>
      </c>
      <c r="F413" s="79" t="s">
        <v>30</v>
      </c>
      <c r="G413" s="79" t="s">
        <v>3001</v>
      </c>
      <c r="H413" s="79" t="s">
        <v>66</v>
      </c>
      <c r="I413" s="81"/>
      <c r="J413" s="81">
        <v>25</v>
      </c>
      <c r="K413" s="86"/>
      <c r="M413" s="78" t="s">
        <v>1838</v>
      </c>
      <c r="N413" s="82"/>
      <c r="O413" s="81" t="s">
        <v>2256</v>
      </c>
      <c r="P413" s="81" t="s">
        <v>2256</v>
      </c>
      <c r="Q413" s="81"/>
      <c r="R413" s="83">
        <v>1000</v>
      </c>
      <c r="S413" s="79" t="s">
        <v>2999</v>
      </c>
      <c r="T413" s="84">
        <v>10000000</v>
      </c>
      <c r="U413" s="81"/>
      <c r="V413" s="81"/>
      <c r="W413" s="78" t="s">
        <v>1838</v>
      </c>
      <c r="X413" s="82"/>
      <c r="Y413" s="81" t="s">
        <v>2256</v>
      </c>
      <c r="Z413" s="81" t="s">
        <v>2256</v>
      </c>
      <c r="AA413" s="83">
        <v>12000</v>
      </c>
      <c r="AB413" s="85"/>
      <c r="AD413" s="78" t="s">
        <v>1838</v>
      </c>
      <c r="AE413" s="82"/>
      <c r="AF413" s="81" t="s">
        <v>2256</v>
      </c>
      <c r="AG413" s="81" t="s">
        <v>2256</v>
      </c>
      <c r="AH413" s="83">
        <v>12000</v>
      </c>
      <c r="AI413" s="85"/>
    </row>
    <row r="414" spans="1:35" s="79" customFormat="1" ht="11.25" customHeight="1" x14ac:dyDescent="0.2">
      <c r="A414" s="77" t="s">
        <v>2030</v>
      </c>
      <c r="B414" s="80">
        <v>883</v>
      </c>
      <c r="C414" s="81" t="s">
        <v>2029</v>
      </c>
      <c r="D414" s="73">
        <v>2500</v>
      </c>
      <c r="E414" s="79" t="s">
        <v>65</v>
      </c>
      <c r="F414" s="79" t="s">
        <v>3725</v>
      </c>
      <c r="G414" s="79" t="s">
        <v>2996</v>
      </c>
      <c r="H414" s="79" t="s">
        <v>66</v>
      </c>
      <c r="I414" s="81"/>
      <c r="J414" s="81">
        <v>25</v>
      </c>
      <c r="K414" s="86"/>
      <c r="M414" s="78" t="s">
        <v>1854</v>
      </c>
      <c r="N414" s="82" t="s">
        <v>282</v>
      </c>
      <c r="O414" s="81" t="s">
        <v>2712</v>
      </c>
      <c r="P414" s="81" t="s">
        <v>2972</v>
      </c>
      <c r="Q414" s="81"/>
      <c r="R414" s="83" t="s">
        <v>3429</v>
      </c>
      <c r="S414" s="79" t="s">
        <v>3523</v>
      </c>
      <c r="T414" s="84" t="s">
        <v>3618</v>
      </c>
      <c r="U414" s="81"/>
      <c r="V414" s="81"/>
      <c r="W414" s="78" t="s">
        <v>1854</v>
      </c>
      <c r="X414" s="82" t="s">
        <v>282</v>
      </c>
      <c r="Y414" s="81" t="s">
        <v>2712</v>
      </c>
      <c r="Z414" s="81" t="s">
        <v>2972</v>
      </c>
      <c r="AA414" s="81" t="s">
        <v>2032</v>
      </c>
      <c r="AB414" s="85"/>
      <c r="AD414" s="78" t="s">
        <v>1854</v>
      </c>
      <c r="AE414" s="82" t="s">
        <v>282</v>
      </c>
      <c r="AF414" s="81" t="s">
        <v>2712</v>
      </c>
      <c r="AG414" s="81" t="s">
        <v>2972</v>
      </c>
      <c r="AH414" s="81" t="s">
        <v>2031</v>
      </c>
      <c r="AI414" s="85"/>
    </row>
    <row r="415" spans="1:35" s="79" customFormat="1" ht="11.25" customHeight="1" x14ac:dyDescent="0.2">
      <c r="A415" s="77" t="s">
        <v>1855</v>
      </c>
      <c r="B415" s="80">
        <v>892</v>
      </c>
      <c r="C415" s="81" t="s">
        <v>1854</v>
      </c>
      <c r="D415" s="73">
        <v>2500</v>
      </c>
      <c r="E415" s="79" t="s">
        <v>65</v>
      </c>
      <c r="F415" s="79" t="s">
        <v>3725</v>
      </c>
      <c r="G415" s="79" t="s">
        <v>2996</v>
      </c>
      <c r="H415" s="79" t="s">
        <v>66</v>
      </c>
      <c r="I415" s="81"/>
      <c r="J415" s="81">
        <v>25</v>
      </c>
      <c r="K415" s="86"/>
      <c r="M415" s="78" t="s">
        <v>1854</v>
      </c>
      <c r="N415" s="82"/>
      <c r="O415" s="81" t="s">
        <v>2256</v>
      </c>
      <c r="P415" s="81" t="s">
        <v>2256</v>
      </c>
      <c r="Q415" s="81"/>
      <c r="R415" s="83">
        <v>25</v>
      </c>
      <c r="S415" s="79" t="s">
        <v>3484</v>
      </c>
      <c r="T415" s="84">
        <v>62500</v>
      </c>
      <c r="U415" s="81"/>
      <c r="V415" s="81"/>
      <c r="W415" s="78" t="s">
        <v>1854</v>
      </c>
      <c r="X415" s="82"/>
      <c r="Y415" s="81" t="s">
        <v>2256</v>
      </c>
      <c r="Z415" s="81" t="s">
        <v>2256</v>
      </c>
      <c r="AA415" s="80">
        <v>200</v>
      </c>
      <c r="AB415" s="85"/>
      <c r="AD415" s="78" t="s">
        <v>1854</v>
      </c>
      <c r="AE415" s="82"/>
      <c r="AF415" s="81" t="s">
        <v>2256</v>
      </c>
      <c r="AG415" s="81" t="s">
        <v>2256</v>
      </c>
      <c r="AH415" s="80">
        <v>300</v>
      </c>
      <c r="AI415" s="85"/>
    </row>
    <row r="416" spans="1:35" s="79" customFormat="1" ht="11.25" customHeight="1" x14ac:dyDescent="0.2">
      <c r="A416" s="77" t="s">
        <v>1908</v>
      </c>
      <c r="B416" s="80">
        <v>815</v>
      </c>
      <c r="C416" s="81" t="s">
        <v>1907</v>
      </c>
      <c r="D416" s="73">
        <v>2500</v>
      </c>
      <c r="E416" s="79" t="s">
        <v>65</v>
      </c>
      <c r="F416" s="79" t="s">
        <v>3725</v>
      </c>
      <c r="G416" s="79" t="s">
        <v>2996</v>
      </c>
      <c r="H416" s="79" t="s">
        <v>66</v>
      </c>
      <c r="I416" s="81"/>
      <c r="J416" s="81">
        <v>25</v>
      </c>
      <c r="K416" s="86"/>
      <c r="M416" s="78" t="s">
        <v>1909</v>
      </c>
      <c r="N416" s="82" t="s">
        <v>1533</v>
      </c>
      <c r="O416" s="81" t="s">
        <v>2686</v>
      </c>
      <c r="P416" s="81" t="s">
        <v>2957</v>
      </c>
      <c r="Q416" s="81"/>
      <c r="R416" s="83" t="s">
        <v>3435</v>
      </c>
      <c r="S416" s="79" t="s">
        <v>3520</v>
      </c>
      <c r="T416" s="84" t="s">
        <v>3421</v>
      </c>
      <c r="U416" s="81"/>
      <c r="V416" s="81"/>
      <c r="W416" s="78" t="s">
        <v>1909</v>
      </c>
      <c r="X416" s="82" t="s">
        <v>1533</v>
      </c>
      <c r="Y416" s="81" t="s">
        <v>2686</v>
      </c>
      <c r="Z416" s="81" t="s">
        <v>2957</v>
      </c>
      <c r="AA416" s="81" t="s">
        <v>252</v>
      </c>
      <c r="AB416" s="85"/>
      <c r="AD416" s="78" t="s">
        <v>1909</v>
      </c>
      <c r="AE416" s="82" t="s">
        <v>1533</v>
      </c>
      <c r="AF416" s="81" t="s">
        <v>2686</v>
      </c>
      <c r="AG416" s="81" t="s">
        <v>2957</v>
      </c>
      <c r="AH416" s="81" t="s">
        <v>252</v>
      </c>
      <c r="AI416" s="85"/>
    </row>
    <row r="417" spans="1:35" s="79" customFormat="1" ht="11.25" customHeight="1" x14ac:dyDescent="0.2">
      <c r="A417" s="77" t="s">
        <v>1920</v>
      </c>
      <c r="B417" s="80">
        <v>822</v>
      </c>
      <c r="C417" s="81" t="s">
        <v>1909</v>
      </c>
      <c r="D417" s="73">
        <v>2500</v>
      </c>
      <c r="E417" s="79" t="s">
        <v>65</v>
      </c>
      <c r="F417" s="79" t="s">
        <v>3725</v>
      </c>
      <c r="G417" s="79" t="s">
        <v>2996</v>
      </c>
      <c r="H417" s="79" t="s">
        <v>66</v>
      </c>
      <c r="I417" s="81"/>
      <c r="J417" s="81">
        <v>25</v>
      </c>
      <c r="K417" s="86"/>
      <c r="M417" s="78" t="s">
        <v>1909</v>
      </c>
      <c r="N417" s="82"/>
      <c r="O417" s="81" t="s">
        <v>2256</v>
      </c>
      <c r="P417" s="81" t="s">
        <v>2256</v>
      </c>
      <c r="Q417" s="81"/>
      <c r="R417" s="83">
        <v>2000</v>
      </c>
      <c r="S417" s="79" t="s">
        <v>3484</v>
      </c>
      <c r="T417" s="84">
        <v>5000000</v>
      </c>
      <c r="U417" s="81"/>
      <c r="V417" s="81"/>
      <c r="W417" s="78" t="s">
        <v>1909</v>
      </c>
      <c r="X417" s="82"/>
      <c r="Y417" s="81" t="s">
        <v>2256</v>
      </c>
      <c r="Z417" s="81" t="s">
        <v>2256</v>
      </c>
      <c r="AA417" s="83">
        <v>10000</v>
      </c>
      <c r="AB417" s="85"/>
      <c r="AD417" s="78" t="s">
        <v>1909</v>
      </c>
      <c r="AE417" s="82"/>
      <c r="AF417" s="81" t="s">
        <v>2256</v>
      </c>
      <c r="AG417" s="81" t="s">
        <v>2256</v>
      </c>
      <c r="AH417" s="83">
        <v>10000</v>
      </c>
      <c r="AI417" s="85"/>
    </row>
    <row r="418" spans="1:35" s="79" customFormat="1" ht="11.25" customHeight="1" x14ac:dyDescent="0.2">
      <c r="A418" s="77" t="s">
        <v>994</v>
      </c>
      <c r="B418" s="80">
        <v>810</v>
      </c>
      <c r="C418" s="81" t="s">
        <v>993</v>
      </c>
      <c r="D418" s="73">
        <v>2500</v>
      </c>
      <c r="E418" s="79" t="s">
        <v>65</v>
      </c>
      <c r="F418" s="79" t="s">
        <v>3725</v>
      </c>
      <c r="G418" s="79" t="s">
        <v>2996</v>
      </c>
      <c r="H418" s="79" t="s">
        <v>66</v>
      </c>
      <c r="I418" s="81"/>
      <c r="J418" s="81">
        <v>25</v>
      </c>
      <c r="K418" s="86"/>
      <c r="M418" s="78" t="s">
        <v>995</v>
      </c>
      <c r="N418" s="82" t="s">
        <v>996</v>
      </c>
      <c r="O418" s="81" t="s">
        <v>2472</v>
      </c>
      <c r="P418" s="81" t="s">
        <v>2868</v>
      </c>
      <c r="Q418" s="81"/>
      <c r="R418" s="83" t="s">
        <v>3435</v>
      </c>
      <c r="S418" s="79" t="s">
        <v>3492</v>
      </c>
      <c r="T418" s="84" t="s">
        <v>3421</v>
      </c>
      <c r="U418" s="81"/>
      <c r="V418" s="81"/>
      <c r="W418" s="78" t="s">
        <v>995</v>
      </c>
      <c r="X418" s="82" t="s">
        <v>996</v>
      </c>
      <c r="Y418" s="81" t="s">
        <v>2472</v>
      </c>
      <c r="Z418" s="81" t="s">
        <v>2868</v>
      </c>
      <c r="AA418" s="81" t="s">
        <v>252</v>
      </c>
      <c r="AB418" s="85"/>
      <c r="AD418" s="78" t="s">
        <v>995</v>
      </c>
      <c r="AE418" s="82" t="s">
        <v>996</v>
      </c>
      <c r="AF418" s="81" t="s">
        <v>2472</v>
      </c>
      <c r="AG418" s="81" t="s">
        <v>2868</v>
      </c>
      <c r="AH418" s="81" t="s">
        <v>252</v>
      </c>
      <c r="AI418" s="85"/>
    </row>
    <row r="419" spans="1:35" s="79" customFormat="1" ht="11.25" customHeight="1" x14ac:dyDescent="0.2">
      <c r="A419" s="77" t="s">
        <v>1925</v>
      </c>
      <c r="B419" s="80">
        <v>817</v>
      </c>
      <c r="C419" s="81" t="s">
        <v>995</v>
      </c>
      <c r="D419" s="73">
        <v>2500</v>
      </c>
      <c r="E419" s="79" t="s">
        <v>65</v>
      </c>
      <c r="F419" s="79" t="s">
        <v>3725</v>
      </c>
      <c r="G419" s="79" t="s">
        <v>2996</v>
      </c>
      <c r="H419" s="79" t="s">
        <v>66</v>
      </c>
      <c r="I419" s="81"/>
      <c r="J419" s="81">
        <v>25</v>
      </c>
      <c r="K419" s="86"/>
      <c r="M419" s="78" t="s">
        <v>995</v>
      </c>
      <c r="N419" s="82"/>
      <c r="O419" s="81" t="s">
        <v>2256</v>
      </c>
      <c r="P419" s="81" t="s">
        <v>2256</v>
      </c>
      <c r="Q419" s="81"/>
      <c r="R419" s="83">
        <v>2000</v>
      </c>
      <c r="S419" s="79" t="s">
        <v>3484</v>
      </c>
      <c r="T419" s="84">
        <v>5000000</v>
      </c>
      <c r="U419" s="81"/>
      <c r="V419" s="81"/>
      <c r="W419" s="78" t="s">
        <v>995</v>
      </c>
      <c r="X419" s="82"/>
      <c r="Y419" s="81" t="s">
        <v>2256</v>
      </c>
      <c r="Z419" s="81" t="s">
        <v>2256</v>
      </c>
      <c r="AA419" s="83">
        <v>10000</v>
      </c>
      <c r="AB419" s="85"/>
      <c r="AD419" s="78" t="s">
        <v>995</v>
      </c>
      <c r="AE419" s="82"/>
      <c r="AF419" s="81" t="s">
        <v>2256</v>
      </c>
      <c r="AG419" s="81" t="s">
        <v>2256</v>
      </c>
      <c r="AH419" s="83">
        <v>10000</v>
      </c>
      <c r="AI419" s="85"/>
    </row>
    <row r="420" spans="1:35" s="79" customFormat="1" ht="11.25" customHeight="1" x14ac:dyDescent="0.2">
      <c r="A420" s="77" t="s">
        <v>1170</v>
      </c>
      <c r="B420" s="80">
        <v>445</v>
      </c>
      <c r="C420" s="81" t="s">
        <v>1169</v>
      </c>
      <c r="D420" s="73">
        <v>2500</v>
      </c>
      <c r="E420" s="79" t="s">
        <v>65</v>
      </c>
      <c r="F420" s="79" t="s">
        <v>3725</v>
      </c>
      <c r="G420" s="79" t="s">
        <v>2996</v>
      </c>
      <c r="H420" s="79" t="s">
        <v>66</v>
      </c>
      <c r="I420" s="81"/>
      <c r="J420" s="81">
        <v>25</v>
      </c>
      <c r="K420" s="86"/>
      <c r="M420" s="78" t="s">
        <v>1171</v>
      </c>
      <c r="N420" s="82" t="s">
        <v>1172</v>
      </c>
      <c r="O420" s="81" t="s">
        <v>2513</v>
      </c>
      <c r="P420" s="81" t="s">
        <v>2885</v>
      </c>
      <c r="Q420" s="81"/>
      <c r="R420" s="83" t="s">
        <v>116</v>
      </c>
      <c r="S420" s="79" t="s">
        <v>3501</v>
      </c>
      <c r="T420" s="84" t="s">
        <v>3610</v>
      </c>
      <c r="U420" s="81"/>
      <c r="V420" s="81"/>
      <c r="W420" s="78" t="s">
        <v>1171</v>
      </c>
      <c r="X420" s="82" t="s">
        <v>1172</v>
      </c>
      <c r="Y420" s="81" t="s">
        <v>2513</v>
      </c>
      <c r="Z420" s="81" t="s">
        <v>2885</v>
      </c>
      <c r="AA420" s="81" t="s">
        <v>1174</v>
      </c>
      <c r="AB420" s="85"/>
      <c r="AD420" s="78" t="s">
        <v>1171</v>
      </c>
      <c r="AE420" s="82" t="s">
        <v>1172</v>
      </c>
      <c r="AF420" s="81" t="s">
        <v>2513</v>
      </c>
      <c r="AG420" s="81" t="s">
        <v>2885</v>
      </c>
      <c r="AH420" s="81" t="s">
        <v>1173</v>
      </c>
      <c r="AI420" s="85"/>
    </row>
    <row r="421" spans="1:35" s="79" customFormat="1" ht="11.25" customHeight="1" x14ac:dyDescent="0.2">
      <c r="A421" s="77" t="s">
        <v>1934</v>
      </c>
      <c r="B421" s="80">
        <v>673</v>
      </c>
      <c r="C421" s="81" t="s">
        <v>1171</v>
      </c>
      <c r="D421" s="73">
        <v>2500</v>
      </c>
      <c r="E421" s="79" t="s">
        <v>65</v>
      </c>
      <c r="F421" s="79" t="s">
        <v>3725</v>
      </c>
      <c r="G421" s="79" t="s">
        <v>2996</v>
      </c>
      <c r="H421" s="79" t="s">
        <v>66</v>
      </c>
      <c r="I421" s="81"/>
      <c r="J421" s="81">
        <v>25</v>
      </c>
      <c r="K421" s="86"/>
      <c r="M421" s="78" t="s">
        <v>1171</v>
      </c>
      <c r="N421" s="82"/>
      <c r="O421" s="81" t="s">
        <v>2256</v>
      </c>
      <c r="P421" s="81" t="s">
        <v>2256</v>
      </c>
      <c r="Q421" s="81"/>
      <c r="R421" s="83">
        <v>500</v>
      </c>
      <c r="S421" s="79" t="s">
        <v>3484</v>
      </c>
      <c r="T421" s="84">
        <v>1250000</v>
      </c>
      <c r="U421" s="81"/>
      <c r="V421" s="81"/>
      <c r="W421" s="78" t="s">
        <v>1171</v>
      </c>
      <c r="X421" s="82"/>
      <c r="Y421" s="81" t="s">
        <v>2256</v>
      </c>
      <c r="Z421" s="81" t="s">
        <v>2256</v>
      </c>
      <c r="AA421" s="83">
        <v>2500</v>
      </c>
      <c r="AB421" s="85"/>
      <c r="AD421" s="78" t="s">
        <v>1171</v>
      </c>
      <c r="AE421" s="82"/>
      <c r="AF421" s="81" t="s">
        <v>2256</v>
      </c>
      <c r="AG421" s="81" t="s">
        <v>2256</v>
      </c>
      <c r="AH421" s="83">
        <v>3500</v>
      </c>
      <c r="AI421" s="85"/>
    </row>
    <row r="422" spans="1:35" s="79" customFormat="1" ht="11.25" customHeight="1" x14ac:dyDescent="0.2">
      <c r="A422" s="77" t="s">
        <v>1902</v>
      </c>
      <c r="B422" s="80">
        <v>389</v>
      </c>
      <c r="C422" s="81" t="s">
        <v>1901</v>
      </c>
      <c r="D422" s="73">
        <v>2500</v>
      </c>
      <c r="E422" s="79" t="s">
        <v>65</v>
      </c>
      <c r="F422" s="79" t="s">
        <v>3725</v>
      </c>
      <c r="G422" s="79" t="s">
        <v>2996</v>
      </c>
      <c r="H422" s="79" t="s">
        <v>66</v>
      </c>
      <c r="I422" s="81"/>
      <c r="J422" s="81">
        <v>25</v>
      </c>
      <c r="K422" s="86"/>
      <c r="M422" s="78" t="s">
        <v>1903</v>
      </c>
      <c r="N422" s="82" t="s">
        <v>1519</v>
      </c>
      <c r="O422" s="81" t="s">
        <v>2684</v>
      </c>
      <c r="P422" s="81" t="s">
        <v>2956</v>
      </c>
      <c r="Q422" s="81"/>
      <c r="R422" s="83" t="s">
        <v>3436</v>
      </c>
      <c r="S422" s="79" t="s">
        <v>3519</v>
      </c>
      <c r="T422" s="84" t="s">
        <v>3628</v>
      </c>
      <c r="U422" s="81"/>
      <c r="V422" s="81"/>
      <c r="W422" s="78" t="s">
        <v>1903</v>
      </c>
      <c r="X422" s="82" t="s">
        <v>1519</v>
      </c>
      <c r="Y422" s="81" t="s">
        <v>2684</v>
      </c>
      <c r="Z422" s="81" t="s">
        <v>2956</v>
      </c>
      <c r="AA422" s="81" t="s">
        <v>1608</v>
      </c>
      <c r="AB422" s="85"/>
      <c r="AD422" s="78" t="s">
        <v>1903</v>
      </c>
      <c r="AE422" s="82" t="s">
        <v>1519</v>
      </c>
      <c r="AF422" s="81" t="s">
        <v>2684</v>
      </c>
      <c r="AG422" s="81" t="s">
        <v>2956</v>
      </c>
      <c r="AH422" s="81" t="s">
        <v>1146</v>
      </c>
      <c r="AI422" s="85"/>
    </row>
    <row r="423" spans="1:35" s="79" customFormat="1" ht="11.25" customHeight="1" x14ac:dyDescent="0.2">
      <c r="A423" s="77" t="s">
        <v>1937</v>
      </c>
      <c r="B423" s="80">
        <v>887</v>
      </c>
      <c r="C423" s="81" t="s">
        <v>1903</v>
      </c>
      <c r="D423" s="73">
        <v>2500</v>
      </c>
      <c r="E423" s="79" t="s">
        <v>65</v>
      </c>
      <c r="F423" s="79" t="s">
        <v>3725</v>
      </c>
      <c r="G423" s="79" t="s">
        <v>2996</v>
      </c>
      <c r="H423" s="79" t="s">
        <v>66</v>
      </c>
      <c r="I423" s="81"/>
      <c r="J423" s="81">
        <v>25</v>
      </c>
      <c r="K423" s="86"/>
      <c r="M423" s="78" t="s">
        <v>1903</v>
      </c>
      <c r="N423" s="82"/>
      <c r="O423" s="81" t="s">
        <v>2256</v>
      </c>
      <c r="P423" s="81" t="s">
        <v>2256</v>
      </c>
      <c r="Q423" s="81"/>
      <c r="R423" s="83">
        <v>250</v>
      </c>
      <c r="S423" s="79" t="s">
        <v>3484</v>
      </c>
      <c r="T423" s="84">
        <v>625000</v>
      </c>
      <c r="U423" s="81"/>
      <c r="V423" s="81"/>
      <c r="W423" s="78" t="s">
        <v>1903</v>
      </c>
      <c r="X423" s="82"/>
      <c r="Y423" s="81" t="s">
        <v>2256</v>
      </c>
      <c r="Z423" s="81" t="s">
        <v>2256</v>
      </c>
      <c r="AA423" s="83">
        <v>1000</v>
      </c>
      <c r="AB423" s="85"/>
      <c r="AD423" s="78" t="s">
        <v>1903</v>
      </c>
      <c r="AE423" s="82"/>
      <c r="AF423" s="81" t="s">
        <v>2256</v>
      </c>
      <c r="AG423" s="81" t="s">
        <v>2256</v>
      </c>
      <c r="AH423" s="83">
        <v>1500</v>
      </c>
      <c r="AI423" s="85"/>
    </row>
    <row r="424" spans="1:35" s="79" customFormat="1" ht="11.25" customHeight="1" x14ac:dyDescent="0.2">
      <c r="A424" s="77" t="s">
        <v>1423</v>
      </c>
      <c r="B424" s="80">
        <v>634</v>
      </c>
      <c r="C424" s="81" t="s">
        <v>1050</v>
      </c>
      <c r="D424" s="73">
        <v>2500</v>
      </c>
      <c r="E424" s="79" t="s">
        <v>65</v>
      </c>
      <c r="F424" s="79" t="s">
        <v>3725</v>
      </c>
      <c r="G424" s="79" t="s">
        <v>2996</v>
      </c>
      <c r="H424" s="79" t="s">
        <v>66</v>
      </c>
      <c r="I424" s="81"/>
      <c r="J424" s="81">
        <v>175</v>
      </c>
      <c r="K424" s="86"/>
      <c r="M424" s="78" t="s">
        <v>1948</v>
      </c>
      <c r="N424" s="82"/>
      <c r="O424" s="81" t="s">
        <v>3715</v>
      </c>
      <c r="P424" s="81" t="s">
        <v>2256</v>
      </c>
      <c r="Q424" s="81"/>
      <c r="R424" s="83">
        <v>5000</v>
      </c>
      <c r="S424" s="79" t="s">
        <v>3718</v>
      </c>
      <c r="T424" s="84">
        <v>12500000</v>
      </c>
      <c r="U424" s="81"/>
      <c r="V424" s="81"/>
      <c r="W424" s="78" t="s">
        <v>1948</v>
      </c>
      <c r="X424" s="82"/>
      <c r="Y424" s="81" t="s">
        <v>3715</v>
      </c>
      <c r="Z424" s="81" t="s">
        <v>2256</v>
      </c>
      <c r="AA424" s="83">
        <v>10000</v>
      </c>
      <c r="AB424" s="85"/>
      <c r="AD424" s="78" t="s">
        <v>1948</v>
      </c>
      <c r="AE424" s="82"/>
      <c r="AF424" s="81" t="s">
        <v>3715</v>
      </c>
      <c r="AG424" s="81" t="s">
        <v>2256</v>
      </c>
      <c r="AH424" s="83">
        <v>10000</v>
      </c>
      <c r="AI424" s="85"/>
    </row>
    <row r="425" spans="1:35" s="79" customFormat="1" ht="11.25" customHeight="1" x14ac:dyDescent="0.2">
      <c r="A425" s="77" t="s">
        <v>2097</v>
      </c>
      <c r="B425" s="81" t="s">
        <v>2098</v>
      </c>
      <c r="C425" s="81" t="s">
        <v>2096</v>
      </c>
      <c r="D425" s="73">
        <v>2500</v>
      </c>
      <c r="E425" s="79" t="s">
        <v>65</v>
      </c>
      <c r="F425" s="79" t="s">
        <v>30</v>
      </c>
      <c r="G425" s="79" t="s">
        <v>3001</v>
      </c>
      <c r="H425" s="79" t="s">
        <v>66</v>
      </c>
      <c r="I425" s="81"/>
      <c r="J425" s="81">
        <v>175</v>
      </c>
      <c r="K425" s="86"/>
      <c r="M425" s="78" t="s">
        <v>1948</v>
      </c>
      <c r="N425" s="82"/>
      <c r="O425" s="81" t="s">
        <v>3716</v>
      </c>
      <c r="P425" s="81" t="s">
        <v>2256</v>
      </c>
      <c r="Q425" s="81"/>
      <c r="R425" s="83">
        <v>5000</v>
      </c>
      <c r="S425" s="79" t="s">
        <v>3718</v>
      </c>
      <c r="T425" s="84">
        <v>12500000</v>
      </c>
      <c r="U425" s="81"/>
      <c r="V425" s="81"/>
      <c r="W425" s="78" t="s">
        <v>1948</v>
      </c>
      <c r="X425" s="82"/>
      <c r="Y425" s="81" t="s">
        <v>3716</v>
      </c>
      <c r="Z425" s="81" t="s">
        <v>2256</v>
      </c>
      <c r="AA425" s="83">
        <v>10000</v>
      </c>
      <c r="AB425" s="85"/>
      <c r="AD425" s="78" t="s">
        <v>1948</v>
      </c>
      <c r="AE425" s="82"/>
      <c r="AF425" s="81" t="s">
        <v>3716</v>
      </c>
      <c r="AG425" s="81" t="s">
        <v>2256</v>
      </c>
      <c r="AH425" s="83">
        <v>10000</v>
      </c>
      <c r="AI425" s="85"/>
    </row>
    <row r="426" spans="1:35" s="79" customFormat="1" ht="11.25" customHeight="1" x14ac:dyDescent="0.2">
      <c r="A426" s="77" t="s">
        <v>1949</v>
      </c>
      <c r="B426" s="80">
        <v>1282</v>
      </c>
      <c r="C426" s="81" t="s">
        <v>1948</v>
      </c>
      <c r="D426" s="73">
        <v>2500</v>
      </c>
      <c r="E426" s="79" t="s">
        <v>65</v>
      </c>
      <c r="F426" s="79" t="s">
        <v>3725</v>
      </c>
      <c r="G426" s="79" t="s">
        <v>2996</v>
      </c>
      <c r="H426" s="79" t="s">
        <v>66</v>
      </c>
      <c r="I426" s="81"/>
      <c r="J426" s="81">
        <v>25</v>
      </c>
      <c r="K426" s="86"/>
      <c r="M426" s="78" t="s">
        <v>1948</v>
      </c>
      <c r="N426" s="82"/>
      <c r="O426" s="81" t="s">
        <v>2256</v>
      </c>
      <c r="P426" s="81" t="s">
        <v>2256</v>
      </c>
      <c r="Q426" s="81"/>
      <c r="R426" s="83">
        <v>5000</v>
      </c>
      <c r="S426" s="79" t="s">
        <v>2999</v>
      </c>
      <c r="T426" s="84">
        <v>12500000</v>
      </c>
      <c r="U426" s="81"/>
      <c r="V426" s="81"/>
      <c r="W426" s="78" t="s">
        <v>1948</v>
      </c>
      <c r="X426" s="82"/>
      <c r="Y426" s="81" t="s">
        <v>2256</v>
      </c>
      <c r="Z426" s="81" t="s">
        <v>2256</v>
      </c>
      <c r="AA426" s="83">
        <v>10000</v>
      </c>
      <c r="AB426" s="85"/>
      <c r="AD426" s="78" t="s">
        <v>1948</v>
      </c>
      <c r="AE426" s="82"/>
      <c r="AF426" s="81" t="s">
        <v>2256</v>
      </c>
      <c r="AG426" s="81" t="s">
        <v>2256</v>
      </c>
      <c r="AH426" s="83">
        <v>10000</v>
      </c>
      <c r="AI426" s="85"/>
    </row>
    <row r="427" spans="1:35" s="79" customFormat="1" ht="11.25" customHeight="1" x14ac:dyDescent="0.2">
      <c r="A427" s="77" t="s">
        <v>1161</v>
      </c>
      <c r="B427" s="80">
        <v>444</v>
      </c>
      <c r="C427" s="81" t="s">
        <v>1160</v>
      </c>
      <c r="D427" s="73">
        <v>2500</v>
      </c>
      <c r="E427" s="79" t="s">
        <v>65</v>
      </c>
      <c r="F427" s="79" t="s">
        <v>3725</v>
      </c>
      <c r="G427" s="79" t="s">
        <v>2996</v>
      </c>
      <c r="H427" s="79" t="s">
        <v>66</v>
      </c>
      <c r="I427" s="81"/>
      <c r="J427" s="81">
        <v>25</v>
      </c>
      <c r="K427" s="86"/>
      <c r="M427" s="78" t="s">
        <v>1163</v>
      </c>
      <c r="N427" s="82" t="s">
        <v>1164</v>
      </c>
      <c r="O427" s="81" t="s">
        <v>2512</v>
      </c>
      <c r="P427" s="81" t="s">
        <v>2884</v>
      </c>
      <c r="Q427" s="81"/>
      <c r="R427" s="83" t="s">
        <v>1162</v>
      </c>
      <c r="S427" s="79" t="s">
        <v>3500</v>
      </c>
      <c r="T427" s="84" t="s">
        <v>3604</v>
      </c>
      <c r="U427" s="81"/>
      <c r="V427" s="81"/>
      <c r="W427" s="78" t="s">
        <v>1163</v>
      </c>
      <c r="X427" s="82" t="s">
        <v>1164</v>
      </c>
      <c r="Y427" s="81" t="s">
        <v>2512</v>
      </c>
      <c r="Z427" s="81" t="s">
        <v>2884</v>
      </c>
      <c r="AA427" s="81" t="s">
        <v>1166</v>
      </c>
      <c r="AB427" s="85"/>
      <c r="AD427" s="78" t="s">
        <v>1163</v>
      </c>
      <c r="AE427" s="82" t="s">
        <v>1164</v>
      </c>
      <c r="AF427" s="81" t="s">
        <v>2512</v>
      </c>
      <c r="AG427" s="81" t="s">
        <v>2884</v>
      </c>
      <c r="AH427" s="81" t="s">
        <v>1165</v>
      </c>
      <c r="AI427" s="85"/>
    </row>
    <row r="428" spans="1:35" s="79" customFormat="1" ht="11.25" customHeight="1" x14ac:dyDescent="0.2">
      <c r="A428" s="77" t="s">
        <v>1965</v>
      </c>
      <c r="B428" s="80">
        <v>649</v>
      </c>
      <c r="C428" s="81" t="s">
        <v>1163</v>
      </c>
      <c r="D428" s="73">
        <v>2500</v>
      </c>
      <c r="E428" s="79" t="s">
        <v>65</v>
      </c>
      <c r="F428" s="79" t="s">
        <v>3725</v>
      </c>
      <c r="G428" s="79" t="s">
        <v>2996</v>
      </c>
      <c r="H428" s="79" t="s">
        <v>66</v>
      </c>
      <c r="I428" s="81"/>
      <c r="J428" s="81">
        <v>25</v>
      </c>
      <c r="K428" s="86"/>
      <c r="M428" s="78" t="s">
        <v>1163</v>
      </c>
      <c r="N428" s="82"/>
      <c r="O428" s="81" t="s">
        <v>2256</v>
      </c>
      <c r="P428" s="81" t="s">
        <v>2256</v>
      </c>
      <c r="Q428" s="81"/>
      <c r="R428" s="83">
        <v>900</v>
      </c>
      <c r="S428" s="79" t="s">
        <v>3484</v>
      </c>
      <c r="T428" s="84">
        <v>2250000</v>
      </c>
      <c r="U428" s="81"/>
      <c r="V428" s="81"/>
      <c r="W428" s="78" t="s">
        <v>1163</v>
      </c>
      <c r="X428" s="82"/>
      <c r="Y428" s="81" t="s">
        <v>2256</v>
      </c>
      <c r="Z428" s="81" t="s">
        <v>2256</v>
      </c>
      <c r="AA428" s="83">
        <v>4500</v>
      </c>
      <c r="AB428" s="85"/>
      <c r="AD428" s="78" t="s">
        <v>1163</v>
      </c>
      <c r="AE428" s="82"/>
      <c r="AF428" s="81" t="s">
        <v>2256</v>
      </c>
      <c r="AG428" s="81" t="s">
        <v>2256</v>
      </c>
      <c r="AH428" s="83">
        <v>6000</v>
      </c>
      <c r="AI428" s="85"/>
    </row>
    <row r="429" spans="1:35" s="79" customFormat="1" ht="11.25" customHeight="1" x14ac:dyDescent="0.2">
      <c r="A429" s="77" t="s">
        <v>1180</v>
      </c>
      <c r="B429" s="80">
        <v>443</v>
      </c>
      <c r="C429" s="81" t="s">
        <v>1179</v>
      </c>
      <c r="D429" s="73">
        <v>2500</v>
      </c>
      <c r="E429" s="79" t="s">
        <v>65</v>
      </c>
      <c r="F429" s="79" t="s">
        <v>3725</v>
      </c>
      <c r="G429" s="79" t="s">
        <v>2996</v>
      </c>
      <c r="H429" s="79" t="s">
        <v>66</v>
      </c>
      <c r="I429" s="81"/>
      <c r="J429" s="81">
        <v>25</v>
      </c>
      <c r="K429" s="86"/>
      <c r="M429" s="78" t="s">
        <v>1181</v>
      </c>
      <c r="N429" s="82" t="s">
        <v>1182</v>
      </c>
      <c r="O429" s="81" t="s">
        <v>2514</v>
      </c>
      <c r="P429" s="81" t="s">
        <v>2886</v>
      </c>
      <c r="Q429" s="81"/>
      <c r="R429" s="83" t="s">
        <v>67</v>
      </c>
      <c r="S429" s="79" t="s">
        <v>3502</v>
      </c>
      <c r="T429" s="84" t="s">
        <v>3415</v>
      </c>
      <c r="U429" s="81"/>
      <c r="V429" s="81"/>
      <c r="W429" s="78" t="s">
        <v>1181</v>
      </c>
      <c r="X429" s="82" t="s">
        <v>1182</v>
      </c>
      <c r="Y429" s="81" t="s">
        <v>2514</v>
      </c>
      <c r="Z429" s="81" t="s">
        <v>2886</v>
      </c>
      <c r="AA429" s="81" t="s">
        <v>1183</v>
      </c>
      <c r="AB429" s="85"/>
      <c r="AD429" s="78" t="s">
        <v>1181</v>
      </c>
      <c r="AE429" s="82" t="s">
        <v>1182</v>
      </c>
      <c r="AF429" s="81" t="s">
        <v>2514</v>
      </c>
      <c r="AG429" s="81" t="s">
        <v>2886</v>
      </c>
      <c r="AH429" s="81" t="s">
        <v>1129</v>
      </c>
      <c r="AI429" s="85"/>
    </row>
    <row r="430" spans="1:35" s="79" customFormat="1" ht="11.25" customHeight="1" x14ac:dyDescent="0.2">
      <c r="A430" s="77" t="s">
        <v>1966</v>
      </c>
      <c r="B430" s="80">
        <v>648</v>
      </c>
      <c r="C430" s="81" t="s">
        <v>1181</v>
      </c>
      <c r="D430" s="73">
        <v>2500</v>
      </c>
      <c r="E430" s="79" t="s">
        <v>65</v>
      </c>
      <c r="F430" s="79" t="s">
        <v>3725</v>
      </c>
      <c r="G430" s="79" t="s">
        <v>2996</v>
      </c>
      <c r="H430" s="79" t="s">
        <v>66</v>
      </c>
      <c r="I430" s="81"/>
      <c r="J430" s="81">
        <v>25</v>
      </c>
      <c r="K430" s="86"/>
      <c r="M430" s="78" t="s">
        <v>1181</v>
      </c>
      <c r="N430" s="82"/>
      <c r="O430" s="81" t="s">
        <v>2256</v>
      </c>
      <c r="P430" s="81" t="s">
        <v>2256</v>
      </c>
      <c r="Q430" s="81"/>
      <c r="R430" s="83">
        <v>500</v>
      </c>
      <c r="S430" s="79" t="s">
        <v>3484</v>
      </c>
      <c r="T430" s="84">
        <v>1250000</v>
      </c>
      <c r="U430" s="81"/>
      <c r="V430" s="81"/>
      <c r="W430" s="78" t="s">
        <v>1181</v>
      </c>
      <c r="X430" s="82"/>
      <c r="Y430" s="81" t="s">
        <v>2256</v>
      </c>
      <c r="Z430" s="81" t="s">
        <v>2256</v>
      </c>
      <c r="AA430" s="83">
        <v>2500</v>
      </c>
      <c r="AB430" s="85"/>
      <c r="AD430" s="78" t="s">
        <v>1181</v>
      </c>
      <c r="AE430" s="82"/>
      <c r="AF430" s="81" t="s">
        <v>2256</v>
      </c>
      <c r="AG430" s="81" t="s">
        <v>2256</v>
      </c>
      <c r="AH430" s="83">
        <v>3500</v>
      </c>
      <c r="AI430" s="85"/>
    </row>
    <row r="431" spans="1:35" s="79" customFormat="1" ht="11.25" customHeight="1" x14ac:dyDescent="0.2">
      <c r="A431" s="77" t="s">
        <v>201</v>
      </c>
      <c r="B431" s="80">
        <v>442</v>
      </c>
      <c r="C431" s="81" t="s">
        <v>200</v>
      </c>
      <c r="D431" s="73">
        <v>2500</v>
      </c>
      <c r="E431" s="79" t="s">
        <v>65</v>
      </c>
      <c r="F431" s="79" t="s">
        <v>3725</v>
      </c>
      <c r="G431" s="79" t="s">
        <v>2996</v>
      </c>
      <c r="H431" s="79" t="s">
        <v>66</v>
      </c>
      <c r="I431" s="81"/>
      <c r="J431" s="81">
        <v>25</v>
      </c>
      <c r="K431" s="86"/>
      <c r="M431" s="78" t="s">
        <v>203</v>
      </c>
      <c r="N431" s="82" t="s">
        <v>204</v>
      </c>
      <c r="O431" s="81" t="s">
        <v>2287</v>
      </c>
      <c r="P431" s="81" t="s">
        <v>2780</v>
      </c>
      <c r="Q431" s="81"/>
      <c r="R431" s="83" t="s">
        <v>202</v>
      </c>
      <c r="S431" s="79" t="s">
        <v>3490</v>
      </c>
      <c r="T431" s="84" t="s">
        <v>3614</v>
      </c>
      <c r="U431" s="81"/>
      <c r="V431" s="81"/>
      <c r="W431" s="78" t="s">
        <v>203</v>
      </c>
      <c r="X431" s="82" t="s">
        <v>204</v>
      </c>
      <c r="Y431" s="81" t="s">
        <v>2287</v>
      </c>
      <c r="Z431" s="81" t="s">
        <v>2780</v>
      </c>
      <c r="AA431" s="81" t="s">
        <v>206</v>
      </c>
      <c r="AB431" s="85"/>
      <c r="AD431" s="78" t="s">
        <v>203</v>
      </c>
      <c r="AE431" s="82" t="s">
        <v>204</v>
      </c>
      <c r="AF431" s="81" t="s">
        <v>2287</v>
      </c>
      <c r="AG431" s="81" t="s">
        <v>2780</v>
      </c>
      <c r="AH431" s="81" t="s">
        <v>205</v>
      </c>
      <c r="AI431" s="85"/>
    </row>
    <row r="432" spans="1:35" s="79" customFormat="1" ht="11.25" customHeight="1" x14ac:dyDescent="0.2">
      <c r="A432" s="77" t="s">
        <v>1967</v>
      </c>
      <c r="B432" s="80">
        <v>646</v>
      </c>
      <c r="C432" s="81" t="s">
        <v>203</v>
      </c>
      <c r="D432" s="73">
        <v>2500</v>
      </c>
      <c r="E432" s="79" t="s">
        <v>65</v>
      </c>
      <c r="F432" s="79" t="s">
        <v>3725</v>
      </c>
      <c r="G432" s="79" t="s">
        <v>2996</v>
      </c>
      <c r="H432" s="79" t="s">
        <v>66</v>
      </c>
      <c r="I432" s="81"/>
      <c r="J432" s="81">
        <v>25</v>
      </c>
      <c r="K432" s="86"/>
      <c r="M432" s="78" t="s">
        <v>203</v>
      </c>
      <c r="N432" s="82"/>
      <c r="O432" s="81" t="s">
        <v>2256</v>
      </c>
      <c r="P432" s="81" t="s">
        <v>2256</v>
      </c>
      <c r="Q432" s="81"/>
      <c r="R432" s="83">
        <v>100</v>
      </c>
      <c r="S432" s="79" t="s">
        <v>3484</v>
      </c>
      <c r="T432" s="84">
        <v>250000</v>
      </c>
      <c r="U432" s="81"/>
      <c r="V432" s="81"/>
      <c r="W432" s="78" t="s">
        <v>203</v>
      </c>
      <c r="X432" s="82"/>
      <c r="Y432" s="81" t="s">
        <v>2256</v>
      </c>
      <c r="Z432" s="81" t="s">
        <v>2256</v>
      </c>
      <c r="AA432" s="80">
        <v>500</v>
      </c>
      <c r="AB432" s="85"/>
      <c r="AD432" s="78" t="s">
        <v>203</v>
      </c>
      <c r="AE432" s="82"/>
      <c r="AF432" s="81" t="s">
        <v>2256</v>
      </c>
      <c r="AG432" s="81" t="s">
        <v>2256</v>
      </c>
      <c r="AH432" s="80">
        <v>750</v>
      </c>
      <c r="AI432" s="85"/>
    </row>
    <row r="433" spans="1:35" s="79" customFormat="1" ht="11.25" customHeight="1" x14ac:dyDescent="0.2">
      <c r="A433" s="77" t="s">
        <v>192</v>
      </c>
      <c r="B433" s="80">
        <v>441</v>
      </c>
      <c r="C433" s="81" t="s">
        <v>191</v>
      </c>
      <c r="D433" s="73">
        <v>2500</v>
      </c>
      <c r="E433" s="79" t="s">
        <v>65</v>
      </c>
      <c r="F433" s="79" t="s">
        <v>3725</v>
      </c>
      <c r="G433" s="79" t="s">
        <v>2996</v>
      </c>
      <c r="H433" s="79" t="s">
        <v>66</v>
      </c>
      <c r="I433" s="81"/>
      <c r="J433" s="81">
        <v>25</v>
      </c>
      <c r="K433" s="86"/>
      <c r="M433" s="78" t="s">
        <v>194</v>
      </c>
      <c r="N433" s="82" t="s">
        <v>195</v>
      </c>
      <c r="O433" s="81" t="s">
        <v>2285</v>
      </c>
      <c r="P433" s="81" t="s">
        <v>2779</v>
      </c>
      <c r="Q433" s="81"/>
      <c r="R433" s="83" t="s">
        <v>193</v>
      </c>
      <c r="S433" s="79" t="s">
        <v>3489</v>
      </c>
      <c r="T433" s="84" t="s">
        <v>3612</v>
      </c>
      <c r="U433" s="81"/>
      <c r="V433" s="81"/>
      <c r="W433" s="78" t="s">
        <v>194</v>
      </c>
      <c r="X433" s="82" t="s">
        <v>195</v>
      </c>
      <c r="Y433" s="81" t="s">
        <v>2285</v>
      </c>
      <c r="Z433" s="81" t="s">
        <v>2779</v>
      </c>
      <c r="AA433" s="81" t="s">
        <v>197</v>
      </c>
      <c r="AB433" s="85"/>
      <c r="AD433" s="78" t="s">
        <v>194</v>
      </c>
      <c r="AE433" s="82" t="s">
        <v>195</v>
      </c>
      <c r="AF433" s="81" t="s">
        <v>2285</v>
      </c>
      <c r="AG433" s="81" t="s">
        <v>2779</v>
      </c>
      <c r="AH433" s="81" t="s">
        <v>196</v>
      </c>
      <c r="AI433" s="85"/>
    </row>
    <row r="434" spans="1:35" s="79" customFormat="1" ht="11.25" customHeight="1" x14ac:dyDescent="0.2">
      <c r="A434" s="77" t="s">
        <v>1968</v>
      </c>
      <c r="B434" s="80">
        <v>463</v>
      </c>
      <c r="C434" s="81" t="s">
        <v>194</v>
      </c>
      <c r="D434" s="73">
        <v>2500</v>
      </c>
      <c r="E434" s="79" t="s">
        <v>65</v>
      </c>
      <c r="F434" s="79" t="s">
        <v>3725</v>
      </c>
      <c r="G434" s="79" t="s">
        <v>2996</v>
      </c>
      <c r="H434" s="79" t="s">
        <v>66</v>
      </c>
      <c r="I434" s="81"/>
      <c r="J434" s="81">
        <v>25</v>
      </c>
      <c r="K434" s="86"/>
      <c r="M434" s="78" t="s">
        <v>194</v>
      </c>
      <c r="N434" s="82"/>
      <c r="O434" s="81" t="s">
        <v>2256</v>
      </c>
      <c r="P434" s="81" t="s">
        <v>2256</v>
      </c>
      <c r="Q434" s="81"/>
      <c r="R434" s="83">
        <v>50</v>
      </c>
      <c r="S434" s="79" t="s">
        <v>3484</v>
      </c>
      <c r="T434" s="84">
        <v>125000</v>
      </c>
      <c r="U434" s="81"/>
      <c r="V434" s="81"/>
      <c r="W434" s="78" t="s">
        <v>194</v>
      </c>
      <c r="X434" s="82"/>
      <c r="Y434" s="81" t="s">
        <v>2256</v>
      </c>
      <c r="Z434" s="81" t="s">
        <v>2256</v>
      </c>
      <c r="AA434" s="80">
        <v>500</v>
      </c>
      <c r="AB434" s="85"/>
      <c r="AD434" s="78" t="s">
        <v>194</v>
      </c>
      <c r="AE434" s="82"/>
      <c r="AF434" s="81" t="s">
        <v>2256</v>
      </c>
      <c r="AG434" s="81" t="s">
        <v>2256</v>
      </c>
      <c r="AH434" s="80">
        <v>750</v>
      </c>
      <c r="AI434" s="85"/>
    </row>
    <row r="435" spans="1:35" s="79" customFormat="1" ht="11.25" customHeight="1" x14ac:dyDescent="0.2">
      <c r="A435" s="77" t="s">
        <v>185</v>
      </c>
      <c r="B435" s="80">
        <v>440</v>
      </c>
      <c r="C435" s="81" t="s">
        <v>184</v>
      </c>
      <c r="D435" s="73">
        <v>2500</v>
      </c>
      <c r="E435" s="79" t="s">
        <v>65</v>
      </c>
      <c r="F435" s="79" t="s">
        <v>3725</v>
      </c>
      <c r="G435" s="79" t="s">
        <v>2996</v>
      </c>
      <c r="H435" s="79" t="s">
        <v>66</v>
      </c>
      <c r="I435" s="81"/>
      <c r="J435" s="81">
        <v>25</v>
      </c>
      <c r="K435" s="86"/>
      <c r="M435" s="78" t="s">
        <v>187</v>
      </c>
      <c r="N435" s="82" t="s">
        <v>188</v>
      </c>
      <c r="O435" s="81" t="s">
        <v>2284</v>
      </c>
      <c r="P435" s="81" t="s">
        <v>2778</v>
      </c>
      <c r="Q435" s="81"/>
      <c r="R435" s="83" t="s">
        <v>186</v>
      </c>
      <c r="S435" s="79" t="s">
        <v>3488</v>
      </c>
      <c r="T435" s="84" t="s">
        <v>3613</v>
      </c>
      <c r="U435" s="81"/>
      <c r="V435" s="81"/>
      <c r="W435" s="78" t="s">
        <v>187</v>
      </c>
      <c r="X435" s="82" t="s">
        <v>188</v>
      </c>
      <c r="Y435" s="81" t="s">
        <v>2284</v>
      </c>
      <c r="Z435" s="81" t="s">
        <v>2778</v>
      </c>
      <c r="AA435" s="81" t="s">
        <v>190</v>
      </c>
      <c r="AB435" s="85"/>
      <c r="AD435" s="78" t="s">
        <v>187</v>
      </c>
      <c r="AE435" s="82" t="s">
        <v>188</v>
      </c>
      <c r="AF435" s="81" t="s">
        <v>2284</v>
      </c>
      <c r="AG435" s="81" t="s">
        <v>2778</v>
      </c>
      <c r="AH435" s="81" t="s">
        <v>189</v>
      </c>
      <c r="AI435" s="85"/>
    </row>
    <row r="436" spans="1:35" s="79" customFormat="1" ht="11.25" customHeight="1" x14ac:dyDescent="0.2">
      <c r="A436" s="77" t="s">
        <v>1974</v>
      </c>
      <c r="B436" s="80">
        <v>462</v>
      </c>
      <c r="C436" s="81" t="s">
        <v>187</v>
      </c>
      <c r="D436" s="73">
        <v>2500</v>
      </c>
      <c r="E436" s="79" t="s">
        <v>65</v>
      </c>
      <c r="F436" s="79" t="s">
        <v>3725</v>
      </c>
      <c r="G436" s="79" t="s">
        <v>2996</v>
      </c>
      <c r="H436" s="79" t="s">
        <v>66</v>
      </c>
      <c r="I436" s="81"/>
      <c r="J436" s="81">
        <v>25</v>
      </c>
      <c r="K436" s="86"/>
      <c r="M436" s="78" t="s">
        <v>187</v>
      </c>
      <c r="N436" s="82"/>
      <c r="O436" s="81" t="s">
        <v>2256</v>
      </c>
      <c r="P436" s="81" t="s">
        <v>2256</v>
      </c>
      <c r="Q436" s="81"/>
      <c r="R436" s="83">
        <v>500</v>
      </c>
      <c r="S436" s="79" t="s">
        <v>3484</v>
      </c>
      <c r="T436" s="84">
        <v>1250000</v>
      </c>
      <c r="U436" s="81"/>
      <c r="V436" s="81"/>
      <c r="W436" s="78" t="s">
        <v>187</v>
      </c>
      <c r="X436" s="82"/>
      <c r="Y436" s="81" t="s">
        <v>2256</v>
      </c>
      <c r="Z436" s="81" t="s">
        <v>2256</v>
      </c>
      <c r="AA436" s="83">
        <v>2500</v>
      </c>
      <c r="AB436" s="85"/>
      <c r="AD436" s="78" t="s">
        <v>187</v>
      </c>
      <c r="AE436" s="82"/>
      <c r="AF436" s="81" t="s">
        <v>2256</v>
      </c>
      <c r="AG436" s="81" t="s">
        <v>2256</v>
      </c>
      <c r="AH436" s="83">
        <v>3500</v>
      </c>
      <c r="AI436" s="85"/>
    </row>
    <row r="437" spans="1:35" s="79" customFormat="1" ht="11.25" customHeight="1" x14ac:dyDescent="0.2">
      <c r="A437" s="77" t="s">
        <v>1541</v>
      </c>
      <c r="B437" s="80">
        <v>525</v>
      </c>
      <c r="C437" s="81" t="s">
        <v>1038</v>
      </c>
      <c r="D437" s="73">
        <v>2500</v>
      </c>
      <c r="E437" s="79" t="s">
        <v>65</v>
      </c>
      <c r="F437" s="79" t="s">
        <v>3725</v>
      </c>
      <c r="G437" s="79" t="s">
        <v>2996</v>
      </c>
      <c r="H437" s="79" t="s">
        <v>66</v>
      </c>
      <c r="I437" s="81"/>
      <c r="J437" s="81">
        <v>175</v>
      </c>
      <c r="K437" s="86"/>
      <c r="M437" s="78" t="s">
        <v>1980</v>
      </c>
      <c r="N437" s="82"/>
      <c r="O437" s="81" t="s">
        <v>3702</v>
      </c>
      <c r="P437" s="81" t="s">
        <v>2256</v>
      </c>
      <c r="Q437" s="81"/>
      <c r="R437" s="83">
        <v>2000</v>
      </c>
      <c r="S437" s="79" t="s">
        <v>3703</v>
      </c>
      <c r="T437" s="84">
        <v>5000000</v>
      </c>
      <c r="U437" s="81"/>
      <c r="V437" s="81"/>
      <c r="W437" s="78" t="s">
        <v>1980</v>
      </c>
      <c r="X437" s="82"/>
      <c r="Y437" s="81" t="s">
        <v>3702</v>
      </c>
      <c r="Z437" s="81" t="s">
        <v>2256</v>
      </c>
      <c r="AA437" s="83">
        <v>10000</v>
      </c>
      <c r="AB437" s="85"/>
      <c r="AD437" s="78" t="s">
        <v>1980</v>
      </c>
      <c r="AE437" s="82"/>
      <c r="AF437" s="81" t="s">
        <v>3702</v>
      </c>
      <c r="AG437" s="81" t="s">
        <v>2256</v>
      </c>
      <c r="AH437" s="83">
        <v>10000</v>
      </c>
      <c r="AI437" s="85"/>
    </row>
    <row r="438" spans="1:35" s="79" customFormat="1" ht="11.25" customHeight="1" x14ac:dyDescent="0.2">
      <c r="A438" s="77" t="s">
        <v>2086</v>
      </c>
      <c r="B438" s="81" t="s">
        <v>2087</v>
      </c>
      <c r="C438" s="81" t="s">
        <v>2085</v>
      </c>
      <c r="D438" s="73">
        <v>2500</v>
      </c>
      <c r="E438" s="79" t="s">
        <v>65</v>
      </c>
      <c r="F438" s="79" t="s">
        <v>30</v>
      </c>
      <c r="G438" s="79" t="s">
        <v>3001</v>
      </c>
      <c r="H438" s="79" t="s">
        <v>66</v>
      </c>
      <c r="I438" s="81"/>
      <c r="J438" s="81">
        <v>175</v>
      </c>
      <c r="K438" s="86"/>
      <c r="M438" s="78" t="s">
        <v>1980</v>
      </c>
      <c r="N438" s="82"/>
      <c r="O438" s="81" t="s">
        <v>3700</v>
      </c>
      <c r="P438" s="81" t="s">
        <v>2256</v>
      </c>
      <c r="Q438" s="81"/>
      <c r="R438" s="83">
        <v>2000</v>
      </c>
      <c r="S438" s="79" t="s">
        <v>3703</v>
      </c>
      <c r="T438" s="84">
        <v>5000000</v>
      </c>
      <c r="U438" s="81"/>
      <c r="V438" s="81"/>
      <c r="W438" s="78" t="s">
        <v>1980</v>
      </c>
      <c r="X438" s="82"/>
      <c r="Y438" s="81" t="s">
        <v>3700</v>
      </c>
      <c r="Z438" s="81" t="s">
        <v>2256</v>
      </c>
      <c r="AA438" s="83">
        <v>10000</v>
      </c>
      <c r="AB438" s="85"/>
      <c r="AD438" s="78" t="s">
        <v>1980</v>
      </c>
      <c r="AE438" s="82"/>
      <c r="AF438" s="81" t="s">
        <v>3700</v>
      </c>
      <c r="AG438" s="81" t="s">
        <v>2256</v>
      </c>
      <c r="AH438" s="83">
        <v>10000</v>
      </c>
      <c r="AI438" s="85"/>
    </row>
    <row r="439" spans="1:35" s="79" customFormat="1" ht="11.25" customHeight="1" x14ac:dyDescent="0.2">
      <c r="A439" s="77" t="s">
        <v>1981</v>
      </c>
      <c r="B439" s="80">
        <v>1281</v>
      </c>
      <c r="C439" s="81" t="s">
        <v>1980</v>
      </c>
      <c r="D439" s="73">
        <v>2500</v>
      </c>
      <c r="E439" s="79" t="s">
        <v>65</v>
      </c>
      <c r="F439" s="79" t="s">
        <v>3725</v>
      </c>
      <c r="G439" s="79" t="s">
        <v>2996</v>
      </c>
      <c r="H439" s="79" t="s">
        <v>66</v>
      </c>
      <c r="I439" s="81"/>
      <c r="J439" s="81">
        <v>25</v>
      </c>
      <c r="K439" s="86"/>
      <c r="M439" s="78" t="s">
        <v>1980</v>
      </c>
      <c r="N439" s="82"/>
      <c r="O439" s="81" t="s">
        <v>2256</v>
      </c>
      <c r="P439" s="81" t="s">
        <v>2256</v>
      </c>
      <c r="Q439" s="81"/>
      <c r="R439" s="83">
        <v>2000</v>
      </c>
      <c r="S439" s="79" t="s">
        <v>2999</v>
      </c>
      <c r="T439" s="84">
        <v>5000000</v>
      </c>
      <c r="U439" s="81"/>
      <c r="V439" s="81"/>
      <c r="W439" s="78" t="s">
        <v>1980</v>
      </c>
      <c r="X439" s="82"/>
      <c r="Y439" s="81" t="s">
        <v>2256</v>
      </c>
      <c r="Z439" s="81" t="s">
        <v>2256</v>
      </c>
      <c r="AA439" s="83">
        <v>10000</v>
      </c>
      <c r="AB439" s="85"/>
      <c r="AD439" s="78" t="s">
        <v>1980</v>
      </c>
      <c r="AE439" s="82"/>
      <c r="AF439" s="81" t="s">
        <v>2256</v>
      </c>
      <c r="AG439" s="81" t="s">
        <v>2256</v>
      </c>
      <c r="AH439" s="83">
        <v>10000</v>
      </c>
      <c r="AI439" s="85"/>
    </row>
    <row r="440" spans="1:35" s="79" customFormat="1" ht="11.25" customHeight="1" x14ac:dyDescent="0.2">
      <c r="A440" s="77" t="s">
        <v>1394</v>
      </c>
      <c r="B440" s="80">
        <v>518</v>
      </c>
      <c r="C440" s="81" t="s">
        <v>1014</v>
      </c>
      <c r="D440" s="73">
        <v>2500</v>
      </c>
      <c r="E440" s="79" t="s">
        <v>65</v>
      </c>
      <c r="F440" s="79" t="s">
        <v>3725</v>
      </c>
      <c r="G440" s="79" t="s">
        <v>2996</v>
      </c>
      <c r="H440" s="79" t="s">
        <v>66</v>
      </c>
      <c r="I440" s="81"/>
      <c r="J440" s="81">
        <v>25</v>
      </c>
      <c r="K440" s="86"/>
      <c r="M440" s="78" t="s">
        <v>1982</v>
      </c>
      <c r="N440" s="82"/>
      <c r="O440" s="81" t="s">
        <v>3678</v>
      </c>
      <c r="P440" s="81" t="s">
        <v>2256</v>
      </c>
      <c r="Q440" s="81"/>
      <c r="R440" s="83">
        <v>7500</v>
      </c>
      <c r="S440" s="79" t="s">
        <v>3681</v>
      </c>
      <c r="T440" s="84">
        <v>18750000</v>
      </c>
      <c r="U440" s="81"/>
      <c r="V440" s="81"/>
      <c r="W440" s="78" t="s">
        <v>1982</v>
      </c>
      <c r="X440" s="82"/>
      <c r="Y440" s="81" t="s">
        <v>3678</v>
      </c>
      <c r="Z440" s="81" t="s">
        <v>2256</v>
      </c>
      <c r="AA440" s="83">
        <v>10000</v>
      </c>
      <c r="AB440" s="85"/>
      <c r="AD440" s="78" t="s">
        <v>1982</v>
      </c>
      <c r="AE440" s="82"/>
      <c r="AF440" s="81" t="s">
        <v>3678</v>
      </c>
      <c r="AG440" s="81" t="s">
        <v>2256</v>
      </c>
      <c r="AH440" s="83">
        <v>10000</v>
      </c>
      <c r="AI440" s="85"/>
    </row>
    <row r="441" spans="1:35" s="79" customFormat="1" ht="11.25" customHeight="1" x14ac:dyDescent="0.2">
      <c r="A441" s="77" t="s">
        <v>2074</v>
      </c>
      <c r="B441" s="81" t="s">
        <v>2075</v>
      </c>
      <c r="C441" s="81" t="s">
        <v>2073</v>
      </c>
      <c r="D441" s="73">
        <v>2500</v>
      </c>
      <c r="E441" s="79" t="s">
        <v>65</v>
      </c>
      <c r="F441" s="79" t="s">
        <v>30</v>
      </c>
      <c r="G441" s="79" t="s">
        <v>3001</v>
      </c>
      <c r="H441" s="79" t="s">
        <v>66</v>
      </c>
      <c r="I441" s="81"/>
      <c r="J441" s="81">
        <v>25</v>
      </c>
      <c r="K441" s="86"/>
      <c r="M441" s="78" t="s">
        <v>1982</v>
      </c>
      <c r="N441" s="82"/>
      <c r="O441" s="81" t="s">
        <v>3679</v>
      </c>
      <c r="P441" s="81" t="s">
        <v>2256</v>
      </c>
      <c r="Q441" s="81"/>
      <c r="R441" s="83">
        <v>7500</v>
      </c>
      <c r="S441" s="79" t="s">
        <v>3681</v>
      </c>
      <c r="T441" s="84">
        <v>18750000</v>
      </c>
      <c r="U441" s="81"/>
      <c r="V441" s="81"/>
      <c r="W441" s="78" t="s">
        <v>1982</v>
      </c>
      <c r="X441" s="82"/>
      <c r="Y441" s="81" t="s">
        <v>3679</v>
      </c>
      <c r="Z441" s="81" t="s">
        <v>2256</v>
      </c>
      <c r="AA441" s="83">
        <v>10000</v>
      </c>
      <c r="AB441" s="85"/>
      <c r="AD441" s="78" t="s">
        <v>1982</v>
      </c>
      <c r="AE441" s="82"/>
      <c r="AF441" s="81" t="s">
        <v>3679</v>
      </c>
      <c r="AG441" s="81" t="s">
        <v>2256</v>
      </c>
      <c r="AH441" s="83">
        <v>10000</v>
      </c>
      <c r="AI441" s="85"/>
    </row>
    <row r="442" spans="1:35" s="79" customFormat="1" ht="11.25" customHeight="1" x14ac:dyDescent="0.2">
      <c r="A442" s="77" t="s">
        <v>1983</v>
      </c>
      <c r="B442" s="80">
        <v>1283</v>
      </c>
      <c r="C442" s="81" t="s">
        <v>1982</v>
      </c>
      <c r="D442" s="73">
        <v>2500</v>
      </c>
      <c r="E442" s="79" t="s">
        <v>65</v>
      </c>
      <c r="F442" s="79" t="s">
        <v>3725</v>
      </c>
      <c r="G442" s="79" t="s">
        <v>2996</v>
      </c>
      <c r="H442" s="79" t="s">
        <v>66</v>
      </c>
      <c r="I442" s="81"/>
      <c r="J442" s="81">
        <v>25</v>
      </c>
      <c r="K442" s="86"/>
      <c r="M442" s="78" t="s">
        <v>1982</v>
      </c>
      <c r="N442" s="82"/>
      <c r="O442" s="81" t="s">
        <v>2256</v>
      </c>
      <c r="P442" s="81" t="s">
        <v>2256</v>
      </c>
      <c r="Q442" s="81"/>
      <c r="R442" s="83">
        <v>7500</v>
      </c>
      <c r="S442" s="79" t="s">
        <v>2999</v>
      </c>
      <c r="T442" s="84">
        <v>18750000</v>
      </c>
      <c r="U442" s="81"/>
      <c r="V442" s="81"/>
      <c r="W442" s="78" t="s">
        <v>1982</v>
      </c>
      <c r="X442" s="82"/>
      <c r="Y442" s="81" t="s">
        <v>2256</v>
      </c>
      <c r="Z442" s="81" t="s">
        <v>2256</v>
      </c>
      <c r="AA442" s="83">
        <v>10000</v>
      </c>
      <c r="AB442" s="85"/>
      <c r="AD442" s="78" t="s">
        <v>1982</v>
      </c>
      <c r="AE442" s="82"/>
      <c r="AF442" s="81" t="s">
        <v>2256</v>
      </c>
      <c r="AG442" s="81" t="s">
        <v>2256</v>
      </c>
      <c r="AH442" s="83">
        <v>10000</v>
      </c>
      <c r="AI442" s="85"/>
    </row>
    <row r="443" spans="1:35" s="79" customFormat="1" ht="11.25" customHeight="1" x14ac:dyDescent="0.2">
      <c r="A443" s="77" t="s">
        <v>1985</v>
      </c>
      <c r="B443" s="80">
        <v>507</v>
      </c>
      <c r="C443" s="81" t="s">
        <v>1984</v>
      </c>
      <c r="D443" s="73">
        <v>2500</v>
      </c>
      <c r="E443" s="79" t="s">
        <v>65</v>
      </c>
      <c r="F443" s="79" t="s">
        <v>3725</v>
      </c>
      <c r="G443" s="79" t="s">
        <v>2996</v>
      </c>
      <c r="H443" s="79" t="s">
        <v>66</v>
      </c>
      <c r="I443" s="81"/>
      <c r="J443" s="81">
        <v>25</v>
      </c>
      <c r="K443" s="86"/>
      <c r="M443" s="78" t="s">
        <v>1984</v>
      </c>
      <c r="N443" s="82"/>
      <c r="O443" s="81" t="s">
        <v>2256</v>
      </c>
      <c r="P443" s="81" t="s">
        <v>2256</v>
      </c>
      <c r="Q443" s="81"/>
      <c r="R443" s="83">
        <v>2000</v>
      </c>
      <c r="S443" s="79" t="s">
        <v>2999</v>
      </c>
      <c r="T443" s="84">
        <v>5000000</v>
      </c>
      <c r="U443" s="81"/>
      <c r="V443" s="81"/>
      <c r="W443" s="78" t="s">
        <v>1984</v>
      </c>
      <c r="X443" s="82"/>
      <c r="Y443" s="81" t="s">
        <v>2256</v>
      </c>
      <c r="Z443" s="81" t="s">
        <v>2256</v>
      </c>
      <c r="AA443" s="83">
        <v>10000</v>
      </c>
      <c r="AB443" s="85"/>
      <c r="AD443" s="78" t="s">
        <v>1984</v>
      </c>
      <c r="AE443" s="82"/>
      <c r="AF443" s="81" t="s">
        <v>2256</v>
      </c>
      <c r="AG443" s="81" t="s">
        <v>2256</v>
      </c>
      <c r="AH443" s="83">
        <v>10000</v>
      </c>
      <c r="AI443" s="85"/>
    </row>
    <row r="444" spans="1:35" s="79" customFormat="1" ht="11.25" customHeight="1" x14ac:dyDescent="0.2">
      <c r="A444" s="77" t="s">
        <v>1412</v>
      </c>
      <c r="B444" s="80">
        <v>524</v>
      </c>
      <c r="C444" s="81" t="s">
        <v>1022</v>
      </c>
      <c r="D444" s="73">
        <v>2500</v>
      </c>
      <c r="E444" s="79" t="s">
        <v>65</v>
      </c>
      <c r="F444" s="79" t="s">
        <v>3725</v>
      </c>
      <c r="G444" s="79" t="s">
        <v>2996</v>
      </c>
      <c r="H444" s="79" t="s">
        <v>66</v>
      </c>
      <c r="I444" s="81"/>
      <c r="J444" s="81">
        <v>25</v>
      </c>
      <c r="K444" s="86"/>
      <c r="M444" s="78" t="s">
        <v>1986</v>
      </c>
      <c r="N444" s="82"/>
      <c r="O444" s="81" t="s">
        <v>3695</v>
      </c>
      <c r="P444" s="81" t="s">
        <v>2256</v>
      </c>
      <c r="Q444" s="81"/>
      <c r="R444" s="83">
        <v>7500</v>
      </c>
      <c r="S444" s="79" t="s">
        <v>3698</v>
      </c>
      <c r="T444" s="84">
        <v>18750000</v>
      </c>
      <c r="U444" s="81"/>
      <c r="V444" s="81"/>
      <c r="W444" s="78" t="s">
        <v>1986</v>
      </c>
      <c r="X444" s="82"/>
      <c r="Y444" s="81" t="s">
        <v>3695</v>
      </c>
      <c r="Z444" s="81" t="s">
        <v>2256</v>
      </c>
      <c r="AA444" s="83">
        <v>10000</v>
      </c>
      <c r="AB444" s="85"/>
      <c r="AD444" s="78" t="s">
        <v>1986</v>
      </c>
      <c r="AE444" s="82"/>
      <c r="AF444" s="81" t="s">
        <v>3695</v>
      </c>
      <c r="AG444" s="81" t="s">
        <v>2256</v>
      </c>
      <c r="AH444" s="83">
        <v>10000</v>
      </c>
      <c r="AI444" s="85"/>
    </row>
    <row r="445" spans="1:35" s="79" customFormat="1" ht="11.25" customHeight="1" x14ac:dyDescent="0.2">
      <c r="A445" s="77" t="s">
        <v>2083</v>
      </c>
      <c r="B445" s="81" t="s">
        <v>2084</v>
      </c>
      <c r="C445" s="81" t="s">
        <v>2082</v>
      </c>
      <c r="D445" s="73">
        <v>2500</v>
      </c>
      <c r="E445" s="79" t="s">
        <v>65</v>
      </c>
      <c r="F445" s="79" t="s">
        <v>30</v>
      </c>
      <c r="G445" s="79" t="s">
        <v>3001</v>
      </c>
      <c r="H445" s="79" t="s">
        <v>66</v>
      </c>
      <c r="I445" s="81"/>
      <c r="J445" s="81">
        <v>25</v>
      </c>
      <c r="K445" s="86"/>
      <c r="M445" s="78" t="s">
        <v>1986</v>
      </c>
      <c r="N445" s="82"/>
      <c r="O445" s="81" t="s">
        <v>3696</v>
      </c>
      <c r="P445" s="81" t="s">
        <v>2256</v>
      </c>
      <c r="Q445" s="81"/>
      <c r="R445" s="83">
        <v>7500</v>
      </c>
      <c r="S445" s="79" t="s">
        <v>3698</v>
      </c>
      <c r="T445" s="84">
        <v>18750000</v>
      </c>
      <c r="U445" s="81"/>
      <c r="V445" s="81"/>
      <c r="W445" s="78" t="s">
        <v>1986</v>
      </c>
      <c r="X445" s="82"/>
      <c r="Y445" s="81" t="s">
        <v>3696</v>
      </c>
      <c r="Z445" s="81" t="s">
        <v>2256</v>
      </c>
      <c r="AA445" s="83">
        <v>10000</v>
      </c>
      <c r="AB445" s="85"/>
      <c r="AD445" s="78" t="s">
        <v>1986</v>
      </c>
      <c r="AE445" s="82"/>
      <c r="AF445" s="81" t="s">
        <v>3696</v>
      </c>
      <c r="AG445" s="81" t="s">
        <v>2256</v>
      </c>
      <c r="AH445" s="83">
        <v>10000</v>
      </c>
      <c r="AI445" s="85"/>
    </row>
    <row r="446" spans="1:35" s="79" customFormat="1" ht="11.25" customHeight="1" x14ac:dyDescent="0.2">
      <c r="A446" s="77" t="s">
        <v>1987</v>
      </c>
      <c r="B446" s="80">
        <v>1280</v>
      </c>
      <c r="C446" s="81" t="s">
        <v>1986</v>
      </c>
      <c r="D446" s="73">
        <v>2500</v>
      </c>
      <c r="E446" s="79" t="s">
        <v>65</v>
      </c>
      <c r="F446" s="79" t="s">
        <v>3725</v>
      </c>
      <c r="G446" s="79" t="s">
        <v>2996</v>
      </c>
      <c r="H446" s="79" t="s">
        <v>66</v>
      </c>
      <c r="I446" s="81"/>
      <c r="J446" s="81">
        <v>25</v>
      </c>
      <c r="K446" s="86"/>
      <c r="M446" s="78" t="s">
        <v>1986</v>
      </c>
      <c r="N446" s="82"/>
      <c r="O446" s="81" t="s">
        <v>2256</v>
      </c>
      <c r="P446" s="81" t="s">
        <v>2256</v>
      </c>
      <c r="Q446" s="81"/>
      <c r="R446" s="83">
        <v>7500</v>
      </c>
      <c r="S446" s="79" t="s">
        <v>2999</v>
      </c>
      <c r="T446" s="84">
        <v>18750000</v>
      </c>
      <c r="U446" s="81"/>
      <c r="V446" s="81"/>
      <c r="W446" s="78" t="s">
        <v>1986</v>
      </c>
      <c r="X446" s="82"/>
      <c r="Y446" s="81" t="s">
        <v>2256</v>
      </c>
      <c r="Z446" s="81" t="s">
        <v>2256</v>
      </c>
      <c r="AA446" s="83">
        <v>10000</v>
      </c>
      <c r="AB446" s="85"/>
      <c r="AD446" s="78" t="s">
        <v>1986</v>
      </c>
      <c r="AE446" s="82"/>
      <c r="AF446" s="81" t="s">
        <v>2256</v>
      </c>
      <c r="AG446" s="81" t="s">
        <v>2256</v>
      </c>
      <c r="AH446" s="83">
        <v>10000</v>
      </c>
      <c r="AI446" s="85"/>
    </row>
    <row r="447" spans="1:35" s="79" customFormat="1" ht="11.25" customHeight="1" x14ac:dyDescent="0.2">
      <c r="A447" s="77" t="s">
        <v>1396</v>
      </c>
      <c r="B447" s="80">
        <v>519</v>
      </c>
      <c r="C447" s="81" t="s">
        <v>1000</v>
      </c>
      <c r="D447" s="73">
        <v>2500</v>
      </c>
      <c r="E447" s="79" t="s">
        <v>65</v>
      </c>
      <c r="F447" s="79" t="s">
        <v>3725</v>
      </c>
      <c r="G447" s="79" t="s">
        <v>2996</v>
      </c>
      <c r="H447" s="79" t="s">
        <v>66</v>
      </c>
      <c r="I447" s="81"/>
      <c r="J447" s="81">
        <v>25</v>
      </c>
      <c r="K447" s="86"/>
      <c r="M447" s="78" t="s">
        <v>1988</v>
      </c>
      <c r="N447" s="82"/>
      <c r="O447" s="81" t="s">
        <v>3684</v>
      </c>
      <c r="P447" s="81" t="s">
        <v>2256</v>
      </c>
      <c r="Q447" s="81"/>
      <c r="R447" s="83">
        <v>2000</v>
      </c>
      <c r="S447" s="79" t="s">
        <v>3720</v>
      </c>
      <c r="T447" s="84">
        <v>5000000</v>
      </c>
      <c r="U447" s="81"/>
      <c r="V447" s="81"/>
      <c r="W447" s="78" t="s">
        <v>1988</v>
      </c>
      <c r="X447" s="82"/>
      <c r="Y447" s="81" t="s">
        <v>3684</v>
      </c>
      <c r="Z447" s="81" t="s">
        <v>2256</v>
      </c>
      <c r="AA447" s="83">
        <v>10000</v>
      </c>
      <c r="AB447" s="85"/>
      <c r="AD447" s="78" t="s">
        <v>1988</v>
      </c>
      <c r="AE447" s="82"/>
      <c r="AF447" s="81" t="s">
        <v>3684</v>
      </c>
      <c r="AG447" s="81" t="s">
        <v>2256</v>
      </c>
      <c r="AH447" s="83">
        <v>10000</v>
      </c>
      <c r="AI447" s="85"/>
    </row>
    <row r="448" spans="1:35" s="79" customFormat="1" ht="11.25" customHeight="1" x14ac:dyDescent="0.2">
      <c r="A448" s="77" t="s">
        <v>1989</v>
      </c>
      <c r="B448" s="80">
        <v>1278</v>
      </c>
      <c r="C448" s="81" t="s">
        <v>1988</v>
      </c>
      <c r="D448" s="73">
        <v>2500</v>
      </c>
      <c r="E448" s="79" t="s">
        <v>65</v>
      </c>
      <c r="F448" s="79" t="s">
        <v>3725</v>
      </c>
      <c r="G448" s="79" t="s">
        <v>2996</v>
      </c>
      <c r="H448" s="79" t="s">
        <v>66</v>
      </c>
      <c r="I448" s="81"/>
      <c r="J448" s="81">
        <v>25</v>
      </c>
      <c r="K448" s="86"/>
      <c r="M448" s="78" t="s">
        <v>1988</v>
      </c>
      <c r="N448" s="82"/>
      <c r="O448" s="81" t="s">
        <v>2256</v>
      </c>
      <c r="P448" s="81" t="s">
        <v>2256</v>
      </c>
      <c r="Q448" s="81"/>
      <c r="R448" s="83">
        <v>2000</v>
      </c>
      <c r="S448" s="79" t="s">
        <v>2999</v>
      </c>
      <c r="T448" s="84">
        <v>5000000</v>
      </c>
      <c r="U448" s="81"/>
      <c r="V448" s="81"/>
      <c r="W448" s="78" t="s">
        <v>1988</v>
      </c>
      <c r="X448" s="82"/>
      <c r="Y448" s="81" t="s">
        <v>2256</v>
      </c>
      <c r="Z448" s="81" t="s">
        <v>2256</v>
      </c>
      <c r="AA448" s="83">
        <v>10000</v>
      </c>
      <c r="AB448" s="85"/>
      <c r="AD448" s="78" t="s">
        <v>1988</v>
      </c>
      <c r="AE448" s="82"/>
      <c r="AF448" s="81" t="s">
        <v>2256</v>
      </c>
      <c r="AG448" s="81" t="s">
        <v>2256</v>
      </c>
      <c r="AH448" s="83">
        <v>10000</v>
      </c>
      <c r="AI448" s="85"/>
    </row>
    <row r="449" spans="1:35" s="79" customFormat="1" ht="11.25" customHeight="1" x14ac:dyDescent="0.2">
      <c r="A449" s="77" t="s">
        <v>1351</v>
      </c>
      <c r="B449" s="80">
        <v>446</v>
      </c>
      <c r="C449" s="81" t="s">
        <v>1350</v>
      </c>
      <c r="D449" s="73">
        <v>2500</v>
      </c>
      <c r="E449" s="79" t="s">
        <v>65</v>
      </c>
      <c r="F449" s="79" t="s">
        <v>3725</v>
      </c>
      <c r="G449" s="79" t="s">
        <v>2996</v>
      </c>
      <c r="H449" s="79" t="s">
        <v>66</v>
      </c>
      <c r="I449" s="81"/>
      <c r="J449" s="81">
        <v>25</v>
      </c>
      <c r="K449" s="86"/>
      <c r="M449" s="78" t="s">
        <v>1353</v>
      </c>
      <c r="N449" s="82" t="s">
        <v>1354</v>
      </c>
      <c r="O449" s="81" t="s">
        <v>2565</v>
      </c>
      <c r="P449" s="81" t="s">
        <v>2907</v>
      </c>
      <c r="Q449" s="81"/>
      <c r="R449" s="83" t="s">
        <v>1352</v>
      </c>
      <c r="S449" s="79" t="s">
        <v>3507</v>
      </c>
      <c r="T449" s="84" t="s">
        <v>3617</v>
      </c>
      <c r="U449" s="81"/>
      <c r="V449" s="81"/>
      <c r="W449" s="78" t="s">
        <v>1353</v>
      </c>
      <c r="X449" s="82" t="s">
        <v>1354</v>
      </c>
      <c r="Y449" s="81" t="s">
        <v>2565</v>
      </c>
      <c r="Z449" s="81" t="s">
        <v>2907</v>
      </c>
      <c r="AA449" s="81" t="s">
        <v>452</v>
      </c>
      <c r="AB449" s="85"/>
      <c r="AD449" s="78" t="s">
        <v>1353</v>
      </c>
      <c r="AE449" s="82" t="s">
        <v>1354</v>
      </c>
      <c r="AF449" s="81" t="s">
        <v>2565</v>
      </c>
      <c r="AG449" s="81" t="s">
        <v>2907</v>
      </c>
      <c r="AH449" s="81" t="s">
        <v>451</v>
      </c>
      <c r="AI449" s="85"/>
    </row>
    <row r="450" spans="1:35" s="79" customFormat="1" ht="11.25" customHeight="1" x14ac:dyDescent="0.2">
      <c r="A450" s="77" t="s">
        <v>2004</v>
      </c>
      <c r="B450" s="80">
        <v>674</v>
      </c>
      <c r="C450" s="81" t="s">
        <v>1353</v>
      </c>
      <c r="D450" s="73">
        <v>2500</v>
      </c>
      <c r="E450" s="79" t="s">
        <v>65</v>
      </c>
      <c r="F450" s="79" t="s">
        <v>3725</v>
      </c>
      <c r="G450" s="79" t="s">
        <v>2996</v>
      </c>
      <c r="H450" s="79" t="s">
        <v>66</v>
      </c>
      <c r="I450" s="81"/>
      <c r="J450" s="81">
        <v>25</v>
      </c>
      <c r="K450" s="86"/>
      <c r="M450" s="78" t="s">
        <v>1353</v>
      </c>
      <c r="N450" s="82"/>
      <c r="O450" s="81" t="s">
        <v>2256</v>
      </c>
      <c r="P450" s="81" t="s">
        <v>2256</v>
      </c>
      <c r="Q450" s="81"/>
      <c r="R450" s="83">
        <v>300</v>
      </c>
      <c r="S450" s="79" t="s">
        <v>3484</v>
      </c>
      <c r="T450" s="84">
        <v>750000</v>
      </c>
      <c r="U450" s="81"/>
      <c r="V450" s="81"/>
      <c r="W450" s="78" t="s">
        <v>1353</v>
      </c>
      <c r="X450" s="82"/>
      <c r="Y450" s="81" t="s">
        <v>2256</v>
      </c>
      <c r="Z450" s="81" t="s">
        <v>2256</v>
      </c>
      <c r="AA450" s="83">
        <v>1500</v>
      </c>
      <c r="AB450" s="85"/>
      <c r="AD450" s="78" t="s">
        <v>1353</v>
      </c>
      <c r="AE450" s="82"/>
      <c r="AF450" s="81" t="s">
        <v>2256</v>
      </c>
      <c r="AG450" s="81" t="s">
        <v>2256</v>
      </c>
      <c r="AH450" s="83">
        <v>2000</v>
      </c>
      <c r="AI450" s="85"/>
    </row>
    <row r="451" spans="1:35" s="79" customFormat="1" ht="11.25" customHeight="1" x14ac:dyDescent="0.2">
      <c r="A451" s="77" t="s">
        <v>444</v>
      </c>
      <c r="B451" s="80">
        <v>414</v>
      </c>
      <c r="C451" s="81" t="s">
        <v>443</v>
      </c>
      <c r="D451" s="73">
        <v>42000</v>
      </c>
      <c r="E451" s="79" t="s">
        <v>42</v>
      </c>
      <c r="F451" s="79" t="s">
        <v>3725</v>
      </c>
      <c r="G451" s="79" t="s">
        <v>2996</v>
      </c>
      <c r="H451" s="79" t="s">
        <v>59</v>
      </c>
      <c r="I451" s="81" t="s">
        <v>3000</v>
      </c>
      <c r="J451" s="81">
        <v>25</v>
      </c>
      <c r="K451" s="86"/>
      <c r="M451" s="78" t="s">
        <v>443</v>
      </c>
      <c r="N451" s="82"/>
      <c r="O451" s="81" t="s">
        <v>2256</v>
      </c>
      <c r="P451" s="81" t="s">
        <v>2256</v>
      </c>
      <c r="Q451" s="81"/>
      <c r="R451" s="83">
        <v>200</v>
      </c>
      <c r="S451" s="79" t="s">
        <v>2999</v>
      </c>
      <c r="T451" s="84">
        <v>8400000</v>
      </c>
      <c r="U451" s="81"/>
      <c r="V451" s="81"/>
      <c r="W451" s="78" t="s">
        <v>443</v>
      </c>
      <c r="X451" s="82"/>
      <c r="Y451" s="81" t="s">
        <v>2256</v>
      </c>
      <c r="Z451" s="81" t="s">
        <v>2256</v>
      </c>
      <c r="AA451" s="83">
        <v>1000</v>
      </c>
      <c r="AB451" s="85"/>
      <c r="AD451" s="78" t="s">
        <v>443</v>
      </c>
      <c r="AE451" s="82"/>
      <c r="AF451" s="81" t="s">
        <v>2256</v>
      </c>
      <c r="AG451" s="81" t="s">
        <v>2256</v>
      </c>
      <c r="AH451" s="83">
        <v>1500</v>
      </c>
      <c r="AI451" s="85"/>
    </row>
    <row r="452" spans="1:35" s="79" customFormat="1" ht="11.25" customHeight="1" x14ac:dyDescent="0.2">
      <c r="A452" s="77" t="s">
        <v>446</v>
      </c>
      <c r="B452" s="80">
        <v>415</v>
      </c>
      <c r="C452" s="81" t="s">
        <v>445</v>
      </c>
      <c r="D452" s="73">
        <v>42000</v>
      </c>
      <c r="E452" s="79" t="s">
        <v>42</v>
      </c>
      <c r="F452" s="79" t="s">
        <v>3725</v>
      </c>
      <c r="G452" s="79" t="s">
        <v>2996</v>
      </c>
      <c r="H452" s="79" t="s">
        <v>59</v>
      </c>
      <c r="I452" s="81" t="s">
        <v>3000</v>
      </c>
      <c r="J452" s="81">
        <v>25</v>
      </c>
      <c r="K452" s="86"/>
      <c r="M452" s="78" t="s">
        <v>443</v>
      </c>
      <c r="N452" s="82"/>
      <c r="O452" s="81" t="s">
        <v>2345</v>
      </c>
      <c r="P452" s="81" t="s">
        <v>2256</v>
      </c>
      <c r="Q452" s="81"/>
      <c r="R452" s="83">
        <v>200</v>
      </c>
      <c r="S452" s="79" t="s">
        <v>3539</v>
      </c>
      <c r="T452" s="84">
        <v>8400000</v>
      </c>
      <c r="U452" s="81"/>
      <c r="V452" s="81"/>
      <c r="W452" s="78" t="s">
        <v>443</v>
      </c>
      <c r="X452" s="82"/>
      <c r="Y452" s="81" t="s">
        <v>2345</v>
      </c>
      <c r="Z452" s="81" t="s">
        <v>2256</v>
      </c>
      <c r="AA452" s="83">
        <v>1000</v>
      </c>
      <c r="AB452" s="85"/>
      <c r="AD452" s="78" t="s">
        <v>443</v>
      </c>
      <c r="AE452" s="82"/>
      <c r="AF452" s="81" t="s">
        <v>2345</v>
      </c>
      <c r="AG452" s="81" t="s">
        <v>2256</v>
      </c>
      <c r="AH452" s="83">
        <v>1500</v>
      </c>
      <c r="AI452" s="85"/>
    </row>
    <row r="453" spans="1:35" s="79" customFormat="1" ht="11.25" customHeight="1" x14ac:dyDescent="0.2">
      <c r="A453" s="77" t="s">
        <v>534</v>
      </c>
      <c r="B453" s="80">
        <v>368</v>
      </c>
      <c r="C453" s="81" t="s">
        <v>533</v>
      </c>
      <c r="D453" s="73">
        <v>42000</v>
      </c>
      <c r="E453" s="79" t="s">
        <v>42</v>
      </c>
      <c r="F453" s="79" t="s">
        <v>3725</v>
      </c>
      <c r="G453" s="79" t="s">
        <v>2997</v>
      </c>
      <c r="H453" s="79" t="s">
        <v>59</v>
      </c>
      <c r="I453" s="81"/>
      <c r="J453" s="81">
        <v>25</v>
      </c>
      <c r="K453" s="86"/>
      <c r="M453" s="78" t="s">
        <v>533</v>
      </c>
      <c r="N453" s="82"/>
      <c r="O453" s="81" t="s">
        <v>2256</v>
      </c>
      <c r="P453" s="81" t="s">
        <v>2256</v>
      </c>
      <c r="Q453" s="81"/>
      <c r="R453" s="83">
        <v>150</v>
      </c>
      <c r="S453" s="79" t="s">
        <v>2999</v>
      </c>
      <c r="T453" s="84">
        <v>6300000</v>
      </c>
      <c r="U453" s="81"/>
      <c r="V453" s="81"/>
      <c r="W453" s="78" t="s">
        <v>533</v>
      </c>
      <c r="X453" s="82"/>
      <c r="Y453" s="81" t="s">
        <v>2256</v>
      </c>
      <c r="Z453" s="81" t="s">
        <v>2256</v>
      </c>
      <c r="AA453" s="80">
        <v>750</v>
      </c>
      <c r="AB453" s="85"/>
      <c r="AD453" s="78" t="s">
        <v>533</v>
      </c>
      <c r="AE453" s="82"/>
      <c r="AF453" s="81" t="s">
        <v>2256</v>
      </c>
      <c r="AG453" s="81" t="s">
        <v>2256</v>
      </c>
      <c r="AH453" s="83">
        <v>1000</v>
      </c>
      <c r="AI453" s="85"/>
    </row>
    <row r="454" spans="1:35" s="79" customFormat="1" ht="11.25" customHeight="1" x14ac:dyDescent="0.2">
      <c r="A454" s="77" t="s">
        <v>536</v>
      </c>
      <c r="B454" s="80">
        <v>366</v>
      </c>
      <c r="C454" s="81" t="s">
        <v>535</v>
      </c>
      <c r="D454" s="73">
        <v>42000</v>
      </c>
      <c r="E454" s="79" t="s">
        <v>42</v>
      </c>
      <c r="F454" s="79" t="s">
        <v>3725</v>
      </c>
      <c r="G454" s="79" t="s">
        <v>2997</v>
      </c>
      <c r="H454" s="79" t="s">
        <v>59</v>
      </c>
      <c r="I454" s="81"/>
      <c r="J454" s="81">
        <v>25</v>
      </c>
      <c r="K454" s="86"/>
      <c r="M454" s="78" t="s">
        <v>535</v>
      </c>
      <c r="N454" s="82"/>
      <c r="O454" s="81" t="s">
        <v>2256</v>
      </c>
      <c r="P454" s="81" t="s">
        <v>2256</v>
      </c>
      <c r="Q454" s="81"/>
      <c r="R454" s="83">
        <v>150</v>
      </c>
      <c r="S454" s="79" t="s">
        <v>2999</v>
      </c>
      <c r="T454" s="84">
        <v>6300000</v>
      </c>
      <c r="U454" s="81"/>
      <c r="V454" s="81"/>
      <c r="W454" s="78" t="s">
        <v>535</v>
      </c>
      <c r="X454" s="82"/>
      <c r="Y454" s="81" t="s">
        <v>2256</v>
      </c>
      <c r="Z454" s="81" t="s">
        <v>2256</v>
      </c>
      <c r="AA454" s="80">
        <v>750</v>
      </c>
      <c r="AB454" s="85"/>
      <c r="AD454" s="78" t="s">
        <v>535</v>
      </c>
      <c r="AE454" s="82"/>
      <c r="AF454" s="81" t="s">
        <v>2256</v>
      </c>
      <c r="AG454" s="81" t="s">
        <v>2256</v>
      </c>
      <c r="AH454" s="83">
        <v>1000</v>
      </c>
      <c r="AI454" s="85"/>
    </row>
    <row r="455" spans="1:35" s="79" customFormat="1" ht="11.25" customHeight="1" x14ac:dyDescent="0.2">
      <c r="A455" s="77" t="s">
        <v>538</v>
      </c>
      <c r="B455" s="80">
        <v>365</v>
      </c>
      <c r="C455" s="81" t="s">
        <v>537</v>
      </c>
      <c r="D455" s="73">
        <v>42000</v>
      </c>
      <c r="E455" s="79" t="s">
        <v>42</v>
      </c>
      <c r="F455" s="79" t="s">
        <v>3725</v>
      </c>
      <c r="G455" s="79" t="s">
        <v>2997</v>
      </c>
      <c r="H455" s="79" t="s">
        <v>59</v>
      </c>
      <c r="I455" s="81"/>
      <c r="J455" s="81">
        <v>25</v>
      </c>
      <c r="K455" s="86"/>
      <c r="M455" s="78" t="s">
        <v>537</v>
      </c>
      <c r="N455" s="82"/>
      <c r="O455" s="81" t="s">
        <v>2256</v>
      </c>
      <c r="P455" s="81" t="s">
        <v>2256</v>
      </c>
      <c r="Q455" s="81"/>
      <c r="R455" s="83">
        <v>150</v>
      </c>
      <c r="S455" s="79" t="s">
        <v>2999</v>
      </c>
      <c r="T455" s="84">
        <v>6300000</v>
      </c>
      <c r="U455" s="81"/>
      <c r="V455" s="81"/>
      <c r="W455" s="78" t="s">
        <v>537</v>
      </c>
      <c r="X455" s="82"/>
      <c r="Y455" s="81" t="s">
        <v>2256</v>
      </c>
      <c r="Z455" s="81" t="s">
        <v>2256</v>
      </c>
      <c r="AA455" s="80">
        <v>750</v>
      </c>
      <c r="AB455" s="85"/>
      <c r="AD455" s="78" t="s">
        <v>537</v>
      </c>
      <c r="AE455" s="82"/>
      <c r="AF455" s="81" t="s">
        <v>2256</v>
      </c>
      <c r="AG455" s="81" t="s">
        <v>2256</v>
      </c>
      <c r="AH455" s="83">
        <v>1000</v>
      </c>
      <c r="AI455" s="85"/>
    </row>
    <row r="456" spans="1:35" s="79" customFormat="1" ht="11.25" customHeight="1" x14ac:dyDescent="0.2">
      <c r="A456" s="77" t="s">
        <v>540</v>
      </c>
      <c r="B456" s="80">
        <v>364</v>
      </c>
      <c r="C456" s="81" t="s">
        <v>539</v>
      </c>
      <c r="D456" s="73">
        <v>42000</v>
      </c>
      <c r="E456" s="79" t="s">
        <v>42</v>
      </c>
      <c r="F456" s="79" t="s">
        <v>3725</v>
      </c>
      <c r="G456" s="79" t="s">
        <v>2997</v>
      </c>
      <c r="H456" s="79" t="s">
        <v>59</v>
      </c>
      <c r="I456" s="81"/>
      <c r="J456" s="81">
        <v>25</v>
      </c>
      <c r="K456" s="86"/>
      <c r="M456" s="78" t="s">
        <v>539</v>
      </c>
      <c r="N456" s="82"/>
      <c r="O456" s="81" t="s">
        <v>2256</v>
      </c>
      <c r="P456" s="81" t="s">
        <v>2256</v>
      </c>
      <c r="Q456" s="81"/>
      <c r="R456" s="83">
        <v>150</v>
      </c>
      <c r="S456" s="79" t="s">
        <v>2999</v>
      </c>
      <c r="T456" s="84">
        <v>6300000</v>
      </c>
      <c r="U456" s="81"/>
      <c r="V456" s="81"/>
      <c r="W456" s="78" t="s">
        <v>539</v>
      </c>
      <c r="X456" s="82"/>
      <c r="Y456" s="81" t="s">
        <v>2256</v>
      </c>
      <c r="Z456" s="81" t="s">
        <v>2256</v>
      </c>
      <c r="AA456" s="80">
        <v>750</v>
      </c>
      <c r="AB456" s="85"/>
      <c r="AD456" s="78" t="s">
        <v>539</v>
      </c>
      <c r="AE456" s="82"/>
      <c r="AF456" s="81" t="s">
        <v>2256</v>
      </c>
      <c r="AG456" s="81" t="s">
        <v>2256</v>
      </c>
      <c r="AH456" s="83">
        <v>1000</v>
      </c>
      <c r="AI456" s="85"/>
    </row>
    <row r="457" spans="1:35" s="79" customFormat="1" ht="11.25" customHeight="1" x14ac:dyDescent="0.2">
      <c r="A457" s="77" t="s">
        <v>542</v>
      </c>
      <c r="B457" s="80">
        <v>369</v>
      </c>
      <c r="C457" s="81" t="s">
        <v>541</v>
      </c>
      <c r="D457" s="73">
        <v>42000</v>
      </c>
      <c r="E457" s="79" t="s">
        <v>42</v>
      </c>
      <c r="F457" s="79" t="s">
        <v>3725</v>
      </c>
      <c r="G457" s="79" t="s">
        <v>2997</v>
      </c>
      <c r="H457" s="79" t="s">
        <v>59</v>
      </c>
      <c r="I457" s="81"/>
      <c r="J457" s="81">
        <v>25</v>
      </c>
      <c r="K457" s="86"/>
      <c r="M457" s="78" t="s">
        <v>541</v>
      </c>
      <c r="N457" s="82"/>
      <c r="O457" s="81" t="s">
        <v>2256</v>
      </c>
      <c r="P457" s="81" t="s">
        <v>2256</v>
      </c>
      <c r="Q457" s="81"/>
      <c r="R457" s="83">
        <v>150</v>
      </c>
      <c r="S457" s="79" t="s">
        <v>2999</v>
      </c>
      <c r="T457" s="84">
        <v>6300000</v>
      </c>
      <c r="U457" s="81"/>
      <c r="V457" s="81"/>
      <c r="W457" s="78" t="s">
        <v>541</v>
      </c>
      <c r="X457" s="82"/>
      <c r="Y457" s="81" t="s">
        <v>2256</v>
      </c>
      <c r="Z457" s="81" t="s">
        <v>2256</v>
      </c>
      <c r="AA457" s="80">
        <v>750</v>
      </c>
      <c r="AB457" s="85"/>
      <c r="AD457" s="78" t="s">
        <v>541</v>
      </c>
      <c r="AE457" s="82"/>
      <c r="AF457" s="81" t="s">
        <v>2256</v>
      </c>
      <c r="AG457" s="81" t="s">
        <v>2256</v>
      </c>
      <c r="AH457" s="83">
        <v>1000</v>
      </c>
      <c r="AI457" s="85"/>
    </row>
    <row r="458" spans="1:35" s="79" customFormat="1" ht="11.25" customHeight="1" x14ac:dyDescent="0.2">
      <c r="A458" s="77" t="s">
        <v>544</v>
      </c>
      <c r="B458" s="80">
        <v>367</v>
      </c>
      <c r="C458" s="81" t="s">
        <v>543</v>
      </c>
      <c r="D458" s="73">
        <v>42000</v>
      </c>
      <c r="E458" s="79" t="s">
        <v>42</v>
      </c>
      <c r="F458" s="79" t="s">
        <v>3725</v>
      </c>
      <c r="G458" s="79" t="s">
        <v>2997</v>
      </c>
      <c r="H458" s="79" t="s">
        <v>59</v>
      </c>
      <c r="I458" s="81"/>
      <c r="J458" s="81">
        <v>25</v>
      </c>
      <c r="K458" s="86"/>
      <c r="M458" s="78" t="s">
        <v>543</v>
      </c>
      <c r="N458" s="82"/>
      <c r="O458" s="81" t="s">
        <v>2256</v>
      </c>
      <c r="P458" s="81" t="s">
        <v>2256</v>
      </c>
      <c r="Q458" s="81"/>
      <c r="R458" s="83">
        <v>150</v>
      </c>
      <c r="S458" s="79" t="s">
        <v>2999</v>
      </c>
      <c r="T458" s="84">
        <v>6300000</v>
      </c>
      <c r="U458" s="81"/>
      <c r="V458" s="81"/>
      <c r="W458" s="78" t="s">
        <v>543</v>
      </c>
      <c r="X458" s="82"/>
      <c r="Y458" s="81" t="s">
        <v>2256</v>
      </c>
      <c r="Z458" s="81" t="s">
        <v>2256</v>
      </c>
      <c r="AA458" s="80">
        <v>750</v>
      </c>
      <c r="AB458" s="85"/>
      <c r="AD458" s="78" t="s">
        <v>543</v>
      </c>
      <c r="AE458" s="82"/>
      <c r="AF458" s="81" t="s">
        <v>2256</v>
      </c>
      <c r="AG458" s="81" t="s">
        <v>2256</v>
      </c>
      <c r="AH458" s="83">
        <v>1000</v>
      </c>
      <c r="AI458" s="85"/>
    </row>
    <row r="459" spans="1:35" s="79" customFormat="1" ht="11.25" customHeight="1" x14ac:dyDescent="0.2">
      <c r="A459" s="77" t="s">
        <v>2206</v>
      </c>
      <c r="B459" s="80">
        <v>581</v>
      </c>
      <c r="C459" s="81" t="s">
        <v>2205</v>
      </c>
      <c r="D459" s="73">
        <v>1000</v>
      </c>
      <c r="E459" s="79" t="s">
        <v>20</v>
      </c>
      <c r="F459" s="79" t="s">
        <v>3725</v>
      </c>
      <c r="G459" s="79" t="s">
        <v>2996</v>
      </c>
      <c r="H459" s="79" t="s">
        <v>59</v>
      </c>
      <c r="I459" s="81" t="s">
        <v>3000</v>
      </c>
      <c r="J459" s="81">
        <v>25</v>
      </c>
      <c r="K459" s="86"/>
      <c r="M459" s="78" t="s">
        <v>467</v>
      </c>
      <c r="N459" s="82" t="s">
        <v>512</v>
      </c>
      <c r="O459" s="81" t="s">
        <v>2759</v>
      </c>
      <c r="P459" s="81" t="s">
        <v>2990</v>
      </c>
      <c r="Q459" s="81"/>
      <c r="R459" s="83" t="s">
        <v>2207</v>
      </c>
      <c r="S459" s="79" t="s">
        <v>3548</v>
      </c>
      <c r="T459" s="84" t="s">
        <v>3629</v>
      </c>
      <c r="U459" s="81"/>
      <c r="V459" s="81"/>
      <c r="W459" s="78" t="s">
        <v>467</v>
      </c>
      <c r="X459" s="82" t="s">
        <v>512</v>
      </c>
      <c r="Y459" s="81" t="s">
        <v>2759</v>
      </c>
      <c r="Z459" s="81" t="s">
        <v>2990</v>
      </c>
      <c r="AA459" s="81" t="s">
        <v>2209</v>
      </c>
      <c r="AB459" s="85"/>
      <c r="AD459" s="78" t="s">
        <v>467</v>
      </c>
      <c r="AE459" s="82" t="s">
        <v>512</v>
      </c>
      <c r="AF459" s="81" t="s">
        <v>2759</v>
      </c>
      <c r="AG459" s="81" t="s">
        <v>2990</v>
      </c>
      <c r="AH459" s="81" t="s">
        <v>2208</v>
      </c>
      <c r="AI459" s="85"/>
    </row>
    <row r="460" spans="1:35" s="79" customFormat="1" ht="11.25" customHeight="1" x14ac:dyDescent="0.2">
      <c r="A460" s="77" t="s">
        <v>466</v>
      </c>
      <c r="B460" s="80">
        <v>588</v>
      </c>
      <c r="C460" s="81" t="s">
        <v>465</v>
      </c>
      <c r="D460" s="73">
        <v>1000</v>
      </c>
      <c r="E460" s="79" t="s">
        <v>20</v>
      </c>
      <c r="F460" s="79" t="s">
        <v>3725</v>
      </c>
      <c r="G460" s="79" t="s">
        <v>2996</v>
      </c>
      <c r="H460" s="79" t="s">
        <v>59</v>
      </c>
      <c r="I460" s="81" t="s">
        <v>3000</v>
      </c>
      <c r="J460" s="81">
        <v>25</v>
      </c>
      <c r="K460" s="86"/>
      <c r="M460" s="78" t="s">
        <v>467</v>
      </c>
      <c r="N460" s="82"/>
      <c r="O460" s="81" t="s">
        <v>2348</v>
      </c>
      <c r="P460" s="81" t="s">
        <v>2256</v>
      </c>
      <c r="Q460" s="81"/>
      <c r="R460" s="83">
        <v>150</v>
      </c>
      <c r="S460" s="79" t="s">
        <v>3540</v>
      </c>
      <c r="T460" s="84">
        <v>150000</v>
      </c>
      <c r="U460" s="81"/>
      <c r="V460" s="81"/>
      <c r="W460" s="78" t="s">
        <v>467</v>
      </c>
      <c r="X460" s="82"/>
      <c r="Y460" s="81" t="s">
        <v>2348</v>
      </c>
      <c r="Z460" s="81" t="s">
        <v>2256</v>
      </c>
      <c r="AA460" s="83">
        <v>1250</v>
      </c>
      <c r="AB460" s="85"/>
      <c r="AD460" s="78" t="s">
        <v>467</v>
      </c>
      <c r="AE460" s="82"/>
      <c r="AF460" s="81" t="s">
        <v>2348</v>
      </c>
      <c r="AG460" s="81" t="s">
        <v>2256</v>
      </c>
      <c r="AH460" s="83">
        <v>1750</v>
      </c>
      <c r="AI460" s="85"/>
    </row>
    <row r="461" spans="1:35" s="79" customFormat="1" ht="11.25" customHeight="1" x14ac:dyDescent="0.2">
      <c r="A461" s="77" t="s">
        <v>1238</v>
      </c>
      <c r="B461" s="80">
        <v>850</v>
      </c>
      <c r="C461" s="81" t="s">
        <v>1237</v>
      </c>
      <c r="D461" s="73">
        <v>100</v>
      </c>
      <c r="E461" s="79" t="s">
        <v>20</v>
      </c>
      <c r="F461" s="79" t="s">
        <v>3725</v>
      </c>
      <c r="G461" s="79" t="s">
        <v>2996</v>
      </c>
      <c r="H461" s="79" t="s">
        <v>59</v>
      </c>
      <c r="I461" s="81" t="s">
        <v>3000</v>
      </c>
      <c r="J461" s="81">
        <v>25</v>
      </c>
      <c r="K461" s="86"/>
      <c r="M461" s="78" t="s">
        <v>467</v>
      </c>
      <c r="N461" s="82"/>
      <c r="O461" s="81" t="s">
        <v>2528</v>
      </c>
      <c r="P461" s="81" t="s">
        <v>2256</v>
      </c>
      <c r="Q461" s="81"/>
      <c r="R461" s="83">
        <v>150</v>
      </c>
      <c r="S461" s="79" t="s">
        <v>3540</v>
      </c>
      <c r="T461" s="84">
        <v>150000</v>
      </c>
      <c r="U461" s="81"/>
      <c r="V461" s="81"/>
      <c r="W461" s="78" t="s">
        <v>467</v>
      </c>
      <c r="X461" s="82"/>
      <c r="Y461" s="81" t="s">
        <v>2528</v>
      </c>
      <c r="Z461" s="81" t="s">
        <v>2256</v>
      </c>
      <c r="AA461" s="83">
        <v>1250</v>
      </c>
      <c r="AB461" s="85"/>
      <c r="AD461" s="78" t="s">
        <v>467</v>
      </c>
      <c r="AE461" s="82"/>
      <c r="AF461" s="81" t="s">
        <v>2528</v>
      </c>
      <c r="AG461" s="81" t="s">
        <v>2256</v>
      </c>
      <c r="AH461" s="83">
        <v>1750</v>
      </c>
      <c r="AI461" s="85"/>
    </row>
    <row r="462" spans="1:35" s="79" customFormat="1" ht="11.25" customHeight="1" x14ac:dyDescent="0.2">
      <c r="A462" s="77" t="s">
        <v>2140</v>
      </c>
      <c r="B462" s="80">
        <v>590</v>
      </c>
      <c r="C462" s="81" t="s">
        <v>467</v>
      </c>
      <c r="D462" s="73">
        <v>1000</v>
      </c>
      <c r="E462" s="79" t="s">
        <v>20</v>
      </c>
      <c r="F462" s="79" t="s">
        <v>3725</v>
      </c>
      <c r="G462" s="79" t="s">
        <v>2996</v>
      </c>
      <c r="H462" s="79" t="s">
        <v>59</v>
      </c>
      <c r="I462" s="81" t="s">
        <v>3000</v>
      </c>
      <c r="J462" s="81">
        <v>25</v>
      </c>
      <c r="K462" s="86"/>
      <c r="M462" s="78" t="s">
        <v>467</v>
      </c>
      <c r="N462" s="82"/>
      <c r="O462" s="81" t="s">
        <v>2256</v>
      </c>
      <c r="P462" s="81" t="s">
        <v>2256</v>
      </c>
      <c r="Q462" s="81"/>
      <c r="R462" s="83">
        <v>150</v>
      </c>
      <c r="S462" s="79" t="s">
        <v>2999</v>
      </c>
      <c r="T462" s="84">
        <v>150000</v>
      </c>
      <c r="U462" s="81"/>
      <c r="V462" s="81"/>
      <c r="W462" s="78" t="s">
        <v>467</v>
      </c>
      <c r="X462" s="82"/>
      <c r="Y462" s="81" t="s">
        <v>2256</v>
      </c>
      <c r="Z462" s="81" t="s">
        <v>2256</v>
      </c>
      <c r="AA462" s="83">
        <v>1250</v>
      </c>
      <c r="AB462" s="85"/>
      <c r="AD462" s="78" t="s">
        <v>467</v>
      </c>
      <c r="AE462" s="82"/>
      <c r="AF462" s="81" t="s">
        <v>2256</v>
      </c>
      <c r="AG462" s="81" t="s">
        <v>2256</v>
      </c>
      <c r="AH462" s="83">
        <v>1750</v>
      </c>
      <c r="AI462" s="85"/>
    </row>
    <row r="463" spans="1:35" s="79" customFormat="1" ht="11.25" customHeight="1" x14ac:dyDescent="0.2">
      <c r="A463" s="77" t="s">
        <v>215</v>
      </c>
      <c r="B463" s="80">
        <v>138</v>
      </c>
      <c r="C463" s="81" t="s">
        <v>214</v>
      </c>
      <c r="D463" s="73">
        <v>42000</v>
      </c>
      <c r="E463" s="79" t="s">
        <v>42</v>
      </c>
      <c r="F463" s="79" t="s">
        <v>3725</v>
      </c>
      <c r="G463" s="79" t="s">
        <v>2996</v>
      </c>
      <c r="H463" s="79" t="s">
        <v>59</v>
      </c>
      <c r="I463" s="81"/>
      <c r="J463" s="81">
        <v>25</v>
      </c>
      <c r="K463" s="86"/>
      <c r="M463" s="78" t="s">
        <v>216</v>
      </c>
      <c r="N463" s="82"/>
      <c r="O463" s="81" t="s">
        <v>2290</v>
      </c>
      <c r="P463" s="81" t="s">
        <v>2256</v>
      </c>
      <c r="Q463" s="81"/>
      <c r="R463" s="83">
        <v>250</v>
      </c>
      <c r="S463" s="79" t="s">
        <v>3542</v>
      </c>
      <c r="T463" s="84">
        <v>10500000</v>
      </c>
      <c r="U463" s="81"/>
      <c r="V463" s="81"/>
      <c r="W463" s="78" t="s">
        <v>216</v>
      </c>
      <c r="X463" s="82"/>
      <c r="Y463" s="81" t="s">
        <v>2290</v>
      </c>
      <c r="Z463" s="81" t="s">
        <v>2256</v>
      </c>
      <c r="AA463" s="83">
        <v>1500</v>
      </c>
      <c r="AB463" s="85"/>
      <c r="AD463" s="78" t="s">
        <v>216</v>
      </c>
      <c r="AE463" s="82"/>
      <c r="AF463" s="81" t="s">
        <v>2290</v>
      </c>
      <c r="AG463" s="81" t="s">
        <v>2256</v>
      </c>
      <c r="AH463" s="83">
        <v>2000</v>
      </c>
      <c r="AI463" s="85"/>
    </row>
    <row r="464" spans="1:35" s="79" customFormat="1" ht="11.25" x14ac:dyDescent="0.2">
      <c r="A464" s="77" t="s">
        <v>584</v>
      </c>
      <c r="B464" s="81" t="s">
        <v>585</v>
      </c>
      <c r="C464" s="81" t="s">
        <v>583</v>
      </c>
      <c r="D464" s="73">
        <v>42000</v>
      </c>
      <c r="E464" s="79" t="s">
        <v>42</v>
      </c>
      <c r="F464" s="79" t="s">
        <v>30</v>
      </c>
      <c r="G464" s="79" t="s">
        <v>3001</v>
      </c>
      <c r="H464" s="79" t="s">
        <v>59</v>
      </c>
      <c r="I464" s="81" t="s">
        <v>3000</v>
      </c>
      <c r="J464" s="81">
        <v>25</v>
      </c>
      <c r="K464" s="86"/>
      <c r="M464" s="78" t="s">
        <v>216</v>
      </c>
      <c r="N464" s="82"/>
      <c r="O464" s="81" t="s">
        <v>2370</v>
      </c>
      <c r="P464" s="81" t="s">
        <v>2256</v>
      </c>
      <c r="Q464" s="81"/>
      <c r="R464" s="83">
        <v>250</v>
      </c>
      <c r="S464" s="79" t="s">
        <v>3542</v>
      </c>
      <c r="T464" s="84">
        <v>10500000</v>
      </c>
      <c r="U464" s="81"/>
      <c r="V464" s="81"/>
      <c r="W464" s="78" t="s">
        <v>216</v>
      </c>
      <c r="X464" s="82"/>
      <c r="Y464" s="81" t="s">
        <v>2370</v>
      </c>
      <c r="Z464" s="81" t="s">
        <v>2256</v>
      </c>
      <c r="AA464" s="83">
        <v>1500</v>
      </c>
      <c r="AB464" s="85"/>
      <c r="AD464" s="78" t="s">
        <v>216</v>
      </c>
      <c r="AE464" s="82"/>
      <c r="AF464" s="81" t="s">
        <v>2370</v>
      </c>
      <c r="AG464" s="81" t="s">
        <v>2256</v>
      </c>
      <c r="AH464" s="83">
        <v>2000</v>
      </c>
      <c r="AI464" s="85"/>
    </row>
    <row r="465" spans="1:35" s="79" customFormat="1" ht="11.25" customHeight="1" x14ac:dyDescent="0.2">
      <c r="A465" s="77" t="s">
        <v>1642</v>
      </c>
      <c r="B465" s="80">
        <v>297</v>
      </c>
      <c r="C465" s="81" t="s">
        <v>1641</v>
      </c>
      <c r="D465" s="73">
        <v>42000</v>
      </c>
      <c r="E465" s="79" t="s">
        <v>42</v>
      </c>
      <c r="F465" s="79" t="s">
        <v>3725</v>
      </c>
      <c r="G465" s="79" t="s">
        <v>2996</v>
      </c>
      <c r="H465" s="79" t="s">
        <v>59</v>
      </c>
      <c r="I465" s="81" t="s">
        <v>3000</v>
      </c>
      <c r="J465" s="81">
        <v>25</v>
      </c>
      <c r="K465" s="86"/>
      <c r="M465" s="78" t="s">
        <v>216</v>
      </c>
      <c r="N465" s="82"/>
      <c r="O465" s="81" t="s">
        <v>2631</v>
      </c>
      <c r="P465" s="81" t="s">
        <v>2256</v>
      </c>
      <c r="Q465" s="81"/>
      <c r="R465" s="83">
        <v>250</v>
      </c>
      <c r="S465" s="79" t="s">
        <v>3542</v>
      </c>
      <c r="T465" s="84">
        <v>10500000</v>
      </c>
      <c r="U465" s="81"/>
      <c r="V465" s="81"/>
      <c r="W465" s="78" t="s">
        <v>216</v>
      </c>
      <c r="X465" s="82"/>
      <c r="Y465" s="81" t="s">
        <v>2631</v>
      </c>
      <c r="Z465" s="81" t="s">
        <v>2256</v>
      </c>
      <c r="AA465" s="83">
        <v>1500</v>
      </c>
      <c r="AB465" s="85"/>
      <c r="AD465" s="78" t="s">
        <v>216</v>
      </c>
      <c r="AE465" s="82"/>
      <c r="AF465" s="81" t="s">
        <v>2631</v>
      </c>
      <c r="AG465" s="81" t="s">
        <v>2256</v>
      </c>
      <c r="AH465" s="83">
        <v>2000</v>
      </c>
      <c r="AI465" s="85"/>
    </row>
    <row r="466" spans="1:35" s="79" customFormat="1" ht="11.25" x14ac:dyDescent="0.2">
      <c r="A466" s="77" t="s">
        <v>2157</v>
      </c>
      <c r="B466" s="80">
        <v>405</v>
      </c>
      <c r="C466" s="81" t="s">
        <v>216</v>
      </c>
      <c r="D466" s="73">
        <v>42000</v>
      </c>
      <c r="E466" s="79" t="s">
        <v>42</v>
      </c>
      <c r="F466" s="79" t="s">
        <v>3725</v>
      </c>
      <c r="G466" s="79" t="s">
        <v>2996</v>
      </c>
      <c r="H466" s="79" t="s">
        <v>59</v>
      </c>
      <c r="I466" s="81" t="s">
        <v>3000</v>
      </c>
      <c r="J466" s="81">
        <v>25</v>
      </c>
      <c r="K466" s="86"/>
      <c r="M466" s="78" t="s">
        <v>216</v>
      </c>
      <c r="N466" s="82"/>
      <c r="O466" s="81" t="s">
        <v>2256</v>
      </c>
      <c r="P466" s="81" t="s">
        <v>2256</v>
      </c>
      <c r="Q466" s="81"/>
      <c r="R466" s="83">
        <v>250</v>
      </c>
      <c r="S466" s="79" t="s">
        <v>2999</v>
      </c>
      <c r="T466" s="84">
        <v>10500000</v>
      </c>
      <c r="U466" s="81"/>
      <c r="V466" s="81"/>
      <c r="W466" s="78" t="s">
        <v>216</v>
      </c>
      <c r="X466" s="82"/>
      <c r="Y466" s="81" t="s">
        <v>2256</v>
      </c>
      <c r="Z466" s="81" t="s">
        <v>2256</v>
      </c>
      <c r="AA466" s="83">
        <v>1500</v>
      </c>
      <c r="AB466" s="85"/>
      <c r="AD466" s="78" t="s">
        <v>216</v>
      </c>
      <c r="AE466" s="82"/>
      <c r="AF466" s="81" t="s">
        <v>2256</v>
      </c>
      <c r="AG466" s="81" t="s">
        <v>2256</v>
      </c>
      <c r="AH466" s="83">
        <v>2000</v>
      </c>
      <c r="AI466" s="85"/>
    </row>
    <row r="467" spans="1:35" s="79" customFormat="1" ht="11.25" x14ac:dyDescent="0.2">
      <c r="A467" s="77" t="s">
        <v>2192</v>
      </c>
      <c r="B467" s="80">
        <v>406</v>
      </c>
      <c r="C467" s="81" t="s">
        <v>2191</v>
      </c>
      <c r="D467" s="73">
        <v>42000</v>
      </c>
      <c r="E467" s="79" t="s">
        <v>42</v>
      </c>
      <c r="F467" s="79" t="s">
        <v>3725</v>
      </c>
      <c r="G467" s="79" t="s">
        <v>2996</v>
      </c>
      <c r="H467" s="79" t="s">
        <v>59</v>
      </c>
      <c r="I467" s="81" t="s">
        <v>3000</v>
      </c>
      <c r="J467" s="81">
        <v>25</v>
      </c>
      <c r="K467" s="86"/>
      <c r="M467" s="78" t="s">
        <v>2191</v>
      </c>
      <c r="N467" s="82"/>
      <c r="O467" s="81" t="s">
        <v>2256</v>
      </c>
      <c r="P467" s="81" t="s">
        <v>2256</v>
      </c>
      <c r="Q467" s="81"/>
      <c r="R467" s="83">
        <v>250</v>
      </c>
      <c r="S467" s="79" t="s">
        <v>2999</v>
      </c>
      <c r="T467" s="84">
        <v>10500000</v>
      </c>
      <c r="U467" s="81"/>
      <c r="V467" s="81"/>
      <c r="W467" s="78" t="s">
        <v>2191</v>
      </c>
      <c r="X467" s="82"/>
      <c r="Y467" s="81" t="s">
        <v>2256</v>
      </c>
      <c r="Z467" s="81" t="s">
        <v>2256</v>
      </c>
      <c r="AA467" s="83">
        <v>1500</v>
      </c>
      <c r="AB467" s="85"/>
      <c r="AD467" s="78" t="s">
        <v>2191</v>
      </c>
      <c r="AE467" s="82"/>
      <c r="AF467" s="81" t="s">
        <v>2256</v>
      </c>
      <c r="AG467" s="81" t="s">
        <v>2256</v>
      </c>
      <c r="AH467" s="83">
        <v>2000</v>
      </c>
      <c r="AI467" s="85"/>
    </row>
    <row r="468" spans="1:35" s="79" customFormat="1" ht="11.25" x14ac:dyDescent="0.2">
      <c r="A468" s="77" t="s">
        <v>300</v>
      </c>
      <c r="B468" s="80">
        <v>133</v>
      </c>
      <c r="C468" s="81" t="s">
        <v>299</v>
      </c>
      <c r="D468" s="73">
        <v>42000</v>
      </c>
      <c r="E468" s="79" t="s">
        <v>42</v>
      </c>
      <c r="F468" s="79" t="s">
        <v>3725</v>
      </c>
      <c r="G468" s="79" t="s">
        <v>2996</v>
      </c>
      <c r="H468" s="79" t="s">
        <v>59</v>
      </c>
      <c r="I468" s="81" t="s">
        <v>3000</v>
      </c>
      <c r="J468" s="81">
        <v>25</v>
      </c>
      <c r="K468" s="86"/>
      <c r="M468" s="78" t="s">
        <v>301</v>
      </c>
      <c r="N468" s="82"/>
      <c r="O468" s="81" t="s">
        <v>2304</v>
      </c>
      <c r="P468" s="81" t="s">
        <v>2256</v>
      </c>
      <c r="Q468" s="81"/>
      <c r="R468" s="83">
        <v>250</v>
      </c>
      <c r="S468" s="79" t="s">
        <v>3543</v>
      </c>
      <c r="T468" s="84">
        <v>10500000</v>
      </c>
      <c r="U468" s="81"/>
      <c r="V468" s="81"/>
      <c r="W468" s="78" t="s">
        <v>301</v>
      </c>
      <c r="X468" s="82"/>
      <c r="Y468" s="81" t="s">
        <v>2304</v>
      </c>
      <c r="Z468" s="81" t="s">
        <v>2256</v>
      </c>
      <c r="AA468" s="83">
        <v>1500</v>
      </c>
      <c r="AB468" s="85"/>
      <c r="AD468" s="78" t="s">
        <v>301</v>
      </c>
      <c r="AE468" s="82"/>
      <c r="AF468" s="81" t="s">
        <v>2304</v>
      </c>
      <c r="AG468" s="81" t="s">
        <v>2256</v>
      </c>
      <c r="AH468" s="83">
        <v>2000</v>
      </c>
      <c r="AI468" s="85"/>
    </row>
    <row r="469" spans="1:35" s="79" customFormat="1" ht="11.25" customHeight="1" x14ac:dyDescent="0.2">
      <c r="A469" s="77" t="s">
        <v>311</v>
      </c>
      <c r="B469" s="80">
        <v>132</v>
      </c>
      <c r="C469" s="81" t="s">
        <v>310</v>
      </c>
      <c r="D469" s="73">
        <v>42000</v>
      </c>
      <c r="E469" s="79" t="s">
        <v>42</v>
      </c>
      <c r="F469" s="79" t="s">
        <v>30</v>
      </c>
      <c r="G469" s="79" t="s">
        <v>3001</v>
      </c>
      <c r="H469" s="79" t="s">
        <v>59</v>
      </c>
      <c r="I469" s="81" t="s">
        <v>3000</v>
      </c>
      <c r="J469" s="81">
        <v>25</v>
      </c>
      <c r="K469" s="86"/>
      <c r="M469" s="78" t="s">
        <v>301</v>
      </c>
      <c r="N469" s="82"/>
      <c r="O469" s="81" t="s">
        <v>2306</v>
      </c>
      <c r="P469" s="81" t="s">
        <v>2256</v>
      </c>
      <c r="Q469" s="81"/>
      <c r="R469" s="83">
        <v>250</v>
      </c>
      <c r="S469" s="79" t="s">
        <v>3543</v>
      </c>
      <c r="T469" s="84">
        <v>10500000</v>
      </c>
      <c r="U469" s="81"/>
      <c r="V469" s="81"/>
      <c r="W469" s="78" t="s">
        <v>301</v>
      </c>
      <c r="X469" s="82"/>
      <c r="Y469" s="81" t="s">
        <v>2306</v>
      </c>
      <c r="Z469" s="81" t="s">
        <v>2256</v>
      </c>
      <c r="AA469" s="83">
        <v>1500</v>
      </c>
      <c r="AB469" s="85"/>
      <c r="AD469" s="78" t="s">
        <v>301</v>
      </c>
      <c r="AE469" s="82"/>
      <c r="AF469" s="81" t="s">
        <v>2306</v>
      </c>
      <c r="AG469" s="81" t="s">
        <v>2256</v>
      </c>
      <c r="AH469" s="83">
        <v>2000</v>
      </c>
      <c r="AI469" s="85"/>
    </row>
    <row r="470" spans="1:35" s="79" customFormat="1" ht="11.25" customHeight="1" x14ac:dyDescent="0.2">
      <c r="A470" s="77" t="s">
        <v>2195</v>
      </c>
      <c r="B470" s="80">
        <v>257</v>
      </c>
      <c r="C470" s="81" t="s">
        <v>301</v>
      </c>
      <c r="D470" s="73">
        <v>42000</v>
      </c>
      <c r="E470" s="79" t="s">
        <v>42</v>
      </c>
      <c r="F470" s="79" t="s">
        <v>3725</v>
      </c>
      <c r="G470" s="79" t="s">
        <v>2996</v>
      </c>
      <c r="H470" s="79" t="s">
        <v>59</v>
      </c>
      <c r="I470" s="81" t="s">
        <v>3000</v>
      </c>
      <c r="J470" s="81">
        <v>25</v>
      </c>
      <c r="K470" s="86"/>
      <c r="M470" s="78" t="s">
        <v>301</v>
      </c>
      <c r="N470" s="82"/>
      <c r="O470" s="81" t="s">
        <v>2256</v>
      </c>
      <c r="P470" s="81" t="s">
        <v>2256</v>
      </c>
      <c r="Q470" s="81"/>
      <c r="R470" s="83">
        <v>250</v>
      </c>
      <c r="S470" s="79" t="s">
        <v>2999</v>
      </c>
      <c r="T470" s="84">
        <v>10500000</v>
      </c>
      <c r="U470" s="81"/>
      <c r="V470" s="81"/>
      <c r="W470" s="78" t="s">
        <v>301</v>
      </c>
      <c r="X470" s="82"/>
      <c r="Y470" s="81" t="s">
        <v>2256</v>
      </c>
      <c r="Z470" s="81" t="s">
        <v>2256</v>
      </c>
      <c r="AA470" s="83">
        <v>1500</v>
      </c>
      <c r="AB470" s="85"/>
      <c r="AD470" s="78" t="s">
        <v>301</v>
      </c>
      <c r="AE470" s="82"/>
      <c r="AF470" s="81" t="s">
        <v>2256</v>
      </c>
      <c r="AG470" s="81" t="s">
        <v>2256</v>
      </c>
      <c r="AH470" s="83">
        <v>2000</v>
      </c>
      <c r="AI470" s="85"/>
    </row>
    <row r="471" spans="1:35" s="79" customFormat="1" ht="11.25" customHeight="1" x14ac:dyDescent="0.2">
      <c r="A471" s="77" t="s">
        <v>276</v>
      </c>
      <c r="B471" s="80">
        <v>134</v>
      </c>
      <c r="C471" s="81" t="s">
        <v>275</v>
      </c>
      <c r="D471" s="73">
        <v>42000</v>
      </c>
      <c r="E471" s="79" t="s">
        <v>42</v>
      </c>
      <c r="F471" s="79" t="s">
        <v>3725</v>
      </c>
      <c r="G471" s="79" t="s">
        <v>2996</v>
      </c>
      <c r="H471" s="79" t="s">
        <v>59</v>
      </c>
      <c r="I471" s="81" t="s">
        <v>3000</v>
      </c>
      <c r="J471" s="81">
        <v>25</v>
      </c>
      <c r="K471" s="86"/>
      <c r="M471" s="78" t="s">
        <v>277</v>
      </c>
      <c r="N471" s="82"/>
      <c r="O471" s="81" t="s">
        <v>2300</v>
      </c>
      <c r="P471" s="81" t="s">
        <v>2256</v>
      </c>
      <c r="Q471" s="81"/>
      <c r="R471" s="83">
        <v>250</v>
      </c>
      <c r="S471" s="79" t="s">
        <v>3551</v>
      </c>
      <c r="T471" s="84">
        <v>10500000</v>
      </c>
      <c r="U471" s="81"/>
      <c r="V471" s="81"/>
      <c r="W471" s="78" t="s">
        <v>277</v>
      </c>
      <c r="X471" s="82"/>
      <c r="Y471" s="81" t="s">
        <v>2300</v>
      </c>
      <c r="Z471" s="81" t="s">
        <v>2256</v>
      </c>
      <c r="AA471" s="83">
        <v>1500</v>
      </c>
      <c r="AB471" s="85"/>
      <c r="AD471" s="78" t="s">
        <v>277</v>
      </c>
      <c r="AE471" s="82"/>
      <c r="AF471" s="81" t="s">
        <v>2300</v>
      </c>
      <c r="AG471" s="81" t="s">
        <v>2256</v>
      </c>
      <c r="AH471" s="83">
        <v>2000</v>
      </c>
      <c r="AI471" s="85"/>
    </row>
    <row r="472" spans="1:35" s="79" customFormat="1" ht="11.25" customHeight="1" x14ac:dyDescent="0.2">
      <c r="A472" s="77" t="s">
        <v>2196</v>
      </c>
      <c r="B472" s="80">
        <v>258</v>
      </c>
      <c r="C472" s="81" t="s">
        <v>277</v>
      </c>
      <c r="D472" s="73">
        <v>42000</v>
      </c>
      <c r="E472" s="79" t="s">
        <v>42</v>
      </c>
      <c r="F472" s="79" t="s">
        <v>3725</v>
      </c>
      <c r="G472" s="79" t="s">
        <v>2996</v>
      </c>
      <c r="H472" s="79" t="s">
        <v>59</v>
      </c>
      <c r="I472" s="81" t="s">
        <v>3000</v>
      </c>
      <c r="J472" s="81">
        <v>25</v>
      </c>
      <c r="K472" s="86"/>
      <c r="M472" s="78" t="s">
        <v>277</v>
      </c>
      <c r="N472" s="82"/>
      <c r="O472" s="81" t="s">
        <v>2256</v>
      </c>
      <c r="P472" s="81" t="s">
        <v>2256</v>
      </c>
      <c r="Q472" s="81"/>
      <c r="R472" s="83">
        <v>250</v>
      </c>
      <c r="S472" s="79" t="s">
        <v>2999</v>
      </c>
      <c r="T472" s="84">
        <v>10500000</v>
      </c>
      <c r="U472" s="81"/>
      <c r="V472" s="81"/>
      <c r="W472" s="78" t="s">
        <v>277</v>
      </c>
      <c r="X472" s="82"/>
      <c r="Y472" s="81" t="s">
        <v>2256</v>
      </c>
      <c r="Z472" s="81" t="s">
        <v>2256</v>
      </c>
      <c r="AA472" s="83">
        <v>1500</v>
      </c>
      <c r="AB472" s="85"/>
      <c r="AD472" s="78" t="s">
        <v>277</v>
      </c>
      <c r="AE472" s="82"/>
      <c r="AF472" s="81" t="s">
        <v>2256</v>
      </c>
      <c r="AG472" s="81" t="s">
        <v>2256</v>
      </c>
      <c r="AH472" s="83">
        <v>2000</v>
      </c>
      <c r="AI472" s="85"/>
    </row>
    <row r="473" spans="1:35" s="79" customFormat="1" ht="11.25" customHeight="1" x14ac:dyDescent="0.2">
      <c r="A473" s="77" t="s">
        <v>248</v>
      </c>
      <c r="B473" s="80">
        <v>135</v>
      </c>
      <c r="C473" s="81" t="s">
        <v>247</v>
      </c>
      <c r="D473" s="73">
        <v>42000</v>
      </c>
      <c r="E473" s="79" t="s">
        <v>42</v>
      </c>
      <c r="F473" s="79" t="s">
        <v>3725</v>
      </c>
      <c r="G473" s="79" t="s">
        <v>2996</v>
      </c>
      <c r="H473" s="79" t="s">
        <v>59</v>
      </c>
      <c r="I473" s="81" t="s">
        <v>3000</v>
      </c>
      <c r="J473" s="81">
        <v>25</v>
      </c>
      <c r="K473" s="86"/>
      <c r="M473" s="78" t="s">
        <v>249</v>
      </c>
      <c r="N473" s="82"/>
      <c r="O473" s="81" t="s">
        <v>2296</v>
      </c>
      <c r="P473" s="81" t="s">
        <v>2256</v>
      </c>
      <c r="Q473" s="81"/>
      <c r="R473" s="83">
        <v>250</v>
      </c>
      <c r="S473" s="79" t="s">
        <v>3550</v>
      </c>
      <c r="T473" s="84">
        <v>10500000</v>
      </c>
      <c r="U473" s="81"/>
      <c r="V473" s="81"/>
      <c r="W473" s="78" t="s">
        <v>249</v>
      </c>
      <c r="X473" s="82"/>
      <c r="Y473" s="81" t="s">
        <v>2296</v>
      </c>
      <c r="Z473" s="81" t="s">
        <v>2256</v>
      </c>
      <c r="AA473" s="83">
        <v>1500</v>
      </c>
      <c r="AB473" s="85"/>
      <c r="AD473" s="78" t="s">
        <v>249</v>
      </c>
      <c r="AE473" s="82"/>
      <c r="AF473" s="81" t="s">
        <v>2296</v>
      </c>
      <c r="AG473" s="81" t="s">
        <v>2256</v>
      </c>
      <c r="AH473" s="83">
        <v>2000</v>
      </c>
      <c r="AI473" s="85"/>
    </row>
    <row r="474" spans="1:35" s="79" customFormat="1" ht="11.25" customHeight="1" x14ac:dyDescent="0.2">
      <c r="A474" s="77" t="s">
        <v>2197</v>
      </c>
      <c r="B474" s="80">
        <v>259</v>
      </c>
      <c r="C474" s="81" t="s">
        <v>249</v>
      </c>
      <c r="D474" s="73">
        <v>42000</v>
      </c>
      <c r="E474" s="79" t="s">
        <v>42</v>
      </c>
      <c r="F474" s="79" t="s">
        <v>3725</v>
      </c>
      <c r="G474" s="79" t="s">
        <v>2996</v>
      </c>
      <c r="H474" s="79" t="s">
        <v>59</v>
      </c>
      <c r="I474" s="81" t="s">
        <v>3000</v>
      </c>
      <c r="J474" s="81">
        <v>25</v>
      </c>
      <c r="K474" s="86"/>
      <c r="M474" s="78" t="s">
        <v>249</v>
      </c>
      <c r="N474" s="82"/>
      <c r="O474" s="81" t="s">
        <v>2256</v>
      </c>
      <c r="P474" s="81" t="s">
        <v>2256</v>
      </c>
      <c r="Q474" s="81"/>
      <c r="R474" s="83">
        <v>250</v>
      </c>
      <c r="S474" s="79" t="s">
        <v>2999</v>
      </c>
      <c r="T474" s="84">
        <v>10500000</v>
      </c>
      <c r="U474" s="81"/>
      <c r="V474" s="81"/>
      <c r="W474" s="78" t="s">
        <v>249</v>
      </c>
      <c r="X474" s="82"/>
      <c r="Y474" s="81" t="s">
        <v>2256</v>
      </c>
      <c r="Z474" s="81" t="s">
        <v>2256</v>
      </c>
      <c r="AA474" s="83">
        <v>1500</v>
      </c>
      <c r="AB474" s="85"/>
      <c r="AD474" s="78" t="s">
        <v>249</v>
      </c>
      <c r="AE474" s="82"/>
      <c r="AF474" s="81" t="s">
        <v>2256</v>
      </c>
      <c r="AG474" s="81" t="s">
        <v>2256</v>
      </c>
      <c r="AH474" s="83">
        <v>2000</v>
      </c>
      <c r="AI474" s="85"/>
    </row>
    <row r="475" spans="1:35" s="79" customFormat="1" ht="11.25" customHeight="1" x14ac:dyDescent="0.2">
      <c r="A475" s="77" t="s">
        <v>1240</v>
      </c>
      <c r="B475" s="80">
        <v>851</v>
      </c>
      <c r="C475" s="81" t="s">
        <v>1239</v>
      </c>
      <c r="D475" s="73">
        <v>100</v>
      </c>
      <c r="E475" s="79" t="s">
        <v>20</v>
      </c>
      <c r="F475" s="79" t="s">
        <v>3725</v>
      </c>
      <c r="G475" s="79" t="s">
        <v>2996</v>
      </c>
      <c r="H475" s="79" t="s">
        <v>59</v>
      </c>
      <c r="I475" s="81"/>
      <c r="J475" s="81">
        <v>25</v>
      </c>
      <c r="K475" s="86"/>
      <c r="M475" s="78" t="s">
        <v>1241</v>
      </c>
      <c r="N475" s="82"/>
      <c r="O475" s="81" t="s">
        <v>2529</v>
      </c>
      <c r="P475" s="81" t="s">
        <v>2256</v>
      </c>
      <c r="Q475" s="81"/>
      <c r="R475" s="83">
        <v>100</v>
      </c>
      <c r="S475" s="79" t="s">
        <v>3552</v>
      </c>
      <c r="T475" s="84">
        <v>100000</v>
      </c>
      <c r="U475" s="81"/>
      <c r="V475" s="81"/>
      <c r="W475" s="78" t="s">
        <v>1241</v>
      </c>
      <c r="X475" s="82"/>
      <c r="Y475" s="81" t="s">
        <v>2529</v>
      </c>
      <c r="Z475" s="81" t="s">
        <v>2256</v>
      </c>
      <c r="AA475" s="83">
        <v>1000</v>
      </c>
      <c r="AB475" s="85"/>
      <c r="AD475" s="78" t="s">
        <v>1241</v>
      </c>
      <c r="AE475" s="82"/>
      <c r="AF475" s="81" t="s">
        <v>2529</v>
      </c>
      <c r="AG475" s="81" t="s">
        <v>2256</v>
      </c>
      <c r="AH475" s="83">
        <v>1500</v>
      </c>
      <c r="AI475" s="85"/>
    </row>
    <row r="476" spans="1:35" s="79" customFormat="1" ht="11.25" customHeight="1" x14ac:dyDescent="0.2">
      <c r="A476" s="77" t="s">
        <v>2226</v>
      </c>
      <c r="B476" s="80">
        <v>589</v>
      </c>
      <c r="C476" s="81" t="s">
        <v>1241</v>
      </c>
      <c r="D476" s="73">
        <v>1000</v>
      </c>
      <c r="E476" s="79" t="s">
        <v>20</v>
      </c>
      <c r="F476" s="79" t="s">
        <v>3725</v>
      </c>
      <c r="G476" s="79" t="s">
        <v>2996</v>
      </c>
      <c r="H476" s="79" t="s">
        <v>59</v>
      </c>
      <c r="I476" s="81"/>
      <c r="J476" s="81">
        <v>25</v>
      </c>
      <c r="K476" s="86"/>
      <c r="M476" s="78" t="s">
        <v>1241</v>
      </c>
      <c r="N476" s="82"/>
      <c r="O476" s="81" t="s">
        <v>2256</v>
      </c>
      <c r="P476" s="81" t="s">
        <v>2256</v>
      </c>
      <c r="Q476" s="81"/>
      <c r="R476" s="83">
        <v>100</v>
      </c>
      <c r="S476" s="79" t="s">
        <v>2999</v>
      </c>
      <c r="T476" s="84">
        <v>100000</v>
      </c>
      <c r="U476" s="81"/>
      <c r="V476" s="81"/>
      <c r="W476" s="78" t="s">
        <v>1241</v>
      </c>
      <c r="X476" s="82"/>
      <c r="Y476" s="81" t="s">
        <v>2256</v>
      </c>
      <c r="Z476" s="81" t="s">
        <v>2256</v>
      </c>
      <c r="AA476" s="83">
        <v>1000</v>
      </c>
      <c r="AB476" s="85"/>
      <c r="AD476" s="78" t="s">
        <v>1241</v>
      </c>
      <c r="AE476" s="82"/>
      <c r="AF476" s="81" t="s">
        <v>2256</v>
      </c>
      <c r="AG476" s="81" t="s">
        <v>2256</v>
      </c>
      <c r="AH476" s="83">
        <v>1500</v>
      </c>
      <c r="AI476" s="85"/>
    </row>
    <row r="477" spans="1:35" s="79" customFormat="1" ht="11.25" customHeight="1" x14ac:dyDescent="0.2">
      <c r="A477" s="77" t="s">
        <v>506</v>
      </c>
      <c r="B477" s="80">
        <v>420</v>
      </c>
      <c r="C477" s="81" t="s">
        <v>505</v>
      </c>
      <c r="D477" s="73">
        <v>1000</v>
      </c>
      <c r="E477" s="79" t="s">
        <v>20</v>
      </c>
      <c r="F477" s="79" t="s">
        <v>3725</v>
      </c>
      <c r="G477" s="79" t="s">
        <v>2996</v>
      </c>
      <c r="H477" s="79" t="s">
        <v>59</v>
      </c>
      <c r="I477" s="81" t="s">
        <v>3000</v>
      </c>
      <c r="J477" s="81">
        <v>25</v>
      </c>
      <c r="K477" s="86"/>
      <c r="M477" s="78" t="s">
        <v>57</v>
      </c>
      <c r="N477" s="82" t="s">
        <v>467</v>
      </c>
      <c r="O477" s="81" t="s">
        <v>3730</v>
      </c>
      <c r="P477" s="81" t="s">
        <v>2802</v>
      </c>
      <c r="Q477" s="81"/>
      <c r="R477" s="83" t="s">
        <v>507</v>
      </c>
      <c r="S477" s="79" t="s">
        <v>3546</v>
      </c>
      <c r="T477" s="84" t="s">
        <v>3611</v>
      </c>
      <c r="U477" s="81"/>
      <c r="V477" s="81"/>
      <c r="W477" s="78" t="s">
        <v>57</v>
      </c>
      <c r="X477" s="82" t="s">
        <v>467</v>
      </c>
      <c r="Y477" s="81" t="s">
        <v>3730</v>
      </c>
      <c r="Z477" s="81" t="s">
        <v>2802</v>
      </c>
      <c r="AA477" s="81" t="s">
        <v>509</v>
      </c>
      <c r="AB477" s="85"/>
      <c r="AD477" s="78" t="s">
        <v>57</v>
      </c>
      <c r="AE477" s="82" t="s">
        <v>467</v>
      </c>
      <c r="AF477" s="81" t="s">
        <v>3730</v>
      </c>
      <c r="AG477" s="81" t="s">
        <v>2802</v>
      </c>
      <c r="AH477" s="81" t="s">
        <v>508</v>
      </c>
      <c r="AI477" s="85"/>
    </row>
    <row r="478" spans="1:35" s="79" customFormat="1" ht="11.25" customHeight="1" x14ac:dyDescent="0.2">
      <c r="A478" s="77" t="s">
        <v>2055</v>
      </c>
      <c r="B478" s="80">
        <v>421</v>
      </c>
      <c r="C478" s="81" t="s">
        <v>2054</v>
      </c>
      <c r="D478" s="73">
        <v>1000</v>
      </c>
      <c r="E478" s="79" t="s">
        <v>20</v>
      </c>
      <c r="F478" s="79" t="s">
        <v>3725</v>
      </c>
      <c r="G478" s="79" t="s">
        <v>2996</v>
      </c>
      <c r="H478" s="79" t="s">
        <v>59</v>
      </c>
      <c r="I478" s="81" t="s">
        <v>3000</v>
      </c>
      <c r="J478" s="81">
        <v>25</v>
      </c>
      <c r="K478" s="86"/>
      <c r="M478" s="78" t="s">
        <v>57</v>
      </c>
      <c r="N478" s="82" t="s">
        <v>512</v>
      </c>
      <c r="O478" s="81" t="s">
        <v>2717</v>
      </c>
      <c r="P478" s="81" t="s">
        <v>2973</v>
      </c>
      <c r="Q478" s="81"/>
      <c r="R478" s="83" t="s">
        <v>2056</v>
      </c>
      <c r="S478" s="79" t="s">
        <v>3547</v>
      </c>
      <c r="T478" s="84" t="s">
        <v>3630</v>
      </c>
      <c r="U478" s="81"/>
      <c r="V478" s="81"/>
      <c r="W478" s="78" t="s">
        <v>57</v>
      </c>
      <c r="X478" s="82" t="s">
        <v>512</v>
      </c>
      <c r="Y478" s="81" t="s">
        <v>2717</v>
      </c>
      <c r="Z478" s="81" t="s">
        <v>2973</v>
      </c>
      <c r="AA478" s="81" t="s">
        <v>2058</v>
      </c>
      <c r="AB478" s="85"/>
      <c r="AD478" s="78" t="s">
        <v>57</v>
      </c>
      <c r="AE478" s="82" t="s">
        <v>512</v>
      </c>
      <c r="AF478" s="81" t="s">
        <v>2717</v>
      </c>
      <c r="AG478" s="81" t="s">
        <v>2973</v>
      </c>
      <c r="AH478" s="81" t="s">
        <v>2057</v>
      </c>
      <c r="AI478" s="85"/>
    </row>
    <row r="479" spans="1:35" s="79" customFormat="1" ht="11.25" customHeight="1" x14ac:dyDescent="0.2">
      <c r="A479" s="77" t="s">
        <v>58</v>
      </c>
      <c r="B479" s="80">
        <v>409</v>
      </c>
      <c r="C479" s="81" t="s">
        <v>57</v>
      </c>
      <c r="D479" s="73">
        <v>42000</v>
      </c>
      <c r="E479" s="79" t="s">
        <v>42</v>
      </c>
      <c r="F479" s="79" t="s">
        <v>3725</v>
      </c>
      <c r="G479" s="79" t="s">
        <v>2996</v>
      </c>
      <c r="H479" s="79" t="s">
        <v>59</v>
      </c>
      <c r="I479" s="81" t="s">
        <v>3000</v>
      </c>
      <c r="J479" s="81">
        <v>25</v>
      </c>
      <c r="K479" s="86"/>
      <c r="M479" s="78" t="s">
        <v>57</v>
      </c>
      <c r="N479" s="82"/>
      <c r="O479" s="81" t="s">
        <v>2256</v>
      </c>
      <c r="P479" s="81" t="s">
        <v>2256</v>
      </c>
      <c r="Q479" s="81"/>
      <c r="R479" s="83">
        <v>250</v>
      </c>
      <c r="S479" s="79" t="s">
        <v>2999</v>
      </c>
      <c r="T479" s="84">
        <v>10500000</v>
      </c>
      <c r="U479" s="81"/>
      <c r="V479" s="81"/>
      <c r="W479" s="78" t="s">
        <v>57</v>
      </c>
      <c r="X479" s="82"/>
      <c r="Y479" s="81" t="s">
        <v>2256</v>
      </c>
      <c r="Z479" s="81" t="s">
        <v>2256</v>
      </c>
      <c r="AA479" s="83">
        <v>1500</v>
      </c>
      <c r="AB479" s="85"/>
      <c r="AD479" s="78" t="s">
        <v>57</v>
      </c>
      <c r="AE479" s="82"/>
      <c r="AF479" s="81" t="s">
        <v>2256</v>
      </c>
      <c r="AG479" s="81" t="s">
        <v>2256</v>
      </c>
      <c r="AH479" s="83">
        <v>2000</v>
      </c>
      <c r="AI479" s="85"/>
    </row>
    <row r="480" spans="1:35" s="79" customFormat="1" ht="11.25" customHeight="1" x14ac:dyDescent="0.2">
      <c r="A480" s="77" t="s">
        <v>199</v>
      </c>
      <c r="B480" s="80">
        <v>136</v>
      </c>
      <c r="C480" s="81" t="s">
        <v>198</v>
      </c>
      <c r="D480" s="73">
        <v>42000</v>
      </c>
      <c r="E480" s="79" t="s">
        <v>42</v>
      </c>
      <c r="F480" s="79" t="s">
        <v>3725</v>
      </c>
      <c r="G480" s="79" t="s">
        <v>2996</v>
      </c>
      <c r="H480" s="79" t="s">
        <v>59</v>
      </c>
      <c r="I480" s="81"/>
      <c r="J480" s="81">
        <v>25</v>
      </c>
      <c r="K480" s="86"/>
      <c r="M480" s="78" t="s">
        <v>57</v>
      </c>
      <c r="N480" s="82"/>
      <c r="O480" s="81" t="s">
        <v>2286</v>
      </c>
      <c r="P480" s="81" t="s">
        <v>2256</v>
      </c>
      <c r="Q480" s="81"/>
      <c r="R480" s="83">
        <v>250</v>
      </c>
      <c r="S480" s="79" t="s">
        <v>3524</v>
      </c>
      <c r="T480" s="84">
        <v>10500000</v>
      </c>
      <c r="U480" s="81"/>
      <c r="V480" s="81"/>
      <c r="W480" s="78" t="s">
        <v>57</v>
      </c>
      <c r="X480" s="82"/>
      <c r="Y480" s="81" t="s">
        <v>2286</v>
      </c>
      <c r="Z480" s="81" t="s">
        <v>2256</v>
      </c>
      <c r="AA480" s="83">
        <v>1500</v>
      </c>
      <c r="AB480" s="85"/>
      <c r="AD480" s="78" t="s">
        <v>57</v>
      </c>
      <c r="AE480" s="82"/>
      <c r="AF480" s="81" t="s">
        <v>2286</v>
      </c>
      <c r="AG480" s="81" t="s">
        <v>2256</v>
      </c>
      <c r="AH480" s="83">
        <v>2000</v>
      </c>
      <c r="AI480" s="85"/>
    </row>
    <row r="481" spans="1:35" s="79" customFormat="1" ht="11.25" customHeight="1" x14ac:dyDescent="0.2">
      <c r="A481" s="77" t="s">
        <v>581</v>
      </c>
      <c r="B481" s="81" t="s">
        <v>582</v>
      </c>
      <c r="C481" s="81" t="s">
        <v>580</v>
      </c>
      <c r="D481" s="73">
        <v>42000</v>
      </c>
      <c r="E481" s="79" t="s">
        <v>42</v>
      </c>
      <c r="F481" s="79" t="s">
        <v>30</v>
      </c>
      <c r="G481" s="79" t="s">
        <v>3001</v>
      </c>
      <c r="H481" s="79" t="s">
        <v>59</v>
      </c>
      <c r="I481" s="81" t="s">
        <v>3000</v>
      </c>
      <c r="J481" s="81">
        <v>25</v>
      </c>
      <c r="K481" s="86"/>
      <c r="M481" s="78" t="s">
        <v>57</v>
      </c>
      <c r="N481" s="82"/>
      <c r="O481" s="81" t="s">
        <v>2369</v>
      </c>
      <c r="P481" s="81" t="s">
        <v>2256</v>
      </c>
      <c r="Q481" s="81"/>
      <c r="R481" s="83">
        <v>250</v>
      </c>
      <c r="S481" s="79" t="s">
        <v>3524</v>
      </c>
      <c r="T481" s="84">
        <v>10500000</v>
      </c>
      <c r="U481" s="81"/>
      <c r="V481" s="81"/>
      <c r="W481" s="78" t="s">
        <v>57</v>
      </c>
      <c r="X481" s="82"/>
      <c r="Y481" s="81" t="s">
        <v>2369</v>
      </c>
      <c r="Z481" s="81" t="s">
        <v>2256</v>
      </c>
      <c r="AA481" s="83">
        <v>1500</v>
      </c>
      <c r="AB481" s="85"/>
      <c r="AD481" s="78" t="s">
        <v>57</v>
      </c>
      <c r="AE481" s="82"/>
      <c r="AF481" s="81" t="s">
        <v>2369</v>
      </c>
      <c r="AG481" s="81" t="s">
        <v>2256</v>
      </c>
      <c r="AH481" s="83">
        <v>2000</v>
      </c>
      <c r="AI481" s="85"/>
    </row>
    <row r="482" spans="1:35" s="79" customFormat="1" ht="11.25" customHeight="1" x14ac:dyDescent="0.2">
      <c r="A482" s="77" t="s">
        <v>2173</v>
      </c>
      <c r="B482" s="80">
        <v>400</v>
      </c>
      <c r="C482" s="81" t="s">
        <v>2172</v>
      </c>
      <c r="D482" s="73">
        <v>4200</v>
      </c>
      <c r="E482" s="79" t="s">
        <v>42</v>
      </c>
      <c r="F482" s="79" t="s">
        <v>3725</v>
      </c>
      <c r="G482" s="79" t="s">
        <v>2996</v>
      </c>
      <c r="H482" s="79" t="s">
        <v>59</v>
      </c>
      <c r="I482" s="81" t="s">
        <v>3000</v>
      </c>
      <c r="J482" s="81">
        <v>25</v>
      </c>
      <c r="K482" s="86"/>
      <c r="M482" s="78" t="s">
        <v>57</v>
      </c>
      <c r="N482" s="82"/>
      <c r="O482" s="81" t="s">
        <v>2750</v>
      </c>
      <c r="P482" s="81" t="s">
        <v>2256</v>
      </c>
      <c r="Q482" s="81"/>
      <c r="R482" s="83">
        <v>250</v>
      </c>
      <c r="S482" s="79" t="s">
        <v>3524</v>
      </c>
      <c r="T482" s="84">
        <v>10500000</v>
      </c>
      <c r="U482" s="81"/>
      <c r="V482" s="81"/>
      <c r="W482" s="78" t="s">
        <v>57</v>
      </c>
      <c r="X482" s="82"/>
      <c r="Y482" s="81" t="s">
        <v>2750</v>
      </c>
      <c r="Z482" s="81" t="s">
        <v>2256</v>
      </c>
      <c r="AA482" s="83">
        <v>1500</v>
      </c>
      <c r="AB482" s="85"/>
      <c r="AD482" s="78" t="s">
        <v>57</v>
      </c>
      <c r="AE482" s="82"/>
      <c r="AF482" s="81" t="s">
        <v>2750</v>
      </c>
      <c r="AG482" s="81" t="s">
        <v>2256</v>
      </c>
      <c r="AH482" s="83">
        <v>2000</v>
      </c>
      <c r="AI482" s="85"/>
    </row>
    <row r="483" spans="1:35" s="79" customFormat="1" ht="11.25" customHeight="1" x14ac:dyDescent="0.2">
      <c r="A483" s="77" t="s">
        <v>2200</v>
      </c>
      <c r="B483" s="80">
        <v>296</v>
      </c>
      <c r="C483" s="81" t="s">
        <v>2199</v>
      </c>
      <c r="D483" s="73">
        <v>42000</v>
      </c>
      <c r="E483" s="79" t="s">
        <v>42</v>
      </c>
      <c r="F483" s="79" t="s">
        <v>3725</v>
      </c>
      <c r="G483" s="79" t="s">
        <v>2996</v>
      </c>
      <c r="H483" s="79" t="s">
        <v>59</v>
      </c>
      <c r="I483" s="81" t="s">
        <v>3000</v>
      </c>
      <c r="J483" s="81">
        <v>25</v>
      </c>
      <c r="K483" s="86"/>
      <c r="M483" s="78" t="s">
        <v>57</v>
      </c>
      <c r="N483" s="82"/>
      <c r="O483" s="81" t="s">
        <v>2757</v>
      </c>
      <c r="P483" s="81" t="s">
        <v>2256</v>
      </c>
      <c r="Q483" s="81"/>
      <c r="R483" s="83">
        <v>250</v>
      </c>
      <c r="S483" s="79" t="s">
        <v>3524</v>
      </c>
      <c r="T483" s="84">
        <v>10500000</v>
      </c>
      <c r="U483" s="81"/>
      <c r="V483" s="81"/>
      <c r="W483" s="78" t="s">
        <v>57</v>
      </c>
      <c r="X483" s="82"/>
      <c r="Y483" s="81" t="s">
        <v>2757</v>
      </c>
      <c r="Z483" s="81" t="s">
        <v>2256</v>
      </c>
      <c r="AA483" s="83">
        <v>1500</v>
      </c>
      <c r="AB483" s="85"/>
      <c r="AD483" s="78" t="s">
        <v>57</v>
      </c>
      <c r="AE483" s="82"/>
      <c r="AF483" s="81" t="s">
        <v>2757</v>
      </c>
      <c r="AG483" s="81" t="s">
        <v>2256</v>
      </c>
      <c r="AH483" s="83">
        <v>2000</v>
      </c>
      <c r="AI483" s="85"/>
    </row>
    <row r="484" spans="1:35" s="79" customFormat="1" ht="11.25" customHeight="1" x14ac:dyDescent="0.2">
      <c r="A484" s="77" t="s">
        <v>176</v>
      </c>
      <c r="B484" s="80">
        <v>410</v>
      </c>
      <c r="C484" s="81" t="s">
        <v>175</v>
      </c>
      <c r="D484" s="73">
        <v>42000</v>
      </c>
      <c r="E484" s="79" t="s">
        <v>42</v>
      </c>
      <c r="F484" s="79" t="s">
        <v>3725</v>
      </c>
      <c r="G484" s="79" t="s">
        <v>2996</v>
      </c>
      <c r="H484" s="79" t="s">
        <v>59</v>
      </c>
      <c r="I484" s="81" t="s">
        <v>3000</v>
      </c>
      <c r="J484" s="81">
        <v>25</v>
      </c>
      <c r="K484" s="86"/>
      <c r="M484" s="78" t="s">
        <v>175</v>
      </c>
      <c r="N484" s="82"/>
      <c r="O484" s="81" t="s">
        <v>2256</v>
      </c>
      <c r="P484" s="81" t="s">
        <v>2256</v>
      </c>
      <c r="Q484" s="81"/>
      <c r="R484" s="83">
        <v>250</v>
      </c>
      <c r="S484" s="79" t="s">
        <v>2999</v>
      </c>
      <c r="T484" s="84">
        <v>10500000</v>
      </c>
      <c r="U484" s="81"/>
      <c r="V484" s="81"/>
      <c r="W484" s="78" t="s">
        <v>175</v>
      </c>
      <c r="X484" s="82"/>
      <c r="Y484" s="81" t="s">
        <v>2256</v>
      </c>
      <c r="Z484" s="81" t="s">
        <v>2256</v>
      </c>
      <c r="AA484" s="83">
        <v>1500</v>
      </c>
      <c r="AB484" s="85"/>
      <c r="AD484" s="78" t="s">
        <v>175</v>
      </c>
      <c r="AE484" s="82"/>
      <c r="AF484" s="81" t="s">
        <v>2256</v>
      </c>
      <c r="AG484" s="81" t="s">
        <v>2256</v>
      </c>
      <c r="AH484" s="83">
        <v>2000</v>
      </c>
      <c r="AI484" s="85"/>
    </row>
    <row r="485" spans="1:35" s="79" customFormat="1" ht="11.25" customHeight="1" x14ac:dyDescent="0.2">
      <c r="A485" s="77" t="s">
        <v>587</v>
      </c>
      <c r="B485" s="81" t="s">
        <v>588</v>
      </c>
      <c r="C485" s="81" t="s">
        <v>586</v>
      </c>
      <c r="D485" s="73">
        <v>42000</v>
      </c>
      <c r="E485" s="79" t="s">
        <v>42</v>
      </c>
      <c r="F485" s="79" t="s">
        <v>30</v>
      </c>
      <c r="G485" s="79" t="s">
        <v>3001</v>
      </c>
      <c r="H485" s="79" t="s">
        <v>59</v>
      </c>
      <c r="I485" s="81" t="s">
        <v>3000</v>
      </c>
      <c r="J485" s="81">
        <v>25</v>
      </c>
      <c r="K485" s="86"/>
      <c r="M485" s="78" t="s">
        <v>175</v>
      </c>
      <c r="N485" s="82"/>
      <c r="O485" s="81" t="s">
        <v>2371</v>
      </c>
      <c r="P485" s="81" t="s">
        <v>2256</v>
      </c>
      <c r="Q485" s="81"/>
      <c r="R485" s="83">
        <v>250</v>
      </c>
      <c r="S485" s="79" t="s">
        <v>3544</v>
      </c>
      <c r="T485" s="84">
        <v>10500000</v>
      </c>
      <c r="U485" s="81"/>
      <c r="V485" s="81"/>
      <c r="W485" s="78" t="s">
        <v>175</v>
      </c>
      <c r="X485" s="82"/>
      <c r="Y485" s="81" t="s">
        <v>2371</v>
      </c>
      <c r="Z485" s="81" t="s">
        <v>2256</v>
      </c>
      <c r="AA485" s="83">
        <v>1500</v>
      </c>
      <c r="AB485" s="85"/>
      <c r="AD485" s="78" t="s">
        <v>175</v>
      </c>
      <c r="AE485" s="82"/>
      <c r="AF485" s="81" t="s">
        <v>2371</v>
      </c>
      <c r="AG485" s="81" t="s">
        <v>2256</v>
      </c>
      <c r="AH485" s="83">
        <v>2000</v>
      </c>
      <c r="AI485" s="85"/>
    </row>
    <row r="486" spans="1:35" s="79" customFormat="1" ht="11.25" customHeight="1" x14ac:dyDescent="0.2">
      <c r="A486" s="77" t="s">
        <v>2181</v>
      </c>
      <c r="B486" s="80">
        <v>298</v>
      </c>
      <c r="C486" s="81" t="s">
        <v>2180</v>
      </c>
      <c r="D486" s="73">
        <v>42000</v>
      </c>
      <c r="E486" s="79" t="s">
        <v>42</v>
      </c>
      <c r="F486" s="79" t="s">
        <v>3725</v>
      </c>
      <c r="G486" s="79" t="s">
        <v>2996</v>
      </c>
      <c r="H486" s="79" t="s">
        <v>59</v>
      </c>
      <c r="I486" s="81" t="s">
        <v>3000</v>
      </c>
      <c r="J486" s="81">
        <v>25</v>
      </c>
      <c r="K486" s="86"/>
      <c r="M486" s="78" t="s">
        <v>175</v>
      </c>
      <c r="N486" s="82"/>
      <c r="O486" s="81" t="s">
        <v>2752</v>
      </c>
      <c r="P486" s="81" t="s">
        <v>2256</v>
      </c>
      <c r="Q486" s="81"/>
      <c r="R486" s="83">
        <v>250</v>
      </c>
      <c r="S486" s="79" t="s">
        <v>3544</v>
      </c>
      <c r="T486" s="84">
        <v>10500000</v>
      </c>
      <c r="U486" s="81"/>
      <c r="V486" s="81"/>
      <c r="W486" s="78" t="s">
        <v>175</v>
      </c>
      <c r="X486" s="82"/>
      <c r="Y486" s="81" t="s">
        <v>2752</v>
      </c>
      <c r="Z486" s="81" t="s">
        <v>2256</v>
      </c>
      <c r="AA486" s="83">
        <v>1500</v>
      </c>
      <c r="AB486" s="85"/>
      <c r="AD486" s="78" t="s">
        <v>175</v>
      </c>
      <c r="AE486" s="82"/>
      <c r="AF486" s="81" t="s">
        <v>2752</v>
      </c>
      <c r="AG486" s="81" t="s">
        <v>2256</v>
      </c>
      <c r="AH486" s="83">
        <v>2000</v>
      </c>
      <c r="AI486" s="85"/>
    </row>
    <row r="487" spans="1:35" s="79" customFormat="1" ht="11.25" customHeight="1" x14ac:dyDescent="0.2">
      <c r="A487" s="77" t="s">
        <v>309</v>
      </c>
      <c r="B487" s="80">
        <v>241</v>
      </c>
      <c r="C487" s="81" t="s">
        <v>308</v>
      </c>
      <c r="D487" s="73">
        <v>42000</v>
      </c>
      <c r="E487" s="79" t="s">
        <v>42</v>
      </c>
      <c r="F487" s="79" t="s">
        <v>3725</v>
      </c>
      <c r="G487" s="79" t="s">
        <v>2997</v>
      </c>
      <c r="H487" s="79" t="s">
        <v>59</v>
      </c>
      <c r="I487" s="81"/>
      <c r="J487" s="81">
        <v>25</v>
      </c>
      <c r="K487" s="86"/>
      <c r="M487" s="78" t="s">
        <v>308</v>
      </c>
      <c r="N487" s="82"/>
      <c r="O487" s="81" t="s">
        <v>2256</v>
      </c>
      <c r="P487" s="81" t="s">
        <v>2256</v>
      </c>
      <c r="Q487" s="81"/>
      <c r="R487" s="83">
        <v>250</v>
      </c>
      <c r="S487" s="79" t="s">
        <v>2999</v>
      </c>
      <c r="T487" s="84">
        <v>10500000</v>
      </c>
      <c r="U487" s="81"/>
      <c r="V487" s="81"/>
      <c r="W487" s="78" t="s">
        <v>308</v>
      </c>
      <c r="X487" s="82"/>
      <c r="Y487" s="81" t="s">
        <v>2256</v>
      </c>
      <c r="Z487" s="81" t="s">
        <v>2256</v>
      </c>
      <c r="AA487" s="80">
        <v>750</v>
      </c>
      <c r="AB487" s="85"/>
      <c r="AD487" s="78" t="s">
        <v>308</v>
      </c>
      <c r="AE487" s="82"/>
      <c r="AF487" s="81" t="s">
        <v>2256</v>
      </c>
      <c r="AG487" s="81" t="s">
        <v>2256</v>
      </c>
      <c r="AH487" s="83">
        <v>1000</v>
      </c>
      <c r="AI487" s="85"/>
    </row>
    <row r="488" spans="1:35" s="79" customFormat="1" ht="11.25" customHeight="1" x14ac:dyDescent="0.2">
      <c r="A488" s="77" t="s">
        <v>208</v>
      </c>
      <c r="B488" s="80">
        <v>137</v>
      </c>
      <c r="C488" s="81" t="s">
        <v>207</v>
      </c>
      <c r="D488" s="73">
        <v>42000</v>
      </c>
      <c r="E488" s="79" t="s">
        <v>42</v>
      </c>
      <c r="F488" s="79" t="s">
        <v>3725</v>
      </c>
      <c r="G488" s="79" t="s">
        <v>2996</v>
      </c>
      <c r="H488" s="79" t="s">
        <v>59</v>
      </c>
      <c r="I488" s="81"/>
      <c r="J488" s="81">
        <v>25</v>
      </c>
      <c r="K488" s="86"/>
      <c r="M488" s="78" t="s">
        <v>209</v>
      </c>
      <c r="N488" s="82"/>
      <c r="O488" s="81" t="s">
        <v>2288</v>
      </c>
      <c r="P488" s="81" t="s">
        <v>2256</v>
      </c>
      <c r="Q488" s="81"/>
      <c r="R488" s="83">
        <v>250</v>
      </c>
      <c r="S488" s="79" t="s">
        <v>3541</v>
      </c>
      <c r="T488" s="84">
        <v>10500000</v>
      </c>
      <c r="U488" s="81"/>
      <c r="V488" s="81"/>
      <c r="W488" s="78" t="s">
        <v>209</v>
      </c>
      <c r="X488" s="82"/>
      <c r="Y488" s="81" t="s">
        <v>2288</v>
      </c>
      <c r="Z488" s="81" t="s">
        <v>2256</v>
      </c>
      <c r="AA488" s="83">
        <v>1500</v>
      </c>
      <c r="AB488" s="85"/>
      <c r="AD488" s="78" t="s">
        <v>209</v>
      </c>
      <c r="AE488" s="82"/>
      <c r="AF488" s="81" t="s">
        <v>2288</v>
      </c>
      <c r="AG488" s="81" t="s">
        <v>2256</v>
      </c>
      <c r="AH488" s="83">
        <v>2000</v>
      </c>
      <c r="AI488" s="85"/>
    </row>
    <row r="489" spans="1:35" s="79" customFormat="1" ht="11.25" customHeight="1" x14ac:dyDescent="0.2">
      <c r="A489" s="77" t="s">
        <v>348</v>
      </c>
      <c r="B489" s="80">
        <v>411</v>
      </c>
      <c r="C489" s="81" t="s">
        <v>209</v>
      </c>
      <c r="D489" s="73">
        <v>42000</v>
      </c>
      <c r="E489" s="79" t="s">
        <v>42</v>
      </c>
      <c r="F489" s="79" t="s">
        <v>3725</v>
      </c>
      <c r="G489" s="79" t="s">
        <v>2996</v>
      </c>
      <c r="H489" s="79" t="s">
        <v>59</v>
      </c>
      <c r="I489" s="81" t="s">
        <v>3000</v>
      </c>
      <c r="J489" s="81">
        <v>25</v>
      </c>
      <c r="K489" s="86"/>
      <c r="M489" s="78" t="s">
        <v>209</v>
      </c>
      <c r="N489" s="82"/>
      <c r="O489" s="81" t="s">
        <v>2256</v>
      </c>
      <c r="P489" s="81" t="s">
        <v>2256</v>
      </c>
      <c r="Q489" s="81"/>
      <c r="R489" s="83">
        <v>250</v>
      </c>
      <c r="S489" s="79" t="s">
        <v>2999</v>
      </c>
      <c r="T489" s="84">
        <v>10500000</v>
      </c>
      <c r="U489" s="81"/>
      <c r="V489" s="81"/>
      <c r="W489" s="78" t="s">
        <v>209</v>
      </c>
      <c r="X489" s="82"/>
      <c r="Y489" s="81" t="s">
        <v>2256</v>
      </c>
      <c r="Z489" s="81" t="s">
        <v>2256</v>
      </c>
      <c r="AA489" s="83">
        <v>1500</v>
      </c>
      <c r="AB489" s="85"/>
      <c r="AD489" s="78" t="s">
        <v>209</v>
      </c>
      <c r="AE489" s="82"/>
      <c r="AF489" s="81" t="s">
        <v>2256</v>
      </c>
      <c r="AG489" s="81" t="s">
        <v>2256</v>
      </c>
      <c r="AH489" s="83">
        <v>2000</v>
      </c>
      <c r="AI489" s="85"/>
    </row>
    <row r="490" spans="1:35" s="79" customFormat="1" ht="11.25" x14ac:dyDescent="0.2">
      <c r="A490" s="77" t="s">
        <v>590</v>
      </c>
      <c r="B490" s="81" t="s">
        <v>591</v>
      </c>
      <c r="C490" s="81" t="s">
        <v>589</v>
      </c>
      <c r="D490" s="73">
        <v>42000</v>
      </c>
      <c r="E490" s="79" t="s">
        <v>42</v>
      </c>
      <c r="F490" s="79" t="s">
        <v>30</v>
      </c>
      <c r="G490" s="79" t="s">
        <v>3001</v>
      </c>
      <c r="H490" s="79" t="s">
        <v>59</v>
      </c>
      <c r="I490" s="81" t="s">
        <v>3000</v>
      </c>
      <c r="J490" s="81">
        <v>25</v>
      </c>
      <c r="K490" s="86"/>
      <c r="M490" s="78" t="s">
        <v>209</v>
      </c>
      <c r="N490" s="82"/>
      <c r="O490" s="81" t="s">
        <v>2372</v>
      </c>
      <c r="P490" s="81" t="s">
        <v>2256</v>
      </c>
      <c r="Q490" s="81"/>
      <c r="R490" s="83">
        <v>250</v>
      </c>
      <c r="S490" s="79" t="s">
        <v>3541</v>
      </c>
      <c r="T490" s="84">
        <v>10500000</v>
      </c>
      <c r="U490" s="81"/>
      <c r="V490" s="81"/>
      <c r="W490" s="78" t="s">
        <v>209</v>
      </c>
      <c r="X490" s="82"/>
      <c r="Y490" s="81" t="s">
        <v>2372</v>
      </c>
      <c r="Z490" s="81" t="s">
        <v>2256</v>
      </c>
      <c r="AA490" s="83">
        <v>1500</v>
      </c>
      <c r="AB490" s="85"/>
      <c r="AD490" s="78" t="s">
        <v>209</v>
      </c>
      <c r="AE490" s="82"/>
      <c r="AF490" s="81" t="s">
        <v>2372</v>
      </c>
      <c r="AG490" s="81" t="s">
        <v>2256</v>
      </c>
      <c r="AH490" s="83">
        <v>2000</v>
      </c>
      <c r="AI490" s="85"/>
    </row>
    <row r="491" spans="1:35" s="79" customFormat="1" ht="11.25" x14ac:dyDescent="0.2">
      <c r="A491" s="77" t="s">
        <v>2194</v>
      </c>
      <c r="B491" s="80">
        <v>299</v>
      </c>
      <c r="C491" s="81" t="s">
        <v>2193</v>
      </c>
      <c r="D491" s="73">
        <v>42000</v>
      </c>
      <c r="E491" s="79" t="s">
        <v>42</v>
      </c>
      <c r="F491" s="79" t="s">
        <v>3725</v>
      </c>
      <c r="G491" s="79" t="s">
        <v>2996</v>
      </c>
      <c r="H491" s="79" t="s">
        <v>59</v>
      </c>
      <c r="I491" s="81" t="s">
        <v>3000</v>
      </c>
      <c r="J491" s="81">
        <v>25</v>
      </c>
      <c r="K491" s="86"/>
      <c r="M491" s="78" t="s">
        <v>209</v>
      </c>
      <c r="N491" s="82"/>
      <c r="O491" s="81" t="s">
        <v>2756</v>
      </c>
      <c r="P491" s="81" t="s">
        <v>2256</v>
      </c>
      <c r="Q491" s="81"/>
      <c r="R491" s="83">
        <v>250</v>
      </c>
      <c r="S491" s="79" t="s">
        <v>3541</v>
      </c>
      <c r="T491" s="84">
        <v>10500000</v>
      </c>
      <c r="U491" s="81"/>
      <c r="V491" s="81"/>
      <c r="W491" s="78" t="s">
        <v>209</v>
      </c>
      <c r="X491" s="82"/>
      <c r="Y491" s="81" t="s">
        <v>2756</v>
      </c>
      <c r="Z491" s="81" t="s">
        <v>2256</v>
      </c>
      <c r="AA491" s="83">
        <v>1500</v>
      </c>
      <c r="AB491" s="85"/>
      <c r="AD491" s="78" t="s">
        <v>209</v>
      </c>
      <c r="AE491" s="82"/>
      <c r="AF491" s="81" t="s">
        <v>2756</v>
      </c>
      <c r="AG491" s="81" t="s">
        <v>2256</v>
      </c>
      <c r="AH491" s="83">
        <v>2000</v>
      </c>
      <c r="AI491" s="85"/>
    </row>
    <row r="492" spans="1:35" s="79" customFormat="1" ht="11.25" x14ac:dyDescent="0.2">
      <c r="A492" s="77" t="s">
        <v>1248</v>
      </c>
      <c r="B492" s="80">
        <v>242</v>
      </c>
      <c r="C492" s="81" t="s">
        <v>1247</v>
      </c>
      <c r="D492" s="73">
        <v>100000</v>
      </c>
      <c r="E492" s="79" t="s">
        <v>239</v>
      </c>
      <c r="F492" s="79" t="s">
        <v>3725</v>
      </c>
      <c r="G492" s="79" t="s">
        <v>2997</v>
      </c>
      <c r="H492" s="79" t="s">
        <v>59</v>
      </c>
      <c r="I492" s="81"/>
      <c r="J492" s="81">
        <v>25</v>
      </c>
      <c r="K492" s="86"/>
      <c r="M492" s="78" t="s">
        <v>1247</v>
      </c>
      <c r="N492" s="82"/>
      <c r="O492" s="81" t="s">
        <v>2256</v>
      </c>
      <c r="P492" s="81" t="s">
        <v>2256</v>
      </c>
      <c r="Q492" s="81"/>
      <c r="R492" s="83">
        <v>1000</v>
      </c>
      <c r="S492" s="79" t="s">
        <v>2999</v>
      </c>
      <c r="T492" s="84">
        <v>100000000</v>
      </c>
      <c r="U492" s="81"/>
      <c r="V492" s="81"/>
      <c r="W492" s="78" t="s">
        <v>1247</v>
      </c>
      <c r="X492" s="82"/>
      <c r="Y492" s="81" t="s">
        <v>2256</v>
      </c>
      <c r="Z492" s="81" t="s">
        <v>2256</v>
      </c>
      <c r="AA492" s="83">
        <v>4000</v>
      </c>
      <c r="AB492" s="85"/>
      <c r="AD492" s="78" t="s">
        <v>1247</v>
      </c>
      <c r="AE492" s="82"/>
      <c r="AF492" s="81" t="s">
        <v>2256</v>
      </c>
      <c r="AG492" s="81" t="s">
        <v>2256</v>
      </c>
      <c r="AH492" s="83">
        <v>6000</v>
      </c>
      <c r="AI492" s="85"/>
    </row>
    <row r="493" spans="1:35" s="79" customFormat="1" ht="11.25" x14ac:dyDescent="0.2">
      <c r="A493" s="77" t="s">
        <v>1250</v>
      </c>
      <c r="B493" s="80">
        <v>1188</v>
      </c>
      <c r="C493" s="81" t="s">
        <v>1249</v>
      </c>
      <c r="D493" s="73">
        <v>42000</v>
      </c>
      <c r="E493" s="79" t="s">
        <v>42</v>
      </c>
      <c r="F493" s="79" t="s">
        <v>3725</v>
      </c>
      <c r="G493" s="79" t="s">
        <v>2996</v>
      </c>
      <c r="H493" s="79" t="s">
        <v>59</v>
      </c>
      <c r="I493" s="81" t="s">
        <v>3000</v>
      </c>
      <c r="J493" s="81">
        <v>25</v>
      </c>
      <c r="K493" s="86"/>
      <c r="M493" s="78" t="s">
        <v>1249</v>
      </c>
      <c r="N493" s="82"/>
      <c r="O493" s="81" t="s">
        <v>2256</v>
      </c>
      <c r="P493" s="81" t="s">
        <v>2256</v>
      </c>
      <c r="Q493" s="81"/>
      <c r="R493" s="83">
        <v>250</v>
      </c>
      <c r="S493" s="79" t="s">
        <v>2999</v>
      </c>
      <c r="T493" s="84">
        <v>10500000</v>
      </c>
      <c r="U493" s="81"/>
      <c r="V493" s="81"/>
      <c r="W493" s="78" t="s">
        <v>1249</v>
      </c>
      <c r="X493" s="82"/>
      <c r="Y493" s="81" t="s">
        <v>2256</v>
      </c>
      <c r="Z493" s="81" t="s">
        <v>2256</v>
      </c>
      <c r="AA493" s="83">
        <v>1500</v>
      </c>
      <c r="AB493" s="85"/>
      <c r="AD493" s="78" t="s">
        <v>1249</v>
      </c>
      <c r="AE493" s="82"/>
      <c r="AF493" s="81" t="s">
        <v>2256</v>
      </c>
      <c r="AG493" s="81" t="s">
        <v>2256</v>
      </c>
      <c r="AH493" s="83">
        <v>2000</v>
      </c>
      <c r="AI493" s="85"/>
    </row>
    <row r="494" spans="1:35" s="79" customFormat="1" ht="11.25" customHeight="1" x14ac:dyDescent="0.2">
      <c r="A494" s="77" t="s">
        <v>1245</v>
      </c>
      <c r="B494" s="80">
        <v>587</v>
      </c>
      <c r="C494" s="81" t="s">
        <v>1244</v>
      </c>
      <c r="D494" s="73">
        <v>100000</v>
      </c>
      <c r="E494" s="79" t="s">
        <v>239</v>
      </c>
      <c r="F494" s="79" t="s">
        <v>3725</v>
      </c>
      <c r="G494" s="79" t="s">
        <v>2996</v>
      </c>
      <c r="H494" s="79" t="s">
        <v>59</v>
      </c>
      <c r="I494" s="81" t="s">
        <v>3000</v>
      </c>
      <c r="J494" s="81">
        <v>25</v>
      </c>
      <c r="K494" s="86"/>
      <c r="M494" s="78" t="s">
        <v>1246</v>
      </c>
      <c r="N494" s="82"/>
      <c r="O494" s="81" t="s">
        <v>2530</v>
      </c>
      <c r="P494" s="81" t="s">
        <v>2256</v>
      </c>
      <c r="Q494" s="81"/>
      <c r="R494" s="83">
        <v>800</v>
      </c>
      <c r="S494" s="79" t="s">
        <v>3545</v>
      </c>
      <c r="T494" s="84">
        <v>80000000</v>
      </c>
      <c r="U494" s="81"/>
      <c r="V494" s="81"/>
      <c r="W494" s="78" t="s">
        <v>1246</v>
      </c>
      <c r="X494" s="82"/>
      <c r="Y494" s="81" t="s">
        <v>2530</v>
      </c>
      <c r="Z494" s="81" t="s">
        <v>2256</v>
      </c>
      <c r="AA494" s="83">
        <v>4000</v>
      </c>
      <c r="AB494" s="85"/>
      <c r="AD494" s="78" t="s">
        <v>1246</v>
      </c>
      <c r="AE494" s="82"/>
      <c r="AF494" s="81" t="s">
        <v>2530</v>
      </c>
      <c r="AG494" s="81" t="s">
        <v>2256</v>
      </c>
      <c r="AH494" s="83">
        <v>6000</v>
      </c>
      <c r="AI494" s="85"/>
    </row>
    <row r="495" spans="1:35" s="79" customFormat="1" ht="11.25" customHeight="1" x14ac:dyDescent="0.2">
      <c r="A495" s="77" t="s">
        <v>1251</v>
      </c>
      <c r="B495" s="80">
        <v>602</v>
      </c>
      <c r="C495" s="81" t="s">
        <v>1246</v>
      </c>
      <c r="D495" s="73">
        <v>100000</v>
      </c>
      <c r="E495" s="79" t="s">
        <v>239</v>
      </c>
      <c r="F495" s="79" t="s">
        <v>3725</v>
      </c>
      <c r="G495" s="79" t="s">
        <v>2996</v>
      </c>
      <c r="H495" s="79" t="s">
        <v>59</v>
      </c>
      <c r="I495" s="81" t="s">
        <v>3000</v>
      </c>
      <c r="J495" s="81">
        <v>25</v>
      </c>
      <c r="K495" s="86"/>
      <c r="M495" s="78" t="s">
        <v>1246</v>
      </c>
      <c r="N495" s="82"/>
      <c r="O495" s="81" t="s">
        <v>2256</v>
      </c>
      <c r="P495" s="81" t="s">
        <v>2256</v>
      </c>
      <c r="Q495" s="81"/>
      <c r="R495" s="83">
        <v>800</v>
      </c>
      <c r="S495" s="79" t="s">
        <v>2999</v>
      </c>
      <c r="T495" s="84">
        <v>80000000</v>
      </c>
      <c r="U495" s="81"/>
      <c r="V495" s="81"/>
      <c r="W495" s="78" t="s">
        <v>1246</v>
      </c>
      <c r="X495" s="82"/>
      <c r="Y495" s="81" t="s">
        <v>2256</v>
      </c>
      <c r="Z495" s="81" t="s">
        <v>2256</v>
      </c>
      <c r="AA495" s="83">
        <v>4000</v>
      </c>
      <c r="AB495" s="85"/>
      <c r="AD495" s="78" t="s">
        <v>1246</v>
      </c>
      <c r="AE495" s="82"/>
      <c r="AF495" s="81" t="s">
        <v>2256</v>
      </c>
      <c r="AG495" s="81" t="s">
        <v>2256</v>
      </c>
      <c r="AH495" s="83">
        <v>6000</v>
      </c>
      <c r="AI495" s="85"/>
    </row>
    <row r="496" spans="1:35" s="79" customFormat="1" ht="11.25" customHeight="1" x14ac:dyDescent="0.2">
      <c r="A496" s="77" t="s">
        <v>1308</v>
      </c>
      <c r="B496" s="80">
        <v>395</v>
      </c>
      <c r="C496" s="81" t="s">
        <v>1307</v>
      </c>
      <c r="D496" s="73">
        <v>42000</v>
      </c>
      <c r="E496" s="79" t="s">
        <v>42</v>
      </c>
      <c r="F496" s="79" t="s">
        <v>3725</v>
      </c>
      <c r="G496" s="79" t="s">
        <v>2996</v>
      </c>
      <c r="H496" s="79" t="s">
        <v>59</v>
      </c>
      <c r="I496" s="81" t="s">
        <v>3000</v>
      </c>
      <c r="J496" s="81">
        <v>25</v>
      </c>
      <c r="K496" s="86"/>
      <c r="M496" s="78" t="s">
        <v>1307</v>
      </c>
      <c r="N496" s="82"/>
      <c r="O496" s="81" t="s">
        <v>2256</v>
      </c>
      <c r="P496" s="81" t="s">
        <v>2256</v>
      </c>
      <c r="Q496" s="81"/>
      <c r="R496" s="83">
        <v>250</v>
      </c>
      <c r="S496" s="79" t="s">
        <v>2999</v>
      </c>
      <c r="T496" s="84">
        <v>10500000</v>
      </c>
      <c r="U496" s="81"/>
      <c r="V496" s="81"/>
      <c r="W496" s="78" t="s">
        <v>1307</v>
      </c>
      <c r="X496" s="82"/>
      <c r="Y496" s="81" t="s">
        <v>2256</v>
      </c>
      <c r="Z496" s="81" t="s">
        <v>2256</v>
      </c>
      <c r="AA496" s="83">
        <v>1500</v>
      </c>
      <c r="AB496" s="85"/>
      <c r="AD496" s="78" t="s">
        <v>1307</v>
      </c>
      <c r="AE496" s="82"/>
      <c r="AF496" s="81" t="s">
        <v>2256</v>
      </c>
      <c r="AG496" s="81" t="s">
        <v>2256</v>
      </c>
      <c r="AH496" s="83">
        <v>2000</v>
      </c>
      <c r="AI496" s="85"/>
    </row>
    <row r="497" spans="1:35" s="79" customFormat="1" ht="11.25" customHeight="1" x14ac:dyDescent="0.2">
      <c r="A497" s="77" t="s">
        <v>511</v>
      </c>
      <c r="B497" s="80">
        <v>584</v>
      </c>
      <c r="C497" s="81" t="s">
        <v>510</v>
      </c>
      <c r="D497" s="73">
        <v>1000</v>
      </c>
      <c r="E497" s="79" t="s">
        <v>20</v>
      </c>
      <c r="F497" s="79" t="s">
        <v>3725</v>
      </c>
      <c r="G497" s="79" t="s">
        <v>2996</v>
      </c>
      <c r="H497" s="79" t="s">
        <v>59</v>
      </c>
      <c r="I497" s="81" t="s">
        <v>3000</v>
      </c>
      <c r="J497" s="81">
        <v>25</v>
      </c>
      <c r="K497" s="86"/>
      <c r="M497" s="78" t="s">
        <v>512</v>
      </c>
      <c r="N497" s="82"/>
      <c r="O497" s="81" t="s">
        <v>2355</v>
      </c>
      <c r="P497" s="81" t="s">
        <v>2256</v>
      </c>
      <c r="Q497" s="81"/>
      <c r="R497" s="83">
        <v>50</v>
      </c>
      <c r="S497" s="79" t="s">
        <v>3549</v>
      </c>
      <c r="T497" s="84">
        <v>50000</v>
      </c>
      <c r="U497" s="81"/>
      <c r="V497" s="81"/>
      <c r="W497" s="78" t="s">
        <v>512</v>
      </c>
      <c r="X497" s="82"/>
      <c r="Y497" s="81" t="s">
        <v>2355</v>
      </c>
      <c r="Z497" s="81" t="s">
        <v>2256</v>
      </c>
      <c r="AA497" s="80">
        <v>300</v>
      </c>
      <c r="AB497" s="85"/>
      <c r="AD497" s="78" t="s">
        <v>512</v>
      </c>
      <c r="AE497" s="82"/>
      <c r="AF497" s="81" t="s">
        <v>2355</v>
      </c>
      <c r="AG497" s="81" t="s">
        <v>2256</v>
      </c>
      <c r="AH497" s="80">
        <v>300</v>
      </c>
      <c r="AI497" s="85"/>
    </row>
    <row r="498" spans="1:35" s="79" customFormat="1" ht="11.25" customHeight="1" x14ac:dyDescent="0.2">
      <c r="A498" s="77" t="s">
        <v>1578</v>
      </c>
      <c r="B498" s="80">
        <v>578</v>
      </c>
      <c r="C498" s="81" t="s">
        <v>512</v>
      </c>
      <c r="D498" s="73">
        <v>1000</v>
      </c>
      <c r="E498" s="79" t="s">
        <v>20</v>
      </c>
      <c r="F498" s="79" t="s">
        <v>3725</v>
      </c>
      <c r="G498" s="79" t="s">
        <v>2996</v>
      </c>
      <c r="H498" s="79" t="s">
        <v>59</v>
      </c>
      <c r="I498" s="81" t="s">
        <v>3000</v>
      </c>
      <c r="J498" s="81">
        <v>25</v>
      </c>
      <c r="K498" s="86"/>
      <c r="M498" s="78" t="s">
        <v>512</v>
      </c>
      <c r="N498" s="82"/>
      <c r="O498" s="81" t="s">
        <v>2256</v>
      </c>
      <c r="P498" s="81" t="s">
        <v>2256</v>
      </c>
      <c r="Q498" s="81"/>
      <c r="R498" s="83">
        <v>50</v>
      </c>
      <c r="S498" s="79" t="s">
        <v>2999</v>
      </c>
      <c r="T498" s="84">
        <v>50000</v>
      </c>
      <c r="U498" s="81"/>
      <c r="V498" s="81"/>
      <c r="W498" s="78" t="s">
        <v>512</v>
      </c>
      <c r="X498" s="82"/>
      <c r="Y498" s="81" t="s">
        <v>2256</v>
      </c>
      <c r="Z498" s="81" t="s">
        <v>2256</v>
      </c>
      <c r="AA498" s="80">
        <v>300</v>
      </c>
      <c r="AB498" s="85"/>
      <c r="AD498" s="78" t="s">
        <v>512</v>
      </c>
      <c r="AE498" s="82"/>
      <c r="AF498" s="81" t="s">
        <v>2256</v>
      </c>
      <c r="AG498" s="81" t="s">
        <v>2256</v>
      </c>
      <c r="AH498" s="80">
        <v>300</v>
      </c>
      <c r="AI498" s="85"/>
    </row>
    <row r="499" spans="1:35" s="79" customFormat="1" ht="11.25" customHeight="1" x14ac:dyDescent="0.2">
      <c r="A499" s="77" t="s">
        <v>945</v>
      </c>
      <c r="B499" s="80">
        <v>1220</v>
      </c>
      <c r="C499" s="81" t="s">
        <v>944</v>
      </c>
      <c r="D499" s="73">
        <v>47000</v>
      </c>
      <c r="E499" s="79" t="s">
        <v>239</v>
      </c>
      <c r="F499" s="79" t="s">
        <v>3725</v>
      </c>
      <c r="G499" s="79" t="s">
        <v>2996</v>
      </c>
      <c r="H499" s="79" t="s">
        <v>3535</v>
      </c>
      <c r="I499" s="81" t="s">
        <v>3000</v>
      </c>
      <c r="J499" s="81">
        <v>25</v>
      </c>
      <c r="K499" s="86"/>
      <c r="M499" s="78" t="s">
        <v>946</v>
      </c>
      <c r="N499" s="82"/>
      <c r="O499" s="81" t="s">
        <v>2462</v>
      </c>
      <c r="P499" s="81" t="s">
        <v>2256</v>
      </c>
      <c r="Q499" s="81"/>
      <c r="R499" s="83">
        <v>2000</v>
      </c>
      <c r="S499" s="79" t="s">
        <v>3536</v>
      </c>
      <c r="T499" s="84">
        <v>94000000</v>
      </c>
      <c r="U499" s="81"/>
      <c r="V499" s="81"/>
      <c r="W499" s="78" t="s">
        <v>946</v>
      </c>
      <c r="X499" s="82"/>
      <c r="Y499" s="81" t="s">
        <v>2462</v>
      </c>
      <c r="Z499" s="81" t="s">
        <v>2256</v>
      </c>
      <c r="AA499" s="83">
        <v>10000</v>
      </c>
      <c r="AB499" s="85"/>
      <c r="AD499" s="78" t="s">
        <v>946</v>
      </c>
      <c r="AE499" s="82"/>
      <c r="AF499" s="81" t="s">
        <v>2462</v>
      </c>
      <c r="AG499" s="81" t="s">
        <v>2256</v>
      </c>
      <c r="AH499" s="83">
        <v>10000</v>
      </c>
      <c r="AI499" s="85"/>
    </row>
    <row r="500" spans="1:35" s="79" customFormat="1" ht="11.25" customHeight="1" x14ac:dyDescent="0.2">
      <c r="A500" s="77" t="s">
        <v>947</v>
      </c>
      <c r="B500" s="80">
        <v>139</v>
      </c>
      <c r="C500" s="81" t="s">
        <v>946</v>
      </c>
      <c r="D500" s="73">
        <v>47000</v>
      </c>
      <c r="E500" s="79" t="s">
        <v>239</v>
      </c>
      <c r="F500" s="79" t="s">
        <v>3725</v>
      </c>
      <c r="G500" s="79" t="s">
        <v>2996</v>
      </c>
      <c r="H500" s="79" t="s">
        <v>3535</v>
      </c>
      <c r="I500" s="81" t="s">
        <v>3000</v>
      </c>
      <c r="J500" s="81">
        <v>25</v>
      </c>
      <c r="K500" s="86"/>
      <c r="M500" s="78" t="s">
        <v>946</v>
      </c>
      <c r="N500" s="82"/>
      <c r="O500" s="81" t="s">
        <v>2256</v>
      </c>
      <c r="P500" s="81" t="s">
        <v>2256</v>
      </c>
      <c r="Q500" s="81"/>
      <c r="R500" s="83">
        <v>2000</v>
      </c>
      <c r="S500" s="79" t="s">
        <v>2999</v>
      </c>
      <c r="T500" s="84">
        <v>94000000</v>
      </c>
      <c r="U500" s="81"/>
      <c r="V500" s="81"/>
      <c r="W500" s="78" t="s">
        <v>946</v>
      </c>
      <c r="X500" s="82"/>
      <c r="Y500" s="81" t="s">
        <v>2256</v>
      </c>
      <c r="Z500" s="81" t="s">
        <v>2256</v>
      </c>
      <c r="AA500" s="83">
        <v>10000</v>
      </c>
      <c r="AB500" s="85"/>
      <c r="AD500" s="78" t="s">
        <v>946</v>
      </c>
      <c r="AE500" s="82"/>
      <c r="AF500" s="81" t="s">
        <v>2256</v>
      </c>
      <c r="AG500" s="81" t="s">
        <v>2256</v>
      </c>
      <c r="AH500" s="83">
        <v>10000</v>
      </c>
      <c r="AI500" s="85"/>
    </row>
    <row r="501" spans="1:35" s="79" customFormat="1" ht="11.25" customHeight="1" x14ac:dyDescent="0.2">
      <c r="A501" s="77" t="s">
        <v>1197</v>
      </c>
      <c r="B501" s="80">
        <v>1221</v>
      </c>
      <c r="C501" s="81" t="s">
        <v>1196</v>
      </c>
      <c r="D501" s="73">
        <v>47000</v>
      </c>
      <c r="E501" s="79" t="s">
        <v>239</v>
      </c>
      <c r="F501" s="79" t="s">
        <v>3725</v>
      </c>
      <c r="G501" s="79" t="s">
        <v>2996</v>
      </c>
      <c r="H501" s="79" t="s">
        <v>3535</v>
      </c>
      <c r="I501" s="81" t="s">
        <v>3000</v>
      </c>
      <c r="J501" s="81">
        <v>25</v>
      </c>
      <c r="K501" s="86"/>
      <c r="M501" s="78" t="s">
        <v>1198</v>
      </c>
      <c r="N501" s="82"/>
      <c r="O501" s="81" t="s">
        <v>2518</v>
      </c>
      <c r="P501" s="81" t="s">
        <v>2256</v>
      </c>
      <c r="Q501" s="81"/>
      <c r="R501" s="83">
        <v>2000</v>
      </c>
      <c r="S501" s="79" t="s">
        <v>3537</v>
      </c>
      <c r="T501" s="84">
        <v>94000000</v>
      </c>
      <c r="U501" s="81"/>
      <c r="V501" s="81"/>
      <c r="W501" s="78" t="s">
        <v>1198</v>
      </c>
      <c r="X501" s="82"/>
      <c r="Y501" s="81" t="s">
        <v>2518</v>
      </c>
      <c r="Z501" s="81" t="s">
        <v>2256</v>
      </c>
      <c r="AA501" s="83">
        <v>10000</v>
      </c>
      <c r="AB501" s="85"/>
      <c r="AD501" s="78" t="s">
        <v>1198</v>
      </c>
      <c r="AE501" s="82"/>
      <c r="AF501" s="81" t="s">
        <v>2518</v>
      </c>
      <c r="AG501" s="81" t="s">
        <v>2256</v>
      </c>
      <c r="AH501" s="83">
        <v>10000</v>
      </c>
      <c r="AI501" s="85"/>
    </row>
    <row r="502" spans="1:35" s="79" customFormat="1" ht="11.25" customHeight="1" x14ac:dyDescent="0.2">
      <c r="A502" s="77" t="s">
        <v>1207</v>
      </c>
      <c r="B502" s="80">
        <v>140</v>
      </c>
      <c r="C502" s="81" t="s">
        <v>1198</v>
      </c>
      <c r="D502" s="73">
        <v>47000</v>
      </c>
      <c r="E502" s="79" t="s">
        <v>239</v>
      </c>
      <c r="F502" s="79" t="s">
        <v>3725</v>
      </c>
      <c r="G502" s="79" t="s">
        <v>2996</v>
      </c>
      <c r="H502" s="79" t="s">
        <v>3535</v>
      </c>
      <c r="I502" s="81" t="s">
        <v>3000</v>
      </c>
      <c r="J502" s="81">
        <v>25</v>
      </c>
      <c r="K502" s="86"/>
      <c r="M502" s="78" t="s">
        <v>1198</v>
      </c>
      <c r="N502" s="82"/>
      <c r="O502" s="81" t="s">
        <v>2256</v>
      </c>
      <c r="P502" s="81" t="s">
        <v>2256</v>
      </c>
      <c r="Q502" s="81"/>
      <c r="R502" s="83">
        <v>2000</v>
      </c>
      <c r="S502" s="79" t="s">
        <v>2999</v>
      </c>
      <c r="T502" s="84">
        <v>94000000</v>
      </c>
      <c r="U502" s="81"/>
      <c r="V502" s="81"/>
      <c r="W502" s="78" t="s">
        <v>1198</v>
      </c>
      <c r="X502" s="82"/>
      <c r="Y502" s="81" t="s">
        <v>2256</v>
      </c>
      <c r="Z502" s="81" t="s">
        <v>2256</v>
      </c>
      <c r="AA502" s="83">
        <v>10000</v>
      </c>
      <c r="AB502" s="85"/>
      <c r="AD502" s="78" t="s">
        <v>1198</v>
      </c>
      <c r="AE502" s="82"/>
      <c r="AF502" s="81" t="s">
        <v>2256</v>
      </c>
      <c r="AG502" s="81" t="s">
        <v>2256</v>
      </c>
      <c r="AH502" s="83">
        <v>10000</v>
      </c>
      <c r="AI502" s="85"/>
    </row>
    <row r="503" spans="1:35" s="79" customFormat="1" ht="11.25" customHeight="1" x14ac:dyDescent="0.2">
      <c r="A503" s="77" t="s">
        <v>1497</v>
      </c>
      <c r="B503" s="80">
        <v>599</v>
      </c>
      <c r="C503" s="81" t="s">
        <v>1496</v>
      </c>
      <c r="D503" s="73">
        <v>47000</v>
      </c>
      <c r="E503" s="79" t="s">
        <v>239</v>
      </c>
      <c r="F503" s="79" t="s">
        <v>3725</v>
      </c>
      <c r="G503" s="79" t="s">
        <v>2997</v>
      </c>
      <c r="H503" s="79" t="s">
        <v>3535</v>
      </c>
      <c r="I503" s="81"/>
      <c r="J503" s="81">
        <v>25</v>
      </c>
      <c r="K503" s="86"/>
      <c r="M503" s="78" t="s">
        <v>1496</v>
      </c>
      <c r="N503" s="82"/>
      <c r="O503" s="81" t="s">
        <v>2256</v>
      </c>
      <c r="P503" s="81" t="s">
        <v>2256</v>
      </c>
      <c r="Q503" s="81"/>
      <c r="R503" s="83">
        <v>1500</v>
      </c>
      <c r="S503" s="79" t="s">
        <v>2999</v>
      </c>
      <c r="T503" s="84">
        <v>70500000</v>
      </c>
      <c r="U503" s="81"/>
      <c r="V503" s="81"/>
      <c r="W503" s="78" t="s">
        <v>1496</v>
      </c>
      <c r="X503" s="82"/>
      <c r="Y503" s="81" t="s">
        <v>2256</v>
      </c>
      <c r="Z503" s="81" t="s">
        <v>2256</v>
      </c>
      <c r="AA503" s="83">
        <v>7000</v>
      </c>
      <c r="AB503" s="85"/>
      <c r="AD503" s="78" t="s">
        <v>1496</v>
      </c>
      <c r="AE503" s="82"/>
      <c r="AF503" s="81" t="s">
        <v>2256</v>
      </c>
      <c r="AG503" s="81" t="s">
        <v>2256</v>
      </c>
      <c r="AH503" s="83">
        <v>10000</v>
      </c>
      <c r="AI503" s="85"/>
    </row>
    <row r="504" spans="1:35" s="79" customFormat="1" ht="11.25" customHeight="1" x14ac:dyDescent="0.2">
      <c r="A504" s="77" t="s">
        <v>1507</v>
      </c>
      <c r="B504" s="80">
        <v>600</v>
      </c>
      <c r="C504" s="81" t="s">
        <v>1506</v>
      </c>
      <c r="D504" s="73">
        <v>47000</v>
      </c>
      <c r="E504" s="79" t="s">
        <v>239</v>
      </c>
      <c r="F504" s="79" t="s">
        <v>3725</v>
      </c>
      <c r="G504" s="79" t="s">
        <v>2997</v>
      </c>
      <c r="H504" s="79" t="s">
        <v>3535</v>
      </c>
      <c r="I504" s="81"/>
      <c r="J504" s="81">
        <v>25</v>
      </c>
      <c r="K504" s="86"/>
      <c r="M504" s="78" t="s">
        <v>1506</v>
      </c>
      <c r="N504" s="82"/>
      <c r="O504" s="81" t="s">
        <v>2256</v>
      </c>
      <c r="P504" s="81" t="s">
        <v>2256</v>
      </c>
      <c r="Q504" s="81"/>
      <c r="R504" s="83">
        <v>2000</v>
      </c>
      <c r="S504" s="79" t="s">
        <v>2999</v>
      </c>
      <c r="T504" s="84">
        <v>94000000</v>
      </c>
      <c r="U504" s="81"/>
      <c r="V504" s="81"/>
      <c r="W504" s="78" t="s">
        <v>1506</v>
      </c>
      <c r="X504" s="82"/>
      <c r="Y504" s="81" t="s">
        <v>2256</v>
      </c>
      <c r="Z504" s="81" t="s">
        <v>2256</v>
      </c>
      <c r="AA504" s="83">
        <v>10000</v>
      </c>
      <c r="AB504" s="85"/>
      <c r="AD504" s="78" t="s">
        <v>1506</v>
      </c>
      <c r="AE504" s="82"/>
      <c r="AF504" s="81" t="s">
        <v>2256</v>
      </c>
      <c r="AG504" s="81" t="s">
        <v>2256</v>
      </c>
      <c r="AH504" s="83">
        <v>15000</v>
      </c>
      <c r="AI504" s="85"/>
    </row>
    <row r="505" spans="1:35" s="79" customFormat="1" ht="11.25" customHeight="1" x14ac:dyDescent="0.2">
      <c r="A505" s="77" t="s">
        <v>1540</v>
      </c>
      <c r="B505" s="80">
        <v>711</v>
      </c>
      <c r="C505" s="81" t="s">
        <v>1539</v>
      </c>
      <c r="D505" s="73">
        <v>100000</v>
      </c>
      <c r="E505" s="79" t="s">
        <v>239</v>
      </c>
      <c r="F505" s="79" t="s">
        <v>3725</v>
      </c>
      <c r="G505" s="79" t="s">
        <v>2996</v>
      </c>
      <c r="H505" s="79" t="s">
        <v>3535</v>
      </c>
      <c r="I505" s="81"/>
      <c r="J505" s="81">
        <v>25</v>
      </c>
      <c r="K505" s="86"/>
      <c r="M505" s="78" t="s">
        <v>1539</v>
      </c>
      <c r="N505" s="82"/>
      <c r="O505" s="81" t="s">
        <v>2256</v>
      </c>
      <c r="P505" s="81" t="s">
        <v>2256</v>
      </c>
      <c r="Q505" s="81"/>
      <c r="R505" s="83">
        <v>300</v>
      </c>
      <c r="S505" s="79" t="s">
        <v>2999</v>
      </c>
      <c r="T505" s="84">
        <v>30000000</v>
      </c>
      <c r="U505" s="81"/>
      <c r="V505" s="81"/>
      <c r="W505" s="78" t="s">
        <v>1539</v>
      </c>
      <c r="X505" s="82"/>
      <c r="Y505" s="81" t="s">
        <v>2256</v>
      </c>
      <c r="Z505" s="81" t="s">
        <v>2256</v>
      </c>
      <c r="AA505" s="83">
        <v>3000</v>
      </c>
      <c r="AB505" s="85"/>
      <c r="AD505" s="78" t="s">
        <v>1539</v>
      </c>
      <c r="AE505" s="82"/>
      <c r="AF505" s="81" t="s">
        <v>2256</v>
      </c>
      <c r="AG505" s="81" t="s">
        <v>2256</v>
      </c>
      <c r="AH505" s="83">
        <v>3000</v>
      </c>
      <c r="AI505" s="85"/>
    </row>
    <row r="506" spans="1:35" s="79" customFormat="1" ht="11.25" customHeight="1" x14ac:dyDescent="0.2">
      <c r="A506" s="77" t="s">
        <v>1575</v>
      </c>
      <c r="B506" s="80">
        <v>736</v>
      </c>
      <c r="C506" s="81" t="s">
        <v>1574</v>
      </c>
      <c r="D506" s="73">
        <v>47000</v>
      </c>
      <c r="E506" s="79" t="s">
        <v>239</v>
      </c>
      <c r="F506" s="79" t="s">
        <v>3725</v>
      </c>
      <c r="G506" s="79" t="s">
        <v>2996</v>
      </c>
      <c r="H506" s="79" t="s">
        <v>3535</v>
      </c>
      <c r="I506" s="81"/>
      <c r="J506" s="81">
        <v>25</v>
      </c>
      <c r="K506" s="86"/>
      <c r="M506" s="78" t="s">
        <v>1574</v>
      </c>
      <c r="N506" s="82"/>
      <c r="O506" s="81" t="s">
        <v>2256</v>
      </c>
      <c r="P506" s="81" t="s">
        <v>2256</v>
      </c>
      <c r="Q506" s="81"/>
      <c r="R506" s="83">
        <v>2500</v>
      </c>
      <c r="S506" s="79" t="s">
        <v>2999</v>
      </c>
      <c r="T506" s="84">
        <v>117500000</v>
      </c>
      <c r="U506" s="81"/>
      <c r="V506" s="81"/>
      <c r="W506" s="78" t="s">
        <v>1574</v>
      </c>
      <c r="X506" s="82"/>
      <c r="Y506" s="81" t="s">
        <v>2256</v>
      </c>
      <c r="Z506" s="81" t="s">
        <v>2256</v>
      </c>
      <c r="AA506" s="83">
        <v>12000</v>
      </c>
      <c r="AB506" s="85"/>
      <c r="AD506" s="78" t="s">
        <v>1574</v>
      </c>
      <c r="AE506" s="82"/>
      <c r="AF506" s="81" t="s">
        <v>2256</v>
      </c>
      <c r="AG506" s="81" t="s">
        <v>2256</v>
      </c>
      <c r="AH506" s="83">
        <v>12000</v>
      </c>
      <c r="AI506" s="85"/>
    </row>
    <row r="507" spans="1:35" s="79" customFormat="1" ht="11.25" customHeight="1" x14ac:dyDescent="0.2">
      <c r="A507" s="77" t="s">
        <v>1577</v>
      </c>
      <c r="B507" s="80">
        <v>1222</v>
      </c>
      <c r="C507" s="81" t="s">
        <v>1576</v>
      </c>
      <c r="D507" s="73">
        <v>47000</v>
      </c>
      <c r="E507" s="79" t="s">
        <v>239</v>
      </c>
      <c r="F507" s="79" t="s">
        <v>3725</v>
      </c>
      <c r="G507" s="79" t="s">
        <v>2996</v>
      </c>
      <c r="H507" s="79" t="s">
        <v>3535</v>
      </c>
      <c r="I507" s="81" t="s">
        <v>3000</v>
      </c>
      <c r="J507" s="81">
        <v>25</v>
      </c>
      <c r="K507" s="86"/>
      <c r="M507" s="78" t="s">
        <v>1574</v>
      </c>
      <c r="N507" s="82"/>
      <c r="O507" s="81" t="s">
        <v>2614</v>
      </c>
      <c r="P507" s="81" t="s">
        <v>2256</v>
      </c>
      <c r="Q507" s="81"/>
      <c r="R507" s="83">
        <v>2500</v>
      </c>
      <c r="S507" s="79" t="s">
        <v>3538</v>
      </c>
      <c r="T507" s="84">
        <v>117500000</v>
      </c>
      <c r="U507" s="81"/>
      <c r="V507" s="81"/>
      <c r="W507" s="78" t="s">
        <v>1574</v>
      </c>
      <c r="X507" s="82"/>
      <c r="Y507" s="81" t="s">
        <v>2614</v>
      </c>
      <c r="Z507" s="81" t="s">
        <v>2256</v>
      </c>
      <c r="AA507" s="83">
        <v>12000</v>
      </c>
      <c r="AB507" s="85"/>
      <c r="AD507" s="78" t="s">
        <v>1574</v>
      </c>
      <c r="AE507" s="82"/>
      <c r="AF507" s="81" t="s">
        <v>2614</v>
      </c>
      <c r="AG507" s="81" t="s">
        <v>2256</v>
      </c>
      <c r="AH507" s="83">
        <v>12000</v>
      </c>
      <c r="AI507" s="85"/>
    </row>
    <row r="508" spans="1:35" s="79" customFormat="1" ht="11.25" customHeight="1" x14ac:dyDescent="0.2">
      <c r="A508" s="77" t="s">
        <v>568</v>
      </c>
      <c r="B508" s="80">
        <v>273</v>
      </c>
      <c r="C508" s="81" t="s">
        <v>567</v>
      </c>
      <c r="D508" s="73">
        <v>5</v>
      </c>
      <c r="E508" s="79" t="s">
        <v>16</v>
      </c>
      <c r="F508" s="79" t="s">
        <v>3725</v>
      </c>
      <c r="G508" s="79" t="s">
        <v>2996</v>
      </c>
      <c r="H508" s="79" t="s">
        <v>17</v>
      </c>
      <c r="I508" s="81"/>
      <c r="J508" s="81">
        <v>25</v>
      </c>
      <c r="K508" s="86"/>
      <c r="M508" s="78" t="s">
        <v>567</v>
      </c>
      <c r="N508" s="82"/>
      <c r="O508" s="81" t="s">
        <v>2256</v>
      </c>
      <c r="P508" s="81" t="s">
        <v>2256</v>
      </c>
      <c r="Q508" s="81"/>
      <c r="R508" s="83">
        <v>40000</v>
      </c>
      <c r="S508" s="79" t="s">
        <v>3002</v>
      </c>
      <c r="T508" s="84">
        <v>200000</v>
      </c>
      <c r="U508" s="81"/>
      <c r="V508" s="81"/>
      <c r="W508" s="78" t="s">
        <v>567</v>
      </c>
      <c r="X508" s="82"/>
      <c r="Y508" s="81" t="s">
        <v>2256</v>
      </c>
      <c r="Z508" s="81" t="s">
        <v>2256</v>
      </c>
      <c r="AA508" s="83">
        <v>80000</v>
      </c>
      <c r="AB508" s="85"/>
      <c r="AD508" s="78" t="s">
        <v>567</v>
      </c>
      <c r="AE508" s="82"/>
      <c r="AF508" s="81" t="s">
        <v>2256</v>
      </c>
      <c r="AG508" s="81" t="s">
        <v>2256</v>
      </c>
      <c r="AH508" s="83">
        <v>200000</v>
      </c>
      <c r="AI508" s="85"/>
    </row>
    <row r="509" spans="1:35" s="79" customFormat="1" ht="11.25" customHeight="1" x14ac:dyDescent="0.2">
      <c r="A509" s="77" t="s">
        <v>570</v>
      </c>
      <c r="B509" s="80">
        <v>272</v>
      </c>
      <c r="C509" s="81" t="s">
        <v>569</v>
      </c>
      <c r="D509" s="73">
        <v>80</v>
      </c>
      <c r="E509" s="79" t="s">
        <v>16</v>
      </c>
      <c r="F509" s="79" t="s">
        <v>3725</v>
      </c>
      <c r="G509" s="79" t="s">
        <v>2996</v>
      </c>
      <c r="H509" s="79" t="s">
        <v>17</v>
      </c>
      <c r="I509" s="81"/>
      <c r="J509" s="81">
        <v>25</v>
      </c>
      <c r="K509" s="86"/>
      <c r="M509" s="78" t="s">
        <v>569</v>
      </c>
      <c r="N509" s="82"/>
      <c r="O509" s="81" t="s">
        <v>2256</v>
      </c>
      <c r="P509" s="81" t="s">
        <v>2256</v>
      </c>
      <c r="Q509" s="81"/>
      <c r="R509" s="83">
        <v>2000</v>
      </c>
      <c r="S509" s="79" t="s">
        <v>3002</v>
      </c>
      <c r="T509" s="84">
        <v>160000</v>
      </c>
      <c r="U509" s="81"/>
      <c r="V509" s="81"/>
      <c r="W509" s="78" t="s">
        <v>569</v>
      </c>
      <c r="X509" s="82"/>
      <c r="Y509" s="81" t="s">
        <v>2256</v>
      </c>
      <c r="Z509" s="81" t="s">
        <v>2256</v>
      </c>
      <c r="AA509" s="83">
        <v>7000</v>
      </c>
      <c r="AB509" s="85"/>
      <c r="AD509" s="78" t="s">
        <v>569</v>
      </c>
      <c r="AE509" s="82"/>
      <c r="AF509" s="81" t="s">
        <v>2256</v>
      </c>
      <c r="AG509" s="81" t="s">
        <v>2256</v>
      </c>
      <c r="AH509" s="83">
        <v>9000</v>
      </c>
      <c r="AI509" s="85"/>
    </row>
    <row r="510" spans="1:35" s="79" customFormat="1" ht="11.25" customHeight="1" x14ac:dyDescent="0.2">
      <c r="A510" s="77" t="s">
        <v>572</v>
      </c>
      <c r="B510" s="80">
        <v>292</v>
      </c>
      <c r="C510" s="81" t="s">
        <v>571</v>
      </c>
      <c r="D510" s="73">
        <v>80</v>
      </c>
      <c r="E510" s="79" t="s">
        <v>16</v>
      </c>
      <c r="F510" s="79" t="s">
        <v>3725</v>
      </c>
      <c r="G510" s="79" t="s">
        <v>2996</v>
      </c>
      <c r="H510" s="79" t="s">
        <v>17</v>
      </c>
      <c r="I510" s="81"/>
      <c r="J510" s="81">
        <v>25</v>
      </c>
      <c r="K510" s="86"/>
      <c r="M510" s="78" t="s">
        <v>571</v>
      </c>
      <c r="N510" s="82"/>
      <c r="O510" s="81" t="s">
        <v>2256</v>
      </c>
      <c r="P510" s="81" t="s">
        <v>2256</v>
      </c>
      <c r="Q510" s="81"/>
      <c r="R510" s="83">
        <v>2000</v>
      </c>
      <c r="S510" s="79" t="s">
        <v>3002</v>
      </c>
      <c r="T510" s="84">
        <v>160000</v>
      </c>
      <c r="U510" s="81"/>
      <c r="V510" s="81"/>
      <c r="W510" s="78" t="s">
        <v>571</v>
      </c>
      <c r="X510" s="82"/>
      <c r="Y510" s="81" t="s">
        <v>2256</v>
      </c>
      <c r="Z510" s="81" t="s">
        <v>2256</v>
      </c>
      <c r="AA510" s="83">
        <v>7000</v>
      </c>
      <c r="AB510" s="85"/>
      <c r="AD510" s="78" t="s">
        <v>571</v>
      </c>
      <c r="AE510" s="82"/>
      <c r="AF510" s="81" t="s">
        <v>2256</v>
      </c>
      <c r="AG510" s="81" t="s">
        <v>2256</v>
      </c>
      <c r="AH510" s="83">
        <v>9000</v>
      </c>
      <c r="AI510" s="85"/>
    </row>
    <row r="511" spans="1:35" s="79" customFormat="1" ht="11.25" customHeight="1" x14ac:dyDescent="0.2">
      <c r="A511" s="77" t="s">
        <v>2053</v>
      </c>
      <c r="B511" s="80">
        <v>293</v>
      </c>
      <c r="C511" s="81" t="s">
        <v>219</v>
      </c>
      <c r="D511" s="73">
        <v>5</v>
      </c>
      <c r="E511" s="79" t="s">
        <v>16</v>
      </c>
      <c r="F511" s="79" t="s">
        <v>3725</v>
      </c>
      <c r="G511" s="79" t="s">
        <v>2996</v>
      </c>
      <c r="H511" s="79" t="s">
        <v>17</v>
      </c>
      <c r="I511" s="81"/>
      <c r="J511" s="81">
        <v>25</v>
      </c>
      <c r="K511" s="86"/>
      <c r="M511" s="78" t="s">
        <v>219</v>
      </c>
      <c r="N511" s="82"/>
      <c r="O511" s="81" t="s">
        <v>2256</v>
      </c>
      <c r="P511" s="81" t="s">
        <v>2256</v>
      </c>
      <c r="Q511" s="81"/>
      <c r="R511" s="83">
        <v>40000</v>
      </c>
      <c r="S511" s="79" t="s">
        <v>3002</v>
      </c>
      <c r="T511" s="84">
        <v>200000</v>
      </c>
      <c r="U511" s="81"/>
      <c r="V511" s="81"/>
      <c r="W511" s="78" t="s">
        <v>219</v>
      </c>
      <c r="X511" s="82"/>
      <c r="Y511" s="81" t="s">
        <v>2256</v>
      </c>
      <c r="Z511" s="81" t="s">
        <v>2256</v>
      </c>
      <c r="AA511" s="83">
        <v>150000</v>
      </c>
      <c r="AB511" s="85"/>
      <c r="AD511" s="78" t="s">
        <v>219</v>
      </c>
      <c r="AE511" s="82"/>
      <c r="AF511" s="81" t="s">
        <v>2256</v>
      </c>
      <c r="AG511" s="81" t="s">
        <v>2256</v>
      </c>
      <c r="AH511" s="83">
        <v>200000</v>
      </c>
      <c r="AI511" s="85"/>
    </row>
    <row r="512" spans="1:35" s="79" customFormat="1" ht="11.25" customHeight="1" x14ac:dyDescent="0.2">
      <c r="A512" s="77" t="s">
        <v>2060</v>
      </c>
      <c r="B512" s="80">
        <v>966</v>
      </c>
      <c r="C512" s="81" t="s">
        <v>2059</v>
      </c>
      <c r="D512" s="73">
        <v>80</v>
      </c>
      <c r="E512" s="79" t="s">
        <v>16</v>
      </c>
      <c r="F512" s="79" t="s">
        <v>3725</v>
      </c>
      <c r="G512" s="79" t="s">
        <v>2996</v>
      </c>
      <c r="H512" s="79" t="s">
        <v>17</v>
      </c>
      <c r="I512" s="81"/>
      <c r="J512" s="81">
        <v>25</v>
      </c>
      <c r="K512" s="86"/>
      <c r="M512" s="78" t="s">
        <v>2059</v>
      </c>
      <c r="N512" s="82"/>
      <c r="O512" s="81" t="s">
        <v>2256</v>
      </c>
      <c r="P512" s="81" t="s">
        <v>2256</v>
      </c>
      <c r="Q512" s="81"/>
      <c r="R512" s="83">
        <v>500</v>
      </c>
      <c r="S512" s="79" t="s">
        <v>3002</v>
      </c>
      <c r="T512" s="84">
        <v>40000</v>
      </c>
      <c r="U512" s="81"/>
      <c r="V512" s="81"/>
      <c r="W512" s="78" t="s">
        <v>2059</v>
      </c>
      <c r="X512" s="82"/>
      <c r="Y512" s="81" t="s">
        <v>2256</v>
      </c>
      <c r="Z512" s="81" t="s">
        <v>2256</v>
      </c>
      <c r="AA512" s="83">
        <v>2500</v>
      </c>
      <c r="AB512" s="85"/>
      <c r="AD512" s="78" t="s">
        <v>2059</v>
      </c>
      <c r="AE512" s="82"/>
      <c r="AF512" s="81" t="s">
        <v>2256</v>
      </c>
      <c r="AG512" s="81" t="s">
        <v>2256</v>
      </c>
      <c r="AH512" s="83">
        <v>3500</v>
      </c>
      <c r="AI512" s="85"/>
    </row>
    <row r="513" spans="1:35" s="79" customFormat="1" ht="11.25" customHeight="1" x14ac:dyDescent="0.2">
      <c r="A513" s="77" t="s">
        <v>2062</v>
      </c>
      <c r="B513" s="80">
        <v>967</v>
      </c>
      <c r="C513" s="81" t="s">
        <v>2061</v>
      </c>
      <c r="D513" s="73">
        <v>5</v>
      </c>
      <c r="E513" s="79" t="s">
        <v>16</v>
      </c>
      <c r="F513" s="79" t="s">
        <v>3725</v>
      </c>
      <c r="G513" s="79" t="s">
        <v>2996</v>
      </c>
      <c r="H513" s="79" t="s">
        <v>17</v>
      </c>
      <c r="I513" s="81"/>
      <c r="J513" s="81">
        <v>25</v>
      </c>
      <c r="K513" s="86"/>
      <c r="M513" s="78" t="s">
        <v>2061</v>
      </c>
      <c r="N513" s="82"/>
      <c r="O513" s="81" t="s">
        <v>2256</v>
      </c>
      <c r="P513" s="81" t="s">
        <v>2256</v>
      </c>
      <c r="Q513" s="81"/>
      <c r="R513" s="83">
        <v>10000</v>
      </c>
      <c r="S513" s="79" t="s">
        <v>3002</v>
      </c>
      <c r="T513" s="84">
        <v>50000</v>
      </c>
      <c r="U513" s="81"/>
      <c r="V513" s="81"/>
      <c r="W513" s="78" t="s">
        <v>2061</v>
      </c>
      <c r="X513" s="82"/>
      <c r="Y513" s="81" t="s">
        <v>2256</v>
      </c>
      <c r="Z513" s="81" t="s">
        <v>2256</v>
      </c>
      <c r="AA513" s="83">
        <v>50000</v>
      </c>
      <c r="AB513" s="85"/>
      <c r="AD513" s="78" t="s">
        <v>2061</v>
      </c>
      <c r="AE513" s="82"/>
      <c r="AF513" s="81" t="s">
        <v>2256</v>
      </c>
      <c r="AG513" s="81" t="s">
        <v>2256</v>
      </c>
      <c r="AH513" s="83">
        <v>70000</v>
      </c>
      <c r="AI513" s="85"/>
    </row>
    <row r="514" spans="1:35" s="79" customFormat="1" ht="11.25" customHeight="1" x14ac:dyDescent="0.2">
      <c r="A514" s="77" t="s">
        <v>462</v>
      </c>
      <c r="B514" s="80">
        <v>264</v>
      </c>
      <c r="C514" s="81" t="s">
        <v>461</v>
      </c>
      <c r="D514" s="73">
        <v>80</v>
      </c>
      <c r="E514" s="79" t="s">
        <v>16</v>
      </c>
      <c r="F514" s="79" t="s">
        <v>3725</v>
      </c>
      <c r="G514" s="79" t="s">
        <v>2996</v>
      </c>
      <c r="H514" s="79" t="s">
        <v>17</v>
      </c>
      <c r="I514" s="81"/>
      <c r="J514" s="81">
        <v>25</v>
      </c>
      <c r="K514" s="86"/>
      <c r="M514" s="78" t="s">
        <v>461</v>
      </c>
      <c r="N514" s="82"/>
      <c r="O514" s="81" t="s">
        <v>2256</v>
      </c>
      <c r="P514" s="81" t="s">
        <v>2256</v>
      </c>
      <c r="Q514" s="81"/>
      <c r="R514" s="83">
        <v>5000</v>
      </c>
      <c r="S514" s="79" t="s">
        <v>3002</v>
      </c>
      <c r="T514" s="84">
        <v>400000</v>
      </c>
      <c r="U514" s="81"/>
      <c r="V514" s="81"/>
      <c r="W514" s="78" t="s">
        <v>461</v>
      </c>
      <c r="X514" s="82"/>
      <c r="Y514" s="81" t="s">
        <v>2256</v>
      </c>
      <c r="Z514" s="81" t="s">
        <v>2256</v>
      </c>
      <c r="AA514" s="83">
        <v>25000</v>
      </c>
      <c r="AB514" s="85"/>
      <c r="AD514" s="78" t="s">
        <v>461</v>
      </c>
      <c r="AE514" s="82"/>
      <c r="AF514" s="81" t="s">
        <v>2256</v>
      </c>
      <c r="AG514" s="81" t="s">
        <v>2256</v>
      </c>
      <c r="AH514" s="83">
        <v>35000</v>
      </c>
      <c r="AI514" s="85"/>
    </row>
    <row r="515" spans="1:35" s="79" customFormat="1" ht="11.25" customHeight="1" x14ac:dyDescent="0.2">
      <c r="A515" s="77" t="s">
        <v>484</v>
      </c>
      <c r="B515" s="80">
        <v>268</v>
      </c>
      <c r="C515" s="81" t="s">
        <v>483</v>
      </c>
      <c r="D515" s="73">
        <v>80</v>
      </c>
      <c r="E515" s="79" t="s">
        <v>16</v>
      </c>
      <c r="F515" s="79" t="s">
        <v>3725</v>
      </c>
      <c r="G515" s="79" t="s">
        <v>2996</v>
      </c>
      <c r="H515" s="79" t="s">
        <v>17</v>
      </c>
      <c r="I515" s="81"/>
      <c r="J515" s="81">
        <v>25</v>
      </c>
      <c r="K515" s="86"/>
      <c r="M515" s="78" t="s">
        <v>461</v>
      </c>
      <c r="N515" s="82"/>
      <c r="O515" s="81" t="s">
        <v>2349</v>
      </c>
      <c r="P515" s="81" t="s">
        <v>2256</v>
      </c>
      <c r="Q515" s="81"/>
      <c r="R515" s="83">
        <v>200</v>
      </c>
      <c r="S515" s="79" t="s">
        <v>3526</v>
      </c>
      <c r="T515" s="84">
        <v>16000</v>
      </c>
      <c r="U515" s="81"/>
      <c r="V515" s="81"/>
      <c r="W515" s="78" t="s">
        <v>461</v>
      </c>
      <c r="X515" s="82"/>
      <c r="Y515" s="81" t="s">
        <v>2349</v>
      </c>
      <c r="Z515" s="81" t="s">
        <v>2256</v>
      </c>
      <c r="AA515" s="83">
        <v>1000</v>
      </c>
      <c r="AB515" s="85"/>
      <c r="AD515" s="78" t="s">
        <v>461</v>
      </c>
      <c r="AE515" s="82"/>
      <c r="AF515" s="81" t="s">
        <v>2349</v>
      </c>
      <c r="AG515" s="81" t="s">
        <v>2256</v>
      </c>
      <c r="AH515" s="83">
        <v>1500</v>
      </c>
      <c r="AI515" s="85"/>
    </row>
    <row r="516" spans="1:35" s="79" customFormat="1" ht="11.25" customHeight="1" x14ac:dyDescent="0.2">
      <c r="A516" s="77" t="s">
        <v>464</v>
      </c>
      <c r="B516" s="80">
        <v>265</v>
      </c>
      <c r="C516" s="81" t="s">
        <v>463</v>
      </c>
      <c r="D516" s="73">
        <v>80</v>
      </c>
      <c r="E516" s="79" t="s">
        <v>16</v>
      </c>
      <c r="F516" s="79" t="s">
        <v>3725</v>
      </c>
      <c r="G516" s="79" t="s">
        <v>2996</v>
      </c>
      <c r="H516" s="79" t="s">
        <v>17</v>
      </c>
      <c r="I516" s="81"/>
      <c r="J516" s="81">
        <v>25</v>
      </c>
      <c r="K516" s="86"/>
      <c r="M516" s="78" t="s">
        <v>463</v>
      </c>
      <c r="N516" s="82"/>
      <c r="O516" s="81" t="s">
        <v>2256</v>
      </c>
      <c r="P516" s="81" t="s">
        <v>2256</v>
      </c>
      <c r="Q516" s="81"/>
      <c r="R516" s="83">
        <v>6000</v>
      </c>
      <c r="S516" s="79" t="s">
        <v>3002</v>
      </c>
      <c r="T516" s="84">
        <v>480000</v>
      </c>
      <c r="U516" s="81"/>
      <c r="V516" s="81"/>
      <c r="W516" s="78" t="s">
        <v>463</v>
      </c>
      <c r="X516" s="82"/>
      <c r="Y516" s="81" t="s">
        <v>2256</v>
      </c>
      <c r="Z516" s="81" t="s">
        <v>2256</v>
      </c>
      <c r="AA516" s="83">
        <v>30000</v>
      </c>
      <c r="AB516" s="85"/>
      <c r="AD516" s="78" t="s">
        <v>463</v>
      </c>
      <c r="AE516" s="82"/>
      <c r="AF516" s="81" t="s">
        <v>2256</v>
      </c>
      <c r="AG516" s="81" t="s">
        <v>2256</v>
      </c>
      <c r="AH516" s="83">
        <v>40000</v>
      </c>
      <c r="AI516" s="85"/>
    </row>
    <row r="517" spans="1:35" s="79" customFormat="1" ht="11.25" customHeight="1" x14ac:dyDescent="0.2">
      <c r="A517" s="77" t="s">
        <v>488</v>
      </c>
      <c r="B517" s="80">
        <v>269</v>
      </c>
      <c r="C517" s="81" t="s">
        <v>487</v>
      </c>
      <c r="D517" s="73">
        <v>80</v>
      </c>
      <c r="E517" s="79" t="s">
        <v>16</v>
      </c>
      <c r="F517" s="79" t="s">
        <v>3725</v>
      </c>
      <c r="G517" s="79" t="s">
        <v>2996</v>
      </c>
      <c r="H517" s="79" t="s">
        <v>17</v>
      </c>
      <c r="I517" s="81"/>
      <c r="J517" s="81">
        <v>25</v>
      </c>
      <c r="K517" s="86"/>
      <c r="M517" s="78" t="s">
        <v>463</v>
      </c>
      <c r="N517" s="82"/>
      <c r="O517" s="81" t="s">
        <v>2350</v>
      </c>
      <c r="P517" s="81" t="s">
        <v>2256</v>
      </c>
      <c r="Q517" s="81"/>
      <c r="R517" s="83">
        <v>250</v>
      </c>
      <c r="S517" s="79" t="s">
        <v>3527</v>
      </c>
      <c r="T517" s="84">
        <v>20000</v>
      </c>
      <c r="U517" s="81"/>
      <c r="V517" s="81"/>
      <c r="W517" s="78" t="s">
        <v>463</v>
      </c>
      <c r="X517" s="82"/>
      <c r="Y517" s="81" t="s">
        <v>2350</v>
      </c>
      <c r="Z517" s="81" t="s">
        <v>2256</v>
      </c>
      <c r="AA517" s="83">
        <v>1200</v>
      </c>
      <c r="AB517" s="85"/>
      <c r="AD517" s="78" t="s">
        <v>463</v>
      </c>
      <c r="AE517" s="82"/>
      <c r="AF517" s="81" t="s">
        <v>2350</v>
      </c>
      <c r="AG517" s="81" t="s">
        <v>2256</v>
      </c>
      <c r="AH517" s="83">
        <v>1500</v>
      </c>
      <c r="AI517" s="85"/>
    </row>
    <row r="518" spans="1:35" s="79" customFormat="1" ht="11.25" customHeight="1" x14ac:dyDescent="0.2">
      <c r="A518" s="77" t="s">
        <v>480</v>
      </c>
      <c r="B518" s="80">
        <v>266</v>
      </c>
      <c r="C518" s="81" t="s">
        <v>479</v>
      </c>
      <c r="D518" s="73">
        <v>5</v>
      </c>
      <c r="E518" s="79" t="s">
        <v>16</v>
      </c>
      <c r="F518" s="79" t="s">
        <v>3725</v>
      </c>
      <c r="G518" s="79" t="s">
        <v>2996</v>
      </c>
      <c r="H518" s="79" t="s">
        <v>17</v>
      </c>
      <c r="I518" s="81"/>
      <c r="J518" s="81">
        <v>25</v>
      </c>
      <c r="K518" s="86"/>
      <c r="M518" s="78" t="s">
        <v>479</v>
      </c>
      <c r="N518" s="82"/>
      <c r="O518" s="81" t="s">
        <v>2256</v>
      </c>
      <c r="P518" s="81" t="s">
        <v>2256</v>
      </c>
      <c r="Q518" s="81"/>
      <c r="R518" s="83">
        <v>60000</v>
      </c>
      <c r="S518" s="79" t="s">
        <v>3002</v>
      </c>
      <c r="T518" s="84">
        <v>300000</v>
      </c>
      <c r="U518" s="81"/>
      <c r="V518" s="81"/>
      <c r="W518" s="78" t="s">
        <v>479</v>
      </c>
      <c r="X518" s="82"/>
      <c r="Y518" s="81" t="s">
        <v>2256</v>
      </c>
      <c r="Z518" s="81" t="s">
        <v>2256</v>
      </c>
      <c r="AA518" s="83">
        <v>200000</v>
      </c>
      <c r="AB518" s="85"/>
      <c r="AD518" s="78" t="s">
        <v>479</v>
      </c>
      <c r="AE518" s="82"/>
      <c r="AF518" s="81" t="s">
        <v>2256</v>
      </c>
      <c r="AG518" s="81" t="s">
        <v>2256</v>
      </c>
      <c r="AH518" s="83">
        <v>300000</v>
      </c>
      <c r="AI518" s="85"/>
    </row>
    <row r="519" spans="1:35" s="79" customFormat="1" ht="11.25" customHeight="1" x14ac:dyDescent="0.2">
      <c r="A519" s="77" t="s">
        <v>490</v>
      </c>
      <c r="B519" s="80">
        <v>270</v>
      </c>
      <c r="C519" s="81" t="s">
        <v>489</v>
      </c>
      <c r="D519" s="73">
        <v>5</v>
      </c>
      <c r="E519" s="79" t="s">
        <v>16</v>
      </c>
      <c r="F519" s="79" t="s">
        <v>3725</v>
      </c>
      <c r="G519" s="79" t="s">
        <v>2996</v>
      </c>
      <c r="H519" s="79" t="s">
        <v>17</v>
      </c>
      <c r="I519" s="81"/>
      <c r="J519" s="81">
        <v>25</v>
      </c>
      <c r="K519" s="86"/>
      <c r="M519" s="78" t="s">
        <v>479</v>
      </c>
      <c r="N519" s="82"/>
      <c r="O519" s="81" t="s">
        <v>2351</v>
      </c>
      <c r="P519" s="81" t="s">
        <v>2256</v>
      </c>
      <c r="Q519" s="81"/>
      <c r="R519" s="83">
        <v>2000</v>
      </c>
      <c r="S519" s="79" t="s">
        <v>3065</v>
      </c>
      <c r="T519" s="84">
        <v>10000</v>
      </c>
      <c r="U519" s="81"/>
      <c r="V519" s="81"/>
      <c r="W519" s="78" t="s">
        <v>479</v>
      </c>
      <c r="X519" s="82"/>
      <c r="Y519" s="81" t="s">
        <v>2351</v>
      </c>
      <c r="Z519" s="81" t="s">
        <v>2256</v>
      </c>
      <c r="AA519" s="83">
        <v>10000</v>
      </c>
      <c r="AB519" s="85"/>
      <c r="AD519" s="78" t="s">
        <v>479</v>
      </c>
      <c r="AE519" s="82"/>
      <c r="AF519" s="81" t="s">
        <v>2351</v>
      </c>
      <c r="AG519" s="81" t="s">
        <v>2256</v>
      </c>
      <c r="AH519" s="83">
        <v>14000</v>
      </c>
      <c r="AI519" s="85"/>
    </row>
    <row r="520" spans="1:35" s="79" customFormat="1" ht="11.25" customHeight="1" x14ac:dyDescent="0.2">
      <c r="A520" s="77" t="s">
        <v>482</v>
      </c>
      <c r="B520" s="80">
        <v>267</v>
      </c>
      <c r="C520" s="81" t="s">
        <v>481</v>
      </c>
      <c r="D520" s="73">
        <v>5</v>
      </c>
      <c r="E520" s="79" t="s">
        <v>16</v>
      </c>
      <c r="F520" s="79" t="s">
        <v>3725</v>
      </c>
      <c r="G520" s="79" t="s">
        <v>2996</v>
      </c>
      <c r="H520" s="79" t="s">
        <v>17</v>
      </c>
      <c r="I520" s="81"/>
      <c r="J520" s="81">
        <v>25</v>
      </c>
      <c r="K520" s="86"/>
      <c r="M520" s="78" t="s">
        <v>481</v>
      </c>
      <c r="N520" s="82"/>
      <c r="O520" s="81" t="s">
        <v>2256</v>
      </c>
      <c r="P520" s="81" t="s">
        <v>2256</v>
      </c>
      <c r="Q520" s="81"/>
      <c r="R520" s="83">
        <v>75000</v>
      </c>
      <c r="S520" s="79" t="s">
        <v>3002</v>
      </c>
      <c r="T520" s="84">
        <v>375000</v>
      </c>
      <c r="U520" s="81"/>
      <c r="V520" s="81"/>
      <c r="W520" s="78" t="s">
        <v>481</v>
      </c>
      <c r="X520" s="82"/>
      <c r="Y520" s="81" t="s">
        <v>2256</v>
      </c>
      <c r="Z520" s="81" t="s">
        <v>2256</v>
      </c>
      <c r="AA520" s="83">
        <v>250000</v>
      </c>
      <c r="AB520" s="85"/>
      <c r="AD520" s="78" t="s">
        <v>481</v>
      </c>
      <c r="AE520" s="82"/>
      <c r="AF520" s="81" t="s">
        <v>2256</v>
      </c>
      <c r="AG520" s="81" t="s">
        <v>2256</v>
      </c>
      <c r="AH520" s="83">
        <v>400000</v>
      </c>
      <c r="AI520" s="85"/>
    </row>
    <row r="521" spans="1:35" s="79" customFormat="1" ht="11.25" customHeight="1" x14ac:dyDescent="0.2">
      <c r="A521" s="77" t="s">
        <v>492</v>
      </c>
      <c r="B521" s="80">
        <v>271</v>
      </c>
      <c r="C521" s="81" t="s">
        <v>491</v>
      </c>
      <c r="D521" s="73">
        <v>5</v>
      </c>
      <c r="E521" s="79" t="s">
        <v>16</v>
      </c>
      <c r="F521" s="79" t="s">
        <v>3725</v>
      </c>
      <c r="G521" s="79" t="s">
        <v>2996</v>
      </c>
      <c r="H521" s="79" t="s">
        <v>17</v>
      </c>
      <c r="I521" s="81"/>
      <c r="J521" s="81">
        <v>25</v>
      </c>
      <c r="K521" s="86"/>
      <c r="M521" s="78" t="s">
        <v>481</v>
      </c>
      <c r="N521" s="82"/>
      <c r="O521" s="81" t="s">
        <v>2352</v>
      </c>
      <c r="P521" s="81" t="s">
        <v>2256</v>
      </c>
      <c r="Q521" s="81"/>
      <c r="R521" s="83">
        <v>2500</v>
      </c>
      <c r="S521" s="79" t="s">
        <v>3528</v>
      </c>
      <c r="T521" s="84">
        <v>12500</v>
      </c>
      <c r="U521" s="81"/>
      <c r="V521" s="81"/>
      <c r="W521" s="78" t="s">
        <v>481</v>
      </c>
      <c r="X521" s="82"/>
      <c r="Y521" s="81" t="s">
        <v>2352</v>
      </c>
      <c r="Z521" s="81" t="s">
        <v>2256</v>
      </c>
      <c r="AA521" s="83">
        <v>12000</v>
      </c>
      <c r="AB521" s="85"/>
      <c r="AD521" s="78" t="s">
        <v>481</v>
      </c>
      <c r="AE521" s="82"/>
      <c r="AF521" s="81" t="s">
        <v>2352</v>
      </c>
      <c r="AG521" s="81" t="s">
        <v>2256</v>
      </c>
      <c r="AH521" s="83">
        <v>15000</v>
      </c>
      <c r="AI521" s="85"/>
    </row>
    <row r="522" spans="1:35" s="79" customFormat="1" ht="11.25" customHeight="1" x14ac:dyDescent="0.2">
      <c r="A522" s="77" t="s">
        <v>499</v>
      </c>
      <c r="B522" s="80">
        <v>348</v>
      </c>
      <c r="C522" s="81" t="s">
        <v>498</v>
      </c>
      <c r="D522" s="73">
        <v>5</v>
      </c>
      <c r="E522" s="79" t="s">
        <v>16</v>
      </c>
      <c r="F522" s="79" t="s">
        <v>3725</v>
      </c>
      <c r="G522" s="79" t="s">
        <v>2996</v>
      </c>
      <c r="H522" s="79" t="s">
        <v>17</v>
      </c>
      <c r="I522" s="81"/>
      <c r="J522" s="81">
        <v>25</v>
      </c>
      <c r="K522" s="86"/>
      <c r="M522" s="78" t="s">
        <v>500</v>
      </c>
      <c r="N522" s="82"/>
      <c r="O522" s="81" t="s">
        <v>2353</v>
      </c>
      <c r="P522" s="81" t="s">
        <v>2256</v>
      </c>
      <c r="Q522" s="81"/>
      <c r="R522" s="83">
        <v>2000</v>
      </c>
      <c r="S522" s="79" t="s">
        <v>3529</v>
      </c>
      <c r="T522" s="84">
        <v>10000</v>
      </c>
      <c r="U522" s="81"/>
      <c r="V522" s="81"/>
      <c r="W522" s="78" t="s">
        <v>500</v>
      </c>
      <c r="X522" s="82"/>
      <c r="Y522" s="81" t="s">
        <v>2353</v>
      </c>
      <c r="Z522" s="81" t="s">
        <v>2256</v>
      </c>
      <c r="AA522" s="83">
        <v>10000</v>
      </c>
      <c r="AB522" s="85"/>
      <c r="AD522" s="78" t="s">
        <v>500</v>
      </c>
      <c r="AE522" s="82"/>
      <c r="AF522" s="81" t="s">
        <v>2353</v>
      </c>
      <c r="AG522" s="81" t="s">
        <v>2256</v>
      </c>
      <c r="AH522" s="83">
        <v>14000</v>
      </c>
      <c r="AI522" s="85"/>
    </row>
    <row r="523" spans="1:35" s="79" customFormat="1" ht="11.25" customHeight="1" x14ac:dyDescent="0.2">
      <c r="A523" s="77" t="s">
        <v>556</v>
      </c>
      <c r="B523" s="80">
        <v>344</v>
      </c>
      <c r="C523" s="81" t="s">
        <v>500</v>
      </c>
      <c r="D523" s="73">
        <v>5</v>
      </c>
      <c r="E523" s="79" t="s">
        <v>16</v>
      </c>
      <c r="F523" s="79" t="s">
        <v>3725</v>
      </c>
      <c r="G523" s="79" t="s">
        <v>2996</v>
      </c>
      <c r="H523" s="79" t="s">
        <v>17</v>
      </c>
      <c r="I523" s="81"/>
      <c r="J523" s="81">
        <v>25</v>
      </c>
      <c r="K523" s="86"/>
      <c r="M523" s="78" t="s">
        <v>500</v>
      </c>
      <c r="N523" s="82"/>
      <c r="O523" s="81" t="s">
        <v>2256</v>
      </c>
      <c r="P523" s="81" t="s">
        <v>2256</v>
      </c>
      <c r="Q523" s="81"/>
      <c r="R523" s="83">
        <v>60000</v>
      </c>
      <c r="S523" s="79" t="s">
        <v>3002</v>
      </c>
      <c r="T523" s="84">
        <v>300000</v>
      </c>
      <c r="U523" s="81"/>
      <c r="V523" s="81"/>
      <c r="W523" s="78" t="s">
        <v>500</v>
      </c>
      <c r="X523" s="82"/>
      <c r="Y523" s="81" t="s">
        <v>2256</v>
      </c>
      <c r="Z523" s="81" t="s">
        <v>2256</v>
      </c>
      <c r="AA523" s="83">
        <v>200000</v>
      </c>
      <c r="AB523" s="85"/>
      <c r="AD523" s="78" t="s">
        <v>500</v>
      </c>
      <c r="AE523" s="82"/>
      <c r="AF523" s="81" t="s">
        <v>2256</v>
      </c>
      <c r="AG523" s="81" t="s">
        <v>2256</v>
      </c>
      <c r="AH523" s="83">
        <v>300000</v>
      </c>
      <c r="AI523" s="85"/>
    </row>
    <row r="524" spans="1:35" s="79" customFormat="1" ht="11.25" customHeight="1" x14ac:dyDescent="0.2">
      <c r="A524" s="77" t="s">
        <v>593</v>
      </c>
      <c r="B524" s="80">
        <v>907</v>
      </c>
      <c r="C524" s="81" t="s">
        <v>592</v>
      </c>
      <c r="D524" s="73">
        <v>80</v>
      </c>
      <c r="E524" s="79" t="s">
        <v>16</v>
      </c>
      <c r="F524" s="79" t="s">
        <v>3725</v>
      </c>
      <c r="G524" s="79" t="s">
        <v>2996</v>
      </c>
      <c r="H524" s="79" t="s">
        <v>17</v>
      </c>
      <c r="I524" s="81"/>
      <c r="J524" s="81">
        <v>25</v>
      </c>
      <c r="K524" s="86"/>
      <c r="M524" s="78" t="s">
        <v>592</v>
      </c>
      <c r="N524" s="82"/>
      <c r="O524" s="81" t="s">
        <v>2256</v>
      </c>
      <c r="P524" s="81" t="s">
        <v>2256</v>
      </c>
      <c r="Q524" s="81"/>
      <c r="R524" s="83">
        <v>2000</v>
      </c>
      <c r="S524" s="79" t="s">
        <v>3002</v>
      </c>
      <c r="T524" s="84">
        <v>160000</v>
      </c>
      <c r="U524" s="81"/>
      <c r="V524" s="81"/>
      <c r="W524" s="78" t="s">
        <v>592</v>
      </c>
      <c r="X524" s="82"/>
      <c r="Y524" s="81" t="s">
        <v>2256</v>
      </c>
      <c r="Z524" s="81" t="s">
        <v>2256</v>
      </c>
      <c r="AA524" s="83">
        <v>10000</v>
      </c>
      <c r="AB524" s="85"/>
      <c r="AD524" s="78" t="s">
        <v>592</v>
      </c>
      <c r="AE524" s="82"/>
      <c r="AF524" s="81" t="s">
        <v>2256</v>
      </c>
      <c r="AG524" s="81" t="s">
        <v>2256</v>
      </c>
      <c r="AH524" s="83">
        <v>14000</v>
      </c>
      <c r="AI524" s="85"/>
    </row>
    <row r="525" spans="1:35" s="79" customFormat="1" ht="11.25" customHeight="1" x14ac:dyDescent="0.2">
      <c r="A525" s="77" t="s">
        <v>595</v>
      </c>
      <c r="B525" s="80">
        <v>908</v>
      </c>
      <c r="C525" s="81" t="s">
        <v>594</v>
      </c>
      <c r="D525" s="73">
        <v>5</v>
      </c>
      <c r="E525" s="79" t="s">
        <v>16</v>
      </c>
      <c r="F525" s="79" t="s">
        <v>3725</v>
      </c>
      <c r="G525" s="79" t="s">
        <v>2996</v>
      </c>
      <c r="H525" s="79" t="s">
        <v>17</v>
      </c>
      <c r="I525" s="81"/>
      <c r="J525" s="81">
        <v>25</v>
      </c>
      <c r="K525" s="86"/>
      <c r="M525" s="78" t="s">
        <v>594</v>
      </c>
      <c r="N525" s="82"/>
      <c r="O525" s="81" t="s">
        <v>2256</v>
      </c>
      <c r="P525" s="81" t="s">
        <v>2256</v>
      </c>
      <c r="Q525" s="81"/>
      <c r="R525" s="83">
        <v>40000</v>
      </c>
      <c r="S525" s="79" t="s">
        <v>3002</v>
      </c>
      <c r="T525" s="84">
        <v>200000</v>
      </c>
      <c r="U525" s="81"/>
      <c r="V525" s="81"/>
      <c r="W525" s="78" t="s">
        <v>594</v>
      </c>
      <c r="X525" s="82"/>
      <c r="Y525" s="81" t="s">
        <v>2256</v>
      </c>
      <c r="Z525" s="81" t="s">
        <v>2256</v>
      </c>
      <c r="AA525" s="83">
        <v>200000</v>
      </c>
      <c r="AB525" s="85"/>
      <c r="AD525" s="78" t="s">
        <v>594</v>
      </c>
      <c r="AE525" s="82"/>
      <c r="AF525" s="81" t="s">
        <v>2256</v>
      </c>
      <c r="AG525" s="81" t="s">
        <v>2256</v>
      </c>
      <c r="AH525" s="83">
        <v>280000</v>
      </c>
      <c r="AI525" s="85"/>
    </row>
    <row r="526" spans="1:35" s="79" customFormat="1" ht="11.25" customHeight="1" x14ac:dyDescent="0.2">
      <c r="A526" s="77" t="s">
        <v>597</v>
      </c>
      <c r="B526" s="80">
        <v>182</v>
      </c>
      <c r="C526" s="81" t="s">
        <v>596</v>
      </c>
      <c r="D526" s="73">
        <v>80</v>
      </c>
      <c r="E526" s="79" t="s">
        <v>16</v>
      </c>
      <c r="F526" s="79" t="s">
        <v>3725</v>
      </c>
      <c r="G526" s="79" t="s">
        <v>2996</v>
      </c>
      <c r="H526" s="79" t="s">
        <v>17</v>
      </c>
      <c r="I526" s="81"/>
      <c r="J526" s="81">
        <v>25</v>
      </c>
      <c r="K526" s="86"/>
      <c r="M526" s="78" t="s">
        <v>596</v>
      </c>
      <c r="N526" s="82"/>
      <c r="O526" s="81" t="s">
        <v>2256</v>
      </c>
      <c r="P526" s="81" t="s">
        <v>2256</v>
      </c>
      <c r="Q526" s="81"/>
      <c r="R526" s="83">
        <v>2000</v>
      </c>
      <c r="S526" s="79" t="s">
        <v>3002</v>
      </c>
      <c r="T526" s="84">
        <v>160000</v>
      </c>
      <c r="U526" s="81"/>
      <c r="V526" s="81"/>
      <c r="W526" s="78" t="s">
        <v>596</v>
      </c>
      <c r="X526" s="82"/>
      <c r="Y526" s="81" t="s">
        <v>2256</v>
      </c>
      <c r="Z526" s="81" t="s">
        <v>2256</v>
      </c>
      <c r="AA526" s="83">
        <v>7000</v>
      </c>
      <c r="AB526" s="85"/>
      <c r="AD526" s="78" t="s">
        <v>596</v>
      </c>
      <c r="AE526" s="82"/>
      <c r="AF526" s="81" t="s">
        <v>2256</v>
      </c>
      <c r="AG526" s="81" t="s">
        <v>2256</v>
      </c>
      <c r="AH526" s="83">
        <v>9000</v>
      </c>
      <c r="AI526" s="85"/>
    </row>
    <row r="527" spans="1:35" s="79" customFormat="1" ht="11.25" customHeight="1" x14ac:dyDescent="0.2">
      <c r="A527" s="77" t="s">
        <v>599</v>
      </c>
      <c r="B527" s="80">
        <v>183</v>
      </c>
      <c r="C527" s="81" t="s">
        <v>598</v>
      </c>
      <c r="D527" s="73">
        <v>5</v>
      </c>
      <c r="E527" s="79" t="s">
        <v>16</v>
      </c>
      <c r="F527" s="79" t="s">
        <v>3725</v>
      </c>
      <c r="G527" s="79" t="s">
        <v>2996</v>
      </c>
      <c r="H527" s="79" t="s">
        <v>17</v>
      </c>
      <c r="I527" s="81"/>
      <c r="J527" s="81">
        <v>25</v>
      </c>
      <c r="K527" s="86"/>
      <c r="M527" s="78" t="s">
        <v>598</v>
      </c>
      <c r="N527" s="82"/>
      <c r="O527" s="81" t="s">
        <v>2256</v>
      </c>
      <c r="P527" s="81" t="s">
        <v>2256</v>
      </c>
      <c r="Q527" s="81"/>
      <c r="R527" s="83">
        <v>40000</v>
      </c>
      <c r="S527" s="79" t="s">
        <v>3002</v>
      </c>
      <c r="T527" s="84">
        <v>200000</v>
      </c>
      <c r="U527" s="81"/>
      <c r="V527" s="81"/>
      <c r="W527" s="78" t="s">
        <v>598</v>
      </c>
      <c r="X527" s="82"/>
      <c r="Y527" s="81" t="s">
        <v>2256</v>
      </c>
      <c r="Z527" s="81" t="s">
        <v>2256</v>
      </c>
      <c r="AA527" s="83">
        <v>80000</v>
      </c>
      <c r="AB527" s="85"/>
      <c r="AD527" s="78" t="s">
        <v>598</v>
      </c>
      <c r="AE527" s="82"/>
      <c r="AF527" s="81" t="s">
        <v>2256</v>
      </c>
      <c r="AG527" s="81" t="s">
        <v>2256</v>
      </c>
      <c r="AH527" s="83">
        <v>100000</v>
      </c>
      <c r="AI527" s="85"/>
    </row>
    <row r="528" spans="1:35" s="79" customFormat="1" ht="11.25" customHeight="1" x14ac:dyDescent="0.2">
      <c r="A528" s="77" t="s">
        <v>601</v>
      </c>
      <c r="B528" s="80">
        <v>184</v>
      </c>
      <c r="C528" s="81" t="s">
        <v>600</v>
      </c>
      <c r="D528" s="73">
        <v>80</v>
      </c>
      <c r="E528" s="79" t="s">
        <v>16</v>
      </c>
      <c r="F528" s="79" t="s">
        <v>3725</v>
      </c>
      <c r="G528" s="79" t="s">
        <v>2996</v>
      </c>
      <c r="H528" s="79" t="s">
        <v>17</v>
      </c>
      <c r="I528" s="81"/>
      <c r="J528" s="81">
        <v>25</v>
      </c>
      <c r="K528" s="86"/>
      <c r="M528" s="78" t="s">
        <v>600</v>
      </c>
      <c r="N528" s="82"/>
      <c r="O528" s="81" t="s">
        <v>2256</v>
      </c>
      <c r="P528" s="81" t="s">
        <v>2256</v>
      </c>
      <c r="Q528" s="81"/>
      <c r="R528" s="83">
        <v>750</v>
      </c>
      <c r="S528" s="79" t="s">
        <v>3002</v>
      </c>
      <c r="T528" s="84">
        <v>60000</v>
      </c>
      <c r="U528" s="81"/>
      <c r="V528" s="81"/>
      <c r="W528" s="78" t="s">
        <v>600</v>
      </c>
      <c r="X528" s="82"/>
      <c r="Y528" s="81" t="s">
        <v>2256</v>
      </c>
      <c r="Z528" s="81" t="s">
        <v>2256</v>
      </c>
      <c r="AA528" s="83">
        <v>4000</v>
      </c>
      <c r="AB528" s="85"/>
      <c r="AD528" s="78" t="s">
        <v>600</v>
      </c>
      <c r="AE528" s="82"/>
      <c r="AF528" s="81" t="s">
        <v>2256</v>
      </c>
      <c r="AG528" s="81" t="s">
        <v>2256</v>
      </c>
      <c r="AH528" s="83">
        <v>5000</v>
      </c>
      <c r="AI528" s="85"/>
    </row>
    <row r="529" spans="1:35" s="79" customFormat="1" ht="11.25" customHeight="1" x14ac:dyDescent="0.2">
      <c r="A529" s="77" t="s">
        <v>603</v>
      </c>
      <c r="B529" s="80">
        <v>185</v>
      </c>
      <c r="C529" s="81" t="s">
        <v>602</v>
      </c>
      <c r="D529" s="73">
        <v>5</v>
      </c>
      <c r="E529" s="79" t="s">
        <v>16</v>
      </c>
      <c r="F529" s="79" t="s">
        <v>3725</v>
      </c>
      <c r="G529" s="79" t="s">
        <v>2996</v>
      </c>
      <c r="H529" s="79" t="s">
        <v>17</v>
      </c>
      <c r="I529" s="81"/>
      <c r="J529" s="81">
        <v>25</v>
      </c>
      <c r="K529" s="86"/>
      <c r="M529" s="78" t="s">
        <v>602</v>
      </c>
      <c r="N529" s="82"/>
      <c r="O529" s="81" t="s">
        <v>2256</v>
      </c>
      <c r="P529" s="81" t="s">
        <v>2256</v>
      </c>
      <c r="Q529" s="81"/>
      <c r="R529" s="83">
        <v>10000</v>
      </c>
      <c r="S529" s="79" t="s">
        <v>3002</v>
      </c>
      <c r="T529" s="84">
        <v>50000</v>
      </c>
      <c r="U529" s="81"/>
      <c r="V529" s="81"/>
      <c r="W529" s="78" t="s">
        <v>602</v>
      </c>
      <c r="X529" s="82"/>
      <c r="Y529" s="81" t="s">
        <v>2256</v>
      </c>
      <c r="Z529" s="81" t="s">
        <v>2256</v>
      </c>
      <c r="AA529" s="83">
        <v>50000</v>
      </c>
      <c r="AB529" s="85"/>
      <c r="AD529" s="78" t="s">
        <v>602</v>
      </c>
      <c r="AE529" s="82"/>
      <c r="AF529" s="81" t="s">
        <v>2256</v>
      </c>
      <c r="AG529" s="81" t="s">
        <v>2256</v>
      </c>
      <c r="AH529" s="83">
        <v>70000</v>
      </c>
      <c r="AI529" s="85"/>
    </row>
    <row r="530" spans="1:35" s="79" customFormat="1" ht="11.25" customHeight="1" x14ac:dyDescent="0.2">
      <c r="A530" s="77" t="s">
        <v>561</v>
      </c>
      <c r="B530" s="80">
        <v>346</v>
      </c>
      <c r="C530" s="81" t="s">
        <v>560</v>
      </c>
      <c r="D530" s="73">
        <v>80</v>
      </c>
      <c r="E530" s="79" t="s">
        <v>16</v>
      </c>
      <c r="F530" s="79" t="s">
        <v>3725</v>
      </c>
      <c r="G530" s="79" t="s">
        <v>2996</v>
      </c>
      <c r="H530" s="79" t="s">
        <v>17</v>
      </c>
      <c r="I530" s="81"/>
      <c r="J530" s="81">
        <v>25</v>
      </c>
      <c r="K530" s="86"/>
      <c r="M530" s="78" t="s">
        <v>562</v>
      </c>
      <c r="N530" s="82"/>
      <c r="O530" s="81" t="s">
        <v>2365</v>
      </c>
      <c r="P530" s="81" t="s">
        <v>2256</v>
      </c>
      <c r="Q530" s="81"/>
      <c r="R530" s="83">
        <v>200</v>
      </c>
      <c r="S530" s="79" t="s">
        <v>3530</v>
      </c>
      <c r="T530" s="84">
        <v>16000</v>
      </c>
      <c r="U530" s="81"/>
      <c r="V530" s="81"/>
      <c r="W530" s="78" t="s">
        <v>562</v>
      </c>
      <c r="X530" s="82"/>
      <c r="Y530" s="81" t="s">
        <v>2365</v>
      </c>
      <c r="Z530" s="81" t="s">
        <v>2256</v>
      </c>
      <c r="AA530" s="83">
        <v>1000</v>
      </c>
      <c r="AB530" s="85"/>
      <c r="AD530" s="78" t="s">
        <v>562</v>
      </c>
      <c r="AE530" s="82"/>
      <c r="AF530" s="81" t="s">
        <v>2365</v>
      </c>
      <c r="AG530" s="81" t="s">
        <v>2256</v>
      </c>
      <c r="AH530" s="83">
        <v>1500</v>
      </c>
      <c r="AI530" s="85"/>
    </row>
    <row r="531" spans="1:35" s="79" customFormat="1" ht="11.25" customHeight="1" x14ac:dyDescent="0.2">
      <c r="A531" s="77" t="s">
        <v>2047</v>
      </c>
      <c r="B531" s="80">
        <v>342</v>
      </c>
      <c r="C531" s="81" t="s">
        <v>562</v>
      </c>
      <c r="D531" s="73">
        <v>80</v>
      </c>
      <c r="E531" s="79" t="s">
        <v>16</v>
      </c>
      <c r="F531" s="79" t="s">
        <v>3725</v>
      </c>
      <c r="G531" s="79" t="s">
        <v>2996</v>
      </c>
      <c r="H531" s="79" t="s">
        <v>17</v>
      </c>
      <c r="I531" s="81"/>
      <c r="J531" s="81">
        <v>25</v>
      </c>
      <c r="K531" s="86"/>
      <c r="M531" s="78" t="s">
        <v>562</v>
      </c>
      <c r="N531" s="82"/>
      <c r="O531" s="81" t="s">
        <v>2256</v>
      </c>
      <c r="P531" s="81" t="s">
        <v>2256</v>
      </c>
      <c r="Q531" s="81"/>
      <c r="R531" s="83">
        <v>5000</v>
      </c>
      <c r="S531" s="79" t="s">
        <v>3002</v>
      </c>
      <c r="T531" s="84">
        <v>400000</v>
      </c>
      <c r="U531" s="81"/>
      <c r="V531" s="81"/>
      <c r="W531" s="78" t="s">
        <v>562</v>
      </c>
      <c r="X531" s="82"/>
      <c r="Y531" s="81" t="s">
        <v>2256</v>
      </c>
      <c r="Z531" s="81" t="s">
        <v>2256</v>
      </c>
      <c r="AA531" s="83">
        <v>25000</v>
      </c>
      <c r="AB531" s="85"/>
      <c r="AD531" s="78" t="s">
        <v>562</v>
      </c>
      <c r="AE531" s="82"/>
      <c r="AF531" s="81" t="s">
        <v>2256</v>
      </c>
      <c r="AG531" s="81" t="s">
        <v>2256</v>
      </c>
      <c r="AH531" s="83">
        <v>35000</v>
      </c>
      <c r="AI531" s="85"/>
    </row>
    <row r="532" spans="1:35" s="79" customFormat="1" ht="11.25" customHeight="1" x14ac:dyDescent="0.2">
      <c r="A532" s="77" t="s">
        <v>2051</v>
      </c>
      <c r="B532" s="80">
        <v>349</v>
      </c>
      <c r="C532" s="81" t="s">
        <v>2050</v>
      </c>
      <c r="D532" s="73">
        <v>5</v>
      </c>
      <c r="E532" s="79" t="s">
        <v>16</v>
      </c>
      <c r="F532" s="79" t="s">
        <v>3725</v>
      </c>
      <c r="G532" s="79" t="s">
        <v>2996</v>
      </c>
      <c r="H532" s="79" t="s">
        <v>17</v>
      </c>
      <c r="I532" s="81"/>
      <c r="J532" s="81">
        <v>25</v>
      </c>
      <c r="K532" s="86"/>
      <c r="M532" s="78" t="s">
        <v>2052</v>
      </c>
      <c r="N532" s="82"/>
      <c r="O532" s="81" t="s">
        <v>2716</v>
      </c>
      <c r="P532" s="81" t="s">
        <v>2256</v>
      </c>
      <c r="Q532" s="81"/>
      <c r="R532" s="83">
        <v>2500</v>
      </c>
      <c r="S532" s="79" t="s">
        <v>3533</v>
      </c>
      <c r="T532" s="84">
        <v>12500</v>
      </c>
      <c r="U532" s="81"/>
      <c r="V532" s="81"/>
      <c r="W532" s="78" t="s">
        <v>2052</v>
      </c>
      <c r="X532" s="82"/>
      <c r="Y532" s="81" t="s">
        <v>2716</v>
      </c>
      <c r="Z532" s="81" t="s">
        <v>2256</v>
      </c>
      <c r="AA532" s="83">
        <v>12000</v>
      </c>
      <c r="AB532" s="85"/>
      <c r="AD532" s="78" t="s">
        <v>2052</v>
      </c>
      <c r="AE532" s="82"/>
      <c r="AF532" s="81" t="s">
        <v>2716</v>
      </c>
      <c r="AG532" s="81" t="s">
        <v>2256</v>
      </c>
      <c r="AH532" s="83">
        <v>15000</v>
      </c>
      <c r="AI532" s="85"/>
    </row>
    <row r="533" spans="1:35" s="79" customFormat="1" ht="11.25" customHeight="1" x14ac:dyDescent="0.2">
      <c r="A533" s="77" t="s">
        <v>2101</v>
      </c>
      <c r="B533" s="80">
        <v>345</v>
      </c>
      <c r="C533" s="81" t="s">
        <v>2052</v>
      </c>
      <c r="D533" s="73">
        <v>5</v>
      </c>
      <c r="E533" s="79" t="s">
        <v>16</v>
      </c>
      <c r="F533" s="79" t="s">
        <v>3725</v>
      </c>
      <c r="G533" s="79" t="s">
        <v>2996</v>
      </c>
      <c r="H533" s="79" t="s">
        <v>17</v>
      </c>
      <c r="I533" s="81"/>
      <c r="J533" s="81">
        <v>25</v>
      </c>
      <c r="K533" s="86"/>
      <c r="M533" s="78" t="s">
        <v>2052</v>
      </c>
      <c r="N533" s="82"/>
      <c r="O533" s="81" t="s">
        <v>2256</v>
      </c>
      <c r="P533" s="81" t="s">
        <v>2256</v>
      </c>
      <c r="Q533" s="81"/>
      <c r="R533" s="83">
        <v>75000</v>
      </c>
      <c r="S533" s="79" t="s">
        <v>3002</v>
      </c>
      <c r="T533" s="84">
        <v>375000</v>
      </c>
      <c r="U533" s="81"/>
      <c r="V533" s="81"/>
      <c r="W533" s="78" t="s">
        <v>2052</v>
      </c>
      <c r="X533" s="82"/>
      <c r="Y533" s="81" t="s">
        <v>2256</v>
      </c>
      <c r="Z533" s="81" t="s">
        <v>2256</v>
      </c>
      <c r="AA533" s="83">
        <v>250000</v>
      </c>
      <c r="AB533" s="85"/>
      <c r="AD533" s="78" t="s">
        <v>2052</v>
      </c>
      <c r="AE533" s="82"/>
      <c r="AF533" s="81" t="s">
        <v>2256</v>
      </c>
      <c r="AG533" s="81" t="s">
        <v>2256</v>
      </c>
      <c r="AH533" s="83">
        <v>400000</v>
      </c>
      <c r="AI533" s="85"/>
    </row>
    <row r="534" spans="1:35" s="79" customFormat="1" ht="11.25" customHeight="1" x14ac:dyDescent="0.2">
      <c r="A534" s="77" t="s">
        <v>327</v>
      </c>
      <c r="B534" s="80">
        <v>1068</v>
      </c>
      <c r="C534" s="81" t="s">
        <v>326</v>
      </c>
      <c r="D534" s="73">
        <v>80</v>
      </c>
      <c r="E534" s="79" t="s">
        <v>328</v>
      </c>
      <c r="F534" s="79" t="s">
        <v>129</v>
      </c>
      <c r="G534" s="79" t="s">
        <v>2995</v>
      </c>
      <c r="H534" s="79" t="s">
        <v>17</v>
      </c>
      <c r="I534" s="81"/>
      <c r="J534" s="81">
        <v>25</v>
      </c>
      <c r="K534" s="86"/>
      <c r="M534" s="78" t="s">
        <v>329</v>
      </c>
      <c r="N534" s="82"/>
      <c r="O534" s="81" t="s">
        <v>2311</v>
      </c>
      <c r="P534" s="81" t="s">
        <v>2256</v>
      </c>
      <c r="Q534" s="81"/>
      <c r="R534" s="83">
        <v>6000</v>
      </c>
      <c r="S534" s="79" t="s">
        <v>3040</v>
      </c>
      <c r="T534" s="84">
        <v>480000</v>
      </c>
      <c r="U534" s="81"/>
      <c r="V534" s="81"/>
      <c r="W534" s="78" t="s">
        <v>329</v>
      </c>
      <c r="X534" s="82"/>
      <c r="Y534" s="81" t="s">
        <v>2311</v>
      </c>
      <c r="Z534" s="81" t="s">
        <v>2256</v>
      </c>
      <c r="AA534" s="83">
        <v>30000</v>
      </c>
      <c r="AB534" s="85"/>
      <c r="AD534" s="78" t="s">
        <v>329</v>
      </c>
      <c r="AE534" s="82"/>
      <c r="AF534" s="81" t="s">
        <v>2311</v>
      </c>
      <c r="AG534" s="81" t="s">
        <v>2256</v>
      </c>
      <c r="AH534" s="83">
        <v>40000</v>
      </c>
      <c r="AI534" s="85"/>
    </row>
    <row r="535" spans="1:35" s="79" customFormat="1" ht="11.25" customHeight="1" x14ac:dyDescent="0.2">
      <c r="A535" s="77" t="s">
        <v>2238</v>
      </c>
      <c r="B535" s="80">
        <v>343</v>
      </c>
      <c r="C535" s="81" t="s">
        <v>329</v>
      </c>
      <c r="D535" s="73">
        <v>80</v>
      </c>
      <c r="E535" s="79" t="s">
        <v>16</v>
      </c>
      <c r="F535" s="79" t="s">
        <v>3725</v>
      </c>
      <c r="G535" s="79" t="s">
        <v>2996</v>
      </c>
      <c r="H535" s="79" t="s">
        <v>17</v>
      </c>
      <c r="I535" s="81"/>
      <c r="J535" s="81">
        <v>25</v>
      </c>
      <c r="K535" s="86"/>
      <c r="M535" s="78" t="s">
        <v>329</v>
      </c>
      <c r="N535" s="82"/>
      <c r="O535" s="81" t="s">
        <v>2256</v>
      </c>
      <c r="P535" s="81" t="s">
        <v>2256</v>
      </c>
      <c r="Q535" s="81"/>
      <c r="R535" s="83">
        <v>6000</v>
      </c>
      <c r="S535" s="79" t="s">
        <v>3002</v>
      </c>
      <c r="T535" s="84">
        <v>480000</v>
      </c>
      <c r="U535" s="81"/>
      <c r="V535" s="81"/>
      <c r="W535" s="78" t="s">
        <v>329</v>
      </c>
      <c r="X535" s="82"/>
      <c r="Y535" s="81" t="s">
        <v>2256</v>
      </c>
      <c r="Z535" s="81" t="s">
        <v>2256</v>
      </c>
      <c r="AA535" s="83">
        <v>30000</v>
      </c>
      <c r="AB535" s="85"/>
      <c r="AD535" s="78" t="s">
        <v>329</v>
      </c>
      <c r="AE535" s="82"/>
      <c r="AF535" s="81" t="s">
        <v>2256</v>
      </c>
      <c r="AG535" s="81" t="s">
        <v>2256</v>
      </c>
      <c r="AH535" s="83">
        <v>40000</v>
      </c>
      <c r="AI535" s="85"/>
    </row>
    <row r="536" spans="1:35" s="79" customFormat="1" ht="11.25" customHeight="1" x14ac:dyDescent="0.2">
      <c r="A536" s="77" t="s">
        <v>2240</v>
      </c>
      <c r="B536" s="80">
        <v>347</v>
      </c>
      <c r="C536" s="81" t="s">
        <v>2239</v>
      </c>
      <c r="D536" s="73">
        <v>80</v>
      </c>
      <c r="E536" s="79" t="s">
        <v>16</v>
      </c>
      <c r="F536" s="79" t="s">
        <v>3725</v>
      </c>
      <c r="G536" s="79" t="s">
        <v>2996</v>
      </c>
      <c r="H536" s="79" t="s">
        <v>17</v>
      </c>
      <c r="I536" s="81"/>
      <c r="J536" s="81">
        <v>25</v>
      </c>
      <c r="K536" s="86"/>
      <c r="M536" s="78" t="s">
        <v>329</v>
      </c>
      <c r="N536" s="82"/>
      <c r="O536" s="81" t="s">
        <v>2767</v>
      </c>
      <c r="P536" s="81" t="s">
        <v>2256</v>
      </c>
      <c r="Q536" s="81"/>
      <c r="R536" s="83">
        <v>250</v>
      </c>
      <c r="S536" s="79" t="s">
        <v>3534</v>
      </c>
      <c r="T536" s="84">
        <v>20000</v>
      </c>
      <c r="U536" s="81"/>
      <c r="V536" s="81"/>
      <c r="W536" s="78" t="s">
        <v>329</v>
      </c>
      <c r="X536" s="82"/>
      <c r="Y536" s="81" t="s">
        <v>2767</v>
      </c>
      <c r="Z536" s="81" t="s">
        <v>2256</v>
      </c>
      <c r="AA536" s="83">
        <v>1200</v>
      </c>
      <c r="AB536" s="85"/>
      <c r="AD536" s="78" t="s">
        <v>329</v>
      </c>
      <c r="AE536" s="82"/>
      <c r="AF536" s="81" t="s">
        <v>2767</v>
      </c>
      <c r="AG536" s="81" t="s">
        <v>2256</v>
      </c>
      <c r="AH536" s="83">
        <v>1500</v>
      </c>
      <c r="AI536" s="85"/>
    </row>
    <row r="537" spans="1:35" s="79" customFormat="1" ht="11.25" customHeight="1" x14ac:dyDescent="0.2">
      <c r="A537" s="77" t="s">
        <v>2243</v>
      </c>
      <c r="B537" s="80">
        <v>963</v>
      </c>
      <c r="C537" s="81" t="s">
        <v>2242</v>
      </c>
      <c r="D537" s="73">
        <v>5</v>
      </c>
      <c r="E537" s="79" t="s">
        <v>16</v>
      </c>
      <c r="F537" s="79" t="s">
        <v>3725</v>
      </c>
      <c r="G537" s="79" t="s">
        <v>2996</v>
      </c>
      <c r="H537" s="79" t="s">
        <v>17</v>
      </c>
      <c r="I537" s="81"/>
      <c r="J537" s="81">
        <v>25</v>
      </c>
      <c r="K537" s="86"/>
      <c r="M537" s="78" t="s">
        <v>2242</v>
      </c>
      <c r="N537" s="82"/>
      <c r="O537" s="81" t="s">
        <v>2256</v>
      </c>
      <c r="P537" s="81" t="s">
        <v>2256</v>
      </c>
      <c r="Q537" s="81"/>
      <c r="R537" s="83">
        <v>15000</v>
      </c>
      <c r="S537" s="79" t="s">
        <v>3002</v>
      </c>
      <c r="T537" s="84">
        <v>75000</v>
      </c>
      <c r="U537" s="81"/>
      <c r="V537" s="81"/>
      <c r="W537" s="78" t="s">
        <v>2242</v>
      </c>
      <c r="X537" s="82"/>
      <c r="Y537" s="81" t="s">
        <v>2256</v>
      </c>
      <c r="Z537" s="81" t="s">
        <v>2256</v>
      </c>
      <c r="AA537" s="83">
        <v>75000</v>
      </c>
      <c r="AB537" s="85"/>
      <c r="AD537" s="78" t="s">
        <v>2242</v>
      </c>
      <c r="AE537" s="82"/>
      <c r="AF537" s="81" t="s">
        <v>2256</v>
      </c>
      <c r="AG537" s="81" t="s">
        <v>2256</v>
      </c>
      <c r="AH537" s="83">
        <v>100000</v>
      </c>
      <c r="AI537" s="85"/>
    </row>
    <row r="538" spans="1:35" s="79" customFormat="1" ht="11.25" customHeight="1" x14ac:dyDescent="0.2">
      <c r="A538" s="77" t="s">
        <v>91</v>
      </c>
      <c r="B538" s="80">
        <v>642</v>
      </c>
      <c r="C538" s="81" t="s">
        <v>90</v>
      </c>
      <c r="D538" s="73">
        <v>5</v>
      </c>
      <c r="E538" s="79" t="s">
        <v>16</v>
      </c>
      <c r="F538" s="79" t="s">
        <v>3725</v>
      </c>
      <c r="G538" s="79" t="s">
        <v>2996</v>
      </c>
      <c r="H538" s="79" t="s">
        <v>17</v>
      </c>
      <c r="I538" s="81"/>
      <c r="J538" s="81">
        <v>25</v>
      </c>
      <c r="K538" s="86"/>
      <c r="M538" s="78" t="s">
        <v>90</v>
      </c>
      <c r="N538" s="82"/>
      <c r="O538" s="81" t="s">
        <v>2256</v>
      </c>
      <c r="P538" s="81" t="s">
        <v>2256</v>
      </c>
      <c r="Q538" s="81"/>
      <c r="R538" s="83">
        <v>25000</v>
      </c>
      <c r="S538" s="79" t="s">
        <v>3002</v>
      </c>
      <c r="T538" s="84">
        <v>125000</v>
      </c>
      <c r="U538" s="81"/>
      <c r="V538" s="81"/>
      <c r="W538" s="78" t="s">
        <v>90</v>
      </c>
      <c r="X538" s="82"/>
      <c r="Y538" s="81" t="s">
        <v>2256</v>
      </c>
      <c r="Z538" s="81" t="s">
        <v>2256</v>
      </c>
      <c r="AA538" s="83">
        <v>75000</v>
      </c>
      <c r="AB538" s="85"/>
      <c r="AD538" s="78" t="s">
        <v>90</v>
      </c>
      <c r="AE538" s="82"/>
      <c r="AF538" s="81" t="s">
        <v>2256</v>
      </c>
      <c r="AG538" s="81" t="s">
        <v>2256</v>
      </c>
      <c r="AH538" s="83">
        <v>100000</v>
      </c>
      <c r="AI538" s="85"/>
    </row>
    <row r="539" spans="1:35" s="79" customFormat="1" ht="11.25" x14ac:dyDescent="0.2">
      <c r="A539" s="77" t="s">
        <v>99</v>
      </c>
      <c r="B539" s="80">
        <v>606</v>
      </c>
      <c r="C539" s="81" t="s">
        <v>98</v>
      </c>
      <c r="D539" s="73">
        <v>80</v>
      </c>
      <c r="E539" s="79" t="s">
        <v>16</v>
      </c>
      <c r="F539" s="79" t="s">
        <v>3725</v>
      </c>
      <c r="G539" s="79" t="s">
        <v>2996</v>
      </c>
      <c r="H539" s="79" t="s">
        <v>17</v>
      </c>
      <c r="I539" s="81"/>
      <c r="J539" s="81">
        <v>25</v>
      </c>
      <c r="K539" s="86"/>
      <c r="M539" s="78" t="s">
        <v>98</v>
      </c>
      <c r="N539" s="82"/>
      <c r="O539" s="81" t="s">
        <v>2256</v>
      </c>
      <c r="P539" s="81" t="s">
        <v>2256</v>
      </c>
      <c r="Q539" s="81"/>
      <c r="R539" s="83">
        <v>3500</v>
      </c>
      <c r="S539" s="79" t="s">
        <v>3002</v>
      </c>
      <c r="T539" s="84">
        <v>280000</v>
      </c>
      <c r="U539" s="81"/>
      <c r="V539" s="81"/>
      <c r="W539" s="78" t="s">
        <v>98</v>
      </c>
      <c r="X539" s="82"/>
      <c r="Y539" s="81" t="s">
        <v>2256</v>
      </c>
      <c r="Z539" s="81" t="s">
        <v>2256</v>
      </c>
      <c r="AA539" s="83">
        <v>10000</v>
      </c>
      <c r="AB539" s="85"/>
      <c r="AD539" s="78" t="s">
        <v>98</v>
      </c>
      <c r="AE539" s="82"/>
      <c r="AF539" s="81" t="s">
        <v>2256</v>
      </c>
      <c r="AG539" s="81" t="s">
        <v>2256</v>
      </c>
      <c r="AH539" s="83">
        <v>15000</v>
      </c>
      <c r="AI539" s="85"/>
    </row>
    <row r="540" spans="1:35" s="79" customFormat="1" ht="11.25" x14ac:dyDescent="0.2">
      <c r="A540" s="77" t="s">
        <v>103</v>
      </c>
      <c r="B540" s="80">
        <v>866</v>
      </c>
      <c r="C540" s="81" t="s">
        <v>102</v>
      </c>
      <c r="D540" s="73">
        <v>5</v>
      </c>
      <c r="E540" s="79" t="s">
        <v>16</v>
      </c>
      <c r="F540" s="79" t="s">
        <v>3725</v>
      </c>
      <c r="G540" s="79" t="s">
        <v>2996</v>
      </c>
      <c r="H540" s="79" t="s">
        <v>17</v>
      </c>
      <c r="I540" s="81"/>
      <c r="J540" s="81">
        <v>25</v>
      </c>
      <c r="K540" s="86"/>
      <c r="M540" s="78" t="s">
        <v>102</v>
      </c>
      <c r="N540" s="82"/>
      <c r="O540" s="81" t="s">
        <v>2256</v>
      </c>
      <c r="P540" s="81" t="s">
        <v>2256</v>
      </c>
      <c r="Q540" s="81"/>
      <c r="R540" s="83">
        <v>1250</v>
      </c>
      <c r="S540" s="79" t="s">
        <v>3002</v>
      </c>
      <c r="T540" s="84">
        <v>6250</v>
      </c>
      <c r="U540" s="81"/>
      <c r="V540" s="81"/>
      <c r="W540" s="78" t="s">
        <v>102</v>
      </c>
      <c r="X540" s="82"/>
      <c r="Y540" s="81" t="s">
        <v>2256</v>
      </c>
      <c r="Z540" s="81" t="s">
        <v>2256</v>
      </c>
      <c r="AA540" s="83">
        <v>5000</v>
      </c>
      <c r="AB540" s="85"/>
      <c r="AD540" s="78" t="s">
        <v>102</v>
      </c>
      <c r="AE540" s="82"/>
      <c r="AF540" s="81" t="s">
        <v>2256</v>
      </c>
      <c r="AG540" s="81" t="s">
        <v>2256</v>
      </c>
      <c r="AH540" s="83">
        <v>7500</v>
      </c>
      <c r="AI540" s="85"/>
    </row>
    <row r="541" spans="1:35" s="79" customFormat="1" ht="11.25" customHeight="1" x14ac:dyDescent="0.2">
      <c r="A541" s="77" t="s">
        <v>110</v>
      </c>
      <c r="B541" s="80">
        <v>874</v>
      </c>
      <c r="C541" s="81" t="s">
        <v>109</v>
      </c>
      <c r="D541" s="73">
        <v>5</v>
      </c>
      <c r="E541" s="79" t="s">
        <v>16</v>
      </c>
      <c r="F541" s="79" t="s">
        <v>3725</v>
      </c>
      <c r="G541" s="79" t="s">
        <v>2996</v>
      </c>
      <c r="H541" s="79" t="s">
        <v>17</v>
      </c>
      <c r="I541" s="81"/>
      <c r="J541" s="81">
        <v>25</v>
      </c>
      <c r="K541" s="86"/>
      <c r="M541" s="78" t="s">
        <v>109</v>
      </c>
      <c r="N541" s="82"/>
      <c r="O541" s="81" t="s">
        <v>2256</v>
      </c>
      <c r="P541" s="81" t="s">
        <v>2256</v>
      </c>
      <c r="Q541" s="81"/>
      <c r="R541" s="83">
        <v>1250</v>
      </c>
      <c r="S541" s="79" t="s">
        <v>3002</v>
      </c>
      <c r="T541" s="84">
        <v>6250</v>
      </c>
      <c r="U541" s="81"/>
      <c r="V541" s="81"/>
      <c r="W541" s="78" t="s">
        <v>109</v>
      </c>
      <c r="X541" s="82"/>
      <c r="Y541" s="81" t="s">
        <v>2256</v>
      </c>
      <c r="Z541" s="81" t="s">
        <v>2256</v>
      </c>
      <c r="AA541" s="83">
        <v>5000</v>
      </c>
      <c r="AB541" s="85"/>
      <c r="AD541" s="78" t="s">
        <v>109</v>
      </c>
      <c r="AE541" s="82"/>
      <c r="AF541" s="81" t="s">
        <v>2256</v>
      </c>
      <c r="AG541" s="81" t="s">
        <v>2256</v>
      </c>
      <c r="AH541" s="83">
        <v>7500</v>
      </c>
      <c r="AI541" s="85"/>
    </row>
    <row r="542" spans="1:35" s="79" customFormat="1" ht="11.25" customHeight="1" x14ac:dyDescent="0.2">
      <c r="A542" s="77" t="s">
        <v>15</v>
      </c>
      <c r="B542" s="80">
        <v>873</v>
      </c>
      <c r="C542" s="81" t="s">
        <v>14</v>
      </c>
      <c r="D542" s="73">
        <v>80</v>
      </c>
      <c r="E542" s="79" t="s">
        <v>16</v>
      </c>
      <c r="F542" s="79" t="s">
        <v>3725</v>
      </c>
      <c r="G542" s="79" t="s">
        <v>2996</v>
      </c>
      <c r="H542" s="79" t="s">
        <v>17</v>
      </c>
      <c r="I542" s="81"/>
      <c r="J542" s="81">
        <v>25</v>
      </c>
      <c r="K542" s="86"/>
      <c r="M542" s="78" t="s">
        <v>14</v>
      </c>
      <c r="N542" s="82"/>
      <c r="O542" s="81"/>
      <c r="P542" s="81" t="s">
        <v>2256</v>
      </c>
      <c r="Q542" s="81"/>
      <c r="R542" s="83">
        <v>175</v>
      </c>
      <c r="S542" s="79" t="s">
        <v>3002</v>
      </c>
      <c r="T542" s="84">
        <v>14000</v>
      </c>
      <c r="U542" s="81"/>
      <c r="V542" s="81"/>
      <c r="W542" s="78" t="s">
        <v>14</v>
      </c>
      <c r="X542" s="82"/>
      <c r="Y542" s="81"/>
      <c r="Z542" s="81" t="s">
        <v>2256</v>
      </c>
      <c r="AA542" s="80">
        <v>750</v>
      </c>
      <c r="AB542" s="85"/>
      <c r="AD542" s="78" t="s">
        <v>14</v>
      </c>
      <c r="AE542" s="82"/>
      <c r="AF542" s="81"/>
      <c r="AG542" s="81" t="s">
        <v>2256</v>
      </c>
      <c r="AH542" s="83">
        <v>1000</v>
      </c>
      <c r="AI542" s="85"/>
    </row>
    <row r="543" spans="1:35" s="79" customFormat="1" ht="11.25" customHeight="1" x14ac:dyDescent="0.2">
      <c r="A543" s="77" t="s">
        <v>3787</v>
      </c>
      <c r="B543" s="80">
        <v>1049</v>
      </c>
      <c r="C543" s="81" t="s">
        <v>32</v>
      </c>
      <c r="D543" s="73">
        <v>1</v>
      </c>
      <c r="E543" s="79" t="s">
        <v>16</v>
      </c>
      <c r="F543" s="79" t="s">
        <v>3725</v>
      </c>
      <c r="G543" s="79" t="s">
        <v>2996</v>
      </c>
      <c r="H543" s="79" t="s">
        <v>17</v>
      </c>
      <c r="I543" s="81"/>
      <c r="J543" s="81">
        <v>25</v>
      </c>
      <c r="K543" s="86"/>
      <c r="M543" s="78" t="s">
        <v>32</v>
      </c>
      <c r="N543" s="82"/>
      <c r="O543" s="81" t="s">
        <v>2256</v>
      </c>
      <c r="P543" s="81" t="s">
        <v>2256</v>
      </c>
      <c r="Q543" s="81"/>
      <c r="R543" s="83">
        <v>35000</v>
      </c>
      <c r="S543" s="79" t="s">
        <v>3002</v>
      </c>
      <c r="T543" s="84">
        <v>35000</v>
      </c>
      <c r="U543" s="81"/>
      <c r="V543" s="81"/>
      <c r="W543" s="78" t="s">
        <v>32</v>
      </c>
      <c r="X543" s="82"/>
      <c r="Y543" s="81" t="s">
        <v>2256</v>
      </c>
      <c r="Z543" s="81" t="s">
        <v>2256</v>
      </c>
      <c r="AA543" s="83">
        <v>175000</v>
      </c>
      <c r="AB543" s="85"/>
      <c r="AD543" s="78" t="s">
        <v>32</v>
      </c>
      <c r="AE543" s="82"/>
      <c r="AF543" s="81" t="s">
        <v>2256</v>
      </c>
      <c r="AG543" s="81" t="s">
        <v>2256</v>
      </c>
      <c r="AH543" s="83">
        <v>200000</v>
      </c>
      <c r="AI543" s="85"/>
    </row>
    <row r="544" spans="1:35" s="79" customFormat="1" ht="11.25" customHeight="1" x14ac:dyDescent="0.2">
      <c r="A544" s="77" t="s">
        <v>3788</v>
      </c>
      <c r="B544" s="80">
        <v>1050</v>
      </c>
      <c r="C544" s="81" t="s">
        <v>33</v>
      </c>
      <c r="D544" s="73">
        <v>1</v>
      </c>
      <c r="E544" s="79" t="s">
        <v>16</v>
      </c>
      <c r="F544" s="79" t="s">
        <v>3725</v>
      </c>
      <c r="G544" s="79" t="s">
        <v>2996</v>
      </c>
      <c r="H544" s="79" t="s">
        <v>17</v>
      </c>
      <c r="I544" s="81"/>
      <c r="J544" s="81">
        <v>25</v>
      </c>
      <c r="K544" s="86"/>
      <c r="M544" s="78" t="s">
        <v>33</v>
      </c>
      <c r="N544" s="82"/>
      <c r="O544" s="81" t="s">
        <v>2256</v>
      </c>
      <c r="P544" s="81" t="s">
        <v>2256</v>
      </c>
      <c r="Q544" s="81"/>
      <c r="R544" s="83">
        <v>1000000</v>
      </c>
      <c r="S544" s="79" t="s">
        <v>3002</v>
      </c>
      <c r="T544" s="84">
        <v>1000000</v>
      </c>
      <c r="U544" s="81"/>
      <c r="V544" s="81"/>
      <c r="W544" s="78" t="s">
        <v>33</v>
      </c>
      <c r="X544" s="82"/>
      <c r="Y544" s="81" t="s">
        <v>2256</v>
      </c>
      <c r="Z544" s="81" t="s">
        <v>2256</v>
      </c>
      <c r="AA544" s="83">
        <v>4000000</v>
      </c>
      <c r="AB544" s="85"/>
      <c r="AD544" s="78" t="s">
        <v>33</v>
      </c>
      <c r="AE544" s="82"/>
      <c r="AF544" s="81" t="s">
        <v>2256</v>
      </c>
      <c r="AG544" s="81" t="s">
        <v>2256</v>
      </c>
      <c r="AH544" s="83">
        <v>7000000</v>
      </c>
      <c r="AI544" s="85"/>
    </row>
    <row r="545" spans="1:35" s="79" customFormat="1" ht="11.25" customHeight="1" x14ac:dyDescent="0.2">
      <c r="A545" s="77" t="s">
        <v>37</v>
      </c>
      <c r="B545" s="80">
        <v>841</v>
      </c>
      <c r="C545" s="81" t="s">
        <v>36</v>
      </c>
      <c r="D545" s="73">
        <v>5</v>
      </c>
      <c r="E545" s="79" t="s">
        <v>16</v>
      </c>
      <c r="F545" s="79" t="s">
        <v>3725</v>
      </c>
      <c r="G545" s="79" t="s">
        <v>2996</v>
      </c>
      <c r="H545" s="79" t="s">
        <v>17</v>
      </c>
      <c r="I545" s="81"/>
      <c r="J545" s="81">
        <v>25</v>
      </c>
      <c r="K545" s="86"/>
      <c r="M545" s="78" t="s">
        <v>36</v>
      </c>
      <c r="N545" s="82"/>
      <c r="O545" s="81" t="s">
        <v>2256</v>
      </c>
      <c r="P545" s="81" t="s">
        <v>2256</v>
      </c>
      <c r="Q545" s="81"/>
      <c r="R545" s="83">
        <v>25000</v>
      </c>
      <c r="S545" s="79" t="s">
        <v>3002</v>
      </c>
      <c r="T545" s="84">
        <v>125000</v>
      </c>
      <c r="U545" s="81"/>
      <c r="V545" s="81"/>
      <c r="W545" s="78" t="s">
        <v>36</v>
      </c>
      <c r="X545" s="82"/>
      <c r="Y545" s="81" t="s">
        <v>2256</v>
      </c>
      <c r="Z545" s="81" t="s">
        <v>2256</v>
      </c>
      <c r="AA545" s="83">
        <v>75000</v>
      </c>
      <c r="AB545" s="85"/>
      <c r="AD545" s="78" t="s">
        <v>36</v>
      </c>
      <c r="AE545" s="82"/>
      <c r="AF545" s="81" t="s">
        <v>2256</v>
      </c>
      <c r="AG545" s="81" t="s">
        <v>2256</v>
      </c>
      <c r="AH545" s="83">
        <v>100000</v>
      </c>
      <c r="AI545" s="85"/>
    </row>
    <row r="546" spans="1:35" s="79" customFormat="1" ht="11.25" customHeight="1" x14ac:dyDescent="0.2">
      <c r="A546" s="77" t="s">
        <v>39</v>
      </c>
      <c r="B546" s="80">
        <v>783</v>
      </c>
      <c r="C546" s="81" t="s">
        <v>38</v>
      </c>
      <c r="D546" s="73">
        <v>80</v>
      </c>
      <c r="E546" s="79" t="s">
        <v>16</v>
      </c>
      <c r="F546" s="79" t="s">
        <v>3725</v>
      </c>
      <c r="G546" s="79" t="s">
        <v>2996</v>
      </c>
      <c r="H546" s="79" t="s">
        <v>17</v>
      </c>
      <c r="I546" s="81"/>
      <c r="J546" s="81">
        <v>25</v>
      </c>
      <c r="K546" s="86"/>
      <c r="M546" s="78" t="s">
        <v>38</v>
      </c>
      <c r="N546" s="82"/>
      <c r="O546" s="81" t="s">
        <v>2256</v>
      </c>
      <c r="P546" s="81" t="s">
        <v>2256</v>
      </c>
      <c r="Q546" s="81"/>
      <c r="R546" s="83">
        <v>3500</v>
      </c>
      <c r="S546" s="79" t="s">
        <v>3002</v>
      </c>
      <c r="T546" s="84">
        <v>280000</v>
      </c>
      <c r="U546" s="81"/>
      <c r="V546" s="81"/>
      <c r="W546" s="78" t="s">
        <v>38</v>
      </c>
      <c r="X546" s="82"/>
      <c r="Y546" s="81" t="s">
        <v>2256</v>
      </c>
      <c r="Z546" s="81" t="s">
        <v>2256</v>
      </c>
      <c r="AA546" s="83">
        <v>10000</v>
      </c>
      <c r="AB546" s="85"/>
      <c r="AD546" s="78" t="s">
        <v>38</v>
      </c>
      <c r="AE546" s="82"/>
      <c r="AF546" s="81" t="s">
        <v>2256</v>
      </c>
      <c r="AG546" s="81" t="s">
        <v>2256</v>
      </c>
      <c r="AH546" s="83">
        <v>15000</v>
      </c>
      <c r="AI546" s="85"/>
    </row>
    <row r="547" spans="1:35" s="79" customFormat="1" ht="11.25" customHeight="1" x14ac:dyDescent="0.2">
      <c r="A547" s="77" t="s">
        <v>54</v>
      </c>
      <c r="B547" s="80">
        <v>853</v>
      </c>
      <c r="C547" s="81" t="s">
        <v>53</v>
      </c>
      <c r="D547" s="73">
        <v>80</v>
      </c>
      <c r="E547" s="79" t="s">
        <v>16</v>
      </c>
      <c r="F547" s="79" t="s">
        <v>3725</v>
      </c>
      <c r="G547" s="79" t="s">
        <v>2996</v>
      </c>
      <c r="H547" s="79" t="s">
        <v>17</v>
      </c>
      <c r="I547" s="81"/>
      <c r="J547" s="81">
        <v>25</v>
      </c>
      <c r="K547" s="86"/>
      <c r="M547" s="78" t="s">
        <v>53</v>
      </c>
      <c r="N547" s="82"/>
      <c r="O547" s="81" t="s">
        <v>2256</v>
      </c>
      <c r="P547" s="81" t="s">
        <v>2256</v>
      </c>
      <c r="Q547" s="81"/>
      <c r="R547" s="83">
        <v>175</v>
      </c>
      <c r="S547" s="79" t="s">
        <v>3002</v>
      </c>
      <c r="T547" s="84">
        <v>14000</v>
      </c>
      <c r="U547" s="81"/>
      <c r="V547" s="81"/>
      <c r="W547" s="78" t="s">
        <v>53</v>
      </c>
      <c r="X547" s="82"/>
      <c r="Y547" s="81" t="s">
        <v>2256</v>
      </c>
      <c r="Z547" s="81" t="s">
        <v>2256</v>
      </c>
      <c r="AA547" s="80">
        <v>750</v>
      </c>
      <c r="AB547" s="85"/>
      <c r="AD547" s="78" t="s">
        <v>53</v>
      </c>
      <c r="AE547" s="82"/>
      <c r="AF547" s="81" t="s">
        <v>2256</v>
      </c>
      <c r="AG547" s="81" t="s">
        <v>2256</v>
      </c>
      <c r="AH547" s="83">
        <v>1000</v>
      </c>
      <c r="AI547" s="85"/>
    </row>
    <row r="548" spans="1:35" s="79" customFormat="1" ht="11.25" customHeight="1" x14ac:dyDescent="0.2">
      <c r="A548" s="77" t="s">
        <v>359</v>
      </c>
      <c r="B548" s="80">
        <v>898</v>
      </c>
      <c r="C548" s="81" t="s">
        <v>358</v>
      </c>
      <c r="D548" s="73">
        <v>80</v>
      </c>
      <c r="E548" s="79" t="s">
        <v>16</v>
      </c>
      <c r="F548" s="79" t="s">
        <v>3725</v>
      </c>
      <c r="G548" s="79" t="s">
        <v>2996</v>
      </c>
      <c r="H548" s="79" t="s">
        <v>17</v>
      </c>
      <c r="I548" s="81"/>
      <c r="J548" s="81">
        <v>25</v>
      </c>
      <c r="K548" s="86"/>
      <c r="M548" s="78" t="s">
        <v>358</v>
      </c>
      <c r="N548" s="82"/>
      <c r="O548" s="81" t="s">
        <v>2256</v>
      </c>
      <c r="P548" s="81" t="s">
        <v>2256</v>
      </c>
      <c r="Q548" s="81"/>
      <c r="R548" s="83">
        <v>1000</v>
      </c>
      <c r="S548" s="79" t="s">
        <v>3002</v>
      </c>
      <c r="T548" s="84">
        <v>80000</v>
      </c>
      <c r="U548" s="81"/>
      <c r="V548" s="81"/>
      <c r="W548" s="78" t="s">
        <v>358</v>
      </c>
      <c r="X548" s="82"/>
      <c r="Y548" s="81" t="s">
        <v>2256</v>
      </c>
      <c r="Z548" s="81" t="s">
        <v>2256</v>
      </c>
      <c r="AA548" s="83">
        <v>5000</v>
      </c>
      <c r="AB548" s="85"/>
      <c r="AD548" s="78" t="s">
        <v>358</v>
      </c>
      <c r="AE548" s="82"/>
      <c r="AF548" s="81" t="s">
        <v>2256</v>
      </c>
      <c r="AG548" s="81" t="s">
        <v>2256</v>
      </c>
      <c r="AH548" s="83">
        <v>7000</v>
      </c>
      <c r="AI548" s="85"/>
    </row>
    <row r="549" spans="1:35" s="79" customFormat="1" ht="11.25" customHeight="1" x14ac:dyDescent="0.2">
      <c r="A549" s="77" t="s">
        <v>361</v>
      </c>
      <c r="B549" s="80">
        <v>899</v>
      </c>
      <c r="C549" s="81" t="s">
        <v>360</v>
      </c>
      <c r="D549" s="73">
        <v>5</v>
      </c>
      <c r="E549" s="79" t="s">
        <v>16</v>
      </c>
      <c r="F549" s="79" t="s">
        <v>3725</v>
      </c>
      <c r="G549" s="79" t="s">
        <v>2996</v>
      </c>
      <c r="H549" s="79" t="s">
        <v>17</v>
      </c>
      <c r="I549" s="81"/>
      <c r="J549" s="81">
        <v>25</v>
      </c>
      <c r="K549" s="86"/>
      <c r="M549" s="78" t="s">
        <v>360</v>
      </c>
      <c r="N549" s="82"/>
      <c r="O549" s="81" t="s">
        <v>2256</v>
      </c>
      <c r="P549" s="81" t="s">
        <v>2256</v>
      </c>
      <c r="Q549" s="81"/>
      <c r="R549" s="83">
        <v>15000</v>
      </c>
      <c r="S549" s="79" t="s">
        <v>3002</v>
      </c>
      <c r="T549" s="84">
        <v>75000</v>
      </c>
      <c r="U549" s="81"/>
      <c r="V549" s="81"/>
      <c r="W549" s="78" t="s">
        <v>360</v>
      </c>
      <c r="X549" s="82"/>
      <c r="Y549" s="81" t="s">
        <v>2256</v>
      </c>
      <c r="Z549" s="81" t="s">
        <v>2256</v>
      </c>
      <c r="AA549" s="83">
        <v>75000</v>
      </c>
      <c r="AB549" s="85"/>
      <c r="AD549" s="78" t="s">
        <v>360</v>
      </c>
      <c r="AE549" s="82"/>
      <c r="AF549" s="81" t="s">
        <v>2256</v>
      </c>
      <c r="AG549" s="81" t="s">
        <v>2256</v>
      </c>
      <c r="AH549" s="83">
        <v>100000</v>
      </c>
      <c r="AI549" s="85"/>
    </row>
    <row r="550" spans="1:35" s="79" customFormat="1" ht="11.25" customHeight="1" x14ac:dyDescent="0.2">
      <c r="A550" s="77" t="s">
        <v>363</v>
      </c>
      <c r="B550" s="80">
        <v>156</v>
      </c>
      <c r="C550" s="81" t="s">
        <v>362</v>
      </c>
      <c r="D550" s="73">
        <v>80</v>
      </c>
      <c r="E550" s="79" t="s">
        <v>16</v>
      </c>
      <c r="F550" s="79" t="s">
        <v>3725</v>
      </c>
      <c r="G550" s="79" t="s">
        <v>2996</v>
      </c>
      <c r="H550" s="79" t="s">
        <v>17</v>
      </c>
      <c r="I550" s="81"/>
      <c r="J550" s="81">
        <v>25</v>
      </c>
      <c r="K550" s="86"/>
      <c r="M550" s="78" t="s">
        <v>362</v>
      </c>
      <c r="N550" s="82"/>
      <c r="O550" s="81" t="s">
        <v>2256</v>
      </c>
      <c r="P550" s="81" t="s">
        <v>2256</v>
      </c>
      <c r="Q550" s="81"/>
      <c r="R550" s="83">
        <v>12000</v>
      </c>
      <c r="S550" s="79" t="s">
        <v>3002</v>
      </c>
      <c r="T550" s="84">
        <v>960000</v>
      </c>
      <c r="U550" s="81"/>
      <c r="V550" s="81"/>
      <c r="W550" s="78" t="s">
        <v>362</v>
      </c>
      <c r="X550" s="82"/>
      <c r="Y550" s="81" t="s">
        <v>2256</v>
      </c>
      <c r="Z550" s="81" t="s">
        <v>2256</v>
      </c>
      <c r="AA550" s="83">
        <v>20000</v>
      </c>
      <c r="AB550" s="85"/>
      <c r="AD550" s="78" t="s">
        <v>362</v>
      </c>
      <c r="AE550" s="82"/>
      <c r="AF550" s="81" t="s">
        <v>2256</v>
      </c>
      <c r="AG550" s="81" t="s">
        <v>2256</v>
      </c>
      <c r="AH550" s="83">
        <v>30000</v>
      </c>
      <c r="AI550" s="85"/>
    </row>
    <row r="551" spans="1:35" s="79" customFormat="1" ht="11.25" customHeight="1" x14ac:dyDescent="0.2">
      <c r="A551" s="77" t="s">
        <v>3789</v>
      </c>
      <c r="B551" s="80">
        <v>953</v>
      </c>
      <c r="C551" s="81" t="s">
        <v>1518</v>
      </c>
      <c r="D551" s="73">
        <v>80</v>
      </c>
      <c r="E551" s="79" t="s">
        <v>16</v>
      </c>
      <c r="F551" s="79" t="s">
        <v>3725</v>
      </c>
      <c r="G551" s="79" t="s">
        <v>2996</v>
      </c>
      <c r="H551" s="79" t="s">
        <v>17</v>
      </c>
      <c r="I551" s="81"/>
      <c r="J551" s="81">
        <v>25</v>
      </c>
      <c r="K551" s="86"/>
      <c r="M551" s="78" t="s">
        <v>362</v>
      </c>
      <c r="N551" s="82"/>
      <c r="O551" s="81" t="s">
        <v>3770</v>
      </c>
      <c r="P551" s="81" t="s">
        <v>2256</v>
      </c>
      <c r="Q551" s="81"/>
      <c r="R551" s="83">
        <v>12000</v>
      </c>
      <c r="S551" s="79" t="s">
        <v>3186</v>
      </c>
      <c r="T551" s="84">
        <v>960000</v>
      </c>
      <c r="U551" s="81"/>
      <c r="V551" s="81"/>
      <c r="W551" s="78" t="s">
        <v>362</v>
      </c>
      <c r="X551" s="82"/>
      <c r="Y551" s="81" t="s">
        <v>3770</v>
      </c>
      <c r="Z551" s="81" t="s">
        <v>2256</v>
      </c>
      <c r="AA551" s="83">
        <v>20000</v>
      </c>
      <c r="AB551" s="85"/>
      <c r="AD551" s="78" t="s">
        <v>362</v>
      </c>
      <c r="AE551" s="82"/>
      <c r="AF551" s="81" t="s">
        <v>3770</v>
      </c>
      <c r="AG551" s="81" t="s">
        <v>2256</v>
      </c>
      <c r="AH551" s="83">
        <v>30000</v>
      </c>
      <c r="AI551" s="85"/>
    </row>
    <row r="552" spans="1:35" s="79" customFormat="1" ht="11.25" customHeight="1" x14ac:dyDescent="0.2">
      <c r="A552" s="77" t="s">
        <v>365</v>
      </c>
      <c r="B552" s="80">
        <v>900</v>
      </c>
      <c r="C552" s="81" t="s">
        <v>364</v>
      </c>
      <c r="D552" s="73">
        <v>80</v>
      </c>
      <c r="E552" s="79" t="s">
        <v>16</v>
      </c>
      <c r="F552" s="79" t="s">
        <v>3725</v>
      </c>
      <c r="G552" s="79" t="s">
        <v>2996</v>
      </c>
      <c r="H552" s="79" t="s">
        <v>17</v>
      </c>
      <c r="I552" s="81"/>
      <c r="J552" s="81">
        <v>25</v>
      </c>
      <c r="K552" s="86"/>
      <c r="M552" s="78" t="s">
        <v>364</v>
      </c>
      <c r="N552" s="82"/>
      <c r="O552" s="81" t="s">
        <v>2256</v>
      </c>
      <c r="P552" s="81" t="s">
        <v>2256</v>
      </c>
      <c r="Q552" s="81"/>
      <c r="R552" s="83">
        <v>2000</v>
      </c>
      <c r="S552" s="79" t="s">
        <v>3002</v>
      </c>
      <c r="T552" s="84">
        <v>160000</v>
      </c>
      <c r="U552" s="81"/>
      <c r="V552" s="81"/>
      <c r="W552" s="78" t="s">
        <v>364</v>
      </c>
      <c r="X552" s="82"/>
      <c r="Y552" s="81" t="s">
        <v>2256</v>
      </c>
      <c r="Z552" s="81" t="s">
        <v>2256</v>
      </c>
      <c r="AA552" s="83">
        <v>10000</v>
      </c>
      <c r="AB552" s="85"/>
      <c r="AD552" s="78" t="s">
        <v>364</v>
      </c>
      <c r="AE552" s="82"/>
      <c r="AF552" s="81" t="s">
        <v>2256</v>
      </c>
      <c r="AG552" s="81" t="s">
        <v>2256</v>
      </c>
      <c r="AH552" s="83">
        <v>14000</v>
      </c>
      <c r="AI552" s="85"/>
    </row>
    <row r="553" spans="1:35" s="79" customFormat="1" ht="11.25" customHeight="1" x14ac:dyDescent="0.2">
      <c r="A553" s="77" t="s">
        <v>367</v>
      </c>
      <c r="B553" s="80">
        <v>901</v>
      </c>
      <c r="C553" s="81" t="s">
        <v>366</v>
      </c>
      <c r="D553" s="73">
        <v>5</v>
      </c>
      <c r="E553" s="79" t="s">
        <v>16</v>
      </c>
      <c r="F553" s="79" t="s">
        <v>3725</v>
      </c>
      <c r="G553" s="79" t="s">
        <v>2996</v>
      </c>
      <c r="H553" s="79" t="s">
        <v>17</v>
      </c>
      <c r="I553" s="81"/>
      <c r="J553" s="81">
        <v>25</v>
      </c>
      <c r="K553" s="86"/>
      <c r="M553" s="78" t="s">
        <v>366</v>
      </c>
      <c r="N553" s="82"/>
      <c r="O553" s="81" t="s">
        <v>2256</v>
      </c>
      <c r="P553" s="81" t="s">
        <v>2256</v>
      </c>
      <c r="Q553" s="81"/>
      <c r="R553" s="83">
        <v>40000</v>
      </c>
      <c r="S553" s="79" t="s">
        <v>3002</v>
      </c>
      <c r="T553" s="84">
        <v>200000</v>
      </c>
      <c r="U553" s="81"/>
      <c r="V553" s="81"/>
      <c r="W553" s="78" t="s">
        <v>366</v>
      </c>
      <c r="X553" s="82"/>
      <c r="Y553" s="81" t="s">
        <v>2256</v>
      </c>
      <c r="Z553" s="81" t="s">
        <v>2256</v>
      </c>
      <c r="AA553" s="83">
        <v>200000</v>
      </c>
      <c r="AB553" s="85"/>
      <c r="AD553" s="78" t="s">
        <v>366</v>
      </c>
      <c r="AE553" s="82"/>
      <c r="AF553" s="81" t="s">
        <v>2256</v>
      </c>
      <c r="AG553" s="81" t="s">
        <v>2256</v>
      </c>
      <c r="AH553" s="83">
        <v>250000</v>
      </c>
      <c r="AI553" s="85"/>
    </row>
    <row r="554" spans="1:35" s="79" customFormat="1" ht="11.25" customHeight="1" x14ac:dyDescent="0.2">
      <c r="A554" s="77" t="s">
        <v>388</v>
      </c>
      <c r="B554" s="80">
        <v>761</v>
      </c>
      <c r="C554" s="81" t="s">
        <v>387</v>
      </c>
      <c r="D554" s="73">
        <v>5</v>
      </c>
      <c r="E554" s="79" t="s">
        <v>16</v>
      </c>
      <c r="F554" s="79" t="s">
        <v>3725</v>
      </c>
      <c r="G554" s="79" t="s">
        <v>2996</v>
      </c>
      <c r="H554" s="79" t="s">
        <v>17</v>
      </c>
      <c r="I554" s="81"/>
      <c r="J554" s="81">
        <v>25</v>
      </c>
      <c r="K554" s="86"/>
      <c r="M554" s="78" t="s">
        <v>387</v>
      </c>
      <c r="N554" s="82"/>
      <c r="O554" s="81" t="s">
        <v>2256</v>
      </c>
      <c r="P554" s="81" t="s">
        <v>2256</v>
      </c>
      <c r="Q554" s="81"/>
      <c r="R554" s="83">
        <v>40000</v>
      </c>
      <c r="S554" s="79" t="s">
        <v>3002</v>
      </c>
      <c r="T554" s="84">
        <v>200000</v>
      </c>
      <c r="U554" s="81"/>
      <c r="V554" s="81"/>
      <c r="W554" s="78" t="s">
        <v>387</v>
      </c>
      <c r="X554" s="82"/>
      <c r="Y554" s="81" t="s">
        <v>2256</v>
      </c>
      <c r="Z554" s="81" t="s">
        <v>2256</v>
      </c>
      <c r="AA554" s="83">
        <v>120000</v>
      </c>
      <c r="AB554" s="85"/>
      <c r="AD554" s="78" t="s">
        <v>387</v>
      </c>
      <c r="AE554" s="82"/>
      <c r="AF554" s="81" t="s">
        <v>2256</v>
      </c>
      <c r="AG554" s="81" t="s">
        <v>2256</v>
      </c>
      <c r="AH554" s="83">
        <v>200000</v>
      </c>
      <c r="AI554" s="85"/>
    </row>
    <row r="555" spans="1:35" s="79" customFormat="1" ht="11.25" customHeight="1" x14ac:dyDescent="0.2">
      <c r="A555" s="77" t="s">
        <v>390</v>
      </c>
      <c r="B555" s="80">
        <v>760</v>
      </c>
      <c r="C555" s="81" t="s">
        <v>389</v>
      </c>
      <c r="D555" s="73">
        <v>80</v>
      </c>
      <c r="E555" s="79" t="s">
        <v>16</v>
      </c>
      <c r="F555" s="79" t="s">
        <v>3725</v>
      </c>
      <c r="G555" s="79" t="s">
        <v>2996</v>
      </c>
      <c r="H555" s="79" t="s">
        <v>17</v>
      </c>
      <c r="I555" s="81"/>
      <c r="J555" s="81">
        <v>25</v>
      </c>
      <c r="K555" s="86"/>
      <c r="M555" s="78" t="s">
        <v>389</v>
      </c>
      <c r="N555" s="82"/>
      <c r="O555" s="81" t="s">
        <v>2256</v>
      </c>
      <c r="P555" s="81" t="s">
        <v>2256</v>
      </c>
      <c r="Q555" s="81"/>
      <c r="R555" s="83">
        <v>2000</v>
      </c>
      <c r="S555" s="79" t="s">
        <v>3002</v>
      </c>
      <c r="T555" s="84">
        <v>160000</v>
      </c>
      <c r="U555" s="81"/>
      <c r="V555" s="81"/>
      <c r="W555" s="78" t="s">
        <v>389</v>
      </c>
      <c r="X555" s="82"/>
      <c r="Y555" s="81" t="s">
        <v>2256</v>
      </c>
      <c r="Z555" s="81" t="s">
        <v>2256</v>
      </c>
      <c r="AA555" s="83">
        <v>8000</v>
      </c>
      <c r="AB555" s="85"/>
      <c r="AD555" s="78" t="s">
        <v>389</v>
      </c>
      <c r="AE555" s="82"/>
      <c r="AF555" s="81" t="s">
        <v>2256</v>
      </c>
      <c r="AG555" s="81" t="s">
        <v>2256</v>
      </c>
      <c r="AH555" s="83">
        <v>16000</v>
      </c>
      <c r="AI555" s="85"/>
    </row>
    <row r="556" spans="1:35" s="79" customFormat="1" ht="11.25" customHeight="1" x14ac:dyDescent="0.2">
      <c r="A556" s="77" t="s">
        <v>3790</v>
      </c>
      <c r="B556" s="80">
        <v>643</v>
      </c>
      <c r="C556" s="81" t="s">
        <v>612</v>
      </c>
      <c r="D556" s="73">
        <v>80</v>
      </c>
      <c r="E556" s="79" t="s">
        <v>16</v>
      </c>
      <c r="F556" s="79" t="s">
        <v>3725</v>
      </c>
      <c r="G556" s="79" t="s">
        <v>2996</v>
      </c>
      <c r="H556" s="79" t="s">
        <v>17</v>
      </c>
      <c r="I556" s="81"/>
      <c r="J556" s="81">
        <v>25</v>
      </c>
      <c r="K556" s="86"/>
      <c r="M556" s="78" t="s">
        <v>612</v>
      </c>
      <c r="N556" s="82"/>
      <c r="O556" s="81" t="s">
        <v>3766</v>
      </c>
      <c r="P556" s="81" t="s">
        <v>2256</v>
      </c>
      <c r="Q556" s="81"/>
      <c r="R556" s="83">
        <v>2500</v>
      </c>
      <c r="S556" s="79" t="s">
        <v>3002</v>
      </c>
      <c r="T556" s="84">
        <v>200000</v>
      </c>
      <c r="U556" s="81"/>
      <c r="V556" s="81"/>
      <c r="W556" s="78" t="s">
        <v>612</v>
      </c>
      <c r="X556" s="82"/>
      <c r="Y556" s="81" t="s">
        <v>3766</v>
      </c>
      <c r="Z556" s="81" t="s">
        <v>2256</v>
      </c>
      <c r="AA556" s="83">
        <v>25000</v>
      </c>
      <c r="AB556" s="85"/>
      <c r="AD556" s="78" t="s">
        <v>612</v>
      </c>
      <c r="AE556" s="82"/>
      <c r="AF556" s="81" t="s">
        <v>3766</v>
      </c>
      <c r="AG556" s="81" t="s">
        <v>2256</v>
      </c>
      <c r="AH556" s="83">
        <v>25000</v>
      </c>
      <c r="AI556" s="85"/>
    </row>
    <row r="557" spans="1:35" s="79" customFormat="1" ht="11.25" customHeight="1" x14ac:dyDescent="0.2">
      <c r="A557" s="77" t="s">
        <v>633</v>
      </c>
      <c r="B557" s="80">
        <v>759</v>
      </c>
      <c r="C557" s="81" t="s">
        <v>632</v>
      </c>
      <c r="D557" s="73">
        <v>5</v>
      </c>
      <c r="E557" s="79" t="s">
        <v>16</v>
      </c>
      <c r="F557" s="79" t="s">
        <v>3725</v>
      </c>
      <c r="G557" s="79" t="s">
        <v>2996</v>
      </c>
      <c r="H557" s="79" t="s">
        <v>17</v>
      </c>
      <c r="I557" s="81"/>
      <c r="J557" s="81">
        <v>25</v>
      </c>
      <c r="K557" s="86"/>
      <c r="M557" s="78" t="s">
        <v>632</v>
      </c>
      <c r="N557" s="82"/>
      <c r="O557" s="81" t="s">
        <v>2256</v>
      </c>
      <c r="P557" s="81" t="s">
        <v>2256</v>
      </c>
      <c r="Q557" s="81"/>
      <c r="R557" s="83">
        <v>60000</v>
      </c>
      <c r="S557" s="79" t="s">
        <v>3002</v>
      </c>
      <c r="T557" s="84">
        <v>300000</v>
      </c>
      <c r="U557" s="81"/>
      <c r="V557" s="81"/>
      <c r="W557" s="78" t="s">
        <v>632</v>
      </c>
      <c r="X557" s="82"/>
      <c r="Y557" s="81" t="s">
        <v>2256</v>
      </c>
      <c r="Z557" s="81" t="s">
        <v>2256</v>
      </c>
      <c r="AA557" s="83">
        <v>250000</v>
      </c>
      <c r="AB557" s="85"/>
      <c r="AD557" s="78" t="s">
        <v>632</v>
      </c>
      <c r="AE557" s="82"/>
      <c r="AF557" s="81" t="s">
        <v>2256</v>
      </c>
      <c r="AG557" s="81" t="s">
        <v>2256</v>
      </c>
      <c r="AH557" s="83">
        <v>400000</v>
      </c>
      <c r="AI557" s="85"/>
    </row>
    <row r="558" spans="1:35" s="79" customFormat="1" ht="11.25" customHeight="1" x14ac:dyDescent="0.2">
      <c r="A558" s="77" t="s">
        <v>635</v>
      </c>
      <c r="B558" s="80">
        <v>758</v>
      </c>
      <c r="C558" s="81" t="s">
        <v>634</v>
      </c>
      <c r="D558" s="73">
        <v>80</v>
      </c>
      <c r="E558" s="79" t="s">
        <v>16</v>
      </c>
      <c r="F558" s="79" t="s">
        <v>3725</v>
      </c>
      <c r="G558" s="79" t="s">
        <v>2996</v>
      </c>
      <c r="H558" s="79" t="s">
        <v>17</v>
      </c>
      <c r="I558" s="81"/>
      <c r="J558" s="81">
        <v>25</v>
      </c>
      <c r="K558" s="86"/>
      <c r="M558" s="78" t="s">
        <v>634</v>
      </c>
      <c r="N558" s="82"/>
      <c r="O558" s="81" t="s">
        <v>2256</v>
      </c>
      <c r="P558" s="81" t="s">
        <v>2256</v>
      </c>
      <c r="Q558" s="81"/>
      <c r="R558" s="83">
        <v>3500</v>
      </c>
      <c r="S558" s="79" t="s">
        <v>3002</v>
      </c>
      <c r="T558" s="84">
        <v>280000</v>
      </c>
      <c r="U558" s="81"/>
      <c r="V558" s="81"/>
      <c r="W558" s="78" t="s">
        <v>634</v>
      </c>
      <c r="X558" s="82"/>
      <c r="Y558" s="81" t="s">
        <v>2256</v>
      </c>
      <c r="Z558" s="81" t="s">
        <v>2256</v>
      </c>
      <c r="AA558" s="83">
        <v>10000</v>
      </c>
      <c r="AB558" s="85"/>
      <c r="AD558" s="78" t="s">
        <v>634</v>
      </c>
      <c r="AE558" s="82"/>
      <c r="AF558" s="81" t="s">
        <v>2256</v>
      </c>
      <c r="AG558" s="81" t="s">
        <v>2256</v>
      </c>
      <c r="AH558" s="83">
        <v>20000</v>
      </c>
      <c r="AI558" s="85"/>
    </row>
    <row r="559" spans="1:35" s="79" customFormat="1" ht="11.25" customHeight="1" x14ac:dyDescent="0.2">
      <c r="A559" s="77" t="s">
        <v>644</v>
      </c>
      <c r="B559" s="80">
        <v>160</v>
      </c>
      <c r="C559" s="81" t="s">
        <v>643</v>
      </c>
      <c r="D559" s="73">
        <v>80</v>
      </c>
      <c r="E559" s="79" t="s">
        <v>16</v>
      </c>
      <c r="F559" s="79" t="s">
        <v>3725</v>
      </c>
      <c r="G559" s="79" t="s">
        <v>2996</v>
      </c>
      <c r="H559" s="79" t="s">
        <v>17</v>
      </c>
      <c r="I559" s="81"/>
      <c r="J559" s="81">
        <v>25</v>
      </c>
      <c r="K559" s="86"/>
      <c r="M559" s="78" t="s">
        <v>643</v>
      </c>
      <c r="N559" s="82"/>
      <c r="O559" s="81" t="s">
        <v>2256</v>
      </c>
      <c r="P559" s="81" t="s">
        <v>2256</v>
      </c>
      <c r="Q559" s="81"/>
      <c r="R559" s="83">
        <v>2000</v>
      </c>
      <c r="S559" s="79" t="s">
        <v>3002</v>
      </c>
      <c r="T559" s="84">
        <v>160000</v>
      </c>
      <c r="U559" s="81"/>
      <c r="V559" s="81"/>
      <c r="W559" s="78" t="s">
        <v>643</v>
      </c>
      <c r="X559" s="82"/>
      <c r="Y559" s="81" t="s">
        <v>2256</v>
      </c>
      <c r="Z559" s="81" t="s">
        <v>2256</v>
      </c>
      <c r="AA559" s="83">
        <v>10000</v>
      </c>
      <c r="AB559" s="85"/>
      <c r="AD559" s="78" t="s">
        <v>643</v>
      </c>
      <c r="AE559" s="82"/>
      <c r="AF559" s="81" t="s">
        <v>2256</v>
      </c>
      <c r="AG559" s="81" t="s">
        <v>2256</v>
      </c>
      <c r="AH559" s="83">
        <v>14000</v>
      </c>
      <c r="AI559" s="85"/>
    </row>
    <row r="560" spans="1:35" s="79" customFormat="1" ht="11.25" customHeight="1" x14ac:dyDescent="0.2">
      <c r="A560" s="77" t="s">
        <v>646</v>
      </c>
      <c r="B560" s="80">
        <v>175</v>
      </c>
      <c r="C560" s="81" t="s">
        <v>645</v>
      </c>
      <c r="D560" s="73">
        <v>5</v>
      </c>
      <c r="E560" s="79" t="s">
        <v>16</v>
      </c>
      <c r="F560" s="79" t="s">
        <v>3725</v>
      </c>
      <c r="G560" s="79" t="s">
        <v>2996</v>
      </c>
      <c r="H560" s="79" t="s">
        <v>17</v>
      </c>
      <c r="I560" s="81"/>
      <c r="J560" s="81">
        <v>25</v>
      </c>
      <c r="K560" s="86"/>
      <c r="M560" s="78" t="s">
        <v>645</v>
      </c>
      <c r="N560" s="82"/>
      <c r="O560" s="81" t="s">
        <v>2256</v>
      </c>
      <c r="P560" s="81" t="s">
        <v>2256</v>
      </c>
      <c r="Q560" s="81"/>
      <c r="R560" s="83">
        <v>120000</v>
      </c>
      <c r="S560" s="79" t="s">
        <v>3002</v>
      </c>
      <c r="T560" s="84">
        <v>600000</v>
      </c>
      <c r="U560" s="81"/>
      <c r="V560" s="81"/>
      <c r="W560" s="78" t="s">
        <v>645</v>
      </c>
      <c r="X560" s="82"/>
      <c r="Y560" s="81" t="s">
        <v>2256</v>
      </c>
      <c r="Z560" s="81" t="s">
        <v>2256</v>
      </c>
      <c r="AA560" s="83">
        <v>250000</v>
      </c>
      <c r="AB560" s="85"/>
      <c r="AD560" s="78" t="s">
        <v>645</v>
      </c>
      <c r="AE560" s="82"/>
      <c r="AF560" s="81" t="s">
        <v>2256</v>
      </c>
      <c r="AG560" s="81" t="s">
        <v>2256</v>
      </c>
      <c r="AH560" s="83">
        <v>300000</v>
      </c>
      <c r="AI560" s="85"/>
    </row>
    <row r="561" spans="1:35" s="79" customFormat="1" ht="11.25" customHeight="1" x14ac:dyDescent="0.2">
      <c r="A561" s="77" t="s">
        <v>3791</v>
      </c>
      <c r="B561" s="80">
        <v>951</v>
      </c>
      <c r="C561" s="81" t="s">
        <v>1589</v>
      </c>
      <c r="D561" s="73">
        <v>5</v>
      </c>
      <c r="E561" s="79" t="s">
        <v>16</v>
      </c>
      <c r="F561" s="79" t="s">
        <v>3725</v>
      </c>
      <c r="G561" s="79" t="s">
        <v>2996</v>
      </c>
      <c r="H561" s="79" t="s">
        <v>17</v>
      </c>
      <c r="I561" s="81"/>
      <c r="J561" s="81">
        <v>25</v>
      </c>
      <c r="K561" s="86"/>
      <c r="M561" s="78" t="s">
        <v>645</v>
      </c>
      <c r="N561" s="82"/>
      <c r="O561" s="81" t="s">
        <v>3771</v>
      </c>
      <c r="P561" s="81" t="s">
        <v>2256</v>
      </c>
      <c r="Q561" s="81"/>
      <c r="R561" s="83">
        <v>120000</v>
      </c>
      <c r="S561" s="79" t="s">
        <v>3195</v>
      </c>
      <c r="T561" s="84">
        <v>600000</v>
      </c>
      <c r="U561" s="81"/>
      <c r="V561" s="81"/>
      <c r="W561" s="78" t="s">
        <v>645</v>
      </c>
      <c r="X561" s="82"/>
      <c r="Y561" s="81" t="s">
        <v>3771</v>
      </c>
      <c r="Z561" s="81" t="s">
        <v>2256</v>
      </c>
      <c r="AA561" s="83">
        <v>250000</v>
      </c>
      <c r="AB561" s="85"/>
      <c r="AD561" s="78" t="s">
        <v>645</v>
      </c>
      <c r="AE561" s="82"/>
      <c r="AF561" s="81" t="s">
        <v>3771</v>
      </c>
      <c r="AG561" s="81" t="s">
        <v>2256</v>
      </c>
      <c r="AH561" s="83">
        <v>300000</v>
      </c>
      <c r="AI561" s="85"/>
    </row>
    <row r="562" spans="1:35" s="79" customFormat="1" ht="11.25" customHeight="1" x14ac:dyDescent="0.2">
      <c r="A562" s="77" t="s">
        <v>659</v>
      </c>
      <c r="B562" s="80">
        <v>163</v>
      </c>
      <c r="C562" s="81" t="s">
        <v>658</v>
      </c>
      <c r="D562" s="73">
        <v>5</v>
      </c>
      <c r="E562" s="79" t="s">
        <v>16</v>
      </c>
      <c r="F562" s="79" t="s">
        <v>3725</v>
      </c>
      <c r="G562" s="79" t="s">
        <v>2996</v>
      </c>
      <c r="H562" s="79" t="s">
        <v>17</v>
      </c>
      <c r="I562" s="81"/>
      <c r="J562" s="81">
        <v>25</v>
      </c>
      <c r="K562" s="86"/>
      <c r="M562" s="78" t="s">
        <v>658</v>
      </c>
      <c r="N562" s="82"/>
      <c r="O562" s="81" t="s">
        <v>2256</v>
      </c>
      <c r="P562" s="81" t="s">
        <v>2256</v>
      </c>
      <c r="Q562" s="81"/>
      <c r="R562" s="83">
        <v>40000</v>
      </c>
      <c r="S562" s="79" t="s">
        <v>3002</v>
      </c>
      <c r="T562" s="84">
        <v>200000</v>
      </c>
      <c r="U562" s="81"/>
      <c r="V562" s="81"/>
      <c r="W562" s="78" t="s">
        <v>658</v>
      </c>
      <c r="X562" s="82"/>
      <c r="Y562" s="81" t="s">
        <v>2256</v>
      </c>
      <c r="Z562" s="81" t="s">
        <v>2256</v>
      </c>
      <c r="AA562" s="83">
        <v>80000</v>
      </c>
      <c r="AB562" s="85"/>
      <c r="AD562" s="78" t="s">
        <v>658</v>
      </c>
      <c r="AE562" s="82"/>
      <c r="AF562" s="81" t="s">
        <v>2256</v>
      </c>
      <c r="AG562" s="81" t="s">
        <v>2256</v>
      </c>
      <c r="AH562" s="83">
        <v>100000</v>
      </c>
      <c r="AI562" s="85"/>
    </row>
    <row r="563" spans="1:35" s="79" customFormat="1" ht="11.25" customHeight="1" x14ac:dyDescent="0.2">
      <c r="A563" s="77" t="s">
        <v>661</v>
      </c>
      <c r="B563" s="80">
        <v>164</v>
      </c>
      <c r="C563" s="81" t="s">
        <v>660</v>
      </c>
      <c r="D563" s="73">
        <v>80</v>
      </c>
      <c r="E563" s="79" t="s">
        <v>16</v>
      </c>
      <c r="F563" s="79" t="s">
        <v>3725</v>
      </c>
      <c r="G563" s="79" t="s">
        <v>2996</v>
      </c>
      <c r="H563" s="79" t="s">
        <v>17</v>
      </c>
      <c r="I563" s="81"/>
      <c r="J563" s="81">
        <v>25</v>
      </c>
      <c r="K563" s="86"/>
      <c r="M563" s="78" t="s">
        <v>660</v>
      </c>
      <c r="N563" s="82"/>
      <c r="O563" s="81" t="s">
        <v>2256</v>
      </c>
      <c r="P563" s="81" t="s">
        <v>2256</v>
      </c>
      <c r="Q563" s="81"/>
      <c r="R563" s="83">
        <v>2000</v>
      </c>
      <c r="S563" s="79" t="s">
        <v>3002</v>
      </c>
      <c r="T563" s="84">
        <v>160000</v>
      </c>
      <c r="U563" s="81"/>
      <c r="V563" s="81"/>
      <c r="W563" s="78" t="s">
        <v>660</v>
      </c>
      <c r="X563" s="82"/>
      <c r="Y563" s="81" t="s">
        <v>2256</v>
      </c>
      <c r="Z563" s="81" t="s">
        <v>2256</v>
      </c>
      <c r="AA563" s="83">
        <v>7000</v>
      </c>
      <c r="AB563" s="85"/>
      <c r="AD563" s="78" t="s">
        <v>660</v>
      </c>
      <c r="AE563" s="82"/>
      <c r="AF563" s="81" t="s">
        <v>2256</v>
      </c>
      <c r="AG563" s="81" t="s">
        <v>2256</v>
      </c>
      <c r="AH563" s="83">
        <v>9000</v>
      </c>
      <c r="AI563" s="85"/>
    </row>
    <row r="564" spans="1:35" s="79" customFormat="1" ht="11.25" customHeight="1" x14ac:dyDescent="0.2">
      <c r="A564" s="77" t="s">
        <v>672</v>
      </c>
      <c r="B564" s="80">
        <v>1033</v>
      </c>
      <c r="C564" s="81" t="s">
        <v>671</v>
      </c>
      <c r="D564" s="73">
        <v>80</v>
      </c>
      <c r="E564" s="79" t="s">
        <v>16</v>
      </c>
      <c r="F564" s="79" t="s">
        <v>3725</v>
      </c>
      <c r="G564" s="79" t="s">
        <v>2996</v>
      </c>
      <c r="H564" s="79" t="s">
        <v>17</v>
      </c>
      <c r="I564" s="81"/>
      <c r="J564" s="81">
        <v>25</v>
      </c>
      <c r="K564" s="86"/>
      <c r="M564" s="78" t="s">
        <v>671</v>
      </c>
      <c r="N564" s="82"/>
      <c r="O564" s="81" t="s">
        <v>2256</v>
      </c>
      <c r="P564" s="81" t="s">
        <v>2256</v>
      </c>
      <c r="Q564" s="81"/>
      <c r="R564" s="83">
        <v>2500</v>
      </c>
      <c r="S564" s="79" t="s">
        <v>3002</v>
      </c>
      <c r="T564" s="84">
        <v>200000</v>
      </c>
      <c r="U564" s="81"/>
      <c r="V564" s="81"/>
      <c r="W564" s="78" t="s">
        <v>671</v>
      </c>
      <c r="X564" s="82"/>
      <c r="Y564" s="81" t="s">
        <v>2256</v>
      </c>
      <c r="Z564" s="81" t="s">
        <v>2256</v>
      </c>
      <c r="AA564" s="83">
        <v>12500</v>
      </c>
      <c r="AB564" s="85"/>
      <c r="AD564" s="78" t="s">
        <v>671</v>
      </c>
      <c r="AE564" s="82"/>
      <c r="AF564" s="81" t="s">
        <v>2256</v>
      </c>
      <c r="AG564" s="81" t="s">
        <v>2256</v>
      </c>
      <c r="AH564" s="83">
        <v>17500</v>
      </c>
      <c r="AI564" s="85"/>
    </row>
    <row r="565" spans="1:35" s="79" customFormat="1" ht="11.25" customHeight="1" x14ac:dyDescent="0.2">
      <c r="A565" s="77" t="s">
        <v>674</v>
      </c>
      <c r="B565" s="80">
        <v>1041</v>
      </c>
      <c r="C565" s="81" t="s">
        <v>673</v>
      </c>
      <c r="D565" s="73">
        <v>80</v>
      </c>
      <c r="E565" s="79" t="s">
        <v>16</v>
      </c>
      <c r="F565" s="79" t="s">
        <v>3725</v>
      </c>
      <c r="G565" s="79" t="s">
        <v>2996</v>
      </c>
      <c r="H565" s="79" t="s">
        <v>17</v>
      </c>
      <c r="I565" s="81"/>
      <c r="J565" s="81">
        <v>25</v>
      </c>
      <c r="K565" s="86"/>
      <c r="M565" s="78" t="s">
        <v>673</v>
      </c>
      <c r="N565" s="82"/>
      <c r="O565" s="81" t="s">
        <v>2256</v>
      </c>
      <c r="P565" s="81" t="s">
        <v>2256</v>
      </c>
      <c r="Q565" s="81"/>
      <c r="R565" s="83">
        <v>100</v>
      </c>
      <c r="S565" s="79" t="s">
        <v>3002</v>
      </c>
      <c r="T565" s="84">
        <v>8000</v>
      </c>
      <c r="U565" s="81"/>
      <c r="V565" s="81"/>
      <c r="W565" s="78" t="s">
        <v>673</v>
      </c>
      <c r="X565" s="82"/>
      <c r="Y565" s="81" t="s">
        <v>2256</v>
      </c>
      <c r="Z565" s="81" t="s">
        <v>2256</v>
      </c>
      <c r="AA565" s="80">
        <v>500</v>
      </c>
      <c r="AB565" s="85"/>
      <c r="AD565" s="78" t="s">
        <v>673</v>
      </c>
      <c r="AE565" s="82"/>
      <c r="AF565" s="81" t="s">
        <v>2256</v>
      </c>
      <c r="AG565" s="81" t="s">
        <v>2256</v>
      </c>
      <c r="AH565" s="80">
        <v>700</v>
      </c>
      <c r="AI565" s="85"/>
    </row>
    <row r="566" spans="1:35" s="79" customFormat="1" ht="11.25" customHeight="1" x14ac:dyDescent="0.2">
      <c r="A566" s="77" t="s">
        <v>676</v>
      </c>
      <c r="B566" s="80">
        <v>1037</v>
      </c>
      <c r="C566" s="81" t="s">
        <v>675</v>
      </c>
      <c r="D566" s="73">
        <v>5</v>
      </c>
      <c r="E566" s="79" t="s">
        <v>16</v>
      </c>
      <c r="F566" s="79" t="s">
        <v>3725</v>
      </c>
      <c r="G566" s="79" t="s">
        <v>2996</v>
      </c>
      <c r="H566" s="79" t="s">
        <v>17</v>
      </c>
      <c r="I566" s="81"/>
      <c r="J566" s="81">
        <v>25</v>
      </c>
      <c r="K566" s="86"/>
      <c r="M566" s="78" t="s">
        <v>675</v>
      </c>
      <c r="N566" s="82"/>
      <c r="O566" s="81" t="s">
        <v>2256</v>
      </c>
      <c r="P566" s="81" t="s">
        <v>2256</v>
      </c>
      <c r="Q566" s="81"/>
      <c r="R566" s="83">
        <v>40000</v>
      </c>
      <c r="S566" s="79" t="s">
        <v>3002</v>
      </c>
      <c r="T566" s="84">
        <v>200000</v>
      </c>
      <c r="U566" s="81"/>
      <c r="V566" s="81"/>
      <c r="W566" s="78" t="s">
        <v>675</v>
      </c>
      <c r="X566" s="82"/>
      <c r="Y566" s="81" t="s">
        <v>2256</v>
      </c>
      <c r="Z566" s="81" t="s">
        <v>2256</v>
      </c>
      <c r="AA566" s="83">
        <v>200000</v>
      </c>
      <c r="AB566" s="85"/>
      <c r="AD566" s="78" t="s">
        <v>675</v>
      </c>
      <c r="AE566" s="82"/>
      <c r="AF566" s="81" t="s">
        <v>2256</v>
      </c>
      <c r="AG566" s="81" t="s">
        <v>2256</v>
      </c>
      <c r="AH566" s="83">
        <v>280000</v>
      </c>
      <c r="AI566" s="85"/>
    </row>
    <row r="567" spans="1:35" s="79" customFormat="1" ht="11.25" customHeight="1" x14ac:dyDescent="0.2">
      <c r="A567" s="77" t="s">
        <v>678</v>
      </c>
      <c r="B567" s="80">
        <v>1045</v>
      </c>
      <c r="C567" s="81" t="s">
        <v>677</v>
      </c>
      <c r="D567" s="73">
        <v>5</v>
      </c>
      <c r="E567" s="79" t="s">
        <v>16</v>
      </c>
      <c r="F567" s="79" t="s">
        <v>3725</v>
      </c>
      <c r="G567" s="79" t="s">
        <v>2996</v>
      </c>
      <c r="H567" s="79" t="s">
        <v>17</v>
      </c>
      <c r="I567" s="81"/>
      <c r="J567" s="81">
        <v>25</v>
      </c>
      <c r="K567" s="86"/>
      <c r="M567" s="78" t="s">
        <v>677</v>
      </c>
      <c r="N567" s="82"/>
      <c r="O567" s="81" t="s">
        <v>2256</v>
      </c>
      <c r="P567" s="81" t="s">
        <v>2256</v>
      </c>
      <c r="Q567" s="81"/>
      <c r="R567" s="83">
        <v>2000</v>
      </c>
      <c r="S567" s="79" t="s">
        <v>3002</v>
      </c>
      <c r="T567" s="84">
        <v>10000</v>
      </c>
      <c r="U567" s="81"/>
      <c r="V567" s="81"/>
      <c r="W567" s="78" t="s">
        <v>677</v>
      </c>
      <c r="X567" s="82"/>
      <c r="Y567" s="81" t="s">
        <v>2256</v>
      </c>
      <c r="Z567" s="81" t="s">
        <v>2256</v>
      </c>
      <c r="AA567" s="83">
        <v>10000</v>
      </c>
      <c r="AB567" s="85"/>
      <c r="AD567" s="78" t="s">
        <v>677</v>
      </c>
      <c r="AE567" s="82"/>
      <c r="AF567" s="81" t="s">
        <v>2256</v>
      </c>
      <c r="AG567" s="81" t="s">
        <v>2256</v>
      </c>
      <c r="AH567" s="83">
        <v>14000</v>
      </c>
      <c r="AI567" s="85"/>
    </row>
    <row r="568" spans="1:35" s="79" customFormat="1" ht="11.25" customHeight="1" x14ac:dyDescent="0.2">
      <c r="A568" s="77" t="s">
        <v>680</v>
      </c>
      <c r="B568" s="81" t="s">
        <v>681</v>
      </c>
      <c r="C568" s="81" t="s">
        <v>679</v>
      </c>
      <c r="D568" s="73">
        <v>975</v>
      </c>
      <c r="E568" s="79" t="s">
        <v>16</v>
      </c>
      <c r="F568" s="79" t="s">
        <v>3725</v>
      </c>
      <c r="G568" s="79" t="s">
        <v>2996</v>
      </c>
      <c r="H568" s="79" t="s">
        <v>17</v>
      </c>
      <c r="I568" s="81"/>
      <c r="J568" s="81">
        <v>25</v>
      </c>
      <c r="K568" s="86"/>
      <c r="M568" s="78" t="s">
        <v>679</v>
      </c>
      <c r="N568" s="82"/>
      <c r="O568" s="81" t="s">
        <v>2256</v>
      </c>
      <c r="P568" s="81" t="s">
        <v>2256</v>
      </c>
      <c r="Q568" s="81"/>
      <c r="R568" s="83">
        <v>300</v>
      </c>
      <c r="S568" s="79" t="s">
        <v>3002</v>
      </c>
      <c r="T568" s="84">
        <v>292500</v>
      </c>
      <c r="U568" s="81"/>
      <c r="V568" s="81"/>
      <c r="W568" s="78" t="s">
        <v>679</v>
      </c>
      <c r="X568" s="82"/>
      <c r="Y568" s="81" t="s">
        <v>2256</v>
      </c>
      <c r="Z568" s="81" t="s">
        <v>2256</v>
      </c>
      <c r="AA568" s="83">
        <v>1500</v>
      </c>
      <c r="AB568" s="85"/>
      <c r="AD568" s="78" t="s">
        <v>679</v>
      </c>
      <c r="AE568" s="82"/>
      <c r="AF568" s="81" t="s">
        <v>2256</v>
      </c>
      <c r="AG568" s="81" t="s">
        <v>2256</v>
      </c>
      <c r="AH568" s="83">
        <v>2250</v>
      </c>
      <c r="AI568" s="85"/>
    </row>
    <row r="569" spans="1:35" s="79" customFormat="1" ht="11.25" customHeight="1" x14ac:dyDescent="0.2">
      <c r="A569" s="77" t="s">
        <v>912</v>
      </c>
      <c r="B569" s="80">
        <v>803</v>
      </c>
      <c r="C569" s="81" t="s">
        <v>911</v>
      </c>
      <c r="D569" s="73">
        <v>5</v>
      </c>
      <c r="E569" s="79" t="s">
        <v>16</v>
      </c>
      <c r="F569" s="79" t="s">
        <v>3725</v>
      </c>
      <c r="G569" s="79" t="s">
        <v>2996</v>
      </c>
      <c r="H569" s="79" t="s">
        <v>17</v>
      </c>
      <c r="I569" s="81"/>
      <c r="J569" s="81">
        <v>25</v>
      </c>
      <c r="K569" s="86"/>
      <c r="M569" s="78" t="s">
        <v>679</v>
      </c>
      <c r="N569" s="82"/>
      <c r="O569" s="81" t="s">
        <v>2457</v>
      </c>
      <c r="P569" s="81" t="s">
        <v>2256</v>
      </c>
      <c r="Q569" s="81"/>
      <c r="R569" s="83">
        <v>300</v>
      </c>
      <c r="S569" s="79" t="s">
        <v>3140</v>
      </c>
      <c r="T569" s="84">
        <v>292500</v>
      </c>
      <c r="U569" s="81"/>
      <c r="V569" s="81"/>
      <c r="W569" s="78" t="s">
        <v>679</v>
      </c>
      <c r="X569" s="82"/>
      <c r="Y569" s="81" t="s">
        <v>2457</v>
      </c>
      <c r="Z569" s="81" t="s">
        <v>2256</v>
      </c>
      <c r="AA569" s="83">
        <v>1500</v>
      </c>
      <c r="AB569" s="85"/>
      <c r="AD569" s="78" t="s">
        <v>679</v>
      </c>
      <c r="AE569" s="82"/>
      <c r="AF569" s="81" t="s">
        <v>2457</v>
      </c>
      <c r="AG569" s="81" t="s">
        <v>2256</v>
      </c>
      <c r="AH569" s="83">
        <v>2250</v>
      </c>
      <c r="AI569" s="85"/>
    </row>
    <row r="570" spans="1:35" s="79" customFormat="1" ht="11.25" customHeight="1" x14ac:dyDescent="0.2">
      <c r="A570" s="77" t="s">
        <v>682</v>
      </c>
      <c r="B570" s="80">
        <v>774</v>
      </c>
      <c r="C570" s="81" t="s">
        <v>254</v>
      </c>
      <c r="D570" s="73">
        <v>850</v>
      </c>
      <c r="E570" s="79" t="s">
        <v>16</v>
      </c>
      <c r="F570" s="79" t="s">
        <v>3725</v>
      </c>
      <c r="G570" s="79" t="s">
        <v>2996</v>
      </c>
      <c r="H570" s="79" t="s">
        <v>17</v>
      </c>
      <c r="I570" s="81"/>
      <c r="J570" s="81">
        <v>25</v>
      </c>
      <c r="K570" s="86"/>
      <c r="M570" s="78" t="s">
        <v>254</v>
      </c>
      <c r="N570" s="82"/>
      <c r="O570" s="81" t="s">
        <v>2256</v>
      </c>
      <c r="P570" s="81" t="s">
        <v>2256</v>
      </c>
      <c r="Q570" s="81"/>
      <c r="R570" s="83">
        <v>500</v>
      </c>
      <c r="S570" s="79" t="s">
        <v>3002</v>
      </c>
      <c r="T570" s="84">
        <v>425000</v>
      </c>
      <c r="U570" s="81"/>
      <c r="V570" s="81"/>
      <c r="W570" s="78" t="s">
        <v>254</v>
      </c>
      <c r="X570" s="82"/>
      <c r="Y570" s="81" t="s">
        <v>2256</v>
      </c>
      <c r="Z570" s="81" t="s">
        <v>2256</v>
      </c>
      <c r="AA570" s="83">
        <v>2500</v>
      </c>
      <c r="AB570" s="85"/>
      <c r="AD570" s="78" t="s">
        <v>254</v>
      </c>
      <c r="AE570" s="82"/>
      <c r="AF570" s="81" t="s">
        <v>2256</v>
      </c>
      <c r="AG570" s="81" t="s">
        <v>2256</v>
      </c>
      <c r="AH570" s="83">
        <v>3500</v>
      </c>
      <c r="AI570" s="85"/>
    </row>
    <row r="571" spans="1:35" s="79" customFormat="1" ht="11.25" customHeight="1" x14ac:dyDescent="0.2">
      <c r="A571" s="77" t="s">
        <v>910</v>
      </c>
      <c r="B571" s="80">
        <v>802</v>
      </c>
      <c r="C571" s="81" t="s">
        <v>909</v>
      </c>
      <c r="D571" s="73">
        <v>80</v>
      </c>
      <c r="E571" s="79" t="s">
        <v>16</v>
      </c>
      <c r="F571" s="79" t="s">
        <v>3725</v>
      </c>
      <c r="G571" s="79" t="s">
        <v>2996</v>
      </c>
      <c r="H571" s="79" t="s">
        <v>17</v>
      </c>
      <c r="I571" s="81"/>
      <c r="J571" s="81">
        <v>25</v>
      </c>
      <c r="K571" s="86"/>
      <c r="M571" s="78" t="s">
        <v>254</v>
      </c>
      <c r="N571" s="82"/>
      <c r="O571" s="81" t="s">
        <v>3756</v>
      </c>
      <c r="P571" s="81" t="s">
        <v>2256</v>
      </c>
      <c r="Q571" s="81"/>
      <c r="R571" s="83">
        <v>500</v>
      </c>
      <c r="S571" s="79" t="s">
        <v>3031</v>
      </c>
      <c r="T571" s="84">
        <v>425000</v>
      </c>
      <c r="U571" s="81"/>
      <c r="V571" s="81"/>
      <c r="W571" s="78" t="s">
        <v>254</v>
      </c>
      <c r="X571" s="82"/>
      <c r="Y571" s="81" t="s">
        <v>3756</v>
      </c>
      <c r="Z571" s="81" t="s">
        <v>2256</v>
      </c>
      <c r="AA571" s="83">
        <v>2500</v>
      </c>
      <c r="AB571" s="85"/>
      <c r="AD571" s="78" t="s">
        <v>254</v>
      </c>
      <c r="AE571" s="82"/>
      <c r="AF571" s="81" t="s">
        <v>3756</v>
      </c>
      <c r="AG571" s="81" t="s">
        <v>2256</v>
      </c>
      <c r="AH571" s="83">
        <v>3500</v>
      </c>
      <c r="AI571" s="85"/>
    </row>
    <row r="572" spans="1:35" s="79" customFormat="1" ht="11.25" customHeight="1" x14ac:dyDescent="0.2">
      <c r="A572" s="77" t="s">
        <v>1459</v>
      </c>
      <c r="B572" s="80">
        <v>921</v>
      </c>
      <c r="C572" s="81" t="s">
        <v>1458</v>
      </c>
      <c r="D572" s="73">
        <v>12</v>
      </c>
      <c r="E572" s="79" t="s">
        <v>3480</v>
      </c>
      <c r="F572" s="79" t="s">
        <v>30</v>
      </c>
      <c r="G572" s="79" t="s">
        <v>2995</v>
      </c>
      <c r="H572" s="79" t="s">
        <v>17</v>
      </c>
      <c r="I572" s="81"/>
      <c r="J572" s="81">
        <v>25</v>
      </c>
      <c r="K572" s="86"/>
      <c r="M572" s="78" t="s">
        <v>254</v>
      </c>
      <c r="N572" s="82"/>
      <c r="O572" s="81" t="s">
        <v>2592</v>
      </c>
      <c r="P572" s="81" t="s">
        <v>2256</v>
      </c>
      <c r="Q572" s="81"/>
      <c r="R572" s="83">
        <v>500</v>
      </c>
      <c r="S572" s="79" t="s">
        <v>3031</v>
      </c>
      <c r="T572" s="84">
        <v>425000</v>
      </c>
      <c r="U572" s="81"/>
      <c r="V572" s="81"/>
      <c r="W572" s="78" t="s">
        <v>254</v>
      </c>
      <c r="X572" s="82"/>
      <c r="Y572" s="81" t="s">
        <v>2592</v>
      </c>
      <c r="Z572" s="81" t="s">
        <v>2256</v>
      </c>
      <c r="AA572" s="83">
        <v>2500</v>
      </c>
      <c r="AB572" s="85"/>
      <c r="AD572" s="78" t="s">
        <v>254</v>
      </c>
      <c r="AE572" s="82"/>
      <c r="AF572" s="81" t="s">
        <v>2592</v>
      </c>
      <c r="AG572" s="81" t="s">
        <v>2256</v>
      </c>
      <c r="AH572" s="83">
        <v>3500</v>
      </c>
      <c r="AI572" s="85"/>
    </row>
    <row r="573" spans="1:35" s="79" customFormat="1" ht="11.25" customHeight="1" x14ac:dyDescent="0.2">
      <c r="A573" s="77" t="s">
        <v>1493</v>
      </c>
      <c r="B573" s="80">
        <v>383</v>
      </c>
      <c r="C573" s="81" t="s">
        <v>1492</v>
      </c>
      <c r="D573" s="73">
        <v>850</v>
      </c>
      <c r="E573" s="79" t="s">
        <v>16</v>
      </c>
      <c r="F573" s="79" t="s">
        <v>129</v>
      </c>
      <c r="G573" s="79" t="s">
        <v>2995</v>
      </c>
      <c r="H573" s="79" t="s">
        <v>17</v>
      </c>
      <c r="I573" s="81"/>
      <c r="J573" s="81">
        <v>25</v>
      </c>
      <c r="K573" s="86"/>
      <c r="M573" s="78" t="s">
        <v>254</v>
      </c>
      <c r="N573" s="82"/>
      <c r="O573" s="81" t="s">
        <v>2602</v>
      </c>
      <c r="P573" s="81" t="s">
        <v>2256</v>
      </c>
      <c r="Q573" s="81"/>
      <c r="R573" s="83">
        <v>500</v>
      </c>
      <c r="S573" s="79" t="s">
        <v>3031</v>
      </c>
      <c r="T573" s="84">
        <v>425000</v>
      </c>
      <c r="U573" s="81"/>
      <c r="V573" s="81"/>
      <c r="W573" s="78" t="s">
        <v>254</v>
      </c>
      <c r="X573" s="82"/>
      <c r="Y573" s="81" t="s">
        <v>2602</v>
      </c>
      <c r="Z573" s="81" t="s">
        <v>2256</v>
      </c>
      <c r="AA573" s="83">
        <v>2500</v>
      </c>
      <c r="AB573" s="85"/>
      <c r="AD573" s="78" t="s">
        <v>254</v>
      </c>
      <c r="AE573" s="82"/>
      <c r="AF573" s="81" t="s">
        <v>2602</v>
      </c>
      <c r="AG573" s="81" t="s">
        <v>2256</v>
      </c>
      <c r="AH573" s="83">
        <v>3500</v>
      </c>
      <c r="AI573" s="85"/>
    </row>
    <row r="574" spans="1:35" s="79" customFormat="1" ht="11.25" customHeight="1" x14ac:dyDescent="0.2">
      <c r="A574" s="77" t="s">
        <v>697</v>
      </c>
      <c r="B574" s="80">
        <v>1040</v>
      </c>
      <c r="C574" s="81" t="s">
        <v>696</v>
      </c>
      <c r="D574" s="73">
        <v>5</v>
      </c>
      <c r="E574" s="79" t="s">
        <v>16</v>
      </c>
      <c r="F574" s="79" t="s">
        <v>3725</v>
      </c>
      <c r="G574" s="79" t="s">
        <v>2996</v>
      </c>
      <c r="H574" s="79" t="s">
        <v>17</v>
      </c>
      <c r="I574" s="81"/>
      <c r="J574" s="81">
        <v>25</v>
      </c>
      <c r="K574" s="86"/>
      <c r="M574" s="78" t="s">
        <v>696</v>
      </c>
      <c r="N574" s="82"/>
      <c r="O574" s="81" t="s">
        <v>2256</v>
      </c>
      <c r="P574" s="81" t="s">
        <v>2256</v>
      </c>
      <c r="Q574" s="81"/>
      <c r="R574" s="83">
        <v>15000</v>
      </c>
      <c r="S574" s="79" t="s">
        <v>3002</v>
      </c>
      <c r="T574" s="84">
        <v>75000</v>
      </c>
      <c r="U574" s="81"/>
      <c r="V574" s="81"/>
      <c r="W574" s="78" t="s">
        <v>696</v>
      </c>
      <c r="X574" s="82"/>
      <c r="Y574" s="81" t="s">
        <v>2256</v>
      </c>
      <c r="Z574" s="81" t="s">
        <v>2256</v>
      </c>
      <c r="AA574" s="83">
        <v>75000</v>
      </c>
      <c r="AB574" s="85"/>
      <c r="AD574" s="78" t="s">
        <v>696</v>
      </c>
      <c r="AE574" s="82"/>
      <c r="AF574" s="81" t="s">
        <v>2256</v>
      </c>
      <c r="AG574" s="81" t="s">
        <v>2256</v>
      </c>
      <c r="AH574" s="83">
        <v>105000</v>
      </c>
      <c r="AI574" s="85"/>
    </row>
    <row r="575" spans="1:35" s="79" customFormat="1" ht="11.25" customHeight="1" x14ac:dyDescent="0.2">
      <c r="A575" s="77" t="s">
        <v>699</v>
      </c>
      <c r="B575" s="80">
        <v>1035</v>
      </c>
      <c r="C575" s="81" t="s">
        <v>698</v>
      </c>
      <c r="D575" s="73">
        <v>80</v>
      </c>
      <c r="E575" s="79" t="s">
        <v>16</v>
      </c>
      <c r="F575" s="79" t="s">
        <v>3725</v>
      </c>
      <c r="G575" s="79" t="s">
        <v>2996</v>
      </c>
      <c r="H575" s="79" t="s">
        <v>17</v>
      </c>
      <c r="I575" s="81"/>
      <c r="J575" s="81">
        <v>25</v>
      </c>
      <c r="K575" s="86"/>
      <c r="M575" s="78" t="s">
        <v>698</v>
      </c>
      <c r="N575" s="82"/>
      <c r="O575" s="81" t="s">
        <v>2256</v>
      </c>
      <c r="P575" s="81" t="s">
        <v>2256</v>
      </c>
      <c r="Q575" s="81"/>
      <c r="R575" s="83">
        <v>3000</v>
      </c>
      <c r="S575" s="79" t="s">
        <v>3002</v>
      </c>
      <c r="T575" s="84">
        <v>240000</v>
      </c>
      <c r="U575" s="81"/>
      <c r="V575" s="81"/>
      <c r="W575" s="78" t="s">
        <v>698</v>
      </c>
      <c r="X575" s="82"/>
      <c r="Y575" s="81" t="s">
        <v>2256</v>
      </c>
      <c r="Z575" s="81" t="s">
        <v>2256</v>
      </c>
      <c r="AA575" s="83">
        <v>15000</v>
      </c>
      <c r="AB575" s="85"/>
      <c r="AD575" s="78" t="s">
        <v>698</v>
      </c>
      <c r="AE575" s="82"/>
      <c r="AF575" s="81" t="s">
        <v>2256</v>
      </c>
      <c r="AG575" s="81" t="s">
        <v>2256</v>
      </c>
      <c r="AH575" s="83">
        <v>21000</v>
      </c>
      <c r="AI575" s="85"/>
    </row>
    <row r="576" spans="1:35" s="79" customFormat="1" ht="11.25" customHeight="1" x14ac:dyDescent="0.2">
      <c r="A576" s="77" t="s">
        <v>705</v>
      </c>
      <c r="B576" s="80">
        <v>1047</v>
      </c>
      <c r="C576" s="81" t="s">
        <v>704</v>
      </c>
      <c r="D576" s="73">
        <v>5</v>
      </c>
      <c r="E576" s="79" t="s">
        <v>16</v>
      </c>
      <c r="F576" s="79" t="s">
        <v>3725</v>
      </c>
      <c r="G576" s="79" t="s">
        <v>2996</v>
      </c>
      <c r="H576" s="79" t="s">
        <v>17</v>
      </c>
      <c r="I576" s="81"/>
      <c r="J576" s="81">
        <v>25</v>
      </c>
      <c r="K576" s="86"/>
      <c r="M576" s="78" t="s">
        <v>704</v>
      </c>
      <c r="N576" s="82"/>
      <c r="O576" s="81" t="s">
        <v>2256</v>
      </c>
      <c r="P576" s="81" t="s">
        <v>2256</v>
      </c>
      <c r="Q576" s="81"/>
      <c r="R576" s="83">
        <v>2500</v>
      </c>
      <c r="S576" s="79" t="s">
        <v>3002</v>
      </c>
      <c r="T576" s="84">
        <v>12500</v>
      </c>
      <c r="U576" s="81"/>
      <c r="V576" s="81"/>
      <c r="W576" s="78" t="s">
        <v>704</v>
      </c>
      <c r="X576" s="82"/>
      <c r="Y576" s="81" t="s">
        <v>2256</v>
      </c>
      <c r="Z576" s="81" t="s">
        <v>2256</v>
      </c>
      <c r="AA576" s="83">
        <v>12500</v>
      </c>
      <c r="AB576" s="85"/>
      <c r="AD576" s="78" t="s">
        <v>704</v>
      </c>
      <c r="AE576" s="82"/>
      <c r="AF576" s="81" t="s">
        <v>2256</v>
      </c>
      <c r="AG576" s="81" t="s">
        <v>2256</v>
      </c>
      <c r="AH576" s="83">
        <v>17500</v>
      </c>
      <c r="AI576" s="85"/>
    </row>
    <row r="577" spans="1:35" s="79" customFormat="1" ht="11.25" customHeight="1" x14ac:dyDescent="0.2">
      <c r="A577" s="77" t="s">
        <v>707</v>
      </c>
      <c r="B577" s="80">
        <v>1039</v>
      </c>
      <c r="C577" s="81" t="s">
        <v>706</v>
      </c>
      <c r="D577" s="73">
        <v>5</v>
      </c>
      <c r="E577" s="79" t="s">
        <v>16</v>
      </c>
      <c r="F577" s="79" t="s">
        <v>3725</v>
      </c>
      <c r="G577" s="79" t="s">
        <v>2996</v>
      </c>
      <c r="H577" s="79" t="s">
        <v>17</v>
      </c>
      <c r="I577" s="81"/>
      <c r="J577" s="81">
        <v>25</v>
      </c>
      <c r="K577" s="86"/>
      <c r="M577" s="78" t="s">
        <v>706</v>
      </c>
      <c r="N577" s="82"/>
      <c r="O577" s="81" t="s">
        <v>2256</v>
      </c>
      <c r="P577" s="81" t="s">
        <v>2256</v>
      </c>
      <c r="Q577" s="81"/>
      <c r="R577" s="83">
        <v>50000</v>
      </c>
      <c r="S577" s="79" t="s">
        <v>3002</v>
      </c>
      <c r="T577" s="84">
        <v>250000</v>
      </c>
      <c r="U577" s="81"/>
      <c r="V577" s="81"/>
      <c r="W577" s="78" t="s">
        <v>706</v>
      </c>
      <c r="X577" s="82"/>
      <c r="Y577" s="81" t="s">
        <v>2256</v>
      </c>
      <c r="Z577" s="81" t="s">
        <v>2256</v>
      </c>
      <c r="AA577" s="83">
        <v>250000</v>
      </c>
      <c r="AB577" s="85"/>
      <c r="AD577" s="78" t="s">
        <v>706</v>
      </c>
      <c r="AE577" s="82"/>
      <c r="AF577" s="81" t="s">
        <v>2256</v>
      </c>
      <c r="AG577" s="81" t="s">
        <v>2256</v>
      </c>
      <c r="AH577" s="83">
        <v>350000</v>
      </c>
      <c r="AI577" s="85"/>
    </row>
    <row r="578" spans="1:35" s="79" customFormat="1" ht="11.25" customHeight="1" x14ac:dyDescent="0.2">
      <c r="A578" s="77" t="s">
        <v>709</v>
      </c>
      <c r="B578" s="80">
        <v>1043</v>
      </c>
      <c r="C578" s="81" t="s">
        <v>708</v>
      </c>
      <c r="D578" s="73">
        <v>80</v>
      </c>
      <c r="E578" s="79" t="s">
        <v>16</v>
      </c>
      <c r="F578" s="79" t="s">
        <v>3725</v>
      </c>
      <c r="G578" s="79" t="s">
        <v>2996</v>
      </c>
      <c r="H578" s="79" t="s">
        <v>17</v>
      </c>
      <c r="I578" s="81"/>
      <c r="J578" s="81">
        <v>25</v>
      </c>
      <c r="K578" s="86"/>
      <c r="M578" s="78" t="s">
        <v>708</v>
      </c>
      <c r="N578" s="82"/>
      <c r="O578" s="81" t="s">
        <v>2256</v>
      </c>
      <c r="P578" s="81" t="s">
        <v>2256</v>
      </c>
      <c r="Q578" s="81"/>
      <c r="R578" s="83">
        <v>150</v>
      </c>
      <c r="S578" s="79" t="s">
        <v>3002</v>
      </c>
      <c r="T578" s="84">
        <v>12000</v>
      </c>
      <c r="U578" s="81"/>
      <c r="V578" s="81"/>
      <c r="W578" s="78" t="s">
        <v>708</v>
      </c>
      <c r="X578" s="82"/>
      <c r="Y578" s="81" t="s">
        <v>2256</v>
      </c>
      <c r="Z578" s="81" t="s">
        <v>2256</v>
      </c>
      <c r="AA578" s="80">
        <v>750</v>
      </c>
      <c r="AB578" s="85"/>
      <c r="AD578" s="78" t="s">
        <v>708</v>
      </c>
      <c r="AE578" s="82"/>
      <c r="AF578" s="81" t="s">
        <v>2256</v>
      </c>
      <c r="AG578" s="81" t="s">
        <v>2256</v>
      </c>
      <c r="AH578" s="83">
        <v>1050</v>
      </c>
      <c r="AI578" s="85"/>
    </row>
    <row r="579" spans="1:35" s="79" customFormat="1" ht="11.25" customHeight="1" x14ac:dyDescent="0.2">
      <c r="A579" s="77" t="s">
        <v>713</v>
      </c>
      <c r="B579" s="80">
        <v>1036</v>
      </c>
      <c r="C579" s="81" t="s">
        <v>712</v>
      </c>
      <c r="D579" s="73">
        <v>80</v>
      </c>
      <c r="E579" s="79" t="s">
        <v>16</v>
      </c>
      <c r="F579" s="79" t="s">
        <v>3725</v>
      </c>
      <c r="G579" s="79" t="s">
        <v>2996</v>
      </c>
      <c r="H579" s="79" t="s">
        <v>17</v>
      </c>
      <c r="I579" s="81"/>
      <c r="J579" s="81">
        <v>25</v>
      </c>
      <c r="K579" s="86"/>
      <c r="M579" s="78" t="s">
        <v>712</v>
      </c>
      <c r="N579" s="82"/>
      <c r="O579" s="81" t="s">
        <v>2256</v>
      </c>
      <c r="P579" s="81" t="s">
        <v>2256</v>
      </c>
      <c r="Q579" s="81"/>
      <c r="R579" s="83">
        <v>1000</v>
      </c>
      <c r="S579" s="79" t="s">
        <v>3002</v>
      </c>
      <c r="T579" s="84">
        <v>80000</v>
      </c>
      <c r="U579" s="81"/>
      <c r="V579" s="81"/>
      <c r="W579" s="78" t="s">
        <v>712</v>
      </c>
      <c r="X579" s="82"/>
      <c r="Y579" s="81" t="s">
        <v>2256</v>
      </c>
      <c r="Z579" s="81" t="s">
        <v>2256</v>
      </c>
      <c r="AA579" s="83">
        <v>5000</v>
      </c>
      <c r="AB579" s="85"/>
      <c r="AD579" s="78" t="s">
        <v>712</v>
      </c>
      <c r="AE579" s="82"/>
      <c r="AF579" s="81" t="s">
        <v>2256</v>
      </c>
      <c r="AG579" s="81" t="s">
        <v>2256</v>
      </c>
      <c r="AH579" s="83">
        <v>7000</v>
      </c>
      <c r="AI579" s="85"/>
    </row>
    <row r="580" spans="1:35" s="79" customFormat="1" ht="11.25" customHeight="1" x14ac:dyDescent="0.2">
      <c r="A580" s="77" t="s">
        <v>717</v>
      </c>
      <c r="B580" s="80">
        <v>1048</v>
      </c>
      <c r="C580" s="81" t="s">
        <v>716</v>
      </c>
      <c r="D580" s="73">
        <v>5</v>
      </c>
      <c r="E580" s="79" t="s">
        <v>16</v>
      </c>
      <c r="F580" s="79" t="s">
        <v>3725</v>
      </c>
      <c r="G580" s="79" t="s">
        <v>2996</v>
      </c>
      <c r="H580" s="79" t="s">
        <v>17</v>
      </c>
      <c r="I580" s="81"/>
      <c r="J580" s="81">
        <v>25</v>
      </c>
      <c r="K580" s="86"/>
      <c r="M580" s="78" t="s">
        <v>716</v>
      </c>
      <c r="N580" s="82"/>
      <c r="O580" s="81" t="s">
        <v>2256</v>
      </c>
      <c r="P580" s="81" t="s">
        <v>2256</v>
      </c>
      <c r="Q580" s="81"/>
      <c r="R580" s="83">
        <v>750</v>
      </c>
      <c r="S580" s="79" t="s">
        <v>3002</v>
      </c>
      <c r="T580" s="84">
        <v>3750</v>
      </c>
      <c r="U580" s="81"/>
      <c r="V580" s="81"/>
      <c r="W580" s="78" t="s">
        <v>716</v>
      </c>
      <c r="X580" s="82"/>
      <c r="Y580" s="81" t="s">
        <v>2256</v>
      </c>
      <c r="Z580" s="81" t="s">
        <v>2256</v>
      </c>
      <c r="AA580" s="83">
        <v>3750</v>
      </c>
      <c r="AB580" s="85"/>
      <c r="AD580" s="78" t="s">
        <v>716</v>
      </c>
      <c r="AE580" s="82"/>
      <c r="AF580" s="81" t="s">
        <v>2256</v>
      </c>
      <c r="AG580" s="81" t="s">
        <v>2256</v>
      </c>
      <c r="AH580" s="83">
        <v>5250</v>
      </c>
      <c r="AI580" s="85"/>
    </row>
    <row r="581" spans="1:35" s="79" customFormat="1" ht="11.25" customHeight="1" x14ac:dyDescent="0.2">
      <c r="A581" s="77" t="s">
        <v>719</v>
      </c>
      <c r="B581" s="80">
        <v>1044</v>
      </c>
      <c r="C581" s="81" t="s">
        <v>718</v>
      </c>
      <c r="D581" s="73">
        <v>80</v>
      </c>
      <c r="E581" s="79" t="s">
        <v>16</v>
      </c>
      <c r="F581" s="79" t="s">
        <v>3725</v>
      </c>
      <c r="G581" s="79" t="s">
        <v>2996</v>
      </c>
      <c r="H581" s="79" t="s">
        <v>17</v>
      </c>
      <c r="I581" s="81"/>
      <c r="J581" s="81">
        <v>25</v>
      </c>
      <c r="K581" s="86"/>
      <c r="M581" s="78" t="s">
        <v>718</v>
      </c>
      <c r="N581" s="82"/>
      <c r="O581" s="81" t="s">
        <v>2256</v>
      </c>
      <c r="P581" s="81" t="s">
        <v>2256</v>
      </c>
      <c r="Q581" s="81"/>
      <c r="R581" s="83">
        <v>50</v>
      </c>
      <c r="S581" s="79" t="s">
        <v>3002</v>
      </c>
      <c r="T581" s="84">
        <v>4000</v>
      </c>
      <c r="U581" s="81"/>
      <c r="V581" s="81"/>
      <c r="W581" s="78" t="s">
        <v>718</v>
      </c>
      <c r="X581" s="82"/>
      <c r="Y581" s="81" t="s">
        <v>2256</v>
      </c>
      <c r="Z581" s="81" t="s">
        <v>2256</v>
      </c>
      <c r="AA581" s="80">
        <v>250</v>
      </c>
      <c r="AB581" s="85"/>
      <c r="AD581" s="78" t="s">
        <v>718</v>
      </c>
      <c r="AE581" s="82"/>
      <c r="AF581" s="81" t="s">
        <v>2256</v>
      </c>
      <c r="AG581" s="81" t="s">
        <v>2256</v>
      </c>
      <c r="AH581" s="80">
        <v>350</v>
      </c>
      <c r="AI581" s="85"/>
    </row>
    <row r="582" spans="1:35" s="79" customFormat="1" ht="11.25" customHeight="1" x14ac:dyDescent="0.2">
      <c r="A582" s="77" t="s">
        <v>726</v>
      </c>
      <c r="B582" s="80">
        <v>1034</v>
      </c>
      <c r="C582" s="81" t="s">
        <v>725</v>
      </c>
      <c r="D582" s="73">
        <v>80</v>
      </c>
      <c r="E582" s="79" t="s">
        <v>16</v>
      </c>
      <c r="F582" s="79" t="s">
        <v>3725</v>
      </c>
      <c r="G582" s="79" t="s">
        <v>2996</v>
      </c>
      <c r="H582" s="79" t="s">
        <v>17</v>
      </c>
      <c r="I582" s="81"/>
      <c r="J582" s="81">
        <v>25</v>
      </c>
      <c r="K582" s="86"/>
      <c r="M582" s="78" t="s">
        <v>725</v>
      </c>
      <c r="N582" s="82"/>
      <c r="O582" s="81" t="s">
        <v>2256</v>
      </c>
      <c r="P582" s="81" t="s">
        <v>2256</v>
      </c>
      <c r="Q582" s="81"/>
      <c r="R582" s="83">
        <v>1250</v>
      </c>
      <c r="S582" s="79" t="s">
        <v>3002</v>
      </c>
      <c r="T582" s="84">
        <v>100000</v>
      </c>
      <c r="U582" s="81"/>
      <c r="V582" s="81"/>
      <c r="W582" s="78" t="s">
        <v>725</v>
      </c>
      <c r="X582" s="82"/>
      <c r="Y582" s="81" t="s">
        <v>2256</v>
      </c>
      <c r="Z582" s="81" t="s">
        <v>2256</v>
      </c>
      <c r="AA582" s="83">
        <v>6250</v>
      </c>
      <c r="AB582" s="85"/>
      <c r="AD582" s="78" t="s">
        <v>725</v>
      </c>
      <c r="AE582" s="82"/>
      <c r="AF582" s="81" t="s">
        <v>2256</v>
      </c>
      <c r="AG582" s="81" t="s">
        <v>2256</v>
      </c>
      <c r="AH582" s="83">
        <v>8750</v>
      </c>
      <c r="AI582" s="85"/>
    </row>
    <row r="583" spans="1:35" s="79" customFormat="1" ht="11.25" customHeight="1" x14ac:dyDescent="0.2">
      <c r="A583" s="77" t="s">
        <v>728</v>
      </c>
      <c r="B583" s="80">
        <v>1046</v>
      </c>
      <c r="C583" s="81" t="s">
        <v>727</v>
      </c>
      <c r="D583" s="73">
        <v>5</v>
      </c>
      <c r="E583" s="79" t="s">
        <v>16</v>
      </c>
      <c r="F583" s="79" t="s">
        <v>3725</v>
      </c>
      <c r="G583" s="79" t="s">
        <v>2996</v>
      </c>
      <c r="H583" s="79" t="s">
        <v>17</v>
      </c>
      <c r="I583" s="81"/>
      <c r="J583" s="81">
        <v>25</v>
      </c>
      <c r="K583" s="86"/>
      <c r="M583" s="78" t="s">
        <v>727</v>
      </c>
      <c r="N583" s="82"/>
      <c r="O583" s="81" t="s">
        <v>2256</v>
      </c>
      <c r="P583" s="81" t="s">
        <v>2256</v>
      </c>
      <c r="Q583" s="81"/>
      <c r="R583" s="83">
        <v>1000</v>
      </c>
      <c r="S583" s="79" t="s">
        <v>3002</v>
      </c>
      <c r="T583" s="84">
        <v>5000</v>
      </c>
      <c r="U583" s="81"/>
      <c r="V583" s="81"/>
      <c r="W583" s="78" t="s">
        <v>727</v>
      </c>
      <c r="X583" s="82"/>
      <c r="Y583" s="81" t="s">
        <v>2256</v>
      </c>
      <c r="Z583" s="81" t="s">
        <v>2256</v>
      </c>
      <c r="AA583" s="83">
        <v>5000</v>
      </c>
      <c r="AB583" s="85"/>
      <c r="AD583" s="78" t="s">
        <v>727</v>
      </c>
      <c r="AE583" s="82"/>
      <c r="AF583" s="81" t="s">
        <v>2256</v>
      </c>
      <c r="AG583" s="81" t="s">
        <v>2256</v>
      </c>
      <c r="AH583" s="83">
        <v>7000</v>
      </c>
      <c r="AI583" s="85"/>
    </row>
    <row r="584" spans="1:35" s="79" customFormat="1" ht="11.25" customHeight="1" x14ac:dyDescent="0.2">
      <c r="A584" s="77" t="s">
        <v>734</v>
      </c>
      <c r="B584" s="80">
        <v>1038</v>
      </c>
      <c r="C584" s="81" t="s">
        <v>733</v>
      </c>
      <c r="D584" s="73">
        <v>5</v>
      </c>
      <c r="E584" s="79" t="s">
        <v>16</v>
      </c>
      <c r="F584" s="79" t="s">
        <v>3725</v>
      </c>
      <c r="G584" s="79" t="s">
        <v>2996</v>
      </c>
      <c r="H584" s="79" t="s">
        <v>17</v>
      </c>
      <c r="I584" s="81"/>
      <c r="J584" s="81">
        <v>25</v>
      </c>
      <c r="K584" s="86"/>
      <c r="M584" s="78" t="s">
        <v>733</v>
      </c>
      <c r="N584" s="82"/>
      <c r="O584" s="81" t="s">
        <v>2256</v>
      </c>
      <c r="P584" s="81" t="s">
        <v>2256</v>
      </c>
      <c r="Q584" s="81"/>
      <c r="R584" s="83">
        <v>20000</v>
      </c>
      <c r="S584" s="79" t="s">
        <v>3002</v>
      </c>
      <c r="T584" s="84">
        <v>100000</v>
      </c>
      <c r="U584" s="81"/>
      <c r="V584" s="81"/>
      <c r="W584" s="78" t="s">
        <v>733</v>
      </c>
      <c r="X584" s="82"/>
      <c r="Y584" s="81" t="s">
        <v>2256</v>
      </c>
      <c r="Z584" s="81" t="s">
        <v>2256</v>
      </c>
      <c r="AA584" s="83">
        <v>100000</v>
      </c>
      <c r="AB584" s="85"/>
      <c r="AD584" s="78" t="s">
        <v>733</v>
      </c>
      <c r="AE584" s="82"/>
      <c r="AF584" s="81" t="s">
        <v>2256</v>
      </c>
      <c r="AG584" s="81" t="s">
        <v>2256</v>
      </c>
      <c r="AH584" s="83">
        <v>140000</v>
      </c>
      <c r="AI584" s="85"/>
    </row>
    <row r="585" spans="1:35" s="79" customFormat="1" ht="11.25" customHeight="1" x14ac:dyDescent="0.2">
      <c r="A585" s="77" t="s">
        <v>739</v>
      </c>
      <c r="B585" s="80">
        <v>1042</v>
      </c>
      <c r="C585" s="81" t="s">
        <v>738</v>
      </c>
      <c r="D585" s="73">
        <v>80</v>
      </c>
      <c r="E585" s="79" t="s">
        <v>16</v>
      </c>
      <c r="F585" s="79" t="s">
        <v>3725</v>
      </c>
      <c r="G585" s="79" t="s">
        <v>2996</v>
      </c>
      <c r="H585" s="79" t="s">
        <v>17</v>
      </c>
      <c r="I585" s="81"/>
      <c r="J585" s="81">
        <v>25</v>
      </c>
      <c r="K585" s="86"/>
      <c r="M585" s="78" t="s">
        <v>738</v>
      </c>
      <c r="N585" s="82"/>
      <c r="O585" s="81" t="s">
        <v>2256</v>
      </c>
      <c r="P585" s="81" t="s">
        <v>2256</v>
      </c>
      <c r="Q585" s="81"/>
      <c r="R585" s="83">
        <v>50</v>
      </c>
      <c r="S585" s="79" t="s">
        <v>3002</v>
      </c>
      <c r="T585" s="84">
        <v>4000</v>
      </c>
      <c r="U585" s="81"/>
      <c r="V585" s="81"/>
      <c r="W585" s="78" t="s">
        <v>738</v>
      </c>
      <c r="X585" s="82"/>
      <c r="Y585" s="81" t="s">
        <v>2256</v>
      </c>
      <c r="Z585" s="81" t="s">
        <v>2256</v>
      </c>
      <c r="AA585" s="80">
        <v>250</v>
      </c>
      <c r="AB585" s="85"/>
      <c r="AD585" s="78" t="s">
        <v>738</v>
      </c>
      <c r="AE585" s="82"/>
      <c r="AF585" s="81" t="s">
        <v>2256</v>
      </c>
      <c r="AG585" s="81" t="s">
        <v>2256</v>
      </c>
      <c r="AH585" s="80">
        <v>350</v>
      </c>
      <c r="AI585" s="85"/>
    </row>
    <row r="586" spans="1:35" s="79" customFormat="1" ht="11.25" customHeight="1" x14ac:dyDescent="0.2">
      <c r="A586" s="77" t="s">
        <v>750</v>
      </c>
      <c r="B586" s="80">
        <v>167</v>
      </c>
      <c r="C586" s="81" t="s">
        <v>749</v>
      </c>
      <c r="D586" s="73">
        <v>5</v>
      </c>
      <c r="E586" s="79" t="s">
        <v>16</v>
      </c>
      <c r="F586" s="79" t="s">
        <v>3725</v>
      </c>
      <c r="G586" s="79" t="s">
        <v>2996</v>
      </c>
      <c r="H586" s="79" t="s">
        <v>17</v>
      </c>
      <c r="I586" s="81"/>
      <c r="J586" s="81">
        <v>25</v>
      </c>
      <c r="K586" s="86"/>
      <c r="M586" s="78" t="s">
        <v>749</v>
      </c>
      <c r="N586" s="82"/>
      <c r="O586" s="81" t="s">
        <v>2256</v>
      </c>
      <c r="P586" s="81" t="s">
        <v>2256</v>
      </c>
      <c r="Q586" s="81"/>
      <c r="R586" s="83">
        <v>40000</v>
      </c>
      <c r="S586" s="79" t="s">
        <v>3002</v>
      </c>
      <c r="T586" s="84">
        <v>200000</v>
      </c>
      <c r="U586" s="81"/>
      <c r="V586" s="81"/>
      <c r="W586" s="78" t="s">
        <v>749</v>
      </c>
      <c r="X586" s="82"/>
      <c r="Y586" s="81" t="s">
        <v>2256</v>
      </c>
      <c r="Z586" s="81" t="s">
        <v>2256</v>
      </c>
      <c r="AA586" s="83">
        <v>80000</v>
      </c>
      <c r="AB586" s="85"/>
      <c r="AD586" s="78" t="s">
        <v>749</v>
      </c>
      <c r="AE586" s="82"/>
      <c r="AF586" s="81" t="s">
        <v>2256</v>
      </c>
      <c r="AG586" s="81" t="s">
        <v>2256</v>
      </c>
      <c r="AH586" s="83">
        <v>100000</v>
      </c>
      <c r="AI586" s="85"/>
    </row>
    <row r="587" spans="1:35" s="79" customFormat="1" ht="11.25" customHeight="1" x14ac:dyDescent="0.2">
      <c r="A587" s="77" t="s">
        <v>754</v>
      </c>
      <c r="B587" s="80">
        <v>165</v>
      </c>
      <c r="C587" s="81" t="s">
        <v>753</v>
      </c>
      <c r="D587" s="73">
        <v>5</v>
      </c>
      <c r="E587" s="79" t="s">
        <v>16</v>
      </c>
      <c r="F587" s="79" t="s">
        <v>3725</v>
      </c>
      <c r="G587" s="79" t="s">
        <v>2996</v>
      </c>
      <c r="H587" s="79" t="s">
        <v>17</v>
      </c>
      <c r="I587" s="81"/>
      <c r="J587" s="81">
        <v>25</v>
      </c>
      <c r="K587" s="86"/>
      <c r="M587" s="78" t="s">
        <v>753</v>
      </c>
      <c r="N587" s="82"/>
      <c r="O587" s="81" t="s">
        <v>2256</v>
      </c>
      <c r="P587" s="81" t="s">
        <v>2256</v>
      </c>
      <c r="Q587" s="81"/>
      <c r="R587" s="83">
        <v>40000</v>
      </c>
      <c r="S587" s="79" t="s">
        <v>3002</v>
      </c>
      <c r="T587" s="84">
        <v>200000</v>
      </c>
      <c r="U587" s="81"/>
      <c r="V587" s="81"/>
      <c r="W587" s="78" t="s">
        <v>753</v>
      </c>
      <c r="X587" s="82"/>
      <c r="Y587" s="81" t="s">
        <v>2256</v>
      </c>
      <c r="Z587" s="81" t="s">
        <v>2256</v>
      </c>
      <c r="AA587" s="83">
        <v>80000</v>
      </c>
      <c r="AB587" s="85"/>
      <c r="AD587" s="78" t="s">
        <v>753</v>
      </c>
      <c r="AE587" s="82"/>
      <c r="AF587" s="81" t="s">
        <v>2256</v>
      </c>
      <c r="AG587" s="81" t="s">
        <v>2256</v>
      </c>
      <c r="AH587" s="83">
        <v>100000</v>
      </c>
      <c r="AI587" s="85"/>
    </row>
    <row r="588" spans="1:35" s="79" customFormat="1" ht="11.25" customHeight="1" x14ac:dyDescent="0.2">
      <c r="A588" s="77" t="s">
        <v>756</v>
      </c>
      <c r="B588" s="80">
        <v>171</v>
      </c>
      <c r="C588" s="81" t="s">
        <v>755</v>
      </c>
      <c r="D588" s="73">
        <v>5</v>
      </c>
      <c r="E588" s="79" t="s">
        <v>16</v>
      </c>
      <c r="F588" s="79" t="s">
        <v>3725</v>
      </c>
      <c r="G588" s="79" t="s">
        <v>2996</v>
      </c>
      <c r="H588" s="79" t="s">
        <v>17</v>
      </c>
      <c r="I588" s="81"/>
      <c r="J588" s="81">
        <v>25</v>
      </c>
      <c r="K588" s="86"/>
      <c r="M588" s="78" t="s">
        <v>755</v>
      </c>
      <c r="N588" s="82"/>
      <c r="O588" s="81" t="s">
        <v>2256</v>
      </c>
      <c r="P588" s="81" t="s">
        <v>2256</v>
      </c>
      <c r="Q588" s="81"/>
      <c r="R588" s="83">
        <v>40000</v>
      </c>
      <c r="S588" s="79" t="s">
        <v>3002</v>
      </c>
      <c r="T588" s="84">
        <v>200000</v>
      </c>
      <c r="U588" s="81"/>
      <c r="V588" s="81"/>
      <c r="W588" s="78" t="s">
        <v>755</v>
      </c>
      <c r="X588" s="82"/>
      <c r="Y588" s="81" t="s">
        <v>2256</v>
      </c>
      <c r="Z588" s="81" t="s">
        <v>2256</v>
      </c>
      <c r="AA588" s="83">
        <v>80000</v>
      </c>
      <c r="AB588" s="85"/>
      <c r="AD588" s="78" t="s">
        <v>755</v>
      </c>
      <c r="AE588" s="82"/>
      <c r="AF588" s="81" t="s">
        <v>2256</v>
      </c>
      <c r="AG588" s="81" t="s">
        <v>2256</v>
      </c>
      <c r="AH588" s="83">
        <v>100000</v>
      </c>
      <c r="AI588" s="85"/>
    </row>
    <row r="589" spans="1:35" s="79" customFormat="1" ht="11.25" customHeight="1" x14ac:dyDescent="0.2">
      <c r="A589" s="77" t="s">
        <v>762</v>
      </c>
      <c r="B589" s="80">
        <v>1076</v>
      </c>
      <c r="C589" s="81" t="s">
        <v>761</v>
      </c>
      <c r="D589" s="73">
        <v>5</v>
      </c>
      <c r="E589" s="79" t="s">
        <v>16</v>
      </c>
      <c r="F589" s="79" t="s">
        <v>3725</v>
      </c>
      <c r="G589" s="79" t="s">
        <v>2996</v>
      </c>
      <c r="H589" s="79" t="s">
        <v>17</v>
      </c>
      <c r="I589" s="81"/>
      <c r="J589" s="81">
        <v>25</v>
      </c>
      <c r="K589" s="86"/>
      <c r="M589" s="78" t="s">
        <v>763</v>
      </c>
      <c r="N589" s="82"/>
      <c r="O589" s="81" t="s">
        <v>2408</v>
      </c>
      <c r="P589" s="81" t="s">
        <v>2256</v>
      </c>
      <c r="Q589" s="81"/>
      <c r="R589" s="83">
        <v>60000</v>
      </c>
      <c r="S589" s="79" t="s">
        <v>3100</v>
      </c>
      <c r="T589" s="84">
        <v>300000</v>
      </c>
      <c r="U589" s="81"/>
      <c r="V589" s="81"/>
      <c r="W589" s="78" t="s">
        <v>763</v>
      </c>
      <c r="X589" s="82"/>
      <c r="Y589" s="81" t="s">
        <v>2408</v>
      </c>
      <c r="Z589" s="81" t="s">
        <v>2256</v>
      </c>
      <c r="AA589" s="83">
        <v>300000</v>
      </c>
      <c r="AB589" s="85"/>
      <c r="AD589" s="78" t="s">
        <v>763</v>
      </c>
      <c r="AE589" s="82"/>
      <c r="AF589" s="81" t="s">
        <v>2408</v>
      </c>
      <c r="AG589" s="81" t="s">
        <v>2256</v>
      </c>
      <c r="AH589" s="83">
        <v>420000</v>
      </c>
      <c r="AI589" s="85"/>
    </row>
    <row r="590" spans="1:35" s="79" customFormat="1" ht="11.25" customHeight="1" x14ac:dyDescent="0.2">
      <c r="A590" s="77" t="s">
        <v>772</v>
      </c>
      <c r="B590" s="80">
        <v>1072</v>
      </c>
      <c r="C590" s="81" t="s">
        <v>763</v>
      </c>
      <c r="D590" s="73">
        <v>5</v>
      </c>
      <c r="E590" s="79" t="s">
        <v>16</v>
      </c>
      <c r="F590" s="79" t="s">
        <v>3725</v>
      </c>
      <c r="G590" s="79" t="s">
        <v>2996</v>
      </c>
      <c r="H590" s="79" t="s">
        <v>17</v>
      </c>
      <c r="I590" s="81"/>
      <c r="J590" s="81">
        <v>25</v>
      </c>
      <c r="K590" s="86"/>
      <c r="M590" s="78" t="s">
        <v>763</v>
      </c>
      <c r="N590" s="82"/>
      <c r="O590" s="81" t="s">
        <v>2256</v>
      </c>
      <c r="P590" s="81" t="s">
        <v>2256</v>
      </c>
      <c r="Q590" s="81"/>
      <c r="R590" s="83">
        <v>60000</v>
      </c>
      <c r="S590" s="79" t="s">
        <v>3002</v>
      </c>
      <c r="T590" s="84">
        <v>300000</v>
      </c>
      <c r="U590" s="81"/>
      <c r="V590" s="81"/>
      <c r="W590" s="78" t="s">
        <v>763</v>
      </c>
      <c r="X590" s="82"/>
      <c r="Y590" s="81" t="s">
        <v>2256</v>
      </c>
      <c r="Z590" s="81" t="s">
        <v>2256</v>
      </c>
      <c r="AA590" s="83">
        <v>300000</v>
      </c>
      <c r="AB590" s="85"/>
      <c r="AD590" s="78" t="s">
        <v>763</v>
      </c>
      <c r="AE590" s="82"/>
      <c r="AF590" s="81" t="s">
        <v>2256</v>
      </c>
      <c r="AG590" s="81" t="s">
        <v>2256</v>
      </c>
      <c r="AH590" s="83">
        <v>420000</v>
      </c>
      <c r="AI590" s="85"/>
    </row>
    <row r="591" spans="1:35" s="79" customFormat="1" ht="11.25" customHeight="1" x14ac:dyDescent="0.2">
      <c r="A591" s="77" t="s">
        <v>813</v>
      </c>
      <c r="B591" s="80">
        <v>1077</v>
      </c>
      <c r="C591" s="81" t="s">
        <v>812</v>
      </c>
      <c r="D591" s="73">
        <v>5</v>
      </c>
      <c r="E591" s="79" t="s">
        <v>16</v>
      </c>
      <c r="F591" s="79" t="s">
        <v>3725</v>
      </c>
      <c r="G591" s="79" t="s">
        <v>2996</v>
      </c>
      <c r="H591" s="79" t="s">
        <v>17</v>
      </c>
      <c r="I591" s="81"/>
      <c r="J591" s="81">
        <v>25</v>
      </c>
      <c r="K591" s="86"/>
      <c r="M591" s="78" t="s">
        <v>814</v>
      </c>
      <c r="N591" s="82"/>
      <c r="O591" s="81" t="s">
        <v>2426</v>
      </c>
      <c r="P591" s="81" t="s">
        <v>2256</v>
      </c>
      <c r="Q591" s="81"/>
      <c r="R591" s="83">
        <v>40000</v>
      </c>
      <c r="S591" s="79" t="s">
        <v>3114</v>
      </c>
      <c r="T591" s="84">
        <v>200000</v>
      </c>
      <c r="U591" s="81"/>
      <c r="V591" s="81"/>
      <c r="W591" s="78" t="s">
        <v>814</v>
      </c>
      <c r="X591" s="82"/>
      <c r="Y591" s="81" t="s">
        <v>2426</v>
      </c>
      <c r="Z591" s="81" t="s">
        <v>2256</v>
      </c>
      <c r="AA591" s="83">
        <v>200000</v>
      </c>
      <c r="AB591" s="85"/>
      <c r="AD591" s="78" t="s">
        <v>814</v>
      </c>
      <c r="AE591" s="82"/>
      <c r="AF591" s="81" t="s">
        <v>2426</v>
      </c>
      <c r="AG591" s="81" t="s">
        <v>2256</v>
      </c>
      <c r="AH591" s="83">
        <v>280000</v>
      </c>
      <c r="AI591" s="85"/>
    </row>
    <row r="592" spans="1:35" s="79" customFormat="1" ht="11.25" customHeight="1" x14ac:dyDescent="0.2">
      <c r="A592" s="77" t="s">
        <v>815</v>
      </c>
      <c r="B592" s="80">
        <v>1073</v>
      </c>
      <c r="C592" s="81" t="s">
        <v>814</v>
      </c>
      <c r="D592" s="73">
        <v>5</v>
      </c>
      <c r="E592" s="79" t="s">
        <v>16</v>
      </c>
      <c r="F592" s="79" t="s">
        <v>3725</v>
      </c>
      <c r="G592" s="79" t="s">
        <v>2996</v>
      </c>
      <c r="H592" s="79" t="s">
        <v>17</v>
      </c>
      <c r="I592" s="81"/>
      <c r="J592" s="81">
        <v>25</v>
      </c>
      <c r="K592" s="86"/>
      <c r="M592" s="78" t="s">
        <v>814</v>
      </c>
      <c r="N592" s="82"/>
      <c r="O592" s="81" t="s">
        <v>2256</v>
      </c>
      <c r="P592" s="81" t="s">
        <v>2256</v>
      </c>
      <c r="Q592" s="81"/>
      <c r="R592" s="83">
        <v>40000</v>
      </c>
      <c r="S592" s="79" t="s">
        <v>3002</v>
      </c>
      <c r="T592" s="84">
        <v>200000</v>
      </c>
      <c r="U592" s="81"/>
      <c r="V592" s="81"/>
      <c r="W592" s="78" t="s">
        <v>814</v>
      </c>
      <c r="X592" s="82"/>
      <c r="Y592" s="81" t="s">
        <v>2256</v>
      </c>
      <c r="Z592" s="81" t="s">
        <v>2256</v>
      </c>
      <c r="AA592" s="83">
        <v>200000</v>
      </c>
      <c r="AB592" s="85"/>
      <c r="AD592" s="78" t="s">
        <v>814</v>
      </c>
      <c r="AE592" s="82"/>
      <c r="AF592" s="81" t="s">
        <v>2256</v>
      </c>
      <c r="AG592" s="81" t="s">
        <v>2256</v>
      </c>
      <c r="AH592" s="83">
        <v>280000</v>
      </c>
      <c r="AI592" s="85"/>
    </row>
    <row r="593" spans="1:35" s="79" customFormat="1" ht="11.25" customHeight="1" x14ac:dyDescent="0.2">
      <c r="A593" s="77" t="s">
        <v>908</v>
      </c>
      <c r="B593" s="80">
        <v>801</v>
      </c>
      <c r="C593" s="81" t="s">
        <v>907</v>
      </c>
      <c r="D593" s="73">
        <v>5</v>
      </c>
      <c r="E593" s="79" t="s">
        <v>16</v>
      </c>
      <c r="F593" s="79" t="s">
        <v>3725</v>
      </c>
      <c r="G593" s="79" t="s">
        <v>2996</v>
      </c>
      <c r="H593" s="79" t="s">
        <v>17</v>
      </c>
      <c r="I593" s="81"/>
      <c r="J593" s="81">
        <v>25</v>
      </c>
      <c r="K593" s="86"/>
      <c r="M593" s="78" t="s">
        <v>907</v>
      </c>
      <c r="N593" s="82"/>
      <c r="O593" s="81" t="s">
        <v>2256</v>
      </c>
      <c r="P593" s="81" t="s">
        <v>2256</v>
      </c>
      <c r="Q593" s="81"/>
      <c r="R593" s="83">
        <v>40000</v>
      </c>
      <c r="S593" s="79" t="s">
        <v>3002</v>
      </c>
      <c r="T593" s="84">
        <v>200000</v>
      </c>
      <c r="U593" s="81"/>
      <c r="V593" s="81"/>
      <c r="W593" s="78" t="s">
        <v>907</v>
      </c>
      <c r="X593" s="82"/>
      <c r="Y593" s="81" t="s">
        <v>2256</v>
      </c>
      <c r="Z593" s="81" t="s">
        <v>2256</v>
      </c>
      <c r="AA593" s="83">
        <v>200000</v>
      </c>
      <c r="AB593" s="85"/>
      <c r="AD593" s="78" t="s">
        <v>907</v>
      </c>
      <c r="AE593" s="82"/>
      <c r="AF593" s="81" t="s">
        <v>2256</v>
      </c>
      <c r="AG593" s="81" t="s">
        <v>2256</v>
      </c>
      <c r="AH593" s="83">
        <v>250000</v>
      </c>
      <c r="AI593" s="85"/>
    </row>
    <row r="594" spans="1:35" s="79" customFormat="1" ht="11.25" customHeight="1" x14ac:dyDescent="0.2">
      <c r="A594" s="77" t="s">
        <v>914</v>
      </c>
      <c r="B594" s="80">
        <v>859</v>
      </c>
      <c r="C594" s="81" t="s">
        <v>913</v>
      </c>
      <c r="D594" s="73">
        <v>80</v>
      </c>
      <c r="E594" s="79" t="s">
        <v>16</v>
      </c>
      <c r="F594" s="79" t="s">
        <v>3725</v>
      </c>
      <c r="G594" s="79" t="s">
        <v>2996</v>
      </c>
      <c r="H594" s="79" t="s">
        <v>17</v>
      </c>
      <c r="I594" s="81"/>
      <c r="J594" s="81">
        <v>25</v>
      </c>
      <c r="K594" s="86"/>
      <c r="M594" s="78" t="s">
        <v>913</v>
      </c>
      <c r="N594" s="82"/>
      <c r="O594" s="81" t="s">
        <v>2256</v>
      </c>
      <c r="P594" s="81" t="s">
        <v>2256</v>
      </c>
      <c r="Q594" s="81"/>
      <c r="R594" s="83">
        <v>3500</v>
      </c>
      <c r="S594" s="79" t="s">
        <v>3002</v>
      </c>
      <c r="T594" s="84">
        <v>280000</v>
      </c>
      <c r="U594" s="81"/>
      <c r="V594" s="81"/>
      <c r="W594" s="78" t="s">
        <v>913</v>
      </c>
      <c r="X594" s="82"/>
      <c r="Y594" s="81" t="s">
        <v>2256</v>
      </c>
      <c r="Z594" s="81" t="s">
        <v>2256</v>
      </c>
      <c r="AA594" s="83">
        <v>15000</v>
      </c>
      <c r="AB594" s="85"/>
      <c r="AD594" s="78" t="s">
        <v>913</v>
      </c>
      <c r="AE594" s="82"/>
      <c r="AF594" s="81" t="s">
        <v>2256</v>
      </c>
      <c r="AG594" s="81" t="s">
        <v>2256</v>
      </c>
      <c r="AH594" s="83">
        <v>25000</v>
      </c>
      <c r="AI594" s="85"/>
    </row>
    <row r="595" spans="1:35" s="79" customFormat="1" ht="11.25" customHeight="1" x14ac:dyDescent="0.2">
      <c r="A595" s="77" t="s">
        <v>930</v>
      </c>
      <c r="B595" s="81" t="s">
        <v>931</v>
      </c>
      <c r="C595" s="81" t="s">
        <v>929</v>
      </c>
      <c r="D595" s="73">
        <v>975</v>
      </c>
      <c r="E595" s="79" t="s">
        <v>16</v>
      </c>
      <c r="F595" s="79" t="s">
        <v>3725</v>
      </c>
      <c r="G595" s="79" t="s">
        <v>2996</v>
      </c>
      <c r="H595" s="79" t="s">
        <v>17</v>
      </c>
      <c r="I595" s="81"/>
      <c r="J595" s="81">
        <v>25</v>
      </c>
      <c r="K595" s="86"/>
      <c r="M595" s="78" t="s">
        <v>929</v>
      </c>
      <c r="N595" s="82"/>
      <c r="O595" s="81" t="s">
        <v>2256</v>
      </c>
      <c r="P595" s="81" t="s">
        <v>2256</v>
      </c>
      <c r="Q595" s="81"/>
      <c r="R595" s="83">
        <v>500</v>
      </c>
      <c r="S595" s="79" t="s">
        <v>3002</v>
      </c>
      <c r="T595" s="84">
        <v>487500</v>
      </c>
      <c r="U595" s="81"/>
      <c r="V595" s="81"/>
      <c r="W595" s="78" t="s">
        <v>929</v>
      </c>
      <c r="X595" s="82"/>
      <c r="Y595" s="81" t="s">
        <v>2256</v>
      </c>
      <c r="Z595" s="81" t="s">
        <v>2256</v>
      </c>
      <c r="AA595" s="83">
        <v>2500</v>
      </c>
      <c r="AB595" s="85"/>
      <c r="AD595" s="78" t="s">
        <v>929</v>
      </c>
      <c r="AE595" s="82"/>
      <c r="AF595" s="81" t="s">
        <v>2256</v>
      </c>
      <c r="AG595" s="81" t="s">
        <v>2256</v>
      </c>
      <c r="AH595" s="83">
        <v>3500</v>
      </c>
      <c r="AI595" s="85"/>
    </row>
    <row r="596" spans="1:35" s="79" customFormat="1" ht="11.25" customHeight="1" x14ac:dyDescent="0.2">
      <c r="A596" s="77" t="s">
        <v>935</v>
      </c>
      <c r="B596" s="80">
        <v>776</v>
      </c>
      <c r="C596" s="81" t="s">
        <v>934</v>
      </c>
      <c r="D596" s="73">
        <v>850</v>
      </c>
      <c r="E596" s="79" t="s">
        <v>16</v>
      </c>
      <c r="F596" s="79" t="s">
        <v>3725</v>
      </c>
      <c r="G596" s="79" t="s">
        <v>2996</v>
      </c>
      <c r="H596" s="79" t="s">
        <v>17</v>
      </c>
      <c r="I596" s="81"/>
      <c r="J596" s="81">
        <v>25</v>
      </c>
      <c r="K596" s="86"/>
      <c r="M596" s="78" t="s">
        <v>934</v>
      </c>
      <c r="N596" s="82"/>
      <c r="O596" s="81" t="s">
        <v>2256</v>
      </c>
      <c r="P596" s="81" t="s">
        <v>2256</v>
      </c>
      <c r="Q596" s="81"/>
      <c r="R596" s="83">
        <v>500</v>
      </c>
      <c r="S596" s="79" t="s">
        <v>3002</v>
      </c>
      <c r="T596" s="84">
        <v>425000</v>
      </c>
      <c r="U596" s="81"/>
      <c r="V596" s="81"/>
      <c r="W596" s="78" t="s">
        <v>934</v>
      </c>
      <c r="X596" s="82"/>
      <c r="Y596" s="81" t="s">
        <v>2256</v>
      </c>
      <c r="Z596" s="81" t="s">
        <v>2256</v>
      </c>
      <c r="AA596" s="83">
        <v>2500</v>
      </c>
      <c r="AB596" s="85"/>
      <c r="AD596" s="78" t="s">
        <v>934</v>
      </c>
      <c r="AE596" s="82"/>
      <c r="AF596" s="81" t="s">
        <v>2256</v>
      </c>
      <c r="AG596" s="81" t="s">
        <v>2256</v>
      </c>
      <c r="AH596" s="83">
        <v>3500</v>
      </c>
      <c r="AI596" s="85"/>
    </row>
    <row r="597" spans="1:35" s="79" customFormat="1" ht="11.25" customHeight="1" x14ac:dyDescent="0.2">
      <c r="A597" s="77" t="s">
        <v>937</v>
      </c>
      <c r="B597" s="80">
        <v>1135</v>
      </c>
      <c r="C597" s="81" t="s">
        <v>936</v>
      </c>
      <c r="D597" s="73">
        <v>5</v>
      </c>
      <c r="E597" s="79" t="s">
        <v>16</v>
      </c>
      <c r="F597" s="79" t="s">
        <v>3725</v>
      </c>
      <c r="G597" s="79" t="s">
        <v>2996</v>
      </c>
      <c r="H597" s="79" t="s">
        <v>17</v>
      </c>
      <c r="I597" s="81"/>
      <c r="J597" s="81">
        <v>25</v>
      </c>
      <c r="K597" s="86"/>
      <c r="M597" s="78" t="s">
        <v>936</v>
      </c>
      <c r="N597" s="82"/>
      <c r="O597" s="81" t="s">
        <v>2256</v>
      </c>
      <c r="P597" s="81" t="s">
        <v>2256</v>
      </c>
      <c r="Q597" s="81"/>
      <c r="R597" s="83">
        <v>4500</v>
      </c>
      <c r="S597" s="79" t="s">
        <v>3002</v>
      </c>
      <c r="T597" s="84">
        <v>22500</v>
      </c>
      <c r="U597" s="81"/>
      <c r="V597" s="81"/>
      <c r="W597" s="78" t="s">
        <v>936</v>
      </c>
      <c r="X597" s="82"/>
      <c r="Y597" s="81" t="s">
        <v>2256</v>
      </c>
      <c r="Z597" s="81" t="s">
        <v>2256</v>
      </c>
      <c r="AA597" s="83">
        <v>22500</v>
      </c>
      <c r="AB597" s="85"/>
      <c r="AD597" s="78" t="s">
        <v>936</v>
      </c>
      <c r="AE597" s="82"/>
      <c r="AF597" s="81" t="s">
        <v>2256</v>
      </c>
      <c r="AG597" s="81" t="s">
        <v>2256</v>
      </c>
      <c r="AH597" s="83">
        <v>31500</v>
      </c>
      <c r="AI597" s="85"/>
    </row>
    <row r="598" spans="1:35" s="79" customFormat="1" ht="11.25" customHeight="1" x14ac:dyDescent="0.2">
      <c r="A598" s="77" t="s">
        <v>939</v>
      </c>
      <c r="B598" s="80">
        <v>1134</v>
      </c>
      <c r="C598" s="81" t="s">
        <v>938</v>
      </c>
      <c r="D598" s="73">
        <v>80</v>
      </c>
      <c r="E598" s="79" t="s">
        <v>16</v>
      </c>
      <c r="F598" s="79" t="s">
        <v>3725</v>
      </c>
      <c r="G598" s="79" t="s">
        <v>2996</v>
      </c>
      <c r="H598" s="79" t="s">
        <v>17</v>
      </c>
      <c r="I598" s="81"/>
      <c r="J598" s="81">
        <v>25</v>
      </c>
      <c r="K598" s="86"/>
      <c r="M598" s="78" t="s">
        <v>938</v>
      </c>
      <c r="N598" s="82"/>
      <c r="O598" s="81" t="s">
        <v>2256</v>
      </c>
      <c r="P598" s="81" t="s">
        <v>2256</v>
      </c>
      <c r="Q598" s="81"/>
      <c r="R598" s="83">
        <v>250</v>
      </c>
      <c r="S598" s="79" t="s">
        <v>3002</v>
      </c>
      <c r="T598" s="84">
        <v>20000</v>
      </c>
      <c r="U598" s="81"/>
      <c r="V598" s="81"/>
      <c r="W598" s="78" t="s">
        <v>938</v>
      </c>
      <c r="X598" s="82"/>
      <c r="Y598" s="81" t="s">
        <v>2256</v>
      </c>
      <c r="Z598" s="81" t="s">
        <v>2256</v>
      </c>
      <c r="AA598" s="83">
        <v>1250</v>
      </c>
      <c r="AB598" s="85"/>
      <c r="AD598" s="78" t="s">
        <v>938</v>
      </c>
      <c r="AE598" s="82"/>
      <c r="AF598" s="81" t="s">
        <v>2256</v>
      </c>
      <c r="AG598" s="81" t="s">
        <v>2256</v>
      </c>
      <c r="AH598" s="83">
        <v>1750</v>
      </c>
      <c r="AI598" s="85"/>
    </row>
    <row r="599" spans="1:35" s="79" customFormat="1" ht="11.25" customHeight="1" x14ac:dyDescent="0.2">
      <c r="A599" s="77" t="s">
        <v>955</v>
      </c>
      <c r="B599" s="80">
        <v>276</v>
      </c>
      <c r="C599" s="81" t="s">
        <v>954</v>
      </c>
      <c r="D599" s="73">
        <v>80</v>
      </c>
      <c r="E599" s="79" t="s">
        <v>16</v>
      </c>
      <c r="F599" s="79" t="s">
        <v>3725</v>
      </c>
      <c r="G599" s="79" t="s">
        <v>2996</v>
      </c>
      <c r="H599" s="79" t="s">
        <v>17</v>
      </c>
      <c r="I599" s="81"/>
      <c r="J599" s="81">
        <v>25</v>
      </c>
      <c r="K599" s="86"/>
      <c r="M599" s="78" t="s">
        <v>954</v>
      </c>
      <c r="N599" s="82"/>
      <c r="O599" s="81"/>
      <c r="P599" s="81" t="s">
        <v>2256</v>
      </c>
      <c r="Q599" s="81"/>
      <c r="R599" s="83">
        <v>2500</v>
      </c>
      <c r="S599" s="79" t="s">
        <v>3002</v>
      </c>
      <c r="T599" s="84">
        <v>200000</v>
      </c>
      <c r="U599" s="81"/>
      <c r="V599" s="81"/>
      <c r="W599" s="78" t="s">
        <v>954</v>
      </c>
      <c r="X599" s="82"/>
      <c r="Y599" s="81"/>
      <c r="Z599" s="81" t="s">
        <v>2256</v>
      </c>
      <c r="AA599" s="83">
        <v>15000</v>
      </c>
      <c r="AB599" s="85"/>
      <c r="AD599" s="78" t="s">
        <v>954</v>
      </c>
      <c r="AE599" s="82"/>
      <c r="AF599" s="81"/>
      <c r="AG599" s="81" t="s">
        <v>2256</v>
      </c>
      <c r="AH599" s="83">
        <v>20000</v>
      </c>
      <c r="AI599" s="85"/>
    </row>
    <row r="600" spans="1:35" s="79" customFormat="1" ht="11.25" customHeight="1" x14ac:dyDescent="0.2">
      <c r="A600" s="77" t="s">
        <v>959</v>
      </c>
      <c r="B600" s="80">
        <v>278</v>
      </c>
      <c r="C600" s="81" t="s">
        <v>958</v>
      </c>
      <c r="D600" s="73">
        <v>80</v>
      </c>
      <c r="E600" s="79" t="s">
        <v>16</v>
      </c>
      <c r="F600" s="79" t="s">
        <v>3725</v>
      </c>
      <c r="G600" s="79" t="s">
        <v>2996</v>
      </c>
      <c r="H600" s="79" t="s">
        <v>17</v>
      </c>
      <c r="I600" s="81"/>
      <c r="J600" s="81">
        <v>5</v>
      </c>
      <c r="K600" s="86"/>
      <c r="M600" s="78" t="s">
        <v>954</v>
      </c>
      <c r="N600" s="82"/>
      <c r="O600" s="81" t="s">
        <v>3655</v>
      </c>
      <c r="P600" s="81" t="s">
        <v>2256</v>
      </c>
      <c r="Q600" s="81"/>
      <c r="R600" s="83">
        <v>2500</v>
      </c>
      <c r="S600" s="79" t="s">
        <v>3646</v>
      </c>
      <c r="T600" s="84">
        <v>200000</v>
      </c>
      <c r="U600" s="81"/>
      <c r="V600" s="81"/>
      <c r="W600" s="78" t="s">
        <v>954</v>
      </c>
      <c r="X600" s="82"/>
      <c r="Y600" s="81" t="s">
        <v>3655</v>
      </c>
      <c r="Z600" s="81" t="s">
        <v>2256</v>
      </c>
      <c r="AA600" s="83">
        <v>15000</v>
      </c>
      <c r="AB600" s="85"/>
      <c r="AD600" s="78" t="s">
        <v>954</v>
      </c>
      <c r="AE600" s="82"/>
      <c r="AF600" s="81" t="s">
        <v>3655</v>
      </c>
      <c r="AG600" s="81" t="s">
        <v>2256</v>
      </c>
      <c r="AH600" s="83">
        <v>20000</v>
      </c>
      <c r="AI600" s="85"/>
    </row>
    <row r="601" spans="1:35" s="79" customFormat="1" ht="11.25" customHeight="1" x14ac:dyDescent="0.2">
      <c r="A601" s="77" t="s">
        <v>957</v>
      </c>
      <c r="B601" s="80">
        <v>277</v>
      </c>
      <c r="C601" s="81" t="s">
        <v>956</v>
      </c>
      <c r="D601" s="73">
        <v>5</v>
      </c>
      <c r="E601" s="79" t="s">
        <v>16</v>
      </c>
      <c r="F601" s="79" t="s">
        <v>3725</v>
      </c>
      <c r="G601" s="79" t="s">
        <v>2996</v>
      </c>
      <c r="H601" s="79" t="s">
        <v>17</v>
      </c>
      <c r="I601" s="81"/>
      <c r="J601" s="81">
        <v>25</v>
      </c>
      <c r="K601" s="86"/>
      <c r="M601" s="78" t="s">
        <v>956</v>
      </c>
      <c r="N601" s="82"/>
      <c r="O601" s="81"/>
      <c r="P601" s="81" t="s">
        <v>2256</v>
      </c>
      <c r="Q601" s="81"/>
      <c r="R601" s="83">
        <v>40000</v>
      </c>
      <c r="S601" s="79" t="s">
        <v>3002</v>
      </c>
      <c r="T601" s="84">
        <v>200000</v>
      </c>
      <c r="U601" s="81"/>
      <c r="V601" s="81"/>
      <c r="W601" s="78" t="s">
        <v>956</v>
      </c>
      <c r="X601" s="82"/>
      <c r="Y601" s="81"/>
      <c r="Z601" s="81" t="s">
        <v>2256</v>
      </c>
      <c r="AA601" s="83">
        <v>200000</v>
      </c>
      <c r="AB601" s="85"/>
      <c r="AD601" s="78" t="s">
        <v>956</v>
      </c>
      <c r="AE601" s="82"/>
      <c r="AF601" s="81"/>
      <c r="AG601" s="81" t="s">
        <v>2256</v>
      </c>
      <c r="AH601" s="83">
        <v>300000</v>
      </c>
      <c r="AI601" s="85"/>
    </row>
    <row r="602" spans="1:35" s="79" customFormat="1" ht="11.25" customHeight="1" x14ac:dyDescent="0.2">
      <c r="A602" s="77" t="s">
        <v>961</v>
      </c>
      <c r="B602" s="80">
        <v>279</v>
      </c>
      <c r="C602" s="81" t="s">
        <v>960</v>
      </c>
      <c r="D602" s="73">
        <v>5</v>
      </c>
      <c r="E602" s="79" t="s">
        <v>16</v>
      </c>
      <c r="F602" s="79" t="s">
        <v>3725</v>
      </c>
      <c r="G602" s="79" t="s">
        <v>2996</v>
      </c>
      <c r="H602" s="79" t="s">
        <v>17</v>
      </c>
      <c r="I602" s="81"/>
      <c r="J602" s="81">
        <v>25</v>
      </c>
      <c r="K602" s="86"/>
      <c r="M602" s="78" t="s">
        <v>956</v>
      </c>
      <c r="N602" s="82"/>
      <c r="O602" s="81" t="s">
        <v>3658</v>
      </c>
      <c r="P602" s="81" t="s">
        <v>2256</v>
      </c>
      <c r="Q602" s="81"/>
      <c r="R602" s="83">
        <v>40000</v>
      </c>
      <c r="S602" s="79" t="s">
        <v>3647</v>
      </c>
      <c r="T602" s="84">
        <v>200000</v>
      </c>
      <c r="U602" s="81"/>
      <c r="V602" s="81"/>
      <c r="W602" s="78" t="s">
        <v>956</v>
      </c>
      <c r="X602" s="82"/>
      <c r="Y602" s="81" t="s">
        <v>3658</v>
      </c>
      <c r="Z602" s="81" t="s">
        <v>2256</v>
      </c>
      <c r="AA602" s="83">
        <v>200000</v>
      </c>
      <c r="AB602" s="85"/>
      <c r="AD602" s="78" t="s">
        <v>956</v>
      </c>
      <c r="AE602" s="82"/>
      <c r="AF602" s="81" t="s">
        <v>3658</v>
      </c>
      <c r="AG602" s="81" t="s">
        <v>2256</v>
      </c>
      <c r="AH602" s="83">
        <v>300000</v>
      </c>
      <c r="AI602" s="85"/>
    </row>
    <row r="603" spans="1:35" s="79" customFormat="1" ht="11.25" customHeight="1" x14ac:dyDescent="0.2">
      <c r="A603" s="77" t="s">
        <v>963</v>
      </c>
      <c r="B603" s="80">
        <v>280</v>
      </c>
      <c r="C603" s="81" t="s">
        <v>962</v>
      </c>
      <c r="D603" s="73">
        <v>80</v>
      </c>
      <c r="E603" s="79" t="s">
        <v>16</v>
      </c>
      <c r="F603" s="79" t="s">
        <v>3725</v>
      </c>
      <c r="G603" s="79" t="s">
        <v>2996</v>
      </c>
      <c r="H603" s="79" t="s">
        <v>17</v>
      </c>
      <c r="I603" s="81"/>
      <c r="J603" s="81">
        <v>25</v>
      </c>
      <c r="K603" s="86"/>
      <c r="M603" s="78" t="s">
        <v>962</v>
      </c>
      <c r="N603" s="82"/>
      <c r="O603" s="81"/>
      <c r="P603" s="81" t="s">
        <v>2256</v>
      </c>
      <c r="Q603" s="81"/>
      <c r="R603" s="83">
        <v>3000</v>
      </c>
      <c r="S603" s="79" t="s">
        <v>3002</v>
      </c>
      <c r="T603" s="84">
        <v>240000</v>
      </c>
      <c r="U603" s="81"/>
      <c r="V603" s="81"/>
      <c r="W603" s="78" t="s">
        <v>962</v>
      </c>
      <c r="X603" s="82"/>
      <c r="Y603" s="81"/>
      <c r="Z603" s="81" t="s">
        <v>2256</v>
      </c>
      <c r="AA603" s="83">
        <v>15000</v>
      </c>
      <c r="AB603" s="85"/>
      <c r="AD603" s="78" t="s">
        <v>962</v>
      </c>
      <c r="AE603" s="82"/>
      <c r="AF603" s="81"/>
      <c r="AG603" s="81" t="s">
        <v>2256</v>
      </c>
      <c r="AH603" s="83">
        <v>20000</v>
      </c>
      <c r="AI603" s="85"/>
    </row>
    <row r="604" spans="1:35" s="79" customFormat="1" ht="11.25" customHeight="1" x14ac:dyDescent="0.2">
      <c r="A604" s="77" t="s">
        <v>967</v>
      </c>
      <c r="B604" s="80">
        <v>282</v>
      </c>
      <c r="C604" s="81" t="s">
        <v>966</v>
      </c>
      <c r="D604" s="73">
        <v>80</v>
      </c>
      <c r="E604" s="79" t="s">
        <v>16</v>
      </c>
      <c r="F604" s="79" t="s">
        <v>3725</v>
      </c>
      <c r="G604" s="79" t="s">
        <v>2996</v>
      </c>
      <c r="H604" s="79" t="s">
        <v>17</v>
      </c>
      <c r="I604" s="81"/>
      <c r="J604" s="81">
        <v>1</v>
      </c>
      <c r="K604" s="86"/>
      <c r="M604" s="78" t="s">
        <v>962</v>
      </c>
      <c r="N604" s="82"/>
      <c r="O604" s="81" t="s">
        <v>3656</v>
      </c>
      <c r="P604" s="81" t="s">
        <v>2256</v>
      </c>
      <c r="Q604" s="81"/>
      <c r="R604" s="83">
        <v>3000</v>
      </c>
      <c r="S604" s="79" t="s">
        <v>3648</v>
      </c>
      <c r="T604" s="84">
        <v>240000</v>
      </c>
      <c r="U604" s="81"/>
      <c r="V604" s="81"/>
      <c r="W604" s="78" t="s">
        <v>962</v>
      </c>
      <c r="X604" s="82"/>
      <c r="Y604" s="81" t="s">
        <v>3656</v>
      </c>
      <c r="Z604" s="81" t="s">
        <v>2256</v>
      </c>
      <c r="AA604" s="83">
        <v>15000</v>
      </c>
      <c r="AB604" s="85"/>
      <c r="AD604" s="78" t="s">
        <v>962</v>
      </c>
      <c r="AE604" s="82"/>
      <c r="AF604" s="81" t="s">
        <v>3656</v>
      </c>
      <c r="AG604" s="81" t="s">
        <v>2256</v>
      </c>
      <c r="AH604" s="83">
        <v>20000</v>
      </c>
      <c r="AI604" s="85"/>
    </row>
    <row r="605" spans="1:35" s="79" customFormat="1" ht="11.25" customHeight="1" x14ac:dyDescent="0.2">
      <c r="A605" s="77" t="s">
        <v>965</v>
      </c>
      <c r="B605" s="80">
        <v>281</v>
      </c>
      <c r="C605" s="81" t="s">
        <v>964</v>
      </c>
      <c r="D605" s="73">
        <v>5</v>
      </c>
      <c r="E605" s="79" t="s">
        <v>16</v>
      </c>
      <c r="F605" s="79" t="s">
        <v>3725</v>
      </c>
      <c r="G605" s="79" t="s">
        <v>2996</v>
      </c>
      <c r="H605" s="79" t="s">
        <v>17</v>
      </c>
      <c r="I605" s="81"/>
      <c r="J605" s="81">
        <v>25</v>
      </c>
      <c r="K605" s="86"/>
      <c r="M605" s="78" t="s">
        <v>964</v>
      </c>
      <c r="N605" s="82"/>
      <c r="O605" s="81"/>
      <c r="P605" s="81" t="s">
        <v>2256</v>
      </c>
      <c r="Q605" s="81"/>
      <c r="R605" s="83">
        <v>50000</v>
      </c>
      <c r="S605" s="79" t="s">
        <v>3002</v>
      </c>
      <c r="T605" s="84">
        <v>250000</v>
      </c>
      <c r="U605" s="81"/>
      <c r="V605" s="81"/>
      <c r="W605" s="78" t="s">
        <v>964</v>
      </c>
      <c r="X605" s="82"/>
      <c r="Y605" s="81"/>
      <c r="Z605" s="81" t="s">
        <v>2256</v>
      </c>
      <c r="AA605" s="83">
        <v>250000</v>
      </c>
      <c r="AB605" s="85"/>
      <c r="AD605" s="78" t="s">
        <v>964</v>
      </c>
      <c r="AE605" s="82"/>
      <c r="AF605" s="81"/>
      <c r="AG605" s="81" t="s">
        <v>2256</v>
      </c>
      <c r="AH605" s="83">
        <v>350000</v>
      </c>
      <c r="AI605" s="85"/>
    </row>
    <row r="606" spans="1:35" s="79" customFormat="1" ht="11.25" customHeight="1" x14ac:dyDescent="0.2">
      <c r="A606" s="77" t="s">
        <v>969</v>
      </c>
      <c r="B606" s="80">
        <v>283</v>
      </c>
      <c r="C606" s="81" t="s">
        <v>968</v>
      </c>
      <c r="D606" s="73">
        <v>5</v>
      </c>
      <c r="E606" s="79" t="s">
        <v>16</v>
      </c>
      <c r="F606" s="79" t="s">
        <v>3725</v>
      </c>
      <c r="G606" s="79" t="s">
        <v>2996</v>
      </c>
      <c r="H606" s="79" t="s">
        <v>17</v>
      </c>
      <c r="I606" s="81"/>
      <c r="J606" s="81">
        <v>5</v>
      </c>
      <c r="K606" s="86"/>
      <c r="M606" s="78" t="s">
        <v>964</v>
      </c>
      <c r="N606" s="82"/>
      <c r="O606" s="81" t="s">
        <v>3659</v>
      </c>
      <c r="P606" s="81" t="s">
        <v>2256</v>
      </c>
      <c r="Q606" s="81"/>
      <c r="R606" s="83">
        <v>50000</v>
      </c>
      <c r="S606" s="79" t="s">
        <v>3649</v>
      </c>
      <c r="T606" s="84">
        <v>250000</v>
      </c>
      <c r="U606" s="81"/>
      <c r="V606" s="81"/>
      <c r="W606" s="78" t="s">
        <v>964</v>
      </c>
      <c r="X606" s="82"/>
      <c r="Y606" s="81" t="s">
        <v>3659</v>
      </c>
      <c r="Z606" s="81" t="s">
        <v>2256</v>
      </c>
      <c r="AA606" s="83">
        <v>250000</v>
      </c>
      <c r="AB606" s="85"/>
      <c r="AD606" s="78" t="s">
        <v>964</v>
      </c>
      <c r="AE606" s="82"/>
      <c r="AF606" s="81" t="s">
        <v>3659</v>
      </c>
      <c r="AG606" s="81" t="s">
        <v>2256</v>
      </c>
      <c r="AH606" s="83">
        <v>350000</v>
      </c>
      <c r="AI606" s="85"/>
    </row>
    <row r="607" spans="1:35" s="79" customFormat="1" ht="11.25" customHeight="1" x14ac:dyDescent="0.2">
      <c r="A607" s="77" t="s">
        <v>971</v>
      </c>
      <c r="B607" s="80">
        <v>284</v>
      </c>
      <c r="C607" s="81" t="s">
        <v>970</v>
      </c>
      <c r="D607" s="73">
        <v>80</v>
      </c>
      <c r="E607" s="79" t="s">
        <v>16</v>
      </c>
      <c r="F607" s="79" t="s">
        <v>3725</v>
      </c>
      <c r="G607" s="79" t="s">
        <v>2996</v>
      </c>
      <c r="H607" s="79" t="s">
        <v>17</v>
      </c>
      <c r="I607" s="81"/>
      <c r="J607" s="81">
        <v>5</v>
      </c>
      <c r="K607" s="86"/>
      <c r="M607" s="78" t="s">
        <v>970</v>
      </c>
      <c r="N607" s="82"/>
      <c r="O607" s="81"/>
      <c r="P607" s="81" t="s">
        <v>2256</v>
      </c>
      <c r="Q607" s="81"/>
      <c r="R607" s="83">
        <v>1000</v>
      </c>
      <c r="S607" s="79" t="s">
        <v>3002</v>
      </c>
      <c r="T607" s="84">
        <v>80000</v>
      </c>
      <c r="U607" s="81"/>
      <c r="V607" s="81"/>
      <c r="W607" s="78" t="s">
        <v>970</v>
      </c>
      <c r="X607" s="82"/>
      <c r="Y607" s="81"/>
      <c r="Z607" s="81" t="s">
        <v>2256</v>
      </c>
      <c r="AA607" s="83">
        <v>5000</v>
      </c>
      <c r="AB607" s="85"/>
      <c r="AD607" s="78" t="s">
        <v>970</v>
      </c>
      <c r="AE607" s="82"/>
      <c r="AF607" s="81"/>
      <c r="AG607" s="81" t="s">
        <v>2256</v>
      </c>
      <c r="AH607" s="83">
        <v>7500</v>
      </c>
      <c r="AI607" s="85"/>
    </row>
    <row r="608" spans="1:35" s="79" customFormat="1" ht="11.25" customHeight="1" x14ac:dyDescent="0.2">
      <c r="A608" s="77" t="s">
        <v>1106</v>
      </c>
      <c r="B608" s="80">
        <v>286</v>
      </c>
      <c r="C608" s="81" t="s">
        <v>1105</v>
      </c>
      <c r="D608" s="73">
        <v>80</v>
      </c>
      <c r="E608" s="79" t="s">
        <v>16</v>
      </c>
      <c r="F608" s="79" t="s">
        <v>3725</v>
      </c>
      <c r="G608" s="79" t="s">
        <v>2996</v>
      </c>
      <c r="H608" s="79" t="s">
        <v>17</v>
      </c>
      <c r="I608" s="81"/>
      <c r="J608" s="81">
        <v>1</v>
      </c>
      <c r="K608" s="86"/>
      <c r="M608" s="78" t="s">
        <v>970</v>
      </c>
      <c r="N608" s="82"/>
      <c r="O608" s="81" t="s">
        <v>3657</v>
      </c>
      <c r="P608" s="81" t="s">
        <v>2256</v>
      </c>
      <c r="Q608" s="81"/>
      <c r="R608" s="83">
        <v>1000</v>
      </c>
      <c r="S608" s="79" t="s">
        <v>3650</v>
      </c>
      <c r="T608" s="84">
        <v>80000</v>
      </c>
      <c r="U608" s="81"/>
      <c r="V608" s="81"/>
      <c r="W608" s="78" t="s">
        <v>970</v>
      </c>
      <c r="X608" s="82"/>
      <c r="Y608" s="81" t="s">
        <v>3657</v>
      </c>
      <c r="Z608" s="81" t="s">
        <v>2256</v>
      </c>
      <c r="AA608" s="83">
        <v>5000</v>
      </c>
      <c r="AB608" s="85"/>
      <c r="AD608" s="78" t="s">
        <v>970</v>
      </c>
      <c r="AE608" s="82"/>
      <c r="AF608" s="81" t="s">
        <v>3657</v>
      </c>
      <c r="AG608" s="81" t="s">
        <v>2256</v>
      </c>
      <c r="AH608" s="83">
        <v>7500</v>
      </c>
      <c r="AI608" s="85"/>
    </row>
    <row r="609" spans="1:35" s="79" customFormat="1" ht="11.25" customHeight="1" x14ac:dyDescent="0.2">
      <c r="A609" s="77" t="s">
        <v>1054</v>
      </c>
      <c r="B609" s="80">
        <v>285</v>
      </c>
      <c r="C609" s="81" t="s">
        <v>1053</v>
      </c>
      <c r="D609" s="73">
        <v>5</v>
      </c>
      <c r="E609" s="79" t="s">
        <v>16</v>
      </c>
      <c r="F609" s="79" t="s">
        <v>3725</v>
      </c>
      <c r="G609" s="79" t="s">
        <v>2996</v>
      </c>
      <c r="H609" s="79" t="s">
        <v>17</v>
      </c>
      <c r="I609" s="81"/>
      <c r="J609" s="81">
        <v>25</v>
      </c>
      <c r="K609" s="86"/>
      <c r="M609" s="78" t="s">
        <v>1053</v>
      </c>
      <c r="N609" s="82"/>
      <c r="O609" s="81"/>
      <c r="P609" s="81" t="s">
        <v>2256</v>
      </c>
      <c r="Q609" s="81"/>
      <c r="R609" s="83">
        <v>15000</v>
      </c>
      <c r="S609" s="79" t="s">
        <v>3002</v>
      </c>
      <c r="T609" s="84">
        <v>75000</v>
      </c>
      <c r="U609" s="81"/>
      <c r="V609" s="81"/>
      <c r="W609" s="78" t="s">
        <v>1053</v>
      </c>
      <c r="X609" s="82"/>
      <c r="Y609" s="81"/>
      <c r="Z609" s="81" t="s">
        <v>2256</v>
      </c>
      <c r="AA609" s="83">
        <v>75000</v>
      </c>
      <c r="AB609" s="85"/>
      <c r="AD609" s="78" t="s">
        <v>1053</v>
      </c>
      <c r="AE609" s="82"/>
      <c r="AF609" s="81"/>
      <c r="AG609" s="81" t="s">
        <v>2256</v>
      </c>
      <c r="AH609" s="83">
        <v>100000</v>
      </c>
      <c r="AI609" s="85"/>
    </row>
    <row r="610" spans="1:35" s="79" customFormat="1" ht="11.25" customHeight="1" x14ac:dyDescent="0.2">
      <c r="A610" s="77" t="s">
        <v>1217</v>
      </c>
      <c r="B610" s="80">
        <v>287</v>
      </c>
      <c r="C610" s="81" t="s">
        <v>1216</v>
      </c>
      <c r="D610" s="73">
        <v>5</v>
      </c>
      <c r="E610" s="79" t="s">
        <v>16</v>
      </c>
      <c r="F610" s="79" t="s">
        <v>3725</v>
      </c>
      <c r="G610" s="79" t="s">
        <v>2996</v>
      </c>
      <c r="H610" s="79" t="s">
        <v>17</v>
      </c>
      <c r="I610" s="81"/>
      <c r="J610" s="81">
        <v>5</v>
      </c>
      <c r="K610" s="86"/>
      <c r="M610" s="78" t="s">
        <v>1053</v>
      </c>
      <c r="N610" s="82"/>
      <c r="O610" s="81" t="s">
        <v>3660</v>
      </c>
      <c r="P610" s="81" t="s">
        <v>2256</v>
      </c>
      <c r="Q610" s="81"/>
      <c r="R610" s="83">
        <v>15000</v>
      </c>
      <c r="S610" s="79" t="s">
        <v>3651</v>
      </c>
      <c r="T610" s="84">
        <v>75000</v>
      </c>
      <c r="U610" s="81"/>
      <c r="V610" s="81"/>
      <c r="W610" s="78" t="s">
        <v>1053</v>
      </c>
      <c r="X610" s="82"/>
      <c r="Y610" s="81" t="s">
        <v>3660</v>
      </c>
      <c r="Z610" s="81" t="s">
        <v>2256</v>
      </c>
      <c r="AA610" s="83">
        <v>75000</v>
      </c>
      <c r="AB610" s="85"/>
      <c r="AD610" s="78" t="s">
        <v>1053</v>
      </c>
      <c r="AE610" s="82"/>
      <c r="AF610" s="81" t="s">
        <v>3660</v>
      </c>
      <c r="AG610" s="81" t="s">
        <v>2256</v>
      </c>
      <c r="AH610" s="83">
        <v>100000</v>
      </c>
      <c r="AI610" s="85"/>
    </row>
    <row r="611" spans="1:35" s="79" customFormat="1" ht="11.25" customHeight="1" x14ac:dyDescent="0.2">
      <c r="A611" s="77" t="s">
        <v>1056</v>
      </c>
      <c r="B611" s="80">
        <v>166</v>
      </c>
      <c r="C611" s="81" t="s">
        <v>1055</v>
      </c>
      <c r="D611" s="73">
        <v>80</v>
      </c>
      <c r="E611" s="79" t="s">
        <v>16</v>
      </c>
      <c r="F611" s="79" t="s">
        <v>3725</v>
      </c>
      <c r="G611" s="79" t="s">
        <v>2996</v>
      </c>
      <c r="H611" s="79" t="s">
        <v>17</v>
      </c>
      <c r="I611" s="81"/>
      <c r="J611" s="81">
        <v>25</v>
      </c>
      <c r="K611" s="86"/>
      <c r="M611" s="78" t="s">
        <v>1055</v>
      </c>
      <c r="N611" s="82"/>
      <c r="O611" s="81" t="s">
        <v>2256</v>
      </c>
      <c r="P611" s="81" t="s">
        <v>2256</v>
      </c>
      <c r="Q611" s="81"/>
      <c r="R611" s="83">
        <v>2000</v>
      </c>
      <c r="S611" s="79" t="s">
        <v>3002</v>
      </c>
      <c r="T611" s="84">
        <v>160000</v>
      </c>
      <c r="U611" s="81"/>
      <c r="V611" s="81"/>
      <c r="W611" s="78" t="s">
        <v>1055</v>
      </c>
      <c r="X611" s="82"/>
      <c r="Y611" s="81" t="s">
        <v>2256</v>
      </c>
      <c r="Z611" s="81" t="s">
        <v>2256</v>
      </c>
      <c r="AA611" s="83">
        <v>7000</v>
      </c>
      <c r="AB611" s="85"/>
      <c r="AD611" s="78" t="s">
        <v>1055</v>
      </c>
      <c r="AE611" s="82"/>
      <c r="AF611" s="81" t="s">
        <v>2256</v>
      </c>
      <c r="AG611" s="81" t="s">
        <v>2256</v>
      </c>
      <c r="AH611" s="83">
        <v>9000</v>
      </c>
      <c r="AI611" s="85"/>
    </row>
    <row r="612" spans="1:35" s="79" customFormat="1" ht="11.25" customHeight="1" x14ac:dyDescent="0.2">
      <c r="A612" s="77" t="s">
        <v>1078</v>
      </c>
      <c r="B612" s="80">
        <v>923</v>
      </c>
      <c r="C612" s="81" t="s">
        <v>1077</v>
      </c>
      <c r="D612" s="73">
        <v>80</v>
      </c>
      <c r="E612" s="79" t="s">
        <v>16</v>
      </c>
      <c r="F612" s="79" t="s">
        <v>129</v>
      </c>
      <c r="G612" s="79" t="s">
        <v>2995</v>
      </c>
      <c r="H612" s="79" t="s">
        <v>17</v>
      </c>
      <c r="I612" s="81"/>
      <c r="J612" s="81">
        <v>25</v>
      </c>
      <c r="K612" s="86"/>
      <c r="M612" s="78" t="s">
        <v>1055</v>
      </c>
      <c r="N612" s="82"/>
      <c r="O612" s="81" t="s">
        <v>2492</v>
      </c>
      <c r="P612" s="81" t="s">
        <v>2256</v>
      </c>
      <c r="Q612" s="81"/>
      <c r="R612" s="83">
        <v>2000</v>
      </c>
      <c r="S612" s="79" t="s">
        <v>3147</v>
      </c>
      <c r="T612" s="84">
        <v>160000</v>
      </c>
      <c r="U612" s="81"/>
      <c r="V612" s="81"/>
      <c r="W612" s="78" t="s">
        <v>1055</v>
      </c>
      <c r="X612" s="82"/>
      <c r="Y612" s="81" t="s">
        <v>2492</v>
      </c>
      <c r="Z612" s="81" t="s">
        <v>2256</v>
      </c>
      <c r="AA612" s="83">
        <v>7000</v>
      </c>
      <c r="AB612" s="85"/>
      <c r="AD612" s="78" t="s">
        <v>1055</v>
      </c>
      <c r="AE612" s="82"/>
      <c r="AF612" s="81" t="s">
        <v>2492</v>
      </c>
      <c r="AG612" s="81" t="s">
        <v>2256</v>
      </c>
      <c r="AH612" s="83">
        <v>9000</v>
      </c>
      <c r="AI612" s="85"/>
    </row>
    <row r="613" spans="1:35" s="79" customFormat="1" ht="11.25" customHeight="1" x14ac:dyDescent="0.2">
      <c r="A613" s="77" t="s">
        <v>1059</v>
      </c>
      <c r="B613" s="80">
        <v>174</v>
      </c>
      <c r="C613" s="81" t="s">
        <v>1058</v>
      </c>
      <c r="D613" s="73">
        <v>80</v>
      </c>
      <c r="E613" s="79" t="s">
        <v>16</v>
      </c>
      <c r="F613" s="79" t="s">
        <v>3725</v>
      </c>
      <c r="G613" s="79" t="s">
        <v>2996</v>
      </c>
      <c r="H613" s="79" t="s">
        <v>17</v>
      </c>
      <c r="I613" s="81"/>
      <c r="J613" s="81">
        <v>25</v>
      </c>
      <c r="K613" s="86"/>
      <c r="M613" s="78" t="s">
        <v>1058</v>
      </c>
      <c r="N613" s="82"/>
      <c r="O613" s="81" t="s">
        <v>2256</v>
      </c>
      <c r="P613" s="81" t="s">
        <v>2256</v>
      </c>
      <c r="Q613" s="81"/>
      <c r="R613" s="83">
        <v>7000</v>
      </c>
      <c r="S613" s="79" t="s">
        <v>3002</v>
      </c>
      <c r="T613" s="84">
        <v>560000</v>
      </c>
      <c r="U613" s="81"/>
      <c r="V613" s="81"/>
      <c r="W613" s="78" t="s">
        <v>1058</v>
      </c>
      <c r="X613" s="82"/>
      <c r="Y613" s="81" t="s">
        <v>2256</v>
      </c>
      <c r="Z613" s="81" t="s">
        <v>2256</v>
      </c>
      <c r="AA613" s="83">
        <v>30000</v>
      </c>
      <c r="AB613" s="85"/>
      <c r="AD613" s="78" t="s">
        <v>1058</v>
      </c>
      <c r="AE613" s="82"/>
      <c r="AF613" s="81" t="s">
        <v>2256</v>
      </c>
      <c r="AG613" s="81" t="s">
        <v>2256</v>
      </c>
      <c r="AH613" s="83">
        <v>50000</v>
      </c>
      <c r="AI613" s="85"/>
    </row>
    <row r="614" spans="1:35" s="79" customFormat="1" ht="11.25" customHeight="1" x14ac:dyDescent="0.2">
      <c r="A614" s="77" t="s">
        <v>3792</v>
      </c>
      <c r="B614" s="80">
        <v>950</v>
      </c>
      <c r="C614" s="81" t="s">
        <v>1590</v>
      </c>
      <c r="D614" s="73">
        <v>80</v>
      </c>
      <c r="E614" s="79" t="s">
        <v>16</v>
      </c>
      <c r="F614" s="79" t="s">
        <v>3725</v>
      </c>
      <c r="G614" s="79" t="s">
        <v>2996</v>
      </c>
      <c r="H614" s="79" t="s">
        <v>17</v>
      </c>
      <c r="I614" s="81"/>
      <c r="J614" s="81">
        <v>25</v>
      </c>
      <c r="K614" s="86"/>
      <c r="M614" s="78" t="s">
        <v>1058</v>
      </c>
      <c r="N614" s="82"/>
      <c r="O614" s="81" t="s">
        <v>3772</v>
      </c>
      <c r="P614" s="81" t="s">
        <v>2256</v>
      </c>
      <c r="Q614" s="81"/>
      <c r="R614" s="83">
        <v>7000</v>
      </c>
      <c r="S614" s="79" t="s">
        <v>3196</v>
      </c>
      <c r="T614" s="84">
        <v>560000</v>
      </c>
      <c r="U614" s="81"/>
      <c r="V614" s="81"/>
      <c r="W614" s="78" t="s">
        <v>1058</v>
      </c>
      <c r="X614" s="82"/>
      <c r="Y614" s="81" t="s">
        <v>3772</v>
      </c>
      <c r="Z614" s="81" t="s">
        <v>2256</v>
      </c>
      <c r="AA614" s="83">
        <v>30000</v>
      </c>
      <c r="AB614" s="85"/>
      <c r="AD614" s="78" t="s">
        <v>1058</v>
      </c>
      <c r="AE614" s="82"/>
      <c r="AF614" s="81" t="s">
        <v>3772</v>
      </c>
      <c r="AG614" s="81" t="s">
        <v>2256</v>
      </c>
      <c r="AH614" s="83">
        <v>50000</v>
      </c>
      <c r="AI614" s="85"/>
    </row>
    <row r="615" spans="1:35" s="79" customFormat="1" ht="11.25" customHeight="1" x14ac:dyDescent="0.2">
      <c r="A615" s="77" t="s">
        <v>605</v>
      </c>
      <c r="B615" s="80">
        <v>178</v>
      </c>
      <c r="C615" s="81" t="s">
        <v>604</v>
      </c>
      <c r="D615" s="73">
        <v>800</v>
      </c>
      <c r="E615" s="79" t="s">
        <v>16</v>
      </c>
      <c r="F615" s="79" t="s">
        <v>3725</v>
      </c>
      <c r="G615" s="79" t="s">
        <v>2996</v>
      </c>
      <c r="H615" s="79" t="s">
        <v>17</v>
      </c>
      <c r="I615" s="81"/>
      <c r="J615" s="81">
        <v>25</v>
      </c>
      <c r="K615" s="86"/>
      <c r="M615" s="78" t="s">
        <v>606</v>
      </c>
      <c r="N615" s="82"/>
      <c r="O615" s="81" t="s">
        <v>2373</v>
      </c>
      <c r="P615" s="81" t="s">
        <v>2256</v>
      </c>
      <c r="Q615" s="81"/>
      <c r="R615" s="83">
        <v>1000</v>
      </c>
      <c r="S615" s="79" t="s">
        <v>3074</v>
      </c>
      <c r="T615" s="84">
        <v>850000</v>
      </c>
      <c r="U615" s="81"/>
      <c r="V615" s="81"/>
      <c r="W615" s="78" t="s">
        <v>606</v>
      </c>
      <c r="X615" s="82"/>
      <c r="Y615" s="81" t="s">
        <v>2373</v>
      </c>
      <c r="Z615" s="81" t="s">
        <v>2256</v>
      </c>
      <c r="AA615" s="83">
        <v>5000</v>
      </c>
      <c r="AB615" s="85"/>
      <c r="AD615" s="78" t="s">
        <v>606</v>
      </c>
      <c r="AE615" s="82"/>
      <c r="AF615" s="81" t="s">
        <v>2373</v>
      </c>
      <c r="AG615" s="81" t="s">
        <v>2256</v>
      </c>
      <c r="AH615" s="83">
        <v>7000</v>
      </c>
      <c r="AI615" s="85"/>
    </row>
    <row r="616" spans="1:35" s="79" customFormat="1" ht="11.25" customHeight="1" x14ac:dyDescent="0.2">
      <c r="A616" s="77" t="s">
        <v>1052</v>
      </c>
      <c r="B616" s="80">
        <v>1069</v>
      </c>
      <c r="C616" s="81" t="s">
        <v>1051</v>
      </c>
      <c r="D616" s="73">
        <v>800</v>
      </c>
      <c r="E616" s="79" t="s">
        <v>16</v>
      </c>
      <c r="F616" s="79" t="s">
        <v>30</v>
      </c>
      <c r="G616" s="79" t="s">
        <v>3001</v>
      </c>
      <c r="H616" s="79" t="s">
        <v>17</v>
      </c>
      <c r="I616" s="81"/>
      <c r="J616" s="81">
        <v>25</v>
      </c>
      <c r="K616" s="86"/>
      <c r="M616" s="78" t="s">
        <v>606</v>
      </c>
      <c r="N616" s="82"/>
      <c r="O616" s="81" t="s">
        <v>2487</v>
      </c>
      <c r="P616" s="81" t="s">
        <v>2256</v>
      </c>
      <c r="Q616" s="81"/>
      <c r="R616" s="83">
        <v>1000</v>
      </c>
      <c r="S616" s="79" t="s">
        <v>3074</v>
      </c>
      <c r="T616" s="84">
        <v>850000</v>
      </c>
      <c r="U616" s="81"/>
      <c r="V616" s="81"/>
      <c r="W616" s="78" t="s">
        <v>606</v>
      </c>
      <c r="X616" s="82"/>
      <c r="Y616" s="81" t="s">
        <v>2487</v>
      </c>
      <c r="Z616" s="81" t="s">
        <v>2256</v>
      </c>
      <c r="AA616" s="83">
        <v>5000</v>
      </c>
      <c r="AB616" s="85"/>
      <c r="AD616" s="78" t="s">
        <v>606</v>
      </c>
      <c r="AE616" s="82"/>
      <c r="AF616" s="81" t="s">
        <v>2487</v>
      </c>
      <c r="AG616" s="81" t="s">
        <v>2256</v>
      </c>
      <c r="AH616" s="83">
        <v>7000</v>
      </c>
      <c r="AI616" s="85"/>
    </row>
    <row r="617" spans="1:35" s="79" customFormat="1" ht="11.25" customHeight="1" x14ac:dyDescent="0.2">
      <c r="A617" s="77" t="s">
        <v>1080</v>
      </c>
      <c r="B617" s="80">
        <v>637</v>
      </c>
      <c r="C617" s="81" t="s">
        <v>1079</v>
      </c>
      <c r="D617" s="73">
        <v>40</v>
      </c>
      <c r="E617" s="79" t="s">
        <v>16</v>
      </c>
      <c r="F617" s="79" t="s">
        <v>3725</v>
      </c>
      <c r="G617" s="79" t="s">
        <v>2996</v>
      </c>
      <c r="H617" s="79" t="s">
        <v>17</v>
      </c>
      <c r="I617" s="81"/>
      <c r="J617" s="81">
        <v>25</v>
      </c>
      <c r="K617" s="86"/>
      <c r="M617" s="78" t="s">
        <v>606</v>
      </c>
      <c r="N617" s="82"/>
      <c r="O617" s="81" t="s">
        <v>2493</v>
      </c>
      <c r="P617" s="81" t="s">
        <v>2256</v>
      </c>
      <c r="Q617" s="81"/>
      <c r="R617" s="83">
        <v>1000</v>
      </c>
      <c r="S617" s="79" t="s">
        <v>3074</v>
      </c>
      <c r="T617" s="84">
        <v>850000</v>
      </c>
      <c r="U617" s="81"/>
      <c r="V617" s="81"/>
      <c r="W617" s="78" t="s">
        <v>606</v>
      </c>
      <c r="X617" s="82"/>
      <c r="Y617" s="81" t="s">
        <v>2493</v>
      </c>
      <c r="Z617" s="81" t="s">
        <v>2256</v>
      </c>
      <c r="AA617" s="83">
        <v>5000</v>
      </c>
      <c r="AB617" s="85"/>
      <c r="AD617" s="78" t="s">
        <v>606</v>
      </c>
      <c r="AE617" s="82"/>
      <c r="AF617" s="81" t="s">
        <v>2493</v>
      </c>
      <c r="AG617" s="81" t="s">
        <v>2256</v>
      </c>
      <c r="AH617" s="83">
        <v>7000</v>
      </c>
      <c r="AI617" s="85"/>
    </row>
    <row r="618" spans="1:35" s="79" customFormat="1" ht="11.25" customHeight="1" x14ac:dyDescent="0.2">
      <c r="A618" s="77" t="s">
        <v>1089</v>
      </c>
      <c r="B618" s="80">
        <v>635</v>
      </c>
      <c r="C618" s="81" t="s">
        <v>606</v>
      </c>
      <c r="D618" s="73">
        <v>850</v>
      </c>
      <c r="E618" s="79" t="s">
        <v>16</v>
      </c>
      <c r="F618" s="79" t="s">
        <v>3725</v>
      </c>
      <c r="G618" s="79" t="s">
        <v>2996</v>
      </c>
      <c r="H618" s="79" t="s">
        <v>17</v>
      </c>
      <c r="I618" s="81"/>
      <c r="J618" s="81">
        <v>25</v>
      </c>
      <c r="K618" s="86"/>
      <c r="M618" s="78" t="s">
        <v>606</v>
      </c>
      <c r="N618" s="82"/>
      <c r="O618" s="81" t="s">
        <v>2256</v>
      </c>
      <c r="P618" s="81" t="s">
        <v>2256</v>
      </c>
      <c r="Q618" s="81"/>
      <c r="R618" s="83">
        <v>1000</v>
      </c>
      <c r="S618" s="79" t="s">
        <v>3002</v>
      </c>
      <c r="T618" s="84">
        <v>850000</v>
      </c>
      <c r="U618" s="81"/>
      <c r="V618" s="81"/>
      <c r="W618" s="78" t="s">
        <v>606</v>
      </c>
      <c r="X618" s="82"/>
      <c r="Y618" s="81" t="s">
        <v>2256</v>
      </c>
      <c r="Z618" s="81" t="s">
        <v>2256</v>
      </c>
      <c r="AA618" s="83">
        <v>5000</v>
      </c>
      <c r="AB618" s="85"/>
      <c r="AD618" s="78" t="s">
        <v>606</v>
      </c>
      <c r="AE618" s="82"/>
      <c r="AF618" s="81" t="s">
        <v>2256</v>
      </c>
      <c r="AG618" s="81" t="s">
        <v>2256</v>
      </c>
      <c r="AH618" s="83">
        <v>7000</v>
      </c>
      <c r="AI618" s="85"/>
    </row>
    <row r="619" spans="1:35" s="79" customFormat="1" ht="11.25" customHeight="1" x14ac:dyDescent="0.2">
      <c r="A619" s="77" t="s">
        <v>1093</v>
      </c>
      <c r="B619" s="80">
        <v>380</v>
      </c>
      <c r="C619" s="81" t="s">
        <v>1092</v>
      </c>
      <c r="D619" s="73">
        <v>850</v>
      </c>
      <c r="E619" s="79" t="s">
        <v>16</v>
      </c>
      <c r="F619" s="79" t="s">
        <v>129</v>
      </c>
      <c r="G619" s="79" t="s">
        <v>2995</v>
      </c>
      <c r="H619" s="79" t="s">
        <v>17</v>
      </c>
      <c r="I619" s="81"/>
      <c r="J619" s="81">
        <v>25</v>
      </c>
      <c r="K619" s="86"/>
      <c r="M619" s="78" t="s">
        <v>606</v>
      </c>
      <c r="N619" s="82"/>
      <c r="O619" s="81" t="s">
        <v>2496</v>
      </c>
      <c r="P619" s="81" t="s">
        <v>2256</v>
      </c>
      <c r="Q619" s="81"/>
      <c r="R619" s="83">
        <v>1000</v>
      </c>
      <c r="S619" s="79" t="s">
        <v>3074</v>
      </c>
      <c r="T619" s="84">
        <v>850000</v>
      </c>
      <c r="U619" s="81"/>
      <c r="V619" s="81"/>
      <c r="W619" s="78" t="s">
        <v>606</v>
      </c>
      <c r="X619" s="82"/>
      <c r="Y619" s="81" t="s">
        <v>2496</v>
      </c>
      <c r="Z619" s="81" t="s">
        <v>2256</v>
      </c>
      <c r="AA619" s="83">
        <v>5000</v>
      </c>
      <c r="AB619" s="85"/>
      <c r="AD619" s="78" t="s">
        <v>606</v>
      </c>
      <c r="AE619" s="82"/>
      <c r="AF619" s="81" t="s">
        <v>2496</v>
      </c>
      <c r="AG619" s="81" t="s">
        <v>2256</v>
      </c>
      <c r="AH619" s="83">
        <v>7000</v>
      </c>
      <c r="AI619" s="85"/>
    </row>
    <row r="620" spans="1:35" s="79" customFormat="1" ht="11.25" customHeight="1" x14ac:dyDescent="0.2">
      <c r="A620" s="77" t="s">
        <v>1159</v>
      </c>
      <c r="B620" s="80">
        <v>176</v>
      </c>
      <c r="C620" s="81" t="s">
        <v>1158</v>
      </c>
      <c r="D620" s="73">
        <v>80</v>
      </c>
      <c r="E620" s="79" t="s">
        <v>16</v>
      </c>
      <c r="F620" s="79" t="s">
        <v>3725</v>
      </c>
      <c r="G620" s="79" t="s">
        <v>2996</v>
      </c>
      <c r="H620" s="79" t="s">
        <v>17</v>
      </c>
      <c r="I620" s="81"/>
      <c r="J620" s="81">
        <v>25</v>
      </c>
      <c r="K620" s="86"/>
      <c r="M620" s="78" t="s">
        <v>606</v>
      </c>
      <c r="N620" s="82"/>
      <c r="O620" s="81" t="s">
        <v>2511</v>
      </c>
      <c r="P620" s="81" t="s">
        <v>2256</v>
      </c>
      <c r="Q620" s="81"/>
      <c r="R620" s="83">
        <v>1000</v>
      </c>
      <c r="S620" s="79" t="s">
        <v>3074</v>
      </c>
      <c r="T620" s="84">
        <v>850000</v>
      </c>
      <c r="U620" s="81"/>
      <c r="V620" s="81"/>
      <c r="W620" s="78" t="s">
        <v>606</v>
      </c>
      <c r="X620" s="82"/>
      <c r="Y620" s="81" t="s">
        <v>2511</v>
      </c>
      <c r="Z620" s="81" t="s">
        <v>2256</v>
      </c>
      <c r="AA620" s="83">
        <v>5000</v>
      </c>
      <c r="AB620" s="85"/>
      <c r="AD620" s="78" t="s">
        <v>606</v>
      </c>
      <c r="AE620" s="82"/>
      <c r="AF620" s="81" t="s">
        <v>2511</v>
      </c>
      <c r="AG620" s="81" t="s">
        <v>2256</v>
      </c>
      <c r="AH620" s="83">
        <v>7000</v>
      </c>
      <c r="AI620" s="85"/>
    </row>
    <row r="621" spans="1:35" s="79" customFormat="1" ht="11.25" customHeight="1" x14ac:dyDescent="0.2">
      <c r="A621" s="77" t="s">
        <v>1561</v>
      </c>
      <c r="B621" s="80">
        <v>312</v>
      </c>
      <c r="C621" s="81" t="s">
        <v>1560</v>
      </c>
      <c r="D621" s="73">
        <v>20</v>
      </c>
      <c r="E621" s="79" t="s">
        <v>3480</v>
      </c>
      <c r="F621" s="79" t="s">
        <v>129</v>
      </c>
      <c r="G621" s="79" t="s">
        <v>2995</v>
      </c>
      <c r="H621" s="79" t="s">
        <v>17</v>
      </c>
      <c r="I621" s="81"/>
      <c r="J621" s="81">
        <v>25</v>
      </c>
      <c r="K621" s="86"/>
      <c r="M621" s="78" t="s">
        <v>606</v>
      </c>
      <c r="N621" s="82"/>
      <c r="O621" s="81" t="s">
        <v>2609</v>
      </c>
      <c r="P621" s="81" t="s">
        <v>2256</v>
      </c>
      <c r="Q621" s="81"/>
      <c r="R621" s="83">
        <v>1000</v>
      </c>
      <c r="S621" s="79" t="s">
        <v>3074</v>
      </c>
      <c r="T621" s="84">
        <v>850000</v>
      </c>
      <c r="U621" s="81"/>
      <c r="V621" s="81"/>
      <c r="W621" s="78" t="s">
        <v>606</v>
      </c>
      <c r="X621" s="82"/>
      <c r="Y621" s="81" t="s">
        <v>2609</v>
      </c>
      <c r="Z621" s="81" t="s">
        <v>2256</v>
      </c>
      <c r="AA621" s="83">
        <v>5000</v>
      </c>
      <c r="AB621" s="85"/>
      <c r="AD621" s="78" t="s">
        <v>606</v>
      </c>
      <c r="AE621" s="82"/>
      <c r="AF621" s="81" t="s">
        <v>2609</v>
      </c>
      <c r="AG621" s="81" t="s">
        <v>2256</v>
      </c>
      <c r="AH621" s="83">
        <v>7000</v>
      </c>
      <c r="AI621" s="85"/>
    </row>
    <row r="622" spans="1:35" s="79" customFormat="1" ht="11.25" customHeight="1" x14ac:dyDescent="0.2">
      <c r="A622" s="77" t="s">
        <v>2121</v>
      </c>
      <c r="B622" s="80">
        <v>354</v>
      </c>
      <c r="C622" s="81" t="s">
        <v>2120</v>
      </c>
      <c r="D622" s="73">
        <v>12</v>
      </c>
      <c r="E622" s="79" t="s">
        <v>3480</v>
      </c>
      <c r="F622" s="79" t="s">
        <v>30</v>
      </c>
      <c r="G622" s="79" t="s">
        <v>2995</v>
      </c>
      <c r="H622" s="79" t="s">
        <v>17</v>
      </c>
      <c r="I622" s="81"/>
      <c r="J622" s="81">
        <v>25</v>
      </c>
      <c r="K622" s="86"/>
      <c r="M622" s="78" t="s">
        <v>606</v>
      </c>
      <c r="N622" s="82"/>
      <c r="O622" s="81" t="s">
        <v>2733</v>
      </c>
      <c r="P622" s="81" t="s">
        <v>2256</v>
      </c>
      <c r="Q622" s="81"/>
      <c r="R622" s="83">
        <v>1000</v>
      </c>
      <c r="S622" s="79" t="s">
        <v>3074</v>
      </c>
      <c r="T622" s="84">
        <v>850000</v>
      </c>
      <c r="U622" s="81"/>
      <c r="V622" s="81"/>
      <c r="W622" s="78" t="s">
        <v>606</v>
      </c>
      <c r="X622" s="82"/>
      <c r="Y622" s="81" t="s">
        <v>2733</v>
      </c>
      <c r="Z622" s="81" t="s">
        <v>2256</v>
      </c>
      <c r="AA622" s="83">
        <v>5000</v>
      </c>
      <c r="AB622" s="85"/>
      <c r="AD622" s="78" t="s">
        <v>606</v>
      </c>
      <c r="AE622" s="82"/>
      <c r="AF622" s="81" t="s">
        <v>2733</v>
      </c>
      <c r="AG622" s="81" t="s">
        <v>2256</v>
      </c>
      <c r="AH622" s="83">
        <v>7000</v>
      </c>
      <c r="AI622" s="85"/>
    </row>
    <row r="623" spans="1:35" s="79" customFormat="1" ht="11.25" customHeight="1" x14ac:dyDescent="0.2">
      <c r="A623" s="77" t="s">
        <v>1095</v>
      </c>
      <c r="B623" s="81" t="s">
        <v>1096</v>
      </c>
      <c r="C623" s="81" t="s">
        <v>1094</v>
      </c>
      <c r="D623" s="73">
        <v>975</v>
      </c>
      <c r="E623" s="79" t="s">
        <v>16</v>
      </c>
      <c r="F623" s="79" t="s">
        <v>3725</v>
      </c>
      <c r="G623" s="79" t="s">
        <v>2996</v>
      </c>
      <c r="H623" s="79" t="s">
        <v>17</v>
      </c>
      <c r="I623" s="81"/>
      <c r="J623" s="81">
        <v>25</v>
      </c>
      <c r="K623" s="86"/>
      <c r="M623" s="78" t="s">
        <v>1094</v>
      </c>
      <c r="N623" s="82"/>
      <c r="O623" s="81" t="s">
        <v>2256</v>
      </c>
      <c r="P623" s="81" t="s">
        <v>2256</v>
      </c>
      <c r="Q623" s="81"/>
      <c r="R623" s="83">
        <v>600</v>
      </c>
      <c r="S623" s="79" t="s">
        <v>3002</v>
      </c>
      <c r="T623" s="84">
        <v>585000</v>
      </c>
      <c r="U623" s="81"/>
      <c r="V623" s="81"/>
      <c r="W623" s="78" t="s">
        <v>1094</v>
      </c>
      <c r="X623" s="82"/>
      <c r="Y623" s="81" t="s">
        <v>2256</v>
      </c>
      <c r="Z623" s="81" t="s">
        <v>2256</v>
      </c>
      <c r="AA623" s="83">
        <v>3000</v>
      </c>
      <c r="AB623" s="85"/>
      <c r="AD623" s="78" t="s">
        <v>1094</v>
      </c>
      <c r="AE623" s="82"/>
      <c r="AF623" s="81" t="s">
        <v>2256</v>
      </c>
      <c r="AG623" s="81" t="s">
        <v>2256</v>
      </c>
      <c r="AH623" s="83">
        <v>4500</v>
      </c>
      <c r="AI623" s="85"/>
    </row>
    <row r="624" spans="1:35" s="79" customFormat="1" ht="11.25" customHeight="1" x14ac:dyDescent="0.2">
      <c r="A624" s="77" t="s">
        <v>1371</v>
      </c>
      <c r="B624" s="80">
        <v>177</v>
      </c>
      <c r="C624" s="81" t="s">
        <v>1370</v>
      </c>
      <c r="D624" s="73">
        <v>5</v>
      </c>
      <c r="E624" s="79" t="s">
        <v>16</v>
      </c>
      <c r="F624" s="79" t="s">
        <v>3725</v>
      </c>
      <c r="G624" s="79" t="s">
        <v>2996</v>
      </c>
      <c r="H624" s="79" t="s">
        <v>17</v>
      </c>
      <c r="I624" s="81"/>
      <c r="J624" s="81">
        <v>25</v>
      </c>
      <c r="K624" s="86"/>
      <c r="M624" s="78" t="s">
        <v>1094</v>
      </c>
      <c r="N624" s="82"/>
      <c r="O624" s="81" t="s">
        <v>2570</v>
      </c>
      <c r="P624" s="81" t="s">
        <v>2256</v>
      </c>
      <c r="Q624" s="81"/>
      <c r="R624" s="83">
        <v>600</v>
      </c>
      <c r="S624" s="79" t="s">
        <v>3170</v>
      </c>
      <c r="T624" s="84">
        <v>585000</v>
      </c>
      <c r="U624" s="81"/>
      <c r="V624" s="81"/>
      <c r="W624" s="78" t="s">
        <v>1094</v>
      </c>
      <c r="X624" s="82"/>
      <c r="Y624" s="81" t="s">
        <v>2570</v>
      </c>
      <c r="Z624" s="81" t="s">
        <v>2256</v>
      </c>
      <c r="AA624" s="83">
        <v>3000</v>
      </c>
      <c r="AB624" s="85"/>
      <c r="AD624" s="78" t="s">
        <v>1094</v>
      </c>
      <c r="AE624" s="82"/>
      <c r="AF624" s="81" t="s">
        <v>2570</v>
      </c>
      <c r="AG624" s="81" t="s">
        <v>2256</v>
      </c>
      <c r="AH624" s="83">
        <v>4500</v>
      </c>
      <c r="AI624" s="85"/>
    </row>
    <row r="625" spans="1:35" s="79" customFormat="1" ht="11.25" customHeight="1" x14ac:dyDescent="0.2">
      <c r="A625" s="77" t="s">
        <v>1373</v>
      </c>
      <c r="B625" s="80">
        <v>1179</v>
      </c>
      <c r="C625" s="81" t="s">
        <v>1372</v>
      </c>
      <c r="D625" s="73">
        <v>50</v>
      </c>
      <c r="E625" s="79" t="s">
        <v>16</v>
      </c>
      <c r="F625" s="79" t="s">
        <v>129</v>
      </c>
      <c r="G625" s="79" t="s">
        <v>2995</v>
      </c>
      <c r="H625" s="79" t="s">
        <v>17</v>
      </c>
      <c r="I625" s="81"/>
      <c r="J625" s="81">
        <v>25</v>
      </c>
      <c r="K625" s="86"/>
      <c r="M625" s="78" t="s">
        <v>1094</v>
      </c>
      <c r="N625" s="82"/>
      <c r="O625" s="81" t="s">
        <v>3525</v>
      </c>
      <c r="P625" s="81" t="s">
        <v>2256</v>
      </c>
      <c r="Q625" s="81"/>
      <c r="R625" s="83">
        <v>600</v>
      </c>
      <c r="S625" s="79" t="s">
        <v>3170</v>
      </c>
      <c r="T625" s="84">
        <v>585000</v>
      </c>
      <c r="U625" s="81"/>
      <c r="V625" s="81"/>
      <c r="W625" s="78" t="s">
        <v>1094</v>
      </c>
      <c r="X625" s="82"/>
      <c r="Y625" s="81" t="s">
        <v>3525</v>
      </c>
      <c r="Z625" s="81" t="s">
        <v>2256</v>
      </c>
      <c r="AA625" s="83">
        <v>3000</v>
      </c>
      <c r="AB625" s="85"/>
      <c r="AD625" s="78" t="s">
        <v>1094</v>
      </c>
      <c r="AE625" s="82"/>
      <c r="AF625" s="81" t="s">
        <v>3525</v>
      </c>
      <c r="AG625" s="81" t="s">
        <v>2256</v>
      </c>
      <c r="AH625" s="83">
        <v>4500</v>
      </c>
      <c r="AI625" s="85"/>
    </row>
    <row r="626" spans="1:35" s="79" customFormat="1" ht="11.25" customHeight="1" x14ac:dyDescent="0.2">
      <c r="A626" s="77" t="s">
        <v>3793</v>
      </c>
      <c r="B626" s="80">
        <v>952</v>
      </c>
      <c r="C626" s="81" t="s">
        <v>1953</v>
      </c>
      <c r="D626" s="73">
        <v>5</v>
      </c>
      <c r="E626" s="79" t="s">
        <v>16</v>
      </c>
      <c r="F626" s="79" t="s">
        <v>3725</v>
      </c>
      <c r="G626" s="79" t="s">
        <v>2996</v>
      </c>
      <c r="H626" s="79" t="s">
        <v>17</v>
      </c>
      <c r="I626" s="81"/>
      <c r="J626" s="81">
        <v>25</v>
      </c>
      <c r="K626" s="86"/>
      <c r="M626" s="78" t="s">
        <v>1094</v>
      </c>
      <c r="N626" s="82"/>
      <c r="O626" s="81" t="s">
        <v>3773</v>
      </c>
      <c r="P626" s="81" t="s">
        <v>2256</v>
      </c>
      <c r="Q626" s="81"/>
      <c r="R626" s="83">
        <v>600</v>
      </c>
      <c r="S626" s="79" t="s">
        <v>3170</v>
      </c>
      <c r="T626" s="84">
        <v>585000</v>
      </c>
      <c r="U626" s="81"/>
      <c r="V626" s="81"/>
      <c r="W626" s="78" t="s">
        <v>1094</v>
      </c>
      <c r="X626" s="82"/>
      <c r="Y626" s="81" t="s">
        <v>3773</v>
      </c>
      <c r="Z626" s="81" t="s">
        <v>2256</v>
      </c>
      <c r="AA626" s="83">
        <v>3000</v>
      </c>
      <c r="AB626" s="85"/>
      <c r="AD626" s="78" t="s">
        <v>1094</v>
      </c>
      <c r="AE626" s="82"/>
      <c r="AF626" s="81" t="s">
        <v>3773</v>
      </c>
      <c r="AG626" s="81" t="s">
        <v>2256</v>
      </c>
      <c r="AH626" s="83">
        <v>4500</v>
      </c>
      <c r="AI626" s="85"/>
    </row>
    <row r="627" spans="1:35" s="79" customFormat="1" ht="11.25" customHeight="1" x14ac:dyDescent="0.2">
      <c r="A627" s="77" t="s">
        <v>1108</v>
      </c>
      <c r="B627" s="80">
        <v>893</v>
      </c>
      <c r="C627" s="81" t="s">
        <v>1107</v>
      </c>
      <c r="D627" s="73">
        <v>5</v>
      </c>
      <c r="E627" s="79" t="s">
        <v>16</v>
      </c>
      <c r="F627" s="79" t="s">
        <v>3725</v>
      </c>
      <c r="G627" s="79" t="s">
        <v>2996</v>
      </c>
      <c r="H627" s="79" t="s">
        <v>17</v>
      </c>
      <c r="I627" s="81"/>
      <c r="J627" s="81">
        <v>25</v>
      </c>
      <c r="K627" s="86"/>
      <c r="M627" s="78" t="s">
        <v>1107</v>
      </c>
      <c r="N627" s="82"/>
      <c r="O627" s="81" t="s">
        <v>2256</v>
      </c>
      <c r="P627" s="81" t="s">
        <v>2256</v>
      </c>
      <c r="Q627" s="81"/>
      <c r="R627" s="83">
        <v>60000</v>
      </c>
      <c r="S627" s="79" t="s">
        <v>3002</v>
      </c>
      <c r="T627" s="84">
        <v>300000</v>
      </c>
      <c r="U627" s="81"/>
      <c r="V627" s="81"/>
      <c r="W627" s="78" t="s">
        <v>1107</v>
      </c>
      <c r="X627" s="82"/>
      <c r="Y627" s="81" t="s">
        <v>2256</v>
      </c>
      <c r="Z627" s="81" t="s">
        <v>2256</v>
      </c>
      <c r="AA627" s="83">
        <v>125000</v>
      </c>
      <c r="AB627" s="85"/>
      <c r="AD627" s="78" t="s">
        <v>1107</v>
      </c>
      <c r="AE627" s="82"/>
      <c r="AF627" s="81" t="s">
        <v>2256</v>
      </c>
      <c r="AG627" s="81" t="s">
        <v>2256</v>
      </c>
      <c r="AH627" s="83">
        <v>150000</v>
      </c>
      <c r="AI627" s="85"/>
    </row>
    <row r="628" spans="1:35" s="79" customFormat="1" ht="11.25" customHeight="1" x14ac:dyDescent="0.2">
      <c r="A628" s="77" t="s">
        <v>1110</v>
      </c>
      <c r="B628" s="80">
        <v>902</v>
      </c>
      <c r="C628" s="81" t="s">
        <v>1109</v>
      </c>
      <c r="D628" s="73">
        <v>80</v>
      </c>
      <c r="E628" s="79" t="s">
        <v>16</v>
      </c>
      <c r="F628" s="79" t="s">
        <v>3725</v>
      </c>
      <c r="G628" s="79" t="s">
        <v>2996</v>
      </c>
      <c r="H628" s="79" t="s">
        <v>17</v>
      </c>
      <c r="I628" s="81"/>
      <c r="J628" s="81">
        <v>25</v>
      </c>
      <c r="K628" s="86"/>
      <c r="M628" s="78" t="s">
        <v>25</v>
      </c>
      <c r="N628" s="82"/>
      <c r="O628" s="81" t="s">
        <v>2500</v>
      </c>
      <c r="P628" s="81" t="s">
        <v>2256</v>
      </c>
      <c r="Q628" s="81"/>
      <c r="R628" s="83">
        <v>400</v>
      </c>
      <c r="S628" s="79" t="s">
        <v>3004</v>
      </c>
      <c r="T628" s="84">
        <v>160000</v>
      </c>
      <c r="U628" s="81"/>
      <c r="V628" s="81"/>
      <c r="W628" s="78" t="s">
        <v>25</v>
      </c>
      <c r="X628" s="82"/>
      <c r="Y628" s="81" t="s">
        <v>2500</v>
      </c>
      <c r="Z628" s="81" t="s">
        <v>2256</v>
      </c>
      <c r="AA628" s="83">
        <v>2000</v>
      </c>
      <c r="AB628" s="85"/>
      <c r="AD628" s="78" t="s">
        <v>25</v>
      </c>
      <c r="AE628" s="82"/>
      <c r="AF628" s="81" t="s">
        <v>2500</v>
      </c>
      <c r="AG628" s="81" t="s">
        <v>2256</v>
      </c>
      <c r="AH628" s="83">
        <v>3000</v>
      </c>
      <c r="AI628" s="85"/>
    </row>
    <row r="629" spans="1:35" s="79" customFormat="1" ht="11.25" customHeight="1" x14ac:dyDescent="0.2">
      <c r="A629" s="77" t="s">
        <v>1122</v>
      </c>
      <c r="B629" s="80">
        <v>616</v>
      </c>
      <c r="C629" s="81" t="s">
        <v>25</v>
      </c>
      <c r="D629" s="73">
        <v>400</v>
      </c>
      <c r="E629" s="79" t="s">
        <v>16</v>
      </c>
      <c r="F629" s="79" t="s">
        <v>3725</v>
      </c>
      <c r="G629" s="79" t="s">
        <v>2996</v>
      </c>
      <c r="H629" s="79" t="s">
        <v>17</v>
      </c>
      <c r="I629" s="81"/>
      <c r="J629" s="81">
        <v>25</v>
      </c>
      <c r="K629" s="86"/>
      <c r="M629" s="78" t="s">
        <v>25</v>
      </c>
      <c r="N629" s="82"/>
      <c r="O629" s="81" t="s">
        <v>2256</v>
      </c>
      <c r="P629" s="81" t="s">
        <v>2256</v>
      </c>
      <c r="Q629" s="81"/>
      <c r="R629" s="83">
        <v>400</v>
      </c>
      <c r="S629" s="79" t="s">
        <v>3002</v>
      </c>
      <c r="T629" s="84">
        <v>160000</v>
      </c>
      <c r="U629" s="81"/>
      <c r="V629" s="81"/>
      <c r="W629" s="78" t="s">
        <v>25</v>
      </c>
      <c r="X629" s="82"/>
      <c r="Y629" s="81" t="s">
        <v>2256</v>
      </c>
      <c r="Z629" s="81" t="s">
        <v>2256</v>
      </c>
      <c r="AA629" s="83">
        <v>2000</v>
      </c>
      <c r="AB629" s="85"/>
      <c r="AD629" s="78" t="s">
        <v>25</v>
      </c>
      <c r="AE629" s="82"/>
      <c r="AF629" s="81" t="s">
        <v>2256</v>
      </c>
      <c r="AG629" s="81" t="s">
        <v>2256</v>
      </c>
      <c r="AH629" s="83">
        <v>3000</v>
      </c>
      <c r="AI629" s="85"/>
    </row>
    <row r="630" spans="1:35" s="79" customFormat="1" ht="11.25" customHeight="1" x14ac:dyDescent="0.2">
      <c r="A630" s="77" t="s">
        <v>2230</v>
      </c>
      <c r="B630" s="81" t="s">
        <v>2231</v>
      </c>
      <c r="C630" s="81" t="s">
        <v>2229</v>
      </c>
      <c r="D630" s="73">
        <v>80</v>
      </c>
      <c r="E630" s="79" t="s">
        <v>16</v>
      </c>
      <c r="F630" s="79" t="s">
        <v>129</v>
      </c>
      <c r="G630" s="79" t="s">
        <v>2995</v>
      </c>
      <c r="H630" s="79" t="s">
        <v>17</v>
      </c>
      <c r="I630" s="81"/>
      <c r="J630" s="81">
        <v>25</v>
      </c>
      <c r="K630" s="86"/>
      <c r="M630" s="78" t="s">
        <v>25</v>
      </c>
      <c r="N630" s="82"/>
      <c r="O630" s="81" t="s">
        <v>2764</v>
      </c>
      <c r="P630" s="81" t="s">
        <v>2256</v>
      </c>
      <c r="Q630" s="81"/>
      <c r="R630" s="83">
        <v>400</v>
      </c>
      <c r="S630" s="79" t="s">
        <v>3004</v>
      </c>
      <c r="T630" s="84">
        <v>160000</v>
      </c>
      <c r="U630" s="81"/>
      <c r="V630" s="81"/>
      <c r="W630" s="78" t="s">
        <v>25</v>
      </c>
      <c r="X630" s="82"/>
      <c r="Y630" s="81" t="s">
        <v>2764</v>
      </c>
      <c r="Z630" s="81" t="s">
        <v>2256</v>
      </c>
      <c r="AA630" s="83">
        <v>2000</v>
      </c>
      <c r="AB630" s="85"/>
      <c r="AD630" s="78" t="s">
        <v>25</v>
      </c>
      <c r="AE630" s="82"/>
      <c r="AF630" s="81" t="s">
        <v>2764</v>
      </c>
      <c r="AG630" s="81" t="s">
        <v>2256</v>
      </c>
      <c r="AH630" s="83">
        <v>3000</v>
      </c>
      <c r="AI630" s="85"/>
    </row>
    <row r="631" spans="1:35" s="79" customFormat="1" ht="11.25" customHeight="1" x14ac:dyDescent="0.2">
      <c r="A631" s="77" t="s">
        <v>3794</v>
      </c>
      <c r="B631" s="81" t="s">
        <v>24</v>
      </c>
      <c r="C631" s="81" t="s">
        <v>23</v>
      </c>
      <c r="D631" s="73">
        <v>80</v>
      </c>
      <c r="E631" s="79" t="s">
        <v>16</v>
      </c>
      <c r="F631" s="79" t="s">
        <v>3725</v>
      </c>
      <c r="G631" s="79" t="s">
        <v>2996</v>
      </c>
      <c r="H631" s="79" t="s">
        <v>17</v>
      </c>
      <c r="I631" s="81"/>
      <c r="J631" s="81">
        <v>25</v>
      </c>
      <c r="K631" s="86"/>
      <c r="M631" s="78" t="s">
        <v>25</v>
      </c>
      <c r="N631" s="82"/>
      <c r="O631" s="81" t="s">
        <v>3774</v>
      </c>
      <c r="P631" s="81" t="s">
        <v>2256</v>
      </c>
      <c r="Q631" s="81"/>
      <c r="R631" s="83">
        <v>400</v>
      </c>
      <c r="S631" s="79" t="s">
        <v>3004</v>
      </c>
      <c r="T631" s="84">
        <v>160000</v>
      </c>
      <c r="U631" s="81"/>
      <c r="V631" s="81"/>
      <c r="W631" s="78" t="s">
        <v>25</v>
      </c>
      <c r="X631" s="82"/>
      <c r="Y631" s="81" t="s">
        <v>3774</v>
      </c>
      <c r="Z631" s="81" t="s">
        <v>2256</v>
      </c>
      <c r="AA631" s="83">
        <v>2000</v>
      </c>
      <c r="AB631" s="85"/>
      <c r="AD631" s="78" t="s">
        <v>25</v>
      </c>
      <c r="AE631" s="82"/>
      <c r="AF631" s="81" t="s">
        <v>3774</v>
      </c>
      <c r="AG631" s="81" t="s">
        <v>2256</v>
      </c>
      <c r="AH631" s="83">
        <v>3000</v>
      </c>
      <c r="AI631" s="85"/>
    </row>
    <row r="632" spans="1:35" s="79" customFormat="1" ht="11.25" customHeight="1" x14ac:dyDescent="0.2">
      <c r="A632" s="77" t="s">
        <v>1112</v>
      </c>
      <c r="B632" s="80">
        <v>903</v>
      </c>
      <c r="C632" s="81" t="s">
        <v>1111</v>
      </c>
      <c r="D632" s="73">
        <v>5</v>
      </c>
      <c r="E632" s="79" t="s">
        <v>16</v>
      </c>
      <c r="F632" s="79" t="s">
        <v>3725</v>
      </c>
      <c r="G632" s="79" t="s">
        <v>2996</v>
      </c>
      <c r="H632" s="79" t="s">
        <v>17</v>
      </c>
      <c r="I632" s="81"/>
      <c r="J632" s="81">
        <v>25</v>
      </c>
      <c r="K632" s="86"/>
      <c r="M632" s="78" t="s">
        <v>1113</v>
      </c>
      <c r="N632" s="82"/>
      <c r="O632" s="81" t="s">
        <v>2501</v>
      </c>
      <c r="P632" s="81" t="s">
        <v>2256</v>
      </c>
      <c r="Q632" s="81"/>
      <c r="R632" s="83">
        <v>150</v>
      </c>
      <c r="S632" s="79" t="s">
        <v>3151</v>
      </c>
      <c r="T632" s="84">
        <v>146250</v>
      </c>
      <c r="U632" s="81"/>
      <c r="V632" s="81"/>
      <c r="W632" s="78" t="s">
        <v>1113</v>
      </c>
      <c r="X632" s="82"/>
      <c r="Y632" s="81" t="s">
        <v>2501</v>
      </c>
      <c r="Z632" s="81" t="s">
        <v>2256</v>
      </c>
      <c r="AA632" s="80">
        <v>750</v>
      </c>
      <c r="AB632" s="85"/>
      <c r="AD632" s="78" t="s">
        <v>1113</v>
      </c>
      <c r="AE632" s="82"/>
      <c r="AF632" s="81" t="s">
        <v>2501</v>
      </c>
      <c r="AG632" s="81" t="s">
        <v>2256</v>
      </c>
      <c r="AH632" s="83">
        <v>1000</v>
      </c>
      <c r="AI632" s="85"/>
    </row>
    <row r="633" spans="1:35" s="79" customFormat="1" ht="11.25" customHeight="1" x14ac:dyDescent="0.2">
      <c r="A633" s="77" t="s">
        <v>1123</v>
      </c>
      <c r="B633" s="81" t="s">
        <v>1124</v>
      </c>
      <c r="C633" s="81" t="s">
        <v>1113</v>
      </c>
      <c r="D633" s="73">
        <v>975</v>
      </c>
      <c r="E633" s="79" t="s">
        <v>16</v>
      </c>
      <c r="F633" s="79" t="s">
        <v>3725</v>
      </c>
      <c r="G633" s="79" t="s">
        <v>2996</v>
      </c>
      <c r="H633" s="79" t="s">
        <v>17</v>
      </c>
      <c r="I633" s="81"/>
      <c r="J633" s="81">
        <v>25</v>
      </c>
      <c r="K633" s="86"/>
      <c r="M633" s="78" t="s">
        <v>1113</v>
      </c>
      <c r="N633" s="82"/>
      <c r="O633" s="81" t="s">
        <v>2256</v>
      </c>
      <c r="P633" s="81" t="s">
        <v>2256</v>
      </c>
      <c r="Q633" s="81"/>
      <c r="R633" s="83">
        <v>150</v>
      </c>
      <c r="S633" s="79" t="s">
        <v>3002</v>
      </c>
      <c r="T633" s="84">
        <v>146250</v>
      </c>
      <c r="U633" s="81"/>
      <c r="V633" s="81"/>
      <c r="W633" s="78" t="s">
        <v>1113</v>
      </c>
      <c r="X633" s="82"/>
      <c r="Y633" s="81" t="s">
        <v>2256</v>
      </c>
      <c r="Z633" s="81" t="s">
        <v>2256</v>
      </c>
      <c r="AA633" s="80">
        <v>750</v>
      </c>
      <c r="AB633" s="85"/>
      <c r="AD633" s="78" t="s">
        <v>1113</v>
      </c>
      <c r="AE633" s="82"/>
      <c r="AF633" s="81" t="s">
        <v>2256</v>
      </c>
      <c r="AG633" s="81" t="s">
        <v>2256</v>
      </c>
      <c r="AH633" s="83">
        <v>1000</v>
      </c>
      <c r="AI633" s="85"/>
    </row>
    <row r="634" spans="1:35" s="79" customFormat="1" ht="11.25" customHeight="1" x14ac:dyDescent="0.2">
      <c r="A634" s="77" t="s">
        <v>3795</v>
      </c>
      <c r="B634" s="80">
        <v>680</v>
      </c>
      <c r="C634" s="81" t="s">
        <v>2035</v>
      </c>
      <c r="D634" s="73">
        <v>5</v>
      </c>
      <c r="E634" s="79" t="s">
        <v>16</v>
      </c>
      <c r="F634" s="79" t="s">
        <v>3725</v>
      </c>
      <c r="G634" s="79" t="s">
        <v>2996</v>
      </c>
      <c r="H634" s="79" t="s">
        <v>17</v>
      </c>
      <c r="I634" s="81"/>
      <c r="J634" s="81">
        <v>25</v>
      </c>
      <c r="K634" s="86"/>
      <c r="M634" s="78" t="s">
        <v>1113</v>
      </c>
      <c r="N634" s="82"/>
      <c r="O634" s="81" t="s">
        <v>3775</v>
      </c>
      <c r="P634" s="81" t="s">
        <v>2256</v>
      </c>
      <c r="Q634" s="81"/>
      <c r="R634" s="83">
        <v>150</v>
      </c>
      <c r="S634" s="79" t="s">
        <v>3151</v>
      </c>
      <c r="T634" s="84">
        <v>146250</v>
      </c>
      <c r="U634" s="81"/>
      <c r="V634" s="81"/>
      <c r="W634" s="78" t="s">
        <v>1113</v>
      </c>
      <c r="X634" s="82"/>
      <c r="Y634" s="81" t="s">
        <v>3775</v>
      </c>
      <c r="Z634" s="81" t="s">
        <v>2256</v>
      </c>
      <c r="AA634" s="80">
        <v>750</v>
      </c>
      <c r="AB634" s="85"/>
      <c r="AD634" s="78" t="s">
        <v>1113</v>
      </c>
      <c r="AE634" s="82"/>
      <c r="AF634" s="81" t="s">
        <v>3775</v>
      </c>
      <c r="AG634" s="81" t="s">
        <v>2256</v>
      </c>
      <c r="AH634" s="83">
        <v>1000</v>
      </c>
      <c r="AI634" s="85"/>
    </row>
    <row r="635" spans="1:35" s="79" customFormat="1" ht="11.25" customHeight="1" x14ac:dyDescent="0.2">
      <c r="A635" s="77" t="s">
        <v>871</v>
      </c>
      <c r="B635" s="81" t="s">
        <v>872</v>
      </c>
      <c r="C635" s="81" t="s">
        <v>870</v>
      </c>
      <c r="D635" s="73">
        <v>40</v>
      </c>
      <c r="E635" s="79" t="s">
        <v>16</v>
      </c>
      <c r="F635" s="79" t="s">
        <v>3725</v>
      </c>
      <c r="G635" s="79" t="s">
        <v>2996</v>
      </c>
      <c r="H635" s="79" t="s">
        <v>17</v>
      </c>
      <c r="I635" s="81"/>
      <c r="J635" s="81">
        <v>25</v>
      </c>
      <c r="K635" s="86"/>
      <c r="M635" s="78" t="s">
        <v>873</v>
      </c>
      <c r="N635" s="82"/>
      <c r="O635" s="81" t="s">
        <v>2445</v>
      </c>
      <c r="P635" s="81" t="s">
        <v>2256</v>
      </c>
      <c r="Q635" s="81"/>
      <c r="R635" s="83">
        <v>150</v>
      </c>
      <c r="S635" s="79" t="s">
        <v>3130</v>
      </c>
      <c r="T635" s="84">
        <v>60000</v>
      </c>
      <c r="U635" s="81"/>
      <c r="V635" s="81"/>
      <c r="W635" s="78" t="s">
        <v>873</v>
      </c>
      <c r="X635" s="82"/>
      <c r="Y635" s="81" t="s">
        <v>2445</v>
      </c>
      <c r="Z635" s="81" t="s">
        <v>2256</v>
      </c>
      <c r="AA635" s="83">
        <v>1500</v>
      </c>
      <c r="AB635" s="85"/>
      <c r="AD635" s="78" t="s">
        <v>873</v>
      </c>
      <c r="AE635" s="82"/>
      <c r="AF635" s="81" t="s">
        <v>2445</v>
      </c>
      <c r="AG635" s="81" t="s">
        <v>2256</v>
      </c>
      <c r="AH635" s="83">
        <v>2000</v>
      </c>
      <c r="AI635" s="85"/>
    </row>
    <row r="636" spans="1:35" s="79" customFormat="1" ht="11.25" customHeight="1" x14ac:dyDescent="0.2">
      <c r="A636" s="77" t="s">
        <v>1130</v>
      </c>
      <c r="B636" s="80">
        <v>617</v>
      </c>
      <c r="C636" s="81" t="s">
        <v>873</v>
      </c>
      <c r="D636" s="73">
        <v>400</v>
      </c>
      <c r="E636" s="79" t="s">
        <v>16</v>
      </c>
      <c r="F636" s="79" t="s">
        <v>3725</v>
      </c>
      <c r="G636" s="79" t="s">
        <v>2996</v>
      </c>
      <c r="H636" s="79" t="s">
        <v>17</v>
      </c>
      <c r="I636" s="81"/>
      <c r="J636" s="81">
        <v>25</v>
      </c>
      <c r="K636" s="86"/>
      <c r="M636" s="78" t="s">
        <v>873</v>
      </c>
      <c r="N636" s="82"/>
      <c r="O636" s="81" t="s">
        <v>2256</v>
      </c>
      <c r="P636" s="81" t="s">
        <v>2256</v>
      </c>
      <c r="Q636" s="81"/>
      <c r="R636" s="83">
        <v>150</v>
      </c>
      <c r="S636" s="79" t="s">
        <v>3002</v>
      </c>
      <c r="T636" s="84">
        <v>60000</v>
      </c>
      <c r="U636" s="81"/>
      <c r="V636" s="81"/>
      <c r="W636" s="78" t="s">
        <v>873</v>
      </c>
      <c r="X636" s="82"/>
      <c r="Y636" s="81" t="s">
        <v>2256</v>
      </c>
      <c r="Z636" s="81" t="s">
        <v>2256</v>
      </c>
      <c r="AA636" s="83">
        <v>1500</v>
      </c>
      <c r="AB636" s="85"/>
      <c r="AD636" s="78" t="s">
        <v>873</v>
      </c>
      <c r="AE636" s="82"/>
      <c r="AF636" s="81" t="s">
        <v>2256</v>
      </c>
      <c r="AG636" s="81" t="s">
        <v>2256</v>
      </c>
      <c r="AH636" s="83">
        <v>2000</v>
      </c>
      <c r="AI636" s="85"/>
    </row>
    <row r="637" spans="1:35" s="79" customFormat="1" ht="11.25" customHeight="1" x14ac:dyDescent="0.2">
      <c r="A637" s="77" t="s">
        <v>1779</v>
      </c>
      <c r="B637" s="80">
        <v>904</v>
      </c>
      <c r="C637" s="81" t="s">
        <v>1778</v>
      </c>
      <c r="D637" s="73">
        <v>80</v>
      </c>
      <c r="E637" s="79" t="s">
        <v>16</v>
      </c>
      <c r="F637" s="79" t="s">
        <v>3725</v>
      </c>
      <c r="G637" s="79" t="s">
        <v>2996</v>
      </c>
      <c r="H637" s="79" t="s">
        <v>17</v>
      </c>
      <c r="I637" s="81"/>
      <c r="J637" s="81">
        <v>25</v>
      </c>
      <c r="K637" s="86"/>
      <c r="M637" s="78" t="s">
        <v>873</v>
      </c>
      <c r="N637" s="82"/>
      <c r="O637" s="81" t="s">
        <v>2663</v>
      </c>
      <c r="P637" s="81" t="s">
        <v>2256</v>
      </c>
      <c r="Q637" s="81"/>
      <c r="R637" s="83">
        <v>150</v>
      </c>
      <c r="S637" s="79" t="s">
        <v>3130</v>
      </c>
      <c r="T637" s="84">
        <v>60000</v>
      </c>
      <c r="U637" s="81"/>
      <c r="V637" s="81"/>
      <c r="W637" s="78" t="s">
        <v>873</v>
      </c>
      <c r="X637" s="82"/>
      <c r="Y637" s="81" t="s">
        <v>2663</v>
      </c>
      <c r="Z637" s="81" t="s">
        <v>2256</v>
      </c>
      <c r="AA637" s="83">
        <v>1500</v>
      </c>
      <c r="AB637" s="85"/>
      <c r="AD637" s="78" t="s">
        <v>873</v>
      </c>
      <c r="AE637" s="82"/>
      <c r="AF637" s="81" t="s">
        <v>2663</v>
      </c>
      <c r="AG637" s="81" t="s">
        <v>2256</v>
      </c>
      <c r="AH637" s="83">
        <v>2000</v>
      </c>
      <c r="AI637" s="85"/>
    </row>
    <row r="638" spans="1:35" s="79" customFormat="1" ht="11.25" customHeight="1" x14ac:dyDescent="0.2">
      <c r="A638" s="77" t="s">
        <v>2233</v>
      </c>
      <c r="B638" s="81" t="s">
        <v>2234</v>
      </c>
      <c r="C638" s="81" t="s">
        <v>2232</v>
      </c>
      <c r="D638" s="73">
        <v>80</v>
      </c>
      <c r="E638" s="79" t="s">
        <v>16</v>
      </c>
      <c r="F638" s="79" t="s">
        <v>129</v>
      </c>
      <c r="G638" s="79" t="s">
        <v>2995</v>
      </c>
      <c r="H638" s="79" t="s">
        <v>17</v>
      </c>
      <c r="I638" s="81"/>
      <c r="J638" s="81">
        <v>25</v>
      </c>
      <c r="K638" s="86"/>
      <c r="M638" s="78" t="s">
        <v>873</v>
      </c>
      <c r="N638" s="82"/>
      <c r="O638" s="81" t="s">
        <v>2765</v>
      </c>
      <c r="P638" s="81" t="s">
        <v>2256</v>
      </c>
      <c r="Q638" s="81"/>
      <c r="R638" s="83">
        <v>150</v>
      </c>
      <c r="S638" s="79" t="s">
        <v>3130</v>
      </c>
      <c r="T638" s="84">
        <v>60000</v>
      </c>
      <c r="U638" s="81"/>
      <c r="V638" s="81"/>
      <c r="W638" s="78" t="s">
        <v>873</v>
      </c>
      <c r="X638" s="82"/>
      <c r="Y638" s="81" t="s">
        <v>2765</v>
      </c>
      <c r="Z638" s="81" t="s">
        <v>2256</v>
      </c>
      <c r="AA638" s="83">
        <v>1500</v>
      </c>
      <c r="AB638" s="85"/>
      <c r="AD638" s="78" t="s">
        <v>873</v>
      </c>
      <c r="AE638" s="82"/>
      <c r="AF638" s="81" t="s">
        <v>2765</v>
      </c>
      <c r="AG638" s="81" t="s">
        <v>2256</v>
      </c>
      <c r="AH638" s="83">
        <v>2000</v>
      </c>
      <c r="AI638" s="85"/>
    </row>
    <row r="639" spans="1:35" s="79" customFormat="1" ht="11.25" customHeight="1" x14ac:dyDescent="0.2">
      <c r="A639" s="77" t="s">
        <v>350</v>
      </c>
      <c r="B639" s="80">
        <v>905</v>
      </c>
      <c r="C639" s="81" t="s">
        <v>349</v>
      </c>
      <c r="D639" s="73">
        <v>5</v>
      </c>
      <c r="E639" s="79" t="s">
        <v>16</v>
      </c>
      <c r="F639" s="79" t="s">
        <v>3725</v>
      </c>
      <c r="G639" s="79" t="s">
        <v>2996</v>
      </c>
      <c r="H639" s="79" t="s">
        <v>17</v>
      </c>
      <c r="I639" s="81"/>
      <c r="J639" s="81">
        <v>25</v>
      </c>
      <c r="K639" s="86"/>
      <c r="M639" s="78" t="s">
        <v>351</v>
      </c>
      <c r="N639" s="82"/>
      <c r="O639" s="81" t="s">
        <v>2316</v>
      </c>
      <c r="P639" s="81" t="s">
        <v>2256</v>
      </c>
      <c r="Q639" s="81"/>
      <c r="R639" s="83">
        <v>100</v>
      </c>
      <c r="S639" s="79" t="s">
        <v>3044</v>
      </c>
      <c r="T639" s="84">
        <v>97500</v>
      </c>
      <c r="U639" s="81"/>
      <c r="V639" s="81"/>
      <c r="W639" s="78" t="s">
        <v>351</v>
      </c>
      <c r="X639" s="82"/>
      <c r="Y639" s="81" t="s">
        <v>2316</v>
      </c>
      <c r="Z639" s="81" t="s">
        <v>2256</v>
      </c>
      <c r="AA639" s="80">
        <v>500</v>
      </c>
      <c r="AB639" s="85"/>
      <c r="AD639" s="78" t="s">
        <v>351</v>
      </c>
      <c r="AE639" s="82"/>
      <c r="AF639" s="81" t="s">
        <v>2316</v>
      </c>
      <c r="AG639" s="81" t="s">
        <v>2256</v>
      </c>
      <c r="AH639" s="80">
        <v>700</v>
      </c>
      <c r="AI639" s="85"/>
    </row>
    <row r="640" spans="1:35" s="79" customFormat="1" ht="11.25" customHeight="1" x14ac:dyDescent="0.2">
      <c r="A640" s="77" t="s">
        <v>1131</v>
      </c>
      <c r="B640" s="81" t="s">
        <v>1132</v>
      </c>
      <c r="C640" s="81" t="s">
        <v>351</v>
      </c>
      <c r="D640" s="73">
        <v>975</v>
      </c>
      <c r="E640" s="79" t="s">
        <v>16</v>
      </c>
      <c r="F640" s="79" t="s">
        <v>3725</v>
      </c>
      <c r="G640" s="79" t="s">
        <v>2996</v>
      </c>
      <c r="H640" s="79" t="s">
        <v>17</v>
      </c>
      <c r="I640" s="81"/>
      <c r="J640" s="81">
        <v>25</v>
      </c>
      <c r="K640" s="86"/>
      <c r="M640" s="78" t="s">
        <v>351</v>
      </c>
      <c r="N640" s="82"/>
      <c r="O640" s="81" t="s">
        <v>2256</v>
      </c>
      <c r="P640" s="81" t="s">
        <v>2256</v>
      </c>
      <c r="Q640" s="81"/>
      <c r="R640" s="83">
        <v>100</v>
      </c>
      <c r="S640" s="79" t="s">
        <v>3002</v>
      </c>
      <c r="T640" s="84">
        <v>97500</v>
      </c>
      <c r="U640" s="81"/>
      <c r="V640" s="81"/>
      <c r="W640" s="78" t="s">
        <v>351</v>
      </c>
      <c r="X640" s="82"/>
      <c r="Y640" s="81" t="s">
        <v>2256</v>
      </c>
      <c r="Z640" s="81" t="s">
        <v>2256</v>
      </c>
      <c r="AA640" s="80">
        <v>500</v>
      </c>
      <c r="AB640" s="85"/>
      <c r="AD640" s="78" t="s">
        <v>351</v>
      </c>
      <c r="AE640" s="82"/>
      <c r="AF640" s="81" t="s">
        <v>2256</v>
      </c>
      <c r="AG640" s="81" t="s">
        <v>2256</v>
      </c>
      <c r="AH640" s="80">
        <v>700</v>
      </c>
      <c r="AI640" s="85"/>
    </row>
    <row r="641" spans="1:35" s="79" customFormat="1" ht="11.25" customHeight="1" x14ac:dyDescent="0.2">
      <c r="A641" s="77" t="s">
        <v>3796</v>
      </c>
      <c r="B641" s="80">
        <v>687</v>
      </c>
      <c r="C641" s="81" t="s">
        <v>2036</v>
      </c>
      <c r="D641" s="73">
        <v>5</v>
      </c>
      <c r="E641" s="79" t="s">
        <v>16</v>
      </c>
      <c r="F641" s="79" t="s">
        <v>3725</v>
      </c>
      <c r="G641" s="79" t="s">
        <v>2996</v>
      </c>
      <c r="H641" s="79" t="s">
        <v>17</v>
      </c>
      <c r="I641" s="81"/>
      <c r="J641" s="81">
        <v>25</v>
      </c>
      <c r="K641" s="86"/>
      <c r="M641" s="78" t="s">
        <v>351</v>
      </c>
      <c r="N641" s="82"/>
      <c r="O641" s="81" t="s">
        <v>3776</v>
      </c>
      <c r="P641" s="81" t="s">
        <v>2256</v>
      </c>
      <c r="Q641" s="81"/>
      <c r="R641" s="83">
        <v>100</v>
      </c>
      <c r="S641" s="79" t="s">
        <v>3044</v>
      </c>
      <c r="T641" s="84">
        <v>97500</v>
      </c>
      <c r="U641" s="81"/>
      <c r="V641" s="81"/>
      <c r="W641" s="78" t="s">
        <v>351</v>
      </c>
      <c r="X641" s="82"/>
      <c r="Y641" s="81" t="s">
        <v>3776</v>
      </c>
      <c r="Z641" s="81" t="s">
        <v>2256</v>
      </c>
      <c r="AA641" s="80">
        <v>500</v>
      </c>
      <c r="AB641" s="85"/>
      <c r="AD641" s="78" t="s">
        <v>351</v>
      </c>
      <c r="AE641" s="82"/>
      <c r="AF641" s="81" t="s">
        <v>3776</v>
      </c>
      <c r="AG641" s="81" t="s">
        <v>2256</v>
      </c>
      <c r="AH641" s="80">
        <v>700</v>
      </c>
      <c r="AI641" s="85"/>
    </row>
    <row r="642" spans="1:35" s="79" customFormat="1" ht="11.25" customHeight="1" x14ac:dyDescent="0.2">
      <c r="A642" s="77" t="s">
        <v>1133</v>
      </c>
      <c r="B642" s="81" t="s">
        <v>1134</v>
      </c>
      <c r="C642" s="81" t="s">
        <v>982</v>
      </c>
      <c r="D642" s="73">
        <v>975</v>
      </c>
      <c r="E642" s="79" t="s">
        <v>16</v>
      </c>
      <c r="F642" s="79" t="s">
        <v>3725</v>
      </c>
      <c r="G642" s="79" t="s">
        <v>2996</v>
      </c>
      <c r="H642" s="79" t="s">
        <v>17</v>
      </c>
      <c r="I642" s="81"/>
      <c r="J642" s="81">
        <v>25</v>
      </c>
      <c r="K642" s="86"/>
      <c r="M642" s="78" t="s">
        <v>982</v>
      </c>
      <c r="N642" s="82"/>
      <c r="O642" s="81" t="s">
        <v>2256</v>
      </c>
      <c r="P642" s="81" t="s">
        <v>2256</v>
      </c>
      <c r="Q642" s="81"/>
      <c r="R642" s="83">
        <v>200</v>
      </c>
      <c r="S642" s="79" t="s">
        <v>3002</v>
      </c>
      <c r="T642" s="84">
        <v>195000</v>
      </c>
      <c r="U642" s="81"/>
      <c r="V642" s="81"/>
      <c r="W642" s="78" t="s">
        <v>982</v>
      </c>
      <c r="X642" s="82"/>
      <c r="Y642" s="81" t="s">
        <v>2256</v>
      </c>
      <c r="Z642" s="81" t="s">
        <v>2256</v>
      </c>
      <c r="AA642" s="83">
        <v>1000</v>
      </c>
      <c r="AB642" s="85"/>
      <c r="AD642" s="78" t="s">
        <v>982</v>
      </c>
      <c r="AE642" s="82"/>
      <c r="AF642" s="81" t="s">
        <v>2256</v>
      </c>
      <c r="AG642" s="81" t="s">
        <v>2256</v>
      </c>
      <c r="AH642" s="83">
        <v>1500</v>
      </c>
      <c r="AI642" s="85"/>
    </row>
    <row r="643" spans="1:35" s="79" customFormat="1" ht="11.25" customHeight="1" x14ac:dyDescent="0.2">
      <c r="A643" s="77" t="s">
        <v>3797</v>
      </c>
      <c r="B643" s="80">
        <v>959</v>
      </c>
      <c r="C643" s="81" t="s">
        <v>981</v>
      </c>
      <c r="D643" s="73">
        <v>5</v>
      </c>
      <c r="E643" s="79" t="s">
        <v>16</v>
      </c>
      <c r="F643" s="79" t="s">
        <v>3725</v>
      </c>
      <c r="G643" s="79" t="s">
        <v>2996</v>
      </c>
      <c r="H643" s="79" t="s">
        <v>17</v>
      </c>
      <c r="I643" s="81"/>
      <c r="J643" s="81">
        <v>25</v>
      </c>
      <c r="K643" s="86"/>
      <c r="M643" s="78" t="s">
        <v>982</v>
      </c>
      <c r="N643" s="82"/>
      <c r="O643" s="81" t="s">
        <v>3777</v>
      </c>
      <c r="P643" s="81" t="s">
        <v>2256</v>
      </c>
      <c r="Q643" s="81"/>
      <c r="R643" s="83">
        <v>200</v>
      </c>
      <c r="S643" s="79" t="s">
        <v>3144</v>
      </c>
      <c r="T643" s="84">
        <v>195000</v>
      </c>
      <c r="U643" s="81"/>
      <c r="V643" s="81"/>
      <c r="W643" s="78" t="s">
        <v>982</v>
      </c>
      <c r="X643" s="82"/>
      <c r="Y643" s="81" t="s">
        <v>3777</v>
      </c>
      <c r="Z643" s="81" t="s">
        <v>2256</v>
      </c>
      <c r="AA643" s="83">
        <v>1000</v>
      </c>
      <c r="AB643" s="85"/>
      <c r="AD643" s="78" t="s">
        <v>982</v>
      </c>
      <c r="AE643" s="82"/>
      <c r="AF643" s="81" t="s">
        <v>3777</v>
      </c>
      <c r="AG643" s="81" t="s">
        <v>2256</v>
      </c>
      <c r="AH643" s="83">
        <v>1500</v>
      </c>
      <c r="AI643" s="85"/>
    </row>
    <row r="644" spans="1:35" s="79" customFormat="1" ht="11.25" customHeight="1" x14ac:dyDescent="0.2">
      <c r="A644" s="77" t="s">
        <v>353</v>
      </c>
      <c r="B644" s="80">
        <v>906</v>
      </c>
      <c r="C644" s="81" t="s">
        <v>352</v>
      </c>
      <c r="D644" s="73">
        <v>80</v>
      </c>
      <c r="E644" s="79" t="s">
        <v>16</v>
      </c>
      <c r="F644" s="79" t="s">
        <v>3725</v>
      </c>
      <c r="G644" s="79" t="s">
        <v>2996</v>
      </c>
      <c r="H644" s="79" t="s">
        <v>17</v>
      </c>
      <c r="I644" s="81"/>
      <c r="J644" s="81">
        <v>25</v>
      </c>
      <c r="K644" s="86"/>
      <c r="M644" s="78" t="s">
        <v>354</v>
      </c>
      <c r="N644" s="82"/>
      <c r="O644" s="81" t="s">
        <v>2317</v>
      </c>
      <c r="P644" s="81" t="s">
        <v>2256</v>
      </c>
      <c r="Q644" s="81"/>
      <c r="R644" s="83">
        <v>400</v>
      </c>
      <c r="S644" s="79" t="s">
        <v>3045</v>
      </c>
      <c r="T644" s="84">
        <v>160000</v>
      </c>
      <c r="U644" s="81"/>
      <c r="V644" s="81"/>
      <c r="W644" s="78" t="s">
        <v>354</v>
      </c>
      <c r="X644" s="82"/>
      <c r="Y644" s="81" t="s">
        <v>2317</v>
      </c>
      <c r="Z644" s="81" t="s">
        <v>2256</v>
      </c>
      <c r="AA644" s="83">
        <v>2000</v>
      </c>
      <c r="AB644" s="85"/>
      <c r="AD644" s="78" t="s">
        <v>354</v>
      </c>
      <c r="AE644" s="82"/>
      <c r="AF644" s="81" t="s">
        <v>2317</v>
      </c>
      <c r="AG644" s="81" t="s">
        <v>2256</v>
      </c>
      <c r="AH644" s="83">
        <v>3000</v>
      </c>
      <c r="AI644" s="85"/>
    </row>
    <row r="645" spans="1:35" s="79" customFormat="1" ht="11.25" customHeight="1" x14ac:dyDescent="0.2">
      <c r="A645" s="77" t="s">
        <v>1135</v>
      </c>
      <c r="B645" s="80">
        <v>618</v>
      </c>
      <c r="C645" s="81" t="s">
        <v>354</v>
      </c>
      <c r="D645" s="73">
        <v>400</v>
      </c>
      <c r="E645" s="79" t="s">
        <v>16</v>
      </c>
      <c r="F645" s="79" t="s">
        <v>3725</v>
      </c>
      <c r="G645" s="79" t="s">
        <v>2996</v>
      </c>
      <c r="H645" s="79" t="s">
        <v>17</v>
      </c>
      <c r="I645" s="81"/>
      <c r="J645" s="81">
        <v>25</v>
      </c>
      <c r="K645" s="86"/>
      <c r="M645" s="78" t="s">
        <v>354</v>
      </c>
      <c r="N645" s="82"/>
      <c r="O645" s="81" t="s">
        <v>2256</v>
      </c>
      <c r="P645" s="81" t="s">
        <v>2256</v>
      </c>
      <c r="Q645" s="81"/>
      <c r="R645" s="83">
        <v>400</v>
      </c>
      <c r="S645" s="79" t="s">
        <v>3002</v>
      </c>
      <c r="T645" s="84">
        <v>160000</v>
      </c>
      <c r="U645" s="81"/>
      <c r="V645" s="81"/>
      <c r="W645" s="78" t="s">
        <v>354</v>
      </c>
      <c r="X645" s="82"/>
      <c r="Y645" s="81" t="s">
        <v>2256</v>
      </c>
      <c r="Z645" s="81" t="s">
        <v>2256</v>
      </c>
      <c r="AA645" s="83">
        <v>2000</v>
      </c>
      <c r="AB645" s="85"/>
      <c r="AD645" s="78" t="s">
        <v>354</v>
      </c>
      <c r="AE645" s="82"/>
      <c r="AF645" s="81" t="s">
        <v>2256</v>
      </c>
      <c r="AG645" s="81" t="s">
        <v>2256</v>
      </c>
      <c r="AH645" s="83">
        <v>3000</v>
      </c>
      <c r="AI645" s="85"/>
    </row>
    <row r="646" spans="1:35" s="79" customFormat="1" ht="11.25" customHeight="1" x14ac:dyDescent="0.2">
      <c r="A646" s="77" t="s">
        <v>2236</v>
      </c>
      <c r="B646" s="81" t="s">
        <v>2237</v>
      </c>
      <c r="C646" s="81" t="s">
        <v>2235</v>
      </c>
      <c r="D646" s="73">
        <v>80</v>
      </c>
      <c r="E646" s="79" t="s">
        <v>16</v>
      </c>
      <c r="F646" s="79" t="s">
        <v>129</v>
      </c>
      <c r="G646" s="79" t="s">
        <v>2995</v>
      </c>
      <c r="H646" s="79" t="s">
        <v>17</v>
      </c>
      <c r="I646" s="81"/>
      <c r="J646" s="81">
        <v>25</v>
      </c>
      <c r="K646" s="86"/>
      <c r="M646" s="78" t="s">
        <v>354</v>
      </c>
      <c r="N646" s="82"/>
      <c r="O646" s="81" t="s">
        <v>2766</v>
      </c>
      <c r="P646" s="81" t="s">
        <v>2256</v>
      </c>
      <c r="Q646" s="81"/>
      <c r="R646" s="83">
        <v>400</v>
      </c>
      <c r="S646" s="79" t="s">
        <v>3045</v>
      </c>
      <c r="T646" s="84">
        <v>160000</v>
      </c>
      <c r="U646" s="81"/>
      <c r="V646" s="81"/>
      <c r="W646" s="78" t="s">
        <v>354</v>
      </c>
      <c r="X646" s="82"/>
      <c r="Y646" s="81" t="s">
        <v>2766</v>
      </c>
      <c r="Z646" s="81" t="s">
        <v>2256</v>
      </c>
      <c r="AA646" s="83">
        <v>2000</v>
      </c>
      <c r="AB646" s="85"/>
      <c r="AD646" s="78" t="s">
        <v>354</v>
      </c>
      <c r="AE646" s="82"/>
      <c r="AF646" s="81" t="s">
        <v>2766</v>
      </c>
      <c r="AG646" s="81" t="s">
        <v>2256</v>
      </c>
      <c r="AH646" s="83">
        <v>3000</v>
      </c>
      <c r="AI646" s="85"/>
    </row>
    <row r="647" spans="1:35" s="79" customFormat="1" ht="11.25" customHeight="1" x14ac:dyDescent="0.2">
      <c r="A647" s="77" t="s">
        <v>3798</v>
      </c>
      <c r="B647" s="81" t="s">
        <v>1091</v>
      </c>
      <c r="C647" s="81" t="s">
        <v>1090</v>
      </c>
      <c r="D647" s="73">
        <v>80</v>
      </c>
      <c r="E647" s="79" t="s">
        <v>16</v>
      </c>
      <c r="F647" s="79" t="s">
        <v>3725</v>
      </c>
      <c r="G647" s="79" t="s">
        <v>2996</v>
      </c>
      <c r="H647" s="79" t="s">
        <v>17</v>
      </c>
      <c r="I647" s="81"/>
      <c r="J647" s="81">
        <v>25</v>
      </c>
      <c r="K647" s="86"/>
      <c r="M647" s="78" t="s">
        <v>354</v>
      </c>
      <c r="N647" s="82"/>
      <c r="O647" s="81" t="s">
        <v>3778</v>
      </c>
      <c r="P647" s="81" t="s">
        <v>2256</v>
      </c>
      <c r="Q647" s="81"/>
      <c r="R647" s="83">
        <v>400</v>
      </c>
      <c r="S647" s="79" t="s">
        <v>3045</v>
      </c>
      <c r="T647" s="84">
        <v>160000</v>
      </c>
      <c r="U647" s="81"/>
      <c r="V647" s="81"/>
      <c r="W647" s="78" t="s">
        <v>354</v>
      </c>
      <c r="X647" s="82"/>
      <c r="Y647" s="81" t="s">
        <v>3778</v>
      </c>
      <c r="Z647" s="81" t="s">
        <v>2256</v>
      </c>
      <c r="AA647" s="83">
        <v>2000</v>
      </c>
      <c r="AB647" s="85"/>
      <c r="AD647" s="78" t="s">
        <v>354</v>
      </c>
      <c r="AE647" s="82"/>
      <c r="AF647" s="81" t="s">
        <v>3778</v>
      </c>
      <c r="AG647" s="81" t="s">
        <v>2256</v>
      </c>
      <c r="AH647" s="83">
        <v>3000</v>
      </c>
      <c r="AI647" s="85"/>
    </row>
    <row r="648" spans="1:35" s="79" customFormat="1" ht="11.25" customHeight="1" x14ac:dyDescent="0.2">
      <c r="A648" s="77" t="s">
        <v>356</v>
      </c>
      <c r="B648" s="80">
        <v>553</v>
      </c>
      <c r="C648" s="81" t="s">
        <v>355</v>
      </c>
      <c r="D648" s="73">
        <v>5</v>
      </c>
      <c r="E648" s="79" t="s">
        <v>16</v>
      </c>
      <c r="F648" s="79" t="s">
        <v>3725</v>
      </c>
      <c r="G648" s="79" t="s">
        <v>2996</v>
      </c>
      <c r="H648" s="79" t="s">
        <v>17</v>
      </c>
      <c r="I648" s="81"/>
      <c r="J648" s="81">
        <v>25</v>
      </c>
      <c r="K648" s="86"/>
      <c r="M648" s="78" t="s">
        <v>357</v>
      </c>
      <c r="N648" s="82"/>
      <c r="O648" s="81" t="s">
        <v>2318</v>
      </c>
      <c r="P648" s="81" t="s">
        <v>2256</v>
      </c>
      <c r="Q648" s="81"/>
      <c r="R648" s="83">
        <v>200</v>
      </c>
      <c r="S648" s="79" t="s">
        <v>3046</v>
      </c>
      <c r="T648" s="84">
        <v>195000</v>
      </c>
      <c r="U648" s="81"/>
      <c r="V648" s="81"/>
      <c r="W648" s="78" t="s">
        <v>357</v>
      </c>
      <c r="X648" s="82"/>
      <c r="Y648" s="81" t="s">
        <v>2318</v>
      </c>
      <c r="Z648" s="81" t="s">
        <v>2256</v>
      </c>
      <c r="AA648" s="83">
        <v>1000</v>
      </c>
      <c r="AB648" s="85"/>
      <c r="AD648" s="78" t="s">
        <v>357</v>
      </c>
      <c r="AE648" s="82"/>
      <c r="AF648" s="81" t="s">
        <v>2318</v>
      </c>
      <c r="AG648" s="81" t="s">
        <v>2256</v>
      </c>
      <c r="AH648" s="83">
        <v>1500</v>
      </c>
      <c r="AI648" s="85"/>
    </row>
    <row r="649" spans="1:35" s="79" customFormat="1" ht="11.25" customHeight="1" x14ac:dyDescent="0.2">
      <c r="A649" s="77" t="s">
        <v>1136</v>
      </c>
      <c r="B649" s="81" t="s">
        <v>1137</v>
      </c>
      <c r="C649" s="81" t="s">
        <v>357</v>
      </c>
      <c r="D649" s="73">
        <v>975</v>
      </c>
      <c r="E649" s="79" t="s">
        <v>16</v>
      </c>
      <c r="F649" s="79" t="s">
        <v>3725</v>
      </c>
      <c r="G649" s="79" t="s">
        <v>2996</v>
      </c>
      <c r="H649" s="79" t="s">
        <v>17</v>
      </c>
      <c r="I649" s="81"/>
      <c r="J649" s="81">
        <v>25</v>
      </c>
      <c r="K649" s="86"/>
      <c r="M649" s="78" t="s">
        <v>357</v>
      </c>
      <c r="N649" s="82"/>
      <c r="O649" s="81" t="s">
        <v>2256</v>
      </c>
      <c r="P649" s="81" t="s">
        <v>2256</v>
      </c>
      <c r="Q649" s="81"/>
      <c r="R649" s="83">
        <v>200</v>
      </c>
      <c r="S649" s="79" t="s">
        <v>3002</v>
      </c>
      <c r="T649" s="84">
        <v>195000</v>
      </c>
      <c r="U649" s="81"/>
      <c r="V649" s="81"/>
      <c r="W649" s="78" t="s">
        <v>357</v>
      </c>
      <c r="X649" s="82"/>
      <c r="Y649" s="81" t="s">
        <v>2256</v>
      </c>
      <c r="Z649" s="81" t="s">
        <v>2256</v>
      </c>
      <c r="AA649" s="83">
        <v>1000</v>
      </c>
      <c r="AB649" s="85"/>
      <c r="AD649" s="78" t="s">
        <v>357</v>
      </c>
      <c r="AE649" s="82"/>
      <c r="AF649" s="81" t="s">
        <v>2256</v>
      </c>
      <c r="AG649" s="81" t="s">
        <v>2256</v>
      </c>
      <c r="AH649" s="83">
        <v>1500</v>
      </c>
      <c r="AI649" s="85"/>
    </row>
    <row r="650" spans="1:35" s="79" customFormat="1" ht="11.25" customHeight="1" x14ac:dyDescent="0.2">
      <c r="A650" s="77" t="s">
        <v>3799</v>
      </c>
      <c r="B650" s="80">
        <v>688</v>
      </c>
      <c r="C650" s="81" t="s">
        <v>2037</v>
      </c>
      <c r="D650" s="73">
        <v>5</v>
      </c>
      <c r="E650" s="79" t="s">
        <v>16</v>
      </c>
      <c r="F650" s="79" t="s">
        <v>3725</v>
      </c>
      <c r="G650" s="79" t="s">
        <v>2996</v>
      </c>
      <c r="H650" s="79" t="s">
        <v>17</v>
      </c>
      <c r="I650" s="81"/>
      <c r="J650" s="81">
        <v>25</v>
      </c>
      <c r="K650" s="86"/>
      <c r="M650" s="78" t="s">
        <v>357</v>
      </c>
      <c r="N650" s="82"/>
      <c r="O650" s="81" t="s">
        <v>3779</v>
      </c>
      <c r="P650" s="81" t="s">
        <v>2256</v>
      </c>
      <c r="Q650" s="81"/>
      <c r="R650" s="83">
        <v>200</v>
      </c>
      <c r="S650" s="79" t="s">
        <v>3046</v>
      </c>
      <c r="T650" s="84">
        <v>195000</v>
      </c>
      <c r="U650" s="81"/>
      <c r="V650" s="81"/>
      <c r="W650" s="78" t="s">
        <v>357</v>
      </c>
      <c r="X650" s="82"/>
      <c r="Y650" s="81" t="s">
        <v>3779</v>
      </c>
      <c r="Z650" s="81" t="s">
        <v>2256</v>
      </c>
      <c r="AA650" s="83">
        <v>1000</v>
      </c>
      <c r="AB650" s="85"/>
      <c r="AD650" s="78" t="s">
        <v>357</v>
      </c>
      <c r="AE650" s="82"/>
      <c r="AF650" s="81" t="s">
        <v>3779</v>
      </c>
      <c r="AG650" s="81" t="s">
        <v>2256</v>
      </c>
      <c r="AH650" s="83">
        <v>1500</v>
      </c>
      <c r="AI650" s="85"/>
    </row>
    <row r="651" spans="1:35" s="79" customFormat="1" ht="11.25" customHeight="1" x14ac:dyDescent="0.2">
      <c r="A651" s="77" t="s">
        <v>1168</v>
      </c>
      <c r="B651" s="80">
        <v>153</v>
      </c>
      <c r="C651" s="81" t="s">
        <v>1167</v>
      </c>
      <c r="D651" s="73">
        <v>5</v>
      </c>
      <c r="E651" s="79" t="s">
        <v>16</v>
      </c>
      <c r="F651" s="79" t="s">
        <v>3725</v>
      </c>
      <c r="G651" s="79" t="s">
        <v>2996</v>
      </c>
      <c r="H651" s="79" t="s">
        <v>17</v>
      </c>
      <c r="I651" s="81"/>
      <c r="J651" s="81">
        <v>25</v>
      </c>
      <c r="K651" s="86"/>
      <c r="M651" s="78" t="s">
        <v>1167</v>
      </c>
      <c r="N651" s="82"/>
      <c r="O651" s="81" t="s">
        <v>2256</v>
      </c>
      <c r="P651" s="81" t="s">
        <v>2256</v>
      </c>
      <c r="Q651" s="81"/>
      <c r="R651" s="83">
        <v>100000</v>
      </c>
      <c r="S651" s="79" t="s">
        <v>3002</v>
      </c>
      <c r="T651" s="84">
        <v>500000</v>
      </c>
      <c r="U651" s="81"/>
      <c r="V651" s="81"/>
      <c r="W651" s="78" t="s">
        <v>1167</v>
      </c>
      <c r="X651" s="82"/>
      <c r="Y651" s="81" t="s">
        <v>2256</v>
      </c>
      <c r="Z651" s="81" t="s">
        <v>2256</v>
      </c>
      <c r="AA651" s="83">
        <v>500000</v>
      </c>
      <c r="AB651" s="85"/>
      <c r="AD651" s="78" t="s">
        <v>1167</v>
      </c>
      <c r="AE651" s="82"/>
      <c r="AF651" s="81" t="s">
        <v>2256</v>
      </c>
      <c r="AG651" s="81" t="s">
        <v>2256</v>
      </c>
      <c r="AH651" s="83">
        <v>625000</v>
      </c>
      <c r="AI651" s="85"/>
    </row>
    <row r="652" spans="1:35" s="79" customFormat="1" ht="11.25" customHeight="1" x14ac:dyDescent="0.2">
      <c r="A652" s="77" t="s">
        <v>3800</v>
      </c>
      <c r="B652" s="80">
        <v>957</v>
      </c>
      <c r="C652" s="81" t="s">
        <v>1562</v>
      </c>
      <c r="D652" s="73">
        <v>5</v>
      </c>
      <c r="E652" s="79" t="s">
        <v>16</v>
      </c>
      <c r="F652" s="79" t="s">
        <v>3725</v>
      </c>
      <c r="G652" s="79" t="s">
        <v>2996</v>
      </c>
      <c r="H652" s="79" t="s">
        <v>17</v>
      </c>
      <c r="I652" s="81"/>
      <c r="J652" s="81">
        <v>25</v>
      </c>
      <c r="K652" s="86"/>
      <c r="M652" s="78" t="s">
        <v>1167</v>
      </c>
      <c r="N652" s="82"/>
      <c r="O652" s="81" t="s">
        <v>3780</v>
      </c>
      <c r="P652" s="81" t="s">
        <v>2256</v>
      </c>
      <c r="Q652" s="81"/>
      <c r="R652" s="83">
        <v>100000</v>
      </c>
      <c r="S652" s="79" t="s">
        <v>3190</v>
      </c>
      <c r="T652" s="84">
        <v>500000</v>
      </c>
      <c r="U652" s="81"/>
      <c r="V652" s="81"/>
      <c r="W652" s="78" t="s">
        <v>1167</v>
      </c>
      <c r="X652" s="82"/>
      <c r="Y652" s="81" t="s">
        <v>3780</v>
      </c>
      <c r="Z652" s="81" t="s">
        <v>2256</v>
      </c>
      <c r="AA652" s="83">
        <v>500000</v>
      </c>
      <c r="AB652" s="85"/>
      <c r="AD652" s="78" t="s">
        <v>1167</v>
      </c>
      <c r="AE652" s="82"/>
      <c r="AF652" s="81" t="s">
        <v>3780</v>
      </c>
      <c r="AG652" s="81" t="s">
        <v>2256</v>
      </c>
      <c r="AH652" s="83">
        <v>625000</v>
      </c>
      <c r="AI652" s="85"/>
    </row>
    <row r="653" spans="1:35" s="79" customFormat="1" ht="11.25" customHeight="1" x14ac:dyDescent="0.2">
      <c r="A653" s="77" t="s">
        <v>1176</v>
      </c>
      <c r="B653" s="80">
        <v>170</v>
      </c>
      <c r="C653" s="81" t="s">
        <v>1175</v>
      </c>
      <c r="D653" s="73">
        <v>80</v>
      </c>
      <c r="E653" s="79" t="s">
        <v>16</v>
      </c>
      <c r="F653" s="79" t="s">
        <v>3725</v>
      </c>
      <c r="G653" s="79" t="s">
        <v>2996</v>
      </c>
      <c r="H653" s="79" t="s">
        <v>17</v>
      </c>
      <c r="I653" s="81"/>
      <c r="J653" s="81">
        <v>25</v>
      </c>
      <c r="K653" s="86"/>
      <c r="M653" s="78" t="s">
        <v>1175</v>
      </c>
      <c r="N653" s="82"/>
      <c r="O653" s="81" t="s">
        <v>2256</v>
      </c>
      <c r="P653" s="81" t="s">
        <v>2256</v>
      </c>
      <c r="Q653" s="81"/>
      <c r="R653" s="83">
        <v>2000</v>
      </c>
      <c r="S653" s="79" t="s">
        <v>3002</v>
      </c>
      <c r="T653" s="84">
        <v>160000</v>
      </c>
      <c r="U653" s="81"/>
      <c r="V653" s="81"/>
      <c r="W653" s="78" t="s">
        <v>1175</v>
      </c>
      <c r="X653" s="82"/>
      <c r="Y653" s="81" t="s">
        <v>2256</v>
      </c>
      <c r="Z653" s="81" t="s">
        <v>2256</v>
      </c>
      <c r="AA653" s="83">
        <v>7000</v>
      </c>
      <c r="AB653" s="85"/>
      <c r="AD653" s="78" t="s">
        <v>1175</v>
      </c>
      <c r="AE653" s="82"/>
      <c r="AF653" s="81" t="s">
        <v>2256</v>
      </c>
      <c r="AG653" s="81" t="s">
        <v>2256</v>
      </c>
      <c r="AH653" s="83">
        <v>9000</v>
      </c>
      <c r="AI653" s="85"/>
    </row>
    <row r="654" spans="1:35" s="79" customFormat="1" ht="11.25" customHeight="1" x14ac:dyDescent="0.2">
      <c r="A654" s="77" t="s">
        <v>1178</v>
      </c>
      <c r="B654" s="80">
        <v>172</v>
      </c>
      <c r="C654" s="81" t="s">
        <v>1177</v>
      </c>
      <c r="D654" s="73">
        <v>80</v>
      </c>
      <c r="E654" s="79" t="s">
        <v>16</v>
      </c>
      <c r="F654" s="79" t="s">
        <v>3725</v>
      </c>
      <c r="G654" s="79" t="s">
        <v>2996</v>
      </c>
      <c r="H654" s="79" t="s">
        <v>17</v>
      </c>
      <c r="I654" s="81"/>
      <c r="J654" s="81">
        <v>25</v>
      </c>
      <c r="K654" s="86"/>
      <c r="M654" s="78" t="s">
        <v>1177</v>
      </c>
      <c r="N654" s="82"/>
      <c r="O654" s="81" t="s">
        <v>2256</v>
      </c>
      <c r="P654" s="81" t="s">
        <v>2256</v>
      </c>
      <c r="Q654" s="81"/>
      <c r="R654" s="83">
        <v>2000</v>
      </c>
      <c r="S654" s="79" t="s">
        <v>3002</v>
      </c>
      <c r="T654" s="84">
        <v>160000</v>
      </c>
      <c r="U654" s="81"/>
      <c r="V654" s="81"/>
      <c r="W654" s="78" t="s">
        <v>1177</v>
      </c>
      <c r="X654" s="82"/>
      <c r="Y654" s="81" t="s">
        <v>2256</v>
      </c>
      <c r="Z654" s="81" t="s">
        <v>2256</v>
      </c>
      <c r="AA654" s="83">
        <v>7000</v>
      </c>
      <c r="AB654" s="85"/>
      <c r="AD654" s="78" t="s">
        <v>1177</v>
      </c>
      <c r="AE654" s="82"/>
      <c r="AF654" s="81" t="s">
        <v>2256</v>
      </c>
      <c r="AG654" s="81" t="s">
        <v>2256</v>
      </c>
      <c r="AH654" s="83">
        <v>9000</v>
      </c>
      <c r="AI654" s="85"/>
    </row>
    <row r="655" spans="1:35" s="79" customFormat="1" ht="11.25" customHeight="1" x14ac:dyDescent="0.2">
      <c r="A655" s="77" t="s">
        <v>1580</v>
      </c>
      <c r="B655" s="80">
        <v>922</v>
      </c>
      <c r="C655" s="81" t="s">
        <v>1579</v>
      </c>
      <c r="D655" s="73">
        <v>80</v>
      </c>
      <c r="E655" s="79" t="s">
        <v>16</v>
      </c>
      <c r="F655" s="79" t="s">
        <v>129</v>
      </c>
      <c r="G655" s="79" t="s">
        <v>2995</v>
      </c>
      <c r="H655" s="79" t="s">
        <v>17</v>
      </c>
      <c r="I655" s="81"/>
      <c r="J655" s="81">
        <v>25</v>
      </c>
      <c r="K655" s="86"/>
      <c r="M655" s="78" t="s">
        <v>1177</v>
      </c>
      <c r="N655" s="82"/>
      <c r="O655" s="81" t="s">
        <v>2615</v>
      </c>
      <c r="P655" s="81" t="s">
        <v>2256</v>
      </c>
      <c r="Q655" s="81"/>
      <c r="R655" s="83">
        <v>2000</v>
      </c>
      <c r="S655" s="79" t="s">
        <v>3193</v>
      </c>
      <c r="T655" s="84">
        <v>160000</v>
      </c>
      <c r="U655" s="81"/>
      <c r="V655" s="81"/>
      <c r="W655" s="78" t="s">
        <v>1177</v>
      </c>
      <c r="X655" s="82"/>
      <c r="Y655" s="81" t="s">
        <v>2615</v>
      </c>
      <c r="Z655" s="81" t="s">
        <v>2256</v>
      </c>
      <c r="AA655" s="83">
        <v>7000</v>
      </c>
      <c r="AB655" s="85"/>
      <c r="AD655" s="78" t="s">
        <v>1177</v>
      </c>
      <c r="AE655" s="82"/>
      <c r="AF655" s="81" t="s">
        <v>2615</v>
      </c>
      <c r="AG655" s="81" t="s">
        <v>2256</v>
      </c>
      <c r="AH655" s="83">
        <v>9000</v>
      </c>
      <c r="AI655" s="85"/>
    </row>
    <row r="656" spans="1:35" s="79" customFormat="1" ht="11.25" customHeight="1" x14ac:dyDescent="0.2">
      <c r="A656" s="77" t="s">
        <v>1185</v>
      </c>
      <c r="B656" s="80">
        <v>162</v>
      </c>
      <c r="C656" s="81" t="s">
        <v>1184</v>
      </c>
      <c r="D656" s="73">
        <v>80</v>
      </c>
      <c r="E656" s="79" t="s">
        <v>16</v>
      </c>
      <c r="F656" s="79" t="s">
        <v>3725</v>
      </c>
      <c r="G656" s="79" t="s">
        <v>2996</v>
      </c>
      <c r="H656" s="79" t="s">
        <v>17</v>
      </c>
      <c r="I656" s="81"/>
      <c r="J656" s="81">
        <v>25</v>
      </c>
      <c r="K656" s="86"/>
      <c r="M656" s="78" t="s">
        <v>1184</v>
      </c>
      <c r="N656" s="82"/>
      <c r="O656" s="81" t="s">
        <v>2256</v>
      </c>
      <c r="P656" s="81" t="s">
        <v>2256</v>
      </c>
      <c r="Q656" s="81"/>
      <c r="R656" s="83">
        <v>2000</v>
      </c>
      <c r="S656" s="79" t="s">
        <v>3002</v>
      </c>
      <c r="T656" s="84">
        <v>160000</v>
      </c>
      <c r="U656" s="81"/>
      <c r="V656" s="81"/>
      <c r="W656" s="78" t="s">
        <v>1184</v>
      </c>
      <c r="X656" s="82"/>
      <c r="Y656" s="81" t="s">
        <v>2256</v>
      </c>
      <c r="Z656" s="81" t="s">
        <v>2256</v>
      </c>
      <c r="AA656" s="83">
        <v>10000</v>
      </c>
      <c r="AB656" s="85"/>
      <c r="AD656" s="78" t="s">
        <v>1184</v>
      </c>
      <c r="AE656" s="82"/>
      <c r="AF656" s="81" t="s">
        <v>2256</v>
      </c>
      <c r="AG656" s="81" t="s">
        <v>2256</v>
      </c>
      <c r="AH656" s="83">
        <v>14000</v>
      </c>
      <c r="AI656" s="85"/>
    </row>
    <row r="657" spans="1:35" s="79" customFormat="1" ht="11.25" customHeight="1" x14ac:dyDescent="0.2">
      <c r="A657" s="77" t="s">
        <v>1187</v>
      </c>
      <c r="B657" s="80">
        <v>764</v>
      </c>
      <c r="C657" s="81" t="s">
        <v>1186</v>
      </c>
      <c r="D657" s="73">
        <v>5</v>
      </c>
      <c r="E657" s="79" t="s">
        <v>16</v>
      </c>
      <c r="F657" s="79" t="s">
        <v>3725</v>
      </c>
      <c r="G657" s="79" t="s">
        <v>2996</v>
      </c>
      <c r="H657" s="79" t="s">
        <v>17</v>
      </c>
      <c r="I657" s="81"/>
      <c r="J657" s="81">
        <v>25</v>
      </c>
      <c r="K657" s="86"/>
      <c r="M657" s="78" t="s">
        <v>1186</v>
      </c>
      <c r="N657" s="82"/>
      <c r="O657" s="81" t="s">
        <v>2256</v>
      </c>
      <c r="P657" s="81" t="s">
        <v>2256</v>
      </c>
      <c r="Q657" s="81"/>
      <c r="R657" s="83">
        <v>20000</v>
      </c>
      <c r="S657" s="79" t="s">
        <v>3002</v>
      </c>
      <c r="T657" s="84">
        <v>100000</v>
      </c>
      <c r="U657" s="81"/>
      <c r="V657" s="81"/>
      <c r="W657" s="78" t="s">
        <v>1186</v>
      </c>
      <c r="X657" s="82"/>
      <c r="Y657" s="81" t="s">
        <v>2256</v>
      </c>
      <c r="Z657" s="81" t="s">
        <v>2256</v>
      </c>
      <c r="AA657" s="83">
        <v>100000</v>
      </c>
      <c r="AB657" s="85"/>
      <c r="AD657" s="78" t="s">
        <v>1186</v>
      </c>
      <c r="AE657" s="82"/>
      <c r="AF657" s="81" t="s">
        <v>2256</v>
      </c>
      <c r="AG657" s="81" t="s">
        <v>2256</v>
      </c>
      <c r="AH657" s="83">
        <v>125000</v>
      </c>
      <c r="AI657" s="85"/>
    </row>
    <row r="658" spans="1:35" s="79" customFormat="1" ht="11.25" customHeight="1" x14ac:dyDescent="0.2">
      <c r="A658" s="77" t="s">
        <v>3801</v>
      </c>
      <c r="B658" s="81" t="s">
        <v>1200</v>
      </c>
      <c r="C658" s="81" t="s">
        <v>1199</v>
      </c>
      <c r="D658" s="73">
        <v>5</v>
      </c>
      <c r="E658" s="79" t="s">
        <v>16</v>
      </c>
      <c r="F658" s="79" t="s">
        <v>3725</v>
      </c>
      <c r="G658" s="79" t="s">
        <v>2996</v>
      </c>
      <c r="H658" s="79" t="s">
        <v>17</v>
      </c>
      <c r="I658" s="81"/>
      <c r="J658" s="81">
        <v>25</v>
      </c>
      <c r="K658" s="86"/>
      <c r="M658" s="78" t="s">
        <v>1199</v>
      </c>
      <c r="N658" s="82"/>
      <c r="O658" s="81" t="s">
        <v>3766</v>
      </c>
      <c r="P658" s="81" t="s">
        <v>2256</v>
      </c>
      <c r="Q658" s="81"/>
      <c r="R658" s="83">
        <v>150000</v>
      </c>
      <c r="S658" s="79" t="s">
        <v>3002</v>
      </c>
      <c r="T658" s="84">
        <v>750000</v>
      </c>
      <c r="U658" s="81"/>
      <c r="V658" s="81"/>
      <c r="W658" s="78" t="s">
        <v>1199</v>
      </c>
      <c r="X658" s="82"/>
      <c r="Y658" s="81" t="s">
        <v>3766</v>
      </c>
      <c r="Z658" s="81" t="s">
        <v>2256</v>
      </c>
      <c r="AA658" s="83">
        <v>750000</v>
      </c>
      <c r="AB658" s="85"/>
      <c r="AD658" s="78" t="s">
        <v>1199</v>
      </c>
      <c r="AE658" s="82"/>
      <c r="AF658" s="81" t="s">
        <v>3766</v>
      </c>
      <c r="AG658" s="81" t="s">
        <v>2256</v>
      </c>
      <c r="AH658" s="83">
        <v>1000000</v>
      </c>
      <c r="AI658" s="85"/>
    </row>
    <row r="659" spans="1:35" s="79" customFormat="1" ht="11.25" customHeight="1" x14ac:dyDescent="0.2">
      <c r="A659" s="77" t="s">
        <v>3802</v>
      </c>
      <c r="B659" s="80">
        <v>780</v>
      </c>
      <c r="C659" s="81" t="s">
        <v>1202</v>
      </c>
      <c r="D659" s="73">
        <v>80</v>
      </c>
      <c r="E659" s="79" t="s">
        <v>16</v>
      </c>
      <c r="F659" s="79" t="s">
        <v>3725</v>
      </c>
      <c r="G659" s="79" t="s">
        <v>2996</v>
      </c>
      <c r="H659" s="79" t="s">
        <v>17</v>
      </c>
      <c r="I659" s="81"/>
      <c r="J659" s="81">
        <v>25</v>
      </c>
      <c r="K659" s="86"/>
      <c r="M659" s="78" t="s">
        <v>1202</v>
      </c>
      <c r="N659" s="82"/>
      <c r="O659" s="81" t="s">
        <v>3766</v>
      </c>
      <c r="P659" s="81" t="s">
        <v>2256</v>
      </c>
      <c r="Q659" s="81"/>
      <c r="R659" s="83">
        <v>10000</v>
      </c>
      <c r="S659" s="79" t="s">
        <v>3002</v>
      </c>
      <c r="T659" s="84">
        <v>800000</v>
      </c>
      <c r="U659" s="81"/>
      <c r="V659" s="81"/>
      <c r="W659" s="78" t="s">
        <v>1202</v>
      </c>
      <c r="X659" s="82"/>
      <c r="Y659" s="81" t="s">
        <v>3766</v>
      </c>
      <c r="Z659" s="81" t="s">
        <v>2256</v>
      </c>
      <c r="AA659" s="83">
        <v>50000</v>
      </c>
      <c r="AB659" s="85"/>
      <c r="AD659" s="78" t="s">
        <v>1202</v>
      </c>
      <c r="AE659" s="82"/>
      <c r="AF659" s="81" t="s">
        <v>3766</v>
      </c>
      <c r="AG659" s="81" t="s">
        <v>2256</v>
      </c>
      <c r="AH659" s="83">
        <v>70000</v>
      </c>
      <c r="AI659" s="85"/>
    </row>
    <row r="660" spans="1:35" s="79" customFormat="1" ht="11.25" customHeight="1" x14ac:dyDescent="0.2">
      <c r="A660" s="77" t="s">
        <v>617</v>
      </c>
      <c r="B660" s="80">
        <v>1142</v>
      </c>
      <c r="C660" s="81" t="s">
        <v>616</v>
      </c>
      <c r="D660" s="73">
        <v>5</v>
      </c>
      <c r="E660" s="79" t="s">
        <v>16</v>
      </c>
      <c r="F660" s="79" t="s">
        <v>3725</v>
      </c>
      <c r="G660" s="79" t="s">
        <v>2996</v>
      </c>
      <c r="H660" s="79" t="s">
        <v>17</v>
      </c>
      <c r="I660" s="81"/>
      <c r="J660" s="81">
        <v>25</v>
      </c>
      <c r="K660" s="86"/>
      <c r="M660" s="78" t="s">
        <v>618</v>
      </c>
      <c r="N660" s="82"/>
      <c r="O660" s="81" t="s">
        <v>2378</v>
      </c>
      <c r="P660" s="81" t="s">
        <v>2256</v>
      </c>
      <c r="Q660" s="81"/>
      <c r="R660" s="83">
        <v>170000</v>
      </c>
      <c r="S660" s="79" t="s">
        <v>3078</v>
      </c>
      <c r="T660" s="84">
        <v>850000</v>
      </c>
      <c r="U660" s="81"/>
      <c r="V660" s="81"/>
      <c r="W660" s="78" t="s">
        <v>618</v>
      </c>
      <c r="X660" s="82"/>
      <c r="Y660" s="81" t="s">
        <v>2378</v>
      </c>
      <c r="Z660" s="81" t="s">
        <v>2256</v>
      </c>
      <c r="AA660" s="83">
        <v>850000</v>
      </c>
      <c r="AB660" s="85"/>
      <c r="AD660" s="78" t="s">
        <v>618</v>
      </c>
      <c r="AE660" s="82"/>
      <c r="AF660" s="81" t="s">
        <v>2378</v>
      </c>
      <c r="AG660" s="81" t="s">
        <v>2256</v>
      </c>
      <c r="AH660" s="83">
        <v>1190000</v>
      </c>
      <c r="AI660" s="85"/>
    </row>
    <row r="661" spans="1:35" s="79" customFormat="1" ht="11.25" customHeight="1" x14ac:dyDescent="0.2">
      <c r="A661" s="77" t="s">
        <v>1315</v>
      </c>
      <c r="B661" s="80">
        <v>1138</v>
      </c>
      <c r="C661" s="81" t="s">
        <v>618</v>
      </c>
      <c r="D661" s="73">
        <v>5</v>
      </c>
      <c r="E661" s="79" t="s">
        <v>16</v>
      </c>
      <c r="F661" s="79" t="s">
        <v>3725</v>
      </c>
      <c r="G661" s="79" t="s">
        <v>2996</v>
      </c>
      <c r="H661" s="79" t="s">
        <v>17</v>
      </c>
      <c r="I661" s="81"/>
      <c r="J661" s="81">
        <v>25</v>
      </c>
      <c r="K661" s="86"/>
      <c r="M661" s="78" t="s">
        <v>618</v>
      </c>
      <c r="N661" s="82"/>
      <c r="O661" s="81" t="s">
        <v>2256</v>
      </c>
      <c r="P661" s="81" t="s">
        <v>2256</v>
      </c>
      <c r="Q661" s="81"/>
      <c r="R661" s="83">
        <v>170000</v>
      </c>
      <c r="S661" s="79" t="s">
        <v>3002</v>
      </c>
      <c r="T661" s="84">
        <v>850000</v>
      </c>
      <c r="U661" s="81"/>
      <c r="V661" s="81"/>
      <c r="W661" s="78" t="s">
        <v>618</v>
      </c>
      <c r="X661" s="82"/>
      <c r="Y661" s="81" t="s">
        <v>2256</v>
      </c>
      <c r="Z661" s="81" t="s">
        <v>2256</v>
      </c>
      <c r="AA661" s="83">
        <v>850000</v>
      </c>
      <c r="AB661" s="85"/>
      <c r="AD661" s="78" t="s">
        <v>618</v>
      </c>
      <c r="AE661" s="82"/>
      <c r="AF661" s="81" t="s">
        <v>2256</v>
      </c>
      <c r="AG661" s="81" t="s">
        <v>2256</v>
      </c>
      <c r="AH661" s="83">
        <v>1190000</v>
      </c>
      <c r="AI661" s="85"/>
    </row>
    <row r="662" spans="1:35" s="79" customFormat="1" ht="11.25" customHeight="1" x14ac:dyDescent="0.2">
      <c r="A662" s="77" t="s">
        <v>620</v>
      </c>
      <c r="B662" s="80">
        <v>1143</v>
      </c>
      <c r="C662" s="81" t="s">
        <v>619</v>
      </c>
      <c r="D662" s="73">
        <v>5</v>
      </c>
      <c r="E662" s="79" t="s">
        <v>16</v>
      </c>
      <c r="F662" s="79" t="s">
        <v>3725</v>
      </c>
      <c r="G662" s="79" t="s">
        <v>2996</v>
      </c>
      <c r="H662" s="79" t="s">
        <v>17</v>
      </c>
      <c r="I662" s="81"/>
      <c r="J662" s="81">
        <v>25</v>
      </c>
      <c r="K662" s="86"/>
      <c r="M662" s="78" t="s">
        <v>621</v>
      </c>
      <c r="N662" s="82"/>
      <c r="O662" s="81" t="s">
        <v>2379</v>
      </c>
      <c r="P662" s="81" t="s">
        <v>2256</v>
      </c>
      <c r="Q662" s="81"/>
      <c r="R662" s="83">
        <v>110000</v>
      </c>
      <c r="S662" s="79" t="s">
        <v>3079</v>
      </c>
      <c r="T662" s="84">
        <v>550000</v>
      </c>
      <c r="U662" s="81"/>
      <c r="V662" s="81"/>
      <c r="W662" s="78" t="s">
        <v>621</v>
      </c>
      <c r="X662" s="82"/>
      <c r="Y662" s="81" t="s">
        <v>2379</v>
      </c>
      <c r="Z662" s="81" t="s">
        <v>2256</v>
      </c>
      <c r="AA662" s="83">
        <v>550000</v>
      </c>
      <c r="AB662" s="85"/>
      <c r="AD662" s="78" t="s">
        <v>621</v>
      </c>
      <c r="AE662" s="82"/>
      <c r="AF662" s="81" t="s">
        <v>2379</v>
      </c>
      <c r="AG662" s="81" t="s">
        <v>2256</v>
      </c>
      <c r="AH662" s="83">
        <v>770000</v>
      </c>
      <c r="AI662" s="85"/>
    </row>
    <row r="663" spans="1:35" s="79" customFormat="1" ht="11.25" customHeight="1" x14ac:dyDescent="0.2">
      <c r="A663" s="77" t="s">
        <v>1316</v>
      </c>
      <c r="B663" s="80">
        <v>1139</v>
      </c>
      <c r="C663" s="81" t="s">
        <v>621</v>
      </c>
      <c r="D663" s="73">
        <v>5</v>
      </c>
      <c r="E663" s="79" t="s">
        <v>16</v>
      </c>
      <c r="F663" s="79" t="s">
        <v>3725</v>
      </c>
      <c r="G663" s="79" t="s">
        <v>2996</v>
      </c>
      <c r="H663" s="79" t="s">
        <v>17</v>
      </c>
      <c r="I663" s="81"/>
      <c r="J663" s="81">
        <v>25</v>
      </c>
      <c r="K663" s="86"/>
      <c r="M663" s="78" t="s">
        <v>621</v>
      </c>
      <c r="N663" s="82"/>
      <c r="O663" s="81" t="s">
        <v>2256</v>
      </c>
      <c r="P663" s="81" t="s">
        <v>2256</v>
      </c>
      <c r="Q663" s="81"/>
      <c r="R663" s="83">
        <v>110000</v>
      </c>
      <c r="S663" s="79" t="s">
        <v>3002</v>
      </c>
      <c r="T663" s="84">
        <v>550000</v>
      </c>
      <c r="U663" s="81"/>
      <c r="V663" s="81"/>
      <c r="W663" s="78" t="s">
        <v>621</v>
      </c>
      <c r="X663" s="82"/>
      <c r="Y663" s="81" t="s">
        <v>2256</v>
      </c>
      <c r="Z663" s="81" t="s">
        <v>2256</v>
      </c>
      <c r="AA663" s="83">
        <v>550000</v>
      </c>
      <c r="AB663" s="85"/>
      <c r="AD663" s="78" t="s">
        <v>621</v>
      </c>
      <c r="AE663" s="82"/>
      <c r="AF663" s="81" t="s">
        <v>2256</v>
      </c>
      <c r="AG663" s="81" t="s">
        <v>2256</v>
      </c>
      <c r="AH663" s="83">
        <v>770000</v>
      </c>
      <c r="AI663" s="85"/>
    </row>
    <row r="664" spans="1:35" s="79" customFormat="1" ht="11.25" customHeight="1" x14ac:dyDescent="0.2">
      <c r="A664" s="77" t="s">
        <v>623</v>
      </c>
      <c r="B664" s="80">
        <v>1140</v>
      </c>
      <c r="C664" s="81" t="s">
        <v>622</v>
      </c>
      <c r="D664" s="73">
        <v>80</v>
      </c>
      <c r="E664" s="79" t="s">
        <v>16</v>
      </c>
      <c r="F664" s="79" t="s">
        <v>3725</v>
      </c>
      <c r="G664" s="79" t="s">
        <v>2996</v>
      </c>
      <c r="H664" s="79" t="s">
        <v>17</v>
      </c>
      <c r="I664" s="81"/>
      <c r="J664" s="81">
        <v>25</v>
      </c>
      <c r="K664" s="86"/>
      <c r="M664" s="78" t="s">
        <v>624</v>
      </c>
      <c r="N664" s="82"/>
      <c r="O664" s="81" t="s">
        <v>2380</v>
      </c>
      <c r="P664" s="81" t="s">
        <v>2256</v>
      </c>
      <c r="Q664" s="81"/>
      <c r="R664" s="83">
        <v>10000</v>
      </c>
      <c r="S664" s="79" t="s">
        <v>3080</v>
      </c>
      <c r="T664" s="84">
        <v>800000</v>
      </c>
      <c r="U664" s="81"/>
      <c r="V664" s="81"/>
      <c r="W664" s="78" t="s">
        <v>624</v>
      </c>
      <c r="X664" s="82"/>
      <c r="Y664" s="81" t="s">
        <v>2380</v>
      </c>
      <c r="Z664" s="81" t="s">
        <v>2256</v>
      </c>
      <c r="AA664" s="83">
        <v>50000</v>
      </c>
      <c r="AB664" s="85"/>
      <c r="AD664" s="78" t="s">
        <v>624</v>
      </c>
      <c r="AE664" s="82"/>
      <c r="AF664" s="81" t="s">
        <v>2380</v>
      </c>
      <c r="AG664" s="81" t="s">
        <v>2256</v>
      </c>
      <c r="AH664" s="83">
        <v>70000</v>
      </c>
      <c r="AI664" s="85"/>
    </row>
    <row r="665" spans="1:35" s="79" customFormat="1" ht="11.25" customHeight="1" x14ac:dyDescent="0.2">
      <c r="A665" s="77" t="s">
        <v>1319</v>
      </c>
      <c r="B665" s="80">
        <v>1136</v>
      </c>
      <c r="C665" s="81" t="s">
        <v>624</v>
      </c>
      <c r="D665" s="73">
        <v>80</v>
      </c>
      <c r="E665" s="79" t="s">
        <v>16</v>
      </c>
      <c r="F665" s="79" t="s">
        <v>3725</v>
      </c>
      <c r="G665" s="79" t="s">
        <v>2996</v>
      </c>
      <c r="H665" s="79" t="s">
        <v>17</v>
      </c>
      <c r="I665" s="81"/>
      <c r="J665" s="81">
        <v>25</v>
      </c>
      <c r="K665" s="86"/>
      <c r="M665" s="78" t="s">
        <v>624</v>
      </c>
      <c r="N665" s="82"/>
      <c r="O665" s="81" t="s">
        <v>2256</v>
      </c>
      <c r="P665" s="81" t="s">
        <v>2256</v>
      </c>
      <c r="Q665" s="81"/>
      <c r="R665" s="83">
        <v>10000</v>
      </c>
      <c r="S665" s="79" t="s">
        <v>3002</v>
      </c>
      <c r="T665" s="84">
        <v>800000</v>
      </c>
      <c r="U665" s="81"/>
      <c r="V665" s="81"/>
      <c r="W665" s="78" t="s">
        <v>624</v>
      </c>
      <c r="X665" s="82"/>
      <c r="Y665" s="81" t="s">
        <v>2256</v>
      </c>
      <c r="Z665" s="81" t="s">
        <v>2256</v>
      </c>
      <c r="AA665" s="83">
        <v>50000</v>
      </c>
      <c r="AB665" s="85"/>
      <c r="AD665" s="78" t="s">
        <v>624</v>
      </c>
      <c r="AE665" s="82"/>
      <c r="AF665" s="81" t="s">
        <v>2256</v>
      </c>
      <c r="AG665" s="81" t="s">
        <v>2256</v>
      </c>
      <c r="AH665" s="83">
        <v>70000</v>
      </c>
      <c r="AI665" s="85"/>
    </row>
    <row r="666" spans="1:35" s="79" customFormat="1" ht="11.25" customHeight="1" x14ac:dyDescent="0.2">
      <c r="A666" s="77" t="s">
        <v>627</v>
      </c>
      <c r="B666" s="80">
        <v>1141</v>
      </c>
      <c r="C666" s="81" t="s">
        <v>626</v>
      </c>
      <c r="D666" s="73">
        <v>80</v>
      </c>
      <c r="E666" s="79" t="s">
        <v>16</v>
      </c>
      <c r="F666" s="79" t="s">
        <v>3725</v>
      </c>
      <c r="G666" s="79" t="s">
        <v>2996</v>
      </c>
      <c r="H666" s="79" t="s">
        <v>17</v>
      </c>
      <c r="I666" s="81"/>
      <c r="J666" s="81">
        <v>25</v>
      </c>
      <c r="K666" s="86"/>
      <c r="M666" s="78" t="s">
        <v>628</v>
      </c>
      <c r="N666" s="82"/>
      <c r="O666" s="81" t="s">
        <v>2382</v>
      </c>
      <c r="P666" s="81" t="s">
        <v>2256</v>
      </c>
      <c r="Q666" s="81"/>
      <c r="R666" s="83">
        <v>7000</v>
      </c>
      <c r="S666" s="79" t="s">
        <v>3082</v>
      </c>
      <c r="T666" s="84">
        <v>560000</v>
      </c>
      <c r="U666" s="81"/>
      <c r="V666" s="81"/>
      <c r="W666" s="78" t="s">
        <v>628</v>
      </c>
      <c r="X666" s="82"/>
      <c r="Y666" s="81" t="s">
        <v>2382</v>
      </c>
      <c r="Z666" s="81" t="s">
        <v>2256</v>
      </c>
      <c r="AA666" s="83">
        <v>35000</v>
      </c>
      <c r="AB666" s="85"/>
      <c r="AD666" s="78" t="s">
        <v>628</v>
      </c>
      <c r="AE666" s="82"/>
      <c r="AF666" s="81" t="s">
        <v>2382</v>
      </c>
      <c r="AG666" s="81" t="s">
        <v>2256</v>
      </c>
      <c r="AH666" s="83">
        <v>49000</v>
      </c>
      <c r="AI666" s="85"/>
    </row>
    <row r="667" spans="1:35" s="79" customFormat="1" ht="11.25" customHeight="1" x14ac:dyDescent="0.2">
      <c r="A667" s="77" t="s">
        <v>1320</v>
      </c>
      <c r="B667" s="80">
        <v>1137</v>
      </c>
      <c r="C667" s="81" t="s">
        <v>628</v>
      </c>
      <c r="D667" s="73">
        <v>80</v>
      </c>
      <c r="E667" s="79" t="s">
        <v>16</v>
      </c>
      <c r="F667" s="79" t="s">
        <v>3725</v>
      </c>
      <c r="G667" s="79" t="s">
        <v>2996</v>
      </c>
      <c r="H667" s="79" t="s">
        <v>17</v>
      </c>
      <c r="I667" s="81"/>
      <c r="J667" s="81">
        <v>25</v>
      </c>
      <c r="K667" s="86"/>
      <c r="M667" s="78" t="s">
        <v>628</v>
      </c>
      <c r="N667" s="82"/>
      <c r="O667" s="81" t="s">
        <v>2256</v>
      </c>
      <c r="P667" s="81" t="s">
        <v>2256</v>
      </c>
      <c r="Q667" s="81"/>
      <c r="R667" s="83">
        <v>7000</v>
      </c>
      <c r="S667" s="79" t="s">
        <v>3002</v>
      </c>
      <c r="T667" s="84">
        <v>560000</v>
      </c>
      <c r="U667" s="81"/>
      <c r="V667" s="81"/>
      <c r="W667" s="78" t="s">
        <v>628</v>
      </c>
      <c r="X667" s="82"/>
      <c r="Y667" s="81" t="s">
        <v>2256</v>
      </c>
      <c r="Z667" s="81" t="s">
        <v>2256</v>
      </c>
      <c r="AA667" s="83">
        <v>35000</v>
      </c>
      <c r="AB667" s="85"/>
      <c r="AD667" s="78" t="s">
        <v>628</v>
      </c>
      <c r="AE667" s="82"/>
      <c r="AF667" s="81" t="s">
        <v>2256</v>
      </c>
      <c r="AG667" s="81" t="s">
        <v>2256</v>
      </c>
      <c r="AH667" s="83">
        <v>49000</v>
      </c>
      <c r="AI667" s="85"/>
    </row>
    <row r="668" spans="1:35" s="79" customFormat="1" ht="11.25" customHeight="1" x14ac:dyDescent="0.2">
      <c r="A668" s="77" t="s">
        <v>1344</v>
      </c>
      <c r="B668" s="80">
        <v>288</v>
      </c>
      <c r="C668" s="81" t="s">
        <v>1343</v>
      </c>
      <c r="D668" s="73">
        <v>80</v>
      </c>
      <c r="E668" s="79" t="s">
        <v>16</v>
      </c>
      <c r="F668" s="79" t="s">
        <v>3725</v>
      </c>
      <c r="G668" s="79" t="s">
        <v>2996</v>
      </c>
      <c r="H668" s="79" t="s">
        <v>17</v>
      </c>
      <c r="I668" s="81"/>
      <c r="J668" s="81">
        <v>5</v>
      </c>
      <c r="K668" s="86"/>
      <c r="M668" s="78" t="s">
        <v>1343</v>
      </c>
      <c r="N668" s="82"/>
      <c r="O668" s="81"/>
      <c r="P668" s="81" t="s">
        <v>2256</v>
      </c>
      <c r="Q668" s="81"/>
      <c r="R668" s="83">
        <v>1250</v>
      </c>
      <c r="S668" s="79" t="s">
        <v>3002</v>
      </c>
      <c r="T668" s="84">
        <v>100000</v>
      </c>
      <c r="U668" s="81"/>
      <c r="V668" s="81"/>
      <c r="W668" s="78" t="s">
        <v>1343</v>
      </c>
      <c r="X668" s="82"/>
      <c r="Y668" s="81"/>
      <c r="Z668" s="81" t="s">
        <v>2256</v>
      </c>
      <c r="AA668" s="83">
        <v>6000</v>
      </c>
      <c r="AB668" s="85"/>
      <c r="AD668" s="78" t="s">
        <v>1343</v>
      </c>
      <c r="AE668" s="82"/>
      <c r="AF668" s="81"/>
      <c r="AG668" s="81" t="s">
        <v>2256</v>
      </c>
      <c r="AH668" s="83">
        <v>9000</v>
      </c>
      <c r="AI668" s="85"/>
    </row>
    <row r="669" spans="1:35" s="79" customFormat="1" ht="11.25" customHeight="1" x14ac:dyDescent="0.2">
      <c r="A669" s="77" t="s">
        <v>1644</v>
      </c>
      <c r="B669" s="80">
        <v>290</v>
      </c>
      <c r="C669" s="81" t="s">
        <v>1643</v>
      </c>
      <c r="D669" s="73">
        <v>80</v>
      </c>
      <c r="E669" s="79" t="s">
        <v>16</v>
      </c>
      <c r="F669" s="79" t="s">
        <v>3725</v>
      </c>
      <c r="G669" s="79" t="s">
        <v>2996</v>
      </c>
      <c r="H669" s="79" t="s">
        <v>17</v>
      </c>
      <c r="I669" s="81"/>
      <c r="J669" s="81">
        <v>1</v>
      </c>
      <c r="K669" s="86"/>
      <c r="M669" s="78" t="s">
        <v>1343</v>
      </c>
      <c r="N669" s="82"/>
      <c r="O669" s="81" t="s">
        <v>3653</v>
      </c>
      <c r="P669" s="81" t="s">
        <v>2256</v>
      </c>
      <c r="Q669" s="81"/>
      <c r="R669" s="83">
        <v>1250</v>
      </c>
      <c r="S669" s="79" t="s">
        <v>3652</v>
      </c>
      <c r="T669" s="84">
        <v>100000</v>
      </c>
      <c r="U669" s="81"/>
      <c r="V669" s="81"/>
      <c r="W669" s="78" t="s">
        <v>1343</v>
      </c>
      <c r="X669" s="82"/>
      <c r="Y669" s="81" t="s">
        <v>3653</v>
      </c>
      <c r="Z669" s="81" t="s">
        <v>2256</v>
      </c>
      <c r="AA669" s="83">
        <v>6000</v>
      </c>
      <c r="AB669" s="85"/>
      <c r="AD669" s="78" t="s">
        <v>1343</v>
      </c>
      <c r="AE669" s="82"/>
      <c r="AF669" s="81" t="s">
        <v>3653</v>
      </c>
      <c r="AG669" s="81" t="s">
        <v>2256</v>
      </c>
      <c r="AH669" s="83">
        <v>9000</v>
      </c>
      <c r="AI669" s="85"/>
    </row>
    <row r="670" spans="1:35" s="79" customFormat="1" ht="11.25" customHeight="1" x14ac:dyDescent="0.2">
      <c r="A670" s="77" t="s">
        <v>1349</v>
      </c>
      <c r="B670" s="80">
        <v>152</v>
      </c>
      <c r="C670" s="81" t="s">
        <v>1348</v>
      </c>
      <c r="D670" s="73">
        <v>80</v>
      </c>
      <c r="E670" s="79" t="s">
        <v>16</v>
      </c>
      <c r="F670" s="79" t="s">
        <v>3725</v>
      </c>
      <c r="G670" s="79" t="s">
        <v>2996</v>
      </c>
      <c r="H670" s="79" t="s">
        <v>17</v>
      </c>
      <c r="I670" s="81"/>
      <c r="J670" s="81">
        <v>25</v>
      </c>
      <c r="K670" s="86"/>
      <c r="M670" s="78" t="s">
        <v>1348</v>
      </c>
      <c r="N670" s="82"/>
      <c r="O670" s="81" t="s">
        <v>2256</v>
      </c>
      <c r="P670" s="81" t="s">
        <v>2256</v>
      </c>
      <c r="Q670" s="81"/>
      <c r="R670" s="83">
        <v>5000</v>
      </c>
      <c r="S670" s="79" t="s">
        <v>3002</v>
      </c>
      <c r="T670" s="84">
        <v>400000</v>
      </c>
      <c r="U670" s="81"/>
      <c r="V670" s="81"/>
      <c r="W670" s="78" t="s">
        <v>1348</v>
      </c>
      <c r="X670" s="82"/>
      <c r="Y670" s="81" t="s">
        <v>2256</v>
      </c>
      <c r="Z670" s="81" t="s">
        <v>2256</v>
      </c>
      <c r="AA670" s="83">
        <v>25000</v>
      </c>
      <c r="AB670" s="85"/>
      <c r="AD670" s="78" t="s">
        <v>1348</v>
      </c>
      <c r="AE670" s="82"/>
      <c r="AF670" s="81" t="s">
        <v>2256</v>
      </c>
      <c r="AG670" s="81" t="s">
        <v>2256</v>
      </c>
      <c r="AH670" s="83">
        <v>37500</v>
      </c>
      <c r="AI670" s="85"/>
    </row>
    <row r="671" spans="1:35" s="79" customFormat="1" ht="11.25" customHeight="1" x14ac:dyDescent="0.2">
      <c r="A671" s="77" t="s">
        <v>3803</v>
      </c>
      <c r="B671" s="80">
        <v>956</v>
      </c>
      <c r="C671" s="81" t="s">
        <v>1563</v>
      </c>
      <c r="D671" s="73">
        <v>80</v>
      </c>
      <c r="E671" s="79" t="s">
        <v>16</v>
      </c>
      <c r="F671" s="79" t="s">
        <v>3725</v>
      </c>
      <c r="G671" s="79" t="s">
        <v>2996</v>
      </c>
      <c r="H671" s="79" t="s">
        <v>17</v>
      </c>
      <c r="I671" s="81"/>
      <c r="J671" s="81">
        <v>25</v>
      </c>
      <c r="K671" s="86"/>
      <c r="M671" s="78" t="s">
        <v>1348</v>
      </c>
      <c r="N671" s="82"/>
      <c r="O671" s="81" t="s">
        <v>3781</v>
      </c>
      <c r="P671" s="81" t="s">
        <v>2256</v>
      </c>
      <c r="Q671" s="81"/>
      <c r="R671" s="83">
        <v>5000</v>
      </c>
      <c r="S671" s="79" t="s">
        <v>3191</v>
      </c>
      <c r="T671" s="84">
        <v>400000</v>
      </c>
      <c r="U671" s="81"/>
      <c r="V671" s="81"/>
      <c r="W671" s="78" t="s">
        <v>1348</v>
      </c>
      <c r="X671" s="82"/>
      <c r="Y671" s="81" t="s">
        <v>3781</v>
      </c>
      <c r="Z671" s="81" t="s">
        <v>2256</v>
      </c>
      <c r="AA671" s="83">
        <v>25000</v>
      </c>
      <c r="AB671" s="85"/>
      <c r="AD671" s="78" t="s">
        <v>1348</v>
      </c>
      <c r="AE671" s="82"/>
      <c r="AF671" s="81" t="s">
        <v>3781</v>
      </c>
      <c r="AG671" s="81" t="s">
        <v>2256</v>
      </c>
      <c r="AH671" s="83">
        <v>37500</v>
      </c>
      <c r="AI671" s="85"/>
    </row>
    <row r="672" spans="1:35" s="79" customFormat="1" ht="11.25" customHeight="1" x14ac:dyDescent="0.2">
      <c r="A672" s="77" t="s">
        <v>1384</v>
      </c>
      <c r="B672" s="80">
        <v>407</v>
      </c>
      <c r="C672" s="81" t="s">
        <v>1383</v>
      </c>
      <c r="D672" s="73">
        <v>12</v>
      </c>
      <c r="E672" s="79" t="s">
        <v>3480</v>
      </c>
      <c r="F672" s="79" t="s">
        <v>30</v>
      </c>
      <c r="G672" s="79" t="s">
        <v>2995</v>
      </c>
      <c r="H672" s="79" t="s">
        <v>17</v>
      </c>
      <c r="I672" s="81"/>
      <c r="J672" s="81">
        <v>25</v>
      </c>
      <c r="K672" s="86"/>
      <c r="M672" s="78" t="s">
        <v>260</v>
      </c>
      <c r="N672" s="82"/>
      <c r="O672" s="81" t="s">
        <v>2573</v>
      </c>
      <c r="P672" s="81" t="s">
        <v>2256</v>
      </c>
      <c r="Q672" s="81"/>
      <c r="R672" s="83">
        <v>200</v>
      </c>
      <c r="S672" s="79" t="s">
        <v>3032</v>
      </c>
      <c r="T672" s="84">
        <v>170000</v>
      </c>
      <c r="U672" s="81"/>
      <c r="V672" s="81"/>
      <c r="W672" s="78" t="s">
        <v>260</v>
      </c>
      <c r="X672" s="82"/>
      <c r="Y672" s="81" t="s">
        <v>2573</v>
      </c>
      <c r="Z672" s="81" t="s">
        <v>2256</v>
      </c>
      <c r="AA672" s="83">
        <v>1500</v>
      </c>
      <c r="AB672" s="85"/>
      <c r="AD672" s="78" t="s">
        <v>260</v>
      </c>
      <c r="AE672" s="82"/>
      <c r="AF672" s="81" t="s">
        <v>2573</v>
      </c>
      <c r="AG672" s="81" t="s">
        <v>2256</v>
      </c>
      <c r="AH672" s="83">
        <v>1500</v>
      </c>
      <c r="AI672" s="85"/>
    </row>
    <row r="673" spans="1:35" s="79" customFormat="1" ht="11.25" customHeight="1" x14ac:dyDescent="0.2">
      <c r="A673" s="77" t="s">
        <v>1395</v>
      </c>
      <c r="B673" s="80">
        <v>756</v>
      </c>
      <c r="C673" s="81" t="s">
        <v>260</v>
      </c>
      <c r="D673" s="73">
        <v>850</v>
      </c>
      <c r="E673" s="79" t="s">
        <v>16</v>
      </c>
      <c r="F673" s="79" t="s">
        <v>3725</v>
      </c>
      <c r="G673" s="79" t="s">
        <v>2996</v>
      </c>
      <c r="H673" s="79" t="s">
        <v>17</v>
      </c>
      <c r="I673" s="81"/>
      <c r="J673" s="81">
        <v>25</v>
      </c>
      <c r="K673" s="86"/>
      <c r="M673" s="78" t="s">
        <v>260</v>
      </c>
      <c r="N673" s="82"/>
      <c r="O673" s="81" t="s">
        <v>2256</v>
      </c>
      <c r="P673" s="81" t="s">
        <v>2256</v>
      </c>
      <c r="Q673" s="81"/>
      <c r="R673" s="83">
        <v>200</v>
      </c>
      <c r="S673" s="79" t="s">
        <v>3002</v>
      </c>
      <c r="T673" s="84">
        <v>170000</v>
      </c>
      <c r="U673" s="81"/>
      <c r="V673" s="81"/>
      <c r="W673" s="78" t="s">
        <v>260</v>
      </c>
      <c r="X673" s="82"/>
      <c r="Y673" s="81" t="s">
        <v>2256</v>
      </c>
      <c r="Z673" s="81" t="s">
        <v>2256</v>
      </c>
      <c r="AA673" s="83">
        <v>1500</v>
      </c>
      <c r="AB673" s="85"/>
      <c r="AD673" s="78" t="s">
        <v>260</v>
      </c>
      <c r="AE673" s="82"/>
      <c r="AF673" s="81" t="s">
        <v>2256</v>
      </c>
      <c r="AG673" s="81" t="s">
        <v>2256</v>
      </c>
      <c r="AH673" s="83">
        <v>1500</v>
      </c>
      <c r="AI673" s="85"/>
    </row>
    <row r="674" spans="1:35" s="79" customFormat="1" ht="11.25" x14ac:dyDescent="0.2">
      <c r="A674" s="77" t="s">
        <v>1457</v>
      </c>
      <c r="B674" s="80">
        <v>381</v>
      </c>
      <c r="C674" s="81" t="s">
        <v>1456</v>
      </c>
      <c r="D674" s="73">
        <v>850</v>
      </c>
      <c r="E674" s="79" t="s">
        <v>16</v>
      </c>
      <c r="F674" s="79" t="s">
        <v>129</v>
      </c>
      <c r="G674" s="79" t="s">
        <v>2995</v>
      </c>
      <c r="H674" s="79" t="s">
        <v>17</v>
      </c>
      <c r="I674" s="81"/>
      <c r="J674" s="81">
        <v>25</v>
      </c>
      <c r="K674" s="86"/>
      <c r="M674" s="78" t="s">
        <v>260</v>
      </c>
      <c r="N674" s="82"/>
      <c r="O674" s="81" t="s">
        <v>2591</v>
      </c>
      <c r="P674" s="81" t="s">
        <v>2256</v>
      </c>
      <c r="Q674" s="81"/>
      <c r="R674" s="83">
        <v>200</v>
      </c>
      <c r="S674" s="79" t="s">
        <v>3032</v>
      </c>
      <c r="T674" s="84">
        <v>170000</v>
      </c>
      <c r="U674" s="81"/>
      <c r="V674" s="81"/>
      <c r="W674" s="78" t="s">
        <v>260</v>
      </c>
      <c r="X674" s="82"/>
      <c r="Y674" s="81" t="s">
        <v>2591</v>
      </c>
      <c r="Z674" s="81" t="s">
        <v>2256</v>
      </c>
      <c r="AA674" s="83">
        <v>1500</v>
      </c>
      <c r="AB674" s="85"/>
      <c r="AD674" s="78" t="s">
        <v>260</v>
      </c>
      <c r="AE674" s="82"/>
      <c r="AF674" s="81" t="s">
        <v>2591</v>
      </c>
      <c r="AG674" s="81" t="s">
        <v>2256</v>
      </c>
      <c r="AH674" s="83">
        <v>1500</v>
      </c>
      <c r="AI674" s="85"/>
    </row>
    <row r="675" spans="1:35" s="79" customFormat="1" ht="11.25" x14ac:dyDescent="0.2">
      <c r="A675" s="77" t="s">
        <v>1851</v>
      </c>
      <c r="B675" s="80">
        <v>800</v>
      </c>
      <c r="C675" s="81" t="s">
        <v>1850</v>
      </c>
      <c r="D675" s="73">
        <v>80</v>
      </c>
      <c r="E675" s="79" t="s">
        <v>16</v>
      </c>
      <c r="F675" s="79" t="s">
        <v>3725</v>
      </c>
      <c r="G675" s="79" t="s">
        <v>2996</v>
      </c>
      <c r="H675" s="79" t="s">
        <v>17</v>
      </c>
      <c r="I675" s="81"/>
      <c r="J675" s="81">
        <v>25</v>
      </c>
      <c r="K675" s="86"/>
      <c r="M675" s="78" t="s">
        <v>260</v>
      </c>
      <c r="N675" s="82"/>
      <c r="O675" s="23" t="s">
        <v>3411</v>
      </c>
      <c r="P675" s="81" t="s">
        <v>2256</v>
      </c>
      <c r="Q675" s="81"/>
      <c r="R675" s="83">
        <v>200</v>
      </c>
      <c r="S675" s="79" t="s">
        <v>3032</v>
      </c>
      <c r="T675" s="84">
        <v>170000</v>
      </c>
      <c r="U675" s="81"/>
      <c r="V675" s="81"/>
      <c r="W675" s="78" t="s">
        <v>260</v>
      </c>
      <c r="X675" s="82"/>
      <c r="Y675" s="23" t="s">
        <v>3411</v>
      </c>
      <c r="Z675" s="81" t="s">
        <v>2256</v>
      </c>
      <c r="AA675" s="83">
        <v>1500</v>
      </c>
      <c r="AB675" s="85"/>
      <c r="AD675" s="78" t="s">
        <v>260</v>
      </c>
      <c r="AE675" s="82"/>
      <c r="AF675" s="23" t="s">
        <v>3411</v>
      </c>
      <c r="AG675" s="81" t="s">
        <v>2256</v>
      </c>
      <c r="AH675" s="83">
        <v>1500</v>
      </c>
      <c r="AI675" s="85"/>
    </row>
    <row r="676" spans="1:35" s="79" customFormat="1" ht="11.25" customHeight="1" x14ac:dyDescent="0.2">
      <c r="A676" s="77" t="s">
        <v>3804</v>
      </c>
      <c r="B676" s="81" t="s">
        <v>259</v>
      </c>
      <c r="C676" s="81" t="s">
        <v>258</v>
      </c>
      <c r="D676" s="73">
        <v>80</v>
      </c>
      <c r="E676" s="79" t="s">
        <v>16</v>
      </c>
      <c r="F676" s="79" t="s">
        <v>3725</v>
      </c>
      <c r="G676" s="79" t="s">
        <v>2996</v>
      </c>
      <c r="H676" s="79" t="s">
        <v>17</v>
      </c>
      <c r="I676" s="81"/>
      <c r="J676" s="81">
        <v>25</v>
      </c>
      <c r="K676" s="86"/>
      <c r="M676" s="78" t="s">
        <v>260</v>
      </c>
      <c r="N676" s="82"/>
      <c r="O676" s="81" t="s">
        <v>3782</v>
      </c>
      <c r="P676" s="81" t="s">
        <v>2256</v>
      </c>
      <c r="Q676" s="81"/>
      <c r="R676" s="83">
        <v>200</v>
      </c>
      <c r="S676" s="79" t="s">
        <v>3032</v>
      </c>
      <c r="T676" s="84">
        <v>170000</v>
      </c>
      <c r="U676" s="81"/>
      <c r="V676" s="81"/>
      <c r="W676" s="78" t="s">
        <v>260</v>
      </c>
      <c r="X676" s="82"/>
      <c r="Y676" s="81" t="s">
        <v>3782</v>
      </c>
      <c r="Z676" s="81" t="s">
        <v>2256</v>
      </c>
      <c r="AA676" s="83">
        <v>1500</v>
      </c>
      <c r="AB676" s="85"/>
      <c r="AD676" s="78" t="s">
        <v>260</v>
      </c>
      <c r="AE676" s="82"/>
      <c r="AF676" s="81" t="s">
        <v>3782</v>
      </c>
      <c r="AG676" s="81" t="s">
        <v>2256</v>
      </c>
      <c r="AH676" s="83">
        <v>1500</v>
      </c>
      <c r="AI676" s="85"/>
    </row>
    <row r="677" spans="1:35" s="79" customFormat="1" ht="11.25" customHeight="1" x14ac:dyDescent="0.2">
      <c r="A677" s="77" t="s">
        <v>1404</v>
      </c>
      <c r="B677" s="80">
        <v>1106</v>
      </c>
      <c r="C677" s="81" t="s">
        <v>1403</v>
      </c>
      <c r="D677" s="73">
        <v>5</v>
      </c>
      <c r="E677" s="79" t="s">
        <v>16</v>
      </c>
      <c r="F677" s="79" t="s">
        <v>3725</v>
      </c>
      <c r="G677" s="79" t="s">
        <v>2996</v>
      </c>
      <c r="H677" s="79" t="s">
        <v>17</v>
      </c>
      <c r="I677" s="81"/>
      <c r="J677" s="81">
        <v>25</v>
      </c>
      <c r="K677" s="86"/>
      <c r="M677" s="78" t="s">
        <v>1403</v>
      </c>
      <c r="N677" s="82"/>
      <c r="O677" s="81" t="s">
        <v>2256</v>
      </c>
      <c r="P677" s="81" t="s">
        <v>2256</v>
      </c>
      <c r="Q677" s="81"/>
      <c r="R677" s="83">
        <v>200</v>
      </c>
      <c r="S677" s="79" t="s">
        <v>3002</v>
      </c>
      <c r="T677" s="84">
        <v>1000</v>
      </c>
      <c r="U677" s="81"/>
      <c r="V677" s="81"/>
      <c r="W677" s="78" t="s">
        <v>1403</v>
      </c>
      <c r="X677" s="82"/>
      <c r="Y677" s="81" t="s">
        <v>2256</v>
      </c>
      <c r="Z677" s="81" t="s">
        <v>2256</v>
      </c>
      <c r="AA677" s="83">
        <v>1000</v>
      </c>
      <c r="AB677" s="85"/>
      <c r="AD677" s="78" t="s">
        <v>1403</v>
      </c>
      <c r="AE677" s="82"/>
      <c r="AF677" s="81" t="s">
        <v>2256</v>
      </c>
      <c r="AG677" s="81" t="s">
        <v>2256</v>
      </c>
      <c r="AH677" s="83">
        <v>1400</v>
      </c>
      <c r="AI677" s="85"/>
    </row>
    <row r="678" spans="1:35" s="79" customFormat="1" ht="11.25" customHeight="1" x14ac:dyDescent="0.2">
      <c r="A678" s="77" t="s">
        <v>1414</v>
      </c>
      <c r="B678" s="80">
        <v>1105</v>
      </c>
      <c r="C678" s="81" t="s">
        <v>1413</v>
      </c>
      <c r="D678" s="73">
        <v>5</v>
      </c>
      <c r="E678" s="79" t="s">
        <v>16</v>
      </c>
      <c r="F678" s="79" t="s">
        <v>3725</v>
      </c>
      <c r="G678" s="79" t="s">
        <v>2996</v>
      </c>
      <c r="H678" s="79" t="s">
        <v>17</v>
      </c>
      <c r="I678" s="81"/>
      <c r="J678" s="81">
        <v>25</v>
      </c>
      <c r="K678" s="86"/>
      <c r="M678" s="78" t="s">
        <v>1413</v>
      </c>
      <c r="N678" s="82"/>
      <c r="O678" s="81" t="s">
        <v>2256</v>
      </c>
      <c r="P678" s="81" t="s">
        <v>2256</v>
      </c>
      <c r="Q678" s="81"/>
      <c r="R678" s="83">
        <v>400</v>
      </c>
      <c r="S678" s="79" t="s">
        <v>3002</v>
      </c>
      <c r="T678" s="84">
        <v>2000</v>
      </c>
      <c r="U678" s="81"/>
      <c r="V678" s="81"/>
      <c r="W678" s="78" t="s">
        <v>1413</v>
      </c>
      <c r="X678" s="82"/>
      <c r="Y678" s="81" t="s">
        <v>2256</v>
      </c>
      <c r="Z678" s="81" t="s">
        <v>2256</v>
      </c>
      <c r="AA678" s="83">
        <v>2000</v>
      </c>
      <c r="AB678" s="85"/>
      <c r="AD678" s="78" t="s">
        <v>1413</v>
      </c>
      <c r="AE678" s="82"/>
      <c r="AF678" s="81" t="s">
        <v>2256</v>
      </c>
      <c r="AG678" s="81" t="s">
        <v>2256</v>
      </c>
      <c r="AH678" s="83">
        <v>2800</v>
      </c>
      <c r="AI678" s="85"/>
    </row>
    <row r="679" spans="1:35" s="79" customFormat="1" ht="11.25" customHeight="1" x14ac:dyDescent="0.2">
      <c r="A679" s="77" t="s">
        <v>1450</v>
      </c>
      <c r="B679" s="80">
        <v>289</v>
      </c>
      <c r="C679" s="81" t="s">
        <v>1449</v>
      </c>
      <c r="D679" s="73">
        <v>5</v>
      </c>
      <c r="E679" s="79" t="s">
        <v>16</v>
      </c>
      <c r="F679" s="79" t="s">
        <v>3725</v>
      </c>
      <c r="G679" s="79" t="s">
        <v>2996</v>
      </c>
      <c r="H679" s="79" t="s">
        <v>17</v>
      </c>
      <c r="I679" s="81"/>
      <c r="J679" s="81">
        <v>25</v>
      </c>
      <c r="K679" s="86"/>
      <c r="M679" s="78" t="s">
        <v>1449</v>
      </c>
      <c r="N679" s="82"/>
      <c r="O679" s="81"/>
      <c r="P679" s="81" t="s">
        <v>2256</v>
      </c>
      <c r="Q679" s="81"/>
      <c r="R679" s="83">
        <v>20000</v>
      </c>
      <c r="S679" s="79" t="s">
        <v>3002</v>
      </c>
      <c r="T679" s="84">
        <v>100000</v>
      </c>
      <c r="U679" s="81"/>
      <c r="V679" s="81"/>
      <c r="W679" s="78" t="s">
        <v>1449</v>
      </c>
      <c r="X679" s="82"/>
      <c r="Y679" s="81"/>
      <c r="Z679" s="81" t="s">
        <v>2256</v>
      </c>
      <c r="AA679" s="83">
        <v>100000</v>
      </c>
      <c r="AB679" s="85"/>
      <c r="AD679" s="78" t="s">
        <v>1449</v>
      </c>
      <c r="AE679" s="82"/>
      <c r="AF679" s="81"/>
      <c r="AG679" s="81" t="s">
        <v>2256</v>
      </c>
      <c r="AH679" s="83">
        <v>150000</v>
      </c>
      <c r="AI679" s="85"/>
    </row>
    <row r="680" spans="1:35" s="79" customFormat="1" ht="11.25" customHeight="1" x14ac:dyDescent="0.2">
      <c r="A680" s="77" t="s">
        <v>1650</v>
      </c>
      <c r="B680" s="80">
        <v>291</v>
      </c>
      <c r="C680" s="81" t="s">
        <v>1649</v>
      </c>
      <c r="D680" s="73">
        <v>5</v>
      </c>
      <c r="E680" s="79" t="s">
        <v>16</v>
      </c>
      <c r="F680" s="79" t="s">
        <v>3725</v>
      </c>
      <c r="G680" s="79" t="s">
        <v>2996</v>
      </c>
      <c r="H680" s="79" t="s">
        <v>17</v>
      </c>
      <c r="I680" s="81"/>
      <c r="J680" s="81">
        <v>25</v>
      </c>
      <c r="K680" s="86"/>
      <c r="M680" s="78" t="s">
        <v>1449</v>
      </c>
      <c r="N680" s="82"/>
      <c r="O680" s="81" t="s">
        <v>3661</v>
      </c>
      <c r="P680" s="81" t="s">
        <v>2256</v>
      </c>
      <c r="Q680" s="81"/>
      <c r="R680" s="83">
        <v>20000</v>
      </c>
      <c r="S680" s="79" t="s">
        <v>3654</v>
      </c>
      <c r="T680" s="84">
        <v>100000</v>
      </c>
      <c r="U680" s="81"/>
      <c r="V680" s="81"/>
      <c r="W680" s="78" t="s">
        <v>1449</v>
      </c>
      <c r="X680" s="82"/>
      <c r="Y680" s="81" t="s">
        <v>3661</v>
      </c>
      <c r="Z680" s="81" t="s">
        <v>2256</v>
      </c>
      <c r="AA680" s="83">
        <v>100000</v>
      </c>
      <c r="AB680" s="85"/>
      <c r="AD680" s="78" t="s">
        <v>1449</v>
      </c>
      <c r="AE680" s="82"/>
      <c r="AF680" s="81" t="s">
        <v>3661</v>
      </c>
      <c r="AG680" s="81" t="s">
        <v>2256</v>
      </c>
      <c r="AH680" s="83">
        <v>150000</v>
      </c>
      <c r="AI680" s="85"/>
    </row>
    <row r="681" spans="1:35" s="79" customFormat="1" ht="11.25" customHeight="1" x14ac:dyDescent="0.2">
      <c r="A681" s="77" t="s">
        <v>1461</v>
      </c>
      <c r="B681" s="80">
        <v>965</v>
      </c>
      <c r="C681" s="81" t="s">
        <v>1460</v>
      </c>
      <c r="D681" s="73">
        <v>5</v>
      </c>
      <c r="E681" s="79" t="s">
        <v>16</v>
      </c>
      <c r="F681" s="79" t="s">
        <v>3725</v>
      </c>
      <c r="G681" s="79" t="s">
        <v>2996</v>
      </c>
      <c r="H681" s="79" t="s">
        <v>17</v>
      </c>
      <c r="I681" s="81"/>
      <c r="J681" s="81">
        <v>25</v>
      </c>
      <c r="K681" s="86"/>
      <c r="M681" s="78" t="s">
        <v>1462</v>
      </c>
      <c r="N681" s="82"/>
      <c r="O681" s="81" t="s">
        <v>2593</v>
      </c>
      <c r="P681" s="81" t="s">
        <v>2256</v>
      </c>
      <c r="Q681" s="81"/>
      <c r="R681" s="83">
        <v>5000</v>
      </c>
      <c r="S681" s="79" t="s">
        <v>3531</v>
      </c>
      <c r="T681" s="84">
        <v>25000</v>
      </c>
      <c r="U681" s="81"/>
      <c r="V681" s="81"/>
      <c r="W681" s="78" t="s">
        <v>1462</v>
      </c>
      <c r="X681" s="82"/>
      <c r="Y681" s="81" t="s">
        <v>2593</v>
      </c>
      <c r="Z681" s="81" t="s">
        <v>2256</v>
      </c>
      <c r="AA681" s="83">
        <v>20000</v>
      </c>
      <c r="AB681" s="85"/>
      <c r="AD681" s="78" t="s">
        <v>1462</v>
      </c>
      <c r="AE681" s="82"/>
      <c r="AF681" s="81" t="s">
        <v>2593</v>
      </c>
      <c r="AG681" s="81" t="s">
        <v>2256</v>
      </c>
      <c r="AH681" s="83">
        <v>25000</v>
      </c>
      <c r="AI681" s="85"/>
    </row>
    <row r="682" spans="1:35" s="79" customFormat="1" ht="11.25" customHeight="1" x14ac:dyDescent="0.2">
      <c r="A682" s="77" t="s">
        <v>1463</v>
      </c>
      <c r="B682" s="80">
        <v>961</v>
      </c>
      <c r="C682" s="81" t="s">
        <v>1462</v>
      </c>
      <c r="D682" s="73">
        <v>5</v>
      </c>
      <c r="E682" s="79" t="s">
        <v>16</v>
      </c>
      <c r="F682" s="79" t="s">
        <v>3725</v>
      </c>
      <c r="G682" s="79" t="s">
        <v>2996</v>
      </c>
      <c r="H682" s="79" t="s">
        <v>17</v>
      </c>
      <c r="I682" s="81"/>
      <c r="J682" s="81">
        <v>25</v>
      </c>
      <c r="K682" s="86"/>
      <c r="M682" s="78" t="s">
        <v>1462</v>
      </c>
      <c r="N682" s="82"/>
      <c r="O682" s="81" t="s">
        <v>2256</v>
      </c>
      <c r="P682" s="81" t="s">
        <v>2256</v>
      </c>
      <c r="Q682" s="81"/>
      <c r="R682" s="83">
        <v>100000</v>
      </c>
      <c r="S682" s="79" t="s">
        <v>3002</v>
      </c>
      <c r="T682" s="84">
        <v>500000</v>
      </c>
      <c r="U682" s="81"/>
      <c r="V682" s="81"/>
      <c r="W682" s="78" t="s">
        <v>1462</v>
      </c>
      <c r="X682" s="82"/>
      <c r="Y682" s="81" t="s">
        <v>2256</v>
      </c>
      <c r="Z682" s="81" t="s">
        <v>2256</v>
      </c>
      <c r="AA682" s="83">
        <v>200000</v>
      </c>
      <c r="AB682" s="85"/>
      <c r="AD682" s="78" t="s">
        <v>1462</v>
      </c>
      <c r="AE682" s="82"/>
      <c r="AF682" s="81" t="s">
        <v>2256</v>
      </c>
      <c r="AG682" s="81" t="s">
        <v>2256</v>
      </c>
      <c r="AH682" s="83">
        <v>500000</v>
      </c>
      <c r="AI682" s="85"/>
    </row>
    <row r="683" spans="1:35" s="79" customFormat="1" ht="11.25" customHeight="1" x14ac:dyDescent="0.2">
      <c r="A683" s="77" t="s">
        <v>3805</v>
      </c>
      <c r="B683" s="81" t="s">
        <v>1473</v>
      </c>
      <c r="C683" s="81" t="s">
        <v>1472</v>
      </c>
      <c r="D683" s="73">
        <v>5</v>
      </c>
      <c r="E683" s="79" t="s">
        <v>16</v>
      </c>
      <c r="F683" s="79" t="s">
        <v>3725</v>
      </c>
      <c r="G683" s="79" t="s">
        <v>2996</v>
      </c>
      <c r="H683" s="79" t="s">
        <v>17</v>
      </c>
      <c r="I683" s="81"/>
      <c r="J683" s="81">
        <v>25</v>
      </c>
      <c r="K683" s="86"/>
      <c r="M683" s="78" t="s">
        <v>1472</v>
      </c>
      <c r="N683" s="82"/>
      <c r="O683" s="81" t="s">
        <v>3766</v>
      </c>
      <c r="P683" s="81" t="s">
        <v>2256</v>
      </c>
      <c r="Q683" s="81"/>
      <c r="R683" s="83">
        <v>90000</v>
      </c>
      <c r="S683" s="79" t="s">
        <v>3002</v>
      </c>
      <c r="T683" s="84">
        <v>450000</v>
      </c>
      <c r="U683" s="81"/>
      <c r="V683" s="81"/>
      <c r="W683" s="78" t="s">
        <v>1472</v>
      </c>
      <c r="X683" s="82"/>
      <c r="Y683" s="81" t="s">
        <v>3766</v>
      </c>
      <c r="Z683" s="81" t="s">
        <v>2256</v>
      </c>
      <c r="AA683" s="83">
        <v>450000</v>
      </c>
      <c r="AB683" s="85"/>
      <c r="AD683" s="78" t="s">
        <v>1472</v>
      </c>
      <c r="AE683" s="82"/>
      <c r="AF683" s="81" t="s">
        <v>3766</v>
      </c>
      <c r="AG683" s="81" t="s">
        <v>2256</v>
      </c>
      <c r="AH683" s="83">
        <v>600000</v>
      </c>
      <c r="AI683" s="85"/>
    </row>
    <row r="684" spans="1:35" s="79" customFormat="1" ht="11.25" customHeight="1" x14ac:dyDescent="0.2">
      <c r="A684" s="77" t="s">
        <v>3806</v>
      </c>
      <c r="B684" s="80">
        <v>778</v>
      </c>
      <c r="C684" s="81" t="s">
        <v>1474</v>
      </c>
      <c r="D684" s="73">
        <v>80</v>
      </c>
      <c r="E684" s="79" t="s">
        <v>16</v>
      </c>
      <c r="F684" s="79" t="s">
        <v>3725</v>
      </c>
      <c r="G684" s="79" t="s">
        <v>2996</v>
      </c>
      <c r="H684" s="79" t="s">
        <v>17</v>
      </c>
      <c r="I684" s="81"/>
      <c r="J684" s="81">
        <v>25</v>
      </c>
      <c r="K684" s="86"/>
      <c r="M684" s="78" t="s">
        <v>1474</v>
      </c>
      <c r="N684" s="82"/>
      <c r="O684" s="81" t="s">
        <v>3766</v>
      </c>
      <c r="P684" s="81" t="s">
        <v>2256</v>
      </c>
      <c r="Q684" s="81"/>
      <c r="R684" s="83">
        <v>7000</v>
      </c>
      <c r="S684" s="79" t="s">
        <v>3002</v>
      </c>
      <c r="T684" s="84">
        <v>560000</v>
      </c>
      <c r="U684" s="81"/>
      <c r="V684" s="81"/>
      <c r="W684" s="78" t="s">
        <v>1474</v>
      </c>
      <c r="X684" s="82"/>
      <c r="Y684" s="81" t="s">
        <v>3766</v>
      </c>
      <c r="Z684" s="81" t="s">
        <v>2256</v>
      </c>
      <c r="AA684" s="83">
        <v>35000</v>
      </c>
      <c r="AB684" s="85"/>
      <c r="AD684" s="78" t="s">
        <v>1474</v>
      </c>
      <c r="AE684" s="82"/>
      <c r="AF684" s="81" t="s">
        <v>3766</v>
      </c>
      <c r="AG684" s="81" t="s">
        <v>2256</v>
      </c>
      <c r="AH684" s="83">
        <v>50000</v>
      </c>
      <c r="AI684" s="85"/>
    </row>
    <row r="685" spans="1:35" s="79" customFormat="1" ht="11.25" customHeight="1" x14ac:dyDescent="0.2">
      <c r="A685" s="77" t="s">
        <v>1478</v>
      </c>
      <c r="B685" s="80">
        <v>964</v>
      </c>
      <c r="C685" s="81" t="s">
        <v>1477</v>
      </c>
      <c r="D685" s="73">
        <v>80</v>
      </c>
      <c r="E685" s="79" t="s">
        <v>16</v>
      </c>
      <c r="F685" s="79" t="s">
        <v>3725</v>
      </c>
      <c r="G685" s="79" t="s">
        <v>2996</v>
      </c>
      <c r="H685" s="79" t="s">
        <v>17</v>
      </c>
      <c r="I685" s="81"/>
      <c r="J685" s="81">
        <v>25</v>
      </c>
      <c r="K685" s="86"/>
      <c r="M685" s="78" t="s">
        <v>1479</v>
      </c>
      <c r="N685" s="82"/>
      <c r="O685" s="81" t="s">
        <v>2598</v>
      </c>
      <c r="P685" s="81" t="s">
        <v>2256</v>
      </c>
      <c r="Q685" s="81"/>
      <c r="R685" s="83">
        <v>300</v>
      </c>
      <c r="S685" s="79" t="s">
        <v>3532</v>
      </c>
      <c r="T685" s="84">
        <v>24000</v>
      </c>
      <c r="U685" s="81"/>
      <c r="V685" s="81"/>
      <c r="W685" s="78" t="s">
        <v>1479</v>
      </c>
      <c r="X685" s="82"/>
      <c r="Y685" s="81" t="s">
        <v>2598</v>
      </c>
      <c r="Z685" s="81" t="s">
        <v>2256</v>
      </c>
      <c r="AA685" s="83">
        <v>1200</v>
      </c>
      <c r="AB685" s="85"/>
      <c r="AD685" s="78" t="s">
        <v>1479</v>
      </c>
      <c r="AE685" s="82"/>
      <c r="AF685" s="81" t="s">
        <v>2598</v>
      </c>
      <c r="AG685" s="81" t="s">
        <v>2256</v>
      </c>
      <c r="AH685" s="83">
        <v>2000</v>
      </c>
      <c r="AI685" s="85"/>
    </row>
    <row r="686" spans="1:35" s="79" customFormat="1" ht="11.25" customHeight="1" x14ac:dyDescent="0.2">
      <c r="A686" s="77" t="s">
        <v>1480</v>
      </c>
      <c r="B686" s="80">
        <v>960</v>
      </c>
      <c r="C686" s="81" t="s">
        <v>1479</v>
      </c>
      <c r="D686" s="73">
        <v>80</v>
      </c>
      <c r="E686" s="79" t="s">
        <v>16</v>
      </c>
      <c r="F686" s="79" t="s">
        <v>3725</v>
      </c>
      <c r="G686" s="79" t="s">
        <v>2996</v>
      </c>
      <c r="H686" s="79" t="s">
        <v>17</v>
      </c>
      <c r="I686" s="81"/>
      <c r="J686" s="81">
        <v>25</v>
      </c>
      <c r="K686" s="86"/>
      <c r="M686" s="78" t="s">
        <v>1479</v>
      </c>
      <c r="N686" s="82"/>
      <c r="O686" s="81" t="s">
        <v>2256</v>
      </c>
      <c r="P686" s="81" t="s">
        <v>2256</v>
      </c>
      <c r="Q686" s="81"/>
      <c r="R686" s="83">
        <v>6000</v>
      </c>
      <c r="S686" s="79" t="s">
        <v>3002</v>
      </c>
      <c r="T686" s="84">
        <v>480000</v>
      </c>
      <c r="U686" s="81"/>
      <c r="V686" s="81"/>
      <c r="W686" s="78" t="s">
        <v>1479</v>
      </c>
      <c r="X686" s="82"/>
      <c r="Y686" s="81" t="s">
        <v>2256</v>
      </c>
      <c r="Z686" s="81" t="s">
        <v>2256</v>
      </c>
      <c r="AA686" s="83">
        <v>24000</v>
      </c>
      <c r="AB686" s="85"/>
      <c r="AD686" s="78" t="s">
        <v>1479</v>
      </c>
      <c r="AE686" s="82"/>
      <c r="AF686" s="81" t="s">
        <v>2256</v>
      </c>
      <c r="AG686" s="81" t="s">
        <v>2256</v>
      </c>
      <c r="AH686" s="83">
        <v>40000</v>
      </c>
      <c r="AI686" s="85"/>
    </row>
    <row r="687" spans="1:35" s="79" customFormat="1" ht="11.25" customHeight="1" x14ac:dyDescent="0.2">
      <c r="A687" s="77" t="s">
        <v>1499</v>
      </c>
      <c r="B687" s="80">
        <v>591</v>
      </c>
      <c r="C687" s="81" t="s">
        <v>1498</v>
      </c>
      <c r="D687" s="73">
        <v>80</v>
      </c>
      <c r="E687" s="79" t="s">
        <v>16</v>
      </c>
      <c r="F687" s="79" t="s">
        <v>3725</v>
      </c>
      <c r="G687" s="79" t="s">
        <v>2996</v>
      </c>
      <c r="H687" s="79" t="s">
        <v>17</v>
      </c>
      <c r="I687" s="81"/>
      <c r="J687" s="81">
        <v>25</v>
      </c>
      <c r="K687" s="86"/>
      <c r="M687" s="78" t="s">
        <v>1498</v>
      </c>
      <c r="N687" s="82"/>
      <c r="O687" s="81" t="s">
        <v>2256</v>
      </c>
      <c r="P687" s="81" t="s">
        <v>2256</v>
      </c>
      <c r="Q687" s="81"/>
      <c r="R687" s="83">
        <v>2000</v>
      </c>
      <c r="S687" s="79" t="s">
        <v>3002</v>
      </c>
      <c r="T687" s="84">
        <v>160000</v>
      </c>
      <c r="U687" s="81"/>
      <c r="V687" s="81"/>
      <c r="W687" s="78" t="s">
        <v>1498</v>
      </c>
      <c r="X687" s="82"/>
      <c r="Y687" s="81" t="s">
        <v>2256</v>
      </c>
      <c r="Z687" s="81" t="s">
        <v>2256</v>
      </c>
      <c r="AA687" s="83">
        <v>10000</v>
      </c>
      <c r="AB687" s="85"/>
      <c r="AD687" s="78" t="s">
        <v>1498</v>
      </c>
      <c r="AE687" s="82"/>
      <c r="AF687" s="81" t="s">
        <v>2256</v>
      </c>
      <c r="AG687" s="81" t="s">
        <v>2256</v>
      </c>
      <c r="AH687" s="83">
        <v>14000</v>
      </c>
      <c r="AI687" s="85"/>
    </row>
    <row r="688" spans="1:35" s="79" customFormat="1" ht="11.25" customHeight="1" x14ac:dyDescent="0.2">
      <c r="A688" s="77" t="s">
        <v>1501</v>
      </c>
      <c r="B688" s="80">
        <v>592</v>
      </c>
      <c r="C688" s="81" t="s">
        <v>1500</v>
      </c>
      <c r="D688" s="73">
        <v>5</v>
      </c>
      <c r="E688" s="79" t="s">
        <v>16</v>
      </c>
      <c r="F688" s="79" t="s">
        <v>3725</v>
      </c>
      <c r="G688" s="79" t="s">
        <v>2996</v>
      </c>
      <c r="H688" s="79" t="s">
        <v>17</v>
      </c>
      <c r="I688" s="81"/>
      <c r="J688" s="81">
        <v>25</v>
      </c>
      <c r="K688" s="86"/>
      <c r="M688" s="78" t="s">
        <v>1500</v>
      </c>
      <c r="N688" s="82"/>
      <c r="O688" s="81" t="s">
        <v>2256</v>
      </c>
      <c r="P688" s="81" t="s">
        <v>2256</v>
      </c>
      <c r="Q688" s="81"/>
      <c r="R688" s="83">
        <v>40000</v>
      </c>
      <c r="S688" s="79" t="s">
        <v>3002</v>
      </c>
      <c r="T688" s="84">
        <v>200000</v>
      </c>
      <c r="U688" s="81"/>
      <c r="V688" s="81"/>
      <c r="W688" s="78" t="s">
        <v>1500</v>
      </c>
      <c r="X688" s="82"/>
      <c r="Y688" s="81" t="s">
        <v>2256</v>
      </c>
      <c r="Z688" s="81" t="s">
        <v>2256</v>
      </c>
      <c r="AA688" s="83">
        <v>200000</v>
      </c>
      <c r="AB688" s="85"/>
      <c r="AD688" s="78" t="s">
        <v>1500</v>
      </c>
      <c r="AE688" s="82"/>
      <c r="AF688" s="81" t="s">
        <v>2256</v>
      </c>
      <c r="AG688" s="81" t="s">
        <v>2256</v>
      </c>
      <c r="AH688" s="83">
        <v>250000</v>
      </c>
      <c r="AI688" s="85"/>
    </row>
    <row r="689" spans="1:35" s="79" customFormat="1" ht="11.25" customHeight="1" x14ac:dyDescent="0.2">
      <c r="A689" s="77" t="s">
        <v>1503</v>
      </c>
      <c r="B689" s="80">
        <v>593</v>
      </c>
      <c r="C689" s="81" t="s">
        <v>1502</v>
      </c>
      <c r="D689" s="73">
        <v>80</v>
      </c>
      <c r="E689" s="79" t="s">
        <v>16</v>
      </c>
      <c r="F689" s="79" t="s">
        <v>3725</v>
      </c>
      <c r="G689" s="79" t="s">
        <v>2996</v>
      </c>
      <c r="H689" s="79" t="s">
        <v>17</v>
      </c>
      <c r="I689" s="81"/>
      <c r="J689" s="81">
        <v>25</v>
      </c>
      <c r="K689" s="86"/>
      <c r="M689" s="78" t="s">
        <v>1502</v>
      </c>
      <c r="N689" s="82"/>
      <c r="O689" s="81" t="s">
        <v>2256</v>
      </c>
      <c r="P689" s="81" t="s">
        <v>2256</v>
      </c>
      <c r="Q689" s="81"/>
      <c r="R689" s="83">
        <v>1000</v>
      </c>
      <c r="S689" s="79" t="s">
        <v>3002</v>
      </c>
      <c r="T689" s="84">
        <v>80000</v>
      </c>
      <c r="U689" s="81"/>
      <c r="V689" s="81"/>
      <c r="W689" s="78" t="s">
        <v>1502</v>
      </c>
      <c r="X689" s="82"/>
      <c r="Y689" s="81" t="s">
        <v>2256</v>
      </c>
      <c r="Z689" s="81" t="s">
        <v>2256</v>
      </c>
      <c r="AA689" s="83">
        <v>5000</v>
      </c>
      <c r="AB689" s="85"/>
      <c r="AD689" s="78" t="s">
        <v>1502</v>
      </c>
      <c r="AE689" s="82"/>
      <c r="AF689" s="81" t="s">
        <v>2256</v>
      </c>
      <c r="AG689" s="81" t="s">
        <v>2256</v>
      </c>
      <c r="AH689" s="83">
        <v>7000</v>
      </c>
      <c r="AI689" s="85"/>
    </row>
    <row r="690" spans="1:35" s="79" customFormat="1" ht="11.25" customHeight="1" x14ac:dyDescent="0.2">
      <c r="A690" s="77" t="s">
        <v>1505</v>
      </c>
      <c r="B690" s="80">
        <v>594</v>
      </c>
      <c r="C690" s="81" t="s">
        <v>1504</v>
      </c>
      <c r="D690" s="73">
        <v>5</v>
      </c>
      <c r="E690" s="79" t="s">
        <v>16</v>
      </c>
      <c r="F690" s="79" t="s">
        <v>3725</v>
      </c>
      <c r="G690" s="79" t="s">
        <v>2996</v>
      </c>
      <c r="H690" s="79" t="s">
        <v>17</v>
      </c>
      <c r="I690" s="81"/>
      <c r="J690" s="81">
        <v>25</v>
      </c>
      <c r="K690" s="86"/>
      <c r="M690" s="78" t="s">
        <v>1504</v>
      </c>
      <c r="N690" s="82"/>
      <c r="O690" s="81" t="s">
        <v>2256</v>
      </c>
      <c r="P690" s="81" t="s">
        <v>2256</v>
      </c>
      <c r="Q690" s="81"/>
      <c r="R690" s="83">
        <v>20000</v>
      </c>
      <c r="S690" s="79" t="s">
        <v>3002</v>
      </c>
      <c r="T690" s="84">
        <v>100000</v>
      </c>
      <c r="U690" s="81"/>
      <c r="V690" s="81"/>
      <c r="W690" s="78" t="s">
        <v>1504</v>
      </c>
      <c r="X690" s="82"/>
      <c r="Y690" s="81" t="s">
        <v>2256</v>
      </c>
      <c r="Z690" s="81" t="s">
        <v>2256</v>
      </c>
      <c r="AA690" s="83">
        <v>100000</v>
      </c>
      <c r="AB690" s="85"/>
      <c r="AD690" s="78" t="s">
        <v>1504</v>
      </c>
      <c r="AE690" s="82"/>
      <c r="AF690" s="81" t="s">
        <v>2256</v>
      </c>
      <c r="AG690" s="81" t="s">
        <v>2256</v>
      </c>
      <c r="AH690" s="83">
        <v>125000</v>
      </c>
      <c r="AI690" s="85"/>
    </row>
    <row r="691" spans="1:35" s="79" customFormat="1" ht="11.25" customHeight="1" x14ac:dyDescent="0.2">
      <c r="A691" s="77" t="s">
        <v>1509</v>
      </c>
      <c r="B691" s="80">
        <v>595</v>
      </c>
      <c r="C691" s="81" t="s">
        <v>1508</v>
      </c>
      <c r="D691" s="73">
        <v>80</v>
      </c>
      <c r="E691" s="79" t="s">
        <v>16</v>
      </c>
      <c r="F691" s="79" t="s">
        <v>3725</v>
      </c>
      <c r="G691" s="79" t="s">
        <v>2996</v>
      </c>
      <c r="H691" s="79" t="s">
        <v>17</v>
      </c>
      <c r="I691" s="81"/>
      <c r="J691" s="81">
        <v>25</v>
      </c>
      <c r="K691" s="86"/>
      <c r="M691" s="78" t="s">
        <v>1508</v>
      </c>
      <c r="N691" s="82"/>
      <c r="O691" s="81" t="s">
        <v>2256</v>
      </c>
      <c r="P691" s="81" t="s">
        <v>2256</v>
      </c>
      <c r="Q691" s="81"/>
      <c r="R691" s="83">
        <v>2000</v>
      </c>
      <c r="S691" s="79" t="s">
        <v>3002</v>
      </c>
      <c r="T691" s="84">
        <v>160000</v>
      </c>
      <c r="U691" s="81"/>
      <c r="V691" s="81"/>
      <c r="W691" s="78" t="s">
        <v>1508</v>
      </c>
      <c r="X691" s="82"/>
      <c r="Y691" s="81" t="s">
        <v>2256</v>
      </c>
      <c r="Z691" s="81" t="s">
        <v>2256</v>
      </c>
      <c r="AA691" s="83">
        <v>10000</v>
      </c>
      <c r="AB691" s="85"/>
      <c r="AD691" s="78" t="s">
        <v>1508</v>
      </c>
      <c r="AE691" s="82"/>
      <c r="AF691" s="81" t="s">
        <v>2256</v>
      </c>
      <c r="AG691" s="81" t="s">
        <v>2256</v>
      </c>
      <c r="AH691" s="83">
        <v>14000</v>
      </c>
      <c r="AI691" s="85"/>
    </row>
    <row r="692" spans="1:35" s="79" customFormat="1" ht="11.25" customHeight="1" x14ac:dyDescent="0.2">
      <c r="A692" s="77" t="s">
        <v>1511</v>
      </c>
      <c r="B692" s="80">
        <v>596</v>
      </c>
      <c r="C692" s="81" t="s">
        <v>1510</v>
      </c>
      <c r="D692" s="73">
        <v>5</v>
      </c>
      <c r="E692" s="79" t="s">
        <v>16</v>
      </c>
      <c r="F692" s="79" t="s">
        <v>3725</v>
      </c>
      <c r="G692" s="79" t="s">
        <v>2996</v>
      </c>
      <c r="H692" s="79" t="s">
        <v>17</v>
      </c>
      <c r="I692" s="81"/>
      <c r="J692" s="81">
        <v>25</v>
      </c>
      <c r="K692" s="86"/>
      <c r="M692" s="78" t="s">
        <v>1510</v>
      </c>
      <c r="N692" s="82"/>
      <c r="O692" s="81" t="s">
        <v>2256</v>
      </c>
      <c r="P692" s="81" t="s">
        <v>2256</v>
      </c>
      <c r="Q692" s="81"/>
      <c r="R692" s="83">
        <v>40000</v>
      </c>
      <c r="S692" s="79" t="s">
        <v>3002</v>
      </c>
      <c r="T692" s="84">
        <v>200000</v>
      </c>
      <c r="U692" s="81"/>
      <c r="V692" s="81"/>
      <c r="W692" s="78" t="s">
        <v>1510</v>
      </c>
      <c r="X692" s="82"/>
      <c r="Y692" s="81" t="s">
        <v>2256</v>
      </c>
      <c r="Z692" s="81" t="s">
        <v>2256</v>
      </c>
      <c r="AA692" s="83">
        <v>200000</v>
      </c>
      <c r="AB692" s="85"/>
      <c r="AD692" s="78" t="s">
        <v>1510</v>
      </c>
      <c r="AE692" s="82"/>
      <c r="AF692" s="81" t="s">
        <v>2256</v>
      </c>
      <c r="AG692" s="81" t="s">
        <v>2256</v>
      </c>
      <c r="AH692" s="83">
        <v>250000</v>
      </c>
      <c r="AI692" s="85"/>
    </row>
    <row r="693" spans="1:35" s="79" customFormat="1" ht="11.25" customHeight="1" x14ac:dyDescent="0.2">
      <c r="A693" s="77" t="s">
        <v>1513</v>
      </c>
      <c r="B693" s="80">
        <v>597</v>
      </c>
      <c r="C693" s="81" t="s">
        <v>1512</v>
      </c>
      <c r="D693" s="73">
        <v>80</v>
      </c>
      <c r="E693" s="79" t="s">
        <v>16</v>
      </c>
      <c r="F693" s="79" t="s">
        <v>3725</v>
      </c>
      <c r="G693" s="79" t="s">
        <v>2996</v>
      </c>
      <c r="H693" s="79" t="s">
        <v>17</v>
      </c>
      <c r="I693" s="81"/>
      <c r="J693" s="81">
        <v>25</v>
      </c>
      <c r="K693" s="86"/>
      <c r="M693" s="78" t="s">
        <v>1512</v>
      </c>
      <c r="N693" s="82"/>
      <c r="O693" s="81" t="s">
        <v>2256</v>
      </c>
      <c r="P693" s="81" t="s">
        <v>2256</v>
      </c>
      <c r="Q693" s="81"/>
      <c r="R693" s="83">
        <v>1000</v>
      </c>
      <c r="S693" s="79" t="s">
        <v>3002</v>
      </c>
      <c r="T693" s="84">
        <v>80000</v>
      </c>
      <c r="U693" s="81"/>
      <c r="V693" s="81"/>
      <c r="W693" s="78" t="s">
        <v>1512</v>
      </c>
      <c r="X693" s="82"/>
      <c r="Y693" s="81" t="s">
        <v>2256</v>
      </c>
      <c r="Z693" s="81" t="s">
        <v>2256</v>
      </c>
      <c r="AA693" s="83">
        <v>5000</v>
      </c>
      <c r="AB693" s="85"/>
      <c r="AD693" s="78" t="s">
        <v>1512</v>
      </c>
      <c r="AE693" s="82"/>
      <c r="AF693" s="81" t="s">
        <v>2256</v>
      </c>
      <c r="AG693" s="81" t="s">
        <v>2256</v>
      </c>
      <c r="AH693" s="83">
        <v>7000</v>
      </c>
      <c r="AI693" s="85"/>
    </row>
    <row r="694" spans="1:35" s="79" customFormat="1" ht="11.25" customHeight="1" x14ac:dyDescent="0.2">
      <c r="A694" s="77" t="s">
        <v>1524</v>
      </c>
      <c r="B694" s="80">
        <v>1074</v>
      </c>
      <c r="C694" s="81" t="s">
        <v>1523</v>
      </c>
      <c r="D694" s="73">
        <v>80</v>
      </c>
      <c r="E694" s="79" t="s">
        <v>16</v>
      </c>
      <c r="F694" s="79" t="s">
        <v>3725</v>
      </c>
      <c r="G694" s="79" t="s">
        <v>2996</v>
      </c>
      <c r="H694" s="79" t="s">
        <v>17</v>
      </c>
      <c r="I694" s="81"/>
      <c r="J694" s="81">
        <v>25</v>
      </c>
      <c r="K694" s="86"/>
      <c r="M694" s="78" t="s">
        <v>1525</v>
      </c>
      <c r="N694" s="82"/>
      <c r="O694" s="81" t="s">
        <v>2605</v>
      </c>
      <c r="P694" s="81" t="s">
        <v>2256</v>
      </c>
      <c r="Q694" s="81"/>
      <c r="R694" s="83">
        <v>3500</v>
      </c>
      <c r="S694" s="79" t="s">
        <v>3187</v>
      </c>
      <c r="T694" s="84">
        <v>280000</v>
      </c>
      <c r="U694" s="81"/>
      <c r="V694" s="81"/>
      <c r="W694" s="78" t="s">
        <v>1525</v>
      </c>
      <c r="X694" s="82"/>
      <c r="Y694" s="81" t="s">
        <v>2605</v>
      </c>
      <c r="Z694" s="81" t="s">
        <v>2256</v>
      </c>
      <c r="AA694" s="83">
        <v>15000</v>
      </c>
      <c r="AB694" s="85"/>
      <c r="AD694" s="78" t="s">
        <v>1525</v>
      </c>
      <c r="AE694" s="82"/>
      <c r="AF694" s="81" t="s">
        <v>2605</v>
      </c>
      <c r="AG694" s="81" t="s">
        <v>2256</v>
      </c>
      <c r="AH694" s="83">
        <v>25000</v>
      </c>
      <c r="AI694" s="85"/>
    </row>
    <row r="695" spans="1:35" s="79" customFormat="1" ht="11.25" customHeight="1" x14ac:dyDescent="0.2">
      <c r="A695" s="77" t="s">
        <v>1526</v>
      </c>
      <c r="B695" s="80">
        <v>1070</v>
      </c>
      <c r="C695" s="81" t="s">
        <v>1525</v>
      </c>
      <c r="D695" s="73">
        <v>80</v>
      </c>
      <c r="E695" s="79" t="s">
        <v>16</v>
      </c>
      <c r="F695" s="79" t="s">
        <v>3725</v>
      </c>
      <c r="G695" s="79" t="s">
        <v>2996</v>
      </c>
      <c r="H695" s="79" t="s">
        <v>17</v>
      </c>
      <c r="I695" s="81"/>
      <c r="J695" s="81">
        <v>25</v>
      </c>
      <c r="K695" s="86"/>
      <c r="M695" s="78" t="s">
        <v>1525</v>
      </c>
      <c r="N695" s="82"/>
      <c r="O695" s="81" t="s">
        <v>2256</v>
      </c>
      <c r="P695" s="81" t="s">
        <v>2256</v>
      </c>
      <c r="Q695" s="81"/>
      <c r="R695" s="83">
        <v>3500</v>
      </c>
      <c r="S695" s="79" t="s">
        <v>3002</v>
      </c>
      <c r="T695" s="84">
        <v>280000</v>
      </c>
      <c r="U695" s="81"/>
      <c r="V695" s="81"/>
      <c r="W695" s="78" t="s">
        <v>1525</v>
      </c>
      <c r="X695" s="82"/>
      <c r="Y695" s="81" t="s">
        <v>2256</v>
      </c>
      <c r="Z695" s="81" t="s">
        <v>2256</v>
      </c>
      <c r="AA695" s="83">
        <v>15000</v>
      </c>
      <c r="AB695" s="85"/>
      <c r="AD695" s="78" t="s">
        <v>1525</v>
      </c>
      <c r="AE695" s="82"/>
      <c r="AF695" s="81" t="s">
        <v>2256</v>
      </c>
      <c r="AG695" s="81" t="s">
        <v>2256</v>
      </c>
      <c r="AH695" s="83">
        <v>25000</v>
      </c>
      <c r="AI695" s="85"/>
    </row>
    <row r="696" spans="1:35" s="79" customFormat="1" ht="11.25" customHeight="1" x14ac:dyDescent="0.2">
      <c r="A696" s="77" t="s">
        <v>1582</v>
      </c>
      <c r="B696" s="80">
        <v>1075</v>
      </c>
      <c r="C696" s="81" t="s">
        <v>1581</v>
      </c>
      <c r="D696" s="73">
        <v>80</v>
      </c>
      <c r="E696" s="79" t="s">
        <v>16</v>
      </c>
      <c r="F696" s="79" t="s">
        <v>3725</v>
      </c>
      <c r="G696" s="79" t="s">
        <v>2996</v>
      </c>
      <c r="H696" s="79" t="s">
        <v>17</v>
      </c>
      <c r="I696" s="81"/>
      <c r="J696" s="81">
        <v>25</v>
      </c>
      <c r="K696" s="86"/>
      <c r="M696" s="78" t="s">
        <v>1583</v>
      </c>
      <c r="N696" s="82"/>
      <c r="O696" s="81" t="s">
        <v>2616</v>
      </c>
      <c r="P696" s="81" t="s">
        <v>2256</v>
      </c>
      <c r="Q696" s="81"/>
      <c r="R696" s="83">
        <v>5000</v>
      </c>
      <c r="S696" s="79" t="s">
        <v>3194</v>
      </c>
      <c r="T696" s="84">
        <v>400000</v>
      </c>
      <c r="U696" s="81"/>
      <c r="V696" s="81"/>
      <c r="W696" s="78" t="s">
        <v>1583</v>
      </c>
      <c r="X696" s="82"/>
      <c r="Y696" s="81" t="s">
        <v>2616</v>
      </c>
      <c r="Z696" s="81" t="s">
        <v>2256</v>
      </c>
      <c r="AA696" s="83">
        <v>25000</v>
      </c>
      <c r="AB696" s="85"/>
      <c r="AD696" s="78" t="s">
        <v>1583</v>
      </c>
      <c r="AE696" s="82"/>
      <c r="AF696" s="81" t="s">
        <v>2616</v>
      </c>
      <c r="AG696" s="81" t="s">
        <v>2256</v>
      </c>
      <c r="AH696" s="83">
        <v>35000</v>
      </c>
      <c r="AI696" s="85"/>
    </row>
    <row r="697" spans="1:35" s="79" customFormat="1" ht="11.25" customHeight="1" x14ac:dyDescent="0.2">
      <c r="A697" s="77" t="s">
        <v>1584</v>
      </c>
      <c r="B697" s="80">
        <v>1071</v>
      </c>
      <c r="C697" s="81" t="s">
        <v>1583</v>
      </c>
      <c r="D697" s="73">
        <v>80</v>
      </c>
      <c r="E697" s="79" t="s">
        <v>16</v>
      </c>
      <c r="F697" s="79" t="s">
        <v>3725</v>
      </c>
      <c r="G697" s="79" t="s">
        <v>2996</v>
      </c>
      <c r="H697" s="79" t="s">
        <v>17</v>
      </c>
      <c r="I697" s="81"/>
      <c r="J697" s="81">
        <v>25</v>
      </c>
      <c r="K697" s="86"/>
      <c r="M697" s="78" t="s">
        <v>1583</v>
      </c>
      <c r="N697" s="82"/>
      <c r="O697" s="81" t="s">
        <v>2256</v>
      </c>
      <c r="P697" s="81" t="s">
        <v>2256</v>
      </c>
      <c r="Q697" s="81"/>
      <c r="R697" s="83">
        <v>5000</v>
      </c>
      <c r="S697" s="79" t="s">
        <v>3002</v>
      </c>
      <c r="T697" s="84">
        <v>400000</v>
      </c>
      <c r="U697" s="81"/>
      <c r="V697" s="81"/>
      <c r="W697" s="78" t="s">
        <v>1583</v>
      </c>
      <c r="X697" s="82"/>
      <c r="Y697" s="81" t="s">
        <v>2256</v>
      </c>
      <c r="Z697" s="81" t="s">
        <v>2256</v>
      </c>
      <c r="AA697" s="83">
        <v>25000</v>
      </c>
      <c r="AB697" s="85"/>
      <c r="AD697" s="78" t="s">
        <v>1583</v>
      </c>
      <c r="AE697" s="82"/>
      <c r="AF697" s="81" t="s">
        <v>2256</v>
      </c>
      <c r="AG697" s="81" t="s">
        <v>2256</v>
      </c>
      <c r="AH697" s="83">
        <v>35000</v>
      </c>
      <c r="AI697" s="85"/>
    </row>
    <row r="698" spans="1:35" s="79" customFormat="1" ht="11.25" customHeight="1" x14ac:dyDescent="0.2">
      <c r="A698" s="77" t="s">
        <v>1610</v>
      </c>
      <c r="B698" s="80">
        <v>962</v>
      </c>
      <c r="C698" s="81" t="s">
        <v>1609</v>
      </c>
      <c r="D698" s="73">
        <v>80</v>
      </c>
      <c r="E698" s="79" t="s">
        <v>16</v>
      </c>
      <c r="F698" s="79" t="s">
        <v>3725</v>
      </c>
      <c r="G698" s="79" t="s">
        <v>2996</v>
      </c>
      <c r="H698" s="79" t="s">
        <v>17</v>
      </c>
      <c r="I698" s="81"/>
      <c r="J698" s="81">
        <v>25</v>
      </c>
      <c r="K698" s="86"/>
      <c r="M698" s="78" t="s">
        <v>1609</v>
      </c>
      <c r="N698" s="82"/>
      <c r="O698" s="81" t="s">
        <v>2256</v>
      </c>
      <c r="P698" s="81" t="s">
        <v>2256</v>
      </c>
      <c r="Q698" s="81"/>
      <c r="R698" s="83">
        <v>1000</v>
      </c>
      <c r="S698" s="79" t="s">
        <v>3002</v>
      </c>
      <c r="T698" s="84">
        <v>80000</v>
      </c>
      <c r="U698" s="81"/>
      <c r="V698" s="81"/>
      <c r="W698" s="78" t="s">
        <v>1609</v>
      </c>
      <c r="X698" s="82"/>
      <c r="Y698" s="81" t="s">
        <v>2256</v>
      </c>
      <c r="Z698" s="81" t="s">
        <v>2256</v>
      </c>
      <c r="AA698" s="83">
        <v>5000</v>
      </c>
      <c r="AB698" s="85"/>
      <c r="AD698" s="78" t="s">
        <v>1609</v>
      </c>
      <c r="AE698" s="82"/>
      <c r="AF698" s="81" t="s">
        <v>2256</v>
      </c>
      <c r="AG698" s="81" t="s">
        <v>2256</v>
      </c>
      <c r="AH698" s="83">
        <v>7000</v>
      </c>
      <c r="AI698" s="85"/>
    </row>
    <row r="699" spans="1:35" s="79" customFormat="1" ht="11.25" customHeight="1" x14ac:dyDescent="0.2">
      <c r="A699" s="77" t="s">
        <v>1616</v>
      </c>
      <c r="B699" s="80">
        <v>169</v>
      </c>
      <c r="C699" s="81" t="s">
        <v>1615</v>
      </c>
      <c r="D699" s="73">
        <v>5</v>
      </c>
      <c r="E699" s="79" t="s">
        <v>16</v>
      </c>
      <c r="F699" s="79" t="s">
        <v>3725</v>
      </c>
      <c r="G699" s="79" t="s">
        <v>2996</v>
      </c>
      <c r="H699" s="79" t="s">
        <v>17</v>
      </c>
      <c r="I699" s="81"/>
      <c r="J699" s="81">
        <v>25</v>
      </c>
      <c r="K699" s="86"/>
      <c r="M699" s="78" t="s">
        <v>1615</v>
      </c>
      <c r="N699" s="82"/>
      <c r="O699" s="81" t="s">
        <v>2256</v>
      </c>
      <c r="P699" s="81" t="s">
        <v>2256</v>
      </c>
      <c r="Q699" s="81"/>
      <c r="R699" s="83">
        <v>40000</v>
      </c>
      <c r="S699" s="79" t="s">
        <v>3002</v>
      </c>
      <c r="T699" s="84">
        <v>200000</v>
      </c>
      <c r="U699" s="81"/>
      <c r="V699" s="81"/>
      <c r="W699" s="78" t="s">
        <v>1615</v>
      </c>
      <c r="X699" s="82"/>
      <c r="Y699" s="81" t="s">
        <v>2256</v>
      </c>
      <c r="Z699" s="81" t="s">
        <v>2256</v>
      </c>
      <c r="AA699" s="83">
        <v>80000</v>
      </c>
      <c r="AB699" s="85"/>
      <c r="AD699" s="78" t="s">
        <v>1615</v>
      </c>
      <c r="AE699" s="82"/>
      <c r="AF699" s="81" t="s">
        <v>2256</v>
      </c>
      <c r="AG699" s="81" t="s">
        <v>2256</v>
      </c>
      <c r="AH699" s="83">
        <v>100000</v>
      </c>
      <c r="AI699" s="85"/>
    </row>
    <row r="700" spans="1:35" s="79" customFormat="1" ht="11.25" customHeight="1" x14ac:dyDescent="0.2">
      <c r="A700" s="77" t="s">
        <v>1648</v>
      </c>
      <c r="B700" s="80">
        <v>161</v>
      </c>
      <c r="C700" s="81" t="s">
        <v>1647</v>
      </c>
      <c r="D700" s="73">
        <v>5</v>
      </c>
      <c r="E700" s="79" t="s">
        <v>16</v>
      </c>
      <c r="F700" s="79" t="s">
        <v>3725</v>
      </c>
      <c r="G700" s="79" t="s">
        <v>2996</v>
      </c>
      <c r="H700" s="79" t="s">
        <v>17</v>
      </c>
      <c r="I700" s="81"/>
      <c r="J700" s="81">
        <v>25</v>
      </c>
      <c r="K700" s="86"/>
      <c r="M700" s="78" t="s">
        <v>1647</v>
      </c>
      <c r="N700" s="82"/>
      <c r="O700" s="81" t="s">
        <v>2256</v>
      </c>
      <c r="P700" s="81" t="s">
        <v>2256</v>
      </c>
      <c r="Q700" s="81"/>
      <c r="R700" s="83">
        <v>40000</v>
      </c>
      <c r="S700" s="79" t="s">
        <v>3002</v>
      </c>
      <c r="T700" s="84">
        <v>200000</v>
      </c>
      <c r="U700" s="81"/>
      <c r="V700" s="81"/>
      <c r="W700" s="78" t="s">
        <v>1647</v>
      </c>
      <c r="X700" s="82"/>
      <c r="Y700" s="81" t="s">
        <v>2256</v>
      </c>
      <c r="Z700" s="81" t="s">
        <v>2256</v>
      </c>
      <c r="AA700" s="83">
        <v>200000</v>
      </c>
      <c r="AB700" s="85"/>
      <c r="AD700" s="78" t="s">
        <v>1647</v>
      </c>
      <c r="AE700" s="82"/>
      <c r="AF700" s="81" t="s">
        <v>2256</v>
      </c>
      <c r="AG700" s="81" t="s">
        <v>2256</v>
      </c>
      <c r="AH700" s="83">
        <v>250000</v>
      </c>
      <c r="AI700" s="85"/>
    </row>
    <row r="701" spans="1:35" s="79" customFormat="1" ht="11.25" customHeight="1" x14ac:dyDescent="0.2">
      <c r="A701" s="77" t="s">
        <v>1652</v>
      </c>
      <c r="B701" s="80">
        <v>274</v>
      </c>
      <c r="C701" s="81" t="s">
        <v>1651</v>
      </c>
      <c r="D701" s="73">
        <v>80</v>
      </c>
      <c r="E701" s="79" t="s">
        <v>16</v>
      </c>
      <c r="F701" s="79" t="s">
        <v>3725</v>
      </c>
      <c r="G701" s="79" t="s">
        <v>2996</v>
      </c>
      <c r="H701" s="79" t="s">
        <v>17</v>
      </c>
      <c r="I701" s="81"/>
      <c r="J701" s="81">
        <v>25</v>
      </c>
      <c r="K701" s="86"/>
      <c r="M701" s="78" t="s">
        <v>1651</v>
      </c>
      <c r="N701" s="82"/>
      <c r="O701" s="81" t="s">
        <v>2256</v>
      </c>
      <c r="P701" s="81" t="s">
        <v>2256</v>
      </c>
      <c r="Q701" s="81"/>
      <c r="R701" s="83">
        <v>2000</v>
      </c>
      <c r="S701" s="79" t="s">
        <v>3002</v>
      </c>
      <c r="T701" s="84">
        <v>160000</v>
      </c>
      <c r="U701" s="81"/>
      <c r="V701" s="81"/>
      <c r="W701" s="78" t="s">
        <v>1651</v>
      </c>
      <c r="X701" s="82"/>
      <c r="Y701" s="81" t="s">
        <v>2256</v>
      </c>
      <c r="Z701" s="81" t="s">
        <v>2256</v>
      </c>
      <c r="AA701" s="83">
        <v>10000</v>
      </c>
      <c r="AB701" s="85"/>
      <c r="AD701" s="78" t="s">
        <v>1651</v>
      </c>
      <c r="AE701" s="82"/>
      <c r="AF701" s="81" t="s">
        <v>2256</v>
      </c>
      <c r="AG701" s="81" t="s">
        <v>2256</v>
      </c>
      <c r="AH701" s="83">
        <v>14000</v>
      </c>
      <c r="AI701" s="85"/>
    </row>
    <row r="702" spans="1:35" s="79" customFormat="1" ht="11.25" customHeight="1" x14ac:dyDescent="0.2">
      <c r="A702" s="77" t="s">
        <v>1654</v>
      </c>
      <c r="B702" s="80">
        <v>757</v>
      </c>
      <c r="C702" s="81" t="s">
        <v>1653</v>
      </c>
      <c r="D702" s="73">
        <v>80</v>
      </c>
      <c r="E702" s="79" t="s">
        <v>16</v>
      </c>
      <c r="F702" s="79" t="s">
        <v>3725</v>
      </c>
      <c r="G702" s="79" t="s">
        <v>2996</v>
      </c>
      <c r="H702" s="79" t="s">
        <v>17</v>
      </c>
      <c r="I702" s="81"/>
      <c r="J702" s="81">
        <v>25</v>
      </c>
      <c r="K702" s="86"/>
      <c r="M702" s="78" t="s">
        <v>1653</v>
      </c>
      <c r="N702" s="82"/>
      <c r="O702" s="81" t="s">
        <v>2256</v>
      </c>
      <c r="P702" s="81" t="s">
        <v>2256</v>
      </c>
      <c r="Q702" s="81"/>
      <c r="R702" s="83">
        <v>2000</v>
      </c>
      <c r="S702" s="79" t="s">
        <v>3002</v>
      </c>
      <c r="T702" s="84">
        <v>160000</v>
      </c>
      <c r="U702" s="81"/>
      <c r="V702" s="81"/>
      <c r="W702" s="78" t="s">
        <v>1653</v>
      </c>
      <c r="X702" s="82"/>
      <c r="Y702" s="81" t="s">
        <v>2256</v>
      </c>
      <c r="Z702" s="81" t="s">
        <v>2256</v>
      </c>
      <c r="AA702" s="83">
        <v>10000</v>
      </c>
      <c r="AB702" s="85"/>
      <c r="AD702" s="78" t="s">
        <v>1653</v>
      </c>
      <c r="AE702" s="82"/>
      <c r="AF702" s="81" t="s">
        <v>2256</v>
      </c>
      <c r="AG702" s="81" t="s">
        <v>2256</v>
      </c>
      <c r="AH702" s="83">
        <v>14000</v>
      </c>
      <c r="AI702" s="85"/>
    </row>
    <row r="703" spans="1:35" s="79" customFormat="1" ht="11.25" customHeight="1" x14ac:dyDescent="0.2">
      <c r="A703" s="77" t="s">
        <v>1655</v>
      </c>
      <c r="B703" s="80">
        <v>157</v>
      </c>
      <c r="C703" s="81" t="s">
        <v>1529</v>
      </c>
      <c r="D703" s="73">
        <v>5</v>
      </c>
      <c r="E703" s="79" t="s">
        <v>16</v>
      </c>
      <c r="F703" s="79" t="s">
        <v>3725</v>
      </c>
      <c r="G703" s="79" t="s">
        <v>2996</v>
      </c>
      <c r="H703" s="79" t="s">
        <v>17</v>
      </c>
      <c r="I703" s="81"/>
      <c r="J703" s="81">
        <v>25</v>
      </c>
      <c r="K703" s="86"/>
      <c r="M703" s="78" t="s">
        <v>1529</v>
      </c>
      <c r="N703" s="82"/>
      <c r="O703" s="81" t="s">
        <v>2256</v>
      </c>
      <c r="P703" s="81" t="s">
        <v>2256</v>
      </c>
      <c r="Q703" s="81"/>
      <c r="R703" s="83">
        <v>75000</v>
      </c>
      <c r="S703" s="79" t="s">
        <v>3002</v>
      </c>
      <c r="T703" s="84">
        <v>375000</v>
      </c>
      <c r="U703" s="81"/>
      <c r="V703" s="81"/>
      <c r="W703" s="78" t="s">
        <v>1529</v>
      </c>
      <c r="X703" s="82"/>
      <c r="Y703" s="81" t="s">
        <v>2256</v>
      </c>
      <c r="Z703" s="81" t="s">
        <v>2256</v>
      </c>
      <c r="AA703" s="83">
        <v>125000</v>
      </c>
      <c r="AB703" s="85"/>
      <c r="AD703" s="78" t="s">
        <v>1529</v>
      </c>
      <c r="AE703" s="82"/>
      <c r="AF703" s="81" t="s">
        <v>2256</v>
      </c>
      <c r="AG703" s="81" t="s">
        <v>2256</v>
      </c>
      <c r="AH703" s="83">
        <v>175000</v>
      </c>
      <c r="AI703" s="85"/>
    </row>
    <row r="704" spans="1:35" s="79" customFormat="1" ht="11.25" customHeight="1" x14ac:dyDescent="0.2">
      <c r="A704" s="77" t="s">
        <v>3807</v>
      </c>
      <c r="B704" s="80">
        <v>954</v>
      </c>
      <c r="C704" s="81" t="s">
        <v>1528</v>
      </c>
      <c r="D704" s="73">
        <v>5</v>
      </c>
      <c r="E704" s="79" t="s">
        <v>16</v>
      </c>
      <c r="F704" s="79" t="s">
        <v>3725</v>
      </c>
      <c r="G704" s="79" t="s">
        <v>2996</v>
      </c>
      <c r="H704" s="79" t="s">
        <v>17</v>
      </c>
      <c r="I704" s="81"/>
      <c r="J704" s="81">
        <v>25</v>
      </c>
      <c r="K704" s="86"/>
      <c r="M704" s="78" t="s">
        <v>1529</v>
      </c>
      <c r="N704" s="82"/>
      <c r="O704" s="81" t="s">
        <v>3783</v>
      </c>
      <c r="P704" s="81" t="s">
        <v>2256</v>
      </c>
      <c r="Q704" s="81"/>
      <c r="R704" s="83">
        <v>75000</v>
      </c>
      <c r="S704" s="79" t="s">
        <v>3188</v>
      </c>
      <c r="T704" s="84">
        <v>375000</v>
      </c>
      <c r="U704" s="81"/>
      <c r="V704" s="81"/>
      <c r="W704" s="78" t="s">
        <v>1529</v>
      </c>
      <c r="X704" s="82"/>
      <c r="Y704" s="81" t="s">
        <v>3783</v>
      </c>
      <c r="Z704" s="81" t="s">
        <v>2256</v>
      </c>
      <c r="AA704" s="83">
        <v>125000</v>
      </c>
      <c r="AB704" s="85"/>
      <c r="AD704" s="78" t="s">
        <v>1529</v>
      </c>
      <c r="AE704" s="82"/>
      <c r="AF704" s="81" t="s">
        <v>3783</v>
      </c>
      <c r="AG704" s="81" t="s">
        <v>2256</v>
      </c>
      <c r="AH704" s="83">
        <v>175000</v>
      </c>
      <c r="AI704" s="85"/>
    </row>
    <row r="705" spans="1:35" s="79" customFormat="1" ht="11.25" customHeight="1" x14ac:dyDescent="0.2">
      <c r="A705" s="77" t="s">
        <v>1531</v>
      </c>
      <c r="B705" s="80">
        <v>924</v>
      </c>
      <c r="C705" s="81" t="s">
        <v>1530</v>
      </c>
      <c r="D705" s="73">
        <v>80</v>
      </c>
      <c r="E705" s="79" t="s">
        <v>16</v>
      </c>
      <c r="F705" s="79" t="s">
        <v>129</v>
      </c>
      <c r="G705" s="79" t="s">
        <v>2995</v>
      </c>
      <c r="H705" s="79" t="s">
        <v>17</v>
      </c>
      <c r="I705" s="81"/>
      <c r="J705" s="81">
        <v>25</v>
      </c>
      <c r="K705" s="86"/>
      <c r="M705" s="78" t="s">
        <v>1532</v>
      </c>
      <c r="N705" s="82"/>
      <c r="O705" s="81" t="s">
        <v>2606</v>
      </c>
      <c r="P705" s="81" t="s">
        <v>2256</v>
      </c>
      <c r="Q705" s="81"/>
      <c r="R705" s="83">
        <v>2000</v>
      </c>
      <c r="S705" s="79" t="s">
        <v>3189</v>
      </c>
      <c r="T705" s="84">
        <v>160000</v>
      </c>
      <c r="U705" s="81"/>
      <c r="V705" s="81"/>
      <c r="W705" s="78" t="s">
        <v>1532</v>
      </c>
      <c r="X705" s="82"/>
      <c r="Y705" s="81" t="s">
        <v>2606</v>
      </c>
      <c r="Z705" s="81" t="s">
        <v>2256</v>
      </c>
      <c r="AA705" s="83">
        <v>7000</v>
      </c>
      <c r="AB705" s="85"/>
      <c r="AD705" s="78" t="s">
        <v>1532</v>
      </c>
      <c r="AE705" s="82"/>
      <c r="AF705" s="81" t="s">
        <v>2606</v>
      </c>
      <c r="AG705" s="81" t="s">
        <v>2256</v>
      </c>
      <c r="AH705" s="83">
        <v>9000</v>
      </c>
      <c r="AI705" s="85"/>
    </row>
    <row r="706" spans="1:35" s="79" customFormat="1" ht="11.25" customHeight="1" x14ac:dyDescent="0.2">
      <c r="A706" s="77" t="s">
        <v>1656</v>
      </c>
      <c r="B706" s="80">
        <v>168</v>
      </c>
      <c r="C706" s="81" t="s">
        <v>1532</v>
      </c>
      <c r="D706" s="73">
        <v>80</v>
      </c>
      <c r="E706" s="79" t="s">
        <v>16</v>
      </c>
      <c r="F706" s="79" t="s">
        <v>3725</v>
      </c>
      <c r="G706" s="79" t="s">
        <v>2996</v>
      </c>
      <c r="H706" s="79" t="s">
        <v>17</v>
      </c>
      <c r="I706" s="81"/>
      <c r="J706" s="81">
        <v>25</v>
      </c>
      <c r="K706" s="86"/>
      <c r="M706" s="78" t="s">
        <v>1532</v>
      </c>
      <c r="N706" s="82"/>
      <c r="O706" s="81" t="s">
        <v>2256</v>
      </c>
      <c r="P706" s="81" t="s">
        <v>2256</v>
      </c>
      <c r="Q706" s="81"/>
      <c r="R706" s="83">
        <v>2000</v>
      </c>
      <c r="S706" s="79" t="s">
        <v>3002</v>
      </c>
      <c r="T706" s="84">
        <v>160000</v>
      </c>
      <c r="U706" s="81"/>
      <c r="V706" s="81"/>
      <c r="W706" s="78" t="s">
        <v>1532</v>
      </c>
      <c r="X706" s="82"/>
      <c r="Y706" s="81" t="s">
        <v>2256</v>
      </c>
      <c r="Z706" s="81" t="s">
        <v>2256</v>
      </c>
      <c r="AA706" s="83">
        <v>7000</v>
      </c>
      <c r="AB706" s="85"/>
      <c r="AD706" s="78" t="s">
        <v>1532</v>
      </c>
      <c r="AE706" s="82"/>
      <c r="AF706" s="81" t="s">
        <v>2256</v>
      </c>
      <c r="AG706" s="81" t="s">
        <v>2256</v>
      </c>
      <c r="AH706" s="83">
        <v>9000</v>
      </c>
      <c r="AI706" s="85"/>
    </row>
    <row r="707" spans="1:35" s="79" customFormat="1" ht="11.25" customHeight="1" x14ac:dyDescent="0.2">
      <c r="A707" s="77" t="s">
        <v>1716</v>
      </c>
      <c r="B707" s="80">
        <v>158</v>
      </c>
      <c r="C707" s="81" t="s">
        <v>1715</v>
      </c>
      <c r="D707" s="73">
        <v>80</v>
      </c>
      <c r="E707" s="79" t="s">
        <v>16</v>
      </c>
      <c r="F707" s="79" t="s">
        <v>3725</v>
      </c>
      <c r="G707" s="79" t="s">
        <v>2996</v>
      </c>
      <c r="H707" s="79" t="s">
        <v>17</v>
      </c>
      <c r="I707" s="81"/>
      <c r="J707" s="81">
        <v>25</v>
      </c>
      <c r="K707" s="86"/>
      <c r="M707" s="78" t="s">
        <v>1715</v>
      </c>
      <c r="N707" s="82"/>
      <c r="O707" s="81" t="s">
        <v>2256</v>
      </c>
      <c r="P707" s="81" t="s">
        <v>2256</v>
      </c>
      <c r="Q707" s="81"/>
      <c r="R707" s="83">
        <v>2000</v>
      </c>
      <c r="S707" s="79" t="s">
        <v>3002</v>
      </c>
      <c r="T707" s="84">
        <v>160000</v>
      </c>
      <c r="U707" s="81"/>
      <c r="V707" s="81"/>
      <c r="W707" s="78" t="s">
        <v>1715</v>
      </c>
      <c r="X707" s="82"/>
      <c r="Y707" s="81" t="s">
        <v>2256</v>
      </c>
      <c r="Z707" s="81" t="s">
        <v>2256</v>
      </c>
      <c r="AA707" s="83">
        <v>10000</v>
      </c>
      <c r="AB707" s="85"/>
      <c r="AD707" s="78" t="s">
        <v>1715</v>
      </c>
      <c r="AE707" s="82"/>
      <c r="AF707" s="81" t="s">
        <v>2256</v>
      </c>
      <c r="AG707" s="81" t="s">
        <v>2256</v>
      </c>
      <c r="AH707" s="83">
        <v>14000</v>
      </c>
      <c r="AI707" s="85"/>
    </row>
    <row r="708" spans="1:35" s="79" customFormat="1" ht="11.25" customHeight="1" x14ac:dyDescent="0.2">
      <c r="A708" s="77" t="s">
        <v>1841</v>
      </c>
      <c r="B708" s="80">
        <v>275</v>
      </c>
      <c r="C708" s="81" t="s">
        <v>1840</v>
      </c>
      <c r="D708" s="73">
        <v>5</v>
      </c>
      <c r="E708" s="79" t="s">
        <v>16</v>
      </c>
      <c r="F708" s="79" t="s">
        <v>3725</v>
      </c>
      <c r="G708" s="79" t="s">
        <v>2996</v>
      </c>
      <c r="H708" s="79" t="s">
        <v>17</v>
      </c>
      <c r="I708" s="81"/>
      <c r="J708" s="81">
        <v>25</v>
      </c>
      <c r="K708" s="86"/>
      <c r="M708" s="78" t="s">
        <v>1840</v>
      </c>
      <c r="N708" s="82"/>
      <c r="O708" s="81" t="s">
        <v>2256</v>
      </c>
      <c r="P708" s="81" t="s">
        <v>2256</v>
      </c>
      <c r="Q708" s="81"/>
      <c r="R708" s="83">
        <v>40000</v>
      </c>
      <c r="S708" s="79" t="s">
        <v>3002</v>
      </c>
      <c r="T708" s="84">
        <v>200000</v>
      </c>
      <c r="U708" s="81"/>
      <c r="V708" s="81"/>
      <c r="W708" s="78" t="s">
        <v>1840</v>
      </c>
      <c r="X708" s="82"/>
      <c r="Y708" s="81" t="s">
        <v>2256</v>
      </c>
      <c r="Z708" s="81" t="s">
        <v>2256</v>
      </c>
      <c r="AA708" s="83">
        <v>200000</v>
      </c>
      <c r="AB708" s="85"/>
      <c r="AD708" s="78" t="s">
        <v>1840</v>
      </c>
      <c r="AE708" s="82"/>
      <c r="AF708" s="81" t="s">
        <v>2256</v>
      </c>
      <c r="AG708" s="81" t="s">
        <v>2256</v>
      </c>
      <c r="AH708" s="83">
        <v>280000</v>
      </c>
      <c r="AI708" s="85"/>
    </row>
    <row r="709" spans="1:35" s="79" customFormat="1" ht="11.25" customHeight="1" x14ac:dyDescent="0.2">
      <c r="A709" s="77" t="s">
        <v>1843</v>
      </c>
      <c r="B709" s="80">
        <v>775</v>
      </c>
      <c r="C709" s="81" t="s">
        <v>1842</v>
      </c>
      <c r="D709" s="73">
        <v>80</v>
      </c>
      <c r="E709" s="79" t="s">
        <v>16</v>
      </c>
      <c r="F709" s="79" t="s">
        <v>3725</v>
      </c>
      <c r="G709" s="79" t="s">
        <v>2996</v>
      </c>
      <c r="H709" s="79" t="s">
        <v>17</v>
      </c>
      <c r="I709" s="81"/>
      <c r="J709" s="81">
        <v>25</v>
      </c>
      <c r="K709" s="86"/>
      <c r="M709" s="78" t="s">
        <v>1842</v>
      </c>
      <c r="N709" s="82"/>
      <c r="O709" s="81" t="s">
        <v>2256</v>
      </c>
      <c r="P709" s="81" t="s">
        <v>2256</v>
      </c>
      <c r="Q709" s="81"/>
      <c r="R709" s="83">
        <v>1000</v>
      </c>
      <c r="S709" s="79" t="s">
        <v>3002</v>
      </c>
      <c r="T709" s="84">
        <v>80000</v>
      </c>
      <c r="U709" s="81"/>
      <c r="V709" s="81"/>
      <c r="W709" s="78" t="s">
        <v>1842</v>
      </c>
      <c r="X709" s="82"/>
      <c r="Y709" s="81" t="s">
        <v>2256</v>
      </c>
      <c r="Z709" s="81" t="s">
        <v>2256</v>
      </c>
      <c r="AA709" s="83">
        <v>5000</v>
      </c>
      <c r="AB709" s="85"/>
      <c r="AD709" s="78" t="s">
        <v>1842</v>
      </c>
      <c r="AE709" s="82"/>
      <c r="AF709" s="81" t="s">
        <v>2256</v>
      </c>
      <c r="AG709" s="81" t="s">
        <v>2256</v>
      </c>
      <c r="AH709" s="83">
        <v>7000</v>
      </c>
      <c r="AI709" s="85"/>
    </row>
    <row r="710" spans="1:35" s="79" customFormat="1" ht="11.25" customHeight="1" x14ac:dyDescent="0.2">
      <c r="A710" s="77" t="s">
        <v>1845</v>
      </c>
      <c r="B710" s="80">
        <v>777</v>
      </c>
      <c r="C710" s="81" t="s">
        <v>1844</v>
      </c>
      <c r="D710" s="73">
        <v>5</v>
      </c>
      <c r="E710" s="79" t="s">
        <v>16</v>
      </c>
      <c r="F710" s="79" t="s">
        <v>3725</v>
      </c>
      <c r="G710" s="79" t="s">
        <v>2996</v>
      </c>
      <c r="H710" s="79" t="s">
        <v>17</v>
      </c>
      <c r="I710" s="81"/>
      <c r="J710" s="81">
        <v>25</v>
      </c>
      <c r="K710" s="86"/>
      <c r="M710" s="78" t="s">
        <v>1844</v>
      </c>
      <c r="N710" s="82"/>
      <c r="O710" s="81" t="s">
        <v>2256</v>
      </c>
      <c r="P710" s="81" t="s">
        <v>2256</v>
      </c>
      <c r="Q710" s="81"/>
      <c r="R710" s="83">
        <v>15000</v>
      </c>
      <c r="S710" s="79" t="s">
        <v>3002</v>
      </c>
      <c r="T710" s="84">
        <v>75000</v>
      </c>
      <c r="U710" s="81"/>
      <c r="V710" s="81"/>
      <c r="W710" s="78" t="s">
        <v>1844</v>
      </c>
      <c r="X710" s="82"/>
      <c r="Y710" s="81" t="s">
        <v>2256</v>
      </c>
      <c r="Z710" s="81" t="s">
        <v>2256</v>
      </c>
      <c r="AA710" s="83">
        <v>75000</v>
      </c>
      <c r="AB710" s="85"/>
      <c r="AD710" s="78" t="s">
        <v>1844</v>
      </c>
      <c r="AE710" s="82"/>
      <c r="AF710" s="81" t="s">
        <v>2256</v>
      </c>
      <c r="AG710" s="81" t="s">
        <v>2256</v>
      </c>
      <c r="AH710" s="83">
        <v>100000</v>
      </c>
      <c r="AI710" s="85"/>
    </row>
    <row r="711" spans="1:35" s="79" customFormat="1" ht="11.25" customHeight="1" x14ac:dyDescent="0.2">
      <c r="A711" s="77" t="s">
        <v>1847</v>
      </c>
      <c r="B711" s="80">
        <v>779</v>
      </c>
      <c r="C711" s="81" t="s">
        <v>1846</v>
      </c>
      <c r="D711" s="73">
        <v>80</v>
      </c>
      <c r="E711" s="79" t="s">
        <v>16</v>
      </c>
      <c r="F711" s="79" t="s">
        <v>3725</v>
      </c>
      <c r="G711" s="79" t="s">
        <v>2996</v>
      </c>
      <c r="H711" s="79" t="s">
        <v>17</v>
      </c>
      <c r="I711" s="81"/>
      <c r="J711" s="81">
        <v>25</v>
      </c>
      <c r="K711" s="86"/>
      <c r="M711" s="78" t="s">
        <v>1846</v>
      </c>
      <c r="N711" s="82"/>
      <c r="O711" s="81" t="s">
        <v>2256</v>
      </c>
      <c r="P711" s="81" t="s">
        <v>2256</v>
      </c>
      <c r="Q711" s="81"/>
      <c r="R711" s="83">
        <v>1000</v>
      </c>
      <c r="S711" s="79" t="s">
        <v>3002</v>
      </c>
      <c r="T711" s="84">
        <v>80000</v>
      </c>
      <c r="U711" s="81"/>
      <c r="V711" s="81"/>
      <c r="W711" s="78" t="s">
        <v>1846</v>
      </c>
      <c r="X711" s="82"/>
      <c r="Y711" s="81" t="s">
        <v>2256</v>
      </c>
      <c r="Z711" s="81" t="s">
        <v>2256</v>
      </c>
      <c r="AA711" s="83">
        <v>5000</v>
      </c>
      <c r="AB711" s="85"/>
      <c r="AD711" s="78" t="s">
        <v>1846</v>
      </c>
      <c r="AE711" s="82"/>
      <c r="AF711" s="81" t="s">
        <v>2256</v>
      </c>
      <c r="AG711" s="81" t="s">
        <v>2256</v>
      </c>
      <c r="AH711" s="83">
        <v>7000</v>
      </c>
      <c r="AI711" s="85"/>
    </row>
    <row r="712" spans="1:35" s="79" customFormat="1" ht="11.25" customHeight="1" x14ac:dyDescent="0.2">
      <c r="A712" s="77" t="s">
        <v>1849</v>
      </c>
      <c r="B712" s="80">
        <v>781</v>
      </c>
      <c r="C712" s="81" t="s">
        <v>1848</v>
      </c>
      <c r="D712" s="73">
        <v>5</v>
      </c>
      <c r="E712" s="79" t="s">
        <v>16</v>
      </c>
      <c r="F712" s="79" t="s">
        <v>3725</v>
      </c>
      <c r="G712" s="79" t="s">
        <v>2996</v>
      </c>
      <c r="H712" s="79" t="s">
        <v>17</v>
      </c>
      <c r="I712" s="81"/>
      <c r="J712" s="81">
        <v>25</v>
      </c>
      <c r="K712" s="86"/>
      <c r="M712" s="78" t="s">
        <v>1848</v>
      </c>
      <c r="N712" s="82"/>
      <c r="O712" s="81" t="s">
        <v>2256</v>
      </c>
      <c r="P712" s="81" t="s">
        <v>2256</v>
      </c>
      <c r="Q712" s="81"/>
      <c r="R712" s="83">
        <v>15000</v>
      </c>
      <c r="S712" s="79" t="s">
        <v>3002</v>
      </c>
      <c r="T712" s="84">
        <v>75000</v>
      </c>
      <c r="U712" s="81"/>
      <c r="V712" s="81"/>
      <c r="W712" s="78" t="s">
        <v>1848</v>
      </c>
      <c r="X712" s="82"/>
      <c r="Y712" s="81" t="s">
        <v>2256</v>
      </c>
      <c r="Z712" s="81" t="s">
        <v>2256</v>
      </c>
      <c r="AA712" s="83">
        <v>75000</v>
      </c>
      <c r="AB712" s="85"/>
      <c r="AD712" s="78" t="s">
        <v>1848</v>
      </c>
      <c r="AE712" s="82"/>
      <c r="AF712" s="81" t="s">
        <v>2256</v>
      </c>
      <c r="AG712" s="81" t="s">
        <v>2256</v>
      </c>
      <c r="AH712" s="83">
        <v>100000</v>
      </c>
      <c r="AI712" s="85"/>
    </row>
    <row r="713" spans="1:35" s="79" customFormat="1" ht="11.25" customHeight="1" x14ac:dyDescent="0.2">
      <c r="A713" s="77" t="s">
        <v>73</v>
      </c>
      <c r="B713" s="80">
        <v>894</v>
      </c>
      <c r="C713" s="81" t="s">
        <v>72</v>
      </c>
      <c r="D713" s="73">
        <v>80</v>
      </c>
      <c r="E713" s="79" t="s">
        <v>16</v>
      </c>
      <c r="F713" s="79" t="s">
        <v>3725</v>
      </c>
      <c r="G713" s="79" t="s">
        <v>2996</v>
      </c>
      <c r="H713" s="79" t="s">
        <v>17</v>
      </c>
      <c r="I713" s="81"/>
      <c r="J713" s="81">
        <v>25</v>
      </c>
      <c r="K713" s="86"/>
      <c r="M713" s="78" t="s">
        <v>74</v>
      </c>
      <c r="N713" s="82"/>
      <c r="O713" s="81" t="s">
        <v>3757</v>
      </c>
      <c r="P713" s="81" t="s">
        <v>2256</v>
      </c>
      <c r="Q713" s="81"/>
      <c r="R713" s="83">
        <v>750</v>
      </c>
      <c r="S713" s="79" t="s">
        <v>3010</v>
      </c>
      <c r="T713" s="84">
        <v>637500</v>
      </c>
      <c r="U713" s="81"/>
      <c r="V713" s="81"/>
      <c r="W713" s="78" t="s">
        <v>74</v>
      </c>
      <c r="X713" s="82"/>
      <c r="Y713" s="81" t="s">
        <v>3757</v>
      </c>
      <c r="Z713" s="81" t="s">
        <v>2256</v>
      </c>
      <c r="AA713" s="83">
        <v>4000</v>
      </c>
      <c r="AB713" s="85"/>
      <c r="AD713" s="78" t="s">
        <v>74</v>
      </c>
      <c r="AE713" s="82"/>
      <c r="AF713" s="81" t="s">
        <v>3757</v>
      </c>
      <c r="AG713" s="81" t="s">
        <v>2256</v>
      </c>
      <c r="AH713" s="83">
        <v>5000</v>
      </c>
      <c r="AI713" s="85"/>
    </row>
    <row r="714" spans="1:35" s="79" customFormat="1" ht="11.25" customHeight="1" x14ac:dyDescent="0.2">
      <c r="A714" s="77" t="s">
        <v>1490</v>
      </c>
      <c r="B714" s="80">
        <v>384</v>
      </c>
      <c r="C714" s="81" t="s">
        <v>1489</v>
      </c>
      <c r="D714" s="73">
        <v>850</v>
      </c>
      <c r="E714" s="79" t="s">
        <v>16</v>
      </c>
      <c r="F714" s="79" t="s">
        <v>129</v>
      </c>
      <c r="G714" s="79" t="s">
        <v>2995</v>
      </c>
      <c r="H714" s="79" t="s">
        <v>17</v>
      </c>
      <c r="I714" s="81"/>
      <c r="J714" s="81">
        <v>25</v>
      </c>
      <c r="K714" s="86"/>
      <c r="M714" s="78" t="s">
        <v>74</v>
      </c>
      <c r="N714" s="82"/>
      <c r="O714" s="81" t="s">
        <v>2601</v>
      </c>
      <c r="P714" s="81" t="s">
        <v>2256</v>
      </c>
      <c r="Q714" s="81"/>
      <c r="R714" s="83">
        <v>750</v>
      </c>
      <c r="S714" s="79" t="s">
        <v>3010</v>
      </c>
      <c r="T714" s="84">
        <v>637500</v>
      </c>
      <c r="U714" s="81"/>
      <c r="V714" s="81"/>
      <c r="W714" s="78" t="s">
        <v>74</v>
      </c>
      <c r="X714" s="82"/>
      <c r="Y714" s="81" t="s">
        <v>2601</v>
      </c>
      <c r="Z714" s="81" t="s">
        <v>2256</v>
      </c>
      <c r="AA714" s="83">
        <v>4000</v>
      </c>
      <c r="AB714" s="85"/>
      <c r="AD714" s="78" t="s">
        <v>74</v>
      </c>
      <c r="AE714" s="82"/>
      <c r="AF714" s="81" t="s">
        <v>2601</v>
      </c>
      <c r="AG714" s="81" t="s">
        <v>2256</v>
      </c>
      <c r="AH714" s="83">
        <v>5000</v>
      </c>
      <c r="AI714" s="85"/>
    </row>
    <row r="715" spans="1:35" s="79" customFormat="1" ht="11.25" customHeight="1" x14ac:dyDescent="0.2">
      <c r="A715" s="77" t="s">
        <v>1549</v>
      </c>
      <c r="B715" s="80">
        <v>1184</v>
      </c>
      <c r="C715" s="81" t="s">
        <v>1548</v>
      </c>
      <c r="D715" s="73">
        <v>240</v>
      </c>
      <c r="E715" s="79" t="s">
        <v>3480</v>
      </c>
      <c r="F715" s="79" t="s">
        <v>30</v>
      </c>
      <c r="G715" s="79" t="s">
        <v>2995</v>
      </c>
      <c r="H715" s="79" t="s">
        <v>17</v>
      </c>
      <c r="I715" s="81"/>
      <c r="J715" s="81">
        <v>25</v>
      </c>
      <c r="K715" s="86"/>
      <c r="M715" s="78" t="s">
        <v>74</v>
      </c>
      <c r="N715" s="82"/>
      <c r="O715" s="81" t="s">
        <v>3481</v>
      </c>
      <c r="P715" s="81" t="s">
        <v>2256</v>
      </c>
      <c r="Q715" s="81"/>
      <c r="R715" s="83">
        <v>750</v>
      </c>
      <c r="S715" s="79" t="s">
        <v>3010</v>
      </c>
      <c r="T715" s="84">
        <v>637500</v>
      </c>
      <c r="U715" s="81"/>
      <c r="V715" s="81"/>
      <c r="W715" s="78" t="s">
        <v>74</v>
      </c>
      <c r="X715" s="82"/>
      <c r="Y715" s="81" t="s">
        <v>3481</v>
      </c>
      <c r="Z715" s="81" t="s">
        <v>2256</v>
      </c>
      <c r="AA715" s="83">
        <v>4000</v>
      </c>
      <c r="AB715" s="85"/>
      <c r="AD715" s="78" t="s">
        <v>74</v>
      </c>
      <c r="AE715" s="82"/>
      <c r="AF715" s="81" t="s">
        <v>3481</v>
      </c>
      <c r="AG715" s="81" t="s">
        <v>2256</v>
      </c>
      <c r="AH715" s="83">
        <v>5000</v>
      </c>
      <c r="AI715" s="85"/>
    </row>
    <row r="716" spans="1:35" s="79" customFormat="1" ht="11.25" customHeight="1" x14ac:dyDescent="0.2">
      <c r="A716" s="77" t="s">
        <v>1866</v>
      </c>
      <c r="B716" s="80">
        <v>763</v>
      </c>
      <c r="C716" s="81" t="s">
        <v>1865</v>
      </c>
      <c r="D716" s="73">
        <v>40</v>
      </c>
      <c r="E716" s="79" t="s">
        <v>16</v>
      </c>
      <c r="F716" s="79" t="s">
        <v>3725</v>
      </c>
      <c r="G716" s="79" t="s">
        <v>2996</v>
      </c>
      <c r="H716" s="79" t="s">
        <v>17</v>
      </c>
      <c r="I716" s="81"/>
      <c r="J716" s="81">
        <v>25</v>
      </c>
      <c r="K716" s="86"/>
      <c r="M716" s="78" t="s">
        <v>74</v>
      </c>
      <c r="N716" s="82"/>
      <c r="O716" s="81" t="s">
        <v>2676</v>
      </c>
      <c r="P716" s="81" t="s">
        <v>2256</v>
      </c>
      <c r="Q716" s="81"/>
      <c r="R716" s="83">
        <v>750</v>
      </c>
      <c r="S716" s="79" t="s">
        <v>3010</v>
      </c>
      <c r="T716" s="84">
        <v>637500</v>
      </c>
      <c r="U716" s="81"/>
      <c r="V716" s="81"/>
      <c r="W716" s="78" t="s">
        <v>74</v>
      </c>
      <c r="X716" s="82"/>
      <c r="Y716" s="81" t="s">
        <v>2676</v>
      </c>
      <c r="Z716" s="81" t="s">
        <v>2256</v>
      </c>
      <c r="AA716" s="83">
        <v>4000</v>
      </c>
      <c r="AB716" s="85"/>
      <c r="AD716" s="78" t="s">
        <v>74</v>
      </c>
      <c r="AE716" s="82"/>
      <c r="AF716" s="81" t="s">
        <v>2676</v>
      </c>
      <c r="AG716" s="81" t="s">
        <v>2256</v>
      </c>
      <c r="AH716" s="83">
        <v>5000</v>
      </c>
      <c r="AI716" s="85"/>
    </row>
    <row r="717" spans="1:35" s="79" customFormat="1" ht="11.25" customHeight="1" x14ac:dyDescent="0.2">
      <c r="A717" s="77" t="s">
        <v>1876</v>
      </c>
      <c r="B717" s="80">
        <v>762</v>
      </c>
      <c r="C717" s="81" t="s">
        <v>74</v>
      </c>
      <c r="D717" s="73">
        <v>850</v>
      </c>
      <c r="E717" s="79" t="s">
        <v>16</v>
      </c>
      <c r="F717" s="79" t="s">
        <v>3725</v>
      </c>
      <c r="G717" s="79" t="s">
        <v>2996</v>
      </c>
      <c r="H717" s="79" t="s">
        <v>17</v>
      </c>
      <c r="I717" s="81"/>
      <c r="J717" s="81">
        <v>25</v>
      </c>
      <c r="K717" s="86"/>
      <c r="M717" s="78" t="s">
        <v>74</v>
      </c>
      <c r="N717" s="82"/>
      <c r="O717" s="81" t="s">
        <v>2256</v>
      </c>
      <c r="P717" s="81" t="s">
        <v>2256</v>
      </c>
      <c r="Q717" s="81"/>
      <c r="R717" s="83">
        <v>750</v>
      </c>
      <c r="S717" s="79" t="s">
        <v>3002</v>
      </c>
      <c r="T717" s="84">
        <v>637500</v>
      </c>
      <c r="U717" s="81"/>
      <c r="V717" s="81"/>
      <c r="W717" s="78" t="s">
        <v>74</v>
      </c>
      <c r="X717" s="82"/>
      <c r="Y717" s="81" t="s">
        <v>2256</v>
      </c>
      <c r="Z717" s="81" t="s">
        <v>2256</v>
      </c>
      <c r="AA717" s="83">
        <v>4000</v>
      </c>
      <c r="AB717" s="85"/>
      <c r="AD717" s="78" t="s">
        <v>74</v>
      </c>
      <c r="AE717" s="82"/>
      <c r="AF717" s="81" t="s">
        <v>2256</v>
      </c>
      <c r="AG717" s="81" t="s">
        <v>2256</v>
      </c>
      <c r="AH717" s="83">
        <v>5000</v>
      </c>
      <c r="AI717" s="85"/>
    </row>
    <row r="718" spans="1:35" s="79" customFormat="1" ht="11.25" customHeight="1" x14ac:dyDescent="0.2">
      <c r="A718" s="77" t="s">
        <v>1551</v>
      </c>
      <c r="B718" s="80">
        <v>1182</v>
      </c>
      <c r="C718" s="81" t="s">
        <v>1550</v>
      </c>
      <c r="D718" s="73">
        <v>17000</v>
      </c>
      <c r="E718" s="79" t="s">
        <v>16</v>
      </c>
      <c r="F718" s="79" t="s">
        <v>129</v>
      </c>
      <c r="G718" s="79" t="s">
        <v>2995</v>
      </c>
      <c r="H718" s="79" t="s">
        <v>17</v>
      </c>
      <c r="I718" s="81"/>
      <c r="J718" s="81">
        <v>25</v>
      </c>
      <c r="K718" s="86"/>
      <c r="M718" s="78" t="s">
        <v>74</v>
      </c>
      <c r="N718" s="82"/>
      <c r="O718" s="81" t="s">
        <v>3767</v>
      </c>
      <c r="P718" s="81" t="s">
        <v>2256</v>
      </c>
      <c r="Q718" s="81"/>
      <c r="R718" s="83">
        <v>750</v>
      </c>
      <c r="S718" s="79" t="s">
        <v>3010</v>
      </c>
      <c r="T718" s="84">
        <v>637500</v>
      </c>
      <c r="U718" s="81"/>
      <c r="V718" s="81"/>
      <c r="W718" s="78" t="s">
        <v>74</v>
      </c>
      <c r="X718" s="82"/>
      <c r="Y718" s="81" t="s">
        <v>3767</v>
      </c>
      <c r="Z718" s="81" t="s">
        <v>2256</v>
      </c>
      <c r="AA718" s="83">
        <v>4000</v>
      </c>
      <c r="AB718" s="85"/>
      <c r="AD718" s="78" t="s">
        <v>74</v>
      </c>
      <c r="AE718" s="82"/>
      <c r="AF718" s="81" t="s">
        <v>3767</v>
      </c>
      <c r="AG718" s="81" t="s">
        <v>2256</v>
      </c>
      <c r="AH718" s="83">
        <v>5000</v>
      </c>
      <c r="AI718" s="85"/>
    </row>
    <row r="719" spans="1:35" s="79" customFormat="1" ht="11.25" customHeight="1" x14ac:dyDescent="0.2">
      <c r="A719" s="77" t="s">
        <v>78</v>
      </c>
      <c r="B719" s="80">
        <v>895</v>
      </c>
      <c r="C719" s="81" t="s">
        <v>77</v>
      </c>
      <c r="D719" s="73">
        <v>5</v>
      </c>
      <c r="E719" s="79" t="s">
        <v>16</v>
      </c>
      <c r="F719" s="79" t="s">
        <v>3725</v>
      </c>
      <c r="G719" s="79" t="s">
        <v>2996</v>
      </c>
      <c r="H719" s="79" t="s">
        <v>17</v>
      </c>
      <c r="I719" s="81"/>
      <c r="J719" s="81">
        <v>25</v>
      </c>
      <c r="K719" s="86"/>
      <c r="M719" s="78" t="s">
        <v>79</v>
      </c>
      <c r="N719" s="82"/>
      <c r="O719" s="81" t="s">
        <v>2260</v>
      </c>
      <c r="P719" s="81" t="s">
        <v>2256</v>
      </c>
      <c r="Q719" s="81"/>
      <c r="R719" s="83">
        <v>500</v>
      </c>
      <c r="S719" s="79" t="s">
        <v>3011</v>
      </c>
      <c r="T719" s="84">
        <v>487500</v>
      </c>
      <c r="U719" s="81"/>
      <c r="V719" s="81"/>
      <c r="W719" s="78" t="s">
        <v>79</v>
      </c>
      <c r="X719" s="82"/>
      <c r="Y719" s="81" t="s">
        <v>2260</v>
      </c>
      <c r="Z719" s="81" t="s">
        <v>2256</v>
      </c>
      <c r="AA719" s="83">
        <v>2500</v>
      </c>
      <c r="AB719" s="85"/>
      <c r="AD719" s="78" t="s">
        <v>79</v>
      </c>
      <c r="AE719" s="82"/>
      <c r="AF719" s="81" t="s">
        <v>2260</v>
      </c>
      <c r="AG719" s="81" t="s">
        <v>2256</v>
      </c>
      <c r="AH719" s="83">
        <v>4000</v>
      </c>
      <c r="AI719" s="85"/>
    </row>
    <row r="720" spans="1:35" s="79" customFormat="1" ht="11.25" customHeight="1" x14ac:dyDescent="0.2">
      <c r="A720" s="77" t="s">
        <v>1878</v>
      </c>
      <c r="B720" s="81" t="s">
        <v>1879</v>
      </c>
      <c r="C720" s="81" t="s">
        <v>79</v>
      </c>
      <c r="D720" s="73">
        <v>975</v>
      </c>
      <c r="E720" s="79" t="s">
        <v>16</v>
      </c>
      <c r="F720" s="79" t="s">
        <v>3725</v>
      </c>
      <c r="G720" s="79" t="s">
        <v>2996</v>
      </c>
      <c r="H720" s="79" t="s">
        <v>17</v>
      </c>
      <c r="I720" s="81"/>
      <c r="J720" s="81">
        <v>25</v>
      </c>
      <c r="K720" s="86"/>
      <c r="M720" s="78" t="s">
        <v>79</v>
      </c>
      <c r="N720" s="82"/>
      <c r="O720" s="81" t="s">
        <v>2256</v>
      </c>
      <c r="P720" s="81" t="s">
        <v>2256</v>
      </c>
      <c r="Q720" s="81"/>
      <c r="R720" s="83">
        <v>500</v>
      </c>
      <c r="S720" s="79" t="s">
        <v>3002</v>
      </c>
      <c r="T720" s="84">
        <v>487500</v>
      </c>
      <c r="U720" s="81"/>
      <c r="V720" s="81"/>
      <c r="W720" s="78" t="s">
        <v>79</v>
      </c>
      <c r="X720" s="82"/>
      <c r="Y720" s="81" t="s">
        <v>2256</v>
      </c>
      <c r="Z720" s="81" t="s">
        <v>2256</v>
      </c>
      <c r="AA720" s="83">
        <v>2500</v>
      </c>
      <c r="AB720" s="85"/>
      <c r="AD720" s="78" t="s">
        <v>79</v>
      </c>
      <c r="AE720" s="82"/>
      <c r="AF720" s="81" t="s">
        <v>2256</v>
      </c>
      <c r="AG720" s="81" t="s">
        <v>2256</v>
      </c>
      <c r="AH720" s="83">
        <v>4000</v>
      </c>
      <c r="AI720" s="85"/>
    </row>
    <row r="721" spans="1:35" s="79" customFormat="1" ht="11.25" customHeight="1" x14ac:dyDescent="0.2">
      <c r="A721" s="77" t="s">
        <v>3808</v>
      </c>
      <c r="B721" s="80">
        <v>958</v>
      </c>
      <c r="C721" s="81" t="s">
        <v>1407</v>
      </c>
      <c r="D721" s="73">
        <v>5</v>
      </c>
      <c r="E721" s="79" t="s">
        <v>16</v>
      </c>
      <c r="F721" s="79" t="s">
        <v>3725</v>
      </c>
      <c r="G721" s="79" t="s">
        <v>2996</v>
      </c>
      <c r="H721" s="79" t="s">
        <v>17</v>
      </c>
      <c r="I721" s="81"/>
      <c r="J721" s="81">
        <v>25</v>
      </c>
      <c r="K721" s="86"/>
      <c r="M721" s="78" t="s">
        <v>79</v>
      </c>
      <c r="N721" s="82"/>
      <c r="O721" s="81" t="s">
        <v>3784</v>
      </c>
      <c r="P721" s="81" t="s">
        <v>2256</v>
      </c>
      <c r="Q721" s="81"/>
      <c r="R721" s="83">
        <v>500</v>
      </c>
      <c r="S721" s="79" t="s">
        <v>3011</v>
      </c>
      <c r="T721" s="84">
        <v>487500</v>
      </c>
      <c r="U721" s="81"/>
      <c r="V721" s="81"/>
      <c r="W721" s="78" t="s">
        <v>79</v>
      </c>
      <c r="X721" s="82"/>
      <c r="Y721" s="81" t="s">
        <v>3784</v>
      </c>
      <c r="Z721" s="81" t="s">
        <v>2256</v>
      </c>
      <c r="AA721" s="83">
        <v>2500</v>
      </c>
      <c r="AB721" s="85"/>
      <c r="AD721" s="78" t="s">
        <v>79</v>
      </c>
      <c r="AE721" s="82"/>
      <c r="AF721" s="81" t="s">
        <v>3784</v>
      </c>
      <c r="AG721" s="81" t="s">
        <v>2256</v>
      </c>
      <c r="AH721" s="83">
        <v>4000</v>
      </c>
      <c r="AI721" s="85"/>
    </row>
    <row r="722" spans="1:35" s="79" customFormat="1" ht="11.25" customHeight="1" x14ac:dyDescent="0.2">
      <c r="A722" s="77" t="s">
        <v>1553</v>
      </c>
      <c r="B722" s="80">
        <v>1183</v>
      </c>
      <c r="C722" s="81" t="s">
        <v>1552</v>
      </c>
      <c r="D722" s="73">
        <v>240</v>
      </c>
      <c r="E722" s="79" t="s">
        <v>3480</v>
      </c>
      <c r="F722" s="79" t="s">
        <v>30</v>
      </c>
      <c r="G722" s="79" t="s">
        <v>2995</v>
      </c>
      <c r="H722" s="79" t="s">
        <v>17</v>
      </c>
      <c r="I722" s="81"/>
      <c r="J722" s="81">
        <v>25</v>
      </c>
      <c r="K722" s="86"/>
      <c r="M722" s="78" t="s">
        <v>1488</v>
      </c>
      <c r="N722" s="82"/>
      <c r="O722" s="81" t="s">
        <v>3482</v>
      </c>
      <c r="P722" s="81" t="s">
        <v>2256</v>
      </c>
      <c r="Q722" s="81"/>
      <c r="R722" s="83">
        <v>1100</v>
      </c>
      <c r="S722" s="79" t="s">
        <v>3184</v>
      </c>
      <c r="T722" s="84">
        <v>935000</v>
      </c>
      <c r="U722" s="81"/>
      <c r="V722" s="81"/>
      <c r="W722" s="78" t="s">
        <v>1488</v>
      </c>
      <c r="X722" s="82"/>
      <c r="Y722" s="81" t="s">
        <v>3482</v>
      </c>
      <c r="Z722" s="81" t="s">
        <v>2256</v>
      </c>
      <c r="AA722" s="83">
        <v>1500</v>
      </c>
      <c r="AB722" s="85"/>
      <c r="AD722" s="78" t="s">
        <v>1488</v>
      </c>
      <c r="AE722" s="82"/>
      <c r="AF722" s="81" t="s">
        <v>3482</v>
      </c>
      <c r="AG722" s="81" t="s">
        <v>2256</v>
      </c>
      <c r="AH722" s="83">
        <v>2000</v>
      </c>
      <c r="AI722" s="85"/>
    </row>
    <row r="723" spans="1:35" s="79" customFormat="1" ht="11.25" customHeight="1" x14ac:dyDescent="0.2">
      <c r="A723" s="77" t="s">
        <v>1906</v>
      </c>
      <c r="B723" s="80">
        <v>766</v>
      </c>
      <c r="C723" s="81" t="s">
        <v>1905</v>
      </c>
      <c r="D723" s="73">
        <v>40</v>
      </c>
      <c r="E723" s="79" t="s">
        <v>16</v>
      </c>
      <c r="F723" s="79" t="s">
        <v>3725</v>
      </c>
      <c r="G723" s="79" t="s">
        <v>2996</v>
      </c>
      <c r="H723" s="79" t="s">
        <v>17</v>
      </c>
      <c r="I723" s="81"/>
      <c r="J723" s="81">
        <v>25</v>
      </c>
      <c r="K723" s="86"/>
      <c r="M723" s="78" t="s">
        <v>1488</v>
      </c>
      <c r="N723" s="82"/>
      <c r="O723" s="81" t="s">
        <v>2685</v>
      </c>
      <c r="P723" s="81" t="s">
        <v>2256</v>
      </c>
      <c r="Q723" s="81"/>
      <c r="R723" s="83">
        <v>1100</v>
      </c>
      <c r="S723" s="79" t="s">
        <v>3184</v>
      </c>
      <c r="T723" s="84">
        <v>935000</v>
      </c>
      <c r="U723" s="81"/>
      <c r="V723" s="81"/>
      <c r="W723" s="78" t="s">
        <v>1488</v>
      </c>
      <c r="X723" s="82"/>
      <c r="Y723" s="81" t="s">
        <v>2685</v>
      </c>
      <c r="Z723" s="81" t="s">
        <v>2256</v>
      </c>
      <c r="AA723" s="83">
        <v>1500</v>
      </c>
      <c r="AB723" s="85"/>
      <c r="AD723" s="78" t="s">
        <v>1488</v>
      </c>
      <c r="AE723" s="82"/>
      <c r="AF723" s="81" t="s">
        <v>2685</v>
      </c>
      <c r="AG723" s="81" t="s">
        <v>2256</v>
      </c>
      <c r="AH723" s="83">
        <v>2000</v>
      </c>
      <c r="AI723" s="85"/>
    </row>
    <row r="724" spans="1:35" s="79" customFormat="1" ht="11.25" customHeight="1" x14ac:dyDescent="0.2">
      <c r="A724" s="77" t="s">
        <v>1913</v>
      </c>
      <c r="B724" s="80">
        <v>765</v>
      </c>
      <c r="C724" s="81" t="s">
        <v>1488</v>
      </c>
      <c r="D724" s="73">
        <v>850</v>
      </c>
      <c r="E724" s="79" t="s">
        <v>16</v>
      </c>
      <c r="F724" s="79" t="s">
        <v>3725</v>
      </c>
      <c r="G724" s="79" t="s">
        <v>2996</v>
      </c>
      <c r="H724" s="79" t="s">
        <v>17</v>
      </c>
      <c r="I724" s="81"/>
      <c r="J724" s="81">
        <v>25</v>
      </c>
      <c r="K724" s="86"/>
      <c r="M724" s="78" t="s">
        <v>1488</v>
      </c>
      <c r="N724" s="82"/>
      <c r="O724" s="81" t="s">
        <v>2256</v>
      </c>
      <c r="P724" s="81" t="s">
        <v>2256</v>
      </c>
      <c r="Q724" s="81"/>
      <c r="R724" s="83">
        <v>1100</v>
      </c>
      <c r="S724" s="79" t="s">
        <v>3002</v>
      </c>
      <c r="T724" s="84">
        <v>935000</v>
      </c>
      <c r="U724" s="81"/>
      <c r="V724" s="81"/>
      <c r="W724" s="78" t="s">
        <v>1488</v>
      </c>
      <c r="X724" s="82"/>
      <c r="Y724" s="81" t="s">
        <v>2256</v>
      </c>
      <c r="Z724" s="81" t="s">
        <v>2256</v>
      </c>
      <c r="AA724" s="83">
        <v>1500</v>
      </c>
      <c r="AB724" s="85"/>
      <c r="AD724" s="78" t="s">
        <v>1488</v>
      </c>
      <c r="AE724" s="82"/>
      <c r="AF724" s="81" t="s">
        <v>2256</v>
      </c>
      <c r="AG724" s="81" t="s">
        <v>2256</v>
      </c>
      <c r="AH724" s="83">
        <v>2000</v>
      </c>
      <c r="AI724" s="85"/>
    </row>
    <row r="725" spans="1:35" s="79" customFormat="1" ht="11.25" customHeight="1" x14ac:dyDescent="0.2">
      <c r="A725" s="77" t="s">
        <v>2034</v>
      </c>
      <c r="B725" s="80">
        <v>896</v>
      </c>
      <c r="C725" s="81" t="s">
        <v>2033</v>
      </c>
      <c r="D725" s="73">
        <v>80</v>
      </c>
      <c r="E725" s="79" t="s">
        <v>16</v>
      </c>
      <c r="F725" s="79" t="s">
        <v>3725</v>
      </c>
      <c r="G725" s="79" t="s">
        <v>2996</v>
      </c>
      <c r="H725" s="79" t="s">
        <v>17</v>
      </c>
      <c r="I725" s="81"/>
      <c r="J725" s="81">
        <v>25</v>
      </c>
      <c r="K725" s="86"/>
      <c r="M725" s="78" t="s">
        <v>1488</v>
      </c>
      <c r="N725" s="82"/>
      <c r="O725" s="81" t="s">
        <v>2713</v>
      </c>
      <c r="P725" s="81" t="s">
        <v>2256</v>
      </c>
      <c r="Q725" s="81"/>
      <c r="R725" s="83">
        <v>1100</v>
      </c>
      <c r="S725" s="79" t="s">
        <v>3184</v>
      </c>
      <c r="T725" s="84">
        <v>935000</v>
      </c>
      <c r="U725" s="81"/>
      <c r="V725" s="81"/>
      <c r="W725" s="78" t="s">
        <v>1488</v>
      </c>
      <c r="X725" s="82"/>
      <c r="Y725" s="81" t="s">
        <v>2713</v>
      </c>
      <c r="Z725" s="81" t="s">
        <v>2256</v>
      </c>
      <c r="AA725" s="83">
        <v>1500</v>
      </c>
      <c r="AB725" s="85"/>
      <c r="AD725" s="78" t="s">
        <v>1488</v>
      </c>
      <c r="AE725" s="82"/>
      <c r="AF725" s="81" t="s">
        <v>2713</v>
      </c>
      <c r="AG725" s="81" t="s">
        <v>2256</v>
      </c>
      <c r="AH725" s="83">
        <v>2000</v>
      </c>
      <c r="AI725" s="85"/>
    </row>
    <row r="726" spans="1:35" s="79" customFormat="1" ht="11.25" customHeight="1" x14ac:dyDescent="0.2">
      <c r="A726" s="77" t="s">
        <v>3809</v>
      </c>
      <c r="B726" s="80">
        <v>382</v>
      </c>
      <c r="C726" s="81" t="s">
        <v>1487</v>
      </c>
      <c r="D726" s="73">
        <v>1700</v>
      </c>
      <c r="E726" s="79" t="s">
        <v>16</v>
      </c>
      <c r="F726" s="79" t="s">
        <v>129</v>
      </c>
      <c r="G726" s="79" t="s">
        <v>2995</v>
      </c>
      <c r="H726" s="79" t="s">
        <v>17</v>
      </c>
      <c r="I726" s="81"/>
      <c r="J726" s="81">
        <v>25</v>
      </c>
      <c r="K726" s="86"/>
      <c r="M726" s="78" t="s">
        <v>1488</v>
      </c>
      <c r="N726" s="82"/>
      <c r="O726" s="81" t="s">
        <v>3785</v>
      </c>
      <c r="P726" s="81" t="s">
        <v>2256</v>
      </c>
      <c r="Q726" s="81"/>
      <c r="R726" s="83">
        <v>1100</v>
      </c>
      <c r="S726" s="79" t="s">
        <v>3184</v>
      </c>
      <c r="T726" s="84">
        <v>935000</v>
      </c>
      <c r="U726" s="81"/>
      <c r="V726" s="81"/>
      <c r="W726" s="78" t="s">
        <v>1488</v>
      </c>
      <c r="X726" s="82"/>
      <c r="Y726" s="81" t="s">
        <v>3786</v>
      </c>
      <c r="Z726" s="81" t="s">
        <v>2256</v>
      </c>
      <c r="AA726" s="83">
        <v>1500</v>
      </c>
      <c r="AB726" s="85"/>
      <c r="AD726" s="78" t="s">
        <v>1488</v>
      </c>
      <c r="AE726" s="82"/>
      <c r="AF726" s="81" t="s">
        <v>3785</v>
      </c>
      <c r="AG726" s="81" t="s">
        <v>2256</v>
      </c>
      <c r="AH726" s="83">
        <v>2000</v>
      </c>
      <c r="AI726" s="85"/>
    </row>
    <row r="727" spans="1:35" s="79" customFormat="1" ht="11.25" customHeight="1" x14ac:dyDescent="0.2">
      <c r="A727" s="77" t="s">
        <v>1547</v>
      </c>
      <c r="B727" s="80">
        <v>1181</v>
      </c>
      <c r="C727" s="81" t="s">
        <v>1546</v>
      </c>
      <c r="D727" s="73">
        <v>17000</v>
      </c>
      <c r="E727" s="79" t="s">
        <v>16</v>
      </c>
      <c r="F727" s="79" t="s">
        <v>129</v>
      </c>
      <c r="G727" s="79" t="s">
        <v>2995</v>
      </c>
      <c r="H727" s="79" t="s">
        <v>17</v>
      </c>
      <c r="I727" s="81"/>
      <c r="J727" s="81">
        <v>25</v>
      </c>
      <c r="K727" s="86"/>
      <c r="M727" s="78" t="s">
        <v>1488</v>
      </c>
      <c r="N727" s="82"/>
      <c r="O727" s="81" t="s">
        <v>3768</v>
      </c>
      <c r="P727" s="81" t="s">
        <v>2256</v>
      </c>
      <c r="Q727" s="81"/>
      <c r="R727" s="83">
        <v>1100</v>
      </c>
      <c r="S727" s="79" t="s">
        <v>3184</v>
      </c>
      <c r="T727" s="84">
        <v>935000</v>
      </c>
      <c r="U727" s="81"/>
      <c r="V727" s="81"/>
      <c r="W727" s="78" t="s">
        <v>1488</v>
      </c>
      <c r="X727" s="82"/>
      <c r="Y727" s="81" t="s">
        <v>3768</v>
      </c>
      <c r="Z727" s="81" t="s">
        <v>2256</v>
      </c>
      <c r="AA727" s="83">
        <v>1500</v>
      </c>
      <c r="AB727" s="85"/>
      <c r="AD727" s="78" t="s">
        <v>1488</v>
      </c>
      <c r="AE727" s="82"/>
      <c r="AF727" s="81" t="s">
        <v>3768</v>
      </c>
      <c r="AG727" s="81" t="s">
        <v>2256</v>
      </c>
      <c r="AH727" s="83">
        <v>2000</v>
      </c>
      <c r="AI727" s="85"/>
    </row>
    <row r="728" spans="1:35" s="79" customFormat="1" ht="11.25" customHeight="1" x14ac:dyDescent="0.2">
      <c r="A728" s="77" t="s">
        <v>1899</v>
      </c>
      <c r="B728" s="80">
        <v>897</v>
      </c>
      <c r="C728" s="81" t="s">
        <v>1898</v>
      </c>
      <c r="D728" s="73">
        <v>5</v>
      </c>
      <c r="E728" s="79" t="s">
        <v>16</v>
      </c>
      <c r="F728" s="79" t="s">
        <v>3725</v>
      </c>
      <c r="G728" s="79" t="s">
        <v>2996</v>
      </c>
      <c r="H728" s="79" t="s">
        <v>17</v>
      </c>
      <c r="I728" s="81"/>
      <c r="J728" s="81">
        <v>25</v>
      </c>
      <c r="K728" s="86"/>
      <c r="M728" s="78" t="s">
        <v>35</v>
      </c>
      <c r="N728" s="82"/>
      <c r="O728" s="81" t="s">
        <v>2683</v>
      </c>
      <c r="P728" s="81" t="s">
        <v>2256</v>
      </c>
      <c r="Q728" s="81"/>
      <c r="R728" s="83">
        <v>400</v>
      </c>
      <c r="S728" s="79" t="s">
        <v>3006</v>
      </c>
      <c r="T728" s="84">
        <v>390000</v>
      </c>
      <c r="U728" s="81"/>
      <c r="V728" s="81"/>
      <c r="W728" s="78" t="s">
        <v>35</v>
      </c>
      <c r="X728" s="82"/>
      <c r="Y728" s="81" t="s">
        <v>2683</v>
      </c>
      <c r="Z728" s="81" t="s">
        <v>2256</v>
      </c>
      <c r="AA728" s="80">
        <v>750</v>
      </c>
      <c r="AB728" s="85"/>
      <c r="AD728" s="78" t="s">
        <v>35</v>
      </c>
      <c r="AE728" s="82"/>
      <c r="AF728" s="81" t="s">
        <v>2683</v>
      </c>
      <c r="AG728" s="81" t="s">
        <v>2256</v>
      </c>
      <c r="AH728" s="83">
        <v>1000</v>
      </c>
      <c r="AI728" s="85"/>
    </row>
    <row r="729" spans="1:35" s="79" customFormat="1" ht="11.25" customHeight="1" x14ac:dyDescent="0.2">
      <c r="A729" s="77" t="s">
        <v>1914</v>
      </c>
      <c r="B729" s="81" t="s">
        <v>1915</v>
      </c>
      <c r="C729" s="81" t="s">
        <v>35</v>
      </c>
      <c r="D729" s="73">
        <v>975</v>
      </c>
      <c r="E729" s="79" t="s">
        <v>16</v>
      </c>
      <c r="F729" s="79" t="s">
        <v>3725</v>
      </c>
      <c r="G729" s="79" t="s">
        <v>2996</v>
      </c>
      <c r="H729" s="79" t="s">
        <v>17</v>
      </c>
      <c r="I729" s="81"/>
      <c r="J729" s="81">
        <v>25</v>
      </c>
      <c r="K729" s="86"/>
      <c r="M729" s="78" t="s">
        <v>35</v>
      </c>
      <c r="N729" s="82"/>
      <c r="O729" s="81" t="s">
        <v>2256</v>
      </c>
      <c r="P729" s="81" t="s">
        <v>2256</v>
      </c>
      <c r="Q729" s="81"/>
      <c r="R729" s="83">
        <v>400</v>
      </c>
      <c r="S729" s="79" t="s">
        <v>3002</v>
      </c>
      <c r="T729" s="84">
        <v>390000</v>
      </c>
      <c r="U729" s="81"/>
      <c r="V729" s="81"/>
      <c r="W729" s="78" t="s">
        <v>35</v>
      </c>
      <c r="X729" s="82"/>
      <c r="Y729" s="81" t="s">
        <v>2256</v>
      </c>
      <c r="Z729" s="81" t="s">
        <v>2256</v>
      </c>
      <c r="AA729" s="80">
        <v>750</v>
      </c>
      <c r="AB729" s="85"/>
      <c r="AD729" s="78" t="s">
        <v>35</v>
      </c>
      <c r="AE729" s="82"/>
      <c r="AF729" s="81" t="s">
        <v>2256</v>
      </c>
      <c r="AG729" s="81" t="s">
        <v>2256</v>
      </c>
      <c r="AH729" s="83">
        <v>1000</v>
      </c>
      <c r="AI729" s="85"/>
    </row>
    <row r="730" spans="1:35" s="79" customFormat="1" ht="11.25" customHeight="1" x14ac:dyDescent="0.2">
      <c r="A730" s="77" t="s">
        <v>3810</v>
      </c>
      <c r="B730" s="80">
        <v>955</v>
      </c>
      <c r="C730" s="81" t="s">
        <v>34</v>
      </c>
      <c r="D730" s="73">
        <v>5</v>
      </c>
      <c r="E730" s="79" t="s">
        <v>16</v>
      </c>
      <c r="F730" s="79" t="s">
        <v>3725</v>
      </c>
      <c r="G730" s="79" t="s">
        <v>2996</v>
      </c>
      <c r="H730" s="79" t="s">
        <v>17</v>
      </c>
      <c r="I730" s="81"/>
      <c r="J730" s="81">
        <v>25</v>
      </c>
      <c r="K730" s="86"/>
      <c r="M730" s="78" t="s">
        <v>35</v>
      </c>
      <c r="N730" s="82"/>
      <c r="O730" s="81" t="s">
        <v>3769</v>
      </c>
      <c r="P730" s="81" t="s">
        <v>2256</v>
      </c>
      <c r="Q730" s="81"/>
      <c r="R730" s="83">
        <v>400</v>
      </c>
      <c r="S730" s="79" t="s">
        <v>3006</v>
      </c>
      <c r="T730" s="84">
        <v>390000</v>
      </c>
      <c r="U730" s="81"/>
      <c r="V730" s="81"/>
      <c r="W730" s="78" t="s">
        <v>35</v>
      </c>
      <c r="X730" s="82"/>
      <c r="Y730" s="81" t="s">
        <v>3769</v>
      </c>
      <c r="Z730" s="81" t="s">
        <v>2256</v>
      </c>
      <c r="AA730" s="80">
        <v>750</v>
      </c>
      <c r="AB730" s="85"/>
      <c r="AD730" s="78" t="s">
        <v>35</v>
      </c>
      <c r="AE730" s="82"/>
      <c r="AF730" s="81" t="s">
        <v>3769</v>
      </c>
      <c r="AG730" s="81" t="s">
        <v>2256</v>
      </c>
      <c r="AH730" s="83">
        <v>1000</v>
      </c>
      <c r="AI730" s="85"/>
    </row>
    <row r="731" spans="1:35" s="79" customFormat="1" ht="11.25" x14ac:dyDescent="0.2">
      <c r="A731" s="77" t="s">
        <v>1931</v>
      </c>
      <c r="B731" s="80">
        <v>598</v>
      </c>
      <c r="C731" s="81" t="s">
        <v>1930</v>
      </c>
      <c r="D731" s="73">
        <v>5</v>
      </c>
      <c r="E731" s="79" t="s">
        <v>16</v>
      </c>
      <c r="F731" s="79" t="s">
        <v>3725</v>
      </c>
      <c r="G731" s="79" t="s">
        <v>2996</v>
      </c>
      <c r="H731" s="79" t="s">
        <v>17</v>
      </c>
      <c r="I731" s="81"/>
      <c r="J731" s="81">
        <v>25</v>
      </c>
      <c r="K731" s="86"/>
      <c r="M731" s="78" t="s">
        <v>1930</v>
      </c>
      <c r="N731" s="82"/>
      <c r="O731" s="81" t="s">
        <v>2256</v>
      </c>
      <c r="P731" s="81" t="s">
        <v>2256</v>
      </c>
      <c r="Q731" s="81"/>
      <c r="R731" s="83">
        <v>15000</v>
      </c>
      <c r="S731" s="79" t="s">
        <v>3002</v>
      </c>
      <c r="T731" s="84">
        <v>75000</v>
      </c>
      <c r="U731" s="81"/>
      <c r="V731" s="81"/>
      <c r="W731" s="78" t="s">
        <v>1930</v>
      </c>
      <c r="X731" s="82"/>
      <c r="Y731" s="81" t="s">
        <v>2256</v>
      </c>
      <c r="Z731" s="81" t="s">
        <v>2256</v>
      </c>
      <c r="AA731" s="83">
        <v>75000</v>
      </c>
      <c r="AB731" s="85"/>
      <c r="AD731" s="78" t="s">
        <v>1930</v>
      </c>
      <c r="AE731" s="82"/>
      <c r="AF731" s="81" t="s">
        <v>2256</v>
      </c>
      <c r="AG731" s="81" t="s">
        <v>2256</v>
      </c>
      <c r="AH731" s="83">
        <v>100000</v>
      </c>
      <c r="AI731" s="85"/>
    </row>
    <row r="732" spans="1:35" s="79" customFormat="1" ht="11.25" customHeight="1" x14ac:dyDescent="0.2">
      <c r="A732" s="77" t="s">
        <v>1933</v>
      </c>
      <c r="B732" s="80">
        <v>159</v>
      </c>
      <c r="C732" s="81" t="s">
        <v>1932</v>
      </c>
      <c r="D732" s="73">
        <v>5</v>
      </c>
      <c r="E732" s="79" t="s">
        <v>16</v>
      </c>
      <c r="F732" s="79" t="s">
        <v>3725</v>
      </c>
      <c r="G732" s="79" t="s">
        <v>2996</v>
      </c>
      <c r="H732" s="79" t="s">
        <v>17</v>
      </c>
      <c r="I732" s="81"/>
      <c r="J732" s="81">
        <v>25</v>
      </c>
      <c r="K732" s="86"/>
      <c r="M732" s="78" t="s">
        <v>1932</v>
      </c>
      <c r="N732" s="82"/>
      <c r="O732" s="81" t="s">
        <v>2256</v>
      </c>
      <c r="P732" s="81" t="s">
        <v>2256</v>
      </c>
      <c r="Q732" s="81"/>
      <c r="R732" s="83">
        <v>40000</v>
      </c>
      <c r="S732" s="79" t="s">
        <v>3002</v>
      </c>
      <c r="T732" s="84">
        <v>200000</v>
      </c>
      <c r="U732" s="81"/>
      <c r="V732" s="81"/>
      <c r="W732" s="78" t="s">
        <v>1932</v>
      </c>
      <c r="X732" s="82"/>
      <c r="Y732" s="81" t="s">
        <v>2256</v>
      </c>
      <c r="Z732" s="81" t="s">
        <v>2256</v>
      </c>
      <c r="AA732" s="83">
        <v>200000</v>
      </c>
      <c r="AB732" s="85"/>
      <c r="AD732" s="78" t="s">
        <v>1932</v>
      </c>
      <c r="AE732" s="82"/>
      <c r="AF732" s="81" t="s">
        <v>2256</v>
      </c>
      <c r="AG732" s="81" t="s">
        <v>2256</v>
      </c>
      <c r="AH732" s="83">
        <v>250000</v>
      </c>
      <c r="AI732" s="85"/>
    </row>
    <row r="733" spans="1:35" s="79" customFormat="1" ht="11.25" customHeight="1" x14ac:dyDescent="0.2">
      <c r="A733" s="77" t="s">
        <v>1936</v>
      </c>
      <c r="B733" s="80">
        <v>173</v>
      </c>
      <c r="C733" s="81" t="s">
        <v>1935</v>
      </c>
      <c r="D733" s="73">
        <v>5</v>
      </c>
      <c r="E733" s="79" t="s">
        <v>16</v>
      </c>
      <c r="F733" s="79" t="s">
        <v>3725</v>
      </c>
      <c r="G733" s="79" t="s">
        <v>2996</v>
      </c>
      <c r="H733" s="79" t="s">
        <v>17</v>
      </c>
      <c r="I733" s="81"/>
      <c r="J733" s="81">
        <v>25</v>
      </c>
      <c r="K733" s="86"/>
      <c r="M733" s="78" t="s">
        <v>1935</v>
      </c>
      <c r="N733" s="82"/>
      <c r="O733" s="81" t="s">
        <v>2256</v>
      </c>
      <c r="P733" s="81" t="s">
        <v>2256</v>
      </c>
      <c r="Q733" s="81"/>
      <c r="R733" s="83">
        <v>40000</v>
      </c>
      <c r="S733" s="79" t="s">
        <v>3002</v>
      </c>
      <c r="T733" s="84">
        <v>200000</v>
      </c>
      <c r="U733" s="81"/>
      <c r="V733" s="81"/>
      <c r="W733" s="78" t="s">
        <v>1935</v>
      </c>
      <c r="X733" s="82"/>
      <c r="Y733" s="81" t="s">
        <v>2256</v>
      </c>
      <c r="Z733" s="81" t="s">
        <v>2256</v>
      </c>
      <c r="AA733" s="83">
        <v>80000</v>
      </c>
      <c r="AB733" s="85"/>
      <c r="AD733" s="78" t="s">
        <v>1935</v>
      </c>
      <c r="AE733" s="82"/>
      <c r="AF733" s="81" t="s">
        <v>2256</v>
      </c>
      <c r="AG733" s="81" t="s">
        <v>2256</v>
      </c>
      <c r="AH733" s="83">
        <v>100000</v>
      </c>
      <c r="AI733" s="85"/>
    </row>
    <row r="734" spans="1:35" s="79" customFormat="1" ht="11.25" customHeight="1" x14ac:dyDescent="0.2">
      <c r="A734" s="77" t="s">
        <v>1964</v>
      </c>
      <c r="B734" s="80">
        <v>155</v>
      </c>
      <c r="C734" s="81" t="s">
        <v>1963</v>
      </c>
      <c r="D734" s="73">
        <v>5</v>
      </c>
      <c r="E734" s="79" t="s">
        <v>16</v>
      </c>
      <c r="F734" s="79" t="s">
        <v>3725</v>
      </c>
      <c r="G734" s="79" t="s">
        <v>2996</v>
      </c>
      <c r="H734" s="79" t="s">
        <v>17</v>
      </c>
      <c r="I734" s="81"/>
      <c r="J734" s="81">
        <v>25</v>
      </c>
      <c r="K734" s="86"/>
      <c r="M734" s="78" t="s">
        <v>1963</v>
      </c>
      <c r="N734" s="82"/>
      <c r="O734" s="81" t="s">
        <v>2256</v>
      </c>
      <c r="P734" s="81" t="s">
        <v>2256</v>
      </c>
      <c r="Q734" s="81"/>
      <c r="R734" s="83">
        <v>20000</v>
      </c>
      <c r="S734" s="79" t="s">
        <v>3002</v>
      </c>
      <c r="T734" s="84">
        <v>100000</v>
      </c>
      <c r="U734" s="81"/>
      <c r="V734" s="81"/>
      <c r="W734" s="78" t="s">
        <v>1963</v>
      </c>
      <c r="X734" s="82"/>
      <c r="Y734" s="81" t="s">
        <v>2256</v>
      </c>
      <c r="Z734" s="81" t="s">
        <v>2256</v>
      </c>
      <c r="AA734" s="83">
        <v>100000</v>
      </c>
      <c r="AB734" s="85"/>
      <c r="AD734" s="78" t="s">
        <v>1963</v>
      </c>
      <c r="AE734" s="82"/>
      <c r="AF734" s="81" t="s">
        <v>2256</v>
      </c>
      <c r="AG734" s="81" t="s">
        <v>2256</v>
      </c>
      <c r="AH734" s="83">
        <v>150000</v>
      </c>
      <c r="AI734" s="85"/>
    </row>
    <row r="735" spans="1:35" s="79" customFormat="1" ht="11.25" customHeight="1" x14ac:dyDescent="0.2">
      <c r="A735" s="77" t="s">
        <v>1993</v>
      </c>
      <c r="B735" s="80">
        <v>154</v>
      </c>
      <c r="C735" s="81" t="s">
        <v>1992</v>
      </c>
      <c r="D735" s="73">
        <v>80</v>
      </c>
      <c r="E735" s="79" t="s">
        <v>16</v>
      </c>
      <c r="F735" s="79" t="s">
        <v>3725</v>
      </c>
      <c r="G735" s="79" t="s">
        <v>2996</v>
      </c>
      <c r="H735" s="79" t="s">
        <v>17</v>
      </c>
      <c r="I735" s="81"/>
      <c r="J735" s="81">
        <v>25</v>
      </c>
      <c r="K735" s="86"/>
      <c r="M735" s="78" t="s">
        <v>1992</v>
      </c>
      <c r="N735" s="82"/>
      <c r="O735" s="81" t="s">
        <v>2256</v>
      </c>
      <c r="P735" s="81" t="s">
        <v>2256</v>
      </c>
      <c r="Q735" s="81"/>
      <c r="R735" s="83">
        <v>1300</v>
      </c>
      <c r="S735" s="79" t="s">
        <v>3002</v>
      </c>
      <c r="T735" s="84">
        <v>104000</v>
      </c>
      <c r="U735" s="81"/>
      <c r="V735" s="81"/>
      <c r="W735" s="78" t="s">
        <v>1992</v>
      </c>
      <c r="X735" s="82"/>
      <c r="Y735" s="81" t="s">
        <v>2256</v>
      </c>
      <c r="Z735" s="81" t="s">
        <v>2256</v>
      </c>
      <c r="AA735" s="83">
        <v>6500</v>
      </c>
      <c r="AB735" s="85"/>
      <c r="AD735" s="78" t="s">
        <v>1992</v>
      </c>
      <c r="AE735" s="82"/>
      <c r="AF735" s="81" t="s">
        <v>2256</v>
      </c>
      <c r="AG735" s="81" t="s">
        <v>2256</v>
      </c>
      <c r="AH735" s="83">
        <v>9000</v>
      </c>
      <c r="AI735" s="85"/>
    </row>
    <row r="736" spans="1:35" s="79" customFormat="1" ht="11.25" customHeight="1" x14ac:dyDescent="0.2">
      <c r="A736" s="77" t="s">
        <v>418</v>
      </c>
      <c r="B736" s="80">
        <v>329</v>
      </c>
      <c r="C736" s="81" t="s">
        <v>417</v>
      </c>
      <c r="D736" s="73">
        <v>1000</v>
      </c>
      <c r="E736" s="79" t="s">
        <v>28</v>
      </c>
      <c r="F736" s="79" t="s">
        <v>3725</v>
      </c>
      <c r="G736" s="79" t="s">
        <v>2996</v>
      </c>
      <c r="H736" s="79" t="s">
        <v>43</v>
      </c>
      <c r="I736" s="81" t="s">
        <v>3000</v>
      </c>
      <c r="J736" s="81">
        <v>25</v>
      </c>
      <c r="K736" s="86"/>
      <c r="M736" s="78" t="s">
        <v>44</v>
      </c>
      <c r="N736" s="82" t="s">
        <v>31</v>
      </c>
      <c r="O736" s="81" t="s">
        <v>2336</v>
      </c>
      <c r="P736" s="81" t="s">
        <v>2793</v>
      </c>
      <c r="Q736" s="81"/>
      <c r="R736" s="83" t="s">
        <v>3431</v>
      </c>
      <c r="S736" s="79" t="s">
        <v>3055</v>
      </c>
      <c r="T736" s="84" t="s">
        <v>3573</v>
      </c>
      <c r="U736" s="81"/>
      <c r="V736" s="81"/>
      <c r="W736" s="78" t="s">
        <v>44</v>
      </c>
      <c r="X736" s="82" t="s">
        <v>31</v>
      </c>
      <c r="Y736" s="81" t="s">
        <v>2336</v>
      </c>
      <c r="Z736" s="81" t="s">
        <v>2793</v>
      </c>
      <c r="AA736" s="81" t="s">
        <v>414</v>
      </c>
      <c r="AB736" s="85"/>
      <c r="AD736" s="78" t="s">
        <v>44</v>
      </c>
      <c r="AE736" s="82" t="s">
        <v>31</v>
      </c>
      <c r="AF736" s="81" t="s">
        <v>2336</v>
      </c>
      <c r="AG736" s="81" t="s">
        <v>2793</v>
      </c>
      <c r="AH736" s="81" t="s">
        <v>289</v>
      </c>
      <c r="AI736" s="85"/>
    </row>
    <row r="737" spans="1:35" s="79" customFormat="1" ht="11.25" customHeight="1" x14ac:dyDescent="0.2">
      <c r="A737" s="77" t="s">
        <v>554</v>
      </c>
      <c r="B737" s="81" t="s">
        <v>555</v>
      </c>
      <c r="C737" s="81" t="s">
        <v>553</v>
      </c>
      <c r="D737" s="73">
        <v>1000</v>
      </c>
      <c r="E737" s="79" t="s">
        <v>28</v>
      </c>
      <c r="F737" s="79" t="s">
        <v>30</v>
      </c>
      <c r="G737" s="79" t="s">
        <v>3001</v>
      </c>
      <c r="H737" s="79" t="s">
        <v>43</v>
      </c>
      <c r="I737" s="81" t="s">
        <v>3000</v>
      </c>
      <c r="J737" s="81">
        <v>25</v>
      </c>
      <c r="K737" s="86"/>
      <c r="M737" s="78" t="s">
        <v>44</v>
      </c>
      <c r="N737" s="82" t="s">
        <v>31</v>
      </c>
      <c r="O737" s="81" t="s">
        <v>2363</v>
      </c>
      <c r="P737" s="81" t="s">
        <v>2809</v>
      </c>
      <c r="Q737" s="81"/>
      <c r="R737" s="83" t="s">
        <v>3431</v>
      </c>
      <c r="S737" s="79" t="s">
        <v>3055</v>
      </c>
      <c r="T737" s="84" t="s">
        <v>3573</v>
      </c>
      <c r="U737" s="81"/>
      <c r="V737" s="81"/>
      <c r="W737" s="78" t="s">
        <v>44</v>
      </c>
      <c r="X737" s="82" t="s">
        <v>31</v>
      </c>
      <c r="Y737" s="81" t="s">
        <v>2363</v>
      </c>
      <c r="Z737" s="81" t="s">
        <v>2809</v>
      </c>
      <c r="AA737" s="81" t="s">
        <v>414</v>
      </c>
      <c r="AB737" s="85"/>
      <c r="AD737" s="78" t="s">
        <v>44</v>
      </c>
      <c r="AE737" s="82" t="s">
        <v>31</v>
      </c>
      <c r="AF737" s="81" t="s">
        <v>2363</v>
      </c>
      <c r="AG737" s="81" t="s">
        <v>2809</v>
      </c>
      <c r="AH737" s="81" t="s">
        <v>289</v>
      </c>
      <c r="AI737" s="85"/>
    </row>
    <row r="738" spans="1:35" s="79" customFormat="1" ht="11.25" customHeight="1" x14ac:dyDescent="0.2">
      <c r="A738" s="77" t="s">
        <v>933</v>
      </c>
      <c r="B738" s="80">
        <v>523</v>
      </c>
      <c r="C738" s="81" t="s">
        <v>932</v>
      </c>
      <c r="D738" s="73">
        <v>1000</v>
      </c>
      <c r="E738" s="79" t="s">
        <v>28</v>
      </c>
      <c r="F738" s="79" t="s">
        <v>3725</v>
      </c>
      <c r="G738" s="79" t="s">
        <v>2996</v>
      </c>
      <c r="H738" s="79" t="s">
        <v>43</v>
      </c>
      <c r="I738" s="81" t="s">
        <v>3000</v>
      </c>
      <c r="J738" s="81">
        <v>25</v>
      </c>
      <c r="K738" s="86"/>
      <c r="M738" s="78" t="s">
        <v>44</v>
      </c>
      <c r="N738" s="82" t="s">
        <v>31</v>
      </c>
      <c r="O738" s="81" t="s">
        <v>2460</v>
      </c>
      <c r="P738" s="81" t="s">
        <v>2865</v>
      </c>
      <c r="Q738" s="81"/>
      <c r="R738" s="83" t="s">
        <v>3431</v>
      </c>
      <c r="S738" s="79" t="s">
        <v>3055</v>
      </c>
      <c r="T738" s="84" t="s">
        <v>3573</v>
      </c>
      <c r="U738" s="81"/>
      <c r="V738" s="81"/>
      <c r="W738" s="78" t="s">
        <v>44</v>
      </c>
      <c r="X738" s="82" t="s">
        <v>31</v>
      </c>
      <c r="Y738" s="81" t="s">
        <v>2460</v>
      </c>
      <c r="Z738" s="81" t="s">
        <v>2865</v>
      </c>
      <c r="AA738" s="81" t="s">
        <v>414</v>
      </c>
      <c r="AB738" s="85"/>
      <c r="AD738" s="78" t="s">
        <v>44</v>
      </c>
      <c r="AE738" s="82" t="s">
        <v>31</v>
      </c>
      <c r="AF738" s="81" t="s">
        <v>2460</v>
      </c>
      <c r="AG738" s="81" t="s">
        <v>2865</v>
      </c>
      <c r="AH738" s="81" t="s">
        <v>289</v>
      </c>
      <c r="AI738" s="85"/>
    </row>
    <row r="739" spans="1:35" s="79" customFormat="1" ht="11.25" x14ac:dyDescent="0.2">
      <c r="A739" s="77" t="s">
        <v>942</v>
      </c>
      <c r="B739" s="80">
        <v>1097</v>
      </c>
      <c r="C739" s="81" t="s">
        <v>941</v>
      </c>
      <c r="D739" s="73">
        <v>1000</v>
      </c>
      <c r="E739" s="79" t="s">
        <v>28</v>
      </c>
      <c r="F739" s="79" t="s">
        <v>3725</v>
      </c>
      <c r="G739" s="79" t="s">
        <v>2996</v>
      </c>
      <c r="H739" s="79" t="s">
        <v>43</v>
      </c>
      <c r="I739" s="81" t="s">
        <v>3000</v>
      </c>
      <c r="J739" s="81">
        <v>25</v>
      </c>
      <c r="K739" s="86"/>
      <c r="M739" s="78" t="s">
        <v>44</v>
      </c>
      <c r="N739" s="82" t="s">
        <v>95</v>
      </c>
      <c r="O739" s="81" t="s">
        <v>2461</v>
      </c>
      <c r="P739" s="81" t="s">
        <v>2866</v>
      </c>
      <c r="Q739" s="81"/>
      <c r="R739" s="83" t="s">
        <v>3439</v>
      </c>
      <c r="S739" s="79" t="s">
        <v>3142</v>
      </c>
      <c r="T739" s="84" t="s">
        <v>3587</v>
      </c>
      <c r="U739" s="81"/>
      <c r="V739" s="81"/>
      <c r="W739" s="78" t="s">
        <v>44</v>
      </c>
      <c r="X739" s="82" t="s">
        <v>95</v>
      </c>
      <c r="Y739" s="81" t="s">
        <v>2461</v>
      </c>
      <c r="Z739" s="81" t="s">
        <v>2866</v>
      </c>
      <c r="AA739" s="81" t="s">
        <v>436</v>
      </c>
      <c r="AB739" s="85"/>
      <c r="AD739" s="78" t="s">
        <v>44</v>
      </c>
      <c r="AE739" s="82" t="s">
        <v>95</v>
      </c>
      <c r="AF739" s="81" t="s">
        <v>2461</v>
      </c>
      <c r="AG739" s="81" t="s">
        <v>2866</v>
      </c>
      <c r="AH739" s="81" t="s">
        <v>289</v>
      </c>
      <c r="AI739" s="85"/>
    </row>
    <row r="740" spans="1:35" s="79" customFormat="1" ht="11.25" customHeight="1" x14ac:dyDescent="0.2">
      <c r="A740" s="77" t="s">
        <v>916</v>
      </c>
      <c r="B740" s="80">
        <v>725</v>
      </c>
      <c r="C740" s="81" t="s">
        <v>915</v>
      </c>
      <c r="D740" s="73">
        <v>42000</v>
      </c>
      <c r="E740" s="79" t="s">
        <v>42</v>
      </c>
      <c r="F740" s="79" t="s">
        <v>3725</v>
      </c>
      <c r="G740" s="79" t="s">
        <v>2996</v>
      </c>
      <c r="H740" s="79" t="s">
        <v>43</v>
      </c>
      <c r="I740" s="81" t="s">
        <v>3000</v>
      </c>
      <c r="J740" s="81">
        <v>25</v>
      </c>
      <c r="K740" s="86"/>
      <c r="M740" s="78" t="s">
        <v>44</v>
      </c>
      <c r="N740" s="82" t="s">
        <v>135</v>
      </c>
      <c r="O740" s="81" t="s">
        <v>2458</v>
      </c>
      <c r="P740" s="81" t="s">
        <v>2864</v>
      </c>
      <c r="Q740" s="81"/>
      <c r="R740" s="83" t="s">
        <v>864</v>
      </c>
      <c r="S740" s="79" t="s">
        <v>3141</v>
      </c>
      <c r="T740" s="84" t="s">
        <v>3420</v>
      </c>
      <c r="U740" s="81"/>
      <c r="V740" s="81"/>
      <c r="W740" s="78" t="s">
        <v>44</v>
      </c>
      <c r="X740" s="82" t="s">
        <v>135</v>
      </c>
      <c r="Y740" s="81" t="s">
        <v>2458</v>
      </c>
      <c r="Z740" s="81" t="s">
        <v>2864</v>
      </c>
      <c r="AA740" s="81" t="s">
        <v>136</v>
      </c>
      <c r="AB740" s="85"/>
      <c r="AD740" s="78" t="s">
        <v>44</v>
      </c>
      <c r="AE740" s="82" t="s">
        <v>135</v>
      </c>
      <c r="AF740" s="81" t="s">
        <v>2458</v>
      </c>
      <c r="AG740" s="81" t="s">
        <v>2864</v>
      </c>
      <c r="AH740" s="81" t="s">
        <v>530</v>
      </c>
      <c r="AI740" s="85"/>
    </row>
    <row r="741" spans="1:35" s="79" customFormat="1" ht="11.25" customHeight="1" x14ac:dyDescent="0.2">
      <c r="A741" s="77" t="s">
        <v>416</v>
      </c>
      <c r="B741" s="80">
        <v>328</v>
      </c>
      <c r="C741" s="81" t="s">
        <v>415</v>
      </c>
      <c r="D741" s="73">
        <v>42000</v>
      </c>
      <c r="E741" s="79" t="s">
        <v>42</v>
      </c>
      <c r="F741" s="79" t="s">
        <v>3725</v>
      </c>
      <c r="G741" s="79" t="s">
        <v>2996</v>
      </c>
      <c r="H741" s="79" t="s">
        <v>43</v>
      </c>
      <c r="I741" s="81" t="s">
        <v>3000</v>
      </c>
      <c r="J741" s="81">
        <v>250</v>
      </c>
      <c r="K741" s="86"/>
      <c r="M741" s="78" t="s">
        <v>44</v>
      </c>
      <c r="N741" s="82"/>
      <c r="O741" s="81" t="s">
        <v>2335</v>
      </c>
      <c r="P741" s="81" t="s">
        <v>2256</v>
      </c>
      <c r="Q741" s="81"/>
      <c r="R741" s="83">
        <v>1000</v>
      </c>
      <c r="S741" s="79" t="s">
        <v>3007</v>
      </c>
      <c r="T741" s="84">
        <v>42000000</v>
      </c>
      <c r="U741" s="81"/>
      <c r="V741" s="81"/>
      <c r="W741" s="78" t="s">
        <v>44</v>
      </c>
      <c r="X741" s="82"/>
      <c r="Y741" s="81" t="s">
        <v>2335</v>
      </c>
      <c r="Z741" s="81" t="s">
        <v>2256</v>
      </c>
      <c r="AA741" s="83">
        <v>5000</v>
      </c>
      <c r="AB741" s="85"/>
      <c r="AD741" s="78" t="s">
        <v>44</v>
      </c>
      <c r="AE741" s="82"/>
      <c r="AF741" s="81" t="s">
        <v>2335</v>
      </c>
      <c r="AG741" s="81" t="s">
        <v>2256</v>
      </c>
      <c r="AH741" s="83">
        <v>7000</v>
      </c>
      <c r="AI741" s="85"/>
    </row>
    <row r="742" spans="1:35" s="79" customFormat="1" ht="11.25" customHeight="1" x14ac:dyDescent="0.2">
      <c r="A742" s="77" t="s">
        <v>468</v>
      </c>
      <c r="B742" s="80">
        <v>829</v>
      </c>
      <c r="C742" s="81" t="s">
        <v>44</v>
      </c>
      <c r="D742" s="73">
        <v>42000</v>
      </c>
      <c r="E742" s="79" t="s">
        <v>42</v>
      </c>
      <c r="F742" s="79" t="s">
        <v>3725</v>
      </c>
      <c r="G742" s="79" t="s">
        <v>2996</v>
      </c>
      <c r="H742" s="79" t="s">
        <v>43</v>
      </c>
      <c r="I742" s="81"/>
      <c r="J742" s="81">
        <v>100</v>
      </c>
      <c r="K742" s="86"/>
      <c r="M742" s="78" t="s">
        <v>44</v>
      </c>
      <c r="N742" s="82"/>
      <c r="O742" s="81" t="s">
        <v>2256</v>
      </c>
      <c r="P742" s="81" t="s">
        <v>2256</v>
      </c>
      <c r="Q742" s="81"/>
      <c r="R742" s="83">
        <v>1000</v>
      </c>
      <c r="S742" s="79" t="s">
        <v>2999</v>
      </c>
      <c r="T742" s="84">
        <v>42000000</v>
      </c>
      <c r="U742" s="81"/>
      <c r="V742" s="81"/>
      <c r="W742" s="78" t="s">
        <v>44</v>
      </c>
      <c r="X742" s="82"/>
      <c r="Y742" s="81" t="s">
        <v>2256</v>
      </c>
      <c r="Z742" s="81" t="s">
        <v>2256</v>
      </c>
      <c r="AA742" s="83">
        <v>5000</v>
      </c>
      <c r="AB742" s="85"/>
      <c r="AD742" s="78" t="s">
        <v>44</v>
      </c>
      <c r="AE742" s="82"/>
      <c r="AF742" s="81" t="s">
        <v>2256</v>
      </c>
      <c r="AG742" s="81" t="s">
        <v>2256</v>
      </c>
      <c r="AH742" s="83">
        <v>7000</v>
      </c>
      <c r="AI742" s="85"/>
    </row>
    <row r="743" spans="1:35" s="79" customFormat="1" ht="11.25" customHeight="1" x14ac:dyDescent="0.2">
      <c r="A743" s="77" t="s">
        <v>41</v>
      </c>
      <c r="B743" s="80">
        <v>321</v>
      </c>
      <c r="C743" s="81" t="s">
        <v>40</v>
      </c>
      <c r="D743" s="73">
        <v>42000</v>
      </c>
      <c r="E743" s="79" t="s">
        <v>42</v>
      </c>
      <c r="F743" s="79" t="s">
        <v>30</v>
      </c>
      <c r="G743" s="79" t="s">
        <v>3001</v>
      </c>
      <c r="H743" s="79" t="s">
        <v>43</v>
      </c>
      <c r="I743" s="81" t="s">
        <v>3000</v>
      </c>
      <c r="J743" s="81">
        <v>150</v>
      </c>
      <c r="K743" s="86"/>
      <c r="M743" s="78" t="s">
        <v>44</v>
      </c>
      <c r="N743" s="82"/>
      <c r="O743" s="81" t="s">
        <v>2257</v>
      </c>
      <c r="P743" s="81" t="s">
        <v>2256</v>
      </c>
      <c r="Q743" s="81"/>
      <c r="R743" s="83">
        <v>1000</v>
      </c>
      <c r="S743" s="79" t="s">
        <v>3007</v>
      </c>
      <c r="T743" s="84">
        <v>42000000</v>
      </c>
      <c r="U743" s="81"/>
      <c r="V743" s="81"/>
      <c r="W743" s="78" t="s">
        <v>44</v>
      </c>
      <c r="X743" s="82"/>
      <c r="Y743" s="81" t="s">
        <v>2257</v>
      </c>
      <c r="Z743" s="81" t="s">
        <v>2256</v>
      </c>
      <c r="AA743" s="83">
        <v>5000</v>
      </c>
      <c r="AB743" s="85"/>
      <c r="AD743" s="78" t="s">
        <v>44</v>
      </c>
      <c r="AE743" s="82"/>
      <c r="AF743" s="81" t="s">
        <v>2257</v>
      </c>
      <c r="AG743" s="81" t="s">
        <v>2256</v>
      </c>
      <c r="AH743" s="83">
        <v>7000</v>
      </c>
      <c r="AI743" s="85"/>
    </row>
    <row r="744" spans="1:35" s="79" customFormat="1" ht="11.25" customHeight="1" x14ac:dyDescent="0.2">
      <c r="A744" s="77" t="s">
        <v>1318</v>
      </c>
      <c r="B744" s="80">
        <v>603</v>
      </c>
      <c r="C744" s="81" t="s">
        <v>1317</v>
      </c>
      <c r="D744" s="73">
        <v>42000</v>
      </c>
      <c r="E744" s="79" t="s">
        <v>42</v>
      </c>
      <c r="F744" s="79" t="s">
        <v>3725</v>
      </c>
      <c r="G744" s="79" t="s">
        <v>2996</v>
      </c>
      <c r="H744" s="79" t="s">
        <v>43</v>
      </c>
      <c r="I744" s="81" t="s">
        <v>3000</v>
      </c>
      <c r="J744" s="81">
        <v>250</v>
      </c>
      <c r="K744" s="86"/>
      <c r="M744" s="78" t="s">
        <v>44</v>
      </c>
      <c r="N744" s="82"/>
      <c r="O744" s="81" t="s">
        <v>2555</v>
      </c>
      <c r="P744" s="81" t="s">
        <v>2256</v>
      </c>
      <c r="Q744" s="81"/>
      <c r="R744" s="83">
        <v>1000</v>
      </c>
      <c r="S744" s="79" t="s">
        <v>3007</v>
      </c>
      <c r="T744" s="84">
        <v>42000000</v>
      </c>
      <c r="U744" s="81"/>
      <c r="V744" s="81"/>
      <c r="W744" s="78" t="s">
        <v>44</v>
      </c>
      <c r="X744" s="82"/>
      <c r="Y744" s="81" t="s">
        <v>2555</v>
      </c>
      <c r="Z744" s="81" t="s">
        <v>2256</v>
      </c>
      <c r="AA744" s="83">
        <v>5000</v>
      </c>
      <c r="AB744" s="85"/>
      <c r="AD744" s="78" t="s">
        <v>44</v>
      </c>
      <c r="AE744" s="82"/>
      <c r="AF744" s="81" t="s">
        <v>2555</v>
      </c>
      <c r="AG744" s="81" t="s">
        <v>2256</v>
      </c>
      <c r="AH744" s="83">
        <v>7000</v>
      </c>
      <c r="AI744" s="85"/>
    </row>
    <row r="745" spans="1:35" s="79" customFormat="1" ht="11.25" customHeight="1" x14ac:dyDescent="0.2">
      <c r="A745" s="77" t="s">
        <v>470</v>
      </c>
      <c r="B745" s="80">
        <v>504</v>
      </c>
      <c r="C745" s="81" t="s">
        <v>469</v>
      </c>
      <c r="D745" s="73">
        <v>100</v>
      </c>
      <c r="E745" s="79" t="s">
        <v>20</v>
      </c>
      <c r="F745" s="79" t="s">
        <v>3725</v>
      </c>
      <c r="G745" s="79" t="s">
        <v>2996</v>
      </c>
      <c r="H745" s="79" t="s">
        <v>43</v>
      </c>
      <c r="I745" s="81" t="s">
        <v>3000</v>
      </c>
      <c r="J745" s="81">
        <v>25</v>
      </c>
      <c r="K745" s="86"/>
      <c r="M745" s="78" t="s">
        <v>469</v>
      </c>
      <c r="N745" s="82"/>
      <c r="O745" s="81" t="s">
        <v>2256</v>
      </c>
      <c r="P745" s="81" t="s">
        <v>2256</v>
      </c>
      <c r="Q745" s="81"/>
      <c r="R745" s="83">
        <v>500</v>
      </c>
      <c r="S745" s="79" t="s">
        <v>2999</v>
      </c>
      <c r="T745" s="84">
        <v>50000</v>
      </c>
      <c r="U745" s="81"/>
      <c r="V745" s="81"/>
      <c r="W745" s="78" t="s">
        <v>469</v>
      </c>
      <c r="X745" s="82"/>
      <c r="Y745" s="81" t="s">
        <v>2256</v>
      </c>
      <c r="Z745" s="81" t="s">
        <v>2256</v>
      </c>
      <c r="AA745" s="83">
        <v>2500</v>
      </c>
      <c r="AB745" s="85"/>
      <c r="AD745" s="78" t="s">
        <v>469</v>
      </c>
      <c r="AE745" s="82"/>
      <c r="AF745" s="81" t="s">
        <v>2256</v>
      </c>
      <c r="AG745" s="81" t="s">
        <v>2256</v>
      </c>
      <c r="AH745" s="83">
        <v>3500</v>
      </c>
      <c r="AI745" s="85"/>
    </row>
    <row r="746" spans="1:35" s="79" customFormat="1" ht="11.25" customHeight="1" x14ac:dyDescent="0.2">
      <c r="A746" s="77" t="s">
        <v>472</v>
      </c>
      <c r="B746" s="80">
        <v>505</v>
      </c>
      <c r="C746" s="81" t="s">
        <v>471</v>
      </c>
      <c r="D746" s="73">
        <v>100</v>
      </c>
      <c r="E746" s="79" t="s">
        <v>20</v>
      </c>
      <c r="F746" s="79" t="s">
        <v>3725</v>
      </c>
      <c r="G746" s="79" t="s">
        <v>2996</v>
      </c>
      <c r="H746" s="79" t="s">
        <v>43</v>
      </c>
      <c r="I746" s="81" t="s">
        <v>3000</v>
      </c>
      <c r="J746" s="81">
        <v>25</v>
      </c>
      <c r="K746" s="86"/>
      <c r="M746" s="78" t="s">
        <v>471</v>
      </c>
      <c r="N746" s="82"/>
      <c r="O746" s="81" t="s">
        <v>2256</v>
      </c>
      <c r="P746" s="81" t="s">
        <v>2256</v>
      </c>
      <c r="Q746" s="81"/>
      <c r="R746" s="83">
        <v>500</v>
      </c>
      <c r="S746" s="79" t="s">
        <v>2999</v>
      </c>
      <c r="T746" s="84">
        <v>50000</v>
      </c>
      <c r="U746" s="81"/>
      <c r="V746" s="81"/>
      <c r="W746" s="78" t="s">
        <v>471</v>
      </c>
      <c r="X746" s="82"/>
      <c r="Y746" s="81" t="s">
        <v>2256</v>
      </c>
      <c r="Z746" s="81" t="s">
        <v>2256</v>
      </c>
      <c r="AA746" s="83">
        <v>2500</v>
      </c>
      <c r="AB746" s="85"/>
      <c r="AD746" s="78" t="s">
        <v>471</v>
      </c>
      <c r="AE746" s="82"/>
      <c r="AF746" s="81" t="s">
        <v>2256</v>
      </c>
      <c r="AG746" s="81" t="s">
        <v>2256</v>
      </c>
      <c r="AH746" s="83">
        <v>3500</v>
      </c>
      <c r="AI746" s="85"/>
    </row>
    <row r="747" spans="1:35" s="79" customFormat="1" ht="11.25" customHeight="1" x14ac:dyDescent="0.2">
      <c r="A747" s="77" t="s">
        <v>1677</v>
      </c>
      <c r="B747" s="80">
        <v>558</v>
      </c>
      <c r="C747" s="81" t="s">
        <v>1676</v>
      </c>
      <c r="D747" s="73">
        <v>42000</v>
      </c>
      <c r="E747" s="79" t="s">
        <v>42</v>
      </c>
      <c r="F747" s="79" t="s">
        <v>3725</v>
      </c>
      <c r="G747" s="79" t="s">
        <v>2996</v>
      </c>
      <c r="H747" s="79" t="s">
        <v>43</v>
      </c>
      <c r="I747" s="81" t="s">
        <v>3000</v>
      </c>
      <c r="J747" s="81">
        <v>25</v>
      </c>
      <c r="K747" s="86"/>
      <c r="M747" s="78" t="s">
        <v>244</v>
      </c>
      <c r="N747" s="82" t="s">
        <v>44</v>
      </c>
      <c r="O747" s="81" t="s">
        <v>2638</v>
      </c>
      <c r="P747" s="81" t="s">
        <v>2928</v>
      </c>
      <c r="Q747" s="81"/>
      <c r="R747" s="83" t="s">
        <v>864</v>
      </c>
      <c r="S747" s="79" t="s">
        <v>3201</v>
      </c>
      <c r="T747" s="84" t="s">
        <v>3416</v>
      </c>
      <c r="U747" s="81"/>
      <c r="V747" s="81"/>
      <c r="W747" s="78" t="s">
        <v>244</v>
      </c>
      <c r="X747" s="82" t="s">
        <v>44</v>
      </c>
      <c r="Y747" s="81" t="s">
        <v>2638</v>
      </c>
      <c r="Z747" s="81" t="s">
        <v>2928</v>
      </c>
      <c r="AA747" s="81" t="s">
        <v>409</v>
      </c>
      <c r="AB747" s="85"/>
      <c r="AD747" s="78" t="s">
        <v>244</v>
      </c>
      <c r="AE747" s="82" t="s">
        <v>44</v>
      </c>
      <c r="AF747" s="81" t="s">
        <v>2638</v>
      </c>
      <c r="AG747" s="81" t="s">
        <v>2928</v>
      </c>
      <c r="AH747" s="81" t="s">
        <v>530</v>
      </c>
      <c r="AI747" s="85"/>
    </row>
    <row r="748" spans="1:35" s="79" customFormat="1" ht="11.25" customHeight="1" x14ac:dyDescent="0.2">
      <c r="A748" s="77" t="s">
        <v>413</v>
      </c>
      <c r="B748" s="80">
        <v>327</v>
      </c>
      <c r="C748" s="81" t="s">
        <v>412</v>
      </c>
      <c r="D748" s="73">
        <v>1000</v>
      </c>
      <c r="E748" s="79" t="s">
        <v>28</v>
      </c>
      <c r="F748" s="79" t="s">
        <v>3725</v>
      </c>
      <c r="G748" s="79" t="s">
        <v>2996</v>
      </c>
      <c r="H748" s="79" t="s">
        <v>43</v>
      </c>
      <c r="I748" s="81" t="s">
        <v>3000</v>
      </c>
      <c r="J748" s="81">
        <v>150</v>
      </c>
      <c r="K748" s="86"/>
      <c r="M748" s="78" t="s">
        <v>244</v>
      </c>
      <c r="N748" s="82" t="s">
        <v>31</v>
      </c>
      <c r="O748" s="81" t="s">
        <v>2334</v>
      </c>
      <c r="P748" s="81" t="s">
        <v>2792</v>
      </c>
      <c r="Q748" s="81"/>
      <c r="R748" s="83" t="s">
        <v>3431</v>
      </c>
      <c r="S748" s="79" t="s">
        <v>3054</v>
      </c>
      <c r="T748" s="84" t="s">
        <v>3573</v>
      </c>
      <c r="U748" s="81"/>
      <c r="V748" s="81"/>
      <c r="W748" s="78" t="s">
        <v>244</v>
      </c>
      <c r="X748" s="82" t="s">
        <v>31</v>
      </c>
      <c r="Y748" s="81" t="s">
        <v>2334</v>
      </c>
      <c r="Z748" s="81" t="s">
        <v>2792</v>
      </c>
      <c r="AA748" s="81" t="s">
        <v>414</v>
      </c>
      <c r="AB748" s="85"/>
      <c r="AD748" s="78" t="s">
        <v>244</v>
      </c>
      <c r="AE748" s="82" t="s">
        <v>31</v>
      </c>
      <c r="AF748" s="81" t="s">
        <v>2334</v>
      </c>
      <c r="AG748" s="81" t="s">
        <v>2792</v>
      </c>
      <c r="AH748" s="81" t="s">
        <v>289</v>
      </c>
      <c r="AI748" s="85"/>
    </row>
    <row r="749" spans="1:35" s="79" customFormat="1" ht="11.25" customHeight="1" x14ac:dyDescent="0.2">
      <c r="A749" s="77" t="s">
        <v>558</v>
      </c>
      <c r="B749" s="81" t="s">
        <v>559</v>
      </c>
      <c r="C749" s="81" t="s">
        <v>557</v>
      </c>
      <c r="D749" s="73">
        <v>1000</v>
      </c>
      <c r="E749" s="79" t="s">
        <v>28</v>
      </c>
      <c r="F749" s="79" t="s">
        <v>30</v>
      </c>
      <c r="G749" s="79" t="s">
        <v>3001</v>
      </c>
      <c r="H749" s="79" t="s">
        <v>43</v>
      </c>
      <c r="I749" s="81" t="s">
        <v>3000</v>
      </c>
      <c r="J749" s="81">
        <v>25</v>
      </c>
      <c r="K749" s="86"/>
      <c r="M749" s="78" t="s">
        <v>244</v>
      </c>
      <c r="N749" s="82" t="s">
        <v>31</v>
      </c>
      <c r="O749" s="81" t="s">
        <v>2364</v>
      </c>
      <c r="P749" s="81" t="s">
        <v>2810</v>
      </c>
      <c r="Q749" s="81"/>
      <c r="R749" s="83" t="s">
        <v>3431</v>
      </c>
      <c r="S749" s="79" t="s">
        <v>3054</v>
      </c>
      <c r="T749" s="84" t="s">
        <v>3573</v>
      </c>
      <c r="U749" s="81"/>
      <c r="V749" s="81"/>
      <c r="W749" s="78" t="s">
        <v>244</v>
      </c>
      <c r="X749" s="82" t="s">
        <v>31</v>
      </c>
      <c r="Y749" s="81" t="s">
        <v>2364</v>
      </c>
      <c r="Z749" s="81" t="s">
        <v>2810</v>
      </c>
      <c r="AA749" s="81" t="s">
        <v>414</v>
      </c>
      <c r="AB749" s="85"/>
      <c r="AD749" s="78" t="s">
        <v>244</v>
      </c>
      <c r="AE749" s="82" t="s">
        <v>31</v>
      </c>
      <c r="AF749" s="81" t="s">
        <v>2364</v>
      </c>
      <c r="AG749" s="81" t="s">
        <v>2810</v>
      </c>
      <c r="AH749" s="81" t="s">
        <v>289</v>
      </c>
      <c r="AI749" s="85"/>
    </row>
    <row r="750" spans="1:35" s="79" customFormat="1" ht="11.25" customHeight="1" x14ac:dyDescent="0.2">
      <c r="A750" s="77" t="s">
        <v>1689</v>
      </c>
      <c r="B750" s="80">
        <v>559</v>
      </c>
      <c r="C750" s="81" t="s">
        <v>1688</v>
      </c>
      <c r="D750" s="73">
        <v>1000</v>
      </c>
      <c r="E750" s="79" t="s">
        <v>28</v>
      </c>
      <c r="F750" s="79" t="s">
        <v>3725</v>
      </c>
      <c r="G750" s="79" t="s">
        <v>2996</v>
      </c>
      <c r="H750" s="79" t="s">
        <v>43</v>
      </c>
      <c r="I750" s="81" t="s">
        <v>3000</v>
      </c>
      <c r="J750" s="81">
        <v>25</v>
      </c>
      <c r="K750" s="86"/>
      <c r="M750" s="78" t="s">
        <v>244</v>
      </c>
      <c r="N750" s="82" t="s">
        <v>31</v>
      </c>
      <c r="O750" s="81" t="s">
        <v>2643</v>
      </c>
      <c r="P750" s="81" t="s">
        <v>2931</v>
      </c>
      <c r="Q750" s="81"/>
      <c r="R750" s="83" t="s">
        <v>3431</v>
      </c>
      <c r="S750" s="79" t="s">
        <v>3054</v>
      </c>
      <c r="T750" s="84" t="s">
        <v>3573</v>
      </c>
      <c r="U750" s="81"/>
      <c r="V750" s="81"/>
      <c r="W750" s="78" t="s">
        <v>244</v>
      </c>
      <c r="X750" s="82" t="s">
        <v>31</v>
      </c>
      <c r="Y750" s="81" t="s">
        <v>2643</v>
      </c>
      <c r="Z750" s="81" t="s">
        <v>2931</v>
      </c>
      <c r="AA750" s="81" t="s">
        <v>414</v>
      </c>
      <c r="AB750" s="85"/>
      <c r="AD750" s="78" t="s">
        <v>244</v>
      </c>
      <c r="AE750" s="82" t="s">
        <v>31</v>
      </c>
      <c r="AF750" s="81" t="s">
        <v>2643</v>
      </c>
      <c r="AG750" s="81" t="s">
        <v>2931</v>
      </c>
      <c r="AH750" s="81" t="s">
        <v>289</v>
      </c>
      <c r="AI750" s="85"/>
    </row>
    <row r="751" spans="1:35" s="79" customFormat="1" ht="11.25" customHeight="1" x14ac:dyDescent="0.2">
      <c r="A751" s="77" t="s">
        <v>741</v>
      </c>
      <c r="B751" s="80">
        <v>1090</v>
      </c>
      <c r="C751" s="81" t="s">
        <v>740</v>
      </c>
      <c r="D751" s="73">
        <v>1000</v>
      </c>
      <c r="E751" s="79" t="s">
        <v>20</v>
      </c>
      <c r="F751" s="79" t="s">
        <v>3725</v>
      </c>
      <c r="G751" s="79" t="s">
        <v>2996</v>
      </c>
      <c r="H751" s="79" t="s">
        <v>43</v>
      </c>
      <c r="I751" s="81" t="s">
        <v>3000</v>
      </c>
      <c r="J751" s="81">
        <v>25</v>
      </c>
      <c r="K751" s="86"/>
      <c r="M751" s="78" t="s">
        <v>244</v>
      </c>
      <c r="N751" s="82" t="s">
        <v>94</v>
      </c>
      <c r="O751" s="81" t="s">
        <v>2403</v>
      </c>
      <c r="P751" s="81" t="s">
        <v>2829</v>
      </c>
      <c r="Q751" s="81"/>
      <c r="R751" s="83" t="s">
        <v>3434</v>
      </c>
      <c r="S751" s="79" t="s">
        <v>3095</v>
      </c>
      <c r="T751" s="84" t="s">
        <v>3585</v>
      </c>
      <c r="U751" s="81"/>
      <c r="V751" s="81"/>
      <c r="W751" s="78" t="s">
        <v>244</v>
      </c>
      <c r="X751" s="82" t="s">
        <v>94</v>
      </c>
      <c r="Y751" s="81" t="s">
        <v>2403</v>
      </c>
      <c r="Z751" s="81" t="s">
        <v>2829</v>
      </c>
      <c r="AA751" s="81" t="s">
        <v>743</v>
      </c>
      <c r="AB751" s="85"/>
      <c r="AD751" s="78" t="s">
        <v>244</v>
      </c>
      <c r="AE751" s="82" t="s">
        <v>94</v>
      </c>
      <c r="AF751" s="81" t="s">
        <v>2403</v>
      </c>
      <c r="AG751" s="81" t="s">
        <v>2829</v>
      </c>
      <c r="AH751" s="81" t="s">
        <v>742</v>
      </c>
      <c r="AI751" s="85"/>
    </row>
    <row r="752" spans="1:35" s="79" customFormat="1" ht="11.25" customHeight="1" x14ac:dyDescent="0.2">
      <c r="A752" s="77" t="s">
        <v>1979</v>
      </c>
      <c r="B752" s="80">
        <v>1206</v>
      </c>
      <c r="C752" s="81" t="s">
        <v>1978</v>
      </c>
      <c r="D752" s="73">
        <v>1000</v>
      </c>
      <c r="E752" s="79" t="s">
        <v>28</v>
      </c>
      <c r="F752" s="79" t="s">
        <v>3725</v>
      </c>
      <c r="G752" s="79" t="s">
        <v>2996</v>
      </c>
      <c r="H752" s="79" t="s">
        <v>43</v>
      </c>
      <c r="I752" s="81" t="s">
        <v>3000</v>
      </c>
      <c r="J752" s="81">
        <v>25</v>
      </c>
      <c r="K752" s="86"/>
      <c r="M752" s="78" t="s">
        <v>244</v>
      </c>
      <c r="N752" s="82" t="s">
        <v>94</v>
      </c>
      <c r="O752" s="81" t="s">
        <v>2701</v>
      </c>
      <c r="P752" s="81" t="s">
        <v>2963</v>
      </c>
      <c r="Q752" s="81"/>
      <c r="R752" s="83" t="s">
        <v>3434</v>
      </c>
      <c r="S752" s="79" t="s">
        <v>3095</v>
      </c>
      <c r="T752" s="84" t="s">
        <v>3585</v>
      </c>
      <c r="U752" s="81"/>
      <c r="V752" s="81"/>
      <c r="W752" s="78" t="s">
        <v>244</v>
      </c>
      <c r="X752" s="82" t="s">
        <v>94</v>
      </c>
      <c r="Y752" s="81" t="s">
        <v>2701</v>
      </c>
      <c r="Z752" s="81" t="s">
        <v>2963</v>
      </c>
      <c r="AA752" s="81" t="s">
        <v>743</v>
      </c>
      <c r="AB752" s="85"/>
      <c r="AD752" s="78" t="s">
        <v>244</v>
      </c>
      <c r="AE752" s="82" t="s">
        <v>94</v>
      </c>
      <c r="AF752" s="81" t="s">
        <v>2701</v>
      </c>
      <c r="AG752" s="81" t="s">
        <v>2963</v>
      </c>
      <c r="AH752" s="81" t="s">
        <v>742</v>
      </c>
      <c r="AI752" s="85"/>
    </row>
    <row r="753" spans="1:35" s="79" customFormat="1" ht="11.25" customHeight="1" x14ac:dyDescent="0.2">
      <c r="A753" s="77" t="s">
        <v>1661</v>
      </c>
      <c r="B753" s="80">
        <v>1096</v>
      </c>
      <c r="C753" s="81" t="s">
        <v>1660</v>
      </c>
      <c r="D753" s="73">
        <v>1000</v>
      </c>
      <c r="E753" s="79" t="s">
        <v>28</v>
      </c>
      <c r="F753" s="79" t="s">
        <v>3725</v>
      </c>
      <c r="G753" s="79" t="s">
        <v>2996</v>
      </c>
      <c r="H753" s="79" t="s">
        <v>43</v>
      </c>
      <c r="I753" s="81" t="s">
        <v>3000</v>
      </c>
      <c r="J753" s="81">
        <v>25</v>
      </c>
      <c r="K753" s="86"/>
      <c r="M753" s="78" t="s">
        <v>244</v>
      </c>
      <c r="N753" s="82" t="s">
        <v>95</v>
      </c>
      <c r="O753" s="81" t="s">
        <v>2633</v>
      </c>
      <c r="P753" s="81" t="s">
        <v>2925</v>
      </c>
      <c r="Q753" s="81"/>
      <c r="R753" s="83" t="s">
        <v>3439</v>
      </c>
      <c r="S753" s="79" t="s">
        <v>3199</v>
      </c>
      <c r="T753" s="84" t="s">
        <v>3587</v>
      </c>
      <c r="U753" s="81"/>
      <c r="V753" s="81"/>
      <c r="W753" s="78" t="s">
        <v>244</v>
      </c>
      <c r="X753" s="82" t="s">
        <v>95</v>
      </c>
      <c r="Y753" s="81" t="s">
        <v>2633</v>
      </c>
      <c r="Z753" s="81" t="s">
        <v>2925</v>
      </c>
      <c r="AA753" s="81" t="s">
        <v>436</v>
      </c>
      <c r="AB753" s="85"/>
      <c r="AD753" s="78" t="s">
        <v>244</v>
      </c>
      <c r="AE753" s="82" t="s">
        <v>95</v>
      </c>
      <c r="AF753" s="81" t="s">
        <v>2633</v>
      </c>
      <c r="AG753" s="81" t="s">
        <v>2925</v>
      </c>
      <c r="AH753" s="81" t="s">
        <v>289</v>
      </c>
      <c r="AI753" s="85"/>
    </row>
    <row r="754" spans="1:35" s="79" customFormat="1" ht="11.25" customHeight="1" x14ac:dyDescent="0.2">
      <c r="A754" s="77" t="s">
        <v>411</v>
      </c>
      <c r="B754" s="80">
        <v>326</v>
      </c>
      <c r="C754" s="81" t="s">
        <v>410</v>
      </c>
      <c r="D754" s="73">
        <v>42000</v>
      </c>
      <c r="E754" s="79" t="s">
        <v>42</v>
      </c>
      <c r="F754" s="79" t="s">
        <v>3725</v>
      </c>
      <c r="G754" s="79" t="s">
        <v>2996</v>
      </c>
      <c r="H754" s="79" t="s">
        <v>43</v>
      </c>
      <c r="I754" s="81" t="s">
        <v>3000</v>
      </c>
      <c r="J754" s="81">
        <v>150</v>
      </c>
      <c r="K754" s="86"/>
      <c r="M754" s="78" t="s">
        <v>244</v>
      </c>
      <c r="N754" s="82"/>
      <c r="O754" s="81" t="s">
        <v>2333</v>
      </c>
      <c r="P754" s="81" t="s">
        <v>2256</v>
      </c>
      <c r="Q754" s="81"/>
      <c r="R754" s="83">
        <v>1000</v>
      </c>
      <c r="S754" s="79" t="s">
        <v>3053</v>
      </c>
      <c r="T754" s="84">
        <v>42000000</v>
      </c>
      <c r="U754" s="81"/>
      <c r="V754" s="81"/>
      <c r="W754" s="78" t="s">
        <v>244</v>
      </c>
      <c r="X754" s="82"/>
      <c r="Y754" s="81" t="s">
        <v>2333</v>
      </c>
      <c r="Z754" s="81" t="s">
        <v>2256</v>
      </c>
      <c r="AA754" s="83">
        <v>5000</v>
      </c>
      <c r="AB754" s="85"/>
      <c r="AD754" s="78" t="s">
        <v>244</v>
      </c>
      <c r="AE754" s="82"/>
      <c r="AF754" s="81" t="s">
        <v>2333</v>
      </c>
      <c r="AG754" s="81" t="s">
        <v>2256</v>
      </c>
      <c r="AH754" s="83">
        <v>7000</v>
      </c>
      <c r="AI754" s="85"/>
    </row>
    <row r="755" spans="1:35" s="79" customFormat="1" ht="11.25" customHeight="1" x14ac:dyDescent="0.2">
      <c r="A755" s="77" t="s">
        <v>474</v>
      </c>
      <c r="B755" s="80">
        <v>830</v>
      </c>
      <c r="C755" s="81" t="s">
        <v>244</v>
      </c>
      <c r="D755" s="73">
        <v>42000</v>
      </c>
      <c r="E755" s="79" t="s">
        <v>42</v>
      </c>
      <c r="F755" s="79" t="s">
        <v>3725</v>
      </c>
      <c r="G755" s="79" t="s">
        <v>2996</v>
      </c>
      <c r="H755" s="79" t="s">
        <v>43</v>
      </c>
      <c r="I755" s="81"/>
      <c r="J755" s="81">
        <v>150</v>
      </c>
      <c r="K755" s="86"/>
      <c r="M755" s="78" t="s">
        <v>244</v>
      </c>
      <c r="N755" s="82"/>
      <c r="O755" s="81" t="s">
        <v>2256</v>
      </c>
      <c r="P755" s="81" t="s">
        <v>2256</v>
      </c>
      <c r="Q755" s="81"/>
      <c r="R755" s="83">
        <v>1000</v>
      </c>
      <c r="S755" s="79" t="s">
        <v>2999</v>
      </c>
      <c r="T755" s="84">
        <v>42000000</v>
      </c>
      <c r="U755" s="81"/>
      <c r="V755" s="81"/>
      <c r="W755" s="78" t="s">
        <v>244</v>
      </c>
      <c r="X755" s="82"/>
      <c r="Y755" s="81" t="s">
        <v>2256</v>
      </c>
      <c r="Z755" s="81" t="s">
        <v>2256</v>
      </c>
      <c r="AA755" s="83">
        <v>5000</v>
      </c>
      <c r="AB755" s="85"/>
      <c r="AD755" s="78" t="s">
        <v>244</v>
      </c>
      <c r="AE755" s="82"/>
      <c r="AF755" s="81" t="s">
        <v>2256</v>
      </c>
      <c r="AG755" s="81" t="s">
        <v>2256</v>
      </c>
      <c r="AH755" s="83">
        <v>7000</v>
      </c>
      <c r="AI755" s="85"/>
    </row>
    <row r="756" spans="1:35" s="79" customFormat="1" ht="11.25" customHeight="1" x14ac:dyDescent="0.2">
      <c r="A756" s="77" t="s">
        <v>1658</v>
      </c>
      <c r="B756" s="80">
        <v>386</v>
      </c>
      <c r="C756" s="81" t="s">
        <v>1657</v>
      </c>
      <c r="D756" s="73">
        <v>42000</v>
      </c>
      <c r="E756" s="79" t="s">
        <v>42</v>
      </c>
      <c r="F756" s="79" t="s">
        <v>30</v>
      </c>
      <c r="G756" s="79" t="s">
        <v>3001</v>
      </c>
      <c r="H756" s="79" t="s">
        <v>43</v>
      </c>
      <c r="I756" s="81" t="s">
        <v>3000</v>
      </c>
      <c r="J756" s="81">
        <v>150</v>
      </c>
      <c r="K756" s="86"/>
      <c r="M756" s="78" t="s">
        <v>244</v>
      </c>
      <c r="N756" s="82"/>
      <c r="O756" s="81" t="s">
        <v>2632</v>
      </c>
      <c r="P756" s="81" t="s">
        <v>2256</v>
      </c>
      <c r="Q756" s="81"/>
      <c r="R756" s="83">
        <v>1000</v>
      </c>
      <c r="S756" s="79" t="s">
        <v>3053</v>
      </c>
      <c r="T756" s="84">
        <v>42000000</v>
      </c>
      <c r="U756" s="81"/>
      <c r="V756" s="81"/>
      <c r="W756" s="78" t="s">
        <v>244</v>
      </c>
      <c r="X756" s="82"/>
      <c r="Y756" s="81" t="s">
        <v>2632</v>
      </c>
      <c r="Z756" s="81" t="s">
        <v>2256</v>
      </c>
      <c r="AA756" s="83">
        <v>7000</v>
      </c>
      <c r="AB756" s="85"/>
      <c r="AD756" s="78" t="s">
        <v>244</v>
      </c>
      <c r="AE756" s="82"/>
      <c r="AF756" s="81" t="s">
        <v>2632</v>
      </c>
      <c r="AG756" s="81" t="s">
        <v>2256</v>
      </c>
      <c r="AH756" s="83">
        <v>7000</v>
      </c>
      <c r="AI756" s="85"/>
    </row>
    <row r="757" spans="1:35" s="79" customFormat="1" ht="11.25" customHeight="1" x14ac:dyDescent="0.2">
      <c r="A757" s="77" t="s">
        <v>1685</v>
      </c>
      <c r="B757" s="80">
        <v>556</v>
      </c>
      <c r="C757" s="81" t="s">
        <v>1684</v>
      </c>
      <c r="D757" s="73">
        <v>42000</v>
      </c>
      <c r="E757" s="79" t="s">
        <v>42</v>
      </c>
      <c r="F757" s="79" t="s">
        <v>3725</v>
      </c>
      <c r="G757" s="79" t="s">
        <v>2996</v>
      </c>
      <c r="H757" s="79" t="s">
        <v>43</v>
      </c>
      <c r="I757" s="81" t="s">
        <v>3000</v>
      </c>
      <c r="J757" s="81">
        <v>25</v>
      </c>
      <c r="K757" s="86"/>
      <c r="M757" s="78" t="s">
        <v>244</v>
      </c>
      <c r="N757" s="82"/>
      <c r="O757" s="81" t="s">
        <v>2641</v>
      </c>
      <c r="P757" s="81" t="s">
        <v>2256</v>
      </c>
      <c r="Q757" s="81"/>
      <c r="R757" s="83">
        <v>1000</v>
      </c>
      <c r="S757" s="79" t="s">
        <v>3053</v>
      </c>
      <c r="T757" s="84">
        <v>42000000</v>
      </c>
      <c r="U757" s="81"/>
      <c r="V757" s="81"/>
      <c r="W757" s="78" t="s">
        <v>244</v>
      </c>
      <c r="X757" s="82"/>
      <c r="Y757" s="81" t="s">
        <v>2641</v>
      </c>
      <c r="Z757" s="81" t="s">
        <v>2256</v>
      </c>
      <c r="AA757" s="83">
        <v>5000</v>
      </c>
      <c r="AB757" s="85"/>
      <c r="AD757" s="78" t="s">
        <v>244</v>
      </c>
      <c r="AE757" s="82"/>
      <c r="AF757" s="81" t="s">
        <v>2641</v>
      </c>
      <c r="AG757" s="81" t="s">
        <v>2256</v>
      </c>
      <c r="AH757" s="83">
        <v>7000</v>
      </c>
      <c r="AI757" s="85"/>
    </row>
    <row r="758" spans="1:35" s="79" customFormat="1" ht="11.25" customHeight="1" x14ac:dyDescent="0.2">
      <c r="A758" s="77" t="s">
        <v>1128</v>
      </c>
      <c r="B758" s="80">
        <v>314</v>
      </c>
      <c r="C758" s="81" t="s">
        <v>1127</v>
      </c>
      <c r="D758" s="73">
        <v>100</v>
      </c>
      <c r="E758" s="79" t="s">
        <v>20</v>
      </c>
      <c r="F758" s="79" t="s">
        <v>3725</v>
      </c>
      <c r="G758" s="79" t="s">
        <v>2996</v>
      </c>
      <c r="H758" s="79" t="s">
        <v>43</v>
      </c>
      <c r="I758" s="81" t="s">
        <v>3000</v>
      </c>
      <c r="J758" s="81">
        <v>25</v>
      </c>
      <c r="K758" s="86"/>
      <c r="M758" s="78" t="s">
        <v>405</v>
      </c>
      <c r="N758" s="82" t="s">
        <v>135</v>
      </c>
      <c r="O758" s="81" t="s">
        <v>2503</v>
      </c>
      <c r="P758" s="81" t="s">
        <v>2881</v>
      </c>
      <c r="Q758" s="81"/>
      <c r="R758" s="83" t="s">
        <v>3427</v>
      </c>
      <c r="S758" s="79" t="s">
        <v>3152</v>
      </c>
      <c r="T758" s="84" t="s">
        <v>3596</v>
      </c>
      <c r="U758" s="81"/>
      <c r="V758" s="81"/>
      <c r="W758" s="78" t="s">
        <v>405</v>
      </c>
      <c r="X758" s="82" t="s">
        <v>135</v>
      </c>
      <c r="Y758" s="81" t="s">
        <v>2503</v>
      </c>
      <c r="Z758" s="81" t="s">
        <v>2881</v>
      </c>
      <c r="AA758" s="81" t="s">
        <v>137</v>
      </c>
      <c r="AB758" s="85"/>
      <c r="AD758" s="78" t="s">
        <v>405</v>
      </c>
      <c r="AE758" s="82" t="s">
        <v>135</v>
      </c>
      <c r="AF758" s="81" t="s">
        <v>2503</v>
      </c>
      <c r="AG758" s="81" t="s">
        <v>2881</v>
      </c>
      <c r="AH758" s="81" t="s">
        <v>1129</v>
      </c>
      <c r="AI758" s="85"/>
    </row>
    <row r="759" spans="1:35" s="79" customFormat="1" ht="11.25" customHeight="1" x14ac:dyDescent="0.2">
      <c r="A759" s="77" t="s">
        <v>406</v>
      </c>
      <c r="B759" s="80">
        <v>317</v>
      </c>
      <c r="C759" s="81" t="s">
        <v>405</v>
      </c>
      <c r="D759" s="73">
        <v>100</v>
      </c>
      <c r="E759" s="79" t="s">
        <v>20</v>
      </c>
      <c r="F759" s="79" t="s">
        <v>3725</v>
      </c>
      <c r="G759" s="79" t="s">
        <v>2996</v>
      </c>
      <c r="H759" s="79" t="s">
        <v>43</v>
      </c>
      <c r="I759" s="81" t="s">
        <v>3000</v>
      </c>
      <c r="J759" s="81">
        <v>25</v>
      </c>
      <c r="K759" s="86"/>
      <c r="M759" s="78" t="s">
        <v>405</v>
      </c>
      <c r="N759" s="82"/>
      <c r="O759" s="81" t="s">
        <v>2256</v>
      </c>
      <c r="P759" s="81" t="s">
        <v>2256</v>
      </c>
      <c r="Q759" s="81"/>
      <c r="R759" s="83">
        <v>500</v>
      </c>
      <c r="S759" s="79" t="s">
        <v>2999</v>
      </c>
      <c r="T759" s="84">
        <v>50000</v>
      </c>
      <c r="U759" s="81"/>
      <c r="V759" s="81"/>
      <c r="W759" s="78" t="s">
        <v>405</v>
      </c>
      <c r="X759" s="82"/>
      <c r="Y759" s="81" t="s">
        <v>2256</v>
      </c>
      <c r="Z759" s="81" t="s">
        <v>2256</v>
      </c>
      <c r="AA759" s="83">
        <v>2500</v>
      </c>
      <c r="AB759" s="85"/>
      <c r="AD759" s="78" t="s">
        <v>405</v>
      </c>
      <c r="AE759" s="82"/>
      <c r="AF759" s="81" t="s">
        <v>2256</v>
      </c>
      <c r="AG759" s="81" t="s">
        <v>2256</v>
      </c>
      <c r="AH759" s="83">
        <v>3500</v>
      </c>
      <c r="AI759" s="85"/>
    </row>
    <row r="760" spans="1:35" s="79" customFormat="1" ht="11.25" customHeight="1" x14ac:dyDescent="0.2">
      <c r="A760" s="77" t="s">
        <v>730</v>
      </c>
      <c r="B760" s="80">
        <v>1235</v>
      </c>
      <c r="C760" s="81" t="s">
        <v>729</v>
      </c>
      <c r="D760" s="73">
        <v>1000</v>
      </c>
      <c r="E760" s="79" t="s">
        <v>20</v>
      </c>
      <c r="F760" s="79" t="s">
        <v>3725</v>
      </c>
      <c r="G760" s="79" t="s">
        <v>2996</v>
      </c>
      <c r="H760" s="79" t="s">
        <v>43</v>
      </c>
      <c r="I760" s="81" t="s">
        <v>3000</v>
      </c>
      <c r="J760" s="81">
        <v>25</v>
      </c>
      <c r="K760" s="86"/>
      <c r="M760" s="78" t="s">
        <v>430</v>
      </c>
      <c r="N760" s="82" t="s">
        <v>94</v>
      </c>
      <c r="O760" s="81" t="s">
        <v>2401</v>
      </c>
      <c r="P760" s="81" t="s">
        <v>2827</v>
      </c>
      <c r="Q760" s="81"/>
      <c r="R760" s="83" t="s">
        <v>3434</v>
      </c>
      <c r="S760" s="79" t="s">
        <v>3093</v>
      </c>
      <c r="T760" s="84" t="s">
        <v>3583</v>
      </c>
      <c r="U760" s="81"/>
      <c r="V760" s="81"/>
      <c r="W760" s="78" t="s">
        <v>430</v>
      </c>
      <c r="X760" s="82" t="s">
        <v>94</v>
      </c>
      <c r="Y760" s="81" t="s">
        <v>2401</v>
      </c>
      <c r="Z760" s="81" t="s">
        <v>2827</v>
      </c>
      <c r="AA760" s="81" t="s">
        <v>732</v>
      </c>
      <c r="AB760" s="85"/>
      <c r="AD760" s="78" t="s">
        <v>430</v>
      </c>
      <c r="AE760" s="82" t="s">
        <v>94</v>
      </c>
      <c r="AF760" s="81" t="s">
        <v>2401</v>
      </c>
      <c r="AG760" s="81" t="s">
        <v>2827</v>
      </c>
      <c r="AH760" s="81" t="s">
        <v>731</v>
      </c>
      <c r="AI760" s="85"/>
    </row>
    <row r="761" spans="1:35" s="79" customFormat="1" ht="11.25" customHeight="1" x14ac:dyDescent="0.2">
      <c r="A761" s="77" t="s">
        <v>435</v>
      </c>
      <c r="B761" s="80">
        <v>1085</v>
      </c>
      <c r="C761" s="81" t="s">
        <v>434</v>
      </c>
      <c r="D761" s="73">
        <v>1000</v>
      </c>
      <c r="E761" s="79" t="s">
        <v>28</v>
      </c>
      <c r="F761" s="79" t="s">
        <v>3725</v>
      </c>
      <c r="G761" s="79" t="s">
        <v>2996</v>
      </c>
      <c r="H761" s="79" t="s">
        <v>43</v>
      </c>
      <c r="I761" s="81" t="s">
        <v>3000</v>
      </c>
      <c r="J761" s="81">
        <v>25</v>
      </c>
      <c r="K761" s="86"/>
      <c r="M761" s="78" t="s">
        <v>430</v>
      </c>
      <c r="N761" s="82" t="s">
        <v>95</v>
      </c>
      <c r="O761" s="81" t="s">
        <v>2342</v>
      </c>
      <c r="P761" s="81" t="s">
        <v>2798</v>
      </c>
      <c r="Q761" s="81"/>
      <c r="R761" s="83" t="s">
        <v>3439</v>
      </c>
      <c r="S761" s="79" t="s">
        <v>3061</v>
      </c>
      <c r="T761" s="84" t="s">
        <v>3574</v>
      </c>
      <c r="U761" s="81"/>
      <c r="V761" s="81"/>
      <c r="W761" s="78" t="s">
        <v>430</v>
      </c>
      <c r="X761" s="82" t="s">
        <v>95</v>
      </c>
      <c r="Y761" s="81" t="s">
        <v>2342</v>
      </c>
      <c r="Z761" s="81" t="s">
        <v>2798</v>
      </c>
      <c r="AA761" s="81" t="s">
        <v>436</v>
      </c>
      <c r="AB761" s="85"/>
      <c r="AD761" s="78" t="s">
        <v>430</v>
      </c>
      <c r="AE761" s="82" t="s">
        <v>95</v>
      </c>
      <c r="AF761" s="81" t="s">
        <v>2342</v>
      </c>
      <c r="AG761" s="81" t="s">
        <v>2798</v>
      </c>
      <c r="AH761" s="81" t="s">
        <v>289</v>
      </c>
      <c r="AI761" s="85"/>
    </row>
    <row r="762" spans="1:35" s="79" customFormat="1" ht="11.25" customHeight="1" x14ac:dyDescent="0.2">
      <c r="A762" s="77" t="s">
        <v>438</v>
      </c>
      <c r="B762" s="80">
        <v>1084</v>
      </c>
      <c r="C762" s="81" t="s">
        <v>437</v>
      </c>
      <c r="D762" s="73">
        <v>1000</v>
      </c>
      <c r="E762" s="79" t="s">
        <v>28</v>
      </c>
      <c r="F762" s="79" t="s">
        <v>3725</v>
      </c>
      <c r="G762" s="79" t="s">
        <v>2996</v>
      </c>
      <c r="H762" s="79" t="s">
        <v>43</v>
      </c>
      <c r="I762" s="81" t="s">
        <v>3000</v>
      </c>
      <c r="J762" s="81">
        <v>25</v>
      </c>
      <c r="K762" s="86"/>
      <c r="M762" s="78" t="s">
        <v>430</v>
      </c>
      <c r="N762" s="82" t="s">
        <v>106</v>
      </c>
      <c r="O762" s="81" t="s">
        <v>2343</v>
      </c>
      <c r="P762" s="81" t="s">
        <v>2799</v>
      </c>
      <c r="Q762" s="81"/>
      <c r="R762" s="83" t="s">
        <v>3455</v>
      </c>
      <c r="S762" s="79" t="s">
        <v>3062</v>
      </c>
      <c r="T762" s="84" t="s">
        <v>3592</v>
      </c>
      <c r="U762" s="81"/>
      <c r="V762" s="81"/>
      <c r="W762" s="78" t="s">
        <v>430</v>
      </c>
      <c r="X762" s="82" t="s">
        <v>106</v>
      </c>
      <c r="Y762" s="81" t="s">
        <v>2343</v>
      </c>
      <c r="Z762" s="81" t="s">
        <v>2799</v>
      </c>
      <c r="AA762" s="81" t="s">
        <v>414</v>
      </c>
      <c r="AB762" s="85"/>
      <c r="AD762" s="78" t="s">
        <v>430</v>
      </c>
      <c r="AE762" s="82" t="s">
        <v>106</v>
      </c>
      <c r="AF762" s="81" t="s">
        <v>2343</v>
      </c>
      <c r="AG762" s="81" t="s">
        <v>2799</v>
      </c>
      <c r="AH762" s="81" t="s">
        <v>290</v>
      </c>
      <c r="AI762" s="85"/>
    </row>
    <row r="763" spans="1:35" s="79" customFormat="1" ht="11.25" customHeight="1" x14ac:dyDescent="0.2">
      <c r="A763" s="77" t="s">
        <v>3762</v>
      </c>
      <c r="B763" s="80">
        <v>127</v>
      </c>
      <c r="C763" s="81" t="s">
        <v>611</v>
      </c>
      <c r="D763" s="73">
        <v>1000</v>
      </c>
      <c r="E763" s="79" t="s">
        <v>28</v>
      </c>
      <c r="F763" s="79" t="s">
        <v>3725</v>
      </c>
      <c r="G763" s="79" t="s">
        <v>2996</v>
      </c>
      <c r="H763" s="79" t="s">
        <v>43</v>
      </c>
      <c r="I763" s="81" t="s">
        <v>3000</v>
      </c>
      <c r="J763" s="81">
        <v>25</v>
      </c>
      <c r="K763" s="86"/>
      <c r="M763" s="78" t="s">
        <v>430</v>
      </c>
      <c r="N763" s="82" t="s">
        <v>160</v>
      </c>
      <c r="O763" s="81" t="s">
        <v>2375</v>
      </c>
      <c r="P763" s="81" t="s">
        <v>2813</v>
      </c>
      <c r="Q763" s="81"/>
      <c r="R763" s="83" t="s">
        <v>3451</v>
      </c>
      <c r="S763" s="79" t="s">
        <v>3076</v>
      </c>
      <c r="T763" s="84" t="s">
        <v>3581</v>
      </c>
      <c r="U763" s="81"/>
      <c r="V763" s="81"/>
      <c r="W763" s="78" t="s">
        <v>430</v>
      </c>
      <c r="X763" s="82" t="s">
        <v>160</v>
      </c>
      <c r="Y763" s="81" t="s">
        <v>2375</v>
      </c>
      <c r="Z763" s="81" t="s">
        <v>2813</v>
      </c>
      <c r="AA763" s="81" t="s">
        <v>436</v>
      </c>
      <c r="AB763" s="85"/>
      <c r="AD763" s="78" t="s">
        <v>430</v>
      </c>
      <c r="AE763" s="82" t="s">
        <v>160</v>
      </c>
      <c r="AF763" s="81" t="s">
        <v>2375</v>
      </c>
      <c r="AG763" s="81" t="s">
        <v>2813</v>
      </c>
      <c r="AH763" s="81" t="s">
        <v>289</v>
      </c>
      <c r="AI763" s="85"/>
    </row>
    <row r="764" spans="1:35" s="79" customFormat="1" ht="11.25" customHeight="1" x14ac:dyDescent="0.2">
      <c r="A764" s="77" t="s">
        <v>431</v>
      </c>
      <c r="B764" s="80">
        <v>720</v>
      </c>
      <c r="C764" s="81" t="s">
        <v>430</v>
      </c>
      <c r="D764" s="73">
        <v>1000</v>
      </c>
      <c r="E764" s="79" t="s">
        <v>28</v>
      </c>
      <c r="F764" s="79" t="s">
        <v>3725</v>
      </c>
      <c r="G764" s="79" t="s">
        <v>2996</v>
      </c>
      <c r="H764" s="79" t="s">
        <v>43</v>
      </c>
      <c r="I764" s="81" t="s">
        <v>3000</v>
      </c>
      <c r="J764" s="81">
        <v>25</v>
      </c>
      <c r="K764" s="86"/>
      <c r="M764" s="78" t="s">
        <v>430</v>
      </c>
      <c r="N764" s="82"/>
      <c r="O764" s="81" t="s">
        <v>2256</v>
      </c>
      <c r="P764" s="81" t="s">
        <v>2256</v>
      </c>
      <c r="Q764" s="81"/>
      <c r="R764" s="83">
        <v>1000</v>
      </c>
      <c r="S764" s="79" t="s">
        <v>2999</v>
      </c>
      <c r="T764" s="84">
        <v>1000000</v>
      </c>
      <c r="U764" s="81"/>
      <c r="V764" s="81"/>
      <c r="W764" s="78" t="s">
        <v>430</v>
      </c>
      <c r="X764" s="82"/>
      <c r="Y764" s="81" t="s">
        <v>2256</v>
      </c>
      <c r="Z764" s="81" t="s">
        <v>2256</v>
      </c>
      <c r="AA764" s="83">
        <v>5000</v>
      </c>
      <c r="AB764" s="85"/>
      <c r="AD764" s="78" t="s">
        <v>430</v>
      </c>
      <c r="AE764" s="82"/>
      <c r="AF764" s="81" t="s">
        <v>2256</v>
      </c>
      <c r="AG764" s="81" t="s">
        <v>2256</v>
      </c>
      <c r="AH764" s="83">
        <v>7000</v>
      </c>
      <c r="AI764" s="85"/>
    </row>
    <row r="765" spans="1:35" s="79" customFormat="1" ht="11.25" customHeight="1" x14ac:dyDescent="0.2">
      <c r="A765" s="77" t="s">
        <v>433</v>
      </c>
      <c r="B765" s="80">
        <v>1245</v>
      </c>
      <c r="C765" s="81" t="s">
        <v>432</v>
      </c>
      <c r="D765" s="73">
        <v>1000</v>
      </c>
      <c r="E765" s="79" t="s">
        <v>28</v>
      </c>
      <c r="F765" s="79" t="s">
        <v>30</v>
      </c>
      <c r="G765" s="79" t="s">
        <v>3001</v>
      </c>
      <c r="H765" s="79" t="s">
        <v>43</v>
      </c>
      <c r="I765" s="81" t="s">
        <v>3000</v>
      </c>
      <c r="J765" s="81">
        <v>25</v>
      </c>
      <c r="K765" s="86"/>
      <c r="M765" s="78" t="s">
        <v>430</v>
      </c>
      <c r="N765" s="82"/>
      <c r="O765" s="81" t="s">
        <v>2341</v>
      </c>
      <c r="P765" s="81" t="s">
        <v>2256</v>
      </c>
      <c r="Q765" s="81"/>
      <c r="R765" s="83">
        <v>1000</v>
      </c>
      <c r="S765" s="79" t="s">
        <v>3060</v>
      </c>
      <c r="T765" s="84">
        <v>1000000</v>
      </c>
      <c r="U765" s="81"/>
      <c r="V765" s="81"/>
      <c r="W765" s="78" t="s">
        <v>430</v>
      </c>
      <c r="X765" s="82"/>
      <c r="Y765" s="81" t="s">
        <v>2341</v>
      </c>
      <c r="Z765" s="81" t="s">
        <v>2256</v>
      </c>
      <c r="AA765" s="83">
        <v>5000</v>
      </c>
      <c r="AB765" s="85"/>
      <c r="AD765" s="78" t="s">
        <v>430</v>
      </c>
      <c r="AE765" s="82"/>
      <c r="AF765" s="81" t="s">
        <v>2341</v>
      </c>
      <c r="AG765" s="81" t="s">
        <v>2256</v>
      </c>
      <c r="AH765" s="83">
        <v>7000</v>
      </c>
      <c r="AI765" s="85"/>
    </row>
    <row r="766" spans="1:35" s="79" customFormat="1" ht="11.25" customHeight="1" x14ac:dyDescent="0.2">
      <c r="A766" s="77" t="s">
        <v>440</v>
      </c>
      <c r="B766" s="80">
        <v>721</v>
      </c>
      <c r="C766" s="81" t="s">
        <v>439</v>
      </c>
      <c r="D766" s="73">
        <v>1000</v>
      </c>
      <c r="E766" s="79" t="s">
        <v>28</v>
      </c>
      <c r="F766" s="79" t="s">
        <v>3725</v>
      </c>
      <c r="G766" s="79" t="s">
        <v>2996</v>
      </c>
      <c r="H766" s="79" t="s">
        <v>43</v>
      </c>
      <c r="I766" s="81" t="s">
        <v>3000</v>
      </c>
      <c r="J766" s="81">
        <v>25</v>
      </c>
      <c r="K766" s="86"/>
      <c r="M766" s="78" t="s">
        <v>430</v>
      </c>
      <c r="N766" s="82"/>
      <c r="O766" s="81" t="s">
        <v>2344</v>
      </c>
      <c r="P766" s="81" t="s">
        <v>2256</v>
      </c>
      <c r="Q766" s="81"/>
      <c r="R766" s="83">
        <v>1000</v>
      </c>
      <c r="S766" s="79" t="s">
        <v>3060</v>
      </c>
      <c r="T766" s="84">
        <v>1000000</v>
      </c>
      <c r="U766" s="81"/>
      <c r="V766" s="81"/>
      <c r="W766" s="78" t="s">
        <v>430</v>
      </c>
      <c r="X766" s="82"/>
      <c r="Y766" s="81" t="s">
        <v>2344</v>
      </c>
      <c r="Z766" s="81" t="s">
        <v>2256</v>
      </c>
      <c r="AA766" s="83">
        <v>5000</v>
      </c>
      <c r="AB766" s="85"/>
      <c r="AD766" s="78" t="s">
        <v>430</v>
      </c>
      <c r="AE766" s="82"/>
      <c r="AF766" s="81" t="s">
        <v>2344</v>
      </c>
      <c r="AG766" s="81" t="s">
        <v>2256</v>
      </c>
      <c r="AH766" s="83">
        <v>7000</v>
      </c>
      <c r="AI766" s="85"/>
    </row>
    <row r="767" spans="1:35" s="79" customFormat="1" ht="11.25" customHeight="1" x14ac:dyDescent="0.2">
      <c r="A767" s="77" t="s">
        <v>450</v>
      </c>
      <c r="B767" s="80">
        <v>413</v>
      </c>
      <c r="C767" s="81" t="s">
        <v>449</v>
      </c>
      <c r="D767" s="73">
        <v>42000</v>
      </c>
      <c r="E767" s="79" t="s">
        <v>42</v>
      </c>
      <c r="F767" s="79" t="s">
        <v>3725</v>
      </c>
      <c r="G767" s="79" t="s">
        <v>2996</v>
      </c>
      <c r="H767" s="79" t="s">
        <v>43</v>
      </c>
      <c r="I767" s="81" t="s">
        <v>3000</v>
      </c>
      <c r="J767" s="81">
        <v>25</v>
      </c>
      <c r="K767" s="86"/>
      <c r="M767" s="78" t="s">
        <v>441</v>
      </c>
      <c r="N767" s="82" t="s">
        <v>44</v>
      </c>
      <c r="O767" s="81" t="s">
        <v>2346</v>
      </c>
      <c r="P767" s="81" t="s">
        <v>2800</v>
      </c>
      <c r="Q767" s="81"/>
      <c r="R767" s="83" t="s">
        <v>3428</v>
      </c>
      <c r="S767" s="79" t="s">
        <v>3063</v>
      </c>
      <c r="T767" s="84" t="s">
        <v>3589</v>
      </c>
      <c r="U767" s="81"/>
      <c r="V767" s="81"/>
      <c r="W767" s="78" t="s">
        <v>441</v>
      </c>
      <c r="X767" s="82" t="s">
        <v>44</v>
      </c>
      <c r="Y767" s="81" t="s">
        <v>2346</v>
      </c>
      <c r="Z767" s="81" t="s">
        <v>2800</v>
      </c>
      <c r="AA767" s="81" t="s">
        <v>452</v>
      </c>
      <c r="AB767" s="85"/>
      <c r="AD767" s="78" t="s">
        <v>441</v>
      </c>
      <c r="AE767" s="82" t="s">
        <v>44</v>
      </c>
      <c r="AF767" s="81" t="s">
        <v>2346</v>
      </c>
      <c r="AG767" s="81" t="s">
        <v>2800</v>
      </c>
      <c r="AH767" s="81" t="s">
        <v>451</v>
      </c>
      <c r="AI767" s="85"/>
    </row>
    <row r="768" spans="1:35" s="79" customFormat="1" ht="11.25" customHeight="1" x14ac:dyDescent="0.2">
      <c r="A768" s="77" t="s">
        <v>442</v>
      </c>
      <c r="B768" s="80">
        <v>412</v>
      </c>
      <c r="C768" s="81" t="s">
        <v>441</v>
      </c>
      <c r="D768" s="73">
        <v>42000</v>
      </c>
      <c r="E768" s="79" t="s">
        <v>42</v>
      </c>
      <c r="F768" s="79" t="s">
        <v>3725</v>
      </c>
      <c r="G768" s="79" t="s">
        <v>2996</v>
      </c>
      <c r="H768" s="79" t="s">
        <v>43</v>
      </c>
      <c r="I768" s="81" t="s">
        <v>3000</v>
      </c>
      <c r="J768" s="81">
        <v>25</v>
      </c>
      <c r="K768" s="86"/>
      <c r="M768" s="78" t="s">
        <v>441</v>
      </c>
      <c r="N768" s="82"/>
      <c r="O768" s="81" t="s">
        <v>2256</v>
      </c>
      <c r="P768" s="81" t="s">
        <v>2256</v>
      </c>
      <c r="Q768" s="81"/>
      <c r="R768" s="83">
        <v>250</v>
      </c>
      <c r="S768" s="79" t="s">
        <v>2999</v>
      </c>
      <c r="T768" s="84">
        <v>10500000</v>
      </c>
      <c r="U768" s="81"/>
      <c r="V768" s="81"/>
      <c r="W768" s="78" t="s">
        <v>441</v>
      </c>
      <c r="X768" s="82"/>
      <c r="Y768" s="81" t="s">
        <v>2256</v>
      </c>
      <c r="Z768" s="81" t="s">
        <v>2256</v>
      </c>
      <c r="AA768" s="83">
        <v>1500</v>
      </c>
      <c r="AB768" s="85"/>
      <c r="AD768" s="78" t="s">
        <v>441</v>
      </c>
      <c r="AE768" s="82"/>
      <c r="AF768" s="81" t="s">
        <v>2256</v>
      </c>
      <c r="AG768" s="81" t="s">
        <v>2256</v>
      </c>
      <c r="AH768" s="83">
        <v>2000</v>
      </c>
      <c r="AI768" s="85"/>
    </row>
    <row r="769" spans="1:35" s="79" customFormat="1" ht="11.25" customHeight="1" x14ac:dyDescent="0.2">
      <c r="A769" s="77" t="s">
        <v>454</v>
      </c>
      <c r="B769" s="80">
        <v>417</v>
      </c>
      <c r="C769" s="81" t="s">
        <v>453</v>
      </c>
      <c r="D769" s="73">
        <v>1000</v>
      </c>
      <c r="E769" s="79" t="s">
        <v>20</v>
      </c>
      <c r="F769" s="79" t="s">
        <v>3725</v>
      </c>
      <c r="G769" s="79" t="s">
        <v>2996</v>
      </c>
      <c r="H769" s="79" t="s">
        <v>43</v>
      </c>
      <c r="I769" s="81"/>
      <c r="J769" s="81">
        <v>5</v>
      </c>
      <c r="K769" s="86"/>
      <c r="M769" s="78" t="s">
        <v>447</v>
      </c>
      <c r="N769" s="82" t="s">
        <v>135</v>
      </c>
      <c r="O769" s="81" t="s">
        <v>2347</v>
      </c>
      <c r="P769" s="81" t="s">
        <v>2801</v>
      </c>
      <c r="Q769" s="81"/>
      <c r="R769" s="83" t="s">
        <v>3441</v>
      </c>
      <c r="S769" s="79" t="s">
        <v>3064</v>
      </c>
      <c r="T769" s="84" t="s">
        <v>3596</v>
      </c>
      <c r="U769" s="81"/>
      <c r="V769" s="81"/>
      <c r="W769" s="78" t="s">
        <v>447</v>
      </c>
      <c r="X769" s="82" t="s">
        <v>135</v>
      </c>
      <c r="Y769" s="81" t="s">
        <v>2347</v>
      </c>
      <c r="Z769" s="81" t="s">
        <v>2801</v>
      </c>
      <c r="AA769" s="81" t="s">
        <v>456</v>
      </c>
      <c r="AB769" s="85"/>
      <c r="AD769" s="78" t="s">
        <v>447</v>
      </c>
      <c r="AE769" s="82" t="s">
        <v>135</v>
      </c>
      <c r="AF769" s="81" t="s">
        <v>2347</v>
      </c>
      <c r="AG769" s="81" t="s">
        <v>2801</v>
      </c>
      <c r="AH769" s="81" t="s">
        <v>455</v>
      </c>
      <c r="AI769" s="85"/>
    </row>
    <row r="770" spans="1:35" s="79" customFormat="1" ht="11.25" customHeight="1" x14ac:dyDescent="0.2">
      <c r="A770" s="77" t="s">
        <v>448</v>
      </c>
      <c r="B770" s="80">
        <v>416</v>
      </c>
      <c r="C770" s="81" t="s">
        <v>447</v>
      </c>
      <c r="D770" s="73">
        <v>1000</v>
      </c>
      <c r="E770" s="79" t="s">
        <v>20</v>
      </c>
      <c r="F770" s="79" t="s">
        <v>3725</v>
      </c>
      <c r="G770" s="79" t="s">
        <v>2996</v>
      </c>
      <c r="H770" s="79" t="s">
        <v>43</v>
      </c>
      <c r="I770" s="81" t="s">
        <v>3000</v>
      </c>
      <c r="J770" s="81">
        <v>5</v>
      </c>
      <c r="K770" s="86"/>
      <c r="M770" s="78" t="s">
        <v>447</v>
      </c>
      <c r="N770" s="82"/>
      <c r="O770" s="81" t="s">
        <v>2256</v>
      </c>
      <c r="P770" s="81" t="s">
        <v>2256</v>
      </c>
      <c r="Q770" s="81"/>
      <c r="R770" s="83">
        <v>50</v>
      </c>
      <c r="S770" s="79" t="s">
        <v>2999</v>
      </c>
      <c r="T770" s="84">
        <v>50000</v>
      </c>
      <c r="U770" s="81"/>
      <c r="V770" s="81"/>
      <c r="W770" s="78" t="s">
        <v>447</v>
      </c>
      <c r="X770" s="82"/>
      <c r="Y770" s="81" t="s">
        <v>2256</v>
      </c>
      <c r="Z770" s="81" t="s">
        <v>2256</v>
      </c>
      <c r="AA770" s="80">
        <v>250</v>
      </c>
      <c r="AB770" s="85"/>
      <c r="AD770" s="78" t="s">
        <v>447</v>
      </c>
      <c r="AE770" s="82"/>
      <c r="AF770" s="81" t="s">
        <v>2256</v>
      </c>
      <c r="AG770" s="81" t="s">
        <v>2256</v>
      </c>
      <c r="AH770" s="80">
        <v>350</v>
      </c>
      <c r="AI770" s="85"/>
    </row>
    <row r="771" spans="1:35" s="79" customFormat="1" ht="11.25" customHeight="1" x14ac:dyDescent="0.2">
      <c r="A771" s="77" t="s">
        <v>458</v>
      </c>
      <c r="B771" s="80">
        <v>418</v>
      </c>
      <c r="C771" s="81" t="s">
        <v>457</v>
      </c>
      <c r="D771" s="73">
        <v>1000</v>
      </c>
      <c r="E771" s="79" t="s">
        <v>20</v>
      </c>
      <c r="F771" s="79" t="s">
        <v>3725</v>
      </c>
      <c r="G771" s="79" t="s">
        <v>2996</v>
      </c>
      <c r="H771" s="79" t="s">
        <v>43</v>
      </c>
      <c r="I771" s="81" t="s">
        <v>3000</v>
      </c>
      <c r="J771" s="81">
        <v>5</v>
      </c>
      <c r="K771" s="86"/>
      <c r="M771" s="78" t="s">
        <v>457</v>
      </c>
      <c r="N771" s="82"/>
      <c r="O771" s="81" t="s">
        <v>2256</v>
      </c>
      <c r="P771" s="81" t="s">
        <v>2256</v>
      </c>
      <c r="Q771" s="81"/>
      <c r="R771" s="83">
        <v>50</v>
      </c>
      <c r="S771" s="79" t="s">
        <v>2999</v>
      </c>
      <c r="T771" s="84">
        <v>50000</v>
      </c>
      <c r="U771" s="81"/>
      <c r="V771" s="81"/>
      <c r="W771" s="78" t="s">
        <v>457</v>
      </c>
      <c r="X771" s="82"/>
      <c r="Y771" s="81" t="s">
        <v>2256</v>
      </c>
      <c r="Z771" s="81" t="s">
        <v>2256</v>
      </c>
      <c r="AA771" s="80">
        <v>250</v>
      </c>
      <c r="AB771" s="85"/>
      <c r="AD771" s="78" t="s">
        <v>457</v>
      </c>
      <c r="AE771" s="82"/>
      <c r="AF771" s="81" t="s">
        <v>2256</v>
      </c>
      <c r="AG771" s="81" t="s">
        <v>2256</v>
      </c>
      <c r="AH771" s="80">
        <v>350</v>
      </c>
      <c r="AI771" s="85"/>
    </row>
    <row r="772" spans="1:35" s="79" customFormat="1" ht="11.25" customHeight="1" x14ac:dyDescent="0.2">
      <c r="A772" s="77" t="s">
        <v>795</v>
      </c>
      <c r="B772" s="80">
        <v>1194</v>
      </c>
      <c r="C772" s="81" t="s">
        <v>794</v>
      </c>
      <c r="D772" s="73">
        <v>1000</v>
      </c>
      <c r="E772" s="79" t="s">
        <v>20</v>
      </c>
      <c r="F772" s="79" t="s">
        <v>3725</v>
      </c>
      <c r="G772" s="79" t="s">
        <v>2996</v>
      </c>
      <c r="H772" s="79" t="s">
        <v>43</v>
      </c>
      <c r="I772" s="81" t="s">
        <v>3000</v>
      </c>
      <c r="J772" s="81">
        <v>5</v>
      </c>
      <c r="K772" s="86"/>
      <c r="M772" s="78" t="s">
        <v>457</v>
      </c>
      <c r="N772" s="82"/>
      <c r="O772" s="81" t="s">
        <v>2421</v>
      </c>
      <c r="P772" s="81" t="s">
        <v>2256</v>
      </c>
      <c r="Q772" s="81"/>
      <c r="R772" s="83">
        <v>50</v>
      </c>
      <c r="S772" s="79" t="s">
        <v>3110</v>
      </c>
      <c r="T772" s="84">
        <v>50000</v>
      </c>
      <c r="U772" s="81"/>
      <c r="V772" s="81"/>
      <c r="W772" s="78" t="s">
        <v>457</v>
      </c>
      <c r="X772" s="82"/>
      <c r="Y772" s="81" t="s">
        <v>2421</v>
      </c>
      <c r="Z772" s="81" t="s">
        <v>2256</v>
      </c>
      <c r="AA772" s="80">
        <v>250</v>
      </c>
      <c r="AB772" s="85"/>
      <c r="AD772" s="78" t="s">
        <v>457</v>
      </c>
      <c r="AE772" s="82"/>
      <c r="AF772" s="81" t="s">
        <v>2421</v>
      </c>
      <c r="AG772" s="81" t="s">
        <v>2256</v>
      </c>
      <c r="AH772" s="80">
        <v>350</v>
      </c>
      <c r="AI772" s="85"/>
    </row>
    <row r="773" spans="1:35" s="79" customFormat="1" ht="11.25" customHeight="1" x14ac:dyDescent="0.2">
      <c r="A773" s="77" t="s">
        <v>460</v>
      </c>
      <c r="B773" s="80">
        <v>419</v>
      </c>
      <c r="C773" s="81" t="s">
        <v>459</v>
      </c>
      <c r="D773" s="73">
        <v>1000</v>
      </c>
      <c r="E773" s="79" t="s">
        <v>20</v>
      </c>
      <c r="F773" s="79" t="s">
        <v>3725</v>
      </c>
      <c r="G773" s="79" t="s">
        <v>2996</v>
      </c>
      <c r="H773" s="79" t="s">
        <v>43</v>
      </c>
      <c r="I773" s="81" t="s">
        <v>3000</v>
      </c>
      <c r="J773" s="81">
        <v>10</v>
      </c>
      <c r="K773" s="86"/>
      <c r="M773" s="78" t="s">
        <v>459</v>
      </c>
      <c r="N773" s="82"/>
      <c r="O773" s="81" t="s">
        <v>2256</v>
      </c>
      <c r="P773" s="81" t="s">
        <v>2256</v>
      </c>
      <c r="Q773" s="81"/>
      <c r="R773" s="83">
        <v>150</v>
      </c>
      <c r="S773" s="79" t="s">
        <v>2999</v>
      </c>
      <c r="T773" s="84">
        <v>150000</v>
      </c>
      <c r="U773" s="81"/>
      <c r="V773" s="81"/>
      <c r="W773" s="78" t="s">
        <v>459</v>
      </c>
      <c r="X773" s="82"/>
      <c r="Y773" s="81" t="s">
        <v>2256</v>
      </c>
      <c r="Z773" s="81" t="s">
        <v>2256</v>
      </c>
      <c r="AA773" s="80">
        <v>750</v>
      </c>
      <c r="AB773" s="85"/>
      <c r="AD773" s="78" t="s">
        <v>459</v>
      </c>
      <c r="AE773" s="82"/>
      <c r="AF773" s="81" t="s">
        <v>2256</v>
      </c>
      <c r="AG773" s="81" t="s">
        <v>2256</v>
      </c>
      <c r="AH773" s="83">
        <v>1000</v>
      </c>
      <c r="AI773" s="85"/>
    </row>
    <row r="774" spans="1:35" s="79" customFormat="1" ht="11.25" customHeight="1" x14ac:dyDescent="0.2">
      <c r="A774" s="77" t="s">
        <v>529</v>
      </c>
      <c r="B774" s="80">
        <v>451</v>
      </c>
      <c r="C774" s="81" t="s">
        <v>528</v>
      </c>
      <c r="D774" s="73">
        <v>42000</v>
      </c>
      <c r="E774" s="79" t="s">
        <v>42</v>
      </c>
      <c r="F774" s="79" t="s">
        <v>3725</v>
      </c>
      <c r="G774" s="79" t="s">
        <v>2996</v>
      </c>
      <c r="H774" s="79" t="s">
        <v>43</v>
      </c>
      <c r="I774" s="81" t="s">
        <v>3000</v>
      </c>
      <c r="J774" s="81">
        <v>25</v>
      </c>
      <c r="K774" s="86"/>
      <c r="M774" s="78" t="s">
        <v>477</v>
      </c>
      <c r="N774" s="82" t="s">
        <v>244</v>
      </c>
      <c r="O774" s="81" t="s">
        <v>2361</v>
      </c>
      <c r="P774" s="81" t="s">
        <v>2806</v>
      </c>
      <c r="Q774" s="81"/>
      <c r="R774" s="83" t="s">
        <v>864</v>
      </c>
      <c r="S774" s="79" t="s">
        <v>3071</v>
      </c>
      <c r="T774" s="84" t="s">
        <v>3416</v>
      </c>
      <c r="U774" s="81"/>
      <c r="V774" s="81"/>
      <c r="W774" s="78" t="s">
        <v>477</v>
      </c>
      <c r="X774" s="82" t="s">
        <v>244</v>
      </c>
      <c r="Y774" s="81" t="s">
        <v>2361</v>
      </c>
      <c r="Z774" s="81" t="s">
        <v>2806</v>
      </c>
      <c r="AA774" s="81" t="s">
        <v>409</v>
      </c>
      <c r="AB774" s="85"/>
      <c r="AD774" s="78" t="s">
        <v>477</v>
      </c>
      <c r="AE774" s="82" t="s">
        <v>244</v>
      </c>
      <c r="AF774" s="81" t="s">
        <v>2361</v>
      </c>
      <c r="AG774" s="81" t="s">
        <v>2806</v>
      </c>
      <c r="AH774" s="81" t="s">
        <v>530</v>
      </c>
      <c r="AI774" s="85"/>
    </row>
    <row r="775" spans="1:35" s="79" customFormat="1" ht="11.25" customHeight="1" x14ac:dyDescent="0.2">
      <c r="A775" s="77" t="s">
        <v>478</v>
      </c>
      <c r="B775" s="80">
        <v>450</v>
      </c>
      <c r="C775" s="81" t="s">
        <v>477</v>
      </c>
      <c r="D775" s="73">
        <v>42000</v>
      </c>
      <c r="E775" s="79" t="s">
        <v>42</v>
      </c>
      <c r="F775" s="79" t="s">
        <v>3725</v>
      </c>
      <c r="G775" s="79" t="s">
        <v>2996</v>
      </c>
      <c r="H775" s="79" t="s">
        <v>43</v>
      </c>
      <c r="I775" s="81" t="s">
        <v>3000</v>
      </c>
      <c r="J775" s="81">
        <v>25</v>
      </c>
      <c r="K775" s="86"/>
      <c r="M775" s="78" t="s">
        <v>477</v>
      </c>
      <c r="N775" s="82"/>
      <c r="O775" s="81" t="s">
        <v>2256</v>
      </c>
      <c r="P775" s="81" t="s">
        <v>2256</v>
      </c>
      <c r="Q775" s="81"/>
      <c r="R775" s="83">
        <v>1000</v>
      </c>
      <c r="S775" s="79" t="s">
        <v>2999</v>
      </c>
      <c r="T775" s="84">
        <v>42000000</v>
      </c>
      <c r="U775" s="81"/>
      <c r="V775" s="81"/>
      <c r="W775" s="78" t="s">
        <v>477</v>
      </c>
      <c r="X775" s="82"/>
      <c r="Y775" s="81" t="s">
        <v>2256</v>
      </c>
      <c r="Z775" s="81" t="s">
        <v>2256</v>
      </c>
      <c r="AA775" s="83">
        <v>5000</v>
      </c>
      <c r="AB775" s="85"/>
      <c r="AD775" s="78" t="s">
        <v>477</v>
      </c>
      <c r="AE775" s="82"/>
      <c r="AF775" s="81" t="s">
        <v>2256</v>
      </c>
      <c r="AG775" s="81" t="s">
        <v>2256</v>
      </c>
      <c r="AH775" s="83">
        <v>7000</v>
      </c>
      <c r="AI775" s="85"/>
    </row>
    <row r="776" spans="1:35" s="79" customFormat="1" ht="11.25" customHeight="1" x14ac:dyDescent="0.2">
      <c r="A776" s="77" t="s">
        <v>486</v>
      </c>
      <c r="B776" s="80">
        <v>465</v>
      </c>
      <c r="C776" s="81" t="s">
        <v>485</v>
      </c>
      <c r="D776" s="73">
        <v>1000</v>
      </c>
      <c r="E776" s="79" t="s">
        <v>20</v>
      </c>
      <c r="F776" s="79" t="s">
        <v>3725</v>
      </c>
      <c r="G776" s="79" t="s">
        <v>2996</v>
      </c>
      <c r="H776" s="79" t="s">
        <v>43</v>
      </c>
      <c r="I776" s="81" t="s">
        <v>3000</v>
      </c>
      <c r="J776" s="81">
        <v>25</v>
      </c>
      <c r="K776" s="86"/>
      <c r="M776" s="78" t="s">
        <v>485</v>
      </c>
      <c r="N776" s="82"/>
      <c r="O776" s="81" t="s">
        <v>2256</v>
      </c>
      <c r="P776" s="81" t="s">
        <v>2256</v>
      </c>
      <c r="Q776" s="81"/>
      <c r="R776" s="83">
        <v>100</v>
      </c>
      <c r="S776" s="79" t="s">
        <v>2999</v>
      </c>
      <c r="T776" s="84">
        <v>100000</v>
      </c>
      <c r="U776" s="81"/>
      <c r="V776" s="81"/>
      <c r="W776" s="78" t="s">
        <v>485</v>
      </c>
      <c r="X776" s="82"/>
      <c r="Y776" s="81" t="s">
        <v>2256</v>
      </c>
      <c r="Z776" s="81" t="s">
        <v>2256</v>
      </c>
      <c r="AA776" s="83">
        <v>1000</v>
      </c>
      <c r="AB776" s="85"/>
      <c r="AD776" s="78" t="s">
        <v>485</v>
      </c>
      <c r="AE776" s="82"/>
      <c r="AF776" s="81" t="s">
        <v>2256</v>
      </c>
      <c r="AG776" s="81" t="s">
        <v>2256</v>
      </c>
      <c r="AH776" s="83">
        <v>1500</v>
      </c>
      <c r="AI776" s="85"/>
    </row>
    <row r="777" spans="1:35" s="79" customFormat="1" ht="11.25" customHeight="1" x14ac:dyDescent="0.2">
      <c r="A777" s="77" t="s">
        <v>1195</v>
      </c>
      <c r="B777" s="80">
        <v>315</v>
      </c>
      <c r="C777" s="81" t="s">
        <v>1194</v>
      </c>
      <c r="D777" s="73">
        <v>100</v>
      </c>
      <c r="E777" s="79" t="s">
        <v>20</v>
      </c>
      <c r="F777" s="79" t="s">
        <v>3725</v>
      </c>
      <c r="G777" s="79" t="s">
        <v>2996</v>
      </c>
      <c r="H777" s="79" t="s">
        <v>43</v>
      </c>
      <c r="I777" s="81" t="s">
        <v>3000</v>
      </c>
      <c r="J777" s="81">
        <v>25</v>
      </c>
      <c r="K777" s="86"/>
      <c r="M777" s="78" t="s">
        <v>493</v>
      </c>
      <c r="N777" s="82" t="s">
        <v>135</v>
      </c>
      <c r="O777" s="81" t="s">
        <v>2517</v>
      </c>
      <c r="P777" s="81" t="s">
        <v>2887</v>
      </c>
      <c r="Q777" s="81"/>
      <c r="R777" s="83" t="s">
        <v>3445</v>
      </c>
      <c r="S777" s="79" t="s">
        <v>3160</v>
      </c>
      <c r="T777" s="84" t="s">
        <v>3597</v>
      </c>
      <c r="U777" s="81"/>
      <c r="V777" s="81"/>
      <c r="W777" s="78" t="s">
        <v>493</v>
      </c>
      <c r="X777" s="82" t="s">
        <v>135</v>
      </c>
      <c r="Y777" s="81" t="s">
        <v>2517</v>
      </c>
      <c r="Z777" s="81" t="s">
        <v>2887</v>
      </c>
      <c r="AA777" s="81" t="s">
        <v>552</v>
      </c>
      <c r="AB777" s="85"/>
      <c r="AD777" s="78" t="s">
        <v>493</v>
      </c>
      <c r="AE777" s="82" t="s">
        <v>135</v>
      </c>
      <c r="AF777" s="81" t="s">
        <v>2517</v>
      </c>
      <c r="AG777" s="81" t="s">
        <v>2887</v>
      </c>
      <c r="AH777" s="81" t="s">
        <v>205</v>
      </c>
      <c r="AI777" s="85"/>
    </row>
    <row r="778" spans="1:35" s="79" customFormat="1" ht="11.25" customHeight="1" x14ac:dyDescent="0.2">
      <c r="A778" s="77" t="s">
        <v>494</v>
      </c>
      <c r="B778" s="80">
        <v>318</v>
      </c>
      <c r="C778" s="81" t="s">
        <v>493</v>
      </c>
      <c r="D778" s="73">
        <v>100</v>
      </c>
      <c r="E778" s="79" t="s">
        <v>20</v>
      </c>
      <c r="F778" s="79" t="s">
        <v>3725</v>
      </c>
      <c r="G778" s="79" t="s">
        <v>2996</v>
      </c>
      <c r="H778" s="79" t="s">
        <v>43</v>
      </c>
      <c r="I778" s="81" t="s">
        <v>3000</v>
      </c>
      <c r="J778" s="81">
        <v>25</v>
      </c>
      <c r="K778" s="86"/>
      <c r="M778" s="78" t="s">
        <v>493</v>
      </c>
      <c r="N778" s="82"/>
      <c r="O778" s="81" t="s">
        <v>2256</v>
      </c>
      <c r="P778" s="81" t="s">
        <v>2256</v>
      </c>
      <c r="Q778" s="81"/>
      <c r="R778" s="83">
        <v>100</v>
      </c>
      <c r="S778" s="79" t="s">
        <v>2999</v>
      </c>
      <c r="T778" s="84">
        <v>10000</v>
      </c>
      <c r="U778" s="81"/>
      <c r="V778" s="81"/>
      <c r="W778" s="78" t="s">
        <v>493</v>
      </c>
      <c r="X778" s="82"/>
      <c r="Y778" s="81" t="s">
        <v>2256</v>
      </c>
      <c r="Z778" s="81" t="s">
        <v>2256</v>
      </c>
      <c r="AA778" s="80">
        <v>500</v>
      </c>
      <c r="AB778" s="85"/>
      <c r="AD778" s="78" t="s">
        <v>493</v>
      </c>
      <c r="AE778" s="82"/>
      <c r="AF778" s="81" t="s">
        <v>2256</v>
      </c>
      <c r="AG778" s="81" t="s">
        <v>2256</v>
      </c>
      <c r="AH778" s="80">
        <v>750</v>
      </c>
      <c r="AI778" s="85"/>
    </row>
    <row r="779" spans="1:35" s="79" customFormat="1" ht="11.25" customHeight="1" x14ac:dyDescent="0.2">
      <c r="A779" s="77" t="s">
        <v>867</v>
      </c>
      <c r="B779" s="80">
        <v>1198</v>
      </c>
      <c r="C779" s="81" t="s">
        <v>866</v>
      </c>
      <c r="D779" s="73">
        <v>1000</v>
      </c>
      <c r="E779" s="79" t="s">
        <v>28</v>
      </c>
      <c r="F779" s="79" t="s">
        <v>3725</v>
      </c>
      <c r="G779" s="79" t="s">
        <v>2996</v>
      </c>
      <c r="H779" s="79" t="s">
        <v>43</v>
      </c>
      <c r="I779" s="81" t="s">
        <v>3000</v>
      </c>
      <c r="J779" s="81">
        <v>25</v>
      </c>
      <c r="K779" s="86"/>
      <c r="M779" s="78" t="s">
        <v>531</v>
      </c>
      <c r="N779" s="82" t="s">
        <v>86</v>
      </c>
      <c r="O779" s="81" t="s">
        <v>2444</v>
      </c>
      <c r="P779" s="81" t="s">
        <v>2855</v>
      </c>
      <c r="Q779" s="81"/>
      <c r="R779" s="83" t="s">
        <v>3449</v>
      </c>
      <c r="S779" s="79" t="s">
        <v>3129</v>
      </c>
      <c r="T779" s="84" t="s">
        <v>3586</v>
      </c>
      <c r="U779" s="81"/>
      <c r="V779" s="81"/>
      <c r="W779" s="78" t="s">
        <v>531</v>
      </c>
      <c r="X779" s="82" t="s">
        <v>86</v>
      </c>
      <c r="Y779" s="81" t="s">
        <v>2444</v>
      </c>
      <c r="Z779" s="81" t="s">
        <v>2855</v>
      </c>
      <c r="AA779" s="81" t="s">
        <v>856</v>
      </c>
      <c r="AB779" s="85"/>
      <c r="AD779" s="78" t="s">
        <v>531</v>
      </c>
      <c r="AE779" s="82" t="s">
        <v>86</v>
      </c>
      <c r="AF779" s="81" t="s">
        <v>2444</v>
      </c>
      <c r="AG779" s="81" t="s">
        <v>2855</v>
      </c>
      <c r="AH779" s="81" t="s">
        <v>151</v>
      </c>
      <c r="AI779" s="85"/>
    </row>
    <row r="780" spans="1:35" s="79" customFormat="1" ht="11.25" customHeight="1" x14ac:dyDescent="0.2">
      <c r="A780" s="77" t="s">
        <v>532</v>
      </c>
      <c r="B780" s="80">
        <v>466</v>
      </c>
      <c r="C780" s="81" t="s">
        <v>531</v>
      </c>
      <c r="D780" s="73">
        <v>1000</v>
      </c>
      <c r="E780" s="79" t="s">
        <v>20</v>
      </c>
      <c r="F780" s="79" t="s">
        <v>3725</v>
      </c>
      <c r="G780" s="79" t="s">
        <v>2996</v>
      </c>
      <c r="H780" s="79" t="s">
        <v>43</v>
      </c>
      <c r="I780" s="81" t="s">
        <v>3000</v>
      </c>
      <c r="J780" s="81">
        <v>25</v>
      </c>
      <c r="K780" s="86"/>
      <c r="M780" s="78" t="s">
        <v>531</v>
      </c>
      <c r="N780" s="82"/>
      <c r="O780" s="81" t="s">
        <v>2256</v>
      </c>
      <c r="P780" s="81" t="s">
        <v>2256</v>
      </c>
      <c r="Q780" s="81"/>
      <c r="R780" s="83">
        <v>100</v>
      </c>
      <c r="S780" s="79" t="s">
        <v>2999</v>
      </c>
      <c r="T780" s="84">
        <v>100000</v>
      </c>
      <c r="U780" s="81"/>
      <c r="V780" s="81"/>
      <c r="W780" s="78" t="s">
        <v>531</v>
      </c>
      <c r="X780" s="82"/>
      <c r="Y780" s="81" t="s">
        <v>2256</v>
      </c>
      <c r="Z780" s="81" t="s">
        <v>2256</v>
      </c>
      <c r="AA780" s="83">
        <v>1000</v>
      </c>
      <c r="AB780" s="85"/>
      <c r="AD780" s="78" t="s">
        <v>531</v>
      </c>
      <c r="AE780" s="82"/>
      <c r="AF780" s="81" t="s">
        <v>2256</v>
      </c>
      <c r="AG780" s="81" t="s">
        <v>2256</v>
      </c>
      <c r="AH780" s="83">
        <v>1500</v>
      </c>
      <c r="AI780" s="85"/>
    </row>
    <row r="781" spans="1:35" s="79" customFormat="1" ht="11.25" customHeight="1" x14ac:dyDescent="0.2">
      <c r="A781" s="77" t="s">
        <v>2187</v>
      </c>
      <c r="B781" s="80">
        <v>469</v>
      </c>
      <c r="C781" s="81" t="s">
        <v>2186</v>
      </c>
      <c r="D781" s="73">
        <v>1000</v>
      </c>
      <c r="E781" s="79" t="s">
        <v>20</v>
      </c>
      <c r="F781" s="79" t="s">
        <v>3725</v>
      </c>
      <c r="G781" s="79" t="s">
        <v>2996</v>
      </c>
      <c r="H781" s="79" t="s">
        <v>43</v>
      </c>
      <c r="I781" s="81" t="s">
        <v>3000</v>
      </c>
      <c r="J781" s="81">
        <v>25</v>
      </c>
      <c r="K781" s="86"/>
      <c r="M781" s="78" t="s">
        <v>531</v>
      </c>
      <c r="N781" s="82"/>
      <c r="O781" s="81" t="s">
        <v>2754</v>
      </c>
      <c r="P781" s="81" t="s">
        <v>2256</v>
      </c>
      <c r="Q781" s="81"/>
      <c r="R781" s="83">
        <v>100</v>
      </c>
      <c r="S781" s="79" t="s">
        <v>3254</v>
      </c>
      <c r="T781" s="84">
        <v>100000</v>
      </c>
      <c r="U781" s="81"/>
      <c r="V781" s="81"/>
      <c r="W781" s="78" t="s">
        <v>531</v>
      </c>
      <c r="X781" s="82"/>
      <c r="Y781" s="81" t="s">
        <v>2754</v>
      </c>
      <c r="Z781" s="81" t="s">
        <v>2256</v>
      </c>
      <c r="AA781" s="83">
        <v>1000</v>
      </c>
      <c r="AB781" s="85"/>
      <c r="AD781" s="78" t="s">
        <v>531</v>
      </c>
      <c r="AE781" s="82"/>
      <c r="AF781" s="81" t="s">
        <v>2754</v>
      </c>
      <c r="AG781" s="81" t="s">
        <v>2256</v>
      </c>
      <c r="AH781" s="83">
        <v>1500</v>
      </c>
      <c r="AI781" s="85"/>
    </row>
    <row r="782" spans="1:35" s="79" customFormat="1" ht="11.25" customHeight="1" x14ac:dyDescent="0.2">
      <c r="A782" s="77" t="s">
        <v>2066</v>
      </c>
      <c r="B782" s="80">
        <v>453</v>
      </c>
      <c r="C782" s="81" t="s">
        <v>2065</v>
      </c>
      <c r="D782" s="73">
        <v>42000</v>
      </c>
      <c r="E782" s="79" t="s">
        <v>42</v>
      </c>
      <c r="F782" s="79" t="s">
        <v>3725</v>
      </c>
      <c r="G782" s="79" t="s">
        <v>2996</v>
      </c>
      <c r="H782" s="79" t="s">
        <v>43</v>
      </c>
      <c r="I782" s="81" t="s">
        <v>3000</v>
      </c>
      <c r="J782" s="81">
        <v>25</v>
      </c>
      <c r="K782" s="86"/>
      <c r="M782" s="78" t="s">
        <v>573</v>
      </c>
      <c r="N782" s="82" t="s">
        <v>44</v>
      </c>
      <c r="O782" s="81" t="s">
        <v>2719</v>
      </c>
      <c r="P782" s="81" t="s">
        <v>2975</v>
      </c>
      <c r="Q782" s="81"/>
      <c r="R782" s="83" t="s">
        <v>864</v>
      </c>
      <c r="S782" s="79" t="s">
        <v>3244</v>
      </c>
      <c r="T782" s="84" t="s">
        <v>3416</v>
      </c>
      <c r="U782" s="81"/>
      <c r="V782" s="81"/>
      <c r="W782" s="78" t="s">
        <v>573</v>
      </c>
      <c r="X782" s="82" t="s">
        <v>44</v>
      </c>
      <c r="Y782" s="81" t="s">
        <v>2719</v>
      </c>
      <c r="Z782" s="81" t="s">
        <v>2975</v>
      </c>
      <c r="AA782" s="81" t="s">
        <v>409</v>
      </c>
      <c r="AB782" s="85"/>
      <c r="AD782" s="78" t="s">
        <v>573</v>
      </c>
      <c r="AE782" s="82" t="s">
        <v>44</v>
      </c>
      <c r="AF782" s="81" t="s">
        <v>2719</v>
      </c>
      <c r="AG782" s="81" t="s">
        <v>2975</v>
      </c>
      <c r="AH782" s="81" t="s">
        <v>530</v>
      </c>
      <c r="AI782" s="85"/>
    </row>
    <row r="783" spans="1:35" s="79" customFormat="1" ht="11.25" customHeight="1" x14ac:dyDescent="0.2">
      <c r="A783" s="77" t="s">
        <v>574</v>
      </c>
      <c r="B783" s="80">
        <v>452</v>
      </c>
      <c r="C783" s="81" t="s">
        <v>573</v>
      </c>
      <c r="D783" s="73">
        <v>42000</v>
      </c>
      <c r="E783" s="79" t="s">
        <v>42</v>
      </c>
      <c r="F783" s="79" t="s">
        <v>3725</v>
      </c>
      <c r="G783" s="79" t="s">
        <v>2996</v>
      </c>
      <c r="H783" s="79" t="s">
        <v>43</v>
      </c>
      <c r="I783" s="81" t="s">
        <v>3000</v>
      </c>
      <c r="J783" s="81">
        <v>25</v>
      </c>
      <c r="K783" s="86"/>
      <c r="M783" s="78" t="s">
        <v>573</v>
      </c>
      <c r="N783" s="82"/>
      <c r="O783" s="81" t="s">
        <v>2256</v>
      </c>
      <c r="P783" s="81" t="s">
        <v>2256</v>
      </c>
      <c r="Q783" s="81"/>
      <c r="R783" s="83">
        <v>1000</v>
      </c>
      <c r="S783" s="79" t="s">
        <v>2999</v>
      </c>
      <c r="T783" s="84">
        <v>42000000</v>
      </c>
      <c r="U783" s="81"/>
      <c r="V783" s="81"/>
      <c r="W783" s="78" t="s">
        <v>573</v>
      </c>
      <c r="X783" s="82"/>
      <c r="Y783" s="81" t="s">
        <v>2256</v>
      </c>
      <c r="Z783" s="81" t="s">
        <v>2256</v>
      </c>
      <c r="AA783" s="83">
        <v>5000</v>
      </c>
      <c r="AB783" s="85"/>
      <c r="AD783" s="78" t="s">
        <v>573</v>
      </c>
      <c r="AE783" s="82"/>
      <c r="AF783" s="81" t="s">
        <v>2256</v>
      </c>
      <c r="AG783" s="81" t="s">
        <v>2256</v>
      </c>
      <c r="AH783" s="83">
        <v>7000</v>
      </c>
      <c r="AI783" s="85"/>
    </row>
    <row r="784" spans="1:35" s="79" customFormat="1" ht="11.25" customHeight="1" x14ac:dyDescent="0.2">
      <c r="A784" s="77" t="s">
        <v>579</v>
      </c>
      <c r="B784" s="80">
        <v>467</v>
      </c>
      <c r="C784" s="81" t="s">
        <v>578</v>
      </c>
      <c r="D784" s="73">
        <v>1000</v>
      </c>
      <c r="E784" s="79" t="s">
        <v>20</v>
      </c>
      <c r="F784" s="79" t="s">
        <v>3725</v>
      </c>
      <c r="G784" s="79" t="s">
        <v>2996</v>
      </c>
      <c r="H784" s="79" t="s">
        <v>43</v>
      </c>
      <c r="I784" s="81" t="s">
        <v>3000</v>
      </c>
      <c r="J784" s="81">
        <v>25</v>
      </c>
      <c r="K784" s="86"/>
      <c r="M784" s="78" t="s">
        <v>578</v>
      </c>
      <c r="N784" s="82"/>
      <c r="O784" s="81" t="s">
        <v>2256</v>
      </c>
      <c r="P784" s="81" t="s">
        <v>2256</v>
      </c>
      <c r="Q784" s="81"/>
      <c r="R784" s="83">
        <v>100</v>
      </c>
      <c r="S784" s="79" t="s">
        <v>2999</v>
      </c>
      <c r="T784" s="84">
        <v>100000</v>
      </c>
      <c r="U784" s="81"/>
      <c r="V784" s="81"/>
      <c r="W784" s="78" t="s">
        <v>578</v>
      </c>
      <c r="X784" s="82"/>
      <c r="Y784" s="81" t="s">
        <v>2256</v>
      </c>
      <c r="Z784" s="81" t="s">
        <v>2256</v>
      </c>
      <c r="AA784" s="80">
        <v>500</v>
      </c>
      <c r="AB784" s="85"/>
      <c r="AD784" s="78" t="s">
        <v>578</v>
      </c>
      <c r="AE784" s="82"/>
      <c r="AF784" s="81" t="s">
        <v>2256</v>
      </c>
      <c r="AG784" s="81" t="s">
        <v>2256</v>
      </c>
      <c r="AH784" s="80">
        <v>750</v>
      </c>
      <c r="AI784" s="85"/>
    </row>
    <row r="785" spans="1:35" s="79" customFormat="1" ht="11.25" customHeight="1" x14ac:dyDescent="0.2">
      <c r="A785" s="77" t="s">
        <v>2163</v>
      </c>
      <c r="B785" s="80">
        <v>244</v>
      </c>
      <c r="C785" s="81" t="s">
        <v>2162</v>
      </c>
      <c r="D785" s="73">
        <v>42000</v>
      </c>
      <c r="E785" s="79" t="s">
        <v>42</v>
      </c>
      <c r="F785" s="79" t="s">
        <v>3725</v>
      </c>
      <c r="G785" s="79" t="s">
        <v>2996</v>
      </c>
      <c r="H785" s="79" t="s">
        <v>43</v>
      </c>
      <c r="I785" s="81" t="s">
        <v>3000</v>
      </c>
      <c r="J785" s="81">
        <v>25</v>
      </c>
      <c r="K785" s="86"/>
      <c r="M785" s="78" t="s">
        <v>607</v>
      </c>
      <c r="N785" s="82" t="s">
        <v>44</v>
      </c>
      <c r="O785" s="81" t="s">
        <v>2745</v>
      </c>
      <c r="P785" s="81" t="s">
        <v>2983</v>
      </c>
      <c r="Q785" s="81"/>
      <c r="R785" s="83" t="s">
        <v>864</v>
      </c>
      <c r="S785" s="79" t="s">
        <v>3251</v>
      </c>
      <c r="T785" s="84" t="s">
        <v>3416</v>
      </c>
      <c r="U785" s="81"/>
      <c r="V785" s="81"/>
      <c r="W785" s="78" t="s">
        <v>607</v>
      </c>
      <c r="X785" s="82" t="s">
        <v>44</v>
      </c>
      <c r="Y785" s="81" t="s">
        <v>2745</v>
      </c>
      <c r="Z785" s="81" t="s">
        <v>2983</v>
      </c>
      <c r="AA785" s="81" t="s">
        <v>246</v>
      </c>
      <c r="AB785" s="85"/>
      <c r="AD785" s="78" t="s">
        <v>607</v>
      </c>
      <c r="AE785" s="82" t="s">
        <v>44</v>
      </c>
      <c r="AF785" s="81" t="s">
        <v>2745</v>
      </c>
      <c r="AG785" s="81" t="s">
        <v>2983</v>
      </c>
      <c r="AH785" s="81" t="s">
        <v>245</v>
      </c>
      <c r="AI785" s="85"/>
    </row>
    <row r="786" spans="1:35" s="79" customFormat="1" ht="11.25" customHeight="1" x14ac:dyDescent="0.2">
      <c r="A786" s="77" t="s">
        <v>608</v>
      </c>
      <c r="B786" s="80">
        <v>243</v>
      </c>
      <c r="C786" s="81" t="s">
        <v>607</v>
      </c>
      <c r="D786" s="73">
        <v>42000</v>
      </c>
      <c r="E786" s="79" t="s">
        <v>42</v>
      </c>
      <c r="F786" s="79" t="s">
        <v>3725</v>
      </c>
      <c r="G786" s="79" t="s">
        <v>2996</v>
      </c>
      <c r="H786" s="79" t="s">
        <v>43</v>
      </c>
      <c r="I786" s="81" t="s">
        <v>3000</v>
      </c>
      <c r="J786" s="81">
        <v>25</v>
      </c>
      <c r="K786" s="86"/>
      <c r="M786" s="78" t="s">
        <v>607</v>
      </c>
      <c r="N786" s="82"/>
      <c r="O786" s="81" t="s">
        <v>2256</v>
      </c>
      <c r="P786" s="81" t="s">
        <v>2256</v>
      </c>
      <c r="Q786" s="81"/>
      <c r="R786" s="83">
        <v>1000</v>
      </c>
      <c r="S786" s="79" t="s">
        <v>2999</v>
      </c>
      <c r="T786" s="84">
        <v>42000000</v>
      </c>
      <c r="U786" s="81"/>
      <c r="V786" s="81"/>
      <c r="W786" s="78" t="s">
        <v>607</v>
      </c>
      <c r="X786" s="82"/>
      <c r="Y786" s="81" t="s">
        <v>2256</v>
      </c>
      <c r="Z786" s="81" t="s">
        <v>2256</v>
      </c>
      <c r="AA786" s="83">
        <v>10000</v>
      </c>
      <c r="AB786" s="85"/>
      <c r="AD786" s="78" t="s">
        <v>607</v>
      </c>
      <c r="AE786" s="82"/>
      <c r="AF786" s="81" t="s">
        <v>2256</v>
      </c>
      <c r="AG786" s="81" t="s">
        <v>2256</v>
      </c>
      <c r="AH786" s="83">
        <v>10000</v>
      </c>
      <c r="AI786" s="85"/>
    </row>
    <row r="787" spans="1:35" s="79" customFormat="1" ht="11.25" customHeight="1" x14ac:dyDescent="0.2">
      <c r="A787" s="77" t="s">
        <v>2100</v>
      </c>
      <c r="B787" s="80">
        <v>248</v>
      </c>
      <c r="C787" s="81" t="s">
        <v>2099</v>
      </c>
      <c r="D787" s="73">
        <v>42000</v>
      </c>
      <c r="E787" s="79" t="s">
        <v>42</v>
      </c>
      <c r="F787" s="79" t="s">
        <v>3725</v>
      </c>
      <c r="G787" s="79" t="s">
        <v>2996</v>
      </c>
      <c r="H787" s="79" t="s">
        <v>43</v>
      </c>
      <c r="I787" s="81" t="s">
        <v>3000</v>
      </c>
      <c r="J787" s="81">
        <v>25</v>
      </c>
      <c r="K787" s="86"/>
      <c r="M787" s="78" t="s">
        <v>2048</v>
      </c>
      <c r="N787" s="82" t="s">
        <v>44</v>
      </c>
      <c r="O787" s="81" t="s">
        <v>2724</v>
      </c>
      <c r="P787" s="81" t="s">
        <v>2976</v>
      </c>
      <c r="Q787" s="81"/>
      <c r="R787" s="83" t="s">
        <v>3428</v>
      </c>
      <c r="S787" s="79" t="s">
        <v>3247</v>
      </c>
      <c r="T787" s="84" t="s">
        <v>3589</v>
      </c>
      <c r="U787" s="81"/>
      <c r="V787" s="81"/>
      <c r="W787" s="78" t="s">
        <v>2048</v>
      </c>
      <c r="X787" s="82" t="s">
        <v>44</v>
      </c>
      <c r="Y787" s="81" t="s">
        <v>2724</v>
      </c>
      <c r="Z787" s="81" t="s">
        <v>2976</v>
      </c>
      <c r="AA787" s="81" t="s">
        <v>409</v>
      </c>
      <c r="AB787" s="85"/>
      <c r="AD787" s="78" t="s">
        <v>2048</v>
      </c>
      <c r="AE787" s="82" t="s">
        <v>44</v>
      </c>
      <c r="AF787" s="81" t="s">
        <v>2724</v>
      </c>
      <c r="AG787" s="81" t="s">
        <v>2976</v>
      </c>
      <c r="AH787" s="81" t="s">
        <v>136</v>
      </c>
      <c r="AI787" s="85"/>
    </row>
    <row r="788" spans="1:35" s="79" customFormat="1" ht="11.25" customHeight="1" x14ac:dyDescent="0.2">
      <c r="A788" s="77" t="s">
        <v>2049</v>
      </c>
      <c r="B788" s="80">
        <v>247</v>
      </c>
      <c r="C788" s="81" t="s">
        <v>2048</v>
      </c>
      <c r="D788" s="73">
        <v>42000</v>
      </c>
      <c r="E788" s="79" t="s">
        <v>42</v>
      </c>
      <c r="F788" s="79" t="s">
        <v>3725</v>
      </c>
      <c r="G788" s="79" t="s">
        <v>2996</v>
      </c>
      <c r="H788" s="79" t="s">
        <v>43</v>
      </c>
      <c r="I788" s="81" t="s">
        <v>3000</v>
      </c>
      <c r="J788" s="81">
        <v>25</v>
      </c>
      <c r="K788" s="86"/>
      <c r="M788" s="78" t="s">
        <v>2048</v>
      </c>
      <c r="N788" s="82"/>
      <c r="O788" s="81" t="s">
        <v>2256</v>
      </c>
      <c r="P788" s="81" t="s">
        <v>2256</v>
      </c>
      <c r="Q788" s="81"/>
      <c r="R788" s="83">
        <v>250</v>
      </c>
      <c r="S788" s="79" t="s">
        <v>2999</v>
      </c>
      <c r="T788" s="84">
        <v>10500000</v>
      </c>
      <c r="U788" s="81"/>
      <c r="V788" s="81"/>
      <c r="W788" s="78" t="s">
        <v>2048</v>
      </c>
      <c r="X788" s="82"/>
      <c r="Y788" s="81" t="s">
        <v>2256</v>
      </c>
      <c r="Z788" s="81" t="s">
        <v>2256</v>
      </c>
      <c r="AA788" s="83">
        <v>5000</v>
      </c>
      <c r="AB788" s="85"/>
      <c r="AD788" s="78" t="s">
        <v>2048</v>
      </c>
      <c r="AE788" s="82"/>
      <c r="AF788" s="81" t="s">
        <v>2256</v>
      </c>
      <c r="AG788" s="81" t="s">
        <v>2256</v>
      </c>
      <c r="AH788" s="83">
        <v>5000</v>
      </c>
      <c r="AI788" s="85"/>
    </row>
    <row r="789" spans="1:35" s="79" customFormat="1" ht="11.25" customHeight="1" x14ac:dyDescent="0.2">
      <c r="A789" s="77" t="s">
        <v>2171</v>
      </c>
      <c r="B789" s="80">
        <v>246</v>
      </c>
      <c r="C789" s="81" t="s">
        <v>2170</v>
      </c>
      <c r="D789" s="73">
        <v>42000</v>
      </c>
      <c r="E789" s="79" t="s">
        <v>42</v>
      </c>
      <c r="F789" s="79" t="s">
        <v>3725</v>
      </c>
      <c r="G789" s="79" t="s">
        <v>2996</v>
      </c>
      <c r="H789" s="79" t="s">
        <v>43</v>
      </c>
      <c r="I789" s="81" t="s">
        <v>3000</v>
      </c>
      <c r="J789" s="81">
        <v>25</v>
      </c>
      <c r="K789" s="86"/>
      <c r="M789" s="78" t="s">
        <v>1875</v>
      </c>
      <c r="N789" s="82" t="s">
        <v>44</v>
      </c>
      <c r="O789" s="81" t="s">
        <v>2749</v>
      </c>
      <c r="P789" s="81" t="s">
        <v>2987</v>
      </c>
      <c r="Q789" s="81"/>
      <c r="R789" s="83" t="s">
        <v>864</v>
      </c>
      <c r="S789" s="79" t="s">
        <v>3222</v>
      </c>
      <c r="T789" s="84" t="s">
        <v>3416</v>
      </c>
      <c r="U789" s="81"/>
      <c r="V789" s="81"/>
      <c r="W789" s="78" t="s">
        <v>1875</v>
      </c>
      <c r="X789" s="82" t="s">
        <v>44</v>
      </c>
      <c r="Y789" s="81" t="s">
        <v>2749</v>
      </c>
      <c r="Z789" s="81" t="s">
        <v>2987</v>
      </c>
      <c r="AA789" s="81" t="s">
        <v>246</v>
      </c>
      <c r="AB789" s="85"/>
      <c r="AD789" s="78" t="s">
        <v>1875</v>
      </c>
      <c r="AE789" s="82" t="s">
        <v>44</v>
      </c>
      <c r="AF789" s="81" t="s">
        <v>2749</v>
      </c>
      <c r="AG789" s="81" t="s">
        <v>2987</v>
      </c>
      <c r="AH789" s="81" t="s">
        <v>245</v>
      </c>
      <c r="AI789" s="85"/>
    </row>
    <row r="790" spans="1:35" s="79" customFormat="1" ht="11.25" customHeight="1" x14ac:dyDescent="0.2">
      <c r="A790" s="77" t="s">
        <v>1874</v>
      </c>
      <c r="B790" s="80">
        <v>1052</v>
      </c>
      <c r="C790" s="81" t="s">
        <v>1873</v>
      </c>
      <c r="D790" s="73">
        <v>42000</v>
      </c>
      <c r="E790" s="79" t="s">
        <v>42</v>
      </c>
      <c r="F790" s="79" t="s">
        <v>3725</v>
      </c>
      <c r="G790" s="79" t="s">
        <v>2996</v>
      </c>
      <c r="H790" s="79" t="s">
        <v>43</v>
      </c>
      <c r="I790" s="81" t="s">
        <v>3000</v>
      </c>
      <c r="J790" s="81">
        <v>25</v>
      </c>
      <c r="K790" s="86"/>
      <c r="M790" s="78" t="s">
        <v>1875</v>
      </c>
      <c r="N790" s="82" t="s">
        <v>44</v>
      </c>
      <c r="O790" s="81" t="s">
        <v>2678</v>
      </c>
      <c r="P790" s="81" t="s">
        <v>2951</v>
      </c>
      <c r="Q790" s="81"/>
      <c r="R790" s="83" t="s">
        <v>864</v>
      </c>
      <c r="S790" s="79" t="s">
        <v>3222</v>
      </c>
      <c r="T790" s="84" t="s">
        <v>3416</v>
      </c>
      <c r="U790" s="81"/>
      <c r="V790" s="81"/>
      <c r="W790" s="78" t="s">
        <v>1875</v>
      </c>
      <c r="X790" s="82" t="s">
        <v>44</v>
      </c>
      <c r="Y790" s="81" t="s">
        <v>2678</v>
      </c>
      <c r="Z790" s="81" t="s">
        <v>2951</v>
      </c>
      <c r="AA790" s="81" t="s">
        <v>246</v>
      </c>
      <c r="AB790" s="85"/>
      <c r="AD790" s="78" t="s">
        <v>1875</v>
      </c>
      <c r="AE790" s="82" t="s">
        <v>44</v>
      </c>
      <c r="AF790" s="81" t="s">
        <v>2678</v>
      </c>
      <c r="AG790" s="81" t="s">
        <v>2951</v>
      </c>
      <c r="AH790" s="81" t="s">
        <v>245</v>
      </c>
      <c r="AI790" s="85"/>
    </row>
    <row r="791" spans="1:35" s="79" customFormat="1" ht="11.25" customHeight="1" x14ac:dyDescent="0.2">
      <c r="A791" s="77" t="s">
        <v>2102</v>
      </c>
      <c r="B791" s="80">
        <v>245</v>
      </c>
      <c r="C791" s="81" t="s">
        <v>1875</v>
      </c>
      <c r="D791" s="73">
        <v>42000</v>
      </c>
      <c r="E791" s="79" t="s">
        <v>42</v>
      </c>
      <c r="F791" s="79" t="s">
        <v>3725</v>
      </c>
      <c r="G791" s="79" t="s">
        <v>2996</v>
      </c>
      <c r="H791" s="79" t="s">
        <v>43</v>
      </c>
      <c r="I791" s="81" t="s">
        <v>3000</v>
      </c>
      <c r="J791" s="81">
        <v>25</v>
      </c>
      <c r="K791" s="86"/>
      <c r="M791" s="78" t="s">
        <v>1875</v>
      </c>
      <c r="N791" s="82"/>
      <c r="O791" s="81" t="s">
        <v>2256</v>
      </c>
      <c r="P791" s="81" t="s">
        <v>2256</v>
      </c>
      <c r="Q791" s="81"/>
      <c r="R791" s="83">
        <v>1000</v>
      </c>
      <c r="S791" s="79" t="s">
        <v>2999</v>
      </c>
      <c r="T791" s="84">
        <v>42000000</v>
      </c>
      <c r="U791" s="81"/>
      <c r="V791" s="81"/>
      <c r="W791" s="78" t="s">
        <v>1875</v>
      </c>
      <c r="X791" s="82"/>
      <c r="Y791" s="81" t="s">
        <v>2256</v>
      </c>
      <c r="Z791" s="81" t="s">
        <v>2256</v>
      </c>
      <c r="AA791" s="83">
        <v>10000</v>
      </c>
      <c r="AB791" s="85"/>
      <c r="AD791" s="78" t="s">
        <v>1875</v>
      </c>
      <c r="AE791" s="82"/>
      <c r="AF791" s="81" t="s">
        <v>2256</v>
      </c>
      <c r="AG791" s="81" t="s">
        <v>2256</v>
      </c>
      <c r="AH791" s="83">
        <v>10000</v>
      </c>
      <c r="AI791" s="85"/>
    </row>
    <row r="792" spans="1:35" s="79" customFormat="1" ht="11.25" customHeight="1" x14ac:dyDescent="0.2">
      <c r="A792" s="77" t="s">
        <v>2139</v>
      </c>
      <c r="B792" s="80">
        <v>471</v>
      </c>
      <c r="C792" s="81" t="s">
        <v>2138</v>
      </c>
      <c r="D792" s="73">
        <v>1000</v>
      </c>
      <c r="E792" s="79" t="s">
        <v>20</v>
      </c>
      <c r="F792" s="79" t="s">
        <v>3725</v>
      </c>
      <c r="G792" s="79" t="s">
        <v>2996</v>
      </c>
      <c r="H792" s="79" t="s">
        <v>43</v>
      </c>
      <c r="I792" s="81" t="s">
        <v>3000</v>
      </c>
      <c r="J792" s="81">
        <v>25</v>
      </c>
      <c r="K792" s="86"/>
      <c r="M792" s="78" t="s">
        <v>2138</v>
      </c>
      <c r="N792" s="82"/>
      <c r="O792" s="81" t="s">
        <v>2256</v>
      </c>
      <c r="P792" s="81" t="s">
        <v>2256</v>
      </c>
      <c r="Q792" s="81"/>
      <c r="R792" s="83">
        <v>100</v>
      </c>
      <c r="S792" s="79" t="s">
        <v>2999</v>
      </c>
      <c r="T792" s="84">
        <v>100000</v>
      </c>
      <c r="U792" s="81"/>
      <c r="V792" s="81"/>
      <c r="W792" s="78" t="s">
        <v>2138</v>
      </c>
      <c r="X792" s="82"/>
      <c r="Y792" s="81" t="s">
        <v>2256</v>
      </c>
      <c r="Z792" s="81" t="s">
        <v>2256</v>
      </c>
      <c r="AA792" s="83">
        <v>1000</v>
      </c>
      <c r="AB792" s="85"/>
      <c r="AD792" s="78" t="s">
        <v>2138</v>
      </c>
      <c r="AE792" s="82"/>
      <c r="AF792" s="81" t="s">
        <v>2256</v>
      </c>
      <c r="AG792" s="81" t="s">
        <v>2256</v>
      </c>
      <c r="AH792" s="83">
        <v>1500</v>
      </c>
      <c r="AI792" s="85"/>
    </row>
    <row r="793" spans="1:35" s="79" customFormat="1" ht="11.25" customHeight="1" x14ac:dyDescent="0.2">
      <c r="A793" s="77" t="s">
        <v>2183</v>
      </c>
      <c r="B793" s="80">
        <v>472</v>
      </c>
      <c r="C793" s="81" t="s">
        <v>2182</v>
      </c>
      <c r="D793" s="73">
        <v>1000</v>
      </c>
      <c r="E793" s="79" t="s">
        <v>20</v>
      </c>
      <c r="F793" s="79" t="s">
        <v>3725</v>
      </c>
      <c r="G793" s="79" t="s">
        <v>2996</v>
      </c>
      <c r="H793" s="79" t="s">
        <v>43</v>
      </c>
      <c r="I793" s="81" t="s">
        <v>3000</v>
      </c>
      <c r="J793" s="81">
        <v>25</v>
      </c>
      <c r="K793" s="86"/>
      <c r="M793" s="78" t="s">
        <v>2138</v>
      </c>
      <c r="N793" s="82"/>
      <c r="O793" s="81" t="s">
        <v>2753</v>
      </c>
      <c r="P793" s="81" t="s">
        <v>2256</v>
      </c>
      <c r="Q793" s="81"/>
      <c r="R793" s="83">
        <v>100</v>
      </c>
      <c r="S793" s="79" t="s">
        <v>3253</v>
      </c>
      <c r="T793" s="84">
        <v>100000</v>
      </c>
      <c r="U793" s="81"/>
      <c r="V793" s="81"/>
      <c r="W793" s="78" t="s">
        <v>2138</v>
      </c>
      <c r="X793" s="82"/>
      <c r="Y793" s="81" t="s">
        <v>2753</v>
      </c>
      <c r="Z793" s="81" t="s">
        <v>2256</v>
      </c>
      <c r="AA793" s="83">
        <v>1000</v>
      </c>
      <c r="AB793" s="85"/>
      <c r="AD793" s="78" t="s">
        <v>2138</v>
      </c>
      <c r="AE793" s="82"/>
      <c r="AF793" s="81" t="s">
        <v>2753</v>
      </c>
      <c r="AG793" s="81" t="s">
        <v>2256</v>
      </c>
      <c r="AH793" s="83">
        <v>1500</v>
      </c>
      <c r="AI793" s="85"/>
    </row>
    <row r="794" spans="1:35" s="79" customFormat="1" ht="11.25" customHeight="1" x14ac:dyDescent="0.2">
      <c r="A794" s="77" t="s">
        <v>139</v>
      </c>
      <c r="B794" s="80">
        <v>712</v>
      </c>
      <c r="C794" s="81" t="s">
        <v>2141</v>
      </c>
      <c r="D794" s="73">
        <v>100</v>
      </c>
      <c r="E794" s="79" t="s">
        <v>20</v>
      </c>
      <c r="F794" s="79" t="s">
        <v>3725</v>
      </c>
      <c r="G794" s="79" t="s">
        <v>2996</v>
      </c>
      <c r="H794" s="79" t="s">
        <v>43</v>
      </c>
      <c r="I794" s="81"/>
      <c r="J794" s="81">
        <v>25</v>
      </c>
      <c r="K794" s="86"/>
      <c r="M794" s="78" t="s">
        <v>2141</v>
      </c>
      <c r="N794" s="82"/>
      <c r="O794" s="81" t="s">
        <v>2256</v>
      </c>
      <c r="P794" s="81" t="s">
        <v>2256</v>
      </c>
      <c r="Q794" s="81"/>
      <c r="R794" s="83">
        <v>1000</v>
      </c>
      <c r="S794" s="79" t="s">
        <v>2999</v>
      </c>
      <c r="T794" s="84">
        <v>100000</v>
      </c>
      <c r="U794" s="81"/>
      <c r="V794" s="81"/>
      <c r="W794" s="78" t="s">
        <v>2141</v>
      </c>
      <c r="X794" s="82"/>
      <c r="Y794" s="81" t="s">
        <v>2256</v>
      </c>
      <c r="Z794" s="81" t="s">
        <v>2256</v>
      </c>
      <c r="AA794" s="83">
        <v>5000</v>
      </c>
      <c r="AB794" s="85"/>
      <c r="AD794" s="78" t="s">
        <v>2141</v>
      </c>
      <c r="AE794" s="82"/>
      <c r="AF794" s="81" t="s">
        <v>2256</v>
      </c>
      <c r="AG794" s="81" t="s">
        <v>2256</v>
      </c>
      <c r="AH794" s="83">
        <v>7000</v>
      </c>
      <c r="AI794" s="85"/>
    </row>
    <row r="795" spans="1:35" s="79" customFormat="1" ht="11.25" customHeight="1" x14ac:dyDescent="0.2">
      <c r="A795" s="77" t="s">
        <v>2146</v>
      </c>
      <c r="B795" s="80">
        <v>733</v>
      </c>
      <c r="C795" s="81" t="s">
        <v>2145</v>
      </c>
      <c r="D795" s="73">
        <v>1000</v>
      </c>
      <c r="E795" s="79" t="s">
        <v>28</v>
      </c>
      <c r="F795" s="79" t="s">
        <v>3725</v>
      </c>
      <c r="G795" s="79" t="s">
        <v>2996</v>
      </c>
      <c r="H795" s="79" t="s">
        <v>43</v>
      </c>
      <c r="I795" s="81" t="s">
        <v>3000</v>
      </c>
      <c r="J795" s="81">
        <v>25</v>
      </c>
      <c r="K795" s="86"/>
      <c r="M795" s="78" t="s">
        <v>94</v>
      </c>
      <c r="N795" s="82" t="s">
        <v>95</v>
      </c>
      <c r="O795" s="81" t="s">
        <v>2740</v>
      </c>
      <c r="P795" s="81" t="s">
        <v>2981</v>
      </c>
      <c r="Q795" s="81"/>
      <c r="R795" s="83" t="s">
        <v>197</v>
      </c>
      <c r="S795" s="79" t="s">
        <v>3015</v>
      </c>
      <c r="T795" s="84" t="s">
        <v>3578</v>
      </c>
      <c r="U795" s="81"/>
      <c r="V795" s="81"/>
      <c r="W795" s="78" t="s">
        <v>94</v>
      </c>
      <c r="X795" s="82" t="s">
        <v>95</v>
      </c>
      <c r="Y795" s="81" t="s">
        <v>2740</v>
      </c>
      <c r="Z795" s="81" t="s">
        <v>2981</v>
      </c>
      <c r="AA795" s="81" t="s">
        <v>97</v>
      </c>
      <c r="AB795" s="85"/>
      <c r="AD795" s="78" t="s">
        <v>94</v>
      </c>
      <c r="AE795" s="82" t="s">
        <v>95</v>
      </c>
      <c r="AF795" s="81" t="s">
        <v>2740</v>
      </c>
      <c r="AG795" s="81" t="s">
        <v>2981</v>
      </c>
      <c r="AH795" s="81" t="s">
        <v>96</v>
      </c>
      <c r="AI795" s="85"/>
    </row>
    <row r="796" spans="1:35" s="79" customFormat="1" ht="11.25" customHeight="1" x14ac:dyDescent="0.2">
      <c r="A796" s="77" t="s">
        <v>2148</v>
      </c>
      <c r="B796" s="80">
        <v>732</v>
      </c>
      <c r="C796" s="81" t="s">
        <v>2147</v>
      </c>
      <c r="D796" s="73">
        <v>1000</v>
      </c>
      <c r="E796" s="79" t="s">
        <v>28</v>
      </c>
      <c r="F796" s="79" t="s">
        <v>3725</v>
      </c>
      <c r="G796" s="79" t="s">
        <v>2996</v>
      </c>
      <c r="H796" s="79" t="s">
        <v>43</v>
      </c>
      <c r="I796" s="81" t="s">
        <v>3000</v>
      </c>
      <c r="J796" s="81">
        <v>25</v>
      </c>
      <c r="K796" s="86"/>
      <c r="M796" s="78" t="s">
        <v>94</v>
      </c>
      <c r="N796" s="82" t="s">
        <v>95</v>
      </c>
      <c r="O796" s="81" t="s">
        <v>2741</v>
      </c>
      <c r="P796" s="81" t="s">
        <v>2982</v>
      </c>
      <c r="Q796" s="81"/>
      <c r="R796" s="83" t="s">
        <v>197</v>
      </c>
      <c r="S796" s="79" t="s">
        <v>3015</v>
      </c>
      <c r="T796" s="84" t="s">
        <v>3578</v>
      </c>
      <c r="U796" s="81"/>
      <c r="V796" s="81"/>
      <c r="W796" s="78" t="s">
        <v>94</v>
      </c>
      <c r="X796" s="82" t="s">
        <v>95</v>
      </c>
      <c r="Y796" s="81" t="s">
        <v>2741</v>
      </c>
      <c r="Z796" s="81" t="s">
        <v>2982</v>
      </c>
      <c r="AA796" s="81" t="s">
        <v>97</v>
      </c>
      <c r="AB796" s="85"/>
      <c r="AD796" s="78" t="s">
        <v>94</v>
      </c>
      <c r="AE796" s="82" t="s">
        <v>95</v>
      </c>
      <c r="AF796" s="81" t="s">
        <v>2741</v>
      </c>
      <c r="AG796" s="81" t="s">
        <v>2982</v>
      </c>
      <c r="AH796" s="81" t="s">
        <v>96</v>
      </c>
      <c r="AI796" s="85"/>
    </row>
    <row r="797" spans="1:35" s="79" customFormat="1" ht="11.25" customHeight="1" x14ac:dyDescent="0.2">
      <c r="A797" s="77" t="s">
        <v>93</v>
      </c>
      <c r="B797" s="80">
        <v>147</v>
      </c>
      <c r="C797" s="81" t="s">
        <v>92</v>
      </c>
      <c r="D797" s="73">
        <v>8330</v>
      </c>
      <c r="E797" s="79" t="s">
        <v>28</v>
      </c>
      <c r="F797" s="79" t="s">
        <v>3725</v>
      </c>
      <c r="G797" s="79" t="s">
        <v>2996</v>
      </c>
      <c r="H797" s="79" t="s">
        <v>43</v>
      </c>
      <c r="I797" s="81" t="s">
        <v>3000</v>
      </c>
      <c r="J797" s="81">
        <v>25</v>
      </c>
      <c r="K797" s="86"/>
      <c r="M797" s="78" t="s">
        <v>94</v>
      </c>
      <c r="N797" s="82" t="s">
        <v>95</v>
      </c>
      <c r="O797" s="81" t="s">
        <v>2263</v>
      </c>
      <c r="P797" s="81" t="s">
        <v>2771</v>
      </c>
      <c r="Q797" s="81"/>
      <c r="R797" s="83" t="s">
        <v>197</v>
      </c>
      <c r="S797" s="79" t="s">
        <v>3015</v>
      </c>
      <c r="T797" s="84" t="s">
        <v>3578</v>
      </c>
      <c r="U797" s="81"/>
      <c r="V797" s="81"/>
      <c r="W797" s="78" t="s">
        <v>94</v>
      </c>
      <c r="X797" s="82" t="s">
        <v>95</v>
      </c>
      <c r="Y797" s="81" t="s">
        <v>2263</v>
      </c>
      <c r="Z797" s="81" t="s">
        <v>2771</v>
      </c>
      <c r="AA797" s="81" t="s">
        <v>97</v>
      </c>
      <c r="AB797" s="85"/>
      <c r="AD797" s="78" t="s">
        <v>94</v>
      </c>
      <c r="AE797" s="82" t="s">
        <v>95</v>
      </c>
      <c r="AF797" s="81" t="s">
        <v>2263</v>
      </c>
      <c r="AG797" s="81" t="s">
        <v>2771</v>
      </c>
      <c r="AH797" s="81" t="s">
        <v>96</v>
      </c>
      <c r="AI797" s="85"/>
    </row>
    <row r="798" spans="1:35" s="79" customFormat="1" ht="11.25" x14ac:dyDescent="0.2">
      <c r="A798" s="77" t="s">
        <v>692</v>
      </c>
      <c r="B798" s="80">
        <v>146</v>
      </c>
      <c r="C798" s="81" t="s">
        <v>691</v>
      </c>
      <c r="D798" s="73">
        <v>8330</v>
      </c>
      <c r="E798" s="79" t="s">
        <v>28</v>
      </c>
      <c r="F798" s="79" t="s">
        <v>3725</v>
      </c>
      <c r="G798" s="79" t="s">
        <v>2996</v>
      </c>
      <c r="H798" s="79" t="s">
        <v>43</v>
      </c>
      <c r="I798" s="81" t="s">
        <v>3000</v>
      </c>
      <c r="J798" s="81">
        <v>25</v>
      </c>
      <c r="K798" s="86"/>
      <c r="M798" s="78" t="s">
        <v>94</v>
      </c>
      <c r="N798" s="82" t="s">
        <v>95</v>
      </c>
      <c r="O798" s="81" t="s">
        <v>2395</v>
      </c>
      <c r="P798" s="81" t="s">
        <v>2822</v>
      </c>
      <c r="Q798" s="81"/>
      <c r="R798" s="83" t="s">
        <v>197</v>
      </c>
      <c r="S798" s="79" t="s">
        <v>3015</v>
      </c>
      <c r="T798" s="84" t="s">
        <v>3578</v>
      </c>
      <c r="U798" s="81"/>
      <c r="V798" s="81"/>
      <c r="W798" s="78" t="s">
        <v>94</v>
      </c>
      <c r="X798" s="82" t="s">
        <v>95</v>
      </c>
      <c r="Y798" s="81" t="s">
        <v>2395</v>
      </c>
      <c r="Z798" s="81" t="s">
        <v>2822</v>
      </c>
      <c r="AA798" s="81" t="s">
        <v>97</v>
      </c>
      <c r="AB798" s="85"/>
      <c r="AD798" s="78" t="s">
        <v>94</v>
      </c>
      <c r="AE798" s="82" t="s">
        <v>95</v>
      </c>
      <c r="AF798" s="81" t="s">
        <v>2395</v>
      </c>
      <c r="AG798" s="81" t="s">
        <v>2822</v>
      </c>
      <c r="AH798" s="81" t="s">
        <v>96</v>
      </c>
      <c r="AI798" s="85"/>
    </row>
    <row r="799" spans="1:35" s="79" customFormat="1" ht="11.25" customHeight="1" x14ac:dyDescent="0.2">
      <c r="A799" s="77" t="s">
        <v>2144</v>
      </c>
      <c r="B799" s="80">
        <v>729</v>
      </c>
      <c r="C799" s="81" t="s">
        <v>94</v>
      </c>
      <c r="D799" s="73">
        <v>1000</v>
      </c>
      <c r="E799" s="79" t="s">
        <v>20</v>
      </c>
      <c r="F799" s="79" t="s">
        <v>3725</v>
      </c>
      <c r="G799" s="79" t="s">
        <v>2996</v>
      </c>
      <c r="H799" s="79" t="s">
        <v>43</v>
      </c>
      <c r="I799" s="81" t="s">
        <v>3000</v>
      </c>
      <c r="J799" s="81">
        <v>25</v>
      </c>
      <c r="K799" s="86"/>
      <c r="M799" s="78" t="s">
        <v>94</v>
      </c>
      <c r="N799" s="82"/>
      <c r="O799" s="81" t="s">
        <v>2256</v>
      </c>
      <c r="P799" s="81" t="s">
        <v>2256</v>
      </c>
      <c r="Q799" s="81"/>
      <c r="R799" s="83">
        <v>500</v>
      </c>
      <c r="S799" s="79" t="s">
        <v>2999</v>
      </c>
      <c r="T799" s="84">
        <v>500000</v>
      </c>
      <c r="U799" s="81"/>
      <c r="V799" s="81"/>
      <c r="W799" s="78" t="s">
        <v>94</v>
      </c>
      <c r="X799" s="82"/>
      <c r="Y799" s="81" t="s">
        <v>2256</v>
      </c>
      <c r="Z799" s="81" t="s">
        <v>2256</v>
      </c>
      <c r="AA799" s="83">
        <v>2500</v>
      </c>
      <c r="AB799" s="85"/>
      <c r="AD799" s="78" t="s">
        <v>94</v>
      </c>
      <c r="AE799" s="82"/>
      <c r="AF799" s="81" t="s">
        <v>2256</v>
      </c>
      <c r="AG799" s="81" t="s">
        <v>2256</v>
      </c>
      <c r="AH799" s="83">
        <v>3500</v>
      </c>
      <c r="AI799" s="85"/>
    </row>
    <row r="800" spans="1:35" s="79" customFormat="1" ht="11.25" customHeight="1" x14ac:dyDescent="0.2">
      <c r="A800" s="77" t="s">
        <v>3729</v>
      </c>
      <c r="B800" s="80">
        <v>1238</v>
      </c>
      <c r="C800" s="81" t="s">
        <v>3727</v>
      </c>
      <c r="D800" s="73">
        <v>1000</v>
      </c>
      <c r="E800" s="79" t="s">
        <v>20</v>
      </c>
      <c r="F800" s="79" t="s">
        <v>30</v>
      </c>
      <c r="G800" s="79" t="s">
        <v>3001</v>
      </c>
      <c r="H800" s="79" t="s">
        <v>43</v>
      </c>
      <c r="I800" s="81" t="s">
        <v>3000</v>
      </c>
      <c r="J800" s="81">
        <v>25</v>
      </c>
      <c r="K800" s="86"/>
      <c r="M800" s="78" t="s">
        <v>94</v>
      </c>
      <c r="N800" s="82"/>
      <c r="O800" s="81" t="s">
        <v>3728</v>
      </c>
      <c r="P800" s="81"/>
      <c r="R800" s="81">
        <v>500</v>
      </c>
      <c r="S800" s="79" t="s">
        <v>3120</v>
      </c>
      <c r="T800" s="84">
        <v>500000</v>
      </c>
      <c r="U800" s="81"/>
      <c r="V800" s="81"/>
      <c r="W800" s="78" t="s">
        <v>94</v>
      </c>
      <c r="X800" s="82"/>
      <c r="Y800" s="81" t="s">
        <v>3728</v>
      </c>
      <c r="Z800" s="81"/>
      <c r="AA800" s="83">
        <v>2500</v>
      </c>
      <c r="AB800" s="85"/>
      <c r="AD800" s="78" t="s">
        <v>94</v>
      </c>
      <c r="AE800" s="82"/>
      <c r="AF800" s="81" t="s">
        <v>3728</v>
      </c>
      <c r="AG800" s="81"/>
      <c r="AH800" s="83">
        <v>3500</v>
      </c>
      <c r="AI800" s="85"/>
    </row>
    <row r="801" spans="1:35" s="79" customFormat="1" ht="11.25" customHeight="1" x14ac:dyDescent="0.2">
      <c r="A801" s="77" t="s">
        <v>2159</v>
      </c>
      <c r="B801" s="80">
        <v>731</v>
      </c>
      <c r="C801" s="81" t="s">
        <v>2158</v>
      </c>
      <c r="D801" s="73">
        <v>1000</v>
      </c>
      <c r="E801" s="79" t="s">
        <v>20</v>
      </c>
      <c r="F801" s="79" t="s">
        <v>3725</v>
      </c>
      <c r="G801" s="79" t="s">
        <v>2996</v>
      </c>
      <c r="H801" s="79" t="s">
        <v>43</v>
      </c>
      <c r="I801" s="81" t="s">
        <v>3000</v>
      </c>
      <c r="J801" s="81">
        <v>25</v>
      </c>
      <c r="K801" s="86"/>
      <c r="M801" s="78" t="s">
        <v>94</v>
      </c>
      <c r="N801" s="82"/>
      <c r="O801" s="81" t="s">
        <v>2743</v>
      </c>
      <c r="P801" s="81" t="s">
        <v>2256</v>
      </c>
      <c r="Q801" s="81"/>
      <c r="R801" s="83">
        <v>500</v>
      </c>
      <c r="S801" s="79" t="s">
        <v>3120</v>
      </c>
      <c r="T801" s="84">
        <v>500000</v>
      </c>
      <c r="U801" s="81"/>
      <c r="V801" s="81"/>
      <c r="W801" s="78" t="s">
        <v>94</v>
      </c>
      <c r="X801" s="82"/>
      <c r="Y801" s="81" t="s">
        <v>2743</v>
      </c>
      <c r="Z801" s="81" t="s">
        <v>2256</v>
      </c>
      <c r="AA801" s="83">
        <v>2500</v>
      </c>
      <c r="AB801" s="85"/>
      <c r="AD801" s="78" t="s">
        <v>94</v>
      </c>
      <c r="AE801" s="82"/>
      <c r="AF801" s="81" t="s">
        <v>2743</v>
      </c>
      <c r="AG801" s="81" t="s">
        <v>2256</v>
      </c>
      <c r="AH801" s="83">
        <v>3500</v>
      </c>
      <c r="AI801" s="85"/>
    </row>
    <row r="802" spans="1:35" s="79" customFormat="1" ht="11.25" customHeight="1" x14ac:dyDescent="0.2">
      <c r="A802" s="77" t="s">
        <v>838</v>
      </c>
      <c r="B802" s="80">
        <v>238</v>
      </c>
      <c r="C802" s="81" t="s">
        <v>837</v>
      </c>
      <c r="D802" s="73">
        <v>1000</v>
      </c>
      <c r="E802" s="79" t="s">
        <v>20</v>
      </c>
      <c r="F802" s="79" t="s">
        <v>3725</v>
      </c>
      <c r="G802" s="79" t="s">
        <v>2996</v>
      </c>
      <c r="H802" s="79" t="s">
        <v>43</v>
      </c>
      <c r="I802" s="81"/>
      <c r="J802" s="81">
        <v>25</v>
      </c>
      <c r="K802" s="86"/>
      <c r="M802" s="78" t="s">
        <v>94</v>
      </c>
      <c r="N802" s="82"/>
      <c r="O802" s="81" t="s">
        <v>2434</v>
      </c>
      <c r="P802" s="81" t="s">
        <v>2256</v>
      </c>
      <c r="Q802" s="81"/>
      <c r="R802" s="83">
        <v>500</v>
      </c>
      <c r="S802" s="79" t="s">
        <v>3120</v>
      </c>
      <c r="T802" s="84">
        <v>500000</v>
      </c>
      <c r="U802" s="81"/>
      <c r="V802" s="81"/>
      <c r="W802" s="78" t="s">
        <v>94</v>
      </c>
      <c r="X802" s="82"/>
      <c r="Y802" s="81" t="s">
        <v>2434</v>
      </c>
      <c r="Z802" s="81" t="s">
        <v>2256</v>
      </c>
      <c r="AA802" s="83">
        <v>2500</v>
      </c>
      <c r="AB802" s="85"/>
      <c r="AD802" s="78" t="s">
        <v>94</v>
      </c>
      <c r="AE802" s="82"/>
      <c r="AF802" s="81" t="s">
        <v>2434</v>
      </c>
      <c r="AG802" s="81" t="s">
        <v>2256</v>
      </c>
      <c r="AH802" s="83">
        <v>3500</v>
      </c>
      <c r="AI802" s="85"/>
    </row>
    <row r="803" spans="1:35" s="79" customFormat="1" ht="11.25" customHeight="1" x14ac:dyDescent="0.2">
      <c r="A803" s="77" t="s">
        <v>1268</v>
      </c>
      <c r="B803" s="80">
        <v>1197</v>
      </c>
      <c r="C803" s="81" t="s">
        <v>1267</v>
      </c>
      <c r="D803" s="73">
        <v>100</v>
      </c>
      <c r="E803" s="79" t="s">
        <v>20</v>
      </c>
      <c r="F803" s="79" t="s">
        <v>3725</v>
      </c>
      <c r="G803" s="79" t="s">
        <v>2996</v>
      </c>
      <c r="H803" s="79" t="s">
        <v>43</v>
      </c>
      <c r="I803" s="81" t="s">
        <v>3000</v>
      </c>
      <c r="J803" s="81">
        <v>25</v>
      </c>
      <c r="K803" s="86"/>
      <c r="M803" s="78" t="s">
        <v>94</v>
      </c>
      <c r="N803" s="82"/>
      <c r="O803" s="81" t="s">
        <v>2537</v>
      </c>
      <c r="P803" s="81" t="s">
        <v>2256</v>
      </c>
      <c r="Q803" s="81"/>
      <c r="R803" s="83">
        <v>500</v>
      </c>
      <c r="S803" s="79" t="s">
        <v>3120</v>
      </c>
      <c r="T803" s="84">
        <v>500000</v>
      </c>
      <c r="U803" s="81"/>
      <c r="V803" s="81"/>
      <c r="W803" s="78" t="s">
        <v>94</v>
      </c>
      <c r="X803" s="82"/>
      <c r="Y803" s="81" t="s">
        <v>2537</v>
      </c>
      <c r="Z803" s="81" t="s">
        <v>2256</v>
      </c>
      <c r="AA803" s="83">
        <v>2500</v>
      </c>
      <c r="AB803" s="85"/>
      <c r="AD803" s="78" t="s">
        <v>94</v>
      </c>
      <c r="AE803" s="82"/>
      <c r="AF803" s="81" t="s">
        <v>2537</v>
      </c>
      <c r="AG803" s="81" t="s">
        <v>2256</v>
      </c>
      <c r="AH803" s="83">
        <v>3500</v>
      </c>
      <c r="AI803" s="85"/>
    </row>
    <row r="804" spans="1:35" s="79" customFormat="1" ht="11.25" x14ac:dyDescent="0.2">
      <c r="A804" s="77" t="s">
        <v>2150</v>
      </c>
      <c r="B804" s="80">
        <v>715</v>
      </c>
      <c r="C804" s="81" t="s">
        <v>2149</v>
      </c>
      <c r="D804" s="73">
        <v>1000</v>
      </c>
      <c r="E804" s="79" t="s">
        <v>20</v>
      </c>
      <c r="F804" s="79" t="s">
        <v>3725</v>
      </c>
      <c r="G804" s="79" t="s">
        <v>2996</v>
      </c>
      <c r="H804" s="79" t="s">
        <v>43</v>
      </c>
      <c r="I804" s="81" t="s">
        <v>3000</v>
      </c>
      <c r="J804" s="81">
        <v>25</v>
      </c>
      <c r="K804" s="86"/>
      <c r="M804" s="78" t="s">
        <v>2149</v>
      </c>
      <c r="N804" s="82"/>
      <c r="O804" s="81" t="s">
        <v>2256</v>
      </c>
      <c r="P804" s="81" t="s">
        <v>2256</v>
      </c>
      <c r="Q804" s="81"/>
      <c r="R804" s="83">
        <v>100</v>
      </c>
      <c r="S804" s="79" t="s">
        <v>2999</v>
      </c>
      <c r="T804" s="84">
        <v>100000</v>
      </c>
      <c r="U804" s="81"/>
      <c r="V804" s="81"/>
      <c r="W804" s="78" t="s">
        <v>2149</v>
      </c>
      <c r="X804" s="82"/>
      <c r="Y804" s="81" t="s">
        <v>2256</v>
      </c>
      <c r="Z804" s="81" t="s">
        <v>2256</v>
      </c>
      <c r="AA804" s="80">
        <v>500</v>
      </c>
      <c r="AB804" s="85"/>
      <c r="AD804" s="78" t="s">
        <v>2149</v>
      </c>
      <c r="AE804" s="82"/>
      <c r="AF804" s="81" t="s">
        <v>2256</v>
      </c>
      <c r="AG804" s="81" t="s">
        <v>2256</v>
      </c>
      <c r="AH804" s="80">
        <v>750</v>
      </c>
      <c r="AI804" s="85"/>
    </row>
    <row r="805" spans="1:35" s="79" customFormat="1" ht="11.25" customHeight="1" x14ac:dyDescent="0.2">
      <c r="A805" s="77" t="s">
        <v>2152</v>
      </c>
      <c r="B805" s="80">
        <v>716</v>
      </c>
      <c r="C805" s="81" t="s">
        <v>2151</v>
      </c>
      <c r="D805" s="73">
        <v>1000</v>
      </c>
      <c r="E805" s="79" t="s">
        <v>20</v>
      </c>
      <c r="F805" s="79" t="s">
        <v>3725</v>
      </c>
      <c r="G805" s="79" t="s">
        <v>2996</v>
      </c>
      <c r="H805" s="79" t="s">
        <v>43</v>
      </c>
      <c r="I805" s="81" t="s">
        <v>3000</v>
      </c>
      <c r="J805" s="81">
        <v>25</v>
      </c>
      <c r="K805" s="86"/>
      <c r="M805" s="78" t="s">
        <v>2149</v>
      </c>
      <c r="N805" s="82"/>
      <c r="O805" s="81" t="s">
        <v>2742</v>
      </c>
      <c r="P805" s="81" t="s">
        <v>2256</v>
      </c>
      <c r="Q805" s="81"/>
      <c r="R805" s="83">
        <v>100</v>
      </c>
      <c r="S805" s="79" t="s">
        <v>3249</v>
      </c>
      <c r="T805" s="84">
        <v>100000</v>
      </c>
      <c r="U805" s="81"/>
      <c r="V805" s="81"/>
      <c r="W805" s="78" t="s">
        <v>2149</v>
      </c>
      <c r="X805" s="82"/>
      <c r="Y805" s="81" t="s">
        <v>2742</v>
      </c>
      <c r="Z805" s="81" t="s">
        <v>2256</v>
      </c>
      <c r="AA805" s="80">
        <v>500</v>
      </c>
      <c r="AB805" s="85"/>
      <c r="AD805" s="78" t="s">
        <v>2149</v>
      </c>
      <c r="AE805" s="82"/>
      <c r="AF805" s="81" t="s">
        <v>2742</v>
      </c>
      <c r="AG805" s="81" t="s">
        <v>2256</v>
      </c>
      <c r="AH805" s="80">
        <v>750</v>
      </c>
      <c r="AI805" s="85"/>
    </row>
    <row r="806" spans="1:35" s="79" customFormat="1" ht="11.25" x14ac:dyDescent="0.2">
      <c r="A806" s="77" t="s">
        <v>2167</v>
      </c>
      <c r="B806" s="80">
        <v>256</v>
      </c>
      <c r="C806" s="81" t="s">
        <v>2166</v>
      </c>
      <c r="D806" s="73">
        <v>42000</v>
      </c>
      <c r="E806" s="79" t="s">
        <v>42</v>
      </c>
      <c r="F806" s="79" t="s">
        <v>3725</v>
      </c>
      <c r="G806" s="79" t="s">
        <v>2996</v>
      </c>
      <c r="H806" s="79" t="s">
        <v>43</v>
      </c>
      <c r="I806" s="81" t="s">
        <v>3000</v>
      </c>
      <c r="J806" s="81">
        <v>25</v>
      </c>
      <c r="K806" s="86"/>
      <c r="M806" s="78" t="s">
        <v>2153</v>
      </c>
      <c r="N806" s="82" t="s">
        <v>44</v>
      </c>
      <c r="O806" s="81" t="s">
        <v>2747</v>
      </c>
      <c r="P806" s="81" t="s">
        <v>2985</v>
      </c>
      <c r="Q806" s="81"/>
      <c r="R806" s="83" t="s">
        <v>864</v>
      </c>
      <c r="S806" s="79" t="s">
        <v>3252</v>
      </c>
      <c r="T806" s="84" t="s">
        <v>3416</v>
      </c>
      <c r="U806" s="81"/>
      <c r="V806" s="81"/>
      <c r="W806" s="78" t="s">
        <v>2153</v>
      </c>
      <c r="X806" s="82" t="s">
        <v>44</v>
      </c>
      <c r="Y806" s="81" t="s">
        <v>2747</v>
      </c>
      <c r="Z806" s="81" t="s">
        <v>2985</v>
      </c>
      <c r="AA806" s="81" t="s">
        <v>409</v>
      </c>
      <c r="AB806" s="85"/>
      <c r="AD806" s="78" t="s">
        <v>2153</v>
      </c>
      <c r="AE806" s="82" t="s">
        <v>44</v>
      </c>
      <c r="AF806" s="81" t="s">
        <v>2747</v>
      </c>
      <c r="AG806" s="81" t="s">
        <v>2985</v>
      </c>
      <c r="AH806" s="81" t="s">
        <v>530</v>
      </c>
      <c r="AI806" s="85"/>
    </row>
    <row r="807" spans="1:35" s="79" customFormat="1" ht="11.25" x14ac:dyDescent="0.2">
      <c r="A807" s="77" t="s">
        <v>2154</v>
      </c>
      <c r="B807" s="80">
        <v>255</v>
      </c>
      <c r="C807" s="81" t="s">
        <v>2153</v>
      </c>
      <c r="D807" s="73">
        <v>42000</v>
      </c>
      <c r="E807" s="79" t="s">
        <v>42</v>
      </c>
      <c r="F807" s="79" t="s">
        <v>3725</v>
      </c>
      <c r="G807" s="79" t="s">
        <v>2996</v>
      </c>
      <c r="H807" s="79" t="s">
        <v>43</v>
      </c>
      <c r="I807" s="81" t="s">
        <v>3000</v>
      </c>
      <c r="J807" s="81">
        <v>25</v>
      </c>
      <c r="K807" s="86"/>
      <c r="M807" s="78" t="s">
        <v>2153</v>
      </c>
      <c r="N807" s="82"/>
      <c r="O807" s="81" t="s">
        <v>2256</v>
      </c>
      <c r="P807" s="81" t="s">
        <v>2256</v>
      </c>
      <c r="Q807" s="81"/>
      <c r="R807" s="83">
        <v>1000</v>
      </c>
      <c r="S807" s="79" t="s">
        <v>2999</v>
      </c>
      <c r="T807" s="84">
        <v>42000000</v>
      </c>
      <c r="U807" s="81"/>
      <c r="V807" s="81"/>
      <c r="W807" s="78" t="s">
        <v>2153</v>
      </c>
      <c r="X807" s="82"/>
      <c r="Y807" s="81" t="s">
        <v>2256</v>
      </c>
      <c r="Z807" s="81" t="s">
        <v>2256</v>
      </c>
      <c r="AA807" s="83">
        <v>5000</v>
      </c>
      <c r="AB807" s="85"/>
      <c r="AD807" s="78" t="s">
        <v>2153</v>
      </c>
      <c r="AE807" s="82"/>
      <c r="AF807" s="81" t="s">
        <v>2256</v>
      </c>
      <c r="AG807" s="81" t="s">
        <v>2256</v>
      </c>
      <c r="AH807" s="83">
        <v>7000</v>
      </c>
      <c r="AI807" s="85"/>
    </row>
    <row r="808" spans="1:35" s="79" customFormat="1" ht="11.25" x14ac:dyDescent="0.2">
      <c r="A808" s="77" t="s">
        <v>2156</v>
      </c>
      <c r="B808" s="80">
        <v>717</v>
      </c>
      <c r="C808" s="81" t="s">
        <v>2155</v>
      </c>
      <c r="D808" s="73">
        <v>1000</v>
      </c>
      <c r="E808" s="79" t="s">
        <v>20</v>
      </c>
      <c r="F808" s="79" t="s">
        <v>3725</v>
      </c>
      <c r="G808" s="79" t="s">
        <v>2996</v>
      </c>
      <c r="H808" s="79" t="s">
        <v>43</v>
      </c>
      <c r="I808" s="81" t="s">
        <v>3000</v>
      </c>
      <c r="J808" s="81">
        <v>25</v>
      </c>
      <c r="K808" s="86"/>
      <c r="M808" s="78" t="s">
        <v>2155</v>
      </c>
      <c r="N808" s="82"/>
      <c r="O808" s="81" t="s">
        <v>2256</v>
      </c>
      <c r="P808" s="81" t="s">
        <v>2256</v>
      </c>
      <c r="Q808" s="81"/>
      <c r="R808" s="83">
        <v>500</v>
      </c>
      <c r="S808" s="79" t="s">
        <v>2999</v>
      </c>
      <c r="T808" s="84">
        <v>500000</v>
      </c>
      <c r="U808" s="81"/>
      <c r="V808" s="81"/>
      <c r="W808" s="78" t="s">
        <v>2155</v>
      </c>
      <c r="X808" s="82"/>
      <c r="Y808" s="81" t="s">
        <v>2256</v>
      </c>
      <c r="Z808" s="81" t="s">
        <v>2256</v>
      </c>
      <c r="AA808" s="83">
        <v>1500</v>
      </c>
      <c r="AB808" s="85"/>
      <c r="AD808" s="78" t="s">
        <v>2155</v>
      </c>
      <c r="AE808" s="82"/>
      <c r="AF808" s="81" t="s">
        <v>2256</v>
      </c>
      <c r="AG808" s="81" t="s">
        <v>2256</v>
      </c>
      <c r="AH808" s="83">
        <v>1500</v>
      </c>
      <c r="AI808" s="85"/>
    </row>
    <row r="809" spans="1:35" s="79" customFormat="1" ht="11.25" x14ac:dyDescent="0.2">
      <c r="A809" s="77" t="s">
        <v>2161</v>
      </c>
      <c r="B809" s="80">
        <v>719</v>
      </c>
      <c r="C809" s="81" t="s">
        <v>2160</v>
      </c>
      <c r="D809" s="73">
        <v>1000</v>
      </c>
      <c r="E809" s="79" t="s">
        <v>20</v>
      </c>
      <c r="F809" s="79" t="s">
        <v>3725</v>
      </c>
      <c r="G809" s="79" t="s">
        <v>2996</v>
      </c>
      <c r="H809" s="79" t="s">
        <v>43</v>
      </c>
      <c r="I809" s="81" t="s">
        <v>3000</v>
      </c>
      <c r="J809" s="81">
        <v>25</v>
      </c>
      <c r="K809" s="86"/>
      <c r="M809" s="78" t="s">
        <v>2155</v>
      </c>
      <c r="N809" s="82"/>
      <c r="O809" s="81" t="s">
        <v>2744</v>
      </c>
      <c r="P809" s="81" t="s">
        <v>2256</v>
      </c>
      <c r="Q809" s="81"/>
      <c r="R809" s="83">
        <v>500</v>
      </c>
      <c r="S809" s="79" t="s">
        <v>3250</v>
      </c>
      <c r="T809" s="84">
        <v>500000</v>
      </c>
      <c r="U809" s="81"/>
      <c r="V809" s="81"/>
      <c r="W809" s="78" t="s">
        <v>2155</v>
      </c>
      <c r="X809" s="82"/>
      <c r="Y809" s="81" t="s">
        <v>2744</v>
      </c>
      <c r="Z809" s="81" t="s">
        <v>2256</v>
      </c>
      <c r="AA809" s="83">
        <v>1500</v>
      </c>
      <c r="AB809" s="85"/>
      <c r="AD809" s="78" t="s">
        <v>2155</v>
      </c>
      <c r="AE809" s="82"/>
      <c r="AF809" s="81" t="s">
        <v>2744</v>
      </c>
      <c r="AG809" s="81" t="s">
        <v>2256</v>
      </c>
      <c r="AH809" s="83">
        <v>1500</v>
      </c>
      <c r="AI809" s="85"/>
    </row>
    <row r="810" spans="1:35" s="79" customFormat="1" ht="11.25" customHeight="1" x14ac:dyDescent="0.2">
      <c r="A810" s="77" t="s">
        <v>1440</v>
      </c>
      <c r="B810" s="80">
        <v>492</v>
      </c>
      <c r="C810" s="81" t="s">
        <v>1439</v>
      </c>
      <c r="D810" s="73">
        <v>1000</v>
      </c>
      <c r="E810" s="79" t="s">
        <v>28</v>
      </c>
      <c r="F810" s="79" t="s">
        <v>3725</v>
      </c>
      <c r="G810" s="79" t="s">
        <v>2996</v>
      </c>
      <c r="H810" s="79" t="s">
        <v>43</v>
      </c>
      <c r="I810" s="81" t="s">
        <v>3000</v>
      </c>
      <c r="J810" s="81">
        <v>25</v>
      </c>
      <c r="K810" s="86"/>
      <c r="M810" s="78" t="s">
        <v>1429</v>
      </c>
      <c r="N810" s="82" t="s">
        <v>1303</v>
      </c>
      <c r="O810" s="81" t="s">
        <v>2586</v>
      </c>
      <c r="P810" s="81" t="s">
        <v>2919</v>
      </c>
      <c r="Q810" s="81"/>
      <c r="R810" s="83" t="s">
        <v>3427</v>
      </c>
      <c r="S810" s="79" t="s">
        <v>3178</v>
      </c>
      <c r="T810" s="84" t="s">
        <v>3600</v>
      </c>
      <c r="U810" s="81"/>
      <c r="V810" s="81"/>
      <c r="W810" s="78" t="s">
        <v>1429</v>
      </c>
      <c r="X810" s="82" t="s">
        <v>1303</v>
      </c>
      <c r="Y810" s="81" t="s">
        <v>2586</v>
      </c>
      <c r="Z810" s="81" t="s">
        <v>2919</v>
      </c>
      <c r="AA810" s="81" t="s">
        <v>414</v>
      </c>
      <c r="AB810" s="85"/>
      <c r="AD810" s="78" t="s">
        <v>1429</v>
      </c>
      <c r="AE810" s="82" t="s">
        <v>1303</v>
      </c>
      <c r="AF810" s="81" t="s">
        <v>2586</v>
      </c>
      <c r="AG810" s="81" t="s">
        <v>2919</v>
      </c>
      <c r="AH810" s="81" t="s">
        <v>414</v>
      </c>
      <c r="AI810" s="85"/>
    </row>
    <row r="811" spans="1:35" s="79" customFormat="1" ht="11.25" x14ac:dyDescent="0.2">
      <c r="A811" s="77" t="s">
        <v>2198</v>
      </c>
      <c r="B811" s="80">
        <v>464</v>
      </c>
      <c r="C811" s="81" t="s">
        <v>1429</v>
      </c>
      <c r="D811" s="73">
        <v>1000</v>
      </c>
      <c r="E811" s="79" t="s">
        <v>28</v>
      </c>
      <c r="F811" s="79" t="s">
        <v>3725</v>
      </c>
      <c r="G811" s="79" t="s">
        <v>2996</v>
      </c>
      <c r="H811" s="79" t="s">
        <v>43</v>
      </c>
      <c r="I811" s="81" t="s">
        <v>3000</v>
      </c>
      <c r="J811" s="81">
        <v>25</v>
      </c>
      <c r="K811" s="86"/>
      <c r="M811" s="78" t="s">
        <v>1429</v>
      </c>
      <c r="N811" s="82"/>
      <c r="O811" s="81" t="s">
        <v>2256</v>
      </c>
      <c r="P811" s="81" t="s">
        <v>2256</v>
      </c>
      <c r="Q811" s="81"/>
      <c r="R811" s="83">
        <v>500</v>
      </c>
      <c r="S811" s="79" t="s">
        <v>2999</v>
      </c>
      <c r="T811" s="84">
        <v>500000</v>
      </c>
      <c r="U811" s="81"/>
      <c r="V811" s="81"/>
      <c r="W811" s="78" t="s">
        <v>1429</v>
      </c>
      <c r="X811" s="82"/>
      <c r="Y811" s="81" t="s">
        <v>2256</v>
      </c>
      <c r="Z811" s="81" t="s">
        <v>2256</v>
      </c>
      <c r="AA811" s="83">
        <v>5000</v>
      </c>
      <c r="AB811" s="85"/>
      <c r="AD811" s="78" t="s">
        <v>1429</v>
      </c>
      <c r="AE811" s="82"/>
      <c r="AF811" s="81" t="s">
        <v>2256</v>
      </c>
      <c r="AG811" s="81" t="s">
        <v>2256</v>
      </c>
      <c r="AH811" s="83">
        <v>5000</v>
      </c>
      <c r="AI811" s="85"/>
    </row>
    <row r="812" spans="1:35" s="79" customFormat="1" ht="11.25" customHeight="1" x14ac:dyDescent="0.2">
      <c r="A812" s="77" t="s">
        <v>1428</v>
      </c>
      <c r="B812" s="80">
        <v>483</v>
      </c>
      <c r="C812" s="81" t="s">
        <v>1427</v>
      </c>
      <c r="D812" s="73">
        <v>1000</v>
      </c>
      <c r="E812" s="79" t="s">
        <v>28</v>
      </c>
      <c r="F812" s="79" t="s">
        <v>3725</v>
      </c>
      <c r="G812" s="79" t="s">
        <v>2996</v>
      </c>
      <c r="H812" s="79" t="s">
        <v>43</v>
      </c>
      <c r="I812" s="81" t="s">
        <v>3000</v>
      </c>
      <c r="J812" s="81">
        <v>25</v>
      </c>
      <c r="K812" s="86"/>
      <c r="M812" s="78" t="s">
        <v>1429</v>
      </c>
      <c r="N812" s="82"/>
      <c r="O812" s="81" t="s">
        <v>2581</v>
      </c>
      <c r="P812" s="81" t="s">
        <v>2256</v>
      </c>
      <c r="Q812" s="81"/>
      <c r="R812" s="83">
        <v>500</v>
      </c>
      <c r="S812" s="79" t="s">
        <v>3174</v>
      </c>
      <c r="T812" s="84">
        <v>500000</v>
      </c>
      <c r="U812" s="81"/>
      <c r="V812" s="81"/>
      <c r="W812" s="78" t="s">
        <v>1429</v>
      </c>
      <c r="X812" s="82"/>
      <c r="Y812" s="81" t="s">
        <v>2581</v>
      </c>
      <c r="Z812" s="81" t="s">
        <v>2256</v>
      </c>
      <c r="AA812" s="83">
        <v>5000</v>
      </c>
      <c r="AB812" s="85"/>
      <c r="AD812" s="78" t="s">
        <v>1429</v>
      </c>
      <c r="AE812" s="82"/>
      <c r="AF812" s="81" t="s">
        <v>2581</v>
      </c>
      <c r="AG812" s="81" t="s">
        <v>2256</v>
      </c>
      <c r="AH812" s="83">
        <v>5000</v>
      </c>
      <c r="AI812" s="85"/>
    </row>
    <row r="813" spans="1:35" s="79" customFormat="1" ht="11.25" customHeight="1" x14ac:dyDescent="0.2">
      <c r="A813" s="77" t="s">
        <v>2245</v>
      </c>
      <c r="B813" s="80">
        <v>301</v>
      </c>
      <c r="C813" s="81" t="s">
        <v>370</v>
      </c>
      <c r="D813" s="73">
        <v>42000</v>
      </c>
      <c r="E813" s="79" t="s">
        <v>42</v>
      </c>
      <c r="F813" s="79" t="s">
        <v>3725</v>
      </c>
      <c r="G813" s="79" t="s">
        <v>2996</v>
      </c>
      <c r="H813" s="79" t="s">
        <v>43</v>
      </c>
      <c r="I813" s="81"/>
      <c r="J813" s="81">
        <v>25</v>
      </c>
      <c r="K813" s="86"/>
      <c r="M813" s="78" t="s">
        <v>370</v>
      </c>
      <c r="N813" s="82"/>
      <c r="O813" s="81" t="s">
        <v>2256</v>
      </c>
      <c r="P813" s="81" t="s">
        <v>2256</v>
      </c>
      <c r="Q813" s="81"/>
      <c r="R813" s="83">
        <v>1000</v>
      </c>
      <c r="S813" s="79" t="s">
        <v>2999</v>
      </c>
      <c r="T813" s="84">
        <v>42000000</v>
      </c>
      <c r="U813" s="81"/>
      <c r="V813" s="81"/>
      <c r="W813" s="78" t="s">
        <v>370</v>
      </c>
      <c r="X813" s="82"/>
      <c r="Y813" s="81" t="s">
        <v>2256</v>
      </c>
      <c r="Z813" s="81" t="s">
        <v>2256</v>
      </c>
      <c r="AA813" s="83">
        <v>5000</v>
      </c>
      <c r="AB813" s="85"/>
      <c r="AD813" s="78" t="s">
        <v>370</v>
      </c>
      <c r="AE813" s="82"/>
      <c r="AF813" s="81" t="s">
        <v>2256</v>
      </c>
      <c r="AG813" s="81" t="s">
        <v>2256</v>
      </c>
      <c r="AH813" s="83">
        <v>7000</v>
      </c>
      <c r="AI813" s="85"/>
    </row>
    <row r="814" spans="1:35" s="79" customFormat="1" ht="11.25" x14ac:dyDescent="0.2">
      <c r="A814" s="77" t="s">
        <v>369</v>
      </c>
      <c r="B814" s="80">
        <v>311</v>
      </c>
      <c r="C814" s="81" t="s">
        <v>368</v>
      </c>
      <c r="D814" s="73">
        <v>1000</v>
      </c>
      <c r="E814" s="79" t="s">
        <v>28</v>
      </c>
      <c r="F814" s="79" t="s">
        <v>30</v>
      </c>
      <c r="G814" s="79" t="s">
        <v>3001</v>
      </c>
      <c r="H814" s="79" t="s">
        <v>43</v>
      </c>
      <c r="I814" s="81" t="s">
        <v>3000</v>
      </c>
      <c r="J814" s="81">
        <v>25</v>
      </c>
      <c r="K814" s="86"/>
      <c r="M814" s="78" t="s">
        <v>370</v>
      </c>
      <c r="N814" s="82"/>
      <c r="O814" s="81" t="s">
        <v>2319</v>
      </c>
      <c r="P814" s="81" t="s">
        <v>2256</v>
      </c>
      <c r="Q814" s="81"/>
      <c r="R814" s="83">
        <v>1000</v>
      </c>
      <c r="S814" s="79" t="s">
        <v>3047</v>
      </c>
      <c r="T814" s="84">
        <v>42000000</v>
      </c>
      <c r="U814" s="81"/>
      <c r="V814" s="81"/>
      <c r="W814" s="78" t="s">
        <v>370</v>
      </c>
      <c r="X814" s="82"/>
      <c r="Y814" s="81" t="s">
        <v>2319</v>
      </c>
      <c r="Z814" s="81" t="s">
        <v>2256</v>
      </c>
      <c r="AA814" s="83">
        <v>5000</v>
      </c>
      <c r="AB814" s="85"/>
      <c r="AD814" s="78" t="s">
        <v>370</v>
      </c>
      <c r="AE814" s="82"/>
      <c r="AF814" s="81" t="s">
        <v>2319</v>
      </c>
      <c r="AG814" s="81" t="s">
        <v>2256</v>
      </c>
      <c r="AH814" s="83">
        <v>7000</v>
      </c>
      <c r="AI814" s="85"/>
    </row>
    <row r="815" spans="1:35" s="79" customFormat="1" ht="11.25" x14ac:dyDescent="0.2">
      <c r="A815" s="77" t="s">
        <v>2247</v>
      </c>
      <c r="B815" s="80">
        <v>325</v>
      </c>
      <c r="C815" s="81" t="s">
        <v>2246</v>
      </c>
      <c r="D815" s="73">
        <v>42000</v>
      </c>
      <c r="E815" s="79" t="s">
        <v>42</v>
      </c>
      <c r="F815" s="79" t="s">
        <v>3725</v>
      </c>
      <c r="G815" s="79" t="s">
        <v>2996</v>
      </c>
      <c r="H815" s="79" t="s">
        <v>43</v>
      </c>
      <c r="I815" s="81" t="s">
        <v>3000</v>
      </c>
      <c r="J815" s="81">
        <v>25</v>
      </c>
      <c r="K815" s="86"/>
      <c r="M815" s="78" t="s">
        <v>2248</v>
      </c>
      <c r="N815" s="82" t="s">
        <v>44</v>
      </c>
      <c r="O815" s="81" t="s">
        <v>2768</v>
      </c>
      <c r="P815" s="81" t="s">
        <v>2992</v>
      </c>
      <c r="Q815" s="81"/>
      <c r="R815" s="83" t="s">
        <v>864</v>
      </c>
      <c r="S815" s="79" t="s">
        <v>3256</v>
      </c>
      <c r="T815" s="84" t="s">
        <v>3416</v>
      </c>
      <c r="U815" s="81"/>
      <c r="V815" s="81"/>
      <c r="W815" s="78" t="s">
        <v>2248</v>
      </c>
      <c r="X815" s="82" t="s">
        <v>44</v>
      </c>
      <c r="Y815" s="81" t="s">
        <v>2768</v>
      </c>
      <c r="Z815" s="81" t="s">
        <v>2992</v>
      </c>
      <c r="AA815" s="81" t="s">
        <v>409</v>
      </c>
      <c r="AB815" s="85"/>
      <c r="AD815" s="78" t="s">
        <v>2248</v>
      </c>
      <c r="AE815" s="82" t="s">
        <v>44</v>
      </c>
      <c r="AF815" s="81" t="s">
        <v>2768</v>
      </c>
      <c r="AG815" s="81" t="s">
        <v>2992</v>
      </c>
      <c r="AH815" s="81" t="s">
        <v>530</v>
      </c>
      <c r="AI815" s="85"/>
    </row>
    <row r="816" spans="1:35" s="79" customFormat="1" ht="11.25" x14ac:dyDescent="0.2">
      <c r="A816" s="77" t="s">
        <v>2249</v>
      </c>
      <c r="B816" s="80">
        <v>324</v>
      </c>
      <c r="C816" s="81" t="s">
        <v>2248</v>
      </c>
      <c r="D816" s="73">
        <v>42000</v>
      </c>
      <c r="E816" s="79" t="s">
        <v>42</v>
      </c>
      <c r="F816" s="79" t="s">
        <v>3725</v>
      </c>
      <c r="G816" s="79" t="s">
        <v>2996</v>
      </c>
      <c r="H816" s="79" t="s">
        <v>43</v>
      </c>
      <c r="I816" s="81" t="s">
        <v>3000</v>
      </c>
      <c r="J816" s="81">
        <v>25</v>
      </c>
      <c r="K816" s="86"/>
      <c r="M816" s="78" t="s">
        <v>2248</v>
      </c>
      <c r="N816" s="82"/>
      <c r="O816" s="81" t="s">
        <v>2256</v>
      </c>
      <c r="P816" s="81" t="s">
        <v>2256</v>
      </c>
      <c r="Q816" s="81"/>
      <c r="R816" s="83">
        <v>1000</v>
      </c>
      <c r="S816" s="79" t="s">
        <v>2999</v>
      </c>
      <c r="T816" s="84">
        <v>42000000</v>
      </c>
      <c r="U816" s="81"/>
      <c r="V816" s="81"/>
      <c r="W816" s="78" t="s">
        <v>2248</v>
      </c>
      <c r="X816" s="82"/>
      <c r="Y816" s="81" t="s">
        <v>2256</v>
      </c>
      <c r="Z816" s="81" t="s">
        <v>2256</v>
      </c>
      <c r="AA816" s="83">
        <v>5000</v>
      </c>
      <c r="AB816" s="85"/>
      <c r="AD816" s="78" t="s">
        <v>2248</v>
      </c>
      <c r="AE816" s="82"/>
      <c r="AF816" s="81" t="s">
        <v>2256</v>
      </c>
      <c r="AG816" s="81" t="s">
        <v>2256</v>
      </c>
      <c r="AH816" s="83">
        <v>7000</v>
      </c>
      <c r="AI816" s="85"/>
    </row>
    <row r="817" spans="1:35" s="79" customFormat="1" ht="11.25" customHeight="1" x14ac:dyDescent="0.2">
      <c r="A817" s="77" t="s">
        <v>2251</v>
      </c>
      <c r="B817" s="80">
        <v>323</v>
      </c>
      <c r="C817" s="81" t="s">
        <v>2250</v>
      </c>
      <c r="D817" s="73">
        <v>42000</v>
      </c>
      <c r="E817" s="79" t="s">
        <v>42</v>
      </c>
      <c r="F817" s="79" t="s">
        <v>3725</v>
      </c>
      <c r="G817" s="79" t="s">
        <v>2996</v>
      </c>
      <c r="H817" s="79" t="s">
        <v>43</v>
      </c>
      <c r="I817" s="81" t="s">
        <v>3000</v>
      </c>
      <c r="J817" s="81">
        <v>25</v>
      </c>
      <c r="K817" s="86"/>
      <c r="M817" s="78" t="s">
        <v>2252</v>
      </c>
      <c r="N817" s="82" t="s">
        <v>244</v>
      </c>
      <c r="O817" s="81" t="s">
        <v>2769</v>
      </c>
      <c r="P817" s="81" t="s">
        <v>2993</v>
      </c>
      <c r="Q817" s="81"/>
      <c r="R817" s="83" t="s">
        <v>864</v>
      </c>
      <c r="S817" s="79" t="s">
        <v>3257</v>
      </c>
      <c r="T817" s="84" t="s">
        <v>3416</v>
      </c>
      <c r="U817" s="81"/>
      <c r="V817" s="81"/>
      <c r="W817" s="78" t="s">
        <v>2252</v>
      </c>
      <c r="X817" s="82" t="s">
        <v>244</v>
      </c>
      <c r="Y817" s="81" t="s">
        <v>2769</v>
      </c>
      <c r="Z817" s="81" t="s">
        <v>2993</v>
      </c>
      <c r="AA817" s="81" t="s">
        <v>409</v>
      </c>
      <c r="AB817" s="85"/>
      <c r="AD817" s="78" t="s">
        <v>2252</v>
      </c>
      <c r="AE817" s="82" t="s">
        <v>244</v>
      </c>
      <c r="AF817" s="81" t="s">
        <v>2769</v>
      </c>
      <c r="AG817" s="81" t="s">
        <v>2993</v>
      </c>
      <c r="AH817" s="81" t="s">
        <v>530</v>
      </c>
      <c r="AI817" s="85"/>
    </row>
    <row r="818" spans="1:35" s="79" customFormat="1" ht="11.25" customHeight="1" x14ac:dyDescent="0.2">
      <c r="A818" s="77" t="s">
        <v>2253</v>
      </c>
      <c r="B818" s="80">
        <v>322</v>
      </c>
      <c r="C818" s="81" t="s">
        <v>2252</v>
      </c>
      <c r="D818" s="73">
        <v>42000</v>
      </c>
      <c r="E818" s="79" t="s">
        <v>42</v>
      </c>
      <c r="F818" s="79" t="s">
        <v>3725</v>
      </c>
      <c r="G818" s="79" t="s">
        <v>2996</v>
      </c>
      <c r="H818" s="79" t="s">
        <v>43</v>
      </c>
      <c r="I818" s="81" t="s">
        <v>3000</v>
      </c>
      <c r="J818" s="81">
        <v>25</v>
      </c>
      <c r="K818" s="86"/>
      <c r="M818" s="78" t="s">
        <v>2252</v>
      </c>
      <c r="N818" s="82"/>
      <c r="O818" s="81" t="s">
        <v>2256</v>
      </c>
      <c r="P818" s="81" t="s">
        <v>2256</v>
      </c>
      <c r="Q818" s="81"/>
      <c r="R818" s="83">
        <v>1000</v>
      </c>
      <c r="S818" s="79" t="s">
        <v>2999</v>
      </c>
      <c r="T818" s="84">
        <v>42000000</v>
      </c>
      <c r="U818" s="81"/>
      <c r="V818" s="81"/>
      <c r="W818" s="78" t="s">
        <v>2252</v>
      </c>
      <c r="X818" s="82"/>
      <c r="Y818" s="81" t="s">
        <v>2256</v>
      </c>
      <c r="Z818" s="81" t="s">
        <v>2256</v>
      </c>
      <c r="AA818" s="83">
        <v>5000</v>
      </c>
      <c r="AB818" s="85"/>
      <c r="AD818" s="78" t="s">
        <v>2252</v>
      </c>
      <c r="AE818" s="82"/>
      <c r="AF818" s="81" t="s">
        <v>2256</v>
      </c>
      <c r="AG818" s="81" t="s">
        <v>2256</v>
      </c>
      <c r="AH818" s="83">
        <v>7000</v>
      </c>
      <c r="AI818" s="85"/>
    </row>
    <row r="819" spans="1:35" s="79" customFormat="1" ht="11.25" x14ac:dyDescent="0.2">
      <c r="A819" s="77" t="s">
        <v>830</v>
      </c>
      <c r="B819" s="80">
        <v>1099</v>
      </c>
      <c r="C819" s="81" t="s">
        <v>829</v>
      </c>
      <c r="D819" s="73">
        <v>1000</v>
      </c>
      <c r="E819" s="79" t="s">
        <v>28</v>
      </c>
      <c r="F819" s="79" t="s">
        <v>3725</v>
      </c>
      <c r="G819" s="79" t="s">
        <v>2996</v>
      </c>
      <c r="H819" s="79" t="s">
        <v>43</v>
      </c>
      <c r="I819" s="81" t="s">
        <v>3000</v>
      </c>
      <c r="J819" s="81">
        <v>25</v>
      </c>
      <c r="K819" s="86"/>
      <c r="M819" s="78" t="s">
        <v>100</v>
      </c>
      <c r="N819" s="82" t="s">
        <v>44</v>
      </c>
      <c r="O819" s="81" t="s">
        <v>2431</v>
      </c>
      <c r="P819" s="81" t="s">
        <v>2845</v>
      </c>
      <c r="Q819" s="81"/>
      <c r="R819" s="83" t="s">
        <v>864</v>
      </c>
      <c r="S819" s="79" t="s">
        <v>3118</v>
      </c>
      <c r="T819" s="84" t="s">
        <v>3416</v>
      </c>
      <c r="U819" s="81"/>
      <c r="V819" s="81"/>
      <c r="W819" s="78" t="s">
        <v>100</v>
      </c>
      <c r="X819" s="82" t="s">
        <v>44</v>
      </c>
      <c r="Y819" s="81" t="s">
        <v>2431</v>
      </c>
      <c r="Z819" s="81" t="s">
        <v>2845</v>
      </c>
      <c r="AA819" s="81" t="s">
        <v>831</v>
      </c>
      <c r="AB819" s="85"/>
      <c r="AD819" s="78" t="s">
        <v>100</v>
      </c>
      <c r="AE819" s="82" t="s">
        <v>44</v>
      </c>
      <c r="AF819" s="81" t="s">
        <v>2431</v>
      </c>
      <c r="AG819" s="81" t="s">
        <v>2845</v>
      </c>
      <c r="AH819" s="81" t="s">
        <v>530</v>
      </c>
      <c r="AI819" s="85"/>
    </row>
    <row r="820" spans="1:35" s="79" customFormat="1" ht="12" customHeight="1" x14ac:dyDescent="0.2">
      <c r="A820" s="77" t="s">
        <v>1104</v>
      </c>
      <c r="B820" s="80">
        <v>570</v>
      </c>
      <c r="C820" s="81" t="s">
        <v>1103</v>
      </c>
      <c r="D820" s="73">
        <v>42000</v>
      </c>
      <c r="E820" s="79" t="s">
        <v>42</v>
      </c>
      <c r="F820" s="79" t="s">
        <v>3725</v>
      </c>
      <c r="G820" s="79" t="s">
        <v>2996</v>
      </c>
      <c r="H820" s="79" t="s">
        <v>43</v>
      </c>
      <c r="I820" s="81" t="s">
        <v>3000</v>
      </c>
      <c r="J820" s="81">
        <v>25</v>
      </c>
      <c r="K820" s="86"/>
      <c r="M820" s="78" t="s">
        <v>100</v>
      </c>
      <c r="N820" s="82" t="s">
        <v>44</v>
      </c>
      <c r="O820" s="81" t="s">
        <v>2499</v>
      </c>
      <c r="P820" s="81" t="s">
        <v>2880</v>
      </c>
      <c r="Q820" s="81"/>
      <c r="R820" s="83" t="s">
        <v>864</v>
      </c>
      <c r="S820" s="79" t="s">
        <v>3118</v>
      </c>
      <c r="T820" s="84" t="s">
        <v>3416</v>
      </c>
      <c r="U820" s="81"/>
      <c r="V820" s="81"/>
      <c r="W820" s="78" t="s">
        <v>100</v>
      </c>
      <c r="X820" s="82" t="s">
        <v>44</v>
      </c>
      <c r="Y820" s="81" t="s">
        <v>2499</v>
      </c>
      <c r="Z820" s="81" t="s">
        <v>2880</v>
      </c>
      <c r="AA820" s="81" t="s">
        <v>831</v>
      </c>
      <c r="AB820" s="85"/>
      <c r="AD820" s="78" t="s">
        <v>100</v>
      </c>
      <c r="AE820" s="82" t="s">
        <v>44</v>
      </c>
      <c r="AF820" s="81" t="s">
        <v>2499</v>
      </c>
      <c r="AG820" s="81" t="s">
        <v>2880</v>
      </c>
      <c r="AH820" s="81" t="s">
        <v>530</v>
      </c>
      <c r="AI820" s="85"/>
    </row>
    <row r="821" spans="1:35" s="79" customFormat="1" ht="11.25" customHeight="1" x14ac:dyDescent="0.2">
      <c r="A821" s="77" t="s">
        <v>101</v>
      </c>
      <c r="B821" s="80">
        <v>567</v>
      </c>
      <c r="C821" s="81" t="s">
        <v>100</v>
      </c>
      <c r="D821" s="73">
        <v>42000</v>
      </c>
      <c r="E821" s="79" t="s">
        <v>42</v>
      </c>
      <c r="F821" s="79" t="s">
        <v>3725</v>
      </c>
      <c r="G821" s="79" t="s">
        <v>2996</v>
      </c>
      <c r="H821" s="79" t="s">
        <v>43</v>
      </c>
      <c r="I821" s="81" t="s">
        <v>3000</v>
      </c>
      <c r="J821" s="81">
        <v>25</v>
      </c>
      <c r="K821" s="86"/>
      <c r="M821" s="78" t="s">
        <v>100</v>
      </c>
      <c r="N821" s="82"/>
      <c r="O821" s="81" t="s">
        <v>2256</v>
      </c>
      <c r="P821" s="81" t="s">
        <v>2256</v>
      </c>
      <c r="Q821" s="81"/>
      <c r="R821" s="83">
        <v>1000</v>
      </c>
      <c r="S821" s="79" t="s">
        <v>2999</v>
      </c>
      <c r="T821" s="84">
        <v>42000000</v>
      </c>
      <c r="U821" s="81"/>
      <c r="V821" s="81"/>
      <c r="W821" s="78" t="s">
        <v>100</v>
      </c>
      <c r="X821" s="82"/>
      <c r="Y821" s="81" t="s">
        <v>2256</v>
      </c>
      <c r="Z821" s="81" t="s">
        <v>2256</v>
      </c>
      <c r="AA821" s="83">
        <v>7000</v>
      </c>
      <c r="AB821" s="85"/>
      <c r="AD821" s="78" t="s">
        <v>100</v>
      </c>
      <c r="AE821" s="82"/>
      <c r="AF821" s="81" t="s">
        <v>2256</v>
      </c>
      <c r="AG821" s="81" t="s">
        <v>2256</v>
      </c>
      <c r="AH821" s="83">
        <v>7000</v>
      </c>
      <c r="AI821" s="85"/>
    </row>
    <row r="822" spans="1:35" s="79" customFormat="1" ht="11.25" customHeight="1" x14ac:dyDescent="0.2">
      <c r="A822" s="77" t="s">
        <v>891</v>
      </c>
      <c r="B822" s="80">
        <v>1100</v>
      </c>
      <c r="C822" s="81" t="s">
        <v>890</v>
      </c>
      <c r="D822" s="73">
        <v>1000</v>
      </c>
      <c r="E822" s="79" t="s">
        <v>28</v>
      </c>
      <c r="F822" s="79" t="s">
        <v>3725</v>
      </c>
      <c r="G822" s="79" t="s">
        <v>2996</v>
      </c>
      <c r="H822" s="79" t="s">
        <v>43</v>
      </c>
      <c r="I822" s="81" t="s">
        <v>3000</v>
      </c>
      <c r="J822" s="81">
        <v>25</v>
      </c>
      <c r="K822" s="86"/>
      <c r="M822" s="78" t="s">
        <v>107</v>
      </c>
      <c r="N822" s="82" t="s">
        <v>44</v>
      </c>
      <c r="O822" s="81" t="s">
        <v>2451</v>
      </c>
      <c r="P822" s="81" t="s">
        <v>2861</v>
      </c>
      <c r="Q822" s="81"/>
      <c r="R822" s="83" t="s">
        <v>864</v>
      </c>
      <c r="S822" s="79" t="s">
        <v>3135</v>
      </c>
      <c r="T822" s="84" t="s">
        <v>3416</v>
      </c>
      <c r="U822" s="81"/>
      <c r="V822" s="81"/>
      <c r="W822" s="78" t="s">
        <v>107</v>
      </c>
      <c r="X822" s="82" t="s">
        <v>44</v>
      </c>
      <c r="Y822" s="81" t="s">
        <v>2451</v>
      </c>
      <c r="Z822" s="81" t="s">
        <v>2861</v>
      </c>
      <c r="AA822" s="81" t="s">
        <v>246</v>
      </c>
      <c r="AB822" s="85"/>
      <c r="AD822" s="78" t="s">
        <v>107</v>
      </c>
      <c r="AE822" s="82" t="s">
        <v>44</v>
      </c>
      <c r="AF822" s="81" t="s">
        <v>2451</v>
      </c>
      <c r="AG822" s="81" t="s">
        <v>2861</v>
      </c>
      <c r="AH822" s="81" t="s">
        <v>245</v>
      </c>
      <c r="AI822" s="85"/>
    </row>
    <row r="823" spans="1:35" s="79" customFormat="1" ht="11.25" customHeight="1" x14ac:dyDescent="0.2">
      <c r="A823" s="77" t="s">
        <v>1882</v>
      </c>
      <c r="B823" s="80">
        <v>569</v>
      </c>
      <c r="C823" s="81" t="s">
        <v>1881</v>
      </c>
      <c r="D823" s="73">
        <v>42000</v>
      </c>
      <c r="E823" s="79" t="s">
        <v>42</v>
      </c>
      <c r="F823" s="79" t="s">
        <v>3725</v>
      </c>
      <c r="G823" s="79" t="s">
        <v>2996</v>
      </c>
      <c r="H823" s="79" t="s">
        <v>43</v>
      </c>
      <c r="I823" s="81" t="s">
        <v>3000</v>
      </c>
      <c r="J823" s="81">
        <v>25</v>
      </c>
      <c r="K823" s="86"/>
      <c r="M823" s="78" t="s">
        <v>107</v>
      </c>
      <c r="N823" s="82" t="s">
        <v>44</v>
      </c>
      <c r="O823" s="81" t="s">
        <v>2679</v>
      </c>
      <c r="P823" s="81" t="s">
        <v>2952</v>
      </c>
      <c r="Q823" s="81"/>
      <c r="R823" s="83" t="s">
        <v>864</v>
      </c>
      <c r="S823" s="79" t="s">
        <v>3135</v>
      </c>
      <c r="T823" s="84" t="s">
        <v>3416</v>
      </c>
      <c r="U823" s="81"/>
      <c r="V823" s="81"/>
      <c r="W823" s="78" t="s">
        <v>107</v>
      </c>
      <c r="X823" s="82" t="s">
        <v>44</v>
      </c>
      <c r="Y823" s="81" t="s">
        <v>2679</v>
      </c>
      <c r="Z823" s="81" t="s">
        <v>2952</v>
      </c>
      <c r="AA823" s="81" t="s">
        <v>246</v>
      </c>
      <c r="AB823" s="85"/>
      <c r="AD823" s="78" t="s">
        <v>107</v>
      </c>
      <c r="AE823" s="82" t="s">
        <v>44</v>
      </c>
      <c r="AF823" s="81" t="s">
        <v>2679</v>
      </c>
      <c r="AG823" s="81" t="s">
        <v>2952</v>
      </c>
      <c r="AH823" s="81" t="s">
        <v>245</v>
      </c>
      <c r="AI823" s="85"/>
    </row>
    <row r="824" spans="1:35" s="79" customFormat="1" ht="11.25" customHeight="1" x14ac:dyDescent="0.2">
      <c r="A824" s="77" t="s">
        <v>262</v>
      </c>
      <c r="B824" s="80">
        <v>571</v>
      </c>
      <c r="C824" s="81" t="s">
        <v>261</v>
      </c>
      <c r="D824" s="73">
        <v>1000</v>
      </c>
      <c r="E824" s="79" t="s">
        <v>28</v>
      </c>
      <c r="F824" s="79" t="s">
        <v>3725</v>
      </c>
      <c r="G824" s="79" t="s">
        <v>2996</v>
      </c>
      <c r="H824" s="79" t="s">
        <v>43</v>
      </c>
      <c r="I824" s="81" t="s">
        <v>3000</v>
      </c>
      <c r="J824" s="81">
        <v>25</v>
      </c>
      <c r="K824" s="86"/>
      <c r="M824" s="78" t="s">
        <v>107</v>
      </c>
      <c r="N824" s="82" t="s">
        <v>31</v>
      </c>
      <c r="O824" s="81" t="s">
        <v>2299</v>
      </c>
      <c r="P824" s="81" t="s">
        <v>2785</v>
      </c>
      <c r="Q824" s="81"/>
      <c r="R824" s="83" t="s">
        <v>3431</v>
      </c>
      <c r="S824" s="79" t="s">
        <v>3033</v>
      </c>
      <c r="T824" s="84" t="s">
        <v>3573</v>
      </c>
      <c r="U824" s="81"/>
      <c r="V824" s="81"/>
      <c r="W824" s="78" t="s">
        <v>107</v>
      </c>
      <c r="X824" s="82" t="s">
        <v>31</v>
      </c>
      <c r="Y824" s="81" t="s">
        <v>2299</v>
      </c>
      <c r="Z824" s="81" t="s">
        <v>2785</v>
      </c>
      <c r="AA824" s="81" t="s">
        <v>252</v>
      </c>
      <c r="AB824" s="85"/>
      <c r="AD824" s="78" t="s">
        <v>107</v>
      </c>
      <c r="AE824" s="82" t="s">
        <v>31</v>
      </c>
      <c r="AF824" s="81" t="s">
        <v>2299</v>
      </c>
      <c r="AG824" s="81" t="s">
        <v>2785</v>
      </c>
      <c r="AH824" s="81" t="s">
        <v>147</v>
      </c>
      <c r="AI824" s="85"/>
    </row>
    <row r="825" spans="1:35" s="79" customFormat="1" ht="11.25" customHeight="1" x14ac:dyDescent="0.2">
      <c r="A825" s="77" t="s">
        <v>108</v>
      </c>
      <c r="B825" s="80">
        <v>566</v>
      </c>
      <c r="C825" s="81" t="s">
        <v>107</v>
      </c>
      <c r="D825" s="73">
        <v>42000</v>
      </c>
      <c r="E825" s="79" t="s">
        <v>42</v>
      </c>
      <c r="F825" s="79" t="s">
        <v>3725</v>
      </c>
      <c r="G825" s="79" t="s">
        <v>2996</v>
      </c>
      <c r="H825" s="79" t="s">
        <v>43</v>
      </c>
      <c r="I825" s="81" t="s">
        <v>3000</v>
      </c>
      <c r="J825" s="81">
        <v>25</v>
      </c>
      <c r="K825" s="86"/>
      <c r="M825" s="78" t="s">
        <v>107</v>
      </c>
      <c r="N825" s="82"/>
      <c r="O825" s="81" t="s">
        <v>2256</v>
      </c>
      <c r="P825" s="81" t="s">
        <v>2256</v>
      </c>
      <c r="Q825" s="81"/>
      <c r="R825" s="83">
        <v>1000</v>
      </c>
      <c r="S825" s="79" t="s">
        <v>2999</v>
      </c>
      <c r="T825" s="84">
        <v>42000000</v>
      </c>
      <c r="U825" s="81"/>
      <c r="V825" s="81"/>
      <c r="W825" s="78" t="s">
        <v>107</v>
      </c>
      <c r="X825" s="82"/>
      <c r="Y825" s="81" t="s">
        <v>2256</v>
      </c>
      <c r="Z825" s="81" t="s">
        <v>2256</v>
      </c>
      <c r="AA825" s="83">
        <v>10000</v>
      </c>
      <c r="AB825" s="85"/>
      <c r="AD825" s="78" t="s">
        <v>107</v>
      </c>
      <c r="AE825" s="82"/>
      <c r="AF825" s="81" t="s">
        <v>2256</v>
      </c>
      <c r="AG825" s="81" t="s">
        <v>2256</v>
      </c>
      <c r="AH825" s="83">
        <v>10000</v>
      </c>
      <c r="AI825" s="85"/>
    </row>
    <row r="826" spans="1:35" s="79" customFormat="1" ht="11.25" customHeight="1" x14ac:dyDescent="0.2">
      <c r="A826" s="77" t="s">
        <v>288</v>
      </c>
      <c r="B826" s="80">
        <v>572</v>
      </c>
      <c r="C826" s="81" t="s">
        <v>287</v>
      </c>
      <c r="D826" s="73">
        <v>1000</v>
      </c>
      <c r="E826" s="79" t="s">
        <v>28</v>
      </c>
      <c r="F826" s="79" t="s">
        <v>3725</v>
      </c>
      <c r="G826" s="79" t="s">
        <v>2996</v>
      </c>
      <c r="H826" s="79" t="s">
        <v>43</v>
      </c>
      <c r="I826" s="81" t="s">
        <v>3000</v>
      </c>
      <c r="J826" s="81">
        <v>25</v>
      </c>
      <c r="K826" s="86"/>
      <c r="M826" s="78" t="s">
        <v>51</v>
      </c>
      <c r="N826" s="82" t="s">
        <v>31</v>
      </c>
      <c r="O826" s="81" t="s">
        <v>2301</v>
      </c>
      <c r="P826" s="81" t="s">
        <v>2786</v>
      </c>
      <c r="Q826" s="81"/>
      <c r="R826" s="83" t="s">
        <v>3431</v>
      </c>
      <c r="S826" s="79" t="s">
        <v>3034</v>
      </c>
      <c r="T826" s="84" t="s">
        <v>3573</v>
      </c>
      <c r="U826" s="81"/>
      <c r="V826" s="81"/>
      <c r="W826" s="78" t="s">
        <v>51</v>
      </c>
      <c r="X826" s="82" t="s">
        <v>31</v>
      </c>
      <c r="Y826" s="81" t="s">
        <v>2301</v>
      </c>
      <c r="Z826" s="81" t="s">
        <v>2786</v>
      </c>
      <c r="AA826" s="81" t="s">
        <v>290</v>
      </c>
      <c r="AB826" s="85"/>
      <c r="AD826" s="78" t="s">
        <v>51</v>
      </c>
      <c r="AE826" s="82" t="s">
        <v>31</v>
      </c>
      <c r="AF826" s="81" t="s">
        <v>2301</v>
      </c>
      <c r="AG826" s="81" t="s">
        <v>2786</v>
      </c>
      <c r="AH826" s="81" t="s">
        <v>289</v>
      </c>
      <c r="AI826" s="85"/>
    </row>
    <row r="827" spans="1:35" s="79" customFormat="1" ht="11.25" x14ac:dyDescent="0.2">
      <c r="A827" s="77" t="s">
        <v>1892</v>
      </c>
      <c r="B827" s="80">
        <v>568</v>
      </c>
      <c r="C827" s="81" t="s">
        <v>1891</v>
      </c>
      <c r="D827" s="73">
        <v>42000</v>
      </c>
      <c r="E827" s="79" t="s">
        <v>42</v>
      </c>
      <c r="F827" s="79" t="s">
        <v>3725</v>
      </c>
      <c r="G827" s="79" t="s">
        <v>2996</v>
      </c>
      <c r="H827" s="79" t="s">
        <v>43</v>
      </c>
      <c r="I827" s="81" t="s">
        <v>3000</v>
      </c>
      <c r="J827" s="81">
        <v>25</v>
      </c>
      <c r="K827" s="86"/>
      <c r="M827" s="78" t="s">
        <v>51</v>
      </c>
      <c r="N827" s="82" t="s">
        <v>244</v>
      </c>
      <c r="O827" s="81" t="s">
        <v>2682</v>
      </c>
      <c r="P827" s="81" t="s">
        <v>2955</v>
      </c>
      <c r="Q827" s="81"/>
      <c r="R827" s="83" t="s">
        <v>864</v>
      </c>
      <c r="S827" s="79" t="s">
        <v>3225</v>
      </c>
      <c r="T827" s="84" t="s">
        <v>3416</v>
      </c>
      <c r="U827" s="81"/>
      <c r="V827" s="81"/>
      <c r="W827" s="78" t="s">
        <v>51</v>
      </c>
      <c r="X827" s="82" t="s">
        <v>244</v>
      </c>
      <c r="Y827" s="81" t="s">
        <v>2682</v>
      </c>
      <c r="Z827" s="81" t="s">
        <v>2955</v>
      </c>
      <c r="AA827" s="81" t="s">
        <v>831</v>
      </c>
      <c r="AB827" s="85"/>
      <c r="AD827" s="78" t="s">
        <v>51</v>
      </c>
      <c r="AE827" s="82" t="s">
        <v>244</v>
      </c>
      <c r="AF827" s="81" t="s">
        <v>2682</v>
      </c>
      <c r="AG827" s="81" t="s">
        <v>2955</v>
      </c>
      <c r="AH827" s="81" t="s">
        <v>530</v>
      </c>
      <c r="AI827" s="85"/>
    </row>
    <row r="828" spans="1:35" s="79" customFormat="1" ht="11.25" x14ac:dyDescent="0.2">
      <c r="A828" s="77" t="s">
        <v>52</v>
      </c>
      <c r="B828" s="80">
        <v>565</v>
      </c>
      <c r="C828" s="81" t="s">
        <v>51</v>
      </c>
      <c r="D828" s="73">
        <v>42000</v>
      </c>
      <c r="E828" s="79" t="s">
        <v>42</v>
      </c>
      <c r="F828" s="79" t="s">
        <v>3725</v>
      </c>
      <c r="G828" s="79" t="s">
        <v>2996</v>
      </c>
      <c r="H828" s="79" t="s">
        <v>43</v>
      </c>
      <c r="I828" s="81" t="s">
        <v>3000</v>
      </c>
      <c r="J828" s="81">
        <v>25</v>
      </c>
      <c r="K828" s="86"/>
      <c r="M828" s="78" t="s">
        <v>51</v>
      </c>
      <c r="N828" s="82"/>
      <c r="O828" s="81" t="s">
        <v>2256</v>
      </c>
      <c r="P828" s="81" t="s">
        <v>2256</v>
      </c>
      <c r="Q828" s="81"/>
      <c r="R828" s="83">
        <v>1000</v>
      </c>
      <c r="S828" s="79" t="s">
        <v>2999</v>
      </c>
      <c r="T828" s="84">
        <v>42000000</v>
      </c>
      <c r="U828" s="81"/>
      <c r="V828" s="81"/>
      <c r="W828" s="78" t="s">
        <v>51</v>
      </c>
      <c r="X828" s="82"/>
      <c r="Y828" s="81" t="s">
        <v>2256</v>
      </c>
      <c r="Z828" s="81" t="s">
        <v>2256</v>
      </c>
      <c r="AA828" s="83">
        <v>7000</v>
      </c>
      <c r="AB828" s="85"/>
      <c r="AD828" s="78" t="s">
        <v>51</v>
      </c>
      <c r="AE828" s="82"/>
      <c r="AF828" s="81" t="s">
        <v>2256</v>
      </c>
      <c r="AG828" s="81" t="s">
        <v>2256</v>
      </c>
      <c r="AH828" s="83">
        <v>7000</v>
      </c>
      <c r="AI828" s="85"/>
    </row>
    <row r="829" spans="1:35" s="79" customFormat="1" ht="11.25" x14ac:dyDescent="0.2">
      <c r="A829" s="77" t="s">
        <v>3374</v>
      </c>
      <c r="B829" s="80">
        <v>552</v>
      </c>
      <c r="C829" s="81" t="s">
        <v>3273</v>
      </c>
      <c r="D829" s="73">
        <v>1000</v>
      </c>
      <c r="E829" s="79" t="s">
        <v>20</v>
      </c>
      <c r="F829" s="79" t="s">
        <v>30</v>
      </c>
      <c r="G829" s="79" t="s">
        <v>2995</v>
      </c>
      <c r="H829" s="79" t="str">
        <f>VLOOKUP(M829,C:H,6,FALSE)</f>
        <v>Refined Products</v>
      </c>
      <c r="I829" s="81"/>
      <c r="J829" s="81">
        <v>25</v>
      </c>
      <c r="K829" s="86"/>
      <c r="M829" s="78" t="s">
        <v>138</v>
      </c>
      <c r="N829" s="81" t="s">
        <v>138</v>
      </c>
      <c r="O829" s="81" t="s">
        <v>3294</v>
      </c>
      <c r="P829" s="81" t="s">
        <v>2256</v>
      </c>
      <c r="Q829" s="81"/>
      <c r="R829" s="83">
        <v>1000</v>
      </c>
      <c r="S829" s="79" t="s">
        <v>3098</v>
      </c>
      <c r="T829" s="84">
        <v>1000000</v>
      </c>
      <c r="U829" s="81"/>
      <c r="V829" s="81"/>
      <c r="W829" s="78" t="s">
        <v>138</v>
      </c>
      <c r="X829" s="81" t="s">
        <v>138</v>
      </c>
      <c r="Y829" s="81" t="s">
        <v>3294</v>
      </c>
      <c r="Z829" s="81" t="s">
        <v>2256</v>
      </c>
      <c r="AA829" s="83">
        <v>5000</v>
      </c>
      <c r="AB829" s="85"/>
      <c r="AD829" s="78" t="s">
        <v>138</v>
      </c>
      <c r="AE829" s="81" t="s">
        <v>138</v>
      </c>
      <c r="AF829" s="81" t="s">
        <v>3294</v>
      </c>
      <c r="AG829" s="81" t="s">
        <v>2256</v>
      </c>
      <c r="AH829" s="83">
        <v>5000</v>
      </c>
      <c r="AI829" s="85"/>
    </row>
    <row r="830" spans="1:35" s="79" customFormat="1" ht="11.25" x14ac:dyDescent="0.2">
      <c r="A830" s="77" t="s">
        <v>3375</v>
      </c>
      <c r="B830" s="80">
        <v>552</v>
      </c>
      <c r="C830" s="81" t="s">
        <v>3274</v>
      </c>
      <c r="D830" s="73">
        <v>1000</v>
      </c>
      <c r="E830" s="79" t="s">
        <v>20</v>
      </c>
      <c r="F830" s="79" t="s">
        <v>30</v>
      </c>
      <c r="G830" s="79" t="s">
        <v>2995</v>
      </c>
      <c r="H830" s="79" t="str">
        <f>VLOOKUP(M830,C:H,6,FALSE)</f>
        <v>Refined Products</v>
      </c>
      <c r="I830" s="81"/>
      <c r="J830" s="81">
        <v>25</v>
      </c>
      <c r="K830" s="86"/>
      <c r="M830" s="78" t="s">
        <v>138</v>
      </c>
      <c r="N830" s="81" t="s">
        <v>138</v>
      </c>
      <c r="O830" s="81" t="s">
        <v>3295</v>
      </c>
      <c r="P830" s="81" t="s">
        <v>2256</v>
      </c>
      <c r="Q830" s="81"/>
      <c r="R830" s="83">
        <v>1000</v>
      </c>
      <c r="S830" s="79" t="s">
        <v>3098</v>
      </c>
      <c r="T830" s="84">
        <v>1000000</v>
      </c>
      <c r="U830" s="81"/>
      <c r="V830" s="81"/>
      <c r="W830" s="78" t="s">
        <v>138</v>
      </c>
      <c r="X830" s="81" t="s">
        <v>138</v>
      </c>
      <c r="Y830" s="81" t="s">
        <v>3295</v>
      </c>
      <c r="Z830" s="81" t="s">
        <v>2256</v>
      </c>
      <c r="AA830" s="83">
        <v>5000</v>
      </c>
      <c r="AB830" s="85"/>
      <c r="AD830" s="78" t="s">
        <v>138</v>
      </c>
      <c r="AE830" s="81" t="s">
        <v>138</v>
      </c>
      <c r="AF830" s="81" t="s">
        <v>3295</v>
      </c>
      <c r="AG830" s="81" t="s">
        <v>2256</v>
      </c>
      <c r="AH830" s="83">
        <v>5000</v>
      </c>
      <c r="AI830" s="85"/>
    </row>
    <row r="831" spans="1:35" s="79" customFormat="1" ht="11.25" customHeight="1" x14ac:dyDescent="0.2">
      <c r="A831" s="77" t="s">
        <v>3376</v>
      </c>
      <c r="B831" s="80">
        <v>552</v>
      </c>
      <c r="C831" s="81" t="s">
        <v>3275</v>
      </c>
      <c r="D831" s="73">
        <v>1000</v>
      </c>
      <c r="E831" s="79" t="s">
        <v>20</v>
      </c>
      <c r="F831" s="79" t="s">
        <v>30</v>
      </c>
      <c r="G831" s="79" t="s">
        <v>2995</v>
      </c>
      <c r="H831" s="79" t="str">
        <f>VLOOKUP(M831,C:H,6,FALSE)</f>
        <v>Refined Products</v>
      </c>
      <c r="I831" s="81"/>
      <c r="J831" s="81">
        <v>25</v>
      </c>
      <c r="K831" s="86"/>
      <c r="M831" s="78" t="s">
        <v>138</v>
      </c>
      <c r="N831" s="81" t="s">
        <v>138</v>
      </c>
      <c r="O831" s="81" t="s">
        <v>3296</v>
      </c>
      <c r="P831" s="81" t="s">
        <v>2256</v>
      </c>
      <c r="Q831" s="81"/>
      <c r="R831" s="83">
        <v>1000</v>
      </c>
      <c r="S831" s="79" t="s">
        <v>3098</v>
      </c>
      <c r="T831" s="84">
        <v>1000000</v>
      </c>
      <c r="U831" s="81"/>
      <c r="V831" s="81"/>
      <c r="W831" s="78" t="s">
        <v>138</v>
      </c>
      <c r="X831" s="81" t="s">
        <v>138</v>
      </c>
      <c r="Y831" s="81" t="s">
        <v>3296</v>
      </c>
      <c r="Z831" s="81" t="s">
        <v>2256</v>
      </c>
      <c r="AA831" s="83">
        <v>5000</v>
      </c>
      <c r="AB831" s="85"/>
      <c r="AD831" s="78" t="s">
        <v>138</v>
      </c>
      <c r="AE831" s="81" t="s">
        <v>138</v>
      </c>
      <c r="AF831" s="81" t="s">
        <v>3296</v>
      </c>
      <c r="AG831" s="81" t="s">
        <v>2256</v>
      </c>
      <c r="AH831" s="83">
        <v>5000</v>
      </c>
      <c r="AI831" s="85"/>
    </row>
    <row r="832" spans="1:35" s="79" customFormat="1" ht="11.25" customHeight="1" x14ac:dyDescent="0.2">
      <c r="A832" s="77" t="s">
        <v>3377</v>
      </c>
      <c r="B832" s="80">
        <v>552</v>
      </c>
      <c r="C832" s="81" t="s">
        <v>3276</v>
      </c>
      <c r="D832" s="73">
        <v>1000</v>
      </c>
      <c r="E832" s="79" t="s">
        <v>20</v>
      </c>
      <c r="F832" s="79" t="s">
        <v>30</v>
      </c>
      <c r="G832" s="79" t="s">
        <v>2995</v>
      </c>
      <c r="H832" s="79" t="str">
        <f>VLOOKUP(M832,C:H,6,FALSE)</f>
        <v>Refined Products</v>
      </c>
      <c r="I832" s="81"/>
      <c r="J832" s="81">
        <v>25</v>
      </c>
      <c r="K832" s="86"/>
      <c r="M832" s="78" t="s">
        <v>138</v>
      </c>
      <c r="N832" s="81" t="s">
        <v>138</v>
      </c>
      <c r="O832" s="81" t="s">
        <v>3297</v>
      </c>
      <c r="P832" s="81" t="s">
        <v>2256</v>
      </c>
      <c r="Q832" s="81"/>
      <c r="R832" s="83">
        <v>1000</v>
      </c>
      <c r="S832" s="79" t="s">
        <v>3098</v>
      </c>
      <c r="T832" s="84">
        <v>1000000</v>
      </c>
      <c r="U832" s="81"/>
      <c r="V832" s="81"/>
      <c r="W832" s="78" t="s">
        <v>138</v>
      </c>
      <c r="X832" s="81" t="s">
        <v>138</v>
      </c>
      <c r="Y832" s="81" t="s">
        <v>3297</v>
      </c>
      <c r="Z832" s="81" t="s">
        <v>2256</v>
      </c>
      <c r="AA832" s="83">
        <v>5000</v>
      </c>
      <c r="AB832" s="85"/>
      <c r="AD832" s="78" t="s">
        <v>138</v>
      </c>
      <c r="AE832" s="81" t="s">
        <v>138</v>
      </c>
      <c r="AF832" s="81" t="s">
        <v>3297</v>
      </c>
      <c r="AG832" s="81" t="s">
        <v>2256</v>
      </c>
      <c r="AH832" s="83">
        <v>5000</v>
      </c>
      <c r="AI832" s="85"/>
    </row>
    <row r="833" spans="1:35" s="79" customFormat="1" ht="11.25" customHeight="1" x14ac:dyDescent="0.2">
      <c r="A833" s="77" t="s">
        <v>3378</v>
      </c>
      <c r="B833" s="80">
        <v>552</v>
      </c>
      <c r="C833" s="81" t="s">
        <v>3277</v>
      </c>
      <c r="D833" s="73">
        <v>1000</v>
      </c>
      <c r="E833" s="79" t="s">
        <v>20</v>
      </c>
      <c r="F833" s="79" t="s">
        <v>30</v>
      </c>
      <c r="G833" s="79" t="s">
        <v>2995</v>
      </c>
      <c r="H833" s="79" t="str">
        <f>VLOOKUP(M833,C:H,6,FALSE)</f>
        <v>Refined Products</v>
      </c>
      <c r="I833" s="81"/>
      <c r="J833" s="81">
        <v>25</v>
      </c>
      <c r="K833" s="86"/>
      <c r="M833" s="78" t="s">
        <v>138</v>
      </c>
      <c r="N833" s="81" t="s">
        <v>138</v>
      </c>
      <c r="O833" s="81" t="s">
        <v>3298</v>
      </c>
      <c r="P833" s="81" t="s">
        <v>2256</v>
      </c>
      <c r="Q833" s="81"/>
      <c r="R833" s="83">
        <v>1000</v>
      </c>
      <c r="S833" s="79" t="s">
        <v>3098</v>
      </c>
      <c r="T833" s="84">
        <v>1000000</v>
      </c>
      <c r="U833" s="81"/>
      <c r="V833" s="81"/>
      <c r="W833" s="78" t="s">
        <v>138</v>
      </c>
      <c r="X833" s="81" t="s">
        <v>138</v>
      </c>
      <c r="Y833" s="81" t="s">
        <v>3298</v>
      </c>
      <c r="Z833" s="81" t="s">
        <v>2256</v>
      </c>
      <c r="AA833" s="83">
        <v>5000</v>
      </c>
      <c r="AB833" s="85"/>
      <c r="AD833" s="78" t="s">
        <v>138</v>
      </c>
      <c r="AE833" s="81" t="s">
        <v>138</v>
      </c>
      <c r="AF833" s="81" t="s">
        <v>3298</v>
      </c>
      <c r="AG833" s="81" t="s">
        <v>2256</v>
      </c>
      <c r="AH833" s="83">
        <v>5000</v>
      </c>
      <c r="AI833" s="85"/>
    </row>
    <row r="834" spans="1:35" s="79" customFormat="1" ht="11.25" customHeight="1" x14ac:dyDescent="0.2">
      <c r="A834" s="77" t="s">
        <v>139</v>
      </c>
      <c r="B834" s="80">
        <v>561</v>
      </c>
      <c r="C834" s="81" t="s">
        <v>138</v>
      </c>
      <c r="D834" s="73">
        <v>1000</v>
      </c>
      <c r="E834" s="79" t="s">
        <v>20</v>
      </c>
      <c r="F834" s="79" t="s">
        <v>3725</v>
      </c>
      <c r="G834" s="79" t="s">
        <v>2996</v>
      </c>
      <c r="H834" s="79" t="s">
        <v>43</v>
      </c>
      <c r="I834" s="81"/>
      <c r="J834" s="81">
        <v>25</v>
      </c>
      <c r="K834" s="86"/>
      <c r="M834" s="78" t="s">
        <v>138</v>
      </c>
      <c r="N834" s="82"/>
      <c r="O834" s="81" t="s">
        <v>2256</v>
      </c>
      <c r="P834" s="81" t="s">
        <v>2256</v>
      </c>
      <c r="Q834" s="81"/>
      <c r="R834" s="83">
        <v>1000</v>
      </c>
      <c r="S834" s="79" t="s">
        <v>2999</v>
      </c>
      <c r="T834" s="84">
        <v>1000000</v>
      </c>
      <c r="U834" s="81"/>
      <c r="V834" s="81"/>
      <c r="W834" s="78" t="s">
        <v>138</v>
      </c>
      <c r="X834" s="82"/>
      <c r="Y834" s="81" t="s">
        <v>2256</v>
      </c>
      <c r="Z834" s="81" t="s">
        <v>2256</v>
      </c>
      <c r="AA834" s="83">
        <v>5000</v>
      </c>
      <c r="AB834" s="85"/>
      <c r="AD834" s="78" t="s">
        <v>138</v>
      </c>
      <c r="AE834" s="82"/>
      <c r="AF834" s="81" t="s">
        <v>2256</v>
      </c>
      <c r="AG834" s="81" t="s">
        <v>2256</v>
      </c>
      <c r="AH834" s="83">
        <v>5000</v>
      </c>
      <c r="AI834" s="85"/>
    </row>
    <row r="835" spans="1:35" s="79" customFormat="1" ht="11.25" customHeight="1" x14ac:dyDescent="0.2">
      <c r="A835" s="77" t="s">
        <v>760</v>
      </c>
      <c r="B835" s="80">
        <v>747</v>
      </c>
      <c r="C835" s="81" t="s">
        <v>759</v>
      </c>
      <c r="D835" s="73">
        <v>1000</v>
      </c>
      <c r="E835" s="79" t="s">
        <v>20</v>
      </c>
      <c r="F835" s="79" t="s">
        <v>30</v>
      </c>
      <c r="G835" s="79" t="s">
        <v>3001</v>
      </c>
      <c r="H835" s="79" t="s">
        <v>43</v>
      </c>
      <c r="I835" s="81"/>
      <c r="J835" s="81">
        <v>25</v>
      </c>
      <c r="K835" s="86"/>
      <c r="M835" s="78" t="s">
        <v>138</v>
      </c>
      <c r="N835" s="82"/>
      <c r="O835" s="81" t="s">
        <v>2407</v>
      </c>
      <c r="P835" s="81" t="s">
        <v>2256</v>
      </c>
      <c r="Q835" s="81"/>
      <c r="R835" s="83">
        <v>1000</v>
      </c>
      <c r="S835" s="79" t="s">
        <v>3098</v>
      </c>
      <c r="T835" s="84">
        <v>1000000</v>
      </c>
      <c r="U835" s="81"/>
      <c r="V835" s="81"/>
      <c r="W835" s="78" t="s">
        <v>138</v>
      </c>
      <c r="X835" s="82"/>
      <c r="Y835" s="81" t="s">
        <v>2407</v>
      </c>
      <c r="Z835" s="81" t="s">
        <v>2256</v>
      </c>
      <c r="AA835" s="83">
        <v>5000</v>
      </c>
      <c r="AB835" s="85"/>
      <c r="AD835" s="78" t="s">
        <v>138</v>
      </c>
      <c r="AE835" s="82"/>
      <c r="AF835" s="81" t="s">
        <v>2407</v>
      </c>
      <c r="AG835" s="81" t="s">
        <v>2256</v>
      </c>
      <c r="AH835" s="83">
        <v>5000</v>
      </c>
      <c r="AI835" s="85"/>
    </row>
    <row r="836" spans="1:35" s="79" customFormat="1" ht="11.25" x14ac:dyDescent="0.2">
      <c r="A836" s="77" t="s">
        <v>141</v>
      </c>
      <c r="B836" s="80">
        <v>825</v>
      </c>
      <c r="C836" s="81" t="s">
        <v>140</v>
      </c>
      <c r="D836" s="73">
        <v>42000</v>
      </c>
      <c r="E836" s="79" t="s">
        <v>42</v>
      </c>
      <c r="F836" s="79" t="s">
        <v>3725</v>
      </c>
      <c r="G836" s="79" t="s">
        <v>2996</v>
      </c>
      <c r="H836" s="79" t="s">
        <v>43</v>
      </c>
      <c r="I836" s="81"/>
      <c r="J836" s="81">
        <v>100</v>
      </c>
      <c r="K836" s="86"/>
      <c r="M836" s="78" t="s">
        <v>140</v>
      </c>
      <c r="N836" s="82"/>
      <c r="O836" s="81" t="s">
        <v>2256</v>
      </c>
      <c r="P836" s="81" t="s">
        <v>2256</v>
      </c>
      <c r="Q836" s="81"/>
      <c r="R836" s="83">
        <v>1000</v>
      </c>
      <c r="S836" s="79" t="s">
        <v>2999</v>
      </c>
      <c r="T836" s="84">
        <v>42000000</v>
      </c>
      <c r="U836" s="81"/>
      <c r="V836" s="81"/>
      <c r="W836" s="78" t="s">
        <v>140</v>
      </c>
      <c r="X836" s="82"/>
      <c r="Y836" s="81" t="s">
        <v>2256</v>
      </c>
      <c r="Z836" s="81" t="s">
        <v>2256</v>
      </c>
      <c r="AA836" s="83">
        <v>7000</v>
      </c>
      <c r="AB836" s="85"/>
      <c r="AD836" s="78" t="s">
        <v>140</v>
      </c>
      <c r="AE836" s="82"/>
      <c r="AF836" s="81" t="s">
        <v>2256</v>
      </c>
      <c r="AG836" s="81" t="s">
        <v>2256</v>
      </c>
      <c r="AH836" s="83">
        <v>7000</v>
      </c>
      <c r="AI836" s="85"/>
    </row>
    <row r="837" spans="1:35" s="79" customFormat="1" ht="11.25" customHeight="1" x14ac:dyDescent="0.2">
      <c r="A837" s="77" t="s">
        <v>1190</v>
      </c>
      <c r="B837" s="80">
        <v>551</v>
      </c>
      <c r="C837" s="81" t="s">
        <v>1189</v>
      </c>
      <c r="D837" s="73">
        <v>42000</v>
      </c>
      <c r="E837" s="79" t="s">
        <v>42</v>
      </c>
      <c r="F837" s="79" t="s">
        <v>30</v>
      </c>
      <c r="G837" s="79" t="s">
        <v>3001</v>
      </c>
      <c r="H837" s="79" t="s">
        <v>43</v>
      </c>
      <c r="I837" s="81"/>
      <c r="J837" s="81">
        <v>100</v>
      </c>
      <c r="K837" s="86"/>
      <c r="M837" s="78" t="s">
        <v>140</v>
      </c>
      <c r="N837" s="82"/>
      <c r="O837" s="81" t="s">
        <v>2515</v>
      </c>
      <c r="P837" s="81" t="s">
        <v>2256</v>
      </c>
      <c r="Q837" s="81"/>
      <c r="R837" s="83">
        <v>1000</v>
      </c>
      <c r="S837" s="79" t="s">
        <v>3158</v>
      </c>
      <c r="T837" s="84">
        <v>42000000</v>
      </c>
      <c r="U837" s="81"/>
      <c r="V837" s="81"/>
      <c r="W837" s="78" t="s">
        <v>140</v>
      </c>
      <c r="X837" s="82"/>
      <c r="Y837" s="81" t="s">
        <v>2515</v>
      </c>
      <c r="Z837" s="81" t="s">
        <v>2256</v>
      </c>
      <c r="AA837" s="83">
        <v>7000</v>
      </c>
      <c r="AB837" s="85"/>
      <c r="AD837" s="78" t="s">
        <v>140</v>
      </c>
      <c r="AE837" s="82"/>
      <c r="AF837" s="81" t="s">
        <v>2515</v>
      </c>
      <c r="AG837" s="81" t="s">
        <v>2256</v>
      </c>
      <c r="AH837" s="83">
        <v>7000</v>
      </c>
      <c r="AI837" s="85"/>
    </row>
    <row r="838" spans="1:35" s="79" customFormat="1" ht="11.25" x14ac:dyDescent="0.2">
      <c r="A838" s="77" t="s">
        <v>1626</v>
      </c>
      <c r="B838" s="80">
        <v>404</v>
      </c>
      <c r="C838" s="81" t="s">
        <v>1625</v>
      </c>
      <c r="D838" s="73">
        <v>21000</v>
      </c>
      <c r="E838" s="79" t="s">
        <v>42</v>
      </c>
      <c r="F838" s="79" t="s">
        <v>3725</v>
      </c>
      <c r="G838" s="79" t="s">
        <v>2996</v>
      </c>
      <c r="H838" s="79" t="s">
        <v>43</v>
      </c>
      <c r="I838" s="81"/>
      <c r="J838" s="81">
        <v>250</v>
      </c>
      <c r="K838" s="86"/>
      <c r="M838" s="78" t="s">
        <v>140</v>
      </c>
      <c r="N838" s="82"/>
      <c r="O838" s="81" t="s">
        <v>2627</v>
      </c>
      <c r="P838" s="81" t="s">
        <v>2256</v>
      </c>
      <c r="Q838" s="81"/>
      <c r="R838" s="83">
        <v>1000</v>
      </c>
      <c r="S838" s="79" t="s">
        <v>3158</v>
      </c>
      <c r="T838" s="84">
        <v>42000000</v>
      </c>
      <c r="U838" s="81"/>
      <c r="V838" s="81"/>
      <c r="W838" s="78" t="s">
        <v>140</v>
      </c>
      <c r="X838" s="82"/>
      <c r="Y838" s="81" t="s">
        <v>2627</v>
      </c>
      <c r="Z838" s="81" t="s">
        <v>2256</v>
      </c>
      <c r="AA838" s="83">
        <v>7000</v>
      </c>
      <c r="AB838" s="85"/>
      <c r="AD838" s="78" t="s">
        <v>140</v>
      </c>
      <c r="AE838" s="82"/>
      <c r="AF838" s="81" t="s">
        <v>2627</v>
      </c>
      <c r="AG838" s="81" t="s">
        <v>2256</v>
      </c>
      <c r="AH838" s="83">
        <v>7000</v>
      </c>
      <c r="AI838" s="85"/>
    </row>
    <row r="839" spans="1:35" s="79" customFormat="1" ht="11.25" customHeight="1" x14ac:dyDescent="0.2">
      <c r="A839" s="77" t="s">
        <v>251</v>
      </c>
      <c r="B839" s="80">
        <v>981</v>
      </c>
      <c r="C839" s="81" t="s">
        <v>250</v>
      </c>
      <c r="D839" s="73">
        <v>1000</v>
      </c>
      <c r="E839" s="79" t="s">
        <v>28</v>
      </c>
      <c r="F839" s="79" t="s">
        <v>3725</v>
      </c>
      <c r="G839" s="79" t="s">
        <v>2996</v>
      </c>
      <c r="H839" s="79" t="s">
        <v>43</v>
      </c>
      <c r="I839" s="81" t="s">
        <v>3000</v>
      </c>
      <c r="J839" s="81">
        <v>25</v>
      </c>
      <c r="K839" s="86"/>
      <c r="M839" s="78" t="s">
        <v>243</v>
      </c>
      <c r="N839" s="82" t="s">
        <v>31</v>
      </c>
      <c r="O839" s="81" t="s">
        <v>2297</v>
      </c>
      <c r="P839" s="81" t="s">
        <v>2784</v>
      </c>
      <c r="Q839" s="81"/>
      <c r="R839" s="83" t="s">
        <v>3431</v>
      </c>
      <c r="S839" s="79" t="s">
        <v>3030</v>
      </c>
      <c r="T839" s="84" t="s">
        <v>3573</v>
      </c>
      <c r="U839" s="81"/>
      <c r="V839" s="81"/>
      <c r="W839" s="78" t="s">
        <v>243</v>
      </c>
      <c r="X839" s="82" t="s">
        <v>31</v>
      </c>
      <c r="Y839" s="81" t="s">
        <v>2297</v>
      </c>
      <c r="Z839" s="81" t="s">
        <v>2784</v>
      </c>
      <c r="AA839" s="81" t="s">
        <v>252</v>
      </c>
      <c r="AB839" s="85"/>
      <c r="AD839" s="78" t="s">
        <v>243</v>
      </c>
      <c r="AE839" s="82" t="s">
        <v>31</v>
      </c>
      <c r="AF839" s="81" t="s">
        <v>2297</v>
      </c>
      <c r="AG839" s="81" t="s">
        <v>2784</v>
      </c>
      <c r="AH839" s="81" t="s">
        <v>147</v>
      </c>
      <c r="AI839" s="85"/>
    </row>
    <row r="840" spans="1:35" s="79" customFormat="1" ht="11.25" x14ac:dyDescent="0.2">
      <c r="A840" s="77" t="s">
        <v>242</v>
      </c>
      <c r="B840" s="80">
        <v>979</v>
      </c>
      <c r="C840" s="81" t="s">
        <v>241</v>
      </c>
      <c r="D840" s="73">
        <v>42000</v>
      </c>
      <c r="E840" s="79" t="s">
        <v>42</v>
      </c>
      <c r="F840" s="79" t="s">
        <v>3725</v>
      </c>
      <c r="G840" s="79" t="s">
        <v>2996</v>
      </c>
      <c r="H840" s="79" t="s">
        <v>43</v>
      </c>
      <c r="I840" s="81" t="s">
        <v>3000</v>
      </c>
      <c r="J840" s="81">
        <v>25</v>
      </c>
      <c r="K840" s="86"/>
      <c r="M840" s="78" t="s">
        <v>243</v>
      </c>
      <c r="N840" s="82" t="s">
        <v>244</v>
      </c>
      <c r="O840" s="81" t="s">
        <v>2295</v>
      </c>
      <c r="P840" s="81" t="s">
        <v>2783</v>
      </c>
      <c r="Q840" s="81"/>
      <c r="R840" s="83" t="s">
        <v>864</v>
      </c>
      <c r="S840" s="79" t="s">
        <v>3029</v>
      </c>
      <c r="T840" s="84" t="s">
        <v>3416</v>
      </c>
      <c r="U840" s="81"/>
      <c r="V840" s="81"/>
      <c r="W840" s="78" t="s">
        <v>243</v>
      </c>
      <c r="X840" s="82" t="s">
        <v>244</v>
      </c>
      <c r="Y840" s="81" t="s">
        <v>2295</v>
      </c>
      <c r="Z840" s="81" t="s">
        <v>2783</v>
      </c>
      <c r="AA840" s="81" t="s">
        <v>246</v>
      </c>
      <c r="AB840" s="85"/>
      <c r="AD840" s="78" t="s">
        <v>243</v>
      </c>
      <c r="AE840" s="82" t="s">
        <v>244</v>
      </c>
      <c r="AF840" s="81" t="s">
        <v>2295</v>
      </c>
      <c r="AG840" s="81" t="s">
        <v>2783</v>
      </c>
      <c r="AH840" s="81" t="s">
        <v>245</v>
      </c>
      <c r="AI840" s="85"/>
    </row>
    <row r="841" spans="1:35" s="79" customFormat="1" ht="11.25" x14ac:dyDescent="0.2">
      <c r="A841" s="77" t="s">
        <v>253</v>
      </c>
      <c r="B841" s="80">
        <v>980</v>
      </c>
      <c r="C841" s="81" t="s">
        <v>243</v>
      </c>
      <c r="D841" s="73">
        <v>42000</v>
      </c>
      <c r="E841" s="79" t="s">
        <v>42</v>
      </c>
      <c r="F841" s="79" t="s">
        <v>3725</v>
      </c>
      <c r="G841" s="79" t="s">
        <v>2996</v>
      </c>
      <c r="H841" s="79" t="s">
        <v>43</v>
      </c>
      <c r="I841" s="81" t="s">
        <v>3000</v>
      </c>
      <c r="J841" s="81">
        <v>25</v>
      </c>
      <c r="K841" s="86"/>
      <c r="M841" s="78" t="s">
        <v>243</v>
      </c>
      <c r="N841" s="82"/>
      <c r="O841" s="81" t="s">
        <v>2256</v>
      </c>
      <c r="P841" s="81" t="s">
        <v>2256</v>
      </c>
      <c r="Q841" s="81"/>
      <c r="R841" s="83">
        <v>1000</v>
      </c>
      <c r="S841" s="79" t="s">
        <v>2999</v>
      </c>
      <c r="T841" s="84">
        <v>42000000</v>
      </c>
      <c r="U841" s="81"/>
      <c r="V841" s="81"/>
      <c r="W841" s="78" t="s">
        <v>243</v>
      </c>
      <c r="X841" s="82"/>
      <c r="Y841" s="81" t="s">
        <v>2256</v>
      </c>
      <c r="Z841" s="81" t="s">
        <v>2256</v>
      </c>
      <c r="AA841" s="83">
        <v>10000</v>
      </c>
      <c r="AB841" s="85"/>
      <c r="AD841" s="78" t="s">
        <v>243</v>
      </c>
      <c r="AE841" s="82"/>
      <c r="AF841" s="81" t="s">
        <v>2256</v>
      </c>
      <c r="AG841" s="81" t="s">
        <v>2256</v>
      </c>
      <c r="AH841" s="83">
        <v>10000</v>
      </c>
      <c r="AI841" s="85"/>
    </row>
    <row r="842" spans="1:35" s="79" customFormat="1" ht="11.25" x14ac:dyDescent="0.2">
      <c r="A842" s="77" t="s">
        <v>847</v>
      </c>
      <c r="B842" s="80">
        <v>978</v>
      </c>
      <c r="C842" s="81" t="s">
        <v>846</v>
      </c>
      <c r="D842" s="73">
        <v>1000</v>
      </c>
      <c r="E842" s="79" t="s">
        <v>28</v>
      </c>
      <c r="F842" s="79" t="s">
        <v>3725</v>
      </c>
      <c r="G842" s="79" t="s">
        <v>2996</v>
      </c>
      <c r="H842" s="79" t="s">
        <v>43</v>
      </c>
      <c r="I842" s="81" t="s">
        <v>3000</v>
      </c>
      <c r="J842" s="81">
        <v>25</v>
      </c>
      <c r="K842" s="86"/>
      <c r="M842" s="78" t="s">
        <v>317</v>
      </c>
      <c r="N842" s="82" t="s">
        <v>31</v>
      </c>
      <c r="O842" s="81" t="s">
        <v>2437</v>
      </c>
      <c r="P842" s="81" t="s">
        <v>2849</v>
      </c>
      <c r="Q842" s="81"/>
      <c r="R842" s="83" t="s">
        <v>3431</v>
      </c>
      <c r="S842" s="79" t="s">
        <v>3123</v>
      </c>
      <c r="T842" s="84" t="s">
        <v>3573</v>
      </c>
      <c r="U842" s="81"/>
      <c r="V842" s="81"/>
      <c r="W842" s="78" t="s">
        <v>317</v>
      </c>
      <c r="X842" s="82" t="s">
        <v>31</v>
      </c>
      <c r="Y842" s="81" t="s">
        <v>2437</v>
      </c>
      <c r="Z842" s="81" t="s">
        <v>2849</v>
      </c>
      <c r="AA842" s="81" t="s">
        <v>252</v>
      </c>
      <c r="AB842" s="85"/>
      <c r="AD842" s="78" t="s">
        <v>317</v>
      </c>
      <c r="AE842" s="82" t="s">
        <v>31</v>
      </c>
      <c r="AF842" s="81" t="s">
        <v>2437</v>
      </c>
      <c r="AG842" s="81" t="s">
        <v>2849</v>
      </c>
      <c r="AH842" s="81" t="s">
        <v>147</v>
      </c>
      <c r="AI842" s="85"/>
    </row>
    <row r="843" spans="1:35" s="79" customFormat="1" ht="11.25" x14ac:dyDescent="0.2">
      <c r="A843" s="77" t="s">
        <v>316</v>
      </c>
      <c r="B843" s="80">
        <v>976</v>
      </c>
      <c r="C843" s="81" t="s">
        <v>315</v>
      </c>
      <c r="D843" s="73">
        <v>42000</v>
      </c>
      <c r="E843" s="79" t="s">
        <v>42</v>
      </c>
      <c r="F843" s="79" t="s">
        <v>3725</v>
      </c>
      <c r="G843" s="79" t="s">
        <v>2996</v>
      </c>
      <c r="H843" s="79" t="s">
        <v>43</v>
      </c>
      <c r="I843" s="81" t="s">
        <v>3000</v>
      </c>
      <c r="J843" s="81">
        <v>25</v>
      </c>
      <c r="K843" s="86"/>
      <c r="M843" s="78" t="s">
        <v>317</v>
      </c>
      <c r="N843" s="82" t="s">
        <v>244</v>
      </c>
      <c r="O843" s="81" t="s">
        <v>2308</v>
      </c>
      <c r="P843" s="81" t="s">
        <v>2787</v>
      </c>
      <c r="Q843" s="81"/>
      <c r="R843" s="83" t="s">
        <v>864</v>
      </c>
      <c r="S843" s="79" t="s">
        <v>3038</v>
      </c>
      <c r="T843" s="84" t="s">
        <v>3416</v>
      </c>
      <c r="U843" s="81"/>
      <c r="V843" s="81"/>
      <c r="W843" s="78" t="s">
        <v>317</v>
      </c>
      <c r="X843" s="82" t="s">
        <v>244</v>
      </c>
      <c r="Y843" s="81" t="s">
        <v>2308</v>
      </c>
      <c r="Z843" s="81" t="s">
        <v>2787</v>
      </c>
      <c r="AA843" s="81" t="s">
        <v>246</v>
      </c>
      <c r="AB843" s="85"/>
      <c r="AD843" s="78" t="s">
        <v>317</v>
      </c>
      <c r="AE843" s="82" t="s">
        <v>244</v>
      </c>
      <c r="AF843" s="81" t="s">
        <v>2308</v>
      </c>
      <c r="AG843" s="81" t="s">
        <v>2787</v>
      </c>
      <c r="AH843" s="81" t="s">
        <v>245</v>
      </c>
      <c r="AI843" s="85"/>
    </row>
    <row r="844" spans="1:35" s="79" customFormat="1" ht="11.25" customHeight="1" x14ac:dyDescent="0.2">
      <c r="A844" s="77" t="s">
        <v>318</v>
      </c>
      <c r="B844" s="80">
        <v>977</v>
      </c>
      <c r="C844" s="81" t="s">
        <v>317</v>
      </c>
      <c r="D844" s="73">
        <v>42000</v>
      </c>
      <c r="E844" s="79" t="s">
        <v>42</v>
      </c>
      <c r="F844" s="79" t="s">
        <v>3725</v>
      </c>
      <c r="G844" s="79" t="s">
        <v>2996</v>
      </c>
      <c r="H844" s="79" t="s">
        <v>43</v>
      </c>
      <c r="I844" s="81" t="s">
        <v>3000</v>
      </c>
      <c r="J844" s="81">
        <v>25</v>
      </c>
      <c r="K844" s="86"/>
      <c r="M844" s="78" t="s">
        <v>317</v>
      </c>
      <c r="N844" s="82"/>
      <c r="O844" s="81" t="s">
        <v>2256</v>
      </c>
      <c r="P844" s="81" t="s">
        <v>2256</v>
      </c>
      <c r="Q844" s="81"/>
      <c r="R844" s="83">
        <v>1000</v>
      </c>
      <c r="S844" s="79" t="s">
        <v>2999</v>
      </c>
      <c r="T844" s="84">
        <v>42000000</v>
      </c>
      <c r="U844" s="81"/>
      <c r="V844" s="81"/>
      <c r="W844" s="78" t="s">
        <v>317</v>
      </c>
      <c r="X844" s="82"/>
      <c r="Y844" s="81" t="s">
        <v>2256</v>
      </c>
      <c r="Z844" s="81" t="s">
        <v>2256</v>
      </c>
      <c r="AA844" s="83">
        <v>10000</v>
      </c>
      <c r="AB844" s="85"/>
      <c r="AD844" s="78" t="s">
        <v>317</v>
      </c>
      <c r="AE844" s="82"/>
      <c r="AF844" s="81" t="s">
        <v>2256</v>
      </c>
      <c r="AG844" s="81" t="s">
        <v>2256</v>
      </c>
      <c r="AH844" s="83">
        <v>10000</v>
      </c>
      <c r="AI844" s="85"/>
    </row>
    <row r="845" spans="1:35" s="79" customFormat="1" ht="11.25" customHeight="1" x14ac:dyDescent="0.2">
      <c r="A845" s="77" t="s">
        <v>3737</v>
      </c>
      <c r="B845" s="81">
        <v>1157</v>
      </c>
      <c r="C845" s="80" t="s">
        <v>3738</v>
      </c>
      <c r="D845" s="73">
        <v>50000</v>
      </c>
      <c r="E845" s="79" t="s">
        <v>3739</v>
      </c>
      <c r="F845" s="79" t="s">
        <v>3725</v>
      </c>
      <c r="G845" s="79" t="s">
        <v>2996</v>
      </c>
      <c r="H845" s="79" t="s">
        <v>43</v>
      </c>
      <c r="I845" s="81"/>
      <c r="J845" s="81">
        <v>25</v>
      </c>
      <c r="K845" s="86"/>
      <c r="M845" s="42" t="s">
        <v>3738</v>
      </c>
      <c r="N845" s="82"/>
      <c r="O845" s="81"/>
      <c r="P845" s="81"/>
      <c r="Q845" s="81"/>
      <c r="R845" s="83">
        <v>850</v>
      </c>
      <c r="S845" s="79" t="s">
        <v>2999</v>
      </c>
      <c r="T845" s="84">
        <v>42500000</v>
      </c>
      <c r="U845" s="81"/>
      <c r="V845" s="81"/>
      <c r="W845" s="42" t="s">
        <v>3738</v>
      </c>
      <c r="X845" s="82"/>
      <c r="Y845" s="81"/>
      <c r="Z845" s="81"/>
      <c r="AA845" s="83">
        <v>3000</v>
      </c>
      <c r="AB845" s="85"/>
      <c r="AD845" s="42" t="s">
        <v>3738</v>
      </c>
      <c r="AE845" s="82"/>
      <c r="AF845" s="81"/>
      <c r="AG845" s="81"/>
      <c r="AH845" s="83">
        <v>3000</v>
      </c>
      <c r="AI845" s="85"/>
    </row>
    <row r="846" spans="1:35" s="79" customFormat="1" ht="11.25" customHeight="1" x14ac:dyDescent="0.2">
      <c r="A846" s="77" t="s">
        <v>3740</v>
      </c>
      <c r="B846" s="81">
        <v>1158</v>
      </c>
      <c r="C846" s="80" t="s">
        <v>3741</v>
      </c>
      <c r="D846" s="73">
        <v>50000</v>
      </c>
      <c r="E846" s="79" t="s">
        <v>3739</v>
      </c>
      <c r="F846" s="79" t="s">
        <v>3725</v>
      </c>
      <c r="G846" s="79" t="s">
        <v>2996</v>
      </c>
      <c r="H846" s="79" t="s">
        <v>43</v>
      </c>
      <c r="I846" s="81"/>
      <c r="J846" s="81">
        <v>25</v>
      </c>
      <c r="K846" s="86"/>
      <c r="M846" s="42" t="s">
        <v>3741</v>
      </c>
      <c r="N846" s="82"/>
      <c r="O846" s="81"/>
      <c r="P846" s="81"/>
      <c r="Q846" s="81"/>
      <c r="R846" s="83">
        <v>850</v>
      </c>
      <c r="S846" s="79" t="s">
        <v>2999</v>
      </c>
      <c r="T846" s="84">
        <v>42500000</v>
      </c>
      <c r="U846" s="81"/>
      <c r="V846" s="81"/>
      <c r="W846" s="42" t="s">
        <v>3741</v>
      </c>
      <c r="X846" s="82"/>
      <c r="Y846" s="81"/>
      <c r="Z846" s="81"/>
      <c r="AA846" s="83">
        <v>3000</v>
      </c>
      <c r="AB846" s="85"/>
      <c r="AD846" s="42" t="s">
        <v>3741</v>
      </c>
      <c r="AE846" s="82"/>
      <c r="AF846" s="81"/>
      <c r="AG846" s="81"/>
      <c r="AH846" s="83">
        <v>3000</v>
      </c>
      <c r="AI846" s="85"/>
    </row>
    <row r="847" spans="1:35" s="79" customFormat="1" ht="11.25" customHeight="1" x14ac:dyDescent="0.2">
      <c r="A847" s="77" t="s">
        <v>3742</v>
      </c>
      <c r="B847" s="81">
        <v>1159</v>
      </c>
      <c r="C847" s="80" t="s">
        <v>3743</v>
      </c>
      <c r="D847" s="73">
        <v>50000</v>
      </c>
      <c r="E847" s="79" t="s">
        <v>3739</v>
      </c>
      <c r="F847" s="79" t="s">
        <v>3725</v>
      </c>
      <c r="G847" s="79" t="s">
        <v>2996</v>
      </c>
      <c r="H847" s="79" t="s">
        <v>43</v>
      </c>
      <c r="I847" s="81"/>
      <c r="J847" s="81">
        <v>25</v>
      </c>
      <c r="K847" s="86"/>
      <c r="M847" s="42" t="s">
        <v>3743</v>
      </c>
      <c r="N847" s="82"/>
      <c r="O847" s="81"/>
      <c r="P847" s="81"/>
      <c r="Q847" s="81"/>
      <c r="R847" s="83">
        <v>850</v>
      </c>
      <c r="S847" s="79" t="s">
        <v>2999</v>
      </c>
      <c r="T847" s="84">
        <v>42500000</v>
      </c>
      <c r="U847" s="81"/>
      <c r="V847" s="81"/>
      <c r="W847" s="42" t="s">
        <v>3743</v>
      </c>
      <c r="X847" s="82"/>
      <c r="Y847" s="81"/>
      <c r="Z847" s="81"/>
      <c r="AA847" s="83">
        <v>3000</v>
      </c>
      <c r="AB847" s="85"/>
      <c r="AD847" s="42" t="s">
        <v>3743</v>
      </c>
      <c r="AE847" s="82"/>
      <c r="AF847" s="81"/>
      <c r="AG847" s="81"/>
      <c r="AH847" s="83">
        <v>3000</v>
      </c>
      <c r="AI847" s="85"/>
    </row>
    <row r="848" spans="1:35" s="79" customFormat="1" ht="11.25" customHeight="1" x14ac:dyDescent="0.2">
      <c r="A848" s="77" t="s">
        <v>3744</v>
      </c>
      <c r="B848" s="81">
        <v>1160</v>
      </c>
      <c r="C848" s="80" t="s">
        <v>3745</v>
      </c>
      <c r="D848" s="73">
        <v>50000</v>
      </c>
      <c r="E848" s="79" t="s">
        <v>3739</v>
      </c>
      <c r="F848" s="79" t="s">
        <v>3725</v>
      </c>
      <c r="G848" s="79" t="s">
        <v>2996</v>
      </c>
      <c r="H848" s="79" t="s">
        <v>43</v>
      </c>
      <c r="I848" s="81"/>
      <c r="J848" s="81">
        <v>25</v>
      </c>
      <c r="K848" s="86"/>
      <c r="M848" s="42" t="s">
        <v>3745</v>
      </c>
      <c r="N848" s="82"/>
      <c r="O848" s="81"/>
      <c r="P848" s="81"/>
      <c r="Q848" s="81"/>
      <c r="R848" s="83">
        <v>250</v>
      </c>
      <c r="S848" s="79" t="s">
        <v>2999</v>
      </c>
      <c r="T848" s="84">
        <v>12500000</v>
      </c>
      <c r="U848" s="81"/>
      <c r="V848" s="81"/>
      <c r="W848" s="42" t="s">
        <v>3745</v>
      </c>
      <c r="X848" s="82"/>
      <c r="Y848" s="81"/>
      <c r="Z848" s="81"/>
      <c r="AA848" s="83">
        <v>1000</v>
      </c>
      <c r="AB848" s="85"/>
      <c r="AD848" s="42" t="s">
        <v>3745</v>
      </c>
      <c r="AE848" s="82"/>
      <c r="AF848" s="81"/>
      <c r="AG848" s="81"/>
      <c r="AH848" s="83">
        <v>1000</v>
      </c>
      <c r="AI848" s="85"/>
    </row>
    <row r="849" spans="1:35" s="79" customFormat="1" ht="11.25" customHeight="1" x14ac:dyDescent="0.2">
      <c r="A849" s="77" t="s">
        <v>3746</v>
      </c>
      <c r="B849" s="81">
        <v>1161</v>
      </c>
      <c r="C849" s="80" t="s">
        <v>3747</v>
      </c>
      <c r="D849" s="73">
        <v>50000</v>
      </c>
      <c r="E849" s="79" t="s">
        <v>3739</v>
      </c>
      <c r="F849" s="79" t="s">
        <v>3725</v>
      </c>
      <c r="G849" s="79" t="s">
        <v>2996</v>
      </c>
      <c r="H849" s="79" t="s">
        <v>43</v>
      </c>
      <c r="I849" s="81"/>
      <c r="J849" s="81">
        <v>25</v>
      </c>
      <c r="K849" s="86"/>
      <c r="M849" s="42" t="s">
        <v>3747</v>
      </c>
      <c r="N849" s="82"/>
      <c r="O849" s="81"/>
      <c r="P849" s="81"/>
      <c r="Q849" s="81"/>
      <c r="R849" s="83">
        <v>250</v>
      </c>
      <c r="S849" s="79" t="s">
        <v>2999</v>
      </c>
      <c r="T849" s="84">
        <v>12500000</v>
      </c>
      <c r="U849" s="81"/>
      <c r="V849" s="81"/>
      <c r="W849" s="42" t="s">
        <v>3747</v>
      </c>
      <c r="X849" s="82"/>
      <c r="Y849" s="81"/>
      <c r="Z849" s="81"/>
      <c r="AA849" s="83">
        <v>1000</v>
      </c>
      <c r="AB849" s="85"/>
      <c r="AD849" s="42" t="s">
        <v>3747</v>
      </c>
      <c r="AE849" s="82"/>
      <c r="AF849" s="81"/>
      <c r="AG849" s="81"/>
      <c r="AH849" s="83">
        <v>1000</v>
      </c>
      <c r="AI849" s="85"/>
    </row>
    <row r="850" spans="1:35" s="79" customFormat="1" ht="11.25" customHeight="1" x14ac:dyDescent="0.2">
      <c r="A850" s="77" t="s">
        <v>3748</v>
      </c>
      <c r="B850" s="81">
        <v>1162</v>
      </c>
      <c r="C850" s="80" t="s">
        <v>3749</v>
      </c>
      <c r="D850" s="73">
        <v>50000</v>
      </c>
      <c r="E850" s="79" t="s">
        <v>3739</v>
      </c>
      <c r="F850" s="79" t="s">
        <v>3725</v>
      </c>
      <c r="G850" s="79" t="s">
        <v>2996</v>
      </c>
      <c r="H850" s="79" t="s">
        <v>43</v>
      </c>
      <c r="I850" s="81"/>
      <c r="J850" s="81">
        <v>25</v>
      </c>
      <c r="K850" s="86"/>
      <c r="M850" s="42" t="s">
        <v>3749</v>
      </c>
      <c r="N850" s="82"/>
      <c r="O850" s="81"/>
      <c r="P850" s="81"/>
      <c r="Q850" s="81"/>
      <c r="R850" s="83">
        <v>250</v>
      </c>
      <c r="S850" s="79" t="s">
        <v>2999</v>
      </c>
      <c r="T850" s="84">
        <v>12500000</v>
      </c>
      <c r="U850" s="81"/>
      <c r="V850" s="81"/>
      <c r="W850" s="42" t="s">
        <v>3749</v>
      </c>
      <c r="X850" s="82"/>
      <c r="Y850" s="81"/>
      <c r="Z850" s="81"/>
      <c r="AA850" s="83">
        <v>1000</v>
      </c>
      <c r="AB850" s="85"/>
      <c r="AD850" s="42" t="s">
        <v>3749</v>
      </c>
      <c r="AE850" s="82"/>
      <c r="AF850" s="81"/>
      <c r="AG850" s="81"/>
      <c r="AH850" s="83">
        <v>1000</v>
      </c>
      <c r="AI850" s="85"/>
    </row>
    <row r="851" spans="1:35" s="79" customFormat="1" ht="11.25" customHeight="1" x14ac:dyDescent="0.2">
      <c r="A851" s="77" t="s">
        <v>3750</v>
      </c>
      <c r="B851" s="81">
        <v>1163</v>
      </c>
      <c r="C851" s="80" t="s">
        <v>3751</v>
      </c>
      <c r="D851" s="73">
        <v>50000</v>
      </c>
      <c r="E851" s="79" t="s">
        <v>3739</v>
      </c>
      <c r="F851" s="79" t="s">
        <v>3725</v>
      </c>
      <c r="G851" s="79" t="s">
        <v>2996</v>
      </c>
      <c r="H851" s="79" t="s">
        <v>43</v>
      </c>
      <c r="I851" s="81"/>
      <c r="J851" s="81">
        <v>25</v>
      </c>
      <c r="K851" s="86"/>
      <c r="M851" s="42" t="s">
        <v>3751</v>
      </c>
      <c r="N851" s="82"/>
      <c r="O851" s="81"/>
      <c r="P851" s="81"/>
      <c r="Q851" s="81"/>
      <c r="R851" s="83">
        <v>6500</v>
      </c>
      <c r="S851" s="79" t="s">
        <v>2999</v>
      </c>
      <c r="T851" s="84">
        <v>325000000</v>
      </c>
      <c r="U851" s="81"/>
      <c r="V851" s="81"/>
      <c r="W851" s="42" t="s">
        <v>3751</v>
      </c>
      <c r="X851" s="82"/>
      <c r="Y851" s="81"/>
      <c r="Z851" s="81"/>
      <c r="AA851" s="83">
        <v>20000</v>
      </c>
      <c r="AB851" s="85"/>
      <c r="AD851" s="42" t="s">
        <v>3751</v>
      </c>
      <c r="AE851" s="82"/>
      <c r="AF851" s="81"/>
      <c r="AG851" s="81"/>
      <c r="AH851" s="83">
        <v>20000</v>
      </c>
      <c r="AI851" s="85"/>
    </row>
    <row r="852" spans="1:35" s="79" customFormat="1" ht="11.25" customHeight="1" x14ac:dyDescent="0.2">
      <c r="A852" s="77" t="s">
        <v>3752</v>
      </c>
      <c r="B852" s="81">
        <v>1164</v>
      </c>
      <c r="C852" s="80" t="s">
        <v>3753</v>
      </c>
      <c r="D852" s="73">
        <v>50000</v>
      </c>
      <c r="E852" s="79" t="s">
        <v>3739</v>
      </c>
      <c r="F852" s="79" t="s">
        <v>3725</v>
      </c>
      <c r="G852" s="79" t="s">
        <v>2996</v>
      </c>
      <c r="H852" s="79" t="s">
        <v>43</v>
      </c>
      <c r="I852" s="81"/>
      <c r="J852" s="81">
        <v>25</v>
      </c>
      <c r="K852" s="86"/>
      <c r="M852" s="42" t="s">
        <v>3753</v>
      </c>
      <c r="N852" s="82"/>
      <c r="O852" s="81"/>
      <c r="P852" s="81"/>
      <c r="Q852" s="81"/>
      <c r="R852" s="83">
        <v>6500</v>
      </c>
      <c r="S852" s="79" t="s">
        <v>2999</v>
      </c>
      <c r="T852" s="84">
        <v>325000000</v>
      </c>
      <c r="U852" s="81"/>
      <c r="V852" s="81"/>
      <c r="W852" s="42" t="s">
        <v>3753</v>
      </c>
      <c r="X852" s="82"/>
      <c r="Y852" s="81"/>
      <c r="Z852" s="81"/>
      <c r="AA852" s="83">
        <v>20000</v>
      </c>
      <c r="AB852" s="85"/>
      <c r="AD852" s="42" t="s">
        <v>3753</v>
      </c>
      <c r="AE852" s="82"/>
      <c r="AF852" s="81"/>
      <c r="AG852" s="81"/>
      <c r="AH852" s="83">
        <v>20000</v>
      </c>
      <c r="AI852" s="85"/>
    </row>
    <row r="853" spans="1:35" s="79" customFormat="1" ht="11.25" customHeight="1" x14ac:dyDescent="0.2">
      <c r="A853" s="77" t="s">
        <v>3754</v>
      </c>
      <c r="B853" s="81">
        <v>1165</v>
      </c>
      <c r="C853" s="80" t="s">
        <v>3755</v>
      </c>
      <c r="D853" s="73">
        <v>50000</v>
      </c>
      <c r="E853" s="79" t="s">
        <v>3739</v>
      </c>
      <c r="F853" s="79" t="s">
        <v>3725</v>
      </c>
      <c r="G853" s="79" t="s">
        <v>2996</v>
      </c>
      <c r="H853" s="79" t="s">
        <v>43</v>
      </c>
      <c r="I853" s="81"/>
      <c r="J853" s="81">
        <v>25</v>
      </c>
      <c r="K853" s="86"/>
      <c r="M853" s="42" t="s">
        <v>3755</v>
      </c>
      <c r="N853" s="82"/>
      <c r="O853" s="81"/>
      <c r="P853" s="81"/>
      <c r="Q853" s="81"/>
      <c r="R853" s="83">
        <v>6500</v>
      </c>
      <c r="S853" s="79" t="s">
        <v>2999</v>
      </c>
      <c r="T853" s="84">
        <v>325000000</v>
      </c>
      <c r="U853" s="81"/>
      <c r="V853" s="81"/>
      <c r="W853" s="42" t="s">
        <v>3755</v>
      </c>
      <c r="X853" s="82"/>
      <c r="Y853" s="81"/>
      <c r="Z853" s="81"/>
      <c r="AA853" s="83">
        <v>20000</v>
      </c>
      <c r="AB853" s="85"/>
      <c r="AD853" s="42" t="s">
        <v>3755</v>
      </c>
      <c r="AE853" s="82"/>
      <c r="AF853" s="81"/>
      <c r="AG853" s="81"/>
      <c r="AH853" s="83">
        <v>20000</v>
      </c>
      <c r="AI853" s="85"/>
    </row>
    <row r="854" spans="1:35" s="79" customFormat="1" ht="11.25" customHeight="1" x14ac:dyDescent="0.2">
      <c r="A854" s="77" t="s">
        <v>689</v>
      </c>
      <c r="B854" s="80">
        <v>216</v>
      </c>
      <c r="C854" s="81" t="s">
        <v>688</v>
      </c>
      <c r="D854" s="73">
        <v>1000</v>
      </c>
      <c r="E854" s="79" t="s">
        <v>20</v>
      </c>
      <c r="F854" s="79" t="s">
        <v>3725</v>
      </c>
      <c r="G854" s="79" t="s">
        <v>2996</v>
      </c>
      <c r="H854" s="79" t="s">
        <v>43</v>
      </c>
      <c r="I854" s="81" t="s">
        <v>3000</v>
      </c>
      <c r="J854" s="81">
        <v>25</v>
      </c>
      <c r="K854" s="86"/>
      <c r="M854" s="78" t="s">
        <v>669</v>
      </c>
      <c r="N854" s="82" t="s">
        <v>396</v>
      </c>
      <c r="O854" s="81" t="s">
        <v>2394</v>
      </c>
      <c r="P854" s="81" t="s">
        <v>2821</v>
      </c>
      <c r="Q854" s="81"/>
      <c r="R854" s="83" t="s">
        <v>515</v>
      </c>
      <c r="S854" s="79" t="s">
        <v>3089</v>
      </c>
      <c r="T854" s="84" t="s">
        <v>3417</v>
      </c>
      <c r="U854" s="81"/>
      <c r="V854" s="81"/>
      <c r="W854" s="78" t="s">
        <v>669</v>
      </c>
      <c r="X854" s="82" t="s">
        <v>396</v>
      </c>
      <c r="Y854" s="81" t="s">
        <v>2394</v>
      </c>
      <c r="Z854" s="81" t="s">
        <v>2821</v>
      </c>
      <c r="AA854" s="81" t="s">
        <v>690</v>
      </c>
      <c r="AB854" s="85"/>
      <c r="AD854" s="78" t="s">
        <v>669</v>
      </c>
      <c r="AE854" s="82" t="s">
        <v>396</v>
      </c>
      <c r="AF854" s="81" t="s">
        <v>2394</v>
      </c>
      <c r="AG854" s="81" t="s">
        <v>2821</v>
      </c>
      <c r="AH854" s="81" t="s">
        <v>690</v>
      </c>
      <c r="AI854" s="85"/>
    </row>
    <row r="855" spans="1:35" s="79" customFormat="1" ht="11.25" customHeight="1" x14ac:dyDescent="0.2">
      <c r="A855" s="77" t="s">
        <v>670</v>
      </c>
      <c r="B855" s="80">
        <v>215</v>
      </c>
      <c r="C855" s="81" t="s">
        <v>669</v>
      </c>
      <c r="D855" s="73">
        <v>1000</v>
      </c>
      <c r="E855" s="79" t="s">
        <v>20</v>
      </c>
      <c r="F855" s="79" t="s">
        <v>3725</v>
      </c>
      <c r="G855" s="79" t="s">
        <v>2996</v>
      </c>
      <c r="H855" s="79" t="s">
        <v>43</v>
      </c>
      <c r="I855" s="81" t="s">
        <v>3000</v>
      </c>
      <c r="J855" s="81">
        <v>25</v>
      </c>
      <c r="K855" s="86"/>
      <c r="M855" s="78" t="s">
        <v>669</v>
      </c>
      <c r="N855" s="82"/>
      <c r="O855" s="81" t="s">
        <v>2256</v>
      </c>
      <c r="P855" s="81" t="s">
        <v>2256</v>
      </c>
      <c r="Q855" s="81"/>
      <c r="R855" s="83">
        <v>150</v>
      </c>
      <c r="S855" s="79" t="s">
        <v>2999</v>
      </c>
      <c r="T855" s="84">
        <v>150000</v>
      </c>
      <c r="U855" s="81"/>
      <c r="V855" s="81"/>
      <c r="W855" s="78" t="s">
        <v>669</v>
      </c>
      <c r="X855" s="82"/>
      <c r="Y855" s="81" t="s">
        <v>2256</v>
      </c>
      <c r="Z855" s="81" t="s">
        <v>2256</v>
      </c>
      <c r="AA855" s="83">
        <v>1500</v>
      </c>
      <c r="AB855" s="85"/>
      <c r="AD855" s="78" t="s">
        <v>669</v>
      </c>
      <c r="AE855" s="82"/>
      <c r="AF855" s="81" t="s">
        <v>2256</v>
      </c>
      <c r="AG855" s="81" t="s">
        <v>2256</v>
      </c>
      <c r="AH855" s="83">
        <v>1500</v>
      </c>
      <c r="AI855" s="85"/>
    </row>
    <row r="856" spans="1:35" s="79" customFormat="1" ht="11.25" customHeight="1" x14ac:dyDescent="0.2">
      <c r="A856" s="77" t="s">
        <v>801</v>
      </c>
      <c r="B856" s="80">
        <v>1195</v>
      </c>
      <c r="C856" s="81" t="s">
        <v>800</v>
      </c>
      <c r="D856" s="73">
        <v>1000</v>
      </c>
      <c r="E856" s="79" t="s">
        <v>20</v>
      </c>
      <c r="F856" s="79" t="s">
        <v>3725</v>
      </c>
      <c r="G856" s="79" t="s">
        <v>2996</v>
      </c>
      <c r="H856" s="79" t="s">
        <v>43</v>
      </c>
      <c r="I856" s="81" t="s">
        <v>3000</v>
      </c>
      <c r="J856" s="81">
        <v>25</v>
      </c>
      <c r="K856" s="86"/>
      <c r="M856" s="78" t="s">
        <v>669</v>
      </c>
      <c r="N856" s="82"/>
      <c r="O856" s="81" t="s">
        <v>2423</v>
      </c>
      <c r="P856" s="81" t="s">
        <v>2256</v>
      </c>
      <c r="Q856" s="81"/>
      <c r="R856" s="83">
        <v>150</v>
      </c>
      <c r="S856" s="79" t="s">
        <v>3112</v>
      </c>
      <c r="T856" s="84">
        <v>150000</v>
      </c>
      <c r="U856" s="81"/>
      <c r="V856" s="81"/>
      <c r="W856" s="78" t="s">
        <v>669</v>
      </c>
      <c r="X856" s="82"/>
      <c r="Y856" s="81" t="s">
        <v>2423</v>
      </c>
      <c r="Z856" s="81" t="s">
        <v>2256</v>
      </c>
      <c r="AA856" s="83">
        <v>1500</v>
      </c>
      <c r="AB856" s="85"/>
      <c r="AD856" s="78" t="s">
        <v>669</v>
      </c>
      <c r="AE856" s="82"/>
      <c r="AF856" s="81" t="s">
        <v>2423</v>
      </c>
      <c r="AG856" s="81" t="s">
        <v>2256</v>
      </c>
      <c r="AH856" s="83">
        <v>1500</v>
      </c>
      <c r="AI856" s="85"/>
    </row>
    <row r="857" spans="1:35" s="79" customFormat="1" ht="11.25" customHeight="1" x14ac:dyDescent="0.2">
      <c r="A857" s="77" t="s">
        <v>1271</v>
      </c>
      <c r="B857" s="80">
        <v>1247</v>
      </c>
      <c r="C857" s="81" t="s">
        <v>1270</v>
      </c>
      <c r="D857" s="73">
        <v>100</v>
      </c>
      <c r="E857" s="79" t="s">
        <v>20</v>
      </c>
      <c r="F857" s="79" t="s">
        <v>3725</v>
      </c>
      <c r="G857" s="79" t="s">
        <v>2996</v>
      </c>
      <c r="H857" s="79" t="s">
        <v>43</v>
      </c>
      <c r="I857" s="81" t="s">
        <v>3000</v>
      </c>
      <c r="J857" s="81">
        <v>25</v>
      </c>
      <c r="K857" s="86"/>
      <c r="M857" s="78" t="s">
        <v>669</v>
      </c>
      <c r="N857" s="82"/>
      <c r="O857" s="81" t="s">
        <v>2538</v>
      </c>
      <c r="P857" s="81" t="s">
        <v>2256</v>
      </c>
      <c r="Q857" s="81"/>
      <c r="R857" s="83">
        <v>150</v>
      </c>
      <c r="S857" s="79" t="s">
        <v>3112</v>
      </c>
      <c r="T857" s="84">
        <v>150000</v>
      </c>
      <c r="U857" s="81"/>
      <c r="V857" s="81"/>
      <c r="W857" s="78" t="s">
        <v>669</v>
      </c>
      <c r="X857" s="82"/>
      <c r="Y857" s="81" t="s">
        <v>2538</v>
      </c>
      <c r="Z857" s="81" t="s">
        <v>2256</v>
      </c>
      <c r="AA857" s="83">
        <v>1500</v>
      </c>
      <c r="AB857" s="85"/>
      <c r="AD857" s="78" t="s">
        <v>669</v>
      </c>
      <c r="AE857" s="82"/>
      <c r="AF857" s="81" t="s">
        <v>2538</v>
      </c>
      <c r="AG857" s="81" t="s">
        <v>2256</v>
      </c>
      <c r="AH857" s="83">
        <v>1500</v>
      </c>
      <c r="AI857" s="85"/>
    </row>
    <row r="858" spans="1:35" s="79" customFormat="1" ht="11.25" customHeight="1" x14ac:dyDescent="0.2">
      <c r="A858" s="77" t="s">
        <v>767</v>
      </c>
      <c r="B858" s="80">
        <v>1148</v>
      </c>
      <c r="C858" s="81" t="s">
        <v>766</v>
      </c>
      <c r="D858" s="73">
        <v>100</v>
      </c>
      <c r="E858" s="79" t="s">
        <v>20</v>
      </c>
      <c r="F858" s="79" t="s">
        <v>3725</v>
      </c>
      <c r="G858" s="79" t="s">
        <v>2996</v>
      </c>
      <c r="H858" s="79" t="s">
        <v>43</v>
      </c>
      <c r="I858" s="81" t="s">
        <v>3000</v>
      </c>
      <c r="J858" s="81">
        <v>25</v>
      </c>
      <c r="K858" s="86"/>
      <c r="M858" s="78" t="s">
        <v>764</v>
      </c>
      <c r="N858" s="82" t="s">
        <v>135</v>
      </c>
      <c r="O858" s="81" t="s">
        <v>2409</v>
      </c>
      <c r="P858" s="81" t="s">
        <v>2830</v>
      </c>
      <c r="Q858" s="81"/>
      <c r="R858" s="83" t="s">
        <v>3427</v>
      </c>
      <c r="S858" s="79" t="s">
        <v>3101</v>
      </c>
      <c r="T858" s="84" t="s">
        <v>3598</v>
      </c>
      <c r="U858" s="81"/>
      <c r="V858" s="81"/>
      <c r="W858" s="78" t="s">
        <v>764</v>
      </c>
      <c r="X858" s="82" t="s">
        <v>135</v>
      </c>
      <c r="Y858" s="81" t="s">
        <v>2409</v>
      </c>
      <c r="Z858" s="81" t="s">
        <v>2830</v>
      </c>
      <c r="AA858" s="81" t="s">
        <v>137</v>
      </c>
      <c r="AB858" s="85"/>
      <c r="AD858" s="78" t="s">
        <v>764</v>
      </c>
      <c r="AE858" s="82" t="s">
        <v>135</v>
      </c>
      <c r="AF858" s="81" t="s">
        <v>2409</v>
      </c>
      <c r="AG858" s="81" t="s">
        <v>2830</v>
      </c>
      <c r="AH858" s="81" t="s">
        <v>136</v>
      </c>
      <c r="AI858" s="85"/>
    </row>
    <row r="859" spans="1:35" s="79" customFormat="1" ht="11.25" customHeight="1" x14ac:dyDescent="0.2">
      <c r="A859" s="77" t="s">
        <v>765</v>
      </c>
      <c r="B859" s="80">
        <v>1147</v>
      </c>
      <c r="C859" s="81" t="s">
        <v>764</v>
      </c>
      <c r="D859" s="73">
        <v>100</v>
      </c>
      <c r="E859" s="79" t="s">
        <v>20</v>
      </c>
      <c r="F859" s="79" t="s">
        <v>3725</v>
      </c>
      <c r="G859" s="79" t="s">
        <v>2996</v>
      </c>
      <c r="H859" s="79" t="s">
        <v>43</v>
      </c>
      <c r="I859" s="81" t="s">
        <v>3000</v>
      </c>
      <c r="J859" s="81">
        <v>25</v>
      </c>
      <c r="K859" s="86"/>
      <c r="M859" s="78" t="s">
        <v>764</v>
      </c>
      <c r="N859" s="82"/>
      <c r="O859" s="81" t="s">
        <v>2256</v>
      </c>
      <c r="P859" s="81" t="s">
        <v>2256</v>
      </c>
      <c r="Q859" s="81"/>
      <c r="R859" s="83">
        <v>500</v>
      </c>
      <c r="S859" s="79" t="s">
        <v>2999</v>
      </c>
      <c r="T859" s="84">
        <v>50000</v>
      </c>
      <c r="U859" s="81"/>
      <c r="V859" s="81"/>
      <c r="W859" s="78" t="s">
        <v>764</v>
      </c>
      <c r="X859" s="82"/>
      <c r="Y859" s="81" t="s">
        <v>2256</v>
      </c>
      <c r="Z859" s="81" t="s">
        <v>2256</v>
      </c>
      <c r="AA859" s="83">
        <v>2500</v>
      </c>
      <c r="AB859" s="85"/>
      <c r="AD859" s="78" t="s">
        <v>764</v>
      </c>
      <c r="AE859" s="82"/>
      <c r="AF859" s="81" t="s">
        <v>2256</v>
      </c>
      <c r="AG859" s="81" t="s">
        <v>2256</v>
      </c>
      <c r="AH859" s="83">
        <v>5000</v>
      </c>
      <c r="AI859" s="85"/>
    </row>
    <row r="860" spans="1:35" s="79" customFormat="1" ht="11.25" customHeight="1" x14ac:dyDescent="0.2">
      <c r="A860" s="77" t="s">
        <v>845</v>
      </c>
      <c r="B860" s="80">
        <v>975</v>
      </c>
      <c r="C860" s="81" t="s">
        <v>844</v>
      </c>
      <c r="D860" s="73">
        <v>1000</v>
      </c>
      <c r="E860" s="79" t="s">
        <v>28</v>
      </c>
      <c r="F860" s="79" t="s">
        <v>3725</v>
      </c>
      <c r="G860" s="79" t="s">
        <v>2996</v>
      </c>
      <c r="H860" s="79" t="s">
        <v>43</v>
      </c>
      <c r="I860" s="81" t="s">
        <v>3000</v>
      </c>
      <c r="J860" s="81">
        <v>25</v>
      </c>
      <c r="K860" s="86"/>
      <c r="M860" s="78" t="s">
        <v>834</v>
      </c>
      <c r="N860" s="82" t="s">
        <v>31</v>
      </c>
      <c r="O860" s="81" t="s">
        <v>2436</v>
      </c>
      <c r="P860" s="81" t="s">
        <v>2848</v>
      </c>
      <c r="Q860" s="81"/>
      <c r="R860" s="83" t="s">
        <v>3450</v>
      </c>
      <c r="S860" s="79" t="s">
        <v>3122</v>
      </c>
      <c r="T860" s="84" t="s">
        <v>3590</v>
      </c>
      <c r="U860" s="81"/>
      <c r="V860" s="81"/>
      <c r="W860" s="78" t="s">
        <v>834</v>
      </c>
      <c r="X860" s="82" t="s">
        <v>31</v>
      </c>
      <c r="Y860" s="81" t="s">
        <v>2436</v>
      </c>
      <c r="Z860" s="81" t="s">
        <v>2848</v>
      </c>
      <c r="AA860" s="81" t="s">
        <v>252</v>
      </c>
      <c r="AB860" s="85"/>
      <c r="AD860" s="78" t="s">
        <v>834</v>
      </c>
      <c r="AE860" s="82" t="s">
        <v>31</v>
      </c>
      <c r="AF860" s="81" t="s">
        <v>2436</v>
      </c>
      <c r="AG860" s="81" t="s">
        <v>2848</v>
      </c>
      <c r="AH860" s="81" t="s">
        <v>147</v>
      </c>
      <c r="AI860" s="85"/>
    </row>
    <row r="861" spans="1:35" s="79" customFormat="1" ht="11.25" customHeight="1" x14ac:dyDescent="0.2">
      <c r="A861" s="77" t="s">
        <v>833</v>
      </c>
      <c r="B861" s="80">
        <v>1089</v>
      </c>
      <c r="C861" s="81" t="s">
        <v>832</v>
      </c>
      <c r="D861" s="73">
        <v>1000</v>
      </c>
      <c r="E861" s="79" t="s">
        <v>28</v>
      </c>
      <c r="F861" s="79" t="s">
        <v>3725</v>
      </c>
      <c r="G861" s="79" t="s">
        <v>2996</v>
      </c>
      <c r="H861" s="79" t="s">
        <v>43</v>
      </c>
      <c r="I861" s="81" t="s">
        <v>3000</v>
      </c>
      <c r="J861" s="81">
        <v>25</v>
      </c>
      <c r="K861" s="86"/>
      <c r="M861" s="78" t="s">
        <v>834</v>
      </c>
      <c r="N861" s="82" t="s">
        <v>244</v>
      </c>
      <c r="O861" s="81" t="s">
        <v>2432</v>
      </c>
      <c r="P861" s="81" t="s">
        <v>2846</v>
      </c>
      <c r="Q861" s="81"/>
      <c r="R861" s="83" t="s">
        <v>3438</v>
      </c>
      <c r="S861" s="79" t="s">
        <v>3119</v>
      </c>
      <c r="T861" s="84" t="s">
        <v>3588</v>
      </c>
      <c r="U861" s="81"/>
      <c r="V861" s="81"/>
      <c r="W861" s="78" t="s">
        <v>834</v>
      </c>
      <c r="X861" s="82" t="s">
        <v>244</v>
      </c>
      <c r="Y861" s="81" t="s">
        <v>2432</v>
      </c>
      <c r="Z861" s="81" t="s">
        <v>2846</v>
      </c>
      <c r="AA861" s="81" t="s">
        <v>246</v>
      </c>
      <c r="AB861" s="85"/>
      <c r="AD861" s="78" t="s">
        <v>834</v>
      </c>
      <c r="AE861" s="82" t="s">
        <v>244</v>
      </c>
      <c r="AF861" s="81" t="s">
        <v>2432</v>
      </c>
      <c r="AG861" s="81" t="s">
        <v>2846</v>
      </c>
      <c r="AH861" s="81" t="s">
        <v>245</v>
      </c>
      <c r="AI861" s="85"/>
    </row>
    <row r="862" spans="1:35" s="79" customFormat="1" ht="11.25" customHeight="1" x14ac:dyDescent="0.2">
      <c r="A862" s="77" t="s">
        <v>1664</v>
      </c>
      <c r="B862" s="80">
        <v>1101</v>
      </c>
      <c r="C862" s="81" t="s">
        <v>1663</v>
      </c>
      <c r="D862" s="73">
        <v>1000</v>
      </c>
      <c r="E862" s="79" t="s">
        <v>28</v>
      </c>
      <c r="F862" s="79" t="s">
        <v>3725</v>
      </c>
      <c r="G862" s="79" t="s">
        <v>2996</v>
      </c>
      <c r="H862" s="79" t="s">
        <v>43</v>
      </c>
      <c r="I862" s="81" t="s">
        <v>3000</v>
      </c>
      <c r="J862" s="81">
        <v>25</v>
      </c>
      <c r="K862" s="86"/>
      <c r="M862" s="78" t="s">
        <v>834</v>
      </c>
      <c r="N862" s="82" t="s">
        <v>244</v>
      </c>
      <c r="O862" s="81" t="s">
        <v>2634</v>
      </c>
      <c r="P862" s="81" t="s">
        <v>2926</v>
      </c>
      <c r="Q862" s="81"/>
      <c r="R862" s="83" t="s">
        <v>3438</v>
      </c>
      <c r="S862" s="79" t="s">
        <v>3119</v>
      </c>
      <c r="T862" s="84" t="s">
        <v>3588</v>
      </c>
      <c r="U862" s="81"/>
      <c r="V862" s="81"/>
      <c r="W862" s="78" t="s">
        <v>834</v>
      </c>
      <c r="X862" s="82" t="s">
        <v>244</v>
      </c>
      <c r="Y862" s="81" t="s">
        <v>2634</v>
      </c>
      <c r="Z862" s="81" t="s">
        <v>2926</v>
      </c>
      <c r="AA862" s="81" t="s">
        <v>246</v>
      </c>
      <c r="AB862" s="85"/>
      <c r="AD862" s="78" t="s">
        <v>834</v>
      </c>
      <c r="AE862" s="82" t="s">
        <v>244</v>
      </c>
      <c r="AF862" s="81" t="s">
        <v>2634</v>
      </c>
      <c r="AG862" s="81" t="s">
        <v>2926</v>
      </c>
      <c r="AH862" s="81" t="s">
        <v>245</v>
      </c>
      <c r="AI862" s="85"/>
    </row>
    <row r="863" spans="1:35" s="79" customFormat="1" ht="11.25" customHeight="1" x14ac:dyDescent="0.2">
      <c r="A863" s="77" t="s">
        <v>1711</v>
      </c>
      <c r="B863" s="80">
        <v>973</v>
      </c>
      <c r="C863" s="81" t="s">
        <v>1710</v>
      </c>
      <c r="D863" s="73">
        <v>42000</v>
      </c>
      <c r="E863" s="79" t="s">
        <v>42</v>
      </c>
      <c r="F863" s="79" t="s">
        <v>3725</v>
      </c>
      <c r="G863" s="79" t="s">
        <v>2996</v>
      </c>
      <c r="H863" s="79" t="s">
        <v>43</v>
      </c>
      <c r="I863" s="81" t="s">
        <v>3000</v>
      </c>
      <c r="J863" s="81">
        <v>25</v>
      </c>
      <c r="K863" s="86"/>
      <c r="M863" s="78" t="s">
        <v>834</v>
      </c>
      <c r="N863" s="82" t="s">
        <v>244</v>
      </c>
      <c r="O863" s="81" t="s">
        <v>2648</v>
      </c>
      <c r="P863" s="81" t="s">
        <v>2934</v>
      </c>
      <c r="Q863" s="81"/>
      <c r="R863" s="83" t="s">
        <v>3438</v>
      </c>
      <c r="S863" s="79" t="s">
        <v>3119</v>
      </c>
      <c r="T863" s="84" t="s">
        <v>3588</v>
      </c>
      <c r="U863" s="81"/>
      <c r="V863" s="81"/>
      <c r="W863" s="78" t="s">
        <v>834</v>
      </c>
      <c r="X863" s="82" t="s">
        <v>244</v>
      </c>
      <c r="Y863" s="81" t="s">
        <v>2648</v>
      </c>
      <c r="Z863" s="81" t="s">
        <v>2934</v>
      </c>
      <c r="AA863" s="81" t="s">
        <v>246</v>
      </c>
      <c r="AB863" s="85"/>
      <c r="AD863" s="78" t="s">
        <v>834</v>
      </c>
      <c r="AE863" s="82" t="s">
        <v>244</v>
      </c>
      <c r="AF863" s="81" t="s">
        <v>2648</v>
      </c>
      <c r="AG863" s="81" t="s">
        <v>2934</v>
      </c>
      <c r="AH863" s="81" t="s">
        <v>245</v>
      </c>
      <c r="AI863" s="85"/>
    </row>
    <row r="864" spans="1:35" s="79" customFormat="1" ht="11.25" customHeight="1" x14ac:dyDescent="0.2">
      <c r="A864" s="77" t="s">
        <v>850</v>
      </c>
      <c r="B864" s="80">
        <v>974</v>
      </c>
      <c r="C864" s="81" t="s">
        <v>834</v>
      </c>
      <c r="D864" s="73">
        <v>1000</v>
      </c>
      <c r="E864" s="79" t="s">
        <v>28</v>
      </c>
      <c r="F864" s="79" t="s">
        <v>3725</v>
      </c>
      <c r="G864" s="79" t="s">
        <v>2996</v>
      </c>
      <c r="H864" s="79" t="s">
        <v>43</v>
      </c>
      <c r="I864" s="81" t="s">
        <v>3000</v>
      </c>
      <c r="J864" s="81">
        <v>25</v>
      </c>
      <c r="K864" s="86"/>
      <c r="M864" s="78" t="s">
        <v>834</v>
      </c>
      <c r="N864" s="82"/>
      <c r="O864" s="81" t="s">
        <v>2256</v>
      </c>
      <c r="P864" s="81" t="s">
        <v>2256</v>
      </c>
      <c r="Q864" s="81"/>
      <c r="R864" s="83">
        <v>2000</v>
      </c>
      <c r="S864" s="79" t="s">
        <v>2999</v>
      </c>
      <c r="T864" s="84">
        <v>2000000</v>
      </c>
      <c r="U864" s="81"/>
      <c r="V864" s="81"/>
      <c r="W864" s="78" t="s">
        <v>834</v>
      </c>
      <c r="X864" s="82"/>
      <c r="Y864" s="81" t="s">
        <v>2256</v>
      </c>
      <c r="Z864" s="81" t="s">
        <v>2256</v>
      </c>
      <c r="AA864" s="83">
        <v>10000</v>
      </c>
      <c r="AB864" s="85"/>
      <c r="AD864" s="78" t="s">
        <v>834</v>
      </c>
      <c r="AE864" s="82"/>
      <c r="AF864" s="81" t="s">
        <v>2256</v>
      </c>
      <c r="AG864" s="81" t="s">
        <v>2256</v>
      </c>
      <c r="AH864" s="83">
        <v>10000</v>
      </c>
      <c r="AI864" s="85"/>
    </row>
    <row r="865" spans="1:35" s="79" customFormat="1" ht="11.25" customHeight="1" x14ac:dyDescent="0.2">
      <c r="A865" s="77" t="s">
        <v>1869</v>
      </c>
      <c r="B865" s="80">
        <v>1102</v>
      </c>
      <c r="C865" s="81" t="s">
        <v>1868</v>
      </c>
      <c r="D865" s="73">
        <v>42000</v>
      </c>
      <c r="E865" s="79" t="s">
        <v>42</v>
      </c>
      <c r="F865" s="79" t="s">
        <v>3725</v>
      </c>
      <c r="G865" s="79" t="s">
        <v>2996</v>
      </c>
      <c r="H865" s="79" t="s">
        <v>43</v>
      </c>
      <c r="I865" s="81" t="s">
        <v>3000</v>
      </c>
      <c r="J865" s="81">
        <v>25</v>
      </c>
      <c r="K865" s="86"/>
      <c r="M865" s="78" t="s">
        <v>834</v>
      </c>
      <c r="N865" s="82"/>
      <c r="O865" s="81" t="s">
        <v>2677</v>
      </c>
      <c r="P865" s="81" t="s">
        <v>2256</v>
      </c>
      <c r="Q865" s="81"/>
      <c r="R865" s="83">
        <v>2000</v>
      </c>
      <c r="S865" s="79" t="s">
        <v>3221</v>
      </c>
      <c r="T865" s="84">
        <v>2000000</v>
      </c>
      <c r="U865" s="81"/>
      <c r="V865" s="81"/>
      <c r="W865" s="78" t="s">
        <v>834</v>
      </c>
      <c r="X865" s="82"/>
      <c r="Y865" s="81" t="s">
        <v>2677</v>
      </c>
      <c r="Z865" s="81" t="s">
        <v>2256</v>
      </c>
      <c r="AA865" s="83">
        <v>10000</v>
      </c>
      <c r="AB865" s="85"/>
      <c r="AD865" s="78" t="s">
        <v>834</v>
      </c>
      <c r="AE865" s="82"/>
      <c r="AF865" s="81" t="s">
        <v>2677</v>
      </c>
      <c r="AG865" s="81" t="s">
        <v>2256</v>
      </c>
      <c r="AH865" s="83">
        <v>10000</v>
      </c>
      <c r="AI865" s="85"/>
    </row>
    <row r="866" spans="1:35" s="79" customFormat="1" ht="11.25" customHeight="1" x14ac:dyDescent="0.2">
      <c r="A866" s="77" t="s">
        <v>428</v>
      </c>
      <c r="B866" s="80">
        <v>339</v>
      </c>
      <c r="C866" s="81" t="s">
        <v>427</v>
      </c>
      <c r="D866" s="73">
        <v>42000</v>
      </c>
      <c r="E866" s="79" t="s">
        <v>42</v>
      </c>
      <c r="F866" s="79" t="s">
        <v>3725</v>
      </c>
      <c r="G866" s="79" t="s">
        <v>2996</v>
      </c>
      <c r="H866" s="79" t="s">
        <v>43</v>
      </c>
      <c r="I866" s="81" t="s">
        <v>3000</v>
      </c>
      <c r="J866" s="81">
        <v>25</v>
      </c>
      <c r="K866" s="86"/>
      <c r="M866" s="78" t="s">
        <v>429</v>
      </c>
      <c r="N866" s="82" t="s">
        <v>44</v>
      </c>
      <c r="O866" s="81" t="s">
        <v>2340</v>
      </c>
      <c r="P866" s="81" t="s">
        <v>2797</v>
      </c>
      <c r="Q866" s="81"/>
      <c r="R866" s="83" t="s">
        <v>864</v>
      </c>
      <c r="S866" s="79" t="s">
        <v>3059</v>
      </c>
      <c r="T866" s="84" t="s">
        <v>3416</v>
      </c>
      <c r="U866" s="81"/>
      <c r="V866" s="81"/>
      <c r="W866" s="78" t="s">
        <v>429</v>
      </c>
      <c r="X866" s="82" t="s">
        <v>44</v>
      </c>
      <c r="Y866" s="81" t="s">
        <v>2340</v>
      </c>
      <c r="Z866" s="81" t="s">
        <v>2797</v>
      </c>
      <c r="AA866" s="81" t="s">
        <v>246</v>
      </c>
      <c r="AB866" s="85"/>
      <c r="AD866" s="78" t="s">
        <v>429</v>
      </c>
      <c r="AE866" s="82" t="s">
        <v>44</v>
      </c>
      <c r="AF866" s="81" t="s">
        <v>2340</v>
      </c>
      <c r="AG866" s="81" t="s">
        <v>2797</v>
      </c>
      <c r="AH866" s="81" t="s">
        <v>245</v>
      </c>
      <c r="AI866" s="85"/>
    </row>
    <row r="867" spans="1:35" s="79" customFormat="1" ht="11.25" x14ac:dyDescent="0.2">
      <c r="A867" s="77" t="s">
        <v>1264</v>
      </c>
      <c r="B867" s="80">
        <v>608</v>
      </c>
      <c r="C867" s="81" t="s">
        <v>1263</v>
      </c>
      <c r="D867" s="73">
        <v>42000</v>
      </c>
      <c r="E867" s="79" t="s">
        <v>42</v>
      </c>
      <c r="F867" s="79" t="s">
        <v>3725</v>
      </c>
      <c r="G867" s="79" t="s">
        <v>2996</v>
      </c>
      <c r="H867" s="79" t="s">
        <v>43</v>
      </c>
      <c r="I867" s="81" t="s">
        <v>3000</v>
      </c>
      <c r="J867" s="81">
        <v>25</v>
      </c>
      <c r="K867" s="86"/>
      <c r="M867" s="78" t="s">
        <v>429</v>
      </c>
      <c r="N867" s="82" t="s">
        <v>44</v>
      </c>
      <c r="O867" s="81" t="s">
        <v>2535</v>
      </c>
      <c r="P867" s="81" t="s">
        <v>2894</v>
      </c>
      <c r="Q867" s="81"/>
      <c r="R867" s="83" t="s">
        <v>864</v>
      </c>
      <c r="S867" s="79" t="s">
        <v>3059</v>
      </c>
      <c r="T867" s="84" t="s">
        <v>3416</v>
      </c>
      <c r="U867" s="81"/>
      <c r="V867" s="81"/>
      <c r="W867" s="78" t="s">
        <v>429</v>
      </c>
      <c r="X867" s="82" t="s">
        <v>44</v>
      </c>
      <c r="Y867" s="81" t="s">
        <v>2535</v>
      </c>
      <c r="Z867" s="81" t="s">
        <v>2894</v>
      </c>
      <c r="AA867" s="81" t="s">
        <v>246</v>
      </c>
      <c r="AB867" s="85"/>
      <c r="AD867" s="78" t="s">
        <v>429</v>
      </c>
      <c r="AE867" s="82" t="s">
        <v>44</v>
      </c>
      <c r="AF867" s="81" t="s">
        <v>2535</v>
      </c>
      <c r="AG867" s="81" t="s">
        <v>2894</v>
      </c>
      <c r="AH867" s="81" t="s">
        <v>245</v>
      </c>
      <c r="AI867" s="85"/>
    </row>
    <row r="868" spans="1:35" s="79" customFormat="1" ht="11.25" customHeight="1" x14ac:dyDescent="0.2">
      <c r="A868" s="77" t="s">
        <v>853</v>
      </c>
      <c r="B868" s="80">
        <v>528</v>
      </c>
      <c r="C868" s="81" t="s">
        <v>429</v>
      </c>
      <c r="D868" s="73">
        <v>42000</v>
      </c>
      <c r="E868" s="79" t="s">
        <v>42</v>
      </c>
      <c r="F868" s="79" t="s">
        <v>3725</v>
      </c>
      <c r="G868" s="79" t="s">
        <v>2996</v>
      </c>
      <c r="H868" s="79" t="s">
        <v>43</v>
      </c>
      <c r="I868" s="81" t="s">
        <v>3000</v>
      </c>
      <c r="J868" s="81">
        <v>25</v>
      </c>
      <c r="K868" s="86"/>
      <c r="M868" s="78" t="s">
        <v>429</v>
      </c>
      <c r="N868" s="82"/>
      <c r="O868" s="81" t="s">
        <v>2256</v>
      </c>
      <c r="P868" s="81" t="s">
        <v>2256</v>
      </c>
      <c r="Q868" s="81"/>
      <c r="R868" s="83">
        <v>1000</v>
      </c>
      <c r="S868" s="79" t="s">
        <v>2999</v>
      </c>
      <c r="T868" s="84">
        <v>42000000</v>
      </c>
      <c r="U868" s="81"/>
      <c r="V868" s="81"/>
      <c r="W868" s="78" t="s">
        <v>429</v>
      </c>
      <c r="X868" s="82"/>
      <c r="Y868" s="81" t="s">
        <v>2256</v>
      </c>
      <c r="Z868" s="81" t="s">
        <v>2256</v>
      </c>
      <c r="AA868" s="83">
        <v>10000</v>
      </c>
      <c r="AB868" s="85"/>
      <c r="AD868" s="78" t="s">
        <v>429</v>
      </c>
      <c r="AE868" s="82"/>
      <c r="AF868" s="81" t="s">
        <v>2256</v>
      </c>
      <c r="AG868" s="81" t="s">
        <v>2256</v>
      </c>
      <c r="AH868" s="83">
        <v>10000</v>
      </c>
      <c r="AI868" s="85"/>
    </row>
    <row r="869" spans="1:35" s="79" customFormat="1" ht="11.25" customHeight="1" x14ac:dyDescent="0.2">
      <c r="A869" s="77" t="s">
        <v>897</v>
      </c>
      <c r="B869" s="80">
        <v>424</v>
      </c>
      <c r="C869" s="81" t="s">
        <v>896</v>
      </c>
      <c r="D869" s="73">
        <v>42000</v>
      </c>
      <c r="E869" s="79" t="s">
        <v>42</v>
      </c>
      <c r="F869" s="79" t="s">
        <v>30</v>
      </c>
      <c r="G869" s="79" t="s">
        <v>3001</v>
      </c>
      <c r="H869" s="79" t="s">
        <v>43</v>
      </c>
      <c r="I869" s="81" t="s">
        <v>3000</v>
      </c>
      <c r="J869" s="81">
        <v>25</v>
      </c>
      <c r="K869" s="86"/>
      <c r="M869" s="78" t="s">
        <v>429</v>
      </c>
      <c r="N869" s="82"/>
      <c r="O869" s="81" t="s">
        <v>2453</v>
      </c>
      <c r="P869" s="81" t="s">
        <v>2256</v>
      </c>
      <c r="Q869" s="81"/>
      <c r="R869" s="83">
        <v>1000</v>
      </c>
      <c r="S869" s="79" t="s">
        <v>3136</v>
      </c>
      <c r="T869" s="84">
        <v>42000000</v>
      </c>
      <c r="U869" s="81"/>
      <c r="V869" s="81"/>
      <c r="W869" s="78" t="s">
        <v>429</v>
      </c>
      <c r="X869" s="82"/>
      <c r="Y869" s="81" t="s">
        <v>2453</v>
      </c>
      <c r="Z869" s="81" t="s">
        <v>2256</v>
      </c>
      <c r="AA869" s="83">
        <v>10000</v>
      </c>
      <c r="AB869" s="85"/>
      <c r="AD869" s="78" t="s">
        <v>429</v>
      </c>
      <c r="AE869" s="82"/>
      <c r="AF869" s="81" t="s">
        <v>2453</v>
      </c>
      <c r="AG869" s="81" t="s">
        <v>2256</v>
      </c>
      <c r="AH869" s="83">
        <v>10000</v>
      </c>
      <c r="AI869" s="85"/>
    </row>
    <row r="870" spans="1:35" s="79" customFormat="1" ht="11.25" x14ac:dyDescent="0.2">
      <c r="A870" s="77" t="s">
        <v>883</v>
      </c>
      <c r="B870" s="80">
        <v>998</v>
      </c>
      <c r="C870" s="81" t="s">
        <v>882</v>
      </c>
      <c r="D870" s="73">
        <v>1000</v>
      </c>
      <c r="E870" s="79" t="s">
        <v>28</v>
      </c>
      <c r="F870" s="79" t="s">
        <v>3725</v>
      </c>
      <c r="G870" s="79" t="s">
        <v>2996</v>
      </c>
      <c r="H870" s="79" t="s">
        <v>43</v>
      </c>
      <c r="I870" s="81" t="s">
        <v>3000</v>
      </c>
      <c r="J870" s="81">
        <v>25</v>
      </c>
      <c r="K870" s="86"/>
      <c r="M870" s="78" t="s">
        <v>687</v>
      </c>
      <c r="N870" s="82" t="s">
        <v>95</v>
      </c>
      <c r="O870" s="81" t="s">
        <v>2449</v>
      </c>
      <c r="P870" s="81" t="s">
        <v>2859</v>
      </c>
      <c r="Q870" s="81"/>
      <c r="R870" s="83" t="s">
        <v>3444</v>
      </c>
      <c r="S870" s="79" t="s">
        <v>3134</v>
      </c>
      <c r="T870" s="84" t="s">
        <v>3575</v>
      </c>
      <c r="U870" s="81"/>
      <c r="V870" s="81"/>
      <c r="W870" s="78" t="s">
        <v>687</v>
      </c>
      <c r="X870" s="82" t="s">
        <v>95</v>
      </c>
      <c r="Y870" s="81" t="s">
        <v>2449</v>
      </c>
      <c r="Z870" s="81" t="s">
        <v>2859</v>
      </c>
      <c r="AA870" s="81" t="s">
        <v>857</v>
      </c>
      <c r="AB870" s="85"/>
      <c r="AD870" s="78" t="s">
        <v>687</v>
      </c>
      <c r="AE870" s="82" t="s">
        <v>95</v>
      </c>
      <c r="AF870" s="81" t="s">
        <v>2449</v>
      </c>
      <c r="AG870" s="81" t="s">
        <v>2859</v>
      </c>
      <c r="AH870" s="81" t="s">
        <v>856</v>
      </c>
      <c r="AI870" s="85"/>
    </row>
    <row r="871" spans="1:35" s="79" customFormat="1" ht="11.25" customHeight="1" x14ac:dyDescent="0.2">
      <c r="A871" s="77" t="s">
        <v>881</v>
      </c>
      <c r="B871" s="80">
        <v>996</v>
      </c>
      <c r="C871" s="81" t="s">
        <v>880</v>
      </c>
      <c r="D871" s="73">
        <v>1000</v>
      </c>
      <c r="E871" s="79" t="s">
        <v>20</v>
      </c>
      <c r="F871" s="79" t="s">
        <v>3725</v>
      </c>
      <c r="G871" s="79" t="s">
        <v>2996</v>
      </c>
      <c r="H871" s="79" t="s">
        <v>43</v>
      </c>
      <c r="I871" s="81" t="s">
        <v>3000</v>
      </c>
      <c r="J871" s="81">
        <v>25</v>
      </c>
      <c r="K871" s="86"/>
      <c r="M871" s="78" t="s">
        <v>687</v>
      </c>
      <c r="N871" s="82" t="s">
        <v>135</v>
      </c>
      <c r="O871" s="81" t="s">
        <v>2448</v>
      </c>
      <c r="P871" s="81" t="s">
        <v>2858</v>
      </c>
      <c r="Q871" s="81"/>
      <c r="R871" s="83" t="s">
        <v>3426</v>
      </c>
      <c r="S871" s="79" t="s">
        <v>3133</v>
      </c>
      <c r="T871" s="84" t="s">
        <v>3599</v>
      </c>
      <c r="U871" s="81"/>
      <c r="V871" s="81"/>
      <c r="W871" s="78" t="s">
        <v>687</v>
      </c>
      <c r="X871" s="82" t="s">
        <v>135</v>
      </c>
      <c r="Y871" s="81" t="s">
        <v>2448</v>
      </c>
      <c r="Z871" s="81" t="s">
        <v>2858</v>
      </c>
      <c r="AA871" s="81" t="s">
        <v>552</v>
      </c>
      <c r="AB871" s="85"/>
      <c r="AD871" s="78" t="s">
        <v>687</v>
      </c>
      <c r="AE871" s="82" t="s">
        <v>135</v>
      </c>
      <c r="AF871" s="81" t="s">
        <v>2448</v>
      </c>
      <c r="AG871" s="81" t="s">
        <v>2858</v>
      </c>
      <c r="AH871" s="81" t="s">
        <v>551</v>
      </c>
      <c r="AI871" s="85"/>
    </row>
    <row r="872" spans="1:35" s="79" customFormat="1" ht="11.25" customHeight="1" x14ac:dyDescent="0.2">
      <c r="A872" s="77" t="s">
        <v>885</v>
      </c>
      <c r="B872" s="80">
        <v>997</v>
      </c>
      <c r="C872" s="81" t="s">
        <v>884</v>
      </c>
      <c r="D872" s="73">
        <v>1000</v>
      </c>
      <c r="E872" s="79" t="s">
        <v>20</v>
      </c>
      <c r="F872" s="79" t="s">
        <v>3725</v>
      </c>
      <c r="G872" s="79" t="s">
        <v>2996</v>
      </c>
      <c r="H872" s="79" t="s">
        <v>43</v>
      </c>
      <c r="I872" s="81" t="s">
        <v>3000</v>
      </c>
      <c r="J872" s="81">
        <v>25</v>
      </c>
      <c r="K872" s="86"/>
      <c r="M872" s="78" t="s">
        <v>687</v>
      </c>
      <c r="N872" s="82" t="s">
        <v>135</v>
      </c>
      <c r="O872" s="81" t="s">
        <v>2450</v>
      </c>
      <c r="P872" s="81" t="s">
        <v>2860</v>
      </c>
      <c r="Q872" s="81"/>
      <c r="R872" s="83" t="s">
        <v>3426</v>
      </c>
      <c r="S872" s="79" t="s">
        <v>3133</v>
      </c>
      <c r="T872" s="84" t="s">
        <v>3599</v>
      </c>
      <c r="U872" s="81"/>
      <c r="V872" s="81"/>
      <c r="W872" s="78" t="s">
        <v>687</v>
      </c>
      <c r="X872" s="82" t="s">
        <v>135</v>
      </c>
      <c r="Y872" s="81" t="s">
        <v>2450</v>
      </c>
      <c r="Z872" s="81" t="s">
        <v>2860</v>
      </c>
      <c r="AA872" s="81" t="s">
        <v>552</v>
      </c>
      <c r="AB872" s="85"/>
      <c r="AD872" s="78" t="s">
        <v>687</v>
      </c>
      <c r="AE872" s="82" t="s">
        <v>135</v>
      </c>
      <c r="AF872" s="81" t="s">
        <v>2450</v>
      </c>
      <c r="AG872" s="81" t="s">
        <v>2860</v>
      </c>
      <c r="AH872" s="81" t="s">
        <v>551</v>
      </c>
      <c r="AI872" s="85"/>
    </row>
    <row r="873" spans="1:35" s="79" customFormat="1" ht="11.25" customHeight="1" x14ac:dyDescent="0.2">
      <c r="A873" s="77" t="s">
        <v>863</v>
      </c>
      <c r="B873" s="80">
        <v>1123</v>
      </c>
      <c r="C873" s="81" t="s">
        <v>862</v>
      </c>
      <c r="D873" s="73">
        <v>1000</v>
      </c>
      <c r="E873" s="79" t="s">
        <v>20</v>
      </c>
      <c r="F873" s="79" t="s">
        <v>3725</v>
      </c>
      <c r="G873" s="79" t="s">
        <v>2996</v>
      </c>
      <c r="H873" s="79" t="s">
        <v>43</v>
      </c>
      <c r="I873" s="81" t="s">
        <v>3000</v>
      </c>
      <c r="J873" s="81">
        <v>25</v>
      </c>
      <c r="K873" s="86"/>
      <c r="M873" s="78" t="s">
        <v>687</v>
      </c>
      <c r="N873" s="82" t="s">
        <v>85</v>
      </c>
      <c r="O873" s="81" t="s">
        <v>2443</v>
      </c>
      <c r="P873" s="81" t="s">
        <v>2854</v>
      </c>
      <c r="Q873" s="81"/>
      <c r="R873" s="83" t="s">
        <v>515</v>
      </c>
      <c r="S873" s="79" t="s">
        <v>3128</v>
      </c>
      <c r="T873" s="84" t="s">
        <v>3417</v>
      </c>
      <c r="U873" s="81"/>
      <c r="V873" s="81"/>
      <c r="W873" s="78" t="s">
        <v>687</v>
      </c>
      <c r="X873" s="82" t="s">
        <v>85</v>
      </c>
      <c r="Y873" s="81" t="s">
        <v>2443</v>
      </c>
      <c r="Z873" s="81" t="s">
        <v>2854</v>
      </c>
      <c r="AA873" s="81" t="s">
        <v>67</v>
      </c>
      <c r="AB873" s="85"/>
      <c r="AD873" s="78" t="s">
        <v>687</v>
      </c>
      <c r="AE873" s="82" t="s">
        <v>85</v>
      </c>
      <c r="AF873" s="81" t="s">
        <v>2443</v>
      </c>
      <c r="AG873" s="81" t="s">
        <v>2854</v>
      </c>
      <c r="AH873" s="81" t="s">
        <v>864</v>
      </c>
      <c r="AI873" s="85"/>
    </row>
    <row r="874" spans="1:35" s="79" customFormat="1" ht="11.25" customHeight="1" x14ac:dyDescent="0.2">
      <c r="A874" s="77" t="s">
        <v>861</v>
      </c>
      <c r="B874" s="80">
        <v>995</v>
      </c>
      <c r="C874" s="81" t="s">
        <v>860</v>
      </c>
      <c r="D874" s="73">
        <v>1000</v>
      </c>
      <c r="E874" s="79" t="s">
        <v>20</v>
      </c>
      <c r="F874" s="79" t="s">
        <v>3725</v>
      </c>
      <c r="G874" s="79" t="s">
        <v>2996</v>
      </c>
      <c r="H874" s="79" t="s">
        <v>43</v>
      </c>
      <c r="I874" s="81" t="s">
        <v>3000</v>
      </c>
      <c r="J874" s="81">
        <v>25</v>
      </c>
      <c r="K874" s="86"/>
      <c r="M874" s="78" t="s">
        <v>687</v>
      </c>
      <c r="N874" s="82"/>
      <c r="O874" s="81" t="s">
        <v>2442</v>
      </c>
      <c r="P874" s="81" t="s">
        <v>2256</v>
      </c>
      <c r="Q874" s="81"/>
      <c r="R874" s="83">
        <v>150</v>
      </c>
      <c r="S874" s="79" t="s">
        <v>3127</v>
      </c>
      <c r="T874" s="84">
        <v>150000</v>
      </c>
      <c r="U874" s="81"/>
      <c r="V874" s="81"/>
      <c r="W874" s="78" t="s">
        <v>687</v>
      </c>
      <c r="X874" s="82"/>
      <c r="Y874" s="81" t="s">
        <v>2442</v>
      </c>
      <c r="Z874" s="81" t="s">
        <v>2256</v>
      </c>
      <c r="AA874" s="80">
        <v>500</v>
      </c>
      <c r="AB874" s="85"/>
      <c r="AD874" s="78" t="s">
        <v>687</v>
      </c>
      <c r="AE874" s="82"/>
      <c r="AF874" s="81" t="s">
        <v>2442</v>
      </c>
      <c r="AG874" s="81" t="s">
        <v>2256</v>
      </c>
      <c r="AH874" s="83">
        <v>1000</v>
      </c>
      <c r="AI874" s="85"/>
    </row>
    <row r="875" spans="1:35" s="79" customFormat="1" ht="11.25" customHeight="1" x14ac:dyDescent="0.2">
      <c r="A875" s="77" t="s">
        <v>865</v>
      </c>
      <c r="B875" s="80">
        <v>994</v>
      </c>
      <c r="C875" s="81" t="s">
        <v>687</v>
      </c>
      <c r="D875" s="73">
        <v>1000</v>
      </c>
      <c r="E875" s="79" t="s">
        <v>20</v>
      </c>
      <c r="F875" s="79" t="s">
        <v>3725</v>
      </c>
      <c r="G875" s="79" t="s">
        <v>2996</v>
      </c>
      <c r="H875" s="79" t="s">
        <v>43</v>
      </c>
      <c r="I875" s="81" t="s">
        <v>3000</v>
      </c>
      <c r="J875" s="81">
        <v>25</v>
      </c>
      <c r="K875" s="86"/>
      <c r="M875" s="78" t="s">
        <v>687</v>
      </c>
      <c r="N875" s="82"/>
      <c r="O875" s="81" t="s">
        <v>2256</v>
      </c>
      <c r="P875" s="81" t="s">
        <v>2256</v>
      </c>
      <c r="Q875" s="81"/>
      <c r="R875" s="83">
        <v>150</v>
      </c>
      <c r="S875" s="79" t="s">
        <v>2999</v>
      </c>
      <c r="T875" s="84">
        <v>150000</v>
      </c>
      <c r="U875" s="81"/>
      <c r="V875" s="81"/>
      <c r="W875" s="78" t="s">
        <v>687</v>
      </c>
      <c r="X875" s="82"/>
      <c r="Y875" s="81" t="s">
        <v>2256</v>
      </c>
      <c r="Z875" s="81" t="s">
        <v>2256</v>
      </c>
      <c r="AA875" s="80">
        <v>500</v>
      </c>
      <c r="AB875" s="85"/>
      <c r="AD875" s="78" t="s">
        <v>687</v>
      </c>
      <c r="AE875" s="82"/>
      <c r="AF875" s="81" t="s">
        <v>2256</v>
      </c>
      <c r="AG875" s="81" t="s">
        <v>2256</v>
      </c>
      <c r="AH875" s="83">
        <v>1000</v>
      </c>
      <c r="AI875" s="85"/>
    </row>
    <row r="876" spans="1:35" s="79" customFormat="1" ht="11.25" customHeight="1" x14ac:dyDescent="0.2">
      <c r="A876" s="77" t="s">
        <v>1884</v>
      </c>
      <c r="B876" s="80">
        <v>515</v>
      </c>
      <c r="C876" s="81" t="s">
        <v>1883</v>
      </c>
      <c r="D876" s="73">
        <v>42000</v>
      </c>
      <c r="E876" s="79" t="s">
        <v>42</v>
      </c>
      <c r="F876" s="79" t="s">
        <v>3725</v>
      </c>
      <c r="G876" s="79" t="s">
        <v>2996</v>
      </c>
      <c r="H876" s="79" t="s">
        <v>43</v>
      </c>
      <c r="I876" s="81" t="s">
        <v>3000</v>
      </c>
      <c r="J876" s="81">
        <v>25</v>
      </c>
      <c r="K876" s="86"/>
      <c r="M876" s="78" t="s">
        <v>878</v>
      </c>
      <c r="N876" s="82" t="s">
        <v>44</v>
      </c>
      <c r="O876" s="81" t="s">
        <v>2680</v>
      </c>
      <c r="P876" s="81" t="s">
        <v>2953</v>
      </c>
      <c r="Q876" s="81"/>
      <c r="R876" s="83" t="s">
        <v>864</v>
      </c>
      <c r="S876" s="79" t="s">
        <v>3223</v>
      </c>
      <c r="T876" s="84" t="s">
        <v>3416</v>
      </c>
      <c r="U876" s="81"/>
      <c r="V876" s="81"/>
      <c r="W876" s="78" t="s">
        <v>878</v>
      </c>
      <c r="X876" s="82" t="s">
        <v>44</v>
      </c>
      <c r="Y876" s="81" t="s">
        <v>2680</v>
      </c>
      <c r="Z876" s="81" t="s">
        <v>2953</v>
      </c>
      <c r="AA876" s="81" t="s">
        <v>246</v>
      </c>
      <c r="AB876" s="85"/>
      <c r="AD876" s="78" t="s">
        <v>878</v>
      </c>
      <c r="AE876" s="82" t="s">
        <v>44</v>
      </c>
      <c r="AF876" s="81" t="s">
        <v>2680</v>
      </c>
      <c r="AG876" s="81" t="s">
        <v>2953</v>
      </c>
      <c r="AH876" s="81" t="s">
        <v>245</v>
      </c>
      <c r="AI876" s="85"/>
    </row>
    <row r="877" spans="1:35" s="79" customFormat="1" ht="11.25" customHeight="1" x14ac:dyDescent="0.2">
      <c r="A877" s="77" t="s">
        <v>1670</v>
      </c>
      <c r="B877" s="80">
        <v>513</v>
      </c>
      <c r="C877" s="81" t="s">
        <v>1669</v>
      </c>
      <c r="D877" s="73">
        <v>1000</v>
      </c>
      <c r="E877" s="79" t="s">
        <v>28</v>
      </c>
      <c r="F877" s="79" t="s">
        <v>3725</v>
      </c>
      <c r="G877" s="79" t="s">
        <v>2996</v>
      </c>
      <c r="H877" s="79" t="s">
        <v>43</v>
      </c>
      <c r="I877" s="81" t="s">
        <v>3000</v>
      </c>
      <c r="J877" s="81">
        <v>100</v>
      </c>
      <c r="K877" s="86"/>
      <c r="M877" s="78" t="s">
        <v>878</v>
      </c>
      <c r="N877" s="82" t="s">
        <v>31</v>
      </c>
      <c r="O877" s="81" t="s">
        <v>2636</v>
      </c>
      <c r="P877" s="81" t="s">
        <v>2927</v>
      </c>
      <c r="Q877" s="81"/>
      <c r="R877" s="83" t="s">
        <v>3431</v>
      </c>
      <c r="S877" s="79" t="s">
        <v>3200</v>
      </c>
      <c r="T877" s="84" t="s">
        <v>3573</v>
      </c>
      <c r="U877" s="81"/>
      <c r="V877" s="81"/>
      <c r="W877" s="78" t="s">
        <v>878</v>
      </c>
      <c r="X877" s="82" t="s">
        <v>31</v>
      </c>
      <c r="Y877" s="81" t="s">
        <v>2636</v>
      </c>
      <c r="Z877" s="81" t="s">
        <v>2927</v>
      </c>
      <c r="AA877" s="81" t="s">
        <v>252</v>
      </c>
      <c r="AB877" s="85"/>
      <c r="AD877" s="78" t="s">
        <v>878</v>
      </c>
      <c r="AE877" s="82" t="s">
        <v>31</v>
      </c>
      <c r="AF877" s="81" t="s">
        <v>2636</v>
      </c>
      <c r="AG877" s="81" t="s">
        <v>2927</v>
      </c>
      <c r="AH877" s="81" t="s">
        <v>147</v>
      </c>
      <c r="AI877" s="85"/>
    </row>
    <row r="878" spans="1:35" s="79" customFormat="1" ht="11.25" customHeight="1" x14ac:dyDescent="0.2">
      <c r="A878" s="77" t="s">
        <v>879</v>
      </c>
      <c r="B878" s="80">
        <v>527</v>
      </c>
      <c r="C878" s="81" t="s">
        <v>878</v>
      </c>
      <c r="D878" s="73">
        <v>42000</v>
      </c>
      <c r="E878" s="79" t="s">
        <v>42</v>
      </c>
      <c r="F878" s="79" t="s">
        <v>3725</v>
      </c>
      <c r="G878" s="79" t="s">
        <v>2996</v>
      </c>
      <c r="H878" s="79" t="s">
        <v>43</v>
      </c>
      <c r="I878" s="81" t="s">
        <v>3000</v>
      </c>
      <c r="J878" s="81">
        <v>25</v>
      </c>
      <c r="K878" s="86"/>
      <c r="M878" s="78" t="s">
        <v>878</v>
      </c>
      <c r="N878" s="82"/>
      <c r="O878" s="81" t="s">
        <v>2256</v>
      </c>
      <c r="P878" s="81" t="s">
        <v>2256</v>
      </c>
      <c r="Q878" s="81"/>
      <c r="R878" s="83">
        <v>1000</v>
      </c>
      <c r="S878" s="79" t="s">
        <v>2999</v>
      </c>
      <c r="T878" s="84">
        <v>42000000</v>
      </c>
      <c r="U878" s="81"/>
      <c r="V878" s="81"/>
      <c r="W878" s="78" t="s">
        <v>878</v>
      </c>
      <c r="X878" s="82"/>
      <c r="Y878" s="81" t="s">
        <v>2256</v>
      </c>
      <c r="Z878" s="81" t="s">
        <v>2256</v>
      </c>
      <c r="AA878" s="83">
        <v>10000</v>
      </c>
      <c r="AB878" s="85"/>
      <c r="AD878" s="78" t="s">
        <v>878</v>
      </c>
      <c r="AE878" s="82"/>
      <c r="AF878" s="81" t="s">
        <v>2256</v>
      </c>
      <c r="AG878" s="81" t="s">
        <v>2256</v>
      </c>
      <c r="AH878" s="83">
        <v>10000</v>
      </c>
      <c r="AI878" s="85"/>
    </row>
    <row r="879" spans="1:35" s="79" customFormat="1" ht="11.25" x14ac:dyDescent="0.2">
      <c r="A879" s="77" t="s">
        <v>420</v>
      </c>
      <c r="B879" s="80">
        <v>336</v>
      </c>
      <c r="C879" s="81" t="s">
        <v>419</v>
      </c>
      <c r="D879" s="73">
        <v>1000</v>
      </c>
      <c r="E879" s="79" t="s">
        <v>28</v>
      </c>
      <c r="F879" s="79" t="s">
        <v>3725</v>
      </c>
      <c r="G879" s="79" t="s">
        <v>2996</v>
      </c>
      <c r="H879" s="79" t="s">
        <v>43</v>
      </c>
      <c r="I879" s="81" t="s">
        <v>3000</v>
      </c>
      <c r="J879" s="81">
        <v>25</v>
      </c>
      <c r="K879" s="86"/>
      <c r="M879" s="78" t="s">
        <v>421</v>
      </c>
      <c r="N879" s="82" t="s">
        <v>31</v>
      </c>
      <c r="O879" s="81" t="s">
        <v>2337</v>
      </c>
      <c r="P879" s="81" t="s">
        <v>2794</v>
      </c>
      <c r="Q879" s="81"/>
      <c r="R879" s="83" t="s">
        <v>3431</v>
      </c>
      <c r="S879" s="79" t="s">
        <v>3056</v>
      </c>
      <c r="T879" s="84" t="s">
        <v>3573</v>
      </c>
      <c r="U879" s="81"/>
      <c r="V879" s="81"/>
      <c r="W879" s="78" t="s">
        <v>421</v>
      </c>
      <c r="X879" s="82" t="s">
        <v>31</v>
      </c>
      <c r="Y879" s="81" t="s">
        <v>2337</v>
      </c>
      <c r="Z879" s="81" t="s">
        <v>2794</v>
      </c>
      <c r="AA879" s="81" t="s">
        <v>252</v>
      </c>
      <c r="AB879" s="85"/>
      <c r="AD879" s="78" t="s">
        <v>421</v>
      </c>
      <c r="AE879" s="82" t="s">
        <v>31</v>
      </c>
      <c r="AF879" s="81" t="s">
        <v>2337</v>
      </c>
      <c r="AG879" s="81" t="s">
        <v>2794</v>
      </c>
      <c r="AH879" s="81" t="s">
        <v>147</v>
      </c>
      <c r="AI879" s="85"/>
    </row>
    <row r="880" spans="1:35" s="79" customFormat="1" ht="11.25" customHeight="1" x14ac:dyDescent="0.2">
      <c r="A880" s="77" t="s">
        <v>1707</v>
      </c>
      <c r="B880" s="80">
        <v>512</v>
      </c>
      <c r="C880" s="81" t="s">
        <v>1706</v>
      </c>
      <c r="D880" s="73">
        <v>1000</v>
      </c>
      <c r="E880" s="79" t="s">
        <v>28</v>
      </c>
      <c r="F880" s="79" t="s">
        <v>3725</v>
      </c>
      <c r="G880" s="79" t="s">
        <v>2996</v>
      </c>
      <c r="H880" s="79" t="s">
        <v>43</v>
      </c>
      <c r="I880" s="81" t="s">
        <v>3000</v>
      </c>
      <c r="J880" s="81">
        <v>100</v>
      </c>
      <c r="K880" s="86"/>
      <c r="M880" s="78" t="s">
        <v>421</v>
      </c>
      <c r="N880" s="82" t="s">
        <v>31</v>
      </c>
      <c r="O880" s="81" t="s">
        <v>2646</v>
      </c>
      <c r="P880" s="81" t="s">
        <v>2932</v>
      </c>
      <c r="Q880" s="81"/>
      <c r="R880" s="83" t="s">
        <v>3431</v>
      </c>
      <c r="S880" s="79" t="s">
        <v>3056</v>
      </c>
      <c r="T880" s="84" t="s">
        <v>3573</v>
      </c>
      <c r="U880" s="81"/>
      <c r="V880" s="81"/>
      <c r="W880" s="78" t="s">
        <v>421</v>
      </c>
      <c r="X880" s="82" t="s">
        <v>31</v>
      </c>
      <c r="Y880" s="81" t="s">
        <v>2646</v>
      </c>
      <c r="Z880" s="81" t="s">
        <v>2932</v>
      </c>
      <c r="AA880" s="81" t="s">
        <v>252</v>
      </c>
      <c r="AB880" s="85"/>
      <c r="AD880" s="78" t="s">
        <v>421</v>
      </c>
      <c r="AE880" s="82" t="s">
        <v>31</v>
      </c>
      <c r="AF880" s="81" t="s">
        <v>2646</v>
      </c>
      <c r="AG880" s="81" t="s">
        <v>2932</v>
      </c>
      <c r="AH880" s="81" t="s">
        <v>147</v>
      </c>
      <c r="AI880" s="85"/>
    </row>
    <row r="881" spans="1:35" s="79" customFormat="1" ht="11.25" customHeight="1" x14ac:dyDescent="0.2">
      <c r="A881" s="77" t="s">
        <v>423</v>
      </c>
      <c r="B881" s="80">
        <v>337</v>
      </c>
      <c r="C881" s="81" t="s">
        <v>422</v>
      </c>
      <c r="D881" s="73">
        <v>42000</v>
      </c>
      <c r="E881" s="79" t="s">
        <v>42</v>
      </c>
      <c r="F881" s="79" t="s">
        <v>3725</v>
      </c>
      <c r="G881" s="79" t="s">
        <v>2996</v>
      </c>
      <c r="H881" s="79" t="s">
        <v>43</v>
      </c>
      <c r="I881" s="81" t="s">
        <v>3000</v>
      </c>
      <c r="J881" s="81">
        <v>25</v>
      </c>
      <c r="K881" s="86"/>
      <c r="M881" s="78" t="s">
        <v>421</v>
      </c>
      <c r="N881" s="82" t="s">
        <v>244</v>
      </c>
      <c r="O881" s="81" t="s">
        <v>2338</v>
      </c>
      <c r="P881" s="81" t="s">
        <v>2795</v>
      </c>
      <c r="Q881" s="81"/>
      <c r="R881" s="83" t="s">
        <v>864</v>
      </c>
      <c r="S881" s="79" t="s">
        <v>3057</v>
      </c>
      <c r="T881" s="84" t="s">
        <v>3416</v>
      </c>
      <c r="U881" s="81"/>
      <c r="V881" s="81"/>
      <c r="W881" s="78" t="s">
        <v>421</v>
      </c>
      <c r="X881" s="82" t="s">
        <v>244</v>
      </c>
      <c r="Y881" s="81" t="s">
        <v>2338</v>
      </c>
      <c r="Z881" s="81" t="s">
        <v>2795</v>
      </c>
      <c r="AA881" s="81" t="s">
        <v>246</v>
      </c>
      <c r="AB881" s="85"/>
      <c r="AD881" s="78" t="s">
        <v>421</v>
      </c>
      <c r="AE881" s="82" t="s">
        <v>244</v>
      </c>
      <c r="AF881" s="81" t="s">
        <v>2338</v>
      </c>
      <c r="AG881" s="81" t="s">
        <v>2795</v>
      </c>
      <c r="AH881" s="81" t="s">
        <v>245</v>
      </c>
      <c r="AI881" s="85"/>
    </row>
    <row r="882" spans="1:35" s="79" customFormat="1" ht="11.25" customHeight="1" x14ac:dyDescent="0.2">
      <c r="A882" s="77" t="s">
        <v>1709</v>
      </c>
      <c r="B882" s="80">
        <v>557</v>
      </c>
      <c r="C882" s="81" t="s">
        <v>1708</v>
      </c>
      <c r="D882" s="73">
        <v>42000</v>
      </c>
      <c r="E882" s="79" t="s">
        <v>42</v>
      </c>
      <c r="F882" s="79" t="s">
        <v>3725</v>
      </c>
      <c r="G882" s="79" t="s">
        <v>2996</v>
      </c>
      <c r="H882" s="79" t="s">
        <v>43</v>
      </c>
      <c r="I882" s="81" t="s">
        <v>3000</v>
      </c>
      <c r="J882" s="81">
        <v>25</v>
      </c>
      <c r="K882" s="86"/>
      <c r="M882" s="78" t="s">
        <v>421</v>
      </c>
      <c r="N882" s="82" t="s">
        <v>244</v>
      </c>
      <c r="O882" s="81" t="s">
        <v>2647</v>
      </c>
      <c r="P882" s="81" t="s">
        <v>2933</v>
      </c>
      <c r="Q882" s="81"/>
      <c r="R882" s="83" t="s">
        <v>864</v>
      </c>
      <c r="S882" s="79" t="s">
        <v>3057</v>
      </c>
      <c r="T882" s="84" t="s">
        <v>3416</v>
      </c>
      <c r="U882" s="81"/>
      <c r="V882" s="81"/>
      <c r="W882" s="78" t="s">
        <v>421</v>
      </c>
      <c r="X882" s="82" t="s">
        <v>244</v>
      </c>
      <c r="Y882" s="81" t="s">
        <v>2647</v>
      </c>
      <c r="Z882" s="81" t="s">
        <v>2933</v>
      </c>
      <c r="AA882" s="81" t="s">
        <v>246</v>
      </c>
      <c r="AB882" s="85"/>
      <c r="AD882" s="78" t="s">
        <v>421</v>
      </c>
      <c r="AE882" s="82" t="s">
        <v>244</v>
      </c>
      <c r="AF882" s="81" t="s">
        <v>2647</v>
      </c>
      <c r="AG882" s="81" t="s">
        <v>2933</v>
      </c>
      <c r="AH882" s="81" t="s">
        <v>245</v>
      </c>
      <c r="AI882" s="85"/>
    </row>
    <row r="883" spans="1:35" s="79" customFormat="1" ht="11.25" customHeight="1" x14ac:dyDescent="0.2">
      <c r="A883" s="77" t="s">
        <v>1262</v>
      </c>
      <c r="B883" s="80">
        <v>607</v>
      </c>
      <c r="C883" s="81" t="s">
        <v>1261</v>
      </c>
      <c r="D883" s="73">
        <v>42000</v>
      </c>
      <c r="E883" s="79" t="s">
        <v>42</v>
      </c>
      <c r="F883" s="79" t="s">
        <v>3725</v>
      </c>
      <c r="G883" s="79" t="s">
        <v>2996</v>
      </c>
      <c r="H883" s="79" t="s">
        <v>43</v>
      </c>
      <c r="I883" s="81" t="s">
        <v>3000</v>
      </c>
      <c r="J883" s="81">
        <v>25</v>
      </c>
      <c r="K883" s="86"/>
      <c r="M883" s="78" t="s">
        <v>421</v>
      </c>
      <c r="N883" s="82" t="s">
        <v>878</v>
      </c>
      <c r="O883" s="81" t="s">
        <v>2534</v>
      </c>
      <c r="P883" s="81" t="s">
        <v>2893</v>
      </c>
      <c r="Q883" s="81"/>
      <c r="R883" s="83" t="s">
        <v>864</v>
      </c>
      <c r="S883" s="79" t="s">
        <v>3164</v>
      </c>
      <c r="T883" s="84" t="s">
        <v>3416</v>
      </c>
      <c r="U883" s="81"/>
      <c r="V883" s="81"/>
      <c r="W883" s="78" t="s">
        <v>421</v>
      </c>
      <c r="X883" s="82" t="s">
        <v>878</v>
      </c>
      <c r="Y883" s="81" t="s">
        <v>2534</v>
      </c>
      <c r="Z883" s="81" t="s">
        <v>2893</v>
      </c>
      <c r="AA883" s="81" t="s">
        <v>252</v>
      </c>
      <c r="AB883" s="85"/>
      <c r="AD883" s="78" t="s">
        <v>421</v>
      </c>
      <c r="AE883" s="82" t="s">
        <v>878</v>
      </c>
      <c r="AF883" s="81" t="s">
        <v>2534</v>
      </c>
      <c r="AG883" s="81" t="s">
        <v>2893</v>
      </c>
      <c r="AH883" s="81" t="s">
        <v>252</v>
      </c>
      <c r="AI883" s="85"/>
    </row>
    <row r="884" spans="1:35" s="79" customFormat="1" ht="11.25" customHeight="1" x14ac:dyDescent="0.2">
      <c r="A884" s="77" t="s">
        <v>886</v>
      </c>
      <c r="B884" s="80">
        <v>526</v>
      </c>
      <c r="C884" s="81" t="s">
        <v>421</v>
      </c>
      <c r="D884" s="73">
        <v>42000</v>
      </c>
      <c r="E884" s="79" t="s">
        <v>42</v>
      </c>
      <c r="F884" s="79" t="s">
        <v>3725</v>
      </c>
      <c r="G884" s="79" t="s">
        <v>2996</v>
      </c>
      <c r="H884" s="79" t="s">
        <v>43</v>
      </c>
      <c r="I884" s="81" t="s">
        <v>3000</v>
      </c>
      <c r="J884" s="81">
        <v>25</v>
      </c>
      <c r="K884" s="86"/>
      <c r="M884" s="78" t="s">
        <v>421</v>
      </c>
      <c r="N884" s="82"/>
      <c r="O884" s="81" t="s">
        <v>2256</v>
      </c>
      <c r="P884" s="81" t="s">
        <v>2256</v>
      </c>
      <c r="Q884" s="81"/>
      <c r="R884" s="83">
        <v>1000</v>
      </c>
      <c r="S884" s="79" t="s">
        <v>2999</v>
      </c>
      <c r="T884" s="84">
        <v>42000000</v>
      </c>
      <c r="U884" s="81"/>
      <c r="V884" s="81"/>
      <c r="W884" s="78" t="s">
        <v>421</v>
      </c>
      <c r="X884" s="82"/>
      <c r="Y884" s="81" t="s">
        <v>2256</v>
      </c>
      <c r="Z884" s="81" t="s">
        <v>2256</v>
      </c>
      <c r="AA884" s="83">
        <v>10000</v>
      </c>
      <c r="AB884" s="85"/>
      <c r="AD884" s="78" t="s">
        <v>421</v>
      </c>
      <c r="AE884" s="82"/>
      <c r="AF884" s="81" t="s">
        <v>2256</v>
      </c>
      <c r="AG884" s="81" t="s">
        <v>2256</v>
      </c>
      <c r="AH884" s="83">
        <v>10000</v>
      </c>
      <c r="AI884" s="85"/>
    </row>
    <row r="885" spans="1:35" s="79" customFormat="1" ht="11.25" customHeight="1" x14ac:dyDescent="0.2">
      <c r="A885" s="77" t="s">
        <v>888</v>
      </c>
      <c r="B885" s="80">
        <v>1187</v>
      </c>
      <c r="C885" s="81" t="s">
        <v>887</v>
      </c>
      <c r="D885" s="73">
        <v>42000</v>
      </c>
      <c r="E885" s="79" t="s">
        <v>42</v>
      </c>
      <c r="F885" s="79" t="s">
        <v>3725</v>
      </c>
      <c r="G885" s="79" t="s">
        <v>2996</v>
      </c>
      <c r="H885" s="79" t="s">
        <v>43</v>
      </c>
      <c r="I885" s="81" t="s">
        <v>3000</v>
      </c>
      <c r="J885" s="81">
        <v>25</v>
      </c>
      <c r="K885" s="86"/>
      <c r="M885" s="78" t="s">
        <v>887</v>
      </c>
      <c r="N885" s="82"/>
      <c r="O885" s="81" t="s">
        <v>2256</v>
      </c>
      <c r="P885" s="81" t="s">
        <v>2256</v>
      </c>
      <c r="Q885" s="81"/>
      <c r="R885" s="83">
        <v>100</v>
      </c>
      <c r="S885" s="79" t="s">
        <v>2999</v>
      </c>
      <c r="T885" s="84">
        <v>4200000</v>
      </c>
      <c r="U885" s="81"/>
      <c r="V885" s="81"/>
      <c r="W885" s="78" t="s">
        <v>887</v>
      </c>
      <c r="X885" s="82"/>
      <c r="Y885" s="81" t="s">
        <v>2256</v>
      </c>
      <c r="Z885" s="81" t="s">
        <v>2256</v>
      </c>
      <c r="AA885" s="83">
        <v>1500</v>
      </c>
      <c r="AB885" s="85"/>
      <c r="AD885" s="78" t="s">
        <v>887</v>
      </c>
      <c r="AE885" s="82"/>
      <c r="AF885" s="81" t="s">
        <v>2256</v>
      </c>
      <c r="AG885" s="81" t="s">
        <v>2256</v>
      </c>
      <c r="AH885" s="83">
        <v>2000</v>
      </c>
      <c r="AI885" s="85"/>
    </row>
    <row r="886" spans="1:35" s="79" customFormat="1" ht="11.25" customHeight="1" x14ac:dyDescent="0.2">
      <c r="A886" s="77" t="s">
        <v>686</v>
      </c>
      <c r="B886" s="80">
        <v>1124</v>
      </c>
      <c r="C886" s="81" t="s">
        <v>685</v>
      </c>
      <c r="D886" s="73">
        <v>1000</v>
      </c>
      <c r="E886" s="79" t="s">
        <v>20</v>
      </c>
      <c r="F886" s="79" t="s">
        <v>3725</v>
      </c>
      <c r="G886" s="79" t="s">
        <v>2996</v>
      </c>
      <c r="H886" s="79" t="s">
        <v>43</v>
      </c>
      <c r="I886" s="81" t="s">
        <v>3000</v>
      </c>
      <c r="J886" s="81">
        <v>25</v>
      </c>
      <c r="K886" s="86"/>
      <c r="M886" s="78" t="s">
        <v>117</v>
      </c>
      <c r="N886" s="82" t="s">
        <v>687</v>
      </c>
      <c r="O886" s="81" t="s">
        <v>2393</v>
      </c>
      <c r="P886" s="81" t="s">
        <v>2820</v>
      </c>
      <c r="Q886" s="81"/>
      <c r="R886" s="83" t="s">
        <v>116</v>
      </c>
      <c r="S886" s="79" t="s">
        <v>3088</v>
      </c>
      <c r="T886" s="84" t="s">
        <v>3584</v>
      </c>
      <c r="U886" s="81"/>
      <c r="V886" s="81"/>
      <c r="W886" s="78" t="s">
        <v>117</v>
      </c>
      <c r="X886" s="82" t="s">
        <v>687</v>
      </c>
      <c r="Y886" s="81" t="s">
        <v>2393</v>
      </c>
      <c r="Z886" s="81" t="s">
        <v>2820</v>
      </c>
      <c r="AA886" s="81" t="s">
        <v>119</v>
      </c>
      <c r="AB886" s="85"/>
      <c r="AD886" s="78" t="s">
        <v>117</v>
      </c>
      <c r="AE886" s="82" t="s">
        <v>687</v>
      </c>
      <c r="AF886" s="81" t="s">
        <v>2393</v>
      </c>
      <c r="AG886" s="81" t="s">
        <v>2820</v>
      </c>
      <c r="AH886" s="81" t="s">
        <v>118</v>
      </c>
      <c r="AI886" s="85"/>
    </row>
    <row r="887" spans="1:35" s="79" customFormat="1" ht="11.25" customHeight="1" x14ac:dyDescent="0.2">
      <c r="A887" s="77" t="s">
        <v>2169</v>
      </c>
      <c r="B887" s="80">
        <v>478</v>
      </c>
      <c r="C887" s="81" t="s">
        <v>2168</v>
      </c>
      <c r="D887" s="73">
        <v>1000</v>
      </c>
      <c r="E887" s="79" t="s">
        <v>20</v>
      </c>
      <c r="F887" s="79" t="s">
        <v>3725</v>
      </c>
      <c r="G887" s="79" t="s">
        <v>2996</v>
      </c>
      <c r="H887" s="79" t="s">
        <v>43</v>
      </c>
      <c r="I887" s="81" t="s">
        <v>3000</v>
      </c>
      <c r="J887" s="81">
        <v>25</v>
      </c>
      <c r="K887" s="86"/>
      <c r="M887" s="78" t="s">
        <v>117</v>
      </c>
      <c r="N887" s="82" t="s">
        <v>135</v>
      </c>
      <c r="O887" s="81" t="s">
        <v>2748</v>
      </c>
      <c r="P887" s="81" t="s">
        <v>2986</v>
      </c>
      <c r="Q887" s="81"/>
      <c r="R887" s="83" t="s">
        <v>3427</v>
      </c>
      <c r="S887" s="79" t="s">
        <v>3091</v>
      </c>
      <c r="T887" s="84" t="s">
        <v>3600</v>
      </c>
      <c r="U887" s="81"/>
      <c r="V887" s="81"/>
      <c r="W887" s="78" t="s">
        <v>117</v>
      </c>
      <c r="X887" s="82" t="s">
        <v>135</v>
      </c>
      <c r="Y887" s="81" t="s">
        <v>2748</v>
      </c>
      <c r="Z887" s="81" t="s">
        <v>2986</v>
      </c>
      <c r="AA887" s="81" t="s">
        <v>136</v>
      </c>
      <c r="AB887" s="85"/>
      <c r="AD887" s="78" t="s">
        <v>117</v>
      </c>
      <c r="AE887" s="82" t="s">
        <v>135</v>
      </c>
      <c r="AF887" s="81" t="s">
        <v>2748</v>
      </c>
      <c r="AG887" s="81" t="s">
        <v>2986</v>
      </c>
      <c r="AH887" s="81" t="s">
        <v>136</v>
      </c>
      <c r="AI887" s="85"/>
    </row>
    <row r="888" spans="1:35" s="79" customFormat="1" ht="11.25" customHeight="1" x14ac:dyDescent="0.2">
      <c r="A888" s="77" t="s">
        <v>711</v>
      </c>
      <c r="B888" s="80">
        <v>718</v>
      </c>
      <c r="C888" s="81" t="s">
        <v>710</v>
      </c>
      <c r="D888" s="73">
        <v>1000</v>
      </c>
      <c r="E888" s="79" t="s">
        <v>20</v>
      </c>
      <c r="F888" s="79" t="s">
        <v>3725</v>
      </c>
      <c r="G888" s="79" t="s">
        <v>2996</v>
      </c>
      <c r="H888" s="79" t="s">
        <v>43</v>
      </c>
      <c r="I888" s="81"/>
      <c r="J888" s="81">
        <v>25</v>
      </c>
      <c r="K888" s="86"/>
      <c r="M888" s="78" t="s">
        <v>117</v>
      </c>
      <c r="N888" s="82" t="s">
        <v>135</v>
      </c>
      <c r="O888" s="81" t="s">
        <v>2398</v>
      </c>
      <c r="P888" s="81" t="s">
        <v>2824</v>
      </c>
      <c r="Q888" s="81"/>
      <c r="R888" s="83" t="s">
        <v>3427</v>
      </c>
      <c r="S888" s="79" t="s">
        <v>3091</v>
      </c>
      <c r="T888" s="84" t="s">
        <v>3600</v>
      </c>
      <c r="U888" s="81"/>
      <c r="V888" s="81"/>
      <c r="W888" s="78" t="s">
        <v>117</v>
      </c>
      <c r="X888" s="82" t="s">
        <v>135</v>
      </c>
      <c r="Y888" s="81" t="s">
        <v>2398</v>
      </c>
      <c r="Z888" s="81" t="s">
        <v>2824</v>
      </c>
      <c r="AA888" s="81" t="s">
        <v>136</v>
      </c>
      <c r="AB888" s="85"/>
      <c r="AD888" s="78" t="s">
        <v>117</v>
      </c>
      <c r="AE888" s="82" t="s">
        <v>135</v>
      </c>
      <c r="AF888" s="81" t="s">
        <v>2398</v>
      </c>
      <c r="AG888" s="81" t="s">
        <v>2824</v>
      </c>
      <c r="AH888" s="81" t="s">
        <v>136</v>
      </c>
      <c r="AI888" s="85"/>
    </row>
    <row r="889" spans="1:35" s="79" customFormat="1" ht="11.25" customHeight="1" x14ac:dyDescent="0.2">
      <c r="A889" s="77" t="s">
        <v>1336</v>
      </c>
      <c r="B889" s="80">
        <v>737</v>
      </c>
      <c r="C889" s="81" t="s">
        <v>1335</v>
      </c>
      <c r="D889" s="73">
        <v>100</v>
      </c>
      <c r="E889" s="79" t="s">
        <v>20</v>
      </c>
      <c r="F889" s="79" t="s">
        <v>3725</v>
      </c>
      <c r="G889" s="79" t="s">
        <v>2996</v>
      </c>
      <c r="H889" s="79" t="s">
        <v>43</v>
      </c>
      <c r="I889" s="81" t="s">
        <v>3000</v>
      </c>
      <c r="J889" s="81">
        <v>25</v>
      </c>
      <c r="K889" s="86"/>
      <c r="M889" s="78" t="s">
        <v>117</v>
      </c>
      <c r="N889" s="82" t="s">
        <v>135</v>
      </c>
      <c r="O889" s="81" t="s">
        <v>2561</v>
      </c>
      <c r="P889" s="81" t="s">
        <v>2905</v>
      </c>
      <c r="Q889" s="81"/>
      <c r="R889" s="83" t="s">
        <v>3427</v>
      </c>
      <c r="S889" s="79" t="s">
        <v>3091</v>
      </c>
      <c r="T889" s="84" t="s">
        <v>3600</v>
      </c>
      <c r="U889" s="81"/>
      <c r="V889" s="81"/>
      <c r="W889" s="78" t="s">
        <v>117</v>
      </c>
      <c r="X889" s="82" t="s">
        <v>135</v>
      </c>
      <c r="Y889" s="81" t="s">
        <v>2561</v>
      </c>
      <c r="Z889" s="81" t="s">
        <v>2905</v>
      </c>
      <c r="AA889" s="81" t="s">
        <v>136</v>
      </c>
      <c r="AB889" s="85"/>
      <c r="AD889" s="78" t="s">
        <v>117</v>
      </c>
      <c r="AE889" s="82" t="s">
        <v>135</v>
      </c>
      <c r="AF889" s="81" t="s">
        <v>2561</v>
      </c>
      <c r="AG889" s="81" t="s">
        <v>2905</v>
      </c>
      <c r="AH889" s="81" t="s">
        <v>136</v>
      </c>
      <c r="AI889" s="85"/>
    </row>
    <row r="890" spans="1:35" s="79" customFormat="1" ht="11.25" customHeight="1" x14ac:dyDescent="0.2">
      <c r="A890" s="77" t="s">
        <v>115</v>
      </c>
      <c r="B890" s="80">
        <v>1126</v>
      </c>
      <c r="C890" s="81" t="s">
        <v>114</v>
      </c>
      <c r="D890" s="73">
        <v>1000</v>
      </c>
      <c r="E890" s="79" t="s">
        <v>20</v>
      </c>
      <c r="F890" s="79" t="s">
        <v>3725</v>
      </c>
      <c r="G890" s="79" t="s">
        <v>2996</v>
      </c>
      <c r="H890" s="79" t="s">
        <v>43</v>
      </c>
      <c r="I890" s="81" t="s">
        <v>3000</v>
      </c>
      <c r="J890" s="81">
        <v>25</v>
      </c>
      <c r="K890" s="86"/>
      <c r="M890" s="78" t="s">
        <v>117</v>
      </c>
      <c r="N890" s="82" t="s">
        <v>62</v>
      </c>
      <c r="O890" s="81" t="s">
        <v>2266</v>
      </c>
      <c r="P890" s="81" t="s">
        <v>2772</v>
      </c>
      <c r="Q890" s="81"/>
      <c r="R890" s="83" t="s">
        <v>116</v>
      </c>
      <c r="S890" s="79" t="s">
        <v>3018</v>
      </c>
      <c r="T890" s="84" t="s">
        <v>3584</v>
      </c>
      <c r="U890" s="81"/>
      <c r="V890" s="81"/>
      <c r="W890" s="78" t="s">
        <v>117</v>
      </c>
      <c r="X890" s="82" t="s">
        <v>62</v>
      </c>
      <c r="Y890" s="81" t="s">
        <v>2266</v>
      </c>
      <c r="Z890" s="81" t="s">
        <v>2772</v>
      </c>
      <c r="AA890" s="81" t="s">
        <v>119</v>
      </c>
      <c r="AB890" s="85"/>
      <c r="AD890" s="78" t="s">
        <v>117</v>
      </c>
      <c r="AE890" s="82" t="s">
        <v>62</v>
      </c>
      <c r="AF890" s="81" t="s">
        <v>2266</v>
      </c>
      <c r="AG890" s="81" t="s">
        <v>2772</v>
      </c>
      <c r="AH890" s="81" t="s">
        <v>118</v>
      </c>
      <c r="AI890" s="85"/>
    </row>
    <row r="891" spans="1:35" s="79" customFormat="1" ht="11.25" customHeight="1" x14ac:dyDescent="0.2">
      <c r="A891" s="77" t="s">
        <v>889</v>
      </c>
      <c r="B891" s="80">
        <v>730</v>
      </c>
      <c r="C891" s="81" t="s">
        <v>117</v>
      </c>
      <c r="D891" s="73">
        <v>1000</v>
      </c>
      <c r="E891" s="79" t="s">
        <v>20</v>
      </c>
      <c r="F891" s="79" t="s">
        <v>3725</v>
      </c>
      <c r="G891" s="79" t="s">
        <v>2996</v>
      </c>
      <c r="H891" s="79" t="s">
        <v>43</v>
      </c>
      <c r="I891" s="81" t="s">
        <v>3000</v>
      </c>
      <c r="J891" s="81">
        <v>25</v>
      </c>
      <c r="K891" s="86"/>
      <c r="M891" s="78" t="s">
        <v>117</v>
      </c>
      <c r="N891" s="82"/>
      <c r="O891" s="81" t="s">
        <v>2256</v>
      </c>
      <c r="P891" s="81" t="s">
        <v>2256</v>
      </c>
      <c r="Q891" s="81"/>
      <c r="R891" s="83">
        <v>500</v>
      </c>
      <c r="S891" s="79" t="s">
        <v>2999</v>
      </c>
      <c r="T891" s="84">
        <v>500000</v>
      </c>
      <c r="U891" s="81"/>
      <c r="V891" s="81"/>
      <c r="W891" s="78" t="s">
        <v>117</v>
      </c>
      <c r="X891" s="82"/>
      <c r="Y891" s="81" t="s">
        <v>2256</v>
      </c>
      <c r="Z891" s="81" t="s">
        <v>2256</v>
      </c>
      <c r="AA891" s="83">
        <v>5000</v>
      </c>
      <c r="AB891" s="85"/>
      <c r="AD891" s="78" t="s">
        <v>117</v>
      </c>
      <c r="AE891" s="82"/>
      <c r="AF891" s="81" t="s">
        <v>2256</v>
      </c>
      <c r="AG891" s="81" t="s">
        <v>2256</v>
      </c>
      <c r="AH891" s="83">
        <v>5000</v>
      </c>
      <c r="AI891" s="85"/>
    </row>
    <row r="892" spans="1:35" s="79" customFormat="1" ht="11.25" customHeight="1" x14ac:dyDescent="0.2">
      <c r="A892" s="77" t="s">
        <v>1853</v>
      </c>
      <c r="B892" s="80">
        <v>489</v>
      </c>
      <c r="C892" s="81" t="s">
        <v>1852</v>
      </c>
      <c r="D892" s="73">
        <v>1000</v>
      </c>
      <c r="E892" s="79" t="s">
        <v>20</v>
      </c>
      <c r="F892" s="79" t="s">
        <v>3725</v>
      </c>
      <c r="G892" s="79" t="s">
        <v>2996</v>
      </c>
      <c r="H892" s="79" t="s">
        <v>43</v>
      </c>
      <c r="I892" s="81" t="s">
        <v>3000</v>
      </c>
      <c r="J892" s="81">
        <v>25</v>
      </c>
      <c r="K892" s="86"/>
      <c r="M892" s="78" t="s">
        <v>117</v>
      </c>
      <c r="N892" s="82"/>
      <c r="O892" s="81" t="s">
        <v>2672</v>
      </c>
      <c r="P892" s="81" t="s">
        <v>2256</v>
      </c>
      <c r="Q892" s="81"/>
      <c r="R892" s="83">
        <v>500</v>
      </c>
      <c r="S892" s="79" t="s">
        <v>3218</v>
      </c>
      <c r="T892" s="84">
        <v>500000</v>
      </c>
      <c r="U892" s="81"/>
      <c r="V892" s="81"/>
      <c r="W892" s="78" t="s">
        <v>117</v>
      </c>
      <c r="X892" s="82"/>
      <c r="Y892" s="81" t="s">
        <v>2672</v>
      </c>
      <c r="Z892" s="81" t="s">
        <v>2256</v>
      </c>
      <c r="AA892" s="83">
        <v>5000</v>
      </c>
      <c r="AB892" s="85"/>
      <c r="AD892" s="78" t="s">
        <v>117</v>
      </c>
      <c r="AE892" s="82"/>
      <c r="AF892" s="81" t="s">
        <v>2672</v>
      </c>
      <c r="AG892" s="81" t="s">
        <v>2256</v>
      </c>
      <c r="AH892" s="83">
        <v>5000</v>
      </c>
      <c r="AI892" s="85"/>
    </row>
    <row r="893" spans="1:35" s="79" customFormat="1" ht="11.25" customHeight="1" x14ac:dyDescent="0.2">
      <c r="A893" s="77" t="s">
        <v>902</v>
      </c>
      <c r="B893" s="80">
        <v>710</v>
      </c>
      <c r="C893" s="81" t="s">
        <v>901</v>
      </c>
      <c r="D893" s="73">
        <v>1000</v>
      </c>
      <c r="E893" s="79" t="s">
        <v>28</v>
      </c>
      <c r="F893" s="79" t="s">
        <v>3725</v>
      </c>
      <c r="G893" s="79" t="s">
        <v>2996</v>
      </c>
      <c r="H893" s="79" t="s">
        <v>43</v>
      </c>
      <c r="I893" s="81" t="s">
        <v>3000</v>
      </c>
      <c r="J893" s="81">
        <v>25</v>
      </c>
      <c r="K893" s="86"/>
      <c r="M893" s="78" t="s">
        <v>135</v>
      </c>
      <c r="N893" s="82" t="s">
        <v>86</v>
      </c>
      <c r="O893" s="81" t="s">
        <v>2455</v>
      </c>
      <c r="P893" s="81" t="s">
        <v>2863</v>
      </c>
      <c r="Q893" s="81"/>
      <c r="R893" s="83" t="s">
        <v>3439</v>
      </c>
      <c r="S893" s="79" t="s">
        <v>3138</v>
      </c>
      <c r="T893" s="84" t="s">
        <v>3574</v>
      </c>
      <c r="U893" s="81"/>
      <c r="V893" s="81"/>
      <c r="W893" s="78" t="s">
        <v>135</v>
      </c>
      <c r="X893" s="82" t="s">
        <v>86</v>
      </c>
      <c r="Y893" s="81" t="s">
        <v>2455</v>
      </c>
      <c r="Z893" s="81" t="s">
        <v>2863</v>
      </c>
      <c r="AA893" s="81" t="s">
        <v>289</v>
      </c>
      <c r="AB893" s="85"/>
      <c r="AD893" s="78" t="s">
        <v>135</v>
      </c>
      <c r="AE893" s="82" t="s">
        <v>86</v>
      </c>
      <c r="AF893" s="81" t="s">
        <v>2455</v>
      </c>
      <c r="AG893" s="81" t="s">
        <v>2863</v>
      </c>
      <c r="AH893" s="81" t="s">
        <v>289</v>
      </c>
      <c r="AI893" s="85"/>
    </row>
    <row r="894" spans="1:35" s="79" customFormat="1" ht="11.25" customHeight="1" x14ac:dyDescent="0.2">
      <c r="A894" s="77" t="s">
        <v>877</v>
      </c>
      <c r="B894" s="80">
        <v>143</v>
      </c>
      <c r="C894" s="81" t="s">
        <v>876</v>
      </c>
      <c r="D894" s="73">
        <v>7450</v>
      </c>
      <c r="E894" s="79" t="s">
        <v>28</v>
      </c>
      <c r="F894" s="79" t="s">
        <v>3725</v>
      </c>
      <c r="G894" s="79" t="s">
        <v>2996</v>
      </c>
      <c r="H894" s="79" t="s">
        <v>43</v>
      </c>
      <c r="I894" s="81" t="s">
        <v>3000</v>
      </c>
      <c r="J894" s="81">
        <v>25</v>
      </c>
      <c r="K894" s="86"/>
      <c r="M894" s="78" t="s">
        <v>135</v>
      </c>
      <c r="N894" s="82" t="s">
        <v>95</v>
      </c>
      <c r="O894" s="81" t="s">
        <v>2447</v>
      </c>
      <c r="P894" s="81" t="s">
        <v>2857</v>
      </c>
      <c r="Q894" s="81"/>
      <c r="R894" s="83" t="s">
        <v>3439</v>
      </c>
      <c r="S894" s="79" t="s">
        <v>3132</v>
      </c>
      <c r="T894" s="84" t="s">
        <v>3574</v>
      </c>
      <c r="U894" s="81"/>
      <c r="V894" s="81"/>
      <c r="W894" s="78" t="s">
        <v>135</v>
      </c>
      <c r="X894" s="82" t="s">
        <v>95</v>
      </c>
      <c r="Y894" s="81" t="s">
        <v>2447</v>
      </c>
      <c r="Z894" s="81" t="s">
        <v>2857</v>
      </c>
      <c r="AA894" s="81" t="s">
        <v>289</v>
      </c>
      <c r="AB894" s="85"/>
      <c r="AD894" s="78" t="s">
        <v>135</v>
      </c>
      <c r="AE894" s="82" t="s">
        <v>95</v>
      </c>
      <c r="AF894" s="81" t="s">
        <v>2447</v>
      </c>
      <c r="AG894" s="81" t="s">
        <v>2857</v>
      </c>
      <c r="AH894" s="81" t="s">
        <v>289</v>
      </c>
      <c r="AI894" s="85"/>
    </row>
    <row r="895" spans="1:35" s="79" customFormat="1" ht="11.25" customHeight="1" x14ac:dyDescent="0.2">
      <c r="A895" s="77" t="s">
        <v>758</v>
      </c>
      <c r="B895" s="80">
        <v>748</v>
      </c>
      <c r="C895" s="81" t="s">
        <v>757</v>
      </c>
      <c r="D895" s="73">
        <v>1000</v>
      </c>
      <c r="E895" s="79" t="s">
        <v>20</v>
      </c>
      <c r="F895" s="79" t="s">
        <v>30</v>
      </c>
      <c r="G895" s="79" t="s">
        <v>3001</v>
      </c>
      <c r="H895" s="79" t="s">
        <v>43</v>
      </c>
      <c r="I895" s="81" t="s">
        <v>3000</v>
      </c>
      <c r="J895" s="81">
        <v>25</v>
      </c>
      <c r="K895" s="86"/>
      <c r="M895" s="78" t="s">
        <v>135</v>
      </c>
      <c r="N895" s="82"/>
      <c r="O895" s="81" t="s">
        <v>2406</v>
      </c>
      <c r="P895" s="81" t="s">
        <v>2256</v>
      </c>
      <c r="Q895" s="81"/>
      <c r="R895" s="83">
        <v>1000</v>
      </c>
      <c r="S895" s="79" t="s">
        <v>3097</v>
      </c>
      <c r="T895" s="84">
        <v>1000000</v>
      </c>
      <c r="U895" s="81"/>
      <c r="V895" s="81"/>
      <c r="W895" s="78" t="s">
        <v>135</v>
      </c>
      <c r="X895" s="82"/>
      <c r="Y895" s="81" t="s">
        <v>2406</v>
      </c>
      <c r="Z895" s="81" t="s">
        <v>2256</v>
      </c>
      <c r="AA895" s="83">
        <v>5000</v>
      </c>
      <c r="AB895" s="85"/>
      <c r="AD895" s="78" t="s">
        <v>135</v>
      </c>
      <c r="AE895" s="82"/>
      <c r="AF895" s="81" t="s">
        <v>2406</v>
      </c>
      <c r="AG895" s="81" t="s">
        <v>2256</v>
      </c>
      <c r="AH895" s="83">
        <v>5000</v>
      </c>
      <c r="AI895" s="85"/>
    </row>
    <row r="896" spans="1:35" s="79" customFormat="1" ht="11.25" customHeight="1" x14ac:dyDescent="0.2">
      <c r="A896" s="77" t="s">
        <v>898</v>
      </c>
      <c r="B896" s="80">
        <v>728</v>
      </c>
      <c r="C896" s="81" t="s">
        <v>135</v>
      </c>
      <c r="D896" s="73">
        <v>1000</v>
      </c>
      <c r="E896" s="79" t="s">
        <v>20</v>
      </c>
      <c r="F896" s="79" t="s">
        <v>3725</v>
      </c>
      <c r="G896" s="79" t="s">
        <v>2996</v>
      </c>
      <c r="H896" s="79" t="s">
        <v>43</v>
      </c>
      <c r="I896" s="81" t="s">
        <v>3000</v>
      </c>
      <c r="J896" s="81">
        <v>25</v>
      </c>
      <c r="K896" s="86"/>
      <c r="M896" s="78" t="s">
        <v>135</v>
      </c>
      <c r="N896" s="82"/>
      <c r="O896" s="81" t="s">
        <v>2256</v>
      </c>
      <c r="P896" s="81" t="s">
        <v>2256</v>
      </c>
      <c r="Q896" s="81"/>
      <c r="R896" s="83">
        <v>1000</v>
      </c>
      <c r="S896" s="79" t="s">
        <v>2999</v>
      </c>
      <c r="T896" s="84">
        <v>1000000</v>
      </c>
      <c r="U896" s="81"/>
      <c r="V896" s="81"/>
      <c r="W896" s="78" t="s">
        <v>135</v>
      </c>
      <c r="X896" s="82"/>
      <c r="Y896" s="81" t="s">
        <v>2256</v>
      </c>
      <c r="Z896" s="81" t="s">
        <v>2256</v>
      </c>
      <c r="AA896" s="83">
        <v>7000</v>
      </c>
      <c r="AB896" s="85"/>
      <c r="AD896" s="78" t="s">
        <v>135</v>
      </c>
      <c r="AE896" s="82"/>
      <c r="AF896" s="81" t="s">
        <v>2256</v>
      </c>
      <c r="AG896" s="81" t="s">
        <v>2256</v>
      </c>
      <c r="AH896" s="83">
        <v>7000</v>
      </c>
      <c r="AI896" s="85"/>
    </row>
    <row r="897" spans="1:35" s="79" customFormat="1" ht="11.25" customHeight="1" x14ac:dyDescent="0.2">
      <c r="A897" s="77" t="s">
        <v>988</v>
      </c>
      <c r="B897" s="80">
        <v>1056</v>
      </c>
      <c r="C897" s="81" t="s">
        <v>987</v>
      </c>
      <c r="D897" s="73">
        <v>1000</v>
      </c>
      <c r="E897" s="79" t="s">
        <v>20</v>
      </c>
      <c r="F897" s="79" t="s">
        <v>3725</v>
      </c>
      <c r="G897" s="79" t="s">
        <v>2996</v>
      </c>
      <c r="H897" s="79" t="s">
        <v>43</v>
      </c>
      <c r="I897" s="81" t="s">
        <v>3000</v>
      </c>
      <c r="J897" s="81">
        <v>25</v>
      </c>
      <c r="K897" s="86"/>
      <c r="M897" s="78" t="s">
        <v>135</v>
      </c>
      <c r="N897" s="82"/>
      <c r="O897" s="81" t="s">
        <v>2470</v>
      </c>
      <c r="P897" s="81" t="s">
        <v>2256</v>
      </c>
      <c r="Q897" s="81"/>
      <c r="R897" s="83">
        <v>1000</v>
      </c>
      <c r="S897" s="79" t="s">
        <v>3097</v>
      </c>
      <c r="T897" s="84">
        <v>1000000</v>
      </c>
      <c r="U897" s="81"/>
      <c r="V897" s="81"/>
      <c r="W897" s="78" t="s">
        <v>135</v>
      </c>
      <c r="X897" s="82"/>
      <c r="Y897" s="81" t="s">
        <v>2470</v>
      </c>
      <c r="Z897" s="81" t="s">
        <v>2256</v>
      </c>
      <c r="AA897" s="83">
        <v>7000</v>
      </c>
      <c r="AB897" s="85"/>
      <c r="AD897" s="78" t="s">
        <v>135</v>
      </c>
      <c r="AE897" s="82"/>
      <c r="AF897" s="81" t="s">
        <v>2470</v>
      </c>
      <c r="AG897" s="81" t="s">
        <v>2256</v>
      </c>
      <c r="AH897" s="83">
        <v>7000</v>
      </c>
      <c r="AI897" s="85"/>
    </row>
    <row r="898" spans="1:35" s="79" customFormat="1" ht="11.25" customHeight="1" x14ac:dyDescent="0.2">
      <c r="A898" s="77" t="s">
        <v>1620</v>
      </c>
      <c r="B898" s="80">
        <v>531</v>
      </c>
      <c r="C898" s="81" t="s">
        <v>1619</v>
      </c>
      <c r="D898" s="73">
        <v>100</v>
      </c>
      <c r="E898" s="79" t="s">
        <v>20</v>
      </c>
      <c r="F898" s="79" t="s">
        <v>3725</v>
      </c>
      <c r="G898" s="79" t="s">
        <v>2996</v>
      </c>
      <c r="H898" s="79" t="s">
        <v>43</v>
      </c>
      <c r="I898" s="81"/>
      <c r="J898" s="81">
        <v>25</v>
      </c>
      <c r="K898" s="86"/>
      <c r="M898" s="78" t="s">
        <v>135</v>
      </c>
      <c r="N898" s="82"/>
      <c r="O898" s="81" t="s">
        <v>2625</v>
      </c>
      <c r="P898" s="81" t="s">
        <v>2256</v>
      </c>
      <c r="Q898" s="81"/>
      <c r="R898" s="83">
        <v>1000</v>
      </c>
      <c r="S898" s="79" t="s">
        <v>3097</v>
      </c>
      <c r="T898" s="84">
        <v>1000000</v>
      </c>
      <c r="U898" s="81"/>
      <c r="V898" s="81"/>
      <c r="W898" s="78" t="s">
        <v>135</v>
      </c>
      <c r="X898" s="82"/>
      <c r="Y898" s="81" t="s">
        <v>2625</v>
      </c>
      <c r="Z898" s="81" t="s">
        <v>2256</v>
      </c>
      <c r="AA898" s="83">
        <v>7000</v>
      </c>
      <c r="AB898" s="85"/>
      <c r="AD898" s="78" t="s">
        <v>135</v>
      </c>
      <c r="AE898" s="82"/>
      <c r="AF898" s="81" t="s">
        <v>2625</v>
      </c>
      <c r="AG898" s="81" t="s">
        <v>2256</v>
      </c>
      <c r="AH898" s="83">
        <v>7000</v>
      </c>
      <c r="AI898" s="85"/>
    </row>
    <row r="899" spans="1:35" s="79" customFormat="1" ht="11.25" customHeight="1" x14ac:dyDescent="0.2">
      <c r="A899" s="77" t="s">
        <v>1857</v>
      </c>
      <c r="B899" s="80">
        <v>482</v>
      </c>
      <c r="C899" s="81" t="s">
        <v>1856</v>
      </c>
      <c r="D899" s="73">
        <v>1000</v>
      </c>
      <c r="E899" s="79" t="s">
        <v>20</v>
      </c>
      <c r="F899" s="79" t="s">
        <v>3725</v>
      </c>
      <c r="G899" s="79" t="s">
        <v>2996</v>
      </c>
      <c r="H899" s="79" t="s">
        <v>43</v>
      </c>
      <c r="I899" s="81" t="s">
        <v>3000</v>
      </c>
      <c r="J899" s="81">
        <v>25</v>
      </c>
      <c r="K899" s="86"/>
      <c r="M899" s="78" t="s">
        <v>135</v>
      </c>
      <c r="N899" s="82"/>
      <c r="O899" s="81" t="s">
        <v>2673</v>
      </c>
      <c r="P899" s="81" t="s">
        <v>2256</v>
      </c>
      <c r="Q899" s="81"/>
      <c r="R899" s="83">
        <v>1000</v>
      </c>
      <c r="S899" s="79" t="s">
        <v>3097</v>
      </c>
      <c r="T899" s="84">
        <v>1000000</v>
      </c>
      <c r="U899" s="81"/>
      <c r="V899" s="81"/>
      <c r="W899" s="78" t="s">
        <v>135</v>
      </c>
      <c r="X899" s="82"/>
      <c r="Y899" s="81" t="s">
        <v>2673</v>
      </c>
      <c r="Z899" s="81" t="s">
        <v>2256</v>
      </c>
      <c r="AA899" s="83">
        <v>7000</v>
      </c>
      <c r="AB899" s="85"/>
      <c r="AD899" s="78" t="s">
        <v>135</v>
      </c>
      <c r="AE899" s="82"/>
      <c r="AF899" s="81" t="s">
        <v>2673</v>
      </c>
      <c r="AG899" s="81" t="s">
        <v>2256</v>
      </c>
      <c r="AH899" s="83">
        <v>7000</v>
      </c>
      <c r="AI899" s="85"/>
    </row>
    <row r="900" spans="1:35" s="79" customFormat="1" ht="11.25" customHeight="1" x14ac:dyDescent="0.2">
      <c r="A900" s="77" t="s">
        <v>797</v>
      </c>
      <c r="B900" s="80">
        <v>1086</v>
      </c>
      <c r="C900" s="81" t="s">
        <v>796</v>
      </c>
      <c r="D900" s="73">
        <v>1000</v>
      </c>
      <c r="E900" s="79" t="s">
        <v>28</v>
      </c>
      <c r="F900" s="79" t="s">
        <v>3725</v>
      </c>
      <c r="G900" s="79" t="s">
        <v>2996</v>
      </c>
      <c r="H900" s="79" t="s">
        <v>43</v>
      </c>
      <c r="I900" s="81" t="s">
        <v>3000</v>
      </c>
      <c r="J900" s="81">
        <v>25</v>
      </c>
      <c r="K900" s="86"/>
      <c r="M900" s="78" t="s">
        <v>798</v>
      </c>
      <c r="N900" s="82" t="s">
        <v>779</v>
      </c>
      <c r="O900" s="81" t="s">
        <v>2422</v>
      </c>
      <c r="P900" s="81" t="s">
        <v>2840</v>
      </c>
      <c r="Q900" s="81"/>
      <c r="R900" s="83" t="s">
        <v>3433</v>
      </c>
      <c r="S900" s="79" t="s">
        <v>3111</v>
      </c>
      <c r="T900" s="84" t="s">
        <v>3601</v>
      </c>
      <c r="U900" s="81"/>
      <c r="V900" s="81"/>
      <c r="W900" s="78" t="s">
        <v>798</v>
      </c>
      <c r="X900" s="82" t="s">
        <v>779</v>
      </c>
      <c r="Y900" s="81" t="s">
        <v>2422</v>
      </c>
      <c r="Z900" s="81" t="s">
        <v>2840</v>
      </c>
      <c r="AA900" s="81" t="s">
        <v>799</v>
      </c>
      <c r="AB900" s="85"/>
      <c r="AD900" s="78" t="s">
        <v>798</v>
      </c>
      <c r="AE900" s="82" t="s">
        <v>779</v>
      </c>
      <c r="AF900" s="81" t="s">
        <v>2422</v>
      </c>
      <c r="AG900" s="81" t="s">
        <v>2840</v>
      </c>
      <c r="AH900" s="81" t="s">
        <v>799</v>
      </c>
      <c r="AI900" s="85"/>
    </row>
    <row r="901" spans="1:35" s="79" customFormat="1" ht="11.25" customHeight="1" x14ac:dyDescent="0.2">
      <c r="A901" s="77" t="s">
        <v>906</v>
      </c>
      <c r="B901" s="80">
        <v>307</v>
      </c>
      <c r="C901" s="81" t="s">
        <v>798</v>
      </c>
      <c r="D901" s="73">
        <v>1000</v>
      </c>
      <c r="E901" s="79" t="s">
        <v>28</v>
      </c>
      <c r="F901" s="79" t="s">
        <v>3725</v>
      </c>
      <c r="G901" s="79" t="s">
        <v>2996</v>
      </c>
      <c r="H901" s="79" t="s">
        <v>43</v>
      </c>
      <c r="I901" s="81" t="s">
        <v>3000</v>
      </c>
      <c r="J901" s="81">
        <v>25</v>
      </c>
      <c r="K901" s="86"/>
      <c r="M901" s="78" t="s">
        <v>798</v>
      </c>
      <c r="N901" s="82"/>
      <c r="O901" s="81" t="s">
        <v>2256</v>
      </c>
      <c r="P901" s="81" t="s">
        <v>2256</v>
      </c>
      <c r="Q901" s="81"/>
      <c r="R901" s="83">
        <v>300</v>
      </c>
      <c r="S901" s="79" t="s">
        <v>2999</v>
      </c>
      <c r="T901" s="84">
        <v>300000</v>
      </c>
      <c r="U901" s="81"/>
      <c r="V901" s="81"/>
      <c r="W901" s="78" t="s">
        <v>798</v>
      </c>
      <c r="X901" s="82"/>
      <c r="Y901" s="81" t="s">
        <v>2256</v>
      </c>
      <c r="Z901" s="81" t="s">
        <v>2256</v>
      </c>
      <c r="AA901" s="83">
        <v>2000</v>
      </c>
      <c r="AB901" s="85"/>
      <c r="AD901" s="78" t="s">
        <v>798</v>
      </c>
      <c r="AE901" s="82"/>
      <c r="AF901" s="81" t="s">
        <v>2256</v>
      </c>
      <c r="AG901" s="81" t="s">
        <v>2256</v>
      </c>
      <c r="AH901" s="83">
        <v>2000</v>
      </c>
      <c r="AI901" s="85"/>
    </row>
    <row r="902" spans="1:35" s="79" customFormat="1" ht="11.25" customHeight="1" x14ac:dyDescent="0.2">
      <c r="A902" s="77" t="s">
        <v>1447</v>
      </c>
      <c r="B902" s="80">
        <v>331</v>
      </c>
      <c r="C902" s="81" t="s">
        <v>1446</v>
      </c>
      <c r="D902" s="73">
        <v>1000</v>
      </c>
      <c r="E902" s="79" t="s">
        <v>28</v>
      </c>
      <c r="F902" s="79" t="s">
        <v>3725</v>
      </c>
      <c r="G902" s="79" t="s">
        <v>2996</v>
      </c>
      <c r="H902" s="79" t="s">
        <v>43</v>
      </c>
      <c r="I902" s="81" t="s">
        <v>3000</v>
      </c>
      <c r="J902" s="81">
        <v>25</v>
      </c>
      <c r="K902" s="86"/>
      <c r="M902" s="78" t="s">
        <v>798</v>
      </c>
      <c r="N902" s="82"/>
      <c r="O902" s="81" t="s">
        <v>2589</v>
      </c>
      <c r="P902" s="81" t="s">
        <v>2256</v>
      </c>
      <c r="Q902" s="81"/>
      <c r="R902" s="83">
        <v>300</v>
      </c>
      <c r="S902" s="79" t="s">
        <v>3181</v>
      </c>
      <c r="T902" s="84">
        <v>300000</v>
      </c>
      <c r="U902" s="81"/>
      <c r="V902" s="81"/>
      <c r="W902" s="78" t="s">
        <v>798</v>
      </c>
      <c r="X902" s="82"/>
      <c r="Y902" s="81" t="s">
        <v>2589</v>
      </c>
      <c r="Z902" s="81" t="s">
        <v>2256</v>
      </c>
      <c r="AA902" s="83">
        <v>2000</v>
      </c>
      <c r="AB902" s="85"/>
      <c r="AD902" s="78" t="s">
        <v>798</v>
      </c>
      <c r="AE902" s="82"/>
      <c r="AF902" s="81" t="s">
        <v>2589</v>
      </c>
      <c r="AG902" s="81" t="s">
        <v>2256</v>
      </c>
      <c r="AH902" s="83">
        <v>2000</v>
      </c>
      <c r="AI902" s="85"/>
    </row>
    <row r="903" spans="1:35" s="79" customFormat="1" ht="11.25" customHeight="1" x14ac:dyDescent="0.2">
      <c r="A903" s="77" t="s">
        <v>279</v>
      </c>
      <c r="B903" s="80">
        <v>350</v>
      </c>
      <c r="C903" s="81" t="s">
        <v>278</v>
      </c>
      <c r="D903" s="73">
        <v>1000</v>
      </c>
      <c r="E903" s="79" t="s">
        <v>28</v>
      </c>
      <c r="F903" s="79" t="s">
        <v>129</v>
      </c>
      <c r="G903" s="79" t="s">
        <v>2994</v>
      </c>
      <c r="H903" s="79" t="s">
        <v>43</v>
      </c>
      <c r="I903" s="81"/>
      <c r="J903" s="81">
        <v>25</v>
      </c>
      <c r="K903" s="86"/>
      <c r="M903" s="78" t="s">
        <v>281</v>
      </c>
      <c r="N903" s="82" t="s">
        <v>280</v>
      </c>
      <c r="O903" s="81" t="s">
        <v>3406</v>
      </c>
      <c r="P903" s="81" t="s">
        <v>3407</v>
      </c>
      <c r="Q903" s="81"/>
      <c r="R903" s="83" t="s">
        <v>3431</v>
      </c>
      <c r="S903" s="79" t="s">
        <v>3410</v>
      </c>
      <c r="T903" s="84" t="s">
        <v>3573</v>
      </c>
      <c r="U903" s="81"/>
      <c r="V903" s="81"/>
      <c r="W903" s="78" t="s">
        <v>281</v>
      </c>
      <c r="X903" s="82" t="s">
        <v>280</v>
      </c>
      <c r="Y903" s="81" t="s">
        <v>3406</v>
      </c>
      <c r="Z903" s="81" t="s">
        <v>3407</v>
      </c>
      <c r="AA903" s="81" t="s">
        <v>414</v>
      </c>
      <c r="AB903" s="85"/>
      <c r="AD903" s="78" t="s">
        <v>281</v>
      </c>
      <c r="AE903" s="82" t="s">
        <v>280</v>
      </c>
      <c r="AF903" s="81" t="s">
        <v>3406</v>
      </c>
      <c r="AG903" s="81" t="s">
        <v>3407</v>
      </c>
      <c r="AH903" s="81" t="s">
        <v>289</v>
      </c>
      <c r="AI903" s="85"/>
    </row>
    <row r="904" spans="1:35" s="79" customFormat="1" ht="11.25" customHeight="1" x14ac:dyDescent="0.2">
      <c r="A904" s="77" t="s">
        <v>3373</v>
      </c>
      <c r="B904" s="80">
        <v>392</v>
      </c>
      <c r="C904" s="81" t="s">
        <v>3263</v>
      </c>
      <c r="D904" s="73">
        <v>42000</v>
      </c>
      <c r="E904" s="79" t="s">
        <v>42</v>
      </c>
      <c r="F904" s="79" t="s">
        <v>30</v>
      </c>
      <c r="G904" s="79" t="s">
        <v>2994</v>
      </c>
      <c r="H904" s="79" t="str">
        <f>VLOOKUP(M904,C:H,6,FALSE)</f>
        <v>Refined Products</v>
      </c>
      <c r="I904" s="81"/>
      <c r="J904" s="81">
        <v>150</v>
      </c>
      <c r="K904" s="86"/>
      <c r="M904" s="78" t="s">
        <v>281</v>
      </c>
      <c r="N904" s="81" t="s">
        <v>281</v>
      </c>
      <c r="O904" s="81" t="s">
        <v>3284</v>
      </c>
      <c r="P904" s="81" t="s">
        <v>2256</v>
      </c>
      <c r="Q904" s="81"/>
      <c r="R904" s="83">
        <v>1000</v>
      </c>
      <c r="S904" s="79" t="s">
        <v>3099</v>
      </c>
      <c r="T904" s="84">
        <v>42000000</v>
      </c>
      <c r="U904" s="81"/>
      <c r="V904" s="81"/>
      <c r="W904" s="78" t="s">
        <v>281</v>
      </c>
      <c r="X904" s="81" t="s">
        <v>281</v>
      </c>
      <c r="Y904" s="81" t="s">
        <v>3284</v>
      </c>
      <c r="Z904" s="81" t="s">
        <v>2256</v>
      </c>
      <c r="AA904" s="83">
        <v>5000</v>
      </c>
      <c r="AB904" s="85"/>
      <c r="AD904" s="78" t="s">
        <v>281</v>
      </c>
      <c r="AE904" s="81" t="s">
        <v>281</v>
      </c>
      <c r="AF904" s="81" t="s">
        <v>3284</v>
      </c>
      <c r="AG904" s="81" t="s">
        <v>2256</v>
      </c>
      <c r="AH904" s="83">
        <v>7000</v>
      </c>
      <c r="AI904" s="85"/>
    </row>
    <row r="905" spans="1:35" s="79" customFormat="1" ht="11.25" customHeight="1" x14ac:dyDescent="0.2">
      <c r="A905" s="77" t="s">
        <v>3360</v>
      </c>
      <c r="B905" s="80">
        <v>392</v>
      </c>
      <c r="C905" s="81" t="s">
        <v>3264</v>
      </c>
      <c r="D905" s="73">
        <v>42000</v>
      </c>
      <c r="E905" s="79" t="s">
        <v>42</v>
      </c>
      <c r="F905" s="79" t="s">
        <v>30</v>
      </c>
      <c r="G905" s="79" t="s">
        <v>2994</v>
      </c>
      <c r="H905" s="79" t="str">
        <f>VLOOKUP(M905,C:H,6,FALSE)</f>
        <v>Refined Products</v>
      </c>
      <c r="I905" s="81"/>
      <c r="J905" s="81">
        <v>150</v>
      </c>
      <c r="K905" s="86"/>
      <c r="M905" s="78" t="s">
        <v>281</v>
      </c>
      <c r="N905" s="81" t="s">
        <v>281</v>
      </c>
      <c r="O905" s="81" t="s">
        <v>3285</v>
      </c>
      <c r="P905" s="81" t="s">
        <v>2256</v>
      </c>
      <c r="Q905" s="81"/>
      <c r="R905" s="83">
        <v>1000</v>
      </c>
      <c r="S905" s="79" t="s">
        <v>3099</v>
      </c>
      <c r="T905" s="84">
        <v>42000000</v>
      </c>
      <c r="U905" s="81"/>
      <c r="V905" s="81"/>
      <c r="W905" s="78" t="s">
        <v>281</v>
      </c>
      <c r="X905" s="81" t="s">
        <v>281</v>
      </c>
      <c r="Y905" s="81" t="s">
        <v>3285</v>
      </c>
      <c r="Z905" s="81" t="s">
        <v>2256</v>
      </c>
      <c r="AA905" s="83">
        <v>5000</v>
      </c>
      <c r="AB905" s="85"/>
      <c r="AD905" s="78" t="s">
        <v>281</v>
      </c>
      <c r="AE905" s="81" t="s">
        <v>281</v>
      </c>
      <c r="AF905" s="81" t="s">
        <v>3285</v>
      </c>
      <c r="AG905" s="81" t="s">
        <v>2256</v>
      </c>
      <c r="AH905" s="83">
        <v>7000</v>
      </c>
      <c r="AI905" s="85"/>
    </row>
    <row r="906" spans="1:35" s="79" customFormat="1" ht="11.25" customHeight="1" x14ac:dyDescent="0.2">
      <c r="A906" s="77" t="s">
        <v>3361</v>
      </c>
      <c r="B906" s="80">
        <v>392</v>
      </c>
      <c r="C906" s="81" t="s">
        <v>3265</v>
      </c>
      <c r="D906" s="73">
        <v>42000</v>
      </c>
      <c r="E906" s="79" t="s">
        <v>42</v>
      </c>
      <c r="F906" s="79" t="s">
        <v>30</v>
      </c>
      <c r="G906" s="79" t="s">
        <v>2994</v>
      </c>
      <c r="H906" s="79" t="str">
        <f>VLOOKUP(M906,C:H,6,FALSE)</f>
        <v>Refined Products</v>
      </c>
      <c r="I906" s="81"/>
      <c r="J906" s="81">
        <v>150</v>
      </c>
      <c r="K906" s="86"/>
      <c r="M906" s="78" t="s">
        <v>281</v>
      </c>
      <c r="N906" s="81" t="s">
        <v>281</v>
      </c>
      <c r="O906" s="81" t="s">
        <v>3286</v>
      </c>
      <c r="P906" s="81" t="s">
        <v>2256</v>
      </c>
      <c r="Q906" s="81"/>
      <c r="R906" s="83">
        <v>1000</v>
      </c>
      <c r="S906" s="79" t="s">
        <v>3099</v>
      </c>
      <c r="T906" s="84">
        <v>42000000</v>
      </c>
      <c r="U906" s="81"/>
      <c r="V906" s="81"/>
      <c r="W906" s="78" t="s">
        <v>281</v>
      </c>
      <c r="X906" s="81" t="s">
        <v>281</v>
      </c>
      <c r="Y906" s="81" t="s">
        <v>3286</v>
      </c>
      <c r="Z906" s="81" t="s">
        <v>2256</v>
      </c>
      <c r="AA906" s="83">
        <v>5000</v>
      </c>
      <c r="AB906" s="85"/>
      <c r="AD906" s="78" t="s">
        <v>281</v>
      </c>
      <c r="AE906" s="81" t="s">
        <v>281</v>
      </c>
      <c r="AF906" s="81" t="s">
        <v>3286</v>
      </c>
      <c r="AG906" s="81" t="s">
        <v>2256</v>
      </c>
      <c r="AH906" s="83">
        <v>7000</v>
      </c>
      <c r="AI906" s="85"/>
    </row>
    <row r="907" spans="1:35" s="79" customFormat="1" ht="11.25" customHeight="1" x14ac:dyDescent="0.2">
      <c r="A907" s="77" t="s">
        <v>3362</v>
      </c>
      <c r="B907" s="80">
        <v>392</v>
      </c>
      <c r="C907" s="81" t="s">
        <v>3266</v>
      </c>
      <c r="D907" s="73">
        <v>42000</v>
      </c>
      <c r="E907" s="79" t="s">
        <v>42</v>
      </c>
      <c r="F907" s="79" t="s">
        <v>30</v>
      </c>
      <c r="G907" s="79" t="s">
        <v>2994</v>
      </c>
      <c r="H907" s="79" t="str">
        <f>VLOOKUP(M907,C:H,6,FALSE)</f>
        <v>Refined Products</v>
      </c>
      <c r="I907" s="81"/>
      <c r="J907" s="81">
        <v>150</v>
      </c>
      <c r="K907" s="86"/>
      <c r="M907" s="78" t="s">
        <v>281</v>
      </c>
      <c r="N907" s="81" t="s">
        <v>281</v>
      </c>
      <c r="O907" s="81" t="s">
        <v>3287</v>
      </c>
      <c r="P907" s="81" t="s">
        <v>2256</v>
      </c>
      <c r="Q907" s="81"/>
      <c r="R907" s="83">
        <v>1000</v>
      </c>
      <c r="S907" s="79" t="s">
        <v>3099</v>
      </c>
      <c r="T907" s="84">
        <v>42000000</v>
      </c>
      <c r="U907" s="81"/>
      <c r="V907" s="81"/>
      <c r="W907" s="78" t="s">
        <v>281</v>
      </c>
      <c r="X907" s="81" t="s">
        <v>281</v>
      </c>
      <c r="Y907" s="81" t="s">
        <v>3287</v>
      </c>
      <c r="Z907" s="81" t="s">
        <v>2256</v>
      </c>
      <c r="AA907" s="83">
        <v>5000</v>
      </c>
      <c r="AB907" s="85"/>
      <c r="AD907" s="78" t="s">
        <v>281</v>
      </c>
      <c r="AE907" s="81" t="s">
        <v>281</v>
      </c>
      <c r="AF907" s="81" t="s">
        <v>3287</v>
      </c>
      <c r="AG907" s="81" t="s">
        <v>2256</v>
      </c>
      <c r="AH907" s="83">
        <v>7000</v>
      </c>
      <c r="AI907" s="85"/>
    </row>
    <row r="908" spans="1:35" s="79" customFormat="1" ht="11.25" customHeight="1" x14ac:dyDescent="0.2">
      <c r="A908" s="77" t="s">
        <v>3364</v>
      </c>
      <c r="B908" s="80">
        <v>392</v>
      </c>
      <c r="C908" s="81" t="s">
        <v>3363</v>
      </c>
      <c r="D908" s="73">
        <v>42000</v>
      </c>
      <c r="E908" s="79" t="s">
        <v>42</v>
      </c>
      <c r="F908" s="79" t="s">
        <v>30</v>
      </c>
      <c r="G908" s="79" t="s">
        <v>2994</v>
      </c>
      <c r="H908" s="79" t="str">
        <f>VLOOKUP(M908,C:H,6,FALSE)</f>
        <v>Refined Products</v>
      </c>
      <c r="I908" s="81"/>
      <c r="J908" s="81">
        <v>150</v>
      </c>
      <c r="K908" s="86"/>
      <c r="M908" s="78" t="s">
        <v>281</v>
      </c>
      <c r="N908" s="81" t="s">
        <v>281</v>
      </c>
      <c r="O908" s="81" t="s">
        <v>3288</v>
      </c>
      <c r="P908" s="81" t="s">
        <v>2256</v>
      </c>
      <c r="Q908" s="81"/>
      <c r="R908" s="83">
        <v>1000</v>
      </c>
      <c r="S908" s="79" t="s">
        <v>3099</v>
      </c>
      <c r="T908" s="84">
        <v>42000000</v>
      </c>
      <c r="U908" s="81"/>
      <c r="V908" s="81"/>
      <c r="W908" s="78" t="s">
        <v>281</v>
      </c>
      <c r="X908" s="81" t="s">
        <v>281</v>
      </c>
      <c r="Y908" s="81" t="s">
        <v>3288</v>
      </c>
      <c r="Z908" s="81" t="s">
        <v>2256</v>
      </c>
      <c r="AA908" s="83">
        <v>5000</v>
      </c>
      <c r="AB908" s="85"/>
      <c r="AD908" s="78" t="s">
        <v>281</v>
      </c>
      <c r="AE908" s="81" t="s">
        <v>281</v>
      </c>
      <c r="AF908" s="81" t="s">
        <v>3288</v>
      </c>
      <c r="AG908" s="81" t="s">
        <v>2256</v>
      </c>
      <c r="AH908" s="83">
        <v>7000</v>
      </c>
      <c r="AI908" s="85"/>
    </row>
    <row r="909" spans="1:35" s="79" customFormat="1" ht="11.25" customHeight="1" x14ac:dyDescent="0.2">
      <c r="A909" s="77" t="s">
        <v>940</v>
      </c>
      <c r="B909" s="80">
        <v>150</v>
      </c>
      <c r="C909" s="81" t="s">
        <v>281</v>
      </c>
      <c r="D909" s="73">
        <v>42000</v>
      </c>
      <c r="E909" s="79" t="s">
        <v>42</v>
      </c>
      <c r="F909" s="79" t="s">
        <v>3725</v>
      </c>
      <c r="G909" s="79" t="s">
        <v>2997</v>
      </c>
      <c r="H909" s="79" t="s">
        <v>43</v>
      </c>
      <c r="I909" s="81"/>
      <c r="J909" s="81">
        <v>250</v>
      </c>
      <c r="K909" s="86"/>
      <c r="M909" s="78" t="s">
        <v>281</v>
      </c>
      <c r="N909" s="82"/>
      <c r="O909" s="81" t="s">
        <v>2256</v>
      </c>
      <c r="P909" s="81" t="s">
        <v>2256</v>
      </c>
      <c r="Q909" s="81"/>
      <c r="R909" s="83">
        <v>1000</v>
      </c>
      <c r="S909" s="79" t="s">
        <v>2999</v>
      </c>
      <c r="T909" s="84">
        <v>42000000</v>
      </c>
      <c r="U909" s="81"/>
      <c r="V909" s="81"/>
      <c r="W909" s="78" t="s">
        <v>281</v>
      </c>
      <c r="X909" s="82"/>
      <c r="Y909" s="81" t="s">
        <v>2256</v>
      </c>
      <c r="Z909" s="81" t="s">
        <v>2256</v>
      </c>
      <c r="AA909" s="83">
        <v>5000</v>
      </c>
      <c r="AB909" s="85"/>
      <c r="AD909" s="78" t="s">
        <v>281</v>
      </c>
      <c r="AE909" s="82"/>
      <c r="AF909" s="81" t="s">
        <v>2256</v>
      </c>
      <c r="AG909" s="81" t="s">
        <v>2256</v>
      </c>
      <c r="AH909" s="83">
        <v>7000</v>
      </c>
      <c r="AI909" s="85"/>
    </row>
    <row r="910" spans="1:35" s="79" customFormat="1" ht="11.25" customHeight="1" x14ac:dyDescent="0.2">
      <c r="A910" s="77" t="s">
        <v>1467</v>
      </c>
      <c r="B910" s="80">
        <v>320</v>
      </c>
      <c r="C910" s="81" t="s">
        <v>1466</v>
      </c>
      <c r="D910" s="73">
        <v>42000</v>
      </c>
      <c r="E910" s="79" t="s">
        <v>42</v>
      </c>
      <c r="F910" s="79" t="s">
        <v>129</v>
      </c>
      <c r="G910" s="79" t="s">
        <v>2994</v>
      </c>
      <c r="H910" s="79" t="s">
        <v>43</v>
      </c>
      <c r="I910" s="81"/>
      <c r="J910" s="81">
        <v>250</v>
      </c>
      <c r="K910" s="86"/>
      <c r="M910" s="78" t="s">
        <v>281</v>
      </c>
      <c r="N910" s="82"/>
      <c r="O910" s="81" t="s">
        <v>2595</v>
      </c>
      <c r="P910" s="81" t="s">
        <v>2256</v>
      </c>
      <c r="Q910" s="81"/>
      <c r="R910" s="83">
        <v>1000</v>
      </c>
      <c r="S910" s="79" t="s">
        <v>3099</v>
      </c>
      <c r="T910" s="84">
        <v>42000000</v>
      </c>
      <c r="U910" s="81"/>
      <c r="V910" s="81"/>
      <c r="W910" s="78" t="s">
        <v>281</v>
      </c>
      <c r="X910" s="82"/>
      <c r="Y910" s="81" t="s">
        <v>2595</v>
      </c>
      <c r="Z910" s="81" t="s">
        <v>2256</v>
      </c>
      <c r="AA910" s="83">
        <v>5000</v>
      </c>
      <c r="AB910" s="85"/>
      <c r="AD910" s="78" t="s">
        <v>281</v>
      </c>
      <c r="AE910" s="82"/>
      <c r="AF910" s="81" t="s">
        <v>2595</v>
      </c>
      <c r="AG910" s="81" t="s">
        <v>2256</v>
      </c>
      <c r="AH910" s="83">
        <v>7000</v>
      </c>
      <c r="AI910" s="85"/>
    </row>
    <row r="911" spans="1:35" s="79" customFormat="1" ht="11.25" customHeight="1" x14ac:dyDescent="0.2">
      <c r="A911" s="77" t="s">
        <v>1072</v>
      </c>
      <c r="B911" s="80">
        <v>580</v>
      </c>
      <c r="C911" s="81" t="s">
        <v>1071</v>
      </c>
      <c r="D911" s="73">
        <v>1000</v>
      </c>
      <c r="E911" s="79" t="s">
        <v>28</v>
      </c>
      <c r="F911" s="79" t="s">
        <v>3725</v>
      </c>
      <c r="G911" s="79" t="s">
        <v>2996</v>
      </c>
      <c r="H911" s="79" t="s">
        <v>43</v>
      </c>
      <c r="I911" s="81" t="s">
        <v>3000</v>
      </c>
      <c r="J911" s="81">
        <v>25</v>
      </c>
      <c r="K911" s="86"/>
      <c r="M911" s="78" t="s">
        <v>653</v>
      </c>
      <c r="N911" s="82" t="s">
        <v>86</v>
      </c>
      <c r="O911" s="81" t="s">
        <v>2490</v>
      </c>
      <c r="P911" s="81" t="s">
        <v>2875</v>
      </c>
      <c r="Q911" s="81"/>
      <c r="R911" s="83" t="s">
        <v>197</v>
      </c>
      <c r="S911" s="79" t="s">
        <v>3145</v>
      </c>
      <c r="T911" s="84" t="s">
        <v>3578</v>
      </c>
      <c r="U911" s="81"/>
      <c r="V911" s="81"/>
      <c r="W911" s="78" t="s">
        <v>653</v>
      </c>
      <c r="X911" s="82" t="s">
        <v>86</v>
      </c>
      <c r="Y911" s="81" t="s">
        <v>2490</v>
      </c>
      <c r="Z911" s="81" t="s">
        <v>2875</v>
      </c>
      <c r="AA911" s="81" t="s">
        <v>1073</v>
      </c>
      <c r="AB911" s="85"/>
      <c r="AD911" s="78" t="s">
        <v>653</v>
      </c>
      <c r="AE911" s="82" t="s">
        <v>86</v>
      </c>
      <c r="AF911" s="81" t="s">
        <v>2490</v>
      </c>
      <c r="AG911" s="81" t="s">
        <v>2875</v>
      </c>
      <c r="AH911" s="81" t="s">
        <v>856</v>
      </c>
      <c r="AI911" s="85"/>
    </row>
    <row r="912" spans="1:35" s="79" customFormat="1" ht="11.25" customHeight="1" x14ac:dyDescent="0.2">
      <c r="A912" s="77" t="s">
        <v>736</v>
      </c>
      <c r="B912" s="80">
        <v>214</v>
      </c>
      <c r="C912" s="81" t="s">
        <v>735</v>
      </c>
      <c r="D912" s="73">
        <v>1000</v>
      </c>
      <c r="E912" s="79" t="s">
        <v>20</v>
      </c>
      <c r="F912" s="79" t="s">
        <v>3725</v>
      </c>
      <c r="G912" s="79" t="s">
        <v>2996</v>
      </c>
      <c r="H912" s="79" t="s">
        <v>43</v>
      </c>
      <c r="I912" s="81" t="s">
        <v>3000</v>
      </c>
      <c r="J912" s="81">
        <v>25</v>
      </c>
      <c r="K912" s="86"/>
      <c r="M912" s="78" t="s">
        <v>653</v>
      </c>
      <c r="N912" s="82" t="s">
        <v>548</v>
      </c>
      <c r="O912" s="81" t="s">
        <v>2402</v>
      </c>
      <c r="P912" s="81" t="s">
        <v>2828</v>
      </c>
      <c r="Q912" s="81"/>
      <c r="R912" s="83" t="s">
        <v>116</v>
      </c>
      <c r="S912" s="79" t="s">
        <v>3094</v>
      </c>
      <c r="T912" s="84" t="s">
        <v>3584</v>
      </c>
      <c r="U912" s="81"/>
      <c r="V912" s="81"/>
      <c r="W912" s="78" t="s">
        <v>653</v>
      </c>
      <c r="X912" s="82" t="s">
        <v>548</v>
      </c>
      <c r="Y912" s="81" t="s">
        <v>2402</v>
      </c>
      <c r="Z912" s="81" t="s">
        <v>2828</v>
      </c>
      <c r="AA912" s="81" t="s">
        <v>737</v>
      </c>
      <c r="AB912" s="85"/>
      <c r="AD912" s="78" t="s">
        <v>653</v>
      </c>
      <c r="AE912" s="82" t="s">
        <v>548</v>
      </c>
      <c r="AF912" s="81" t="s">
        <v>2402</v>
      </c>
      <c r="AG912" s="81" t="s">
        <v>2828</v>
      </c>
      <c r="AH912" s="81" t="s">
        <v>737</v>
      </c>
      <c r="AI912" s="85"/>
    </row>
    <row r="913" spans="1:35" s="79" customFormat="1" ht="11.25" customHeight="1" x14ac:dyDescent="0.2">
      <c r="A913" s="77" t="s">
        <v>652</v>
      </c>
      <c r="B913" s="80">
        <v>308</v>
      </c>
      <c r="C913" s="81" t="s">
        <v>651</v>
      </c>
      <c r="D913" s="73">
        <v>1000</v>
      </c>
      <c r="E913" s="79" t="s">
        <v>20</v>
      </c>
      <c r="F913" s="79" t="s">
        <v>3725</v>
      </c>
      <c r="G913" s="79" t="s">
        <v>2996</v>
      </c>
      <c r="H913" s="79" t="s">
        <v>43</v>
      </c>
      <c r="I913" s="81" t="s">
        <v>3000</v>
      </c>
      <c r="J913" s="81">
        <v>25</v>
      </c>
      <c r="K913" s="86"/>
      <c r="M913" s="78" t="s">
        <v>653</v>
      </c>
      <c r="N913" s="82"/>
      <c r="O913" s="81" t="s">
        <v>2386</v>
      </c>
      <c r="P913" s="81" t="s">
        <v>2256</v>
      </c>
      <c r="Q913" s="81"/>
      <c r="R913" s="83">
        <v>500</v>
      </c>
      <c r="S913" s="79" t="s">
        <v>3086</v>
      </c>
      <c r="T913" s="84">
        <v>500000</v>
      </c>
      <c r="U913" s="81"/>
      <c r="V913" s="81"/>
      <c r="W913" s="78" t="s">
        <v>653</v>
      </c>
      <c r="X913" s="82"/>
      <c r="Y913" s="81" t="s">
        <v>2386</v>
      </c>
      <c r="Z913" s="81" t="s">
        <v>2256</v>
      </c>
      <c r="AA913" s="83">
        <v>1000</v>
      </c>
      <c r="AB913" s="85"/>
      <c r="AD913" s="78" t="s">
        <v>653</v>
      </c>
      <c r="AE913" s="82"/>
      <c r="AF913" s="81" t="s">
        <v>2386</v>
      </c>
      <c r="AG913" s="81" t="s">
        <v>2256</v>
      </c>
      <c r="AH913" s="83">
        <v>1000</v>
      </c>
      <c r="AI913" s="85"/>
    </row>
    <row r="914" spans="1:35" s="79" customFormat="1" ht="11.25" customHeight="1" x14ac:dyDescent="0.2">
      <c r="A914" s="77" t="s">
        <v>655</v>
      </c>
      <c r="B914" s="80">
        <v>1062</v>
      </c>
      <c r="C914" s="81" t="s">
        <v>654</v>
      </c>
      <c r="D914" s="73">
        <v>100</v>
      </c>
      <c r="E914" s="79" t="s">
        <v>20</v>
      </c>
      <c r="F914" s="79" t="s">
        <v>3725</v>
      </c>
      <c r="G914" s="79" t="s">
        <v>2996</v>
      </c>
      <c r="H914" s="79" t="s">
        <v>43</v>
      </c>
      <c r="I914" s="81" t="s">
        <v>3000</v>
      </c>
      <c r="J914" s="81">
        <v>25</v>
      </c>
      <c r="K914" s="86"/>
      <c r="M914" s="78" t="s">
        <v>653</v>
      </c>
      <c r="N914" s="82"/>
      <c r="O914" s="81" t="s">
        <v>2387</v>
      </c>
      <c r="P914" s="81" t="s">
        <v>2256</v>
      </c>
      <c r="Q914" s="81"/>
      <c r="R914" s="83">
        <v>500</v>
      </c>
      <c r="S914" s="79" t="s">
        <v>3086</v>
      </c>
      <c r="T914" s="84">
        <v>500000</v>
      </c>
      <c r="U914" s="81"/>
      <c r="V914" s="81"/>
      <c r="W914" s="78" t="s">
        <v>653</v>
      </c>
      <c r="X914" s="82"/>
      <c r="Y914" s="81" t="s">
        <v>2387</v>
      </c>
      <c r="Z914" s="81" t="s">
        <v>2256</v>
      </c>
      <c r="AA914" s="83">
        <v>1000</v>
      </c>
      <c r="AB914" s="85"/>
      <c r="AD914" s="78" t="s">
        <v>653</v>
      </c>
      <c r="AE914" s="82"/>
      <c r="AF914" s="81" t="s">
        <v>2387</v>
      </c>
      <c r="AG914" s="81" t="s">
        <v>2256</v>
      </c>
      <c r="AH914" s="83">
        <v>1000</v>
      </c>
      <c r="AI914" s="85"/>
    </row>
    <row r="915" spans="1:35" s="79" customFormat="1" ht="11.25" customHeight="1" x14ac:dyDescent="0.2">
      <c r="A915" s="77" t="s">
        <v>1068</v>
      </c>
      <c r="B915" s="80">
        <v>579</v>
      </c>
      <c r="C915" s="81" t="s">
        <v>653</v>
      </c>
      <c r="D915" s="73">
        <v>1000</v>
      </c>
      <c r="E915" s="79" t="s">
        <v>20</v>
      </c>
      <c r="F915" s="79" t="s">
        <v>3725</v>
      </c>
      <c r="G915" s="79" t="s">
        <v>2996</v>
      </c>
      <c r="H915" s="79" t="s">
        <v>43</v>
      </c>
      <c r="I915" s="81" t="s">
        <v>3000</v>
      </c>
      <c r="J915" s="81">
        <v>25</v>
      </c>
      <c r="K915" s="86"/>
      <c r="M915" s="78" t="s">
        <v>653</v>
      </c>
      <c r="N915" s="82"/>
      <c r="O915" s="81" t="s">
        <v>2256</v>
      </c>
      <c r="P915" s="81" t="s">
        <v>2256</v>
      </c>
      <c r="Q915" s="81"/>
      <c r="R915" s="83">
        <v>500</v>
      </c>
      <c r="S915" s="79" t="s">
        <v>2999</v>
      </c>
      <c r="T915" s="84">
        <v>500000</v>
      </c>
      <c r="U915" s="81"/>
      <c r="V915" s="81"/>
      <c r="W915" s="78" t="s">
        <v>653</v>
      </c>
      <c r="X915" s="82"/>
      <c r="Y915" s="81" t="s">
        <v>2256</v>
      </c>
      <c r="Z915" s="81" t="s">
        <v>2256</v>
      </c>
      <c r="AA915" s="83">
        <v>1000</v>
      </c>
      <c r="AB915" s="85"/>
      <c r="AD915" s="78" t="s">
        <v>653</v>
      </c>
      <c r="AE915" s="82"/>
      <c r="AF915" s="81" t="s">
        <v>2256</v>
      </c>
      <c r="AG915" s="81" t="s">
        <v>2256</v>
      </c>
      <c r="AH915" s="83">
        <v>1000</v>
      </c>
      <c r="AI915" s="85"/>
    </row>
    <row r="916" spans="1:35" s="79" customFormat="1" ht="11.25" customHeight="1" x14ac:dyDescent="0.2">
      <c r="A916" s="77" t="s">
        <v>1070</v>
      </c>
      <c r="B916" s="80">
        <v>1246</v>
      </c>
      <c r="C916" s="81" t="s">
        <v>1069</v>
      </c>
      <c r="D916" s="73">
        <v>1000</v>
      </c>
      <c r="E916" s="79" t="s">
        <v>181</v>
      </c>
      <c r="F916" s="79" t="s">
        <v>30</v>
      </c>
      <c r="G916" s="79" t="s">
        <v>3001</v>
      </c>
      <c r="H916" s="79" t="s">
        <v>43</v>
      </c>
      <c r="I916" s="81" t="s">
        <v>3000</v>
      </c>
      <c r="J916" s="81">
        <v>25</v>
      </c>
      <c r="K916" s="86"/>
      <c r="M916" s="78" t="s">
        <v>653</v>
      </c>
      <c r="N916" s="82"/>
      <c r="O916" s="81" t="s">
        <v>2489</v>
      </c>
      <c r="P916" s="81" t="s">
        <v>2256</v>
      </c>
      <c r="Q916" s="81"/>
      <c r="R916" s="83">
        <v>500</v>
      </c>
      <c r="S916" s="79" t="s">
        <v>3086</v>
      </c>
      <c r="T916" s="84">
        <v>500000</v>
      </c>
      <c r="U916" s="81"/>
      <c r="V916" s="81"/>
      <c r="W916" s="78" t="s">
        <v>653</v>
      </c>
      <c r="X916" s="82"/>
      <c r="Y916" s="81" t="s">
        <v>2489</v>
      </c>
      <c r="Z916" s="81" t="s">
        <v>2256</v>
      </c>
      <c r="AA916" s="83">
        <v>1000</v>
      </c>
      <c r="AB916" s="85"/>
      <c r="AD916" s="78" t="s">
        <v>653</v>
      </c>
      <c r="AE916" s="82"/>
      <c r="AF916" s="81" t="s">
        <v>2489</v>
      </c>
      <c r="AG916" s="81" t="s">
        <v>2256</v>
      </c>
      <c r="AH916" s="83">
        <v>1000</v>
      </c>
      <c r="AI916" s="85"/>
    </row>
    <row r="917" spans="1:35" s="79" customFormat="1" ht="11.25" x14ac:dyDescent="0.2">
      <c r="A917" s="77" t="s">
        <v>1300</v>
      </c>
      <c r="B917" s="80">
        <v>852</v>
      </c>
      <c r="C917" s="81" t="s">
        <v>1299</v>
      </c>
      <c r="D917" s="73">
        <v>100</v>
      </c>
      <c r="E917" s="79" t="s">
        <v>20</v>
      </c>
      <c r="F917" s="79" t="s">
        <v>3725</v>
      </c>
      <c r="G917" s="79" t="s">
        <v>2996</v>
      </c>
      <c r="H917" s="79" t="s">
        <v>43</v>
      </c>
      <c r="I917" s="81" t="s">
        <v>3000</v>
      </c>
      <c r="J917" s="81">
        <v>25</v>
      </c>
      <c r="K917" s="86"/>
      <c r="M917" s="78" t="s">
        <v>653</v>
      </c>
      <c r="N917" s="82"/>
      <c r="O917" s="81" t="s">
        <v>2550</v>
      </c>
      <c r="P917" s="81" t="s">
        <v>2256</v>
      </c>
      <c r="Q917" s="81"/>
      <c r="R917" s="83">
        <v>500</v>
      </c>
      <c r="S917" s="79" t="s">
        <v>3086</v>
      </c>
      <c r="T917" s="84">
        <v>500000</v>
      </c>
      <c r="U917" s="81"/>
      <c r="V917" s="81"/>
      <c r="W917" s="78" t="s">
        <v>653</v>
      </c>
      <c r="X917" s="82"/>
      <c r="Y917" s="81" t="s">
        <v>2550</v>
      </c>
      <c r="Z917" s="81" t="s">
        <v>2256</v>
      </c>
      <c r="AA917" s="83">
        <v>1000</v>
      </c>
      <c r="AB917" s="85"/>
      <c r="AD917" s="78" t="s">
        <v>653</v>
      </c>
      <c r="AE917" s="82"/>
      <c r="AF917" s="81" t="s">
        <v>2550</v>
      </c>
      <c r="AG917" s="81" t="s">
        <v>2256</v>
      </c>
      <c r="AH917" s="83">
        <v>1000</v>
      </c>
      <c r="AI917" s="85"/>
    </row>
    <row r="918" spans="1:35" s="79" customFormat="1" ht="11.25" customHeight="1" x14ac:dyDescent="0.2">
      <c r="A918" s="77" t="s">
        <v>1082</v>
      </c>
      <c r="B918" s="80">
        <v>313</v>
      </c>
      <c r="C918" s="81" t="s">
        <v>1081</v>
      </c>
      <c r="D918" s="73">
        <v>42000</v>
      </c>
      <c r="E918" s="79" t="s">
        <v>42</v>
      </c>
      <c r="F918" s="79" t="s">
        <v>3725</v>
      </c>
      <c r="G918" s="79" t="s">
        <v>2996</v>
      </c>
      <c r="H918" s="79" t="s">
        <v>43</v>
      </c>
      <c r="I918" s="81"/>
      <c r="J918" s="81">
        <v>25</v>
      </c>
      <c r="K918" s="86"/>
      <c r="M918" s="78" t="s">
        <v>1081</v>
      </c>
      <c r="N918" s="82"/>
      <c r="O918" s="81" t="s">
        <v>2256</v>
      </c>
      <c r="P918" s="81" t="s">
        <v>2256</v>
      </c>
      <c r="Q918" s="81"/>
      <c r="R918" s="83">
        <v>3000</v>
      </c>
      <c r="S918" s="79" t="s">
        <v>2999</v>
      </c>
      <c r="T918" s="84">
        <v>126000000</v>
      </c>
      <c r="U918" s="81"/>
      <c r="V918" s="81"/>
      <c r="W918" s="78" t="s">
        <v>1081</v>
      </c>
      <c r="X918" s="82"/>
      <c r="Y918" s="81" t="s">
        <v>2256</v>
      </c>
      <c r="Z918" s="81" t="s">
        <v>2256</v>
      </c>
      <c r="AA918" s="83">
        <v>5000</v>
      </c>
      <c r="AB918" s="85"/>
      <c r="AD918" s="78" t="s">
        <v>1081</v>
      </c>
      <c r="AE918" s="82"/>
      <c r="AF918" s="81" t="s">
        <v>2256</v>
      </c>
      <c r="AG918" s="81" t="s">
        <v>2256</v>
      </c>
      <c r="AH918" s="83">
        <v>7000</v>
      </c>
      <c r="AI918" s="85"/>
    </row>
    <row r="919" spans="1:35" s="79" customFormat="1" ht="11.25" customHeight="1" x14ac:dyDescent="0.2">
      <c r="A919" s="77" t="s">
        <v>1145</v>
      </c>
      <c r="B919" s="80">
        <v>1223</v>
      </c>
      <c r="C919" s="81" t="s">
        <v>1144</v>
      </c>
      <c r="D919" s="73">
        <v>1000</v>
      </c>
      <c r="E919" s="79" t="s">
        <v>28</v>
      </c>
      <c r="F919" s="79" t="s">
        <v>3725</v>
      </c>
      <c r="G919" s="79" t="s">
        <v>2996</v>
      </c>
      <c r="H919" s="79" t="s">
        <v>43</v>
      </c>
      <c r="I919" s="81" t="s">
        <v>3000</v>
      </c>
      <c r="J919" s="81">
        <v>25</v>
      </c>
      <c r="K919" s="86"/>
      <c r="M919" s="78" t="s">
        <v>171</v>
      </c>
      <c r="N919" s="82" t="s">
        <v>106</v>
      </c>
      <c r="O919" s="81" t="s">
        <v>2506</v>
      </c>
      <c r="P919" s="81" t="s">
        <v>2883</v>
      </c>
      <c r="Q919" s="81"/>
      <c r="R919" s="83" t="s">
        <v>206</v>
      </c>
      <c r="S919" s="79" t="s">
        <v>3154</v>
      </c>
      <c r="T919" s="84" t="s">
        <v>3593</v>
      </c>
      <c r="U919" s="81"/>
      <c r="V919" s="81"/>
      <c r="W919" s="78" t="s">
        <v>171</v>
      </c>
      <c r="X919" s="82" t="s">
        <v>106</v>
      </c>
      <c r="Y919" s="81" t="s">
        <v>2506</v>
      </c>
      <c r="Z919" s="81" t="s">
        <v>2883</v>
      </c>
      <c r="AA919" s="81" t="s">
        <v>1146</v>
      </c>
      <c r="AB919" s="85"/>
      <c r="AD919" s="78" t="s">
        <v>171</v>
      </c>
      <c r="AE919" s="82" t="s">
        <v>106</v>
      </c>
      <c r="AF919" s="81" t="s">
        <v>2506</v>
      </c>
      <c r="AG919" s="81" t="s">
        <v>2883</v>
      </c>
      <c r="AH919" s="81" t="s">
        <v>1146</v>
      </c>
      <c r="AI919" s="85"/>
    </row>
    <row r="920" spans="1:35" s="79" customFormat="1" ht="11.25" x14ac:dyDescent="0.2">
      <c r="A920" s="77" t="s">
        <v>3765</v>
      </c>
      <c r="B920" s="80">
        <v>1224</v>
      </c>
      <c r="C920" s="81" t="s">
        <v>629</v>
      </c>
      <c r="D920" s="73">
        <v>1000</v>
      </c>
      <c r="E920" s="79" t="s">
        <v>28</v>
      </c>
      <c r="F920" s="79" t="s">
        <v>3725</v>
      </c>
      <c r="G920" s="79" t="s">
        <v>2996</v>
      </c>
      <c r="H920" s="79" t="s">
        <v>43</v>
      </c>
      <c r="I920" s="81" t="s">
        <v>3000</v>
      </c>
      <c r="J920" s="81">
        <v>25</v>
      </c>
      <c r="K920" s="86"/>
      <c r="M920" s="78" t="s">
        <v>171</v>
      </c>
      <c r="N920" s="82" t="s">
        <v>160</v>
      </c>
      <c r="O920" s="81" t="s">
        <v>2383</v>
      </c>
      <c r="P920" s="81" t="s">
        <v>2815</v>
      </c>
      <c r="Q920" s="81"/>
      <c r="R920" s="83" t="s">
        <v>3452</v>
      </c>
      <c r="S920" s="79" t="s">
        <v>3083</v>
      </c>
      <c r="T920" s="84" t="s">
        <v>3595</v>
      </c>
      <c r="U920" s="81"/>
      <c r="V920" s="81"/>
      <c r="W920" s="78" t="s">
        <v>171</v>
      </c>
      <c r="X920" s="82" t="s">
        <v>160</v>
      </c>
      <c r="Y920" s="81" t="s">
        <v>2383</v>
      </c>
      <c r="Z920" s="81" t="s">
        <v>2815</v>
      </c>
      <c r="AA920" s="81" t="s">
        <v>151</v>
      </c>
      <c r="AB920" s="85"/>
      <c r="AD920" s="78" t="s">
        <v>171</v>
      </c>
      <c r="AE920" s="82" t="s">
        <v>160</v>
      </c>
      <c r="AF920" s="81" t="s">
        <v>2383</v>
      </c>
      <c r="AG920" s="81" t="s">
        <v>2815</v>
      </c>
      <c r="AH920" s="81" t="s">
        <v>151</v>
      </c>
      <c r="AI920" s="85"/>
    </row>
    <row r="921" spans="1:35" s="79" customFormat="1" ht="11.25" customHeight="1" x14ac:dyDescent="0.2">
      <c r="A921" s="77" t="s">
        <v>1683</v>
      </c>
      <c r="B921" s="80">
        <v>672</v>
      </c>
      <c r="C921" s="81" t="s">
        <v>1682</v>
      </c>
      <c r="D921" s="73">
        <v>1000</v>
      </c>
      <c r="E921" s="79" t="s">
        <v>28</v>
      </c>
      <c r="F921" s="79" t="s">
        <v>3725</v>
      </c>
      <c r="G921" s="79" t="s">
        <v>2996</v>
      </c>
      <c r="H921" s="79" t="s">
        <v>43</v>
      </c>
      <c r="I921" s="81"/>
      <c r="J921" s="81">
        <v>25</v>
      </c>
      <c r="K921" s="86"/>
      <c r="M921" s="78" t="s">
        <v>171</v>
      </c>
      <c r="N921" s="82" t="s">
        <v>640</v>
      </c>
      <c r="O921" s="81" t="s">
        <v>2640</v>
      </c>
      <c r="P921" s="81" t="s">
        <v>2930</v>
      </c>
      <c r="Q921" s="81"/>
      <c r="R921" s="83" t="s">
        <v>3427</v>
      </c>
      <c r="S921" s="79" t="s">
        <v>3203</v>
      </c>
      <c r="T921" s="84" t="s">
        <v>3600</v>
      </c>
      <c r="U921" s="81"/>
      <c r="V921" s="81"/>
      <c r="W921" s="78" t="s">
        <v>171</v>
      </c>
      <c r="X921" s="82" t="s">
        <v>640</v>
      </c>
      <c r="Y921" s="81" t="s">
        <v>2640</v>
      </c>
      <c r="Z921" s="81" t="s">
        <v>2930</v>
      </c>
      <c r="AA921" s="81" t="s">
        <v>452</v>
      </c>
      <c r="AB921" s="85"/>
      <c r="AD921" s="78" t="s">
        <v>171</v>
      </c>
      <c r="AE921" s="82" t="s">
        <v>640</v>
      </c>
      <c r="AF921" s="81" t="s">
        <v>2640</v>
      </c>
      <c r="AG921" s="81" t="s">
        <v>2930</v>
      </c>
      <c r="AH921" s="81" t="s">
        <v>452</v>
      </c>
      <c r="AI921" s="85"/>
    </row>
    <row r="922" spans="1:35" s="79" customFormat="1" ht="11.25" customHeight="1" x14ac:dyDescent="0.2">
      <c r="A922" s="77" t="s">
        <v>2020</v>
      </c>
      <c r="B922" s="80">
        <v>657</v>
      </c>
      <c r="C922" s="81" t="s">
        <v>2019</v>
      </c>
      <c r="D922" s="73">
        <v>1000</v>
      </c>
      <c r="E922" s="79" t="s">
        <v>28</v>
      </c>
      <c r="F922" s="79" t="s">
        <v>3725</v>
      </c>
      <c r="G922" s="79" t="s">
        <v>2996</v>
      </c>
      <c r="H922" s="79" t="s">
        <v>43</v>
      </c>
      <c r="I922" s="81" t="s">
        <v>3000</v>
      </c>
      <c r="J922" s="81">
        <v>25</v>
      </c>
      <c r="K922" s="86"/>
      <c r="M922" s="78" t="s">
        <v>171</v>
      </c>
      <c r="N922" s="82" t="s">
        <v>640</v>
      </c>
      <c r="O922" s="81" t="s">
        <v>2709</v>
      </c>
      <c r="P922" s="81" t="s">
        <v>2969</v>
      </c>
      <c r="Q922" s="81"/>
      <c r="R922" s="83" t="s">
        <v>3427</v>
      </c>
      <c r="S922" s="79" t="s">
        <v>3203</v>
      </c>
      <c r="T922" s="84" t="s">
        <v>3600</v>
      </c>
      <c r="U922" s="81"/>
      <c r="V922" s="81"/>
      <c r="W922" s="78" t="s">
        <v>171</v>
      </c>
      <c r="X922" s="82" t="s">
        <v>640</v>
      </c>
      <c r="Y922" s="81" t="s">
        <v>2709</v>
      </c>
      <c r="Z922" s="81" t="s">
        <v>2969</v>
      </c>
      <c r="AA922" s="81" t="s">
        <v>452</v>
      </c>
      <c r="AB922" s="85"/>
      <c r="AD922" s="78" t="s">
        <v>171</v>
      </c>
      <c r="AE922" s="82" t="s">
        <v>640</v>
      </c>
      <c r="AF922" s="81" t="s">
        <v>2709</v>
      </c>
      <c r="AG922" s="81" t="s">
        <v>2969</v>
      </c>
      <c r="AH922" s="81" t="s">
        <v>452</v>
      </c>
      <c r="AI922" s="85"/>
    </row>
    <row r="923" spans="1:35" s="79" customFormat="1" ht="11.25" customHeight="1" x14ac:dyDescent="0.2">
      <c r="A923" s="77" t="s">
        <v>170</v>
      </c>
      <c r="B923" s="80">
        <v>495</v>
      </c>
      <c r="C923" s="81" t="s">
        <v>169</v>
      </c>
      <c r="D923" s="73">
        <v>1000</v>
      </c>
      <c r="E923" s="79" t="s">
        <v>28</v>
      </c>
      <c r="F923" s="79" t="s">
        <v>3725</v>
      </c>
      <c r="G923" s="79" t="s">
        <v>2996</v>
      </c>
      <c r="H923" s="79" t="s">
        <v>43</v>
      </c>
      <c r="I923" s="81" t="s">
        <v>3000</v>
      </c>
      <c r="J923" s="81">
        <v>25</v>
      </c>
      <c r="K923" s="86"/>
      <c r="M923" s="78" t="s">
        <v>171</v>
      </c>
      <c r="N923" s="82"/>
      <c r="O923" s="81" t="s">
        <v>2281</v>
      </c>
      <c r="P923" s="81" t="s">
        <v>2256</v>
      </c>
      <c r="Q923" s="81"/>
      <c r="R923" s="83">
        <v>500</v>
      </c>
      <c r="S923" s="79" t="s">
        <v>3026</v>
      </c>
      <c r="T923" s="84">
        <v>500000</v>
      </c>
      <c r="U923" s="81"/>
      <c r="V923" s="81"/>
      <c r="W923" s="78" t="s">
        <v>171</v>
      </c>
      <c r="X923" s="82"/>
      <c r="Y923" s="81" t="s">
        <v>2281</v>
      </c>
      <c r="Z923" s="81" t="s">
        <v>2256</v>
      </c>
      <c r="AA923" s="83">
        <v>1500</v>
      </c>
      <c r="AB923" s="85"/>
      <c r="AD923" s="78" t="s">
        <v>171</v>
      </c>
      <c r="AE923" s="82"/>
      <c r="AF923" s="81" t="s">
        <v>2281</v>
      </c>
      <c r="AG923" s="81" t="s">
        <v>2256</v>
      </c>
      <c r="AH923" s="83">
        <v>1500</v>
      </c>
      <c r="AI923" s="85"/>
    </row>
    <row r="924" spans="1:35" s="79" customFormat="1" ht="11.25" customHeight="1" x14ac:dyDescent="0.2">
      <c r="A924" s="77" t="s">
        <v>1143</v>
      </c>
      <c r="B924" s="80">
        <v>670</v>
      </c>
      <c r="C924" s="81" t="s">
        <v>171</v>
      </c>
      <c r="D924" s="73">
        <v>1000</v>
      </c>
      <c r="E924" s="79" t="s">
        <v>28</v>
      </c>
      <c r="F924" s="79" t="s">
        <v>3725</v>
      </c>
      <c r="G924" s="79" t="s">
        <v>2996</v>
      </c>
      <c r="H924" s="79" t="s">
        <v>43</v>
      </c>
      <c r="I924" s="81" t="s">
        <v>3000</v>
      </c>
      <c r="J924" s="81">
        <v>25</v>
      </c>
      <c r="K924" s="86"/>
      <c r="M924" s="78" t="s">
        <v>171</v>
      </c>
      <c r="N924" s="82"/>
      <c r="O924" s="81" t="s">
        <v>2256</v>
      </c>
      <c r="P924" s="81" t="s">
        <v>2256</v>
      </c>
      <c r="Q924" s="81"/>
      <c r="R924" s="83">
        <v>500</v>
      </c>
      <c r="S924" s="79" t="s">
        <v>2999</v>
      </c>
      <c r="T924" s="84">
        <v>500000</v>
      </c>
      <c r="U924" s="81"/>
      <c r="V924" s="81"/>
      <c r="W924" s="78" t="s">
        <v>171</v>
      </c>
      <c r="X924" s="82"/>
      <c r="Y924" s="81" t="s">
        <v>2256</v>
      </c>
      <c r="Z924" s="81" t="s">
        <v>2256</v>
      </c>
      <c r="AA924" s="83">
        <v>1500</v>
      </c>
      <c r="AB924" s="85"/>
      <c r="AD924" s="78" t="s">
        <v>171</v>
      </c>
      <c r="AE924" s="82"/>
      <c r="AF924" s="81" t="s">
        <v>2256</v>
      </c>
      <c r="AG924" s="81" t="s">
        <v>2256</v>
      </c>
      <c r="AH924" s="83">
        <v>1500</v>
      </c>
      <c r="AI924" s="85"/>
    </row>
    <row r="925" spans="1:35" s="79" customFormat="1" ht="11.25" x14ac:dyDescent="0.2">
      <c r="A925" s="77" t="s">
        <v>1346</v>
      </c>
      <c r="B925" s="81" t="s">
        <v>1347</v>
      </c>
      <c r="C925" s="81" t="s">
        <v>1345</v>
      </c>
      <c r="D925" s="73">
        <v>1000</v>
      </c>
      <c r="E925" s="79" t="s">
        <v>28</v>
      </c>
      <c r="F925" s="79" t="s">
        <v>30</v>
      </c>
      <c r="G925" s="79" t="s">
        <v>3001</v>
      </c>
      <c r="H925" s="79" t="s">
        <v>43</v>
      </c>
      <c r="I925" s="81" t="s">
        <v>3000</v>
      </c>
      <c r="J925" s="81">
        <v>25</v>
      </c>
      <c r="K925" s="86"/>
      <c r="M925" s="78" t="s">
        <v>171</v>
      </c>
      <c r="N925" s="82"/>
      <c r="O925" s="81" t="s">
        <v>2564</v>
      </c>
      <c r="P925" s="81" t="s">
        <v>2256</v>
      </c>
      <c r="Q925" s="81"/>
      <c r="R925" s="83">
        <v>500</v>
      </c>
      <c r="S925" s="79" t="s">
        <v>3026</v>
      </c>
      <c r="T925" s="84">
        <v>500000</v>
      </c>
      <c r="U925" s="81"/>
      <c r="V925" s="81"/>
      <c r="W925" s="78" t="s">
        <v>171</v>
      </c>
      <c r="X925" s="82"/>
      <c r="Y925" s="81" t="s">
        <v>2564</v>
      </c>
      <c r="Z925" s="81" t="s">
        <v>2256</v>
      </c>
      <c r="AA925" s="83">
        <v>1500</v>
      </c>
      <c r="AB925" s="85"/>
      <c r="AD925" s="78" t="s">
        <v>171</v>
      </c>
      <c r="AE925" s="82"/>
      <c r="AF925" s="81" t="s">
        <v>2564</v>
      </c>
      <c r="AG925" s="81" t="s">
        <v>2256</v>
      </c>
      <c r="AH925" s="83">
        <v>1500</v>
      </c>
      <c r="AI925" s="85"/>
    </row>
    <row r="926" spans="1:35" s="79" customFormat="1" ht="11.25" customHeight="1" x14ac:dyDescent="0.2">
      <c r="A926" s="77" t="s">
        <v>1101</v>
      </c>
      <c r="B926" s="80">
        <v>577</v>
      </c>
      <c r="C926" s="81" t="s">
        <v>1100</v>
      </c>
      <c r="D926" s="73">
        <v>42000</v>
      </c>
      <c r="E926" s="79" t="s">
        <v>42</v>
      </c>
      <c r="F926" s="79" t="s">
        <v>3725</v>
      </c>
      <c r="G926" s="79" t="s">
        <v>2996</v>
      </c>
      <c r="H926" s="79" t="s">
        <v>43</v>
      </c>
      <c r="I926" s="81" t="s">
        <v>3000</v>
      </c>
      <c r="J926" s="81">
        <v>25</v>
      </c>
      <c r="K926" s="86"/>
      <c r="M926" s="78" t="s">
        <v>1102</v>
      </c>
      <c r="N926" s="82" t="s">
        <v>44</v>
      </c>
      <c r="O926" s="81" t="s">
        <v>2498</v>
      </c>
      <c r="P926" s="81" t="s">
        <v>2879</v>
      </c>
      <c r="Q926" s="81"/>
      <c r="R926" s="83" t="s">
        <v>864</v>
      </c>
      <c r="S926" s="79" t="s">
        <v>3150</v>
      </c>
      <c r="T926" s="84" t="s">
        <v>3416</v>
      </c>
      <c r="U926" s="81"/>
      <c r="V926" s="81"/>
      <c r="W926" s="78" t="s">
        <v>1102</v>
      </c>
      <c r="X926" s="82" t="s">
        <v>44</v>
      </c>
      <c r="Y926" s="81" t="s">
        <v>2498</v>
      </c>
      <c r="Z926" s="81" t="s">
        <v>2879</v>
      </c>
      <c r="AA926" s="81" t="s">
        <v>409</v>
      </c>
      <c r="AB926" s="85"/>
      <c r="AD926" s="78" t="s">
        <v>1102</v>
      </c>
      <c r="AE926" s="82" t="s">
        <v>44</v>
      </c>
      <c r="AF926" s="81" t="s">
        <v>2498</v>
      </c>
      <c r="AG926" s="81" t="s">
        <v>2879</v>
      </c>
      <c r="AH926" s="81" t="s">
        <v>136</v>
      </c>
      <c r="AI926" s="85"/>
    </row>
    <row r="927" spans="1:35" s="79" customFormat="1" ht="11.25" x14ac:dyDescent="0.2">
      <c r="A927" s="77" t="s">
        <v>1201</v>
      </c>
      <c r="B927" s="80">
        <v>576</v>
      </c>
      <c r="C927" s="81" t="s">
        <v>1102</v>
      </c>
      <c r="D927" s="73">
        <v>42000</v>
      </c>
      <c r="E927" s="79" t="s">
        <v>42</v>
      </c>
      <c r="F927" s="79" t="s">
        <v>3725</v>
      </c>
      <c r="G927" s="79" t="s">
        <v>2996</v>
      </c>
      <c r="H927" s="79" t="s">
        <v>43</v>
      </c>
      <c r="I927" s="81" t="s">
        <v>3000</v>
      </c>
      <c r="J927" s="81">
        <v>25</v>
      </c>
      <c r="K927" s="86"/>
      <c r="M927" s="78" t="s">
        <v>1102</v>
      </c>
      <c r="N927" s="82"/>
      <c r="O927" s="81" t="s">
        <v>2256</v>
      </c>
      <c r="P927" s="81" t="s">
        <v>2256</v>
      </c>
      <c r="Q927" s="81"/>
      <c r="R927" s="83">
        <v>1000</v>
      </c>
      <c r="S927" s="79" t="s">
        <v>2999</v>
      </c>
      <c r="T927" s="84">
        <v>42000000</v>
      </c>
      <c r="U927" s="81"/>
      <c r="V927" s="81"/>
      <c r="W927" s="78" t="s">
        <v>1102</v>
      </c>
      <c r="X927" s="82"/>
      <c r="Y927" s="81" t="s">
        <v>2256</v>
      </c>
      <c r="Z927" s="81" t="s">
        <v>2256</v>
      </c>
      <c r="AA927" s="83">
        <v>5000</v>
      </c>
      <c r="AB927" s="85"/>
      <c r="AD927" s="78" t="s">
        <v>1102</v>
      </c>
      <c r="AE927" s="82"/>
      <c r="AF927" s="81" t="s">
        <v>2256</v>
      </c>
      <c r="AG927" s="81" t="s">
        <v>2256</v>
      </c>
      <c r="AH927" s="83">
        <v>5000</v>
      </c>
      <c r="AI927" s="85"/>
    </row>
    <row r="928" spans="1:35" s="79" customFormat="1" ht="11.25" customHeight="1" x14ac:dyDescent="0.2">
      <c r="A928" s="77" t="s">
        <v>1139</v>
      </c>
      <c r="B928" s="80">
        <v>575</v>
      </c>
      <c r="C928" s="81" t="s">
        <v>1138</v>
      </c>
      <c r="D928" s="73">
        <v>42000</v>
      </c>
      <c r="E928" s="79" t="s">
        <v>42</v>
      </c>
      <c r="F928" s="79" t="s">
        <v>3725</v>
      </c>
      <c r="G928" s="79" t="s">
        <v>2996</v>
      </c>
      <c r="H928" s="79" t="s">
        <v>43</v>
      </c>
      <c r="I928" s="81" t="s">
        <v>3000</v>
      </c>
      <c r="J928" s="81">
        <v>25</v>
      </c>
      <c r="K928" s="86"/>
      <c r="M928" s="78" t="s">
        <v>1140</v>
      </c>
      <c r="N928" s="82" t="s">
        <v>44</v>
      </c>
      <c r="O928" s="81" t="s">
        <v>2504</v>
      </c>
      <c r="P928" s="81" t="s">
        <v>2882</v>
      </c>
      <c r="Q928" s="81"/>
      <c r="R928" s="83" t="s">
        <v>864</v>
      </c>
      <c r="S928" s="79" t="s">
        <v>3153</v>
      </c>
      <c r="T928" s="84" t="s">
        <v>3416</v>
      </c>
      <c r="U928" s="81"/>
      <c r="V928" s="81"/>
      <c r="W928" s="78" t="s">
        <v>1140</v>
      </c>
      <c r="X928" s="82" t="s">
        <v>44</v>
      </c>
      <c r="Y928" s="81" t="s">
        <v>2504</v>
      </c>
      <c r="Z928" s="81" t="s">
        <v>2882</v>
      </c>
      <c r="AA928" s="81" t="s">
        <v>409</v>
      </c>
      <c r="AB928" s="85"/>
      <c r="AD928" s="78" t="s">
        <v>1140</v>
      </c>
      <c r="AE928" s="82" t="s">
        <v>44</v>
      </c>
      <c r="AF928" s="81" t="s">
        <v>2504</v>
      </c>
      <c r="AG928" s="81" t="s">
        <v>2882</v>
      </c>
      <c r="AH928" s="81" t="s">
        <v>136</v>
      </c>
      <c r="AI928" s="85"/>
    </row>
    <row r="929" spans="1:35" s="79" customFormat="1" ht="11.25" customHeight="1" x14ac:dyDescent="0.2">
      <c r="A929" s="77" t="s">
        <v>1212</v>
      </c>
      <c r="B929" s="80">
        <v>574</v>
      </c>
      <c r="C929" s="81" t="s">
        <v>1140</v>
      </c>
      <c r="D929" s="73">
        <v>42000</v>
      </c>
      <c r="E929" s="79" t="s">
        <v>42</v>
      </c>
      <c r="F929" s="79" t="s">
        <v>3725</v>
      </c>
      <c r="G929" s="79" t="s">
        <v>2996</v>
      </c>
      <c r="H929" s="79" t="s">
        <v>43</v>
      </c>
      <c r="I929" s="81" t="s">
        <v>3000</v>
      </c>
      <c r="J929" s="81">
        <v>25</v>
      </c>
      <c r="K929" s="86"/>
      <c r="M929" s="78" t="s">
        <v>1140</v>
      </c>
      <c r="N929" s="82"/>
      <c r="O929" s="81" t="s">
        <v>2256</v>
      </c>
      <c r="P929" s="81" t="s">
        <v>2256</v>
      </c>
      <c r="Q929" s="81"/>
      <c r="R929" s="83">
        <v>1000</v>
      </c>
      <c r="S929" s="79" t="s">
        <v>2999</v>
      </c>
      <c r="T929" s="84">
        <v>42000000</v>
      </c>
      <c r="U929" s="81"/>
      <c r="V929" s="81"/>
      <c r="W929" s="78" t="s">
        <v>1140</v>
      </c>
      <c r="X929" s="82"/>
      <c r="Y929" s="81" t="s">
        <v>2256</v>
      </c>
      <c r="Z929" s="81" t="s">
        <v>2256</v>
      </c>
      <c r="AA929" s="83">
        <v>5000</v>
      </c>
      <c r="AB929" s="85"/>
      <c r="AD929" s="78" t="s">
        <v>1140</v>
      </c>
      <c r="AE929" s="82"/>
      <c r="AF929" s="81" t="s">
        <v>2256</v>
      </c>
      <c r="AG929" s="81" t="s">
        <v>2256</v>
      </c>
      <c r="AH929" s="83">
        <v>5000</v>
      </c>
      <c r="AI929" s="85"/>
    </row>
    <row r="930" spans="1:35" s="79" customFormat="1" ht="11.25" customHeight="1" x14ac:dyDescent="0.2">
      <c r="A930" s="77" t="s">
        <v>425</v>
      </c>
      <c r="B930" s="80">
        <v>338</v>
      </c>
      <c r="C930" s="81" t="s">
        <v>424</v>
      </c>
      <c r="D930" s="73">
        <v>42000</v>
      </c>
      <c r="E930" s="79" t="s">
        <v>42</v>
      </c>
      <c r="F930" s="79" t="s">
        <v>3725</v>
      </c>
      <c r="G930" s="79" t="s">
        <v>2996</v>
      </c>
      <c r="H930" s="79" t="s">
        <v>43</v>
      </c>
      <c r="I930" s="81" t="s">
        <v>3000</v>
      </c>
      <c r="J930" s="81">
        <v>25</v>
      </c>
      <c r="K930" s="86"/>
      <c r="M930" s="78" t="s">
        <v>426</v>
      </c>
      <c r="N930" s="82" t="s">
        <v>44</v>
      </c>
      <c r="O930" s="81" t="s">
        <v>2339</v>
      </c>
      <c r="P930" s="81" t="s">
        <v>2796</v>
      </c>
      <c r="Q930" s="81"/>
      <c r="R930" s="83" t="s">
        <v>864</v>
      </c>
      <c r="S930" s="79" t="s">
        <v>3058</v>
      </c>
      <c r="T930" s="84" t="s">
        <v>3416</v>
      </c>
      <c r="U930" s="81"/>
      <c r="V930" s="81"/>
      <c r="W930" s="78" t="s">
        <v>426</v>
      </c>
      <c r="X930" s="82" t="s">
        <v>44</v>
      </c>
      <c r="Y930" s="81" t="s">
        <v>2339</v>
      </c>
      <c r="Z930" s="81" t="s">
        <v>2796</v>
      </c>
      <c r="AA930" s="81" t="s">
        <v>246</v>
      </c>
      <c r="AB930" s="85"/>
      <c r="AD930" s="78" t="s">
        <v>426</v>
      </c>
      <c r="AE930" s="82" t="s">
        <v>44</v>
      </c>
      <c r="AF930" s="81" t="s">
        <v>2339</v>
      </c>
      <c r="AG930" s="81" t="s">
        <v>2796</v>
      </c>
      <c r="AH930" s="81" t="s">
        <v>245</v>
      </c>
      <c r="AI930" s="85"/>
    </row>
    <row r="931" spans="1:35" s="79" customFormat="1" ht="11.25" customHeight="1" x14ac:dyDescent="0.2">
      <c r="A931" s="77" t="s">
        <v>1211</v>
      </c>
      <c r="B931" s="80">
        <v>746</v>
      </c>
      <c r="C931" s="81" t="s">
        <v>1210</v>
      </c>
      <c r="D931" s="73">
        <v>42000</v>
      </c>
      <c r="E931" s="79" t="s">
        <v>42</v>
      </c>
      <c r="F931" s="79" t="s">
        <v>3725</v>
      </c>
      <c r="G931" s="79" t="s">
        <v>2996</v>
      </c>
      <c r="H931" s="79" t="s">
        <v>43</v>
      </c>
      <c r="I931" s="81" t="s">
        <v>3000</v>
      </c>
      <c r="J931" s="81">
        <v>25</v>
      </c>
      <c r="K931" s="86"/>
      <c r="M931" s="78" t="s">
        <v>426</v>
      </c>
      <c r="N931" s="82" t="s">
        <v>44</v>
      </c>
      <c r="O931" s="81" t="s">
        <v>2521</v>
      </c>
      <c r="P931" s="81" t="s">
        <v>2888</v>
      </c>
      <c r="Q931" s="81"/>
      <c r="R931" s="83" t="s">
        <v>864</v>
      </c>
      <c r="S931" s="79" t="s">
        <v>3058</v>
      </c>
      <c r="T931" s="84" t="s">
        <v>3416</v>
      </c>
      <c r="U931" s="81"/>
      <c r="V931" s="81"/>
      <c r="W931" s="78" t="s">
        <v>426</v>
      </c>
      <c r="X931" s="82" t="s">
        <v>44</v>
      </c>
      <c r="Y931" s="81" t="s">
        <v>2521</v>
      </c>
      <c r="Z931" s="81" t="s">
        <v>2888</v>
      </c>
      <c r="AA931" s="81" t="s">
        <v>246</v>
      </c>
      <c r="AB931" s="85"/>
      <c r="AD931" s="78" t="s">
        <v>426</v>
      </c>
      <c r="AE931" s="82" t="s">
        <v>44</v>
      </c>
      <c r="AF931" s="81" t="s">
        <v>2521</v>
      </c>
      <c r="AG931" s="81" t="s">
        <v>2888</v>
      </c>
      <c r="AH931" s="81" t="s">
        <v>252</v>
      </c>
      <c r="AI931" s="85"/>
    </row>
    <row r="932" spans="1:35" s="79" customFormat="1" ht="11.25" customHeight="1" x14ac:dyDescent="0.2">
      <c r="A932" s="77" t="s">
        <v>900</v>
      </c>
      <c r="B932" s="80">
        <v>742</v>
      </c>
      <c r="C932" s="81" t="s">
        <v>899</v>
      </c>
      <c r="D932" s="73">
        <v>1000</v>
      </c>
      <c r="E932" s="79" t="s">
        <v>28</v>
      </c>
      <c r="F932" s="79" t="s">
        <v>3725</v>
      </c>
      <c r="G932" s="79" t="s">
        <v>2996</v>
      </c>
      <c r="H932" s="79" t="s">
        <v>43</v>
      </c>
      <c r="I932" s="81" t="s">
        <v>3000</v>
      </c>
      <c r="J932" s="81">
        <v>25</v>
      </c>
      <c r="K932" s="86"/>
      <c r="M932" s="78" t="s">
        <v>426</v>
      </c>
      <c r="N932" s="82" t="s">
        <v>31</v>
      </c>
      <c r="O932" s="81" t="s">
        <v>2454</v>
      </c>
      <c r="P932" s="81" t="s">
        <v>2862</v>
      </c>
      <c r="Q932" s="81"/>
      <c r="R932" s="83" t="s">
        <v>3431</v>
      </c>
      <c r="S932" s="79" t="s">
        <v>3137</v>
      </c>
      <c r="T932" s="84" t="s">
        <v>3573</v>
      </c>
      <c r="U932" s="81"/>
      <c r="V932" s="81"/>
      <c r="W932" s="78" t="s">
        <v>426</v>
      </c>
      <c r="X932" s="82" t="s">
        <v>31</v>
      </c>
      <c r="Y932" s="81" t="s">
        <v>2454</v>
      </c>
      <c r="Z932" s="81" t="s">
        <v>2862</v>
      </c>
      <c r="AA932" s="81" t="s">
        <v>252</v>
      </c>
      <c r="AB932" s="85"/>
      <c r="AD932" s="78" t="s">
        <v>426</v>
      </c>
      <c r="AE932" s="82" t="s">
        <v>31</v>
      </c>
      <c r="AF932" s="81" t="s">
        <v>2454</v>
      </c>
      <c r="AG932" s="81" t="s">
        <v>2862</v>
      </c>
      <c r="AH932" s="81" t="s">
        <v>147</v>
      </c>
      <c r="AI932" s="85"/>
    </row>
    <row r="933" spans="1:35" s="79" customFormat="1" ht="11.25" customHeight="1" x14ac:dyDescent="0.2">
      <c r="A933" s="77" t="s">
        <v>1924</v>
      </c>
      <c r="B933" s="80">
        <v>544</v>
      </c>
      <c r="C933" s="81" t="s">
        <v>1923</v>
      </c>
      <c r="D933" s="73">
        <v>42000</v>
      </c>
      <c r="E933" s="79" t="s">
        <v>42</v>
      </c>
      <c r="F933" s="79" t="s">
        <v>3725</v>
      </c>
      <c r="G933" s="79" t="s">
        <v>2996</v>
      </c>
      <c r="H933" s="79" t="s">
        <v>43</v>
      </c>
      <c r="I933" s="81"/>
      <c r="J933" s="81">
        <v>25</v>
      </c>
      <c r="K933" s="86"/>
      <c r="M933" s="78" t="s">
        <v>426</v>
      </c>
      <c r="N933" s="82" t="s">
        <v>429</v>
      </c>
      <c r="O933" s="81" t="s">
        <v>2690</v>
      </c>
      <c r="P933" s="81" t="s">
        <v>2959</v>
      </c>
      <c r="Q933" s="81"/>
      <c r="R933" s="83" t="s">
        <v>864</v>
      </c>
      <c r="S933" s="79" t="s">
        <v>3228</v>
      </c>
      <c r="T933" s="84" t="s">
        <v>3416</v>
      </c>
      <c r="U933" s="81"/>
      <c r="V933" s="81"/>
      <c r="W933" s="78" t="s">
        <v>426</v>
      </c>
      <c r="X933" s="82" t="s">
        <v>429</v>
      </c>
      <c r="Y933" s="81" t="s">
        <v>2690</v>
      </c>
      <c r="Z933" s="81" t="s">
        <v>2959</v>
      </c>
      <c r="AA933" s="81" t="s">
        <v>252</v>
      </c>
      <c r="AB933" s="85"/>
      <c r="AD933" s="78" t="s">
        <v>426</v>
      </c>
      <c r="AE933" s="82" t="s">
        <v>429</v>
      </c>
      <c r="AF933" s="81" t="s">
        <v>2690</v>
      </c>
      <c r="AG933" s="81" t="s">
        <v>2959</v>
      </c>
      <c r="AH933" s="81" t="s">
        <v>252</v>
      </c>
      <c r="AI933" s="85"/>
    </row>
    <row r="934" spans="1:35" s="79" customFormat="1" ht="11.25" customHeight="1" x14ac:dyDescent="0.2">
      <c r="A934" s="77" t="s">
        <v>1213</v>
      </c>
      <c r="B934" s="80">
        <v>738</v>
      </c>
      <c r="C934" s="81" t="s">
        <v>426</v>
      </c>
      <c r="D934" s="73">
        <v>42000</v>
      </c>
      <c r="E934" s="79" t="s">
        <v>42</v>
      </c>
      <c r="F934" s="79" t="s">
        <v>3725</v>
      </c>
      <c r="G934" s="79" t="s">
        <v>2996</v>
      </c>
      <c r="H934" s="79" t="s">
        <v>43</v>
      </c>
      <c r="I934" s="81" t="s">
        <v>3000</v>
      </c>
      <c r="J934" s="81">
        <v>25</v>
      </c>
      <c r="K934" s="86"/>
      <c r="M934" s="78" t="s">
        <v>426</v>
      </c>
      <c r="N934" s="82"/>
      <c r="O934" s="81" t="s">
        <v>2256</v>
      </c>
      <c r="P934" s="81" t="s">
        <v>2256</v>
      </c>
      <c r="Q934" s="81"/>
      <c r="R934" s="83">
        <v>1000</v>
      </c>
      <c r="S934" s="79" t="s">
        <v>2999</v>
      </c>
      <c r="T934" s="84">
        <v>42000000</v>
      </c>
      <c r="U934" s="81"/>
      <c r="V934" s="81"/>
      <c r="W934" s="78" t="s">
        <v>426</v>
      </c>
      <c r="X934" s="82"/>
      <c r="Y934" s="81" t="s">
        <v>2256</v>
      </c>
      <c r="Z934" s="81" t="s">
        <v>2256</v>
      </c>
      <c r="AA934" s="83">
        <v>10000</v>
      </c>
      <c r="AB934" s="85"/>
      <c r="AD934" s="78" t="s">
        <v>426</v>
      </c>
      <c r="AE934" s="82"/>
      <c r="AF934" s="81" t="s">
        <v>2256</v>
      </c>
      <c r="AG934" s="81" t="s">
        <v>2256</v>
      </c>
      <c r="AH934" s="83">
        <v>10000</v>
      </c>
      <c r="AI934" s="85"/>
    </row>
    <row r="935" spans="1:35" s="79" customFormat="1" ht="11.25" customHeight="1" x14ac:dyDescent="0.2">
      <c r="A935" s="77" t="s">
        <v>859</v>
      </c>
      <c r="B935" s="80">
        <v>218</v>
      </c>
      <c r="C935" s="81" t="s">
        <v>858</v>
      </c>
      <c r="D935" s="73">
        <v>1000</v>
      </c>
      <c r="E935" s="79" t="s">
        <v>28</v>
      </c>
      <c r="F935" s="79" t="s">
        <v>3725</v>
      </c>
      <c r="G935" s="79" t="s">
        <v>2996</v>
      </c>
      <c r="H935" s="79" t="s">
        <v>43</v>
      </c>
      <c r="I935" s="81" t="s">
        <v>3000</v>
      </c>
      <c r="J935" s="81">
        <v>25</v>
      </c>
      <c r="K935" s="86"/>
      <c r="M935" s="78" t="s">
        <v>779</v>
      </c>
      <c r="N935" s="82" t="s">
        <v>31</v>
      </c>
      <c r="O935" s="81" t="s">
        <v>2441</v>
      </c>
      <c r="P935" s="81" t="s">
        <v>2853</v>
      </c>
      <c r="Q935" s="81"/>
      <c r="R935" s="83" t="s">
        <v>3431</v>
      </c>
      <c r="S935" s="79" t="s">
        <v>3126</v>
      </c>
      <c r="T935" s="84" t="s">
        <v>3591</v>
      </c>
      <c r="U935" s="81"/>
      <c r="V935" s="81"/>
      <c r="W935" s="78" t="s">
        <v>779</v>
      </c>
      <c r="X935" s="82" t="s">
        <v>31</v>
      </c>
      <c r="Y935" s="81" t="s">
        <v>2441</v>
      </c>
      <c r="Z935" s="81" t="s">
        <v>2853</v>
      </c>
      <c r="AA935" s="81" t="s">
        <v>252</v>
      </c>
      <c r="AB935" s="85"/>
      <c r="AD935" s="78" t="s">
        <v>779</v>
      </c>
      <c r="AE935" s="82" t="s">
        <v>31</v>
      </c>
      <c r="AF935" s="81" t="s">
        <v>2441</v>
      </c>
      <c r="AG935" s="81" t="s">
        <v>2853</v>
      </c>
      <c r="AH935" s="81" t="s">
        <v>147</v>
      </c>
      <c r="AI935" s="85"/>
    </row>
    <row r="936" spans="1:35" s="79" customFormat="1" ht="11.25" customHeight="1" x14ac:dyDescent="0.2">
      <c r="A936" s="77" t="s">
        <v>1283</v>
      </c>
      <c r="B936" s="80">
        <v>613</v>
      </c>
      <c r="C936" s="81" t="s">
        <v>1282</v>
      </c>
      <c r="D936" s="73">
        <v>1000</v>
      </c>
      <c r="E936" s="79" t="s">
        <v>28</v>
      </c>
      <c r="F936" s="79" t="s">
        <v>3725</v>
      </c>
      <c r="G936" s="79" t="s">
        <v>2996</v>
      </c>
      <c r="H936" s="79" t="s">
        <v>43</v>
      </c>
      <c r="I936" s="81" t="s">
        <v>3000</v>
      </c>
      <c r="J936" s="81">
        <v>25</v>
      </c>
      <c r="K936" s="86"/>
      <c r="M936" s="78" t="s">
        <v>779</v>
      </c>
      <c r="N936" s="82" t="s">
        <v>31</v>
      </c>
      <c r="O936" s="81" t="s">
        <v>2542</v>
      </c>
      <c r="P936" s="81" t="s">
        <v>2895</v>
      </c>
      <c r="Q936" s="81"/>
      <c r="R936" s="83" t="s">
        <v>3431</v>
      </c>
      <c r="S936" s="79" t="s">
        <v>3126</v>
      </c>
      <c r="T936" s="84" t="s">
        <v>3591</v>
      </c>
      <c r="U936" s="81"/>
      <c r="V936" s="81"/>
      <c r="W936" s="78" t="s">
        <v>779</v>
      </c>
      <c r="X936" s="82" t="s">
        <v>31</v>
      </c>
      <c r="Y936" s="81" t="s">
        <v>2542</v>
      </c>
      <c r="Z936" s="81" t="s">
        <v>2895</v>
      </c>
      <c r="AA936" s="81" t="s">
        <v>252</v>
      </c>
      <c r="AB936" s="85"/>
      <c r="AD936" s="78" t="s">
        <v>779</v>
      </c>
      <c r="AE936" s="82" t="s">
        <v>31</v>
      </c>
      <c r="AF936" s="81" t="s">
        <v>2542</v>
      </c>
      <c r="AG936" s="81" t="s">
        <v>2895</v>
      </c>
      <c r="AH936" s="81" t="s">
        <v>147</v>
      </c>
      <c r="AI936" s="85"/>
    </row>
    <row r="937" spans="1:35" s="79" customFormat="1" ht="11.25" customHeight="1" x14ac:dyDescent="0.2">
      <c r="A937" s="77" t="s">
        <v>849</v>
      </c>
      <c r="B937" s="80">
        <v>1098</v>
      </c>
      <c r="C937" s="81" t="s">
        <v>848</v>
      </c>
      <c r="D937" s="73">
        <v>1000</v>
      </c>
      <c r="E937" s="79" t="s">
        <v>28</v>
      </c>
      <c r="F937" s="79" t="s">
        <v>3725</v>
      </c>
      <c r="G937" s="79" t="s">
        <v>2996</v>
      </c>
      <c r="H937" s="79" t="s">
        <v>43</v>
      </c>
      <c r="I937" s="81" t="s">
        <v>3000</v>
      </c>
      <c r="J937" s="81">
        <v>25</v>
      </c>
      <c r="K937" s="86"/>
      <c r="M937" s="78" t="s">
        <v>779</v>
      </c>
      <c r="N937" s="82" t="s">
        <v>95</v>
      </c>
      <c r="O937" s="81" t="s">
        <v>2438</v>
      </c>
      <c r="P937" s="81" t="s">
        <v>2850</v>
      </c>
      <c r="Q937" s="81"/>
      <c r="R937" s="83" t="s">
        <v>3439</v>
      </c>
      <c r="S937" s="79" t="s">
        <v>3124</v>
      </c>
      <c r="T937" s="84" t="s">
        <v>3574</v>
      </c>
      <c r="U937" s="81"/>
      <c r="V937" s="81"/>
      <c r="W937" s="78" t="s">
        <v>779</v>
      </c>
      <c r="X937" s="82" t="s">
        <v>95</v>
      </c>
      <c r="Y937" s="81" t="s">
        <v>2438</v>
      </c>
      <c r="Z937" s="81" t="s">
        <v>2850</v>
      </c>
      <c r="AA937" s="81" t="s">
        <v>147</v>
      </c>
      <c r="AB937" s="85"/>
      <c r="AD937" s="78" t="s">
        <v>779</v>
      </c>
      <c r="AE937" s="82" t="s">
        <v>95</v>
      </c>
      <c r="AF937" s="81" t="s">
        <v>2438</v>
      </c>
      <c r="AG937" s="81" t="s">
        <v>2850</v>
      </c>
      <c r="AH937" s="81" t="s">
        <v>147</v>
      </c>
      <c r="AI937" s="85"/>
    </row>
    <row r="938" spans="1:35" s="79" customFormat="1" ht="11.25" customHeight="1" x14ac:dyDescent="0.2">
      <c r="A938" s="77" t="s">
        <v>842</v>
      </c>
      <c r="B938" s="80">
        <v>1063</v>
      </c>
      <c r="C938" s="81" t="s">
        <v>841</v>
      </c>
      <c r="D938" s="73">
        <v>1000</v>
      </c>
      <c r="E938" s="79" t="s">
        <v>28</v>
      </c>
      <c r="F938" s="79" t="s">
        <v>3725</v>
      </c>
      <c r="G938" s="79" t="s">
        <v>2996</v>
      </c>
      <c r="H938" s="79" t="s">
        <v>43</v>
      </c>
      <c r="I938" s="81" t="s">
        <v>3000</v>
      </c>
      <c r="J938" s="81">
        <v>25</v>
      </c>
      <c r="K938" s="86"/>
      <c r="M938" s="78" t="s">
        <v>779</v>
      </c>
      <c r="N938" s="82" t="s">
        <v>150</v>
      </c>
      <c r="O938" s="81" t="s">
        <v>2435</v>
      </c>
      <c r="P938" s="81" t="s">
        <v>2847</v>
      </c>
      <c r="Q938" s="81"/>
      <c r="R938" s="83" t="s">
        <v>3443</v>
      </c>
      <c r="S938" s="79" t="s">
        <v>3121</v>
      </c>
      <c r="T938" s="84" t="s">
        <v>3602</v>
      </c>
      <c r="U938" s="81"/>
      <c r="V938" s="81"/>
      <c r="W938" s="78" t="s">
        <v>779</v>
      </c>
      <c r="X938" s="82" t="s">
        <v>150</v>
      </c>
      <c r="Y938" s="81" t="s">
        <v>2435</v>
      </c>
      <c r="Z938" s="81" t="s">
        <v>2847</v>
      </c>
      <c r="AA938" s="81" t="s">
        <v>843</v>
      </c>
      <c r="AB938" s="85"/>
      <c r="AD938" s="78" t="s">
        <v>779</v>
      </c>
      <c r="AE938" s="82" t="s">
        <v>150</v>
      </c>
      <c r="AF938" s="81" t="s">
        <v>2435</v>
      </c>
      <c r="AG938" s="81" t="s">
        <v>2847</v>
      </c>
      <c r="AH938" s="81" t="s">
        <v>843</v>
      </c>
      <c r="AI938" s="85"/>
    </row>
    <row r="939" spans="1:35" s="79" customFormat="1" ht="11.25" customHeight="1" x14ac:dyDescent="0.2">
      <c r="A939" s="77" t="s">
        <v>852</v>
      </c>
      <c r="B939" s="80">
        <v>425</v>
      </c>
      <c r="C939" s="81" t="s">
        <v>851</v>
      </c>
      <c r="D939" s="73">
        <v>1000</v>
      </c>
      <c r="E939" s="79" t="s">
        <v>28</v>
      </c>
      <c r="F939" s="79" t="s">
        <v>3725</v>
      </c>
      <c r="G939" s="79" t="s">
        <v>2996</v>
      </c>
      <c r="H939" s="79" t="s">
        <v>43</v>
      </c>
      <c r="I939" s="81" t="s">
        <v>3000</v>
      </c>
      <c r="J939" s="81">
        <v>25</v>
      </c>
      <c r="K939" s="86"/>
      <c r="M939" s="78" t="s">
        <v>779</v>
      </c>
      <c r="N939" s="82" t="s">
        <v>150</v>
      </c>
      <c r="O939" s="81" t="s">
        <v>2439</v>
      </c>
      <c r="P939" s="81" t="s">
        <v>2851</v>
      </c>
      <c r="Q939" s="81"/>
      <c r="R939" s="83" t="s">
        <v>3443</v>
      </c>
      <c r="S939" s="79" t="s">
        <v>3121</v>
      </c>
      <c r="T939" s="84" t="s">
        <v>3602</v>
      </c>
      <c r="U939" s="81"/>
      <c r="V939" s="81"/>
      <c r="W939" s="78" t="s">
        <v>779</v>
      </c>
      <c r="X939" s="82" t="s">
        <v>150</v>
      </c>
      <c r="Y939" s="81" t="s">
        <v>2439</v>
      </c>
      <c r="Z939" s="81" t="s">
        <v>2851</v>
      </c>
      <c r="AA939" s="81" t="s">
        <v>843</v>
      </c>
      <c r="AB939" s="85"/>
      <c r="AD939" s="78" t="s">
        <v>779</v>
      </c>
      <c r="AE939" s="82" t="s">
        <v>150</v>
      </c>
      <c r="AF939" s="81" t="s">
        <v>2439</v>
      </c>
      <c r="AG939" s="81" t="s">
        <v>2851</v>
      </c>
      <c r="AH939" s="81" t="s">
        <v>843</v>
      </c>
      <c r="AI939" s="85"/>
    </row>
    <row r="940" spans="1:35" s="79" customFormat="1" ht="11.25" customHeight="1" x14ac:dyDescent="0.2">
      <c r="A940" s="77" t="s">
        <v>778</v>
      </c>
      <c r="B940" s="80">
        <v>604</v>
      </c>
      <c r="C940" s="81" t="s">
        <v>777</v>
      </c>
      <c r="D940" s="73">
        <v>1000</v>
      </c>
      <c r="E940" s="79" t="s">
        <v>28</v>
      </c>
      <c r="F940" s="79" t="s">
        <v>30</v>
      </c>
      <c r="G940" s="79" t="s">
        <v>3001</v>
      </c>
      <c r="H940" s="79" t="s">
        <v>43</v>
      </c>
      <c r="I940" s="81" t="s">
        <v>3000</v>
      </c>
      <c r="J940" s="81">
        <v>25</v>
      </c>
      <c r="K940" s="86"/>
      <c r="M940" s="78" t="s">
        <v>779</v>
      </c>
      <c r="N940" s="82"/>
      <c r="O940" s="81" t="s">
        <v>2414</v>
      </c>
      <c r="P940" s="81" t="s">
        <v>2256</v>
      </c>
      <c r="Q940" s="81"/>
      <c r="R940" s="83">
        <v>1000</v>
      </c>
      <c r="S940" s="79" t="s">
        <v>3105</v>
      </c>
      <c r="T940" s="84">
        <v>1000000</v>
      </c>
      <c r="U940" s="81"/>
      <c r="V940" s="81"/>
      <c r="W940" s="78" t="s">
        <v>779</v>
      </c>
      <c r="X940" s="82"/>
      <c r="Y940" s="81" t="s">
        <v>2414</v>
      </c>
      <c r="Z940" s="81" t="s">
        <v>2256</v>
      </c>
      <c r="AA940" s="83">
        <v>10000</v>
      </c>
      <c r="AB940" s="85"/>
      <c r="AD940" s="78" t="s">
        <v>779</v>
      </c>
      <c r="AE940" s="82"/>
      <c r="AF940" s="81" t="s">
        <v>2414</v>
      </c>
      <c r="AG940" s="81" t="s">
        <v>2256</v>
      </c>
      <c r="AH940" s="83">
        <v>10000</v>
      </c>
      <c r="AI940" s="85"/>
    </row>
    <row r="941" spans="1:35" s="79" customFormat="1" ht="11.25" customHeight="1" x14ac:dyDescent="0.2">
      <c r="A941" s="77" t="s">
        <v>1269</v>
      </c>
      <c r="B941" s="80">
        <v>612</v>
      </c>
      <c r="C941" s="81" t="s">
        <v>779</v>
      </c>
      <c r="D941" s="73">
        <v>1000</v>
      </c>
      <c r="E941" s="79" t="s">
        <v>28</v>
      </c>
      <c r="F941" s="79" t="s">
        <v>3725</v>
      </c>
      <c r="G941" s="79" t="s">
        <v>2996</v>
      </c>
      <c r="H941" s="79" t="s">
        <v>43</v>
      </c>
      <c r="I941" s="81" t="s">
        <v>3000</v>
      </c>
      <c r="J941" s="81">
        <v>25</v>
      </c>
      <c r="K941" s="86"/>
      <c r="M941" s="78" t="s">
        <v>779</v>
      </c>
      <c r="N941" s="82"/>
      <c r="O941" s="81" t="s">
        <v>2256</v>
      </c>
      <c r="P941" s="81" t="s">
        <v>2256</v>
      </c>
      <c r="Q941" s="81"/>
      <c r="R941" s="83">
        <v>1000</v>
      </c>
      <c r="S941" s="79" t="s">
        <v>2999</v>
      </c>
      <c r="T941" s="84">
        <v>1000000</v>
      </c>
      <c r="U941" s="81"/>
      <c r="V941" s="81"/>
      <c r="W941" s="78" t="s">
        <v>779</v>
      </c>
      <c r="X941" s="82"/>
      <c r="Y941" s="81" t="s">
        <v>2256</v>
      </c>
      <c r="Z941" s="81" t="s">
        <v>2256</v>
      </c>
      <c r="AA941" s="83">
        <v>10000</v>
      </c>
      <c r="AB941" s="85"/>
      <c r="AD941" s="78" t="s">
        <v>779</v>
      </c>
      <c r="AE941" s="82"/>
      <c r="AF941" s="81" t="s">
        <v>2256</v>
      </c>
      <c r="AG941" s="81" t="s">
        <v>2256</v>
      </c>
      <c r="AH941" s="83">
        <v>10000</v>
      </c>
      <c r="AI941" s="85"/>
    </row>
    <row r="942" spans="1:35" s="79" customFormat="1" ht="11.25" customHeight="1" x14ac:dyDescent="0.2">
      <c r="A942" s="77" t="s">
        <v>1927</v>
      </c>
      <c r="B942" s="80">
        <v>503</v>
      </c>
      <c r="C942" s="81" t="s">
        <v>1926</v>
      </c>
      <c r="D942" s="73">
        <v>1000</v>
      </c>
      <c r="E942" s="79" t="s">
        <v>28</v>
      </c>
      <c r="F942" s="79" t="s">
        <v>3725</v>
      </c>
      <c r="G942" s="79" t="s">
        <v>2996</v>
      </c>
      <c r="H942" s="79" t="s">
        <v>43</v>
      </c>
      <c r="I942" s="81" t="s">
        <v>3000</v>
      </c>
      <c r="J942" s="81">
        <v>25</v>
      </c>
      <c r="K942" s="86"/>
      <c r="M942" s="78" t="s">
        <v>779</v>
      </c>
      <c r="N942" s="82"/>
      <c r="O942" s="81" t="s">
        <v>2691</v>
      </c>
      <c r="P942" s="81" t="s">
        <v>2256</v>
      </c>
      <c r="Q942" s="81"/>
      <c r="R942" s="83">
        <v>1000</v>
      </c>
      <c r="S942" s="79" t="s">
        <v>3105</v>
      </c>
      <c r="T942" s="84">
        <v>1000000</v>
      </c>
      <c r="U942" s="81"/>
      <c r="V942" s="81"/>
      <c r="W942" s="78" t="s">
        <v>779</v>
      </c>
      <c r="X942" s="82"/>
      <c r="Y942" s="81" t="s">
        <v>2691</v>
      </c>
      <c r="Z942" s="81" t="s">
        <v>2256</v>
      </c>
      <c r="AA942" s="83">
        <v>10000</v>
      </c>
      <c r="AB942" s="85"/>
      <c r="AD942" s="78" t="s">
        <v>779</v>
      </c>
      <c r="AE942" s="82"/>
      <c r="AF942" s="81" t="s">
        <v>2691</v>
      </c>
      <c r="AG942" s="81" t="s">
        <v>2256</v>
      </c>
      <c r="AH942" s="83">
        <v>10000</v>
      </c>
      <c r="AI942" s="85"/>
    </row>
    <row r="943" spans="1:35" s="79" customFormat="1" ht="11.25" customHeight="1" x14ac:dyDescent="0.2">
      <c r="A943" s="77" t="s">
        <v>1087</v>
      </c>
      <c r="B943" s="80">
        <v>573</v>
      </c>
      <c r="C943" s="81" t="s">
        <v>1086</v>
      </c>
      <c r="D943" s="73">
        <v>42000</v>
      </c>
      <c r="E943" s="79" t="s">
        <v>42</v>
      </c>
      <c r="F943" s="79" t="s">
        <v>3725</v>
      </c>
      <c r="G943" s="79" t="s">
        <v>2996</v>
      </c>
      <c r="H943" s="79" t="s">
        <v>43</v>
      </c>
      <c r="I943" s="81" t="s">
        <v>3000</v>
      </c>
      <c r="J943" s="81">
        <v>25</v>
      </c>
      <c r="K943" s="86"/>
      <c r="M943" s="78" t="s">
        <v>1088</v>
      </c>
      <c r="N943" s="82" t="s">
        <v>244</v>
      </c>
      <c r="O943" s="81" t="s">
        <v>2495</v>
      </c>
      <c r="P943" s="81" t="s">
        <v>2877</v>
      </c>
      <c r="Q943" s="81"/>
      <c r="R943" s="83" t="s">
        <v>864</v>
      </c>
      <c r="S943" s="79" t="s">
        <v>3148</v>
      </c>
      <c r="T943" s="84" t="s">
        <v>3416</v>
      </c>
      <c r="U943" s="81"/>
      <c r="V943" s="81"/>
      <c r="W943" s="78" t="s">
        <v>1088</v>
      </c>
      <c r="X943" s="82" t="s">
        <v>244</v>
      </c>
      <c r="Y943" s="81" t="s">
        <v>2495</v>
      </c>
      <c r="Z943" s="81" t="s">
        <v>2877</v>
      </c>
      <c r="AA943" s="81" t="s">
        <v>246</v>
      </c>
      <c r="AB943" s="85"/>
      <c r="AD943" s="78" t="s">
        <v>1088</v>
      </c>
      <c r="AE943" s="82" t="s">
        <v>244</v>
      </c>
      <c r="AF943" s="81" t="s">
        <v>2495</v>
      </c>
      <c r="AG943" s="81" t="s">
        <v>2877</v>
      </c>
      <c r="AH943" s="81" t="s">
        <v>245</v>
      </c>
      <c r="AI943" s="85"/>
    </row>
    <row r="944" spans="1:35" s="79" customFormat="1" ht="11.25" customHeight="1" x14ac:dyDescent="0.2">
      <c r="A944" s="77" t="s">
        <v>1294</v>
      </c>
      <c r="B944" s="80">
        <v>610</v>
      </c>
      <c r="C944" s="81" t="s">
        <v>1088</v>
      </c>
      <c r="D944" s="73">
        <v>42000</v>
      </c>
      <c r="E944" s="79" t="s">
        <v>42</v>
      </c>
      <c r="F944" s="79" t="s">
        <v>3725</v>
      </c>
      <c r="G944" s="79" t="s">
        <v>2996</v>
      </c>
      <c r="H944" s="79" t="s">
        <v>43</v>
      </c>
      <c r="I944" s="81" t="s">
        <v>3000</v>
      </c>
      <c r="J944" s="81">
        <v>150</v>
      </c>
      <c r="K944" s="86"/>
      <c r="M944" s="78" t="s">
        <v>1088</v>
      </c>
      <c r="N944" s="82"/>
      <c r="O944" s="81" t="s">
        <v>2256</v>
      </c>
      <c r="P944" s="81" t="s">
        <v>2256</v>
      </c>
      <c r="Q944" s="81"/>
      <c r="R944" s="83">
        <v>1000</v>
      </c>
      <c r="S944" s="79" t="s">
        <v>2999</v>
      </c>
      <c r="T944" s="84">
        <v>42000000</v>
      </c>
      <c r="U944" s="81"/>
      <c r="V944" s="81"/>
      <c r="W944" s="78" t="s">
        <v>1088</v>
      </c>
      <c r="X944" s="82"/>
      <c r="Y944" s="81" t="s">
        <v>2256</v>
      </c>
      <c r="Z944" s="81" t="s">
        <v>2256</v>
      </c>
      <c r="AA944" s="83">
        <v>10000</v>
      </c>
      <c r="AB944" s="85"/>
      <c r="AD944" s="78" t="s">
        <v>1088</v>
      </c>
      <c r="AE944" s="82"/>
      <c r="AF944" s="81" t="s">
        <v>2256</v>
      </c>
      <c r="AG944" s="81" t="s">
        <v>2256</v>
      </c>
      <c r="AH944" s="83">
        <v>10000</v>
      </c>
      <c r="AI944" s="85"/>
    </row>
    <row r="945" spans="1:35" s="79" customFormat="1" ht="11.25" customHeight="1" x14ac:dyDescent="0.2">
      <c r="A945" s="77" t="s">
        <v>1302</v>
      </c>
      <c r="B945" s="80">
        <v>615</v>
      </c>
      <c r="C945" s="81" t="s">
        <v>1301</v>
      </c>
      <c r="D945" s="73">
        <v>1000</v>
      </c>
      <c r="E945" s="79" t="s">
        <v>28</v>
      </c>
      <c r="F945" s="79" t="s">
        <v>3725</v>
      </c>
      <c r="G945" s="79" t="s">
        <v>2996</v>
      </c>
      <c r="H945" s="79" t="s">
        <v>43</v>
      </c>
      <c r="I945" s="81" t="s">
        <v>3000</v>
      </c>
      <c r="J945" s="81">
        <v>25</v>
      </c>
      <c r="K945" s="86"/>
      <c r="M945" s="78" t="s">
        <v>1303</v>
      </c>
      <c r="N945" s="82" t="s">
        <v>31</v>
      </c>
      <c r="O945" s="81" t="s">
        <v>2551</v>
      </c>
      <c r="P945" s="81" t="s">
        <v>2902</v>
      </c>
      <c r="Q945" s="81"/>
      <c r="R945" s="83" t="s">
        <v>3431</v>
      </c>
      <c r="S945" s="79" t="s">
        <v>3167</v>
      </c>
      <c r="T945" s="84" t="s">
        <v>3591</v>
      </c>
      <c r="U945" s="81"/>
      <c r="V945" s="81"/>
      <c r="W945" s="78" t="s">
        <v>1303</v>
      </c>
      <c r="X945" s="82" t="s">
        <v>31</v>
      </c>
      <c r="Y945" s="81" t="s">
        <v>2551</v>
      </c>
      <c r="Z945" s="81" t="s">
        <v>2902</v>
      </c>
      <c r="AA945" s="81" t="s">
        <v>252</v>
      </c>
      <c r="AB945" s="85"/>
      <c r="AD945" s="78" t="s">
        <v>1303</v>
      </c>
      <c r="AE945" s="82" t="s">
        <v>31</v>
      </c>
      <c r="AF945" s="81" t="s">
        <v>2551</v>
      </c>
      <c r="AG945" s="81" t="s">
        <v>2902</v>
      </c>
      <c r="AH945" s="81" t="s">
        <v>147</v>
      </c>
      <c r="AI945" s="85"/>
    </row>
    <row r="946" spans="1:35" s="79" customFormat="1" ht="11.25" customHeight="1" x14ac:dyDescent="0.2">
      <c r="A946" s="77" t="s">
        <v>1388</v>
      </c>
      <c r="B946" s="80">
        <v>217</v>
      </c>
      <c r="C946" s="81" t="s">
        <v>1387</v>
      </c>
      <c r="D946" s="73">
        <v>1000</v>
      </c>
      <c r="E946" s="79" t="s">
        <v>28</v>
      </c>
      <c r="F946" s="79" t="s">
        <v>3725</v>
      </c>
      <c r="G946" s="79" t="s">
        <v>2996</v>
      </c>
      <c r="H946" s="79" t="s">
        <v>43</v>
      </c>
      <c r="I946" s="81" t="s">
        <v>3000</v>
      </c>
      <c r="J946" s="81">
        <v>25</v>
      </c>
      <c r="K946" s="86"/>
      <c r="M946" s="78" t="s">
        <v>1303</v>
      </c>
      <c r="N946" s="82" t="s">
        <v>31</v>
      </c>
      <c r="O946" s="81" t="s">
        <v>2574</v>
      </c>
      <c r="P946" s="81" t="s">
        <v>2913</v>
      </c>
      <c r="Q946" s="81"/>
      <c r="R946" s="83" t="s">
        <v>3431</v>
      </c>
      <c r="S946" s="79" t="s">
        <v>3167</v>
      </c>
      <c r="T946" s="84" t="s">
        <v>3591</v>
      </c>
      <c r="U946" s="81"/>
      <c r="V946" s="81"/>
      <c r="W946" s="78" t="s">
        <v>1303</v>
      </c>
      <c r="X946" s="82" t="s">
        <v>31</v>
      </c>
      <c r="Y946" s="81" t="s">
        <v>2574</v>
      </c>
      <c r="Z946" s="81" t="s">
        <v>2913</v>
      </c>
      <c r="AA946" s="81" t="s">
        <v>252</v>
      </c>
      <c r="AB946" s="85"/>
      <c r="AD946" s="78" t="s">
        <v>1303</v>
      </c>
      <c r="AE946" s="82" t="s">
        <v>31</v>
      </c>
      <c r="AF946" s="81" t="s">
        <v>2574</v>
      </c>
      <c r="AG946" s="81" t="s">
        <v>2913</v>
      </c>
      <c r="AH946" s="81" t="s">
        <v>147</v>
      </c>
      <c r="AI946" s="85"/>
    </row>
    <row r="947" spans="1:35" s="79" customFormat="1" ht="11.25" x14ac:dyDescent="0.2">
      <c r="A947" s="77" t="s">
        <v>1390</v>
      </c>
      <c r="B947" s="80">
        <v>219</v>
      </c>
      <c r="C947" s="81" t="s">
        <v>1389</v>
      </c>
      <c r="D947" s="73">
        <v>1000</v>
      </c>
      <c r="E947" s="79" t="s">
        <v>28</v>
      </c>
      <c r="F947" s="79" t="s">
        <v>3725</v>
      </c>
      <c r="G947" s="79" t="s">
        <v>2996</v>
      </c>
      <c r="H947" s="79" t="s">
        <v>43</v>
      </c>
      <c r="I947" s="81" t="s">
        <v>3000</v>
      </c>
      <c r="J947" s="81">
        <v>25</v>
      </c>
      <c r="K947" s="86"/>
      <c r="M947" s="78" t="s">
        <v>1303</v>
      </c>
      <c r="N947" s="82" t="s">
        <v>779</v>
      </c>
      <c r="O947" s="81" t="s">
        <v>2575</v>
      </c>
      <c r="P947" s="81" t="s">
        <v>2914</v>
      </c>
      <c r="Q947" s="81"/>
      <c r="R947" s="83" t="s">
        <v>864</v>
      </c>
      <c r="S947" s="79" t="s">
        <v>3172</v>
      </c>
      <c r="T947" s="84" t="s">
        <v>3418</v>
      </c>
      <c r="U947" s="81"/>
      <c r="V947" s="81"/>
      <c r="W947" s="78" t="s">
        <v>1303</v>
      </c>
      <c r="X947" s="82" t="s">
        <v>779</v>
      </c>
      <c r="Y947" s="81" t="s">
        <v>2575</v>
      </c>
      <c r="Z947" s="81" t="s">
        <v>2914</v>
      </c>
      <c r="AA947" s="81" t="s">
        <v>252</v>
      </c>
      <c r="AB947" s="85"/>
      <c r="AD947" s="78" t="s">
        <v>1303</v>
      </c>
      <c r="AE947" s="82" t="s">
        <v>779</v>
      </c>
      <c r="AF947" s="81" t="s">
        <v>2575</v>
      </c>
      <c r="AG947" s="81" t="s">
        <v>2914</v>
      </c>
      <c r="AH947" s="81" t="s">
        <v>252</v>
      </c>
      <c r="AI947" s="85"/>
    </row>
    <row r="948" spans="1:35" s="79" customFormat="1" ht="11.25" x14ac:dyDescent="0.2">
      <c r="A948" s="77" t="s">
        <v>1919</v>
      </c>
      <c r="B948" s="80">
        <v>543</v>
      </c>
      <c r="C948" s="81" t="s">
        <v>1918</v>
      </c>
      <c r="D948" s="73">
        <v>1000</v>
      </c>
      <c r="E948" s="79" t="s">
        <v>28</v>
      </c>
      <c r="F948" s="79" t="s">
        <v>3725</v>
      </c>
      <c r="G948" s="79" t="s">
        <v>2996</v>
      </c>
      <c r="H948" s="79" t="s">
        <v>43</v>
      </c>
      <c r="I948" s="81" t="s">
        <v>3000</v>
      </c>
      <c r="J948" s="81">
        <v>25</v>
      </c>
      <c r="K948" s="86"/>
      <c r="M948" s="78" t="s">
        <v>1303</v>
      </c>
      <c r="N948" s="82" t="s">
        <v>779</v>
      </c>
      <c r="O948" s="81" t="s">
        <v>2688</v>
      </c>
      <c r="P948" s="81" t="s">
        <v>2958</v>
      </c>
      <c r="Q948" s="81"/>
      <c r="R948" s="83" t="s">
        <v>864</v>
      </c>
      <c r="S948" s="79" t="s">
        <v>3172</v>
      </c>
      <c r="T948" s="84" t="s">
        <v>3418</v>
      </c>
      <c r="U948" s="81"/>
      <c r="V948" s="81"/>
      <c r="W948" s="78" t="s">
        <v>1303</v>
      </c>
      <c r="X948" s="82" t="s">
        <v>779</v>
      </c>
      <c r="Y948" s="81" t="s">
        <v>2688</v>
      </c>
      <c r="Z948" s="81" t="s">
        <v>2958</v>
      </c>
      <c r="AA948" s="81" t="s">
        <v>252</v>
      </c>
      <c r="AB948" s="85"/>
      <c r="AD948" s="78" t="s">
        <v>1303</v>
      </c>
      <c r="AE948" s="82" t="s">
        <v>779</v>
      </c>
      <c r="AF948" s="81" t="s">
        <v>2688</v>
      </c>
      <c r="AG948" s="81" t="s">
        <v>2958</v>
      </c>
      <c r="AH948" s="81" t="s">
        <v>252</v>
      </c>
      <c r="AI948" s="85"/>
    </row>
    <row r="949" spans="1:35" s="79" customFormat="1" ht="11.25" x14ac:dyDescent="0.2">
      <c r="A949" s="77" t="s">
        <v>1436</v>
      </c>
      <c r="B949" s="80">
        <v>426</v>
      </c>
      <c r="C949" s="81" t="s">
        <v>1435</v>
      </c>
      <c r="D949" s="73">
        <v>1000</v>
      </c>
      <c r="E949" s="79" t="s">
        <v>28</v>
      </c>
      <c r="F949" s="79" t="s">
        <v>3725</v>
      </c>
      <c r="G949" s="79" t="s">
        <v>2996</v>
      </c>
      <c r="H949" s="79" t="s">
        <v>43</v>
      </c>
      <c r="I949" s="81" t="s">
        <v>3000</v>
      </c>
      <c r="J949" s="81">
        <v>25</v>
      </c>
      <c r="K949" s="86"/>
      <c r="M949" s="78" t="s">
        <v>1303</v>
      </c>
      <c r="N949" s="82" t="s">
        <v>396</v>
      </c>
      <c r="O949" s="81" t="s">
        <v>2584</v>
      </c>
      <c r="P949" s="81" t="s">
        <v>2917</v>
      </c>
      <c r="Q949" s="81"/>
      <c r="R949" s="83" t="s">
        <v>3443</v>
      </c>
      <c r="S949" s="79" t="s">
        <v>3177</v>
      </c>
      <c r="T949" s="84" t="s">
        <v>3602</v>
      </c>
      <c r="U949" s="81"/>
      <c r="V949" s="81"/>
      <c r="W949" s="78" t="s">
        <v>1303</v>
      </c>
      <c r="X949" s="82" t="s">
        <v>396</v>
      </c>
      <c r="Y949" s="81" t="s">
        <v>2584</v>
      </c>
      <c r="Z949" s="81" t="s">
        <v>2917</v>
      </c>
      <c r="AA949" s="81" t="s">
        <v>843</v>
      </c>
      <c r="AB949" s="85"/>
      <c r="AD949" s="78" t="s">
        <v>1303</v>
      </c>
      <c r="AE949" s="82" t="s">
        <v>396</v>
      </c>
      <c r="AF949" s="81" t="s">
        <v>2584</v>
      </c>
      <c r="AG949" s="81" t="s">
        <v>2917</v>
      </c>
      <c r="AH949" s="81" t="s">
        <v>843</v>
      </c>
      <c r="AI949" s="85"/>
    </row>
    <row r="950" spans="1:35" s="79" customFormat="1" ht="11.25" x14ac:dyDescent="0.2">
      <c r="A950" s="77" t="s">
        <v>1438</v>
      </c>
      <c r="B950" s="80">
        <v>1064</v>
      </c>
      <c r="C950" s="81" t="s">
        <v>1437</v>
      </c>
      <c r="D950" s="73">
        <v>1000</v>
      </c>
      <c r="E950" s="79" t="s">
        <v>28</v>
      </c>
      <c r="F950" s="79" t="s">
        <v>3725</v>
      </c>
      <c r="G950" s="79" t="s">
        <v>2996</v>
      </c>
      <c r="H950" s="79" t="s">
        <v>43</v>
      </c>
      <c r="I950" s="81" t="s">
        <v>3000</v>
      </c>
      <c r="J950" s="81">
        <v>25</v>
      </c>
      <c r="K950" s="86"/>
      <c r="M950" s="78" t="s">
        <v>1303</v>
      </c>
      <c r="N950" s="82" t="s">
        <v>396</v>
      </c>
      <c r="O950" s="81" t="s">
        <v>2585</v>
      </c>
      <c r="P950" s="81" t="s">
        <v>2918</v>
      </c>
      <c r="Q950" s="81"/>
      <c r="R950" s="83" t="s">
        <v>3443</v>
      </c>
      <c r="S950" s="79" t="s">
        <v>3177</v>
      </c>
      <c r="T950" s="84" t="s">
        <v>3602</v>
      </c>
      <c r="U950" s="81"/>
      <c r="V950" s="81"/>
      <c r="W950" s="78" t="s">
        <v>1303</v>
      </c>
      <c r="X950" s="82" t="s">
        <v>396</v>
      </c>
      <c r="Y950" s="81" t="s">
        <v>2585</v>
      </c>
      <c r="Z950" s="81" t="s">
        <v>2918</v>
      </c>
      <c r="AA950" s="81" t="s">
        <v>843</v>
      </c>
      <c r="AB950" s="85"/>
      <c r="AD950" s="78" t="s">
        <v>1303</v>
      </c>
      <c r="AE950" s="82" t="s">
        <v>396</v>
      </c>
      <c r="AF950" s="81" t="s">
        <v>2585</v>
      </c>
      <c r="AG950" s="81" t="s">
        <v>2918</v>
      </c>
      <c r="AH950" s="81" t="s">
        <v>843</v>
      </c>
      <c r="AI950" s="85"/>
    </row>
    <row r="951" spans="1:35" s="79" customFormat="1" ht="11.25" customHeight="1" x14ac:dyDescent="0.2">
      <c r="A951" s="77" t="s">
        <v>1304</v>
      </c>
      <c r="B951" s="80">
        <v>614</v>
      </c>
      <c r="C951" s="81" t="s">
        <v>1303</v>
      </c>
      <c r="D951" s="73">
        <v>1000</v>
      </c>
      <c r="E951" s="79" t="s">
        <v>28</v>
      </c>
      <c r="F951" s="79" t="s">
        <v>3725</v>
      </c>
      <c r="G951" s="79" t="s">
        <v>2996</v>
      </c>
      <c r="H951" s="79" t="s">
        <v>43</v>
      </c>
      <c r="I951" s="81" t="s">
        <v>3000</v>
      </c>
      <c r="J951" s="81">
        <v>25</v>
      </c>
      <c r="K951" s="86"/>
      <c r="M951" s="78" t="s">
        <v>1303</v>
      </c>
      <c r="N951" s="82"/>
      <c r="O951" s="81" t="s">
        <v>2256</v>
      </c>
      <c r="P951" s="81" t="s">
        <v>2256</v>
      </c>
      <c r="Q951" s="81"/>
      <c r="R951" s="83">
        <v>1000</v>
      </c>
      <c r="S951" s="79" t="s">
        <v>2999</v>
      </c>
      <c r="T951" s="84">
        <v>1000000</v>
      </c>
      <c r="U951" s="81"/>
      <c r="V951" s="81"/>
      <c r="W951" s="78" t="s">
        <v>1303</v>
      </c>
      <c r="X951" s="82"/>
      <c r="Y951" s="81" t="s">
        <v>2256</v>
      </c>
      <c r="Z951" s="81" t="s">
        <v>2256</v>
      </c>
      <c r="AA951" s="83">
        <v>10000</v>
      </c>
      <c r="AB951" s="85"/>
      <c r="AD951" s="78" t="s">
        <v>1303</v>
      </c>
      <c r="AE951" s="82"/>
      <c r="AF951" s="81" t="s">
        <v>2256</v>
      </c>
      <c r="AG951" s="81" t="s">
        <v>2256</v>
      </c>
      <c r="AH951" s="83">
        <v>10000</v>
      </c>
      <c r="AI951" s="85"/>
    </row>
    <row r="952" spans="1:35" s="79" customFormat="1" ht="11.25" customHeight="1" x14ac:dyDescent="0.2">
      <c r="A952" s="77" t="s">
        <v>1911</v>
      </c>
      <c r="B952" s="80">
        <v>502</v>
      </c>
      <c r="C952" s="81" t="s">
        <v>1910</v>
      </c>
      <c r="D952" s="73">
        <v>1000</v>
      </c>
      <c r="E952" s="79" t="s">
        <v>28</v>
      </c>
      <c r="F952" s="79" t="s">
        <v>3725</v>
      </c>
      <c r="G952" s="79" t="s">
        <v>2996</v>
      </c>
      <c r="H952" s="79" t="s">
        <v>43</v>
      </c>
      <c r="I952" s="81" t="s">
        <v>3000</v>
      </c>
      <c r="J952" s="81">
        <v>25</v>
      </c>
      <c r="K952" s="86"/>
      <c r="M952" s="78" t="s">
        <v>1303</v>
      </c>
      <c r="N952" s="82"/>
      <c r="O952" s="81" t="s">
        <v>2687</v>
      </c>
      <c r="P952" s="81" t="s">
        <v>2256</v>
      </c>
      <c r="Q952" s="81"/>
      <c r="R952" s="83">
        <v>1000</v>
      </c>
      <c r="S952" s="79" t="s">
        <v>3227</v>
      </c>
      <c r="T952" s="84">
        <v>1000000</v>
      </c>
      <c r="U952" s="81"/>
      <c r="V952" s="81"/>
      <c r="W952" s="78" t="s">
        <v>1303</v>
      </c>
      <c r="X952" s="82"/>
      <c r="Y952" s="81" t="s">
        <v>2687</v>
      </c>
      <c r="Z952" s="81" t="s">
        <v>2256</v>
      </c>
      <c r="AA952" s="83">
        <v>10000</v>
      </c>
      <c r="AB952" s="85"/>
      <c r="AD952" s="78" t="s">
        <v>1303</v>
      </c>
      <c r="AE952" s="82"/>
      <c r="AF952" s="81" t="s">
        <v>2687</v>
      </c>
      <c r="AG952" s="81" t="s">
        <v>2256</v>
      </c>
      <c r="AH952" s="83">
        <v>10000</v>
      </c>
      <c r="AI952" s="85"/>
    </row>
    <row r="953" spans="1:35" s="79" customFormat="1" ht="11.25" x14ac:dyDescent="0.2">
      <c r="A953" s="77" t="s">
        <v>1322</v>
      </c>
      <c r="B953" s="80">
        <v>609</v>
      </c>
      <c r="C953" s="81" t="s">
        <v>1321</v>
      </c>
      <c r="D953" s="73">
        <v>42000</v>
      </c>
      <c r="E953" s="79" t="s">
        <v>42</v>
      </c>
      <c r="F953" s="79" t="s">
        <v>3725</v>
      </c>
      <c r="G953" s="79" t="s">
        <v>2996</v>
      </c>
      <c r="H953" s="79" t="s">
        <v>43</v>
      </c>
      <c r="I953" s="81" t="s">
        <v>3000</v>
      </c>
      <c r="J953" s="81">
        <v>25</v>
      </c>
      <c r="K953" s="86"/>
      <c r="M953" s="78" t="s">
        <v>1321</v>
      </c>
      <c r="N953" s="82" t="s">
        <v>44</v>
      </c>
      <c r="O953" s="81" t="s">
        <v>3605</v>
      </c>
      <c r="P953" s="81" t="s">
        <v>2903</v>
      </c>
      <c r="Q953" s="81"/>
      <c r="R953" s="83" t="s">
        <v>864</v>
      </c>
      <c r="S953" s="79" t="s">
        <v>3168</v>
      </c>
      <c r="T953" s="84" t="s">
        <v>3416</v>
      </c>
      <c r="U953" s="81"/>
      <c r="V953" s="81"/>
      <c r="W953" s="78" t="s">
        <v>1321</v>
      </c>
      <c r="X953" s="82" t="s">
        <v>44</v>
      </c>
      <c r="Y953" s="81" t="s">
        <v>3605</v>
      </c>
      <c r="Z953" s="81" t="s">
        <v>2903</v>
      </c>
      <c r="AA953" s="81" t="s">
        <v>246</v>
      </c>
      <c r="AB953" s="85"/>
      <c r="AD953" s="78" t="s">
        <v>1321</v>
      </c>
      <c r="AE953" s="82" t="s">
        <v>44</v>
      </c>
      <c r="AF953" s="81" t="s">
        <v>3605</v>
      </c>
      <c r="AG953" s="81" t="s">
        <v>2903</v>
      </c>
      <c r="AH953" s="81" t="s">
        <v>245</v>
      </c>
      <c r="AI953" s="85"/>
    </row>
    <row r="954" spans="1:35" s="79" customFormat="1" ht="11.25" customHeight="1" x14ac:dyDescent="0.2">
      <c r="A954" s="77" t="s">
        <v>694</v>
      </c>
      <c r="B954" s="80">
        <v>396</v>
      </c>
      <c r="C954" s="81" t="s">
        <v>693</v>
      </c>
      <c r="D954" s="73">
        <v>1000</v>
      </c>
      <c r="E954" s="79" t="s">
        <v>20</v>
      </c>
      <c r="F954" s="79" t="s">
        <v>3725</v>
      </c>
      <c r="G954" s="79" t="s">
        <v>2996</v>
      </c>
      <c r="H954" s="79" t="s">
        <v>43</v>
      </c>
      <c r="I954" s="81" t="s">
        <v>3000</v>
      </c>
      <c r="J954" s="81">
        <v>25</v>
      </c>
      <c r="K954" s="86"/>
      <c r="M954" s="78" t="s">
        <v>512</v>
      </c>
      <c r="N954" s="82" t="s">
        <v>548</v>
      </c>
      <c r="O954" s="81" t="s">
        <v>2396</v>
      </c>
      <c r="P954" s="81" t="s">
        <v>2823</v>
      </c>
      <c r="Q954" s="81"/>
      <c r="R954" s="83" t="s">
        <v>193</v>
      </c>
      <c r="S954" s="79" t="s">
        <v>3549</v>
      </c>
      <c r="T954" s="84" t="s">
        <v>3636</v>
      </c>
      <c r="U954" s="81"/>
      <c r="V954" s="81"/>
      <c r="W954" s="78" t="s">
        <v>512</v>
      </c>
      <c r="X954" s="82" t="s">
        <v>548</v>
      </c>
      <c r="Y954" s="81" t="s">
        <v>2396</v>
      </c>
      <c r="Z954" s="81" t="s">
        <v>2823</v>
      </c>
      <c r="AA954" s="81" t="s">
        <v>695</v>
      </c>
      <c r="AB954" s="85"/>
      <c r="AD954" s="78" t="s">
        <v>512</v>
      </c>
      <c r="AE954" s="82" t="s">
        <v>548</v>
      </c>
      <c r="AF954" s="81" t="s">
        <v>2396</v>
      </c>
      <c r="AG954" s="81" t="s">
        <v>2823</v>
      </c>
      <c r="AH954" s="81" t="s">
        <v>695</v>
      </c>
      <c r="AI954" s="85"/>
    </row>
    <row r="955" spans="1:35" s="79" customFormat="1" ht="11.25" customHeight="1" x14ac:dyDescent="0.2">
      <c r="A955" s="77" t="s">
        <v>1713</v>
      </c>
      <c r="B955" s="80">
        <v>387</v>
      </c>
      <c r="C955" s="81" t="s">
        <v>1712</v>
      </c>
      <c r="D955" s="73">
        <v>1000</v>
      </c>
      <c r="E955" s="79" t="s">
        <v>28</v>
      </c>
      <c r="F955" s="79" t="s">
        <v>129</v>
      </c>
      <c r="G955" s="79" t="s">
        <v>2994</v>
      </c>
      <c r="H955" s="79" t="s">
        <v>43</v>
      </c>
      <c r="I955" s="81"/>
      <c r="J955" s="81">
        <v>25</v>
      </c>
      <c r="K955" s="86"/>
      <c r="M955" s="78" t="s">
        <v>1453</v>
      </c>
      <c r="N955" s="82" t="s">
        <v>280</v>
      </c>
      <c r="O955" s="81" t="s">
        <v>2649</v>
      </c>
      <c r="P955" s="81" t="s">
        <v>2935</v>
      </c>
      <c r="Q955" s="81"/>
      <c r="R955" s="83" t="s">
        <v>3431</v>
      </c>
      <c r="S955" s="79" t="s">
        <v>3205</v>
      </c>
      <c r="T955" s="84" t="s">
        <v>3573</v>
      </c>
      <c r="U955" s="81"/>
      <c r="V955" s="81"/>
      <c r="W955" s="78" t="s">
        <v>1453</v>
      </c>
      <c r="X955" s="82" t="s">
        <v>280</v>
      </c>
      <c r="Y955" s="81" t="s">
        <v>2649</v>
      </c>
      <c r="Z955" s="81" t="s">
        <v>2935</v>
      </c>
      <c r="AA955" s="81" t="s">
        <v>414</v>
      </c>
      <c r="AB955" s="85"/>
      <c r="AD955" s="78" t="s">
        <v>1453</v>
      </c>
      <c r="AE955" s="82" t="s">
        <v>280</v>
      </c>
      <c r="AF955" s="81" t="s">
        <v>2649</v>
      </c>
      <c r="AG955" s="81" t="s">
        <v>2935</v>
      </c>
      <c r="AH955" s="81" t="s">
        <v>289</v>
      </c>
      <c r="AI955" s="85"/>
    </row>
    <row r="956" spans="1:35" s="79" customFormat="1" ht="11.25" customHeight="1" x14ac:dyDescent="0.2">
      <c r="A956" s="77" t="s">
        <v>3390</v>
      </c>
      <c r="B956" s="80">
        <v>388</v>
      </c>
      <c r="C956" s="81" t="s">
        <v>3322</v>
      </c>
      <c r="D956" s="73">
        <v>42000</v>
      </c>
      <c r="E956" s="79" t="s">
        <v>42</v>
      </c>
      <c r="F956" s="79" t="s">
        <v>30</v>
      </c>
      <c r="G956" s="79" t="s">
        <v>2994</v>
      </c>
      <c r="H956" s="79" t="str">
        <f>VLOOKUP(M956,C:H,6,FALSE)</f>
        <v>Refined Products</v>
      </c>
      <c r="I956" s="81"/>
      <c r="J956" s="81">
        <v>150</v>
      </c>
      <c r="K956" s="86"/>
      <c r="M956" s="78" t="s">
        <v>1453</v>
      </c>
      <c r="N956" s="81" t="s">
        <v>1453</v>
      </c>
      <c r="O956" s="81" t="s">
        <v>3321</v>
      </c>
      <c r="P956" s="81" t="s">
        <v>2256</v>
      </c>
      <c r="Q956" s="81"/>
      <c r="R956" s="83">
        <v>1000</v>
      </c>
      <c r="S956" s="79" t="s">
        <v>3182</v>
      </c>
      <c r="T956" s="84">
        <v>42000000</v>
      </c>
      <c r="U956" s="81"/>
      <c r="V956" s="81"/>
      <c r="W956" s="78" t="s">
        <v>1453</v>
      </c>
      <c r="X956" s="81" t="s">
        <v>1453</v>
      </c>
      <c r="Y956" s="81" t="s">
        <v>3321</v>
      </c>
      <c r="Z956" s="81" t="s">
        <v>2256</v>
      </c>
      <c r="AA956" s="83">
        <v>5000</v>
      </c>
      <c r="AB956" s="85"/>
      <c r="AD956" s="78" t="s">
        <v>1453</v>
      </c>
      <c r="AE956" s="81" t="s">
        <v>1453</v>
      </c>
      <c r="AF956" s="81" t="s">
        <v>3321</v>
      </c>
      <c r="AG956" s="81" t="s">
        <v>2256</v>
      </c>
      <c r="AH956" s="83">
        <v>7000</v>
      </c>
      <c r="AI956" s="85"/>
    </row>
    <row r="957" spans="1:35" s="79" customFormat="1" ht="11.25" customHeight="1" x14ac:dyDescent="0.2">
      <c r="A957" s="77" t="s">
        <v>3391</v>
      </c>
      <c r="B957" s="80">
        <v>388</v>
      </c>
      <c r="C957" s="81" t="s">
        <v>3323</v>
      </c>
      <c r="D957" s="73">
        <v>42000</v>
      </c>
      <c r="E957" s="79" t="s">
        <v>42</v>
      </c>
      <c r="F957" s="79" t="s">
        <v>30</v>
      </c>
      <c r="G957" s="79" t="s">
        <v>2994</v>
      </c>
      <c r="H957" s="79" t="str">
        <f>VLOOKUP(M957,C:H,6,FALSE)</f>
        <v>Refined Products</v>
      </c>
      <c r="I957" s="81"/>
      <c r="J957" s="81">
        <v>150</v>
      </c>
      <c r="K957" s="86"/>
      <c r="M957" s="78" t="s">
        <v>1453</v>
      </c>
      <c r="N957" s="81" t="s">
        <v>1453</v>
      </c>
      <c r="O957" s="81" t="s">
        <v>3326</v>
      </c>
      <c r="P957" s="81" t="s">
        <v>2256</v>
      </c>
      <c r="Q957" s="81"/>
      <c r="R957" s="83">
        <v>1000</v>
      </c>
      <c r="S957" s="79" t="s">
        <v>3182</v>
      </c>
      <c r="T957" s="84">
        <v>42000000</v>
      </c>
      <c r="U957" s="81"/>
      <c r="V957" s="81"/>
      <c r="W957" s="78" t="s">
        <v>1453</v>
      </c>
      <c r="X957" s="81" t="s">
        <v>1453</v>
      </c>
      <c r="Y957" s="81" t="s">
        <v>3326</v>
      </c>
      <c r="Z957" s="81" t="s">
        <v>2256</v>
      </c>
      <c r="AA957" s="83">
        <v>5000</v>
      </c>
      <c r="AB957" s="85"/>
      <c r="AD957" s="78" t="s">
        <v>1453</v>
      </c>
      <c r="AE957" s="81" t="s">
        <v>1453</v>
      </c>
      <c r="AF957" s="81" t="s">
        <v>3326</v>
      </c>
      <c r="AG957" s="81" t="s">
        <v>2256</v>
      </c>
      <c r="AH957" s="83">
        <v>7000</v>
      </c>
      <c r="AI957" s="85"/>
    </row>
    <row r="958" spans="1:35" s="79" customFormat="1" ht="11.25" customHeight="1" x14ac:dyDescent="0.2">
      <c r="A958" s="77" t="s">
        <v>3392</v>
      </c>
      <c r="B958" s="80">
        <v>388</v>
      </c>
      <c r="C958" s="81" t="s">
        <v>3324</v>
      </c>
      <c r="D958" s="73">
        <v>42000</v>
      </c>
      <c r="E958" s="79" t="s">
        <v>42</v>
      </c>
      <c r="F958" s="79" t="s">
        <v>30</v>
      </c>
      <c r="G958" s="79" t="s">
        <v>2994</v>
      </c>
      <c r="H958" s="79" t="str">
        <f>VLOOKUP(M958,C:H,6,FALSE)</f>
        <v>Refined Products</v>
      </c>
      <c r="I958" s="81"/>
      <c r="J958" s="81">
        <v>150</v>
      </c>
      <c r="K958" s="86"/>
      <c r="M958" s="78" t="s">
        <v>1453</v>
      </c>
      <c r="N958" s="81" t="s">
        <v>1453</v>
      </c>
      <c r="O958" s="81" t="s">
        <v>3327</v>
      </c>
      <c r="P958" s="81" t="s">
        <v>2256</v>
      </c>
      <c r="Q958" s="81"/>
      <c r="R958" s="83">
        <v>1000</v>
      </c>
      <c r="S958" s="79" t="s">
        <v>3182</v>
      </c>
      <c r="T958" s="84">
        <v>42000000</v>
      </c>
      <c r="U958" s="81"/>
      <c r="V958" s="81"/>
      <c r="W958" s="78" t="s">
        <v>1453</v>
      </c>
      <c r="X958" s="81" t="s">
        <v>1453</v>
      </c>
      <c r="Y958" s="81" t="s">
        <v>3327</v>
      </c>
      <c r="Z958" s="81" t="s">
        <v>2256</v>
      </c>
      <c r="AA958" s="83">
        <v>5000</v>
      </c>
      <c r="AB958" s="85"/>
      <c r="AD958" s="78" t="s">
        <v>1453</v>
      </c>
      <c r="AE958" s="81" t="s">
        <v>1453</v>
      </c>
      <c r="AF958" s="81" t="s">
        <v>3327</v>
      </c>
      <c r="AG958" s="81" t="s">
        <v>2256</v>
      </c>
      <c r="AH958" s="83">
        <v>7000</v>
      </c>
      <c r="AI958" s="85"/>
    </row>
    <row r="959" spans="1:35" s="79" customFormat="1" ht="11.25" customHeight="1" x14ac:dyDescent="0.2">
      <c r="A959" s="77" t="s">
        <v>3393</v>
      </c>
      <c r="B959" s="80">
        <v>388</v>
      </c>
      <c r="C959" s="81" t="s">
        <v>3325</v>
      </c>
      <c r="D959" s="73">
        <v>42000</v>
      </c>
      <c r="E959" s="79" t="s">
        <v>42</v>
      </c>
      <c r="F959" s="79" t="s">
        <v>30</v>
      </c>
      <c r="G959" s="79" t="s">
        <v>2994</v>
      </c>
      <c r="H959" s="79" t="str">
        <f>VLOOKUP(M959,C:H,6,FALSE)</f>
        <v>Refined Products</v>
      </c>
      <c r="I959" s="81"/>
      <c r="J959" s="81">
        <v>150</v>
      </c>
      <c r="K959" s="86"/>
      <c r="M959" s="78" t="s">
        <v>1453</v>
      </c>
      <c r="N959" s="81" t="s">
        <v>1453</v>
      </c>
      <c r="O959" s="81" t="s">
        <v>3328</v>
      </c>
      <c r="P959" s="81" t="s">
        <v>2256</v>
      </c>
      <c r="Q959" s="81"/>
      <c r="R959" s="83">
        <v>1000</v>
      </c>
      <c r="S959" s="79" t="s">
        <v>3182</v>
      </c>
      <c r="T959" s="84">
        <v>42000000</v>
      </c>
      <c r="U959" s="81"/>
      <c r="V959" s="81"/>
      <c r="W959" s="78" t="s">
        <v>1453</v>
      </c>
      <c r="X959" s="81" t="s">
        <v>1453</v>
      </c>
      <c r="Y959" s="81" t="s">
        <v>3328</v>
      </c>
      <c r="Z959" s="81" t="s">
        <v>2256</v>
      </c>
      <c r="AA959" s="83">
        <v>5000</v>
      </c>
      <c r="AB959" s="85"/>
      <c r="AD959" s="78" t="s">
        <v>1453</v>
      </c>
      <c r="AE959" s="81" t="s">
        <v>1453</v>
      </c>
      <c r="AF959" s="81" t="s">
        <v>3328</v>
      </c>
      <c r="AG959" s="81" t="s">
        <v>2256</v>
      </c>
      <c r="AH959" s="83">
        <v>7000</v>
      </c>
      <c r="AI959" s="85"/>
    </row>
    <row r="960" spans="1:35" s="79" customFormat="1" ht="11.25" customHeight="1" x14ac:dyDescent="0.2">
      <c r="A960" s="77" t="s">
        <v>1452</v>
      </c>
      <c r="B960" s="80">
        <v>335</v>
      </c>
      <c r="C960" s="81" t="s">
        <v>1451</v>
      </c>
      <c r="D960" s="73">
        <v>42000</v>
      </c>
      <c r="E960" s="79" t="s">
        <v>42</v>
      </c>
      <c r="F960" s="79" t="s">
        <v>129</v>
      </c>
      <c r="G960" s="79" t="s">
        <v>2994</v>
      </c>
      <c r="H960" s="79" t="s">
        <v>43</v>
      </c>
      <c r="I960" s="81"/>
      <c r="J960" s="81">
        <v>150</v>
      </c>
      <c r="K960" s="86"/>
      <c r="M960" s="78" t="s">
        <v>1453</v>
      </c>
      <c r="N960" s="82"/>
      <c r="O960" s="81" t="s">
        <v>2590</v>
      </c>
      <c r="P960" s="81" t="s">
        <v>2256</v>
      </c>
      <c r="Q960" s="81"/>
      <c r="R960" s="83">
        <v>1000</v>
      </c>
      <c r="S960" s="79" t="s">
        <v>3182</v>
      </c>
      <c r="T960" s="84">
        <v>42000000</v>
      </c>
      <c r="U960" s="81"/>
      <c r="V960" s="81"/>
      <c r="W960" s="78" t="s">
        <v>1453</v>
      </c>
      <c r="X960" s="82"/>
      <c r="Y960" s="81" t="s">
        <v>2590</v>
      </c>
      <c r="Z960" s="81" t="s">
        <v>2256</v>
      </c>
      <c r="AA960" s="83">
        <v>5000</v>
      </c>
      <c r="AB960" s="85"/>
      <c r="AD960" s="78" t="s">
        <v>1453</v>
      </c>
      <c r="AE960" s="82"/>
      <c r="AF960" s="81" t="s">
        <v>2590</v>
      </c>
      <c r="AG960" s="81" t="s">
        <v>2256</v>
      </c>
      <c r="AH960" s="83">
        <v>7000</v>
      </c>
      <c r="AI960" s="85"/>
    </row>
    <row r="961" spans="1:35" s="79" customFormat="1" ht="11.25" customHeight="1" x14ac:dyDescent="0.2">
      <c r="A961" s="77" t="s">
        <v>1659</v>
      </c>
      <c r="B961" s="80">
        <v>191</v>
      </c>
      <c r="C961" s="81" t="s">
        <v>1453</v>
      </c>
      <c r="D961" s="73">
        <v>42000</v>
      </c>
      <c r="E961" s="79" t="s">
        <v>42</v>
      </c>
      <c r="F961" s="79" t="s">
        <v>3725</v>
      </c>
      <c r="G961" s="79" t="s">
        <v>2997</v>
      </c>
      <c r="H961" s="79" t="s">
        <v>43</v>
      </c>
      <c r="I961" s="81"/>
      <c r="J961" s="81">
        <v>150</v>
      </c>
      <c r="K961" s="86"/>
      <c r="M961" s="78" t="s">
        <v>1453</v>
      </c>
      <c r="N961" s="82"/>
      <c r="O961" s="81" t="s">
        <v>2256</v>
      </c>
      <c r="P961" s="81" t="s">
        <v>2256</v>
      </c>
      <c r="Q961" s="81"/>
      <c r="R961" s="83">
        <v>1000</v>
      </c>
      <c r="S961" s="79" t="s">
        <v>2999</v>
      </c>
      <c r="T961" s="84">
        <v>42000000</v>
      </c>
      <c r="U961" s="81"/>
      <c r="V961" s="81"/>
      <c r="W961" s="78" t="s">
        <v>1453</v>
      </c>
      <c r="X961" s="82"/>
      <c r="Y961" s="81" t="s">
        <v>2256</v>
      </c>
      <c r="Z961" s="81" t="s">
        <v>2256</v>
      </c>
      <c r="AA961" s="83">
        <v>5000</v>
      </c>
      <c r="AB961" s="85"/>
      <c r="AD961" s="78" t="s">
        <v>1453</v>
      </c>
      <c r="AE961" s="82"/>
      <c r="AF961" s="81" t="s">
        <v>2256</v>
      </c>
      <c r="AG961" s="81" t="s">
        <v>2256</v>
      </c>
      <c r="AH961" s="83">
        <v>7000</v>
      </c>
      <c r="AI961" s="85"/>
    </row>
    <row r="962" spans="1:35" s="79" customFormat="1" ht="11.25" customHeight="1" x14ac:dyDescent="0.2">
      <c r="A962" s="77" t="s">
        <v>133</v>
      </c>
      <c r="B962" s="80">
        <v>1150</v>
      </c>
      <c r="C962" s="81" t="s">
        <v>132</v>
      </c>
      <c r="D962" s="73">
        <v>100</v>
      </c>
      <c r="E962" s="79" t="s">
        <v>20</v>
      </c>
      <c r="F962" s="79" t="s">
        <v>3725</v>
      </c>
      <c r="G962" s="79" t="s">
        <v>2996</v>
      </c>
      <c r="H962" s="79" t="s">
        <v>43</v>
      </c>
      <c r="I962" s="81" t="s">
        <v>3000</v>
      </c>
      <c r="J962" s="81">
        <v>25</v>
      </c>
      <c r="K962" s="86"/>
      <c r="M962" s="78" t="s">
        <v>134</v>
      </c>
      <c r="N962" s="82" t="s">
        <v>135</v>
      </c>
      <c r="O962" s="81" t="s">
        <v>2272</v>
      </c>
      <c r="P962" s="81" t="s">
        <v>2773</v>
      </c>
      <c r="Q962" s="81"/>
      <c r="R962" s="83" t="s">
        <v>3427</v>
      </c>
      <c r="S962" s="79" t="s">
        <v>3020</v>
      </c>
      <c r="T962" s="84" t="s">
        <v>3598</v>
      </c>
      <c r="U962" s="81"/>
      <c r="V962" s="81"/>
      <c r="W962" s="78" t="s">
        <v>134</v>
      </c>
      <c r="X962" s="82" t="s">
        <v>135</v>
      </c>
      <c r="Y962" s="81" t="s">
        <v>2272</v>
      </c>
      <c r="Z962" s="81" t="s">
        <v>2773</v>
      </c>
      <c r="AA962" s="81" t="s">
        <v>137</v>
      </c>
      <c r="AB962" s="85"/>
      <c r="AD962" s="78" t="s">
        <v>134</v>
      </c>
      <c r="AE962" s="82" t="s">
        <v>135</v>
      </c>
      <c r="AF962" s="81" t="s">
        <v>2272</v>
      </c>
      <c r="AG962" s="81" t="s">
        <v>2773</v>
      </c>
      <c r="AH962" s="81" t="s">
        <v>136</v>
      </c>
      <c r="AI962" s="85"/>
    </row>
    <row r="963" spans="1:35" s="79" customFormat="1" ht="11.25" customHeight="1" x14ac:dyDescent="0.2">
      <c r="A963" s="77" t="s">
        <v>1662</v>
      </c>
      <c r="B963" s="80">
        <v>1149</v>
      </c>
      <c r="C963" s="81" t="s">
        <v>134</v>
      </c>
      <c r="D963" s="73">
        <v>100</v>
      </c>
      <c r="E963" s="79" t="s">
        <v>20</v>
      </c>
      <c r="F963" s="79" t="s">
        <v>3725</v>
      </c>
      <c r="G963" s="79" t="s">
        <v>2996</v>
      </c>
      <c r="H963" s="79" t="s">
        <v>43</v>
      </c>
      <c r="I963" s="81" t="s">
        <v>3000</v>
      </c>
      <c r="J963" s="81">
        <v>25</v>
      </c>
      <c r="K963" s="86"/>
      <c r="M963" s="78" t="s">
        <v>134</v>
      </c>
      <c r="N963" s="82"/>
      <c r="O963" s="81" t="s">
        <v>2256</v>
      </c>
      <c r="P963" s="81" t="s">
        <v>2256</v>
      </c>
      <c r="Q963" s="81"/>
      <c r="R963" s="83">
        <v>500</v>
      </c>
      <c r="S963" s="79" t="s">
        <v>2999</v>
      </c>
      <c r="T963" s="84">
        <v>50000</v>
      </c>
      <c r="U963" s="81"/>
      <c r="V963" s="81"/>
      <c r="W963" s="78" t="s">
        <v>134</v>
      </c>
      <c r="X963" s="82"/>
      <c r="Y963" s="81" t="s">
        <v>2256</v>
      </c>
      <c r="Z963" s="81" t="s">
        <v>2256</v>
      </c>
      <c r="AA963" s="83">
        <v>2500</v>
      </c>
      <c r="AB963" s="85"/>
      <c r="AD963" s="78" t="s">
        <v>134</v>
      </c>
      <c r="AE963" s="82"/>
      <c r="AF963" s="81" t="s">
        <v>2256</v>
      </c>
      <c r="AG963" s="81" t="s">
        <v>2256</v>
      </c>
      <c r="AH963" s="83">
        <v>5000</v>
      </c>
      <c r="AI963" s="85"/>
    </row>
    <row r="964" spans="1:35" s="79" customFormat="1" ht="11.25" customHeight="1" x14ac:dyDescent="0.2">
      <c r="A964" s="77" t="s">
        <v>1691</v>
      </c>
      <c r="B964" s="80">
        <v>1228</v>
      </c>
      <c r="C964" s="81" t="s">
        <v>1690</v>
      </c>
      <c r="D964" s="73">
        <v>50000</v>
      </c>
      <c r="E964" s="79" t="s">
        <v>1692</v>
      </c>
      <c r="F964" s="79" t="s">
        <v>3725</v>
      </c>
      <c r="G964" s="79" t="s">
        <v>2996</v>
      </c>
      <c r="H964" s="79" t="s">
        <v>43</v>
      </c>
      <c r="I964" s="81" t="s">
        <v>3000</v>
      </c>
      <c r="J964" s="81">
        <v>25</v>
      </c>
      <c r="K964" s="86"/>
      <c r="M964" s="78" t="s">
        <v>1690</v>
      </c>
      <c r="N964" s="82"/>
      <c r="O964" s="81" t="s">
        <v>2256</v>
      </c>
      <c r="P964" s="81" t="s">
        <v>2256</v>
      </c>
      <c r="Q964" s="81"/>
      <c r="R964" s="83">
        <v>3000</v>
      </c>
      <c r="S964" s="79" t="s">
        <v>2999</v>
      </c>
      <c r="T964" s="84">
        <v>150000000</v>
      </c>
      <c r="U964" s="81"/>
      <c r="V964" s="81"/>
      <c r="W964" s="78" t="s">
        <v>1690</v>
      </c>
      <c r="X964" s="82"/>
      <c r="Y964" s="81" t="s">
        <v>2256</v>
      </c>
      <c r="Z964" s="81" t="s">
        <v>2256</v>
      </c>
      <c r="AA964" s="83">
        <v>15000</v>
      </c>
      <c r="AB964" s="85"/>
      <c r="AD964" s="78" t="s">
        <v>1690</v>
      </c>
      <c r="AE964" s="82"/>
      <c r="AF964" s="81" t="s">
        <v>2256</v>
      </c>
      <c r="AG964" s="81" t="s">
        <v>2256</v>
      </c>
      <c r="AH964" s="83">
        <v>15000</v>
      </c>
      <c r="AI964" s="85"/>
    </row>
    <row r="965" spans="1:35" s="79" customFormat="1" ht="11.25" customHeight="1" x14ac:dyDescent="0.2">
      <c r="A965" s="77" t="s">
        <v>1694</v>
      </c>
      <c r="B965" s="80">
        <v>1225</v>
      </c>
      <c r="C965" s="81" t="s">
        <v>1693</v>
      </c>
      <c r="D965" s="73">
        <v>50000</v>
      </c>
      <c r="E965" s="79" t="s">
        <v>1692</v>
      </c>
      <c r="F965" s="79" t="s">
        <v>3725</v>
      </c>
      <c r="G965" s="79" t="s">
        <v>2996</v>
      </c>
      <c r="H965" s="79" t="s">
        <v>43</v>
      </c>
      <c r="I965" s="81" t="s">
        <v>3000</v>
      </c>
      <c r="J965" s="81">
        <v>25</v>
      </c>
      <c r="K965" s="86"/>
      <c r="M965" s="78" t="s">
        <v>1693</v>
      </c>
      <c r="N965" s="82"/>
      <c r="O965" s="81" t="s">
        <v>2256</v>
      </c>
      <c r="P965" s="81" t="s">
        <v>2256</v>
      </c>
      <c r="Q965" s="81"/>
      <c r="R965" s="83">
        <v>10000</v>
      </c>
      <c r="S965" s="79" t="s">
        <v>2999</v>
      </c>
      <c r="T965" s="84">
        <v>500000000</v>
      </c>
      <c r="U965" s="81"/>
      <c r="V965" s="81"/>
      <c r="W965" s="78" t="s">
        <v>1693</v>
      </c>
      <c r="X965" s="82"/>
      <c r="Y965" s="81" t="s">
        <v>2256</v>
      </c>
      <c r="Z965" s="81" t="s">
        <v>2256</v>
      </c>
      <c r="AA965" s="83">
        <v>50000</v>
      </c>
      <c r="AB965" s="85"/>
      <c r="AD965" s="78" t="s">
        <v>1693</v>
      </c>
      <c r="AE965" s="82"/>
      <c r="AF965" s="81" t="s">
        <v>2256</v>
      </c>
      <c r="AG965" s="81" t="s">
        <v>2256</v>
      </c>
      <c r="AH965" s="83">
        <v>50000</v>
      </c>
      <c r="AI965" s="85"/>
    </row>
    <row r="966" spans="1:35" s="79" customFormat="1" ht="11.25" customHeight="1" x14ac:dyDescent="0.2">
      <c r="A966" s="77" t="s">
        <v>1696</v>
      </c>
      <c r="B966" s="80">
        <v>1226</v>
      </c>
      <c r="C966" s="81" t="s">
        <v>1695</v>
      </c>
      <c r="D966" s="73">
        <v>50000</v>
      </c>
      <c r="E966" s="79" t="s">
        <v>1692</v>
      </c>
      <c r="F966" s="79" t="s">
        <v>3725</v>
      </c>
      <c r="G966" s="79" t="s">
        <v>2996</v>
      </c>
      <c r="H966" s="79" t="s">
        <v>43</v>
      </c>
      <c r="I966" s="81" t="s">
        <v>3000</v>
      </c>
      <c r="J966" s="81">
        <v>25</v>
      </c>
      <c r="K966" s="86"/>
      <c r="M966" s="78" t="s">
        <v>1695</v>
      </c>
      <c r="N966" s="82"/>
      <c r="O966" s="81" t="s">
        <v>2256</v>
      </c>
      <c r="P966" s="81" t="s">
        <v>2256</v>
      </c>
      <c r="Q966" s="81"/>
      <c r="R966" s="83">
        <v>3000</v>
      </c>
      <c r="S966" s="79" t="s">
        <v>2999</v>
      </c>
      <c r="T966" s="84">
        <v>150000000</v>
      </c>
      <c r="U966" s="81"/>
      <c r="V966" s="81"/>
      <c r="W966" s="78" t="s">
        <v>1695</v>
      </c>
      <c r="X966" s="82"/>
      <c r="Y966" s="81" t="s">
        <v>2256</v>
      </c>
      <c r="Z966" s="81" t="s">
        <v>2256</v>
      </c>
      <c r="AA966" s="83">
        <v>15000</v>
      </c>
      <c r="AB966" s="85"/>
      <c r="AD966" s="78" t="s">
        <v>1695</v>
      </c>
      <c r="AE966" s="82"/>
      <c r="AF966" s="81" t="s">
        <v>2256</v>
      </c>
      <c r="AG966" s="81" t="s">
        <v>2256</v>
      </c>
      <c r="AH966" s="83">
        <v>15000</v>
      </c>
      <c r="AI966" s="85"/>
    </row>
    <row r="967" spans="1:35" s="79" customFormat="1" ht="11.25" customHeight="1" x14ac:dyDescent="0.2">
      <c r="A967" s="77" t="s">
        <v>1698</v>
      </c>
      <c r="B967" s="80">
        <v>1227</v>
      </c>
      <c r="C967" s="81" t="s">
        <v>1697</v>
      </c>
      <c r="D967" s="73">
        <v>50000</v>
      </c>
      <c r="E967" s="79" t="s">
        <v>1692</v>
      </c>
      <c r="F967" s="79" t="s">
        <v>3725</v>
      </c>
      <c r="G967" s="79" t="s">
        <v>2996</v>
      </c>
      <c r="H967" s="79" t="s">
        <v>43</v>
      </c>
      <c r="I967" s="81" t="s">
        <v>3000</v>
      </c>
      <c r="J967" s="81">
        <v>25</v>
      </c>
      <c r="K967" s="86"/>
      <c r="M967" s="78" t="s">
        <v>1697</v>
      </c>
      <c r="N967" s="82"/>
      <c r="O967" s="81" t="s">
        <v>2256</v>
      </c>
      <c r="P967" s="81" t="s">
        <v>2256</v>
      </c>
      <c r="Q967" s="81"/>
      <c r="R967" s="83">
        <v>10000</v>
      </c>
      <c r="S967" s="79" t="s">
        <v>2999</v>
      </c>
      <c r="T967" s="84">
        <v>500000000</v>
      </c>
      <c r="U967" s="81"/>
      <c r="V967" s="81"/>
      <c r="W967" s="78" t="s">
        <v>1697</v>
      </c>
      <c r="X967" s="82"/>
      <c r="Y967" s="81" t="s">
        <v>2256</v>
      </c>
      <c r="Z967" s="81" t="s">
        <v>2256</v>
      </c>
      <c r="AA967" s="83">
        <v>50000</v>
      </c>
      <c r="AB967" s="85"/>
      <c r="AD967" s="78" t="s">
        <v>1697</v>
      </c>
      <c r="AE967" s="82"/>
      <c r="AF967" s="81" t="s">
        <v>2256</v>
      </c>
      <c r="AG967" s="81" t="s">
        <v>2256</v>
      </c>
      <c r="AH967" s="83">
        <v>50000</v>
      </c>
      <c r="AI967" s="85"/>
    </row>
    <row r="968" spans="1:35" s="79" customFormat="1" ht="11.25" customHeight="1" x14ac:dyDescent="0.2">
      <c r="A968" s="77" t="s">
        <v>1700</v>
      </c>
      <c r="B968" s="80">
        <v>1229</v>
      </c>
      <c r="C968" s="81" t="s">
        <v>1699</v>
      </c>
      <c r="D968" s="73">
        <v>50000</v>
      </c>
      <c r="E968" s="79" t="s">
        <v>1692</v>
      </c>
      <c r="F968" s="79" t="s">
        <v>3725</v>
      </c>
      <c r="G968" s="79" t="s">
        <v>2996</v>
      </c>
      <c r="H968" s="79" t="s">
        <v>43</v>
      </c>
      <c r="I968" s="81" t="s">
        <v>3000</v>
      </c>
      <c r="J968" s="81">
        <v>25</v>
      </c>
      <c r="K968" s="86"/>
      <c r="M968" s="78" t="s">
        <v>1699</v>
      </c>
      <c r="N968" s="82"/>
      <c r="O968" s="81" t="s">
        <v>2256</v>
      </c>
      <c r="P968" s="81" t="s">
        <v>2256</v>
      </c>
      <c r="Q968" s="81"/>
      <c r="R968" s="83">
        <v>3000</v>
      </c>
      <c r="S968" s="79" t="s">
        <v>2999</v>
      </c>
      <c r="T968" s="84">
        <v>150000000</v>
      </c>
      <c r="U968" s="81"/>
      <c r="V968" s="81"/>
      <c r="W968" s="78" t="s">
        <v>1699</v>
      </c>
      <c r="X968" s="82"/>
      <c r="Y968" s="81" t="s">
        <v>2256</v>
      </c>
      <c r="Z968" s="81" t="s">
        <v>2256</v>
      </c>
      <c r="AA968" s="83">
        <v>15000</v>
      </c>
      <c r="AB968" s="85"/>
      <c r="AD968" s="78" t="s">
        <v>1699</v>
      </c>
      <c r="AE968" s="82"/>
      <c r="AF968" s="81" t="s">
        <v>2256</v>
      </c>
      <c r="AG968" s="81" t="s">
        <v>2256</v>
      </c>
      <c r="AH968" s="83">
        <v>15000</v>
      </c>
      <c r="AI968" s="85"/>
    </row>
    <row r="969" spans="1:35" s="79" customFormat="1" ht="11.25" customHeight="1" x14ac:dyDescent="0.2">
      <c r="A969" s="77" t="s">
        <v>1638</v>
      </c>
      <c r="B969" s="80">
        <v>403</v>
      </c>
      <c r="C969" s="81" t="s">
        <v>1637</v>
      </c>
      <c r="D969" s="73">
        <v>21000</v>
      </c>
      <c r="E969" s="79" t="s">
        <v>42</v>
      </c>
      <c r="F969" s="79" t="s">
        <v>3725</v>
      </c>
      <c r="G969" s="79" t="s">
        <v>2996</v>
      </c>
      <c r="H969" s="79" t="s">
        <v>43</v>
      </c>
      <c r="I969" s="81"/>
      <c r="J969" s="81">
        <v>150</v>
      </c>
      <c r="K969" s="86"/>
      <c r="M969" s="78" t="s">
        <v>1639</v>
      </c>
      <c r="N969" s="82"/>
      <c r="O969" s="81" t="s">
        <v>2630</v>
      </c>
      <c r="P969" s="81" t="s">
        <v>2256</v>
      </c>
      <c r="Q969" s="81"/>
      <c r="R969" s="83">
        <v>1000</v>
      </c>
      <c r="S969" s="79" t="s">
        <v>3198</v>
      </c>
      <c r="T969" s="84">
        <v>42000000</v>
      </c>
      <c r="U969" s="81"/>
      <c r="V969" s="81"/>
      <c r="W969" s="78" t="s">
        <v>1639</v>
      </c>
      <c r="X969" s="82"/>
      <c r="Y969" s="81" t="s">
        <v>2630</v>
      </c>
      <c r="Z969" s="81" t="s">
        <v>2256</v>
      </c>
      <c r="AA969" s="83">
        <v>7000</v>
      </c>
      <c r="AB969" s="85"/>
      <c r="AD969" s="78" t="s">
        <v>1639</v>
      </c>
      <c r="AE969" s="82"/>
      <c r="AF969" s="81" t="s">
        <v>2630</v>
      </c>
      <c r="AG969" s="81" t="s">
        <v>2256</v>
      </c>
      <c r="AH969" s="83">
        <v>7000</v>
      </c>
      <c r="AI969" s="85"/>
    </row>
    <row r="970" spans="1:35" s="79" customFormat="1" ht="11.25" x14ac:dyDescent="0.2">
      <c r="A970" s="77" t="s">
        <v>1675</v>
      </c>
      <c r="B970" s="80">
        <v>385</v>
      </c>
      <c r="C970" s="81" t="s">
        <v>1674</v>
      </c>
      <c r="D970" s="73">
        <v>42000</v>
      </c>
      <c r="E970" s="79" t="s">
        <v>42</v>
      </c>
      <c r="F970" s="79" t="s">
        <v>30</v>
      </c>
      <c r="G970" s="79" t="s">
        <v>3001</v>
      </c>
      <c r="H970" s="79" t="s">
        <v>43</v>
      </c>
      <c r="I970" s="81"/>
      <c r="J970" s="81">
        <v>150</v>
      </c>
      <c r="K970" s="86"/>
      <c r="M970" s="78" t="s">
        <v>1639</v>
      </c>
      <c r="N970" s="82"/>
      <c r="O970" s="81" t="s">
        <v>2637</v>
      </c>
      <c r="P970" s="81" t="s">
        <v>2256</v>
      </c>
      <c r="Q970" s="81"/>
      <c r="R970" s="83">
        <v>1000</v>
      </c>
      <c r="S970" s="79" t="s">
        <v>3198</v>
      </c>
      <c r="T970" s="84">
        <v>42000000</v>
      </c>
      <c r="U970" s="81"/>
      <c r="V970" s="81"/>
      <c r="W970" s="78" t="s">
        <v>1639</v>
      </c>
      <c r="X970" s="82"/>
      <c r="Y970" s="81" t="s">
        <v>2637</v>
      </c>
      <c r="Z970" s="81" t="s">
        <v>2256</v>
      </c>
      <c r="AA970" s="83">
        <v>7000</v>
      </c>
      <c r="AB970" s="85"/>
      <c r="AD970" s="78" t="s">
        <v>1639</v>
      </c>
      <c r="AE970" s="82"/>
      <c r="AF970" s="81" t="s">
        <v>2637</v>
      </c>
      <c r="AG970" s="81" t="s">
        <v>2256</v>
      </c>
      <c r="AH970" s="83">
        <v>7000</v>
      </c>
      <c r="AI970" s="85"/>
    </row>
    <row r="971" spans="1:35" s="79" customFormat="1" ht="11.25" customHeight="1" x14ac:dyDescent="0.2">
      <c r="A971" s="77" t="s">
        <v>1705</v>
      </c>
      <c r="B971" s="80">
        <v>555</v>
      </c>
      <c r="C971" s="81" t="s">
        <v>1639</v>
      </c>
      <c r="D971" s="73">
        <v>42000</v>
      </c>
      <c r="E971" s="79" t="s">
        <v>42</v>
      </c>
      <c r="F971" s="79" t="s">
        <v>3725</v>
      </c>
      <c r="G971" s="79" t="s">
        <v>2996</v>
      </c>
      <c r="H971" s="79" t="s">
        <v>43</v>
      </c>
      <c r="I971" s="81"/>
      <c r="J971" s="81">
        <v>25</v>
      </c>
      <c r="K971" s="86"/>
      <c r="M971" s="78" t="s">
        <v>1639</v>
      </c>
      <c r="N971" s="82"/>
      <c r="O971" s="81" t="s">
        <v>2256</v>
      </c>
      <c r="P971" s="81" t="s">
        <v>2256</v>
      </c>
      <c r="Q971" s="81"/>
      <c r="R971" s="83">
        <v>1000</v>
      </c>
      <c r="S971" s="79" t="s">
        <v>2999</v>
      </c>
      <c r="T971" s="84">
        <v>42000000</v>
      </c>
      <c r="U971" s="81"/>
      <c r="V971" s="81"/>
      <c r="W971" s="78" t="s">
        <v>1639</v>
      </c>
      <c r="X971" s="82"/>
      <c r="Y971" s="81" t="s">
        <v>2256</v>
      </c>
      <c r="Z971" s="81" t="s">
        <v>2256</v>
      </c>
      <c r="AA971" s="83">
        <v>7000</v>
      </c>
      <c r="AB971" s="85"/>
      <c r="AD971" s="78" t="s">
        <v>1639</v>
      </c>
      <c r="AE971" s="82"/>
      <c r="AF971" s="81" t="s">
        <v>2256</v>
      </c>
      <c r="AG971" s="81" t="s">
        <v>2256</v>
      </c>
      <c r="AH971" s="83">
        <v>7000</v>
      </c>
      <c r="AI971" s="85"/>
    </row>
    <row r="972" spans="1:35" s="79" customFormat="1" ht="11.25" customHeight="1" x14ac:dyDescent="0.2">
      <c r="A972" s="77" t="s">
        <v>1679</v>
      </c>
      <c r="B972" s="80">
        <v>563</v>
      </c>
      <c r="C972" s="81" t="s">
        <v>1678</v>
      </c>
      <c r="D972" s="73">
        <v>42000</v>
      </c>
      <c r="E972" s="79" t="s">
        <v>42</v>
      </c>
      <c r="F972" s="79" t="s">
        <v>3725</v>
      </c>
      <c r="G972" s="79" t="s">
        <v>2996</v>
      </c>
      <c r="H972" s="79" t="s">
        <v>43</v>
      </c>
      <c r="I972" s="81" t="s">
        <v>3000</v>
      </c>
      <c r="J972" s="81">
        <v>150</v>
      </c>
      <c r="K972" s="86"/>
      <c r="M972" s="78" t="s">
        <v>1680</v>
      </c>
      <c r="N972" s="82" t="s">
        <v>244</v>
      </c>
      <c r="O972" s="81" t="s">
        <v>2639</v>
      </c>
      <c r="P972" s="81" t="s">
        <v>2929</v>
      </c>
      <c r="Q972" s="81"/>
      <c r="R972" s="83" t="s">
        <v>864</v>
      </c>
      <c r="S972" s="79" t="s">
        <v>3202</v>
      </c>
      <c r="T972" s="84" t="s">
        <v>3416</v>
      </c>
      <c r="U972" s="81"/>
      <c r="V972" s="81"/>
      <c r="W972" s="78" t="s">
        <v>1680</v>
      </c>
      <c r="X972" s="82" t="s">
        <v>244</v>
      </c>
      <c r="Y972" s="81" t="s">
        <v>2639</v>
      </c>
      <c r="Z972" s="81" t="s">
        <v>2929</v>
      </c>
      <c r="AA972" s="81" t="s">
        <v>831</v>
      </c>
      <c r="AB972" s="85"/>
      <c r="AD972" s="78" t="s">
        <v>1680</v>
      </c>
      <c r="AE972" s="82" t="s">
        <v>244</v>
      </c>
      <c r="AF972" s="81" t="s">
        <v>2639</v>
      </c>
      <c r="AG972" s="81" t="s">
        <v>2929</v>
      </c>
      <c r="AH972" s="81" t="s">
        <v>530</v>
      </c>
      <c r="AI972" s="85"/>
    </row>
    <row r="973" spans="1:35" s="79" customFormat="1" ht="11.25" customHeight="1" x14ac:dyDescent="0.2">
      <c r="A973" s="77" t="s">
        <v>1714</v>
      </c>
      <c r="B973" s="80">
        <v>562</v>
      </c>
      <c r="C973" s="81" t="s">
        <v>1680</v>
      </c>
      <c r="D973" s="73">
        <v>42000</v>
      </c>
      <c r="E973" s="79" t="s">
        <v>42</v>
      </c>
      <c r="F973" s="79" t="s">
        <v>3725</v>
      </c>
      <c r="G973" s="79" t="s">
        <v>2996</v>
      </c>
      <c r="H973" s="79" t="s">
        <v>43</v>
      </c>
      <c r="I973" s="81" t="s">
        <v>3000</v>
      </c>
      <c r="J973" s="81">
        <v>150</v>
      </c>
      <c r="K973" s="86"/>
      <c r="M973" s="78" t="s">
        <v>1680</v>
      </c>
      <c r="N973" s="82"/>
      <c r="O973" s="81" t="s">
        <v>2256</v>
      </c>
      <c r="P973" s="81" t="s">
        <v>2256</v>
      </c>
      <c r="Q973" s="81"/>
      <c r="R973" s="83">
        <v>1000</v>
      </c>
      <c r="S973" s="79" t="s">
        <v>2999</v>
      </c>
      <c r="T973" s="84">
        <v>42000000</v>
      </c>
      <c r="U973" s="81"/>
      <c r="V973" s="81"/>
      <c r="W973" s="78" t="s">
        <v>1680</v>
      </c>
      <c r="X973" s="82"/>
      <c r="Y973" s="81" t="s">
        <v>2256</v>
      </c>
      <c r="Z973" s="81" t="s">
        <v>2256</v>
      </c>
      <c r="AA973" s="83">
        <v>7000</v>
      </c>
      <c r="AB973" s="85"/>
      <c r="AD973" s="78" t="s">
        <v>1680</v>
      </c>
      <c r="AE973" s="82"/>
      <c r="AF973" s="81" t="s">
        <v>2256</v>
      </c>
      <c r="AG973" s="81" t="s">
        <v>2256</v>
      </c>
      <c r="AH973" s="83">
        <v>7000</v>
      </c>
      <c r="AI973" s="85"/>
    </row>
    <row r="974" spans="1:35" s="79" customFormat="1" ht="11.25" customHeight="1" x14ac:dyDescent="0.2">
      <c r="A974" s="77" t="s">
        <v>1761</v>
      </c>
      <c r="B974" s="80">
        <v>1092</v>
      </c>
      <c r="C974" s="81" t="s">
        <v>1760</v>
      </c>
      <c r="D974" s="73">
        <v>1000</v>
      </c>
      <c r="E974" s="79" t="s">
        <v>28</v>
      </c>
      <c r="F974" s="79" t="s">
        <v>3725</v>
      </c>
      <c r="G974" s="79" t="s">
        <v>2996</v>
      </c>
      <c r="H974" s="79" t="s">
        <v>43</v>
      </c>
      <c r="I974" s="81" t="s">
        <v>3000</v>
      </c>
      <c r="J974" s="81">
        <v>25</v>
      </c>
      <c r="K974" s="86"/>
      <c r="M974" s="78" t="s">
        <v>163</v>
      </c>
      <c r="N974" s="82" t="s">
        <v>106</v>
      </c>
      <c r="O974" s="81" t="s">
        <v>2657</v>
      </c>
      <c r="P974" s="81" t="s">
        <v>2942</v>
      </c>
      <c r="Q974" s="81"/>
      <c r="R974" s="83" t="s">
        <v>3437</v>
      </c>
      <c r="S974" s="79" t="s">
        <v>3211</v>
      </c>
      <c r="T974" s="84" t="s">
        <v>3594</v>
      </c>
      <c r="U974" s="81"/>
      <c r="V974" s="81"/>
      <c r="W974" s="78" t="s">
        <v>163</v>
      </c>
      <c r="X974" s="82" t="s">
        <v>106</v>
      </c>
      <c r="Y974" s="81" t="s">
        <v>2657</v>
      </c>
      <c r="Z974" s="81" t="s">
        <v>2942</v>
      </c>
      <c r="AA974" s="81" t="s">
        <v>1146</v>
      </c>
      <c r="AB974" s="85"/>
      <c r="AD974" s="78" t="s">
        <v>163</v>
      </c>
      <c r="AE974" s="82" t="s">
        <v>106</v>
      </c>
      <c r="AF974" s="81" t="s">
        <v>2657</v>
      </c>
      <c r="AG974" s="81" t="s">
        <v>2942</v>
      </c>
      <c r="AH974" s="81" t="s">
        <v>1146</v>
      </c>
      <c r="AI974" s="85"/>
    </row>
    <row r="975" spans="1:35" s="79" customFormat="1" ht="11.25" customHeight="1" x14ac:dyDescent="0.2">
      <c r="A975" s="77" t="s">
        <v>3662</v>
      </c>
      <c r="B975" s="80">
        <v>249</v>
      </c>
      <c r="C975" s="81" t="s">
        <v>3663</v>
      </c>
      <c r="D975" s="73">
        <v>1000</v>
      </c>
      <c r="E975" s="79" t="s">
        <v>20</v>
      </c>
      <c r="F975" s="79" t="s">
        <v>3725</v>
      </c>
      <c r="G975" s="79" t="s">
        <v>2996</v>
      </c>
      <c r="H975" s="79" t="s">
        <v>43</v>
      </c>
      <c r="I975" s="81" t="s">
        <v>3000</v>
      </c>
      <c r="J975" s="81">
        <v>25</v>
      </c>
      <c r="K975" s="86"/>
      <c r="M975" s="78" t="s">
        <v>163</v>
      </c>
      <c r="N975" s="82" t="s">
        <v>150</v>
      </c>
      <c r="O975" s="81" t="s">
        <v>3664</v>
      </c>
      <c r="P975" s="81" t="s">
        <v>3665</v>
      </c>
      <c r="Q975" s="81"/>
      <c r="R975" s="82" t="s">
        <v>515</v>
      </c>
      <c r="S975" s="79" t="s">
        <v>3666</v>
      </c>
      <c r="T975" s="84" t="s">
        <v>3417</v>
      </c>
      <c r="U975" s="81"/>
      <c r="V975" s="81"/>
      <c r="W975" s="78" t="s">
        <v>163</v>
      </c>
      <c r="X975" s="82" t="s">
        <v>150</v>
      </c>
      <c r="Y975" s="81" t="s">
        <v>3664</v>
      </c>
      <c r="Z975" s="81" t="s">
        <v>3665</v>
      </c>
      <c r="AA975" s="83" t="s">
        <v>516</v>
      </c>
      <c r="AB975" s="85"/>
      <c r="AD975" s="78" t="s">
        <v>163</v>
      </c>
      <c r="AE975" s="82" t="s">
        <v>150</v>
      </c>
      <c r="AF975" s="81" t="s">
        <v>3664</v>
      </c>
      <c r="AG975" s="81" t="s">
        <v>3665</v>
      </c>
      <c r="AH975" s="83" t="s">
        <v>516</v>
      </c>
      <c r="AI975" s="85"/>
    </row>
    <row r="976" spans="1:35" s="79" customFormat="1" ht="11.25" customHeight="1" x14ac:dyDescent="0.2">
      <c r="A976" s="77" t="s">
        <v>3667</v>
      </c>
      <c r="B976" s="80">
        <v>250</v>
      </c>
      <c r="C976" s="81" t="s">
        <v>3668</v>
      </c>
      <c r="D976" s="73">
        <v>1000</v>
      </c>
      <c r="E976" s="79" t="s">
        <v>20</v>
      </c>
      <c r="F976" s="79" t="s">
        <v>3725</v>
      </c>
      <c r="G976" s="79" t="s">
        <v>2996</v>
      </c>
      <c r="H976" s="79" t="s">
        <v>43</v>
      </c>
      <c r="I976" s="81" t="s">
        <v>3000</v>
      </c>
      <c r="J976" s="81">
        <v>25</v>
      </c>
      <c r="K976" s="86"/>
      <c r="M976" s="78" t="s">
        <v>163</v>
      </c>
      <c r="N976" s="82" t="s">
        <v>150</v>
      </c>
      <c r="O976" s="81" t="s">
        <v>3669</v>
      </c>
      <c r="P976" s="81" t="s">
        <v>3670</v>
      </c>
      <c r="Q976" s="81"/>
      <c r="R976" s="82" t="s">
        <v>515</v>
      </c>
      <c r="S976" s="79" t="s">
        <v>3666</v>
      </c>
      <c r="T976" s="84" t="s">
        <v>3417</v>
      </c>
      <c r="U976" s="81"/>
      <c r="V976" s="81"/>
      <c r="W976" s="78" t="s">
        <v>163</v>
      </c>
      <c r="X976" s="82" t="s">
        <v>150</v>
      </c>
      <c r="Y976" s="81" t="s">
        <v>3669</v>
      </c>
      <c r="Z976" s="81" t="s">
        <v>3670</v>
      </c>
      <c r="AA976" s="83" t="s">
        <v>516</v>
      </c>
      <c r="AB976" s="85"/>
      <c r="AD976" s="78" t="s">
        <v>163</v>
      </c>
      <c r="AE976" s="82" t="s">
        <v>150</v>
      </c>
      <c r="AF976" s="81" t="s">
        <v>3669</v>
      </c>
      <c r="AG976" s="81" t="s">
        <v>3670</v>
      </c>
      <c r="AH976" s="83" t="s">
        <v>516</v>
      </c>
      <c r="AI976" s="85"/>
    </row>
    <row r="977" spans="1:35" s="79" customFormat="1" ht="11.25" customHeight="1" x14ac:dyDescent="0.2">
      <c r="A977" s="77" t="s">
        <v>2189</v>
      </c>
      <c r="B977" s="81" t="s">
        <v>2190</v>
      </c>
      <c r="C977" s="81" t="s">
        <v>2188</v>
      </c>
      <c r="D977" s="73">
        <v>1000</v>
      </c>
      <c r="E977" s="79" t="s">
        <v>20</v>
      </c>
      <c r="F977" s="79" t="s">
        <v>30</v>
      </c>
      <c r="G977" s="79" t="s">
        <v>3001</v>
      </c>
      <c r="H977" s="79" t="s">
        <v>43</v>
      </c>
      <c r="I977" s="81" t="s">
        <v>3000</v>
      </c>
      <c r="J977" s="81">
        <v>25</v>
      </c>
      <c r="K977" s="86"/>
      <c r="M977" s="78" t="s">
        <v>163</v>
      </c>
      <c r="N977" s="82"/>
      <c r="O977" s="81" t="s">
        <v>2755</v>
      </c>
      <c r="P977" s="81" t="s">
        <v>2256</v>
      </c>
      <c r="Q977" s="81"/>
      <c r="R977" s="83">
        <v>150</v>
      </c>
      <c r="S977" s="79" t="s">
        <v>3025</v>
      </c>
      <c r="T977" s="84">
        <v>150000</v>
      </c>
      <c r="U977" s="81"/>
      <c r="V977" s="81"/>
      <c r="W977" s="78" t="s">
        <v>163</v>
      </c>
      <c r="X977" s="82"/>
      <c r="Y977" s="81" t="s">
        <v>2755</v>
      </c>
      <c r="Z977" s="81" t="s">
        <v>2256</v>
      </c>
      <c r="AA977" s="80">
        <v>750</v>
      </c>
      <c r="AB977" s="85"/>
      <c r="AD977" s="78" t="s">
        <v>163</v>
      </c>
      <c r="AE977" s="82"/>
      <c r="AF977" s="81" t="s">
        <v>2755</v>
      </c>
      <c r="AG977" s="81" t="s">
        <v>2256</v>
      </c>
      <c r="AH977" s="83">
        <v>1000</v>
      </c>
      <c r="AI977" s="85"/>
    </row>
    <row r="978" spans="1:35" s="79" customFormat="1" ht="11.25" customHeight="1" x14ac:dyDescent="0.2">
      <c r="A978" s="77" t="s">
        <v>162</v>
      </c>
      <c r="B978" s="80">
        <v>494</v>
      </c>
      <c r="C978" s="81" t="s">
        <v>161</v>
      </c>
      <c r="D978" s="73">
        <v>1000</v>
      </c>
      <c r="E978" s="79" t="s">
        <v>20</v>
      </c>
      <c r="F978" s="79" t="s">
        <v>3725</v>
      </c>
      <c r="G978" s="79" t="s">
        <v>2996</v>
      </c>
      <c r="H978" s="79" t="s">
        <v>43</v>
      </c>
      <c r="I978" s="81" t="s">
        <v>3000</v>
      </c>
      <c r="J978" s="81">
        <v>25</v>
      </c>
      <c r="K978" s="86"/>
      <c r="M978" s="78" t="s">
        <v>163</v>
      </c>
      <c r="N978" s="82"/>
      <c r="O978" s="81" t="s">
        <v>2280</v>
      </c>
      <c r="P978" s="81" t="s">
        <v>2256</v>
      </c>
      <c r="Q978" s="81"/>
      <c r="R978" s="83">
        <v>150</v>
      </c>
      <c r="S978" s="79" t="s">
        <v>3025</v>
      </c>
      <c r="T978" s="84">
        <v>150000</v>
      </c>
      <c r="U978" s="81"/>
      <c r="V978" s="81"/>
      <c r="W978" s="78" t="s">
        <v>163</v>
      </c>
      <c r="X978" s="82"/>
      <c r="Y978" s="81" t="s">
        <v>2280</v>
      </c>
      <c r="Z978" s="81" t="s">
        <v>2256</v>
      </c>
      <c r="AA978" s="83">
        <v>1500</v>
      </c>
      <c r="AB978" s="85"/>
      <c r="AD978" s="78" t="s">
        <v>163</v>
      </c>
      <c r="AE978" s="82"/>
      <c r="AF978" s="81" t="s">
        <v>2280</v>
      </c>
      <c r="AG978" s="81" t="s">
        <v>2256</v>
      </c>
      <c r="AH978" s="83">
        <v>1500</v>
      </c>
      <c r="AI978" s="85"/>
    </row>
    <row r="979" spans="1:35" s="79" customFormat="1" ht="11.25" customHeight="1" x14ac:dyDescent="0.2">
      <c r="A979" s="77" t="s">
        <v>1329</v>
      </c>
      <c r="B979" s="80">
        <v>1054</v>
      </c>
      <c r="C979" s="81" t="s">
        <v>1328</v>
      </c>
      <c r="D979" s="73">
        <v>100</v>
      </c>
      <c r="E979" s="79" t="s">
        <v>20</v>
      </c>
      <c r="F979" s="79" t="s">
        <v>3725</v>
      </c>
      <c r="G979" s="79" t="s">
        <v>2996</v>
      </c>
      <c r="H979" s="79" t="s">
        <v>43</v>
      </c>
      <c r="I979" s="81" t="s">
        <v>3000</v>
      </c>
      <c r="J979" s="81">
        <v>25</v>
      </c>
      <c r="K979" s="86"/>
      <c r="M979" s="78" t="s">
        <v>163</v>
      </c>
      <c r="N979" s="82"/>
      <c r="O979" s="81" t="s">
        <v>2558</v>
      </c>
      <c r="P979" s="81" t="s">
        <v>2256</v>
      </c>
      <c r="Q979" s="81"/>
      <c r="R979" s="83">
        <v>150</v>
      </c>
      <c r="S979" s="79" t="s">
        <v>3025</v>
      </c>
      <c r="T979" s="84">
        <v>150000</v>
      </c>
      <c r="U979" s="81"/>
      <c r="V979" s="81"/>
      <c r="W979" s="78" t="s">
        <v>163</v>
      </c>
      <c r="X979" s="82"/>
      <c r="Y979" s="81" t="s">
        <v>2558</v>
      </c>
      <c r="Z979" s="81" t="s">
        <v>2256</v>
      </c>
      <c r="AA979" s="83">
        <v>1500</v>
      </c>
      <c r="AB979" s="85"/>
      <c r="AD979" s="78" t="s">
        <v>163</v>
      </c>
      <c r="AE979" s="82"/>
      <c r="AF979" s="81" t="s">
        <v>2558</v>
      </c>
      <c r="AG979" s="81" t="s">
        <v>2256</v>
      </c>
      <c r="AH979" s="83">
        <v>1500</v>
      </c>
      <c r="AI979" s="85"/>
    </row>
    <row r="980" spans="1:35" s="79" customFormat="1" ht="11.25" customHeight="1" x14ac:dyDescent="0.2">
      <c r="A980" s="77" t="s">
        <v>1334</v>
      </c>
      <c r="B980" s="80">
        <v>1051</v>
      </c>
      <c r="C980" s="81" t="s">
        <v>1333</v>
      </c>
      <c r="D980" s="73">
        <v>100</v>
      </c>
      <c r="E980" s="79" t="s">
        <v>20</v>
      </c>
      <c r="F980" s="79" t="s">
        <v>3725</v>
      </c>
      <c r="G980" s="79" t="s">
        <v>2996</v>
      </c>
      <c r="H980" s="79" t="s">
        <v>43</v>
      </c>
      <c r="I980" s="81" t="s">
        <v>3000</v>
      </c>
      <c r="J980" s="81">
        <v>25</v>
      </c>
      <c r="K980" s="86"/>
      <c r="M980" s="78" t="s">
        <v>163</v>
      </c>
      <c r="N980" s="82"/>
      <c r="O980" s="81" t="s">
        <v>2560</v>
      </c>
      <c r="P980" s="81" t="s">
        <v>2256</v>
      </c>
      <c r="Q980" s="81"/>
      <c r="R980" s="83">
        <v>150</v>
      </c>
      <c r="S980" s="79" t="s">
        <v>3025</v>
      </c>
      <c r="T980" s="84">
        <v>150000</v>
      </c>
      <c r="U980" s="81"/>
      <c r="V980" s="81"/>
      <c r="W980" s="78" t="s">
        <v>163</v>
      </c>
      <c r="X980" s="82"/>
      <c r="Y980" s="81" t="s">
        <v>2560</v>
      </c>
      <c r="Z980" s="81" t="s">
        <v>2256</v>
      </c>
      <c r="AA980" s="83">
        <v>1500</v>
      </c>
      <c r="AB980" s="85"/>
      <c r="AD980" s="78" t="s">
        <v>163</v>
      </c>
      <c r="AE980" s="82"/>
      <c r="AF980" s="81" t="s">
        <v>2560</v>
      </c>
      <c r="AG980" s="81" t="s">
        <v>2256</v>
      </c>
      <c r="AH980" s="83">
        <v>1500</v>
      </c>
      <c r="AI980" s="85"/>
    </row>
    <row r="981" spans="1:35" s="79" customFormat="1" ht="11.25" customHeight="1" x14ac:dyDescent="0.2">
      <c r="A981" s="77" t="s">
        <v>1724</v>
      </c>
      <c r="B981" s="80">
        <v>668</v>
      </c>
      <c r="C981" s="81" t="s">
        <v>163</v>
      </c>
      <c r="D981" s="73">
        <v>1000</v>
      </c>
      <c r="E981" s="79" t="s">
        <v>20</v>
      </c>
      <c r="F981" s="79" t="s">
        <v>3725</v>
      </c>
      <c r="G981" s="79" t="s">
        <v>2996</v>
      </c>
      <c r="H981" s="79" t="s">
        <v>43</v>
      </c>
      <c r="I981" s="81" t="s">
        <v>3000</v>
      </c>
      <c r="J981" s="81">
        <v>25</v>
      </c>
      <c r="K981" s="86"/>
      <c r="M981" s="78" t="s">
        <v>163</v>
      </c>
      <c r="N981" s="82"/>
      <c r="O981" s="81" t="s">
        <v>2256</v>
      </c>
      <c r="P981" s="81" t="s">
        <v>2256</v>
      </c>
      <c r="Q981" s="81"/>
      <c r="R981" s="83">
        <v>150</v>
      </c>
      <c r="S981" s="79" t="s">
        <v>2999</v>
      </c>
      <c r="T981" s="84">
        <v>150000</v>
      </c>
      <c r="U981" s="81"/>
      <c r="V981" s="81"/>
      <c r="W981" s="78" t="s">
        <v>163</v>
      </c>
      <c r="X981" s="82"/>
      <c r="Y981" s="81" t="s">
        <v>2256</v>
      </c>
      <c r="Z981" s="81" t="s">
        <v>2256</v>
      </c>
      <c r="AA981" s="83">
        <v>1500</v>
      </c>
      <c r="AB981" s="85"/>
      <c r="AD981" s="78" t="s">
        <v>163</v>
      </c>
      <c r="AE981" s="82"/>
      <c r="AF981" s="81" t="s">
        <v>2256</v>
      </c>
      <c r="AG981" s="81" t="s">
        <v>2256</v>
      </c>
      <c r="AH981" s="83">
        <v>1500</v>
      </c>
      <c r="AI981" s="85"/>
    </row>
    <row r="982" spans="1:35" s="79" customFormat="1" ht="11.25" customHeight="1" x14ac:dyDescent="0.2">
      <c r="A982" s="77" t="s">
        <v>825</v>
      </c>
      <c r="B982" s="80">
        <v>724</v>
      </c>
      <c r="C982" s="81" t="s">
        <v>824</v>
      </c>
      <c r="D982" s="73">
        <v>1000</v>
      </c>
      <c r="E982" s="79" t="s">
        <v>28</v>
      </c>
      <c r="F982" s="79" t="s">
        <v>3725</v>
      </c>
      <c r="G982" s="79" t="s">
        <v>2996</v>
      </c>
      <c r="H982" s="79" t="s">
        <v>43</v>
      </c>
      <c r="I982" s="81"/>
      <c r="J982" s="81">
        <v>25</v>
      </c>
      <c r="K982" s="86"/>
      <c r="M982" s="78" t="s">
        <v>640</v>
      </c>
      <c r="N982" s="82" t="s">
        <v>135</v>
      </c>
      <c r="O982" s="81" t="s">
        <v>2430</v>
      </c>
      <c r="P982" s="81" t="s">
        <v>2844</v>
      </c>
      <c r="Q982" s="81"/>
      <c r="R982" s="83" t="s">
        <v>864</v>
      </c>
      <c r="S982" s="79" t="s">
        <v>3117</v>
      </c>
      <c r="T982" s="84" t="s">
        <v>3418</v>
      </c>
      <c r="U982" s="81"/>
      <c r="V982" s="81"/>
      <c r="W982" s="78" t="s">
        <v>640</v>
      </c>
      <c r="X982" s="82" t="s">
        <v>135</v>
      </c>
      <c r="Y982" s="81" t="s">
        <v>2430</v>
      </c>
      <c r="Z982" s="81" t="s">
        <v>2844</v>
      </c>
      <c r="AA982" s="81" t="s">
        <v>136</v>
      </c>
      <c r="AB982" s="85"/>
      <c r="AD982" s="78" t="s">
        <v>640</v>
      </c>
      <c r="AE982" s="82" t="s">
        <v>135</v>
      </c>
      <c r="AF982" s="81" t="s">
        <v>2430</v>
      </c>
      <c r="AG982" s="81" t="s">
        <v>2844</v>
      </c>
      <c r="AH982" s="81" t="s">
        <v>136</v>
      </c>
      <c r="AI982" s="85"/>
    </row>
    <row r="983" spans="1:35" s="79" customFormat="1" ht="11.25" customHeight="1" x14ac:dyDescent="0.2">
      <c r="A983" s="77" t="s">
        <v>1219</v>
      </c>
      <c r="B983" s="81" t="s">
        <v>1220</v>
      </c>
      <c r="C983" s="81" t="s">
        <v>1218</v>
      </c>
      <c r="D983" s="73">
        <v>1000</v>
      </c>
      <c r="E983" s="79" t="s">
        <v>28</v>
      </c>
      <c r="F983" s="79" t="s">
        <v>30</v>
      </c>
      <c r="G983" s="79" t="s">
        <v>3001</v>
      </c>
      <c r="H983" s="79" t="s">
        <v>43</v>
      </c>
      <c r="I983" s="81" t="s">
        <v>3000</v>
      </c>
      <c r="J983" s="81">
        <v>25</v>
      </c>
      <c r="K983" s="86"/>
      <c r="M983" s="78" t="s">
        <v>640</v>
      </c>
      <c r="N983" s="82"/>
      <c r="O983" s="81" t="s">
        <v>2523</v>
      </c>
      <c r="P983" s="81" t="s">
        <v>2256</v>
      </c>
      <c r="Q983" s="81"/>
      <c r="R983" s="83">
        <v>1000</v>
      </c>
      <c r="S983" s="79" t="s">
        <v>3162</v>
      </c>
      <c r="T983" s="84">
        <v>1000000</v>
      </c>
      <c r="U983" s="81"/>
      <c r="V983" s="81"/>
      <c r="W983" s="78" t="s">
        <v>640</v>
      </c>
      <c r="X983" s="82"/>
      <c r="Y983" s="81" t="s">
        <v>2523</v>
      </c>
      <c r="Z983" s="81" t="s">
        <v>2256</v>
      </c>
      <c r="AA983" s="83">
        <v>5000</v>
      </c>
      <c r="AB983" s="85"/>
      <c r="AD983" s="78" t="s">
        <v>640</v>
      </c>
      <c r="AE983" s="82"/>
      <c r="AF983" s="81" t="s">
        <v>2523</v>
      </c>
      <c r="AG983" s="81" t="s">
        <v>2256</v>
      </c>
      <c r="AH983" s="83">
        <v>5000</v>
      </c>
      <c r="AI983" s="85"/>
    </row>
    <row r="984" spans="1:35" s="79" customFormat="1" ht="11.25" customHeight="1" x14ac:dyDescent="0.2">
      <c r="A984" s="77" t="s">
        <v>1327</v>
      </c>
      <c r="B984" s="80">
        <v>1155</v>
      </c>
      <c r="C984" s="81" t="s">
        <v>1326</v>
      </c>
      <c r="D984" s="73">
        <v>100</v>
      </c>
      <c r="E984" s="79" t="s">
        <v>28</v>
      </c>
      <c r="F984" s="79" t="s">
        <v>3725</v>
      </c>
      <c r="G984" s="79" t="s">
        <v>2996</v>
      </c>
      <c r="H984" s="79" t="s">
        <v>43</v>
      </c>
      <c r="I984" s="81" t="s">
        <v>3000</v>
      </c>
      <c r="J984" s="81">
        <v>25</v>
      </c>
      <c r="K984" s="86"/>
      <c r="M984" s="78" t="s">
        <v>640</v>
      </c>
      <c r="N984" s="82"/>
      <c r="O984" s="81" t="s">
        <v>2557</v>
      </c>
      <c r="P984" s="81" t="s">
        <v>2256</v>
      </c>
      <c r="Q984" s="81"/>
      <c r="R984" s="83">
        <v>1000</v>
      </c>
      <c r="S984" s="79" t="s">
        <v>3162</v>
      </c>
      <c r="T984" s="84">
        <v>1000000</v>
      </c>
      <c r="U984" s="81"/>
      <c r="V984" s="81"/>
      <c r="W984" s="78" t="s">
        <v>640</v>
      </c>
      <c r="X984" s="82"/>
      <c r="Y984" s="81" t="s">
        <v>2557</v>
      </c>
      <c r="Z984" s="81" t="s">
        <v>2256</v>
      </c>
      <c r="AA984" s="83">
        <v>5000</v>
      </c>
      <c r="AB984" s="85"/>
      <c r="AD984" s="78" t="s">
        <v>640</v>
      </c>
      <c r="AE984" s="82"/>
      <c r="AF984" s="81" t="s">
        <v>2557</v>
      </c>
      <c r="AG984" s="81" t="s">
        <v>2256</v>
      </c>
      <c r="AH984" s="83">
        <v>5000</v>
      </c>
      <c r="AI984" s="85"/>
    </row>
    <row r="985" spans="1:35" s="79" customFormat="1" ht="11.25" customHeight="1" x14ac:dyDescent="0.2">
      <c r="A985" s="77" t="s">
        <v>1729</v>
      </c>
      <c r="B985" s="80">
        <v>669</v>
      </c>
      <c r="C985" s="81" t="s">
        <v>640</v>
      </c>
      <c r="D985" s="73">
        <v>1000</v>
      </c>
      <c r="E985" s="79" t="s">
        <v>28</v>
      </c>
      <c r="F985" s="79" t="s">
        <v>3725</v>
      </c>
      <c r="G985" s="79" t="s">
        <v>2996</v>
      </c>
      <c r="H985" s="79" t="s">
        <v>43</v>
      </c>
      <c r="I985" s="81" t="s">
        <v>3000</v>
      </c>
      <c r="J985" s="81">
        <v>25</v>
      </c>
      <c r="K985" s="86"/>
      <c r="M985" s="78" t="s">
        <v>640</v>
      </c>
      <c r="N985" s="82"/>
      <c r="O985" s="81" t="s">
        <v>2256</v>
      </c>
      <c r="P985" s="81" t="s">
        <v>2256</v>
      </c>
      <c r="Q985" s="81"/>
      <c r="R985" s="83">
        <v>1000</v>
      </c>
      <c r="S985" s="79" t="s">
        <v>2999</v>
      </c>
      <c r="T985" s="84">
        <v>1000000</v>
      </c>
      <c r="U985" s="81"/>
      <c r="V985" s="81"/>
      <c r="W985" s="78" t="s">
        <v>640</v>
      </c>
      <c r="X985" s="82"/>
      <c r="Y985" s="81" t="s">
        <v>2256</v>
      </c>
      <c r="Z985" s="81" t="s">
        <v>2256</v>
      </c>
      <c r="AA985" s="83">
        <v>5000</v>
      </c>
      <c r="AB985" s="85"/>
      <c r="AD985" s="78" t="s">
        <v>640</v>
      </c>
      <c r="AE985" s="82"/>
      <c r="AF985" s="81" t="s">
        <v>2256</v>
      </c>
      <c r="AG985" s="81" t="s">
        <v>2256</v>
      </c>
      <c r="AH985" s="83">
        <v>5000</v>
      </c>
      <c r="AI985" s="85"/>
    </row>
    <row r="986" spans="1:35" s="79" customFormat="1" ht="11.25" customHeight="1" x14ac:dyDescent="0.2">
      <c r="A986" s="77" t="s">
        <v>1922</v>
      </c>
      <c r="B986" s="80">
        <v>496</v>
      </c>
      <c r="C986" s="81" t="s">
        <v>1921</v>
      </c>
      <c r="D986" s="73">
        <v>1000</v>
      </c>
      <c r="E986" s="79" t="s">
        <v>28</v>
      </c>
      <c r="F986" s="79" t="s">
        <v>3725</v>
      </c>
      <c r="G986" s="79" t="s">
        <v>2996</v>
      </c>
      <c r="H986" s="79" t="s">
        <v>43</v>
      </c>
      <c r="I986" s="81" t="s">
        <v>3000</v>
      </c>
      <c r="J986" s="81">
        <v>25</v>
      </c>
      <c r="K986" s="86"/>
      <c r="M986" s="78" t="s">
        <v>640</v>
      </c>
      <c r="N986" s="82"/>
      <c r="O986" s="81" t="s">
        <v>2689</v>
      </c>
      <c r="P986" s="81" t="s">
        <v>2256</v>
      </c>
      <c r="Q986" s="81"/>
      <c r="R986" s="83">
        <v>1000</v>
      </c>
      <c r="S986" s="79" t="s">
        <v>3162</v>
      </c>
      <c r="T986" s="84">
        <v>1000000</v>
      </c>
      <c r="U986" s="81"/>
      <c r="V986" s="81"/>
      <c r="W986" s="78" t="s">
        <v>640</v>
      </c>
      <c r="X986" s="82"/>
      <c r="Y986" s="81" t="s">
        <v>2689</v>
      </c>
      <c r="Z986" s="81" t="s">
        <v>2256</v>
      </c>
      <c r="AA986" s="83">
        <v>5000</v>
      </c>
      <c r="AB986" s="85"/>
      <c r="AD986" s="78" t="s">
        <v>640</v>
      </c>
      <c r="AE986" s="82"/>
      <c r="AF986" s="81" t="s">
        <v>2689</v>
      </c>
      <c r="AG986" s="81" t="s">
        <v>2256</v>
      </c>
      <c r="AH986" s="83">
        <v>5000</v>
      </c>
      <c r="AI986" s="85"/>
    </row>
    <row r="987" spans="1:35" s="79" customFormat="1" ht="11.25" customHeight="1" x14ac:dyDescent="0.2">
      <c r="A987" s="77" t="s">
        <v>1150</v>
      </c>
      <c r="B987" s="80">
        <v>497</v>
      </c>
      <c r="C987" s="81" t="s">
        <v>1149</v>
      </c>
      <c r="D987" s="73">
        <v>1000</v>
      </c>
      <c r="E987" s="79" t="s">
        <v>28</v>
      </c>
      <c r="F987" s="79" t="s">
        <v>3725</v>
      </c>
      <c r="G987" s="79" t="s">
        <v>2996</v>
      </c>
      <c r="H987" s="79" t="s">
        <v>43</v>
      </c>
      <c r="I987" s="81" t="s">
        <v>3000</v>
      </c>
      <c r="J987" s="81">
        <v>25</v>
      </c>
      <c r="K987" s="86"/>
      <c r="M987" s="78" t="s">
        <v>1151</v>
      </c>
      <c r="N987" s="82"/>
      <c r="O987" s="81" t="s">
        <v>2507</v>
      </c>
      <c r="P987" s="81" t="s">
        <v>2256</v>
      </c>
      <c r="Q987" s="81"/>
      <c r="R987" s="83">
        <v>500</v>
      </c>
      <c r="S987" s="79" t="s">
        <v>3155</v>
      </c>
      <c r="T987" s="84">
        <v>500000</v>
      </c>
      <c r="U987" s="81"/>
      <c r="V987" s="81"/>
      <c r="W987" s="78" t="s">
        <v>1151</v>
      </c>
      <c r="X987" s="82"/>
      <c r="Y987" s="81" t="s">
        <v>2507</v>
      </c>
      <c r="Z987" s="81" t="s">
        <v>2256</v>
      </c>
      <c r="AA987" s="83">
        <v>1500</v>
      </c>
      <c r="AB987" s="85"/>
      <c r="AD987" s="78" t="s">
        <v>1151</v>
      </c>
      <c r="AE987" s="82"/>
      <c r="AF987" s="81" t="s">
        <v>2507</v>
      </c>
      <c r="AG987" s="81" t="s">
        <v>2256</v>
      </c>
      <c r="AH987" s="83">
        <v>1500</v>
      </c>
      <c r="AI987" s="85"/>
    </row>
    <row r="988" spans="1:35" s="79" customFormat="1" ht="11.25" customHeight="1" x14ac:dyDescent="0.2">
      <c r="A988" s="77" t="s">
        <v>1747</v>
      </c>
      <c r="B988" s="80">
        <v>671</v>
      </c>
      <c r="C988" s="81" t="s">
        <v>1151</v>
      </c>
      <c r="D988" s="73">
        <v>1000</v>
      </c>
      <c r="E988" s="79" t="s">
        <v>28</v>
      </c>
      <c r="F988" s="79" t="s">
        <v>3725</v>
      </c>
      <c r="G988" s="79" t="s">
        <v>2996</v>
      </c>
      <c r="H988" s="79" t="s">
        <v>43</v>
      </c>
      <c r="I988" s="81" t="s">
        <v>3000</v>
      </c>
      <c r="J988" s="81">
        <v>25</v>
      </c>
      <c r="K988" s="86"/>
      <c r="M988" s="78" t="s">
        <v>1151</v>
      </c>
      <c r="N988" s="82"/>
      <c r="O988" s="81" t="s">
        <v>2256</v>
      </c>
      <c r="P988" s="81" t="s">
        <v>2256</v>
      </c>
      <c r="Q988" s="81"/>
      <c r="R988" s="83">
        <v>500</v>
      </c>
      <c r="S988" s="79" t="s">
        <v>2999</v>
      </c>
      <c r="T988" s="84">
        <v>500000</v>
      </c>
      <c r="U988" s="81"/>
      <c r="V988" s="81"/>
      <c r="W988" s="78" t="s">
        <v>1151</v>
      </c>
      <c r="X988" s="82"/>
      <c r="Y988" s="81" t="s">
        <v>2256</v>
      </c>
      <c r="Z988" s="81" t="s">
        <v>2256</v>
      </c>
      <c r="AA988" s="83">
        <v>1500</v>
      </c>
      <c r="AB988" s="85"/>
      <c r="AD988" s="78" t="s">
        <v>1151</v>
      </c>
      <c r="AE988" s="82"/>
      <c r="AF988" s="81" t="s">
        <v>2256</v>
      </c>
      <c r="AG988" s="81" t="s">
        <v>2256</v>
      </c>
      <c r="AH988" s="83">
        <v>1500</v>
      </c>
      <c r="AI988" s="85"/>
    </row>
    <row r="989" spans="1:35" s="79" customFormat="1" ht="11.25" customHeight="1" x14ac:dyDescent="0.2">
      <c r="A989" s="77" t="s">
        <v>1769</v>
      </c>
      <c r="B989" s="80">
        <v>862</v>
      </c>
      <c r="C989" s="81" t="s">
        <v>1768</v>
      </c>
      <c r="D989" s="73">
        <v>1000</v>
      </c>
      <c r="E989" s="79" t="s">
        <v>28</v>
      </c>
      <c r="F989" s="79" t="s">
        <v>3725</v>
      </c>
      <c r="G989" s="79" t="s">
        <v>2996</v>
      </c>
      <c r="H989" s="79" t="s">
        <v>43</v>
      </c>
      <c r="I989" s="81" t="s">
        <v>3000</v>
      </c>
      <c r="J989" s="81">
        <v>25</v>
      </c>
      <c r="K989" s="86"/>
      <c r="M989" s="78" t="s">
        <v>1758</v>
      </c>
      <c r="N989" s="82" t="s">
        <v>640</v>
      </c>
      <c r="O989" s="81" t="s">
        <v>2661</v>
      </c>
      <c r="P989" s="81" t="s">
        <v>2945</v>
      </c>
      <c r="Q989" s="81"/>
      <c r="R989" s="83" t="s">
        <v>864</v>
      </c>
      <c r="S989" s="79" t="s">
        <v>3213</v>
      </c>
      <c r="T989" s="84" t="s">
        <v>3418</v>
      </c>
      <c r="U989" s="81"/>
      <c r="V989" s="81"/>
      <c r="W989" s="78" t="s">
        <v>1758</v>
      </c>
      <c r="X989" s="82" t="s">
        <v>640</v>
      </c>
      <c r="Y989" s="81" t="s">
        <v>2661</v>
      </c>
      <c r="Z989" s="81" t="s">
        <v>2945</v>
      </c>
      <c r="AA989" s="81" t="s">
        <v>409</v>
      </c>
      <c r="AB989" s="85"/>
      <c r="AD989" s="78" t="s">
        <v>1758</v>
      </c>
      <c r="AE989" s="82" t="s">
        <v>640</v>
      </c>
      <c r="AF989" s="81" t="s">
        <v>2661</v>
      </c>
      <c r="AG989" s="81" t="s">
        <v>2945</v>
      </c>
      <c r="AH989" s="81" t="s">
        <v>409</v>
      </c>
      <c r="AI989" s="85"/>
    </row>
    <row r="990" spans="1:35" s="79" customFormat="1" ht="11.25" customHeight="1" x14ac:dyDescent="0.2">
      <c r="A990" s="77" t="s">
        <v>1759</v>
      </c>
      <c r="B990" s="80">
        <v>860</v>
      </c>
      <c r="C990" s="81" t="s">
        <v>1758</v>
      </c>
      <c r="D990" s="73">
        <v>1000</v>
      </c>
      <c r="E990" s="79" t="s">
        <v>28</v>
      </c>
      <c r="F990" s="79" t="s">
        <v>3725</v>
      </c>
      <c r="G990" s="79" t="s">
        <v>2996</v>
      </c>
      <c r="H990" s="79" t="s">
        <v>43</v>
      </c>
      <c r="I990" s="81" t="s">
        <v>3000</v>
      </c>
      <c r="J990" s="81">
        <v>25</v>
      </c>
      <c r="K990" s="86"/>
      <c r="M990" s="78" t="s">
        <v>1758</v>
      </c>
      <c r="N990" s="82"/>
      <c r="O990" s="81" t="s">
        <v>2256</v>
      </c>
      <c r="P990" s="81" t="s">
        <v>2256</v>
      </c>
      <c r="Q990" s="81"/>
      <c r="R990" s="83">
        <v>1000</v>
      </c>
      <c r="S990" s="79" t="s">
        <v>2999</v>
      </c>
      <c r="T990" s="84">
        <v>1000000</v>
      </c>
      <c r="U990" s="81"/>
      <c r="V990" s="81"/>
      <c r="W990" s="78" t="s">
        <v>1758</v>
      </c>
      <c r="X990" s="82"/>
      <c r="Y990" s="81" t="s">
        <v>2256</v>
      </c>
      <c r="Z990" s="81" t="s">
        <v>2256</v>
      </c>
      <c r="AA990" s="83">
        <v>5000</v>
      </c>
      <c r="AB990" s="85"/>
      <c r="AD990" s="78" t="s">
        <v>1758</v>
      </c>
      <c r="AE990" s="82"/>
      <c r="AF990" s="81" t="s">
        <v>2256</v>
      </c>
      <c r="AG990" s="81" t="s">
        <v>2256</v>
      </c>
      <c r="AH990" s="83">
        <v>5000</v>
      </c>
      <c r="AI990" s="85"/>
    </row>
    <row r="991" spans="1:35" s="79" customFormat="1" ht="11.25" customHeight="1" x14ac:dyDescent="0.2">
      <c r="A991" s="77" t="s">
        <v>1763</v>
      </c>
      <c r="B991" s="80">
        <v>864</v>
      </c>
      <c r="C991" s="81" t="s">
        <v>1762</v>
      </c>
      <c r="D991" s="73">
        <v>1000</v>
      </c>
      <c r="E991" s="79" t="s">
        <v>28</v>
      </c>
      <c r="F991" s="79" t="s">
        <v>3725</v>
      </c>
      <c r="G991" s="79" t="s">
        <v>2996</v>
      </c>
      <c r="H991" s="79" t="s">
        <v>43</v>
      </c>
      <c r="I991" s="81" t="s">
        <v>3000</v>
      </c>
      <c r="J991" s="81">
        <v>25</v>
      </c>
      <c r="K991" s="86"/>
      <c r="M991" s="78" t="s">
        <v>1758</v>
      </c>
      <c r="N991" s="82"/>
      <c r="O991" s="81" t="s">
        <v>2658</v>
      </c>
      <c r="P991" s="81" t="s">
        <v>2256</v>
      </c>
      <c r="Q991" s="81"/>
      <c r="R991" s="83">
        <v>1000</v>
      </c>
      <c r="S991" s="79" t="s">
        <v>3212</v>
      </c>
      <c r="T991" s="84">
        <v>1000000</v>
      </c>
      <c r="U991" s="81"/>
      <c r="V991" s="81"/>
      <c r="W991" s="78" t="s">
        <v>1758</v>
      </c>
      <c r="X991" s="82"/>
      <c r="Y991" s="81" t="s">
        <v>2658</v>
      </c>
      <c r="Z991" s="81" t="s">
        <v>2256</v>
      </c>
      <c r="AA991" s="83">
        <v>5000</v>
      </c>
      <c r="AB991" s="85"/>
      <c r="AD991" s="78" t="s">
        <v>1758</v>
      </c>
      <c r="AE991" s="82"/>
      <c r="AF991" s="81" t="s">
        <v>2658</v>
      </c>
      <c r="AG991" s="81" t="s">
        <v>2256</v>
      </c>
      <c r="AH991" s="83">
        <v>5000</v>
      </c>
      <c r="AI991" s="85"/>
    </row>
    <row r="992" spans="1:35" s="79" customFormat="1" ht="11.25" customHeight="1" x14ac:dyDescent="0.2">
      <c r="A992" s="77" t="s">
        <v>855</v>
      </c>
      <c r="B992" s="80">
        <v>145</v>
      </c>
      <c r="C992" s="81" t="s">
        <v>854</v>
      </c>
      <c r="D992" s="73">
        <v>7450</v>
      </c>
      <c r="E992" s="79" t="s">
        <v>28</v>
      </c>
      <c r="F992" s="79" t="s">
        <v>3725</v>
      </c>
      <c r="G992" s="79" t="s">
        <v>2996</v>
      </c>
      <c r="H992" s="79" t="s">
        <v>43</v>
      </c>
      <c r="I992" s="81" t="s">
        <v>3000</v>
      </c>
      <c r="J992" s="81">
        <v>25</v>
      </c>
      <c r="K992" s="86"/>
      <c r="M992" s="78" t="s">
        <v>82</v>
      </c>
      <c r="N992" s="82" t="s">
        <v>95</v>
      </c>
      <c r="O992" s="81" t="s">
        <v>2440</v>
      </c>
      <c r="P992" s="81" t="s">
        <v>2852</v>
      </c>
      <c r="Q992" s="81"/>
      <c r="R992" s="83" t="s">
        <v>3444</v>
      </c>
      <c r="S992" s="79" t="s">
        <v>3125</v>
      </c>
      <c r="T992" s="84" t="s">
        <v>3575</v>
      </c>
      <c r="U992" s="81"/>
      <c r="V992" s="81"/>
      <c r="W992" s="78" t="s">
        <v>82</v>
      </c>
      <c r="X992" s="82" t="s">
        <v>95</v>
      </c>
      <c r="Y992" s="81" t="s">
        <v>2440</v>
      </c>
      <c r="Z992" s="81" t="s">
        <v>2852</v>
      </c>
      <c r="AA992" s="81" t="s">
        <v>857</v>
      </c>
      <c r="AB992" s="85"/>
      <c r="AD992" s="78" t="s">
        <v>82</v>
      </c>
      <c r="AE992" s="82" t="s">
        <v>95</v>
      </c>
      <c r="AF992" s="81" t="s">
        <v>2440</v>
      </c>
      <c r="AG992" s="81" t="s">
        <v>2852</v>
      </c>
      <c r="AH992" s="81" t="s">
        <v>856</v>
      </c>
      <c r="AI992" s="85"/>
    </row>
    <row r="993" spans="1:35" s="79" customFormat="1" ht="11.25" customHeight="1" x14ac:dyDescent="0.2">
      <c r="A993" s="77" t="s">
        <v>610</v>
      </c>
      <c r="B993" s="80">
        <v>476</v>
      </c>
      <c r="C993" s="81" t="s">
        <v>609</v>
      </c>
      <c r="D993" s="73">
        <v>1000</v>
      </c>
      <c r="E993" s="79" t="s">
        <v>20</v>
      </c>
      <c r="F993" s="79" t="s">
        <v>3725</v>
      </c>
      <c r="G993" s="79" t="s">
        <v>2996</v>
      </c>
      <c r="H993" s="79" t="s">
        <v>43</v>
      </c>
      <c r="I993" s="81" t="s">
        <v>3000</v>
      </c>
      <c r="J993" s="81">
        <v>25</v>
      </c>
      <c r="K993" s="86"/>
      <c r="M993" s="78" t="s">
        <v>82</v>
      </c>
      <c r="N993" s="82" t="s">
        <v>135</v>
      </c>
      <c r="O993" s="81" t="s">
        <v>2374</v>
      </c>
      <c r="P993" s="81" t="s">
        <v>2812</v>
      </c>
      <c r="Q993" s="81"/>
      <c r="R993" s="83" t="s">
        <v>3426</v>
      </c>
      <c r="S993" s="79" t="s">
        <v>3075</v>
      </c>
      <c r="T993" s="84" t="s">
        <v>3599</v>
      </c>
      <c r="U993" s="81"/>
      <c r="V993" s="81"/>
      <c r="W993" s="78" t="s">
        <v>82</v>
      </c>
      <c r="X993" s="82" t="s">
        <v>135</v>
      </c>
      <c r="Y993" s="81" t="s">
        <v>2374</v>
      </c>
      <c r="Z993" s="81" t="s">
        <v>2812</v>
      </c>
      <c r="AA993" s="81" t="s">
        <v>552</v>
      </c>
      <c r="AB993" s="85"/>
      <c r="AD993" s="78" t="s">
        <v>82</v>
      </c>
      <c r="AE993" s="82" t="s">
        <v>135</v>
      </c>
      <c r="AF993" s="81" t="s">
        <v>2374</v>
      </c>
      <c r="AG993" s="81" t="s">
        <v>2812</v>
      </c>
      <c r="AH993" s="81" t="s">
        <v>551</v>
      </c>
      <c r="AI993" s="85"/>
    </row>
    <row r="994" spans="1:35" s="79" customFormat="1" ht="11.25" customHeight="1" x14ac:dyDescent="0.2">
      <c r="A994" s="77" t="s">
        <v>1289</v>
      </c>
      <c r="B994" s="80">
        <v>235</v>
      </c>
      <c r="C994" s="81" t="s">
        <v>1288</v>
      </c>
      <c r="D994" s="73">
        <v>100</v>
      </c>
      <c r="E994" s="79" t="s">
        <v>20</v>
      </c>
      <c r="F994" s="79" t="s">
        <v>3725</v>
      </c>
      <c r="G994" s="79" t="s">
        <v>2996</v>
      </c>
      <c r="H994" s="79" t="s">
        <v>43</v>
      </c>
      <c r="I994" s="81" t="s">
        <v>3000</v>
      </c>
      <c r="J994" s="81">
        <v>25</v>
      </c>
      <c r="K994" s="86"/>
      <c r="M994" s="78" t="s">
        <v>82</v>
      </c>
      <c r="N994" s="82" t="s">
        <v>135</v>
      </c>
      <c r="O994" s="81" t="s">
        <v>2545</v>
      </c>
      <c r="P994" s="81" t="s">
        <v>2897</v>
      </c>
      <c r="Q994" s="81"/>
      <c r="R994" s="83" t="s">
        <v>3426</v>
      </c>
      <c r="S994" s="79" t="s">
        <v>3075</v>
      </c>
      <c r="T994" s="84" t="s">
        <v>3599</v>
      </c>
      <c r="U994" s="81"/>
      <c r="V994" s="81"/>
      <c r="W994" s="78" t="s">
        <v>82</v>
      </c>
      <c r="X994" s="82" t="s">
        <v>135</v>
      </c>
      <c r="Y994" s="81" t="s">
        <v>2545</v>
      </c>
      <c r="Z994" s="81" t="s">
        <v>2897</v>
      </c>
      <c r="AA994" s="81" t="s">
        <v>552</v>
      </c>
      <c r="AB994" s="85"/>
      <c r="AD994" s="78" t="s">
        <v>82</v>
      </c>
      <c r="AE994" s="82" t="s">
        <v>135</v>
      </c>
      <c r="AF994" s="81" t="s">
        <v>2545</v>
      </c>
      <c r="AG994" s="81" t="s">
        <v>2897</v>
      </c>
      <c r="AH994" s="81" t="s">
        <v>551</v>
      </c>
      <c r="AI994" s="85"/>
    </row>
    <row r="995" spans="1:35" s="79" customFormat="1" ht="11.25" customHeight="1" x14ac:dyDescent="0.2">
      <c r="A995" s="77" t="s">
        <v>1291</v>
      </c>
      <c r="B995" s="80">
        <v>1060</v>
      </c>
      <c r="C995" s="81" t="s">
        <v>1290</v>
      </c>
      <c r="D995" s="73">
        <v>100</v>
      </c>
      <c r="E995" s="79" t="s">
        <v>20</v>
      </c>
      <c r="F995" s="79" t="s">
        <v>3725</v>
      </c>
      <c r="G995" s="79" t="s">
        <v>2996</v>
      </c>
      <c r="H995" s="79" t="s">
        <v>43</v>
      </c>
      <c r="I995" s="81" t="s">
        <v>3000</v>
      </c>
      <c r="J995" s="81">
        <v>25</v>
      </c>
      <c r="K995" s="86"/>
      <c r="M995" s="78" t="s">
        <v>82</v>
      </c>
      <c r="N995" s="82" t="s">
        <v>135</v>
      </c>
      <c r="O995" s="81" t="s">
        <v>2546</v>
      </c>
      <c r="P995" s="81" t="s">
        <v>2898</v>
      </c>
      <c r="Q995" s="81"/>
      <c r="R995" s="83" t="s">
        <v>3426</v>
      </c>
      <c r="S995" s="79" t="s">
        <v>3075</v>
      </c>
      <c r="T995" s="84" t="s">
        <v>3599</v>
      </c>
      <c r="U995" s="81"/>
      <c r="V995" s="81"/>
      <c r="W995" s="78" t="s">
        <v>82</v>
      </c>
      <c r="X995" s="82" t="s">
        <v>135</v>
      </c>
      <c r="Y995" s="81" t="s">
        <v>2546</v>
      </c>
      <c r="Z995" s="81" t="s">
        <v>2898</v>
      </c>
      <c r="AA995" s="81" t="s">
        <v>552</v>
      </c>
      <c r="AB995" s="85"/>
      <c r="AD995" s="78" t="s">
        <v>82</v>
      </c>
      <c r="AE995" s="82" t="s">
        <v>135</v>
      </c>
      <c r="AF995" s="81" t="s">
        <v>2546</v>
      </c>
      <c r="AG995" s="81" t="s">
        <v>2898</v>
      </c>
      <c r="AH995" s="81" t="s">
        <v>551</v>
      </c>
      <c r="AI995" s="85"/>
    </row>
    <row r="996" spans="1:35" s="79" customFormat="1" ht="11.25" customHeight="1" x14ac:dyDescent="0.2">
      <c r="A996" s="77" t="s">
        <v>1821</v>
      </c>
      <c r="B996" s="80">
        <v>537</v>
      </c>
      <c r="C996" s="81" t="s">
        <v>1820</v>
      </c>
      <c r="D996" s="73">
        <v>1000</v>
      </c>
      <c r="E996" s="79" t="s">
        <v>20</v>
      </c>
      <c r="F996" s="79" t="s">
        <v>3725</v>
      </c>
      <c r="G996" s="79" t="s">
        <v>2996</v>
      </c>
      <c r="H996" s="79" t="s">
        <v>43</v>
      </c>
      <c r="I996" s="81" t="s">
        <v>3000</v>
      </c>
      <c r="J996" s="81">
        <v>25</v>
      </c>
      <c r="K996" s="86"/>
      <c r="M996" s="78" t="s">
        <v>82</v>
      </c>
      <c r="N996" s="82" t="s">
        <v>135</v>
      </c>
      <c r="O996" s="81" t="s">
        <v>2669</v>
      </c>
      <c r="P996" s="81" t="s">
        <v>2947</v>
      </c>
      <c r="Q996" s="81"/>
      <c r="R996" s="83" t="s">
        <v>3426</v>
      </c>
      <c r="S996" s="79" t="s">
        <v>3075</v>
      </c>
      <c r="T996" s="84" t="s">
        <v>3599</v>
      </c>
      <c r="U996" s="81"/>
      <c r="V996" s="81"/>
      <c r="W996" s="78" t="s">
        <v>82</v>
      </c>
      <c r="X996" s="82" t="s">
        <v>135</v>
      </c>
      <c r="Y996" s="81" t="s">
        <v>2669</v>
      </c>
      <c r="Z996" s="81" t="s">
        <v>2947</v>
      </c>
      <c r="AA996" s="81" t="s">
        <v>552</v>
      </c>
      <c r="AB996" s="85"/>
      <c r="AD996" s="78" t="s">
        <v>82</v>
      </c>
      <c r="AE996" s="82" t="s">
        <v>135</v>
      </c>
      <c r="AF996" s="81" t="s">
        <v>2669</v>
      </c>
      <c r="AG996" s="81" t="s">
        <v>2947</v>
      </c>
      <c r="AH996" s="81" t="s">
        <v>551</v>
      </c>
      <c r="AI996" s="85"/>
    </row>
    <row r="997" spans="1:35" s="79" customFormat="1" ht="11.25" customHeight="1" x14ac:dyDescent="0.2">
      <c r="A997" s="77" t="s">
        <v>81</v>
      </c>
      <c r="B997" s="80">
        <v>486</v>
      </c>
      <c r="C997" s="81" t="s">
        <v>80</v>
      </c>
      <c r="D997" s="73">
        <v>1000</v>
      </c>
      <c r="E997" s="79" t="s">
        <v>20</v>
      </c>
      <c r="F997" s="79" t="s">
        <v>3725</v>
      </c>
      <c r="G997" s="79" t="s">
        <v>2996</v>
      </c>
      <c r="H997" s="79" t="s">
        <v>43</v>
      </c>
      <c r="I997" s="81" t="s">
        <v>3000</v>
      </c>
      <c r="J997" s="81">
        <v>25</v>
      </c>
      <c r="K997" s="86"/>
      <c r="M997" s="78" t="s">
        <v>82</v>
      </c>
      <c r="N997" s="82"/>
      <c r="O997" s="81" t="s">
        <v>2261</v>
      </c>
      <c r="P997" s="81" t="s">
        <v>2256</v>
      </c>
      <c r="Q997" s="81"/>
      <c r="R997" s="83">
        <v>150</v>
      </c>
      <c r="S997" s="79" t="s">
        <v>3012</v>
      </c>
      <c r="T997" s="84">
        <v>150000</v>
      </c>
      <c r="U997" s="81"/>
      <c r="V997" s="81"/>
      <c r="W997" s="78" t="s">
        <v>82</v>
      </c>
      <c r="X997" s="82"/>
      <c r="Y997" s="81" t="s">
        <v>2261</v>
      </c>
      <c r="Z997" s="81" t="s">
        <v>2256</v>
      </c>
      <c r="AA997" s="80">
        <v>500</v>
      </c>
      <c r="AB997" s="85"/>
      <c r="AD997" s="78" t="s">
        <v>82</v>
      </c>
      <c r="AE997" s="82"/>
      <c r="AF997" s="81" t="s">
        <v>2261</v>
      </c>
      <c r="AG997" s="81" t="s">
        <v>2256</v>
      </c>
      <c r="AH997" s="83">
        <v>1000</v>
      </c>
      <c r="AI997" s="85"/>
    </row>
    <row r="998" spans="1:35" s="79" customFormat="1" ht="11.25" customHeight="1" x14ac:dyDescent="0.2">
      <c r="A998" s="77" t="s">
        <v>1822</v>
      </c>
      <c r="B998" s="80">
        <v>536</v>
      </c>
      <c r="C998" s="81" t="s">
        <v>82</v>
      </c>
      <c r="D998" s="73">
        <v>1000</v>
      </c>
      <c r="E998" s="79" t="s">
        <v>20</v>
      </c>
      <c r="F998" s="79" t="s">
        <v>3725</v>
      </c>
      <c r="G998" s="79" t="s">
        <v>2996</v>
      </c>
      <c r="H998" s="79" t="s">
        <v>43</v>
      </c>
      <c r="I998" s="81" t="s">
        <v>3000</v>
      </c>
      <c r="J998" s="81">
        <v>25</v>
      </c>
      <c r="K998" s="86"/>
      <c r="M998" s="78" t="s">
        <v>82</v>
      </c>
      <c r="N998" s="82"/>
      <c r="O998" s="81" t="s">
        <v>2256</v>
      </c>
      <c r="P998" s="81" t="s">
        <v>2256</v>
      </c>
      <c r="Q998" s="81"/>
      <c r="R998" s="83">
        <v>150</v>
      </c>
      <c r="S998" s="79" t="s">
        <v>2999</v>
      </c>
      <c r="T998" s="84">
        <v>150000</v>
      </c>
      <c r="U998" s="81"/>
      <c r="V998" s="81"/>
      <c r="W998" s="78" t="s">
        <v>82</v>
      </c>
      <c r="X998" s="82"/>
      <c r="Y998" s="81" t="s">
        <v>2256</v>
      </c>
      <c r="Z998" s="81" t="s">
        <v>2256</v>
      </c>
      <c r="AA998" s="80">
        <v>500</v>
      </c>
      <c r="AB998" s="85"/>
      <c r="AD998" s="78" t="s">
        <v>82</v>
      </c>
      <c r="AE998" s="82"/>
      <c r="AF998" s="81" t="s">
        <v>2256</v>
      </c>
      <c r="AG998" s="81" t="s">
        <v>2256</v>
      </c>
      <c r="AH998" s="83">
        <v>1000</v>
      </c>
      <c r="AI998" s="85"/>
    </row>
    <row r="999" spans="1:35" s="79" customFormat="1" ht="11.25" customHeight="1" x14ac:dyDescent="0.2">
      <c r="A999" s="77" t="s">
        <v>1338</v>
      </c>
      <c r="B999" s="80">
        <v>1059</v>
      </c>
      <c r="C999" s="81" t="s">
        <v>1337</v>
      </c>
      <c r="D999" s="73">
        <v>100</v>
      </c>
      <c r="E999" s="79" t="s">
        <v>20</v>
      </c>
      <c r="F999" s="79" t="s">
        <v>3725</v>
      </c>
      <c r="G999" s="79" t="s">
        <v>2996</v>
      </c>
      <c r="H999" s="79" t="s">
        <v>43</v>
      </c>
      <c r="I999" s="81" t="s">
        <v>3000</v>
      </c>
      <c r="J999" s="81">
        <v>25</v>
      </c>
      <c r="K999" s="86"/>
      <c r="M999" s="78" t="s">
        <v>62</v>
      </c>
      <c r="N999" s="82" t="s">
        <v>135</v>
      </c>
      <c r="O999" s="81" t="s">
        <v>2562</v>
      </c>
      <c r="P999" s="81" t="s">
        <v>2906</v>
      </c>
      <c r="Q999" s="81"/>
      <c r="R999" s="83" t="s">
        <v>3426</v>
      </c>
      <c r="S999" s="79" t="s">
        <v>3073</v>
      </c>
      <c r="T999" s="84" t="s">
        <v>3599</v>
      </c>
      <c r="U999" s="81"/>
      <c r="V999" s="81"/>
      <c r="W999" s="78" t="s">
        <v>62</v>
      </c>
      <c r="X999" s="82" t="s">
        <v>135</v>
      </c>
      <c r="Y999" s="81" t="s">
        <v>2562</v>
      </c>
      <c r="Z999" s="81" t="s">
        <v>2906</v>
      </c>
      <c r="AA999" s="81" t="s">
        <v>552</v>
      </c>
      <c r="AB999" s="85"/>
      <c r="AD999" s="78" t="s">
        <v>62</v>
      </c>
      <c r="AE999" s="82" t="s">
        <v>135</v>
      </c>
      <c r="AF999" s="81" t="s">
        <v>2562</v>
      </c>
      <c r="AG999" s="81" t="s">
        <v>2906</v>
      </c>
      <c r="AH999" s="81" t="s">
        <v>551</v>
      </c>
      <c r="AI999" s="85"/>
    </row>
    <row r="1000" spans="1:35" s="79" customFormat="1" ht="11.25" customHeight="1" x14ac:dyDescent="0.2">
      <c r="A1000" s="77" t="s">
        <v>550</v>
      </c>
      <c r="B1000" s="80">
        <v>477</v>
      </c>
      <c r="C1000" s="81" t="s">
        <v>549</v>
      </c>
      <c r="D1000" s="73">
        <v>1000</v>
      </c>
      <c r="E1000" s="79" t="s">
        <v>20</v>
      </c>
      <c r="F1000" s="79" t="s">
        <v>3725</v>
      </c>
      <c r="G1000" s="79" t="s">
        <v>2996</v>
      </c>
      <c r="H1000" s="79" t="s">
        <v>43</v>
      </c>
      <c r="I1000" s="81" t="s">
        <v>3000</v>
      </c>
      <c r="J1000" s="81">
        <v>25</v>
      </c>
      <c r="K1000" s="86"/>
      <c r="M1000" s="78" t="s">
        <v>62</v>
      </c>
      <c r="N1000" s="82" t="s">
        <v>135</v>
      </c>
      <c r="O1000" s="81" t="s">
        <v>2362</v>
      </c>
      <c r="P1000" s="81" t="s">
        <v>2808</v>
      </c>
      <c r="Q1000" s="81"/>
      <c r="R1000" s="83" t="s">
        <v>3426</v>
      </c>
      <c r="S1000" s="79" t="s">
        <v>3073</v>
      </c>
      <c r="T1000" s="84" t="s">
        <v>3599</v>
      </c>
      <c r="U1000" s="81"/>
      <c r="V1000" s="81"/>
      <c r="W1000" s="78" t="s">
        <v>62</v>
      </c>
      <c r="X1000" s="82" t="s">
        <v>135</v>
      </c>
      <c r="Y1000" s="81" t="s">
        <v>2362</v>
      </c>
      <c r="Z1000" s="81" t="s">
        <v>2808</v>
      </c>
      <c r="AA1000" s="81" t="s">
        <v>552</v>
      </c>
      <c r="AB1000" s="85"/>
      <c r="AD1000" s="78" t="s">
        <v>62</v>
      </c>
      <c r="AE1000" s="82" t="s">
        <v>135</v>
      </c>
      <c r="AF1000" s="81" t="s">
        <v>2362</v>
      </c>
      <c r="AG1000" s="81" t="s">
        <v>2808</v>
      </c>
      <c r="AH1000" s="81" t="s">
        <v>551</v>
      </c>
      <c r="AI1000" s="85"/>
    </row>
    <row r="1001" spans="1:35" s="79" customFormat="1" ht="11.25" customHeight="1" x14ac:dyDescent="0.2">
      <c r="A1001" s="77" t="s">
        <v>1293</v>
      </c>
      <c r="B1001" s="80">
        <v>234</v>
      </c>
      <c r="C1001" s="81" t="s">
        <v>1292</v>
      </c>
      <c r="D1001" s="73">
        <v>100</v>
      </c>
      <c r="E1001" s="79" t="s">
        <v>20</v>
      </c>
      <c r="F1001" s="79" t="s">
        <v>3725</v>
      </c>
      <c r="G1001" s="79" t="s">
        <v>2996</v>
      </c>
      <c r="H1001" s="79" t="s">
        <v>43</v>
      </c>
      <c r="I1001" s="81" t="s">
        <v>3000</v>
      </c>
      <c r="J1001" s="81">
        <v>25</v>
      </c>
      <c r="K1001" s="86"/>
      <c r="M1001" s="78" t="s">
        <v>62</v>
      </c>
      <c r="N1001" s="82" t="s">
        <v>135</v>
      </c>
      <c r="O1001" s="81" t="s">
        <v>2547</v>
      </c>
      <c r="P1001" s="81" t="s">
        <v>2899</v>
      </c>
      <c r="Q1001" s="81"/>
      <c r="R1001" s="83" t="s">
        <v>3426</v>
      </c>
      <c r="S1001" s="79" t="s">
        <v>3073</v>
      </c>
      <c r="T1001" s="84" t="s">
        <v>3599</v>
      </c>
      <c r="U1001" s="81"/>
      <c r="V1001" s="81"/>
      <c r="W1001" s="78" t="s">
        <v>62</v>
      </c>
      <c r="X1001" s="82" t="s">
        <v>135</v>
      </c>
      <c r="Y1001" s="81" t="s">
        <v>2547</v>
      </c>
      <c r="Z1001" s="81" t="s">
        <v>2899</v>
      </c>
      <c r="AA1001" s="81" t="s">
        <v>552</v>
      </c>
      <c r="AB1001" s="85"/>
      <c r="AD1001" s="78" t="s">
        <v>62</v>
      </c>
      <c r="AE1001" s="82" t="s">
        <v>135</v>
      </c>
      <c r="AF1001" s="81" t="s">
        <v>2547</v>
      </c>
      <c r="AG1001" s="81" t="s">
        <v>2899</v>
      </c>
      <c r="AH1001" s="81" t="s">
        <v>551</v>
      </c>
      <c r="AI1001" s="85"/>
    </row>
    <row r="1002" spans="1:35" s="79" customFormat="1" ht="11.25" customHeight="1" x14ac:dyDescent="0.2">
      <c r="A1002" s="77" t="s">
        <v>1816</v>
      </c>
      <c r="B1002" s="80">
        <v>539</v>
      </c>
      <c r="C1002" s="81" t="s">
        <v>1815</v>
      </c>
      <c r="D1002" s="73">
        <v>1000</v>
      </c>
      <c r="E1002" s="79" t="s">
        <v>20</v>
      </c>
      <c r="F1002" s="79" t="s">
        <v>3725</v>
      </c>
      <c r="G1002" s="79" t="s">
        <v>2996</v>
      </c>
      <c r="H1002" s="79" t="s">
        <v>43</v>
      </c>
      <c r="I1002" s="81"/>
      <c r="J1002" s="81">
        <v>25</v>
      </c>
      <c r="K1002" s="86"/>
      <c r="M1002" s="78" t="s">
        <v>62</v>
      </c>
      <c r="N1002" s="82" t="s">
        <v>135</v>
      </c>
      <c r="O1002" s="81" t="s">
        <v>2668</v>
      </c>
      <c r="P1002" s="81" t="s">
        <v>2946</v>
      </c>
      <c r="Q1002" s="81"/>
      <c r="R1002" s="83" t="s">
        <v>3426</v>
      </c>
      <c r="S1002" s="79" t="s">
        <v>3073</v>
      </c>
      <c r="T1002" s="84" t="s">
        <v>3599</v>
      </c>
      <c r="U1002" s="81"/>
      <c r="V1002" s="81"/>
      <c r="W1002" s="78" t="s">
        <v>62</v>
      </c>
      <c r="X1002" s="82" t="s">
        <v>135</v>
      </c>
      <c r="Y1002" s="81" t="s">
        <v>2668</v>
      </c>
      <c r="Z1002" s="81" t="s">
        <v>2946</v>
      </c>
      <c r="AA1002" s="81" t="s">
        <v>552</v>
      </c>
      <c r="AB1002" s="85"/>
      <c r="AD1002" s="78" t="s">
        <v>62</v>
      </c>
      <c r="AE1002" s="82" t="s">
        <v>135</v>
      </c>
      <c r="AF1002" s="81" t="s">
        <v>2668</v>
      </c>
      <c r="AG1002" s="81" t="s">
        <v>2946</v>
      </c>
      <c r="AH1002" s="81" t="s">
        <v>551</v>
      </c>
      <c r="AI1002" s="85"/>
    </row>
    <row r="1003" spans="1:35" s="79" customFormat="1" ht="11.25" customHeight="1" x14ac:dyDescent="0.2">
      <c r="A1003" s="77" t="s">
        <v>61</v>
      </c>
      <c r="B1003" s="80">
        <v>487</v>
      </c>
      <c r="C1003" s="81" t="s">
        <v>60</v>
      </c>
      <c r="D1003" s="73">
        <v>1000</v>
      </c>
      <c r="E1003" s="79" t="s">
        <v>20</v>
      </c>
      <c r="F1003" s="79" t="s">
        <v>3725</v>
      </c>
      <c r="G1003" s="79" t="s">
        <v>2996</v>
      </c>
      <c r="H1003" s="79" t="s">
        <v>43</v>
      </c>
      <c r="I1003" s="81" t="s">
        <v>3000</v>
      </c>
      <c r="J1003" s="81">
        <v>25</v>
      </c>
      <c r="K1003" s="86"/>
      <c r="M1003" s="78" t="s">
        <v>62</v>
      </c>
      <c r="N1003" s="82"/>
      <c r="O1003" s="81" t="s">
        <v>2258</v>
      </c>
      <c r="P1003" s="81" t="s">
        <v>2256</v>
      </c>
      <c r="Q1003" s="81"/>
      <c r="R1003" s="83">
        <v>150</v>
      </c>
      <c r="S1003" s="79" t="s">
        <v>3009</v>
      </c>
      <c r="T1003" s="84">
        <v>150000</v>
      </c>
      <c r="U1003" s="81"/>
      <c r="V1003" s="81"/>
      <c r="W1003" s="78" t="s">
        <v>62</v>
      </c>
      <c r="X1003" s="82"/>
      <c r="Y1003" s="81" t="s">
        <v>2258</v>
      </c>
      <c r="Z1003" s="81" t="s">
        <v>2256</v>
      </c>
      <c r="AA1003" s="80">
        <v>500</v>
      </c>
      <c r="AB1003" s="85"/>
      <c r="AD1003" s="78" t="s">
        <v>62</v>
      </c>
      <c r="AE1003" s="82"/>
      <c r="AF1003" s="81" t="s">
        <v>2258</v>
      </c>
      <c r="AG1003" s="81" t="s">
        <v>2256</v>
      </c>
      <c r="AH1003" s="83">
        <v>1000</v>
      </c>
      <c r="AI1003" s="85"/>
    </row>
    <row r="1004" spans="1:35" s="79" customFormat="1" ht="11.25" customHeight="1" x14ac:dyDescent="0.2">
      <c r="A1004" s="77" t="s">
        <v>1824</v>
      </c>
      <c r="B1004" s="80">
        <v>538</v>
      </c>
      <c r="C1004" s="81" t="s">
        <v>62</v>
      </c>
      <c r="D1004" s="73">
        <v>1000</v>
      </c>
      <c r="E1004" s="79" t="s">
        <v>20</v>
      </c>
      <c r="F1004" s="79" t="s">
        <v>3725</v>
      </c>
      <c r="G1004" s="79" t="s">
        <v>2996</v>
      </c>
      <c r="H1004" s="79" t="s">
        <v>43</v>
      </c>
      <c r="I1004" s="81" t="s">
        <v>3000</v>
      </c>
      <c r="J1004" s="81">
        <v>25</v>
      </c>
      <c r="K1004" s="86"/>
      <c r="M1004" s="78" t="s">
        <v>62</v>
      </c>
      <c r="N1004" s="82"/>
      <c r="O1004" s="81" t="s">
        <v>2256</v>
      </c>
      <c r="P1004" s="81" t="s">
        <v>2256</v>
      </c>
      <c r="Q1004" s="81"/>
      <c r="R1004" s="83">
        <v>150</v>
      </c>
      <c r="S1004" s="79" t="s">
        <v>2999</v>
      </c>
      <c r="T1004" s="84">
        <v>150000</v>
      </c>
      <c r="U1004" s="81"/>
      <c r="V1004" s="81"/>
      <c r="W1004" s="78" t="s">
        <v>62</v>
      </c>
      <c r="X1004" s="82"/>
      <c r="Y1004" s="81" t="s">
        <v>2256</v>
      </c>
      <c r="Z1004" s="81" t="s">
        <v>2256</v>
      </c>
      <c r="AA1004" s="80">
        <v>500</v>
      </c>
      <c r="AB1004" s="85"/>
      <c r="AD1004" s="78" t="s">
        <v>62</v>
      </c>
      <c r="AE1004" s="82"/>
      <c r="AF1004" s="81" t="s">
        <v>2256</v>
      </c>
      <c r="AG1004" s="81" t="s">
        <v>2256</v>
      </c>
      <c r="AH1004" s="83">
        <v>1000</v>
      </c>
      <c r="AI1004" s="85"/>
    </row>
    <row r="1005" spans="1:35" s="79" customFormat="1" ht="11.25" customHeight="1" x14ac:dyDescent="0.2">
      <c r="A1005" s="77" t="s">
        <v>1727</v>
      </c>
      <c r="B1005" s="80">
        <v>213</v>
      </c>
      <c r="C1005" s="81" t="s">
        <v>1726</v>
      </c>
      <c r="D1005" s="73">
        <v>1000</v>
      </c>
      <c r="E1005" s="79" t="s">
        <v>28</v>
      </c>
      <c r="F1005" s="79" t="s">
        <v>3725</v>
      </c>
      <c r="G1005" s="79" t="s">
        <v>2996</v>
      </c>
      <c r="H1005" s="79" t="s">
        <v>43</v>
      </c>
      <c r="I1005" s="81" t="s">
        <v>3000</v>
      </c>
      <c r="J1005" s="81">
        <v>25</v>
      </c>
      <c r="K1005" s="86"/>
      <c r="M1005" s="78" t="s">
        <v>158</v>
      </c>
      <c r="N1005" s="82" t="s">
        <v>95</v>
      </c>
      <c r="O1005" s="81" t="s">
        <v>3731</v>
      </c>
      <c r="P1005" s="81" t="s">
        <v>2939</v>
      </c>
      <c r="Q1005" s="81"/>
      <c r="R1005" s="83" t="s">
        <v>197</v>
      </c>
      <c r="S1005" s="79" t="s">
        <v>3206</v>
      </c>
      <c r="T1005" s="84" t="s">
        <v>3578</v>
      </c>
      <c r="U1005" s="81"/>
      <c r="V1005" s="81"/>
      <c r="W1005" s="78" t="s">
        <v>158</v>
      </c>
      <c r="X1005" s="82" t="s">
        <v>95</v>
      </c>
      <c r="Y1005" s="81" t="s">
        <v>3731</v>
      </c>
      <c r="Z1005" s="81" t="s">
        <v>2939</v>
      </c>
      <c r="AA1005" s="81" t="s">
        <v>436</v>
      </c>
      <c r="AB1005" s="85"/>
      <c r="AD1005" s="78" t="s">
        <v>158</v>
      </c>
      <c r="AE1005" s="82" t="s">
        <v>95</v>
      </c>
      <c r="AF1005" s="81" t="s">
        <v>3731</v>
      </c>
      <c r="AG1005" s="81" t="s">
        <v>2939</v>
      </c>
      <c r="AH1005" s="81" t="s">
        <v>436</v>
      </c>
      <c r="AI1005" s="85"/>
    </row>
    <row r="1006" spans="1:35" s="79" customFormat="1" ht="11.25" customHeight="1" x14ac:dyDescent="0.2">
      <c r="A1006" s="77" t="s">
        <v>1765</v>
      </c>
      <c r="B1006" s="80">
        <v>1093</v>
      </c>
      <c r="C1006" s="81" t="s">
        <v>1764</v>
      </c>
      <c r="D1006" s="73">
        <v>1000</v>
      </c>
      <c r="E1006" s="79" t="s">
        <v>28</v>
      </c>
      <c r="F1006" s="79" t="s">
        <v>3725</v>
      </c>
      <c r="G1006" s="79" t="s">
        <v>2996</v>
      </c>
      <c r="H1006" s="79" t="s">
        <v>43</v>
      </c>
      <c r="I1006" s="81" t="s">
        <v>3000</v>
      </c>
      <c r="J1006" s="81">
        <v>25</v>
      </c>
      <c r="K1006" s="86"/>
      <c r="M1006" s="78" t="s">
        <v>158</v>
      </c>
      <c r="N1006" s="82" t="s">
        <v>95</v>
      </c>
      <c r="O1006" s="81" t="s">
        <v>2659</v>
      </c>
      <c r="P1006" s="81" t="s">
        <v>2943</v>
      </c>
      <c r="Q1006" s="81"/>
      <c r="R1006" s="83" t="s">
        <v>197</v>
      </c>
      <c r="S1006" s="79" t="s">
        <v>3206</v>
      </c>
      <c r="T1006" s="84" t="s">
        <v>3578</v>
      </c>
      <c r="U1006" s="81"/>
      <c r="V1006" s="81"/>
      <c r="W1006" s="78" t="s">
        <v>158</v>
      </c>
      <c r="X1006" s="82" t="s">
        <v>95</v>
      </c>
      <c r="Y1006" s="81" t="s">
        <v>2659</v>
      </c>
      <c r="Z1006" s="81" t="s">
        <v>2943</v>
      </c>
      <c r="AA1006" s="81" t="s">
        <v>436</v>
      </c>
      <c r="AB1006" s="85"/>
      <c r="AD1006" s="78" t="s">
        <v>158</v>
      </c>
      <c r="AE1006" s="82" t="s">
        <v>95</v>
      </c>
      <c r="AF1006" s="81" t="s">
        <v>2659</v>
      </c>
      <c r="AG1006" s="81" t="s">
        <v>2943</v>
      </c>
      <c r="AH1006" s="81" t="s">
        <v>436</v>
      </c>
      <c r="AI1006" s="85"/>
    </row>
    <row r="1007" spans="1:35" s="79" customFormat="1" ht="11.25" customHeight="1" x14ac:dyDescent="0.2">
      <c r="A1007" s="77" t="s">
        <v>1757</v>
      </c>
      <c r="B1007" s="80">
        <v>1094</v>
      </c>
      <c r="C1007" s="81" t="s">
        <v>1756</v>
      </c>
      <c r="D1007" s="73">
        <v>1000</v>
      </c>
      <c r="E1007" s="79" t="s">
        <v>28</v>
      </c>
      <c r="F1007" s="79" t="s">
        <v>3725</v>
      </c>
      <c r="G1007" s="79" t="s">
        <v>2996</v>
      </c>
      <c r="H1007" s="79" t="s">
        <v>43</v>
      </c>
      <c r="I1007" s="81" t="s">
        <v>3000</v>
      </c>
      <c r="J1007" s="81">
        <v>25</v>
      </c>
      <c r="K1007" s="86"/>
      <c r="M1007" s="78" t="s">
        <v>158</v>
      </c>
      <c r="N1007" s="82" t="s">
        <v>106</v>
      </c>
      <c r="O1007" s="81" t="s">
        <v>2656</v>
      </c>
      <c r="P1007" s="81" t="s">
        <v>2941</v>
      </c>
      <c r="Q1007" s="81"/>
      <c r="R1007" s="83" t="s">
        <v>206</v>
      </c>
      <c r="S1007" s="79" t="s">
        <v>3210</v>
      </c>
      <c r="T1007" s="84" t="s">
        <v>3593</v>
      </c>
      <c r="U1007" s="81"/>
      <c r="V1007" s="81"/>
      <c r="W1007" s="78" t="s">
        <v>158</v>
      </c>
      <c r="X1007" s="82" t="s">
        <v>106</v>
      </c>
      <c r="Y1007" s="81" t="s">
        <v>2656</v>
      </c>
      <c r="Z1007" s="81" t="s">
        <v>2941</v>
      </c>
      <c r="AA1007" s="81" t="s">
        <v>414</v>
      </c>
      <c r="AB1007" s="85"/>
      <c r="AD1007" s="78" t="s">
        <v>158</v>
      </c>
      <c r="AE1007" s="82" t="s">
        <v>106</v>
      </c>
      <c r="AF1007" s="81" t="s">
        <v>2656</v>
      </c>
      <c r="AG1007" s="81" t="s">
        <v>2941</v>
      </c>
      <c r="AH1007" s="81" t="s">
        <v>414</v>
      </c>
      <c r="AI1007" s="85"/>
    </row>
    <row r="1008" spans="1:35" s="79" customFormat="1" ht="11.25" customHeight="1" x14ac:dyDescent="0.2">
      <c r="A1008" s="77" t="s">
        <v>1767</v>
      </c>
      <c r="B1008" s="80">
        <v>1091</v>
      </c>
      <c r="C1008" s="81" t="s">
        <v>1766</v>
      </c>
      <c r="D1008" s="73">
        <v>1000</v>
      </c>
      <c r="E1008" s="79" t="s">
        <v>28</v>
      </c>
      <c r="F1008" s="79" t="s">
        <v>3725</v>
      </c>
      <c r="G1008" s="79" t="s">
        <v>2996</v>
      </c>
      <c r="H1008" s="79" t="s">
        <v>43</v>
      </c>
      <c r="I1008" s="81" t="s">
        <v>3000</v>
      </c>
      <c r="J1008" s="81">
        <v>25</v>
      </c>
      <c r="K1008" s="86"/>
      <c r="M1008" s="78" t="s">
        <v>158</v>
      </c>
      <c r="N1008" s="82" t="s">
        <v>106</v>
      </c>
      <c r="O1008" s="81" t="s">
        <v>2660</v>
      </c>
      <c r="P1008" s="81" t="s">
        <v>2944</v>
      </c>
      <c r="Q1008" s="81"/>
      <c r="R1008" s="83" t="s">
        <v>206</v>
      </c>
      <c r="S1008" s="79" t="s">
        <v>3210</v>
      </c>
      <c r="T1008" s="84" t="s">
        <v>3593</v>
      </c>
      <c r="U1008" s="81"/>
      <c r="V1008" s="81"/>
      <c r="W1008" s="78" t="s">
        <v>158</v>
      </c>
      <c r="X1008" s="82" t="s">
        <v>106</v>
      </c>
      <c r="Y1008" s="81" t="s">
        <v>2660</v>
      </c>
      <c r="Z1008" s="81" t="s">
        <v>2944</v>
      </c>
      <c r="AA1008" s="81" t="s">
        <v>414</v>
      </c>
      <c r="AB1008" s="85"/>
      <c r="AD1008" s="78" t="s">
        <v>158</v>
      </c>
      <c r="AE1008" s="82" t="s">
        <v>106</v>
      </c>
      <c r="AF1008" s="81" t="s">
        <v>2660</v>
      </c>
      <c r="AG1008" s="81" t="s">
        <v>2944</v>
      </c>
      <c r="AH1008" s="81" t="s">
        <v>414</v>
      </c>
      <c r="AI1008" s="85"/>
    </row>
    <row r="1009" spans="1:35" s="79" customFormat="1" ht="11.25" customHeight="1" x14ac:dyDescent="0.2">
      <c r="A1009" s="77" t="s">
        <v>1324</v>
      </c>
      <c r="B1009" s="80">
        <v>1192</v>
      </c>
      <c r="C1009" s="81" t="s">
        <v>1323</v>
      </c>
      <c r="D1009" s="73">
        <v>1000</v>
      </c>
      <c r="E1009" s="79" t="s">
        <v>20</v>
      </c>
      <c r="F1009" s="79" t="s">
        <v>3725</v>
      </c>
      <c r="G1009" s="79" t="s">
        <v>2996</v>
      </c>
      <c r="H1009" s="79" t="s">
        <v>43</v>
      </c>
      <c r="I1009" s="81" t="s">
        <v>3000</v>
      </c>
      <c r="J1009" s="81">
        <v>25</v>
      </c>
      <c r="K1009" s="86"/>
      <c r="M1009" s="78" t="s">
        <v>158</v>
      </c>
      <c r="N1009" s="82" t="s">
        <v>163</v>
      </c>
      <c r="O1009" s="81" t="s">
        <v>2556</v>
      </c>
      <c r="P1009" s="81" t="s">
        <v>2904</v>
      </c>
      <c r="Q1009" s="81"/>
      <c r="R1009" s="83" t="s">
        <v>116</v>
      </c>
      <c r="S1009" s="79" t="s">
        <v>3169</v>
      </c>
      <c r="T1009" s="84" t="s">
        <v>3584</v>
      </c>
      <c r="U1009" s="81"/>
      <c r="V1009" s="81"/>
      <c r="W1009" s="78" t="s">
        <v>158</v>
      </c>
      <c r="X1009" s="82" t="s">
        <v>163</v>
      </c>
      <c r="Y1009" s="81" t="s">
        <v>2556</v>
      </c>
      <c r="Z1009" s="81" t="s">
        <v>2904</v>
      </c>
      <c r="AA1009" s="81" t="s">
        <v>1325</v>
      </c>
      <c r="AB1009" s="85"/>
      <c r="AD1009" s="78" t="s">
        <v>158</v>
      </c>
      <c r="AE1009" s="82" t="s">
        <v>163</v>
      </c>
      <c r="AF1009" s="81" t="s">
        <v>2556</v>
      </c>
      <c r="AG1009" s="81" t="s">
        <v>2904</v>
      </c>
      <c r="AH1009" s="81" t="s">
        <v>1325</v>
      </c>
      <c r="AI1009" s="85"/>
    </row>
    <row r="1010" spans="1:35" s="79" customFormat="1" ht="11.25" customHeight="1" x14ac:dyDescent="0.2">
      <c r="A1010" s="77" t="s">
        <v>1723</v>
      </c>
      <c r="B1010" s="80">
        <v>667</v>
      </c>
      <c r="C1010" s="81" t="s">
        <v>1722</v>
      </c>
      <c r="D1010" s="73">
        <v>1000</v>
      </c>
      <c r="E1010" s="79" t="s">
        <v>20</v>
      </c>
      <c r="F1010" s="79" t="s">
        <v>3725</v>
      </c>
      <c r="G1010" s="79" t="s">
        <v>2996</v>
      </c>
      <c r="H1010" s="79" t="s">
        <v>43</v>
      </c>
      <c r="I1010" s="81" t="s">
        <v>3000</v>
      </c>
      <c r="J1010" s="81">
        <v>25</v>
      </c>
      <c r="K1010" s="86"/>
      <c r="M1010" s="78" t="s">
        <v>158</v>
      </c>
      <c r="N1010" s="82" t="s">
        <v>163</v>
      </c>
      <c r="O1010" s="81" t="s">
        <v>2652</v>
      </c>
      <c r="P1010" s="81" t="s">
        <v>2938</v>
      </c>
      <c r="Q1010" s="81"/>
      <c r="R1010" s="83" t="s">
        <v>116</v>
      </c>
      <c r="S1010" s="79" t="s">
        <v>3169</v>
      </c>
      <c r="T1010" s="84" t="s">
        <v>3584</v>
      </c>
      <c r="U1010" s="81"/>
      <c r="V1010" s="81"/>
      <c r="W1010" s="78" t="s">
        <v>158</v>
      </c>
      <c r="X1010" s="82" t="s">
        <v>163</v>
      </c>
      <c r="Y1010" s="81" t="s">
        <v>2652</v>
      </c>
      <c r="Z1010" s="81" t="s">
        <v>2938</v>
      </c>
      <c r="AA1010" s="81" t="s">
        <v>722</v>
      </c>
      <c r="AB1010" s="85"/>
      <c r="AD1010" s="78" t="s">
        <v>158</v>
      </c>
      <c r="AE1010" s="82" t="s">
        <v>163</v>
      </c>
      <c r="AF1010" s="81" t="s">
        <v>2652</v>
      </c>
      <c r="AG1010" s="81" t="s">
        <v>2938</v>
      </c>
      <c r="AH1010" s="81" t="s">
        <v>722</v>
      </c>
      <c r="AI1010" s="85"/>
    </row>
    <row r="1011" spans="1:35" s="79" customFormat="1" ht="11.25" customHeight="1" x14ac:dyDescent="0.2">
      <c r="A1011" s="77" t="s">
        <v>721</v>
      </c>
      <c r="B1011" s="80">
        <v>666</v>
      </c>
      <c r="C1011" s="81" t="s">
        <v>720</v>
      </c>
      <c r="D1011" s="73">
        <v>1000</v>
      </c>
      <c r="E1011" s="79" t="s">
        <v>20</v>
      </c>
      <c r="F1011" s="79" t="s">
        <v>3725</v>
      </c>
      <c r="G1011" s="79" t="s">
        <v>2996</v>
      </c>
      <c r="H1011" s="79" t="s">
        <v>43</v>
      </c>
      <c r="I1011" s="81" t="s">
        <v>3000</v>
      </c>
      <c r="J1011" s="81">
        <v>25</v>
      </c>
      <c r="K1011" s="86"/>
      <c r="M1011" s="78" t="s">
        <v>158</v>
      </c>
      <c r="N1011" s="82" t="s">
        <v>150</v>
      </c>
      <c r="O1011" s="81" t="s">
        <v>2399</v>
      </c>
      <c r="P1011" s="81" t="s">
        <v>2825</v>
      </c>
      <c r="Q1011" s="81"/>
      <c r="R1011" s="83" t="s">
        <v>116</v>
      </c>
      <c r="S1011" s="79" t="s">
        <v>3092</v>
      </c>
      <c r="T1011" s="84" t="s">
        <v>3584</v>
      </c>
      <c r="U1011" s="81"/>
      <c r="V1011" s="81"/>
      <c r="W1011" s="78" t="s">
        <v>158</v>
      </c>
      <c r="X1011" s="82" t="s">
        <v>150</v>
      </c>
      <c r="Y1011" s="81" t="s">
        <v>2399</v>
      </c>
      <c r="Z1011" s="81" t="s">
        <v>2825</v>
      </c>
      <c r="AA1011" s="81" t="s">
        <v>722</v>
      </c>
      <c r="AB1011" s="85"/>
      <c r="AD1011" s="78" t="s">
        <v>158</v>
      </c>
      <c r="AE1011" s="82" t="s">
        <v>150</v>
      </c>
      <c r="AF1011" s="81" t="s">
        <v>2399</v>
      </c>
      <c r="AG1011" s="81" t="s">
        <v>2825</v>
      </c>
      <c r="AH1011" s="81" t="s">
        <v>722</v>
      </c>
      <c r="AI1011" s="85"/>
    </row>
    <row r="1012" spans="1:35" s="79" customFormat="1" ht="11.25" customHeight="1" x14ac:dyDescent="0.2">
      <c r="A1012" s="77" t="s">
        <v>724</v>
      </c>
      <c r="B1012" s="80">
        <v>1082</v>
      </c>
      <c r="C1012" s="81" t="s">
        <v>723</v>
      </c>
      <c r="D1012" s="73">
        <v>1000</v>
      </c>
      <c r="E1012" s="79" t="s">
        <v>20</v>
      </c>
      <c r="F1012" s="79" t="s">
        <v>3725</v>
      </c>
      <c r="G1012" s="79" t="s">
        <v>2996</v>
      </c>
      <c r="H1012" s="79" t="s">
        <v>43</v>
      </c>
      <c r="I1012" s="81" t="s">
        <v>3000</v>
      </c>
      <c r="J1012" s="81">
        <v>25</v>
      </c>
      <c r="K1012" s="86"/>
      <c r="M1012" s="78" t="s">
        <v>158</v>
      </c>
      <c r="N1012" s="82" t="s">
        <v>150</v>
      </c>
      <c r="O1012" s="81" t="s">
        <v>2400</v>
      </c>
      <c r="P1012" s="81" t="s">
        <v>2826</v>
      </c>
      <c r="Q1012" s="81"/>
      <c r="R1012" s="83" t="s">
        <v>116</v>
      </c>
      <c r="S1012" s="79" t="s">
        <v>3092</v>
      </c>
      <c r="T1012" s="84" t="s">
        <v>3584</v>
      </c>
      <c r="U1012" s="81"/>
      <c r="V1012" s="81"/>
      <c r="W1012" s="78" t="s">
        <v>158</v>
      </c>
      <c r="X1012" s="82" t="s">
        <v>150</v>
      </c>
      <c r="Y1012" s="81" t="s">
        <v>2400</v>
      </c>
      <c r="Z1012" s="81" t="s">
        <v>2826</v>
      </c>
      <c r="AA1012" s="81" t="s">
        <v>722</v>
      </c>
      <c r="AB1012" s="85"/>
      <c r="AD1012" s="78" t="s">
        <v>158</v>
      </c>
      <c r="AE1012" s="82" t="s">
        <v>150</v>
      </c>
      <c r="AF1012" s="81" t="s">
        <v>2400</v>
      </c>
      <c r="AG1012" s="81" t="s">
        <v>2826</v>
      </c>
      <c r="AH1012" s="81" t="s">
        <v>722</v>
      </c>
      <c r="AI1012" s="85"/>
    </row>
    <row r="1013" spans="1:35" s="79" customFormat="1" ht="11.25" customHeight="1" x14ac:dyDescent="0.2">
      <c r="A1013" s="77" t="s">
        <v>404</v>
      </c>
      <c r="B1013" s="80">
        <v>844</v>
      </c>
      <c r="C1013" s="81" t="s">
        <v>403</v>
      </c>
      <c r="D1013" s="73">
        <v>100</v>
      </c>
      <c r="E1013" s="79" t="s">
        <v>20</v>
      </c>
      <c r="F1013" s="79" t="s">
        <v>3725</v>
      </c>
      <c r="G1013" s="79" t="s">
        <v>2996</v>
      </c>
      <c r="H1013" s="79" t="s">
        <v>43</v>
      </c>
      <c r="I1013" s="81" t="s">
        <v>3000</v>
      </c>
      <c r="J1013" s="81">
        <v>25</v>
      </c>
      <c r="K1013" s="86"/>
      <c r="M1013" s="78" t="s">
        <v>158</v>
      </c>
      <c r="N1013" s="82"/>
      <c r="O1013" s="81" t="s">
        <v>2331</v>
      </c>
      <c r="P1013" s="81" t="s">
        <v>2256</v>
      </c>
      <c r="Q1013" s="81"/>
      <c r="R1013" s="83">
        <v>500</v>
      </c>
      <c r="S1013" s="79" t="s">
        <v>3023</v>
      </c>
      <c r="T1013" s="84">
        <v>500000</v>
      </c>
      <c r="U1013" s="81"/>
      <c r="V1013" s="81"/>
      <c r="W1013" s="78" t="s">
        <v>158</v>
      </c>
      <c r="X1013" s="82"/>
      <c r="Y1013" s="81" t="s">
        <v>2331</v>
      </c>
      <c r="Z1013" s="81" t="s">
        <v>2256</v>
      </c>
      <c r="AA1013" s="83">
        <v>5000</v>
      </c>
      <c r="AB1013" s="85"/>
      <c r="AD1013" s="78" t="s">
        <v>158</v>
      </c>
      <c r="AE1013" s="82"/>
      <c r="AF1013" s="81" t="s">
        <v>2331</v>
      </c>
      <c r="AG1013" s="81" t="s">
        <v>2256</v>
      </c>
      <c r="AH1013" s="83">
        <v>5000</v>
      </c>
      <c r="AI1013" s="85"/>
    </row>
    <row r="1014" spans="1:35" s="79" customFormat="1" ht="11.25" customHeight="1" x14ac:dyDescent="0.2">
      <c r="A1014" s="77" t="s">
        <v>2089</v>
      </c>
      <c r="B1014" s="80">
        <v>845</v>
      </c>
      <c r="C1014" s="81" t="s">
        <v>2088</v>
      </c>
      <c r="D1014" s="73">
        <v>100</v>
      </c>
      <c r="E1014" s="79" t="s">
        <v>20</v>
      </c>
      <c r="F1014" s="79" t="s">
        <v>3725</v>
      </c>
      <c r="G1014" s="79" t="s">
        <v>2996</v>
      </c>
      <c r="H1014" s="79" t="s">
        <v>43</v>
      </c>
      <c r="I1014" s="81" t="s">
        <v>3000</v>
      </c>
      <c r="J1014" s="81">
        <v>25</v>
      </c>
      <c r="K1014" s="86"/>
      <c r="M1014" s="78" t="s">
        <v>158</v>
      </c>
      <c r="N1014" s="82"/>
      <c r="O1014" s="81" t="s">
        <v>2721</v>
      </c>
      <c r="P1014" s="81" t="s">
        <v>2256</v>
      </c>
      <c r="Q1014" s="81"/>
      <c r="R1014" s="83">
        <v>500</v>
      </c>
      <c r="S1014" s="79" t="s">
        <v>3023</v>
      </c>
      <c r="T1014" s="84">
        <v>500000</v>
      </c>
      <c r="U1014" s="81"/>
      <c r="V1014" s="81"/>
      <c r="W1014" s="78" t="s">
        <v>158</v>
      </c>
      <c r="X1014" s="82"/>
      <c r="Y1014" s="81" t="s">
        <v>2721</v>
      </c>
      <c r="Z1014" s="81" t="s">
        <v>2256</v>
      </c>
      <c r="AA1014" s="83">
        <v>5000</v>
      </c>
      <c r="AB1014" s="85"/>
      <c r="AD1014" s="78" t="s">
        <v>158</v>
      </c>
      <c r="AE1014" s="82"/>
      <c r="AF1014" s="81" t="s">
        <v>2721</v>
      </c>
      <c r="AG1014" s="81" t="s">
        <v>2256</v>
      </c>
      <c r="AH1014" s="83">
        <v>5000</v>
      </c>
      <c r="AI1014" s="85"/>
    </row>
    <row r="1015" spans="1:35" s="79" customFormat="1" ht="11.25" customHeight="1" x14ac:dyDescent="0.2">
      <c r="A1015" s="77" t="s">
        <v>157</v>
      </c>
      <c r="B1015" s="80">
        <v>493</v>
      </c>
      <c r="C1015" s="81" t="s">
        <v>156</v>
      </c>
      <c r="D1015" s="73">
        <v>1000</v>
      </c>
      <c r="E1015" s="79" t="s">
        <v>20</v>
      </c>
      <c r="F1015" s="79" t="s">
        <v>3725</v>
      </c>
      <c r="G1015" s="79" t="s">
        <v>2996</v>
      </c>
      <c r="H1015" s="79" t="s">
        <v>43</v>
      </c>
      <c r="I1015" s="81" t="s">
        <v>3000</v>
      </c>
      <c r="J1015" s="81">
        <v>25</v>
      </c>
      <c r="K1015" s="86"/>
      <c r="M1015" s="78" t="s">
        <v>158</v>
      </c>
      <c r="N1015" s="82"/>
      <c r="O1015" s="81" t="s">
        <v>2278</v>
      </c>
      <c r="P1015" s="81" t="s">
        <v>2256</v>
      </c>
      <c r="Q1015" s="81"/>
      <c r="R1015" s="83">
        <v>500</v>
      </c>
      <c r="S1015" s="79" t="s">
        <v>3023</v>
      </c>
      <c r="T1015" s="84">
        <v>500000</v>
      </c>
      <c r="U1015" s="81"/>
      <c r="V1015" s="81"/>
      <c r="W1015" s="78" t="s">
        <v>158</v>
      </c>
      <c r="X1015" s="82"/>
      <c r="Y1015" s="81" t="s">
        <v>2278</v>
      </c>
      <c r="Z1015" s="81" t="s">
        <v>2256</v>
      </c>
      <c r="AA1015" s="83">
        <v>5000</v>
      </c>
      <c r="AB1015" s="85"/>
      <c r="AD1015" s="78" t="s">
        <v>158</v>
      </c>
      <c r="AE1015" s="82"/>
      <c r="AF1015" s="81" t="s">
        <v>2278</v>
      </c>
      <c r="AG1015" s="81" t="s">
        <v>2256</v>
      </c>
      <c r="AH1015" s="83">
        <v>5000</v>
      </c>
      <c r="AI1015" s="85"/>
    </row>
    <row r="1016" spans="1:35" s="79" customFormat="1" ht="11.25" customHeight="1" x14ac:dyDescent="0.2">
      <c r="A1016" s="77" t="s">
        <v>211</v>
      </c>
      <c r="B1016" s="81" t="s">
        <v>212</v>
      </c>
      <c r="C1016" s="81" t="s">
        <v>210</v>
      </c>
      <c r="D1016" s="73">
        <v>1000</v>
      </c>
      <c r="E1016" s="79" t="s">
        <v>20</v>
      </c>
      <c r="F1016" s="79" t="s">
        <v>30</v>
      </c>
      <c r="G1016" s="79" t="s">
        <v>3001</v>
      </c>
      <c r="H1016" s="79" t="s">
        <v>43</v>
      </c>
      <c r="I1016" s="81" t="s">
        <v>3000</v>
      </c>
      <c r="J1016" s="81">
        <v>25</v>
      </c>
      <c r="K1016" s="86"/>
      <c r="M1016" s="78" t="s">
        <v>158</v>
      </c>
      <c r="N1016" s="82"/>
      <c r="O1016" s="81" t="s">
        <v>2289</v>
      </c>
      <c r="P1016" s="81" t="s">
        <v>2256</v>
      </c>
      <c r="Q1016" s="81"/>
      <c r="R1016" s="83">
        <v>500</v>
      </c>
      <c r="S1016" s="79" t="s">
        <v>3023</v>
      </c>
      <c r="T1016" s="84">
        <v>500000</v>
      </c>
      <c r="U1016" s="81"/>
      <c r="V1016" s="81"/>
      <c r="W1016" s="78" t="s">
        <v>158</v>
      </c>
      <c r="X1016" s="82"/>
      <c r="Y1016" s="81" t="s">
        <v>2289</v>
      </c>
      <c r="Z1016" s="81" t="s">
        <v>2256</v>
      </c>
      <c r="AA1016" s="83">
        <v>5000</v>
      </c>
      <c r="AB1016" s="85"/>
      <c r="AD1016" s="78" t="s">
        <v>158</v>
      </c>
      <c r="AE1016" s="82"/>
      <c r="AF1016" s="81" t="s">
        <v>2289</v>
      </c>
      <c r="AG1016" s="81" t="s">
        <v>2256</v>
      </c>
      <c r="AH1016" s="83">
        <v>5000</v>
      </c>
      <c r="AI1016" s="85"/>
    </row>
    <row r="1017" spans="1:35" s="79" customFormat="1" ht="11.25" customHeight="1" x14ac:dyDescent="0.2">
      <c r="A1017" s="77" t="s">
        <v>1858</v>
      </c>
      <c r="B1017" s="80">
        <v>662</v>
      </c>
      <c r="C1017" s="81" t="s">
        <v>158</v>
      </c>
      <c r="D1017" s="73">
        <v>1000</v>
      </c>
      <c r="E1017" s="79" t="s">
        <v>20</v>
      </c>
      <c r="F1017" s="79" t="s">
        <v>3725</v>
      </c>
      <c r="G1017" s="79" t="s">
        <v>2996</v>
      </c>
      <c r="H1017" s="79" t="s">
        <v>43</v>
      </c>
      <c r="I1017" s="81" t="s">
        <v>3000</v>
      </c>
      <c r="J1017" s="81">
        <v>25</v>
      </c>
      <c r="K1017" s="86"/>
      <c r="M1017" s="78" t="s">
        <v>158</v>
      </c>
      <c r="N1017" s="82"/>
      <c r="O1017" s="81" t="s">
        <v>2256</v>
      </c>
      <c r="P1017" s="81" t="s">
        <v>2256</v>
      </c>
      <c r="Q1017" s="81"/>
      <c r="R1017" s="83">
        <v>500</v>
      </c>
      <c r="S1017" s="79" t="s">
        <v>2999</v>
      </c>
      <c r="T1017" s="84">
        <v>500000</v>
      </c>
      <c r="U1017" s="81"/>
      <c r="V1017" s="81"/>
      <c r="W1017" s="78" t="s">
        <v>158</v>
      </c>
      <c r="X1017" s="82"/>
      <c r="Y1017" s="81" t="s">
        <v>2256</v>
      </c>
      <c r="Z1017" s="81" t="s">
        <v>2256</v>
      </c>
      <c r="AA1017" s="83">
        <v>5000</v>
      </c>
      <c r="AB1017" s="85"/>
      <c r="AD1017" s="78" t="s">
        <v>158</v>
      </c>
      <c r="AE1017" s="82"/>
      <c r="AF1017" s="81" t="s">
        <v>2256</v>
      </c>
      <c r="AG1017" s="81" t="s">
        <v>2256</v>
      </c>
      <c r="AH1017" s="83">
        <v>5000</v>
      </c>
      <c r="AI1017" s="85"/>
    </row>
    <row r="1018" spans="1:35" s="79" customFormat="1" ht="11.25" customHeight="1" x14ac:dyDescent="0.2">
      <c r="A1018" s="77" t="s">
        <v>783</v>
      </c>
      <c r="B1018" s="80">
        <v>727</v>
      </c>
      <c r="C1018" s="81" t="s">
        <v>782</v>
      </c>
      <c r="D1018" s="73">
        <v>1000</v>
      </c>
      <c r="E1018" s="79" t="s">
        <v>28</v>
      </c>
      <c r="F1018" s="79" t="s">
        <v>3725</v>
      </c>
      <c r="G1018" s="79" t="s">
        <v>2996</v>
      </c>
      <c r="H1018" s="79" t="s">
        <v>43</v>
      </c>
      <c r="I1018" s="81" t="s">
        <v>3000</v>
      </c>
      <c r="J1018" s="81">
        <v>25</v>
      </c>
      <c r="K1018" s="86"/>
      <c r="M1018" s="78" t="s">
        <v>396</v>
      </c>
      <c r="N1018" s="82" t="s">
        <v>86</v>
      </c>
      <c r="O1018" s="81" t="s">
        <v>2416</v>
      </c>
      <c r="P1018" s="81" t="s">
        <v>2835</v>
      </c>
      <c r="Q1018" s="81"/>
      <c r="R1018" s="83" t="s">
        <v>3444</v>
      </c>
      <c r="S1018" s="79" t="s">
        <v>3107</v>
      </c>
      <c r="T1018" s="84" t="s">
        <v>3575</v>
      </c>
      <c r="U1018" s="81"/>
      <c r="V1018" s="81"/>
      <c r="W1018" s="78" t="s">
        <v>396</v>
      </c>
      <c r="X1018" s="82" t="s">
        <v>86</v>
      </c>
      <c r="Y1018" s="81" t="s">
        <v>2416</v>
      </c>
      <c r="Z1018" s="81" t="s">
        <v>2835</v>
      </c>
      <c r="AA1018" s="81" t="s">
        <v>151</v>
      </c>
      <c r="AB1018" s="85"/>
      <c r="AD1018" s="78" t="s">
        <v>396</v>
      </c>
      <c r="AE1018" s="82" t="s">
        <v>86</v>
      </c>
      <c r="AF1018" s="81" t="s">
        <v>2416</v>
      </c>
      <c r="AG1018" s="81" t="s">
        <v>2835</v>
      </c>
      <c r="AH1018" s="81" t="s">
        <v>151</v>
      </c>
      <c r="AI1018" s="85"/>
    </row>
    <row r="1019" spans="1:35" s="79" customFormat="1" ht="11.25" customHeight="1" x14ac:dyDescent="0.2">
      <c r="A1019" s="77" t="s">
        <v>817</v>
      </c>
      <c r="B1019" s="80">
        <v>142</v>
      </c>
      <c r="C1019" s="81" t="s">
        <v>816</v>
      </c>
      <c r="D1019" s="73">
        <v>6350</v>
      </c>
      <c r="E1019" s="79" t="s">
        <v>28</v>
      </c>
      <c r="F1019" s="79" t="s">
        <v>3725</v>
      </c>
      <c r="G1019" s="79" t="s">
        <v>2996</v>
      </c>
      <c r="H1019" s="79" t="s">
        <v>43</v>
      </c>
      <c r="I1019" s="81" t="s">
        <v>3000</v>
      </c>
      <c r="J1019" s="81">
        <v>25</v>
      </c>
      <c r="K1019" s="86"/>
      <c r="M1019" s="78" t="s">
        <v>396</v>
      </c>
      <c r="N1019" s="82" t="s">
        <v>95</v>
      </c>
      <c r="O1019" s="81" t="s">
        <v>2427</v>
      </c>
      <c r="P1019" s="81" t="s">
        <v>2842</v>
      </c>
      <c r="Q1019" s="81"/>
      <c r="R1019" s="83" t="s">
        <v>3444</v>
      </c>
      <c r="S1019" s="79" t="s">
        <v>3115</v>
      </c>
      <c r="T1019" s="84" t="s">
        <v>3575</v>
      </c>
      <c r="U1019" s="81"/>
      <c r="V1019" s="81"/>
      <c r="W1019" s="78" t="s">
        <v>396</v>
      </c>
      <c r="X1019" s="82" t="s">
        <v>95</v>
      </c>
      <c r="Y1019" s="81" t="s">
        <v>2427</v>
      </c>
      <c r="Z1019" s="81" t="s">
        <v>2842</v>
      </c>
      <c r="AA1019" s="81" t="s">
        <v>151</v>
      </c>
      <c r="AB1019" s="85"/>
      <c r="AD1019" s="78" t="s">
        <v>396</v>
      </c>
      <c r="AE1019" s="82" t="s">
        <v>95</v>
      </c>
      <c r="AF1019" s="81" t="s">
        <v>2427</v>
      </c>
      <c r="AG1019" s="81" t="s">
        <v>2842</v>
      </c>
      <c r="AH1019" s="81" t="s">
        <v>151</v>
      </c>
      <c r="AI1019" s="85"/>
    </row>
    <row r="1020" spans="1:35" s="79" customFormat="1" ht="11.25" customHeight="1" x14ac:dyDescent="0.2">
      <c r="A1020" s="77" t="s">
        <v>2177</v>
      </c>
      <c r="B1020" s="80">
        <v>663</v>
      </c>
      <c r="C1020" s="81" t="s">
        <v>2176</v>
      </c>
      <c r="D1020" s="73">
        <v>1000</v>
      </c>
      <c r="E1020" s="79" t="s">
        <v>20</v>
      </c>
      <c r="F1020" s="79" t="s">
        <v>3725</v>
      </c>
      <c r="G1020" s="79" t="s">
        <v>2996</v>
      </c>
      <c r="H1020" s="79" t="s">
        <v>43</v>
      </c>
      <c r="I1020" s="81" t="s">
        <v>3000</v>
      </c>
      <c r="J1020" s="81">
        <v>25</v>
      </c>
      <c r="K1020" s="86"/>
      <c r="M1020" s="78" t="s">
        <v>396</v>
      </c>
      <c r="N1020" s="82" t="s">
        <v>150</v>
      </c>
      <c r="O1020" s="81" t="s">
        <v>2751</v>
      </c>
      <c r="P1020" s="81" t="s">
        <v>2988</v>
      </c>
      <c r="Q1020" s="81"/>
      <c r="R1020" s="83" t="s">
        <v>515</v>
      </c>
      <c r="S1020" s="79" t="s">
        <v>3113</v>
      </c>
      <c r="T1020" s="84" t="s">
        <v>3417</v>
      </c>
      <c r="U1020" s="81"/>
      <c r="V1020" s="81"/>
      <c r="W1020" s="78" t="s">
        <v>396</v>
      </c>
      <c r="X1020" s="82" t="s">
        <v>150</v>
      </c>
      <c r="Y1020" s="81" t="s">
        <v>2751</v>
      </c>
      <c r="Z1020" s="81" t="s">
        <v>2988</v>
      </c>
      <c r="AA1020" s="81" t="s">
        <v>516</v>
      </c>
      <c r="AB1020" s="85"/>
      <c r="AD1020" s="78" t="s">
        <v>396</v>
      </c>
      <c r="AE1020" s="82" t="s">
        <v>150</v>
      </c>
      <c r="AF1020" s="81" t="s">
        <v>2751</v>
      </c>
      <c r="AG1020" s="81" t="s">
        <v>2988</v>
      </c>
      <c r="AH1020" s="81" t="s">
        <v>516</v>
      </c>
      <c r="AI1020" s="85"/>
    </row>
    <row r="1021" spans="1:35" s="79" customFormat="1" ht="11.25" customHeight="1" x14ac:dyDescent="0.2">
      <c r="A1021" s="77" t="s">
        <v>809</v>
      </c>
      <c r="B1021" s="80">
        <v>665</v>
      </c>
      <c r="C1021" s="81" t="s">
        <v>808</v>
      </c>
      <c r="D1021" s="73">
        <v>1000</v>
      </c>
      <c r="E1021" s="79" t="s">
        <v>20</v>
      </c>
      <c r="F1021" s="79" t="s">
        <v>3725</v>
      </c>
      <c r="G1021" s="79" t="s">
        <v>2996</v>
      </c>
      <c r="H1021" s="79" t="s">
        <v>43</v>
      </c>
      <c r="I1021" s="81" t="s">
        <v>3000</v>
      </c>
      <c r="J1021" s="81">
        <v>25</v>
      </c>
      <c r="K1021" s="86"/>
      <c r="M1021" s="78" t="s">
        <v>396</v>
      </c>
      <c r="N1021" s="82" t="s">
        <v>150</v>
      </c>
      <c r="O1021" s="81" t="s">
        <v>2425</v>
      </c>
      <c r="P1021" s="81" t="s">
        <v>2841</v>
      </c>
      <c r="Q1021" s="81"/>
      <c r="R1021" s="83" t="s">
        <v>515</v>
      </c>
      <c r="S1021" s="79" t="s">
        <v>3113</v>
      </c>
      <c r="T1021" s="84" t="s">
        <v>3417</v>
      </c>
      <c r="U1021" s="81"/>
      <c r="V1021" s="81"/>
      <c r="W1021" s="78" t="s">
        <v>396</v>
      </c>
      <c r="X1021" s="82" t="s">
        <v>150</v>
      </c>
      <c r="Y1021" s="81" t="s">
        <v>2425</v>
      </c>
      <c r="Z1021" s="81" t="s">
        <v>2841</v>
      </c>
      <c r="AA1021" s="81" t="s">
        <v>516</v>
      </c>
      <c r="AB1021" s="85"/>
      <c r="AD1021" s="78" t="s">
        <v>396</v>
      </c>
      <c r="AE1021" s="82" t="s">
        <v>150</v>
      </c>
      <c r="AF1021" s="81" t="s">
        <v>2425</v>
      </c>
      <c r="AG1021" s="81" t="s">
        <v>2841</v>
      </c>
      <c r="AH1021" s="81" t="s">
        <v>516</v>
      </c>
      <c r="AI1021" s="85"/>
    </row>
    <row r="1022" spans="1:35" s="79" customFormat="1" ht="11.25" customHeight="1" x14ac:dyDescent="0.2">
      <c r="A1022" s="77" t="s">
        <v>395</v>
      </c>
      <c r="B1022" s="80">
        <v>585</v>
      </c>
      <c r="C1022" s="81" t="s">
        <v>394</v>
      </c>
      <c r="D1022" s="73">
        <v>100</v>
      </c>
      <c r="E1022" s="79" t="s">
        <v>20</v>
      </c>
      <c r="F1022" s="79" t="s">
        <v>3725</v>
      </c>
      <c r="G1022" s="79" t="s">
        <v>2996</v>
      </c>
      <c r="H1022" s="79" t="s">
        <v>43</v>
      </c>
      <c r="I1022" s="81" t="s">
        <v>3000</v>
      </c>
      <c r="J1022" s="81">
        <v>25</v>
      </c>
      <c r="K1022" s="86"/>
      <c r="M1022" s="78" t="s">
        <v>396</v>
      </c>
      <c r="N1022" s="82"/>
      <c r="O1022" s="81" t="s">
        <v>2327</v>
      </c>
      <c r="P1022" s="81" t="s">
        <v>2256</v>
      </c>
      <c r="Q1022" s="81"/>
      <c r="R1022" s="83">
        <v>150</v>
      </c>
      <c r="S1022" s="79" t="s">
        <v>3051</v>
      </c>
      <c r="T1022" s="84">
        <v>150000</v>
      </c>
      <c r="U1022" s="81"/>
      <c r="V1022" s="81"/>
      <c r="W1022" s="78" t="s">
        <v>396</v>
      </c>
      <c r="X1022" s="82"/>
      <c r="Y1022" s="81" t="s">
        <v>2327</v>
      </c>
      <c r="Z1022" s="81" t="s">
        <v>2256</v>
      </c>
      <c r="AA1022" s="83">
        <v>1500</v>
      </c>
      <c r="AB1022" s="85"/>
      <c r="AD1022" s="78" t="s">
        <v>396</v>
      </c>
      <c r="AE1022" s="82"/>
      <c r="AF1022" s="81" t="s">
        <v>2327</v>
      </c>
      <c r="AG1022" s="81" t="s">
        <v>2256</v>
      </c>
      <c r="AH1022" s="83">
        <v>1500</v>
      </c>
      <c r="AI1022" s="85"/>
    </row>
    <row r="1023" spans="1:35" s="79" customFormat="1" ht="11.25" customHeight="1" x14ac:dyDescent="0.2">
      <c r="A1023" s="77" t="s">
        <v>398</v>
      </c>
      <c r="B1023" s="80">
        <v>586</v>
      </c>
      <c r="C1023" s="81" t="s">
        <v>397</v>
      </c>
      <c r="D1023" s="73">
        <v>100</v>
      </c>
      <c r="E1023" s="79" t="s">
        <v>20</v>
      </c>
      <c r="F1023" s="79" t="s">
        <v>3725</v>
      </c>
      <c r="G1023" s="79" t="s">
        <v>2996</v>
      </c>
      <c r="H1023" s="79" t="s">
        <v>43</v>
      </c>
      <c r="I1023" s="81" t="s">
        <v>3000</v>
      </c>
      <c r="J1023" s="81">
        <v>25</v>
      </c>
      <c r="K1023" s="86"/>
      <c r="M1023" s="78" t="s">
        <v>396</v>
      </c>
      <c r="N1023" s="82"/>
      <c r="O1023" s="81" t="s">
        <v>2328</v>
      </c>
      <c r="P1023" s="81" t="s">
        <v>2256</v>
      </c>
      <c r="Q1023" s="81"/>
      <c r="R1023" s="83">
        <v>150</v>
      </c>
      <c r="S1023" s="79" t="s">
        <v>3051</v>
      </c>
      <c r="T1023" s="84">
        <v>150000</v>
      </c>
      <c r="U1023" s="81"/>
      <c r="V1023" s="81"/>
      <c r="W1023" s="78" t="s">
        <v>396</v>
      </c>
      <c r="X1023" s="82"/>
      <c r="Y1023" s="81" t="s">
        <v>2328</v>
      </c>
      <c r="Z1023" s="81" t="s">
        <v>2256</v>
      </c>
      <c r="AA1023" s="83">
        <v>1500</v>
      </c>
      <c r="AB1023" s="85"/>
      <c r="AD1023" s="78" t="s">
        <v>396</v>
      </c>
      <c r="AE1023" s="82"/>
      <c r="AF1023" s="81" t="s">
        <v>2328</v>
      </c>
      <c r="AG1023" s="81" t="s">
        <v>2256</v>
      </c>
      <c r="AH1023" s="83">
        <v>1500</v>
      </c>
      <c r="AI1023" s="85"/>
    </row>
    <row r="1024" spans="1:35" s="79" customFormat="1" ht="11.25" customHeight="1" x14ac:dyDescent="0.2">
      <c r="A1024" s="77" t="s">
        <v>771</v>
      </c>
      <c r="B1024" s="80">
        <v>239</v>
      </c>
      <c r="C1024" s="81" t="s">
        <v>770</v>
      </c>
      <c r="D1024" s="73">
        <v>1000</v>
      </c>
      <c r="E1024" s="79" t="s">
        <v>20</v>
      </c>
      <c r="F1024" s="79" t="s">
        <v>3725</v>
      </c>
      <c r="G1024" s="79" t="s">
        <v>2996</v>
      </c>
      <c r="H1024" s="79" t="s">
        <v>43</v>
      </c>
      <c r="I1024" s="81"/>
      <c r="J1024" s="81">
        <v>25</v>
      </c>
      <c r="K1024" s="86"/>
      <c r="M1024" s="78" t="s">
        <v>396</v>
      </c>
      <c r="N1024" s="82"/>
      <c r="O1024" s="81" t="s">
        <v>2411</v>
      </c>
      <c r="P1024" s="81" t="s">
        <v>2256</v>
      </c>
      <c r="Q1024" s="81"/>
      <c r="R1024" s="83">
        <v>150</v>
      </c>
      <c r="S1024" s="79" t="s">
        <v>3051</v>
      </c>
      <c r="T1024" s="84">
        <v>150000</v>
      </c>
      <c r="U1024" s="81"/>
      <c r="V1024" s="81"/>
      <c r="W1024" s="78" t="s">
        <v>396</v>
      </c>
      <c r="X1024" s="82"/>
      <c r="Y1024" s="81" t="s">
        <v>2411</v>
      </c>
      <c r="Z1024" s="81" t="s">
        <v>2256</v>
      </c>
      <c r="AA1024" s="83">
        <v>1500</v>
      </c>
      <c r="AB1024" s="85"/>
      <c r="AD1024" s="78" t="s">
        <v>396</v>
      </c>
      <c r="AE1024" s="82"/>
      <c r="AF1024" s="81" t="s">
        <v>2411</v>
      </c>
      <c r="AG1024" s="81" t="s">
        <v>2256</v>
      </c>
      <c r="AH1024" s="83">
        <v>1500</v>
      </c>
      <c r="AI1024" s="85"/>
    </row>
    <row r="1025" spans="1:35" s="79" customFormat="1" ht="11.25" customHeight="1" x14ac:dyDescent="0.2">
      <c r="A1025" s="77" t="s">
        <v>1153</v>
      </c>
      <c r="B1025" s="80">
        <v>500</v>
      </c>
      <c r="C1025" s="81" t="s">
        <v>1152</v>
      </c>
      <c r="D1025" s="73">
        <v>1000</v>
      </c>
      <c r="E1025" s="79" t="s">
        <v>20</v>
      </c>
      <c r="F1025" s="79" t="s">
        <v>3725</v>
      </c>
      <c r="G1025" s="79" t="s">
        <v>2996</v>
      </c>
      <c r="H1025" s="79" t="s">
        <v>43</v>
      </c>
      <c r="I1025" s="81" t="s">
        <v>3000</v>
      </c>
      <c r="J1025" s="81">
        <v>25</v>
      </c>
      <c r="K1025" s="86"/>
      <c r="M1025" s="78" t="s">
        <v>396</v>
      </c>
      <c r="N1025" s="82"/>
      <c r="O1025" s="81" t="s">
        <v>2508</v>
      </c>
      <c r="P1025" s="81" t="s">
        <v>2256</v>
      </c>
      <c r="Q1025" s="81"/>
      <c r="R1025" s="83">
        <v>150</v>
      </c>
      <c r="S1025" s="79" t="s">
        <v>3051</v>
      </c>
      <c r="T1025" s="84">
        <v>150000</v>
      </c>
      <c r="U1025" s="81"/>
      <c r="V1025" s="81"/>
      <c r="W1025" s="78" t="s">
        <v>396</v>
      </c>
      <c r="X1025" s="82"/>
      <c r="Y1025" s="81" t="s">
        <v>2508</v>
      </c>
      <c r="Z1025" s="81" t="s">
        <v>2256</v>
      </c>
      <c r="AA1025" s="83">
        <v>1500</v>
      </c>
      <c r="AB1025" s="85"/>
      <c r="AD1025" s="78" t="s">
        <v>396</v>
      </c>
      <c r="AE1025" s="82"/>
      <c r="AF1025" s="81" t="s">
        <v>2508</v>
      </c>
      <c r="AG1025" s="81" t="s">
        <v>2256</v>
      </c>
      <c r="AH1025" s="83">
        <v>1500</v>
      </c>
      <c r="AI1025" s="85"/>
    </row>
    <row r="1026" spans="1:35" s="79" customFormat="1" ht="11.25" customHeight="1" x14ac:dyDescent="0.2">
      <c r="A1026" s="77" t="s">
        <v>1273</v>
      </c>
      <c r="B1026" s="80">
        <v>1061</v>
      </c>
      <c r="C1026" s="81" t="s">
        <v>1272</v>
      </c>
      <c r="D1026" s="73">
        <v>100</v>
      </c>
      <c r="E1026" s="79" t="s">
        <v>20</v>
      </c>
      <c r="F1026" s="79" t="s">
        <v>3725</v>
      </c>
      <c r="G1026" s="79" t="s">
        <v>2996</v>
      </c>
      <c r="H1026" s="79" t="s">
        <v>43</v>
      </c>
      <c r="I1026" s="81" t="s">
        <v>3000</v>
      </c>
      <c r="J1026" s="81">
        <v>25</v>
      </c>
      <c r="K1026" s="86"/>
      <c r="M1026" s="78" t="s">
        <v>396</v>
      </c>
      <c r="N1026" s="82"/>
      <c r="O1026" s="81" t="s">
        <v>2539</v>
      </c>
      <c r="P1026" s="81" t="s">
        <v>2256</v>
      </c>
      <c r="Q1026" s="81"/>
      <c r="R1026" s="83">
        <v>150</v>
      </c>
      <c r="S1026" s="79" t="s">
        <v>3051</v>
      </c>
      <c r="T1026" s="84">
        <v>150000</v>
      </c>
      <c r="U1026" s="81"/>
      <c r="V1026" s="81"/>
      <c r="W1026" s="78" t="s">
        <v>396</v>
      </c>
      <c r="X1026" s="82"/>
      <c r="Y1026" s="81" t="s">
        <v>2539</v>
      </c>
      <c r="Z1026" s="81" t="s">
        <v>2256</v>
      </c>
      <c r="AA1026" s="83">
        <v>1500</v>
      </c>
      <c r="AB1026" s="85"/>
      <c r="AD1026" s="78" t="s">
        <v>396</v>
      </c>
      <c r="AE1026" s="82"/>
      <c r="AF1026" s="81" t="s">
        <v>2539</v>
      </c>
      <c r="AG1026" s="81" t="s">
        <v>2256</v>
      </c>
      <c r="AH1026" s="83">
        <v>1500</v>
      </c>
      <c r="AI1026" s="85"/>
    </row>
    <row r="1027" spans="1:35" s="79" customFormat="1" ht="11.25" customHeight="1" x14ac:dyDescent="0.2">
      <c r="A1027" s="77" t="s">
        <v>1867</v>
      </c>
      <c r="B1027" s="80">
        <v>658</v>
      </c>
      <c r="C1027" s="81" t="s">
        <v>396</v>
      </c>
      <c r="D1027" s="73">
        <v>1000</v>
      </c>
      <c r="E1027" s="79" t="s">
        <v>20</v>
      </c>
      <c r="F1027" s="79" t="s">
        <v>3725</v>
      </c>
      <c r="G1027" s="79" t="s">
        <v>2996</v>
      </c>
      <c r="H1027" s="79" t="s">
        <v>43</v>
      </c>
      <c r="I1027" s="81" t="s">
        <v>3000</v>
      </c>
      <c r="J1027" s="81">
        <v>25</v>
      </c>
      <c r="K1027" s="86"/>
      <c r="M1027" s="78" t="s">
        <v>396</v>
      </c>
      <c r="N1027" s="82"/>
      <c r="O1027" s="81" t="s">
        <v>2256</v>
      </c>
      <c r="P1027" s="81" t="s">
        <v>2256</v>
      </c>
      <c r="Q1027" s="81"/>
      <c r="R1027" s="83">
        <v>150</v>
      </c>
      <c r="S1027" s="79" t="s">
        <v>2999</v>
      </c>
      <c r="T1027" s="84">
        <v>150000</v>
      </c>
      <c r="U1027" s="81"/>
      <c r="V1027" s="81"/>
      <c r="W1027" s="78" t="s">
        <v>396</v>
      </c>
      <c r="X1027" s="82"/>
      <c r="Y1027" s="81" t="s">
        <v>2256</v>
      </c>
      <c r="Z1027" s="81" t="s">
        <v>2256</v>
      </c>
      <c r="AA1027" s="83">
        <v>1500</v>
      </c>
      <c r="AB1027" s="85"/>
      <c r="AD1027" s="78" t="s">
        <v>396</v>
      </c>
      <c r="AE1027" s="82"/>
      <c r="AF1027" s="81" t="s">
        <v>2256</v>
      </c>
      <c r="AG1027" s="81" t="s">
        <v>2256</v>
      </c>
      <c r="AH1027" s="83">
        <v>1500</v>
      </c>
      <c r="AI1027" s="85"/>
    </row>
    <row r="1028" spans="1:35" s="79" customFormat="1" ht="11.25" customHeight="1" x14ac:dyDescent="0.2">
      <c r="A1028" s="77" t="s">
        <v>514</v>
      </c>
      <c r="B1028" s="80">
        <v>611</v>
      </c>
      <c r="C1028" s="81" t="s">
        <v>513</v>
      </c>
      <c r="D1028" s="73">
        <v>1000</v>
      </c>
      <c r="E1028" s="79" t="s">
        <v>20</v>
      </c>
      <c r="F1028" s="79" t="s">
        <v>3725</v>
      </c>
      <c r="G1028" s="79" t="s">
        <v>2996</v>
      </c>
      <c r="H1028" s="79" t="s">
        <v>43</v>
      </c>
      <c r="I1028" s="81" t="s">
        <v>3000</v>
      </c>
      <c r="J1028" s="81">
        <v>25</v>
      </c>
      <c r="K1028" s="86"/>
      <c r="M1028" s="78" t="s">
        <v>393</v>
      </c>
      <c r="N1028" s="82" t="s">
        <v>396</v>
      </c>
      <c r="O1028" s="81" t="s">
        <v>2356</v>
      </c>
      <c r="P1028" s="81" t="s">
        <v>2803</v>
      </c>
      <c r="Q1028" s="81"/>
      <c r="R1028" s="83" t="s">
        <v>515</v>
      </c>
      <c r="S1028" s="79" t="s">
        <v>3067</v>
      </c>
      <c r="T1028" s="84" t="s">
        <v>3417</v>
      </c>
      <c r="U1028" s="81"/>
      <c r="V1028" s="81"/>
      <c r="W1028" s="78" t="s">
        <v>393</v>
      </c>
      <c r="X1028" s="82" t="s">
        <v>396</v>
      </c>
      <c r="Y1028" s="81" t="s">
        <v>2356</v>
      </c>
      <c r="Z1028" s="81" t="s">
        <v>2803</v>
      </c>
      <c r="AA1028" s="81" t="s">
        <v>516</v>
      </c>
      <c r="AB1028" s="85"/>
      <c r="AD1028" s="78" t="s">
        <v>393</v>
      </c>
      <c r="AE1028" s="82" t="s">
        <v>396</v>
      </c>
      <c r="AF1028" s="81" t="s">
        <v>2356</v>
      </c>
      <c r="AG1028" s="81" t="s">
        <v>2803</v>
      </c>
      <c r="AH1028" s="81" t="s">
        <v>516</v>
      </c>
      <c r="AI1028" s="85"/>
    </row>
    <row r="1029" spans="1:35" s="79" customFormat="1" ht="11.25" customHeight="1" x14ac:dyDescent="0.2">
      <c r="A1029" s="77" t="s">
        <v>663</v>
      </c>
      <c r="B1029" s="80">
        <v>664</v>
      </c>
      <c r="C1029" s="81" t="s">
        <v>662</v>
      </c>
      <c r="D1029" s="73">
        <v>1000</v>
      </c>
      <c r="E1029" s="79" t="s">
        <v>20</v>
      </c>
      <c r="F1029" s="79" t="s">
        <v>3725</v>
      </c>
      <c r="G1029" s="79" t="s">
        <v>2996</v>
      </c>
      <c r="H1029" s="79" t="s">
        <v>43</v>
      </c>
      <c r="I1029" s="81" t="s">
        <v>3000</v>
      </c>
      <c r="J1029" s="81">
        <v>25</v>
      </c>
      <c r="K1029" s="86"/>
      <c r="M1029" s="78" t="s">
        <v>393</v>
      </c>
      <c r="N1029" s="82" t="s">
        <v>396</v>
      </c>
      <c r="O1029" s="81" t="s">
        <v>2389</v>
      </c>
      <c r="P1029" s="81" t="s">
        <v>2818</v>
      </c>
      <c r="Q1029" s="81"/>
      <c r="R1029" s="83" t="s">
        <v>515</v>
      </c>
      <c r="S1029" s="79" t="s">
        <v>3067</v>
      </c>
      <c r="T1029" s="84" t="s">
        <v>3417</v>
      </c>
      <c r="U1029" s="81"/>
      <c r="V1029" s="81"/>
      <c r="W1029" s="78" t="s">
        <v>393</v>
      </c>
      <c r="X1029" s="82" t="s">
        <v>396</v>
      </c>
      <c r="Y1029" s="81" t="s">
        <v>2389</v>
      </c>
      <c r="Z1029" s="81" t="s">
        <v>2818</v>
      </c>
      <c r="AA1029" s="81" t="s">
        <v>516</v>
      </c>
      <c r="AB1029" s="85"/>
      <c r="AD1029" s="78" t="s">
        <v>393</v>
      </c>
      <c r="AE1029" s="82" t="s">
        <v>396</v>
      </c>
      <c r="AF1029" s="81" t="s">
        <v>2389</v>
      </c>
      <c r="AG1029" s="81" t="s">
        <v>2818</v>
      </c>
      <c r="AH1029" s="81" t="s">
        <v>516</v>
      </c>
      <c r="AI1029" s="85"/>
    </row>
    <row r="1030" spans="1:35" s="79" customFormat="1" ht="11.25" customHeight="1" x14ac:dyDescent="0.2">
      <c r="A1030" s="77" t="s">
        <v>392</v>
      </c>
      <c r="B1030" s="80">
        <v>743</v>
      </c>
      <c r="C1030" s="81" t="s">
        <v>391</v>
      </c>
      <c r="D1030" s="73">
        <v>100</v>
      </c>
      <c r="E1030" s="79" t="s">
        <v>20</v>
      </c>
      <c r="F1030" s="79" t="s">
        <v>3725</v>
      </c>
      <c r="G1030" s="79" t="s">
        <v>2996</v>
      </c>
      <c r="H1030" s="79" t="s">
        <v>43</v>
      </c>
      <c r="I1030" s="81" t="s">
        <v>3000</v>
      </c>
      <c r="J1030" s="81">
        <v>25</v>
      </c>
      <c r="K1030" s="86"/>
      <c r="M1030" s="78" t="s">
        <v>393</v>
      </c>
      <c r="N1030" s="82"/>
      <c r="O1030" s="81" t="s">
        <v>2326</v>
      </c>
      <c r="P1030" s="81" t="s">
        <v>2256</v>
      </c>
      <c r="Q1030" s="81"/>
      <c r="R1030" s="83">
        <v>150</v>
      </c>
      <c r="S1030" s="79" t="s">
        <v>3050</v>
      </c>
      <c r="T1030" s="84">
        <v>150000</v>
      </c>
      <c r="U1030" s="81"/>
      <c r="V1030" s="81"/>
      <c r="W1030" s="78" t="s">
        <v>393</v>
      </c>
      <c r="X1030" s="82"/>
      <c r="Y1030" s="81" t="s">
        <v>2326</v>
      </c>
      <c r="Z1030" s="81" t="s">
        <v>2256</v>
      </c>
      <c r="AA1030" s="83">
        <v>1500</v>
      </c>
      <c r="AB1030" s="85"/>
      <c r="AD1030" s="78" t="s">
        <v>393</v>
      </c>
      <c r="AE1030" s="82"/>
      <c r="AF1030" s="81" t="s">
        <v>2326</v>
      </c>
      <c r="AG1030" s="81" t="s">
        <v>2256</v>
      </c>
      <c r="AH1030" s="83">
        <v>1500</v>
      </c>
      <c r="AI1030" s="85"/>
    </row>
    <row r="1031" spans="1:35" s="79" customFormat="1" ht="11.25" customHeight="1" x14ac:dyDescent="0.2">
      <c r="A1031" s="77" t="s">
        <v>2117</v>
      </c>
      <c r="B1031" s="80">
        <v>739</v>
      </c>
      <c r="C1031" s="81" t="s">
        <v>2116</v>
      </c>
      <c r="D1031" s="73">
        <v>1000</v>
      </c>
      <c r="E1031" s="79" t="s">
        <v>20</v>
      </c>
      <c r="F1031" s="79" t="s">
        <v>3725</v>
      </c>
      <c r="G1031" s="79" t="s">
        <v>2996</v>
      </c>
      <c r="H1031" s="79" t="s">
        <v>43</v>
      </c>
      <c r="I1031" s="81" t="s">
        <v>3000</v>
      </c>
      <c r="J1031" s="81">
        <v>25</v>
      </c>
      <c r="K1031" s="86"/>
      <c r="M1031" s="78" t="s">
        <v>393</v>
      </c>
      <c r="N1031" s="82"/>
      <c r="O1031" s="81" t="s">
        <v>2731</v>
      </c>
      <c r="P1031" s="81" t="s">
        <v>2256</v>
      </c>
      <c r="Q1031" s="81"/>
      <c r="R1031" s="83">
        <v>150</v>
      </c>
      <c r="S1031" s="79" t="s">
        <v>3050</v>
      </c>
      <c r="T1031" s="84">
        <v>150000</v>
      </c>
      <c r="U1031" s="81"/>
      <c r="V1031" s="81"/>
      <c r="W1031" s="78" t="s">
        <v>393</v>
      </c>
      <c r="X1031" s="82"/>
      <c r="Y1031" s="81" t="s">
        <v>2731</v>
      </c>
      <c r="Z1031" s="81" t="s">
        <v>2256</v>
      </c>
      <c r="AA1031" s="83">
        <v>1500</v>
      </c>
      <c r="AB1031" s="85"/>
      <c r="AD1031" s="78" t="s">
        <v>393</v>
      </c>
      <c r="AE1031" s="82"/>
      <c r="AF1031" s="81" t="s">
        <v>2731</v>
      </c>
      <c r="AG1031" s="81" t="s">
        <v>2256</v>
      </c>
      <c r="AH1031" s="83">
        <v>1500</v>
      </c>
      <c r="AI1031" s="85"/>
    </row>
    <row r="1032" spans="1:35" s="79" customFormat="1" ht="11.25" customHeight="1" x14ac:dyDescent="0.2">
      <c r="A1032" s="77" t="s">
        <v>665</v>
      </c>
      <c r="B1032" s="80">
        <v>782</v>
      </c>
      <c r="C1032" s="81" t="s">
        <v>664</v>
      </c>
      <c r="D1032" s="73">
        <v>1000</v>
      </c>
      <c r="E1032" s="79" t="s">
        <v>20</v>
      </c>
      <c r="F1032" s="79" t="s">
        <v>30</v>
      </c>
      <c r="G1032" s="79" t="s">
        <v>3001</v>
      </c>
      <c r="H1032" s="79" t="s">
        <v>43</v>
      </c>
      <c r="I1032" s="81" t="s">
        <v>3000</v>
      </c>
      <c r="J1032" s="81">
        <v>25</v>
      </c>
      <c r="K1032" s="86"/>
      <c r="M1032" s="78" t="s">
        <v>393</v>
      </c>
      <c r="N1032" s="82"/>
      <c r="O1032" s="81" t="s">
        <v>2390</v>
      </c>
      <c r="P1032" s="81" t="s">
        <v>2256</v>
      </c>
      <c r="Q1032" s="81"/>
      <c r="R1032" s="83">
        <v>150</v>
      </c>
      <c r="S1032" s="79" t="s">
        <v>3050</v>
      </c>
      <c r="T1032" s="84">
        <v>150000</v>
      </c>
      <c r="U1032" s="81"/>
      <c r="V1032" s="81"/>
      <c r="W1032" s="78" t="s">
        <v>393</v>
      </c>
      <c r="X1032" s="82"/>
      <c r="Y1032" s="81" t="s">
        <v>2390</v>
      </c>
      <c r="Z1032" s="81" t="s">
        <v>2256</v>
      </c>
      <c r="AA1032" s="83">
        <v>1500</v>
      </c>
      <c r="AB1032" s="85"/>
      <c r="AD1032" s="78" t="s">
        <v>393</v>
      </c>
      <c r="AE1032" s="82"/>
      <c r="AF1032" s="81" t="s">
        <v>2390</v>
      </c>
      <c r="AG1032" s="81" t="s">
        <v>2256</v>
      </c>
      <c r="AH1032" s="83">
        <v>1500</v>
      </c>
      <c r="AI1032" s="85"/>
    </row>
    <row r="1033" spans="1:35" s="79" customFormat="1" ht="11.25" customHeight="1" x14ac:dyDescent="0.2">
      <c r="A1033" s="77" t="s">
        <v>1776</v>
      </c>
      <c r="B1033" s="80">
        <v>741</v>
      </c>
      <c r="C1033" s="81" t="s">
        <v>1775</v>
      </c>
      <c r="D1033" s="73">
        <v>100</v>
      </c>
      <c r="E1033" s="79" t="s">
        <v>20</v>
      </c>
      <c r="F1033" s="79" t="s">
        <v>3725</v>
      </c>
      <c r="G1033" s="79" t="s">
        <v>2996</v>
      </c>
      <c r="H1033" s="79" t="s">
        <v>43</v>
      </c>
      <c r="I1033" s="81" t="s">
        <v>3000</v>
      </c>
      <c r="J1033" s="81">
        <v>25</v>
      </c>
      <c r="K1033" s="86"/>
      <c r="M1033" s="78" t="s">
        <v>393</v>
      </c>
      <c r="N1033" s="82"/>
      <c r="O1033" s="81" t="s">
        <v>2662</v>
      </c>
      <c r="P1033" s="81" t="s">
        <v>2256</v>
      </c>
      <c r="Q1033" s="81"/>
      <c r="R1033" s="83">
        <v>150</v>
      </c>
      <c r="S1033" s="79" t="s">
        <v>3050</v>
      </c>
      <c r="T1033" s="84">
        <v>150000</v>
      </c>
      <c r="U1033" s="81"/>
      <c r="V1033" s="81"/>
      <c r="W1033" s="78" t="s">
        <v>393</v>
      </c>
      <c r="X1033" s="82"/>
      <c r="Y1033" s="81" t="s">
        <v>2662</v>
      </c>
      <c r="Z1033" s="81" t="s">
        <v>2256</v>
      </c>
      <c r="AA1033" s="83">
        <v>1500</v>
      </c>
      <c r="AB1033" s="85"/>
      <c r="AD1033" s="78" t="s">
        <v>393</v>
      </c>
      <c r="AE1033" s="82"/>
      <c r="AF1033" s="81" t="s">
        <v>2662</v>
      </c>
      <c r="AG1033" s="81" t="s">
        <v>2256</v>
      </c>
      <c r="AH1033" s="83">
        <v>1500</v>
      </c>
      <c r="AI1033" s="85"/>
    </row>
    <row r="1034" spans="1:35" s="79" customFormat="1" ht="11.25" customHeight="1" x14ac:dyDescent="0.2">
      <c r="A1034" s="77" t="s">
        <v>1870</v>
      </c>
      <c r="B1034" s="80">
        <v>659</v>
      </c>
      <c r="C1034" s="81" t="s">
        <v>393</v>
      </c>
      <c r="D1034" s="73">
        <v>1000</v>
      </c>
      <c r="E1034" s="79" t="s">
        <v>20</v>
      </c>
      <c r="F1034" s="79" t="s">
        <v>3725</v>
      </c>
      <c r="G1034" s="79" t="s">
        <v>2996</v>
      </c>
      <c r="H1034" s="79" t="s">
        <v>43</v>
      </c>
      <c r="I1034" s="81" t="s">
        <v>3000</v>
      </c>
      <c r="J1034" s="81">
        <v>25</v>
      </c>
      <c r="K1034" s="86"/>
      <c r="M1034" s="78" t="s">
        <v>393</v>
      </c>
      <c r="N1034" s="82"/>
      <c r="O1034" s="81" t="s">
        <v>2256</v>
      </c>
      <c r="P1034" s="81" t="s">
        <v>2256</v>
      </c>
      <c r="Q1034" s="81"/>
      <c r="R1034" s="83">
        <v>150</v>
      </c>
      <c r="S1034" s="79" t="s">
        <v>2999</v>
      </c>
      <c r="T1034" s="84">
        <v>150000</v>
      </c>
      <c r="U1034" s="81"/>
      <c r="V1034" s="81"/>
      <c r="W1034" s="78" t="s">
        <v>393</v>
      </c>
      <c r="X1034" s="82"/>
      <c r="Y1034" s="81" t="s">
        <v>2256</v>
      </c>
      <c r="Z1034" s="81" t="s">
        <v>2256</v>
      </c>
      <c r="AA1034" s="83">
        <v>1500</v>
      </c>
      <c r="AB1034" s="85"/>
      <c r="AD1034" s="78" t="s">
        <v>393</v>
      </c>
      <c r="AE1034" s="82"/>
      <c r="AF1034" s="81" t="s">
        <v>2256</v>
      </c>
      <c r="AG1034" s="81" t="s">
        <v>2256</v>
      </c>
      <c r="AH1034" s="83">
        <v>1500</v>
      </c>
      <c r="AI1034" s="85"/>
    </row>
    <row r="1035" spans="1:35" s="79" customFormat="1" ht="11.25" customHeight="1" x14ac:dyDescent="0.2">
      <c r="A1035" s="77" t="s">
        <v>787</v>
      </c>
      <c r="B1035" s="80">
        <v>735</v>
      </c>
      <c r="C1035" s="81" t="s">
        <v>786</v>
      </c>
      <c r="D1035" s="73">
        <v>1000</v>
      </c>
      <c r="E1035" s="79" t="s">
        <v>28</v>
      </c>
      <c r="F1035" s="79" t="s">
        <v>3725</v>
      </c>
      <c r="G1035" s="79" t="s">
        <v>2996</v>
      </c>
      <c r="H1035" s="79" t="s">
        <v>43</v>
      </c>
      <c r="I1035" s="81" t="s">
        <v>3000</v>
      </c>
      <c r="J1035" s="81">
        <v>25</v>
      </c>
      <c r="K1035" s="86"/>
      <c r="M1035" s="78" t="s">
        <v>668</v>
      </c>
      <c r="N1035" s="82" t="s">
        <v>86</v>
      </c>
      <c r="O1035" s="81" t="s">
        <v>2418</v>
      </c>
      <c r="P1035" s="81" t="s">
        <v>2837</v>
      </c>
      <c r="Q1035" s="81"/>
      <c r="R1035" s="83" t="s">
        <v>3444</v>
      </c>
      <c r="S1035" s="79" t="s">
        <v>3109</v>
      </c>
      <c r="T1035" s="84" t="s">
        <v>3575</v>
      </c>
      <c r="U1035" s="81"/>
      <c r="V1035" s="81"/>
      <c r="W1035" s="78" t="s">
        <v>668</v>
      </c>
      <c r="X1035" s="82" t="s">
        <v>86</v>
      </c>
      <c r="Y1035" s="81" t="s">
        <v>2418</v>
      </c>
      <c r="Z1035" s="81" t="s">
        <v>2837</v>
      </c>
      <c r="AA1035" s="81" t="s">
        <v>151</v>
      </c>
      <c r="AB1035" s="85"/>
      <c r="AD1035" s="78" t="s">
        <v>668</v>
      </c>
      <c r="AE1035" s="82" t="s">
        <v>86</v>
      </c>
      <c r="AF1035" s="81" t="s">
        <v>2418</v>
      </c>
      <c r="AG1035" s="81" t="s">
        <v>2837</v>
      </c>
      <c r="AH1035" s="81" t="s">
        <v>151</v>
      </c>
      <c r="AI1035" s="85"/>
    </row>
    <row r="1036" spans="1:35" s="79" customFormat="1" ht="11.25" customHeight="1" x14ac:dyDescent="0.2">
      <c r="A1036" s="77" t="s">
        <v>793</v>
      </c>
      <c r="B1036" s="80">
        <v>1205</v>
      </c>
      <c r="C1036" s="81" t="s">
        <v>792</v>
      </c>
      <c r="D1036" s="73">
        <v>1000</v>
      </c>
      <c r="E1036" s="79" t="s">
        <v>28</v>
      </c>
      <c r="F1036" s="79" t="s">
        <v>3725</v>
      </c>
      <c r="G1036" s="79" t="s">
        <v>2996</v>
      </c>
      <c r="H1036" s="79" t="s">
        <v>43</v>
      </c>
      <c r="I1036" s="81" t="s">
        <v>3000</v>
      </c>
      <c r="J1036" s="81">
        <v>25</v>
      </c>
      <c r="K1036" s="86"/>
      <c r="M1036" s="78" t="s">
        <v>668</v>
      </c>
      <c r="N1036" s="82" t="s">
        <v>86</v>
      </c>
      <c r="O1036" s="81" t="s">
        <v>2420</v>
      </c>
      <c r="P1036" s="81" t="s">
        <v>2839</v>
      </c>
      <c r="Q1036" s="81"/>
      <c r="R1036" s="83" t="s">
        <v>3444</v>
      </c>
      <c r="S1036" s="79" t="s">
        <v>3109</v>
      </c>
      <c r="T1036" s="84" t="s">
        <v>3575</v>
      </c>
      <c r="U1036" s="81"/>
      <c r="V1036" s="81"/>
      <c r="W1036" s="78" t="s">
        <v>668</v>
      </c>
      <c r="X1036" s="82" t="s">
        <v>86</v>
      </c>
      <c r="Y1036" s="81" t="s">
        <v>2420</v>
      </c>
      <c r="Z1036" s="81" t="s">
        <v>2839</v>
      </c>
      <c r="AA1036" s="81" t="s">
        <v>151</v>
      </c>
      <c r="AB1036" s="85"/>
      <c r="AD1036" s="78" t="s">
        <v>668</v>
      </c>
      <c r="AE1036" s="82" t="s">
        <v>86</v>
      </c>
      <c r="AF1036" s="81" t="s">
        <v>2420</v>
      </c>
      <c r="AG1036" s="81" t="s">
        <v>2839</v>
      </c>
      <c r="AH1036" s="81" t="s">
        <v>151</v>
      </c>
      <c r="AI1036" s="85"/>
    </row>
    <row r="1037" spans="1:35" s="79" customFormat="1" ht="11.25" customHeight="1" x14ac:dyDescent="0.2">
      <c r="A1037" s="77" t="s">
        <v>2105</v>
      </c>
      <c r="B1037" s="80">
        <v>605</v>
      </c>
      <c r="C1037" s="81" t="s">
        <v>2104</v>
      </c>
      <c r="D1037" s="73">
        <v>1000</v>
      </c>
      <c r="E1037" s="79" t="s">
        <v>20</v>
      </c>
      <c r="F1037" s="79" t="s">
        <v>3725</v>
      </c>
      <c r="G1037" s="79" t="s">
        <v>2996</v>
      </c>
      <c r="H1037" s="79" t="s">
        <v>43</v>
      </c>
      <c r="I1037" s="81" t="s">
        <v>3000</v>
      </c>
      <c r="J1037" s="81">
        <v>25</v>
      </c>
      <c r="K1037" s="86"/>
      <c r="M1037" s="78" t="s">
        <v>668</v>
      </c>
      <c r="N1037" s="82" t="s">
        <v>150</v>
      </c>
      <c r="O1037" s="81" t="s">
        <v>2725</v>
      </c>
      <c r="P1037" s="81" t="s">
        <v>2977</v>
      </c>
      <c r="Q1037" s="81"/>
      <c r="R1037" s="83" t="s">
        <v>515</v>
      </c>
      <c r="S1037" s="79" t="s">
        <v>3108</v>
      </c>
      <c r="T1037" s="84" t="s">
        <v>3417</v>
      </c>
      <c r="U1037" s="81"/>
      <c r="V1037" s="81"/>
      <c r="W1037" s="78" t="s">
        <v>668</v>
      </c>
      <c r="X1037" s="82" t="s">
        <v>150</v>
      </c>
      <c r="Y1037" s="81" t="s">
        <v>2725</v>
      </c>
      <c r="Z1037" s="81" t="s">
        <v>2977</v>
      </c>
      <c r="AA1037" s="81" t="s">
        <v>516</v>
      </c>
      <c r="AB1037" s="85"/>
      <c r="AD1037" s="78" t="s">
        <v>668</v>
      </c>
      <c r="AE1037" s="82" t="s">
        <v>150</v>
      </c>
      <c r="AF1037" s="81" t="s">
        <v>2725</v>
      </c>
      <c r="AG1037" s="81" t="s">
        <v>2977</v>
      </c>
      <c r="AH1037" s="81" t="s">
        <v>516</v>
      </c>
      <c r="AI1037" s="85"/>
    </row>
    <row r="1038" spans="1:35" s="79" customFormat="1" ht="11.25" customHeight="1" x14ac:dyDescent="0.2">
      <c r="A1038" s="77" t="s">
        <v>785</v>
      </c>
      <c r="B1038" s="80">
        <v>734</v>
      </c>
      <c r="C1038" s="81" t="s">
        <v>784</v>
      </c>
      <c r="D1038" s="73">
        <v>1000</v>
      </c>
      <c r="E1038" s="79" t="s">
        <v>20</v>
      </c>
      <c r="F1038" s="79" t="s">
        <v>3725</v>
      </c>
      <c r="G1038" s="79" t="s">
        <v>2996</v>
      </c>
      <c r="H1038" s="79" t="s">
        <v>43</v>
      </c>
      <c r="I1038" s="81" t="s">
        <v>3000</v>
      </c>
      <c r="J1038" s="81">
        <v>25</v>
      </c>
      <c r="K1038" s="86"/>
      <c r="M1038" s="78" t="s">
        <v>668</v>
      </c>
      <c r="N1038" s="82" t="s">
        <v>150</v>
      </c>
      <c r="O1038" s="81" t="s">
        <v>2417</v>
      </c>
      <c r="P1038" s="81" t="s">
        <v>2836</v>
      </c>
      <c r="Q1038" s="81"/>
      <c r="R1038" s="83" t="s">
        <v>515</v>
      </c>
      <c r="S1038" s="79" t="s">
        <v>3108</v>
      </c>
      <c r="T1038" s="84" t="s">
        <v>3417</v>
      </c>
      <c r="U1038" s="81"/>
      <c r="V1038" s="81"/>
      <c r="W1038" s="78" t="s">
        <v>668</v>
      </c>
      <c r="X1038" s="82" t="s">
        <v>150</v>
      </c>
      <c r="Y1038" s="81" t="s">
        <v>2417</v>
      </c>
      <c r="Z1038" s="81" t="s">
        <v>2836</v>
      </c>
      <c r="AA1038" s="81" t="s">
        <v>516</v>
      </c>
      <c r="AB1038" s="85"/>
      <c r="AD1038" s="78" t="s">
        <v>668</v>
      </c>
      <c r="AE1038" s="82" t="s">
        <v>150</v>
      </c>
      <c r="AF1038" s="81" t="s">
        <v>2417</v>
      </c>
      <c r="AG1038" s="81" t="s">
        <v>2836</v>
      </c>
      <c r="AH1038" s="81" t="s">
        <v>516</v>
      </c>
      <c r="AI1038" s="85"/>
    </row>
    <row r="1039" spans="1:35" s="79" customFormat="1" ht="11.25" customHeight="1" x14ac:dyDescent="0.2">
      <c r="A1039" s="77" t="s">
        <v>667</v>
      </c>
      <c r="B1039" s="80">
        <v>212</v>
      </c>
      <c r="C1039" s="81" t="s">
        <v>666</v>
      </c>
      <c r="D1039" s="73">
        <v>1000</v>
      </c>
      <c r="E1039" s="79" t="s">
        <v>20</v>
      </c>
      <c r="F1039" s="79" t="s">
        <v>3725</v>
      </c>
      <c r="G1039" s="79" t="s">
        <v>2996</v>
      </c>
      <c r="H1039" s="79" t="s">
        <v>43</v>
      </c>
      <c r="I1039" s="81" t="s">
        <v>3000</v>
      </c>
      <c r="J1039" s="81">
        <v>25</v>
      </c>
      <c r="K1039" s="86"/>
      <c r="M1039" s="78" t="s">
        <v>668</v>
      </c>
      <c r="N1039" s="82"/>
      <c r="O1039" s="81" t="s">
        <v>2391</v>
      </c>
      <c r="P1039" s="81" t="s">
        <v>2256</v>
      </c>
      <c r="Q1039" s="81"/>
      <c r="R1039" s="83">
        <v>150</v>
      </c>
      <c r="S1039" s="79" t="s">
        <v>3087</v>
      </c>
      <c r="T1039" s="84">
        <v>150000</v>
      </c>
      <c r="U1039" s="81"/>
      <c r="V1039" s="81"/>
      <c r="W1039" s="78" t="s">
        <v>668</v>
      </c>
      <c r="X1039" s="82"/>
      <c r="Y1039" s="81" t="s">
        <v>2391</v>
      </c>
      <c r="Z1039" s="81" t="s">
        <v>2256</v>
      </c>
      <c r="AA1039" s="83">
        <v>1500</v>
      </c>
      <c r="AB1039" s="85"/>
      <c r="AD1039" s="78" t="s">
        <v>668</v>
      </c>
      <c r="AE1039" s="82"/>
      <c r="AF1039" s="81" t="s">
        <v>2391</v>
      </c>
      <c r="AG1039" s="81" t="s">
        <v>2256</v>
      </c>
      <c r="AH1039" s="83">
        <v>1500</v>
      </c>
      <c r="AI1039" s="85"/>
    </row>
    <row r="1040" spans="1:35" s="79" customFormat="1" ht="11.25" customHeight="1" x14ac:dyDescent="0.2">
      <c r="A1040" s="77" t="s">
        <v>1306</v>
      </c>
      <c r="B1040" s="80">
        <v>1248</v>
      </c>
      <c r="C1040" s="81" t="s">
        <v>1305</v>
      </c>
      <c r="D1040" s="73">
        <v>100</v>
      </c>
      <c r="E1040" s="79" t="s">
        <v>20</v>
      </c>
      <c r="F1040" s="79" t="s">
        <v>3725</v>
      </c>
      <c r="G1040" s="79" t="s">
        <v>2996</v>
      </c>
      <c r="H1040" s="79" t="s">
        <v>43</v>
      </c>
      <c r="I1040" s="81" t="s">
        <v>3000</v>
      </c>
      <c r="J1040" s="81">
        <v>25</v>
      </c>
      <c r="K1040" s="86"/>
      <c r="M1040" s="78" t="s">
        <v>668</v>
      </c>
      <c r="N1040" s="82"/>
      <c r="O1040" s="81" t="s">
        <v>2552</v>
      </c>
      <c r="P1040" s="81" t="s">
        <v>2256</v>
      </c>
      <c r="Q1040" s="81"/>
      <c r="R1040" s="83">
        <v>150</v>
      </c>
      <c r="S1040" s="79" t="s">
        <v>3087</v>
      </c>
      <c r="T1040" s="84">
        <v>150000</v>
      </c>
      <c r="U1040" s="81"/>
      <c r="V1040" s="81"/>
      <c r="W1040" s="78" t="s">
        <v>668</v>
      </c>
      <c r="X1040" s="82"/>
      <c r="Y1040" s="81" t="s">
        <v>2552</v>
      </c>
      <c r="Z1040" s="81" t="s">
        <v>2256</v>
      </c>
      <c r="AA1040" s="83">
        <v>1500</v>
      </c>
      <c r="AB1040" s="85"/>
      <c r="AD1040" s="78" t="s">
        <v>668</v>
      </c>
      <c r="AE1040" s="82"/>
      <c r="AF1040" s="81" t="s">
        <v>2552</v>
      </c>
      <c r="AG1040" s="81" t="s">
        <v>2256</v>
      </c>
      <c r="AH1040" s="83">
        <v>1500</v>
      </c>
      <c r="AI1040" s="85"/>
    </row>
    <row r="1041" spans="1:35" s="79" customFormat="1" ht="11.25" customHeight="1" x14ac:dyDescent="0.2">
      <c r="A1041" s="77" t="s">
        <v>1871</v>
      </c>
      <c r="B1041" s="80">
        <v>661</v>
      </c>
      <c r="C1041" s="81" t="s">
        <v>668</v>
      </c>
      <c r="D1041" s="73">
        <v>1000</v>
      </c>
      <c r="E1041" s="79" t="s">
        <v>20</v>
      </c>
      <c r="F1041" s="79" t="s">
        <v>3725</v>
      </c>
      <c r="G1041" s="79" t="s">
        <v>2996</v>
      </c>
      <c r="H1041" s="79" t="s">
        <v>43</v>
      </c>
      <c r="I1041" s="81" t="s">
        <v>3000</v>
      </c>
      <c r="J1041" s="81">
        <v>25</v>
      </c>
      <c r="K1041" s="86"/>
      <c r="M1041" s="78" t="s">
        <v>668</v>
      </c>
      <c r="N1041" s="82"/>
      <c r="O1041" s="81" t="s">
        <v>2256</v>
      </c>
      <c r="P1041" s="81" t="s">
        <v>2256</v>
      </c>
      <c r="Q1041" s="81"/>
      <c r="R1041" s="83">
        <v>150</v>
      </c>
      <c r="S1041" s="79" t="s">
        <v>2999</v>
      </c>
      <c r="T1041" s="84">
        <v>150000</v>
      </c>
      <c r="U1041" s="81"/>
      <c r="V1041" s="81"/>
      <c r="W1041" s="78" t="s">
        <v>668</v>
      </c>
      <c r="X1041" s="82"/>
      <c r="Y1041" s="81" t="s">
        <v>2256</v>
      </c>
      <c r="Z1041" s="81" t="s">
        <v>2256</v>
      </c>
      <c r="AA1041" s="83">
        <v>1500</v>
      </c>
      <c r="AB1041" s="85"/>
      <c r="AD1041" s="78" t="s">
        <v>668</v>
      </c>
      <c r="AE1041" s="82"/>
      <c r="AF1041" s="81" t="s">
        <v>2256</v>
      </c>
      <c r="AG1041" s="81" t="s">
        <v>2256</v>
      </c>
      <c r="AH1041" s="83">
        <v>1500</v>
      </c>
      <c r="AI1041" s="85"/>
    </row>
    <row r="1042" spans="1:35" s="79" customFormat="1" ht="11.25" customHeight="1" x14ac:dyDescent="0.2">
      <c r="A1042" s="77" t="s">
        <v>2134</v>
      </c>
      <c r="B1042" s="80">
        <v>479</v>
      </c>
      <c r="C1042" s="81" t="s">
        <v>2133</v>
      </c>
      <c r="D1042" s="73">
        <v>1000</v>
      </c>
      <c r="E1042" s="79" t="s">
        <v>20</v>
      </c>
      <c r="F1042" s="79" t="s">
        <v>3725</v>
      </c>
      <c r="G1042" s="79" t="s">
        <v>2996</v>
      </c>
      <c r="H1042" s="79" t="s">
        <v>43</v>
      </c>
      <c r="I1042" s="81" t="s">
        <v>3000</v>
      </c>
      <c r="J1042" s="81">
        <v>25</v>
      </c>
      <c r="K1042" s="86"/>
      <c r="M1042" s="78" t="s">
        <v>504</v>
      </c>
      <c r="N1042" s="82" t="s">
        <v>135</v>
      </c>
      <c r="O1042" s="81" t="s">
        <v>2738</v>
      </c>
      <c r="P1042" s="81" t="s">
        <v>2980</v>
      </c>
      <c r="Q1042" s="81"/>
      <c r="R1042" s="83" t="s">
        <v>3426</v>
      </c>
      <c r="S1042" s="79" t="s">
        <v>3146</v>
      </c>
      <c r="T1042" s="84" t="s">
        <v>3599</v>
      </c>
      <c r="U1042" s="81"/>
      <c r="V1042" s="81"/>
      <c r="W1042" s="78" t="s">
        <v>504</v>
      </c>
      <c r="X1042" s="82" t="s">
        <v>135</v>
      </c>
      <c r="Y1042" s="81" t="s">
        <v>2738</v>
      </c>
      <c r="Z1042" s="81" t="s">
        <v>2980</v>
      </c>
      <c r="AA1042" s="81" t="s">
        <v>1076</v>
      </c>
      <c r="AB1042" s="85"/>
      <c r="AD1042" s="78" t="s">
        <v>504</v>
      </c>
      <c r="AE1042" s="82" t="s">
        <v>135</v>
      </c>
      <c r="AF1042" s="81" t="s">
        <v>2738</v>
      </c>
      <c r="AG1042" s="81" t="s">
        <v>2980</v>
      </c>
      <c r="AH1042" s="81" t="s">
        <v>1076</v>
      </c>
      <c r="AI1042" s="85"/>
    </row>
    <row r="1043" spans="1:35" s="79" customFormat="1" ht="11.25" customHeight="1" x14ac:dyDescent="0.2">
      <c r="A1043" s="77" t="s">
        <v>1075</v>
      </c>
      <c r="B1043" s="80">
        <v>722</v>
      </c>
      <c r="C1043" s="81" t="s">
        <v>1074</v>
      </c>
      <c r="D1043" s="73">
        <v>1000</v>
      </c>
      <c r="E1043" s="79" t="s">
        <v>20</v>
      </c>
      <c r="F1043" s="79" t="s">
        <v>3725</v>
      </c>
      <c r="G1043" s="79" t="s">
        <v>2996</v>
      </c>
      <c r="H1043" s="79" t="s">
        <v>43</v>
      </c>
      <c r="I1043" s="81"/>
      <c r="J1043" s="81">
        <v>25</v>
      </c>
      <c r="K1043" s="86"/>
      <c r="M1043" s="78" t="s">
        <v>504</v>
      </c>
      <c r="N1043" s="82" t="s">
        <v>135</v>
      </c>
      <c r="O1043" s="81" t="s">
        <v>2491</v>
      </c>
      <c r="P1043" s="81" t="s">
        <v>2876</v>
      </c>
      <c r="Q1043" s="81"/>
      <c r="R1043" s="83" t="s">
        <v>3426</v>
      </c>
      <c r="S1043" s="79" t="s">
        <v>3146</v>
      </c>
      <c r="T1043" s="84" t="s">
        <v>3599</v>
      </c>
      <c r="U1043" s="81"/>
      <c r="V1043" s="81"/>
      <c r="W1043" s="78" t="s">
        <v>504</v>
      </c>
      <c r="X1043" s="82" t="s">
        <v>135</v>
      </c>
      <c r="Y1043" s="81" t="s">
        <v>2491</v>
      </c>
      <c r="Z1043" s="81" t="s">
        <v>2876</v>
      </c>
      <c r="AA1043" s="81" t="s">
        <v>1076</v>
      </c>
      <c r="AB1043" s="85"/>
      <c r="AD1043" s="78" t="s">
        <v>504</v>
      </c>
      <c r="AE1043" s="82" t="s">
        <v>135</v>
      </c>
      <c r="AF1043" s="81" t="s">
        <v>2491</v>
      </c>
      <c r="AG1043" s="81" t="s">
        <v>2876</v>
      </c>
      <c r="AH1043" s="81" t="s">
        <v>1076</v>
      </c>
      <c r="AI1043" s="85"/>
    </row>
    <row r="1044" spans="1:35" s="79" customFormat="1" ht="11.25" customHeight="1" x14ac:dyDescent="0.2">
      <c r="A1044" s="77" t="s">
        <v>1298</v>
      </c>
      <c r="B1044" s="80">
        <v>232</v>
      </c>
      <c r="C1044" s="81" t="s">
        <v>1297</v>
      </c>
      <c r="D1044" s="73">
        <v>100</v>
      </c>
      <c r="E1044" s="79" t="s">
        <v>20</v>
      </c>
      <c r="F1044" s="79" t="s">
        <v>3725</v>
      </c>
      <c r="G1044" s="79" t="s">
        <v>2996</v>
      </c>
      <c r="H1044" s="79" t="s">
        <v>43</v>
      </c>
      <c r="I1044" s="81" t="s">
        <v>3000</v>
      </c>
      <c r="J1044" s="81">
        <v>25</v>
      </c>
      <c r="K1044" s="86"/>
      <c r="M1044" s="78" t="s">
        <v>504</v>
      </c>
      <c r="N1044" s="82" t="s">
        <v>135</v>
      </c>
      <c r="O1044" s="81" t="s">
        <v>2549</v>
      </c>
      <c r="P1044" s="81" t="s">
        <v>2901</v>
      </c>
      <c r="Q1044" s="81"/>
      <c r="R1044" s="83" t="s">
        <v>3426</v>
      </c>
      <c r="S1044" s="79" t="s">
        <v>3146</v>
      </c>
      <c r="T1044" s="84" t="s">
        <v>3599</v>
      </c>
      <c r="U1044" s="81"/>
      <c r="V1044" s="81"/>
      <c r="W1044" s="78" t="s">
        <v>504</v>
      </c>
      <c r="X1044" s="82" t="s">
        <v>135</v>
      </c>
      <c r="Y1044" s="81" t="s">
        <v>2549</v>
      </c>
      <c r="Z1044" s="81" t="s">
        <v>2901</v>
      </c>
      <c r="AA1044" s="81" t="s">
        <v>1076</v>
      </c>
      <c r="AB1044" s="85"/>
      <c r="AD1044" s="78" t="s">
        <v>504</v>
      </c>
      <c r="AE1044" s="82" t="s">
        <v>135</v>
      </c>
      <c r="AF1044" s="81" t="s">
        <v>2549</v>
      </c>
      <c r="AG1044" s="81" t="s">
        <v>2901</v>
      </c>
      <c r="AH1044" s="81" t="s">
        <v>1076</v>
      </c>
      <c r="AI1044" s="85"/>
    </row>
    <row r="1045" spans="1:35" s="79" customFormat="1" ht="11.25" customHeight="1" x14ac:dyDescent="0.2">
      <c r="A1045" s="77" t="s">
        <v>502</v>
      </c>
      <c r="B1045" s="81" t="s">
        <v>503</v>
      </c>
      <c r="C1045" s="81" t="s">
        <v>501</v>
      </c>
      <c r="D1045" s="73">
        <v>1000</v>
      </c>
      <c r="E1045" s="79" t="s">
        <v>20</v>
      </c>
      <c r="F1045" s="79" t="s">
        <v>30</v>
      </c>
      <c r="G1045" s="79" t="s">
        <v>3001</v>
      </c>
      <c r="H1045" s="79" t="s">
        <v>43</v>
      </c>
      <c r="I1045" s="81" t="s">
        <v>3000</v>
      </c>
      <c r="J1045" s="81">
        <v>25</v>
      </c>
      <c r="K1045" s="86"/>
      <c r="M1045" s="78" t="s">
        <v>504</v>
      </c>
      <c r="N1045" s="82"/>
      <c r="O1045" s="81" t="s">
        <v>2354</v>
      </c>
      <c r="P1045" s="81" t="s">
        <v>2256</v>
      </c>
      <c r="Q1045" s="81"/>
      <c r="R1045" s="83">
        <v>150</v>
      </c>
      <c r="S1045" s="79" t="s">
        <v>3066</v>
      </c>
      <c r="T1045" s="84">
        <v>150000</v>
      </c>
      <c r="U1045" s="81"/>
      <c r="V1045" s="81"/>
      <c r="W1045" s="78" t="s">
        <v>504</v>
      </c>
      <c r="X1045" s="82"/>
      <c r="Y1045" s="81" t="s">
        <v>2354</v>
      </c>
      <c r="Z1045" s="81" t="s">
        <v>2256</v>
      </c>
      <c r="AA1045" s="83">
        <v>1500</v>
      </c>
      <c r="AB1045" s="85"/>
      <c r="AD1045" s="78" t="s">
        <v>504</v>
      </c>
      <c r="AE1045" s="82"/>
      <c r="AF1045" s="81" t="s">
        <v>2354</v>
      </c>
      <c r="AG1045" s="81" t="s">
        <v>2256</v>
      </c>
      <c r="AH1045" s="83">
        <v>1500</v>
      </c>
      <c r="AI1045" s="85"/>
    </row>
    <row r="1046" spans="1:35" s="79" customFormat="1" ht="11.25" customHeight="1" x14ac:dyDescent="0.2">
      <c r="A1046" s="77" t="s">
        <v>752</v>
      </c>
      <c r="B1046" s="80">
        <v>484</v>
      </c>
      <c r="C1046" s="81" t="s">
        <v>751</v>
      </c>
      <c r="D1046" s="73">
        <v>1000</v>
      </c>
      <c r="E1046" s="79" t="s">
        <v>20</v>
      </c>
      <c r="F1046" s="79" t="s">
        <v>3725</v>
      </c>
      <c r="G1046" s="79" t="s">
        <v>2996</v>
      </c>
      <c r="H1046" s="79" t="s">
        <v>43</v>
      </c>
      <c r="I1046" s="81" t="s">
        <v>3000</v>
      </c>
      <c r="J1046" s="81">
        <v>25</v>
      </c>
      <c r="K1046" s="86"/>
      <c r="M1046" s="78" t="s">
        <v>504</v>
      </c>
      <c r="N1046" s="82"/>
      <c r="O1046" s="81" t="s">
        <v>2405</v>
      </c>
      <c r="P1046" s="81" t="s">
        <v>2256</v>
      </c>
      <c r="Q1046" s="81"/>
      <c r="R1046" s="83">
        <v>150</v>
      </c>
      <c r="S1046" s="79" t="s">
        <v>3066</v>
      </c>
      <c r="T1046" s="84">
        <v>150000</v>
      </c>
      <c r="U1046" s="81"/>
      <c r="V1046" s="81"/>
      <c r="W1046" s="78" t="s">
        <v>504</v>
      </c>
      <c r="X1046" s="82"/>
      <c r="Y1046" s="81" t="s">
        <v>2405</v>
      </c>
      <c r="Z1046" s="81" t="s">
        <v>2256</v>
      </c>
      <c r="AA1046" s="83">
        <v>1500</v>
      </c>
      <c r="AB1046" s="85"/>
      <c r="AD1046" s="78" t="s">
        <v>504</v>
      </c>
      <c r="AE1046" s="82"/>
      <c r="AF1046" s="81" t="s">
        <v>2405</v>
      </c>
      <c r="AG1046" s="81" t="s">
        <v>2256</v>
      </c>
      <c r="AH1046" s="83">
        <v>1500</v>
      </c>
      <c r="AI1046" s="85"/>
    </row>
    <row r="1047" spans="1:35" s="79" customFormat="1" ht="11.25" customHeight="1" x14ac:dyDescent="0.2">
      <c r="A1047" s="77" t="s">
        <v>1872</v>
      </c>
      <c r="B1047" s="80">
        <v>651</v>
      </c>
      <c r="C1047" s="81" t="s">
        <v>504</v>
      </c>
      <c r="D1047" s="73">
        <v>1000</v>
      </c>
      <c r="E1047" s="79" t="s">
        <v>20</v>
      </c>
      <c r="F1047" s="79" t="s">
        <v>3725</v>
      </c>
      <c r="G1047" s="79" t="s">
        <v>2996</v>
      </c>
      <c r="H1047" s="79" t="s">
        <v>43</v>
      </c>
      <c r="I1047" s="81" t="s">
        <v>3000</v>
      </c>
      <c r="J1047" s="81">
        <v>25</v>
      </c>
      <c r="K1047" s="86"/>
      <c r="M1047" s="78" t="s">
        <v>504</v>
      </c>
      <c r="N1047" s="82"/>
      <c r="O1047" s="81" t="s">
        <v>2256</v>
      </c>
      <c r="P1047" s="81" t="s">
        <v>2256</v>
      </c>
      <c r="Q1047" s="81"/>
      <c r="R1047" s="83">
        <v>150</v>
      </c>
      <c r="S1047" s="79" t="s">
        <v>2999</v>
      </c>
      <c r="T1047" s="84">
        <v>150000</v>
      </c>
      <c r="U1047" s="81"/>
      <c r="V1047" s="81"/>
      <c r="W1047" s="78" t="s">
        <v>504</v>
      </c>
      <c r="X1047" s="82"/>
      <c r="Y1047" s="81" t="s">
        <v>2256</v>
      </c>
      <c r="Z1047" s="81" t="s">
        <v>2256</v>
      </c>
      <c r="AA1047" s="83">
        <v>1500</v>
      </c>
      <c r="AB1047" s="85"/>
      <c r="AD1047" s="78" t="s">
        <v>504</v>
      </c>
      <c r="AE1047" s="82"/>
      <c r="AF1047" s="81" t="s">
        <v>2256</v>
      </c>
      <c r="AG1047" s="81" t="s">
        <v>2256</v>
      </c>
      <c r="AH1047" s="83">
        <v>1500</v>
      </c>
      <c r="AI1047" s="85"/>
    </row>
    <row r="1048" spans="1:35" s="79" customFormat="1" ht="11.25" customHeight="1" x14ac:dyDescent="0.2">
      <c r="A1048" s="77" t="s">
        <v>546</v>
      </c>
      <c r="B1048" s="81" t="s">
        <v>547</v>
      </c>
      <c r="C1048" s="81" t="s">
        <v>545</v>
      </c>
      <c r="D1048" s="73">
        <v>1000</v>
      </c>
      <c r="E1048" s="79" t="s">
        <v>28</v>
      </c>
      <c r="F1048" s="79" t="s">
        <v>30</v>
      </c>
      <c r="G1048" s="79" t="s">
        <v>3001</v>
      </c>
      <c r="H1048" s="79" t="s">
        <v>43</v>
      </c>
      <c r="I1048" s="81" t="s">
        <v>3000</v>
      </c>
      <c r="J1048" s="81">
        <v>25</v>
      </c>
      <c r="K1048" s="86"/>
      <c r="M1048" s="78" t="s">
        <v>548</v>
      </c>
      <c r="N1048" s="82" t="s">
        <v>86</v>
      </c>
      <c r="O1048" s="81" t="s">
        <v>3732</v>
      </c>
      <c r="P1048" s="81" t="s">
        <v>2807</v>
      </c>
      <c r="Q1048" s="81"/>
      <c r="R1048" s="83" t="s">
        <v>3444</v>
      </c>
      <c r="S1048" s="79" t="s">
        <v>3072</v>
      </c>
      <c r="T1048" s="84" t="s">
        <v>3575</v>
      </c>
      <c r="U1048" s="81"/>
      <c r="V1048" s="81"/>
      <c r="W1048" s="78" t="s">
        <v>548</v>
      </c>
      <c r="X1048" s="82" t="s">
        <v>86</v>
      </c>
      <c r="Y1048" s="81" t="s">
        <v>3732</v>
      </c>
      <c r="Z1048" s="81" t="s">
        <v>2807</v>
      </c>
      <c r="AA1048" s="81" t="s">
        <v>151</v>
      </c>
      <c r="AB1048" s="85"/>
      <c r="AD1048" s="78" t="s">
        <v>548</v>
      </c>
      <c r="AE1048" s="82" t="s">
        <v>86</v>
      </c>
      <c r="AF1048" s="81" t="s">
        <v>3732</v>
      </c>
      <c r="AG1048" s="81" t="s">
        <v>2807</v>
      </c>
      <c r="AH1048" s="81" t="s">
        <v>151</v>
      </c>
      <c r="AI1048" s="85"/>
    </row>
    <row r="1049" spans="1:35" s="79" customFormat="1" ht="11.25" customHeight="1" x14ac:dyDescent="0.2">
      <c r="A1049" s="77" t="s">
        <v>566</v>
      </c>
      <c r="B1049" s="80">
        <v>636</v>
      </c>
      <c r="C1049" s="81" t="s">
        <v>565</v>
      </c>
      <c r="D1049" s="73">
        <v>1000</v>
      </c>
      <c r="E1049" s="79" t="s">
        <v>28</v>
      </c>
      <c r="F1049" s="79" t="s">
        <v>3725</v>
      </c>
      <c r="G1049" s="79" t="s">
        <v>2996</v>
      </c>
      <c r="H1049" s="79" t="s">
        <v>43</v>
      </c>
      <c r="I1049" s="81" t="s">
        <v>3000</v>
      </c>
      <c r="J1049" s="81">
        <v>25</v>
      </c>
      <c r="K1049" s="86"/>
      <c r="M1049" s="78" t="s">
        <v>548</v>
      </c>
      <c r="N1049" s="82" t="s">
        <v>86</v>
      </c>
      <c r="O1049" s="81" t="s">
        <v>2367</v>
      </c>
      <c r="P1049" s="81" t="s">
        <v>2811</v>
      </c>
      <c r="Q1049" s="81"/>
      <c r="R1049" s="83" t="s">
        <v>3444</v>
      </c>
      <c r="S1049" s="79" t="s">
        <v>3072</v>
      </c>
      <c r="T1049" s="84" t="s">
        <v>3575</v>
      </c>
      <c r="U1049" s="81"/>
      <c r="V1049" s="81"/>
      <c r="W1049" s="78" t="s">
        <v>548</v>
      </c>
      <c r="X1049" s="82" t="s">
        <v>86</v>
      </c>
      <c r="Y1049" s="81" t="s">
        <v>2367</v>
      </c>
      <c r="Z1049" s="81" t="s">
        <v>2811</v>
      </c>
      <c r="AA1049" s="81" t="s">
        <v>151</v>
      </c>
      <c r="AB1049" s="85"/>
      <c r="AD1049" s="78" t="s">
        <v>548</v>
      </c>
      <c r="AE1049" s="82" t="s">
        <v>86</v>
      </c>
      <c r="AF1049" s="81" t="s">
        <v>2367</v>
      </c>
      <c r="AG1049" s="81" t="s">
        <v>2811</v>
      </c>
      <c r="AH1049" s="81" t="s">
        <v>151</v>
      </c>
      <c r="AI1049" s="85"/>
    </row>
    <row r="1050" spans="1:35" s="79" customFormat="1" ht="11.25" customHeight="1" x14ac:dyDescent="0.2">
      <c r="A1050" s="77" t="s">
        <v>684</v>
      </c>
      <c r="B1050" s="80">
        <v>713</v>
      </c>
      <c r="C1050" s="81" t="s">
        <v>683</v>
      </c>
      <c r="D1050" s="73">
        <v>1000</v>
      </c>
      <c r="E1050" s="79" t="s">
        <v>28</v>
      </c>
      <c r="F1050" s="79" t="s">
        <v>3725</v>
      </c>
      <c r="G1050" s="79" t="s">
        <v>2996</v>
      </c>
      <c r="H1050" s="79" t="s">
        <v>43</v>
      </c>
      <c r="I1050" s="81" t="s">
        <v>3000</v>
      </c>
      <c r="J1050" s="81">
        <v>25</v>
      </c>
      <c r="K1050" s="86"/>
      <c r="M1050" s="78" t="s">
        <v>548</v>
      </c>
      <c r="N1050" s="82" t="s">
        <v>86</v>
      </c>
      <c r="O1050" s="81" t="s">
        <v>2392</v>
      </c>
      <c r="P1050" s="81" t="s">
        <v>2819</v>
      </c>
      <c r="Q1050" s="81"/>
      <c r="R1050" s="83" t="s">
        <v>3444</v>
      </c>
      <c r="S1050" s="79" t="s">
        <v>3072</v>
      </c>
      <c r="T1050" s="84" t="s">
        <v>3575</v>
      </c>
      <c r="U1050" s="81"/>
      <c r="V1050" s="81"/>
      <c r="W1050" s="78" t="s">
        <v>548</v>
      </c>
      <c r="X1050" s="82" t="s">
        <v>86</v>
      </c>
      <c r="Y1050" s="81" t="s">
        <v>2392</v>
      </c>
      <c r="Z1050" s="81" t="s">
        <v>2819</v>
      </c>
      <c r="AA1050" s="81" t="s">
        <v>151</v>
      </c>
      <c r="AB1050" s="85"/>
      <c r="AD1050" s="78" t="s">
        <v>548</v>
      </c>
      <c r="AE1050" s="82" t="s">
        <v>86</v>
      </c>
      <c r="AF1050" s="81" t="s">
        <v>2392</v>
      </c>
      <c r="AG1050" s="81" t="s">
        <v>2819</v>
      </c>
      <c r="AH1050" s="81" t="s">
        <v>151</v>
      </c>
      <c r="AI1050" s="85"/>
    </row>
    <row r="1051" spans="1:35" s="79" customFormat="1" ht="11.25" customHeight="1" x14ac:dyDescent="0.2">
      <c r="A1051" s="77" t="s">
        <v>1376</v>
      </c>
      <c r="B1051" s="80">
        <v>149</v>
      </c>
      <c r="C1051" s="81" t="s">
        <v>1375</v>
      </c>
      <c r="D1051" s="73">
        <v>8900</v>
      </c>
      <c r="E1051" s="79" t="s">
        <v>28</v>
      </c>
      <c r="F1051" s="79" t="s">
        <v>3725</v>
      </c>
      <c r="G1051" s="79" t="s">
        <v>2996</v>
      </c>
      <c r="H1051" s="79" t="s">
        <v>43</v>
      </c>
      <c r="I1051" s="81" t="s">
        <v>3000</v>
      </c>
      <c r="J1051" s="81">
        <v>25</v>
      </c>
      <c r="K1051" s="86"/>
      <c r="M1051" s="78" t="s">
        <v>548</v>
      </c>
      <c r="N1051" s="82" t="s">
        <v>95</v>
      </c>
      <c r="O1051" s="81" t="s">
        <v>2571</v>
      </c>
      <c r="P1051" s="81" t="s">
        <v>2912</v>
      </c>
      <c r="Q1051" s="81"/>
      <c r="R1051" s="83" t="s">
        <v>3444</v>
      </c>
      <c r="S1051" s="79" t="s">
        <v>3171</v>
      </c>
      <c r="T1051" s="84" t="s">
        <v>3575</v>
      </c>
      <c r="U1051" s="81"/>
      <c r="V1051" s="81"/>
      <c r="W1051" s="78" t="s">
        <v>548</v>
      </c>
      <c r="X1051" s="82" t="s">
        <v>95</v>
      </c>
      <c r="Y1051" s="81" t="s">
        <v>2571</v>
      </c>
      <c r="Z1051" s="81" t="s">
        <v>2912</v>
      </c>
      <c r="AA1051" s="81" t="s">
        <v>151</v>
      </c>
      <c r="AB1051" s="85"/>
      <c r="AD1051" s="78" t="s">
        <v>548</v>
      </c>
      <c r="AE1051" s="82" t="s">
        <v>95</v>
      </c>
      <c r="AF1051" s="81" t="s">
        <v>2571</v>
      </c>
      <c r="AG1051" s="81" t="s">
        <v>2912</v>
      </c>
      <c r="AH1051" s="81" t="s">
        <v>151</v>
      </c>
      <c r="AI1051" s="85"/>
    </row>
    <row r="1052" spans="1:35" s="79" customFormat="1" ht="11.25" customHeight="1" x14ac:dyDescent="0.2">
      <c r="A1052" s="77" t="s">
        <v>1406</v>
      </c>
      <c r="B1052" s="80">
        <v>148</v>
      </c>
      <c r="C1052" s="81" t="s">
        <v>1405</v>
      </c>
      <c r="D1052" s="73">
        <v>8900</v>
      </c>
      <c r="E1052" s="79" t="s">
        <v>28</v>
      </c>
      <c r="F1052" s="79" t="s">
        <v>3725</v>
      </c>
      <c r="G1052" s="79" t="s">
        <v>2996</v>
      </c>
      <c r="H1052" s="79" t="s">
        <v>43</v>
      </c>
      <c r="I1052" s="81" t="s">
        <v>3000</v>
      </c>
      <c r="J1052" s="81">
        <v>25</v>
      </c>
      <c r="K1052" s="86"/>
      <c r="M1052" s="78" t="s">
        <v>548</v>
      </c>
      <c r="N1052" s="82" t="s">
        <v>95</v>
      </c>
      <c r="O1052" s="81" t="s">
        <v>2577</v>
      </c>
      <c r="P1052" s="81" t="s">
        <v>2915</v>
      </c>
      <c r="Q1052" s="81"/>
      <c r="R1052" s="83" t="s">
        <v>3444</v>
      </c>
      <c r="S1052" s="79" t="s">
        <v>3171</v>
      </c>
      <c r="T1052" s="84" t="s">
        <v>3575</v>
      </c>
      <c r="U1052" s="81"/>
      <c r="V1052" s="81"/>
      <c r="W1052" s="78" t="s">
        <v>548</v>
      </c>
      <c r="X1052" s="82" t="s">
        <v>95</v>
      </c>
      <c r="Y1052" s="81" t="s">
        <v>2577</v>
      </c>
      <c r="Z1052" s="81" t="s">
        <v>2915</v>
      </c>
      <c r="AA1052" s="81" t="s">
        <v>151</v>
      </c>
      <c r="AB1052" s="85"/>
      <c r="AD1052" s="78" t="s">
        <v>548</v>
      </c>
      <c r="AE1052" s="82" t="s">
        <v>95</v>
      </c>
      <c r="AF1052" s="81" t="s">
        <v>2577</v>
      </c>
      <c r="AG1052" s="81" t="s">
        <v>2915</v>
      </c>
      <c r="AH1052" s="81" t="s">
        <v>151</v>
      </c>
      <c r="AI1052" s="85"/>
    </row>
    <row r="1053" spans="1:35" s="79" customFormat="1" ht="11.25" customHeight="1" x14ac:dyDescent="0.2">
      <c r="A1053" s="77" t="s">
        <v>1155</v>
      </c>
      <c r="B1053" s="80">
        <v>501</v>
      </c>
      <c r="C1053" s="81" t="s">
        <v>1154</v>
      </c>
      <c r="D1053" s="73">
        <v>1000</v>
      </c>
      <c r="E1053" s="79" t="s">
        <v>20</v>
      </c>
      <c r="F1053" s="79" t="s">
        <v>3725</v>
      </c>
      <c r="G1053" s="79" t="s">
        <v>2996</v>
      </c>
      <c r="H1053" s="79" t="s">
        <v>43</v>
      </c>
      <c r="I1053" s="81" t="s">
        <v>3000</v>
      </c>
      <c r="J1053" s="81">
        <v>25</v>
      </c>
      <c r="K1053" s="86"/>
      <c r="M1053" s="78" t="s">
        <v>548</v>
      </c>
      <c r="N1053" s="82"/>
      <c r="O1053" s="81" t="s">
        <v>2509</v>
      </c>
      <c r="P1053" s="81" t="s">
        <v>2256</v>
      </c>
      <c r="Q1053" s="81"/>
      <c r="R1053" s="83">
        <v>150</v>
      </c>
      <c r="S1053" s="79" t="s">
        <v>3156</v>
      </c>
      <c r="T1053" s="84">
        <v>150000</v>
      </c>
      <c r="U1053" s="81"/>
      <c r="V1053" s="81"/>
      <c r="W1053" s="78" t="s">
        <v>548</v>
      </c>
      <c r="X1053" s="82"/>
      <c r="Y1053" s="81" t="s">
        <v>2509</v>
      </c>
      <c r="Z1053" s="81" t="s">
        <v>2256</v>
      </c>
      <c r="AA1053" s="83">
        <v>1500</v>
      </c>
      <c r="AB1053" s="85"/>
      <c r="AD1053" s="78" t="s">
        <v>548</v>
      </c>
      <c r="AE1053" s="82"/>
      <c r="AF1053" s="81" t="s">
        <v>2509</v>
      </c>
      <c r="AG1053" s="81" t="s">
        <v>2256</v>
      </c>
      <c r="AH1053" s="83">
        <v>1500</v>
      </c>
      <c r="AI1053" s="85"/>
    </row>
    <row r="1054" spans="1:35" s="79" customFormat="1" ht="11.25" customHeight="1" x14ac:dyDescent="0.2">
      <c r="A1054" s="77" t="s">
        <v>1266</v>
      </c>
      <c r="B1054" s="80">
        <v>1196</v>
      </c>
      <c r="C1054" s="81" t="s">
        <v>1265</v>
      </c>
      <c r="D1054" s="73">
        <v>100</v>
      </c>
      <c r="E1054" s="79" t="s">
        <v>20</v>
      </c>
      <c r="F1054" s="79" t="s">
        <v>3725</v>
      </c>
      <c r="G1054" s="79" t="s">
        <v>2996</v>
      </c>
      <c r="H1054" s="79" t="s">
        <v>43</v>
      </c>
      <c r="I1054" s="81" t="s">
        <v>3000</v>
      </c>
      <c r="J1054" s="81">
        <v>25</v>
      </c>
      <c r="K1054" s="86"/>
      <c r="M1054" s="78" t="s">
        <v>548</v>
      </c>
      <c r="N1054" s="82"/>
      <c r="O1054" s="81" t="s">
        <v>2536</v>
      </c>
      <c r="P1054" s="81" t="s">
        <v>2256</v>
      </c>
      <c r="Q1054" s="81"/>
      <c r="R1054" s="83">
        <v>150</v>
      </c>
      <c r="S1054" s="79" t="s">
        <v>3156</v>
      </c>
      <c r="T1054" s="84">
        <v>150000</v>
      </c>
      <c r="U1054" s="81"/>
      <c r="V1054" s="81"/>
      <c r="W1054" s="78" t="s">
        <v>548</v>
      </c>
      <c r="X1054" s="82"/>
      <c r="Y1054" s="81" t="s">
        <v>2536</v>
      </c>
      <c r="Z1054" s="81" t="s">
        <v>2256</v>
      </c>
      <c r="AA1054" s="83">
        <v>1500</v>
      </c>
      <c r="AB1054" s="85"/>
      <c r="AD1054" s="78" t="s">
        <v>548</v>
      </c>
      <c r="AE1054" s="82"/>
      <c r="AF1054" s="81" t="s">
        <v>2536</v>
      </c>
      <c r="AG1054" s="81" t="s">
        <v>2256</v>
      </c>
      <c r="AH1054" s="83">
        <v>1500</v>
      </c>
      <c r="AI1054" s="85"/>
    </row>
    <row r="1055" spans="1:35" s="79" customFormat="1" ht="11.25" customHeight="1" x14ac:dyDescent="0.2">
      <c r="A1055" s="77" t="s">
        <v>1310</v>
      </c>
      <c r="B1055" s="80">
        <v>230</v>
      </c>
      <c r="C1055" s="81" t="s">
        <v>1309</v>
      </c>
      <c r="D1055" s="73">
        <v>100</v>
      </c>
      <c r="E1055" s="79" t="s">
        <v>20</v>
      </c>
      <c r="F1055" s="79" t="s">
        <v>3725</v>
      </c>
      <c r="G1055" s="79" t="s">
        <v>2996</v>
      </c>
      <c r="H1055" s="79" t="s">
        <v>43</v>
      </c>
      <c r="I1055" s="81" t="s">
        <v>3000</v>
      </c>
      <c r="J1055" s="81">
        <v>25</v>
      </c>
      <c r="K1055" s="86"/>
      <c r="M1055" s="78" t="s">
        <v>548</v>
      </c>
      <c r="N1055" s="82"/>
      <c r="O1055" s="81" t="s">
        <v>2553</v>
      </c>
      <c r="P1055" s="81" t="s">
        <v>2256</v>
      </c>
      <c r="Q1055" s="81"/>
      <c r="R1055" s="83">
        <v>150</v>
      </c>
      <c r="S1055" s="79" t="s">
        <v>3156</v>
      </c>
      <c r="T1055" s="84">
        <v>150000</v>
      </c>
      <c r="U1055" s="81"/>
      <c r="V1055" s="81"/>
      <c r="W1055" s="78" t="s">
        <v>548</v>
      </c>
      <c r="X1055" s="82"/>
      <c r="Y1055" s="81" t="s">
        <v>2553</v>
      </c>
      <c r="Z1055" s="81" t="s">
        <v>2256</v>
      </c>
      <c r="AA1055" s="83">
        <v>1500</v>
      </c>
      <c r="AB1055" s="85"/>
      <c r="AD1055" s="78" t="s">
        <v>548</v>
      </c>
      <c r="AE1055" s="82"/>
      <c r="AF1055" s="81" t="s">
        <v>2553</v>
      </c>
      <c r="AG1055" s="81" t="s">
        <v>2256</v>
      </c>
      <c r="AH1055" s="83">
        <v>1500</v>
      </c>
      <c r="AI1055" s="85"/>
    </row>
    <row r="1056" spans="1:35" s="79" customFormat="1" ht="11.25" customHeight="1" x14ac:dyDescent="0.2">
      <c r="A1056" s="77" t="s">
        <v>1380</v>
      </c>
      <c r="B1056" s="80">
        <v>236</v>
      </c>
      <c r="C1056" s="81" t="s">
        <v>3412</v>
      </c>
      <c r="D1056" s="73">
        <v>1000</v>
      </c>
      <c r="E1056" s="79" t="s">
        <v>20</v>
      </c>
      <c r="F1056" s="79" t="s">
        <v>3725</v>
      </c>
      <c r="G1056" s="79" t="s">
        <v>2996</v>
      </c>
      <c r="H1056" s="79" t="s">
        <v>43</v>
      </c>
      <c r="I1056" s="81"/>
      <c r="J1056" s="81">
        <v>25</v>
      </c>
      <c r="K1056" s="86"/>
      <c r="M1056" s="78" t="s">
        <v>548</v>
      </c>
      <c r="N1056" s="82"/>
      <c r="O1056" s="81" t="s">
        <v>3726</v>
      </c>
      <c r="P1056" s="81" t="s">
        <v>2256</v>
      </c>
      <c r="Q1056" s="81"/>
      <c r="R1056" s="83">
        <v>150</v>
      </c>
      <c r="S1056" s="79" t="s">
        <v>3156</v>
      </c>
      <c r="T1056" s="84">
        <v>150000</v>
      </c>
      <c r="U1056" s="81"/>
      <c r="V1056" s="81"/>
      <c r="W1056" s="78" t="s">
        <v>548</v>
      </c>
      <c r="X1056" s="82"/>
      <c r="Y1056" s="81" t="s">
        <v>2572</v>
      </c>
      <c r="Z1056" s="81" t="s">
        <v>2256</v>
      </c>
      <c r="AA1056" s="83">
        <v>1500</v>
      </c>
      <c r="AB1056" s="85"/>
      <c r="AD1056" s="78" t="s">
        <v>548</v>
      </c>
      <c r="AE1056" s="82"/>
      <c r="AF1056" s="81" t="s">
        <v>2572</v>
      </c>
      <c r="AG1056" s="81" t="s">
        <v>2256</v>
      </c>
      <c r="AH1056" s="83">
        <v>1500</v>
      </c>
      <c r="AI1056" s="85"/>
    </row>
    <row r="1057" spans="1:35" s="79" customFormat="1" ht="11.25" customHeight="1" x14ac:dyDescent="0.2">
      <c r="A1057" s="77" t="s">
        <v>1425</v>
      </c>
      <c r="B1057" s="80">
        <v>1213</v>
      </c>
      <c r="C1057" s="81" t="s">
        <v>1424</v>
      </c>
      <c r="D1057" s="73">
        <v>1000</v>
      </c>
      <c r="E1057" s="79" t="s">
        <v>20</v>
      </c>
      <c r="F1057" s="79" t="s">
        <v>30</v>
      </c>
      <c r="G1057" s="79" t="s">
        <v>3001</v>
      </c>
      <c r="H1057" s="79" t="s">
        <v>43</v>
      </c>
      <c r="I1057" s="81" t="s">
        <v>3000</v>
      </c>
      <c r="J1057" s="81">
        <v>25</v>
      </c>
      <c r="K1057" s="86"/>
      <c r="M1057" s="78" t="s">
        <v>548</v>
      </c>
      <c r="N1057" s="82"/>
      <c r="O1057" s="81" t="s">
        <v>2580</v>
      </c>
      <c r="P1057" s="81" t="s">
        <v>2256</v>
      </c>
      <c r="Q1057" s="81"/>
      <c r="R1057" s="83">
        <v>150</v>
      </c>
      <c r="S1057" s="79" t="s">
        <v>3156</v>
      </c>
      <c r="T1057" s="84">
        <v>150000</v>
      </c>
      <c r="U1057" s="81"/>
      <c r="V1057" s="81"/>
      <c r="W1057" s="78" t="s">
        <v>548</v>
      </c>
      <c r="X1057" s="82"/>
      <c r="Y1057" s="81" t="s">
        <v>2580</v>
      </c>
      <c r="Z1057" s="81" t="s">
        <v>2256</v>
      </c>
      <c r="AA1057" s="83">
        <v>1500</v>
      </c>
      <c r="AB1057" s="85"/>
      <c r="AD1057" s="78" t="s">
        <v>548</v>
      </c>
      <c r="AE1057" s="82"/>
      <c r="AF1057" s="81" t="s">
        <v>2580</v>
      </c>
      <c r="AG1057" s="81" t="s">
        <v>2256</v>
      </c>
      <c r="AH1057" s="83">
        <v>1500</v>
      </c>
      <c r="AI1057" s="85"/>
    </row>
    <row r="1058" spans="1:35" s="79" customFormat="1" ht="11.25" customHeight="1" x14ac:dyDescent="0.2">
      <c r="A1058" s="77" t="s">
        <v>1877</v>
      </c>
      <c r="B1058" s="80">
        <v>650</v>
      </c>
      <c r="C1058" s="81" t="s">
        <v>548</v>
      </c>
      <c r="D1058" s="73">
        <v>1000</v>
      </c>
      <c r="E1058" s="79" t="s">
        <v>20</v>
      </c>
      <c r="F1058" s="79" t="s">
        <v>3725</v>
      </c>
      <c r="G1058" s="79" t="s">
        <v>2996</v>
      </c>
      <c r="H1058" s="79" t="s">
        <v>43</v>
      </c>
      <c r="I1058" s="81" t="s">
        <v>3000</v>
      </c>
      <c r="J1058" s="81">
        <v>25</v>
      </c>
      <c r="K1058" s="86"/>
      <c r="M1058" s="78" t="s">
        <v>548</v>
      </c>
      <c r="N1058" s="82"/>
      <c r="O1058" s="81" t="s">
        <v>2256</v>
      </c>
      <c r="P1058" s="81" t="s">
        <v>2256</v>
      </c>
      <c r="Q1058" s="81"/>
      <c r="R1058" s="83">
        <v>150</v>
      </c>
      <c r="S1058" s="79" t="s">
        <v>2999</v>
      </c>
      <c r="T1058" s="84">
        <v>150000</v>
      </c>
      <c r="U1058" s="81"/>
      <c r="V1058" s="81"/>
      <c r="W1058" s="78" t="s">
        <v>548</v>
      </c>
      <c r="X1058" s="82"/>
      <c r="Y1058" s="81" t="s">
        <v>2256</v>
      </c>
      <c r="Z1058" s="81" t="s">
        <v>2256</v>
      </c>
      <c r="AA1058" s="83">
        <v>1500</v>
      </c>
      <c r="AB1058" s="85"/>
      <c r="AD1058" s="78" t="s">
        <v>548</v>
      </c>
      <c r="AE1058" s="82"/>
      <c r="AF1058" s="81" t="s">
        <v>2256</v>
      </c>
      <c r="AG1058" s="81" t="s">
        <v>2256</v>
      </c>
      <c r="AH1058" s="83">
        <v>1500</v>
      </c>
      <c r="AI1058" s="85"/>
    </row>
    <row r="1059" spans="1:35" s="79" customFormat="1" ht="11.25" customHeight="1" x14ac:dyDescent="0.2">
      <c r="A1059" s="77" t="s">
        <v>2228</v>
      </c>
      <c r="B1059" s="80">
        <v>480</v>
      </c>
      <c r="C1059" s="81" t="s">
        <v>2227</v>
      </c>
      <c r="D1059" s="73">
        <v>1000</v>
      </c>
      <c r="E1059" s="79" t="s">
        <v>20</v>
      </c>
      <c r="F1059" s="79" t="s">
        <v>3725</v>
      </c>
      <c r="G1059" s="79" t="s">
        <v>2996</v>
      </c>
      <c r="H1059" s="79" t="s">
        <v>43</v>
      </c>
      <c r="I1059" s="81" t="s">
        <v>3000</v>
      </c>
      <c r="J1059" s="81">
        <v>25</v>
      </c>
      <c r="K1059" s="86"/>
      <c r="M1059" s="78" t="s">
        <v>1099</v>
      </c>
      <c r="N1059" s="82" t="s">
        <v>135</v>
      </c>
      <c r="O1059" s="81" t="s">
        <v>2763</v>
      </c>
      <c r="P1059" s="81" t="s">
        <v>2991</v>
      </c>
      <c r="Q1059" s="81"/>
      <c r="R1059" s="83" t="s">
        <v>3426</v>
      </c>
      <c r="S1059" s="79" t="s">
        <v>3149</v>
      </c>
      <c r="T1059" s="84" t="s">
        <v>3599</v>
      </c>
      <c r="U1059" s="81"/>
      <c r="V1059" s="81"/>
      <c r="W1059" s="78" t="s">
        <v>1099</v>
      </c>
      <c r="X1059" s="82" t="s">
        <v>135</v>
      </c>
      <c r="Y1059" s="81" t="s">
        <v>2763</v>
      </c>
      <c r="Z1059" s="81" t="s">
        <v>2991</v>
      </c>
      <c r="AA1059" s="81" t="s">
        <v>1076</v>
      </c>
      <c r="AB1059" s="85"/>
      <c r="AD1059" s="78" t="s">
        <v>1099</v>
      </c>
      <c r="AE1059" s="82" t="s">
        <v>135</v>
      </c>
      <c r="AF1059" s="81" t="s">
        <v>2763</v>
      </c>
      <c r="AG1059" s="81" t="s">
        <v>2991</v>
      </c>
      <c r="AH1059" s="81" t="s">
        <v>1076</v>
      </c>
      <c r="AI1059" s="85"/>
    </row>
    <row r="1060" spans="1:35" s="79" customFormat="1" ht="11.25" customHeight="1" x14ac:dyDescent="0.2">
      <c r="A1060" s="77" t="s">
        <v>1098</v>
      </c>
      <c r="B1060" s="80">
        <v>723</v>
      </c>
      <c r="C1060" s="81" t="s">
        <v>1097</v>
      </c>
      <c r="D1060" s="73">
        <v>1000</v>
      </c>
      <c r="E1060" s="79" t="s">
        <v>20</v>
      </c>
      <c r="F1060" s="79" t="s">
        <v>3725</v>
      </c>
      <c r="G1060" s="79" t="s">
        <v>2996</v>
      </c>
      <c r="H1060" s="79" t="s">
        <v>43</v>
      </c>
      <c r="I1060" s="81"/>
      <c r="J1060" s="81">
        <v>25</v>
      </c>
      <c r="K1060" s="86"/>
      <c r="M1060" s="78" t="s">
        <v>1099</v>
      </c>
      <c r="N1060" s="82" t="s">
        <v>135</v>
      </c>
      <c r="O1060" s="81" t="s">
        <v>2497</v>
      </c>
      <c r="P1060" s="81" t="s">
        <v>2878</v>
      </c>
      <c r="Q1060" s="81"/>
      <c r="R1060" s="83" t="s">
        <v>3426</v>
      </c>
      <c r="S1060" s="79" t="s">
        <v>3149</v>
      </c>
      <c r="T1060" s="84" t="s">
        <v>3599</v>
      </c>
      <c r="U1060" s="81"/>
      <c r="V1060" s="81"/>
      <c r="W1060" s="78" t="s">
        <v>1099</v>
      </c>
      <c r="X1060" s="82" t="s">
        <v>135</v>
      </c>
      <c r="Y1060" s="81" t="s">
        <v>2497</v>
      </c>
      <c r="Z1060" s="81" t="s">
        <v>2878</v>
      </c>
      <c r="AA1060" s="81" t="s">
        <v>1076</v>
      </c>
      <c r="AB1060" s="85"/>
      <c r="AD1060" s="78" t="s">
        <v>1099</v>
      </c>
      <c r="AE1060" s="82" t="s">
        <v>135</v>
      </c>
      <c r="AF1060" s="81" t="s">
        <v>2497</v>
      </c>
      <c r="AG1060" s="81" t="s">
        <v>2878</v>
      </c>
      <c r="AH1060" s="81" t="s">
        <v>1076</v>
      </c>
      <c r="AI1060" s="85"/>
    </row>
    <row r="1061" spans="1:35" s="79" customFormat="1" ht="11.25" customHeight="1" x14ac:dyDescent="0.2">
      <c r="A1061" s="77" t="s">
        <v>1296</v>
      </c>
      <c r="B1061" s="80">
        <v>233</v>
      </c>
      <c r="C1061" s="81" t="s">
        <v>1295</v>
      </c>
      <c r="D1061" s="73">
        <v>100</v>
      </c>
      <c r="E1061" s="79" t="s">
        <v>20</v>
      </c>
      <c r="F1061" s="79" t="s">
        <v>3725</v>
      </c>
      <c r="G1061" s="79" t="s">
        <v>2996</v>
      </c>
      <c r="H1061" s="79" t="s">
        <v>43</v>
      </c>
      <c r="I1061" s="81" t="s">
        <v>3000</v>
      </c>
      <c r="J1061" s="81">
        <v>25</v>
      </c>
      <c r="K1061" s="86"/>
      <c r="M1061" s="78" t="s">
        <v>1099</v>
      </c>
      <c r="N1061" s="82" t="s">
        <v>135</v>
      </c>
      <c r="O1061" s="81" t="s">
        <v>2548</v>
      </c>
      <c r="P1061" s="81" t="s">
        <v>2900</v>
      </c>
      <c r="Q1061" s="81"/>
      <c r="R1061" s="83" t="s">
        <v>3426</v>
      </c>
      <c r="S1061" s="79" t="s">
        <v>3149</v>
      </c>
      <c r="T1061" s="84" t="s">
        <v>3599</v>
      </c>
      <c r="U1061" s="81"/>
      <c r="V1061" s="81"/>
      <c r="W1061" s="78" t="s">
        <v>1099</v>
      </c>
      <c r="X1061" s="82" t="s">
        <v>135</v>
      </c>
      <c r="Y1061" s="81" t="s">
        <v>2548</v>
      </c>
      <c r="Z1061" s="81" t="s">
        <v>2900</v>
      </c>
      <c r="AA1061" s="81" t="s">
        <v>1076</v>
      </c>
      <c r="AB1061" s="85"/>
      <c r="AD1061" s="78" t="s">
        <v>1099</v>
      </c>
      <c r="AE1061" s="82" t="s">
        <v>135</v>
      </c>
      <c r="AF1061" s="81" t="s">
        <v>2548</v>
      </c>
      <c r="AG1061" s="81" t="s">
        <v>2900</v>
      </c>
      <c r="AH1061" s="81" t="s">
        <v>1076</v>
      </c>
      <c r="AI1061" s="85"/>
    </row>
    <row r="1062" spans="1:35" s="79" customFormat="1" ht="11.25" customHeight="1" x14ac:dyDescent="0.2">
      <c r="A1062" s="77" t="s">
        <v>1880</v>
      </c>
      <c r="B1062" s="80">
        <v>652</v>
      </c>
      <c r="C1062" s="81" t="s">
        <v>1099</v>
      </c>
      <c r="D1062" s="73">
        <v>1000</v>
      </c>
      <c r="E1062" s="79" t="s">
        <v>20</v>
      </c>
      <c r="F1062" s="79" t="s">
        <v>3725</v>
      </c>
      <c r="G1062" s="79" t="s">
        <v>2996</v>
      </c>
      <c r="H1062" s="79" t="s">
        <v>43</v>
      </c>
      <c r="I1062" s="81" t="s">
        <v>3000</v>
      </c>
      <c r="J1062" s="81">
        <v>25</v>
      </c>
      <c r="K1062" s="86"/>
      <c r="M1062" s="78" t="s">
        <v>1099</v>
      </c>
      <c r="N1062" s="82"/>
      <c r="O1062" s="81" t="s">
        <v>2256</v>
      </c>
      <c r="P1062" s="81" t="s">
        <v>2256</v>
      </c>
      <c r="Q1062" s="81"/>
      <c r="R1062" s="83">
        <v>150</v>
      </c>
      <c r="S1062" s="79" t="s">
        <v>2999</v>
      </c>
      <c r="T1062" s="84">
        <v>150000</v>
      </c>
      <c r="U1062" s="81"/>
      <c r="V1062" s="81"/>
      <c r="W1062" s="78" t="s">
        <v>1099</v>
      </c>
      <c r="X1062" s="82"/>
      <c r="Y1062" s="81" t="s">
        <v>2256</v>
      </c>
      <c r="Z1062" s="81" t="s">
        <v>2256</v>
      </c>
      <c r="AA1062" s="83">
        <v>1500</v>
      </c>
      <c r="AB1062" s="85"/>
      <c r="AD1062" s="78" t="s">
        <v>1099</v>
      </c>
      <c r="AE1062" s="82"/>
      <c r="AF1062" s="81" t="s">
        <v>2256</v>
      </c>
      <c r="AG1062" s="81" t="s">
        <v>2256</v>
      </c>
      <c r="AH1062" s="83">
        <v>1500</v>
      </c>
      <c r="AI1062" s="85"/>
    </row>
    <row r="1063" spans="1:35" s="79" customFormat="1" ht="11.25" customHeight="1" x14ac:dyDescent="0.2">
      <c r="A1063" s="77" t="s">
        <v>1976</v>
      </c>
      <c r="B1063" s="80">
        <v>485</v>
      </c>
      <c r="C1063" s="81" t="s">
        <v>1975</v>
      </c>
      <c r="D1063" s="73">
        <v>1000</v>
      </c>
      <c r="E1063" s="79" t="s">
        <v>20</v>
      </c>
      <c r="F1063" s="79" t="s">
        <v>3725</v>
      </c>
      <c r="G1063" s="79" t="s">
        <v>2996</v>
      </c>
      <c r="H1063" s="79" t="s">
        <v>43</v>
      </c>
      <c r="I1063" s="81" t="s">
        <v>3000</v>
      </c>
      <c r="J1063" s="81">
        <v>25</v>
      </c>
      <c r="K1063" s="86"/>
      <c r="M1063" s="78" t="s">
        <v>1099</v>
      </c>
      <c r="N1063" s="82"/>
      <c r="O1063" s="81" t="s">
        <v>2700</v>
      </c>
      <c r="P1063" s="81" t="s">
        <v>2256</v>
      </c>
      <c r="Q1063" s="81"/>
      <c r="R1063" s="83">
        <v>150</v>
      </c>
      <c r="S1063" s="79" t="s">
        <v>3236</v>
      </c>
      <c r="T1063" s="84">
        <v>150000</v>
      </c>
      <c r="U1063" s="81"/>
      <c r="V1063" s="81"/>
      <c r="W1063" s="78" t="s">
        <v>1099</v>
      </c>
      <c r="X1063" s="82"/>
      <c r="Y1063" s="81" t="s">
        <v>2700</v>
      </c>
      <c r="Z1063" s="81" t="s">
        <v>2256</v>
      </c>
      <c r="AA1063" s="83">
        <v>1500</v>
      </c>
      <c r="AB1063" s="85"/>
      <c r="AD1063" s="78" t="s">
        <v>1099</v>
      </c>
      <c r="AE1063" s="82"/>
      <c r="AF1063" s="81" t="s">
        <v>2700</v>
      </c>
      <c r="AG1063" s="81" t="s">
        <v>2256</v>
      </c>
      <c r="AH1063" s="83">
        <v>1500</v>
      </c>
      <c r="AI1063" s="85"/>
    </row>
    <row r="1064" spans="1:35" s="79" customFormat="1" ht="11.25" customHeight="1" x14ac:dyDescent="0.2">
      <c r="A1064" s="77" t="s">
        <v>769</v>
      </c>
      <c r="B1064" s="80">
        <v>1204</v>
      </c>
      <c r="C1064" s="81" t="s">
        <v>768</v>
      </c>
      <c r="D1064" s="73">
        <v>1000</v>
      </c>
      <c r="E1064" s="79" t="s">
        <v>28</v>
      </c>
      <c r="F1064" s="79" t="s">
        <v>3725</v>
      </c>
      <c r="G1064" s="79" t="s">
        <v>2996</v>
      </c>
      <c r="H1064" s="79" t="s">
        <v>43</v>
      </c>
      <c r="I1064" s="81" t="s">
        <v>3000</v>
      </c>
      <c r="J1064" s="81">
        <v>25</v>
      </c>
      <c r="K1064" s="86"/>
      <c r="M1064" s="78" t="s">
        <v>150</v>
      </c>
      <c r="N1064" s="82" t="s">
        <v>86</v>
      </c>
      <c r="O1064" s="81" t="s">
        <v>2410</v>
      </c>
      <c r="P1064" s="81" t="s">
        <v>2831</v>
      </c>
      <c r="Q1064" s="81"/>
      <c r="R1064" s="83" t="s">
        <v>3444</v>
      </c>
      <c r="S1064" s="79" t="s">
        <v>3102</v>
      </c>
      <c r="T1064" s="84" t="s">
        <v>3575</v>
      </c>
      <c r="U1064" s="81"/>
      <c r="V1064" s="81"/>
      <c r="W1064" s="78" t="s">
        <v>150</v>
      </c>
      <c r="X1064" s="82" t="s">
        <v>86</v>
      </c>
      <c r="Y1064" s="81" t="s">
        <v>2410</v>
      </c>
      <c r="Z1064" s="81" t="s">
        <v>2831</v>
      </c>
      <c r="AA1064" s="81" t="s">
        <v>151</v>
      </c>
      <c r="AB1064" s="85"/>
      <c r="AD1064" s="78" t="s">
        <v>150</v>
      </c>
      <c r="AE1064" s="82" t="s">
        <v>86</v>
      </c>
      <c r="AF1064" s="81" t="s">
        <v>2410</v>
      </c>
      <c r="AG1064" s="81" t="s">
        <v>2831</v>
      </c>
      <c r="AH1064" s="81" t="s">
        <v>151</v>
      </c>
      <c r="AI1064" s="85"/>
    </row>
    <row r="1065" spans="1:35" s="79" customFormat="1" ht="11.25" customHeight="1" x14ac:dyDescent="0.2">
      <c r="A1065" s="77" t="s">
        <v>791</v>
      </c>
      <c r="B1065" s="80">
        <v>726</v>
      </c>
      <c r="C1065" s="81" t="s">
        <v>790</v>
      </c>
      <c r="D1065" s="73">
        <v>1000</v>
      </c>
      <c r="E1065" s="79" t="s">
        <v>28</v>
      </c>
      <c r="F1065" s="79" t="s">
        <v>3725</v>
      </c>
      <c r="G1065" s="79" t="s">
        <v>2996</v>
      </c>
      <c r="H1065" s="79" t="s">
        <v>43</v>
      </c>
      <c r="I1065" s="81" t="s">
        <v>3000</v>
      </c>
      <c r="J1065" s="81">
        <v>25</v>
      </c>
      <c r="K1065" s="86"/>
      <c r="M1065" s="78" t="s">
        <v>150</v>
      </c>
      <c r="N1065" s="82" t="s">
        <v>86</v>
      </c>
      <c r="O1065" s="81" t="s">
        <v>2419</v>
      </c>
      <c r="P1065" s="81" t="s">
        <v>2838</v>
      </c>
      <c r="Q1065" s="81"/>
      <c r="R1065" s="83" t="s">
        <v>3444</v>
      </c>
      <c r="S1065" s="79" t="s">
        <v>3102</v>
      </c>
      <c r="T1065" s="84" t="s">
        <v>3575</v>
      </c>
      <c r="U1065" s="81"/>
      <c r="V1065" s="81"/>
      <c r="W1065" s="78" t="s">
        <v>150</v>
      </c>
      <c r="X1065" s="82" t="s">
        <v>86</v>
      </c>
      <c r="Y1065" s="81" t="s">
        <v>2419</v>
      </c>
      <c r="Z1065" s="81" t="s">
        <v>2838</v>
      </c>
      <c r="AA1065" s="81" t="s">
        <v>151</v>
      </c>
      <c r="AB1065" s="85"/>
      <c r="AD1065" s="78" t="s">
        <v>150</v>
      </c>
      <c r="AE1065" s="82" t="s">
        <v>86</v>
      </c>
      <c r="AF1065" s="81" t="s">
        <v>2419</v>
      </c>
      <c r="AG1065" s="81" t="s">
        <v>2838</v>
      </c>
      <c r="AH1065" s="81" t="s">
        <v>151</v>
      </c>
      <c r="AI1065" s="85"/>
    </row>
    <row r="1066" spans="1:35" s="79" customFormat="1" ht="11.25" customHeight="1" x14ac:dyDescent="0.2">
      <c r="A1066" s="77" t="s">
        <v>149</v>
      </c>
      <c r="B1066" s="80">
        <v>141</v>
      </c>
      <c r="C1066" s="81" t="s">
        <v>148</v>
      </c>
      <c r="D1066" s="73">
        <v>6350</v>
      </c>
      <c r="E1066" s="79" t="s">
        <v>28</v>
      </c>
      <c r="F1066" s="79" t="s">
        <v>3725</v>
      </c>
      <c r="G1066" s="79" t="s">
        <v>2996</v>
      </c>
      <c r="H1066" s="79" t="s">
        <v>43</v>
      </c>
      <c r="I1066" s="81" t="s">
        <v>3000</v>
      </c>
      <c r="J1066" s="81">
        <v>25</v>
      </c>
      <c r="K1066" s="86"/>
      <c r="M1066" s="78" t="s">
        <v>150</v>
      </c>
      <c r="N1066" s="82" t="s">
        <v>95</v>
      </c>
      <c r="O1066" s="81" t="s">
        <v>2275</v>
      </c>
      <c r="P1066" s="81" t="s">
        <v>2775</v>
      </c>
      <c r="Q1066" s="81"/>
      <c r="R1066" s="83" t="s">
        <v>3444</v>
      </c>
      <c r="S1066" s="79" t="s">
        <v>3022</v>
      </c>
      <c r="T1066" s="84" t="s">
        <v>3575</v>
      </c>
      <c r="U1066" s="81"/>
      <c r="V1066" s="81"/>
      <c r="W1066" s="78" t="s">
        <v>150</v>
      </c>
      <c r="X1066" s="82" t="s">
        <v>95</v>
      </c>
      <c r="Y1066" s="81" t="s">
        <v>2275</v>
      </c>
      <c r="Z1066" s="81" t="s">
        <v>2775</v>
      </c>
      <c r="AA1066" s="81" t="s">
        <v>151</v>
      </c>
      <c r="AB1066" s="85"/>
      <c r="AD1066" s="78" t="s">
        <v>150</v>
      </c>
      <c r="AE1066" s="82" t="s">
        <v>95</v>
      </c>
      <c r="AF1066" s="81" t="s">
        <v>2275</v>
      </c>
      <c r="AG1066" s="81" t="s">
        <v>2775</v>
      </c>
      <c r="AH1066" s="81" t="s">
        <v>151</v>
      </c>
      <c r="AI1066" s="85"/>
    </row>
    <row r="1067" spans="1:35" s="79" customFormat="1" ht="11.25" customHeight="1" x14ac:dyDescent="0.2">
      <c r="A1067" s="77" t="s">
        <v>400</v>
      </c>
      <c r="B1067" s="80">
        <v>842</v>
      </c>
      <c r="C1067" s="81" t="s">
        <v>399</v>
      </c>
      <c r="D1067" s="73">
        <v>100</v>
      </c>
      <c r="E1067" s="79" t="s">
        <v>20</v>
      </c>
      <c r="F1067" s="79" t="s">
        <v>3725</v>
      </c>
      <c r="G1067" s="79" t="s">
        <v>2996</v>
      </c>
      <c r="H1067" s="79" t="s">
        <v>43</v>
      </c>
      <c r="I1067" s="81" t="s">
        <v>3000</v>
      </c>
      <c r="J1067" s="81">
        <v>25</v>
      </c>
      <c r="K1067" s="86"/>
      <c r="M1067" s="78" t="s">
        <v>150</v>
      </c>
      <c r="N1067" s="82"/>
      <c r="O1067" s="81" t="s">
        <v>2329</v>
      </c>
      <c r="P1067" s="81" t="s">
        <v>2256</v>
      </c>
      <c r="Q1067" s="81"/>
      <c r="R1067" s="83">
        <v>150</v>
      </c>
      <c r="S1067" s="79" t="s">
        <v>3052</v>
      </c>
      <c r="T1067" s="84">
        <v>150000</v>
      </c>
      <c r="U1067" s="81"/>
      <c r="V1067" s="81"/>
      <c r="W1067" s="78" t="s">
        <v>150</v>
      </c>
      <c r="X1067" s="82"/>
      <c r="Y1067" s="81" t="s">
        <v>2329</v>
      </c>
      <c r="Z1067" s="81" t="s">
        <v>2256</v>
      </c>
      <c r="AA1067" s="83">
        <v>1500</v>
      </c>
      <c r="AB1067" s="85"/>
      <c r="AD1067" s="78" t="s">
        <v>150</v>
      </c>
      <c r="AE1067" s="82"/>
      <c r="AF1067" s="81" t="s">
        <v>2329</v>
      </c>
      <c r="AG1067" s="81" t="s">
        <v>2256</v>
      </c>
      <c r="AH1067" s="83">
        <v>1500</v>
      </c>
      <c r="AI1067" s="85"/>
    </row>
    <row r="1068" spans="1:35" s="79" customFormat="1" ht="11.25" customHeight="1" x14ac:dyDescent="0.2">
      <c r="A1068" s="77" t="s">
        <v>402</v>
      </c>
      <c r="B1068" s="80">
        <v>843</v>
      </c>
      <c r="C1068" s="81" t="s">
        <v>401</v>
      </c>
      <c r="D1068" s="73">
        <v>100</v>
      </c>
      <c r="E1068" s="79" t="s">
        <v>20</v>
      </c>
      <c r="F1068" s="79" t="s">
        <v>3725</v>
      </c>
      <c r="G1068" s="79" t="s">
        <v>2996</v>
      </c>
      <c r="H1068" s="79" t="s">
        <v>43</v>
      </c>
      <c r="I1068" s="81" t="s">
        <v>3000</v>
      </c>
      <c r="J1068" s="81">
        <v>25</v>
      </c>
      <c r="K1068" s="86"/>
      <c r="M1068" s="78" t="s">
        <v>150</v>
      </c>
      <c r="N1068" s="82"/>
      <c r="O1068" s="81" t="s">
        <v>2330</v>
      </c>
      <c r="P1068" s="81" t="s">
        <v>2256</v>
      </c>
      <c r="Q1068" s="81"/>
      <c r="R1068" s="83">
        <v>150</v>
      </c>
      <c r="S1068" s="79" t="s">
        <v>3052</v>
      </c>
      <c r="T1068" s="84">
        <v>150000</v>
      </c>
      <c r="U1068" s="81"/>
      <c r="V1068" s="81"/>
      <c r="W1068" s="78" t="s">
        <v>150</v>
      </c>
      <c r="X1068" s="82"/>
      <c r="Y1068" s="81" t="s">
        <v>2330</v>
      </c>
      <c r="Z1068" s="81" t="s">
        <v>2256</v>
      </c>
      <c r="AA1068" s="83">
        <v>1500</v>
      </c>
      <c r="AB1068" s="85"/>
      <c r="AD1068" s="78" t="s">
        <v>150</v>
      </c>
      <c r="AE1068" s="82"/>
      <c r="AF1068" s="81" t="s">
        <v>2330</v>
      </c>
      <c r="AG1068" s="81" t="s">
        <v>2256</v>
      </c>
      <c r="AH1068" s="83">
        <v>1500</v>
      </c>
      <c r="AI1068" s="85"/>
    </row>
    <row r="1069" spans="1:35" s="79" customFormat="1" ht="11.25" customHeight="1" x14ac:dyDescent="0.2">
      <c r="A1069" s="77" t="s">
        <v>803</v>
      </c>
      <c r="B1069" s="80">
        <v>237</v>
      </c>
      <c r="C1069" s="81" t="s">
        <v>802</v>
      </c>
      <c r="D1069" s="73">
        <v>1000</v>
      </c>
      <c r="E1069" s="79" t="s">
        <v>20</v>
      </c>
      <c r="F1069" s="79" t="s">
        <v>3725</v>
      </c>
      <c r="G1069" s="79" t="s">
        <v>2996</v>
      </c>
      <c r="H1069" s="79" t="s">
        <v>43</v>
      </c>
      <c r="I1069" s="81" t="s">
        <v>3000</v>
      </c>
      <c r="J1069" s="81">
        <v>25</v>
      </c>
      <c r="K1069" s="86"/>
      <c r="M1069" s="78" t="s">
        <v>150</v>
      </c>
      <c r="N1069" s="82"/>
      <c r="O1069" s="81" t="s">
        <v>2424</v>
      </c>
      <c r="P1069" s="81" t="s">
        <v>2256</v>
      </c>
      <c r="Q1069" s="81"/>
      <c r="R1069" s="83">
        <v>150</v>
      </c>
      <c r="S1069" s="79" t="s">
        <v>3052</v>
      </c>
      <c r="T1069" s="84">
        <v>150000</v>
      </c>
      <c r="U1069" s="81"/>
      <c r="V1069" s="81"/>
      <c r="W1069" s="78" t="s">
        <v>150</v>
      </c>
      <c r="X1069" s="82"/>
      <c r="Y1069" s="81" t="s">
        <v>2424</v>
      </c>
      <c r="Z1069" s="81" t="s">
        <v>2256</v>
      </c>
      <c r="AA1069" s="83">
        <v>1500</v>
      </c>
      <c r="AB1069" s="85"/>
      <c r="AD1069" s="78" t="s">
        <v>150</v>
      </c>
      <c r="AE1069" s="82"/>
      <c r="AF1069" s="81" t="s">
        <v>2424</v>
      </c>
      <c r="AG1069" s="81" t="s">
        <v>2256</v>
      </c>
      <c r="AH1069" s="83">
        <v>1500</v>
      </c>
      <c r="AI1069" s="85"/>
    </row>
    <row r="1070" spans="1:35" s="79" customFormat="1" ht="11.25" customHeight="1" x14ac:dyDescent="0.2">
      <c r="A1070" s="77" t="s">
        <v>1142</v>
      </c>
      <c r="B1070" s="80">
        <v>499</v>
      </c>
      <c r="C1070" s="81" t="s">
        <v>1141</v>
      </c>
      <c r="D1070" s="73">
        <v>1000</v>
      </c>
      <c r="E1070" s="79" t="s">
        <v>20</v>
      </c>
      <c r="F1070" s="79" t="s">
        <v>3725</v>
      </c>
      <c r="G1070" s="79" t="s">
        <v>2996</v>
      </c>
      <c r="H1070" s="79" t="s">
        <v>43</v>
      </c>
      <c r="I1070" s="81" t="s">
        <v>3000</v>
      </c>
      <c r="J1070" s="81">
        <v>25</v>
      </c>
      <c r="K1070" s="86"/>
      <c r="M1070" s="78" t="s">
        <v>150</v>
      </c>
      <c r="N1070" s="82"/>
      <c r="O1070" s="81" t="s">
        <v>2505</v>
      </c>
      <c r="P1070" s="81" t="s">
        <v>2256</v>
      </c>
      <c r="Q1070" s="81"/>
      <c r="R1070" s="83">
        <v>150</v>
      </c>
      <c r="S1070" s="79" t="s">
        <v>3052</v>
      </c>
      <c r="T1070" s="84">
        <v>150000</v>
      </c>
      <c r="U1070" s="81"/>
      <c r="V1070" s="81"/>
      <c r="W1070" s="78" t="s">
        <v>150</v>
      </c>
      <c r="X1070" s="82"/>
      <c r="Y1070" s="81" t="s">
        <v>2505</v>
      </c>
      <c r="Z1070" s="81" t="s">
        <v>2256</v>
      </c>
      <c r="AA1070" s="83">
        <v>1500</v>
      </c>
      <c r="AB1070" s="85"/>
      <c r="AD1070" s="78" t="s">
        <v>150</v>
      </c>
      <c r="AE1070" s="82"/>
      <c r="AF1070" s="81" t="s">
        <v>2505</v>
      </c>
      <c r="AG1070" s="81" t="s">
        <v>2256</v>
      </c>
      <c r="AH1070" s="83">
        <v>1500</v>
      </c>
      <c r="AI1070" s="85"/>
    </row>
    <row r="1071" spans="1:35" s="79" customFormat="1" ht="11.25" customHeight="1" x14ac:dyDescent="0.2">
      <c r="A1071" s="77" t="s">
        <v>1281</v>
      </c>
      <c r="B1071" s="80">
        <v>1057</v>
      </c>
      <c r="C1071" s="81" t="s">
        <v>1280</v>
      </c>
      <c r="D1071" s="73">
        <v>100</v>
      </c>
      <c r="E1071" s="79" t="s">
        <v>20</v>
      </c>
      <c r="F1071" s="79" t="s">
        <v>3725</v>
      </c>
      <c r="G1071" s="79" t="s">
        <v>2996</v>
      </c>
      <c r="H1071" s="79" t="s">
        <v>43</v>
      </c>
      <c r="I1071" s="81" t="s">
        <v>3000</v>
      </c>
      <c r="J1071" s="81">
        <v>25</v>
      </c>
      <c r="K1071" s="86"/>
      <c r="M1071" s="78" t="s">
        <v>150</v>
      </c>
      <c r="N1071" s="82"/>
      <c r="O1071" s="81" t="s">
        <v>2541</v>
      </c>
      <c r="P1071" s="81" t="s">
        <v>2256</v>
      </c>
      <c r="Q1071" s="81"/>
      <c r="R1071" s="83">
        <v>150</v>
      </c>
      <c r="S1071" s="79" t="s">
        <v>3052</v>
      </c>
      <c r="T1071" s="84">
        <v>150000</v>
      </c>
      <c r="U1071" s="81"/>
      <c r="V1071" s="81"/>
      <c r="W1071" s="78" t="s">
        <v>150</v>
      </c>
      <c r="X1071" s="82"/>
      <c r="Y1071" s="81" t="s">
        <v>2541</v>
      </c>
      <c r="Z1071" s="81" t="s">
        <v>2256</v>
      </c>
      <c r="AA1071" s="83">
        <v>1500</v>
      </c>
      <c r="AB1071" s="85"/>
      <c r="AD1071" s="78" t="s">
        <v>150</v>
      </c>
      <c r="AE1071" s="82"/>
      <c r="AF1071" s="81" t="s">
        <v>2541</v>
      </c>
      <c r="AG1071" s="81" t="s">
        <v>2256</v>
      </c>
      <c r="AH1071" s="83">
        <v>1500</v>
      </c>
      <c r="AI1071" s="85"/>
    </row>
    <row r="1072" spans="1:35" s="79" customFormat="1" ht="11.25" customHeight="1" x14ac:dyDescent="0.2">
      <c r="A1072" s="77" t="s">
        <v>1612</v>
      </c>
      <c r="B1072" s="81" t="s">
        <v>1613</v>
      </c>
      <c r="C1072" s="81" t="s">
        <v>1611</v>
      </c>
      <c r="D1072" s="73">
        <v>1000</v>
      </c>
      <c r="E1072" s="79" t="s">
        <v>20</v>
      </c>
      <c r="F1072" s="79" t="s">
        <v>30</v>
      </c>
      <c r="G1072" s="79" t="s">
        <v>3001</v>
      </c>
      <c r="H1072" s="79" t="s">
        <v>43</v>
      </c>
      <c r="I1072" s="81" t="s">
        <v>3000</v>
      </c>
      <c r="J1072" s="81">
        <v>25</v>
      </c>
      <c r="K1072" s="86"/>
      <c r="M1072" s="78" t="s">
        <v>150</v>
      </c>
      <c r="N1072" s="82"/>
      <c r="O1072" s="81" t="s">
        <v>2623</v>
      </c>
      <c r="P1072" s="81" t="s">
        <v>2256</v>
      </c>
      <c r="Q1072" s="81"/>
      <c r="R1072" s="83">
        <v>150</v>
      </c>
      <c r="S1072" s="79" t="s">
        <v>3052</v>
      </c>
      <c r="T1072" s="84">
        <v>150000</v>
      </c>
      <c r="U1072" s="81"/>
      <c r="V1072" s="81"/>
      <c r="W1072" s="78" t="s">
        <v>150</v>
      </c>
      <c r="X1072" s="82"/>
      <c r="Y1072" s="81" t="s">
        <v>2623</v>
      </c>
      <c r="Z1072" s="81" t="s">
        <v>2256</v>
      </c>
      <c r="AA1072" s="83">
        <v>1500</v>
      </c>
      <c r="AB1072" s="85"/>
      <c r="AD1072" s="78" t="s">
        <v>150</v>
      </c>
      <c r="AE1072" s="82"/>
      <c r="AF1072" s="81" t="s">
        <v>2623</v>
      </c>
      <c r="AG1072" s="81" t="s">
        <v>2256</v>
      </c>
      <c r="AH1072" s="83">
        <v>1500</v>
      </c>
      <c r="AI1072" s="85"/>
    </row>
    <row r="1073" spans="1:35" s="79" customFormat="1" ht="11.25" customHeight="1" x14ac:dyDescent="0.2">
      <c r="A1073" s="77" t="s">
        <v>1885</v>
      </c>
      <c r="B1073" s="80">
        <v>660</v>
      </c>
      <c r="C1073" s="81" t="s">
        <v>150</v>
      </c>
      <c r="D1073" s="73">
        <v>1000</v>
      </c>
      <c r="E1073" s="79" t="s">
        <v>20</v>
      </c>
      <c r="F1073" s="79" t="s">
        <v>3725</v>
      </c>
      <c r="G1073" s="79" t="s">
        <v>2996</v>
      </c>
      <c r="H1073" s="79" t="s">
        <v>43</v>
      </c>
      <c r="I1073" s="81" t="s">
        <v>3000</v>
      </c>
      <c r="J1073" s="81">
        <v>25</v>
      </c>
      <c r="K1073" s="86"/>
      <c r="M1073" s="78" t="s">
        <v>150</v>
      </c>
      <c r="N1073" s="82"/>
      <c r="O1073" s="81" t="s">
        <v>2256</v>
      </c>
      <c r="P1073" s="81" t="s">
        <v>2256</v>
      </c>
      <c r="Q1073" s="81"/>
      <c r="R1073" s="83">
        <v>150</v>
      </c>
      <c r="S1073" s="79" t="s">
        <v>2999</v>
      </c>
      <c r="T1073" s="84">
        <v>150000</v>
      </c>
      <c r="U1073" s="81"/>
      <c r="V1073" s="81"/>
      <c r="W1073" s="78" t="s">
        <v>150</v>
      </c>
      <c r="X1073" s="82"/>
      <c r="Y1073" s="81" t="s">
        <v>2256</v>
      </c>
      <c r="Z1073" s="81" t="s">
        <v>2256</v>
      </c>
      <c r="AA1073" s="83">
        <v>1500</v>
      </c>
      <c r="AB1073" s="85"/>
      <c r="AD1073" s="78" t="s">
        <v>150</v>
      </c>
      <c r="AE1073" s="82"/>
      <c r="AF1073" s="81" t="s">
        <v>2256</v>
      </c>
      <c r="AG1073" s="81" t="s">
        <v>2256</v>
      </c>
      <c r="AH1073" s="83">
        <v>1500</v>
      </c>
      <c r="AI1073" s="85"/>
    </row>
    <row r="1074" spans="1:35" s="79" customFormat="1" ht="11.25" customHeight="1" x14ac:dyDescent="0.2">
      <c r="A1074" s="77" t="s">
        <v>1740</v>
      </c>
      <c r="B1074" s="80">
        <v>211</v>
      </c>
      <c r="C1074" s="81" t="s">
        <v>1739</v>
      </c>
      <c r="D1074" s="73">
        <v>1000</v>
      </c>
      <c r="E1074" s="79" t="s">
        <v>28</v>
      </c>
      <c r="F1074" s="79" t="s">
        <v>3725</v>
      </c>
      <c r="G1074" s="79" t="s">
        <v>2996</v>
      </c>
      <c r="H1074" s="79" t="s">
        <v>43</v>
      </c>
      <c r="I1074" s="81" t="s">
        <v>3000</v>
      </c>
      <c r="J1074" s="81">
        <v>25</v>
      </c>
      <c r="K1074" s="86"/>
      <c r="M1074" s="78" t="s">
        <v>1741</v>
      </c>
      <c r="N1074" s="82" t="s">
        <v>430</v>
      </c>
      <c r="O1074" s="81" t="s">
        <v>2654</v>
      </c>
      <c r="P1074" s="81" t="s">
        <v>2940</v>
      </c>
      <c r="Q1074" s="81"/>
      <c r="R1074" s="83" t="s">
        <v>864</v>
      </c>
      <c r="S1074" s="79" t="s">
        <v>3208</v>
      </c>
      <c r="T1074" s="84" t="s">
        <v>3418</v>
      </c>
      <c r="U1074" s="81"/>
      <c r="V1074" s="81"/>
      <c r="W1074" s="78" t="s">
        <v>1741</v>
      </c>
      <c r="X1074" s="82" t="s">
        <v>430</v>
      </c>
      <c r="Y1074" s="81" t="s">
        <v>2654</v>
      </c>
      <c r="Z1074" s="81" t="s">
        <v>2940</v>
      </c>
      <c r="AA1074" s="81" t="s">
        <v>1743</v>
      </c>
      <c r="AB1074" s="85"/>
      <c r="AD1074" s="78" t="s">
        <v>1741</v>
      </c>
      <c r="AE1074" s="82" t="s">
        <v>430</v>
      </c>
      <c r="AF1074" s="81" t="s">
        <v>2654</v>
      </c>
      <c r="AG1074" s="81" t="s">
        <v>2940</v>
      </c>
      <c r="AH1074" s="81" t="s">
        <v>1742</v>
      </c>
      <c r="AI1074" s="85"/>
    </row>
    <row r="1075" spans="1:35" s="79" customFormat="1" ht="11.25" customHeight="1" x14ac:dyDescent="0.2">
      <c r="A1075" s="77" t="s">
        <v>1893</v>
      </c>
      <c r="B1075" s="80">
        <v>653</v>
      </c>
      <c r="C1075" s="81" t="s">
        <v>1741</v>
      </c>
      <c r="D1075" s="73">
        <v>1000</v>
      </c>
      <c r="E1075" s="79" t="s">
        <v>28</v>
      </c>
      <c r="F1075" s="79" t="s">
        <v>3725</v>
      </c>
      <c r="G1075" s="79" t="s">
        <v>2996</v>
      </c>
      <c r="H1075" s="79" t="s">
        <v>43</v>
      </c>
      <c r="I1075" s="81" t="s">
        <v>3000</v>
      </c>
      <c r="J1075" s="81">
        <v>25</v>
      </c>
      <c r="K1075" s="86"/>
      <c r="M1075" s="78" t="s">
        <v>1741</v>
      </c>
      <c r="N1075" s="82"/>
      <c r="O1075" s="81" t="s">
        <v>2256</v>
      </c>
      <c r="P1075" s="81" t="s">
        <v>2256</v>
      </c>
      <c r="Q1075" s="81"/>
      <c r="R1075" s="83">
        <v>1000</v>
      </c>
      <c r="S1075" s="79" t="s">
        <v>2999</v>
      </c>
      <c r="T1075" s="84">
        <v>1000000</v>
      </c>
      <c r="U1075" s="81"/>
      <c r="V1075" s="81"/>
      <c r="W1075" s="78" t="s">
        <v>1741</v>
      </c>
      <c r="X1075" s="82"/>
      <c r="Y1075" s="81" t="s">
        <v>2256</v>
      </c>
      <c r="Z1075" s="81" t="s">
        <v>2256</v>
      </c>
      <c r="AA1075" s="83">
        <v>5000</v>
      </c>
      <c r="AB1075" s="85"/>
      <c r="AD1075" s="78" t="s">
        <v>1741</v>
      </c>
      <c r="AE1075" s="82"/>
      <c r="AF1075" s="81" t="s">
        <v>2256</v>
      </c>
      <c r="AG1075" s="81" t="s">
        <v>2256</v>
      </c>
      <c r="AH1075" s="83">
        <v>7000</v>
      </c>
      <c r="AI1075" s="85"/>
    </row>
    <row r="1076" spans="1:35" s="79" customFormat="1" ht="11.25" customHeight="1" x14ac:dyDescent="0.2">
      <c r="A1076" s="77" t="s">
        <v>1929</v>
      </c>
      <c r="B1076" s="80">
        <v>654</v>
      </c>
      <c r="C1076" s="81" t="s">
        <v>1928</v>
      </c>
      <c r="D1076" s="73">
        <v>1000</v>
      </c>
      <c r="E1076" s="79" t="s">
        <v>28</v>
      </c>
      <c r="F1076" s="79" t="s">
        <v>3725</v>
      </c>
      <c r="G1076" s="79" t="s">
        <v>2996</v>
      </c>
      <c r="H1076" s="79" t="s">
        <v>43</v>
      </c>
      <c r="I1076" s="81" t="s">
        <v>3000</v>
      </c>
      <c r="J1076" s="81">
        <v>25</v>
      </c>
      <c r="K1076" s="86"/>
      <c r="M1076" s="78" t="s">
        <v>1741</v>
      </c>
      <c r="N1076" s="82"/>
      <c r="O1076" s="81" t="s">
        <v>2692</v>
      </c>
      <c r="P1076" s="81" t="s">
        <v>2256</v>
      </c>
      <c r="Q1076" s="81"/>
      <c r="R1076" s="83">
        <v>1000</v>
      </c>
      <c r="S1076" s="79" t="s">
        <v>3229</v>
      </c>
      <c r="T1076" s="84">
        <v>1000000</v>
      </c>
      <c r="U1076" s="81"/>
      <c r="V1076" s="81"/>
      <c r="W1076" s="78" t="s">
        <v>1741</v>
      </c>
      <c r="X1076" s="82"/>
      <c r="Y1076" s="81" t="s">
        <v>2692</v>
      </c>
      <c r="Z1076" s="81" t="s">
        <v>2256</v>
      </c>
      <c r="AA1076" s="83">
        <v>5000</v>
      </c>
      <c r="AB1076" s="85"/>
      <c r="AD1076" s="78" t="s">
        <v>1741</v>
      </c>
      <c r="AE1076" s="82"/>
      <c r="AF1076" s="81" t="s">
        <v>2692</v>
      </c>
      <c r="AG1076" s="81" t="s">
        <v>2256</v>
      </c>
      <c r="AH1076" s="83">
        <v>7000</v>
      </c>
      <c r="AI1076" s="85"/>
    </row>
    <row r="1077" spans="1:35" s="79" customFormat="1" ht="11.25" customHeight="1" x14ac:dyDescent="0.2">
      <c r="A1077" s="77" t="s">
        <v>875</v>
      </c>
      <c r="B1077" s="80">
        <v>144</v>
      </c>
      <c r="C1077" s="81" t="s">
        <v>874</v>
      </c>
      <c r="D1077" s="73">
        <v>7450</v>
      </c>
      <c r="E1077" s="79" t="s">
        <v>28</v>
      </c>
      <c r="F1077" s="79" t="s">
        <v>3725</v>
      </c>
      <c r="G1077" s="79" t="s">
        <v>2996</v>
      </c>
      <c r="H1077" s="79" t="s">
        <v>43</v>
      </c>
      <c r="I1077" s="81" t="s">
        <v>3000</v>
      </c>
      <c r="J1077" s="81">
        <v>25</v>
      </c>
      <c r="K1077" s="86"/>
      <c r="M1077" s="78" t="s">
        <v>85</v>
      </c>
      <c r="N1077" s="82" t="s">
        <v>95</v>
      </c>
      <c r="O1077" s="81" t="s">
        <v>2446</v>
      </c>
      <c r="P1077" s="81" t="s">
        <v>2856</v>
      </c>
      <c r="Q1077" s="81"/>
      <c r="R1077" s="83" t="s">
        <v>3444</v>
      </c>
      <c r="S1077" s="79" t="s">
        <v>3131</v>
      </c>
      <c r="T1077" s="84" t="s">
        <v>3575</v>
      </c>
      <c r="U1077" s="81"/>
      <c r="V1077" s="81"/>
      <c r="W1077" s="78" t="s">
        <v>85</v>
      </c>
      <c r="X1077" s="82" t="s">
        <v>95</v>
      </c>
      <c r="Y1077" s="81" t="s">
        <v>2446</v>
      </c>
      <c r="Z1077" s="81" t="s">
        <v>2856</v>
      </c>
      <c r="AA1077" s="81" t="s">
        <v>857</v>
      </c>
      <c r="AB1077" s="85"/>
      <c r="AD1077" s="78" t="s">
        <v>85</v>
      </c>
      <c r="AE1077" s="82" t="s">
        <v>95</v>
      </c>
      <c r="AF1077" s="81" t="s">
        <v>2446</v>
      </c>
      <c r="AG1077" s="81" t="s">
        <v>2856</v>
      </c>
      <c r="AH1077" s="81" t="s">
        <v>856</v>
      </c>
      <c r="AI1077" s="85"/>
    </row>
    <row r="1078" spans="1:35" s="79" customFormat="1" ht="11.25" customHeight="1" x14ac:dyDescent="0.2">
      <c r="A1078" s="77" t="s">
        <v>2130</v>
      </c>
      <c r="B1078" s="80">
        <v>475</v>
      </c>
      <c r="C1078" s="81" t="s">
        <v>2129</v>
      </c>
      <c r="D1078" s="73">
        <v>1000</v>
      </c>
      <c r="E1078" s="79" t="s">
        <v>20</v>
      </c>
      <c r="F1078" s="79" t="s">
        <v>3725</v>
      </c>
      <c r="G1078" s="79" t="s">
        <v>2996</v>
      </c>
      <c r="H1078" s="79" t="s">
        <v>43</v>
      </c>
      <c r="I1078" s="81" t="s">
        <v>3000</v>
      </c>
      <c r="J1078" s="81">
        <v>25</v>
      </c>
      <c r="K1078" s="86"/>
      <c r="M1078" s="78" t="s">
        <v>85</v>
      </c>
      <c r="N1078" s="82" t="s">
        <v>135</v>
      </c>
      <c r="O1078" s="81" t="s">
        <v>2736</v>
      </c>
      <c r="P1078" s="81" t="s">
        <v>2978</v>
      </c>
      <c r="Q1078" s="81"/>
      <c r="R1078" s="83" t="s">
        <v>3426</v>
      </c>
      <c r="S1078" s="79" t="s">
        <v>3166</v>
      </c>
      <c r="T1078" s="84" t="s">
        <v>3599</v>
      </c>
      <c r="U1078" s="81"/>
      <c r="V1078" s="81"/>
      <c r="W1078" s="78" t="s">
        <v>85</v>
      </c>
      <c r="X1078" s="82" t="s">
        <v>135</v>
      </c>
      <c r="Y1078" s="81" t="s">
        <v>2736</v>
      </c>
      <c r="Z1078" s="81" t="s">
        <v>2978</v>
      </c>
      <c r="AA1078" s="81" t="s">
        <v>552</v>
      </c>
      <c r="AB1078" s="85"/>
      <c r="AD1078" s="78" t="s">
        <v>85</v>
      </c>
      <c r="AE1078" s="82" t="s">
        <v>135</v>
      </c>
      <c r="AF1078" s="81" t="s">
        <v>2736</v>
      </c>
      <c r="AG1078" s="81" t="s">
        <v>2978</v>
      </c>
      <c r="AH1078" s="81" t="s">
        <v>551</v>
      </c>
      <c r="AI1078" s="85"/>
    </row>
    <row r="1079" spans="1:35" s="79" customFormat="1" ht="11.25" customHeight="1" x14ac:dyDescent="0.2">
      <c r="A1079" s="77" t="s">
        <v>1285</v>
      </c>
      <c r="B1079" s="80">
        <v>745</v>
      </c>
      <c r="C1079" s="81" t="s">
        <v>1284</v>
      </c>
      <c r="D1079" s="73">
        <v>100</v>
      </c>
      <c r="E1079" s="79" t="s">
        <v>20</v>
      </c>
      <c r="F1079" s="79" t="s">
        <v>3725</v>
      </c>
      <c r="G1079" s="79" t="s">
        <v>2996</v>
      </c>
      <c r="H1079" s="79" t="s">
        <v>43</v>
      </c>
      <c r="I1079" s="81" t="s">
        <v>3000</v>
      </c>
      <c r="J1079" s="81">
        <v>25</v>
      </c>
      <c r="K1079" s="86"/>
      <c r="M1079" s="78" t="s">
        <v>85</v>
      </c>
      <c r="N1079" s="82" t="s">
        <v>135</v>
      </c>
      <c r="O1079" s="81" t="s">
        <v>2543</v>
      </c>
      <c r="P1079" s="81" t="s">
        <v>2896</v>
      </c>
      <c r="Q1079" s="81"/>
      <c r="R1079" s="83" t="s">
        <v>3426</v>
      </c>
      <c r="S1079" s="79" t="s">
        <v>3166</v>
      </c>
      <c r="T1079" s="84" t="s">
        <v>3599</v>
      </c>
      <c r="U1079" s="81"/>
      <c r="V1079" s="81"/>
      <c r="W1079" s="78" t="s">
        <v>85</v>
      </c>
      <c r="X1079" s="82" t="s">
        <v>135</v>
      </c>
      <c r="Y1079" s="81" t="s">
        <v>2543</v>
      </c>
      <c r="Z1079" s="81" t="s">
        <v>2896</v>
      </c>
      <c r="AA1079" s="81" t="s">
        <v>552</v>
      </c>
      <c r="AB1079" s="85"/>
      <c r="AD1079" s="78" t="s">
        <v>85</v>
      </c>
      <c r="AE1079" s="82" t="s">
        <v>135</v>
      </c>
      <c r="AF1079" s="81" t="s">
        <v>2543</v>
      </c>
      <c r="AG1079" s="81" t="s">
        <v>2896</v>
      </c>
      <c r="AH1079" s="81" t="s">
        <v>551</v>
      </c>
      <c r="AI1079" s="85"/>
    </row>
    <row r="1080" spans="1:35" s="79" customFormat="1" ht="11.25" customHeight="1" x14ac:dyDescent="0.2">
      <c r="A1080" s="77" t="s">
        <v>1955</v>
      </c>
      <c r="B1080" s="80">
        <v>533</v>
      </c>
      <c r="C1080" s="81" t="s">
        <v>1954</v>
      </c>
      <c r="D1080" s="73">
        <v>1000</v>
      </c>
      <c r="E1080" s="79" t="s">
        <v>20</v>
      </c>
      <c r="F1080" s="79" t="s">
        <v>3725</v>
      </c>
      <c r="G1080" s="79" t="s">
        <v>2996</v>
      </c>
      <c r="H1080" s="79" t="s">
        <v>43</v>
      </c>
      <c r="I1080" s="81"/>
      <c r="J1080" s="81">
        <v>25</v>
      </c>
      <c r="K1080" s="86"/>
      <c r="M1080" s="78" t="s">
        <v>85</v>
      </c>
      <c r="N1080" s="82" t="s">
        <v>135</v>
      </c>
      <c r="O1080" s="81" t="s">
        <v>2696</v>
      </c>
      <c r="P1080" s="81" t="s">
        <v>2961</v>
      </c>
      <c r="Q1080" s="81"/>
      <c r="R1080" s="83" t="s">
        <v>3426</v>
      </c>
      <c r="S1080" s="79" t="s">
        <v>3166</v>
      </c>
      <c r="T1080" s="84" t="s">
        <v>3599</v>
      </c>
      <c r="U1080" s="81"/>
      <c r="V1080" s="81"/>
      <c r="W1080" s="78" t="s">
        <v>85</v>
      </c>
      <c r="X1080" s="82" t="s">
        <v>135</v>
      </c>
      <c r="Y1080" s="81" t="s">
        <v>2696</v>
      </c>
      <c r="Z1080" s="81" t="s">
        <v>2961</v>
      </c>
      <c r="AA1080" s="81" t="s">
        <v>552</v>
      </c>
      <c r="AB1080" s="85"/>
      <c r="AD1080" s="78" t="s">
        <v>85</v>
      </c>
      <c r="AE1080" s="82" t="s">
        <v>135</v>
      </c>
      <c r="AF1080" s="81" t="s">
        <v>2696</v>
      </c>
      <c r="AG1080" s="81" t="s">
        <v>2961</v>
      </c>
      <c r="AH1080" s="81" t="s">
        <v>551</v>
      </c>
      <c r="AI1080" s="85"/>
    </row>
    <row r="1081" spans="1:35" s="79" customFormat="1" ht="11.25" customHeight="1" x14ac:dyDescent="0.2">
      <c r="A1081" s="77" t="s">
        <v>84</v>
      </c>
      <c r="B1081" s="80">
        <v>488</v>
      </c>
      <c r="C1081" s="81" t="s">
        <v>83</v>
      </c>
      <c r="D1081" s="73">
        <v>1000</v>
      </c>
      <c r="E1081" s="79" t="s">
        <v>20</v>
      </c>
      <c r="F1081" s="79" t="s">
        <v>3725</v>
      </c>
      <c r="G1081" s="79" t="s">
        <v>2996</v>
      </c>
      <c r="H1081" s="79" t="s">
        <v>43</v>
      </c>
      <c r="I1081" s="81" t="s">
        <v>3000</v>
      </c>
      <c r="J1081" s="81">
        <v>25</v>
      </c>
      <c r="K1081" s="86"/>
      <c r="M1081" s="78" t="s">
        <v>85</v>
      </c>
      <c r="N1081" s="82"/>
      <c r="O1081" s="81" t="s">
        <v>2262</v>
      </c>
      <c r="P1081" s="81" t="s">
        <v>2256</v>
      </c>
      <c r="Q1081" s="81"/>
      <c r="R1081" s="83">
        <v>150</v>
      </c>
      <c r="S1081" s="79" t="s">
        <v>3013</v>
      </c>
      <c r="T1081" s="84">
        <v>150000</v>
      </c>
      <c r="U1081" s="81"/>
      <c r="V1081" s="81"/>
      <c r="W1081" s="78" t="s">
        <v>85</v>
      </c>
      <c r="X1081" s="82"/>
      <c r="Y1081" s="81" t="s">
        <v>2262</v>
      </c>
      <c r="Z1081" s="81" t="s">
        <v>2256</v>
      </c>
      <c r="AA1081" s="80">
        <v>500</v>
      </c>
      <c r="AB1081" s="85"/>
      <c r="AD1081" s="78" t="s">
        <v>85</v>
      </c>
      <c r="AE1081" s="82"/>
      <c r="AF1081" s="81" t="s">
        <v>2262</v>
      </c>
      <c r="AG1081" s="81" t="s">
        <v>2256</v>
      </c>
      <c r="AH1081" s="83">
        <v>1000</v>
      </c>
      <c r="AI1081" s="85"/>
    </row>
    <row r="1082" spans="1:35" s="79" customFormat="1" ht="11.25" customHeight="1" x14ac:dyDescent="0.2">
      <c r="A1082" s="77" t="s">
        <v>1912</v>
      </c>
      <c r="B1082" s="80">
        <v>532</v>
      </c>
      <c r="C1082" s="81" t="s">
        <v>85</v>
      </c>
      <c r="D1082" s="73">
        <v>1000</v>
      </c>
      <c r="E1082" s="79" t="s">
        <v>20</v>
      </c>
      <c r="F1082" s="79" t="s">
        <v>3725</v>
      </c>
      <c r="G1082" s="79" t="s">
        <v>2996</v>
      </c>
      <c r="H1082" s="79" t="s">
        <v>43</v>
      </c>
      <c r="I1082" s="81" t="s">
        <v>3000</v>
      </c>
      <c r="J1082" s="81">
        <v>25</v>
      </c>
      <c r="K1082" s="86"/>
      <c r="M1082" s="78" t="s">
        <v>85</v>
      </c>
      <c r="N1082" s="82"/>
      <c r="O1082" s="81" t="s">
        <v>2256</v>
      </c>
      <c r="P1082" s="81" t="s">
        <v>2256</v>
      </c>
      <c r="Q1082" s="81"/>
      <c r="R1082" s="83">
        <v>150</v>
      </c>
      <c r="S1082" s="79" t="s">
        <v>2999</v>
      </c>
      <c r="T1082" s="84">
        <v>150000</v>
      </c>
      <c r="U1082" s="81"/>
      <c r="V1082" s="81"/>
      <c r="W1082" s="78" t="s">
        <v>85</v>
      </c>
      <c r="X1082" s="82"/>
      <c r="Y1082" s="81" t="s">
        <v>2256</v>
      </c>
      <c r="Z1082" s="81" t="s">
        <v>2256</v>
      </c>
      <c r="AA1082" s="80">
        <v>500</v>
      </c>
      <c r="AB1082" s="85"/>
      <c r="AD1082" s="78" t="s">
        <v>85</v>
      </c>
      <c r="AE1082" s="82"/>
      <c r="AF1082" s="81" t="s">
        <v>2256</v>
      </c>
      <c r="AG1082" s="81" t="s">
        <v>2256</v>
      </c>
      <c r="AH1082" s="83">
        <v>1000</v>
      </c>
      <c r="AI1082" s="85"/>
    </row>
    <row r="1083" spans="1:35" s="79" customFormat="1" ht="11.25" customHeight="1" x14ac:dyDescent="0.2">
      <c r="A1083" s="77" t="s">
        <v>1917</v>
      </c>
      <c r="B1083" s="80">
        <v>542</v>
      </c>
      <c r="C1083" s="81" t="s">
        <v>1916</v>
      </c>
      <c r="D1083" s="73">
        <v>1000</v>
      </c>
      <c r="E1083" s="79" t="s">
        <v>28</v>
      </c>
      <c r="F1083" s="79" t="s">
        <v>3725</v>
      </c>
      <c r="G1083" s="79" t="s">
        <v>2996</v>
      </c>
      <c r="H1083" s="79" t="s">
        <v>43</v>
      </c>
      <c r="I1083" s="81" t="s">
        <v>3000</v>
      </c>
      <c r="J1083" s="81">
        <v>25</v>
      </c>
      <c r="K1083" s="86"/>
      <c r="M1083" s="78" t="s">
        <v>1916</v>
      </c>
      <c r="N1083" s="82"/>
      <c r="O1083" s="81" t="s">
        <v>2256</v>
      </c>
      <c r="P1083" s="81" t="s">
        <v>2256</v>
      </c>
      <c r="Q1083" s="81"/>
      <c r="R1083" s="83">
        <v>500</v>
      </c>
      <c r="S1083" s="79" t="s">
        <v>2999</v>
      </c>
      <c r="T1083" s="84">
        <v>500000</v>
      </c>
      <c r="U1083" s="81"/>
      <c r="V1083" s="81"/>
      <c r="W1083" s="78" t="s">
        <v>1916</v>
      </c>
      <c r="X1083" s="82"/>
      <c r="Y1083" s="81" t="s">
        <v>2256</v>
      </c>
      <c r="Z1083" s="81" t="s">
        <v>2256</v>
      </c>
      <c r="AA1083" s="83">
        <v>3500</v>
      </c>
      <c r="AB1083" s="85"/>
      <c r="AD1083" s="78" t="s">
        <v>1916</v>
      </c>
      <c r="AE1083" s="82"/>
      <c r="AF1083" s="81" t="s">
        <v>2256</v>
      </c>
      <c r="AG1083" s="81" t="s">
        <v>2256</v>
      </c>
      <c r="AH1083" s="83">
        <v>5000</v>
      </c>
      <c r="AI1083" s="85"/>
    </row>
    <row r="1084" spans="1:35" s="79" customFormat="1" ht="11.25" customHeight="1" x14ac:dyDescent="0.2">
      <c r="A1084" s="77" t="s">
        <v>1960</v>
      </c>
      <c r="B1084" s="80">
        <v>535</v>
      </c>
      <c r="C1084" s="81" t="s">
        <v>1959</v>
      </c>
      <c r="D1084" s="73">
        <v>1000</v>
      </c>
      <c r="E1084" s="79" t="s">
        <v>20</v>
      </c>
      <c r="F1084" s="79" t="s">
        <v>3725</v>
      </c>
      <c r="G1084" s="79" t="s">
        <v>2996</v>
      </c>
      <c r="H1084" s="79" t="s">
        <v>43</v>
      </c>
      <c r="I1084" s="81"/>
      <c r="J1084" s="81">
        <v>25</v>
      </c>
      <c r="K1084" s="86"/>
      <c r="M1084" s="78" t="s">
        <v>1956</v>
      </c>
      <c r="N1084" s="82" t="s">
        <v>135</v>
      </c>
      <c r="O1084" s="81" t="s">
        <v>2697</v>
      </c>
      <c r="P1084" s="81" t="s">
        <v>2962</v>
      </c>
      <c r="Q1084" s="81"/>
      <c r="R1084" s="83" t="s">
        <v>3426</v>
      </c>
      <c r="S1084" s="79" t="s">
        <v>3233</v>
      </c>
      <c r="T1084" s="84" t="s">
        <v>3599</v>
      </c>
      <c r="U1084" s="81"/>
      <c r="V1084" s="81"/>
      <c r="W1084" s="78" t="s">
        <v>1956</v>
      </c>
      <c r="X1084" s="82" t="s">
        <v>135</v>
      </c>
      <c r="Y1084" s="81" t="s">
        <v>2697</v>
      </c>
      <c r="Z1084" s="81" t="s">
        <v>2962</v>
      </c>
      <c r="AA1084" s="81" t="s">
        <v>552</v>
      </c>
      <c r="AB1084" s="85"/>
      <c r="AD1084" s="78" t="s">
        <v>1956</v>
      </c>
      <c r="AE1084" s="82" t="s">
        <v>135</v>
      </c>
      <c r="AF1084" s="81" t="s">
        <v>2697</v>
      </c>
      <c r="AG1084" s="81" t="s">
        <v>2962</v>
      </c>
      <c r="AH1084" s="81" t="s">
        <v>551</v>
      </c>
      <c r="AI1084" s="85"/>
    </row>
    <row r="1085" spans="1:35" s="79" customFormat="1" ht="11.25" customHeight="1" x14ac:dyDescent="0.2">
      <c r="A1085" s="77" t="s">
        <v>1957</v>
      </c>
      <c r="B1085" s="80">
        <v>534</v>
      </c>
      <c r="C1085" s="81" t="s">
        <v>1956</v>
      </c>
      <c r="D1085" s="73">
        <v>1000</v>
      </c>
      <c r="E1085" s="79" t="s">
        <v>20</v>
      </c>
      <c r="F1085" s="79" t="s">
        <v>3725</v>
      </c>
      <c r="G1085" s="79" t="s">
        <v>2996</v>
      </c>
      <c r="H1085" s="79" t="s">
        <v>43</v>
      </c>
      <c r="I1085" s="81" t="s">
        <v>3000</v>
      </c>
      <c r="J1085" s="81">
        <v>25</v>
      </c>
      <c r="K1085" s="86"/>
      <c r="M1085" s="78" t="s">
        <v>1956</v>
      </c>
      <c r="N1085" s="82"/>
      <c r="O1085" s="81" t="s">
        <v>2256</v>
      </c>
      <c r="P1085" s="81" t="s">
        <v>2256</v>
      </c>
      <c r="Q1085" s="81"/>
      <c r="R1085" s="83">
        <v>150</v>
      </c>
      <c r="S1085" s="79" t="s">
        <v>2999</v>
      </c>
      <c r="T1085" s="84">
        <v>150000</v>
      </c>
      <c r="U1085" s="81"/>
      <c r="V1085" s="81"/>
      <c r="W1085" s="78" t="s">
        <v>1956</v>
      </c>
      <c r="X1085" s="82"/>
      <c r="Y1085" s="81" t="s">
        <v>2256</v>
      </c>
      <c r="Z1085" s="81" t="s">
        <v>2256</v>
      </c>
      <c r="AA1085" s="80">
        <v>500</v>
      </c>
      <c r="AB1085" s="85"/>
      <c r="AD1085" s="78" t="s">
        <v>1956</v>
      </c>
      <c r="AE1085" s="82"/>
      <c r="AF1085" s="81" t="s">
        <v>2256</v>
      </c>
      <c r="AG1085" s="81" t="s">
        <v>2256</v>
      </c>
      <c r="AH1085" s="83">
        <v>1000</v>
      </c>
      <c r="AI1085" s="85"/>
    </row>
    <row r="1086" spans="1:35" s="79" customFormat="1" ht="11.25" customHeight="1" x14ac:dyDescent="0.2">
      <c r="A1086" s="77" t="s">
        <v>1962</v>
      </c>
      <c r="B1086" s="80">
        <v>655</v>
      </c>
      <c r="C1086" s="81" t="s">
        <v>1961</v>
      </c>
      <c r="D1086" s="73">
        <v>1000</v>
      </c>
      <c r="E1086" s="79" t="s">
        <v>28</v>
      </c>
      <c r="F1086" s="79" t="s">
        <v>3725</v>
      </c>
      <c r="G1086" s="79" t="s">
        <v>2996</v>
      </c>
      <c r="H1086" s="79" t="s">
        <v>43</v>
      </c>
      <c r="I1086" s="81" t="s">
        <v>3000</v>
      </c>
      <c r="J1086" s="81">
        <v>25</v>
      </c>
      <c r="K1086" s="86"/>
      <c r="M1086" s="78" t="s">
        <v>1961</v>
      </c>
      <c r="N1086" s="82"/>
      <c r="O1086" s="81" t="s">
        <v>2256</v>
      </c>
      <c r="P1086" s="81" t="s">
        <v>2256</v>
      </c>
      <c r="Q1086" s="81"/>
      <c r="R1086" s="83">
        <v>1000</v>
      </c>
      <c r="S1086" s="79" t="s">
        <v>2999</v>
      </c>
      <c r="T1086" s="84">
        <v>1000000</v>
      </c>
      <c r="U1086" s="81"/>
      <c r="V1086" s="81"/>
      <c r="W1086" s="78" t="s">
        <v>1961</v>
      </c>
      <c r="X1086" s="82"/>
      <c r="Y1086" s="81" t="s">
        <v>2256</v>
      </c>
      <c r="Z1086" s="81" t="s">
        <v>2256</v>
      </c>
      <c r="AA1086" s="83">
        <v>5000</v>
      </c>
      <c r="AB1086" s="85"/>
      <c r="AD1086" s="78" t="s">
        <v>1961</v>
      </c>
      <c r="AE1086" s="82"/>
      <c r="AF1086" s="81" t="s">
        <v>2256</v>
      </c>
      <c r="AG1086" s="81" t="s">
        <v>2256</v>
      </c>
      <c r="AH1086" s="83">
        <v>7000</v>
      </c>
      <c r="AI1086" s="85"/>
    </row>
    <row r="1087" spans="1:35" s="79" customFormat="1" ht="11.25" customHeight="1" x14ac:dyDescent="0.2">
      <c r="A1087" s="77" t="s">
        <v>1991</v>
      </c>
      <c r="B1087" s="80">
        <v>656</v>
      </c>
      <c r="C1087" s="81" t="s">
        <v>1990</v>
      </c>
      <c r="D1087" s="73">
        <v>1000</v>
      </c>
      <c r="E1087" s="79" t="s">
        <v>28</v>
      </c>
      <c r="F1087" s="79" t="s">
        <v>3725</v>
      </c>
      <c r="G1087" s="79" t="s">
        <v>2996</v>
      </c>
      <c r="H1087" s="79" t="s">
        <v>43</v>
      </c>
      <c r="I1087" s="81" t="s">
        <v>3000</v>
      </c>
      <c r="J1087" s="81">
        <v>25</v>
      </c>
      <c r="K1087" s="86"/>
      <c r="M1087" s="78" t="s">
        <v>1961</v>
      </c>
      <c r="N1087" s="82"/>
      <c r="O1087" s="81" t="s">
        <v>2702</v>
      </c>
      <c r="P1087" s="81" t="s">
        <v>2256</v>
      </c>
      <c r="Q1087" s="81"/>
      <c r="R1087" s="83">
        <v>1000</v>
      </c>
      <c r="S1087" s="79" t="s">
        <v>3237</v>
      </c>
      <c r="T1087" s="84">
        <v>1000000</v>
      </c>
      <c r="U1087" s="81"/>
      <c r="V1087" s="81"/>
      <c r="W1087" s="78" t="s">
        <v>1961</v>
      </c>
      <c r="X1087" s="82"/>
      <c r="Y1087" s="81" t="s">
        <v>2702</v>
      </c>
      <c r="Z1087" s="81" t="s">
        <v>2256</v>
      </c>
      <c r="AA1087" s="83">
        <v>5000</v>
      </c>
      <c r="AB1087" s="85"/>
      <c r="AD1087" s="78" t="s">
        <v>1961</v>
      </c>
      <c r="AE1087" s="82"/>
      <c r="AF1087" s="81" t="s">
        <v>2702</v>
      </c>
      <c r="AG1087" s="81" t="s">
        <v>2256</v>
      </c>
      <c r="AH1087" s="83">
        <v>7000</v>
      </c>
      <c r="AI1087" s="85"/>
    </row>
    <row r="1088" spans="1:35" s="79" customFormat="1" ht="11.25" customHeight="1" x14ac:dyDescent="0.2">
      <c r="A1088" s="77" t="s">
        <v>1431</v>
      </c>
      <c r="B1088" s="80">
        <v>1087</v>
      </c>
      <c r="C1088" s="81" t="s">
        <v>1430</v>
      </c>
      <c r="D1088" s="73">
        <v>1000</v>
      </c>
      <c r="E1088" s="79" t="s">
        <v>28</v>
      </c>
      <c r="F1088" s="79" t="s">
        <v>3725</v>
      </c>
      <c r="G1088" s="79" t="s">
        <v>2996</v>
      </c>
      <c r="H1088" s="79" t="s">
        <v>43</v>
      </c>
      <c r="I1088" s="81" t="s">
        <v>3000</v>
      </c>
      <c r="J1088" s="81">
        <v>25</v>
      </c>
      <c r="K1088" s="86"/>
      <c r="M1088" s="78" t="s">
        <v>1432</v>
      </c>
      <c r="N1088" s="82" t="s">
        <v>779</v>
      </c>
      <c r="O1088" s="81" t="s">
        <v>2582</v>
      </c>
      <c r="P1088" s="81" t="s">
        <v>2916</v>
      </c>
      <c r="Q1088" s="81"/>
      <c r="R1088" s="83" t="s">
        <v>3433</v>
      </c>
      <c r="S1088" s="79" t="s">
        <v>3175</v>
      </c>
      <c r="T1088" s="84" t="s">
        <v>3601</v>
      </c>
      <c r="U1088" s="81"/>
      <c r="V1088" s="81"/>
      <c r="W1088" s="78" t="s">
        <v>1432</v>
      </c>
      <c r="X1088" s="82" t="s">
        <v>779</v>
      </c>
      <c r="Y1088" s="81" t="s">
        <v>2582</v>
      </c>
      <c r="Z1088" s="81" t="s">
        <v>2916</v>
      </c>
      <c r="AA1088" s="81" t="s">
        <v>799</v>
      </c>
      <c r="AB1088" s="85"/>
      <c r="AD1088" s="78" t="s">
        <v>1432</v>
      </c>
      <c r="AE1088" s="82" t="s">
        <v>779</v>
      </c>
      <c r="AF1088" s="81" t="s">
        <v>2582</v>
      </c>
      <c r="AG1088" s="81" t="s">
        <v>2916</v>
      </c>
      <c r="AH1088" s="81" t="s">
        <v>799</v>
      </c>
      <c r="AI1088" s="85"/>
    </row>
    <row r="1089" spans="1:35" s="79" customFormat="1" ht="11.25" customHeight="1" x14ac:dyDescent="0.2">
      <c r="A1089" s="77" t="s">
        <v>1434</v>
      </c>
      <c r="B1089" s="80">
        <v>330</v>
      </c>
      <c r="C1089" s="81" t="s">
        <v>1433</v>
      </c>
      <c r="D1089" s="73">
        <v>1000</v>
      </c>
      <c r="E1089" s="79" t="s">
        <v>28</v>
      </c>
      <c r="F1089" s="79" t="s">
        <v>3725</v>
      </c>
      <c r="G1089" s="79" t="s">
        <v>2996</v>
      </c>
      <c r="H1089" s="79" t="s">
        <v>43</v>
      </c>
      <c r="I1089" s="81" t="s">
        <v>3000</v>
      </c>
      <c r="J1089" s="81">
        <v>25</v>
      </c>
      <c r="K1089" s="86"/>
      <c r="M1089" s="78" t="s">
        <v>1432</v>
      </c>
      <c r="N1089" s="82"/>
      <c r="O1089" s="81" t="s">
        <v>2583</v>
      </c>
      <c r="P1089" s="81" t="s">
        <v>2256</v>
      </c>
      <c r="Q1089" s="81"/>
      <c r="R1089" s="83">
        <v>300</v>
      </c>
      <c r="S1089" s="79" t="s">
        <v>3176</v>
      </c>
      <c r="T1089" s="84">
        <v>300000</v>
      </c>
      <c r="U1089" s="81"/>
      <c r="V1089" s="81"/>
      <c r="W1089" s="78" t="s">
        <v>1432</v>
      </c>
      <c r="X1089" s="82"/>
      <c r="Y1089" s="81" t="s">
        <v>2583</v>
      </c>
      <c r="Z1089" s="81" t="s">
        <v>2256</v>
      </c>
      <c r="AA1089" s="83">
        <v>2000</v>
      </c>
      <c r="AB1089" s="85"/>
      <c r="AD1089" s="78" t="s">
        <v>1432</v>
      </c>
      <c r="AE1089" s="82"/>
      <c r="AF1089" s="81" t="s">
        <v>2583</v>
      </c>
      <c r="AG1089" s="81" t="s">
        <v>2256</v>
      </c>
      <c r="AH1089" s="83">
        <v>2000</v>
      </c>
      <c r="AI1089" s="85"/>
    </row>
    <row r="1090" spans="1:35" s="79" customFormat="1" ht="11.25" customHeight="1" x14ac:dyDescent="0.2">
      <c r="A1090" s="77" t="s">
        <v>1994</v>
      </c>
      <c r="B1090" s="80">
        <v>306</v>
      </c>
      <c r="C1090" s="81" t="s">
        <v>1432</v>
      </c>
      <c r="D1090" s="73">
        <v>1000</v>
      </c>
      <c r="E1090" s="79" t="s">
        <v>28</v>
      </c>
      <c r="F1090" s="79" t="s">
        <v>3725</v>
      </c>
      <c r="G1090" s="79" t="s">
        <v>2996</v>
      </c>
      <c r="H1090" s="79" t="s">
        <v>43</v>
      </c>
      <c r="I1090" s="81" t="s">
        <v>3000</v>
      </c>
      <c r="J1090" s="81">
        <v>25</v>
      </c>
      <c r="K1090" s="86"/>
      <c r="M1090" s="78" t="s">
        <v>1432</v>
      </c>
      <c r="N1090" s="82"/>
      <c r="O1090" s="81" t="s">
        <v>2256</v>
      </c>
      <c r="P1090" s="81" t="s">
        <v>2256</v>
      </c>
      <c r="Q1090" s="81"/>
      <c r="R1090" s="83">
        <v>300</v>
      </c>
      <c r="S1090" s="79" t="s">
        <v>2999</v>
      </c>
      <c r="T1090" s="84">
        <v>300000</v>
      </c>
      <c r="U1090" s="81"/>
      <c r="V1090" s="81"/>
      <c r="W1090" s="78" t="s">
        <v>1432</v>
      </c>
      <c r="X1090" s="82"/>
      <c r="Y1090" s="81" t="s">
        <v>2256</v>
      </c>
      <c r="Z1090" s="81" t="s">
        <v>2256</v>
      </c>
      <c r="AA1090" s="83">
        <v>2000</v>
      </c>
      <c r="AB1090" s="85"/>
      <c r="AD1090" s="78" t="s">
        <v>1432</v>
      </c>
      <c r="AE1090" s="82"/>
      <c r="AF1090" s="81" t="s">
        <v>2256</v>
      </c>
      <c r="AG1090" s="81" t="s">
        <v>2256</v>
      </c>
      <c r="AH1090" s="83">
        <v>2000</v>
      </c>
      <c r="AI1090" s="85"/>
    </row>
    <row r="1091" spans="1:35" s="79" customFormat="1" ht="11.25" customHeight="1" x14ac:dyDescent="0.2">
      <c r="A1091" s="77" t="s">
        <v>1442</v>
      </c>
      <c r="B1091" s="80">
        <v>1088</v>
      </c>
      <c r="C1091" s="81" t="s">
        <v>1441</v>
      </c>
      <c r="D1091" s="73">
        <v>1000</v>
      </c>
      <c r="E1091" s="79" t="s">
        <v>28</v>
      </c>
      <c r="F1091" s="79" t="s">
        <v>3725</v>
      </c>
      <c r="G1091" s="79" t="s">
        <v>2996</v>
      </c>
      <c r="H1091" s="79" t="s">
        <v>43</v>
      </c>
      <c r="I1091" s="81" t="s">
        <v>3000</v>
      </c>
      <c r="J1091" s="81">
        <v>25</v>
      </c>
      <c r="K1091" s="86"/>
      <c r="M1091" s="78" t="s">
        <v>1443</v>
      </c>
      <c r="N1091" s="82" t="s">
        <v>1303</v>
      </c>
      <c r="O1091" s="81" t="s">
        <v>2587</v>
      </c>
      <c r="P1091" s="81" t="s">
        <v>2920</v>
      </c>
      <c r="Q1091" s="81"/>
      <c r="R1091" s="83" t="s">
        <v>3433</v>
      </c>
      <c r="S1091" s="79" t="s">
        <v>3179</v>
      </c>
      <c r="T1091" s="84" t="s">
        <v>3601</v>
      </c>
      <c r="U1091" s="81"/>
      <c r="V1091" s="81"/>
      <c r="W1091" s="78" t="s">
        <v>1443</v>
      </c>
      <c r="X1091" s="82" t="s">
        <v>1303</v>
      </c>
      <c r="Y1091" s="81" t="s">
        <v>2587</v>
      </c>
      <c r="Z1091" s="81" t="s">
        <v>2920</v>
      </c>
      <c r="AA1091" s="81" t="s">
        <v>799</v>
      </c>
      <c r="AB1091" s="85"/>
      <c r="AD1091" s="78" t="s">
        <v>1443</v>
      </c>
      <c r="AE1091" s="82" t="s">
        <v>1303</v>
      </c>
      <c r="AF1091" s="81" t="s">
        <v>2587</v>
      </c>
      <c r="AG1091" s="81" t="s">
        <v>2920</v>
      </c>
      <c r="AH1091" s="81" t="s">
        <v>799</v>
      </c>
      <c r="AI1091" s="85"/>
    </row>
    <row r="1092" spans="1:35" s="79" customFormat="1" ht="11.25" customHeight="1" x14ac:dyDescent="0.2">
      <c r="A1092" s="77" t="s">
        <v>1445</v>
      </c>
      <c r="B1092" s="80">
        <v>427</v>
      </c>
      <c r="C1092" s="81" t="s">
        <v>1444</v>
      </c>
      <c r="D1092" s="73">
        <v>1000</v>
      </c>
      <c r="E1092" s="79" t="s">
        <v>28</v>
      </c>
      <c r="F1092" s="79" t="s">
        <v>3725</v>
      </c>
      <c r="G1092" s="79" t="s">
        <v>2996</v>
      </c>
      <c r="H1092" s="79" t="s">
        <v>43</v>
      </c>
      <c r="I1092" s="81" t="s">
        <v>3000</v>
      </c>
      <c r="J1092" s="81">
        <v>25</v>
      </c>
      <c r="K1092" s="86"/>
      <c r="M1092" s="78" t="s">
        <v>1443</v>
      </c>
      <c r="N1092" s="82"/>
      <c r="O1092" s="81" t="s">
        <v>2588</v>
      </c>
      <c r="P1092" s="81" t="s">
        <v>2256</v>
      </c>
      <c r="Q1092" s="81"/>
      <c r="R1092" s="83">
        <v>300</v>
      </c>
      <c r="S1092" s="79" t="s">
        <v>3180</v>
      </c>
      <c r="T1092" s="84">
        <v>300000</v>
      </c>
      <c r="U1092" s="81"/>
      <c r="V1092" s="81"/>
      <c r="W1092" s="78" t="s">
        <v>1443</v>
      </c>
      <c r="X1092" s="82"/>
      <c r="Y1092" s="81" t="s">
        <v>2588</v>
      </c>
      <c r="Z1092" s="81" t="s">
        <v>2256</v>
      </c>
      <c r="AA1092" s="83">
        <v>2000</v>
      </c>
      <c r="AB1092" s="85"/>
      <c r="AD1092" s="78" t="s">
        <v>1443</v>
      </c>
      <c r="AE1092" s="82"/>
      <c r="AF1092" s="81" t="s">
        <v>2588</v>
      </c>
      <c r="AG1092" s="81" t="s">
        <v>2256</v>
      </c>
      <c r="AH1092" s="83">
        <v>2000</v>
      </c>
      <c r="AI1092" s="85"/>
    </row>
    <row r="1093" spans="1:35" s="79" customFormat="1" ht="11.25" customHeight="1" x14ac:dyDescent="0.2">
      <c r="A1093" s="77" t="s">
        <v>1995</v>
      </c>
      <c r="B1093" s="80">
        <v>305</v>
      </c>
      <c r="C1093" s="81" t="s">
        <v>1443</v>
      </c>
      <c r="D1093" s="73">
        <v>1000</v>
      </c>
      <c r="E1093" s="79" t="s">
        <v>28</v>
      </c>
      <c r="F1093" s="79" t="s">
        <v>3725</v>
      </c>
      <c r="G1093" s="79" t="s">
        <v>2996</v>
      </c>
      <c r="H1093" s="79" t="s">
        <v>43</v>
      </c>
      <c r="I1093" s="81" t="s">
        <v>3000</v>
      </c>
      <c r="J1093" s="81">
        <v>25</v>
      </c>
      <c r="K1093" s="86"/>
      <c r="M1093" s="78" t="s">
        <v>1443</v>
      </c>
      <c r="N1093" s="82"/>
      <c r="O1093" s="81" t="s">
        <v>2256</v>
      </c>
      <c r="P1093" s="81" t="s">
        <v>2256</v>
      </c>
      <c r="Q1093" s="81"/>
      <c r="R1093" s="83">
        <v>300</v>
      </c>
      <c r="S1093" s="79" t="s">
        <v>2999</v>
      </c>
      <c r="T1093" s="84">
        <v>300000</v>
      </c>
      <c r="U1093" s="81"/>
      <c r="V1093" s="81"/>
      <c r="W1093" s="78" t="s">
        <v>1443</v>
      </c>
      <c r="X1093" s="82"/>
      <c r="Y1093" s="81" t="s">
        <v>2256</v>
      </c>
      <c r="Z1093" s="81" t="s">
        <v>2256</v>
      </c>
      <c r="AA1093" s="83">
        <v>2000</v>
      </c>
      <c r="AB1093" s="85"/>
      <c r="AD1093" s="78" t="s">
        <v>1443</v>
      </c>
      <c r="AE1093" s="82"/>
      <c r="AF1093" s="81" t="s">
        <v>2256</v>
      </c>
      <c r="AG1093" s="81" t="s">
        <v>2256</v>
      </c>
      <c r="AH1093" s="83">
        <v>2000</v>
      </c>
      <c r="AI1093" s="85"/>
    </row>
    <row r="1094" spans="1:35" s="79" customFormat="1" ht="11.25" customHeight="1" x14ac:dyDescent="0.2">
      <c r="A1094" s="77" t="s">
        <v>2010</v>
      </c>
      <c r="B1094" s="80">
        <v>541</v>
      </c>
      <c r="C1094" s="81" t="s">
        <v>2009</v>
      </c>
      <c r="D1094" s="73">
        <v>42000</v>
      </c>
      <c r="E1094" s="79" t="s">
        <v>42</v>
      </c>
      <c r="F1094" s="79" t="s">
        <v>3725</v>
      </c>
      <c r="G1094" s="79" t="s">
        <v>2996</v>
      </c>
      <c r="H1094" s="79" t="s">
        <v>43</v>
      </c>
      <c r="I1094" s="81" t="s">
        <v>3000</v>
      </c>
      <c r="J1094" s="81">
        <v>25</v>
      </c>
      <c r="K1094" s="86"/>
      <c r="M1094" s="78" t="s">
        <v>2007</v>
      </c>
      <c r="N1094" s="82" t="s">
        <v>44</v>
      </c>
      <c r="O1094" s="81" t="s">
        <v>2706</v>
      </c>
      <c r="P1094" s="81" t="s">
        <v>2966</v>
      </c>
      <c r="Q1094" s="81"/>
      <c r="R1094" s="83" t="s">
        <v>864</v>
      </c>
      <c r="S1094" s="79" t="s">
        <v>3238</v>
      </c>
      <c r="T1094" s="84" t="s">
        <v>3416</v>
      </c>
      <c r="U1094" s="81"/>
      <c r="V1094" s="81"/>
      <c r="W1094" s="78" t="s">
        <v>2007</v>
      </c>
      <c r="X1094" s="82" t="s">
        <v>44</v>
      </c>
      <c r="Y1094" s="81" t="s">
        <v>2706</v>
      </c>
      <c r="Z1094" s="81" t="s">
        <v>2966</v>
      </c>
      <c r="AA1094" s="81" t="s">
        <v>2011</v>
      </c>
      <c r="AB1094" s="85"/>
      <c r="AD1094" s="78" t="s">
        <v>2007</v>
      </c>
      <c r="AE1094" s="82" t="s">
        <v>44</v>
      </c>
      <c r="AF1094" s="81" t="s">
        <v>2706</v>
      </c>
      <c r="AG1094" s="81" t="s">
        <v>2966</v>
      </c>
      <c r="AH1094" s="81" t="s">
        <v>136</v>
      </c>
      <c r="AI1094" s="85"/>
    </row>
    <row r="1095" spans="1:35" s="79" customFormat="1" ht="11.25" customHeight="1" x14ac:dyDescent="0.2">
      <c r="A1095" s="77" t="s">
        <v>2008</v>
      </c>
      <c r="B1095" s="80">
        <v>540</v>
      </c>
      <c r="C1095" s="81" t="s">
        <v>2007</v>
      </c>
      <c r="D1095" s="73">
        <v>42000</v>
      </c>
      <c r="E1095" s="79" t="s">
        <v>42</v>
      </c>
      <c r="F1095" s="79" t="s">
        <v>3725</v>
      </c>
      <c r="G1095" s="79" t="s">
        <v>2996</v>
      </c>
      <c r="H1095" s="79" t="s">
        <v>43</v>
      </c>
      <c r="I1095" s="81" t="s">
        <v>3000</v>
      </c>
      <c r="J1095" s="81">
        <v>25</v>
      </c>
      <c r="K1095" s="86"/>
      <c r="M1095" s="78" t="s">
        <v>2007</v>
      </c>
      <c r="N1095" s="82"/>
      <c r="O1095" s="81" t="s">
        <v>2256</v>
      </c>
      <c r="P1095" s="81" t="s">
        <v>2256</v>
      </c>
      <c r="Q1095" s="81"/>
      <c r="R1095" s="83">
        <v>1000</v>
      </c>
      <c r="S1095" s="79" t="s">
        <v>2999</v>
      </c>
      <c r="T1095" s="84">
        <v>42000000</v>
      </c>
      <c r="U1095" s="81"/>
      <c r="V1095" s="81"/>
      <c r="W1095" s="78" t="s">
        <v>2007</v>
      </c>
      <c r="X1095" s="82"/>
      <c r="Y1095" s="81" t="s">
        <v>2256</v>
      </c>
      <c r="Z1095" s="81" t="s">
        <v>2256</v>
      </c>
      <c r="AA1095" s="83">
        <v>3500</v>
      </c>
      <c r="AB1095" s="85"/>
      <c r="AD1095" s="78" t="s">
        <v>2007</v>
      </c>
      <c r="AE1095" s="82"/>
      <c r="AF1095" s="81" t="s">
        <v>2256</v>
      </c>
      <c r="AG1095" s="81" t="s">
        <v>2256</v>
      </c>
      <c r="AH1095" s="83">
        <v>5000</v>
      </c>
      <c r="AI1095" s="85"/>
    </row>
    <row r="1096" spans="1:35" s="79" customFormat="1" ht="11.25" customHeight="1" x14ac:dyDescent="0.2">
      <c r="A1096" s="77" t="s">
        <v>1889</v>
      </c>
      <c r="B1096" s="80">
        <v>564</v>
      </c>
      <c r="C1096" s="81" t="s">
        <v>1888</v>
      </c>
      <c r="D1096" s="73">
        <v>42000</v>
      </c>
      <c r="E1096" s="79" t="s">
        <v>42</v>
      </c>
      <c r="F1096" s="79" t="s">
        <v>3725</v>
      </c>
      <c r="G1096" s="79" t="s">
        <v>2996</v>
      </c>
      <c r="H1096" s="79" t="s">
        <v>43</v>
      </c>
      <c r="I1096" s="81" t="s">
        <v>3000</v>
      </c>
      <c r="J1096" s="81">
        <v>25</v>
      </c>
      <c r="K1096" s="86"/>
      <c r="M1096" s="78" t="s">
        <v>1890</v>
      </c>
      <c r="N1096" s="82" t="s">
        <v>44</v>
      </c>
      <c r="O1096" s="81" t="s">
        <v>2681</v>
      </c>
      <c r="P1096" s="81" t="s">
        <v>2954</v>
      </c>
      <c r="Q1096" s="81"/>
      <c r="R1096" s="83" t="s">
        <v>864</v>
      </c>
      <c r="S1096" s="79" t="s">
        <v>3224</v>
      </c>
      <c r="T1096" s="84" t="s">
        <v>3416</v>
      </c>
      <c r="U1096" s="81"/>
      <c r="V1096" s="81"/>
      <c r="W1096" s="78" t="s">
        <v>1890</v>
      </c>
      <c r="X1096" s="82" t="s">
        <v>44</v>
      </c>
      <c r="Y1096" s="81" t="s">
        <v>2681</v>
      </c>
      <c r="Z1096" s="81" t="s">
        <v>2954</v>
      </c>
      <c r="AA1096" s="81" t="s">
        <v>246</v>
      </c>
      <c r="AB1096" s="85"/>
      <c r="AD1096" s="78" t="s">
        <v>1890</v>
      </c>
      <c r="AE1096" s="82" t="s">
        <v>44</v>
      </c>
      <c r="AF1096" s="81" t="s">
        <v>2681</v>
      </c>
      <c r="AG1096" s="81" t="s">
        <v>2954</v>
      </c>
      <c r="AH1096" s="81" t="s">
        <v>245</v>
      </c>
      <c r="AI1096" s="85"/>
    </row>
    <row r="1097" spans="1:35" s="79" customFormat="1" ht="11.25" customHeight="1" x14ac:dyDescent="0.2">
      <c r="A1097" s="77" t="s">
        <v>2014</v>
      </c>
      <c r="B1097" s="80">
        <v>740</v>
      </c>
      <c r="C1097" s="81" t="s">
        <v>1890</v>
      </c>
      <c r="D1097" s="73">
        <v>42000</v>
      </c>
      <c r="E1097" s="79" t="s">
        <v>42</v>
      </c>
      <c r="F1097" s="79" t="s">
        <v>3725</v>
      </c>
      <c r="G1097" s="79" t="s">
        <v>2996</v>
      </c>
      <c r="H1097" s="79" t="s">
        <v>43</v>
      </c>
      <c r="I1097" s="81" t="s">
        <v>3000</v>
      </c>
      <c r="J1097" s="81">
        <v>25</v>
      </c>
      <c r="K1097" s="86"/>
      <c r="M1097" s="78" t="s">
        <v>1890</v>
      </c>
      <c r="N1097" s="82"/>
      <c r="O1097" s="81" t="s">
        <v>2256</v>
      </c>
      <c r="P1097" s="81" t="s">
        <v>2256</v>
      </c>
      <c r="Q1097" s="81"/>
      <c r="R1097" s="83">
        <v>1000</v>
      </c>
      <c r="S1097" s="79" t="s">
        <v>2999</v>
      </c>
      <c r="T1097" s="84">
        <v>42000000</v>
      </c>
      <c r="U1097" s="81"/>
      <c r="V1097" s="81"/>
      <c r="W1097" s="78" t="s">
        <v>1890</v>
      </c>
      <c r="X1097" s="82"/>
      <c r="Y1097" s="81" t="s">
        <v>2256</v>
      </c>
      <c r="Z1097" s="81" t="s">
        <v>2256</v>
      </c>
      <c r="AA1097" s="83">
        <v>10000</v>
      </c>
      <c r="AB1097" s="85"/>
      <c r="AD1097" s="78" t="s">
        <v>1890</v>
      </c>
      <c r="AE1097" s="82"/>
      <c r="AF1097" s="81" t="s">
        <v>2256</v>
      </c>
      <c r="AG1097" s="81" t="s">
        <v>2256</v>
      </c>
      <c r="AH1097" s="83">
        <v>10000</v>
      </c>
      <c r="AI1097" s="85"/>
    </row>
    <row r="1098" spans="1:35" s="79" customFormat="1" ht="11.25" customHeight="1" x14ac:dyDescent="0.2">
      <c r="A1098" s="77" t="s">
        <v>2202</v>
      </c>
      <c r="B1098" s="80">
        <v>473</v>
      </c>
      <c r="C1098" s="81" t="s">
        <v>2201</v>
      </c>
      <c r="D1098" s="73">
        <v>1000</v>
      </c>
      <c r="E1098" s="79" t="s">
        <v>20</v>
      </c>
      <c r="F1098" s="79" t="s">
        <v>3725</v>
      </c>
      <c r="G1098" s="79" t="s">
        <v>2996</v>
      </c>
      <c r="H1098" s="79" t="s">
        <v>43</v>
      </c>
      <c r="I1098" s="81" t="s">
        <v>3000</v>
      </c>
      <c r="J1098" s="81">
        <v>25</v>
      </c>
      <c r="K1098" s="86"/>
      <c r="M1098" s="78" t="s">
        <v>1971</v>
      </c>
      <c r="N1098" s="82" t="s">
        <v>135</v>
      </c>
      <c r="O1098" s="81" t="s">
        <v>2758</v>
      </c>
      <c r="P1098" s="81" t="s">
        <v>2989</v>
      </c>
      <c r="Q1098" s="81"/>
      <c r="R1098" s="83" t="s">
        <v>3427</v>
      </c>
      <c r="S1098" s="79" t="s">
        <v>3241</v>
      </c>
      <c r="T1098" s="84" t="s">
        <v>3600</v>
      </c>
      <c r="U1098" s="81"/>
      <c r="V1098" s="81"/>
      <c r="W1098" s="78" t="s">
        <v>1971</v>
      </c>
      <c r="X1098" s="82" t="s">
        <v>135</v>
      </c>
      <c r="Y1098" s="81" t="s">
        <v>2758</v>
      </c>
      <c r="Z1098" s="81" t="s">
        <v>2989</v>
      </c>
      <c r="AA1098" s="81" t="s">
        <v>136</v>
      </c>
      <c r="AB1098" s="85"/>
      <c r="AD1098" s="78" t="s">
        <v>1971</v>
      </c>
      <c r="AE1098" s="82" t="s">
        <v>135</v>
      </c>
      <c r="AF1098" s="81" t="s">
        <v>2758</v>
      </c>
      <c r="AG1098" s="81" t="s">
        <v>2989</v>
      </c>
      <c r="AH1098" s="81" t="s">
        <v>136</v>
      </c>
      <c r="AI1098" s="85"/>
    </row>
    <row r="1099" spans="1:35" s="79" customFormat="1" ht="11.25" customHeight="1" x14ac:dyDescent="0.2">
      <c r="A1099" s="77" t="s">
        <v>2025</v>
      </c>
      <c r="B1099" s="80">
        <v>547</v>
      </c>
      <c r="C1099" s="81" t="s">
        <v>2024</v>
      </c>
      <c r="D1099" s="73">
        <v>1000</v>
      </c>
      <c r="E1099" s="79" t="s">
        <v>20</v>
      </c>
      <c r="F1099" s="79" t="s">
        <v>3725</v>
      </c>
      <c r="G1099" s="79" t="s">
        <v>2996</v>
      </c>
      <c r="H1099" s="79" t="s">
        <v>43</v>
      </c>
      <c r="I1099" s="81"/>
      <c r="J1099" s="81">
        <v>25</v>
      </c>
      <c r="K1099" s="86"/>
      <c r="M1099" s="78" t="s">
        <v>1971</v>
      </c>
      <c r="N1099" s="82" t="s">
        <v>135</v>
      </c>
      <c r="O1099" s="81" t="s">
        <v>2710</v>
      </c>
      <c r="P1099" s="81" t="s">
        <v>2970</v>
      </c>
      <c r="Q1099" s="81"/>
      <c r="R1099" s="83" t="s">
        <v>3427</v>
      </c>
      <c r="S1099" s="79" t="s">
        <v>3241</v>
      </c>
      <c r="T1099" s="84" t="s">
        <v>3600</v>
      </c>
      <c r="U1099" s="81"/>
      <c r="V1099" s="81"/>
      <c r="W1099" s="78" t="s">
        <v>1971</v>
      </c>
      <c r="X1099" s="82" t="s">
        <v>135</v>
      </c>
      <c r="Y1099" s="81" t="s">
        <v>2710</v>
      </c>
      <c r="Z1099" s="81" t="s">
        <v>2970</v>
      </c>
      <c r="AA1099" s="81" t="s">
        <v>136</v>
      </c>
      <c r="AB1099" s="85"/>
      <c r="AD1099" s="78" t="s">
        <v>1971</v>
      </c>
      <c r="AE1099" s="82" t="s">
        <v>135</v>
      </c>
      <c r="AF1099" s="81" t="s">
        <v>2710</v>
      </c>
      <c r="AG1099" s="81" t="s">
        <v>2970</v>
      </c>
      <c r="AH1099" s="81" t="s">
        <v>136</v>
      </c>
      <c r="AI1099" s="85"/>
    </row>
    <row r="1100" spans="1:35" s="79" customFormat="1" ht="11.25" customHeight="1" x14ac:dyDescent="0.2">
      <c r="A1100" s="77" t="s">
        <v>1970</v>
      </c>
      <c r="B1100" s="80">
        <v>490</v>
      </c>
      <c r="C1100" s="81" t="s">
        <v>1969</v>
      </c>
      <c r="D1100" s="73">
        <v>1000</v>
      </c>
      <c r="E1100" s="79" t="s">
        <v>20</v>
      </c>
      <c r="F1100" s="79" t="s">
        <v>3725</v>
      </c>
      <c r="G1100" s="79" t="s">
        <v>2996</v>
      </c>
      <c r="H1100" s="79" t="s">
        <v>43</v>
      </c>
      <c r="I1100" s="81" t="s">
        <v>3000</v>
      </c>
      <c r="J1100" s="81">
        <v>25</v>
      </c>
      <c r="K1100" s="86"/>
      <c r="M1100" s="78" t="s">
        <v>1971</v>
      </c>
      <c r="N1100" s="82"/>
      <c r="O1100" s="81" t="s">
        <v>2698</v>
      </c>
      <c r="P1100" s="81" t="s">
        <v>2256</v>
      </c>
      <c r="Q1100" s="81"/>
      <c r="R1100" s="83">
        <v>500</v>
      </c>
      <c r="S1100" s="79" t="s">
        <v>3234</v>
      </c>
      <c r="T1100" s="84">
        <v>500000</v>
      </c>
      <c r="U1100" s="81"/>
      <c r="V1100" s="81"/>
      <c r="W1100" s="78" t="s">
        <v>1971</v>
      </c>
      <c r="X1100" s="82"/>
      <c r="Y1100" s="81" t="s">
        <v>2698</v>
      </c>
      <c r="Z1100" s="81" t="s">
        <v>2256</v>
      </c>
      <c r="AA1100" s="83">
        <v>5000</v>
      </c>
      <c r="AB1100" s="85"/>
      <c r="AD1100" s="78" t="s">
        <v>1971</v>
      </c>
      <c r="AE1100" s="82"/>
      <c r="AF1100" s="81" t="s">
        <v>2698</v>
      </c>
      <c r="AG1100" s="81" t="s">
        <v>2256</v>
      </c>
      <c r="AH1100" s="83">
        <v>5000</v>
      </c>
      <c r="AI1100" s="85"/>
    </row>
    <row r="1101" spans="1:35" s="79" customFormat="1" ht="11.25" customHeight="1" x14ac:dyDescent="0.2">
      <c r="A1101" s="77" t="s">
        <v>2023</v>
      </c>
      <c r="B1101" s="80">
        <v>546</v>
      </c>
      <c r="C1101" s="81" t="s">
        <v>1971</v>
      </c>
      <c r="D1101" s="73">
        <v>1000</v>
      </c>
      <c r="E1101" s="79" t="s">
        <v>20</v>
      </c>
      <c r="F1101" s="79" t="s">
        <v>3725</v>
      </c>
      <c r="G1101" s="79" t="s">
        <v>2996</v>
      </c>
      <c r="H1101" s="79" t="s">
        <v>43</v>
      </c>
      <c r="I1101" s="81" t="s">
        <v>3000</v>
      </c>
      <c r="J1101" s="81">
        <v>25</v>
      </c>
      <c r="K1101" s="86"/>
      <c r="M1101" s="78" t="s">
        <v>1971</v>
      </c>
      <c r="N1101" s="82"/>
      <c r="O1101" s="81" t="s">
        <v>2256</v>
      </c>
      <c r="P1101" s="81" t="s">
        <v>2256</v>
      </c>
      <c r="Q1101" s="81"/>
      <c r="R1101" s="83">
        <v>500</v>
      </c>
      <c r="S1101" s="79" t="s">
        <v>2999</v>
      </c>
      <c r="T1101" s="84">
        <v>500000</v>
      </c>
      <c r="U1101" s="81"/>
      <c r="V1101" s="81"/>
      <c r="W1101" s="78" t="s">
        <v>1971</v>
      </c>
      <c r="X1101" s="82"/>
      <c r="Y1101" s="81" t="s">
        <v>2256</v>
      </c>
      <c r="Z1101" s="81" t="s">
        <v>2256</v>
      </c>
      <c r="AA1101" s="83">
        <v>5000</v>
      </c>
      <c r="AB1101" s="85"/>
      <c r="AD1101" s="78" t="s">
        <v>1971</v>
      </c>
      <c r="AE1101" s="82"/>
      <c r="AF1101" s="81" t="s">
        <v>2256</v>
      </c>
      <c r="AG1101" s="81" t="s">
        <v>2256</v>
      </c>
      <c r="AH1101" s="83">
        <v>5000</v>
      </c>
      <c r="AI1101" s="85"/>
    </row>
    <row r="1102" spans="1:35" s="79" customFormat="1" ht="11.25" customHeight="1" x14ac:dyDescent="0.2">
      <c r="A1102" s="77" t="s">
        <v>2165</v>
      </c>
      <c r="B1102" s="80">
        <v>474</v>
      </c>
      <c r="C1102" s="81" t="s">
        <v>2164</v>
      </c>
      <c r="D1102" s="73">
        <v>1000</v>
      </c>
      <c r="E1102" s="79" t="s">
        <v>20</v>
      </c>
      <c r="F1102" s="79" t="s">
        <v>3725</v>
      </c>
      <c r="G1102" s="79" t="s">
        <v>2996</v>
      </c>
      <c r="H1102" s="79" t="s">
        <v>43</v>
      </c>
      <c r="I1102" s="81" t="s">
        <v>3000</v>
      </c>
      <c r="J1102" s="81">
        <v>25</v>
      </c>
      <c r="K1102" s="86"/>
      <c r="M1102" s="78" t="s">
        <v>1862</v>
      </c>
      <c r="N1102" s="82" t="s">
        <v>135</v>
      </c>
      <c r="O1102" s="81" t="s">
        <v>2746</v>
      </c>
      <c r="P1102" s="81" t="s">
        <v>2984</v>
      </c>
      <c r="Q1102" s="81"/>
      <c r="R1102" s="83" t="s">
        <v>3427</v>
      </c>
      <c r="S1102" s="79" t="s">
        <v>3219</v>
      </c>
      <c r="T1102" s="84" t="s">
        <v>3600</v>
      </c>
      <c r="U1102" s="81"/>
      <c r="V1102" s="81"/>
      <c r="W1102" s="78" t="s">
        <v>1862</v>
      </c>
      <c r="X1102" s="82" t="s">
        <v>135</v>
      </c>
      <c r="Y1102" s="81" t="s">
        <v>2746</v>
      </c>
      <c r="Z1102" s="81" t="s">
        <v>2984</v>
      </c>
      <c r="AA1102" s="81" t="s">
        <v>136</v>
      </c>
      <c r="AB1102" s="85"/>
      <c r="AD1102" s="78" t="s">
        <v>1862</v>
      </c>
      <c r="AE1102" s="82" t="s">
        <v>135</v>
      </c>
      <c r="AF1102" s="81" t="s">
        <v>2746</v>
      </c>
      <c r="AG1102" s="81" t="s">
        <v>2984</v>
      </c>
      <c r="AH1102" s="81" t="s">
        <v>136</v>
      </c>
      <c r="AI1102" s="85"/>
    </row>
    <row r="1103" spans="1:35" s="87" customFormat="1" ht="11.25" x14ac:dyDescent="0.2">
      <c r="A1103" s="77" t="s">
        <v>1861</v>
      </c>
      <c r="B1103" s="80">
        <v>231</v>
      </c>
      <c r="C1103" s="81" t="s">
        <v>1860</v>
      </c>
      <c r="D1103" s="73">
        <v>100</v>
      </c>
      <c r="E1103" s="79" t="s">
        <v>20</v>
      </c>
      <c r="F1103" s="79" t="s">
        <v>3725</v>
      </c>
      <c r="G1103" s="79" t="s">
        <v>2996</v>
      </c>
      <c r="H1103" s="79" t="s">
        <v>43</v>
      </c>
      <c r="I1103" s="81" t="s">
        <v>3000</v>
      </c>
      <c r="J1103" s="81">
        <v>25</v>
      </c>
      <c r="K1103" s="86"/>
      <c r="L1103" s="79"/>
      <c r="M1103" s="43" t="s">
        <v>1862</v>
      </c>
      <c r="N1103" s="82" t="s">
        <v>135</v>
      </c>
      <c r="O1103" s="81" t="s">
        <v>2674</v>
      </c>
      <c r="P1103" s="81" t="s">
        <v>2949</v>
      </c>
      <c r="Q1103" s="81"/>
      <c r="R1103" s="83" t="s">
        <v>3427</v>
      </c>
      <c r="S1103" s="79" t="s">
        <v>3219</v>
      </c>
      <c r="T1103" s="84" t="s">
        <v>3600</v>
      </c>
      <c r="U1103" s="81"/>
      <c r="V1103" s="81"/>
      <c r="W1103" s="43" t="s">
        <v>1862</v>
      </c>
      <c r="X1103" s="82" t="s">
        <v>135</v>
      </c>
      <c r="Y1103" s="81" t="s">
        <v>2674</v>
      </c>
      <c r="Z1103" s="81" t="s">
        <v>2949</v>
      </c>
      <c r="AA1103" s="81" t="s">
        <v>136</v>
      </c>
      <c r="AB1103" s="85"/>
      <c r="AC1103" s="79"/>
      <c r="AD1103" s="43" t="s">
        <v>1862</v>
      </c>
      <c r="AE1103" s="82" t="s">
        <v>135</v>
      </c>
      <c r="AF1103" s="81" t="s">
        <v>2674</v>
      </c>
      <c r="AG1103" s="81" t="s">
        <v>2949</v>
      </c>
      <c r="AH1103" s="81" t="s">
        <v>136</v>
      </c>
      <c r="AI1103" s="85"/>
    </row>
    <row r="1104" spans="1:35" s="87" customFormat="1" ht="11.25" x14ac:dyDescent="0.2">
      <c r="A1104" s="77" t="s">
        <v>2028</v>
      </c>
      <c r="B1104" s="80">
        <v>549</v>
      </c>
      <c r="C1104" s="81" t="s">
        <v>2027</v>
      </c>
      <c r="D1104" s="73">
        <v>1000</v>
      </c>
      <c r="E1104" s="79" t="s">
        <v>20</v>
      </c>
      <c r="F1104" s="79" t="s">
        <v>3725</v>
      </c>
      <c r="G1104" s="79" t="s">
        <v>2996</v>
      </c>
      <c r="H1104" s="79" t="s">
        <v>43</v>
      </c>
      <c r="I1104" s="81"/>
      <c r="J1104" s="81">
        <v>25</v>
      </c>
      <c r="K1104" s="86"/>
      <c r="L1104" s="79"/>
      <c r="M1104" s="43" t="s">
        <v>1862</v>
      </c>
      <c r="N1104" s="82" t="s">
        <v>135</v>
      </c>
      <c r="O1104" s="81" t="s">
        <v>2711</v>
      </c>
      <c r="P1104" s="81" t="s">
        <v>2971</v>
      </c>
      <c r="Q1104" s="81"/>
      <c r="R1104" s="83" t="s">
        <v>3427</v>
      </c>
      <c r="S1104" s="79" t="s">
        <v>3219</v>
      </c>
      <c r="T1104" s="84" t="s">
        <v>3600</v>
      </c>
      <c r="U1104" s="81"/>
      <c r="V1104" s="81"/>
      <c r="W1104" s="43" t="s">
        <v>1862</v>
      </c>
      <c r="X1104" s="82" t="s">
        <v>135</v>
      </c>
      <c r="Y1104" s="81" t="s">
        <v>2711</v>
      </c>
      <c r="Z1104" s="81" t="s">
        <v>2971</v>
      </c>
      <c r="AA1104" s="81" t="s">
        <v>136</v>
      </c>
      <c r="AB1104" s="85"/>
      <c r="AC1104" s="79"/>
      <c r="AD1104" s="43" t="s">
        <v>1862</v>
      </c>
      <c r="AE1104" s="82" t="s">
        <v>135</v>
      </c>
      <c r="AF1104" s="81" t="s">
        <v>2711</v>
      </c>
      <c r="AG1104" s="81" t="s">
        <v>2971</v>
      </c>
      <c r="AH1104" s="81" t="s">
        <v>136</v>
      </c>
      <c r="AI1104" s="85"/>
    </row>
    <row r="1105" spans="1:35" s="87" customFormat="1" ht="11.25" x14ac:dyDescent="0.2">
      <c r="A1105" s="77" t="s">
        <v>1864</v>
      </c>
      <c r="B1105" s="80">
        <v>1125</v>
      </c>
      <c r="C1105" s="81" t="s">
        <v>1863</v>
      </c>
      <c r="D1105" s="73">
        <v>1000</v>
      </c>
      <c r="E1105" s="79" t="s">
        <v>20</v>
      </c>
      <c r="F1105" s="79" t="s">
        <v>3725</v>
      </c>
      <c r="G1105" s="79" t="s">
        <v>2996</v>
      </c>
      <c r="H1105" s="79" t="s">
        <v>43</v>
      </c>
      <c r="I1105" s="81" t="s">
        <v>3000</v>
      </c>
      <c r="J1105" s="81">
        <v>25</v>
      </c>
      <c r="K1105" s="86"/>
      <c r="L1105" s="79"/>
      <c r="M1105" s="43" t="s">
        <v>1862</v>
      </c>
      <c r="N1105" s="82" t="s">
        <v>62</v>
      </c>
      <c r="O1105" s="81" t="s">
        <v>2675</v>
      </c>
      <c r="P1105" s="81" t="s">
        <v>2950</v>
      </c>
      <c r="Q1105" s="81"/>
      <c r="R1105" s="83" t="s">
        <v>116</v>
      </c>
      <c r="S1105" s="79" t="s">
        <v>3220</v>
      </c>
      <c r="T1105" s="84" t="s">
        <v>3584</v>
      </c>
      <c r="U1105" s="81"/>
      <c r="V1105" s="81"/>
      <c r="W1105" s="43" t="s">
        <v>1862</v>
      </c>
      <c r="X1105" s="82" t="s">
        <v>62</v>
      </c>
      <c r="Y1105" s="81" t="s">
        <v>2675</v>
      </c>
      <c r="Z1105" s="81" t="s">
        <v>2950</v>
      </c>
      <c r="AA1105" s="81" t="s">
        <v>119</v>
      </c>
      <c r="AB1105" s="85"/>
      <c r="AC1105" s="79"/>
      <c r="AD1105" s="43" t="s">
        <v>1862</v>
      </c>
      <c r="AE1105" s="82" t="s">
        <v>62</v>
      </c>
      <c r="AF1105" s="81" t="s">
        <v>2675</v>
      </c>
      <c r="AG1105" s="81" t="s">
        <v>2950</v>
      </c>
      <c r="AH1105" s="81" t="s">
        <v>118</v>
      </c>
      <c r="AI1105" s="85"/>
    </row>
    <row r="1106" spans="1:35" s="87" customFormat="1" ht="11.25" x14ac:dyDescent="0.2">
      <c r="A1106" s="77" t="s">
        <v>1973</v>
      </c>
      <c r="B1106" s="80">
        <v>491</v>
      </c>
      <c r="C1106" s="81" t="s">
        <v>1972</v>
      </c>
      <c r="D1106" s="73">
        <v>1000</v>
      </c>
      <c r="E1106" s="79" t="s">
        <v>20</v>
      </c>
      <c r="F1106" s="79" t="s">
        <v>3725</v>
      </c>
      <c r="G1106" s="79" t="s">
        <v>2996</v>
      </c>
      <c r="H1106" s="79" t="s">
        <v>43</v>
      </c>
      <c r="I1106" s="81" t="s">
        <v>3000</v>
      </c>
      <c r="J1106" s="81">
        <v>25</v>
      </c>
      <c r="K1106" s="86"/>
      <c r="L1106" s="79"/>
      <c r="M1106" s="43" t="s">
        <v>1862</v>
      </c>
      <c r="N1106" s="82"/>
      <c r="O1106" s="81" t="s">
        <v>2699</v>
      </c>
      <c r="P1106" s="81" t="s">
        <v>2256</v>
      </c>
      <c r="Q1106" s="81"/>
      <c r="R1106" s="83">
        <v>500</v>
      </c>
      <c r="S1106" s="79" t="s">
        <v>3235</v>
      </c>
      <c r="T1106" s="84">
        <v>500000</v>
      </c>
      <c r="U1106" s="81"/>
      <c r="V1106" s="81"/>
      <c r="W1106" s="43" t="s">
        <v>1862</v>
      </c>
      <c r="X1106" s="82"/>
      <c r="Y1106" s="81" t="s">
        <v>2699</v>
      </c>
      <c r="Z1106" s="81" t="s">
        <v>2256</v>
      </c>
      <c r="AA1106" s="83">
        <v>5000</v>
      </c>
      <c r="AB1106" s="85"/>
      <c r="AC1106" s="79"/>
      <c r="AD1106" s="43" t="s">
        <v>1862</v>
      </c>
      <c r="AE1106" s="82"/>
      <c r="AF1106" s="81" t="s">
        <v>2699</v>
      </c>
      <c r="AG1106" s="81" t="s">
        <v>2256</v>
      </c>
      <c r="AH1106" s="83">
        <v>5000</v>
      </c>
      <c r="AI1106" s="85"/>
    </row>
    <row r="1107" spans="1:35" s="87" customFormat="1" ht="11.25" x14ac:dyDescent="0.2">
      <c r="A1107" s="77" t="s">
        <v>2026</v>
      </c>
      <c r="B1107" s="80">
        <v>548</v>
      </c>
      <c r="C1107" s="81" t="s">
        <v>1862</v>
      </c>
      <c r="D1107" s="73">
        <v>1000</v>
      </c>
      <c r="E1107" s="79" t="s">
        <v>20</v>
      </c>
      <c r="F1107" s="79" t="s">
        <v>3725</v>
      </c>
      <c r="G1107" s="79" t="s">
        <v>2996</v>
      </c>
      <c r="H1107" s="79" t="s">
        <v>43</v>
      </c>
      <c r="I1107" s="81" t="s">
        <v>3000</v>
      </c>
      <c r="J1107" s="81">
        <v>25</v>
      </c>
      <c r="K1107" s="86"/>
      <c r="L1107" s="79"/>
      <c r="M1107" s="43" t="s">
        <v>1862</v>
      </c>
      <c r="N1107" s="82"/>
      <c r="O1107" s="81" t="s">
        <v>2256</v>
      </c>
      <c r="P1107" s="81" t="s">
        <v>2256</v>
      </c>
      <c r="Q1107" s="81"/>
      <c r="R1107" s="83">
        <v>500</v>
      </c>
      <c r="S1107" s="79" t="s">
        <v>2999</v>
      </c>
      <c r="T1107" s="84">
        <v>500000</v>
      </c>
      <c r="U1107" s="81"/>
      <c r="V1107" s="81"/>
      <c r="W1107" s="43" t="s">
        <v>1862</v>
      </c>
      <c r="X1107" s="82"/>
      <c r="Y1107" s="81" t="s">
        <v>2256</v>
      </c>
      <c r="Z1107" s="81" t="s">
        <v>2256</v>
      </c>
      <c r="AA1107" s="83">
        <v>5000</v>
      </c>
      <c r="AB1107" s="85"/>
      <c r="AC1107" s="79"/>
      <c r="AD1107" s="43" t="s">
        <v>1862</v>
      </c>
      <c r="AE1107" s="82"/>
      <c r="AF1107" s="81" t="s">
        <v>2256</v>
      </c>
      <c r="AG1107" s="81" t="s">
        <v>2256</v>
      </c>
      <c r="AH1107" s="83">
        <v>5000</v>
      </c>
      <c r="AI1107" s="85"/>
    </row>
    <row r="1108" spans="1:35" s="87" customFormat="1" ht="11.25" x14ac:dyDescent="0.2">
      <c r="A1108" s="77" t="s">
        <v>285</v>
      </c>
      <c r="B1108" s="80">
        <v>930</v>
      </c>
      <c r="C1108" s="81" t="s">
        <v>284</v>
      </c>
      <c r="D1108" s="73">
        <v>1000</v>
      </c>
      <c r="E1108" s="79" t="s">
        <v>20</v>
      </c>
      <c r="F1108" s="79" t="s">
        <v>3725</v>
      </c>
      <c r="G1108" s="79" t="s">
        <v>2996</v>
      </c>
      <c r="H1108" s="79" t="s">
        <v>286</v>
      </c>
      <c r="I1108" s="81"/>
      <c r="J1108" s="81">
        <v>25</v>
      </c>
      <c r="K1108" s="86"/>
      <c r="L1108" s="79"/>
      <c r="M1108" s="43" t="s">
        <v>284</v>
      </c>
      <c r="N1108" s="82"/>
      <c r="O1108" s="81" t="s">
        <v>2256</v>
      </c>
      <c r="P1108" s="81" t="s">
        <v>2256</v>
      </c>
      <c r="Q1108" s="81"/>
      <c r="R1108" s="83">
        <v>1000</v>
      </c>
      <c r="S1108" s="79" t="s">
        <v>2999</v>
      </c>
      <c r="T1108" s="84">
        <v>1000000</v>
      </c>
      <c r="U1108" s="81"/>
      <c r="V1108" s="81"/>
      <c r="W1108" s="43" t="s">
        <v>284</v>
      </c>
      <c r="X1108" s="82"/>
      <c r="Y1108" s="81" t="s">
        <v>2256</v>
      </c>
      <c r="Z1108" s="81" t="s">
        <v>2256</v>
      </c>
      <c r="AA1108" s="83">
        <v>6000</v>
      </c>
      <c r="AB1108" s="85"/>
      <c r="AC1108" s="79"/>
      <c r="AD1108" s="43" t="s">
        <v>284</v>
      </c>
      <c r="AE1108" s="82"/>
      <c r="AF1108" s="81" t="s">
        <v>2256</v>
      </c>
      <c r="AG1108" s="81" t="s">
        <v>2256</v>
      </c>
      <c r="AH1108" s="83">
        <v>6000</v>
      </c>
      <c r="AI1108" s="85"/>
    </row>
    <row r="1109" spans="1:35" s="87" customFormat="1" ht="11.25" x14ac:dyDescent="0.2">
      <c r="A1109" s="77" t="s">
        <v>1148</v>
      </c>
      <c r="B1109" s="80">
        <v>931</v>
      </c>
      <c r="C1109" s="81" t="s">
        <v>1147</v>
      </c>
      <c r="D1109" s="73">
        <v>37500</v>
      </c>
      <c r="E1109" s="79" t="s">
        <v>239</v>
      </c>
      <c r="F1109" s="79" t="s">
        <v>3725</v>
      </c>
      <c r="G1109" s="79" t="s">
        <v>2996</v>
      </c>
      <c r="H1109" s="79" t="s">
        <v>286</v>
      </c>
      <c r="I1109" s="81"/>
      <c r="J1109" s="81">
        <v>25</v>
      </c>
      <c r="K1109" s="86"/>
      <c r="L1109" s="79"/>
      <c r="M1109" s="43" t="s">
        <v>1147</v>
      </c>
      <c r="N1109" s="82"/>
      <c r="O1109" s="81" t="s">
        <v>2256</v>
      </c>
      <c r="P1109" s="81" t="s">
        <v>2256</v>
      </c>
      <c r="Q1109" s="81"/>
      <c r="R1109" s="83">
        <v>500</v>
      </c>
      <c r="S1109" s="79" t="s">
        <v>2999</v>
      </c>
      <c r="T1109" s="84">
        <v>18750000</v>
      </c>
      <c r="U1109" s="81"/>
      <c r="V1109" s="81"/>
      <c r="W1109" s="43" t="s">
        <v>1147</v>
      </c>
      <c r="X1109" s="82"/>
      <c r="Y1109" s="81" t="s">
        <v>2256</v>
      </c>
      <c r="Z1109" s="81" t="s">
        <v>2256</v>
      </c>
      <c r="AA1109" s="83">
        <v>5000</v>
      </c>
      <c r="AB1109" s="85"/>
      <c r="AC1109" s="79"/>
      <c r="AD1109" s="43" t="s">
        <v>1147</v>
      </c>
      <c r="AE1109" s="82"/>
      <c r="AF1109" s="81" t="s">
        <v>2256</v>
      </c>
      <c r="AG1109" s="81" t="s">
        <v>2256</v>
      </c>
      <c r="AH1109" s="83">
        <v>5000</v>
      </c>
      <c r="AI1109" s="85"/>
    </row>
    <row r="1110" spans="1:35" s="87" customFormat="1" ht="11.25" x14ac:dyDescent="0.2">
      <c r="A1110" s="77" t="s">
        <v>1819</v>
      </c>
      <c r="B1110" s="80">
        <v>932</v>
      </c>
      <c r="C1110" s="81" t="s">
        <v>1818</v>
      </c>
      <c r="D1110" s="73">
        <v>50000</v>
      </c>
      <c r="E1110" s="79" t="s">
        <v>239</v>
      </c>
      <c r="F1110" s="79" t="s">
        <v>3725</v>
      </c>
      <c r="G1110" s="79" t="s">
        <v>2996</v>
      </c>
      <c r="H1110" s="79" t="s">
        <v>286</v>
      </c>
      <c r="I1110" s="81"/>
      <c r="J1110" s="81">
        <v>25</v>
      </c>
      <c r="K1110" s="86"/>
      <c r="L1110" s="79"/>
      <c r="M1110" s="43" t="s">
        <v>1818</v>
      </c>
      <c r="N1110" s="82"/>
      <c r="O1110" s="81" t="s">
        <v>2256</v>
      </c>
      <c r="P1110" s="81" t="s">
        <v>2256</v>
      </c>
      <c r="Q1110" s="81"/>
      <c r="R1110" s="83">
        <v>300</v>
      </c>
      <c r="S1110" s="79" t="s">
        <v>2999</v>
      </c>
      <c r="T1110" s="84">
        <v>15000000</v>
      </c>
      <c r="U1110" s="81"/>
      <c r="V1110" s="81"/>
      <c r="W1110" s="43" t="s">
        <v>1818</v>
      </c>
      <c r="X1110" s="82"/>
      <c r="Y1110" s="81" t="s">
        <v>2256</v>
      </c>
      <c r="Z1110" s="81" t="s">
        <v>2256</v>
      </c>
      <c r="AA1110" s="81"/>
      <c r="AB1110" s="84">
        <v>2500</v>
      </c>
      <c r="AC1110" s="79"/>
      <c r="AD1110" s="43" t="s">
        <v>1818</v>
      </c>
      <c r="AE1110" s="82"/>
      <c r="AF1110" s="81" t="s">
        <v>2256</v>
      </c>
      <c r="AG1110" s="81" t="s">
        <v>2256</v>
      </c>
      <c r="AH1110" s="81"/>
      <c r="AI1110" s="84">
        <v>5000</v>
      </c>
    </row>
    <row r="1111" spans="1:35" s="87" customFormat="1" ht="12" thickBot="1" x14ac:dyDescent="0.25">
      <c r="A1111" s="40" t="s">
        <v>2013</v>
      </c>
      <c r="B1111" s="41">
        <v>934</v>
      </c>
      <c r="C1111" s="28" t="s">
        <v>2012</v>
      </c>
      <c r="D1111" s="71">
        <v>112000</v>
      </c>
      <c r="E1111" s="30" t="s">
        <v>239</v>
      </c>
      <c r="F1111" s="30" t="s">
        <v>3725</v>
      </c>
      <c r="G1111" s="30" t="s">
        <v>2996</v>
      </c>
      <c r="H1111" s="30" t="s">
        <v>286</v>
      </c>
      <c r="I1111" s="28"/>
      <c r="J1111" s="28">
        <v>25</v>
      </c>
      <c r="K1111" s="75"/>
      <c r="L1111" s="30"/>
      <c r="M1111" s="59" t="s">
        <v>2012</v>
      </c>
      <c r="N1111" s="27"/>
      <c r="O1111" s="28" t="s">
        <v>2256</v>
      </c>
      <c r="P1111" s="28" t="s">
        <v>2256</v>
      </c>
      <c r="Q1111" s="28"/>
      <c r="R1111" s="29">
        <v>1000</v>
      </c>
      <c r="S1111" s="30" t="s">
        <v>2999</v>
      </c>
      <c r="T1111" s="31">
        <v>112000000</v>
      </c>
      <c r="U1111" s="28"/>
      <c r="V1111" s="28"/>
      <c r="W1111" s="59" t="s">
        <v>2012</v>
      </c>
      <c r="X1111" s="27"/>
      <c r="Y1111" s="28" t="s">
        <v>2256</v>
      </c>
      <c r="Z1111" s="28" t="s">
        <v>2256</v>
      </c>
      <c r="AA1111" s="29">
        <v>9000</v>
      </c>
      <c r="AB1111" s="33"/>
      <c r="AC1111" s="30"/>
      <c r="AD1111" s="59" t="s">
        <v>2012</v>
      </c>
      <c r="AE1111" s="27"/>
      <c r="AF1111" s="28" t="s">
        <v>2256</v>
      </c>
      <c r="AG1111" s="28" t="s">
        <v>2256</v>
      </c>
      <c r="AH1111" s="29">
        <v>9000</v>
      </c>
      <c r="AI1111" s="33"/>
    </row>
    <row r="1112" spans="1:35" s="79" customFormat="1" ht="11.25" customHeight="1" x14ac:dyDescent="0.2">
      <c r="B1112" s="80"/>
      <c r="C1112" s="81"/>
      <c r="D1112" s="20"/>
      <c r="I1112" s="81"/>
      <c r="J1112" s="81"/>
      <c r="L1112" s="88"/>
      <c r="M1112" s="81"/>
      <c r="N1112" s="82"/>
      <c r="O1112" s="81"/>
      <c r="P1112" s="81"/>
      <c r="Q1112" s="81"/>
      <c r="R1112" s="83"/>
      <c r="T1112" s="83"/>
      <c r="U1112" s="89"/>
      <c r="V1112" s="89"/>
      <c r="W1112" s="81"/>
      <c r="X1112" s="82"/>
      <c r="Y1112" s="81"/>
      <c r="Z1112" s="81"/>
      <c r="AA1112" s="80"/>
      <c r="AB1112" s="81"/>
      <c r="AC1112" s="88"/>
      <c r="AD1112" s="81"/>
      <c r="AE1112" s="82"/>
      <c r="AF1112" s="81"/>
      <c r="AG1112" s="81"/>
      <c r="AH1112" s="83"/>
      <c r="AI1112" s="81"/>
    </row>
    <row r="1113" spans="1:35" s="79" customFormat="1" ht="11.25" customHeight="1" x14ac:dyDescent="0.2">
      <c r="B1113" s="80"/>
      <c r="C1113" s="81"/>
      <c r="D1113" s="20"/>
      <c r="I1113" s="81"/>
      <c r="J1113" s="81"/>
      <c r="L1113" s="88"/>
      <c r="M1113" s="81"/>
      <c r="N1113" s="82"/>
      <c r="O1113" s="81"/>
      <c r="P1113" s="81"/>
      <c r="Q1113" s="81"/>
      <c r="R1113" s="83"/>
      <c r="T1113" s="83"/>
      <c r="U1113" s="89"/>
      <c r="V1113" s="89"/>
      <c r="W1113" s="81"/>
      <c r="X1113" s="82"/>
      <c r="Y1113" s="81"/>
      <c r="Z1113" s="81"/>
      <c r="AA1113" s="83"/>
      <c r="AB1113" s="81"/>
      <c r="AC1113" s="88"/>
      <c r="AD1113" s="81"/>
      <c r="AE1113" s="82"/>
      <c r="AF1113" s="81"/>
      <c r="AG1113" s="81"/>
      <c r="AH1113" s="83"/>
      <c r="AI1113" s="81"/>
    </row>
    <row r="1114" spans="1:35" s="79" customFormat="1" ht="11.25" customHeight="1" x14ac:dyDescent="0.2">
      <c r="B1114" s="80"/>
      <c r="C1114" s="81"/>
      <c r="D1114" s="20"/>
      <c r="I1114" s="81"/>
      <c r="J1114" s="81"/>
      <c r="L1114" s="88"/>
      <c r="M1114" s="81"/>
      <c r="N1114" s="82"/>
      <c r="O1114" s="81"/>
      <c r="P1114" s="81"/>
      <c r="Q1114" s="81"/>
      <c r="R1114" s="83"/>
      <c r="T1114" s="83"/>
      <c r="U1114" s="89"/>
      <c r="V1114" s="89"/>
      <c r="W1114" s="81"/>
      <c r="X1114" s="82"/>
      <c r="Y1114" s="81"/>
      <c r="Z1114" s="81"/>
      <c r="AA1114" s="83"/>
      <c r="AB1114" s="81"/>
      <c r="AC1114" s="88"/>
      <c r="AD1114" s="81"/>
      <c r="AE1114" s="82"/>
      <c r="AF1114" s="81"/>
      <c r="AG1114" s="81"/>
      <c r="AH1114" s="83"/>
      <c r="AI1114" s="81"/>
    </row>
    <row r="1115" spans="1:35" s="79" customFormat="1" ht="11.25" customHeight="1" x14ac:dyDescent="0.2">
      <c r="B1115" s="80"/>
      <c r="C1115" s="81"/>
      <c r="D1115" s="22"/>
      <c r="I1115" s="81"/>
      <c r="J1115" s="81"/>
      <c r="L1115" s="88"/>
      <c r="M1115" s="81"/>
      <c r="N1115" s="82"/>
      <c r="O1115" s="81"/>
      <c r="P1115" s="81"/>
      <c r="Q1115" s="81"/>
      <c r="R1115" s="83"/>
      <c r="T1115" s="83"/>
      <c r="U1115" s="89"/>
      <c r="V1115" s="89"/>
      <c r="W1115" s="81"/>
      <c r="X1115" s="82"/>
      <c r="Y1115" s="81"/>
      <c r="Z1115" s="81"/>
      <c r="AA1115" s="83"/>
      <c r="AB1115" s="81"/>
      <c r="AC1115" s="88"/>
      <c r="AD1115" s="81"/>
      <c r="AE1115" s="82"/>
      <c r="AF1115" s="81"/>
      <c r="AG1115" s="81"/>
      <c r="AH1115" s="83"/>
      <c r="AI1115" s="81"/>
    </row>
    <row r="1116" spans="1:35" s="79" customFormat="1" ht="11.25" customHeight="1" x14ac:dyDescent="0.2">
      <c r="B1116" s="80"/>
      <c r="C1116" s="81"/>
      <c r="D1116" s="22"/>
      <c r="I1116" s="81"/>
      <c r="J1116" s="81"/>
      <c r="L1116" s="88"/>
      <c r="M1116" s="81"/>
      <c r="N1116" s="82"/>
      <c r="O1116" s="81"/>
      <c r="P1116" s="81"/>
      <c r="Q1116" s="81"/>
      <c r="R1116" s="83"/>
      <c r="T1116" s="83"/>
      <c r="U1116" s="89"/>
      <c r="V1116" s="89"/>
      <c r="W1116" s="81"/>
      <c r="X1116" s="82"/>
      <c r="Y1116" s="81"/>
      <c r="Z1116" s="81"/>
      <c r="AA1116" s="83"/>
      <c r="AB1116" s="81"/>
      <c r="AC1116" s="88"/>
      <c r="AD1116" s="81"/>
      <c r="AE1116" s="82"/>
      <c r="AF1116" s="81"/>
      <c r="AG1116" s="81"/>
      <c r="AH1116" s="83"/>
      <c r="AI1116" s="81"/>
    </row>
    <row r="1117" spans="1:35" s="79" customFormat="1" ht="11.25" x14ac:dyDescent="0.2">
      <c r="B1117" s="80"/>
      <c r="C1117" s="81"/>
      <c r="D1117" s="20"/>
      <c r="I1117" s="81"/>
      <c r="J1117" s="81"/>
      <c r="L1117" s="88"/>
      <c r="M1117" s="81"/>
      <c r="N1117" s="82"/>
      <c r="O1117" s="81"/>
      <c r="P1117" s="81"/>
      <c r="Q1117" s="81"/>
      <c r="R1117" s="83"/>
      <c r="T1117" s="83"/>
      <c r="U1117" s="89"/>
      <c r="V1117" s="89"/>
      <c r="W1117" s="81"/>
      <c r="X1117" s="82"/>
      <c r="Y1117" s="81"/>
      <c r="Z1117" s="81"/>
      <c r="AA1117" s="83"/>
      <c r="AB1117" s="81"/>
      <c r="AC1117" s="88"/>
      <c r="AD1117" s="81"/>
      <c r="AE1117" s="82"/>
      <c r="AF1117" s="81"/>
      <c r="AG1117" s="81"/>
      <c r="AH1117" s="83"/>
      <c r="AI1117" s="81"/>
    </row>
    <row r="1118" spans="1:35" s="79" customFormat="1" ht="11.25" customHeight="1" x14ac:dyDescent="0.2">
      <c r="B1118" s="80"/>
      <c r="C1118" s="81"/>
      <c r="D1118" s="22"/>
      <c r="I1118" s="81"/>
      <c r="J1118" s="81"/>
      <c r="L1118" s="88"/>
      <c r="M1118" s="81"/>
      <c r="N1118" s="82"/>
      <c r="O1118" s="81"/>
      <c r="P1118" s="81"/>
      <c r="Q1118" s="81"/>
      <c r="R1118" s="83"/>
      <c r="T1118" s="83"/>
      <c r="U1118" s="89"/>
      <c r="V1118" s="89"/>
      <c r="W1118" s="81"/>
      <c r="X1118" s="82"/>
      <c r="Y1118" s="81"/>
      <c r="Z1118" s="81"/>
      <c r="AA1118" s="83"/>
      <c r="AB1118" s="81"/>
      <c r="AC1118" s="88"/>
      <c r="AD1118" s="81"/>
      <c r="AE1118" s="82"/>
      <c r="AF1118" s="81"/>
      <c r="AG1118" s="81"/>
      <c r="AH1118" s="83"/>
      <c r="AI1118" s="81"/>
    </row>
    <row r="1119" spans="1:35" s="79" customFormat="1" ht="11.25" customHeight="1" x14ac:dyDescent="0.2">
      <c r="B1119" s="81"/>
      <c r="C1119" s="81"/>
      <c r="D1119" s="20"/>
      <c r="I1119" s="81"/>
      <c r="J1119" s="81"/>
      <c r="L1119" s="88"/>
      <c r="M1119" s="81"/>
      <c r="N1119" s="82"/>
      <c r="O1119" s="81"/>
      <c r="P1119" s="81"/>
      <c r="Q1119" s="81"/>
      <c r="R1119" s="83"/>
      <c r="T1119" s="83"/>
      <c r="U1119" s="89"/>
      <c r="V1119" s="89"/>
      <c r="W1119" s="81"/>
      <c r="X1119" s="82"/>
      <c r="Y1119" s="81"/>
      <c r="Z1119" s="81"/>
      <c r="AA1119" s="83"/>
      <c r="AB1119" s="81"/>
      <c r="AC1119" s="88"/>
      <c r="AD1119" s="81"/>
      <c r="AE1119" s="82"/>
      <c r="AF1119" s="81"/>
      <c r="AG1119" s="81"/>
      <c r="AH1119" s="83"/>
      <c r="AI1119" s="81"/>
    </row>
    <row r="1120" spans="1:35" s="79" customFormat="1" ht="11.25" customHeight="1" x14ac:dyDescent="0.2">
      <c r="B1120" s="80"/>
      <c r="C1120" s="81"/>
      <c r="D1120" s="22"/>
      <c r="I1120" s="81"/>
      <c r="J1120" s="81"/>
      <c r="L1120" s="88"/>
      <c r="M1120" s="81"/>
      <c r="N1120" s="82"/>
      <c r="O1120" s="81"/>
      <c r="P1120" s="81"/>
      <c r="Q1120" s="81"/>
      <c r="R1120" s="83"/>
      <c r="T1120" s="83"/>
      <c r="U1120" s="89"/>
      <c r="V1120" s="89"/>
      <c r="W1120" s="81"/>
      <c r="X1120" s="82"/>
      <c r="Y1120" s="81"/>
      <c r="Z1120" s="81"/>
      <c r="AA1120" s="80"/>
      <c r="AB1120" s="81"/>
      <c r="AC1120" s="88"/>
      <c r="AD1120" s="81"/>
      <c r="AE1120" s="82"/>
      <c r="AF1120" s="81"/>
      <c r="AG1120" s="81"/>
      <c r="AH1120" s="83"/>
      <c r="AI1120" s="81"/>
    </row>
    <row r="1121" spans="2:35" s="79" customFormat="1" ht="11.25" customHeight="1" x14ac:dyDescent="0.2">
      <c r="B1121" s="80"/>
      <c r="C1121" s="81"/>
      <c r="D1121" s="22"/>
      <c r="I1121" s="81"/>
      <c r="J1121" s="81"/>
      <c r="L1121" s="88"/>
      <c r="M1121" s="81"/>
      <c r="N1121" s="82"/>
      <c r="O1121" s="81"/>
      <c r="P1121" s="81"/>
      <c r="Q1121" s="81"/>
      <c r="R1121" s="83"/>
      <c r="T1121" s="83"/>
      <c r="U1121" s="89"/>
      <c r="V1121" s="89"/>
      <c r="W1121" s="81"/>
      <c r="X1121" s="82"/>
      <c r="Y1121" s="81"/>
      <c r="Z1121" s="81"/>
      <c r="AA1121" s="80"/>
      <c r="AB1121" s="81"/>
      <c r="AC1121" s="88"/>
      <c r="AD1121" s="81"/>
      <c r="AE1121" s="82"/>
      <c r="AF1121" s="81"/>
      <c r="AG1121" s="81"/>
      <c r="AH1121" s="80"/>
      <c r="AI1121" s="81"/>
    </row>
    <row r="1122" spans="2:35" s="79" customFormat="1" ht="11.25" customHeight="1" x14ac:dyDescent="0.2">
      <c r="B1122" s="80"/>
      <c r="C1122" s="81"/>
      <c r="D1122" s="22"/>
      <c r="I1122" s="81"/>
      <c r="J1122" s="81"/>
      <c r="L1122" s="88"/>
      <c r="M1122" s="81"/>
      <c r="N1122" s="82"/>
      <c r="O1122" s="81"/>
      <c r="P1122" s="81"/>
      <c r="Q1122" s="81"/>
      <c r="R1122" s="83"/>
      <c r="T1122" s="83"/>
      <c r="U1122" s="89"/>
      <c r="V1122" s="89"/>
      <c r="W1122" s="81"/>
      <c r="X1122" s="82"/>
      <c r="Y1122" s="81"/>
      <c r="Z1122" s="81"/>
      <c r="AA1122" s="83"/>
      <c r="AB1122" s="81"/>
      <c r="AC1122" s="88"/>
      <c r="AD1122" s="81"/>
      <c r="AE1122" s="82"/>
      <c r="AF1122" s="81"/>
      <c r="AG1122" s="81"/>
      <c r="AH1122" s="83"/>
      <c r="AI1122" s="81"/>
    </row>
    <row r="1123" spans="2:35" s="79" customFormat="1" ht="11.25" customHeight="1" x14ac:dyDescent="0.2">
      <c r="B1123" s="81"/>
      <c r="C1123" s="81"/>
      <c r="D1123" s="20"/>
      <c r="I1123" s="81"/>
      <c r="J1123" s="81"/>
      <c r="L1123" s="88"/>
      <c r="M1123" s="81"/>
      <c r="N1123" s="82"/>
      <c r="O1123" s="81"/>
      <c r="P1123" s="81"/>
      <c r="Q1123" s="81"/>
      <c r="R1123" s="83"/>
      <c r="T1123" s="83"/>
      <c r="U1123" s="89"/>
      <c r="V1123" s="89"/>
      <c r="W1123" s="81"/>
      <c r="X1123" s="82"/>
      <c r="Y1123" s="81"/>
      <c r="Z1123" s="81"/>
      <c r="AA1123" s="83"/>
      <c r="AB1123" s="81"/>
      <c r="AC1123" s="88"/>
      <c r="AD1123" s="81"/>
      <c r="AE1123" s="82"/>
      <c r="AF1123" s="81"/>
      <c r="AG1123" s="81"/>
      <c r="AH1123" s="83"/>
      <c r="AI1123" s="81"/>
    </row>
    <row r="1124" spans="2:35" s="79" customFormat="1" ht="12" customHeight="1" x14ac:dyDescent="0.2">
      <c r="B1124" s="80"/>
      <c r="C1124" s="81"/>
      <c r="D1124" s="22"/>
      <c r="I1124" s="81"/>
      <c r="J1124" s="81"/>
      <c r="L1124" s="88"/>
      <c r="M1124" s="81"/>
      <c r="N1124" s="82"/>
      <c r="O1124" s="81"/>
      <c r="P1124" s="81"/>
      <c r="Q1124" s="81"/>
      <c r="R1124" s="83"/>
      <c r="T1124" s="83"/>
      <c r="U1124" s="89"/>
      <c r="V1124" s="89"/>
      <c r="W1124" s="81"/>
      <c r="X1124" s="82"/>
      <c r="Y1124" s="81"/>
      <c r="Z1124" s="81"/>
      <c r="AA1124" s="83"/>
      <c r="AB1124" s="81"/>
      <c r="AC1124" s="88"/>
      <c r="AD1124" s="81"/>
      <c r="AE1124" s="82"/>
      <c r="AF1124" s="81"/>
      <c r="AG1124" s="81"/>
      <c r="AH1124" s="83"/>
      <c r="AI1124" s="81"/>
    </row>
    <row r="1125" spans="2:35" s="79" customFormat="1" ht="11.25" customHeight="1" x14ac:dyDescent="0.2">
      <c r="B1125" s="80"/>
      <c r="C1125" s="81"/>
      <c r="D1125" s="22"/>
      <c r="I1125" s="81"/>
      <c r="J1125" s="81"/>
      <c r="L1125" s="88"/>
      <c r="M1125" s="81"/>
      <c r="N1125" s="82"/>
      <c r="O1125" s="81"/>
      <c r="P1125" s="81"/>
      <c r="Q1125" s="81"/>
      <c r="R1125" s="83"/>
      <c r="T1125" s="83"/>
      <c r="U1125" s="89"/>
      <c r="V1125" s="89"/>
      <c r="W1125" s="81"/>
      <c r="X1125" s="82"/>
      <c r="Y1125" s="81"/>
      <c r="Z1125" s="81"/>
      <c r="AA1125" s="83"/>
      <c r="AB1125" s="81"/>
      <c r="AC1125" s="88"/>
      <c r="AD1125" s="81"/>
      <c r="AE1125" s="82"/>
      <c r="AF1125" s="81"/>
      <c r="AG1125" s="81"/>
      <c r="AH1125" s="83"/>
      <c r="AI1125" s="81"/>
    </row>
    <row r="1126" spans="2:35" s="79" customFormat="1" ht="11.25" customHeight="1" x14ac:dyDescent="0.2">
      <c r="B1126" s="81"/>
      <c r="C1126" s="81"/>
      <c r="D1126" s="20"/>
      <c r="I1126" s="81"/>
      <c r="J1126" s="81"/>
      <c r="L1126" s="88"/>
      <c r="M1126" s="81"/>
      <c r="N1126" s="82"/>
      <c r="O1126" s="81"/>
      <c r="P1126" s="81"/>
      <c r="Q1126" s="81"/>
      <c r="R1126" s="83"/>
      <c r="T1126" s="83"/>
      <c r="U1126" s="89"/>
      <c r="V1126" s="89"/>
      <c r="W1126" s="81"/>
      <c r="X1126" s="82"/>
      <c r="Y1126" s="81"/>
      <c r="Z1126" s="81"/>
      <c r="AA1126" s="83"/>
      <c r="AB1126" s="81"/>
      <c r="AC1126" s="88"/>
      <c r="AD1126" s="81"/>
      <c r="AE1126" s="82"/>
      <c r="AF1126" s="81"/>
      <c r="AG1126" s="81"/>
      <c r="AH1126" s="83"/>
      <c r="AI1126" s="81"/>
    </row>
    <row r="1127" spans="2:35" s="79" customFormat="1" ht="11.25" customHeight="1" x14ac:dyDescent="0.2">
      <c r="B1127" s="80"/>
      <c r="C1127" s="81"/>
      <c r="D1127" s="20"/>
      <c r="I1127" s="81"/>
      <c r="J1127" s="81"/>
      <c r="L1127" s="88"/>
      <c r="M1127" s="81"/>
      <c r="N1127" s="82"/>
      <c r="O1127" s="81"/>
      <c r="P1127" s="81"/>
      <c r="Q1127" s="81"/>
      <c r="R1127" s="83"/>
      <c r="T1127" s="83"/>
      <c r="U1127" s="89"/>
      <c r="V1127" s="89"/>
      <c r="W1127" s="81"/>
      <c r="X1127" s="82"/>
      <c r="Y1127" s="81"/>
      <c r="Z1127" s="81"/>
      <c r="AA1127" s="83"/>
      <c r="AB1127" s="81"/>
      <c r="AC1127" s="88"/>
      <c r="AD1127" s="81"/>
      <c r="AE1127" s="82"/>
      <c r="AF1127" s="81"/>
      <c r="AG1127" s="81"/>
      <c r="AH1127" s="83"/>
      <c r="AI1127" s="81"/>
    </row>
    <row r="1128" spans="2:35" s="79" customFormat="1" ht="11.25" x14ac:dyDescent="0.2">
      <c r="B1128" s="80"/>
      <c r="C1128" s="81"/>
      <c r="D1128" s="20"/>
      <c r="I1128" s="81"/>
      <c r="J1128" s="81"/>
      <c r="L1128" s="88"/>
      <c r="M1128" s="81"/>
      <c r="N1128" s="82"/>
      <c r="O1128" s="81"/>
      <c r="P1128" s="81"/>
      <c r="Q1128" s="81"/>
      <c r="R1128" s="83"/>
      <c r="T1128" s="83"/>
      <c r="U1128" s="89"/>
      <c r="V1128" s="89"/>
      <c r="W1128" s="81"/>
      <c r="X1128" s="82"/>
      <c r="Y1128" s="81"/>
      <c r="Z1128" s="81"/>
      <c r="AA1128" s="83"/>
      <c r="AB1128" s="81"/>
      <c r="AC1128" s="88"/>
      <c r="AD1128" s="81"/>
      <c r="AE1128" s="82"/>
      <c r="AF1128" s="81"/>
      <c r="AG1128" s="81"/>
      <c r="AH1128" s="83"/>
      <c r="AI1128" s="81"/>
    </row>
    <row r="1129" spans="2:35" s="79" customFormat="1" ht="11.25" x14ac:dyDescent="0.2">
      <c r="B1129" s="81"/>
      <c r="C1129" s="81"/>
      <c r="D1129" s="20"/>
      <c r="I1129" s="81"/>
      <c r="J1129" s="81"/>
      <c r="L1129" s="88"/>
      <c r="M1129" s="81"/>
      <c r="N1129" s="82"/>
      <c r="O1129" s="81"/>
      <c r="P1129" s="81"/>
      <c r="Q1129" s="81"/>
      <c r="R1129" s="83"/>
      <c r="T1129" s="83"/>
      <c r="U1129" s="89"/>
      <c r="V1129" s="89"/>
      <c r="W1129" s="81"/>
      <c r="X1129" s="82"/>
      <c r="Y1129" s="81"/>
      <c r="Z1129" s="81"/>
      <c r="AA1129" s="83"/>
      <c r="AB1129" s="81"/>
      <c r="AC1129" s="88"/>
      <c r="AD1129" s="81"/>
      <c r="AE1129" s="82"/>
      <c r="AF1129" s="81"/>
      <c r="AG1129" s="81"/>
      <c r="AH1129" s="83"/>
      <c r="AI1129" s="81"/>
    </row>
    <row r="1130" spans="2:35" s="79" customFormat="1" ht="11.25" x14ac:dyDescent="0.2">
      <c r="B1130" s="81"/>
      <c r="C1130" s="81"/>
      <c r="D1130" s="20"/>
      <c r="I1130" s="81"/>
      <c r="J1130" s="81"/>
      <c r="L1130" s="88"/>
      <c r="M1130" s="81"/>
      <c r="N1130" s="82"/>
      <c r="O1130" s="81"/>
      <c r="P1130" s="81"/>
      <c r="Q1130" s="81"/>
      <c r="R1130" s="83"/>
      <c r="T1130" s="83"/>
      <c r="U1130" s="89"/>
      <c r="V1130" s="89"/>
      <c r="W1130" s="81"/>
      <c r="X1130" s="82"/>
      <c r="Y1130" s="81"/>
      <c r="Z1130" s="81"/>
      <c r="AA1130" s="83"/>
      <c r="AB1130" s="81"/>
      <c r="AC1130" s="88"/>
      <c r="AD1130" s="81"/>
      <c r="AE1130" s="82"/>
      <c r="AF1130" s="81"/>
      <c r="AG1130" s="81"/>
      <c r="AH1130" s="83"/>
      <c r="AI1130" s="81"/>
    </row>
    <row r="1131" spans="2:35" s="79" customFormat="1" ht="11.25" x14ac:dyDescent="0.2">
      <c r="B1131" s="80"/>
      <c r="C1131" s="81"/>
      <c r="D1131" s="20"/>
      <c r="I1131" s="81"/>
      <c r="J1131" s="81"/>
      <c r="L1131" s="88"/>
      <c r="M1131" s="81"/>
      <c r="N1131" s="82"/>
      <c r="O1131" s="81"/>
      <c r="P1131" s="81"/>
      <c r="Q1131" s="81"/>
      <c r="R1131" s="83"/>
      <c r="T1131" s="83"/>
      <c r="U1131" s="89"/>
      <c r="V1131" s="89"/>
      <c r="W1131" s="81"/>
      <c r="X1131" s="82"/>
      <c r="Y1131" s="81"/>
      <c r="Z1131" s="81"/>
      <c r="AA1131" s="83"/>
      <c r="AB1131" s="81"/>
      <c r="AC1131" s="88"/>
      <c r="AD1131" s="81"/>
      <c r="AE1131" s="82"/>
      <c r="AF1131" s="81"/>
      <c r="AG1131" s="81"/>
      <c r="AH1131" s="83"/>
      <c r="AI1131" s="81"/>
    </row>
    <row r="1132" spans="2:35" s="79" customFormat="1" ht="11.25" x14ac:dyDescent="0.2">
      <c r="B1132" s="80"/>
      <c r="C1132" s="81"/>
      <c r="D1132" s="22"/>
      <c r="I1132" s="81"/>
      <c r="J1132" s="81"/>
      <c r="L1132" s="88"/>
      <c r="M1132" s="81"/>
      <c r="N1132" s="82"/>
      <c r="O1132" s="81"/>
      <c r="P1132" s="81"/>
      <c r="Q1132" s="81"/>
      <c r="R1132" s="83"/>
      <c r="T1132" s="83"/>
      <c r="U1132" s="89"/>
      <c r="V1132" s="89"/>
      <c r="W1132" s="81"/>
      <c r="X1132" s="82"/>
      <c r="Y1132" s="81"/>
      <c r="Z1132" s="81"/>
      <c r="AA1132" s="83"/>
      <c r="AB1132" s="81"/>
      <c r="AC1132" s="88"/>
      <c r="AD1132" s="81"/>
      <c r="AE1132" s="82"/>
      <c r="AF1132" s="81"/>
      <c r="AG1132" s="81"/>
      <c r="AH1132" s="83"/>
      <c r="AI1132" s="81"/>
    </row>
    <row r="1133" spans="2:35" s="79" customFormat="1" ht="11.25" x14ac:dyDescent="0.2">
      <c r="B1133" s="80"/>
      <c r="C1133" s="81"/>
      <c r="D1133" s="20"/>
      <c r="I1133" s="81"/>
      <c r="J1133" s="81"/>
      <c r="L1133" s="88"/>
      <c r="M1133" s="81"/>
      <c r="N1133" s="82"/>
      <c r="O1133" s="81"/>
      <c r="P1133" s="81"/>
      <c r="Q1133" s="81"/>
      <c r="R1133" s="83"/>
      <c r="T1133" s="83"/>
      <c r="U1133" s="89"/>
      <c r="V1133" s="89"/>
      <c r="W1133" s="81"/>
      <c r="X1133" s="82"/>
      <c r="Y1133" s="81"/>
      <c r="Z1133" s="81"/>
      <c r="AA1133" s="83"/>
      <c r="AB1133" s="81"/>
      <c r="AC1133" s="88"/>
      <c r="AD1133" s="81"/>
      <c r="AE1133" s="82"/>
      <c r="AF1133" s="81"/>
      <c r="AG1133" s="81"/>
      <c r="AH1133" s="83"/>
      <c r="AI1133" s="81"/>
    </row>
    <row r="1134" spans="2:35" s="79" customFormat="1" ht="11.25" x14ac:dyDescent="0.2">
      <c r="B1134" s="80"/>
      <c r="C1134" s="81"/>
      <c r="D1134" s="22"/>
      <c r="I1134" s="81"/>
      <c r="J1134" s="81"/>
      <c r="L1134" s="88"/>
      <c r="M1134" s="81"/>
      <c r="N1134" s="82"/>
      <c r="O1134" s="81"/>
      <c r="P1134" s="81"/>
      <c r="Q1134" s="81"/>
      <c r="R1134" s="83"/>
      <c r="T1134" s="83"/>
      <c r="U1134" s="89"/>
      <c r="V1134" s="89"/>
      <c r="W1134" s="81"/>
      <c r="X1134" s="82"/>
      <c r="Y1134" s="81"/>
      <c r="Z1134" s="81"/>
      <c r="AA1134" s="83"/>
      <c r="AB1134" s="81"/>
      <c r="AC1134" s="88"/>
      <c r="AD1134" s="81"/>
      <c r="AE1134" s="82"/>
      <c r="AF1134" s="81"/>
      <c r="AG1134" s="81"/>
      <c r="AH1134" s="83"/>
      <c r="AI1134" s="81"/>
    </row>
    <row r="1135" spans="2:35" s="79" customFormat="1" ht="11.25" x14ac:dyDescent="0.2">
      <c r="B1135" s="80"/>
      <c r="C1135" s="81"/>
      <c r="D1135" s="20"/>
      <c r="I1135" s="81"/>
      <c r="J1135" s="81"/>
      <c r="L1135" s="88"/>
      <c r="M1135" s="81"/>
      <c r="N1135" s="82"/>
      <c r="O1135" s="81"/>
      <c r="P1135" s="81"/>
      <c r="Q1135" s="81"/>
      <c r="R1135" s="83"/>
      <c r="T1135" s="83"/>
      <c r="U1135" s="89"/>
      <c r="V1135" s="89"/>
      <c r="W1135" s="81"/>
      <c r="X1135" s="82"/>
      <c r="Y1135" s="81"/>
      <c r="Z1135" s="81"/>
      <c r="AA1135" s="83"/>
      <c r="AB1135" s="81"/>
      <c r="AC1135" s="88"/>
      <c r="AD1135" s="81"/>
      <c r="AE1135" s="82"/>
      <c r="AF1135" s="81"/>
      <c r="AG1135" s="81"/>
      <c r="AH1135" s="83"/>
      <c r="AI1135" s="81"/>
    </row>
    <row r="1136" spans="2:35" s="79" customFormat="1" ht="11.25" x14ac:dyDescent="0.2">
      <c r="B1136" s="80"/>
      <c r="C1136" s="81"/>
      <c r="D1136" s="20"/>
      <c r="I1136" s="81"/>
      <c r="J1136" s="81"/>
      <c r="L1136" s="88"/>
      <c r="M1136" s="81"/>
      <c r="N1136" s="82"/>
      <c r="O1136" s="81"/>
      <c r="P1136" s="81"/>
      <c r="Q1136" s="81"/>
      <c r="R1136" s="83"/>
      <c r="T1136" s="83"/>
      <c r="U1136" s="89"/>
      <c r="V1136" s="89"/>
      <c r="W1136" s="81"/>
      <c r="X1136" s="82"/>
      <c r="Y1136" s="81"/>
      <c r="Z1136" s="81"/>
      <c r="AA1136" s="83"/>
      <c r="AB1136" s="81"/>
      <c r="AC1136" s="88"/>
      <c r="AD1136" s="81"/>
      <c r="AE1136" s="82"/>
      <c r="AF1136" s="81"/>
      <c r="AG1136" s="81"/>
      <c r="AH1136" s="83"/>
      <c r="AI1136" s="81"/>
    </row>
    <row r="1137" spans="1:35" s="79" customFormat="1" ht="11.25" x14ac:dyDescent="0.2">
      <c r="B1137" s="80"/>
      <c r="C1137" s="81"/>
      <c r="D1137" s="22"/>
      <c r="I1137" s="81"/>
      <c r="J1137" s="81"/>
      <c r="L1137" s="88"/>
      <c r="M1137" s="81"/>
      <c r="N1137" s="82"/>
      <c r="O1137" s="81"/>
      <c r="P1137" s="81"/>
      <c r="Q1137" s="81"/>
      <c r="R1137" s="83"/>
      <c r="T1137" s="83"/>
      <c r="U1137" s="89"/>
      <c r="V1137" s="89"/>
      <c r="W1137" s="81"/>
      <c r="X1137" s="82"/>
      <c r="Y1137" s="81"/>
      <c r="Z1137" s="81"/>
      <c r="AA1137" s="80"/>
      <c r="AB1137" s="81"/>
      <c r="AC1137" s="88"/>
      <c r="AD1137" s="81"/>
      <c r="AE1137" s="82"/>
      <c r="AF1137" s="81"/>
      <c r="AG1137" s="81"/>
      <c r="AH1137" s="83"/>
      <c r="AI1137" s="81"/>
    </row>
    <row r="1138" spans="1:35" s="44" customFormat="1" ht="11.25" x14ac:dyDescent="0.2">
      <c r="A1138" s="79"/>
      <c r="B1138" s="80"/>
      <c r="C1138" s="81"/>
      <c r="D1138" s="20"/>
      <c r="E1138" s="79"/>
      <c r="F1138" s="79"/>
      <c r="G1138" s="79"/>
      <c r="H1138" s="79"/>
      <c r="I1138" s="81"/>
      <c r="J1138" s="81"/>
      <c r="K1138" s="79"/>
      <c r="L1138" s="79"/>
      <c r="M1138" s="81"/>
      <c r="N1138" s="82"/>
      <c r="O1138" s="81"/>
      <c r="P1138" s="81"/>
      <c r="Q1138" s="81"/>
      <c r="R1138" s="83"/>
      <c r="S1138" s="79"/>
      <c r="T1138" s="83"/>
      <c r="U1138" s="81"/>
      <c r="V1138" s="81"/>
      <c r="W1138" s="81"/>
      <c r="X1138" s="82"/>
      <c r="Y1138" s="81"/>
      <c r="Z1138" s="81"/>
      <c r="AA1138" s="83"/>
      <c r="AB1138" s="81"/>
      <c r="AC1138" s="79"/>
      <c r="AD1138" s="81"/>
      <c r="AE1138" s="82"/>
      <c r="AF1138" s="81"/>
      <c r="AG1138" s="81"/>
      <c r="AH1138" s="83"/>
      <c r="AI1138" s="81"/>
    </row>
    <row r="1139" spans="1:35" s="44" customFormat="1" ht="11.25" x14ac:dyDescent="0.2">
      <c r="A1139" s="79"/>
      <c r="B1139" s="80"/>
      <c r="C1139" s="81"/>
      <c r="D1139" s="20"/>
      <c r="E1139" s="79"/>
      <c r="F1139" s="79"/>
      <c r="G1139" s="79"/>
      <c r="H1139" s="79"/>
      <c r="I1139" s="81"/>
      <c r="J1139" s="81"/>
      <c r="K1139" s="79"/>
      <c r="L1139" s="79"/>
      <c r="M1139" s="81"/>
      <c r="N1139" s="82"/>
      <c r="O1139" s="81"/>
      <c r="P1139" s="81"/>
      <c r="Q1139" s="81"/>
      <c r="R1139" s="83"/>
      <c r="S1139" s="79"/>
      <c r="T1139" s="83"/>
      <c r="U1139" s="81"/>
      <c r="V1139" s="81"/>
      <c r="W1139" s="81"/>
      <c r="X1139" s="82"/>
      <c r="Y1139" s="81"/>
      <c r="Z1139" s="81"/>
      <c r="AA1139" s="83"/>
      <c r="AB1139" s="81"/>
      <c r="AC1139" s="79"/>
      <c r="AD1139" s="81"/>
      <c r="AE1139" s="82"/>
      <c r="AF1139" s="81"/>
      <c r="AG1139" s="81"/>
      <c r="AH1139" s="83"/>
      <c r="AI1139" s="81"/>
    </row>
    <row r="1140" spans="1:35" s="44" customFormat="1" ht="11.25" x14ac:dyDescent="0.2">
      <c r="A1140" s="79"/>
      <c r="B1140" s="80"/>
      <c r="C1140" s="81"/>
      <c r="D1140" s="20"/>
      <c r="E1140" s="79"/>
      <c r="F1140" s="79"/>
      <c r="G1140" s="79"/>
      <c r="H1140" s="79"/>
      <c r="I1140" s="81"/>
      <c r="J1140" s="81"/>
      <c r="K1140" s="79"/>
      <c r="L1140" s="79"/>
      <c r="M1140" s="81"/>
      <c r="N1140" s="82"/>
      <c r="O1140" s="81"/>
      <c r="P1140" s="81"/>
      <c r="Q1140" s="81"/>
      <c r="R1140" s="83"/>
      <c r="S1140" s="79"/>
      <c r="T1140" s="83"/>
      <c r="U1140" s="81"/>
      <c r="V1140" s="81"/>
      <c r="W1140" s="81"/>
      <c r="X1140" s="82"/>
      <c r="Y1140" s="81"/>
      <c r="Z1140" s="81"/>
      <c r="AA1140" s="83"/>
      <c r="AB1140" s="81"/>
      <c r="AC1140" s="79"/>
      <c r="AD1140" s="81"/>
      <c r="AE1140" s="82"/>
      <c r="AF1140" s="81"/>
      <c r="AG1140" s="81"/>
      <c r="AH1140" s="83"/>
      <c r="AI1140" s="81"/>
    </row>
    <row r="1141" spans="1:35" s="44" customFormat="1" ht="11.25" x14ac:dyDescent="0.2">
      <c r="A1141" s="79"/>
      <c r="B1141" s="80"/>
      <c r="C1141" s="81"/>
      <c r="D1141" s="20"/>
      <c r="E1141" s="79"/>
      <c r="F1141" s="79"/>
      <c r="G1141" s="79"/>
      <c r="H1141" s="79"/>
      <c r="I1141" s="81"/>
      <c r="J1141" s="81"/>
      <c r="K1141" s="79"/>
      <c r="L1141" s="79"/>
      <c r="M1141" s="81"/>
      <c r="N1141" s="82"/>
      <c r="O1141" s="81"/>
      <c r="P1141" s="81"/>
      <c r="Q1141" s="81"/>
      <c r="R1141" s="83"/>
      <c r="S1141" s="79"/>
      <c r="T1141" s="83"/>
      <c r="U1141" s="81"/>
      <c r="V1141" s="81"/>
      <c r="W1141" s="81"/>
      <c r="X1141" s="82"/>
      <c r="Y1141" s="81"/>
      <c r="Z1141" s="81"/>
      <c r="AA1141" s="83"/>
      <c r="AB1141" s="81"/>
      <c r="AC1141" s="79"/>
      <c r="AD1141" s="81"/>
      <c r="AE1141" s="82"/>
      <c r="AF1141" s="81"/>
      <c r="AG1141" s="81"/>
      <c r="AH1141" s="83"/>
      <c r="AI1141" s="81"/>
    </row>
    <row r="1142" spans="1:35" s="44" customFormat="1" x14ac:dyDescent="0.25">
      <c r="B1142" s="45"/>
      <c r="C1142" s="45"/>
      <c r="D1142" s="46"/>
      <c r="I1142" s="45"/>
      <c r="J1142" s="45"/>
      <c r="L1142" s="2"/>
      <c r="N1142" s="47"/>
      <c r="O1142" s="48"/>
      <c r="P1142" s="48"/>
      <c r="Q1142" s="45"/>
      <c r="R1142" s="45"/>
      <c r="T1142" s="49"/>
      <c r="U1142" s="7"/>
      <c r="V1142" s="7"/>
      <c r="W1142" s="45"/>
      <c r="AA1142" s="45"/>
      <c r="AB1142" s="45"/>
      <c r="AC1142" s="2"/>
      <c r="AH1142" s="45"/>
      <c r="AI1142" s="45"/>
    </row>
    <row r="1143" spans="1:35" s="44" customFormat="1" x14ac:dyDescent="0.25">
      <c r="B1143" s="45"/>
      <c r="C1143" s="45"/>
      <c r="D1143" s="46"/>
      <c r="I1143" s="45"/>
      <c r="J1143" s="45"/>
      <c r="L1143" s="2"/>
      <c r="N1143" s="47"/>
      <c r="O1143" s="48"/>
      <c r="P1143" s="48"/>
      <c r="Q1143" s="45"/>
      <c r="R1143" s="45"/>
      <c r="T1143" s="49"/>
      <c r="U1143" s="7"/>
      <c r="V1143" s="7"/>
      <c r="W1143" s="45"/>
      <c r="AA1143" s="45"/>
      <c r="AB1143" s="45"/>
      <c r="AC1143" s="2"/>
      <c r="AH1143" s="45"/>
      <c r="AI1143" s="45"/>
    </row>
    <row r="1153" spans="16:16" x14ac:dyDescent="0.25">
      <c r="P1153" s="6"/>
    </row>
  </sheetData>
  <autoFilter ref="A2:AI1127">
    <sortState ref="A3:AI1127">
      <sortCondition ref="H2:H1127"/>
    </sortState>
  </autoFilter>
  <sortState ref="A3:AI1111">
    <sortCondition ref="H3:H1111"/>
    <sortCondition ref="M3:M1111"/>
    <sortCondition ref="N3:N1111"/>
  </sortState>
  <mergeCells count="4">
    <mergeCell ref="M1:T1"/>
    <mergeCell ref="W1:AB1"/>
    <mergeCell ref="AD1:AI1"/>
    <mergeCell ref="U1:V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2" sqref="Q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 5 Table</vt:lpstr>
      <vt:lpstr>Table Notes</vt:lpstr>
      <vt:lpstr>Table_with_LTR_Ratios_1_and_2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Warren;Dixon, Thomas</dc:creator>
  <cp:lastModifiedBy>Sappakit, Shutima</cp:lastModifiedBy>
  <cp:lastPrinted>2013-02-06T12:52:32Z</cp:lastPrinted>
  <dcterms:created xsi:type="dcterms:W3CDTF">2012-11-12T17:33:18Z</dcterms:created>
  <dcterms:modified xsi:type="dcterms:W3CDTF">2013-05-17T18:44:35Z</dcterms:modified>
</cp:coreProperties>
</file>