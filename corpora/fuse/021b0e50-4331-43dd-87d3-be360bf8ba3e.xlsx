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12420" windowHeight="5568"/>
  </bookViews>
  <sheets>
    <sheet name="Worksheet Qrtly Pay" sheetId="1" r:id="rId1"/>
    <sheet name="Example Worksheet Qtrly Pay 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7" i="1" l="1"/>
  <c r="C18" i="1"/>
  <c r="D13" i="1"/>
  <c r="C13" i="1"/>
  <c r="C12" i="1"/>
  <c r="D12" i="1" s="1"/>
  <c r="C11" i="1"/>
  <c r="D11" i="1" s="1"/>
  <c r="C3" i="1"/>
  <c r="B32" i="2"/>
  <c r="C27" i="2" s="1"/>
  <c r="B23" i="2"/>
  <c r="C18" i="2"/>
  <c r="F21" i="2" s="1"/>
  <c r="D13" i="2"/>
  <c r="C13" i="2"/>
  <c r="D12" i="2"/>
  <c r="C12" i="2"/>
  <c r="C11" i="2"/>
  <c r="D11" i="2" s="1"/>
  <c r="B8" i="2"/>
  <c r="B7" i="2"/>
  <c r="B6" i="2"/>
  <c r="B5" i="2"/>
  <c r="C3" i="2"/>
  <c r="F4" i="2" s="1"/>
  <c r="F21" i="1" l="1"/>
  <c r="F17" i="1"/>
  <c r="F20" i="1"/>
  <c r="F18" i="1"/>
  <c r="F19" i="1"/>
  <c r="D18" i="1"/>
  <c r="H18" i="1"/>
  <c r="F7" i="1"/>
  <c r="F5" i="1"/>
  <c r="F3" i="1"/>
  <c r="G4" i="1" s="1"/>
  <c r="D3" i="1"/>
  <c r="F4" i="1"/>
  <c r="F6" i="1"/>
  <c r="F29" i="1"/>
  <c r="D27" i="1"/>
  <c r="F28" i="1"/>
  <c r="F31" i="1"/>
  <c r="F30" i="1"/>
  <c r="F27" i="1"/>
  <c r="G28" i="1" s="1"/>
  <c r="F29" i="2"/>
  <c r="D27" i="2"/>
  <c r="F31" i="2"/>
  <c r="F28" i="2"/>
  <c r="F30" i="2"/>
  <c r="F27" i="2"/>
  <c r="G28" i="2" s="1"/>
  <c r="F6" i="2"/>
  <c r="H18" i="2"/>
  <c r="D3" i="2"/>
  <c r="D18" i="2"/>
  <c r="F19" i="2"/>
  <c r="G21" i="2" s="1"/>
  <c r="F3" i="2"/>
  <c r="G4" i="2" s="1"/>
  <c r="F5" i="2"/>
  <c r="F7" i="2"/>
  <c r="F18" i="2"/>
  <c r="F20" i="2"/>
  <c r="F17" i="2"/>
  <c r="G18" i="1" l="1"/>
  <c r="G31" i="1"/>
  <c r="G7" i="1"/>
  <c r="G21" i="1"/>
  <c r="G18" i="2"/>
  <c r="G7" i="2"/>
  <c r="G31" i="2"/>
</calcChain>
</file>

<file path=xl/sharedStrings.xml><?xml version="1.0" encoding="utf-8"?>
<sst xmlns="http://schemas.openxmlformats.org/spreadsheetml/2006/main" count="90" uniqueCount="28">
  <si>
    <t>GCC Pay for Spring 2011</t>
  </si>
  <si>
    <t>Month</t>
  </si>
  <si>
    <t>Monthly Amt.</t>
  </si>
  <si>
    <t>Weekly Flat Rate</t>
  </si>
  <si>
    <t>Hourly rate</t>
  </si>
  <si>
    <t>Work Weeks per Month</t>
  </si>
  <si>
    <t>Pay for Weeks Worked</t>
  </si>
  <si>
    <t>Gross Quarterly Pay</t>
  </si>
  <si>
    <t>Feb. 2011</t>
  </si>
  <si>
    <t>Mar. 2011</t>
  </si>
  <si>
    <t>Apr. 2011</t>
  </si>
  <si>
    <t>Beg. Of June</t>
  </si>
  <si>
    <t>Total</t>
  </si>
  <si>
    <t>GCC Pay for Summer 2011</t>
  </si>
  <si>
    <t>GCC Pay for Fall 2011</t>
  </si>
  <si>
    <t>Monthly Paystub Amt.(Gross)</t>
  </si>
  <si>
    <r>
      <t>Weekly Flat Rate</t>
    </r>
    <r>
      <rPr>
        <b/>
        <sz val="8"/>
        <color theme="1"/>
        <rFont val="Calibri"/>
        <family val="2"/>
        <scheme val="minor"/>
      </rPr>
      <t xml:space="preserve"> (Total/15.5)</t>
    </r>
  </si>
  <si>
    <r>
      <t xml:space="preserve">Hourly rate </t>
    </r>
    <r>
      <rPr>
        <b/>
        <sz val="8"/>
        <color theme="1"/>
        <rFont val="Calibri"/>
        <family val="2"/>
        <scheme val="minor"/>
      </rPr>
      <t>(Weekly flat rate/6.66 hrs.)</t>
    </r>
  </si>
  <si>
    <t>Weeks Worked per Month</t>
  </si>
  <si>
    <t>Aug</t>
  </si>
  <si>
    <t>Sept. 2011</t>
  </si>
  <si>
    <t>Oct. 2011</t>
  </si>
  <si>
    <t>Nov. 2011</t>
  </si>
  <si>
    <t>Dec. 2011</t>
  </si>
  <si>
    <t>GCC Pay for Spring 2012</t>
  </si>
  <si>
    <t>Feb. 2012</t>
  </si>
  <si>
    <t>Mar. 2012</t>
  </si>
  <si>
    <t>Apr.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</si>
</sst>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$-409]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 applyFill="1" applyAlignment="1">
      <alignment horizontal="left"/>
    </xf>
    <xf numFmtId="0" fontId="0" fillId="0" borderId="0" xfId="0" applyFill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left"/>
    </xf>
    <xf numFmtId="44" fontId="0" fillId="0" borderId="1" xfId="1" applyFont="1" applyFill="1" applyBorder="1"/>
    <xf numFmtId="44" fontId="0" fillId="0" borderId="1" xfId="0" applyNumberFormat="1" applyFill="1" applyBorder="1"/>
    <xf numFmtId="0" fontId="0" fillId="0" borderId="1" xfId="0" applyFill="1" applyBorder="1"/>
    <xf numFmtId="0" fontId="0" fillId="0" borderId="0" xfId="0" applyFill="1" applyBorder="1"/>
    <xf numFmtId="17" fontId="0" fillId="0" borderId="1" xfId="0" applyNumberFormat="1" applyFill="1" applyBorder="1" applyAlignment="1">
      <alignment horizontal="left"/>
    </xf>
    <xf numFmtId="44" fontId="0" fillId="0" borderId="1" xfId="0" applyNumberFormat="1" applyFont="1" applyFill="1" applyBorder="1"/>
    <xf numFmtId="0" fontId="3" fillId="0" borderId="1" xfId="0" applyFont="1" applyFill="1" applyBorder="1" applyAlignment="1">
      <alignment horizontal="left"/>
    </xf>
    <xf numFmtId="44" fontId="0" fillId="0" borderId="0" xfId="0" applyNumberFormat="1" applyFill="1"/>
    <xf numFmtId="0" fontId="0" fillId="0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44" fontId="2" fillId="2" borderId="1" xfId="0" applyNumberFormat="1" applyFont="1" applyFill="1" applyBorder="1"/>
    <xf numFmtId="16" fontId="0" fillId="3" borderId="1" xfId="0" applyNumberFormat="1" applyFill="1" applyBorder="1" applyAlignment="1">
      <alignment horizontal="left"/>
    </xf>
    <xf numFmtId="17" fontId="0" fillId="3" borderId="1" xfId="0" applyNumberFormat="1" applyFill="1" applyBorder="1" applyAlignment="1">
      <alignment horizontal="left"/>
    </xf>
    <xf numFmtId="44" fontId="2" fillId="3" borderId="1" xfId="0" applyNumberFormat="1" applyFont="1" applyFill="1" applyBorder="1"/>
    <xf numFmtId="0" fontId="0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44" fontId="2" fillId="4" borderId="1" xfId="0" applyNumberFormat="1" applyFont="1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44" fontId="2" fillId="6" borderId="1" xfId="0" applyNumberFormat="1" applyFont="1" applyFill="1" applyBorder="1"/>
    <xf numFmtId="164" fontId="0" fillId="5" borderId="1" xfId="0" applyNumberFormat="1" applyFill="1" applyBorder="1" applyAlignment="1">
      <alignment horizontal="left"/>
    </xf>
    <xf numFmtId="44" fontId="2" fillId="5" borderId="1" xfId="0" applyNumberFormat="1" applyFont="1" applyFill="1" applyBorder="1"/>
    <xf numFmtId="16" fontId="0" fillId="7" borderId="1" xfId="0" applyNumberFormat="1" applyFill="1" applyBorder="1" applyAlignment="1">
      <alignment horizontal="left"/>
    </xf>
    <xf numFmtId="17" fontId="0" fillId="7" borderId="1" xfId="0" applyNumberFormat="1" applyFill="1" applyBorder="1" applyAlignment="1">
      <alignment horizontal="left"/>
    </xf>
    <xf numFmtId="44" fontId="2" fillId="7" borderId="1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B1" workbookViewId="0">
      <selection activeCell="D10" sqref="D10"/>
    </sheetView>
  </sheetViews>
  <sheetFormatPr defaultRowHeight="14.4" x14ac:dyDescent="0.3"/>
  <cols>
    <col min="1" max="1" width="11.88671875" style="15" customWidth="1"/>
    <col min="2" max="2" width="12.33203125" style="2" customWidth="1"/>
    <col min="3" max="3" width="10.5546875" style="2" bestFit="1" customWidth="1"/>
    <col min="4" max="4" width="10.88671875" style="2" bestFit="1" customWidth="1"/>
    <col min="5" max="5" width="11" style="2" customWidth="1"/>
    <col min="6" max="6" width="10.5546875" style="2" bestFit="1" customWidth="1"/>
    <col min="7" max="7" width="11.5546875" style="2" bestFit="1" customWidth="1"/>
    <col min="8" max="16384" width="8.88671875" style="2"/>
  </cols>
  <sheetData>
    <row r="1" spans="1:7" ht="18" x14ac:dyDescent="0.35">
      <c r="A1" s="1" t="s">
        <v>0</v>
      </c>
    </row>
    <row r="2" spans="1:7" ht="43.2" x14ac:dyDescent="0.3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5" t="s">
        <v>6</v>
      </c>
      <c r="G2" s="5" t="s">
        <v>7</v>
      </c>
    </row>
    <row r="3" spans="1:7" s="10" customFormat="1" x14ac:dyDescent="0.3">
      <c r="A3" s="16" t="s">
        <v>8</v>
      </c>
      <c r="B3" s="7"/>
      <c r="C3" s="8">
        <f>B8/15.5</f>
        <v>0</v>
      </c>
      <c r="D3" s="8">
        <f>C3/9.66</f>
        <v>0</v>
      </c>
      <c r="E3" s="9">
        <v>1.8</v>
      </c>
      <c r="F3" s="8">
        <f>C3*E3</f>
        <v>0</v>
      </c>
      <c r="G3" s="9"/>
    </row>
    <row r="4" spans="1:7" s="10" customFormat="1" x14ac:dyDescent="0.3">
      <c r="A4" s="17" t="s">
        <v>9</v>
      </c>
      <c r="B4" s="7"/>
      <c r="C4" s="9"/>
      <c r="D4" s="9"/>
      <c r="E4" s="9">
        <v>4.8</v>
      </c>
      <c r="F4" s="8">
        <f>C3*E4</f>
        <v>0</v>
      </c>
      <c r="G4" s="18">
        <f>SUM(F3:F4)</f>
        <v>0</v>
      </c>
    </row>
    <row r="5" spans="1:7" s="10" customFormat="1" x14ac:dyDescent="0.3">
      <c r="A5" s="19" t="s">
        <v>10</v>
      </c>
      <c r="B5" s="7"/>
      <c r="C5" s="9"/>
      <c r="D5" s="9"/>
      <c r="E5" s="9">
        <v>3.3</v>
      </c>
      <c r="F5" s="8">
        <f>C3*E5</f>
        <v>0</v>
      </c>
      <c r="G5" s="9"/>
    </row>
    <row r="6" spans="1:7" s="10" customFormat="1" x14ac:dyDescent="0.3">
      <c r="A6" s="20">
        <v>40664</v>
      </c>
      <c r="B6" s="7"/>
      <c r="C6" s="9"/>
      <c r="D6" s="9"/>
      <c r="E6" s="9">
        <v>4.4000000000000004</v>
      </c>
      <c r="F6" s="12">
        <f>C3*E6</f>
        <v>0</v>
      </c>
      <c r="G6" s="9"/>
    </row>
    <row r="7" spans="1:7" s="10" customFormat="1" x14ac:dyDescent="0.3">
      <c r="A7" s="20" t="s">
        <v>11</v>
      </c>
      <c r="B7" s="7"/>
      <c r="C7" s="9"/>
      <c r="D7" s="9"/>
      <c r="E7" s="9">
        <v>1.2</v>
      </c>
      <c r="F7" s="8">
        <f>C3*E7</f>
        <v>0</v>
      </c>
      <c r="G7" s="21">
        <f>SUM(F5:F7)</f>
        <v>0</v>
      </c>
    </row>
    <row r="8" spans="1:7" x14ac:dyDescent="0.3">
      <c r="A8" s="6" t="s">
        <v>12</v>
      </c>
      <c r="B8" s="7"/>
      <c r="C8" s="9"/>
      <c r="D8" s="9"/>
      <c r="E8" s="9"/>
      <c r="F8" s="9"/>
      <c r="G8" s="9"/>
    </row>
    <row r="9" spans="1:7" ht="18" x14ac:dyDescent="0.35">
      <c r="A9" s="13" t="s">
        <v>13</v>
      </c>
      <c r="B9" s="9"/>
      <c r="C9" s="9"/>
      <c r="D9" s="9"/>
      <c r="E9" s="9"/>
      <c r="F9" s="9"/>
      <c r="G9" s="9"/>
    </row>
    <row r="10" spans="1:7" ht="28.8" x14ac:dyDescent="0.3">
      <c r="A10" s="3" t="s">
        <v>1</v>
      </c>
      <c r="B10" s="4" t="s">
        <v>2</v>
      </c>
      <c r="C10" s="5" t="s">
        <v>3</v>
      </c>
      <c r="D10" s="4" t="s">
        <v>4</v>
      </c>
      <c r="E10" s="9"/>
      <c r="F10" s="9"/>
      <c r="G10" s="9"/>
    </row>
    <row r="11" spans="1:7" x14ac:dyDescent="0.3">
      <c r="A11" s="11">
        <v>40705</v>
      </c>
      <c r="B11" s="7">
        <v>0</v>
      </c>
      <c r="C11" s="7">
        <f>B11/4</f>
        <v>0</v>
      </c>
      <c r="D11" s="7">
        <f>C11/7</f>
        <v>0</v>
      </c>
      <c r="E11" s="9"/>
      <c r="F11" s="9"/>
      <c r="G11" s="9"/>
    </row>
    <row r="12" spans="1:7" x14ac:dyDescent="0.3">
      <c r="A12" s="11">
        <v>40725</v>
      </c>
      <c r="B12" s="7">
        <v>0</v>
      </c>
      <c r="C12" s="7">
        <f>B12/4</f>
        <v>0</v>
      </c>
      <c r="D12" s="7">
        <f>C12/7</f>
        <v>0</v>
      </c>
      <c r="E12" s="9"/>
      <c r="F12" s="9"/>
      <c r="G12" s="9"/>
    </row>
    <row r="13" spans="1:7" x14ac:dyDescent="0.3">
      <c r="A13" s="11">
        <v>40756</v>
      </c>
      <c r="B13" s="7">
        <v>0</v>
      </c>
      <c r="C13" s="7">
        <f>B13/4</f>
        <v>0</v>
      </c>
      <c r="D13" s="7">
        <f>B13/58</f>
        <v>0</v>
      </c>
      <c r="E13" s="9"/>
      <c r="F13" s="9"/>
      <c r="G13" s="9"/>
    </row>
    <row r="14" spans="1:7" x14ac:dyDescent="0.3">
      <c r="A14" s="6"/>
      <c r="B14" s="9"/>
      <c r="C14" s="9"/>
      <c r="D14" s="9"/>
      <c r="E14" s="9"/>
      <c r="F14" s="9"/>
      <c r="G14" s="9"/>
    </row>
    <row r="15" spans="1:7" ht="18" x14ac:dyDescent="0.35">
      <c r="A15" s="13" t="s">
        <v>14</v>
      </c>
      <c r="B15" s="9"/>
      <c r="C15" s="9"/>
      <c r="D15" s="9"/>
      <c r="E15" s="9"/>
      <c r="F15" s="9"/>
      <c r="G15" s="9"/>
    </row>
    <row r="16" spans="1:7" ht="43.2" x14ac:dyDescent="0.3">
      <c r="A16" s="3" t="s">
        <v>1</v>
      </c>
      <c r="B16" s="5" t="s">
        <v>15</v>
      </c>
      <c r="C16" s="5" t="s">
        <v>16</v>
      </c>
      <c r="D16" s="5" t="s">
        <v>17</v>
      </c>
      <c r="E16" s="5" t="s">
        <v>18</v>
      </c>
      <c r="F16" s="5" t="s">
        <v>6</v>
      </c>
      <c r="G16" s="5" t="s">
        <v>7</v>
      </c>
    </row>
    <row r="17" spans="1:8" x14ac:dyDescent="0.3">
      <c r="A17" s="22" t="s">
        <v>19</v>
      </c>
      <c r="B17" s="4"/>
      <c r="C17" s="5"/>
      <c r="D17" s="4"/>
      <c r="E17" s="9">
        <v>0.6</v>
      </c>
      <c r="F17" s="8">
        <f>C18*E17</f>
        <v>0</v>
      </c>
      <c r="G17" s="9"/>
    </row>
    <row r="18" spans="1:8" x14ac:dyDescent="0.3">
      <c r="A18" s="23" t="s">
        <v>20</v>
      </c>
      <c r="B18" s="7"/>
      <c r="C18" s="8">
        <f>B23/15.5</f>
        <v>0</v>
      </c>
      <c r="D18" s="8">
        <f>C18/6.66</f>
        <v>0</v>
      </c>
      <c r="E18" s="9">
        <v>4.3</v>
      </c>
      <c r="F18" s="8">
        <f>C18*E18</f>
        <v>0</v>
      </c>
      <c r="G18" s="24">
        <f>SUM(F17:F18)</f>
        <v>0</v>
      </c>
      <c r="H18" s="14">
        <f>C18/10</f>
        <v>0</v>
      </c>
    </row>
    <row r="19" spans="1:8" x14ac:dyDescent="0.3">
      <c r="A19" s="26" t="s">
        <v>21</v>
      </c>
      <c r="B19" s="7"/>
      <c r="C19" s="9"/>
      <c r="D19" s="9"/>
      <c r="E19" s="9">
        <v>4.5999999999999996</v>
      </c>
      <c r="F19" s="8">
        <f>C18*E19</f>
        <v>0</v>
      </c>
      <c r="G19" s="9"/>
    </row>
    <row r="20" spans="1:8" x14ac:dyDescent="0.3">
      <c r="A20" s="26" t="s">
        <v>22</v>
      </c>
      <c r="B20" s="7"/>
      <c r="C20" s="9"/>
      <c r="D20" s="9"/>
      <c r="E20" s="9">
        <v>4.2</v>
      </c>
      <c r="F20" s="8">
        <f>C18*E20</f>
        <v>0</v>
      </c>
      <c r="G20" s="9"/>
    </row>
    <row r="21" spans="1:8" x14ac:dyDescent="0.3">
      <c r="A21" s="26" t="s">
        <v>23</v>
      </c>
      <c r="B21" s="7"/>
      <c r="C21" s="9"/>
      <c r="D21" s="9"/>
      <c r="E21" s="9">
        <v>1.8</v>
      </c>
      <c r="F21" s="8">
        <f>C18*E21</f>
        <v>0</v>
      </c>
      <c r="G21" s="27">
        <f>SUM(F19:F21)</f>
        <v>0</v>
      </c>
    </row>
    <row r="22" spans="1:8" x14ac:dyDescent="0.3">
      <c r="A22" s="11">
        <v>40909</v>
      </c>
      <c r="B22" s="7"/>
      <c r="C22" s="9"/>
      <c r="D22" s="9"/>
      <c r="E22" s="9">
        <v>0</v>
      </c>
      <c r="F22" s="9"/>
      <c r="G22" s="9"/>
    </row>
    <row r="23" spans="1:8" x14ac:dyDescent="0.3">
      <c r="A23" s="6" t="s">
        <v>12</v>
      </c>
      <c r="B23" s="8"/>
      <c r="C23" s="9"/>
      <c r="D23" s="8"/>
      <c r="E23" s="9"/>
      <c r="F23" s="9"/>
      <c r="G23" s="9"/>
    </row>
    <row r="24" spans="1:8" x14ac:dyDescent="0.3">
      <c r="A24" s="6"/>
      <c r="B24" s="9"/>
      <c r="C24" s="9"/>
      <c r="D24" s="9"/>
      <c r="E24" s="9"/>
      <c r="F24" s="9"/>
      <c r="G24" s="9"/>
    </row>
    <row r="25" spans="1:8" ht="18" x14ac:dyDescent="0.35">
      <c r="A25" s="1" t="s">
        <v>24</v>
      </c>
    </row>
    <row r="26" spans="1:8" ht="43.2" x14ac:dyDescent="0.3">
      <c r="A26" s="3" t="s">
        <v>1</v>
      </c>
      <c r="B26" s="4" t="s">
        <v>2</v>
      </c>
      <c r="C26" s="5" t="s">
        <v>16</v>
      </c>
      <c r="D26" s="4" t="s">
        <v>4</v>
      </c>
      <c r="E26" s="5" t="s">
        <v>5</v>
      </c>
      <c r="F26" s="5" t="s">
        <v>6</v>
      </c>
      <c r="G26" s="5" t="s">
        <v>7</v>
      </c>
    </row>
    <row r="27" spans="1:8" x14ac:dyDescent="0.3">
      <c r="A27" s="25" t="s">
        <v>25</v>
      </c>
      <c r="B27" s="7"/>
      <c r="C27" s="8">
        <f>B32/15.5</f>
        <v>0</v>
      </c>
      <c r="D27" s="8">
        <f>C27/6.66</f>
        <v>0</v>
      </c>
      <c r="E27" s="9">
        <v>2.4</v>
      </c>
      <c r="F27" s="8">
        <f>C27*E27</f>
        <v>0</v>
      </c>
      <c r="G27" s="9"/>
    </row>
    <row r="28" spans="1:8" x14ac:dyDescent="0.3">
      <c r="A28" s="28" t="s">
        <v>26</v>
      </c>
      <c r="B28" s="7"/>
      <c r="C28" s="9"/>
      <c r="D28" s="9"/>
      <c r="E28" s="9">
        <v>4.5</v>
      </c>
      <c r="F28" s="8">
        <f>C27*E28</f>
        <v>0</v>
      </c>
      <c r="G28" s="29">
        <f>SUM(F27:F28)</f>
        <v>0</v>
      </c>
    </row>
    <row r="29" spans="1:8" x14ac:dyDescent="0.3">
      <c r="A29" s="30" t="s">
        <v>27</v>
      </c>
      <c r="B29" s="7"/>
      <c r="C29" s="9"/>
      <c r="D29" s="9"/>
      <c r="E29" s="9">
        <v>3.2</v>
      </c>
      <c r="F29" s="8">
        <f>C27*E29</f>
        <v>0</v>
      </c>
      <c r="G29" s="9"/>
    </row>
    <row r="30" spans="1:8" x14ac:dyDescent="0.3">
      <c r="A30" s="31">
        <v>41030</v>
      </c>
      <c r="B30" s="7"/>
      <c r="C30" s="9"/>
      <c r="D30" s="9"/>
      <c r="E30" s="9">
        <v>4.5</v>
      </c>
      <c r="F30" s="12">
        <f>C27*E30</f>
        <v>0</v>
      </c>
      <c r="G30" s="9"/>
    </row>
    <row r="31" spans="1:8" x14ac:dyDescent="0.3">
      <c r="A31" s="31" t="s">
        <v>11</v>
      </c>
      <c r="B31" s="7"/>
      <c r="C31" s="9"/>
      <c r="D31" s="9"/>
      <c r="E31" s="9">
        <v>0.9</v>
      </c>
      <c r="F31" s="8">
        <f>C27*E31</f>
        <v>0</v>
      </c>
      <c r="G31" s="32">
        <f>SUM(F29:F31)</f>
        <v>0</v>
      </c>
    </row>
    <row r="32" spans="1:8" x14ac:dyDescent="0.3">
      <c r="A32" s="6" t="s">
        <v>12</v>
      </c>
      <c r="B32" s="7"/>
      <c r="C32" s="9"/>
      <c r="D32" s="9"/>
      <c r="E32" s="9"/>
      <c r="F32" s="9"/>
      <c r="G3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sqref="A1:XFD1048576"/>
    </sheetView>
  </sheetViews>
  <sheetFormatPr defaultRowHeight="14.4" x14ac:dyDescent="0.3"/>
  <cols>
    <col min="1" max="1" width="11.88671875" style="15" customWidth="1"/>
    <col min="2" max="2" width="12.33203125" style="2" customWidth="1"/>
    <col min="3" max="3" width="10.5546875" style="2" bestFit="1" customWidth="1"/>
    <col min="4" max="4" width="10.88671875" style="2" bestFit="1" customWidth="1"/>
    <col min="5" max="5" width="11" style="2" customWidth="1"/>
    <col min="6" max="6" width="10.5546875" style="2" bestFit="1" customWidth="1"/>
    <col min="7" max="7" width="11.5546875" style="2" bestFit="1" customWidth="1"/>
    <col min="8" max="16384" width="8.88671875" style="2"/>
  </cols>
  <sheetData>
    <row r="1" spans="1:7" ht="18" x14ac:dyDescent="0.35">
      <c r="A1" s="1" t="s">
        <v>0</v>
      </c>
    </row>
    <row r="2" spans="1:7" ht="43.2" x14ac:dyDescent="0.3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5" t="s">
        <v>6</v>
      </c>
      <c r="G2" s="5" t="s">
        <v>7</v>
      </c>
    </row>
    <row r="3" spans="1:7" s="10" customFormat="1" x14ac:dyDescent="0.3">
      <c r="A3" s="16" t="s">
        <v>8</v>
      </c>
      <c r="B3" s="7">
        <v>1457.34</v>
      </c>
      <c r="C3" s="8">
        <f>B8/15.5</f>
        <v>662.28903225806448</v>
      </c>
      <c r="D3" s="8">
        <f>C3/9.66</f>
        <v>68.559941227542907</v>
      </c>
      <c r="E3" s="9">
        <v>1.8</v>
      </c>
      <c r="F3" s="8">
        <f>C3*E3</f>
        <v>1192.1202580645161</v>
      </c>
      <c r="G3" s="9"/>
    </row>
    <row r="4" spans="1:7" s="10" customFormat="1" x14ac:dyDescent="0.3">
      <c r="A4" s="17" t="s">
        <v>9</v>
      </c>
      <c r="B4" s="7">
        <v>1457.34</v>
      </c>
      <c r="C4" s="9"/>
      <c r="D4" s="9"/>
      <c r="E4" s="9">
        <v>4.8</v>
      </c>
      <c r="F4" s="8">
        <f>C3*E4</f>
        <v>3178.9873548387095</v>
      </c>
      <c r="G4" s="18">
        <f>SUM(F3:F4)</f>
        <v>4371.1076129032253</v>
      </c>
    </row>
    <row r="5" spans="1:7" s="10" customFormat="1" x14ac:dyDescent="0.3">
      <c r="A5" s="19" t="s">
        <v>10</v>
      </c>
      <c r="B5" s="7">
        <f>1578.81+B4</f>
        <v>3036.1499999999996</v>
      </c>
      <c r="C5" s="9"/>
      <c r="D5" s="9"/>
      <c r="E5" s="9">
        <v>3.3</v>
      </c>
      <c r="F5" s="8">
        <f>C3*E5</f>
        <v>2185.5538064516127</v>
      </c>
      <c r="G5" s="9"/>
    </row>
    <row r="6" spans="1:7" s="10" customFormat="1" x14ac:dyDescent="0.3">
      <c r="A6" s="20">
        <v>40664</v>
      </c>
      <c r="B6" s="7">
        <f>652.61+B4</f>
        <v>2109.9499999999998</v>
      </c>
      <c r="C6" s="9"/>
      <c r="D6" s="9"/>
      <c r="E6" s="9">
        <v>4.4000000000000004</v>
      </c>
      <c r="F6" s="12">
        <f>C3*E6</f>
        <v>2914.0717419354842</v>
      </c>
      <c r="G6" s="9"/>
    </row>
    <row r="7" spans="1:7" s="10" customFormat="1" x14ac:dyDescent="0.3">
      <c r="A7" s="20" t="s">
        <v>11</v>
      </c>
      <c r="B7" s="7">
        <f>747.36+B4</f>
        <v>2204.6999999999998</v>
      </c>
      <c r="C7" s="9"/>
      <c r="D7" s="9"/>
      <c r="E7" s="9">
        <v>1.2</v>
      </c>
      <c r="F7" s="8">
        <f>C3*E7</f>
        <v>794.74683870967738</v>
      </c>
      <c r="G7" s="21">
        <f>SUM(F5:F7)</f>
        <v>5894.3723870967751</v>
      </c>
    </row>
    <row r="8" spans="1:7" x14ac:dyDescent="0.3">
      <c r="A8" s="6" t="s">
        <v>12</v>
      </c>
      <c r="B8" s="7">
        <f>SUM(B3:B7)</f>
        <v>10265.48</v>
      </c>
      <c r="C8" s="9"/>
      <c r="D8" s="9"/>
      <c r="E8" s="9"/>
      <c r="F8" s="9"/>
      <c r="G8" s="9"/>
    </row>
    <row r="9" spans="1:7" ht="18" x14ac:dyDescent="0.35">
      <c r="A9" s="13" t="s">
        <v>13</v>
      </c>
      <c r="B9" s="9"/>
      <c r="C9" s="9"/>
      <c r="D9" s="9"/>
      <c r="E9" s="9"/>
      <c r="F9" s="9"/>
      <c r="G9" s="9"/>
    </row>
    <row r="10" spans="1:7" ht="28.8" x14ac:dyDescent="0.3">
      <c r="A10" s="3" t="s">
        <v>1</v>
      </c>
      <c r="B10" s="4" t="s">
        <v>2</v>
      </c>
      <c r="C10" s="5" t="s">
        <v>3</v>
      </c>
      <c r="D10" s="4" t="s">
        <v>4</v>
      </c>
      <c r="E10" s="9"/>
      <c r="F10" s="9"/>
      <c r="G10" s="9"/>
    </row>
    <row r="11" spans="1:7" x14ac:dyDescent="0.3">
      <c r="A11" s="11">
        <v>40705</v>
      </c>
      <c r="B11" s="7">
        <v>0</v>
      </c>
      <c r="C11" s="7">
        <f>B11/4</f>
        <v>0</v>
      </c>
      <c r="D11" s="7">
        <f>C11/7</f>
        <v>0</v>
      </c>
      <c r="E11" s="9"/>
      <c r="F11" s="9"/>
      <c r="G11" s="9"/>
    </row>
    <row r="12" spans="1:7" x14ac:dyDescent="0.3">
      <c r="A12" s="11">
        <v>40725</v>
      </c>
      <c r="B12" s="7">
        <v>0</v>
      </c>
      <c r="C12" s="7">
        <f>B12/4</f>
        <v>0</v>
      </c>
      <c r="D12" s="7">
        <f>C12/7</f>
        <v>0</v>
      </c>
      <c r="E12" s="9"/>
      <c r="F12" s="9"/>
      <c r="G12" s="9"/>
    </row>
    <row r="13" spans="1:7" x14ac:dyDescent="0.3">
      <c r="A13" s="11">
        <v>40756</v>
      </c>
      <c r="B13" s="7">
        <v>0</v>
      </c>
      <c r="C13" s="7">
        <f>B13/4</f>
        <v>0</v>
      </c>
      <c r="D13" s="7">
        <f>B13/58</f>
        <v>0</v>
      </c>
      <c r="E13" s="9"/>
      <c r="F13" s="9"/>
      <c r="G13" s="9"/>
    </row>
    <row r="14" spans="1:7" x14ac:dyDescent="0.3">
      <c r="A14" s="6"/>
      <c r="B14" s="9"/>
      <c r="C14" s="9"/>
      <c r="D14" s="9"/>
      <c r="E14" s="9"/>
      <c r="F14" s="9"/>
      <c r="G14" s="9"/>
    </row>
    <row r="15" spans="1:7" ht="18" x14ac:dyDescent="0.35">
      <c r="A15" s="13" t="s">
        <v>14</v>
      </c>
      <c r="B15" s="9"/>
      <c r="C15" s="9"/>
      <c r="D15" s="9"/>
      <c r="E15" s="9"/>
      <c r="F15" s="9"/>
      <c r="G15" s="9"/>
    </row>
    <row r="16" spans="1:7" ht="43.2" x14ac:dyDescent="0.3">
      <c r="A16" s="3" t="s">
        <v>1</v>
      </c>
      <c r="B16" s="5" t="s">
        <v>15</v>
      </c>
      <c r="C16" s="5" t="s">
        <v>16</v>
      </c>
      <c r="D16" s="5" t="s">
        <v>17</v>
      </c>
      <c r="E16" s="5" t="s">
        <v>18</v>
      </c>
      <c r="F16" s="5" t="s">
        <v>6</v>
      </c>
      <c r="G16" s="5" t="s">
        <v>7</v>
      </c>
    </row>
    <row r="17" spans="1:8" x14ac:dyDescent="0.3">
      <c r="A17" s="22" t="s">
        <v>19</v>
      </c>
      <c r="B17" s="4"/>
      <c r="C17" s="5"/>
      <c r="D17" s="4"/>
      <c r="E17" s="9">
        <v>0.6</v>
      </c>
      <c r="F17" s="8">
        <f>C18*E17</f>
        <v>282.0658064516129</v>
      </c>
      <c r="G17" s="9"/>
    </row>
    <row r="18" spans="1:8" x14ac:dyDescent="0.3">
      <c r="A18" s="23" t="s">
        <v>20</v>
      </c>
      <c r="B18" s="7">
        <v>1457.34</v>
      </c>
      <c r="C18" s="8">
        <f>B23/15.5</f>
        <v>470.10967741935485</v>
      </c>
      <c r="D18" s="8">
        <f>C18/6.66</f>
        <v>70.587038651554778</v>
      </c>
      <c r="E18" s="9">
        <v>4.3</v>
      </c>
      <c r="F18" s="8">
        <f>C18*E18</f>
        <v>2021.4716129032258</v>
      </c>
      <c r="G18" s="24">
        <f>SUM(F17:F18)</f>
        <v>2303.5374193548387</v>
      </c>
      <c r="H18" s="14">
        <f>C18/10</f>
        <v>47.010967741935488</v>
      </c>
    </row>
    <row r="19" spans="1:8" x14ac:dyDescent="0.3">
      <c r="A19" s="26" t="s">
        <v>21</v>
      </c>
      <c r="B19" s="7">
        <v>1457.34</v>
      </c>
      <c r="C19" s="9"/>
      <c r="D19" s="9"/>
      <c r="E19" s="9">
        <v>4.5999999999999996</v>
      </c>
      <c r="F19" s="8">
        <f>C18*E19</f>
        <v>2162.5045161290323</v>
      </c>
      <c r="G19" s="9"/>
    </row>
    <row r="20" spans="1:8" x14ac:dyDescent="0.3">
      <c r="A20" s="26" t="s">
        <v>22</v>
      </c>
      <c r="B20" s="7">
        <v>1457.34</v>
      </c>
      <c r="C20" s="9"/>
      <c r="D20" s="9"/>
      <c r="E20" s="9">
        <v>4.2</v>
      </c>
      <c r="F20" s="8">
        <f>C18*E20</f>
        <v>1974.4606451612904</v>
      </c>
      <c r="G20" s="9"/>
    </row>
    <row r="21" spans="1:8" x14ac:dyDescent="0.3">
      <c r="A21" s="26" t="s">
        <v>23</v>
      </c>
      <c r="B21" s="7">
        <v>1457.34</v>
      </c>
      <c r="C21" s="9"/>
      <c r="D21" s="9"/>
      <c r="E21" s="9">
        <v>1.8</v>
      </c>
      <c r="F21" s="8">
        <f>C18*E21</f>
        <v>846.19741935483876</v>
      </c>
      <c r="G21" s="27">
        <f>SUM(F19:F21)</f>
        <v>4983.1625806451611</v>
      </c>
    </row>
    <row r="22" spans="1:8" x14ac:dyDescent="0.3">
      <c r="A22" s="11">
        <v>40909</v>
      </c>
      <c r="B22" s="7">
        <v>1457.34</v>
      </c>
      <c r="C22" s="9"/>
      <c r="D22" s="9"/>
      <c r="E22" s="9">
        <v>0</v>
      </c>
      <c r="F22" s="9"/>
      <c r="G22" s="9"/>
    </row>
    <row r="23" spans="1:8" x14ac:dyDescent="0.3">
      <c r="A23" s="6" t="s">
        <v>12</v>
      </c>
      <c r="B23" s="8">
        <f>SUM(B18:B22)</f>
        <v>7286.7</v>
      </c>
      <c r="C23" s="9"/>
      <c r="D23" s="8"/>
      <c r="E23" s="9"/>
      <c r="F23" s="9"/>
      <c r="G23" s="9"/>
    </row>
    <row r="24" spans="1:8" x14ac:dyDescent="0.3">
      <c r="A24" s="6"/>
      <c r="B24" s="9"/>
      <c r="C24" s="9"/>
      <c r="D24" s="9"/>
      <c r="E24" s="9"/>
      <c r="F24" s="9"/>
      <c r="G24" s="9"/>
    </row>
    <row r="25" spans="1:8" ht="18" x14ac:dyDescent="0.35">
      <c r="A25" s="1" t="s">
        <v>24</v>
      </c>
    </row>
    <row r="26" spans="1:8" ht="43.2" x14ac:dyDescent="0.3">
      <c r="A26" s="3" t="s">
        <v>1</v>
      </c>
      <c r="B26" s="4" t="s">
        <v>2</v>
      </c>
      <c r="C26" s="5" t="s">
        <v>16</v>
      </c>
      <c r="D26" s="4" t="s">
        <v>4</v>
      </c>
      <c r="E26" s="5" t="s">
        <v>5</v>
      </c>
      <c r="F26" s="5" t="s">
        <v>6</v>
      </c>
      <c r="G26" s="5" t="s">
        <v>7</v>
      </c>
    </row>
    <row r="27" spans="1:8" x14ac:dyDescent="0.3">
      <c r="A27" s="25" t="s">
        <v>25</v>
      </c>
      <c r="B27" s="7">
        <v>1410.09</v>
      </c>
      <c r="C27" s="8">
        <f>B32/15.5</f>
        <v>454.86774193548388</v>
      </c>
      <c r="D27" s="8">
        <f>C27/6.66</f>
        <v>68.298459750072652</v>
      </c>
      <c r="E27" s="9">
        <v>2.4</v>
      </c>
      <c r="F27" s="8">
        <f>C27*E27</f>
        <v>1091.6825806451614</v>
      </c>
      <c r="G27" s="9"/>
    </row>
    <row r="28" spans="1:8" x14ac:dyDescent="0.3">
      <c r="A28" s="28" t="s">
        <v>26</v>
      </c>
      <c r="B28" s="7">
        <v>1410.09</v>
      </c>
      <c r="C28" s="9"/>
      <c r="D28" s="9"/>
      <c r="E28" s="9">
        <v>4.5</v>
      </c>
      <c r="F28" s="8">
        <f>C27*E28</f>
        <v>2046.9048387096775</v>
      </c>
      <c r="G28" s="29">
        <f>SUM(F27:F28)</f>
        <v>3138.5874193548389</v>
      </c>
    </row>
    <row r="29" spans="1:8" x14ac:dyDescent="0.3">
      <c r="A29" s="30" t="s">
        <v>27</v>
      </c>
      <c r="B29" s="7">
        <v>1410.09</v>
      </c>
      <c r="C29" s="9"/>
      <c r="D29" s="9"/>
      <c r="E29" s="9">
        <v>3.2</v>
      </c>
      <c r="F29" s="8">
        <f>C27*E29</f>
        <v>1455.5767741935485</v>
      </c>
      <c r="G29" s="9"/>
    </row>
    <row r="30" spans="1:8" x14ac:dyDescent="0.3">
      <c r="A30" s="31">
        <v>41030</v>
      </c>
      <c r="B30" s="7">
        <v>1410.09</v>
      </c>
      <c r="C30" s="9"/>
      <c r="D30" s="9"/>
      <c r="E30" s="9">
        <v>4.5</v>
      </c>
      <c r="F30" s="12">
        <f>C27*E30</f>
        <v>2046.9048387096775</v>
      </c>
      <c r="G30" s="9"/>
    </row>
    <row r="31" spans="1:8" x14ac:dyDescent="0.3">
      <c r="A31" s="31" t="s">
        <v>11</v>
      </c>
      <c r="B31" s="7">
        <v>1410.09</v>
      </c>
      <c r="C31" s="9"/>
      <c r="D31" s="9"/>
      <c r="E31" s="9">
        <v>0.9</v>
      </c>
      <c r="F31" s="8">
        <f>C27*E31</f>
        <v>409.38096774193548</v>
      </c>
      <c r="G31" s="32">
        <f>SUM(F29:F31)</f>
        <v>3911.8625806451614</v>
      </c>
    </row>
    <row r="32" spans="1:8" x14ac:dyDescent="0.3">
      <c r="A32" s="6" t="s">
        <v>12</v>
      </c>
      <c r="B32" s="7">
        <f>SUM(B27:B31)</f>
        <v>7050.45</v>
      </c>
      <c r="C32" s="9"/>
      <c r="D32" s="9"/>
      <c r="E32" s="9"/>
      <c r="F32" s="9"/>
      <c r="G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Qrtly Pay</vt:lpstr>
      <vt:lpstr>Example Worksheet Qtrly Pay 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Phyllis Eckler</dc:creator>
  <cp:lastModifiedBy>Phyllis Eckler</cp:lastModifiedBy>
  <dcterms:created xsi:type="dcterms:W3CDTF">2012-06-03T21:53:39Z</dcterms:created>
  <dcterms:modified xsi:type="dcterms:W3CDTF">2012-06-03T21:59:38Z</dcterms:modified>
</cp:coreProperties>
</file>