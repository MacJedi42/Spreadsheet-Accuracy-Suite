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tiff" ContentType="image/tiff"/>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ml.chartshapes+xml"/>
  <Override PartName="/xl/charts/chart2.xml" ContentType="application/vnd.openxmlformats-officedocument.drawingml.chart+xml"/>
  <Override PartName="/xl/drawings/drawing5.xml" ContentType="application/vnd.openxmlformats-officedocument.drawingml.chartshapes+xml"/>
  <Override PartName="/xl/comments1.xml" ContentType="application/vnd.openxmlformats-officedocument.spreadsheetml.comments+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codeName="ThisWorkbook" defaultThemeVersion="124226"/>
  <bookViews>
    <workbookView xWindow="-15" yWindow="-15" windowWidth="19230" windowHeight="5985"/>
  </bookViews>
  <sheets>
    <sheet name="Intro" sheetId="32" r:id="rId1"/>
    <sheet name="Input" sheetId="38" r:id="rId2"/>
    <sheet name="Output" sheetId="8" r:id="rId3"/>
    <sheet name="Acronyms" sheetId="33" r:id="rId4"/>
    <sheet name="EF" sheetId="30" r:id="rId5"/>
    <sheet name="LAQ" sheetId="37" r:id="rId6"/>
    <sheet name="xfer" sheetId="35" r:id="rId7"/>
    <sheet name="Calc1" sheetId="6" state="hidden" r:id="rId8"/>
    <sheet name="Calc2" sheetId="5" state="hidden" r:id="rId9"/>
    <sheet name="Acraft" sheetId="28" state="hidden" r:id="rId10"/>
    <sheet name="Stat" sheetId="29" state="hidden" r:id="rId11"/>
  </sheets>
  <definedNames>
    <definedName name="_xlnm._FilterDatabase" localSheetId="8" hidden="1">Calc2!#REF!</definedName>
    <definedName name="access_distances">Stat!$B$54:$B$59</definedName>
    <definedName name="Canada">Calc2!$K$136:$K$148</definedName>
    <definedName name="Country">EF!$A$3:$A$157</definedName>
    <definedName name="distance_train">Stat!$B$61:$B$67</definedName>
    <definedName name="N_A">Calc2!$K$149</definedName>
    <definedName name="_xlnm.Print_Area" localSheetId="3">Acronyms!$A$1:$B$39</definedName>
    <definedName name="_xlnm.Print_Area" localSheetId="7">Calc1!$A$1:$K$461</definedName>
    <definedName name="_xlnm.Print_Area" localSheetId="8">Calc2!$A$1:$Y$946</definedName>
    <definedName name="_xlnm.Print_Area" localSheetId="4">EF!$A$1:$D$158</definedName>
    <definedName name="_xlnm.Print_Area" localSheetId="1">Input!$A$1:$K$309</definedName>
    <definedName name="_xlnm.Print_Area" localSheetId="0">Intro!$A$1:$M$99</definedName>
    <definedName name="_xlnm.Print_Area" localSheetId="5">LAQ!$A$1:$L$69</definedName>
    <definedName name="_xlnm.Print_Area" localSheetId="2">Output!$A$1:$L$171</definedName>
    <definedName name="_xlnm.Print_Titles" localSheetId="7">Calc1!$1:$1</definedName>
    <definedName name="_xlnm.Print_Titles" localSheetId="8">Calc2!$1:$2</definedName>
    <definedName name="_xlnm.Print_Titles" localSheetId="4">EF!$1:$2</definedName>
    <definedName name="_xlnm.Print_Titles" localSheetId="5">LAQ!$1:$1</definedName>
    <definedName name="_xlnm.Print_Titles" localSheetId="2">Output!$1:$1</definedName>
    <definedName name="solver_adj" localSheetId="7" hidden="1">Calc1!$B$9:$B$14,Calc1!$C$5:$C$14,Calc1!$D$4:$D$5,Calc1!$E$4</definedName>
    <definedName name="solver_adj" localSheetId="8" hidden="1">Calc2!#REF!,Calc2!#REF!,Calc2!#REF!,Calc2!#REF!</definedName>
    <definedName name="solver_adj" localSheetId="1" hidden="1">Input!$B$8:$B$12,Input!$C$5:$C$12,Input!$D$4:$D$4,Input!$E$4</definedName>
    <definedName name="solver_cvg" localSheetId="7" hidden="1">0.0001</definedName>
    <definedName name="solver_cvg" localSheetId="8" hidden="1">0.0001</definedName>
    <definedName name="solver_cvg" localSheetId="1" hidden="1">0.0001</definedName>
    <definedName name="solver_drv" localSheetId="7" hidden="1">1</definedName>
    <definedName name="solver_drv" localSheetId="8" hidden="1">1</definedName>
    <definedName name="solver_drv" localSheetId="1" hidden="1">1</definedName>
    <definedName name="solver_eng" localSheetId="8" hidden="1">1</definedName>
    <definedName name="solver_est" localSheetId="7" hidden="1">1</definedName>
    <definedName name="solver_est" localSheetId="8" hidden="1">1</definedName>
    <definedName name="solver_est" localSheetId="1" hidden="1">1</definedName>
    <definedName name="solver_itr" localSheetId="7" hidden="1">100</definedName>
    <definedName name="solver_itr" localSheetId="8" hidden="1">100</definedName>
    <definedName name="solver_itr" localSheetId="1" hidden="1">100</definedName>
    <definedName name="solver_lhs1" localSheetId="7" hidden="1">Calc1!#REF!</definedName>
    <definedName name="solver_lhs1" localSheetId="8" hidden="1">Calc2!#REF!</definedName>
    <definedName name="solver_lhs1" localSheetId="1" hidden="1">Input!#REF!</definedName>
    <definedName name="solver_lhs2" localSheetId="7" hidden="1">Calc1!$G$4:$G$14</definedName>
    <definedName name="solver_lhs2" localSheetId="8" hidden="1">Calc2!#REF!</definedName>
    <definedName name="solver_lhs2" localSheetId="1" hidden="1">Input!$G$4:$G$12</definedName>
    <definedName name="solver_lhs3" localSheetId="8" hidden="1">Calc2!#REF!</definedName>
    <definedName name="solver_lhs4" localSheetId="8" hidden="1">Calc2!#REF!</definedName>
    <definedName name="solver_lhs5" localSheetId="8" hidden="1">Calc2!#REF!</definedName>
    <definedName name="solver_lhs6" localSheetId="8" hidden="1">Calc2!#REF!</definedName>
    <definedName name="solver_lin" localSheetId="7" hidden="1">2</definedName>
    <definedName name="solver_lin" localSheetId="8" hidden="1">2</definedName>
    <definedName name="solver_lin" localSheetId="1" hidden="1">2</definedName>
    <definedName name="solver_neg" localSheetId="7" hidden="1">1</definedName>
    <definedName name="solver_neg" localSheetId="8" hidden="1">1</definedName>
    <definedName name="solver_neg" localSheetId="1" hidden="1">1</definedName>
    <definedName name="solver_num" localSheetId="7" hidden="1">2</definedName>
    <definedName name="solver_num" localSheetId="8" hidden="1">6</definedName>
    <definedName name="solver_num" localSheetId="1" hidden="1">2</definedName>
    <definedName name="solver_nwt" localSheetId="7" hidden="1">1</definedName>
    <definedName name="solver_nwt" localSheetId="8" hidden="1">1</definedName>
    <definedName name="solver_nwt" localSheetId="1" hidden="1">1</definedName>
    <definedName name="solver_opt" localSheetId="7" hidden="1">Calc1!#REF!</definedName>
    <definedName name="solver_opt" localSheetId="8" hidden="1">Calc2!#REF!</definedName>
    <definedName name="solver_opt" localSheetId="1" hidden="1">Input!#REF!</definedName>
    <definedName name="solver_pre" localSheetId="7" hidden="1">0.000001</definedName>
    <definedName name="solver_pre" localSheetId="8" hidden="1">0.000001</definedName>
    <definedName name="solver_pre" localSheetId="1" hidden="1">0.000001</definedName>
    <definedName name="solver_rel1" localSheetId="7" hidden="1">2</definedName>
    <definedName name="solver_rel1" localSheetId="8" hidden="1">3</definedName>
    <definedName name="solver_rel1" localSheetId="1" hidden="1">2</definedName>
    <definedName name="solver_rel2" localSheetId="7" hidden="1">2</definedName>
    <definedName name="solver_rel2" localSheetId="8" hidden="1">3</definedName>
    <definedName name="solver_rel2" localSheetId="1" hidden="1">2</definedName>
    <definedName name="solver_rel3" localSheetId="8" hidden="1">3</definedName>
    <definedName name="solver_rel4" localSheetId="8" hidden="1">3</definedName>
    <definedName name="solver_rel5" localSheetId="8" hidden="1">2</definedName>
    <definedName name="solver_rel6" localSheetId="8" hidden="1">2</definedName>
    <definedName name="solver_rhs1" localSheetId="7" hidden="1">Calc1!#REF!</definedName>
    <definedName name="solver_rhs1" localSheetId="8" hidden="1">0</definedName>
    <definedName name="solver_rhs1" localSheetId="1" hidden="1">Input!#REF!</definedName>
    <definedName name="solver_rhs2" localSheetId="7" hidden="1">Calc1!$I$5:$I$11</definedName>
    <definedName name="solver_rhs2" localSheetId="8" hidden="1">0</definedName>
    <definedName name="solver_rhs2" localSheetId="1" hidden="1">Input!$I$5:$I$10</definedName>
    <definedName name="solver_rhs3" localSheetId="8" hidden="1">0</definedName>
    <definedName name="solver_rhs4" localSheetId="8" hidden="1">0</definedName>
    <definedName name="solver_rhs5" localSheetId="8" hidden="1">Calc2!#REF!</definedName>
    <definedName name="solver_rhs6" localSheetId="8" hidden="1">Calc2!#REF!</definedName>
    <definedName name="solver_scl" localSheetId="7" hidden="1">0</definedName>
    <definedName name="solver_scl" localSheetId="8" hidden="1">2</definedName>
    <definedName name="solver_scl" localSheetId="1" hidden="1">0</definedName>
    <definedName name="solver_sho" localSheetId="7" hidden="1">2</definedName>
    <definedName name="solver_sho" localSheetId="8" hidden="1">2</definedName>
    <definedName name="solver_sho" localSheetId="1" hidden="1">2</definedName>
    <definedName name="solver_tim" localSheetId="7" hidden="1">100</definedName>
    <definedName name="solver_tim" localSheetId="8" hidden="1">100</definedName>
    <definedName name="solver_tim" localSheetId="1" hidden="1">100</definedName>
    <definedName name="solver_tol" localSheetId="7" hidden="1">0.05</definedName>
    <definedName name="solver_tol" localSheetId="8" hidden="1">0.05</definedName>
    <definedName name="solver_tol" localSheetId="1" hidden="1">0.05</definedName>
    <definedName name="solver_typ" localSheetId="7" hidden="1">3</definedName>
    <definedName name="solver_typ" localSheetId="8" hidden="1">3</definedName>
    <definedName name="solver_typ" localSheetId="1" hidden="1">3</definedName>
    <definedName name="solver_val" localSheetId="7" hidden="1">0</definedName>
    <definedName name="solver_val" localSheetId="8" hidden="1">0</definedName>
    <definedName name="solver_val" localSheetId="1" hidden="1">0</definedName>
    <definedName name="solver_ver" localSheetId="8" hidden="1">3</definedName>
  </definedNames>
  <calcPr calcId="145621"/>
</workbook>
</file>

<file path=xl/calcChain.xml><?xml version="1.0" encoding="utf-8"?>
<calcChain xmlns="http://schemas.openxmlformats.org/spreadsheetml/2006/main">
  <c r="L13" i="8" l="1"/>
  <c r="L12" i="8"/>
  <c r="C10" i="6" l="1"/>
  <c r="H81" i="8"/>
  <c r="E51" i="6" l="1"/>
  <c r="C50" i="6"/>
  <c r="I75" i="8"/>
  <c r="F91" i="6" l="1"/>
  <c r="I148" i="38" l="1"/>
  <c r="I102" i="38" l="1"/>
  <c r="H80" i="8" l="1"/>
  <c r="H79" i="8"/>
  <c r="J1" i="38" l="1"/>
  <c r="H95" i="38"/>
  <c r="J34" i="8" s="1"/>
  <c r="I144" i="6" l="1"/>
  <c r="I143" i="6"/>
  <c r="C148" i="6"/>
  <c r="C120" i="6"/>
  <c r="I149" i="6"/>
  <c r="F145" i="6"/>
  <c r="C146" i="6"/>
  <c r="C122" i="6"/>
  <c r="I146" i="6"/>
  <c r="C160" i="6"/>
  <c r="F134" i="6"/>
  <c r="C123" i="6"/>
  <c r="C145" i="6"/>
  <c r="F122" i="6"/>
  <c r="H84" i="8"/>
  <c r="F70" i="38"/>
  <c r="F83" i="38"/>
  <c r="I558" i="6" l="1"/>
  <c r="I557" i="6"/>
  <c r="I555" i="6"/>
  <c r="I554" i="6"/>
  <c r="I553" i="6"/>
  <c r="I552" i="6"/>
  <c r="I551" i="6"/>
  <c r="I549" i="6"/>
  <c r="I548" i="6"/>
  <c r="I547" i="6"/>
  <c r="D558" i="6"/>
  <c r="D557" i="6"/>
  <c r="D555" i="6"/>
  <c r="D554" i="6"/>
  <c r="D553" i="6"/>
  <c r="D552" i="6"/>
  <c r="D551" i="6"/>
  <c r="D548" i="6"/>
  <c r="D549" i="6"/>
  <c r="D547" i="6"/>
  <c r="I540" i="6"/>
  <c r="I541" i="6"/>
  <c r="I542" i="6"/>
  <c r="I543" i="6"/>
  <c r="I544" i="6"/>
  <c r="I539" i="6"/>
  <c r="D540" i="6"/>
  <c r="D541" i="6"/>
  <c r="D542" i="6"/>
  <c r="D543" i="6"/>
  <c r="D544" i="6"/>
  <c r="D539" i="6"/>
  <c r="I518" i="6"/>
  <c r="I519" i="6"/>
  <c r="I520" i="6"/>
  <c r="I521" i="6"/>
  <c r="I522" i="6"/>
  <c r="I517" i="6"/>
  <c r="G522" i="6"/>
  <c r="G521" i="6"/>
  <c r="G520" i="6"/>
  <c r="G519" i="6"/>
  <c r="G518" i="6"/>
  <c r="G517" i="6"/>
  <c r="E517" i="6"/>
  <c r="E518" i="6"/>
  <c r="E519" i="6"/>
  <c r="E520" i="6"/>
  <c r="E521" i="6"/>
  <c r="E522" i="6"/>
  <c r="D518" i="6"/>
  <c r="D519" i="6"/>
  <c r="D520" i="6"/>
  <c r="D521" i="6"/>
  <c r="D522" i="6"/>
  <c r="D517" i="6"/>
  <c r="I472" i="6"/>
  <c r="E472" i="6"/>
  <c r="D472" i="6"/>
  <c r="D468" i="6"/>
  <c r="E371" i="6" l="1"/>
  <c r="F318" i="6" s="1"/>
  <c r="E410" i="6" l="1"/>
  <c r="I169" i="38"/>
  <c r="I103" i="38"/>
  <c r="H92" i="8" l="1"/>
  <c r="F94" i="8"/>
  <c r="F95" i="8"/>
  <c r="H90" i="8"/>
  <c r="H89" i="8"/>
  <c r="E279" i="6"/>
  <c r="B97" i="38"/>
  <c r="B172" i="38"/>
  <c r="B232" i="38"/>
  <c r="H150" i="38"/>
  <c r="G104" i="38"/>
  <c r="C152" i="6"/>
  <c r="C144" i="6"/>
  <c r="C136" i="6"/>
  <c r="C128" i="6"/>
  <c r="F119" i="6"/>
  <c r="F127" i="6"/>
  <c r="F131" i="6"/>
  <c r="F139" i="6"/>
  <c r="F147" i="6"/>
  <c r="F159" i="6"/>
  <c r="C162" i="6"/>
  <c r="C158" i="6"/>
  <c r="C154" i="6"/>
  <c r="C150" i="6"/>
  <c r="C142" i="6"/>
  <c r="C138" i="6"/>
  <c r="C134" i="6"/>
  <c r="C130" i="6"/>
  <c r="C126" i="6"/>
  <c r="F117" i="6"/>
  <c r="F121" i="6"/>
  <c r="F125" i="6"/>
  <c r="F129" i="6"/>
  <c r="F133" i="6"/>
  <c r="F137" i="6"/>
  <c r="F141" i="6"/>
  <c r="F149" i="6"/>
  <c r="F153" i="6"/>
  <c r="F157" i="6"/>
  <c r="F161" i="6"/>
  <c r="I115" i="6"/>
  <c r="I119" i="6"/>
  <c r="I123" i="6"/>
  <c r="I127" i="6"/>
  <c r="I131" i="6"/>
  <c r="I135" i="6"/>
  <c r="I139" i="6"/>
  <c r="I148" i="6"/>
  <c r="C161" i="6"/>
  <c r="C157" i="6"/>
  <c r="C153" i="6"/>
  <c r="C149" i="6"/>
  <c r="C141" i="6"/>
  <c r="C137" i="6"/>
  <c r="C133" i="6"/>
  <c r="C129" i="6"/>
  <c r="C125" i="6"/>
  <c r="F118" i="6"/>
  <c r="F126" i="6"/>
  <c r="F130" i="6"/>
  <c r="F138" i="6"/>
  <c r="F142" i="6"/>
  <c r="F146" i="6"/>
  <c r="F150" i="6"/>
  <c r="F154" i="6"/>
  <c r="F158" i="6"/>
  <c r="F162" i="6"/>
  <c r="I116" i="6"/>
  <c r="I120" i="6"/>
  <c r="I124" i="6"/>
  <c r="I128" i="6"/>
  <c r="I132" i="6"/>
  <c r="I136" i="6"/>
  <c r="I140" i="6"/>
  <c r="I145" i="6"/>
  <c r="C164" i="6"/>
  <c r="C156" i="6"/>
  <c r="C140" i="6"/>
  <c r="C132" i="6"/>
  <c r="F115" i="6"/>
  <c r="F123" i="6"/>
  <c r="F135" i="6"/>
  <c r="F143" i="6"/>
  <c r="F151" i="6"/>
  <c r="F155" i="6"/>
  <c r="F163" i="6"/>
  <c r="I117" i="6"/>
  <c r="I121" i="6"/>
  <c r="I125" i="6"/>
  <c r="I129" i="6"/>
  <c r="I133" i="6"/>
  <c r="I137" i="6"/>
  <c r="I141" i="6"/>
  <c r="I150" i="6"/>
  <c r="C163" i="6"/>
  <c r="C159" i="6"/>
  <c r="C155" i="6"/>
  <c r="C151" i="6"/>
  <c r="C147" i="6"/>
  <c r="C143" i="6"/>
  <c r="C139" i="6"/>
  <c r="C135" i="6"/>
  <c r="C131" i="6"/>
  <c r="C127" i="6"/>
  <c r="F116" i="6"/>
  <c r="F120" i="6"/>
  <c r="F124" i="6"/>
  <c r="F128" i="6"/>
  <c r="F132" i="6"/>
  <c r="F136" i="6"/>
  <c r="F140" i="6"/>
  <c r="F144" i="6"/>
  <c r="F148" i="6"/>
  <c r="F152" i="6"/>
  <c r="F156" i="6"/>
  <c r="F160" i="6"/>
  <c r="F164" i="6"/>
  <c r="I118" i="6"/>
  <c r="I122" i="6"/>
  <c r="I126" i="6"/>
  <c r="I130" i="6"/>
  <c r="I134" i="6"/>
  <c r="I138" i="6"/>
  <c r="I147" i="6"/>
  <c r="I151" i="6"/>
  <c r="C119" i="6"/>
  <c r="C115" i="6"/>
  <c r="C118" i="6"/>
  <c r="C121" i="6"/>
  <c r="C117" i="6"/>
  <c r="C124" i="6"/>
  <c r="C116" i="6"/>
  <c r="B109" i="38"/>
  <c r="H105" i="38"/>
  <c r="G106" i="38" s="1"/>
  <c r="E373" i="6"/>
  <c r="I153" i="6" l="1"/>
  <c r="J35" i="8"/>
  <c r="G285" i="6"/>
  <c r="E412" i="6"/>
  <c r="F320" i="6"/>
  <c r="F451" i="6"/>
  <c r="E451" i="6"/>
  <c r="F441" i="6"/>
  <c r="G441" i="6"/>
  <c r="H441" i="6"/>
  <c r="F442" i="6"/>
  <c r="G442" i="6"/>
  <c r="H442" i="6"/>
  <c r="F443" i="6"/>
  <c r="G443" i="6"/>
  <c r="H443" i="6"/>
  <c r="F444" i="6"/>
  <c r="G444" i="6"/>
  <c r="H444" i="6"/>
  <c r="F445" i="6"/>
  <c r="G445" i="6"/>
  <c r="H445" i="6"/>
  <c r="E442" i="6"/>
  <c r="E443" i="6"/>
  <c r="E444" i="6"/>
  <c r="E445" i="6"/>
  <c r="E441" i="6"/>
  <c r="F423" i="6"/>
  <c r="F424" i="6"/>
  <c r="F425" i="6"/>
  <c r="F426" i="6"/>
  <c r="F427" i="6"/>
  <c r="F428" i="6"/>
  <c r="F429" i="6"/>
  <c r="F430" i="6"/>
  <c r="F431" i="6"/>
  <c r="F432" i="6"/>
  <c r="F433" i="6"/>
  <c r="F434" i="6"/>
  <c r="F435" i="6"/>
  <c r="F436" i="6"/>
  <c r="F437" i="6"/>
  <c r="F422" i="6"/>
  <c r="E400" i="6"/>
  <c r="E399" i="6"/>
  <c r="E392" i="6"/>
  <c r="E380" i="6"/>
  <c r="G371" i="6"/>
  <c r="G372" i="6"/>
  <c r="H319" i="6" s="1"/>
  <c r="G373" i="6"/>
  <c r="H320" i="6" s="1"/>
  <c r="G374" i="6"/>
  <c r="H321" i="6" s="1"/>
  <c r="G375" i="6"/>
  <c r="H322" i="6" s="1"/>
  <c r="E372" i="6"/>
  <c r="E374" i="6"/>
  <c r="E375" i="6"/>
  <c r="E390" i="6"/>
  <c r="E365" i="6"/>
  <c r="E384" i="6" s="1"/>
  <c r="E366" i="6"/>
  <c r="E385" i="6" s="1"/>
  <c r="E367" i="6"/>
  <c r="E386" i="6" s="1"/>
  <c r="E364" i="6"/>
  <c r="E383" i="6" s="1"/>
  <c r="E361" i="6"/>
  <c r="F357" i="6"/>
  <c r="F356" i="6" s="1"/>
  <c r="F353" i="6"/>
  <c r="F352" i="6" s="1"/>
  <c r="H347" i="6"/>
  <c r="G345" i="6"/>
  <c r="H345" i="6"/>
  <c r="I345" i="6"/>
  <c r="G346" i="6"/>
  <c r="H346" i="6"/>
  <c r="I346" i="6"/>
  <c r="F346" i="6"/>
  <c r="F345" i="6"/>
  <c r="H339" i="6"/>
  <c r="H338" i="6"/>
  <c r="H337" i="6"/>
  <c r="H336" i="6"/>
  <c r="F337" i="6"/>
  <c r="F338" i="6"/>
  <c r="F339" i="6"/>
  <c r="F336" i="6"/>
  <c r="G328" i="6"/>
  <c r="H328" i="6"/>
  <c r="I328" i="6"/>
  <c r="G329" i="6"/>
  <c r="H329" i="6"/>
  <c r="I329" i="6"/>
  <c r="E296" i="6"/>
  <c r="F292" i="6"/>
  <c r="G288" i="6"/>
  <c r="C268" i="6"/>
  <c r="C269" i="6"/>
  <c r="C267" i="6"/>
  <c r="C275" i="6"/>
  <c r="C274" i="6"/>
  <c r="C262" i="6"/>
  <c r="C249" i="6"/>
  <c r="C250" i="6"/>
  <c r="C251" i="6"/>
  <c r="C252" i="6"/>
  <c r="C253" i="6"/>
  <c r="C248" i="6"/>
  <c r="G242" i="6"/>
  <c r="G241" i="6"/>
  <c r="G234" i="6"/>
  <c r="G233" i="6"/>
  <c r="G204" i="6"/>
  <c r="G203" i="6"/>
  <c r="G202" i="6"/>
  <c r="G201" i="6"/>
  <c r="E202" i="6"/>
  <c r="E203" i="6"/>
  <c r="E204" i="6"/>
  <c r="D201" i="6"/>
  <c r="E201" i="6"/>
  <c r="C201" i="6"/>
  <c r="C202" i="6"/>
  <c r="C203" i="6"/>
  <c r="C204" i="6"/>
  <c r="B202" i="6"/>
  <c r="B203" i="6"/>
  <c r="B204" i="6"/>
  <c r="B201" i="6"/>
  <c r="C180" i="6"/>
  <c r="C181" i="6"/>
  <c r="C182" i="6"/>
  <c r="C179" i="6"/>
  <c r="C173" i="6"/>
  <c r="C172" i="6"/>
  <c r="C168" i="6"/>
  <c r="I106" i="6"/>
  <c r="I105" i="6"/>
  <c r="F103" i="6"/>
  <c r="G101" i="6"/>
  <c r="F101" i="6"/>
  <c r="F97" i="6"/>
  <c r="F93" i="6"/>
  <c r="C84" i="6"/>
  <c r="C83" i="6"/>
  <c r="C78" i="6"/>
  <c r="C68" i="6"/>
  <c r="C65" i="6"/>
  <c r="C66" i="6"/>
  <c r="C67" i="6"/>
  <c r="C69" i="6"/>
  <c r="C64" i="6"/>
  <c r="G53" i="6"/>
  <c r="G52" i="6"/>
  <c r="G51" i="6"/>
  <c r="G50" i="6"/>
  <c r="E52" i="6"/>
  <c r="E53" i="6"/>
  <c r="D50" i="6"/>
  <c r="E50" i="6"/>
  <c r="C51" i="6"/>
  <c r="C52" i="6"/>
  <c r="C53" i="6"/>
  <c r="B51" i="6"/>
  <c r="B52" i="6"/>
  <c r="B53" i="6"/>
  <c r="B50" i="6"/>
  <c r="G88" i="38"/>
  <c r="G86" i="38"/>
  <c r="G84" i="38"/>
  <c r="C29" i="6"/>
  <c r="C30" i="6"/>
  <c r="C31" i="6"/>
  <c r="C28" i="6"/>
  <c r="G19" i="6"/>
  <c r="E19" i="6"/>
  <c r="E18" i="6"/>
  <c r="E17" i="6"/>
  <c r="C14" i="6"/>
  <c r="C15" i="6"/>
  <c r="C13" i="6"/>
  <c r="C11" i="6"/>
  <c r="F10" i="6"/>
  <c r="F8" i="6"/>
  <c r="E8" i="6"/>
  <c r="D8" i="6"/>
  <c r="C8" i="6"/>
  <c r="J11" i="6"/>
  <c r="J12" i="6"/>
  <c r="J10" i="6"/>
  <c r="J8" i="6"/>
  <c r="J6" i="6"/>
  <c r="F6" i="6"/>
  <c r="C6" i="6"/>
  <c r="H4" i="6"/>
  <c r="C4" i="6"/>
  <c r="E265" i="38"/>
  <c r="D265" i="38"/>
  <c r="G259" i="38"/>
  <c r="G260" i="38" s="1"/>
  <c r="F259" i="38"/>
  <c r="F260" i="38" s="1"/>
  <c r="E259" i="38"/>
  <c r="E260" i="38" s="1"/>
  <c r="D259" i="38"/>
  <c r="D260" i="38" s="1"/>
  <c r="K250" i="38"/>
  <c r="K249" i="38"/>
  <c r="F206" i="38"/>
  <c r="F207" i="38" s="1"/>
  <c r="E206" i="38"/>
  <c r="E207" i="38" s="1"/>
  <c r="E194" i="38"/>
  <c r="F194" i="38" s="1"/>
  <c r="G222" i="38"/>
  <c r="G223" i="38" s="1"/>
  <c r="E222" i="38"/>
  <c r="E223" i="38" s="1"/>
  <c r="G65" i="38"/>
  <c r="E65" i="38"/>
  <c r="D65" i="38"/>
  <c r="C65" i="38"/>
  <c r="D64" i="38"/>
  <c r="D63" i="38"/>
  <c r="D62" i="38"/>
  <c r="I149" i="38"/>
  <c r="C77" i="38"/>
  <c r="F77" i="38" s="1"/>
  <c r="G56" i="38"/>
  <c r="E56" i="38"/>
  <c r="D56" i="38"/>
  <c r="C56" i="38"/>
  <c r="D55" i="38"/>
  <c r="D54" i="38"/>
  <c r="D53" i="38"/>
  <c r="K1" i="38"/>
  <c r="E739" i="5" l="1"/>
  <c r="H75" i="8"/>
  <c r="H76" i="8"/>
  <c r="H77" i="8"/>
  <c r="G393" i="6"/>
  <c r="G413" i="6"/>
  <c r="E393" i="6"/>
  <c r="F321" i="6"/>
  <c r="E413" i="6"/>
  <c r="G392" i="6"/>
  <c r="G412" i="6"/>
  <c r="E391" i="6"/>
  <c r="F319" i="6"/>
  <c r="E411" i="6"/>
  <c r="G391" i="6"/>
  <c r="G411" i="6"/>
  <c r="E394" i="6"/>
  <c r="F322" i="6"/>
  <c r="E414" i="6"/>
  <c r="G394" i="6"/>
  <c r="G414" i="6"/>
  <c r="G390" i="6"/>
  <c r="H318" i="6"/>
  <c r="G410" i="6"/>
  <c r="J345" i="6"/>
  <c r="J346" i="6"/>
  <c r="G376" i="6"/>
  <c r="G377" i="6" s="1"/>
  <c r="I151" i="38"/>
  <c r="H152" i="38" s="1"/>
  <c r="L2" i="8"/>
  <c r="F8" i="35" l="1"/>
  <c r="C8" i="35"/>
  <c r="G1" i="37" l="1"/>
  <c r="H1" i="37"/>
  <c r="H1" i="8" l="1"/>
  <c r="G1" i="8"/>
  <c r="J35" i="37"/>
  <c r="J4" i="37"/>
  <c r="C4" i="37"/>
  <c r="J3" i="37"/>
  <c r="C3" i="37"/>
  <c r="G2" i="37"/>
  <c r="C2" i="37"/>
  <c r="W4" i="35" l="1"/>
  <c r="Y4" i="35"/>
  <c r="Z4" i="35"/>
  <c r="AF4" i="35"/>
  <c r="AH4" i="35"/>
  <c r="AI4" i="35"/>
  <c r="AJ4" i="35"/>
  <c r="AK4" i="35"/>
  <c r="AL4" i="35"/>
  <c r="AM4" i="35"/>
  <c r="AN4" i="35"/>
  <c r="AO4" i="35"/>
  <c r="T4" i="35"/>
  <c r="S4" i="35"/>
  <c r="R4" i="35"/>
  <c r="V4" i="35"/>
  <c r="Q4" i="35"/>
  <c r="P4" i="35"/>
  <c r="O4" i="35"/>
  <c r="N4" i="35"/>
  <c r="M4" i="35"/>
  <c r="L4" i="35"/>
  <c r="K4" i="35"/>
  <c r="F9" i="35" s="1"/>
  <c r="J4" i="35"/>
  <c r="I4" i="35"/>
  <c r="H4" i="35"/>
  <c r="G4" i="35"/>
  <c r="F4" i="35"/>
  <c r="E4" i="35"/>
  <c r="D4" i="35"/>
  <c r="C4" i="35"/>
  <c r="B4" i="35"/>
  <c r="B9" i="35" s="1"/>
  <c r="A4" i="35"/>
  <c r="A9" i="35" s="1"/>
  <c r="X4" i="35" l="1"/>
  <c r="BB4" i="35" l="1"/>
  <c r="BF4" i="35"/>
  <c r="BJ4" i="35"/>
  <c r="BN4" i="35"/>
  <c r="BR4" i="35"/>
  <c r="AX4" i="35"/>
  <c r="CT4" i="35"/>
  <c r="CS4" i="35"/>
  <c r="CR4" i="35"/>
  <c r="CQ4" i="35"/>
  <c r="CP4" i="35"/>
  <c r="CO4" i="35"/>
  <c r="CN4" i="35"/>
  <c r="CM4" i="35"/>
  <c r="CL4" i="35"/>
  <c r="CK4" i="35"/>
  <c r="CJ4" i="35"/>
  <c r="CI4" i="35"/>
  <c r="CH4" i="35"/>
  <c r="CG4" i="35"/>
  <c r="CF4" i="35"/>
  <c r="CE4" i="35"/>
  <c r="CD4" i="35"/>
  <c r="CC4" i="35"/>
  <c r="CB4" i="35"/>
  <c r="CA4" i="35"/>
  <c r="BZ4" i="35"/>
  <c r="BY4" i="35"/>
  <c r="BX4" i="35"/>
  <c r="BW4" i="35"/>
  <c r="BV4" i="35"/>
  <c r="BU4" i="35"/>
  <c r="BT4" i="35"/>
  <c r="BS4" i="35"/>
  <c r="BP4" i="35"/>
  <c r="BO4" i="35"/>
  <c r="BL4" i="35"/>
  <c r="BK4" i="35"/>
  <c r="BH4" i="35"/>
  <c r="BG4" i="35"/>
  <c r="BD4" i="35"/>
  <c r="BC4" i="35"/>
  <c r="AZ4" i="35"/>
  <c r="AY4" i="35"/>
  <c r="AV4" i="35"/>
  <c r="AU4" i="35"/>
  <c r="AT4" i="35"/>
  <c r="AS4" i="35"/>
  <c r="AR4" i="35"/>
  <c r="AQ4" i="35"/>
  <c r="AG4" i="35"/>
  <c r="AE4" i="35"/>
  <c r="AD4" i="35"/>
  <c r="AC4" i="35"/>
  <c r="AB4" i="35"/>
  <c r="I889" i="5" l="1"/>
  <c r="I888" i="5"/>
  <c r="K888" i="5" s="1"/>
  <c r="J889" i="5"/>
  <c r="J888" i="5"/>
  <c r="J723" i="5"/>
  <c r="J724" i="5"/>
  <c r="I49" i="29"/>
  <c r="I48" i="29"/>
  <c r="J719" i="5"/>
  <c r="J718" i="5"/>
  <c r="F98" i="8"/>
  <c r="K889" i="5" l="1"/>
  <c r="I400" i="6"/>
  <c r="AP4" i="35" s="1"/>
  <c r="H73" i="8"/>
  <c r="H72" i="8"/>
  <c r="C95" i="6" l="1"/>
  <c r="F138" i="5"/>
  <c r="G138" i="5" s="1"/>
  <c r="C503" i="5"/>
  <c r="E503" i="5"/>
  <c r="H93" i="6"/>
  <c r="F95" i="6" l="1"/>
  <c r="C190" i="8"/>
  <c r="C191" i="8"/>
  <c r="C192" i="8"/>
  <c r="C193" i="8"/>
  <c r="C194" i="8"/>
  <c r="C195" i="8"/>
  <c r="C196" i="8"/>
  <c r="C197" i="8"/>
  <c r="C198" i="8"/>
  <c r="C199" i="8"/>
  <c r="C200" i="8"/>
  <c r="C189" i="8"/>
  <c r="U4" i="35" l="1"/>
  <c r="C283" i="6"/>
  <c r="F323" i="6"/>
  <c r="D203" i="6"/>
  <c r="D204" i="6"/>
  <c r="D205" i="6"/>
  <c r="D206" i="6"/>
  <c r="D207" i="6"/>
  <c r="D208" i="6"/>
  <c r="D209" i="6"/>
  <c r="D202" i="6"/>
  <c r="D59" i="6"/>
  <c r="D52" i="6"/>
  <c r="D53" i="6"/>
  <c r="D54" i="6"/>
  <c r="D55" i="6"/>
  <c r="D56" i="6"/>
  <c r="D57" i="6"/>
  <c r="D58" i="6"/>
  <c r="D51" i="6"/>
  <c r="G463" i="6"/>
  <c r="G471" i="6"/>
  <c r="G472" i="6"/>
  <c r="G473" i="6"/>
  <c r="G474" i="6"/>
  <c r="G475" i="6"/>
  <c r="G476" i="6"/>
  <c r="G477" i="6"/>
  <c r="G479" i="6"/>
  <c r="G480" i="6"/>
  <c r="G481" i="6"/>
  <c r="D499" i="6"/>
  <c r="D500" i="6" s="1"/>
  <c r="E499" i="6"/>
  <c r="E500" i="6" s="1"/>
  <c r="D536" i="6"/>
  <c r="E536" i="6" s="1"/>
  <c r="I154" i="6"/>
  <c r="L4" i="8"/>
  <c r="E9" i="35" s="1"/>
  <c r="K36" i="8" l="1"/>
  <c r="K437" i="6"/>
  <c r="K436" i="6"/>
  <c r="F340" i="6"/>
  <c r="F341" i="6" s="1"/>
  <c r="H340" i="6"/>
  <c r="H341" i="6" s="1"/>
  <c r="L3" i="8" l="1"/>
  <c r="D9" i="35" s="1"/>
  <c r="C4" i="8"/>
  <c r="E718" i="5"/>
  <c r="F718" i="5" s="1"/>
  <c r="E687" i="5"/>
  <c r="F687" i="5" s="1"/>
  <c r="E686" i="5"/>
  <c r="F686" i="5" s="1"/>
  <c r="H323" i="6" l="1"/>
  <c r="H324" i="6" s="1"/>
  <c r="F324" i="6"/>
  <c r="E407" i="6"/>
  <c r="F407" i="6" s="1"/>
  <c r="E387" i="6"/>
  <c r="F387" i="6" s="1"/>
  <c r="G415" i="6"/>
  <c r="G416" i="6" s="1"/>
  <c r="E415" i="6"/>
  <c r="E416" i="6" s="1"/>
  <c r="G395" i="6"/>
  <c r="G396" i="6" s="1"/>
  <c r="E395" i="6"/>
  <c r="E396" i="6" s="1"/>
  <c r="E376" i="6"/>
  <c r="E377" i="6" s="1"/>
  <c r="E368" i="6"/>
  <c r="F368" i="6" s="1"/>
  <c r="G237" i="6"/>
  <c r="G232" i="6"/>
  <c r="G235" i="6" s="1"/>
  <c r="E719" i="5" l="1"/>
  <c r="F719" i="5" s="1"/>
  <c r="C467" i="5"/>
  <c r="C469" i="5"/>
  <c r="C471" i="5"/>
  <c r="C473" i="5"/>
  <c r="C475" i="5"/>
  <c r="C465" i="5"/>
  <c r="C367" i="5"/>
  <c r="C366" i="5"/>
  <c r="B524" i="5"/>
  <c r="B522" i="5"/>
  <c r="C96" i="5"/>
  <c r="C94" i="5"/>
  <c r="C92" i="5"/>
  <c r="C90" i="5"/>
  <c r="C88" i="5"/>
  <c r="C86" i="5"/>
  <c r="C23" i="5"/>
  <c r="C24" i="5"/>
  <c r="E446" i="6" l="1"/>
  <c r="E447" i="6" s="1"/>
  <c r="F446" i="6"/>
  <c r="F447" i="6" s="1"/>
  <c r="G446" i="6"/>
  <c r="G447" i="6" s="1"/>
  <c r="H446" i="6"/>
  <c r="H447" i="6" s="1"/>
  <c r="B127" i="5"/>
  <c r="H128" i="5" s="1"/>
  <c r="B125" i="5"/>
  <c r="H126" i="5" s="1"/>
  <c r="K129" i="5"/>
  <c r="J129" i="5"/>
  <c r="G129" i="5"/>
  <c r="D127" i="5"/>
  <c r="D125" i="5"/>
  <c r="B281" i="6"/>
  <c r="C418" i="6"/>
  <c r="D128" i="5" l="1"/>
  <c r="H129" i="5"/>
  <c r="G11" i="37" s="1"/>
  <c r="F126" i="5"/>
  <c r="D126" i="5"/>
  <c r="E126" i="5"/>
  <c r="F695" i="5"/>
  <c r="F696" i="5"/>
  <c r="F694" i="5"/>
  <c r="F692" i="5"/>
  <c r="F693" i="5"/>
  <c r="F691" i="5"/>
  <c r="G240" i="6"/>
  <c r="G243" i="6" s="1"/>
  <c r="F662" i="5"/>
  <c r="F661" i="5"/>
  <c r="F660" i="5"/>
  <c r="F659" i="5"/>
  <c r="F658" i="5"/>
  <c r="F657" i="5"/>
  <c r="F656" i="5"/>
  <c r="F610" i="5"/>
  <c r="F611" i="5"/>
  <c r="F612" i="5"/>
  <c r="F613" i="5"/>
  <c r="F614" i="5"/>
  <c r="F615" i="5"/>
  <c r="F609" i="5"/>
  <c r="F584" i="5"/>
  <c r="F583" i="5"/>
  <c r="F582" i="5"/>
  <c r="F581" i="5"/>
  <c r="F580" i="5"/>
  <c r="F579" i="5"/>
  <c r="F578" i="5"/>
  <c r="F549" i="5"/>
  <c r="F550" i="5"/>
  <c r="F551" i="5"/>
  <c r="F552" i="5"/>
  <c r="F553" i="5"/>
  <c r="F554" i="5"/>
  <c r="F548" i="5"/>
  <c r="G315" i="6"/>
  <c r="F315" i="6"/>
  <c r="E190" i="6"/>
  <c r="E189" i="6"/>
  <c r="D190" i="6"/>
  <c r="D189" i="6"/>
  <c r="E39" i="6"/>
  <c r="E38" i="6"/>
  <c r="D39" i="6" l="1"/>
  <c r="D38" i="6"/>
  <c r="H3" i="8" l="1"/>
  <c r="M9" i="35" s="1"/>
  <c r="G236" i="6"/>
  <c r="H2" i="8"/>
  <c r="J1" i="6" l="1"/>
  <c r="E452" i="6" l="1"/>
  <c r="C504" i="5" l="1"/>
  <c r="C511" i="5" s="1"/>
  <c r="C502" i="5"/>
  <c r="I510" i="5" l="1"/>
  <c r="G510" i="5"/>
  <c r="C510" i="5"/>
  <c r="J510" i="5"/>
  <c r="H510" i="5"/>
  <c r="F510" i="5"/>
  <c r="J457" i="5"/>
  <c r="I457" i="5"/>
  <c r="H457" i="5"/>
  <c r="G457" i="5"/>
  <c r="F457" i="5"/>
  <c r="J106" i="6"/>
  <c r="J170" i="5"/>
  <c r="I170" i="5"/>
  <c r="H170" i="5"/>
  <c r="G170" i="5"/>
  <c r="F170" i="5"/>
  <c r="H243" i="6" l="1"/>
  <c r="H240" i="6"/>
  <c r="H241" i="6" s="1"/>
  <c r="H242" i="6" s="1"/>
  <c r="F293" i="6"/>
  <c r="K296" i="6" l="1"/>
  <c r="E835" i="5"/>
  <c r="E805" i="5"/>
  <c r="G805" i="5" s="1"/>
  <c r="H805" i="5" s="1"/>
  <c r="G821" i="5" s="1"/>
  <c r="E775" i="5"/>
  <c r="G775" i="5" s="1"/>
  <c r="E745" i="5"/>
  <c r="G745" i="5" s="1"/>
  <c r="H745" i="5" s="1"/>
  <c r="G761" i="5" s="1"/>
  <c r="D409" i="5"/>
  <c r="D408" i="5"/>
  <c r="D422" i="5"/>
  <c r="D421" i="5"/>
  <c r="C422" i="5"/>
  <c r="C421" i="5"/>
  <c r="C409" i="5"/>
  <c r="C408" i="5"/>
  <c r="B111" i="5"/>
  <c r="H775" i="5" l="1"/>
  <c r="G791" i="5" s="1"/>
  <c r="I791" i="5"/>
  <c r="M791" i="5"/>
  <c r="J791" i="5"/>
  <c r="N791" i="5"/>
  <c r="F821" i="5"/>
  <c r="K821" i="5"/>
  <c r="F791" i="5"/>
  <c r="K791" i="5"/>
  <c r="H821" i="5"/>
  <c r="L821" i="5"/>
  <c r="H791" i="5"/>
  <c r="L791" i="5"/>
  <c r="I821" i="5"/>
  <c r="M821" i="5"/>
  <c r="G835" i="5"/>
  <c r="J821" i="5"/>
  <c r="N821" i="5"/>
  <c r="F761" i="5"/>
  <c r="K761" i="5"/>
  <c r="H761" i="5"/>
  <c r="L761" i="5"/>
  <c r="I761" i="5"/>
  <c r="M761" i="5"/>
  <c r="J761" i="5"/>
  <c r="N761" i="5"/>
  <c r="E408" i="5"/>
  <c r="E422" i="5"/>
  <c r="E409" i="5"/>
  <c r="E421" i="5"/>
  <c r="C38" i="5"/>
  <c r="C37" i="5"/>
  <c r="C33" i="5"/>
  <c r="C32" i="5"/>
  <c r="L38" i="5"/>
  <c r="K38" i="5"/>
  <c r="J38" i="5"/>
  <c r="I38" i="5"/>
  <c r="H38" i="5"/>
  <c r="L37" i="5"/>
  <c r="K37" i="5"/>
  <c r="J37" i="5"/>
  <c r="I37" i="5"/>
  <c r="H37" i="5"/>
  <c r="L33" i="5"/>
  <c r="K33" i="5"/>
  <c r="J33" i="5"/>
  <c r="I33" i="5"/>
  <c r="H33" i="5"/>
  <c r="L32" i="5"/>
  <c r="K32" i="5"/>
  <c r="J32" i="5"/>
  <c r="I32" i="5"/>
  <c r="H32" i="5"/>
  <c r="L381" i="5"/>
  <c r="K381" i="5"/>
  <c r="J381" i="5"/>
  <c r="I381" i="5"/>
  <c r="H381" i="5"/>
  <c r="L376" i="5"/>
  <c r="K376" i="5"/>
  <c r="J376" i="5"/>
  <c r="I376" i="5"/>
  <c r="H376" i="5"/>
  <c r="L380" i="5"/>
  <c r="K380" i="5"/>
  <c r="J380" i="5"/>
  <c r="I380" i="5"/>
  <c r="H380" i="5"/>
  <c r="L375" i="5"/>
  <c r="K375" i="5"/>
  <c r="J375" i="5"/>
  <c r="I375" i="5"/>
  <c r="H375" i="5"/>
  <c r="C381" i="5"/>
  <c r="C380" i="5"/>
  <c r="C376" i="5"/>
  <c r="C375" i="5"/>
  <c r="E803" i="5"/>
  <c r="G803" i="5" s="1"/>
  <c r="H803" i="5" s="1"/>
  <c r="H817" i="5" s="1"/>
  <c r="E804" i="5"/>
  <c r="G804" i="5" s="1"/>
  <c r="H804" i="5" s="1"/>
  <c r="G819" i="5" s="1"/>
  <c r="E802" i="5"/>
  <c r="G802" i="5" s="1"/>
  <c r="H802" i="5" s="1"/>
  <c r="F815" i="5" s="1"/>
  <c r="E800" i="5"/>
  <c r="G800" i="5" s="1"/>
  <c r="H800" i="5" s="1"/>
  <c r="G811" i="5" s="1"/>
  <c r="E801" i="5"/>
  <c r="L813" i="5" s="1"/>
  <c r="E799" i="5"/>
  <c r="G799" i="5" s="1"/>
  <c r="H799" i="5" s="1"/>
  <c r="H809" i="5" s="1"/>
  <c r="E773" i="5"/>
  <c r="G773" i="5" s="1"/>
  <c r="H773" i="5" s="1"/>
  <c r="G787" i="5" s="1"/>
  <c r="E774" i="5"/>
  <c r="G774" i="5" s="1"/>
  <c r="H774" i="5" s="1"/>
  <c r="G789" i="5" s="1"/>
  <c r="E772" i="5"/>
  <c r="G772" i="5" s="1"/>
  <c r="H772" i="5" s="1"/>
  <c r="H785" i="5" s="1"/>
  <c r="E770" i="5"/>
  <c r="G770" i="5" s="1"/>
  <c r="H770" i="5" s="1"/>
  <c r="G781" i="5" s="1"/>
  <c r="E771" i="5"/>
  <c r="G771" i="5" s="1"/>
  <c r="H771" i="5" s="1"/>
  <c r="F783" i="5" s="1"/>
  <c r="E769" i="5"/>
  <c r="G769" i="5" s="1"/>
  <c r="H769" i="5" s="1"/>
  <c r="G779" i="5" s="1"/>
  <c r="E743" i="5"/>
  <c r="G743" i="5" s="1"/>
  <c r="H743" i="5" s="1"/>
  <c r="E744" i="5"/>
  <c r="G744" i="5" s="1"/>
  <c r="H744" i="5" s="1"/>
  <c r="G759" i="5" s="1"/>
  <c r="E742" i="5"/>
  <c r="G742" i="5" s="1"/>
  <c r="H742" i="5" s="1"/>
  <c r="E740" i="5"/>
  <c r="G740" i="5" s="1"/>
  <c r="E741" i="5"/>
  <c r="G741" i="5" s="1"/>
  <c r="H741" i="5" s="1"/>
  <c r="F753" i="5" s="1"/>
  <c r="G739" i="5"/>
  <c r="H739" i="5" s="1"/>
  <c r="F749" i="5" s="1"/>
  <c r="F34" i="5" l="1"/>
  <c r="J34" i="5"/>
  <c r="G34" i="5"/>
  <c r="K34" i="5"/>
  <c r="E34" i="5"/>
  <c r="H34" i="5"/>
  <c r="L34" i="5"/>
  <c r="I34" i="5"/>
  <c r="F382" i="5"/>
  <c r="J382" i="5"/>
  <c r="G382" i="5"/>
  <c r="K382" i="5"/>
  <c r="H382" i="5"/>
  <c r="L382" i="5"/>
  <c r="I382" i="5"/>
  <c r="E382" i="5"/>
  <c r="F377" i="5"/>
  <c r="J377" i="5"/>
  <c r="G377" i="5"/>
  <c r="K377" i="5"/>
  <c r="H377" i="5"/>
  <c r="L377" i="5"/>
  <c r="I377" i="5"/>
  <c r="E377" i="5"/>
  <c r="F39" i="5"/>
  <c r="J39" i="5"/>
  <c r="G39" i="5"/>
  <c r="K39" i="5"/>
  <c r="H39" i="5"/>
  <c r="L39" i="5"/>
  <c r="I39" i="5"/>
  <c r="E39" i="5"/>
  <c r="H835" i="5"/>
  <c r="G851" i="5" s="1"/>
  <c r="L851" i="5"/>
  <c r="H851" i="5"/>
  <c r="K851" i="5"/>
  <c r="F851" i="5"/>
  <c r="N851" i="5"/>
  <c r="J851" i="5"/>
  <c r="M851" i="5"/>
  <c r="I851" i="5"/>
  <c r="E410" i="5"/>
  <c r="E423" i="5"/>
  <c r="G801" i="5"/>
  <c r="H801" i="5" s="1"/>
  <c r="G813" i="5" s="1"/>
  <c r="F781" i="5"/>
  <c r="H783" i="5"/>
  <c r="G785" i="5"/>
  <c r="F789" i="5"/>
  <c r="N779" i="5"/>
  <c r="J779" i="5"/>
  <c r="L781" i="5"/>
  <c r="N783" i="5"/>
  <c r="J783" i="5"/>
  <c r="L785" i="5"/>
  <c r="N787" i="5"/>
  <c r="J787" i="5"/>
  <c r="L789" i="5"/>
  <c r="N755" i="5"/>
  <c r="J755" i="5"/>
  <c r="L757" i="5"/>
  <c r="G809" i="5"/>
  <c r="H815" i="5"/>
  <c r="G817" i="5"/>
  <c r="I809" i="5"/>
  <c r="K809" i="5"/>
  <c r="M811" i="5"/>
  <c r="I813" i="5"/>
  <c r="K813" i="5"/>
  <c r="M815" i="5"/>
  <c r="I817" i="5"/>
  <c r="K817" i="5"/>
  <c r="M819" i="5"/>
  <c r="F779" i="5"/>
  <c r="H781" i="5"/>
  <c r="G783" i="5"/>
  <c r="F787" i="5"/>
  <c r="H789" i="5"/>
  <c r="M779" i="5"/>
  <c r="I781" i="5"/>
  <c r="K781" i="5"/>
  <c r="M783" i="5"/>
  <c r="I785" i="5"/>
  <c r="K785" i="5"/>
  <c r="M787" i="5"/>
  <c r="I789" i="5"/>
  <c r="K789" i="5"/>
  <c r="M755" i="5"/>
  <c r="I757" i="5"/>
  <c r="K757" i="5"/>
  <c r="F811" i="5"/>
  <c r="G815" i="5"/>
  <c r="F819" i="5"/>
  <c r="N809" i="5"/>
  <c r="J809" i="5"/>
  <c r="L811" i="5"/>
  <c r="N813" i="5"/>
  <c r="J813" i="5"/>
  <c r="L815" i="5"/>
  <c r="N817" i="5"/>
  <c r="J817" i="5"/>
  <c r="L819" i="5"/>
  <c r="H779" i="5"/>
  <c r="F785" i="5"/>
  <c r="H787" i="5"/>
  <c r="L779" i="5"/>
  <c r="N781" i="5"/>
  <c r="J781" i="5"/>
  <c r="L783" i="5"/>
  <c r="N785" i="5"/>
  <c r="J785" i="5"/>
  <c r="L787" i="5"/>
  <c r="N789" i="5"/>
  <c r="J789" i="5"/>
  <c r="L755" i="5"/>
  <c r="N757" i="5"/>
  <c r="J757" i="5"/>
  <c r="F809" i="5"/>
  <c r="H811" i="5"/>
  <c r="F817" i="5"/>
  <c r="H819" i="5"/>
  <c r="M809" i="5"/>
  <c r="I811" i="5"/>
  <c r="K811" i="5"/>
  <c r="M813" i="5"/>
  <c r="I815" i="5"/>
  <c r="K815" i="5"/>
  <c r="M817" i="5"/>
  <c r="I819" i="5"/>
  <c r="K819" i="5"/>
  <c r="I779" i="5"/>
  <c r="K779" i="5"/>
  <c r="M781" i="5"/>
  <c r="I783" i="5"/>
  <c r="K783" i="5"/>
  <c r="M785" i="5"/>
  <c r="I787" i="5"/>
  <c r="K787" i="5"/>
  <c r="M789" i="5"/>
  <c r="I755" i="5"/>
  <c r="K755" i="5"/>
  <c r="M757" i="5"/>
  <c r="L809" i="5"/>
  <c r="N811" i="5"/>
  <c r="J811" i="5"/>
  <c r="N815" i="5"/>
  <c r="J815" i="5"/>
  <c r="L817" i="5"/>
  <c r="N819" i="5"/>
  <c r="J819" i="5"/>
  <c r="G755" i="5"/>
  <c r="N749" i="5"/>
  <c r="N759" i="5"/>
  <c r="F759" i="5"/>
  <c r="M749" i="5"/>
  <c r="L759" i="5"/>
  <c r="H749" i="5"/>
  <c r="H759" i="5"/>
  <c r="L749" i="5"/>
  <c r="K759" i="5"/>
  <c r="G749" i="5"/>
  <c r="J749" i="5"/>
  <c r="I759" i="5"/>
  <c r="J759" i="5"/>
  <c r="H740" i="5"/>
  <c r="M751" i="5"/>
  <c r="J751" i="5"/>
  <c r="N751" i="5"/>
  <c r="K751" i="5"/>
  <c r="I751" i="5"/>
  <c r="L751" i="5"/>
  <c r="H753" i="5"/>
  <c r="N753" i="5"/>
  <c r="J753" i="5"/>
  <c r="G753" i="5"/>
  <c r="F757" i="5"/>
  <c r="M753" i="5"/>
  <c r="F755" i="5"/>
  <c r="H757" i="5"/>
  <c r="L753" i="5"/>
  <c r="H755" i="5"/>
  <c r="G757" i="5"/>
  <c r="I749" i="5"/>
  <c r="K749" i="5"/>
  <c r="I753" i="5"/>
  <c r="K753" i="5"/>
  <c r="M759" i="5"/>
  <c r="G792" i="5" l="1"/>
  <c r="D919" i="5" s="1"/>
  <c r="L822" i="5"/>
  <c r="I920" i="5" s="1"/>
  <c r="M822" i="5"/>
  <c r="J920" i="5" s="1"/>
  <c r="L792" i="5"/>
  <c r="I919" i="5" s="1"/>
  <c r="I792" i="5"/>
  <c r="F919" i="5" s="1"/>
  <c r="H792" i="5"/>
  <c r="E919" i="5" s="1"/>
  <c r="K792" i="5"/>
  <c r="H919" i="5" s="1"/>
  <c r="J822" i="5"/>
  <c r="G920" i="5" s="1"/>
  <c r="M792" i="5"/>
  <c r="J919" i="5" s="1"/>
  <c r="J792" i="5"/>
  <c r="G919" i="5" s="1"/>
  <c r="N822" i="5"/>
  <c r="F792" i="5"/>
  <c r="C919" i="5" s="1"/>
  <c r="K822" i="5"/>
  <c r="H920" i="5" s="1"/>
  <c r="G822" i="5"/>
  <c r="D920" i="5" s="1"/>
  <c r="N792" i="5"/>
  <c r="I822" i="5"/>
  <c r="F920" i="5" s="1"/>
  <c r="K762" i="5"/>
  <c r="N762" i="5"/>
  <c r="I762" i="5"/>
  <c r="L762" i="5"/>
  <c r="M762" i="5"/>
  <c r="J762" i="5"/>
  <c r="H813" i="5"/>
  <c r="F813" i="5"/>
  <c r="G751" i="5"/>
  <c r="G762" i="5" s="1"/>
  <c r="H751" i="5"/>
  <c r="H762" i="5" s="1"/>
  <c r="F751" i="5"/>
  <c r="F822" i="5" l="1"/>
  <c r="C920" i="5" s="1"/>
  <c r="C921" i="5" s="1"/>
  <c r="H822" i="5"/>
  <c r="E920" i="5" s="1"/>
  <c r="E921" i="5" s="1"/>
  <c r="F762" i="5"/>
  <c r="C907" i="5" s="1"/>
  <c r="I921" i="5"/>
  <c r="G921" i="5"/>
  <c r="D921" i="5"/>
  <c r="F921" i="5"/>
  <c r="J921" i="5"/>
  <c r="H921" i="5"/>
  <c r="D524" i="5"/>
  <c r="D525" i="5" s="1"/>
  <c r="D522" i="5"/>
  <c r="I88" i="5"/>
  <c r="J88" i="5"/>
  <c r="K88" i="5"/>
  <c r="L88" i="5"/>
  <c r="H88" i="5"/>
  <c r="J876" i="5"/>
  <c r="K876" i="5"/>
  <c r="L876" i="5"/>
  <c r="M876" i="5"/>
  <c r="N876" i="5"/>
  <c r="I876" i="5"/>
  <c r="L11" i="5"/>
  <c r="L354" i="5" s="1"/>
  <c r="K21" i="29"/>
  <c r="K11" i="5" s="1"/>
  <c r="K354" i="5" s="1"/>
  <c r="J21" i="29"/>
  <c r="J11" i="5" s="1"/>
  <c r="J354" i="5" s="1"/>
  <c r="I21" i="29"/>
  <c r="I11" i="5" s="1"/>
  <c r="I354" i="5" s="1"/>
  <c r="H21" i="29"/>
  <c r="H11" i="5" s="1"/>
  <c r="H354" i="5" s="1"/>
  <c r="E504" i="5" l="1"/>
  <c r="E502" i="5"/>
  <c r="D510" i="5" l="1"/>
  <c r="E510" i="5"/>
  <c r="C449" i="5"/>
  <c r="C452" i="5" s="1"/>
  <c r="C440" i="5"/>
  <c r="J105" i="6"/>
  <c r="C455" i="5" l="1"/>
  <c r="I458" i="5" s="1"/>
  <c r="C443" i="5"/>
  <c r="I452" i="5"/>
  <c r="F452" i="5"/>
  <c r="H452" i="5"/>
  <c r="D452" i="5"/>
  <c r="E452" i="5"/>
  <c r="G452" i="5"/>
  <c r="J452" i="5"/>
  <c r="C162" i="5"/>
  <c r="J165" i="5" s="1"/>
  <c r="C153" i="5"/>
  <c r="C434" i="5"/>
  <c r="C872" i="5"/>
  <c r="C866" i="5"/>
  <c r="J862" i="5"/>
  <c r="J859" i="5"/>
  <c r="G366" i="5"/>
  <c r="F366" i="5"/>
  <c r="G458" i="5" l="1"/>
  <c r="F458" i="5"/>
  <c r="D458" i="5"/>
  <c r="C458" i="5"/>
  <c r="E458" i="5"/>
  <c r="H458" i="5"/>
  <c r="J458" i="5"/>
  <c r="C168" i="5"/>
  <c r="G171" i="5" s="1"/>
  <c r="C156" i="5"/>
  <c r="C446" i="5"/>
  <c r="G446" i="5"/>
  <c r="I446" i="5"/>
  <c r="I460" i="5" s="1"/>
  <c r="I22" i="37" s="1"/>
  <c r="H446" i="5"/>
  <c r="J446" i="5"/>
  <c r="F446" i="5"/>
  <c r="E446" i="5"/>
  <c r="D446" i="5"/>
  <c r="C165" i="5"/>
  <c r="G165" i="5"/>
  <c r="F165" i="5"/>
  <c r="E165" i="5"/>
  <c r="I165" i="5"/>
  <c r="D165" i="5"/>
  <c r="H165" i="5"/>
  <c r="E511" i="5"/>
  <c r="D511" i="5"/>
  <c r="H895" i="5"/>
  <c r="G895" i="5"/>
  <c r="H893" i="5"/>
  <c r="G893" i="5"/>
  <c r="C893" i="5"/>
  <c r="E889" i="5"/>
  <c r="G889" i="5" s="1"/>
  <c r="E888" i="5"/>
  <c r="F452" i="6"/>
  <c r="H730" i="5"/>
  <c r="G730" i="5"/>
  <c r="H728" i="5"/>
  <c r="G728" i="5"/>
  <c r="H719" i="5"/>
  <c r="G719" i="5"/>
  <c r="G718" i="5"/>
  <c r="K719" i="5" l="1"/>
  <c r="K724" i="5" s="1"/>
  <c r="D171" i="5"/>
  <c r="C460" i="5"/>
  <c r="F171" i="5"/>
  <c r="G460" i="5"/>
  <c r="G22" i="37" s="1"/>
  <c r="I171" i="5"/>
  <c r="C171" i="5"/>
  <c r="D460" i="5"/>
  <c r="E460" i="5"/>
  <c r="J460" i="5"/>
  <c r="J22" i="37" s="1"/>
  <c r="H171" i="5"/>
  <c r="E171" i="5"/>
  <c r="F460" i="5"/>
  <c r="F22" i="37" s="1"/>
  <c r="J171" i="5"/>
  <c r="H460" i="5"/>
  <c r="H22" i="37" s="1"/>
  <c r="J159" i="5"/>
  <c r="E159" i="5"/>
  <c r="H159" i="5"/>
  <c r="I159" i="5"/>
  <c r="D159" i="5"/>
  <c r="G159" i="5"/>
  <c r="G173" i="5" s="1"/>
  <c r="G13" i="37" s="1"/>
  <c r="C159" i="5"/>
  <c r="F159" i="5"/>
  <c r="G896" i="5"/>
  <c r="N896" i="5"/>
  <c r="J896" i="5"/>
  <c r="M896" i="5"/>
  <c r="I896" i="5"/>
  <c r="L896" i="5"/>
  <c r="H896" i="5"/>
  <c r="F896" i="5"/>
  <c r="K896" i="5"/>
  <c r="I719" i="5"/>
  <c r="J36" i="6"/>
  <c r="C10" i="5" s="1"/>
  <c r="J37" i="6"/>
  <c r="C11" i="5" s="1"/>
  <c r="J35" i="6"/>
  <c r="C9" i="5" s="1"/>
  <c r="I22" i="8" l="1"/>
  <c r="G22" i="8"/>
  <c r="H22" i="8"/>
  <c r="D173" i="5"/>
  <c r="F173" i="5"/>
  <c r="F13" i="37" s="1"/>
  <c r="I173" i="5"/>
  <c r="I13" i="37" s="1"/>
  <c r="J173" i="5"/>
  <c r="J13" i="37" s="1"/>
  <c r="H173" i="5"/>
  <c r="H13" i="37" s="1"/>
  <c r="C173" i="5"/>
  <c r="E173" i="5"/>
  <c r="E724" i="5"/>
  <c r="G724" i="5" s="1"/>
  <c r="L731" i="5" s="1"/>
  <c r="J22" i="8" l="1"/>
  <c r="H13" i="8"/>
  <c r="I13" i="8"/>
  <c r="G13" i="8"/>
  <c r="H731" i="5"/>
  <c r="J731" i="5"/>
  <c r="F731" i="5"/>
  <c r="K731" i="5"/>
  <c r="I731" i="5"/>
  <c r="G731" i="5"/>
  <c r="C3" i="8"/>
  <c r="C723" i="5"/>
  <c r="C728" i="5" s="1"/>
  <c r="H718" i="5"/>
  <c r="K718" i="5" s="1"/>
  <c r="K723" i="5" s="1"/>
  <c r="J13" i="8" l="1"/>
  <c r="D196" i="8"/>
  <c r="DI4" i="35"/>
  <c r="F369" i="5"/>
  <c r="K369" i="5"/>
  <c r="E369" i="5"/>
  <c r="H369" i="5"/>
  <c r="L369" i="5"/>
  <c r="G369" i="5"/>
  <c r="J369" i="5"/>
  <c r="I369" i="5"/>
  <c r="H26" i="5"/>
  <c r="K26" i="5"/>
  <c r="L26" i="5"/>
  <c r="J26" i="5"/>
  <c r="E26" i="5"/>
  <c r="I26" i="5"/>
  <c r="I718" i="5"/>
  <c r="F397" i="5"/>
  <c r="F55" i="5"/>
  <c r="DA4" i="35" l="1"/>
  <c r="D185" i="8"/>
  <c r="E723" i="5"/>
  <c r="G723" i="5" s="1"/>
  <c r="G888" i="5"/>
  <c r="I894" i="5" l="1"/>
  <c r="I897" i="5" s="1"/>
  <c r="M894" i="5"/>
  <c r="M897" i="5" s="1"/>
  <c r="J894" i="5"/>
  <c r="J897" i="5" s="1"/>
  <c r="F894" i="5"/>
  <c r="G894" i="5"/>
  <c r="G897" i="5" s="1"/>
  <c r="K894" i="5"/>
  <c r="K897" i="5" s="1"/>
  <c r="H894" i="5"/>
  <c r="H897" i="5" s="1"/>
  <c r="L894" i="5"/>
  <c r="L897" i="5" s="1"/>
  <c r="J729" i="5"/>
  <c r="J732" i="5" s="1"/>
  <c r="H729" i="5"/>
  <c r="H732" i="5" s="1"/>
  <c r="L729" i="5"/>
  <c r="F729" i="5"/>
  <c r="I729" i="5"/>
  <c r="G729" i="5"/>
  <c r="M729" i="5"/>
  <c r="K729" i="5"/>
  <c r="E24" i="5"/>
  <c r="F24" i="5"/>
  <c r="E930" i="5" l="1"/>
  <c r="L732" i="5"/>
  <c r="I930" i="5" s="1"/>
  <c r="I30" i="37" s="1"/>
  <c r="K732" i="5"/>
  <c r="H930" i="5" s="1"/>
  <c r="H30" i="37" s="1"/>
  <c r="M732" i="5"/>
  <c r="J930" i="5" s="1"/>
  <c r="J30" i="37" s="1"/>
  <c r="G732" i="5"/>
  <c r="I732" i="5"/>
  <c r="F930" i="5" s="1"/>
  <c r="F30" i="37" s="1"/>
  <c r="G930" i="5"/>
  <c r="G30" i="37" s="1"/>
  <c r="K492" i="5"/>
  <c r="J492" i="5"/>
  <c r="I492" i="5"/>
  <c r="H492" i="5"/>
  <c r="G492" i="5"/>
  <c r="K489" i="5"/>
  <c r="J489" i="5"/>
  <c r="I489" i="5"/>
  <c r="H489" i="5"/>
  <c r="G489" i="5"/>
  <c r="B492" i="5"/>
  <c r="B489" i="5"/>
  <c r="I30" i="8" l="1"/>
  <c r="D930" i="5"/>
  <c r="J2" i="37"/>
  <c r="H86" i="8"/>
  <c r="AA4" i="35"/>
  <c r="I156" i="6"/>
  <c r="E829" i="5"/>
  <c r="H30" i="8" l="1"/>
  <c r="I157" i="6"/>
  <c r="H85" i="8"/>
  <c r="K193" i="8" s="1"/>
  <c r="H87" i="8" s="1"/>
  <c r="C9" i="35"/>
  <c r="G877" i="5"/>
  <c r="H877" i="5"/>
  <c r="F877" i="5"/>
  <c r="G871" i="5"/>
  <c r="H871" i="5"/>
  <c r="F871" i="5"/>
  <c r="G861" i="5"/>
  <c r="G862" i="5"/>
  <c r="J877" i="5" s="1"/>
  <c r="G860" i="5"/>
  <c r="G858" i="5"/>
  <c r="G859" i="5"/>
  <c r="I871" i="5" s="1"/>
  <c r="G857" i="5"/>
  <c r="E833" i="5"/>
  <c r="G833" i="5" s="1"/>
  <c r="E834" i="5"/>
  <c r="E832" i="5"/>
  <c r="G832" i="5" s="1"/>
  <c r="E830" i="5"/>
  <c r="G830" i="5" s="1"/>
  <c r="E831" i="5"/>
  <c r="H832" i="5" l="1"/>
  <c r="K843" i="5"/>
  <c r="G831" i="5"/>
  <c r="H831" i="5" s="1"/>
  <c r="K849" i="5"/>
  <c r="I849" i="5"/>
  <c r="L849" i="5"/>
  <c r="M849" i="5"/>
  <c r="J849" i="5"/>
  <c r="N849" i="5"/>
  <c r="G834" i="5"/>
  <c r="H834" i="5" s="1"/>
  <c r="N871" i="5"/>
  <c r="M871" i="5"/>
  <c r="L871" i="5"/>
  <c r="K871" i="5"/>
  <c r="J871" i="5"/>
  <c r="J843" i="5"/>
  <c r="I877" i="5"/>
  <c r="I843" i="5"/>
  <c r="N877" i="5"/>
  <c r="N843" i="5"/>
  <c r="M877" i="5"/>
  <c r="M843" i="5"/>
  <c r="L877" i="5"/>
  <c r="L843" i="5"/>
  <c r="K877" i="5"/>
  <c r="D687" i="5"/>
  <c r="G687" i="5"/>
  <c r="G686" i="5"/>
  <c r="D686" i="5"/>
  <c r="H843" i="5" l="1"/>
  <c r="F843" i="5"/>
  <c r="G843" i="5"/>
  <c r="H849" i="5"/>
  <c r="G849" i="5"/>
  <c r="F849" i="5"/>
  <c r="H686" i="5"/>
  <c r="H687" i="5"/>
  <c r="E298" i="6"/>
  <c r="Y190" i="5"/>
  <c r="Y191" i="5"/>
  <c r="Y192" i="5"/>
  <c r="Y193" i="5"/>
  <c r="Y194" i="5"/>
  <c r="Y195" i="5"/>
  <c r="Y196" i="5"/>
  <c r="Y197" i="5"/>
  <c r="Y198" i="5"/>
  <c r="Y199" i="5"/>
  <c r="Y200" i="5"/>
  <c r="Y201" i="5"/>
  <c r="Y202" i="5"/>
  <c r="Y203" i="5"/>
  <c r="Y204" i="5"/>
  <c r="Y205" i="5"/>
  <c r="Y206" i="5"/>
  <c r="Y207" i="5"/>
  <c r="Y208" i="5"/>
  <c r="Y209" i="5"/>
  <c r="Y210" i="5"/>
  <c r="Y211" i="5"/>
  <c r="Y212" i="5"/>
  <c r="Y213" i="5"/>
  <c r="Y214" i="5"/>
  <c r="Y215" i="5"/>
  <c r="Y216" i="5"/>
  <c r="Y217" i="5"/>
  <c r="Y218" i="5"/>
  <c r="Y219" i="5"/>
  <c r="Y220" i="5"/>
  <c r="Y221" i="5"/>
  <c r="Y222" i="5"/>
  <c r="Y223" i="5"/>
  <c r="Y224" i="5"/>
  <c r="Y225" i="5"/>
  <c r="Y226" i="5"/>
  <c r="Y227" i="5"/>
  <c r="Y228" i="5"/>
  <c r="Y229" i="5"/>
  <c r="Y230" i="5"/>
  <c r="Y231" i="5"/>
  <c r="Y232" i="5"/>
  <c r="Y233" i="5"/>
  <c r="Y234" i="5"/>
  <c r="Y235" i="5"/>
  <c r="Y236" i="5"/>
  <c r="Y237" i="5"/>
  <c r="Y238" i="5"/>
  <c r="Y239" i="5"/>
  <c r="Y240" i="5"/>
  <c r="Y241" i="5"/>
  <c r="Y242" i="5"/>
  <c r="Y243" i="5"/>
  <c r="Y244" i="5"/>
  <c r="Y245" i="5"/>
  <c r="Y246" i="5"/>
  <c r="Y247" i="5"/>
  <c r="Y248" i="5"/>
  <c r="Y249" i="5"/>
  <c r="Y250" i="5"/>
  <c r="Y251" i="5"/>
  <c r="Y252" i="5"/>
  <c r="Y253" i="5"/>
  <c r="Y254" i="5"/>
  <c r="Y255" i="5"/>
  <c r="Y256" i="5"/>
  <c r="Y257" i="5"/>
  <c r="Y258" i="5"/>
  <c r="Y259" i="5"/>
  <c r="Y260" i="5"/>
  <c r="Y261" i="5"/>
  <c r="Y262" i="5"/>
  <c r="Y263" i="5"/>
  <c r="Y264" i="5"/>
  <c r="Y265" i="5"/>
  <c r="Y266" i="5"/>
  <c r="Y267" i="5"/>
  <c r="Y268" i="5"/>
  <c r="Y269" i="5"/>
  <c r="Y270" i="5"/>
  <c r="Y271" i="5"/>
  <c r="Y272" i="5"/>
  <c r="Y273" i="5"/>
  <c r="Y274" i="5"/>
  <c r="Y275" i="5"/>
  <c r="Y276" i="5"/>
  <c r="Y277" i="5"/>
  <c r="Y278" i="5"/>
  <c r="Y279" i="5"/>
  <c r="Y280" i="5"/>
  <c r="Y281" i="5"/>
  <c r="Y282" i="5"/>
  <c r="Y283" i="5"/>
  <c r="Y284" i="5"/>
  <c r="Y285" i="5"/>
  <c r="Y286" i="5"/>
  <c r="Y287" i="5"/>
  <c r="Y288" i="5"/>
  <c r="Y289" i="5"/>
  <c r="Y290" i="5"/>
  <c r="Y291" i="5"/>
  <c r="Y292" i="5"/>
  <c r="Y293" i="5"/>
  <c r="Y294" i="5"/>
  <c r="Y295" i="5"/>
  <c r="Y296" i="5"/>
  <c r="Y297" i="5"/>
  <c r="Y298" i="5"/>
  <c r="Y299" i="5"/>
  <c r="Y300" i="5"/>
  <c r="Y301" i="5"/>
  <c r="Y302" i="5"/>
  <c r="Y303" i="5"/>
  <c r="Y304" i="5"/>
  <c r="Y305" i="5"/>
  <c r="Y306" i="5"/>
  <c r="Y307" i="5"/>
  <c r="Y308" i="5"/>
  <c r="Y309" i="5"/>
  <c r="Y310" i="5"/>
  <c r="Y311" i="5"/>
  <c r="Y312" i="5"/>
  <c r="Y313" i="5"/>
  <c r="Y315" i="5"/>
  <c r="Y316" i="5"/>
  <c r="Y317" i="5"/>
  <c r="Y318" i="5"/>
  <c r="Y319" i="5"/>
  <c r="Y320" i="5"/>
  <c r="Y321" i="5"/>
  <c r="Y322" i="5"/>
  <c r="Y323" i="5"/>
  <c r="Y187" i="5"/>
  <c r="Y188" i="5"/>
  <c r="Y189" i="5"/>
  <c r="K298" i="6" l="1"/>
  <c r="D641" i="5" s="1"/>
  <c r="E691" i="5"/>
  <c r="G691" i="5" s="1"/>
  <c r="I858" i="5"/>
  <c r="E693" i="5"/>
  <c r="E692" i="5"/>
  <c r="E695" i="5"/>
  <c r="E696" i="5"/>
  <c r="E694"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5" i="5"/>
  <c r="P316" i="5"/>
  <c r="P317" i="5"/>
  <c r="P318" i="5"/>
  <c r="P319" i="5"/>
  <c r="P320" i="5"/>
  <c r="P321" i="5"/>
  <c r="P322" i="5"/>
  <c r="P323" i="5"/>
  <c r="P187" i="5"/>
  <c r="D642" i="5" l="1"/>
  <c r="J858" i="5"/>
  <c r="N869" i="5"/>
  <c r="I869" i="5"/>
  <c r="J869" i="5"/>
  <c r="K869" i="5"/>
  <c r="L869" i="5"/>
  <c r="M869" i="5"/>
  <c r="I860" i="5"/>
  <c r="I857" i="5"/>
  <c r="I861" i="5"/>
  <c r="D188" i="5"/>
  <c r="D187" i="5"/>
  <c r="J860" i="5" l="1"/>
  <c r="J873" i="5"/>
  <c r="K873" i="5"/>
  <c r="L873" i="5"/>
  <c r="M873" i="5"/>
  <c r="N873" i="5"/>
  <c r="I873" i="5"/>
  <c r="J861" i="5"/>
  <c r="J875" i="5"/>
  <c r="K875" i="5"/>
  <c r="L875" i="5"/>
  <c r="M875" i="5"/>
  <c r="N875" i="5"/>
  <c r="I875" i="5"/>
  <c r="J857" i="5"/>
  <c r="M867" i="5"/>
  <c r="N867" i="5"/>
  <c r="I867" i="5"/>
  <c r="J867" i="5"/>
  <c r="K867" i="5"/>
  <c r="L867" i="5"/>
  <c r="G869" i="5"/>
  <c r="H869" i="5"/>
  <c r="F869" i="5"/>
  <c r="J526" i="5"/>
  <c r="K526" i="5"/>
  <c r="G526"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5" i="5"/>
  <c r="N316" i="5"/>
  <c r="N317" i="5"/>
  <c r="N318" i="5"/>
  <c r="N319" i="5"/>
  <c r="N320" i="5"/>
  <c r="N321" i="5"/>
  <c r="N322" i="5"/>
  <c r="N323" i="5"/>
  <c r="N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5" i="5"/>
  <c r="L316" i="5"/>
  <c r="L317" i="5"/>
  <c r="L318" i="5"/>
  <c r="L319" i="5"/>
  <c r="L320" i="5"/>
  <c r="L321" i="5"/>
  <c r="L322" i="5"/>
  <c r="L323" i="5"/>
  <c r="L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5" i="5"/>
  <c r="J316" i="5"/>
  <c r="J317" i="5"/>
  <c r="J318" i="5"/>
  <c r="J319" i="5"/>
  <c r="J320" i="5"/>
  <c r="J321" i="5"/>
  <c r="J322" i="5"/>
  <c r="J323" i="5"/>
  <c r="J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5" i="5"/>
  <c r="H316" i="5"/>
  <c r="H317" i="5"/>
  <c r="H318" i="5"/>
  <c r="H319" i="5"/>
  <c r="H320" i="5"/>
  <c r="H321" i="5"/>
  <c r="H322" i="5"/>
  <c r="H323" i="5"/>
  <c r="H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5" i="5"/>
  <c r="F316" i="5"/>
  <c r="F317" i="5"/>
  <c r="F318" i="5"/>
  <c r="F319" i="5"/>
  <c r="F320" i="5"/>
  <c r="F321" i="5"/>
  <c r="F322" i="5"/>
  <c r="F323" i="5"/>
  <c r="F187"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5" i="5"/>
  <c r="D316" i="5"/>
  <c r="D317" i="5"/>
  <c r="D318" i="5"/>
  <c r="D319" i="5"/>
  <c r="D320" i="5"/>
  <c r="D321" i="5"/>
  <c r="D322" i="5"/>
  <c r="D323"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Q314" i="5"/>
  <c r="C315" i="5"/>
  <c r="C316" i="5"/>
  <c r="C317" i="5"/>
  <c r="C318" i="5"/>
  <c r="C319" i="5"/>
  <c r="C320" i="5"/>
  <c r="C321" i="5"/>
  <c r="C322" i="5"/>
  <c r="C323" i="5"/>
  <c r="C254"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187" i="5"/>
  <c r="H875" i="5" l="1"/>
  <c r="F875" i="5"/>
  <c r="G875" i="5"/>
  <c r="G867" i="5"/>
  <c r="H867" i="5"/>
  <c r="F867" i="5"/>
  <c r="G873" i="5"/>
  <c r="H873" i="5"/>
  <c r="F873" i="5"/>
  <c r="S239" i="5"/>
  <c r="X239" i="5"/>
  <c r="V239" i="5"/>
  <c r="U239" i="5"/>
  <c r="W239" i="5"/>
  <c r="R239" i="5"/>
  <c r="T239" i="5"/>
  <c r="U231" i="5"/>
  <c r="S231" i="5"/>
  <c r="X231" i="5"/>
  <c r="T231" i="5"/>
  <c r="R231" i="5"/>
  <c r="V231" i="5"/>
  <c r="W231" i="5"/>
  <c r="S223" i="5"/>
  <c r="V223" i="5"/>
  <c r="R223" i="5"/>
  <c r="X223" i="5"/>
  <c r="U223" i="5"/>
  <c r="W223" i="5"/>
  <c r="T223" i="5"/>
  <c r="T215" i="5"/>
  <c r="X215" i="5"/>
  <c r="S215" i="5"/>
  <c r="V215" i="5"/>
  <c r="R215" i="5"/>
  <c r="U215" i="5"/>
  <c r="W215" i="5"/>
  <c r="X207" i="5"/>
  <c r="S207" i="5"/>
  <c r="T207" i="5"/>
  <c r="U207" i="5"/>
  <c r="W207" i="5"/>
  <c r="R207" i="5"/>
  <c r="V207" i="5"/>
  <c r="S199" i="5"/>
  <c r="R199" i="5"/>
  <c r="U199" i="5"/>
  <c r="X199" i="5"/>
  <c r="T199" i="5"/>
  <c r="W199" i="5"/>
  <c r="V199" i="5"/>
  <c r="W191" i="5"/>
  <c r="X191" i="5"/>
  <c r="S191" i="5"/>
  <c r="T191" i="5"/>
  <c r="U191" i="5"/>
  <c r="V191" i="5"/>
  <c r="R191" i="5"/>
  <c r="V320" i="5"/>
  <c r="T320" i="5"/>
  <c r="R320" i="5"/>
  <c r="S320" i="5"/>
  <c r="W320" i="5"/>
  <c r="X320" i="5"/>
  <c r="U320" i="5"/>
  <c r="W312" i="5"/>
  <c r="S312" i="5"/>
  <c r="U312" i="5"/>
  <c r="V312" i="5"/>
  <c r="T312" i="5"/>
  <c r="X312" i="5"/>
  <c r="R312" i="5"/>
  <c r="W304" i="5"/>
  <c r="X304" i="5"/>
  <c r="T304" i="5"/>
  <c r="S304" i="5"/>
  <c r="V304" i="5"/>
  <c r="U304" i="5"/>
  <c r="R304" i="5"/>
  <c r="R296" i="5"/>
  <c r="U296" i="5"/>
  <c r="T296" i="5"/>
  <c r="V296" i="5"/>
  <c r="S296" i="5"/>
  <c r="W296" i="5"/>
  <c r="X296" i="5"/>
  <c r="R288" i="5"/>
  <c r="W288" i="5"/>
  <c r="X288" i="5"/>
  <c r="T288" i="5"/>
  <c r="S288" i="5"/>
  <c r="U288" i="5"/>
  <c r="V288" i="5"/>
  <c r="T280" i="5"/>
  <c r="R280" i="5"/>
  <c r="U280" i="5"/>
  <c r="W280" i="5"/>
  <c r="S280" i="5"/>
  <c r="X280" i="5"/>
  <c r="V280" i="5"/>
  <c r="X272" i="5"/>
  <c r="V272" i="5"/>
  <c r="W272" i="5"/>
  <c r="S272" i="5"/>
  <c r="U272" i="5"/>
  <c r="T272" i="5"/>
  <c r="R272" i="5"/>
  <c r="T264" i="5"/>
  <c r="V264" i="5"/>
  <c r="R264" i="5"/>
  <c r="W264" i="5"/>
  <c r="U264" i="5"/>
  <c r="S264" i="5"/>
  <c r="X264" i="5"/>
  <c r="X256" i="5"/>
  <c r="S256" i="5"/>
  <c r="U256" i="5"/>
  <c r="V256" i="5"/>
  <c r="W256" i="5"/>
  <c r="T256" i="5"/>
  <c r="R256" i="5"/>
  <c r="R250" i="5"/>
  <c r="X250" i="5"/>
  <c r="W250" i="5"/>
  <c r="U250" i="5"/>
  <c r="V250" i="5"/>
  <c r="S250" i="5"/>
  <c r="T250" i="5"/>
  <c r="R242" i="5"/>
  <c r="U242" i="5"/>
  <c r="X242" i="5"/>
  <c r="S242" i="5"/>
  <c r="T242" i="5"/>
  <c r="W242" i="5"/>
  <c r="V242" i="5"/>
  <c r="R234" i="5"/>
  <c r="U234" i="5"/>
  <c r="S234" i="5"/>
  <c r="W234" i="5"/>
  <c r="V234" i="5"/>
  <c r="X234" i="5"/>
  <c r="T234" i="5"/>
  <c r="U226" i="5"/>
  <c r="S226" i="5"/>
  <c r="W226" i="5"/>
  <c r="X226" i="5"/>
  <c r="V226" i="5"/>
  <c r="T226" i="5"/>
  <c r="R226" i="5"/>
  <c r="T218" i="5"/>
  <c r="W218" i="5"/>
  <c r="R218" i="5"/>
  <c r="S218" i="5"/>
  <c r="V218" i="5"/>
  <c r="X218" i="5"/>
  <c r="U218" i="5"/>
  <c r="S210" i="5"/>
  <c r="W210" i="5"/>
  <c r="U210" i="5"/>
  <c r="R210" i="5"/>
  <c r="X210" i="5"/>
  <c r="T210" i="5"/>
  <c r="V210" i="5"/>
  <c r="X202" i="5"/>
  <c r="R202" i="5"/>
  <c r="V202" i="5"/>
  <c r="U202" i="5"/>
  <c r="W202" i="5"/>
  <c r="T202" i="5"/>
  <c r="S202" i="5"/>
  <c r="R194" i="5"/>
  <c r="V194" i="5"/>
  <c r="T194" i="5"/>
  <c r="U194" i="5"/>
  <c r="S194" i="5"/>
  <c r="W194" i="5"/>
  <c r="X194" i="5"/>
  <c r="S323" i="5"/>
  <c r="T323" i="5"/>
  <c r="W323" i="5"/>
  <c r="R323" i="5"/>
  <c r="U323" i="5"/>
  <c r="X323" i="5"/>
  <c r="V323" i="5"/>
  <c r="R315" i="5"/>
  <c r="X315" i="5"/>
  <c r="U315" i="5"/>
  <c r="W315" i="5"/>
  <c r="V315" i="5"/>
  <c r="S315" i="5"/>
  <c r="T315" i="5"/>
  <c r="U307" i="5"/>
  <c r="T307" i="5"/>
  <c r="R307" i="5"/>
  <c r="V307" i="5"/>
  <c r="X307" i="5"/>
  <c r="S307" i="5"/>
  <c r="W307" i="5"/>
  <c r="S299" i="5"/>
  <c r="U299" i="5"/>
  <c r="V299" i="5"/>
  <c r="W299" i="5"/>
  <c r="T299" i="5"/>
  <c r="X299" i="5"/>
  <c r="R299" i="5"/>
  <c r="X291" i="5"/>
  <c r="R291" i="5"/>
  <c r="V291" i="5"/>
  <c r="T291" i="5"/>
  <c r="W291" i="5"/>
  <c r="S291" i="5"/>
  <c r="U291" i="5"/>
  <c r="W283" i="5"/>
  <c r="X283" i="5"/>
  <c r="S283" i="5"/>
  <c r="V283" i="5"/>
  <c r="U283" i="5"/>
  <c r="T283" i="5"/>
  <c r="R283" i="5"/>
  <c r="R275" i="5"/>
  <c r="X275" i="5"/>
  <c r="S275" i="5"/>
  <c r="V275" i="5"/>
  <c r="U275" i="5"/>
  <c r="W275" i="5"/>
  <c r="T275" i="5"/>
  <c r="U267" i="5"/>
  <c r="T267" i="5"/>
  <c r="R267" i="5"/>
  <c r="X267" i="5"/>
  <c r="S267" i="5"/>
  <c r="V267" i="5"/>
  <c r="W267" i="5"/>
  <c r="U259" i="5"/>
  <c r="V259" i="5"/>
  <c r="T259" i="5"/>
  <c r="W259" i="5"/>
  <c r="X259" i="5"/>
  <c r="S259" i="5"/>
  <c r="R259" i="5"/>
  <c r="W253" i="5"/>
  <c r="V253" i="5"/>
  <c r="U253" i="5"/>
  <c r="T253" i="5"/>
  <c r="R253" i="5"/>
  <c r="X253" i="5"/>
  <c r="S253" i="5"/>
  <c r="U237" i="5"/>
  <c r="V237" i="5"/>
  <c r="S237" i="5"/>
  <c r="R237" i="5"/>
  <c r="W237" i="5"/>
  <c r="X237" i="5"/>
  <c r="T237" i="5"/>
  <c r="V221" i="5"/>
  <c r="W221" i="5"/>
  <c r="U221" i="5"/>
  <c r="R221" i="5"/>
  <c r="X221" i="5"/>
  <c r="T221" i="5"/>
  <c r="S221" i="5"/>
  <c r="S205" i="5"/>
  <c r="V205" i="5"/>
  <c r="U205" i="5"/>
  <c r="X205" i="5"/>
  <c r="R205" i="5"/>
  <c r="W205" i="5"/>
  <c r="T205" i="5"/>
  <c r="W189" i="5"/>
  <c r="S189" i="5"/>
  <c r="V189" i="5"/>
  <c r="T189" i="5"/>
  <c r="U189" i="5"/>
  <c r="X189" i="5"/>
  <c r="R189" i="5"/>
  <c r="V310" i="5"/>
  <c r="S310" i="5"/>
  <c r="R310" i="5"/>
  <c r="U310" i="5"/>
  <c r="W310" i="5"/>
  <c r="T310" i="5"/>
  <c r="X310" i="5"/>
  <c r="T278" i="5"/>
  <c r="S278" i="5"/>
  <c r="V278" i="5"/>
  <c r="U278" i="5"/>
  <c r="W278" i="5"/>
  <c r="R278" i="5"/>
  <c r="X278" i="5"/>
  <c r="T251" i="5"/>
  <c r="W251" i="5"/>
  <c r="X251" i="5"/>
  <c r="R251" i="5"/>
  <c r="U251" i="5"/>
  <c r="V251" i="5"/>
  <c r="S251" i="5"/>
  <c r="W243" i="5"/>
  <c r="S243" i="5"/>
  <c r="V243" i="5"/>
  <c r="U243" i="5"/>
  <c r="X243" i="5"/>
  <c r="T243" i="5"/>
  <c r="R243" i="5"/>
  <c r="U235" i="5"/>
  <c r="W235" i="5"/>
  <c r="X235" i="5"/>
  <c r="T235" i="5"/>
  <c r="V235" i="5"/>
  <c r="R235" i="5"/>
  <c r="S235" i="5"/>
  <c r="R227" i="5"/>
  <c r="V227" i="5"/>
  <c r="S227" i="5"/>
  <c r="X227" i="5"/>
  <c r="U227" i="5"/>
  <c r="W227" i="5"/>
  <c r="T227" i="5"/>
  <c r="S219" i="5"/>
  <c r="X219" i="5"/>
  <c r="T219" i="5"/>
  <c r="R219" i="5"/>
  <c r="U219" i="5"/>
  <c r="V219" i="5"/>
  <c r="W219" i="5"/>
  <c r="T211" i="5"/>
  <c r="V211" i="5"/>
  <c r="U211" i="5"/>
  <c r="X211" i="5"/>
  <c r="R211" i="5"/>
  <c r="S211" i="5"/>
  <c r="W211" i="5"/>
  <c r="S203" i="5"/>
  <c r="V203" i="5"/>
  <c r="T203" i="5"/>
  <c r="R203" i="5"/>
  <c r="X203" i="5"/>
  <c r="W203" i="5"/>
  <c r="U203" i="5"/>
  <c r="X195" i="5"/>
  <c r="T195" i="5"/>
  <c r="V195" i="5"/>
  <c r="U195" i="5"/>
  <c r="W195" i="5"/>
  <c r="R195" i="5"/>
  <c r="S195" i="5"/>
  <c r="X254" i="5"/>
  <c r="T254" i="5"/>
  <c r="S254" i="5"/>
  <c r="R254" i="5"/>
  <c r="V254" i="5"/>
  <c r="U254" i="5"/>
  <c r="W254" i="5"/>
  <c r="U316" i="5"/>
  <c r="V316" i="5"/>
  <c r="T316" i="5"/>
  <c r="R316" i="5"/>
  <c r="X316" i="5"/>
  <c r="S316" i="5"/>
  <c r="W316" i="5"/>
  <c r="T308" i="5"/>
  <c r="U308" i="5"/>
  <c r="X308" i="5"/>
  <c r="S308" i="5"/>
  <c r="R308" i="5"/>
  <c r="W308" i="5"/>
  <c r="V308" i="5"/>
  <c r="X300" i="5"/>
  <c r="T300" i="5"/>
  <c r="S300" i="5"/>
  <c r="W300" i="5"/>
  <c r="U300" i="5"/>
  <c r="V300" i="5"/>
  <c r="R300" i="5"/>
  <c r="W292" i="5"/>
  <c r="X292" i="5"/>
  <c r="R292" i="5"/>
  <c r="U292" i="5"/>
  <c r="S292" i="5"/>
  <c r="V292" i="5"/>
  <c r="T292" i="5"/>
  <c r="X284" i="5"/>
  <c r="V284" i="5"/>
  <c r="T284" i="5"/>
  <c r="R284" i="5"/>
  <c r="U284" i="5"/>
  <c r="W284" i="5"/>
  <c r="S284" i="5"/>
  <c r="T276" i="5"/>
  <c r="V276" i="5"/>
  <c r="X276" i="5"/>
  <c r="U276" i="5"/>
  <c r="R276" i="5"/>
  <c r="S276" i="5"/>
  <c r="W276" i="5"/>
  <c r="W268" i="5"/>
  <c r="X268" i="5"/>
  <c r="U268" i="5"/>
  <c r="V268" i="5"/>
  <c r="T268" i="5"/>
  <c r="R268" i="5"/>
  <c r="S268" i="5"/>
  <c r="U260" i="5"/>
  <c r="S260" i="5"/>
  <c r="R260" i="5"/>
  <c r="X260" i="5"/>
  <c r="W260" i="5"/>
  <c r="T260" i="5"/>
  <c r="V260" i="5"/>
  <c r="U249" i="5"/>
  <c r="S249" i="5"/>
  <c r="W249" i="5"/>
  <c r="X249" i="5"/>
  <c r="T249" i="5"/>
  <c r="V249" i="5"/>
  <c r="R249" i="5"/>
  <c r="T241" i="5"/>
  <c r="R241" i="5"/>
  <c r="S241" i="5"/>
  <c r="W241" i="5"/>
  <c r="X241" i="5"/>
  <c r="V241" i="5"/>
  <c r="U241" i="5"/>
  <c r="U233" i="5"/>
  <c r="S233" i="5"/>
  <c r="V233" i="5"/>
  <c r="X233" i="5"/>
  <c r="W233" i="5"/>
  <c r="T233" i="5"/>
  <c r="R233" i="5"/>
  <c r="R225" i="5"/>
  <c r="V225" i="5"/>
  <c r="W225" i="5"/>
  <c r="S225" i="5"/>
  <c r="T225" i="5"/>
  <c r="X225" i="5"/>
  <c r="U225" i="5"/>
  <c r="W217" i="5"/>
  <c r="X217" i="5"/>
  <c r="S217" i="5"/>
  <c r="U217" i="5"/>
  <c r="T217" i="5"/>
  <c r="V217" i="5"/>
  <c r="R217" i="5"/>
  <c r="V209" i="5"/>
  <c r="U209" i="5"/>
  <c r="R209" i="5"/>
  <c r="W209" i="5"/>
  <c r="X209" i="5"/>
  <c r="T209" i="5"/>
  <c r="S209" i="5"/>
  <c r="V201" i="5"/>
  <c r="U201" i="5"/>
  <c r="R201" i="5"/>
  <c r="S201" i="5"/>
  <c r="W201" i="5"/>
  <c r="T201" i="5"/>
  <c r="X201" i="5"/>
  <c r="S193" i="5"/>
  <c r="U193" i="5"/>
  <c r="T193" i="5"/>
  <c r="R193" i="5"/>
  <c r="W193" i="5"/>
  <c r="V193" i="5"/>
  <c r="X193" i="5"/>
  <c r="T322" i="5"/>
  <c r="S322" i="5"/>
  <c r="V322" i="5"/>
  <c r="R322" i="5"/>
  <c r="X322" i="5"/>
  <c r="U322" i="5"/>
  <c r="W322" i="5"/>
  <c r="U306" i="5"/>
  <c r="R306" i="5"/>
  <c r="W306" i="5"/>
  <c r="V306" i="5"/>
  <c r="T306" i="5"/>
  <c r="S306" i="5"/>
  <c r="X306" i="5"/>
  <c r="T298" i="5"/>
  <c r="X298" i="5"/>
  <c r="R298" i="5"/>
  <c r="V298" i="5"/>
  <c r="U298" i="5"/>
  <c r="W298" i="5"/>
  <c r="S298" i="5"/>
  <c r="V290" i="5"/>
  <c r="W290" i="5"/>
  <c r="R290" i="5"/>
  <c r="T290" i="5"/>
  <c r="U290" i="5"/>
  <c r="S290" i="5"/>
  <c r="X290" i="5"/>
  <c r="T282" i="5"/>
  <c r="W282" i="5"/>
  <c r="X282" i="5"/>
  <c r="U282" i="5"/>
  <c r="S282" i="5"/>
  <c r="R282" i="5"/>
  <c r="V282" i="5"/>
  <c r="R274" i="5"/>
  <c r="U274" i="5"/>
  <c r="T274" i="5"/>
  <c r="X274" i="5"/>
  <c r="W274" i="5"/>
  <c r="S274" i="5"/>
  <c r="V274" i="5"/>
  <c r="T266" i="5"/>
  <c r="S266" i="5"/>
  <c r="R266" i="5"/>
  <c r="V266" i="5"/>
  <c r="U266" i="5"/>
  <c r="W266" i="5"/>
  <c r="X266" i="5"/>
  <c r="W258" i="5"/>
  <c r="R258" i="5"/>
  <c r="T258" i="5"/>
  <c r="S258" i="5"/>
  <c r="U258" i="5"/>
  <c r="X258" i="5"/>
  <c r="V258" i="5"/>
  <c r="T248" i="5"/>
  <c r="X248" i="5"/>
  <c r="U248" i="5"/>
  <c r="S248" i="5"/>
  <c r="R248" i="5"/>
  <c r="W248" i="5"/>
  <c r="V248" i="5"/>
  <c r="R240" i="5"/>
  <c r="T240" i="5"/>
  <c r="V240" i="5"/>
  <c r="W240" i="5"/>
  <c r="U240" i="5"/>
  <c r="S240" i="5"/>
  <c r="X240" i="5"/>
  <c r="T232" i="5"/>
  <c r="X232" i="5"/>
  <c r="S232" i="5"/>
  <c r="W232" i="5"/>
  <c r="U232" i="5"/>
  <c r="R232" i="5"/>
  <c r="V232" i="5"/>
  <c r="W224" i="5"/>
  <c r="U224" i="5"/>
  <c r="R224" i="5"/>
  <c r="T224" i="5"/>
  <c r="X224" i="5"/>
  <c r="V224" i="5"/>
  <c r="S224" i="5"/>
  <c r="V216" i="5"/>
  <c r="W216" i="5"/>
  <c r="S216" i="5"/>
  <c r="X216" i="5"/>
  <c r="T216" i="5"/>
  <c r="U216" i="5"/>
  <c r="R216" i="5"/>
  <c r="T208" i="5"/>
  <c r="X208" i="5"/>
  <c r="W208" i="5"/>
  <c r="U208" i="5"/>
  <c r="S208" i="5"/>
  <c r="V208" i="5"/>
  <c r="R208" i="5"/>
  <c r="R200" i="5"/>
  <c r="V200" i="5"/>
  <c r="S200" i="5"/>
  <c r="T200" i="5"/>
  <c r="U200" i="5"/>
  <c r="W200" i="5"/>
  <c r="X200" i="5"/>
  <c r="R192" i="5"/>
  <c r="X192" i="5"/>
  <c r="S192" i="5"/>
  <c r="U192" i="5"/>
  <c r="T192" i="5"/>
  <c r="W192" i="5"/>
  <c r="V192" i="5"/>
  <c r="S321" i="5"/>
  <c r="R321" i="5"/>
  <c r="V321" i="5"/>
  <c r="W321" i="5"/>
  <c r="X321" i="5"/>
  <c r="U321" i="5"/>
  <c r="T321" i="5"/>
  <c r="S313" i="5"/>
  <c r="R313" i="5"/>
  <c r="U313" i="5"/>
  <c r="W313" i="5"/>
  <c r="X313" i="5"/>
  <c r="V313" i="5"/>
  <c r="T313" i="5"/>
  <c r="W305" i="5"/>
  <c r="U305" i="5"/>
  <c r="R305" i="5"/>
  <c r="S305" i="5"/>
  <c r="V305" i="5"/>
  <c r="X305" i="5"/>
  <c r="T305" i="5"/>
  <c r="T297" i="5"/>
  <c r="V297" i="5"/>
  <c r="W297" i="5"/>
  <c r="S297" i="5"/>
  <c r="U297" i="5"/>
  <c r="R297" i="5"/>
  <c r="X297" i="5"/>
  <c r="V289" i="5"/>
  <c r="W289" i="5"/>
  <c r="S289" i="5"/>
  <c r="T289" i="5"/>
  <c r="R289" i="5"/>
  <c r="U289" i="5"/>
  <c r="X289" i="5"/>
  <c r="U281" i="5"/>
  <c r="W281" i="5"/>
  <c r="S281" i="5"/>
  <c r="X281" i="5"/>
  <c r="R281" i="5"/>
  <c r="T281" i="5"/>
  <c r="V281" i="5"/>
  <c r="R273" i="5"/>
  <c r="X273" i="5"/>
  <c r="T273" i="5"/>
  <c r="W273" i="5"/>
  <c r="V273" i="5"/>
  <c r="S273" i="5"/>
  <c r="U273" i="5"/>
  <c r="W265" i="5"/>
  <c r="X265" i="5"/>
  <c r="V265" i="5"/>
  <c r="R265" i="5"/>
  <c r="T265" i="5"/>
  <c r="U265" i="5"/>
  <c r="S265" i="5"/>
  <c r="U257" i="5"/>
  <c r="S257" i="5"/>
  <c r="V257" i="5"/>
  <c r="R257" i="5"/>
  <c r="T257" i="5"/>
  <c r="X257" i="5"/>
  <c r="W257" i="5"/>
  <c r="U247" i="5"/>
  <c r="T247" i="5"/>
  <c r="X247" i="5"/>
  <c r="W247" i="5"/>
  <c r="S247" i="5"/>
  <c r="V247" i="5"/>
  <c r="R247" i="5"/>
  <c r="V187" i="5"/>
  <c r="S187" i="5"/>
  <c r="U187" i="5"/>
  <c r="T187" i="5"/>
  <c r="X187" i="5"/>
  <c r="W187" i="5"/>
  <c r="R187" i="5"/>
  <c r="T246" i="5"/>
  <c r="U246" i="5"/>
  <c r="S246" i="5"/>
  <c r="R246" i="5"/>
  <c r="V246" i="5"/>
  <c r="W246" i="5"/>
  <c r="X246" i="5"/>
  <c r="T238" i="5"/>
  <c r="S238" i="5"/>
  <c r="V238" i="5"/>
  <c r="R238" i="5"/>
  <c r="U238" i="5"/>
  <c r="W238" i="5"/>
  <c r="X238" i="5"/>
  <c r="X230" i="5"/>
  <c r="W230" i="5"/>
  <c r="V230" i="5"/>
  <c r="U230" i="5"/>
  <c r="T230" i="5"/>
  <c r="S230" i="5"/>
  <c r="R230" i="5"/>
  <c r="X222" i="5"/>
  <c r="V222" i="5"/>
  <c r="U222" i="5"/>
  <c r="R222" i="5"/>
  <c r="W222" i="5"/>
  <c r="S222" i="5"/>
  <c r="T222" i="5"/>
  <c r="S214" i="5"/>
  <c r="R214" i="5"/>
  <c r="W214" i="5"/>
  <c r="T214" i="5"/>
  <c r="U214" i="5"/>
  <c r="V214" i="5"/>
  <c r="X214" i="5"/>
  <c r="X206" i="5"/>
  <c r="T206" i="5"/>
  <c r="W206" i="5"/>
  <c r="U206" i="5"/>
  <c r="R206" i="5"/>
  <c r="V206" i="5"/>
  <c r="S206" i="5"/>
  <c r="U198" i="5"/>
  <c r="S198" i="5"/>
  <c r="W198" i="5"/>
  <c r="R198" i="5"/>
  <c r="T198" i="5"/>
  <c r="X198" i="5"/>
  <c r="V198" i="5"/>
  <c r="W190" i="5"/>
  <c r="R190" i="5"/>
  <c r="S190" i="5"/>
  <c r="U190" i="5"/>
  <c r="T190" i="5"/>
  <c r="V190" i="5"/>
  <c r="X190" i="5"/>
  <c r="U319" i="5"/>
  <c r="S319" i="5"/>
  <c r="T319" i="5"/>
  <c r="X319" i="5"/>
  <c r="W319" i="5"/>
  <c r="V319" i="5"/>
  <c r="R319" i="5"/>
  <c r="T311" i="5"/>
  <c r="S311" i="5"/>
  <c r="V311" i="5"/>
  <c r="R311" i="5"/>
  <c r="X311" i="5"/>
  <c r="U311" i="5"/>
  <c r="W311" i="5"/>
  <c r="S303" i="5"/>
  <c r="V303" i="5"/>
  <c r="U303" i="5"/>
  <c r="X303" i="5"/>
  <c r="T303" i="5"/>
  <c r="R303" i="5"/>
  <c r="W303" i="5"/>
  <c r="T295" i="5"/>
  <c r="S295" i="5"/>
  <c r="V295" i="5"/>
  <c r="R295" i="5"/>
  <c r="X295" i="5"/>
  <c r="W295" i="5"/>
  <c r="U295" i="5"/>
  <c r="T287" i="5"/>
  <c r="X287" i="5"/>
  <c r="S287" i="5"/>
  <c r="V287" i="5"/>
  <c r="R287" i="5"/>
  <c r="W287" i="5"/>
  <c r="U287" i="5"/>
  <c r="U279" i="5"/>
  <c r="X279" i="5"/>
  <c r="V279" i="5"/>
  <c r="R279" i="5"/>
  <c r="T279" i="5"/>
  <c r="S279" i="5"/>
  <c r="W279" i="5"/>
  <c r="V271" i="5"/>
  <c r="W271" i="5"/>
  <c r="S271" i="5"/>
  <c r="X271" i="5"/>
  <c r="T271" i="5"/>
  <c r="R271" i="5"/>
  <c r="U271" i="5"/>
  <c r="U263" i="5"/>
  <c r="T263" i="5"/>
  <c r="W263" i="5"/>
  <c r="R263" i="5"/>
  <c r="S263" i="5"/>
  <c r="V263" i="5"/>
  <c r="X263" i="5"/>
  <c r="T255" i="5"/>
  <c r="V255" i="5"/>
  <c r="W255" i="5"/>
  <c r="U255" i="5"/>
  <c r="X255" i="5"/>
  <c r="R255" i="5"/>
  <c r="S255" i="5"/>
  <c r="X245" i="5"/>
  <c r="T245" i="5"/>
  <c r="S245" i="5"/>
  <c r="R245" i="5"/>
  <c r="W245" i="5"/>
  <c r="V245" i="5"/>
  <c r="U245" i="5"/>
  <c r="X229" i="5"/>
  <c r="T229" i="5"/>
  <c r="R229" i="5"/>
  <c r="S229" i="5"/>
  <c r="U229" i="5"/>
  <c r="V229" i="5"/>
  <c r="W229" i="5"/>
  <c r="U213" i="5"/>
  <c r="W213" i="5"/>
  <c r="R213" i="5"/>
  <c r="X213" i="5"/>
  <c r="S213" i="5"/>
  <c r="T213" i="5"/>
  <c r="V213" i="5"/>
  <c r="U197" i="5"/>
  <c r="V197" i="5"/>
  <c r="X197" i="5"/>
  <c r="W197" i="5"/>
  <c r="R197" i="5"/>
  <c r="T197" i="5"/>
  <c r="S197" i="5"/>
  <c r="R318" i="5"/>
  <c r="T318" i="5"/>
  <c r="S318" i="5"/>
  <c r="W318" i="5"/>
  <c r="U318" i="5"/>
  <c r="V318" i="5"/>
  <c r="X318" i="5"/>
  <c r="S302" i="5"/>
  <c r="R302" i="5"/>
  <c r="V302" i="5"/>
  <c r="T302" i="5"/>
  <c r="W302" i="5"/>
  <c r="U302" i="5"/>
  <c r="X302" i="5"/>
  <c r="R294" i="5"/>
  <c r="W294" i="5"/>
  <c r="X294" i="5"/>
  <c r="T294" i="5"/>
  <c r="V294" i="5"/>
  <c r="S294" i="5"/>
  <c r="U294" i="5"/>
  <c r="S286" i="5"/>
  <c r="W286" i="5"/>
  <c r="X286" i="5"/>
  <c r="U286" i="5"/>
  <c r="T286" i="5"/>
  <c r="V286" i="5"/>
  <c r="R286" i="5"/>
  <c r="S270" i="5"/>
  <c r="R270" i="5"/>
  <c r="X270" i="5"/>
  <c r="U270" i="5"/>
  <c r="T270" i="5"/>
  <c r="W270" i="5"/>
  <c r="V270" i="5"/>
  <c r="T262" i="5"/>
  <c r="U262" i="5"/>
  <c r="V262" i="5"/>
  <c r="R262" i="5"/>
  <c r="X262" i="5"/>
  <c r="S262" i="5"/>
  <c r="W262" i="5"/>
  <c r="U252" i="5"/>
  <c r="R252" i="5"/>
  <c r="T252" i="5"/>
  <c r="X252" i="5"/>
  <c r="W252" i="5"/>
  <c r="S252" i="5"/>
  <c r="V252" i="5"/>
  <c r="S244" i="5"/>
  <c r="X244" i="5"/>
  <c r="U244" i="5"/>
  <c r="V244" i="5"/>
  <c r="W244" i="5"/>
  <c r="T244" i="5"/>
  <c r="R244" i="5"/>
  <c r="T236" i="5"/>
  <c r="X236" i="5"/>
  <c r="V236" i="5"/>
  <c r="R236" i="5"/>
  <c r="S236" i="5"/>
  <c r="W236" i="5"/>
  <c r="U236" i="5"/>
  <c r="X228" i="5"/>
  <c r="R228" i="5"/>
  <c r="S228" i="5"/>
  <c r="W228" i="5"/>
  <c r="V228" i="5"/>
  <c r="U228" i="5"/>
  <c r="T228" i="5"/>
  <c r="W220" i="5"/>
  <c r="V220" i="5"/>
  <c r="U220" i="5"/>
  <c r="X220" i="5"/>
  <c r="S220" i="5"/>
  <c r="R220" i="5"/>
  <c r="T220" i="5"/>
  <c r="W212" i="5"/>
  <c r="X212" i="5"/>
  <c r="U212" i="5"/>
  <c r="R212" i="5"/>
  <c r="S212" i="5"/>
  <c r="V212" i="5"/>
  <c r="T212" i="5"/>
  <c r="X204" i="5"/>
  <c r="S204" i="5"/>
  <c r="V204" i="5"/>
  <c r="W204" i="5"/>
  <c r="U204" i="5"/>
  <c r="T204" i="5"/>
  <c r="R204" i="5"/>
  <c r="X196" i="5"/>
  <c r="W196" i="5"/>
  <c r="R196" i="5"/>
  <c r="T196" i="5"/>
  <c r="U196" i="5"/>
  <c r="V196" i="5"/>
  <c r="S196" i="5"/>
  <c r="U188" i="5"/>
  <c r="X188" i="5"/>
  <c r="S188" i="5"/>
  <c r="R188" i="5"/>
  <c r="V188" i="5"/>
  <c r="T188" i="5"/>
  <c r="W188" i="5"/>
  <c r="U317" i="5"/>
  <c r="V317" i="5"/>
  <c r="W317" i="5"/>
  <c r="S317" i="5"/>
  <c r="R317" i="5"/>
  <c r="T317" i="5"/>
  <c r="X317" i="5"/>
  <c r="S309" i="5"/>
  <c r="U309" i="5"/>
  <c r="W309" i="5"/>
  <c r="V309" i="5"/>
  <c r="R309" i="5"/>
  <c r="X309" i="5"/>
  <c r="T309" i="5"/>
  <c r="S301" i="5"/>
  <c r="W301" i="5"/>
  <c r="R301" i="5"/>
  <c r="X301" i="5"/>
  <c r="V301" i="5"/>
  <c r="T301" i="5"/>
  <c r="U301" i="5"/>
  <c r="S293" i="5"/>
  <c r="X293" i="5"/>
  <c r="U293" i="5"/>
  <c r="T293" i="5"/>
  <c r="V293" i="5"/>
  <c r="W293" i="5"/>
  <c r="R293" i="5"/>
  <c r="X285" i="5"/>
  <c r="V285" i="5"/>
  <c r="S285" i="5"/>
  <c r="U285" i="5"/>
  <c r="W285" i="5"/>
  <c r="R285" i="5"/>
  <c r="T285" i="5"/>
  <c r="X277" i="5"/>
  <c r="V277" i="5"/>
  <c r="T277" i="5"/>
  <c r="U277" i="5"/>
  <c r="S277" i="5"/>
  <c r="R277" i="5"/>
  <c r="W277" i="5"/>
  <c r="X269" i="5"/>
  <c r="S269" i="5"/>
  <c r="W269" i="5"/>
  <c r="T269" i="5"/>
  <c r="R269" i="5"/>
  <c r="V269" i="5"/>
  <c r="U269" i="5"/>
  <c r="R261" i="5"/>
  <c r="V261" i="5"/>
  <c r="S261" i="5"/>
  <c r="T261" i="5"/>
  <c r="W261" i="5"/>
  <c r="X261" i="5"/>
  <c r="U261" i="5"/>
  <c r="Q318" i="5"/>
  <c r="Q316" i="5"/>
  <c r="Q320" i="5"/>
  <c r="Q312" i="5"/>
  <c r="Q323" i="5"/>
  <c r="Q315" i="5"/>
  <c r="Q319" i="5"/>
  <c r="Q322" i="5"/>
  <c r="Q321" i="5"/>
  <c r="Q313" i="5"/>
  <c r="Q317" i="5"/>
  <c r="Q250" i="5"/>
  <c r="Q238" i="5"/>
  <c r="Q226" i="5"/>
  <c r="Q218" i="5"/>
  <c r="Q206" i="5"/>
  <c r="Q202" i="5"/>
  <c r="Q190" i="5"/>
  <c r="Q311" i="5"/>
  <c r="Q303" i="5"/>
  <c r="Q283" i="5"/>
  <c r="Q253" i="5"/>
  <c r="Q249" i="5"/>
  <c r="Q245" i="5"/>
  <c r="Q241" i="5"/>
  <c r="Q237" i="5"/>
  <c r="Q233" i="5"/>
  <c r="Q229" i="5"/>
  <c r="Q225" i="5"/>
  <c r="Q221" i="5"/>
  <c r="Q217" i="5"/>
  <c r="Q213" i="5"/>
  <c r="Q209" i="5"/>
  <c r="Q205" i="5"/>
  <c r="Q201" i="5"/>
  <c r="Q197" i="5"/>
  <c r="Q193" i="5"/>
  <c r="Q189" i="5"/>
  <c r="Q310" i="5"/>
  <c r="Q306" i="5"/>
  <c r="Q302" i="5"/>
  <c r="Q298" i="5"/>
  <c r="Q294" i="5"/>
  <c r="Q290" i="5"/>
  <c r="Q286" i="5"/>
  <c r="Q282" i="5"/>
  <c r="Q278" i="5"/>
  <c r="Q274" i="5"/>
  <c r="Q270" i="5"/>
  <c r="Q266" i="5"/>
  <c r="Q262" i="5"/>
  <c r="Q258" i="5"/>
  <c r="Q252" i="5"/>
  <c r="Q248" i="5"/>
  <c r="Q240" i="5"/>
  <c r="Q236" i="5"/>
  <c r="Q228" i="5"/>
  <c r="Q224" i="5"/>
  <c r="Q220" i="5"/>
  <c r="Q212" i="5"/>
  <c r="Q208" i="5"/>
  <c r="Q204" i="5"/>
  <c r="Q200" i="5"/>
  <c r="Q196" i="5"/>
  <c r="Q188" i="5"/>
  <c r="Q309" i="5"/>
  <c r="Q305" i="5"/>
  <c r="Q301" i="5"/>
  <c r="Q297" i="5"/>
  <c r="Q289" i="5"/>
  <c r="Q285" i="5"/>
  <c r="Q281" i="5"/>
  <c r="Q277" i="5"/>
  <c r="Q273" i="5"/>
  <c r="Q269" i="5"/>
  <c r="Q265" i="5"/>
  <c r="Q261" i="5"/>
  <c r="Q257" i="5"/>
  <c r="Q251" i="5"/>
  <c r="Q243" i="5"/>
  <c r="Q235" i="5"/>
  <c r="Q227" i="5"/>
  <c r="Q219" i="5"/>
  <c r="Q211" i="5"/>
  <c r="Q203" i="5"/>
  <c r="Q199" i="5"/>
  <c r="Q195" i="5"/>
  <c r="Q254" i="5"/>
  <c r="Q308" i="5"/>
  <c r="Q304" i="5"/>
  <c r="Q300" i="5"/>
  <c r="Q296" i="5"/>
  <c r="Q292" i="5"/>
  <c r="Q288" i="5"/>
  <c r="Q284" i="5"/>
  <c r="Q280" i="5"/>
  <c r="Q276" i="5"/>
  <c r="Q272" i="5"/>
  <c r="Q268" i="5"/>
  <c r="Q264" i="5"/>
  <c r="Q260" i="5"/>
  <c r="Q256" i="5"/>
  <c r="Q246" i="5"/>
  <c r="Q234" i="5"/>
  <c r="Q222" i="5"/>
  <c r="Q210" i="5"/>
  <c r="Q198" i="5"/>
  <c r="Q307" i="5"/>
  <c r="Q295" i="5"/>
  <c r="Q291" i="5"/>
  <c r="Q287" i="5"/>
  <c r="Q279" i="5"/>
  <c r="Q275" i="5"/>
  <c r="Q271" i="5"/>
  <c r="Q267" i="5"/>
  <c r="Q263" i="5"/>
  <c r="Q259" i="5"/>
  <c r="Q255" i="5"/>
  <c r="Q242" i="5"/>
  <c r="Q230" i="5"/>
  <c r="Q214" i="5"/>
  <c r="Q194" i="5"/>
  <c r="Q299" i="5"/>
  <c r="Q244" i="5"/>
  <c r="Q232" i="5"/>
  <c r="Q216" i="5"/>
  <c r="Q192" i="5"/>
  <c r="Q293" i="5"/>
  <c r="E187" i="5"/>
  <c r="Q187" i="5"/>
  <c r="G247" i="5"/>
  <c r="Q247" i="5"/>
  <c r="G239" i="5"/>
  <c r="Q239" i="5"/>
  <c r="G231" i="5"/>
  <c r="Q231" i="5"/>
  <c r="G223" i="5"/>
  <c r="Q223" i="5"/>
  <c r="G215" i="5"/>
  <c r="Q215" i="5"/>
  <c r="G207" i="5"/>
  <c r="Q207" i="5"/>
  <c r="G191" i="5"/>
  <c r="Q191" i="5"/>
  <c r="G320" i="5"/>
  <c r="G312" i="5"/>
  <c r="G304" i="5"/>
  <c r="G296" i="5"/>
  <c r="G288" i="5"/>
  <c r="G280" i="5"/>
  <c r="G272" i="5"/>
  <c r="G264" i="5"/>
  <c r="G256" i="5"/>
  <c r="I282" i="5"/>
  <c r="E243" i="5"/>
  <c r="E227" i="5"/>
  <c r="E211" i="5"/>
  <c r="E195" i="5"/>
  <c r="I294" i="5"/>
  <c r="E199" i="5"/>
  <c r="I310" i="5"/>
  <c r="E302" i="5"/>
  <c r="E254" i="5"/>
  <c r="G251" i="5"/>
  <c r="G235" i="5"/>
  <c r="G219" i="5"/>
  <c r="G203" i="5"/>
  <c r="G316" i="5"/>
  <c r="E308" i="5"/>
  <c r="E300" i="5"/>
  <c r="E292" i="5"/>
  <c r="E284" i="5"/>
  <c r="E276" i="5"/>
  <c r="E268" i="5"/>
  <c r="E260" i="5"/>
  <c r="E252" i="5"/>
  <c r="G249" i="5"/>
  <c r="E249" i="5"/>
  <c r="O249" i="5"/>
  <c r="K249" i="5"/>
  <c r="I249" i="5"/>
  <c r="M249" i="5"/>
  <c r="M237" i="5"/>
  <c r="O237" i="5"/>
  <c r="G237" i="5"/>
  <c r="E237" i="5"/>
  <c r="I237" i="5"/>
  <c r="K237" i="5"/>
  <c r="M225" i="5"/>
  <c r="G225" i="5"/>
  <c r="E225" i="5"/>
  <c r="K225" i="5"/>
  <c r="I225" i="5"/>
  <c r="O225" i="5"/>
  <c r="M213" i="5"/>
  <c r="O213" i="5"/>
  <c r="G213" i="5"/>
  <c r="E213" i="5"/>
  <c r="I213" i="5"/>
  <c r="K213" i="5"/>
  <c r="M205" i="5"/>
  <c r="O205" i="5"/>
  <c r="G205" i="5"/>
  <c r="E205" i="5"/>
  <c r="K205" i="5"/>
  <c r="I205" i="5"/>
  <c r="I201" i="5"/>
  <c r="G201" i="5"/>
  <c r="E201" i="5"/>
  <c r="O201" i="5"/>
  <c r="K201" i="5"/>
  <c r="M201" i="5"/>
  <c r="M189" i="5"/>
  <c r="O189" i="5"/>
  <c r="G189" i="5"/>
  <c r="E189" i="5"/>
  <c r="K189" i="5"/>
  <c r="I189" i="5"/>
  <c r="M318" i="5"/>
  <c r="O318" i="5"/>
  <c r="G318" i="5"/>
  <c r="E318" i="5"/>
  <c r="I318" i="5"/>
  <c r="K318" i="5"/>
  <c r="O306" i="5"/>
  <c r="M306" i="5"/>
  <c r="G306" i="5"/>
  <c r="K306" i="5"/>
  <c r="O298" i="5"/>
  <c r="M298" i="5"/>
  <c r="K298" i="5"/>
  <c r="G298" i="5"/>
  <c r="O290" i="5"/>
  <c r="M290" i="5"/>
  <c r="G290" i="5"/>
  <c r="K290" i="5"/>
  <c r="O286" i="5"/>
  <c r="K286" i="5"/>
  <c r="M286" i="5"/>
  <c r="G286" i="5"/>
  <c r="O278" i="5"/>
  <c r="K278" i="5"/>
  <c r="M278" i="5"/>
  <c r="G278" i="5"/>
  <c r="O274" i="5"/>
  <c r="K274" i="5"/>
  <c r="M274" i="5"/>
  <c r="G274" i="5"/>
  <c r="O270" i="5"/>
  <c r="K270" i="5"/>
  <c r="M270" i="5"/>
  <c r="G270" i="5"/>
  <c r="O266" i="5"/>
  <c r="K266" i="5"/>
  <c r="M266" i="5"/>
  <c r="G266" i="5"/>
  <c r="O262" i="5"/>
  <c r="K262" i="5"/>
  <c r="M262" i="5"/>
  <c r="G262" i="5"/>
  <c r="O258" i="5"/>
  <c r="K258" i="5"/>
  <c r="M258" i="5"/>
  <c r="G258" i="5"/>
  <c r="M248" i="5"/>
  <c r="O248" i="5"/>
  <c r="K248" i="5"/>
  <c r="I248" i="5"/>
  <c r="M244" i="5"/>
  <c r="O244" i="5"/>
  <c r="I244" i="5"/>
  <c r="K244" i="5"/>
  <c r="M240" i="5"/>
  <c r="K240" i="5"/>
  <c r="I240" i="5"/>
  <c r="O240" i="5"/>
  <c r="M236" i="5"/>
  <c r="O236" i="5"/>
  <c r="I236" i="5"/>
  <c r="K236" i="5"/>
  <c r="M232" i="5"/>
  <c r="O232" i="5"/>
  <c r="K232" i="5"/>
  <c r="I232" i="5"/>
  <c r="M228" i="5"/>
  <c r="O228" i="5"/>
  <c r="I228" i="5"/>
  <c r="K228" i="5"/>
  <c r="M224" i="5"/>
  <c r="K224" i="5"/>
  <c r="I224" i="5"/>
  <c r="O224" i="5"/>
  <c r="M220" i="5"/>
  <c r="O220" i="5"/>
  <c r="I220" i="5"/>
  <c r="K220" i="5"/>
  <c r="M216" i="5"/>
  <c r="O216" i="5"/>
  <c r="K216" i="5"/>
  <c r="I216" i="5"/>
  <c r="M212" i="5"/>
  <c r="O212" i="5"/>
  <c r="I212" i="5"/>
  <c r="K212" i="5"/>
  <c r="M208" i="5"/>
  <c r="I208" i="5"/>
  <c r="K208" i="5"/>
  <c r="O208" i="5"/>
  <c r="G208" i="5"/>
  <c r="M204" i="5"/>
  <c r="O204" i="5"/>
  <c r="I204" i="5"/>
  <c r="K204" i="5"/>
  <c r="G204" i="5"/>
  <c r="M200" i="5"/>
  <c r="I200" i="5"/>
  <c r="O200" i="5"/>
  <c r="K200" i="5"/>
  <c r="G200" i="5"/>
  <c r="M196" i="5"/>
  <c r="O196" i="5"/>
  <c r="I196" i="5"/>
  <c r="K196" i="5"/>
  <c r="G196" i="5"/>
  <c r="M192" i="5"/>
  <c r="I192" i="5"/>
  <c r="K192" i="5"/>
  <c r="O192" i="5"/>
  <c r="G192" i="5"/>
  <c r="M188" i="5"/>
  <c r="O188" i="5"/>
  <c r="I188" i="5"/>
  <c r="K188" i="5"/>
  <c r="G188" i="5"/>
  <c r="K321" i="5"/>
  <c r="I321" i="5"/>
  <c r="M321" i="5"/>
  <c r="O321" i="5"/>
  <c r="O317" i="5"/>
  <c r="I317" i="5"/>
  <c r="K317" i="5"/>
  <c r="M317" i="5"/>
  <c r="M313" i="5"/>
  <c r="G313" i="5"/>
  <c r="E313" i="5"/>
  <c r="O313" i="5"/>
  <c r="I313" i="5"/>
  <c r="K313" i="5"/>
  <c r="M309" i="5"/>
  <c r="O309" i="5"/>
  <c r="K309" i="5"/>
  <c r="G309" i="5"/>
  <c r="E309" i="5"/>
  <c r="I309" i="5"/>
  <c r="M305" i="5"/>
  <c r="G305" i="5"/>
  <c r="E305" i="5"/>
  <c r="K305" i="5"/>
  <c r="I305" i="5"/>
  <c r="O305" i="5"/>
  <c r="M301" i="5"/>
  <c r="O301" i="5"/>
  <c r="G301" i="5"/>
  <c r="E301" i="5"/>
  <c r="I301" i="5"/>
  <c r="K301" i="5"/>
  <c r="M297" i="5"/>
  <c r="G297" i="5"/>
  <c r="E297" i="5"/>
  <c r="O297" i="5"/>
  <c r="I297" i="5"/>
  <c r="K297" i="5"/>
  <c r="M293" i="5"/>
  <c r="O293" i="5"/>
  <c r="K293" i="5"/>
  <c r="G293" i="5"/>
  <c r="E293" i="5"/>
  <c r="I293" i="5"/>
  <c r="M289" i="5"/>
  <c r="G289" i="5"/>
  <c r="E289" i="5"/>
  <c r="K289" i="5"/>
  <c r="I289" i="5"/>
  <c r="O289" i="5"/>
  <c r="M285" i="5"/>
  <c r="O285" i="5"/>
  <c r="G285" i="5"/>
  <c r="E285" i="5"/>
  <c r="I285" i="5"/>
  <c r="K285" i="5"/>
  <c r="M281" i="5"/>
  <c r="G281" i="5"/>
  <c r="E281" i="5"/>
  <c r="O281" i="5"/>
  <c r="K281" i="5"/>
  <c r="I281" i="5"/>
  <c r="M277" i="5"/>
  <c r="O277" i="5"/>
  <c r="G277" i="5"/>
  <c r="E277" i="5"/>
  <c r="I277" i="5"/>
  <c r="K277" i="5"/>
  <c r="M273" i="5"/>
  <c r="G273" i="5"/>
  <c r="E273" i="5"/>
  <c r="K273" i="5"/>
  <c r="I273" i="5"/>
  <c r="O273" i="5"/>
  <c r="M269" i="5"/>
  <c r="O269" i="5"/>
  <c r="G269" i="5"/>
  <c r="E269" i="5"/>
  <c r="I269" i="5"/>
  <c r="K269" i="5"/>
  <c r="M265" i="5"/>
  <c r="G265" i="5"/>
  <c r="E265" i="5"/>
  <c r="O265" i="5"/>
  <c r="K265" i="5"/>
  <c r="I265" i="5"/>
  <c r="M261" i="5"/>
  <c r="O261" i="5"/>
  <c r="G261" i="5"/>
  <c r="E261" i="5"/>
  <c r="I261" i="5"/>
  <c r="K261" i="5"/>
  <c r="M257" i="5"/>
  <c r="G257" i="5"/>
  <c r="E257" i="5"/>
  <c r="K257" i="5"/>
  <c r="I257" i="5"/>
  <c r="O257" i="5"/>
  <c r="K187" i="5"/>
  <c r="I187" i="5"/>
  <c r="O250" i="5"/>
  <c r="K250" i="5"/>
  <c r="G250" i="5"/>
  <c r="I250" i="5"/>
  <c r="M250" i="5"/>
  <c r="O246" i="5"/>
  <c r="K246" i="5"/>
  <c r="M246" i="5"/>
  <c r="G246" i="5"/>
  <c r="I246" i="5"/>
  <c r="O242" i="5"/>
  <c r="K242" i="5"/>
  <c r="M242" i="5"/>
  <c r="G242" i="5"/>
  <c r="I242" i="5"/>
  <c r="O238" i="5"/>
  <c r="K238" i="5"/>
  <c r="M238" i="5"/>
  <c r="G238" i="5"/>
  <c r="I238" i="5"/>
  <c r="O234" i="5"/>
  <c r="K234" i="5"/>
  <c r="G234" i="5"/>
  <c r="I234" i="5"/>
  <c r="M234" i="5"/>
  <c r="O230" i="5"/>
  <c r="K230" i="5"/>
  <c r="M230" i="5"/>
  <c r="G230" i="5"/>
  <c r="I230" i="5"/>
  <c r="O226" i="5"/>
  <c r="K226" i="5"/>
  <c r="M226" i="5"/>
  <c r="G226" i="5"/>
  <c r="I226" i="5"/>
  <c r="O222" i="5"/>
  <c r="K222" i="5"/>
  <c r="M222" i="5"/>
  <c r="G222" i="5"/>
  <c r="I222" i="5"/>
  <c r="O218" i="5"/>
  <c r="K218" i="5"/>
  <c r="G218" i="5"/>
  <c r="I218" i="5"/>
  <c r="M218" i="5"/>
  <c r="O214" i="5"/>
  <c r="K214" i="5"/>
  <c r="M214" i="5"/>
  <c r="G214" i="5"/>
  <c r="I214" i="5"/>
  <c r="O210" i="5"/>
  <c r="K210" i="5"/>
  <c r="M210" i="5"/>
  <c r="G210" i="5"/>
  <c r="I210" i="5"/>
  <c r="O206" i="5"/>
  <c r="K206" i="5"/>
  <c r="M206" i="5"/>
  <c r="I206" i="5"/>
  <c r="G206" i="5"/>
  <c r="O202" i="5"/>
  <c r="K202" i="5"/>
  <c r="I202" i="5"/>
  <c r="G202" i="5"/>
  <c r="M202" i="5"/>
  <c r="O198" i="5"/>
  <c r="K198" i="5"/>
  <c r="M198" i="5"/>
  <c r="G198" i="5"/>
  <c r="I198" i="5"/>
  <c r="O194" i="5"/>
  <c r="K194" i="5"/>
  <c r="M194" i="5"/>
  <c r="G194" i="5"/>
  <c r="I194" i="5"/>
  <c r="O190" i="5"/>
  <c r="K190" i="5"/>
  <c r="M190" i="5"/>
  <c r="I190" i="5"/>
  <c r="G190" i="5"/>
  <c r="E190" i="5"/>
  <c r="O323" i="5"/>
  <c r="M323" i="5"/>
  <c r="G323" i="5"/>
  <c r="K323" i="5"/>
  <c r="O319" i="5"/>
  <c r="M319" i="5"/>
  <c r="G319" i="5"/>
  <c r="K319" i="5"/>
  <c r="O315" i="5"/>
  <c r="M315" i="5"/>
  <c r="K315" i="5"/>
  <c r="G315" i="5"/>
  <c r="O311" i="5"/>
  <c r="K311" i="5"/>
  <c r="M311" i="5"/>
  <c r="I311" i="5"/>
  <c r="O307" i="5"/>
  <c r="K307" i="5"/>
  <c r="M307" i="5"/>
  <c r="I307" i="5"/>
  <c r="O303" i="5"/>
  <c r="K303" i="5"/>
  <c r="M303" i="5"/>
  <c r="I303" i="5"/>
  <c r="O299" i="5"/>
  <c r="K299" i="5"/>
  <c r="M299" i="5"/>
  <c r="I299" i="5"/>
  <c r="O295" i="5"/>
  <c r="K295" i="5"/>
  <c r="M295" i="5"/>
  <c r="I295" i="5"/>
  <c r="O291" i="5"/>
  <c r="K291" i="5"/>
  <c r="M291" i="5"/>
  <c r="I291" i="5"/>
  <c r="O287" i="5"/>
  <c r="K287" i="5"/>
  <c r="M287" i="5"/>
  <c r="I287" i="5"/>
  <c r="O283" i="5"/>
  <c r="K283" i="5"/>
  <c r="M283" i="5"/>
  <c r="I283" i="5"/>
  <c r="O279" i="5"/>
  <c r="K279" i="5"/>
  <c r="M279" i="5"/>
  <c r="I279" i="5"/>
  <c r="O275" i="5"/>
  <c r="K275" i="5"/>
  <c r="M275" i="5"/>
  <c r="I275" i="5"/>
  <c r="O271" i="5"/>
  <c r="K271" i="5"/>
  <c r="M271" i="5"/>
  <c r="I271" i="5"/>
  <c r="O267" i="5"/>
  <c r="K267" i="5"/>
  <c r="M267" i="5"/>
  <c r="I267" i="5"/>
  <c r="O263" i="5"/>
  <c r="K263" i="5"/>
  <c r="M263" i="5"/>
  <c r="I263" i="5"/>
  <c r="O259" i="5"/>
  <c r="K259" i="5"/>
  <c r="M259" i="5"/>
  <c r="I259" i="5"/>
  <c r="M255" i="5"/>
  <c r="O255" i="5"/>
  <c r="K255" i="5"/>
  <c r="I255" i="5"/>
  <c r="E320" i="5"/>
  <c r="E315" i="5"/>
  <c r="E303" i="5"/>
  <c r="E298" i="5"/>
  <c r="E287" i="5"/>
  <c r="E282" i="5"/>
  <c r="E271" i="5"/>
  <c r="E266" i="5"/>
  <c r="E255" i="5"/>
  <c r="E250" i="5"/>
  <c r="E244" i="5"/>
  <c r="E239" i="5"/>
  <c r="E234" i="5"/>
  <c r="E228" i="5"/>
  <c r="E223" i="5"/>
  <c r="E218" i="5"/>
  <c r="E212" i="5"/>
  <c r="E207" i="5"/>
  <c r="E202" i="5"/>
  <c r="E196" i="5"/>
  <c r="E191" i="5"/>
  <c r="O187" i="5"/>
  <c r="G307" i="5"/>
  <c r="G299" i="5"/>
  <c r="G291" i="5"/>
  <c r="G283" i="5"/>
  <c r="G275" i="5"/>
  <c r="G267" i="5"/>
  <c r="G259" i="5"/>
  <c r="G243" i="5"/>
  <c r="G227" i="5"/>
  <c r="G211" i="5"/>
  <c r="G195" i="5"/>
  <c r="I315" i="5"/>
  <c r="I298" i="5"/>
  <c r="I266" i="5"/>
  <c r="E319" i="5"/>
  <c r="E312" i="5"/>
  <c r="E307" i="5"/>
  <c r="E296" i="5"/>
  <c r="E291" i="5"/>
  <c r="E286" i="5"/>
  <c r="E280" i="5"/>
  <c r="E275" i="5"/>
  <c r="E270" i="5"/>
  <c r="E264" i="5"/>
  <c r="E259" i="5"/>
  <c r="E248" i="5"/>
  <c r="E238" i="5"/>
  <c r="E232" i="5"/>
  <c r="E222" i="5"/>
  <c r="E216" i="5"/>
  <c r="E206" i="5"/>
  <c r="E200" i="5"/>
  <c r="E188" i="5"/>
  <c r="G321" i="5"/>
  <c r="G248" i="5"/>
  <c r="G240" i="5"/>
  <c r="G232" i="5"/>
  <c r="G224" i="5"/>
  <c r="G216" i="5"/>
  <c r="I278" i="5"/>
  <c r="I262" i="5"/>
  <c r="O253" i="5"/>
  <c r="M253" i="5"/>
  <c r="G253" i="5"/>
  <c r="E253" i="5"/>
  <c r="I253" i="5"/>
  <c r="K253" i="5"/>
  <c r="M241" i="5"/>
  <c r="G241" i="5"/>
  <c r="E241" i="5"/>
  <c r="K241" i="5"/>
  <c r="I241" i="5"/>
  <c r="O241" i="5"/>
  <c r="M229" i="5"/>
  <c r="O229" i="5"/>
  <c r="G229" i="5"/>
  <c r="E229" i="5"/>
  <c r="I229" i="5"/>
  <c r="K229" i="5"/>
  <c r="G217" i="5"/>
  <c r="E217" i="5"/>
  <c r="O217" i="5"/>
  <c r="K217" i="5"/>
  <c r="I217" i="5"/>
  <c r="M217" i="5"/>
  <c r="M197" i="5"/>
  <c r="O197" i="5"/>
  <c r="G197" i="5"/>
  <c r="E197" i="5"/>
  <c r="I197" i="5"/>
  <c r="K197" i="5"/>
  <c r="M322" i="5"/>
  <c r="G322" i="5"/>
  <c r="E322" i="5"/>
  <c r="K322" i="5"/>
  <c r="I322" i="5"/>
  <c r="O322" i="5"/>
  <c r="O302" i="5"/>
  <c r="M302" i="5"/>
  <c r="G302" i="5"/>
  <c r="K302" i="5"/>
  <c r="O294" i="5"/>
  <c r="M294" i="5"/>
  <c r="K294" i="5"/>
  <c r="G294" i="5"/>
  <c r="O282" i="5"/>
  <c r="K282" i="5"/>
  <c r="M282" i="5"/>
  <c r="G282" i="5"/>
  <c r="E323" i="5"/>
  <c r="E317" i="5"/>
  <c r="E311" i="5"/>
  <c r="E306" i="5"/>
  <c r="E295" i="5"/>
  <c r="E290" i="5"/>
  <c r="E279" i="5"/>
  <c r="E274" i="5"/>
  <c r="E263" i="5"/>
  <c r="E258" i="5"/>
  <c r="E247" i="5"/>
  <c r="E242" i="5"/>
  <c r="E236" i="5"/>
  <c r="E231" i="5"/>
  <c r="E226" i="5"/>
  <c r="E220" i="5"/>
  <c r="E215" i="5"/>
  <c r="E210" i="5"/>
  <c r="E204" i="5"/>
  <c r="E194" i="5"/>
  <c r="G187" i="5"/>
  <c r="G311" i="5"/>
  <c r="G303" i="5"/>
  <c r="G295" i="5"/>
  <c r="G287" i="5"/>
  <c r="G279" i="5"/>
  <c r="G271" i="5"/>
  <c r="G263" i="5"/>
  <c r="G255" i="5"/>
  <c r="I323" i="5"/>
  <c r="I306" i="5"/>
  <c r="I290" i="5"/>
  <c r="I274" i="5"/>
  <c r="I258" i="5"/>
  <c r="M245" i="5"/>
  <c r="O245" i="5"/>
  <c r="G245" i="5"/>
  <c r="E245" i="5"/>
  <c r="I245" i="5"/>
  <c r="K245" i="5"/>
  <c r="G233" i="5"/>
  <c r="E233" i="5"/>
  <c r="O233" i="5"/>
  <c r="K233" i="5"/>
  <c r="I233" i="5"/>
  <c r="M233" i="5"/>
  <c r="M221" i="5"/>
  <c r="O221" i="5"/>
  <c r="G221" i="5"/>
  <c r="E221" i="5"/>
  <c r="I221" i="5"/>
  <c r="K221" i="5"/>
  <c r="M209" i="5"/>
  <c r="G209" i="5"/>
  <c r="E209" i="5"/>
  <c r="K209" i="5"/>
  <c r="I209" i="5"/>
  <c r="O209" i="5"/>
  <c r="M193" i="5"/>
  <c r="G193" i="5"/>
  <c r="E193" i="5"/>
  <c r="K193" i="5"/>
  <c r="I193" i="5"/>
  <c r="O193" i="5"/>
  <c r="O310" i="5"/>
  <c r="M310" i="5"/>
  <c r="K310" i="5"/>
  <c r="G310" i="5"/>
  <c r="O252" i="5"/>
  <c r="M252" i="5"/>
  <c r="I252" i="5"/>
  <c r="K252" i="5"/>
  <c r="M251" i="5"/>
  <c r="O251" i="5"/>
  <c r="K251" i="5"/>
  <c r="I251" i="5"/>
  <c r="M247" i="5"/>
  <c r="O247" i="5"/>
  <c r="K247" i="5"/>
  <c r="I247" i="5"/>
  <c r="M243" i="5"/>
  <c r="O243" i="5"/>
  <c r="K243" i="5"/>
  <c r="I243" i="5"/>
  <c r="M239" i="5"/>
  <c r="O239" i="5"/>
  <c r="K239" i="5"/>
  <c r="I239" i="5"/>
  <c r="M235" i="5"/>
  <c r="O235" i="5"/>
  <c r="K235" i="5"/>
  <c r="I235" i="5"/>
  <c r="M231" i="5"/>
  <c r="O231" i="5"/>
  <c r="K231" i="5"/>
  <c r="I231" i="5"/>
  <c r="M227" i="5"/>
  <c r="O227" i="5"/>
  <c r="K227" i="5"/>
  <c r="I227" i="5"/>
  <c r="M223" i="5"/>
  <c r="O223" i="5"/>
  <c r="K223" i="5"/>
  <c r="I223" i="5"/>
  <c r="M219" i="5"/>
  <c r="O219" i="5"/>
  <c r="K219" i="5"/>
  <c r="I219" i="5"/>
  <c r="M215" i="5"/>
  <c r="O215" i="5"/>
  <c r="K215" i="5"/>
  <c r="I215" i="5"/>
  <c r="M211" i="5"/>
  <c r="O211" i="5"/>
  <c r="K211" i="5"/>
  <c r="I211" i="5"/>
  <c r="M207" i="5"/>
  <c r="O207" i="5"/>
  <c r="K207" i="5"/>
  <c r="I207" i="5"/>
  <c r="M203" i="5"/>
  <c r="O203" i="5"/>
  <c r="K203" i="5"/>
  <c r="I203" i="5"/>
  <c r="M199" i="5"/>
  <c r="O199" i="5"/>
  <c r="K199" i="5"/>
  <c r="I199" i="5"/>
  <c r="M195" i="5"/>
  <c r="O195" i="5"/>
  <c r="K195" i="5"/>
  <c r="I195" i="5"/>
  <c r="M191" i="5"/>
  <c r="O191" i="5"/>
  <c r="K191" i="5"/>
  <c r="I191" i="5"/>
  <c r="O254" i="5"/>
  <c r="K254" i="5"/>
  <c r="M254" i="5"/>
  <c r="G254" i="5"/>
  <c r="I254" i="5"/>
  <c r="O320" i="5"/>
  <c r="K320" i="5"/>
  <c r="M320" i="5"/>
  <c r="I320" i="5"/>
  <c r="O316" i="5"/>
  <c r="K316" i="5"/>
  <c r="M316" i="5"/>
  <c r="I316" i="5"/>
  <c r="O312" i="5"/>
  <c r="I312" i="5"/>
  <c r="M312" i="5"/>
  <c r="K312" i="5"/>
  <c r="O308" i="5"/>
  <c r="I308" i="5"/>
  <c r="M308" i="5"/>
  <c r="K308" i="5"/>
  <c r="K304" i="5"/>
  <c r="I304" i="5"/>
  <c r="M304" i="5"/>
  <c r="O304" i="5"/>
  <c r="O300" i="5"/>
  <c r="I300" i="5"/>
  <c r="K300" i="5"/>
  <c r="M300" i="5"/>
  <c r="O296" i="5"/>
  <c r="I296" i="5"/>
  <c r="M296" i="5"/>
  <c r="K296" i="5"/>
  <c r="O292" i="5"/>
  <c r="I292" i="5"/>
  <c r="M292" i="5"/>
  <c r="K292" i="5"/>
  <c r="K288" i="5"/>
  <c r="I288" i="5"/>
  <c r="M288" i="5"/>
  <c r="O288" i="5"/>
  <c r="O284" i="5"/>
  <c r="I284" i="5"/>
  <c r="K284" i="5"/>
  <c r="M284" i="5"/>
  <c r="O280" i="5"/>
  <c r="K280" i="5"/>
  <c r="I280" i="5"/>
  <c r="M280" i="5"/>
  <c r="O276" i="5"/>
  <c r="I276" i="5"/>
  <c r="K276" i="5"/>
  <c r="M276" i="5"/>
  <c r="K272" i="5"/>
  <c r="I272" i="5"/>
  <c r="M272" i="5"/>
  <c r="O272" i="5"/>
  <c r="O268" i="5"/>
  <c r="I268" i="5"/>
  <c r="K268" i="5"/>
  <c r="M268" i="5"/>
  <c r="O264" i="5"/>
  <c r="K264" i="5"/>
  <c r="I264" i="5"/>
  <c r="M264" i="5"/>
  <c r="O260" i="5"/>
  <c r="I260" i="5"/>
  <c r="K260" i="5"/>
  <c r="M260" i="5"/>
  <c r="K256" i="5"/>
  <c r="I256" i="5"/>
  <c r="M256" i="5"/>
  <c r="O256" i="5"/>
  <c r="E321" i="5"/>
  <c r="E316" i="5"/>
  <c r="E310" i="5"/>
  <c r="E304" i="5"/>
  <c r="E299" i="5"/>
  <c r="E294" i="5"/>
  <c r="E288" i="5"/>
  <c r="E283" i="5"/>
  <c r="E278" i="5"/>
  <c r="E272" i="5"/>
  <c r="E267" i="5"/>
  <c r="E262" i="5"/>
  <c r="E256" i="5"/>
  <c r="E251" i="5"/>
  <c r="E246" i="5"/>
  <c r="E240" i="5"/>
  <c r="E235" i="5"/>
  <c r="E230" i="5"/>
  <c r="E224" i="5"/>
  <c r="E219" i="5"/>
  <c r="E214" i="5"/>
  <c r="E208" i="5"/>
  <c r="E203" i="5"/>
  <c r="E198" i="5"/>
  <c r="E192" i="5"/>
  <c r="M187" i="5"/>
  <c r="G317" i="5"/>
  <c r="G308" i="5"/>
  <c r="G300" i="5"/>
  <c r="G292" i="5"/>
  <c r="G284" i="5"/>
  <c r="G276" i="5"/>
  <c r="G268" i="5"/>
  <c r="G260" i="5"/>
  <c r="G252" i="5"/>
  <c r="G244" i="5"/>
  <c r="G236" i="5"/>
  <c r="G228" i="5"/>
  <c r="G220" i="5"/>
  <c r="G212" i="5"/>
  <c r="G199" i="5"/>
  <c r="I319" i="5"/>
  <c r="I302" i="5"/>
  <c r="I286" i="5"/>
  <c r="I270" i="5"/>
  <c r="C332" i="5" l="1"/>
  <c r="C343" i="5"/>
  <c r="F343" i="5"/>
  <c r="X324" i="5"/>
  <c r="D343" i="5"/>
  <c r="R324" i="5"/>
  <c r="F16" i="37" s="1"/>
  <c r="S324" i="5"/>
  <c r="G16" i="37" s="1"/>
  <c r="W324" i="5"/>
  <c r="T324" i="5"/>
  <c r="H16" i="37" s="1"/>
  <c r="V324" i="5"/>
  <c r="J16" i="37" s="1"/>
  <c r="E343" i="5"/>
  <c r="U324" i="5"/>
  <c r="I16" i="37" s="1"/>
  <c r="D332" i="5"/>
  <c r="E332" i="5"/>
  <c r="F332" i="5"/>
  <c r="Q324" i="5"/>
  <c r="G324" i="5"/>
  <c r="G15" i="37" s="1"/>
  <c r="E324" i="5"/>
  <c r="F15" i="37" s="1"/>
  <c r="M324" i="5"/>
  <c r="J15" i="37" s="1"/>
  <c r="I324" i="5"/>
  <c r="H15" i="37" s="1"/>
  <c r="O324" i="5"/>
  <c r="K324" i="5"/>
  <c r="I15" i="37" s="1"/>
  <c r="K114" i="5"/>
  <c r="J114" i="5"/>
  <c r="I114" i="5"/>
  <c r="H114" i="5"/>
  <c r="G114" i="5"/>
  <c r="E536" i="5"/>
  <c r="G16" i="8" l="1"/>
  <c r="G15" i="8"/>
  <c r="G345" i="5"/>
  <c r="G344" i="5"/>
  <c r="H344" i="5" s="1"/>
  <c r="G346" i="5"/>
  <c r="G334" i="5"/>
  <c r="G333" i="5"/>
  <c r="H333" i="5" s="1"/>
  <c r="G335" i="5"/>
  <c r="H332" i="5"/>
  <c r="G367" i="5"/>
  <c r="G370" i="5" s="1"/>
  <c r="G372" i="5" s="1"/>
  <c r="F367" i="5"/>
  <c r="F370" i="5" s="1"/>
  <c r="F372" i="5" s="1"/>
  <c r="E367" i="5"/>
  <c r="E370" i="5" s="1"/>
  <c r="E372" i="5" s="1"/>
  <c r="L367" i="5"/>
  <c r="L370" i="5" s="1"/>
  <c r="L372" i="5" s="1"/>
  <c r="K367" i="5"/>
  <c r="K370" i="5" s="1"/>
  <c r="K372" i="5" s="1"/>
  <c r="J367" i="5"/>
  <c r="J370" i="5" s="1"/>
  <c r="J372" i="5" s="1"/>
  <c r="I367" i="5"/>
  <c r="I370" i="5" s="1"/>
  <c r="I372" i="5" s="1"/>
  <c r="H367" i="5"/>
  <c r="H370" i="5" s="1"/>
  <c r="H372" i="5" s="1"/>
  <c r="L358" i="5"/>
  <c r="K358" i="5"/>
  <c r="J358" i="5"/>
  <c r="I358" i="5"/>
  <c r="H358" i="5"/>
  <c r="L357" i="5"/>
  <c r="K357" i="5"/>
  <c r="J357" i="5"/>
  <c r="I357" i="5"/>
  <c r="H357" i="5"/>
  <c r="L356" i="5"/>
  <c r="K356" i="5"/>
  <c r="J356" i="5"/>
  <c r="I356" i="5"/>
  <c r="H356" i="5"/>
  <c r="L353" i="5"/>
  <c r="K353" i="5"/>
  <c r="J353" i="5"/>
  <c r="I353" i="5"/>
  <c r="H353" i="5"/>
  <c r="L352" i="5"/>
  <c r="K352" i="5"/>
  <c r="J352" i="5"/>
  <c r="I352" i="5"/>
  <c r="H352" i="5"/>
  <c r="G24" i="5"/>
  <c r="G23" i="5"/>
  <c r="G26" i="5" s="1"/>
  <c r="F23" i="5"/>
  <c r="F26" i="5" s="1"/>
  <c r="J24" i="5"/>
  <c r="I24" i="5"/>
  <c r="H24" i="5"/>
  <c r="K15" i="5"/>
  <c r="J15" i="5"/>
  <c r="I15" i="5"/>
  <c r="H15" i="5"/>
  <c r="K14" i="5"/>
  <c r="J14" i="5"/>
  <c r="I14" i="5"/>
  <c r="H14" i="5"/>
  <c r="M13" i="5"/>
  <c r="L14" i="5"/>
  <c r="L15" i="5"/>
  <c r="L13" i="5"/>
  <c r="K13" i="5"/>
  <c r="J13" i="5"/>
  <c r="I13" i="5"/>
  <c r="H13" i="5"/>
  <c r="M10" i="5"/>
  <c r="L10" i="5"/>
  <c r="K10" i="5"/>
  <c r="J10" i="5"/>
  <c r="I10" i="5"/>
  <c r="H10" i="5"/>
  <c r="M9" i="5"/>
  <c r="L9" i="5"/>
  <c r="K9" i="5"/>
  <c r="J9" i="5"/>
  <c r="I9" i="5"/>
  <c r="H9" i="5"/>
  <c r="I16" i="8" l="1"/>
  <c r="H16" i="8"/>
  <c r="H15" i="8"/>
  <c r="I15" i="8"/>
  <c r="L465" i="5"/>
  <c r="K465" i="5"/>
  <c r="J465" i="5"/>
  <c r="I465" i="5"/>
  <c r="H465" i="5"/>
  <c r="J415" i="5"/>
  <c r="I415" i="5"/>
  <c r="H415" i="5"/>
  <c r="G415" i="5"/>
  <c r="F415" i="5"/>
  <c r="J402" i="5"/>
  <c r="I402" i="5"/>
  <c r="H402" i="5"/>
  <c r="G402" i="5"/>
  <c r="F402" i="5"/>
  <c r="L86" i="5"/>
  <c r="K86" i="5"/>
  <c r="J86" i="5"/>
  <c r="I86" i="5"/>
  <c r="H86" i="5"/>
  <c r="K111" i="5"/>
  <c r="J111" i="5"/>
  <c r="I111" i="5"/>
  <c r="H111" i="5"/>
  <c r="G111" i="5"/>
  <c r="J69" i="5"/>
  <c r="I69" i="5"/>
  <c r="H69" i="5"/>
  <c r="G69" i="5"/>
  <c r="F69" i="5"/>
  <c r="J62" i="5"/>
  <c r="I62" i="5"/>
  <c r="H62" i="5"/>
  <c r="G62" i="5"/>
  <c r="F62" i="5"/>
  <c r="J16" i="8" l="1"/>
  <c r="L473" i="5"/>
  <c r="K473" i="5"/>
  <c r="J473" i="5"/>
  <c r="I473" i="5"/>
  <c r="H473" i="5"/>
  <c r="L471" i="5"/>
  <c r="K471" i="5"/>
  <c r="J471" i="5"/>
  <c r="I471" i="5"/>
  <c r="H471" i="5"/>
  <c r="H92" i="5"/>
  <c r="H94" i="5"/>
  <c r="I94" i="5"/>
  <c r="J94" i="5"/>
  <c r="K94" i="5"/>
  <c r="L94" i="5"/>
  <c r="L92" i="5"/>
  <c r="K92" i="5"/>
  <c r="J92" i="5"/>
  <c r="I92" i="5"/>
  <c r="DC4" i="35" l="1"/>
  <c r="D190" i="8"/>
  <c r="E538" i="5"/>
  <c r="H538" i="5" s="1"/>
  <c r="E584" i="5" s="1"/>
  <c r="G584" i="5" s="1"/>
  <c r="I584" i="5" s="1"/>
  <c r="J584" i="5" l="1"/>
  <c r="G601" i="5" s="1"/>
  <c r="K601" i="5"/>
  <c r="F601" i="5"/>
  <c r="N601" i="5"/>
  <c r="J601" i="5"/>
  <c r="M601" i="5"/>
  <c r="I601" i="5"/>
  <c r="L601" i="5"/>
  <c r="H601" i="5"/>
  <c r="E578" i="5"/>
  <c r="F436" i="5"/>
  <c r="E434" i="5"/>
  <c r="F434" i="5" s="1"/>
  <c r="F139" i="5" l="1"/>
  <c r="G139" i="5" s="1"/>
  <c r="G140" i="5" l="1"/>
  <c r="E142" i="5" s="1"/>
  <c r="F435" i="5"/>
  <c r="E435" i="5"/>
  <c r="L889" i="5" l="1"/>
  <c r="L724" i="5"/>
  <c r="M724" i="5" s="1"/>
  <c r="L723" i="5"/>
  <c r="M723" i="5" s="1"/>
  <c r="L888" i="5"/>
  <c r="M888" i="5" s="1"/>
  <c r="E143" i="5"/>
  <c r="G209" i="6"/>
  <c r="E209" i="6"/>
  <c r="C411" i="5" s="1"/>
  <c r="C413" i="5" s="1"/>
  <c r="H4" i="8" l="1"/>
  <c r="N9" i="35" s="1"/>
  <c r="F732" i="5"/>
  <c r="C424" i="5"/>
  <c r="C425" i="5" s="1"/>
  <c r="C137" i="5"/>
  <c r="C142" i="5" s="1"/>
  <c r="G12" i="8" l="1"/>
  <c r="G59" i="6"/>
  <c r="C74" i="5" s="1"/>
  <c r="E59" i="6"/>
  <c r="C67" i="5" s="1"/>
  <c r="H536" i="5" l="1"/>
  <c r="K36" i="6"/>
  <c r="C14" i="5" s="1"/>
  <c r="K37" i="6"/>
  <c r="C15" i="5" s="1"/>
  <c r="K35" i="6"/>
  <c r="C13" i="5" s="1"/>
  <c r="D395" i="5"/>
  <c r="D394" i="5"/>
  <c r="B176" i="5"/>
  <c r="B134" i="5"/>
  <c r="B4" i="5"/>
  <c r="C59" i="6"/>
  <c r="E55" i="5" s="1"/>
  <c r="E56" i="5" s="1"/>
  <c r="B114" i="5"/>
  <c r="K1" i="6"/>
  <c r="C209" i="6"/>
  <c r="E397" i="5" s="1"/>
  <c r="E398" i="5" s="1"/>
  <c r="C394" i="5"/>
  <c r="D541" i="5"/>
  <c r="E541" i="5"/>
  <c r="E641" i="5"/>
  <c r="F646" i="5"/>
  <c r="F649" i="5"/>
  <c r="H306" i="6"/>
  <c r="F647" i="5" s="1"/>
  <c r="H302" i="6"/>
  <c r="E642" i="5" s="1"/>
  <c r="H309" i="6"/>
  <c r="F650" i="5" s="1"/>
  <c r="K187" i="6"/>
  <c r="C357" i="5" s="1"/>
  <c r="K188" i="6"/>
  <c r="C358" i="5" s="1"/>
  <c r="K186" i="6"/>
  <c r="C356" i="5" s="1"/>
  <c r="J187" i="6"/>
  <c r="C353" i="5" s="1"/>
  <c r="J188" i="6"/>
  <c r="C354" i="5" s="1"/>
  <c r="J186" i="6"/>
  <c r="C352" i="5" s="1"/>
  <c r="C395" i="5"/>
  <c r="C2" i="8"/>
  <c r="E553" i="5" l="1"/>
  <c r="G553" i="5" s="1"/>
  <c r="E552" i="5"/>
  <c r="G552" i="5" s="1"/>
  <c r="E551" i="5"/>
  <c r="G551" i="5" s="1"/>
  <c r="E548" i="5"/>
  <c r="E554" i="5"/>
  <c r="E549" i="5"/>
  <c r="G549" i="5" s="1"/>
  <c r="I549" i="5" s="1"/>
  <c r="E550" i="5"/>
  <c r="G550" i="5" s="1"/>
  <c r="E583" i="5"/>
  <c r="G583" i="5" s="1"/>
  <c r="E581" i="5"/>
  <c r="G581" i="5" s="1"/>
  <c r="E579" i="5"/>
  <c r="G579" i="5" s="1"/>
  <c r="I579" i="5" s="1"/>
  <c r="E580" i="5"/>
  <c r="G580" i="5" s="1"/>
  <c r="G578" i="5"/>
  <c r="E582" i="5"/>
  <c r="G582" i="5" s="1"/>
  <c r="C435" i="5"/>
  <c r="E395" i="5"/>
  <c r="E394" i="5"/>
  <c r="F642" i="5"/>
  <c r="D650" i="5" s="1"/>
  <c r="E650" i="5" s="1"/>
  <c r="H650" i="5" s="1"/>
  <c r="J12" i="8"/>
  <c r="F641" i="5"/>
  <c r="D646" i="5" s="1"/>
  <c r="E646" i="5" s="1"/>
  <c r="H646" i="5" s="1"/>
  <c r="H541" i="5"/>
  <c r="CZ4" i="35" l="1"/>
  <c r="G21" i="8"/>
  <c r="J21" i="8" s="1"/>
  <c r="C35" i="8"/>
  <c r="H9" i="35" s="1"/>
  <c r="D184" i="8"/>
  <c r="J180" i="8" s="1"/>
  <c r="F128" i="5"/>
  <c r="F129" i="5" s="1"/>
  <c r="E128" i="5"/>
  <c r="E129" i="5" s="1"/>
  <c r="D129" i="5"/>
  <c r="H544" i="5"/>
  <c r="E615" i="5"/>
  <c r="G615" i="5" s="1"/>
  <c r="I615" i="5" s="1"/>
  <c r="E613" i="5"/>
  <c r="G613" i="5" s="1"/>
  <c r="E555" i="5"/>
  <c r="I580" i="5"/>
  <c r="J580" i="5" s="1"/>
  <c r="G593" i="5" s="1"/>
  <c r="I550" i="5"/>
  <c r="J550" i="5" s="1"/>
  <c r="H563" i="5" s="1"/>
  <c r="L569" i="5"/>
  <c r="M569" i="5"/>
  <c r="J569" i="5"/>
  <c r="F569" i="5"/>
  <c r="I553" i="5"/>
  <c r="J553" i="5" s="1"/>
  <c r="K569" i="5"/>
  <c r="I569" i="5"/>
  <c r="K599" i="5"/>
  <c r="I599" i="5"/>
  <c r="I583" i="5"/>
  <c r="J583" i="5" s="1"/>
  <c r="L599" i="5"/>
  <c r="M599" i="5"/>
  <c r="J599" i="5"/>
  <c r="N599" i="5"/>
  <c r="I27" i="5"/>
  <c r="I29" i="5" s="1"/>
  <c r="E27" i="5"/>
  <c r="E29" i="5" s="1"/>
  <c r="F27" i="5"/>
  <c r="F29" i="5" s="1"/>
  <c r="J27" i="5"/>
  <c r="J29" i="5" s="1"/>
  <c r="H27" i="5"/>
  <c r="H29" i="5" s="1"/>
  <c r="L27" i="5"/>
  <c r="L29" i="5" s="1"/>
  <c r="G27" i="5"/>
  <c r="G29" i="5" s="1"/>
  <c r="K27" i="5"/>
  <c r="K29" i="5" s="1"/>
  <c r="G17" i="5"/>
  <c r="H17" i="5"/>
  <c r="I17" i="5"/>
  <c r="J17" i="5"/>
  <c r="K17" i="5"/>
  <c r="L17" i="5"/>
  <c r="F17" i="5"/>
  <c r="G18" i="5"/>
  <c r="H18" i="5"/>
  <c r="I18" i="5"/>
  <c r="J18" i="5"/>
  <c r="K18" i="5"/>
  <c r="L18" i="5"/>
  <c r="E18" i="5"/>
  <c r="F18" i="5"/>
  <c r="E399" i="5"/>
  <c r="E53" i="5"/>
  <c r="E59" i="5" s="1"/>
  <c r="D493" i="5"/>
  <c r="K493" i="5"/>
  <c r="E493" i="5"/>
  <c r="G493" i="5"/>
  <c r="L493" i="5"/>
  <c r="I493" i="5"/>
  <c r="H493" i="5"/>
  <c r="F493" i="5"/>
  <c r="J493" i="5"/>
  <c r="I490" i="5"/>
  <c r="D490" i="5"/>
  <c r="F490" i="5"/>
  <c r="H490" i="5"/>
  <c r="G490" i="5"/>
  <c r="J490" i="5"/>
  <c r="K490" i="5"/>
  <c r="E490" i="5"/>
  <c r="L470" i="5"/>
  <c r="H470" i="5"/>
  <c r="F91" i="5"/>
  <c r="J91" i="5"/>
  <c r="K470" i="5"/>
  <c r="G470" i="5"/>
  <c r="G91" i="5"/>
  <c r="K91" i="5"/>
  <c r="J470" i="5"/>
  <c r="F470" i="5"/>
  <c r="H91" i="5"/>
  <c r="L91" i="5"/>
  <c r="I470" i="5"/>
  <c r="E470" i="5"/>
  <c r="I91" i="5"/>
  <c r="E91" i="5"/>
  <c r="F511" i="5"/>
  <c r="J511" i="5"/>
  <c r="G511" i="5"/>
  <c r="H511" i="5"/>
  <c r="I511" i="5"/>
  <c r="E416" i="5"/>
  <c r="I416" i="5"/>
  <c r="F416" i="5"/>
  <c r="J416" i="5"/>
  <c r="D416" i="5"/>
  <c r="G416" i="5"/>
  <c r="H416" i="5"/>
  <c r="E609" i="5"/>
  <c r="G609" i="5" s="1"/>
  <c r="I609" i="5" s="1"/>
  <c r="J609" i="5" s="1"/>
  <c r="E612" i="5"/>
  <c r="G612" i="5" s="1"/>
  <c r="E610" i="5"/>
  <c r="G610" i="5" s="1"/>
  <c r="I610" i="5" s="1"/>
  <c r="E611" i="5"/>
  <c r="G611" i="5" s="1"/>
  <c r="I611" i="5" s="1"/>
  <c r="J611" i="5" s="1"/>
  <c r="E614" i="5"/>
  <c r="G614" i="5" s="1"/>
  <c r="J549" i="5"/>
  <c r="M561" i="5"/>
  <c r="I561" i="5"/>
  <c r="L561" i="5"/>
  <c r="J561" i="5"/>
  <c r="F561" i="5"/>
  <c r="K561" i="5"/>
  <c r="E115" i="5"/>
  <c r="I115" i="5"/>
  <c r="G115" i="5"/>
  <c r="L115" i="5"/>
  <c r="J115" i="5"/>
  <c r="K115" i="5"/>
  <c r="H115" i="5"/>
  <c r="K563" i="5"/>
  <c r="I563" i="5"/>
  <c r="M563" i="5"/>
  <c r="J563" i="5"/>
  <c r="L563" i="5"/>
  <c r="F563" i="5"/>
  <c r="I551" i="5"/>
  <c r="G548" i="5"/>
  <c r="I552" i="5"/>
  <c r="F77" i="5"/>
  <c r="I77" i="5"/>
  <c r="G77" i="5"/>
  <c r="J77" i="5"/>
  <c r="E77" i="5"/>
  <c r="H77" i="5"/>
  <c r="C77" i="5"/>
  <c r="D77" i="5"/>
  <c r="F97" i="5"/>
  <c r="L97" i="5"/>
  <c r="E97" i="5"/>
  <c r="K97" i="5"/>
  <c r="J97" i="5"/>
  <c r="I97" i="5"/>
  <c r="G97" i="5"/>
  <c r="H97" i="5"/>
  <c r="D112" i="5"/>
  <c r="G112" i="5"/>
  <c r="K112" i="5"/>
  <c r="J112" i="5"/>
  <c r="H112" i="5"/>
  <c r="I112" i="5"/>
  <c r="H361" i="5"/>
  <c r="L361" i="5"/>
  <c r="J361" i="5"/>
  <c r="I361" i="5"/>
  <c r="K361" i="5"/>
  <c r="K87" i="5"/>
  <c r="J87" i="5"/>
  <c r="H87" i="5"/>
  <c r="L87" i="5"/>
  <c r="I87" i="5"/>
  <c r="E428" i="5"/>
  <c r="I428" i="5"/>
  <c r="D428" i="5"/>
  <c r="F428" i="5"/>
  <c r="J428" i="5"/>
  <c r="G428" i="5"/>
  <c r="C428" i="5"/>
  <c r="H428" i="5"/>
  <c r="H468" i="5"/>
  <c r="J468" i="5"/>
  <c r="E468" i="5"/>
  <c r="F468" i="5"/>
  <c r="K468" i="5"/>
  <c r="G468" i="5"/>
  <c r="L468" i="5"/>
  <c r="I468" i="5"/>
  <c r="I472" i="5"/>
  <c r="E472" i="5"/>
  <c r="F472" i="5"/>
  <c r="J472" i="5"/>
  <c r="G472" i="5"/>
  <c r="K472" i="5"/>
  <c r="H472" i="5"/>
  <c r="L472" i="5"/>
  <c r="M593" i="5"/>
  <c r="J593" i="5"/>
  <c r="N593" i="5"/>
  <c r="K593" i="5"/>
  <c r="I593" i="5"/>
  <c r="L593" i="5"/>
  <c r="H70" i="5"/>
  <c r="I70" i="5"/>
  <c r="F70" i="5"/>
  <c r="J70" i="5"/>
  <c r="G70" i="5"/>
  <c r="I474" i="5"/>
  <c r="E474" i="5"/>
  <c r="H474" i="5"/>
  <c r="F474" i="5"/>
  <c r="J474" i="5"/>
  <c r="G474" i="5"/>
  <c r="K474" i="5"/>
  <c r="L474" i="5"/>
  <c r="K591" i="5"/>
  <c r="I591" i="5"/>
  <c r="L591" i="5"/>
  <c r="N591" i="5"/>
  <c r="J591" i="5"/>
  <c r="J579" i="5"/>
  <c r="M591" i="5"/>
  <c r="K360" i="5"/>
  <c r="J360" i="5"/>
  <c r="H360" i="5"/>
  <c r="L360" i="5"/>
  <c r="I360" i="5"/>
  <c r="C416" i="5"/>
  <c r="I582" i="5"/>
  <c r="I581" i="5"/>
  <c r="J581" i="5" s="1"/>
  <c r="F466" i="5"/>
  <c r="J466" i="5"/>
  <c r="G466" i="5"/>
  <c r="K466" i="5"/>
  <c r="E466" i="5"/>
  <c r="H466" i="5"/>
  <c r="L466" i="5"/>
  <c r="I466" i="5"/>
  <c r="I476" i="5"/>
  <c r="E476" i="5"/>
  <c r="F476" i="5"/>
  <c r="J476" i="5"/>
  <c r="G476" i="5"/>
  <c r="K476" i="5"/>
  <c r="H476" i="5"/>
  <c r="L476" i="5"/>
  <c r="I578" i="5"/>
  <c r="J578" i="5" s="1"/>
  <c r="H95" i="5"/>
  <c r="L95" i="5"/>
  <c r="K95" i="5"/>
  <c r="I95" i="5"/>
  <c r="J95" i="5"/>
  <c r="J93" i="5"/>
  <c r="K93" i="5"/>
  <c r="H93" i="5"/>
  <c r="L93" i="5"/>
  <c r="I93" i="5"/>
  <c r="E93" i="5"/>
  <c r="G93" i="5"/>
  <c r="F93" i="5"/>
  <c r="G95" i="5"/>
  <c r="F95" i="5"/>
  <c r="E95" i="5"/>
  <c r="H525" i="5"/>
  <c r="F525" i="5"/>
  <c r="E525" i="5"/>
  <c r="F523" i="5"/>
  <c r="H523" i="5"/>
  <c r="G87" i="5"/>
  <c r="F87" i="5"/>
  <c r="E87" i="5"/>
  <c r="E89" i="5"/>
  <c r="G89" i="5"/>
  <c r="F89" i="5"/>
  <c r="E361" i="5"/>
  <c r="D523" i="5"/>
  <c r="E523" i="5"/>
  <c r="D649" i="5"/>
  <c r="E649" i="5" s="1"/>
  <c r="H649" i="5" s="1"/>
  <c r="G360" i="5"/>
  <c r="F361" i="5"/>
  <c r="F395" i="5"/>
  <c r="E360" i="5"/>
  <c r="G361" i="5"/>
  <c r="F360" i="5"/>
  <c r="E17" i="5"/>
  <c r="D115" i="5"/>
  <c r="F115" i="5"/>
  <c r="E70" i="5"/>
  <c r="D70" i="5"/>
  <c r="C70" i="5"/>
  <c r="D647" i="5"/>
  <c r="E647" i="5" s="1"/>
  <c r="H647" i="5" s="1"/>
  <c r="F643" i="5"/>
  <c r="F112" i="5"/>
  <c r="E112" i="5"/>
  <c r="F52" i="5"/>
  <c r="DT4" i="35" l="1"/>
  <c r="D195" i="8"/>
  <c r="DH4" i="35"/>
  <c r="G11" i="8"/>
  <c r="J11" i="8" s="1"/>
  <c r="G554" i="5"/>
  <c r="I554" i="5" s="1"/>
  <c r="H571" i="5" s="1"/>
  <c r="J615" i="5"/>
  <c r="G632" i="5" s="1"/>
  <c r="L632" i="5"/>
  <c r="H632" i="5"/>
  <c r="K632" i="5"/>
  <c r="F632" i="5"/>
  <c r="N632" i="5"/>
  <c r="J632" i="5"/>
  <c r="M632" i="5"/>
  <c r="I632" i="5"/>
  <c r="H593" i="5"/>
  <c r="F593" i="5"/>
  <c r="G563" i="5"/>
  <c r="I117" i="5"/>
  <c r="H10" i="37" s="1"/>
  <c r="F117" i="5"/>
  <c r="F495" i="5"/>
  <c r="I495" i="5"/>
  <c r="H24" i="37" s="1"/>
  <c r="G599" i="5"/>
  <c r="H599" i="5"/>
  <c r="F599" i="5"/>
  <c r="L630" i="5"/>
  <c r="M630" i="5"/>
  <c r="J630" i="5"/>
  <c r="N630" i="5"/>
  <c r="K630" i="5"/>
  <c r="I630" i="5"/>
  <c r="I614" i="5"/>
  <c r="J614" i="5" s="1"/>
  <c r="H624" i="5"/>
  <c r="F624" i="5"/>
  <c r="G624" i="5"/>
  <c r="G569" i="5"/>
  <c r="H569" i="5"/>
  <c r="E117" i="5"/>
  <c r="J117" i="5"/>
  <c r="I10" i="37" s="1"/>
  <c r="G117" i="5"/>
  <c r="F10" i="37" s="1"/>
  <c r="H117" i="5"/>
  <c r="G10" i="37" s="1"/>
  <c r="G495" i="5"/>
  <c r="F24" i="37" s="1"/>
  <c r="E495" i="5"/>
  <c r="H495" i="5"/>
  <c r="G24" i="37" s="1"/>
  <c r="K117" i="5"/>
  <c r="J10" i="37" s="1"/>
  <c r="D117" i="5"/>
  <c r="K495" i="5"/>
  <c r="J24" i="37" s="1"/>
  <c r="J495" i="5"/>
  <c r="I24" i="37" s="1"/>
  <c r="D495" i="5"/>
  <c r="I478" i="5"/>
  <c r="G23" i="37" s="1"/>
  <c r="K478" i="5"/>
  <c r="I23" i="37" s="1"/>
  <c r="L478" i="5"/>
  <c r="J23" i="37" s="1"/>
  <c r="H478" i="5"/>
  <c r="F23" i="37" s="1"/>
  <c r="J478" i="5"/>
  <c r="H23" i="37" s="1"/>
  <c r="F478" i="5"/>
  <c r="G478" i="5"/>
  <c r="E478" i="5"/>
  <c r="G99" i="5"/>
  <c r="I99" i="5"/>
  <c r="G9" i="37" s="1"/>
  <c r="K99" i="5"/>
  <c r="I9" i="37" s="1"/>
  <c r="L99" i="5"/>
  <c r="J9" i="37" s="1"/>
  <c r="E99" i="5"/>
  <c r="H99" i="5"/>
  <c r="F9" i="37" s="1"/>
  <c r="F99" i="5"/>
  <c r="J99" i="5"/>
  <c r="H9" i="37" s="1"/>
  <c r="K20" i="5"/>
  <c r="K41" i="5" s="1"/>
  <c r="I7" i="37" s="1"/>
  <c r="I20" i="5"/>
  <c r="I41" i="5" s="1"/>
  <c r="G7" i="37" s="1"/>
  <c r="F20" i="5"/>
  <c r="F41" i="5" s="1"/>
  <c r="L20" i="5"/>
  <c r="L41" i="5" s="1"/>
  <c r="J7" i="37" s="1"/>
  <c r="J20" i="5"/>
  <c r="J41" i="5" s="1"/>
  <c r="H7" i="37" s="1"/>
  <c r="H20" i="5"/>
  <c r="H41" i="5" s="1"/>
  <c r="F7" i="37" s="1"/>
  <c r="D63" i="5"/>
  <c r="D80" i="5" s="1"/>
  <c r="E63" i="5"/>
  <c r="E80" i="5" s="1"/>
  <c r="F63" i="5"/>
  <c r="F80" i="5" s="1"/>
  <c r="F8" i="37" s="1"/>
  <c r="G63" i="5"/>
  <c r="G80" i="5" s="1"/>
  <c r="G8" i="37" s="1"/>
  <c r="H63" i="5"/>
  <c r="H80" i="5" s="1"/>
  <c r="H8" i="37" s="1"/>
  <c r="I63" i="5"/>
  <c r="I80" i="5" s="1"/>
  <c r="I8" i="37" s="1"/>
  <c r="J63" i="5"/>
  <c r="J80" i="5" s="1"/>
  <c r="J8" i="37" s="1"/>
  <c r="G20" i="5"/>
  <c r="G41" i="5" s="1"/>
  <c r="H513" i="5"/>
  <c r="H17" i="37" s="1"/>
  <c r="G513" i="5"/>
  <c r="G17" i="37" s="1"/>
  <c r="C63" i="5"/>
  <c r="C80" i="5" s="1"/>
  <c r="I513" i="5"/>
  <c r="I17" i="37" s="1"/>
  <c r="C513" i="5"/>
  <c r="F513" i="5"/>
  <c r="F17" i="37" s="1"/>
  <c r="J513" i="5"/>
  <c r="J17" i="37" s="1"/>
  <c r="H363" i="5"/>
  <c r="H384" i="5" s="1"/>
  <c r="F19" i="37" s="1"/>
  <c r="E526" i="5"/>
  <c r="F526" i="5"/>
  <c r="L363" i="5"/>
  <c r="L384" i="5" s="1"/>
  <c r="J19" i="37" s="1"/>
  <c r="H526" i="5"/>
  <c r="G18" i="37" s="1"/>
  <c r="I613" i="5"/>
  <c r="J613" i="5" s="1"/>
  <c r="I612" i="5"/>
  <c r="J612" i="5" s="1"/>
  <c r="K620" i="5"/>
  <c r="I620" i="5"/>
  <c r="L620" i="5"/>
  <c r="M620" i="5"/>
  <c r="J620" i="5"/>
  <c r="N620" i="5"/>
  <c r="J624" i="5"/>
  <c r="N624" i="5"/>
  <c r="K624" i="5"/>
  <c r="I624" i="5"/>
  <c r="L624" i="5"/>
  <c r="M624" i="5"/>
  <c r="J610" i="5"/>
  <c r="L622" i="5"/>
  <c r="M622" i="5"/>
  <c r="J622" i="5"/>
  <c r="N622" i="5"/>
  <c r="K622" i="5"/>
  <c r="I622" i="5"/>
  <c r="J363" i="5"/>
  <c r="J384" i="5" s="1"/>
  <c r="H19" i="37" s="1"/>
  <c r="I363" i="5"/>
  <c r="I384" i="5" s="1"/>
  <c r="G19" i="37" s="1"/>
  <c r="G561" i="5"/>
  <c r="H561" i="5"/>
  <c r="J552" i="5"/>
  <c r="K567" i="5"/>
  <c r="I567" i="5"/>
  <c r="F567" i="5"/>
  <c r="L567" i="5"/>
  <c r="M567" i="5"/>
  <c r="J567" i="5"/>
  <c r="M565" i="5"/>
  <c r="K565" i="5"/>
  <c r="J565" i="5"/>
  <c r="F565" i="5"/>
  <c r="I565" i="5"/>
  <c r="J551" i="5"/>
  <c r="L565" i="5"/>
  <c r="I548" i="5"/>
  <c r="K363" i="5"/>
  <c r="K384" i="5" s="1"/>
  <c r="I19" i="37" s="1"/>
  <c r="K595" i="5"/>
  <c r="I595" i="5"/>
  <c r="L595" i="5"/>
  <c r="M595" i="5"/>
  <c r="J595" i="5"/>
  <c r="N595" i="5"/>
  <c r="D403" i="5"/>
  <c r="I403" i="5"/>
  <c r="J403" i="5"/>
  <c r="G403" i="5"/>
  <c r="F403" i="5"/>
  <c r="H403" i="5"/>
  <c r="J589" i="5"/>
  <c r="N589" i="5"/>
  <c r="K589" i="5"/>
  <c r="I589" i="5"/>
  <c r="L589" i="5"/>
  <c r="M589" i="5"/>
  <c r="G591" i="5"/>
  <c r="H591" i="5"/>
  <c r="F591" i="5"/>
  <c r="J582" i="5"/>
  <c r="M597" i="5"/>
  <c r="J597" i="5"/>
  <c r="N597" i="5"/>
  <c r="K597" i="5"/>
  <c r="I597" i="5"/>
  <c r="L597" i="5"/>
  <c r="D526" i="5"/>
  <c r="E363" i="5"/>
  <c r="M361" i="5"/>
  <c r="C403" i="5"/>
  <c r="E403" i="5"/>
  <c r="H652" i="5"/>
  <c r="M360" i="5"/>
  <c r="F363" i="5"/>
  <c r="G363" i="5"/>
  <c r="E513" i="5"/>
  <c r="D513" i="5"/>
  <c r="N18" i="5"/>
  <c r="N17" i="5"/>
  <c r="E20" i="5"/>
  <c r="E41" i="5" s="1"/>
  <c r="J14" i="37" l="1"/>
  <c r="G14" i="37"/>
  <c r="DX4" i="35" s="1"/>
  <c r="F14" i="37"/>
  <c r="I14" i="37"/>
  <c r="DZ4" i="35" s="1"/>
  <c r="H14" i="37"/>
  <c r="DY4" i="35" s="1"/>
  <c r="D183" i="8"/>
  <c r="CY4" i="35"/>
  <c r="I23" i="8"/>
  <c r="I10" i="8"/>
  <c r="H17" i="8"/>
  <c r="H23" i="8"/>
  <c r="H24" i="8"/>
  <c r="I17" i="8"/>
  <c r="G8" i="8"/>
  <c r="G9" i="8"/>
  <c r="I9" i="8"/>
  <c r="G10" i="8"/>
  <c r="H10" i="8"/>
  <c r="G17" i="8"/>
  <c r="H8" i="8"/>
  <c r="H9" i="8"/>
  <c r="G18" i="8"/>
  <c r="J18" i="8" s="1"/>
  <c r="I8" i="8"/>
  <c r="G23" i="8"/>
  <c r="G24" i="8"/>
  <c r="I24" i="8"/>
  <c r="K571" i="5"/>
  <c r="J554" i="5"/>
  <c r="G571" i="5" s="1"/>
  <c r="M571" i="5"/>
  <c r="L571" i="5"/>
  <c r="J571" i="5"/>
  <c r="I571" i="5"/>
  <c r="F571" i="5"/>
  <c r="E662" i="5"/>
  <c r="G662" i="5" s="1"/>
  <c r="I662" i="5" s="1"/>
  <c r="D430" i="5"/>
  <c r="G430" i="5"/>
  <c r="G20" i="37" s="1"/>
  <c r="E430" i="5"/>
  <c r="C430" i="5"/>
  <c r="H430" i="5"/>
  <c r="H20" i="37" s="1"/>
  <c r="I430" i="5"/>
  <c r="I20" i="37" s="1"/>
  <c r="F430" i="5"/>
  <c r="F20" i="37" s="1"/>
  <c r="J430" i="5"/>
  <c r="J20" i="37" s="1"/>
  <c r="L602" i="5"/>
  <c r="I915" i="5" s="1"/>
  <c r="J602" i="5"/>
  <c r="G915" i="5" s="1"/>
  <c r="I602" i="5"/>
  <c r="F915" i="5" s="1"/>
  <c r="K602" i="5"/>
  <c r="H915" i="5" s="1"/>
  <c r="M602" i="5"/>
  <c r="J915" i="5" s="1"/>
  <c r="N602" i="5"/>
  <c r="G384" i="5"/>
  <c r="F384" i="5"/>
  <c r="E384" i="5"/>
  <c r="H565" i="5"/>
  <c r="G565" i="5"/>
  <c r="G630" i="5"/>
  <c r="H630" i="5"/>
  <c r="F630" i="5"/>
  <c r="E656" i="5"/>
  <c r="G656" i="5" s="1"/>
  <c r="G696" i="5"/>
  <c r="I696" i="5" s="1"/>
  <c r="G693" i="5"/>
  <c r="I693" i="5" s="1"/>
  <c r="J693" i="5" s="1"/>
  <c r="G694" i="5"/>
  <c r="G692" i="5"/>
  <c r="I692" i="5" s="1"/>
  <c r="N894" i="5" s="1"/>
  <c r="N897" i="5" s="1"/>
  <c r="G695" i="5"/>
  <c r="E660" i="5"/>
  <c r="G660" i="5" s="1"/>
  <c r="E661" i="5"/>
  <c r="G661" i="5" s="1"/>
  <c r="E659" i="5"/>
  <c r="G659" i="5" s="1"/>
  <c r="E657" i="5"/>
  <c r="G657" i="5" s="1"/>
  <c r="I657" i="5" s="1"/>
  <c r="E658" i="5"/>
  <c r="G658" i="5" s="1"/>
  <c r="I658" i="5" s="1"/>
  <c r="J658" i="5" s="1"/>
  <c r="M628" i="5"/>
  <c r="I628" i="5"/>
  <c r="J628" i="5"/>
  <c r="L628" i="5"/>
  <c r="K628" i="5"/>
  <c r="N628" i="5"/>
  <c r="G589" i="5"/>
  <c r="H589" i="5"/>
  <c r="F589" i="5"/>
  <c r="G622" i="5"/>
  <c r="H622" i="5"/>
  <c r="F622" i="5"/>
  <c r="F597" i="5"/>
  <c r="G597" i="5"/>
  <c r="H597" i="5"/>
  <c r="G620" i="5"/>
  <c r="H620" i="5"/>
  <c r="F620" i="5"/>
  <c r="G628" i="5"/>
  <c r="H628" i="5"/>
  <c r="F628" i="5"/>
  <c r="K626" i="5"/>
  <c r="I626" i="5"/>
  <c r="L626" i="5"/>
  <c r="M626" i="5"/>
  <c r="M633" i="5" s="1"/>
  <c r="J626" i="5"/>
  <c r="N626" i="5"/>
  <c r="H595" i="5"/>
  <c r="F595" i="5"/>
  <c r="G595" i="5"/>
  <c r="K559" i="5"/>
  <c r="I559" i="5"/>
  <c r="F559" i="5"/>
  <c r="L559" i="5"/>
  <c r="J548" i="5"/>
  <c r="M559" i="5"/>
  <c r="J559" i="5"/>
  <c r="H567" i="5"/>
  <c r="G567" i="5"/>
  <c r="N361" i="5"/>
  <c r="O18" i="5"/>
  <c r="EA4" i="35" l="1"/>
  <c r="DW4" i="35"/>
  <c r="D192" i="8"/>
  <c r="DE4" i="35"/>
  <c r="J9" i="8"/>
  <c r="J14" i="8" s="1"/>
  <c r="J23" i="8"/>
  <c r="J17" i="8"/>
  <c r="J10" i="8"/>
  <c r="M572" i="5"/>
  <c r="J905" i="5" s="1"/>
  <c r="J24" i="8"/>
  <c r="J8" i="8"/>
  <c r="G19" i="8"/>
  <c r="I20" i="8"/>
  <c r="H19" i="8"/>
  <c r="G20" i="8"/>
  <c r="I19" i="8"/>
  <c r="H20" i="8"/>
  <c r="I572" i="5"/>
  <c r="F905" i="5" s="1"/>
  <c r="J572" i="5"/>
  <c r="G905" i="5" s="1"/>
  <c r="F572" i="5"/>
  <c r="C905" i="5" s="1"/>
  <c r="C908" i="5" s="1"/>
  <c r="K572" i="5"/>
  <c r="H905" i="5" s="1"/>
  <c r="L572" i="5"/>
  <c r="I905" i="5" s="1"/>
  <c r="L633" i="5"/>
  <c r="N633" i="5"/>
  <c r="I633" i="5"/>
  <c r="K633" i="5"/>
  <c r="G602" i="5"/>
  <c r="D915" i="5" s="1"/>
  <c r="J633" i="5"/>
  <c r="G916" i="5" s="1"/>
  <c r="G917" i="5" s="1"/>
  <c r="G922" i="5" s="1"/>
  <c r="H602" i="5"/>
  <c r="E915" i="5" s="1"/>
  <c r="F602" i="5"/>
  <c r="C915" i="5" s="1"/>
  <c r="J662" i="5"/>
  <c r="K679" i="5"/>
  <c r="H679" i="5"/>
  <c r="L679" i="5"/>
  <c r="I679" i="5"/>
  <c r="M679" i="5"/>
  <c r="J679" i="5"/>
  <c r="F679" i="5"/>
  <c r="E663" i="5"/>
  <c r="H559" i="5"/>
  <c r="H572" i="5" s="1"/>
  <c r="G559" i="5"/>
  <c r="G572" i="5" s="1"/>
  <c r="F705" i="5"/>
  <c r="G705" i="5"/>
  <c r="H705" i="5"/>
  <c r="M711" i="5"/>
  <c r="J696" i="5"/>
  <c r="J711" i="5"/>
  <c r="N711" i="5"/>
  <c r="K711" i="5"/>
  <c r="I711" i="5"/>
  <c r="L711" i="5"/>
  <c r="J677" i="5"/>
  <c r="N677" i="5"/>
  <c r="K677" i="5"/>
  <c r="I677" i="5"/>
  <c r="I661" i="5"/>
  <c r="J661" i="5" s="1"/>
  <c r="L677" i="5"/>
  <c r="M677" i="5"/>
  <c r="G671" i="5"/>
  <c r="H671" i="5"/>
  <c r="F671" i="5"/>
  <c r="N729" i="5"/>
  <c r="H830" i="5"/>
  <c r="J841" i="5"/>
  <c r="K841" i="5"/>
  <c r="L841" i="5"/>
  <c r="M841" i="5"/>
  <c r="N841" i="5"/>
  <c r="I841" i="5"/>
  <c r="G829" i="5"/>
  <c r="J692" i="5"/>
  <c r="J703" i="5"/>
  <c r="K703" i="5"/>
  <c r="L703" i="5"/>
  <c r="M703" i="5"/>
  <c r="N703" i="5"/>
  <c r="I703" i="5"/>
  <c r="J705" i="5"/>
  <c r="K705" i="5"/>
  <c r="L705" i="5"/>
  <c r="M705" i="5"/>
  <c r="N705" i="5"/>
  <c r="I705" i="5"/>
  <c r="I695" i="5"/>
  <c r="I694" i="5"/>
  <c r="J694" i="5" s="1"/>
  <c r="I691" i="5"/>
  <c r="J691" i="5" s="1"/>
  <c r="I656" i="5"/>
  <c r="J656" i="5" s="1"/>
  <c r="L671" i="5"/>
  <c r="M671" i="5"/>
  <c r="N671" i="5"/>
  <c r="I671" i="5"/>
  <c r="J671" i="5"/>
  <c r="K671" i="5"/>
  <c r="J657" i="5"/>
  <c r="J669" i="5"/>
  <c r="K669" i="5"/>
  <c r="L669" i="5"/>
  <c r="M669" i="5"/>
  <c r="N669" i="5"/>
  <c r="I669" i="5"/>
  <c r="I659" i="5"/>
  <c r="J659" i="5" s="1"/>
  <c r="I660" i="5"/>
  <c r="G626" i="5"/>
  <c r="H626" i="5"/>
  <c r="F626" i="5"/>
  <c r="I7" i="8"/>
  <c r="H7" i="8"/>
  <c r="G7" i="8"/>
  <c r="J20" i="8" l="1"/>
  <c r="D194" i="8" s="1"/>
  <c r="J184" i="8" s="1"/>
  <c r="D182" i="8"/>
  <c r="CX4" i="35"/>
  <c r="D197" i="8"/>
  <c r="DJ4" i="35"/>
  <c r="D181" i="8"/>
  <c r="CW4" i="35"/>
  <c r="D198" i="8"/>
  <c r="DK4" i="35"/>
  <c r="DD4" i="35"/>
  <c r="D191" i="8"/>
  <c r="J182" i="8" s="1"/>
  <c r="D180" i="8"/>
  <c r="CV4" i="35"/>
  <c r="J19" i="8"/>
  <c r="G26" i="8"/>
  <c r="G633" i="5"/>
  <c r="D916" i="5" s="1"/>
  <c r="D917" i="5" s="1"/>
  <c r="D922" i="5" s="1"/>
  <c r="H633" i="5"/>
  <c r="E916" i="5" s="1"/>
  <c r="E917" i="5" s="1"/>
  <c r="E922" i="5" s="1"/>
  <c r="F633" i="5"/>
  <c r="C916" i="5" s="1"/>
  <c r="C917" i="5" s="1"/>
  <c r="C922" i="5" s="1"/>
  <c r="G679" i="5"/>
  <c r="G25" i="37"/>
  <c r="D905" i="5"/>
  <c r="E905" i="5"/>
  <c r="H907" i="5"/>
  <c r="H908" i="5" s="1"/>
  <c r="G907" i="5"/>
  <c r="G908" i="5" s="1"/>
  <c r="J907" i="5"/>
  <c r="F907" i="5"/>
  <c r="F908" i="5" s="1"/>
  <c r="I907" i="5"/>
  <c r="H711" i="5"/>
  <c r="F711" i="5"/>
  <c r="G711" i="5"/>
  <c r="H829" i="5"/>
  <c r="F677" i="5"/>
  <c r="G677" i="5"/>
  <c r="H677" i="5"/>
  <c r="J839" i="5"/>
  <c r="K839" i="5"/>
  <c r="L839" i="5"/>
  <c r="M839" i="5"/>
  <c r="N839" i="5"/>
  <c r="I839" i="5"/>
  <c r="L845" i="5"/>
  <c r="M845" i="5"/>
  <c r="N845" i="5"/>
  <c r="I845" i="5"/>
  <c r="J845" i="5"/>
  <c r="K845" i="5"/>
  <c r="H833" i="5"/>
  <c r="M847" i="5"/>
  <c r="N847" i="5"/>
  <c r="I847" i="5"/>
  <c r="J847" i="5"/>
  <c r="K847" i="5"/>
  <c r="L847" i="5"/>
  <c r="F841" i="5"/>
  <c r="G841" i="5"/>
  <c r="H841" i="5"/>
  <c r="F916" i="5"/>
  <c r="F917" i="5" s="1"/>
  <c r="F922" i="5" s="1"/>
  <c r="J916" i="5"/>
  <c r="J917" i="5" s="1"/>
  <c r="J922" i="5" s="1"/>
  <c r="H916" i="5"/>
  <c r="H917" i="5" s="1"/>
  <c r="H922" i="5" s="1"/>
  <c r="I916" i="5"/>
  <c r="I917" i="5" s="1"/>
  <c r="I922" i="5" s="1"/>
  <c r="I701" i="5"/>
  <c r="J701" i="5"/>
  <c r="K701" i="5"/>
  <c r="L701" i="5"/>
  <c r="M701" i="5"/>
  <c r="N701" i="5"/>
  <c r="J707" i="5"/>
  <c r="K707" i="5"/>
  <c r="L707" i="5"/>
  <c r="M707" i="5"/>
  <c r="N707" i="5"/>
  <c r="I707" i="5"/>
  <c r="G703" i="5"/>
  <c r="H703" i="5"/>
  <c r="F703" i="5"/>
  <c r="J695" i="5"/>
  <c r="K709" i="5"/>
  <c r="L709" i="5"/>
  <c r="M709" i="5"/>
  <c r="N709" i="5"/>
  <c r="I709" i="5"/>
  <c r="J709" i="5"/>
  <c r="J667" i="5"/>
  <c r="K667" i="5"/>
  <c r="L667" i="5"/>
  <c r="M667" i="5"/>
  <c r="N667" i="5"/>
  <c r="I667" i="5"/>
  <c r="J660" i="5"/>
  <c r="L675" i="5"/>
  <c r="M675" i="5"/>
  <c r="N675" i="5"/>
  <c r="I675" i="5"/>
  <c r="K675" i="5"/>
  <c r="J675" i="5"/>
  <c r="N673" i="5"/>
  <c r="I673" i="5"/>
  <c r="J673" i="5"/>
  <c r="K673" i="5"/>
  <c r="L673" i="5"/>
  <c r="M673" i="5"/>
  <c r="F669" i="5"/>
  <c r="G669" i="5"/>
  <c r="H669" i="5"/>
  <c r="J7" i="8"/>
  <c r="H26" i="37" l="1"/>
  <c r="F26" i="37"/>
  <c r="G26" i="37"/>
  <c r="G27" i="37" s="1"/>
  <c r="J908" i="5"/>
  <c r="J26" i="37" s="1"/>
  <c r="I908" i="5"/>
  <c r="I26" i="37" s="1"/>
  <c r="DG4" i="35"/>
  <c r="D193" i="8"/>
  <c r="J183" i="8" s="1"/>
  <c r="DF4" i="35"/>
  <c r="D179" i="8"/>
  <c r="J179" i="8" s="1"/>
  <c r="CU4" i="35"/>
  <c r="C34" i="8"/>
  <c r="G9" i="35" s="1"/>
  <c r="L9" i="35" s="1"/>
  <c r="M852" i="5"/>
  <c r="N852" i="5"/>
  <c r="J852" i="5"/>
  <c r="L852" i="5"/>
  <c r="I852" i="5"/>
  <c r="K852" i="5"/>
  <c r="I680" i="5"/>
  <c r="N680" i="5"/>
  <c r="J680" i="5"/>
  <c r="M680" i="5"/>
  <c r="L680" i="5"/>
  <c r="K680" i="5"/>
  <c r="J25" i="37"/>
  <c r="I25" i="8"/>
  <c r="F25" i="37"/>
  <c r="H25" i="8"/>
  <c r="I25" i="37"/>
  <c r="H25" i="37"/>
  <c r="G25" i="8"/>
  <c r="D907" i="5"/>
  <c r="D908" i="5" s="1"/>
  <c r="K712" i="5"/>
  <c r="L712" i="5"/>
  <c r="N712" i="5"/>
  <c r="J712" i="5"/>
  <c r="M712" i="5"/>
  <c r="G845" i="5"/>
  <c r="H845" i="5"/>
  <c r="F845" i="5"/>
  <c r="G847" i="5"/>
  <c r="H847" i="5"/>
  <c r="F847" i="5"/>
  <c r="H839" i="5"/>
  <c r="F839" i="5"/>
  <c r="G839" i="5"/>
  <c r="N878" i="5"/>
  <c r="I878" i="5"/>
  <c r="L878" i="5"/>
  <c r="J878" i="5"/>
  <c r="K878" i="5"/>
  <c r="M889" i="5" s="1"/>
  <c r="F897" i="5" s="1"/>
  <c r="C930" i="5" s="1"/>
  <c r="M878" i="5"/>
  <c r="F707" i="5"/>
  <c r="G707" i="5"/>
  <c r="H707" i="5"/>
  <c r="G709" i="5"/>
  <c r="H709" i="5"/>
  <c r="F709" i="5"/>
  <c r="G701" i="5"/>
  <c r="H701" i="5"/>
  <c r="F701" i="5"/>
  <c r="I712" i="5"/>
  <c r="G675" i="5"/>
  <c r="H675" i="5"/>
  <c r="F675" i="5"/>
  <c r="G673" i="5"/>
  <c r="H673" i="5"/>
  <c r="F673" i="5"/>
  <c r="F667" i="5"/>
  <c r="H667" i="5"/>
  <c r="G667" i="5"/>
  <c r="J15" i="8"/>
  <c r="J27" i="8" s="1"/>
  <c r="H27" i="37" l="1"/>
  <c r="F27" i="37"/>
  <c r="EB4" i="35" s="1"/>
  <c r="I27" i="37"/>
  <c r="J27" i="37"/>
  <c r="EF4" i="35" s="1"/>
  <c r="G30" i="8"/>
  <c r="J30" i="8" s="1"/>
  <c r="H26" i="8"/>
  <c r="L180" i="8"/>
  <c r="EC4" i="35"/>
  <c r="DS4" i="35"/>
  <c r="D189" i="8"/>
  <c r="J181" i="8" s="1"/>
  <c r="DB4" i="35"/>
  <c r="F929" i="5"/>
  <c r="F29" i="37" s="1"/>
  <c r="J928" i="5"/>
  <c r="J28" i="37" s="1"/>
  <c r="F928" i="5"/>
  <c r="F28" i="37" s="1"/>
  <c r="G852" i="5"/>
  <c r="H852" i="5"/>
  <c r="F852" i="5"/>
  <c r="H680" i="5"/>
  <c r="F680" i="5"/>
  <c r="G680" i="5"/>
  <c r="E907" i="5"/>
  <c r="E908" i="5" s="1"/>
  <c r="G928" i="5"/>
  <c r="G28" i="37" s="1"/>
  <c r="G929" i="5"/>
  <c r="G29" i="37" s="1"/>
  <c r="I929" i="5"/>
  <c r="I29" i="37" s="1"/>
  <c r="J929" i="5"/>
  <c r="J29" i="37" s="1"/>
  <c r="H929" i="5"/>
  <c r="H29" i="37" s="1"/>
  <c r="H928" i="5"/>
  <c r="H28" i="37" s="1"/>
  <c r="I928" i="5"/>
  <c r="I28" i="37" s="1"/>
  <c r="F878" i="5"/>
  <c r="G878" i="5"/>
  <c r="H878" i="5"/>
  <c r="F712" i="5"/>
  <c r="H712" i="5"/>
  <c r="G712" i="5"/>
  <c r="D203" i="8" l="1"/>
  <c r="J31" i="8"/>
  <c r="ED4" i="35"/>
  <c r="EE4" i="35"/>
  <c r="I26" i="8"/>
  <c r="J26" i="8" s="1"/>
  <c r="H31" i="37"/>
  <c r="EI4" i="35" s="1"/>
  <c r="I31" i="37"/>
  <c r="EJ4" i="35" s="1"/>
  <c r="G31" i="37"/>
  <c r="EH4" i="35" s="1"/>
  <c r="F31" i="37"/>
  <c r="EG4" i="35" s="1"/>
  <c r="J31" i="37"/>
  <c r="J33" i="37" s="1"/>
  <c r="J931" i="5"/>
  <c r="F931" i="5"/>
  <c r="D928" i="5"/>
  <c r="C928" i="5"/>
  <c r="E928" i="5"/>
  <c r="G931" i="5"/>
  <c r="E929" i="5"/>
  <c r="C929" i="5"/>
  <c r="D929" i="5"/>
  <c r="I931" i="5"/>
  <c r="H931" i="5"/>
  <c r="H29" i="8" l="1"/>
  <c r="I28" i="8"/>
  <c r="G29" i="8"/>
  <c r="G28" i="8"/>
  <c r="I29" i="8"/>
  <c r="H28" i="8"/>
  <c r="H33" i="37"/>
  <c r="I33" i="37"/>
  <c r="G33" i="37"/>
  <c r="F33" i="37"/>
  <c r="EK4" i="35"/>
  <c r="DO4" i="35"/>
  <c r="D200" i="8"/>
  <c r="J186" i="8" s="1"/>
  <c r="DM4" i="35"/>
  <c r="C931" i="5"/>
  <c r="D931" i="5"/>
  <c r="E931" i="5"/>
  <c r="J29" i="8" l="1"/>
  <c r="D202" i="8" s="1"/>
  <c r="J28" i="8"/>
  <c r="H32" i="8"/>
  <c r="G32" i="8"/>
  <c r="I32" i="8"/>
  <c r="J32" i="8" l="1"/>
  <c r="J25" i="8"/>
  <c r="DN4" i="35" l="1"/>
  <c r="DQ4" i="35"/>
  <c r="D199" i="8"/>
  <c r="J185" i="8" s="1"/>
  <c r="DL4" i="35"/>
  <c r="DR4" i="35"/>
  <c r="D201" i="8"/>
  <c r="J187" i="8" s="1"/>
  <c r="L187" i="8" l="1"/>
  <c r="DP4" i="35"/>
  <c r="J33" i="8"/>
  <c r="J9" i="35" s="1"/>
  <c r="K9" i="35" s="1"/>
  <c r="C36" i="8"/>
  <c r="I9" i="35" s="1"/>
  <c r="K29" i="8" l="1"/>
  <c r="K30" i="8"/>
  <c r="K28" i="8"/>
  <c r="DU4" i="35"/>
  <c r="K18" i="8"/>
  <c r="K22" i="8"/>
  <c r="K14" i="8"/>
  <c r="K13" i="8"/>
  <c r="K27" i="8"/>
  <c r="K20" i="8"/>
  <c r="K25" i="8"/>
  <c r="K19" i="8"/>
  <c r="K9" i="8"/>
  <c r="K24" i="8"/>
  <c r="K15" i="8"/>
  <c r="K12" i="8"/>
  <c r="K23" i="8"/>
  <c r="K10" i="8"/>
  <c r="K21" i="8"/>
  <c r="K16" i="8"/>
  <c r="K31" i="8"/>
  <c r="K26" i="8"/>
  <c r="K7" i="8"/>
  <c r="K11" i="8"/>
  <c r="K8" i="8"/>
  <c r="K17" i="8"/>
  <c r="D35" i="8" l="1"/>
  <c r="DV4" i="35"/>
  <c r="D34" i="8"/>
  <c r="D36" i="8"/>
  <c r="K33" i="8"/>
</calcChain>
</file>

<file path=xl/comments1.xml><?xml version="1.0" encoding="utf-8"?>
<comments xmlns="http://schemas.openxmlformats.org/spreadsheetml/2006/main">
  <authors>
    <author>U100319</author>
  </authors>
  <commentList>
    <comment ref="B2" authorId="0">
      <text>
        <r>
          <rPr>
            <b/>
            <sz val="9"/>
            <color indexed="81"/>
            <rFont val="Tahoma"/>
            <family val="2"/>
          </rPr>
          <t>U100319:</t>
        </r>
        <r>
          <rPr>
            <sz val="9"/>
            <color indexed="81"/>
            <rFont val="Tahoma"/>
            <family val="2"/>
          </rPr>
          <t xml:space="preserve">
GHG Protocol Worksheet; data for 2006</t>
        </r>
      </text>
    </comment>
  </commentList>
</comments>
</file>

<file path=xl/comments2.xml><?xml version="1.0" encoding="utf-8"?>
<comments xmlns="http://schemas.openxmlformats.org/spreadsheetml/2006/main">
  <authors>
    <author>Xavier Oh</author>
  </authors>
  <commentList>
    <comment ref="F105" authorId="0">
      <text>
        <r>
          <rPr>
            <b/>
            <sz val="9"/>
            <color indexed="81"/>
            <rFont val="Tahoma"/>
            <family val="2"/>
          </rPr>
          <t>0% - 100%</t>
        </r>
        <r>
          <rPr>
            <sz val="9"/>
            <color indexed="81"/>
            <rFont val="Tahoma"/>
            <family val="2"/>
          </rPr>
          <t xml:space="preserve">
</t>
        </r>
      </text>
    </comment>
    <comment ref="C168" authorId="0">
      <text>
        <r>
          <rPr>
            <sz val="9"/>
            <color indexed="81"/>
            <rFont val="Tahoma"/>
            <family val="2"/>
          </rPr>
          <t xml:space="preserve">Whole number 5 - 120 mins
</t>
        </r>
      </text>
    </comment>
    <comment ref="C172" authorId="0">
      <text>
        <r>
          <rPr>
            <sz val="9"/>
            <color indexed="81"/>
            <rFont val="Tahoma"/>
            <family val="2"/>
          </rPr>
          <t xml:space="preserve">Whole number 5 - 120 mins
</t>
        </r>
      </text>
    </comment>
    <comment ref="C173" authorId="0">
      <text>
        <r>
          <rPr>
            <sz val="9"/>
            <color indexed="81"/>
            <rFont val="Tahoma"/>
            <family val="2"/>
          </rPr>
          <t xml:space="preserve">Whole number 5 - 120 mins
</t>
        </r>
      </text>
    </comment>
    <comment ref="I345" authorId="0">
      <text>
        <r>
          <rPr>
            <sz val="9"/>
            <color indexed="81"/>
            <rFont val="Tahoma"/>
            <family val="2"/>
          </rPr>
          <t>Days per year train services are running</t>
        </r>
      </text>
    </comment>
    <comment ref="I346" authorId="0">
      <text>
        <r>
          <rPr>
            <sz val="9"/>
            <color indexed="81"/>
            <rFont val="Tahoma"/>
            <family val="2"/>
          </rPr>
          <t xml:space="preserve">Days per year subway/light rail serives are running.
</t>
        </r>
      </text>
    </comment>
  </commentList>
</comments>
</file>

<file path=xl/comments3.xml><?xml version="1.0" encoding="utf-8"?>
<comments xmlns="http://schemas.openxmlformats.org/spreadsheetml/2006/main">
  <authors>
    <author>Xavier Oh</author>
  </authors>
  <commentList>
    <comment ref="E34" authorId="0">
      <text>
        <r>
          <rPr>
            <b/>
            <sz val="9"/>
            <color indexed="81"/>
            <rFont val="Tahoma"/>
            <family val="2"/>
          </rPr>
          <t>Xavier Oh:</t>
        </r>
        <r>
          <rPr>
            <sz val="9"/>
            <color indexed="81"/>
            <rFont val="Tahoma"/>
            <family val="2"/>
          </rPr>
          <t xml:space="preserve">
Error corrected was in kg, now in t</t>
        </r>
      </text>
    </comment>
    <comment ref="E39" authorId="0">
      <text>
        <r>
          <rPr>
            <b/>
            <sz val="9"/>
            <color indexed="81"/>
            <rFont val="Tahoma"/>
            <family val="2"/>
          </rPr>
          <t>Xavier Oh:</t>
        </r>
        <r>
          <rPr>
            <sz val="9"/>
            <color indexed="81"/>
            <rFont val="Tahoma"/>
            <family val="2"/>
          </rPr>
          <t xml:space="preserve">
Error corrected was in kg, now in t</t>
        </r>
      </text>
    </comment>
    <comment ref="E377" authorId="0">
      <text>
        <r>
          <rPr>
            <b/>
            <sz val="9"/>
            <color indexed="81"/>
            <rFont val="Tahoma"/>
            <family val="2"/>
          </rPr>
          <t>Xavier Oh:</t>
        </r>
        <r>
          <rPr>
            <sz val="9"/>
            <color indexed="81"/>
            <rFont val="Tahoma"/>
            <family val="2"/>
          </rPr>
          <t xml:space="preserve">
Error corrected was in kg, now in t</t>
        </r>
      </text>
    </comment>
    <comment ref="E382" authorId="0">
      <text>
        <r>
          <rPr>
            <b/>
            <sz val="9"/>
            <color indexed="81"/>
            <rFont val="Tahoma"/>
            <family val="2"/>
          </rPr>
          <t>Xavier Oh:</t>
        </r>
        <r>
          <rPr>
            <sz val="9"/>
            <color indexed="81"/>
            <rFont val="Tahoma"/>
            <family val="2"/>
          </rPr>
          <t xml:space="preserve">
Error corrected was in kg, now in t</t>
        </r>
      </text>
    </comment>
    <comment ref="G646" authorId="0">
      <text>
        <r>
          <rPr>
            <b/>
            <sz val="9"/>
            <color indexed="81"/>
            <rFont val="Tahoma"/>
            <family val="2"/>
          </rPr>
          <t>Xavier Oh:</t>
        </r>
        <r>
          <rPr>
            <sz val="9"/>
            <color indexed="81"/>
            <rFont val="Tahoma"/>
            <family val="2"/>
          </rPr>
          <t xml:space="preserve">
These were 2 and 4.
But Passenger data is in movements so 2 PAX=1 trip to and 1 trip from airport </t>
        </r>
      </text>
    </comment>
    <comment ref="H694" authorId="0">
      <text>
        <r>
          <rPr>
            <b/>
            <sz val="9"/>
            <color indexed="81"/>
            <rFont val="Tahoma"/>
            <family val="2"/>
          </rPr>
          <t>Xavier Oh:</t>
        </r>
        <r>
          <rPr>
            <sz val="9"/>
            <color indexed="81"/>
            <rFont val="Tahoma"/>
            <family val="2"/>
          </rPr>
          <t xml:space="preserve">
This was blank.  I enterend 300</t>
        </r>
      </text>
    </comment>
  </commentList>
</comments>
</file>

<file path=xl/sharedStrings.xml><?xml version="1.0" encoding="utf-8"?>
<sst xmlns="http://schemas.openxmlformats.org/spreadsheetml/2006/main" count="4945" uniqueCount="1949">
  <si>
    <t>Subtotal</t>
  </si>
  <si>
    <t>Piston</t>
  </si>
  <si>
    <t>Aircraft Type</t>
  </si>
  <si>
    <t>Learjet 45</t>
  </si>
  <si>
    <t>Learjet 60</t>
  </si>
  <si>
    <t>Jet</t>
  </si>
  <si>
    <t>Helicopter</t>
  </si>
  <si>
    <t>Total</t>
  </si>
  <si>
    <t>Airport Name:</t>
  </si>
  <si>
    <t>ICAO Identifier:</t>
  </si>
  <si>
    <t>Calendar Year of Inventory:</t>
  </si>
  <si>
    <t>Unit</t>
  </si>
  <si>
    <t>Diesel</t>
  </si>
  <si>
    <t>kg</t>
  </si>
  <si>
    <t>Gasoline</t>
  </si>
  <si>
    <t>Electricity</t>
  </si>
  <si>
    <r>
      <t>CO</t>
    </r>
    <r>
      <rPr>
        <vertAlign val="subscript"/>
        <sz val="10"/>
        <rFont val="Arial"/>
        <family val="2"/>
      </rPr>
      <t>2</t>
    </r>
  </si>
  <si>
    <r>
      <t>CH</t>
    </r>
    <r>
      <rPr>
        <vertAlign val="subscript"/>
        <sz val="10"/>
        <rFont val="Arial"/>
        <family val="2"/>
      </rPr>
      <t>4</t>
    </r>
  </si>
  <si>
    <t>Emission Factors (kg GHG / kg fuel):</t>
  </si>
  <si>
    <t>Note:</t>
  </si>
  <si>
    <t>1. Source: Environment Canada, "National Inventory Report 1990 - 2006", Annex 12 Table 12-7: Emission Factors for Energy Combustion Sources.</t>
  </si>
  <si>
    <t>TurboProp</t>
  </si>
  <si>
    <t>2. Assuming most helicopters have turboprop engines.</t>
  </si>
  <si>
    <t>Fuel</t>
  </si>
  <si>
    <t>Volume</t>
  </si>
  <si>
    <t>Unit System:</t>
  </si>
  <si>
    <t>Airside Vehicle Emission Calculation (Ton):</t>
  </si>
  <si>
    <t>Volume (Liter)</t>
  </si>
  <si>
    <t>Gas EF (kg/L)</t>
  </si>
  <si>
    <t>Diesel EF (kg/L)</t>
  </si>
  <si>
    <t>Source: Environment Canada, "National Inventory Report 1990 - 2006", Annex 12 Table 12-7: Emission Factors for Energy Combustion Sources.</t>
  </si>
  <si>
    <t>Diesel Em</t>
  </si>
  <si>
    <t>Gas Em</t>
  </si>
  <si>
    <t>Warehouse</t>
  </si>
  <si>
    <t>Building Emission Calculation (Ton)</t>
  </si>
  <si>
    <t>Building</t>
  </si>
  <si>
    <t>Office</t>
  </si>
  <si>
    <t>Estimated NG (GJ)</t>
  </si>
  <si>
    <t>EF (T/GJ)</t>
  </si>
  <si>
    <t>Emission (Ton)</t>
  </si>
  <si>
    <t>Total NG (GJ)</t>
  </si>
  <si>
    <t>GJ/Annum</t>
  </si>
  <si>
    <t>Fire Training Emission Calculation (Ton):</t>
  </si>
  <si>
    <t>Stationary Emergency Power Generator Calculation (Ton):</t>
  </si>
  <si>
    <t>AvGas</t>
  </si>
  <si>
    <t>Engine Run-Ups Emission Calculation (Ton):</t>
  </si>
  <si>
    <t>Jet A Em</t>
  </si>
  <si>
    <t>AvGas Em</t>
  </si>
  <si>
    <t>City:</t>
    <phoneticPr fontId="5" type="noConversion"/>
  </si>
  <si>
    <t>Airport Operator:</t>
    <phoneticPr fontId="5" type="noConversion"/>
  </si>
  <si>
    <t>Natural Gas</t>
  </si>
  <si>
    <t>GJ</t>
  </si>
  <si>
    <t>Known NG total</t>
  </si>
  <si>
    <t xml:space="preserve">% </t>
  </si>
  <si>
    <t>LT</t>
  </si>
  <si>
    <t>BT</t>
  </si>
  <si>
    <t># Pass</t>
  </si>
  <si>
    <t>Avg. 3/family</t>
  </si>
  <si>
    <t>% personal vs. drop-off</t>
  </si>
  <si>
    <t xml:space="preserve"># of times in and out </t>
  </si>
  <si>
    <t>Total # Vehicle Trips</t>
  </si>
  <si>
    <t># days/year</t>
  </si>
  <si>
    <t>Airport Employees</t>
  </si>
  <si>
    <t># Tenants</t>
  </si>
  <si>
    <t># daily visitors</t>
  </si>
  <si>
    <t>Working days/year</t>
  </si>
  <si>
    <t>Total Number of Groundside Vehicle Trips</t>
  </si>
  <si>
    <t>Emission (Tonne)</t>
  </si>
  <si>
    <t>* Emission factor source: Environment Canada, "National Inventory Report 1990-2005", Table A12-7.</t>
  </si>
  <si>
    <t>Leisure Travel:</t>
  </si>
  <si>
    <t>Business Travel:</t>
  </si>
  <si>
    <t>Drop-off:</t>
  </si>
  <si>
    <t>co2e</t>
  </si>
  <si>
    <t>check - i.e. should = output total for both fuel types next sheet</t>
  </si>
  <si>
    <t>kWh</t>
  </si>
  <si>
    <t>Province</t>
  </si>
  <si>
    <t>t CO2-e/Kwh</t>
  </si>
  <si>
    <t>AB</t>
  </si>
  <si>
    <t>BC</t>
  </si>
  <si>
    <t>MB</t>
  </si>
  <si>
    <t>NB</t>
  </si>
  <si>
    <t>NL</t>
  </si>
  <si>
    <t>NS</t>
  </si>
  <si>
    <t>NT</t>
  </si>
  <si>
    <t>NU</t>
  </si>
  <si>
    <t>ON</t>
  </si>
  <si>
    <t>PEI</t>
  </si>
  <si>
    <t>QC</t>
  </si>
  <si>
    <t>SK</t>
  </si>
  <si>
    <t>YK</t>
  </si>
  <si>
    <t>Provincial Electricity Emission Factors</t>
  </si>
  <si>
    <t>Source: http://www.livclean.ca/PE_offset_calculation.pdf</t>
  </si>
  <si>
    <t>1) Natural Gas</t>
  </si>
  <si>
    <t>Annual Usage</t>
  </si>
  <si>
    <t>CO2-e Emission</t>
  </si>
  <si>
    <t>Ton</t>
  </si>
  <si>
    <t>(Select One)</t>
  </si>
  <si>
    <t>Building Name</t>
  </si>
  <si>
    <t>Building Names</t>
  </si>
  <si>
    <t>APU</t>
  </si>
  <si>
    <t>Falcon 2000</t>
  </si>
  <si>
    <t>Boeing 767-300</t>
  </si>
  <si>
    <t>Vehicle Type</t>
  </si>
  <si>
    <t>Light Gas Vehicle</t>
  </si>
  <si>
    <t>Light Gas Truck</t>
  </si>
  <si>
    <t>Light Diesel Vehicle</t>
  </si>
  <si>
    <t>Light Diesel Truck</t>
  </si>
  <si>
    <t>Gasoline Vehicles: Light vehicle-Oxidation Catalyst; light truck-Oxidation Catalyst; heavy vehicle-three way catalyst.</t>
  </si>
  <si>
    <t>Heavy Gas Vehicle</t>
  </si>
  <si>
    <t>Heavy Diesel Vehicle</t>
  </si>
  <si>
    <t>Diesel Vehicles: Moderate Control.</t>
  </si>
  <si>
    <t>1. Select a cell in white;</t>
  </si>
  <si>
    <t>End of Calculation Details.</t>
  </si>
  <si>
    <t>Source: 2006 IPCC Guidelines for National GHG Inventories, Volume 2, Table 2.2</t>
  </si>
  <si>
    <t>Propane</t>
  </si>
  <si>
    <t>Natural Gas Vehicle</t>
  </si>
  <si>
    <t>Propane Vehicle</t>
  </si>
  <si>
    <t>Airside Vehicle Subtotal</t>
  </si>
  <si>
    <t>3) Fuel Oil</t>
  </si>
  <si>
    <t>Annual Fuel Oil (L)</t>
  </si>
  <si>
    <t>GHG</t>
  </si>
  <si>
    <t>EF (T/L)</t>
  </si>
  <si>
    <t>Source: Environment Canada, "National Inventory Report 1990 - 2006", Annex 12 Table 12-2, Light Fuel Oil for Commercial/Institutional.</t>
  </si>
  <si>
    <t>Fuel Oil</t>
  </si>
  <si>
    <t>Aircraft</t>
  </si>
  <si>
    <t>Jet A EF (kg/L)</t>
  </si>
  <si>
    <t>Source: Environment Canada, "National Inventory Report 1990 - 2006", Annex 12 Table 12-7: Emission Factors for Energy Mobile Combustion Sources.</t>
  </si>
  <si>
    <t>Source: Environment Canada, "National Inventory Report 1990 - 2006", Annex 12 Table 12-2 and 12-7.</t>
  </si>
  <si>
    <t>2. Menu "Home" -&gt;"Insert" -&gt; "Rows".</t>
  </si>
  <si>
    <t>SCOPE 1 - DIRECT EMISSIONS FROM SOURCES THAT ARE OWNED AND CONTROLLED BY THE AIRPORT OPERATOR</t>
  </si>
  <si>
    <t>Step 2-1</t>
  </si>
  <si>
    <t>(including airlines, government, concessionaires, aircraft operators, fixed-based operators, etc.)</t>
  </si>
  <si>
    <t>Scope</t>
  </si>
  <si>
    <t>Source</t>
  </si>
  <si>
    <t>Airport Operator</t>
  </si>
  <si>
    <r>
      <t>CO</t>
    </r>
    <r>
      <rPr>
        <b/>
        <vertAlign val="subscript"/>
        <sz val="10"/>
        <rFont val="Arial"/>
        <family val="2"/>
      </rPr>
      <t>2</t>
    </r>
  </si>
  <si>
    <r>
      <t>CH</t>
    </r>
    <r>
      <rPr>
        <b/>
        <vertAlign val="subscript"/>
        <sz val="10"/>
        <rFont val="Arial"/>
        <family val="2"/>
      </rPr>
      <t>4</t>
    </r>
  </si>
  <si>
    <r>
      <t>N</t>
    </r>
    <r>
      <rPr>
        <b/>
        <vertAlign val="subscript"/>
        <sz val="10"/>
        <rFont val="Arial"/>
        <family val="2"/>
      </rPr>
      <t>2</t>
    </r>
    <r>
      <rPr>
        <b/>
        <sz val="10"/>
        <rFont val="Arial"/>
        <family val="2"/>
      </rPr>
      <t>O</t>
    </r>
  </si>
  <si>
    <t>Airport Airside Vehicles</t>
  </si>
  <si>
    <t>Airport Fire Training</t>
  </si>
  <si>
    <t>Airport Emergency Generator</t>
  </si>
  <si>
    <t>Airport Operator Sub-total</t>
  </si>
  <si>
    <t>Tenant Airside Vehicles</t>
  </si>
  <si>
    <t>Tenant Sub-total</t>
  </si>
  <si>
    <t>Public</t>
  </si>
  <si>
    <t>Ground Access Vehicles</t>
  </si>
  <si>
    <t>Public Sub-total</t>
  </si>
  <si>
    <t>Tenant Employees Groundside Vehicle Emission Calculation (Ton):</t>
  </si>
  <si>
    <t>PAX Groundside Vehicle Emission Calculation (Ton):</t>
  </si>
  <si>
    <t>Visitors</t>
  </si>
  <si>
    <t>Number of Airport Operator Employees:</t>
  </si>
  <si>
    <t xml:space="preserve">Country </t>
  </si>
  <si>
    <t xml:space="preserve">Emissions factor </t>
  </si>
  <si>
    <t xml:space="preserve">Albania </t>
  </si>
  <si>
    <t xml:space="preserve">Algeria </t>
  </si>
  <si>
    <t xml:space="preserve">Angola </t>
  </si>
  <si>
    <t xml:space="preserve">Argentina </t>
  </si>
  <si>
    <t xml:space="preserve">Armenia </t>
  </si>
  <si>
    <t xml:space="preserve">Australia </t>
  </si>
  <si>
    <t xml:space="preserve">Austria </t>
  </si>
  <si>
    <t xml:space="preserve">Azerbaijan </t>
  </si>
  <si>
    <t>1) For buildings with metered fuel usage, input annual total usage:</t>
  </si>
  <si>
    <t>Kerosene</t>
  </si>
  <si>
    <t>Butane</t>
  </si>
  <si>
    <t>Wood</t>
  </si>
  <si>
    <t>2) Coal</t>
  </si>
  <si>
    <t>Kerosene EF (kg/L)</t>
  </si>
  <si>
    <t>Butane EF (kg/L)</t>
  </si>
  <si>
    <t>Step 2-2</t>
  </si>
  <si>
    <t>Step 2-3</t>
  </si>
  <si>
    <t>g CO2/kWh</t>
  </si>
  <si>
    <t>Electrical Emission Factor</t>
  </si>
  <si>
    <t>available data</t>
  </si>
  <si>
    <t>Annual Coal (GJ)</t>
  </si>
  <si>
    <t>Movement Surfaces</t>
  </si>
  <si>
    <t>data</t>
  </si>
  <si>
    <t>Glycol usage</t>
  </si>
  <si>
    <t>Deicing/Anti-icing Fluid Emission Calculation (Ton):</t>
  </si>
  <si>
    <t>aircraft Em</t>
  </si>
  <si>
    <t>surface Em</t>
  </si>
  <si>
    <t>VOC</t>
  </si>
  <si>
    <t xml:space="preserve">Aircraft EF </t>
  </si>
  <si>
    <t xml:space="preserve">Surface EF </t>
  </si>
  <si>
    <t>Bus</t>
  </si>
  <si>
    <t>Jet A</t>
  </si>
  <si>
    <t>Jet B</t>
  </si>
  <si>
    <t xml:space="preserve">Subtotal </t>
  </si>
  <si>
    <t>Country:</t>
  </si>
  <si>
    <t>Jet B EF (kg/L)</t>
  </si>
  <si>
    <t>Volume (Litre)</t>
  </si>
  <si>
    <t>country:</t>
  </si>
  <si>
    <t>Coal</t>
  </si>
  <si>
    <t>subtotal</t>
  </si>
  <si>
    <t>NG EF (kg/L)</t>
  </si>
  <si>
    <t>CO</t>
  </si>
  <si>
    <t>PM</t>
  </si>
  <si>
    <t>SOx</t>
  </si>
  <si>
    <t>NOx</t>
  </si>
  <si>
    <t>Number of Tenant Employees</t>
  </si>
  <si>
    <t>Car:</t>
  </si>
  <si>
    <t>Gasoline:</t>
  </si>
  <si>
    <t>Diesel:</t>
  </si>
  <si>
    <t>Natural Gas:</t>
  </si>
  <si>
    <t>Canada</t>
  </si>
  <si>
    <t>Car</t>
  </si>
  <si>
    <t>Fuel Type</t>
  </si>
  <si>
    <t>Trips/yr</t>
  </si>
  <si>
    <t xml:space="preserve">distance </t>
  </si>
  <si>
    <t>total dist</t>
  </si>
  <si>
    <t>propane</t>
  </si>
  <si>
    <t>Nox</t>
  </si>
  <si>
    <t>SO2</t>
  </si>
  <si>
    <t>JP-4 (Jet B)</t>
  </si>
  <si>
    <t>JP-8 (Jet A)</t>
  </si>
  <si>
    <t>EF (g/GJ)</t>
  </si>
  <si>
    <t>Diesel Em (ton)</t>
  </si>
  <si>
    <t>wood EF (g/kg)</t>
  </si>
  <si>
    <t xml:space="preserve">&lt;&lt;&lt;emission factor, converted from table </t>
  </si>
  <si>
    <t>Emission Index (lbs/10^3 gallon) US EPA Appendix H pg 16</t>
  </si>
  <si>
    <t>co2</t>
  </si>
  <si>
    <t>Propane EF (kg/m3)</t>
  </si>
  <si>
    <t>g fuel/km</t>
  </si>
  <si>
    <t>fuel consumed
kg</t>
  </si>
  <si>
    <t>fuel consumed
L</t>
  </si>
  <si>
    <t>Zurich Data</t>
  </si>
  <si>
    <t>CO2 zurich data</t>
  </si>
  <si>
    <t>Estimate Percentage of Visitor Vehicles</t>
  </si>
  <si>
    <t>Delivery Trucks/Vans:</t>
  </si>
  <si>
    <t>Aircraft type</t>
  </si>
  <si>
    <t>#/Eng</t>
  </si>
  <si>
    <t>Typical engine</t>
  </si>
  <si>
    <t>Data</t>
  </si>
  <si>
    <t>Fuel (kg/LTO*)</t>
  </si>
  <si>
    <t>Fuel (g/min taxi)</t>
  </si>
  <si>
    <t>NOx (g/min taxi)</t>
  </si>
  <si>
    <t>HC (g/min taxi)</t>
  </si>
  <si>
    <t>CO (g/min taxi)</t>
  </si>
  <si>
    <t>PM (g/min taxi)</t>
  </si>
  <si>
    <t>SOx (g/min taxi)</t>
  </si>
  <si>
    <t>CO2 (g/min taxi)</t>
  </si>
  <si>
    <t xml:space="preserve">A109 </t>
  </si>
  <si>
    <t>2H</t>
  </si>
  <si>
    <t>PW206C</t>
  </si>
  <si>
    <t>LSZH-H650</t>
  </si>
  <si>
    <t>A119</t>
  </si>
  <si>
    <t>PT6B-37A</t>
  </si>
  <si>
    <t>LSZH-H900</t>
  </si>
  <si>
    <t>Airbus 300</t>
  </si>
  <si>
    <t>2J</t>
  </si>
  <si>
    <t>CF6-50A</t>
  </si>
  <si>
    <t>ICAO-3GE069</t>
  </si>
  <si>
    <t>Airbus 310</t>
  </si>
  <si>
    <t>CF6-80A</t>
  </si>
  <si>
    <t>ICAO-1GE010</t>
  </si>
  <si>
    <t>Airbus 319</t>
  </si>
  <si>
    <t>CFM56-5B5P</t>
  </si>
  <si>
    <t>ICAO-3CM027</t>
  </si>
  <si>
    <t>Airbus 320</t>
  </si>
  <si>
    <t>CFM56-5B4P</t>
  </si>
  <si>
    <t>ICAO-3CM026</t>
  </si>
  <si>
    <t>Airbus 321</t>
  </si>
  <si>
    <t>CFM56-5B1P</t>
  </si>
  <si>
    <t>ICAO-3CM023</t>
  </si>
  <si>
    <t>Airbus 330</t>
  </si>
  <si>
    <t>PW4168</t>
  </si>
  <si>
    <t>ICAO-9PW094</t>
  </si>
  <si>
    <t>Airbus 340</t>
  </si>
  <si>
    <t>4J</t>
  </si>
  <si>
    <t>CFM56-5C4/1P</t>
  </si>
  <si>
    <t>ICAO-7CM047</t>
  </si>
  <si>
    <t>Airbus 380</t>
  </si>
  <si>
    <t>RR Trent 970</t>
  </si>
  <si>
    <t>ICAO-8RR048</t>
  </si>
  <si>
    <t>An-128</t>
  </si>
  <si>
    <t>D18T</t>
  </si>
  <si>
    <t>FOCA-J357</t>
  </si>
  <si>
    <t>An-70</t>
  </si>
  <si>
    <t>4T</t>
  </si>
  <si>
    <t>ZMKB D27</t>
  </si>
  <si>
    <t>FAEED135</t>
  </si>
  <si>
    <t>AN-72/74</t>
  </si>
  <si>
    <t>D-36</t>
  </si>
  <si>
    <t>ICAO-1ZM001</t>
  </si>
  <si>
    <t>ATR-42-300</t>
  </si>
  <si>
    <t>2T</t>
  </si>
  <si>
    <t>PW127E</t>
  </si>
  <si>
    <t>AIA-127B</t>
  </si>
  <si>
    <t>ATR-72-200</t>
  </si>
  <si>
    <t>PW127F</t>
  </si>
  <si>
    <t>BAe 146-300</t>
  </si>
  <si>
    <t>LF507</t>
  </si>
  <si>
    <t>ICAO-1TL004</t>
  </si>
  <si>
    <t>BAe ATP</t>
  </si>
  <si>
    <t>PW124</t>
  </si>
  <si>
    <t>BAe Jetstream 41</t>
  </si>
  <si>
    <t>TPE331-14GR</t>
  </si>
  <si>
    <t>FAEED136</t>
  </si>
  <si>
    <t>Beech 1900D</t>
  </si>
  <si>
    <t>PT6A-67D</t>
  </si>
  <si>
    <t>AIA-67D</t>
  </si>
  <si>
    <t>Beech 300</t>
  </si>
  <si>
    <t>FJ44-2A</t>
  </si>
  <si>
    <t>LSZH-FJ442A</t>
  </si>
  <si>
    <t>Beech Super King 200B</t>
  </si>
  <si>
    <t>PT6A-42</t>
  </si>
  <si>
    <t>AIA-42</t>
  </si>
  <si>
    <t>Beech Super King 350</t>
  </si>
  <si>
    <t>PT6A-60A</t>
  </si>
  <si>
    <t>Beech T-6A Texan</t>
  </si>
  <si>
    <t>1T</t>
  </si>
  <si>
    <t>PT6A-68</t>
  </si>
  <si>
    <t>Bell 206B</t>
  </si>
  <si>
    <t>1H</t>
  </si>
  <si>
    <t>Allison 250-C20J</t>
  </si>
  <si>
    <t>Bell 230</t>
  </si>
  <si>
    <t>Allison 250-C30G2</t>
  </si>
  <si>
    <t>Bell 407/MDD 600N</t>
  </si>
  <si>
    <t>Allison 250-C47</t>
  </si>
  <si>
    <t>Bell 430</t>
  </si>
  <si>
    <t>Allison 250-C40B</t>
  </si>
  <si>
    <t>Bell AB119</t>
  </si>
  <si>
    <t>PT6C-67C</t>
  </si>
  <si>
    <t>Boeing 717</t>
  </si>
  <si>
    <t>BR715</t>
  </si>
  <si>
    <t>ICAO-4BR002</t>
  </si>
  <si>
    <t>Boeing 737 (300-500)</t>
  </si>
  <si>
    <t>CFM56-3B1</t>
  </si>
  <si>
    <t>ICAO-1CM004</t>
  </si>
  <si>
    <t>Boeing 737 (600-900)</t>
  </si>
  <si>
    <t>CFM56-7B24</t>
  </si>
  <si>
    <t>ICAO-3CM032</t>
  </si>
  <si>
    <t>Boeing 747 (400)</t>
  </si>
  <si>
    <t>CF6-80C2B4</t>
  </si>
  <si>
    <t>ICAO-2GE043</t>
  </si>
  <si>
    <t>Boeing 757</t>
  </si>
  <si>
    <t>RB211-535C</t>
  </si>
  <si>
    <t>ICAO-1RR012</t>
  </si>
  <si>
    <t>CF6-80C2</t>
  </si>
  <si>
    <t>ICAO-2GE036</t>
  </si>
  <si>
    <t>Boeing 777</t>
  </si>
  <si>
    <t>RR Trent 892</t>
  </si>
  <si>
    <t>ICAO-2RR027</t>
  </si>
  <si>
    <t>Boeing 787</t>
  </si>
  <si>
    <t>RR Trent 1000</t>
  </si>
  <si>
    <t>ICAO</t>
  </si>
  <si>
    <t>C-130 Hercules</t>
  </si>
  <si>
    <t>Allison AE2100</t>
  </si>
  <si>
    <t>FOCA-T201</t>
  </si>
  <si>
    <t>C-27 Spartan</t>
  </si>
  <si>
    <t>Canadair Challenger</t>
  </si>
  <si>
    <t>LF502-L</t>
  </si>
  <si>
    <t>ICAO-1TL001</t>
  </si>
  <si>
    <t>Casa C-212</t>
  </si>
  <si>
    <t>TPE331-12J</t>
  </si>
  <si>
    <t>Casa CN-235</t>
  </si>
  <si>
    <t>CT7-9C</t>
  </si>
  <si>
    <t>FOCA-T053</t>
  </si>
  <si>
    <t>Cessna 172</t>
  </si>
  <si>
    <t>1P</t>
  </si>
  <si>
    <t>IO-360-L2A</t>
  </si>
  <si>
    <t>FOCA-PF03</t>
  </si>
  <si>
    <t>Cessna 182</t>
  </si>
  <si>
    <t>IO-540-AB1A5</t>
  </si>
  <si>
    <t>FOCA-PF12</t>
  </si>
  <si>
    <t>Cessna 208B</t>
  </si>
  <si>
    <t>PT6A-114D</t>
  </si>
  <si>
    <t>AIA-112</t>
  </si>
  <si>
    <t>Cessna 402</t>
  </si>
  <si>
    <t>2P</t>
  </si>
  <si>
    <t>TSIO-520E</t>
  </si>
  <si>
    <t>FOCA-PF07</t>
  </si>
  <si>
    <t>Cessna 525</t>
  </si>
  <si>
    <t>FJ44-1A</t>
  </si>
  <si>
    <t>LSZH-FJ441A</t>
  </si>
  <si>
    <t>Cessna 560XL</t>
  </si>
  <si>
    <t>PW545A</t>
  </si>
  <si>
    <t>FOCA-B004</t>
  </si>
  <si>
    <t>Cessna 680</t>
  </si>
  <si>
    <t>PW306C</t>
  </si>
  <si>
    <t>ICAO-7PW078</t>
  </si>
  <si>
    <t>Cessna 750</t>
  </si>
  <si>
    <t>GMA 3007C</t>
  </si>
  <si>
    <t>ICAO-8AL025</t>
  </si>
  <si>
    <t>Cessna Citation</t>
  </si>
  <si>
    <t>JT15D-1A</t>
  </si>
  <si>
    <t>ICAO-1PW035</t>
  </si>
  <si>
    <t>CH-47</t>
  </si>
  <si>
    <t>T55-714A</t>
  </si>
  <si>
    <t>FOCA-HF30</t>
  </si>
  <si>
    <t>Cirrus SR22</t>
  </si>
  <si>
    <t>IO-550-N</t>
  </si>
  <si>
    <t>FOCA-PF01</t>
  </si>
  <si>
    <t>CL300</t>
  </si>
  <si>
    <t>AS907</t>
  </si>
  <si>
    <t>CL415</t>
  </si>
  <si>
    <t>PW123-AF</t>
  </si>
  <si>
    <t>CL604</t>
  </si>
  <si>
    <t>CF34-3B1</t>
  </si>
  <si>
    <t>ICAO-5GE084</t>
  </si>
  <si>
    <t>CRJ200</t>
  </si>
  <si>
    <t>CRJ700</t>
  </si>
  <si>
    <t>CF34-8C1</t>
  </si>
  <si>
    <t>ICAO-5GE083</t>
  </si>
  <si>
    <t>CRJ900</t>
  </si>
  <si>
    <t>CF34-8C5</t>
  </si>
  <si>
    <t>ICAO-8GE110</t>
  </si>
  <si>
    <t>Dash 7</t>
  </si>
  <si>
    <t>PT6A-50</t>
  </si>
  <si>
    <t>Dash 8-400</t>
  </si>
  <si>
    <t>PW150</t>
  </si>
  <si>
    <t>DHC-6 Twin Otter</t>
  </si>
  <si>
    <t>PT6A-27</t>
  </si>
  <si>
    <t>Diamond DA-42</t>
  </si>
  <si>
    <t>TAE (135hp)</t>
  </si>
  <si>
    <t>FOCA-PF10</t>
  </si>
  <si>
    <t>Dornier 228</t>
  </si>
  <si>
    <t>TPE-331-5</t>
  </si>
  <si>
    <t>Dornier 328 (Jet)</t>
  </si>
  <si>
    <t>PW306B</t>
  </si>
  <si>
    <t>Dornier 328 (TP)</t>
  </si>
  <si>
    <t>PW119B</t>
  </si>
  <si>
    <t>AIA-119B</t>
  </si>
  <si>
    <t>Eclipse 500</t>
  </si>
  <si>
    <t>EJ22</t>
  </si>
  <si>
    <t>EH 101</t>
  </si>
  <si>
    <t>3H</t>
  </si>
  <si>
    <t>T700-GE-T6A</t>
  </si>
  <si>
    <t>EMB 120</t>
  </si>
  <si>
    <t>PW118A</t>
  </si>
  <si>
    <t>EMB 135/145</t>
  </si>
  <si>
    <t>AE3007A</t>
  </si>
  <si>
    <t>ICAO-4AL003</t>
  </si>
  <si>
    <t>EMB 170</t>
  </si>
  <si>
    <t>CF34-8E</t>
  </si>
  <si>
    <t>ICAO-8GE113</t>
  </si>
  <si>
    <t>EMB 190</t>
  </si>
  <si>
    <t>CF34-10E</t>
  </si>
  <si>
    <t>ICAO-8GE114</t>
  </si>
  <si>
    <t>EMB 314</t>
  </si>
  <si>
    <t>EMB Legacy</t>
  </si>
  <si>
    <t>AE3007-A1P</t>
  </si>
  <si>
    <t>ICAO-6AL015</t>
  </si>
  <si>
    <t>Eurocopter AS332</t>
  </si>
  <si>
    <t>Makila 1A2</t>
  </si>
  <si>
    <t>Eurocopter AS350</t>
  </si>
  <si>
    <t>Arriel 1D1</t>
  </si>
  <si>
    <t>Eurocopter AS365</t>
  </si>
  <si>
    <t>Arriel 1C2</t>
  </si>
  <si>
    <t>Eurocopter EC130/135</t>
  </si>
  <si>
    <t>Arrius 2B</t>
  </si>
  <si>
    <t>Eurocopter EC145/155</t>
  </si>
  <si>
    <t>Arrius 2C</t>
  </si>
  <si>
    <t>CFE738-1-1B/TFE731-3</t>
  </si>
  <si>
    <t>ICAO-1AS002</t>
  </si>
  <si>
    <t>Falcon 50</t>
  </si>
  <si>
    <t>TFE731-40</t>
  </si>
  <si>
    <t>Falcon 900EX</t>
  </si>
  <si>
    <t>3J</t>
  </si>
  <si>
    <t>TFE731-60</t>
  </si>
  <si>
    <t>Fokker F100</t>
  </si>
  <si>
    <t>Tay 620-15</t>
  </si>
  <si>
    <t>ICAO-1RR020</t>
  </si>
  <si>
    <t>Fokker F27</t>
  </si>
  <si>
    <t>RR Dart 528</t>
  </si>
  <si>
    <t>FAEED226</t>
  </si>
  <si>
    <t>Fokker F28</t>
  </si>
  <si>
    <t>Spey 555-15</t>
  </si>
  <si>
    <t>ICAO-4RR035</t>
  </si>
  <si>
    <t>Fokker F50</t>
  </si>
  <si>
    <t>PW125B</t>
  </si>
  <si>
    <t>Fokker F70</t>
  </si>
  <si>
    <t>Galaxy</t>
  </si>
  <si>
    <t>PW306A</t>
  </si>
  <si>
    <t>ICAO-7PW077</t>
  </si>
  <si>
    <t>GLEX</t>
  </si>
  <si>
    <t>BR710-48</t>
  </si>
  <si>
    <t>ICAO-4BR009</t>
  </si>
  <si>
    <t>Global 5000</t>
  </si>
  <si>
    <t>BR710-48A2</t>
  </si>
  <si>
    <t>Gulfstream G200</t>
  </si>
  <si>
    <t>Gulfstream V</t>
  </si>
  <si>
    <t>Hawker 800</t>
  </si>
  <si>
    <t>TFE731-5BR</t>
  </si>
  <si>
    <t>Hawker Horizon</t>
  </si>
  <si>
    <t>PW308A</t>
  </si>
  <si>
    <t>ICAO-7PW079</t>
  </si>
  <si>
    <t>HS125-700</t>
  </si>
  <si>
    <t>TFE731-3</t>
  </si>
  <si>
    <t>IL76</t>
  </si>
  <si>
    <t>PS-90A</t>
  </si>
  <si>
    <t>ICAO-1AA005</t>
  </si>
  <si>
    <t>TEF331-20</t>
  </si>
  <si>
    <t>ICAO-1AS001</t>
  </si>
  <si>
    <t>PW305A</t>
  </si>
  <si>
    <t>PW-305</t>
  </si>
  <si>
    <t>MBB BK117</t>
  </si>
  <si>
    <t>LTS101-750B-1</t>
  </si>
  <si>
    <t>MD 900</t>
  </si>
  <si>
    <t>PW206B</t>
  </si>
  <si>
    <t>MD11</t>
  </si>
  <si>
    <t>PW4460</t>
  </si>
  <si>
    <t>ICAO-1PW052</t>
  </si>
  <si>
    <t>MD83 (80-87)</t>
  </si>
  <si>
    <t>JT8D-219</t>
  </si>
  <si>
    <t>ICAO-4PW071</t>
  </si>
  <si>
    <t>MD95</t>
  </si>
  <si>
    <t>V2525-D5</t>
  </si>
  <si>
    <t>ICAO-1IA002</t>
  </si>
  <si>
    <t>Piaggio P180</t>
  </si>
  <si>
    <t>PT6A-66</t>
  </si>
  <si>
    <t>Pilatus PC-12</t>
  </si>
  <si>
    <t>PT6A-67B</t>
  </si>
  <si>
    <t>Pilatus PC-21</t>
  </si>
  <si>
    <t>PT6A-68B</t>
  </si>
  <si>
    <t>Pilatus PC-9</t>
  </si>
  <si>
    <t>PT6A-62</t>
  </si>
  <si>
    <t>Piper PA31 Cheyenne</t>
  </si>
  <si>
    <t>PT6A-28</t>
  </si>
  <si>
    <t>Piper PA32 Saratoga</t>
  </si>
  <si>
    <t>IO-540-KIG5</t>
  </si>
  <si>
    <t>Piper PA34 Seneca</t>
  </si>
  <si>
    <t>TSIO-360RB</t>
  </si>
  <si>
    <t>FAEED160</t>
  </si>
  <si>
    <t>Piper PA46 Malibu</t>
  </si>
  <si>
    <t>REIMS F406 Caravan</t>
  </si>
  <si>
    <t>PT6A-112</t>
  </si>
  <si>
    <t>RJ85</t>
  </si>
  <si>
    <t>Robinson R22/44</t>
  </si>
  <si>
    <t>O320-B2C</t>
  </si>
  <si>
    <t>FOCA-HP40</t>
  </si>
  <si>
    <t>S-70A</t>
  </si>
  <si>
    <t>T700-GE-701C</t>
  </si>
  <si>
    <t>S-76C</t>
  </si>
  <si>
    <t>PT6B-36A</t>
  </si>
  <si>
    <t>Saab 2000</t>
  </si>
  <si>
    <t>GMA 2100A</t>
  </si>
  <si>
    <t>Saab 340</t>
  </si>
  <si>
    <t>CT7-9B</t>
  </si>
  <si>
    <t>SH-60 Seahawk</t>
  </si>
  <si>
    <t>T700-GE-401C</t>
  </si>
  <si>
    <t>Shorts 330</t>
  </si>
  <si>
    <t>PT6A-45</t>
  </si>
  <si>
    <t>Shorts 360</t>
  </si>
  <si>
    <t>PT6A-65AR</t>
  </si>
  <si>
    <t>Super Lynx 300</t>
  </si>
  <si>
    <t>CTS800-4N</t>
  </si>
  <si>
    <t>Swearingen SJ30</t>
  </si>
  <si>
    <t>FJ44</t>
  </si>
  <si>
    <t>LSZH-FJ44</t>
  </si>
  <si>
    <t>TB-200 Tobago</t>
  </si>
  <si>
    <t>IO-360-A1B6</t>
  </si>
  <si>
    <t>TB-360 Tangara</t>
  </si>
  <si>
    <t>O-320-D1D</t>
  </si>
  <si>
    <t>FOCA-PF08</t>
  </si>
  <si>
    <t>TBM 700</t>
  </si>
  <si>
    <t>PT6A-64</t>
  </si>
  <si>
    <t>TU-204</t>
  </si>
  <si>
    <t>RB211-535E4</t>
  </si>
  <si>
    <t>ICAO-3RR028</t>
  </si>
  <si>
    <t>Yak-42</t>
  </si>
  <si>
    <t>Other 1 engine helicopter</t>
  </si>
  <si>
    <t>FOCA-HP44</t>
  </si>
  <si>
    <t>Other 1 piston aircraft</t>
  </si>
  <si>
    <t>Other 1 turbo aircraft</t>
  </si>
  <si>
    <t>Other 2 engine bizjets</t>
  </si>
  <si>
    <t>Other 2 engine helicopter</t>
  </si>
  <si>
    <t>Other 2 piston aircraft</t>
  </si>
  <si>
    <t>Other 2 turbo aircraft</t>
  </si>
  <si>
    <t>Other 3 turbo aircraft</t>
  </si>
  <si>
    <t>3T</t>
  </si>
  <si>
    <t>Other 4 turbo aircraft</t>
  </si>
  <si>
    <t>**Note: Sources from Zurich Airport</t>
  </si>
  <si>
    <t>Annual Movements</t>
  </si>
  <si>
    <t>Average Taxi Time</t>
  </si>
  <si>
    <t>min</t>
  </si>
  <si>
    <t>Annual Movement</t>
  </si>
  <si>
    <t xml:space="preserve">*Full LTO=LTO* + avg.taxi_time x taxi </t>
  </si>
  <si>
    <t>*emission= annual movement x full LTO / 2</t>
  </si>
  <si>
    <t>Full LTO (kg)</t>
  </si>
  <si>
    <t>Emission (ton)</t>
  </si>
  <si>
    <t>HC</t>
  </si>
  <si>
    <t>Sox</t>
  </si>
  <si>
    <t>CO2</t>
  </si>
  <si>
    <t>TOTAL</t>
  </si>
  <si>
    <t>Subtotal (ton)</t>
  </si>
  <si>
    <t xml:space="preserve">Other Africa </t>
  </si>
  <si>
    <t xml:space="preserve">Other Latin America </t>
  </si>
  <si>
    <t xml:space="preserve">Other Asia </t>
  </si>
  <si>
    <t xml:space="preserve">World </t>
  </si>
  <si>
    <t xml:space="preserve">OECD North America </t>
  </si>
  <si>
    <t xml:space="preserve">OECD Pacific </t>
  </si>
  <si>
    <t xml:space="preserve">OECD Europe </t>
  </si>
  <si>
    <t xml:space="preserve">Africa </t>
  </si>
  <si>
    <t xml:space="preserve">Latin America </t>
  </si>
  <si>
    <t xml:space="preserve">Middle East </t>
  </si>
  <si>
    <t xml:space="preserve">Non-OECD Europe </t>
  </si>
  <si>
    <t xml:space="preserve">Former USSR </t>
  </si>
  <si>
    <t xml:space="preserve">Asia (excluding China) </t>
  </si>
  <si>
    <t>Step 3-2 Input Average Taxi Time</t>
  </si>
  <si>
    <t>Fuel (kg)</t>
  </si>
  <si>
    <t>Total Emissions (ton)</t>
  </si>
  <si>
    <t>check</t>
  </si>
  <si>
    <t>min/LTO</t>
  </si>
  <si>
    <t>FB (kg/min)</t>
  </si>
  <si>
    <t>Nox (g/min)</t>
  </si>
  <si>
    <t>HC (g/min)</t>
  </si>
  <si>
    <t>CO (g/min)</t>
  </si>
  <si>
    <t>PM (g/min)</t>
  </si>
  <si>
    <t>Sox (g/min)</t>
  </si>
  <si>
    <t>CO2 (g/min)</t>
  </si>
  <si>
    <t>Emission Factors of APU (kg GHG / kg fuel):</t>
  </si>
  <si>
    <t>Ops Time</t>
  </si>
  <si>
    <t>FULL LTO</t>
  </si>
  <si>
    <t>Bus Type</t>
  </si>
  <si>
    <t>Number of Routes</t>
  </si>
  <si>
    <t>Days per Year</t>
  </si>
  <si>
    <t>Commuter Bus</t>
  </si>
  <si>
    <t>Aircraft Calculation</t>
  </si>
  <si>
    <t>Passenger does not take bus</t>
  </si>
  <si>
    <t>Hotel/Shared Shuttle</t>
  </si>
  <si>
    <t>Buses</t>
  </si>
  <si>
    <t># of Routes</t>
  </si>
  <si>
    <t>1-way Trips/Day</t>
  </si>
  <si>
    <r>
      <t>Fuel Consumption by</t>
    </r>
    <r>
      <rPr>
        <b/>
        <sz val="10"/>
        <rFont val="Arial"/>
        <family val="2"/>
      </rPr>
      <t xml:space="preserve"> BUS</t>
    </r>
  </si>
  <si>
    <t>Hotel/Shared Shuttles</t>
  </si>
  <si>
    <t>Commuter Busses</t>
  </si>
  <si>
    <t>TENANT GROUNDSIDE VEHICLE SUMMARY</t>
  </si>
  <si>
    <t>Staff</t>
  </si>
  <si>
    <t>Visitor</t>
  </si>
  <si>
    <t>Passenger</t>
  </si>
  <si>
    <t xml:space="preserve"> Building Emission Calculation (Ton)</t>
  </si>
  <si>
    <t>Step 1-3</t>
  </si>
  <si>
    <t xml:space="preserve"> Airside Vehicle Emission Calculation (Ton):</t>
  </si>
  <si>
    <t>Step 1-1</t>
  </si>
  <si>
    <t xml:space="preserve"> Fire Training Emission Calculation (Ton):</t>
  </si>
  <si>
    <t>Step 3-1</t>
  </si>
  <si>
    <t>Step 3-3</t>
  </si>
  <si>
    <t>Step 3-4</t>
  </si>
  <si>
    <t>Step 3-5: Input information for all buildings owned or controlled by tenants.</t>
  </si>
  <si>
    <t xml:space="preserve">Step 3-5 </t>
  </si>
  <si>
    <t>Step 3-6</t>
  </si>
  <si>
    <t>Step 3-7</t>
  </si>
  <si>
    <t>PUBLIC GROUNDSIDE VEHICLE SUMMARY</t>
  </si>
  <si>
    <t>IF DETAILED TRAFFIC STUDY IS AVAILABLE</t>
  </si>
  <si>
    <t>IF DETAILED TRAFFIC STUDY IS NOT AVAILABLE</t>
  </si>
  <si>
    <t>IATA Identifier:</t>
  </si>
  <si>
    <t>Propane EF (g/kg)</t>
  </si>
  <si>
    <t>Rail Type</t>
  </si>
  <si>
    <t>Electricity:</t>
  </si>
  <si>
    <t>Convert Known NG</t>
  </si>
  <si>
    <t>GJ/Annum/m2</t>
  </si>
  <si>
    <t>Square Meter</t>
  </si>
  <si>
    <t>Hotel/Shared 
Shuttles</t>
  </si>
  <si>
    <t>Commuter 
Busses</t>
  </si>
  <si>
    <t>Rail</t>
  </si>
  <si>
    <r>
      <t>Fuel Consumption by</t>
    </r>
    <r>
      <rPr>
        <b/>
        <sz val="10"/>
        <rFont val="Arial"/>
        <family val="2"/>
      </rPr>
      <t xml:space="preserve"> RAIL</t>
    </r>
  </si>
  <si>
    <t>Airport:</t>
  </si>
  <si>
    <t>Emission source</t>
  </si>
  <si>
    <t>Carburant</t>
  </si>
  <si>
    <t>Data Source/Reference</t>
  </si>
  <si>
    <t>Input metric</t>
  </si>
  <si>
    <t>Conversion unit</t>
  </si>
  <si>
    <t>Conversion value</t>
  </si>
  <si>
    <t>EI units</t>
  </si>
  <si>
    <t>EI NOx</t>
  </si>
  <si>
    <t>EI VOC</t>
  </si>
  <si>
    <t>EI CO</t>
  </si>
  <si>
    <t>EI PM</t>
  </si>
  <si>
    <t>EI CO2</t>
  </si>
  <si>
    <t>EI SOx</t>
  </si>
  <si>
    <t>Extra comment</t>
  </si>
  <si>
    <t>Stationary sources</t>
  </si>
  <si>
    <t>Building Heating (50kW-1MW)</t>
  </si>
  <si>
    <t>CORINAIR, 2009, 1.A.4.a.i</t>
  </si>
  <si>
    <t>kg coal</t>
  </si>
  <si>
    <t>MJ/kg carburant</t>
  </si>
  <si>
    <t>g/GJ</t>
  </si>
  <si>
    <t>kg natural gas</t>
  </si>
  <si>
    <t>Building Heating</t>
  </si>
  <si>
    <t>Light Oil</t>
  </si>
  <si>
    <t>kg light/gas oil</t>
  </si>
  <si>
    <t>Emergency Generator</t>
  </si>
  <si>
    <t>CORINAIR, 1990</t>
  </si>
  <si>
    <t>kg diesel</t>
  </si>
  <si>
    <t>Fire training</t>
  </si>
  <si>
    <t>US FAA (EDMS 4.2, App. H)</t>
  </si>
  <si>
    <t>kg kerosene</t>
  </si>
  <si>
    <t>g/kg</t>
  </si>
  <si>
    <t>kg propane</t>
  </si>
  <si>
    <t>http://www.atmos-chem-phys-discuss.net/10/27523/2010/acpd-10-27523-2010-print.pdf</t>
  </si>
  <si>
    <t>kg wood</t>
  </si>
  <si>
    <t>Vehicles landside</t>
  </si>
  <si>
    <t>Passenger Cars</t>
  </si>
  <si>
    <t>CORINAIR, 2009, 1.A.3.b</t>
  </si>
  <si>
    <t>km estimate</t>
  </si>
  <si>
    <t>LPG</t>
  </si>
  <si>
    <t>LDV</t>
  </si>
  <si>
    <t>HDV</t>
  </si>
  <si>
    <t>CNG</t>
  </si>
  <si>
    <t>Motorbikes</t>
  </si>
  <si>
    <t>Swiss EPA, 2010 (Nr.102, table 22)</t>
  </si>
  <si>
    <t>g/km</t>
  </si>
  <si>
    <t>Vehicles/machinery airside</t>
  </si>
  <si>
    <t>Offroad machinery</t>
  </si>
  <si>
    <t>Swiss Offroad Database, 2000</t>
  </si>
  <si>
    <t>Older or alternative emission factors</t>
  </si>
  <si>
    <t>Coke</t>
  </si>
  <si>
    <t>kg coke</t>
  </si>
  <si>
    <t>kg light oil</t>
  </si>
  <si>
    <t>CORINAIR</t>
  </si>
  <si>
    <t>AP-42, 2.5</t>
  </si>
  <si>
    <t>kg forest residues</t>
  </si>
  <si>
    <t>USDA-FS, 2003</t>
  </si>
  <si>
    <t>kg pine pile</t>
  </si>
  <si>
    <t>Airside circulating cars</t>
  </si>
  <si>
    <t>All types</t>
  </si>
  <si>
    <t>HBEFA 2.1 (Swiss EPA), 2010</t>
  </si>
  <si>
    <t>Swiss average, all fuel types, low speed</t>
  </si>
  <si>
    <t>Airside circulating light duty vehicles</t>
  </si>
  <si>
    <t>Airside circulating heavy duty vehicles</t>
  </si>
  <si>
    <t>Type</t>
  </si>
  <si>
    <t>Density</t>
  </si>
  <si>
    <t>kg/m3</t>
  </si>
  <si>
    <t>NG</t>
  </si>
  <si>
    <t>Source: 2006 IPCC Guidelines for National GHG Inventories, Volume 2, Table 2.4</t>
  </si>
  <si>
    <t>Jet A/B Source: Environment Canada, "National Inventory Report 1990 - 2008", Table A8-11: Emission Factors for Energy Mobile Combustion Sources.</t>
  </si>
  <si>
    <t>Step 1-2</t>
  </si>
  <si>
    <t xml:space="preserve">Step 1-4 </t>
  </si>
  <si>
    <t>Jet A-1</t>
  </si>
  <si>
    <t>Railcars</t>
  </si>
  <si>
    <t>hours/yr</t>
  </si>
  <si>
    <t>fuel consumption (kg/h)</t>
  </si>
  <si>
    <t>EMEP/EEA Guidebook 2009 1.A.3.c Railways Tier 2 emission factors</t>
  </si>
  <si>
    <t>Line Haul</t>
  </si>
  <si>
    <t>Fuel (tonne)</t>
  </si>
  <si>
    <t>Diesel EF (kg/tonne)</t>
  </si>
  <si>
    <t>*EMEP/EEA Guidebook 2009 1.A.3.c Railways</t>
  </si>
  <si>
    <t>units</t>
  </si>
  <si>
    <t>Propane em (tonne)</t>
  </si>
  <si>
    <t>CNG Em (tonne)</t>
  </si>
  <si>
    <t xml:space="preserve">CNG EF </t>
  </si>
  <si>
    <t>PUBLIC TRAFFIC</t>
  </si>
  <si>
    <t>Commuter Buses</t>
  </si>
  <si>
    <t>No Traffic Study</t>
  </si>
  <si>
    <t>Traffic Study</t>
  </si>
  <si>
    <t>Output</t>
  </si>
  <si>
    <t>kg/run-up</t>
  </si>
  <si>
    <t>Amount of Fuel per Run-up</t>
  </si>
  <si>
    <t># of Run-ups</t>
  </si>
  <si>
    <t>AvGas (#runups)</t>
  </si>
  <si>
    <t>Engine Runups</t>
  </si>
  <si>
    <t>Aircraft with aviation gasoline</t>
  </si>
  <si>
    <t>AVGAS</t>
  </si>
  <si>
    <t>10min-idle-C182</t>
  </si>
  <si>
    <t>kg/runup</t>
  </si>
  <si>
    <t>Jet-A1</t>
  </si>
  <si>
    <t>30min-idle-B737</t>
  </si>
  <si>
    <t>Jet A EF (kg/run-up)</t>
  </si>
  <si>
    <t>AvGas EF (kg/run-up)</t>
  </si>
  <si>
    <t>kg jet a/runup</t>
  </si>
  <si>
    <t>kg av gas/runup</t>
  </si>
  <si>
    <t>Step 2-4</t>
  </si>
  <si>
    <t>SCOPE 2 - INDIRECT EMISSIONS FROM THE GENERATION OF PURCHASED ELECTRICITY / HEAT CONSUMED BY AIRPORT</t>
  </si>
  <si>
    <t>Step 2-5</t>
  </si>
  <si>
    <t>Step 2-6</t>
  </si>
  <si>
    <t>1) Coal</t>
  </si>
  <si>
    <t>2) Fuel oil</t>
  </si>
  <si>
    <t>3) Natural Gas</t>
  </si>
  <si>
    <t>Annual NG (GJ)</t>
  </si>
  <si>
    <t>Total Emission (Ton)</t>
  </si>
  <si>
    <t>1236.1 kg/runup or 3.138 kg/kg fuel</t>
  </si>
  <si>
    <t>393.91 kg fuel/runup</t>
  </si>
  <si>
    <t>4.71 kg/runup or 3.253 kg/kg fuel</t>
  </si>
  <si>
    <t>1.45 kg fuel/runup</t>
  </si>
  <si>
    <t>&gt;&gt;&gt;</t>
  </si>
  <si>
    <t>Based on CO2 EFs:</t>
  </si>
  <si>
    <t>Tenant Landside Vehicles</t>
  </si>
  <si>
    <t>Tenant Employees</t>
  </si>
  <si>
    <t>NOX, VOC, CO, PM: Table3-19, 20</t>
  </si>
  <si>
    <t>kg/L</t>
  </si>
  <si>
    <t>Propane CH4, N2O, Butane Source: Environment Canada, "National Inventory Report 1990 - 2008", Table A8-3: Emission Factors for Natual Gas Liquids.</t>
  </si>
  <si>
    <t>Kerosene Source: Environment Canada, "National Inventory Report 1990 - 2008", Table A8-4: Emission Factors for Refined Petroleum Products.</t>
  </si>
  <si>
    <t>Wood Source: Environment Canada, "National Inventory Report 1990 - 2008", Table A8-25: Emission Factors for Biomass.</t>
  </si>
  <si>
    <t>Jet A pollutants source: US EPA Appendix H Table H-2.</t>
  </si>
  <si>
    <r>
      <t>Note: CO</t>
    </r>
    <r>
      <rPr>
        <i/>
        <vertAlign val="subscript"/>
        <sz val="10"/>
        <rFont val="Arial"/>
        <family val="2"/>
      </rPr>
      <t>2</t>
    </r>
    <r>
      <rPr>
        <i/>
        <sz val="10"/>
        <rFont val="Arial"/>
        <family val="2"/>
      </rPr>
      <t xml:space="preserve"> EF: 1.736 kg/L for pure glycol, so 0.868 kg/L for 50-50 diluted glycol.</t>
    </r>
  </si>
  <si>
    <t>Step 3-9</t>
  </si>
  <si>
    <t>Step 3-8: Input ESTIMATED annual engine run-ups fuel usage.</t>
  </si>
  <si>
    <t>Step 3-8</t>
  </si>
  <si>
    <t xml:space="preserve">Step 3-11 </t>
  </si>
  <si>
    <r>
      <t>N</t>
    </r>
    <r>
      <rPr>
        <vertAlign val="subscript"/>
        <sz val="10"/>
        <rFont val="Arial"/>
        <family val="2"/>
      </rPr>
      <t>2</t>
    </r>
    <r>
      <rPr>
        <sz val="10"/>
        <rFont val="Arial"/>
        <family val="2"/>
      </rPr>
      <t>O</t>
    </r>
  </si>
  <si>
    <r>
      <t>t</t>
    </r>
    <r>
      <rPr>
        <sz val="9"/>
        <rFont val="Arial"/>
        <family val="2"/>
      </rPr>
      <t xml:space="preserve"> CO2/kWh  </t>
    </r>
  </si>
  <si>
    <r>
      <t>t</t>
    </r>
    <r>
      <rPr>
        <sz val="10"/>
        <rFont val="Arial"/>
        <family val="2"/>
      </rPr>
      <t xml:space="preserve"> CO2/kWh  </t>
    </r>
  </si>
  <si>
    <r>
      <t xml:space="preserve">Fuel Consumption by </t>
    </r>
    <r>
      <rPr>
        <b/>
        <sz val="10"/>
        <rFont val="Arial"/>
        <family val="2"/>
      </rPr>
      <t xml:space="preserve">VISITOR vehicle </t>
    </r>
    <r>
      <rPr>
        <sz val="10"/>
        <rFont val="Arial"/>
        <family val="2"/>
      </rPr>
      <t>type</t>
    </r>
  </si>
  <si>
    <r>
      <t>Fuel Consumption by</t>
    </r>
    <r>
      <rPr>
        <b/>
        <sz val="10"/>
        <rFont val="Arial"/>
        <family val="2"/>
      </rPr>
      <t xml:space="preserve"> PASSENGER</t>
    </r>
    <r>
      <rPr>
        <sz val="10"/>
        <rFont val="Arial"/>
        <family val="2"/>
      </rPr>
      <t xml:space="preserve"> vehicle type</t>
    </r>
  </si>
  <si>
    <t>Density values used in calculation</t>
  </si>
  <si>
    <t>Step 3-6: Input the annual fuel usage for fire training, if outsourced to a third party.</t>
  </si>
  <si>
    <t>Step 3-10: Input information regarding Landside Vehicles.</t>
  </si>
  <si>
    <t>Is there a Detailed Traffic Study available?</t>
  </si>
  <si>
    <t>Estimate Percentage of Staff using Personal Vehicles</t>
  </si>
  <si>
    <t># Employees</t>
  </si>
  <si>
    <r>
      <t xml:space="preserve">Fuel Consumption by </t>
    </r>
    <r>
      <rPr>
        <b/>
        <sz val="10"/>
        <rFont val="Arial"/>
        <family val="2"/>
      </rPr>
      <t>TENANT STAFF</t>
    </r>
    <r>
      <rPr>
        <sz val="10"/>
        <rFont val="Arial"/>
        <family val="2"/>
      </rPr>
      <t xml:space="preserve"> vehicle type</t>
    </r>
  </si>
  <si>
    <r>
      <t xml:space="preserve">Fuel Consumption by </t>
    </r>
    <r>
      <rPr>
        <b/>
        <sz val="10"/>
        <rFont val="Arial"/>
        <family val="2"/>
      </rPr>
      <t xml:space="preserve">AIRPORT OPERATOR STAFF </t>
    </r>
    <r>
      <rPr>
        <sz val="10"/>
        <rFont val="Arial"/>
        <family val="2"/>
      </rPr>
      <t>vehicle type</t>
    </r>
  </si>
  <si>
    <t>Delivery Trucks/Vans</t>
  </si>
  <si>
    <t>km</t>
  </si>
  <si>
    <t>Enter information for Traffic</t>
  </si>
  <si>
    <t>Traffic Type</t>
  </si>
  <si>
    <t>Airport Staff</t>
  </si>
  <si>
    <t>Tenant Staff</t>
  </si>
  <si>
    <r>
      <t>Fuel Consumption by</t>
    </r>
    <r>
      <rPr>
        <b/>
        <sz val="10"/>
        <rFont val="Arial"/>
        <family val="2"/>
      </rPr>
      <t xml:space="preserve"> Airport Staff Vehicle</t>
    </r>
    <r>
      <rPr>
        <sz val="10"/>
        <rFont val="Arial"/>
        <family val="2"/>
      </rPr>
      <t xml:space="preserve"> type</t>
    </r>
  </si>
  <si>
    <r>
      <t>Fuel Consumption by</t>
    </r>
    <r>
      <rPr>
        <b/>
        <sz val="10"/>
        <rFont val="Arial"/>
        <family val="2"/>
      </rPr>
      <t xml:space="preserve"> Tenant Staff Vehicle </t>
    </r>
    <r>
      <rPr>
        <sz val="10"/>
        <rFont val="Arial"/>
        <family val="2"/>
      </rPr>
      <t>type</t>
    </r>
  </si>
  <si>
    <r>
      <t>Fuel Consumption by</t>
    </r>
    <r>
      <rPr>
        <b/>
        <sz val="10"/>
        <rFont val="Arial"/>
        <family val="2"/>
      </rPr>
      <t xml:space="preserve"> Visitor Vehicle </t>
    </r>
    <r>
      <rPr>
        <sz val="10"/>
        <rFont val="Arial"/>
        <family val="2"/>
      </rPr>
      <t>type</t>
    </r>
  </si>
  <si>
    <t>AIRPORT STAFF GROUNDSIDE VEHICLE SUMMARY</t>
  </si>
  <si>
    <t>Output:</t>
  </si>
  <si>
    <t>Step 1-4: Input the annual fuel flow for Stationary Emergency Power Generation Units, owned by the Airport Operator</t>
  </si>
  <si>
    <t>ACU</t>
  </si>
  <si>
    <t>GPU</t>
  </si>
  <si>
    <t>Volume (L)</t>
  </si>
  <si>
    <t>Motorcycle:</t>
  </si>
  <si>
    <t>Office or other (m2)</t>
  </si>
  <si>
    <t>Warehouse (m2)</t>
  </si>
  <si>
    <t xml:space="preserve">Building Type </t>
  </si>
  <si>
    <t xml:space="preserve">a. Assume average Natural Gas use for Commercial Office: </t>
  </si>
  <si>
    <t>b. Assume average Natural Gas use for Warehouse:</t>
  </si>
  <si>
    <t>e. Assume average Coal use for Commerical Office:</t>
  </si>
  <si>
    <t>f. Assume average Coal use for Warehouse:</t>
  </si>
  <si>
    <t>Litre/Annum/m2</t>
  </si>
  <si>
    <t>kg/Annum/m2</t>
  </si>
  <si>
    <t>Estimated Fuel Oil (L)</t>
  </si>
  <si>
    <t>Known Fuel Oil</t>
  </si>
  <si>
    <t>Total Fuel Oil (L)</t>
  </si>
  <si>
    <t>L/Annum/m2</t>
  </si>
  <si>
    <t>known Coal (GJ)</t>
  </si>
  <si>
    <t>Total Annual Coal (GJ)</t>
  </si>
  <si>
    <t>Estimated Fuel Oil (GJ)</t>
  </si>
  <si>
    <t>Motorcycle</t>
  </si>
  <si>
    <t>http://www.ec.gc.ca/ges-ghg/default.asp?lang=En&amp;n=AC2B7641-1#section5</t>
  </si>
  <si>
    <t xml:space="preserve">Gas EF </t>
  </si>
  <si>
    <t>Diesel EF</t>
  </si>
  <si>
    <t>NG EF</t>
  </si>
  <si>
    <t>Gas EF</t>
  </si>
  <si>
    <t>Passenger Motorcycle</t>
  </si>
  <si>
    <t>Airport Operator Staff Vehicle</t>
  </si>
  <si>
    <t>Tenant Staff Vehicle</t>
  </si>
  <si>
    <t>total dist (km)</t>
  </si>
  <si>
    <t>Annual Oil (GJ)</t>
  </si>
  <si>
    <t>c. Assume average Fuel Oil use for Commerical Office:</t>
  </si>
  <si>
    <t>d. Assume average Fuel Oil use for Warehouse:</t>
  </si>
  <si>
    <r>
      <t>g CO</t>
    </r>
    <r>
      <rPr>
        <vertAlign val="subscript"/>
        <sz val="9"/>
        <color rgb="FF000000"/>
        <rFont val="Arial"/>
        <family val="2"/>
      </rPr>
      <t>2</t>
    </r>
    <r>
      <rPr>
        <sz val="9"/>
        <color rgb="FF000000"/>
        <rFont val="Arial"/>
        <family val="2"/>
      </rPr>
      <t xml:space="preserve">/kWh </t>
    </r>
  </si>
  <si>
    <t>Passenger Light Duty Vehicles</t>
  </si>
  <si>
    <t xml:space="preserve">Cambodia  </t>
  </si>
  <si>
    <t>HC (kg/ LTO*)</t>
  </si>
  <si>
    <t>CO (kg/ LTO*)</t>
  </si>
  <si>
    <t>PM (kg/ LTO*)</t>
  </si>
  <si>
    <t>SOx (kg/ LTO*)</t>
  </si>
  <si>
    <r>
      <t>CO</t>
    </r>
    <r>
      <rPr>
        <b/>
        <vertAlign val="subscript"/>
        <sz val="10"/>
        <color theme="1"/>
        <rFont val="Arial"/>
        <family val="2"/>
      </rPr>
      <t>2</t>
    </r>
    <r>
      <rPr>
        <b/>
        <sz val="10"/>
        <color theme="1"/>
        <rFont val="Arial"/>
        <family val="2"/>
      </rPr>
      <t xml:space="preserve"> (kg/ LTO*)</t>
    </r>
  </si>
  <si>
    <t>NOx (kg/ LTO*)</t>
  </si>
  <si>
    <t xml:space="preserve">Metric (e.g. metres, litres, kg) </t>
  </si>
  <si>
    <t>litre</t>
  </si>
  <si>
    <t>DATA WARNINGS</t>
  </si>
  <si>
    <t>Comments</t>
  </si>
  <si>
    <t>An environmental policy?</t>
  </si>
  <si>
    <t>yes</t>
  </si>
  <si>
    <t>A sustainability policy?</t>
  </si>
  <si>
    <t>no</t>
  </si>
  <si>
    <t>A Corporate Social Responsibility (CSR) policy?</t>
  </si>
  <si>
    <t>Dedicated environmental manager?</t>
  </si>
  <si>
    <t>Non-dedicated environmental manager?</t>
  </si>
  <si>
    <t>How many dedicated environmental staff?</t>
  </si>
  <si>
    <t>staff (equivalent full time including manager)</t>
  </si>
  <si>
    <t>Regular (eg annual) Reporting</t>
  </si>
  <si>
    <t>General airport report</t>
  </si>
  <si>
    <t>No</t>
  </si>
  <si>
    <t>Environmental Report</t>
  </si>
  <si>
    <t>Level 1 Mapping</t>
  </si>
  <si>
    <t>Noise Report</t>
  </si>
  <si>
    <t>Level 2 Reduction</t>
  </si>
  <si>
    <t>Sustainability Report</t>
  </si>
  <si>
    <t>Level 3 Optimisation</t>
  </si>
  <si>
    <t>CSR Report</t>
  </si>
  <si>
    <t>Level 3+ Neutrality</t>
  </si>
  <si>
    <t>GRI (Global Reporting Initiative)</t>
  </si>
  <si>
    <t>Environmental Management System</t>
  </si>
  <si>
    <t>(EU) EMAS</t>
  </si>
  <si>
    <t>ISO 14001</t>
  </si>
  <si>
    <t>on site</t>
  </si>
  <si>
    <t>1 - 2 km</t>
  </si>
  <si>
    <t>within 3yrs</t>
  </si>
  <si>
    <t>2 - 5 km</t>
  </si>
  <si>
    <t>none</t>
  </si>
  <si>
    <t>5 - 10 km</t>
  </si>
  <si>
    <t>&gt; 10 km</t>
  </si>
  <si>
    <t>Other vehicle usage</t>
  </si>
  <si>
    <t>Private/individual car</t>
  </si>
  <si>
    <t>Share car/car pooling</t>
  </si>
  <si>
    <t>Rental car</t>
  </si>
  <si>
    <t>Taxi</t>
  </si>
  <si>
    <t>Bus/coach</t>
  </si>
  <si>
    <t>Hotel shuttle vans</t>
  </si>
  <si>
    <t xml:space="preserve">Other </t>
  </si>
  <si>
    <t>Cost incentive/discount</t>
  </si>
  <si>
    <t>Mandatory requirement</t>
  </si>
  <si>
    <t>Other</t>
  </si>
  <si>
    <t>Cars</t>
  </si>
  <si>
    <t>Dedicated parking locations</t>
  </si>
  <si>
    <t>Reduced parking rates</t>
  </si>
  <si>
    <t>Electrical recharging</t>
  </si>
  <si>
    <t>Hydrogen refill</t>
  </si>
  <si>
    <t>Capacity</t>
  </si>
  <si>
    <t>Annual Production</t>
  </si>
  <si>
    <t>Solar electricity / Photo voltaic</t>
  </si>
  <si>
    <t>kW</t>
  </si>
  <si>
    <t>MWhr/y</t>
  </si>
  <si>
    <t>Solar hot water</t>
  </si>
  <si>
    <t>Wind turbines</t>
  </si>
  <si>
    <t>Geothermal</t>
  </si>
  <si>
    <t>Hydroelectric</t>
  </si>
  <si>
    <t>RENEWABLE ELECTRICITY PURCHASE</t>
  </si>
  <si>
    <t>Proportion</t>
  </si>
  <si>
    <t xml:space="preserve">Wind </t>
  </si>
  <si>
    <t>Solar</t>
  </si>
  <si>
    <t>Other renewable</t>
  </si>
  <si>
    <t>NON RENEWABLE ELECTRICTY PURCHASE</t>
  </si>
  <si>
    <t>Coal burning power station</t>
  </si>
  <si>
    <t>Gas burning power station</t>
  </si>
  <si>
    <t>Other fossil fuel</t>
  </si>
  <si>
    <t>Nuclear</t>
  </si>
  <si>
    <t>UNKNOWN ELECTRICITY GENERATION</t>
  </si>
  <si>
    <t>Total Electricity Purchase</t>
  </si>
  <si>
    <t>CNG (Compressed Natural Gas)</t>
  </si>
  <si>
    <t>LPG (Liquid Petroleum Gas)</t>
  </si>
  <si>
    <t>Biofuel/Biodiesel</t>
  </si>
  <si>
    <t>Liquid Hydrogen (H2)</t>
  </si>
  <si>
    <t>Electric Recharge Station</t>
  </si>
  <si>
    <t>GREENHOUSE GAS EMISSIONS MANAGEMENT</t>
  </si>
  <si>
    <t>Local requirement/law</t>
  </si>
  <si>
    <t>Local agreement/MOU</t>
  </si>
  <si>
    <t>National requirement</t>
  </si>
  <si>
    <t>National agreement/MOU</t>
  </si>
  <si>
    <t>Other in-house</t>
  </si>
  <si>
    <t>Other Kyoto Protocol</t>
  </si>
  <si>
    <t>Energy Efficiency</t>
  </si>
  <si>
    <t>Carbon Neutral Growth</t>
  </si>
  <si>
    <t>Carbon Neutrality</t>
  </si>
  <si>
    <t>Annual Natural Gas Usage</t>
  </si>
  <si>
    <t>Annual Fuel 
Oil Usage</t>
  </si>
  <si>
    <t>Annual Coal Usage</t>
  </si>
  <si>
    <t>- by Airport:</t>
  </si>
  <si>
    <t>- byTenants:</t>
  </si>
  <si>
    <t>SCOPE 3 - DIRECT AND INDIRECT EMISSIONS GENERATED BY TENANTS AND PASSENGERS</t>
  </si>
  <si>
    <t>Step 3-4: Input information for the Airside Vehicles (Ground Support Equipment, Airline and Other Tenant Owned Equipment).</t>
  </si>
  <si>
    <t xml:space="preserve">Your country is </t>
  </si>
  <si>
    <t>Other generic aircraft</t>
  </si>
  <si>
    <t>1-engine helicopter</t>
  </si>
  <si>
    <t>1-eng piston aircraft</t>
  </si>
  <si>
    <t>2-engine bizjets</t>
  </si>
  <si>
    <t>2-engine helicopter</t>
  </si>
  <si>
    <t>2-eng piston aircraft</t>
  </si>
  <si>
    <t>1) Input total annual fuel usage for Airside Vehicles (Non-Airport owned)</t>
  </si>
  <si>
    <t>2) For building with UNKNOWN energy usage, input ESTIMATED area in Square Metres according to BUILDING TYPE:</t>
  </si>
  <si>
    <t>(This used in Step 3.5)</t>
  </si>
  <si>
    <t>This comes from Step 2.6</t>
  </si>
  <si>
    <t>Note: If taxi times are different for large and small aircraft, use the figure for large aircraft.</t>
  </si>
  <si>
    <r>
      <t>g</t>
    </r>
    <r>
      <rPr>
        <sz val="9"/>
        <rFont val="Arial"/>
        <family val="2"/>
      </rPr>
      <t xml:space="preserve"> CO2/kWh  </t>
    </r>
  </si>
  <si>
    <t>Percent of Passengers Connecting:</t>
  </si>
  <si>
    <t>Unit       (Choose)</t>
  </si>
  <si>
    <t>Note: In this calculation only aircraft LTO emissions are included.</t>
  </si>
  <si>
    <t>Step 1-1: Input information for AIRPORT OPERATOR FLEET VEHICLES (vehicles, machinery and GSE)</t>
  </si>
  <si>
    <t>Input Fuel used by the off-site Heat producer:</t>
  </si>
  <si>
    <t>Input percentage of total Heat purchased which is then sold to Tenants:</t>
  </si>
  <si>
    <t xml:space="preserve"> (select units - kWh or GJ)</t>
  </si>
  <si>
    <t>Information feedback (no input required)</t>
  </si>
  <si>
    <t>Airline Hangar</t>
  </si>
  <si>
    <t>Step 3-9: Input annual glycol usage for de-icing.</t>
  </si>
  <si>
    <t xml:space="preserve"> - vans and small buses typically &lt;20 seats or 2-3.5 tonnes</t>
  </si>
  <si>
    <t>Light-duty vehicles</t>
  </si>
  <si>
    <t>Heavy-duty vehicles</t>
  </si>
  <si>
    <t xml:space="preserve"> - buses, trucks, machinery &gt; 20 seats or &gt;3.5 tonnes</t>
  </si>
  <si>
    <t>Mobile Air Conditioning Units (ACU) - Airport owned</t>
  </si>
  <si>
    <t>Ground Power Units (GPU) - Airport owned</t>
  </si>
  <si>
    <t xml:space="preserve"> - cars and vehicles &lt;2 tonnes</t>
  </si>
  <si>
    <t>1a) Input approximate percentages of fuel use in different vehicles</t>
  </si>
  <si>
    <t>Generator Name</t>
  </si>
  <si>
    <t>2 turboprop aircraft</t>
  </si>
  <si>
    <t>3 turboprop aircraft</t>
  </si>
  <si>
    <t>4 turboprop aircraft</t>
  </si>
  <si>
    <t>1 turboprop aircraft</t>
  </si>
  <si>
    <t>Typical single-aisle aircraft such as A321, B757 and smaller</t>
  </si>
  <si>
    <t>Typical double-aisle aircraft such as A330, B767 and larger</t>
  </si>
  <si>
    <t>2) Input total annual fuel usage for mobile equipment - non Airport owned</t>
  </si>
  <si>
    <t>Mobile Air Conditioning Units (ACU) - non-Airport owned</t>
  </si>
  <si>
    <t>Ground Power Units (GPU) - non-Airport owned</t>
  </si>
  <si>
    <t>Note: This data is for the Local Air Quality calculations, not for CO2</t>
  </si>
  <si>
    <t>Notes:</t>
  </si>
  <si>
    <t>Leisure</t>
  </si>
  <si>
    <t>Business</t>
  </si>
  <si>
    <t>Commuter Bus/Coach (&gt;20 seats)</t>
  </si>
  <si>
    <t>Hotel Shuttle/Vans (&lt;20 seats)</t>
  </si>
  <si>
    <t>Number of round trips/day</t>
  </si>
  <si>
    <t>Train / Heavy Rail / Line Haul Locomotive</t>
  </si>
  <si>
    <t>Subway/Metro/Light Rail/Railcars</t>
  </si>
  <si>
    <t xml:space="preserve">Step 3-11: </t>
  </si>
  <si>
    <t xml:space="preserve">Step 3-12: </t>
  </si>
  <si>
    <t>Fuel 
Oil</t>
  </si>
  <si>
    <t>Step 1-5</t>
  </si>
  <si>
    <t>Note: Do not duplicate Airport Scope 1 glycol use.</t>
  </si>
  <si>
    <t>Light Duty Vehicles</t>
  </si>
  <si>
    <t>Hotel Shared Shuttles</t>
  </si>
  <si>
    <t>For trains, estimate percentage of different fuel types:</t>
  </si>
  <si>
    <t>Gasoline Hybrid:</t>
  </si>
  <si>
    <t>Electric cars:</t>
  </si>
  <si>
    <t>Date of Report (DD/MM/YYYY):</t>
  </si>
  <si>
    <r>
      <t xml:space="preserve">2) Input total </t>
    </r>
    <r>
      <rPr>
        <b/>
        <sz val="11"/>
        <rFont val="Arial"/>
        <family val="2"/>
      </rPr>
      <t>annual fuel</t>
    </r>
    <r>
      <rPr>
        <sz val="11"/>
        <rFont val="Arial"/>
        <family val="2"/>
      </rPr>
      <t xml:space="preserve"> usage for mobile equipment - Airport owned</t>
    </r>
  </si>
  <si>
    <r>
      <t xml:space="preserve">1) Input </t>
    </r>
    <r>
      <rPr>
        <b/>
        <sz val="11"/>
        <rFont val="Arial"/>
        <family val="2"/>
      </rPr>
      <t>total annual fuel</t>
    </r>
    <r>
      <rPr>
        <sz val="11"/>
        <rFont val="Arial"/>
        <family val="2"/>
      </rPr>
      <t xml:space="preserve"> usage for Airport Fleet </t>
    </r>
  </si>
  <si>
    <t>Step 1-2: Input information for AIRPORT OWNED AND OPERATED buildings (e.g. Power/electricity generation, heating/cooling plant, ATB, maintenance garage, etc.)</t>
  </si>
  <si>
    <t>Unit (Choose kg, m3 or GJ)</t>
  </si>
  <si>
    <t>Note: uses 50-50 dilluted glycol</t>
  </si>
  <si>
    <t>Airport Glycol</t>
  </si>
  <si>
    <t>Subtotal (t)</t>
  </si>
  <si>
    <t>a) Total annual electricity purchased by airport and sold to tenants</t>
  </si>
  <si>
    <t>kWh from Step 2.4</t>
  </si>
  <si>
    <t>b) Total annual electricity generated by airport and sold to tenants</t>
  </si>
  <si>
    <t>c) Total annual electricity purchased by tenants directly from off-site</t>
  </si>
  <si>
    <t>a) +c) = Tenant electricity purchased from off-site</t>
  </si>
  <si>
    <t>Emissions factor for national grid</t>
  </si>
  <si>
    <t>Emissions factor entered at Step 2.3 (if available)</t>
  </si>
  <si>
    <t>g CO2/kWh (see Step 2.3)</t>
  </si>
  <si>
    <t>a) Total annual heat/steam purchased by airport and sold to tenants</t>
  </si>
  <si>
    <t>a) +c) = Tenant heat/steam purchased from off-site</t>
  </si>
  <si>
    <t>Centralized heat purchased by airport not sold to tenants</t>
  </si>
  <si>
    <t>Centralized heat purchased by tenant either via airport or directly.</t>
  </si>
  <si>
    <t>Step 3-5 part 4)</t>
  </si>
  <si>
    <t>Step 3-5 part 3)</t>
  </si>
  <si>
    <t>4) Electricity purchased by tenant either via airport or directly</t>
  </si>
  <si>
    <t>kWh (These emissions are counted as Airport Scope 1 in Step 1-2)</t>
  </si>
  <si>
    <t>kWh (Need data from tenants if available)</t>
  </si>
  <si>
    <t>Need data from tenants if available</t>
  </si>
  <si>
    <t>Hybrid:</t>
  </si>
  <si>
    <t>Estimate percentage of different fuel types:</t>
  </si>
  <si>
    <t>Electric/Biofuel:</t>
  </si>
  <si>
    <t>Note: Include only fuel for airport owned vehicles.</t>
  </si>
  <si>
    <t>Airline Mtce Bldg</t>
  </si>
  <si>
    <t>You can add a row:</t>
  </si>
  <si>
    <t>Note: Calculation is based on 50-50 dilluted glycol</t>
  </si>
  <si>
    <t>Step 1-5: Input annual glycol usage for de-icing by Airport Operator</t>
  </si>
  <si>
    <r>
      <t xml:space="preserve">Input annual total </t>
    </r>
    <r>
      <rPr>
        <b/>
        <sz val="11"/>
        <rFont val="Arial"/>
        <family val="2"/>
      </rPr>
      <t>Electricity resold to tenants:</t>
    </r>
  </si>
  <si>
    <r>
      <t xml:space="preserve">Input your </t>
    </r>
    <r>
      <rPr>
        <b/>
        <sz val="11"/>
        <rFont val="Arial"/>
        <family val="2"/>
      </rPr>
      <t>actual emissions factor</t>
    </r>
    <r>
      <rPr>
        <sz val="11"/>
        <rFont val="Arial"/>
        <family val="2"/>
      </rPr>
      <t>, if you know it (if not, leave blank)</t>
    </r>
  </si>
  <si>
    <t>Heat used:</t>
  </si>
  <si>
    <t>Note: For aircraft not listed use a similarly sized substitute.</t>
  </si>
  <si>
    <t>Note: Do not include ACU or GPU fuel. This is below.</t>
  </si>
  <si>
    <t>Note: Do not include Electricity - See Step 2</t>
  </si>
  <si>
    <t>Note: 1 landing and 1 take-off (LTO) = 2 movements</t>
  </si>
  <si>
    <t>Step 3-1 Input Annual Aircraft Movements</t>
  </si>
  <si>
    <t>Note: Percentages must add to 100%.  Use whole numbers, no decimals.</t>
  </si>
  <si>
    <t>Notes to help explain data input</t>
  </si>
  <si>
    <r>
      <t xml:space="preserve">1) Estimate </t>
    </r>
    <r>
      <rPr>
        <b/>
        <sz val="11"/>
        <rFont val="Arial"/>
        <family val="2"/>
      </rPr>
      <t>distance of average trip</t>
    </r>
    <r>
      <rPr>
        <sz val="11"/>
        <rFont val="Arial"/>
        <family val="2"/>
      </rPr>
      <t xml:space="preserve"> (staff, passenger, delivery) to or from airport</t>
    </r>
  </si>
  <si>
    <t>Personal vehicle/self drive:</t>
  </si>
  <si>
    <t>Note: Percentages must add to 100%. Use whole numbers, no decimals.</t>
  </si>
  <si>
    <t>Caterer</t>
  </si>
  <si>
    <t>These are Airport Scope 1 emissions in Step 1-2</t>
  </si>
  <si>
    <t>Step 3-7: Input the annual fuel flow for Stationary Emergency Power Generation Units (owned by Tenants/Airlines)</t>
  </si>
  <si>
    <t>Note: A detailed traffic study will estimate the distance travelled by all vehicles accessing airport.</t>
  </si>
  <si>
    <t>Input in kg converted here to GJ</t>
  </si>
  <si>
    <t>Input in Litres</t>
  </si>
  <si>
    <t>qty &amp; unit as input</t>
  </si>
  <si>
    <t>Purchased less that sold to tenants</t>
  </si>
  <si>
    <t>Total Pass mvmt. Not bus</t>
  </si>
  <si>
    <t>Rnd Trp/day</t>
  </si>
  <si>
    <t>Reminder: Save your data.  Menu "File"-&gt; "Save"</t>
  </si>
  <si>
    <t>Operator:</t>
  </si>
  <si>
    <r>
      <t>CO</t>
    </r>
    <r>
      <rPr>
        <b/>
        <vertAlign val="subscript"/>
        <sz val="10"/>
        <rFont val="Arial"/>
        <family val="2"/>
      </rPr>
      <t>2e</t>
    </r>
  </si>
  <si>
    <t>Total emissions (tonne)</t>
  </si>
  <si>
    <t>Step 1-3: Input the annual fuel usage for fire training (conducted by the Airport Operator Fire Services)</t>
  </si>
  <si>
    <t xml:space="preserve">   - type of heating fuel - gas, oil or coal</t>
  </si>
  <si>
    <t>Enter floor area into colum based on:</t>
  </si>
  <si>
    <t xml:space="preserve">Provide local estimates for gas, oil, coal heating per </t>
  </si>
  <si>
    <t>unit area of building space.</t>
  </si>
  <si>
    <t>Days per Year Services Operate</t>
  </si>
  <si>
    <t>Bus/Train/Bicycle/Walk:</t>
  </si>
  <si>
    <t>Train/Line haul</t>
  </si>
  <si>
    <t>Subway/Railcars</t>
  </si>
  <si>
    <r>
      <t>CO</t>
    </r>
    <r>
      <rPr>
        <b/>
        <vertAlign val="subscript"/>
        <sz val="10"/>
        <rFont val="Arial"/>
        <family val="2"/>
      </rPr>
      <t>2e</t>
    </r>
    <r>
      <rPr>
        <b/>
        <sz val="10"/>
        <rFont val="Arial"/>
        <family val="2"/>
      </rPr>
      <t xml:space="preserve"> %</t>
    </r>
  </si>
  <si>
    <t>Greenhouse Gases (t)</t>
  </si>
  <si>
    <t>Local Air Quality Pollutants (t)</t>
  </si>
  <si>
    <t>Entity</t>
  </si>
  <si>
    <t>Electricity Purchase</t>
  </si>
  <si>
    <t>Sum Gas/Oil/Coal</t>
  </si>
  <si>
    <t>Aircraft mvmts:</t>
  </si>
  <si>
    <t>Note: For Fire Services owned by city or contractor.  Do not duplicate data from Step1-5.</t>
  </si>
  <si>
    <t>Date:</t>
  </si>
  <si>
    <t>Tenants (incl. airlines, governm't shops etc.)</t>
  </si>
  <si>
    <t>Summary</t>
  </si>
  <si>
    <t>Airport Scope 1</t>
  </si>
  <si>
    <t>Airport Scope 2</t>
  </si>
  <si>
    <t>Airport Scope 3</t>
  </si>
  <si>
    <t>Key to inputs</t>
  </si>
  <si>
    <t>Note: Leave default values is estimates cannot be made.</t>
  </si>
  <si>
    <t>The landside traffic calculations for this inventory were based on:</t>
  </si>
  <si>
    <t>Inventory compiled by:</t>
  </si>
  <si>
    <t>Position:</t>
  </si>
  <si>
    <t>email:</t>
  </si>
  <si>
    <t>Note: This table requires estimating the proportions of the fuel going into vehicles of different sizes.</t>
  </si>
  <si>
    <t>Step 3-3 Input Average Duration of APU Operation before and after flights</t>
  </si>
  <si>
    <t>Estimate building floor area from drawing or photo.</t>
  </si>
  <si>
    <t xml:space="preserve">   - use - office or warehouse, and</t>
  </si>
  <si>
    <t>Note: These engine run-ups are conducted after maintenance.</t>
  </si>
  <si>
    <t>Note: includes cars, taxis, vans, minibuses.</t>
  </si>
  <si>
    <t>Public Transport:</t>
  </si>
  <si>
    <t>2) Passenger Traffic - Landside access to airport</t>
  </si>
  <si>
    <t>Annual Passenger Ground Transport Movements:</t>
  </si>
  <si>
    <t>Beta version - You can type comments here&gt;&gt;&gt;&gt;</t>
  </si>
  <si>
    <t xml:space="preserve"> - vans, SUV and small buses typically &lt;20 seats or 2-3.5 tonnes</t>
  </si>
  <si>
    <t>Estimate Percentage of Staff in each type of vehicle</t>
  </si>
  <si>
    <t xml:space="preserve">3) Airport Operator Staff Travel between home and airport </t>
  </si>
  <si>
    <t>4) Tenant Staff Traffic (including Airlines) travel between home and airport</t>
  </si>
  <si>
    <t xml:space="preserve"> - vans and small trucks 2-3.5 tonnes</t>
  </si>
  <si>
    <t>Car/taxi:</t>
  </si>
  <si>
    <t>Cars and taxis (&lt;2 tonnes)</t>
  </si>
  <si>
    <t>Total Distance of all vehicles During Entire Year</t>
  </si>
  <si>
    <t>Light Duty Vehicle/SUV/truck/van</t>
  </si>
  <si>
    <t>Shuttle Bus (&lt;20 seats)</t>
  </si>
  <si>
    <t>Bus (&gt;20 seats)</t>
  </si>
  <si>
    <t>Train spd (km/h)</t>
  </si>
  <si>
    <t>Train hr/year</t>
  </si>
  <si>
    <t>Passenger Car/Taxi</t>
  </si>
  <si>
    <t>This will take zero emissions sources (eg hydro) into account.</t>
  </si>
  <si>
    <t>How many Terminal Gates or Contact Stands?</t>
  </si>
  <si>
    <t>How many have FEGP?</t>
  </si>
  <si>
    <t>How many have PCA?</t>
  </si>
  <si>
    <t>How many remote Stands?</t>
  </si>
  <si>
    <t>(Fixed Electrical Ground Power)</t>
  </si>
  <si>
    <t>(Pre-Conditioned Air)</t>
  </si>
  <si>
    <t>How many GPU are available?</t>
  </si>
  <si>
    <t>How many ACU are available?</t>
  </si>
  <si>
    <t>(Ground Power Units)</t>
  </si>
  <si>
    <t>(Air Conditioning Units)</t>
  </si>
  <si>
    <t>If yes, will you submit it to ACI with this inventory?</t>
  </si>
  <si>
    <t>Yes</t>
  </si>
  <si>
    <t>Most recent year?</t>
  </si>
  <si>
    <t>Permission: This data is made available to ACI</t>
  </si>
  <si>
    <t xml:space="preserve">Traffic units: </t>
  </si>
  <si>
    <t>Sum of Aircraft Movements Input:</t>
  </si>
  <si>
    <t>Declared Movements:</t>
  </si>
  <si>
    <t>These numbers should match as closely as possible</t>
  </si>
  <si>
    <t>Gasoline (litre)</t>
  </si>
  <si>
    <t>Diesel (litre)</t>
  </si>
  <si>
    <t>Use this section if you have Tenants that do not</t>
  </si>
  <si>
    <t>provide actual fuel consumption.</t>
  </si>
  <si>
    <t>Step 4-1 Organization and Reporting</t>
  </si>
  <si>
    <t>STEP 4 ENVIRONMENTAL MANAGEMENT DATA</t>
  </si>
  <si>
    <t>Input is completed.  Click HERE to check GHG Inventory Report</t>
  </si>
  <si>
    <t>tonnes</t>
  </si>
  <si>
    <t>Notes: Use of the distance between the city centre and the main airport terminal.</t>
  </si>
  <si>
    <t xml:space="preserve">           Alterntively use the radius of a circle that encloses 80-90% of the city population.</t>
  </si>
  <si>
    <r>
      <t xml:space="preserve">b) Estimate percentage of Passengers travelling by </t>
    </r>
    <r>
      <rPr>
        <b/>
        <sz val="11"/>
        <color theme="1"/>
        <rFont val="Arial"/>
        <family val="2"/>
      </rPr>
      <t>Public Transport</t>
    </r>
    <r>
      <rPr>
        <sz val="11"/>
        <color theme="1"/>
        <rFont val="Arial"/>
        <family val="2"/>
      </rPr>
      <t xml:space="preserve"> (Bus, rail, hotel shuttle etc, but not taxis)</t>
    </r>
  </si>
  <si>
    <t xml:space="preserve">c) For passengers who travel in Private Transport: </t>
  </si>
  <si>
    <r>
      <t xml:space="preserve">c-2) For </t>
    </r>
    <r>
      <rPr>
        <b/>
        <sz val="11"/>
        <rFont val="Arial"/>
        <family val="2"/>
      </rPr>
      <t>Leisure travel</t>
    </r>
    <r>
      <rPr>
        <sz val="11"/>
        <rFont val="Arial"/>
        <family val="2"/>
      </rPr>
      <t xml:space="preserve">, estimate percentage in </t>
    </r>
    <r>
      <rPr>
        <u/>
        <sz val="11"/>
        <rFont val="Arial"/>
        <family val="2"/>
      </rPr>
      <t>Personal</t>
    </r>
    <r>
      <rPr>
        <sz val="11"/>
        <rFont val="Arial"/>
        <family val="2"/>
      </rPr>
      <t xml:space="preserve"> vehicles (self drive, park at airport incl rental car) vs. </t>
    </r>
    <r>
      <rPr>
        <u/>
        <sz val="11"/>
        <rFont val="Arial"/>
        <family val="2"/>
      </rPr>
      <t>Drop-off</t>
    </r>
    <r>
      <rPr>
        <sz val="11"/>
        <rFont val="Arial"/>
        <family val="2"/>
      </rPr>
      <t xml:space="preserve"> (incl. taxi):</t>
    </r>
  </si>
  <si>
    <r>
      <t xml:space="preserve">c-3) For </t>
    </r>
    <r>
      <rPr>
        <b/>
        <sz val="11"/>
        <rFont val="Arial"/>
        <family val="2"/>
      </rPr>
      <t>Business travel</t>
    </r>
    <r>
      <rPr>
        <sz val="11"/>
        <rFont val="Arial"/>
        <family val="2"/>
      </rPr>
      <t xml:space="preserve">, estimate percentage in </t>
    </r>
    <r>
      <rPr>
        <u/>
        <sz val="11"/>
        <rFont val="Arial"/>
        <family val="2"/>
      </rPr>
      <t xml:space="preserve">Personal </t>
    </r>
    <r>
      <rPr>
        <sz val="11"/>
        <rFont val="Arial"/>
        <family val="2"/>
      </rPr>
      <t xml:space="preserve">vehicles (self drive, park at airport incl rental car) vs. </t>
    </r>
    <r>
      <rPr>
        <u/>
        <sz val="11"/>
        <rFont val="Arial"/>
        <family val="2"/>
      </rPr>
      <t>Drop-off</t>
    </r>
    <r>
      <rPr>
        <sz val="11"/>
        <rFont val="Arial"/>
        <family val="2"/>
      </rPr>
      <t xml:space="preserve"> (incl. taxi):</t>
    </r>
  </si>
  <si>
    <t>c-4) Estimate Percentage of Passenger Vehicle Types for all Private Transport</t>
  </si>
  <si>
    <t>c-5)Estimate percentage of different fuel types:</t>
  </si>
  <si>
    <t>d) Estimate Bus Public Transport (including hotel/shared shuttle, commuter buses that have regular services)</t>
  </si>
  <si>
    <t>e) Estimate Communter Rail (Public Transport)</t>
  </si>
  <si>
    <t>e-1) For Train/Heavy rail estimate percentage of different fuel types:</t>
  </si>
  <si>
    <t>e-2) For Subway/Railcars estimate percentage of different fuel types:</t>
  </si>
  <si>
    <t>Note: This is a difficult section.  Fill in white boxes.  Leave default answer if you do not know.</t>
  </si>
  <si>
    <r>
      <t xml:space="preserve">a) Estimate percentage of Passengers travelling by </t>
    </r>
    <r>
      <rPr>
        <b/>
        <sz val="11"/>
        <color theme="1"/>
        <rFont val="Arial"/>
        <family val="2"/>
      </rPr>
      <t>Ground Transport</t>
    </r>
  </si>
  <si>
    <t>Private Transport:</t>
  </si>
  <si>
    <t>These passengers change planes and do not use ground transport.</t>
  </si>
  <si>
    <t>These are the movements to and from airport.</t>
  </si>
  <si>
    <t>(Some cells already have sample data.  Modify or use this data as default)</t>
  </si>
  <si>
    <r>
      <rPr>
        <u/>
        <sz val="10"/>
        <rFont val="Arial"/>
        <family val="2"/>
      </rPr>
      <t>Data input required</t>
    </r>
    <r>
      <rPr>
        <sz val="10"/>
        <rFont val="Arial"/>
        <family val="2"/>
      </rPr>
      <t xml:space="preserve"> - text, number, percentage or select from pull down menu</t>
    </r>
  </si>
  <si>
    <t>Note: Leave default values if estimates cannot be made.</t>
  </si>
  <si>
    <t>Data should be available from electricity bills.</t>
  </si>
  <si>
    <t>Data should be available from heating bills.</t>
  </si>
  <si>
    <t>m3</t>
  </si>
  <si>
    <t xml:space="preserve">Bahrain  </t>
  </si>
  <si>
    <t xml:space="preserve">Bangladesh  </t>
  </si>
  <si>
    <t>Belarus</t>
  </si>
  <si>
    <t xml:space="preserve">Belgium  </t>
  </si>
  <si>
    <t xml:space="preserve">Benin  </t>
  </si>
  <si>
    <t xml:space="preserve">Bolivia  </t>
  </si>
  <si>
    <t xml:space="preserve">Bosnia-Herzegovina  </t>
  </si>
  <si>
    <t xml:space="preserve">Botswana  </t>
  </si>
  <si>
    <t xml:space="preserve">Brazil  </t>
  </si>
  <si>
    <t xml:space="preserve">Brunei Darussalam  </t>
  </si>
  <si>
    <t xml:space="preserve">Bulgaria  </t>
  </si>
  <si>
    <t xml:space="preserve">Cameroon  </t>
  </si>
  <si>
    <t xml:space="preserve">Chile  </t>
  </si>
  <si>
    <t xml:space="preserve">People's Republic of China  </t>
  </si>
  <si>
    <t xml:space="preserve">China (including Hong Kong)  </t>
  </si>
  <si>
    <t xml:space="preserve">Chinese Taipei  </t>
  </si>
  <si>
    <t xml:space="preserve">Colombia  </t>
  </si>
  <si>
    <t xml:space="preserve">Congo  </t>
  </si>
  <si>
    <t xml:space="preserve">Democratic Republic of Congo  </t>
  </si>
  <si>
    <t xml:space="preserve">Costa Rica  </t>
  </si>
  <si>
    <t xml:space="preserve">Côte d'Ivoire  </t>
  </si>
  <si>
    <t xml:space="preserve">Croatia  </t>
  </si>
  <si>
    <t xml:space="preserve">Cuba  </t>
  </si>
  <si>
    <t xml:space="preserve">Cyprus  </t>
  </si>
  <si>
    <t xml:space="preserve">Czech Republic  </t>
  </si>
  <si>
    <t xml:space="preserve">Denmark  </t>
  </si>
  <si>
    <t xml:space="preserve">Dominican Republic  </t>
  </si>
  <si>
    <t xml:space="preserve">Ecuador  </t>
  </si>
  <si>
    <t xml:space="preserve">Egypt  </t>
  </si>
  <si>
    <t xml:space="preserve">El Salvador  </t>
  </si>
  <si>
    <t xml:space="preserve">Eritrea  </t>
  </si>
  <si>
    <t xml:space="preserve">Estonia  </t>
  </si>
  <si>
    <t xml:space="preserve">Ethiopia  </t>
  </si>
  <si>
    <t xml:space="preserve">Finland  </t>
  </si>
  <si>
    <t xml:space="preserve">France  </t>
  </si>
  <si>
    <t xml:space="preserve">Gabon  </t>
  </si>
  <si>
    <t xml:space="preserve">Georgia  </t>
  </si>
  <si>
    <t xml:space="preserve">Germany  </t>
  </si>
  <si>
    <t xml:space="preserve">Ghana  </t>
  </si>
  <si>
    <t xml:space="preserve">Gibraltar  </t>
  </si>
  <si>
    <t xml:space="preserve">Greece  </t>
  </si>
  <si>
    <t xml:space="preserve">Guatemala  </t>
  </si>
  <si>
    <t xml:space="preserve">Haiti  </t>
  </si>
  <si>
    <t xml:space="preserve">Honduras  </t>
  </si>
  <si>
    <t xml:space="preserve">Hong Kong, China  </t>
  </si>
  <si>
    <t xml:space="preserve">Hungary  </t>
  </si>
  <si>
    <t xml:space="preserve">Iceland  </t>
  </si>
  <si>
    <t xml:space="preserve">India  </t>
  </si>
  <si>
    <t xml:space="preserve">Indonesia  </t>
  </si>
  <si>
    <t xml:space="preserve">Islamic Republic of Iran  </t>
  </si>
  <si>
    <t xml:space="preserve">Iraq  </t>
  </si>
  <si>
    <t xml:space="preserve">Ireland  </t>
  </si>
  <si>
    <t xml:space="preserve">Israel  </t>
  </si>
  <si>
    <t xml:space="preserve">Italy  </t>
  </si>
  <si>
    <t xml:space="preserve">Jamaica  </t>
  </si>
  <si>
    <t xml:space="preserve">Japan  </t>
  </si>
  <si>
    <t xml:space="preserve">Jordan  </t>
  </si>
  <si>
    <t xml:space="preserve">Kazakhstan  </t>
  </si>
  <si>
    <t xml:space="preserve">Kenya  </t>
  </si>
  <si>
    <t xml:space="preserve">Dem. People's Republic of Korea  </t>
  </si>
  <si>
    <t xml:space="preserve">Korea  </t>
  </si>
  <si>
    <t xml:space="preserve">Kuwait  </t>
  </si>
  <si>
    <t xml:space="preserve">Kyrgyzstan  </t>
  </si>
  <si>
    <t xml:space="preserve">Latvia  </t>
  </si>
  <si>
    <t xml:space="preserve">Lebanon  </t>
  </si>
  <si>
    <t xml:space="preserve">Libya  </t>
  </si>
  <si>
    <t xml:space="preserve">Lithuania  </t>
  </si>
  <si>
    <t xml:space="preserve">Luxembourg  </t>
  </si>
  <si>
    <t xml:space="preserve">FYR of Macedonia  </t>
  </si>
  <si>
    <t xml:space="preserve">Malaysia  </t>
  </si>
  <si>
    <t xml:space="preserve">Malta  </t>
  </si>
  <si>
    <t xml:space="preserve">Mexico  </t>
  </si>
  <si>
    <t xml:space="preserve">Republic of Moldova  </t>
  </si>
  <si>
    <t xml:space="preserve">Mongolia  </t>
  </si>
  <si>
    <t xml:space="preserve">Morocco  </t>
  </si>
  <si>
    <t xml:space="preserve">Mozambique  </t>
  </si>
  <si>
    <t xml:space="preserve">Myanmar  </t>
  </si>
  <si>
    <t xml:space="preserve">Namibia  </t>
  </si>
  <si>
    <t xml:space="preserve">Nepal  </t>
  </si>
  <si>
    <t xml:space="preserve">Netherlands  </t>
  </si>
  <si>
    <t xml:space="preserve">Netherlands Antilles  </t>
  </si>
  <si>
    <t xml:space="preserve">New Zealand  </t>
  </si>
  <si>
    <t xml:space="preserve">Nicaragua  </t>
  </si>
  <si>
    <t xml:space="preserve">Nigeria  </t>
  </si>
  <si>
    <t xml:space="preserve">Norway  </t>
  </si>
  <si>
    <t xml:space="preserve">Oman  </t>
  </si>
  <si>
    <t xml:space="preserve">Pakistan  </t>
  </si>
  <si>
    <t xml:space="preserve">Panama  </t>
  </si>
  <si>
    <t xml:space="preserve">Paraguay  </t>
  </si>
  <si>
    <t xml:space="preserve">Peru  </t>
  </si>
  <si>
    <t xml:space="preserve">Philippines  </t>
  </si>
  <si>
    <t xml:space="preserve">Poland  </t>
  </si>
  <si>
    <t xml:space="preserve">Portugal  </t>
  </si>
  <si>
    <t xml:space="preserve">Qatar  </t>
  </si>
  <si>
    <t xml:space="preserve">Romania  </t>
  </si>
  <si>
    <t xml:space="preserve">Russia  </t>
  </si>
  <si>
    <t xml:space="preserve">Saudi Arabia  </t>
  </si>
  <si>
    <t xml:space="preserve">Senegal  </t>
  </si>
  <si>
    <t xml:space="preserve">Serbia and Montenegro  </t>
  </si>
  <si>
    <t xml:space="preserve">Singapore  </t>
  </si>
  <si>
    <t xml:space="preserve">Slovak Republic  </t>
  </si>
  <si>
    <t xml:space="preserve">Slovenia  </t>
  </si>
  <si>
    <t xml:space="preserve">South Africa  </t>
  </si>
  <si>
    <t xml:space="preserve">Spain  </t>
  </si>
  <si>
    <t xml:space="preserve">Sri Lanka  </t>
  </si>
  <si>
    <t xml:space="preserve">Sudan  </t>
  </si>
  <si>
    <t xml:space="preserve">Sweden  </t>
  </si>
  <si>
    <t xml:space="preserve">Switzerland  </t>
  </si>
  <si>
    <t xml:space="preserve">Syria  </t>
  </si>
  <si>
    <t xml:space="preserve">Tajikistan  </t>
  </si>
  <si>
    <t xml:space="preserve">United Republic of Tanzania  </t>
  </si>
  <si>
    <t xml:space="preserve">Thailand  </t>
  </si>
  <si>
    <t xml:space="preserve">Togo  </t>
  </si>
  <si>
    <t xml:space="preserve">Trinidad and Tobago  </t>
  </si>
  <si>
    <t xml:space="preserve">Tunisia  </t>
  </si>
  <si>
    <t xml:space="preserve">Turkey  </t>
  </si>
  <si>
    <t xml:space="preserve">Turkmenistan  </t>
  </si>
  <si>
    <t xml:space="preserve">Ukraine  </t>
  </si>
  <si>
    <t xml:space="preserve">United Arab Emirates  </t>
  </si>
  <si>
    <t xml:space="preserve">United Kingdom  </t>
  </si>
  <si>
    <t xml:space="preserve">United States  </t>
  </si>
  <si>
    <t xml:space="preserve">Uruguay  </t>
  </si>
  <si>
    <t xml:space="preserve">Uzbekistan  </t>
  </si>
  <si>
    <t xml:space="preserve">Venezuela  </t>
  </si>
  <si>
    <t xml:space="preserve">Vietnam  </t>
  </si>
  <si>
    <t xml:space="preserve">Yemen  </t>
  </si>
  <si>
    <t xml:space="preserve">Zambia  </t>
  </si>
  <si>
    <t xml:space="preserve">Zimbabwe  </t>
  </si>
  <si>
    <r>
      <t>Total CO</t>
    </r>
    <r>
      <rPr>
        <b/>
        <vertAlign val="subscript"/>
        <sz val="12"/>
        <rFont val="Arial"/>
        <family val="2"/>
      </rPr>
      <t xml:space="preserve">2e </t>
    </r>
    <r>
      <rPr>
        <b/>
        <sz val="12"/>
        <rFont val="Arial"/>
        <family val="2"/>
      </rPr>
      <t>Emissions (t)</t>
    </r>
  </si>
  <si>
    <t>A more detailed separate GHG inventory is also available for Year:</t>
  </si>
  <si>
    <r>
      <t xml:space="preserve">3) Total Annual </t>
    </r>
    <r>
      <rPr>
        <b/>
        <sz val="11"/>
        <rFont val="Arial"/>
        <family val="2"/>
      </rPr>
      <t>Electricity Usage by tenants</t>
    </r>
  </si>
  <si>
    <t>b) Total annual heat/steam generated by airport and sold to tenants</t>
  </si>
  <si>
    <t>c) Total annual heat/steam purchased by tenants directly from offsite</t>
  </si>
  <si>
    <r>
      <t xml:space="preserve">4)Total Annual </t>
    </r>
    <r>
      <rPr>
        <b/>
        <sz val="11"/>
        <rFont val="Arial"/>
        <family val="2"/>
      </rPr>
      <t>Heat (eg Hot water or Steam) Usage by tenants</t>
    </r>
    <r>
      <rPr>
        <sz val="11"/>
        <rFont val="Arial"/>
        <family val="2"/>
      </rPr>
      <t xml:space="preserve"> </t>
    </r>
  </si>
  <si>
    <t>Heat (eg Hot water or Steam) Purchase</t>
  </si>
  <si>
    <r>
      <t>Input annual</t>
    </r>
    <r>
      <rPr>
        <b/>
        <sz val="11"/>
        <rFont val="Arial"/>
        <family val="2"/>
      </rPr>
      <t xml:space="preserve"> total Heat purchased by airport</t>
    </r>
    <r>
      <rPr>
        <sz val="11"/>
        <rFont val="Arial"/>
        <family val="2"/>
      </rPr>
      <t xml:space="preserve"> (eg hot water or steam)</t>
    </r>
  </si>
  <si>
    <r>
      <t xml:space="preserve">Input annual total </t>
    </r>
    <r>
      <rPr>
        <b/>
        <sz val="11"/>
        <rFont val="Arial"/>
        <family val="2"/>
      </rPr>
      <t>Electricity purchased</t>
    </r>
    <r>
      <rPr>
        <sz val="11"/>
        <rFont val="Arial"/>
        <family val="2"/>
      </rPr>
      <t xml:space="preserve"> by airport from off-site supplier:</t>
    </r>
  </si>
  <si>
    <t>If such data is not available, selcect "No" and Step 3-11 will estimate landside vehicle emissions.</t>
  </si>
  <si>
    <t>Note: If data not available, make best judgement estimate of percentages or leave default sample data.</t>
  </si>
  <si>
    <t>Electric or Biofuel:</t>
  </si>
  <si>
    <t>(Average daily number travelling between airport and home)</t>
  </si>
  <si>
    <t>(Either zero emssions or counted elsewhere)</t>
  </si>
  <si>
    <t>Number of Tenants at airport:</t>
  </si>
  <si>
    <t>Does your airport/organization have the following:</t>
  </si>
  <si>
    <t>Specify other/ comments</t>
  </si>
  <si>
    <t>Year Created/starte</t>
  </si>
  <si>
    <t>Step 4-2 Ground Access and Landside Transport</t>
  </si>
  <si>
    <t>Staff (Airport and Tenant)</t>
  </si>
  <si>
    <t>Step 4-3 Electricity and Energy</t>
  </si>
  <si>
    <t>Since what year?</t>
  </si>
  <si>
    <t>First year</t>
  </si>
  <si>
    <t>Most recent year</t>
  </si>
  <si>
    <t>Conducted by a Consultant</t>
  </si>
  <si>
    <t>Aircraft LTO?</t>
  </si>
  <si>
    <t>Aircraft whole flight to airport?</t>
  </si>
  <si>
    <t>Aircraft whole flight from airport?</t>
  </si>
  <si>
    <t>Airport staff corporate travel?</t>
  </si>
  <si>
    <t>N2O, Methane</t>
  </si>
  <si>
    <t>eg city or state government requirement</t>
  </si>
  <si>
    <t>Is there any requirement for the airport to manage GHG emissions?</t>
  </si>
  <si>
    <t>Fuel dispensed to aircraft?</t>
  </si>
  <si>
    <t>Airport staff private vehicles?</t>
  </si>
  <si>
    <t>You are doing it now!</t>
  </si>
  <si>
    <t>(Memorandum of Understanding)</t>
  </si>
  <si>
    <t>Voluntary (other than above)</t>
  </si>
  <si>
    <t>Other requirement/agreement</t>
  </si>
  <si>
    <t>Total Energy Use</t>
  </si>
  <si>
    <t>Energy Intensity</t>
  </si>
  <si>
    <t>eg Energy used per unit throughput.</t>
  </si>
  <si>
    <t>eg To improve energy efficiency by xx%</t>
  </si>
  <si>
    <t>Emissions Intensity</t>
  </si>
  <si>
    <t>eg CO2 Emissions per unit throughput</t>
  </si>
  <si>
    <t>eg tonnes CO2/year</t>
  </si>
  <si>
    <t>ie for Scope 1 and 2 Emissions</t>
  </si>
  <si>
    <t>Has your Airport declared any GHG Targets or Objectives?</t>
  </si>
  <si>
    <t>Airport staff vehicles on airport site?</t>
  </si>
  <si>
    <t>Airport staff vehicles off airport site?</t>
  </si>
  <si>
    <t>between home and airport</t>
  </si>
  <si>
    <t>ACI AIRPORT CARBON ACCREDITATION</t>
  </si>
  <si>
    <t>Main city centre?</t>
  </si>
  <si>
    <t>Train/Regional Rail Station?</t>
  </si>
  <si>
    <t>Metro/Subway/Light rail Station?</t>
  </si>
  <si>
    <t>Regional bus station?</t>
  </si>
  <si>
    <t>Ferry terminal/pier?</t>
  </si>
  <si>
    <t>Dedicated bicycle paths?</t>
  </si>
  <si>
    <t>What is the share of traffic for these modes and other vehicles?</t>
  </si>
  <si>
    <t xml:space="preserve"> Total for airport</t>
  </si>
  <si>
    <t>(Fixed Electrical Ground Power 400 Hz)</t>
  </si>
  <si>
    <t>Can the airport enforce an APU-limitation by-law?</t>
  </si>
  <si>
    <t>Does the airport enforce an APU-limitation by-law?</t>
  </si>
  <si>
    <t>Is your airport in the scheme?</t>
  </si>
  <si>
    <t>(If yes please select Level)</t>
  </si>
  <si>
    <t>The main GHG inventory data is complete.  Please continue with survey information below.</t>
  </si>
  <si>
    <t>AIRPORT SCOPE 1 AND 2 GHG INVENTORY</t>
  </si>
  <si>
    <t>tCO2e</t>
  </si>
  <si>
    <t>AIRPORT SCOPE 1/2/3 GHG INVENTORY</t>
  </si>
  <si>
    <t>Scope 3 data</t>
  </si>
  <si>
    <t>Province:</t>
  </si>
  <si>
    <t>ACI Region:</t>
  </si>
  <si>
    <t>From US dept Energy (1999-2002)</t>
  </si>
  <si>
    <t>(spot checks)</t>
  </si>
  <si>
    <t xml:space="preserve">European Union -27 </t>
  </si>
  <si>
    <t xml:space="preserve">Former Yugoslavia </t>
  </si>
  <si>
    <t xml:space="preserve">Economies in Transition </t>
  </si>
  <si>
    <t>NY, CT, RI, MA, VT, NH, ME</t>
  </si>
  <si>
    <t>IL, WI</t>
  </si>
  <si>
    <t>MO, KY, VI, AR, TN, NC, SC, LA, MI, AL, GA</t>
  </si>
  <si>
    <t>FA</t>
  </si>
  <si>
    <t>TX</t>
  </si>
  <si>
    <t>OK, KN</t>
  </si>
  <si>
    <t>ND, SD, NB, MN, IO</t>
  </si>
  <si>
    <t>NM, AZ</t>
  </si>
  <si>
    <t>OR, WA, ID</t>
  </si>
  <si>
    <t>CA</t>
  </si>
  <si>
    <t>HA</t>
  </si>
  <si>
    <t>AL</t>
  </si>
  <si>
    <t>US TERRITORIES</t>
  </si>
  <si>
    <t>US AVERAGE</t>
  </si>
  <si>
    <t>Source Dept of Energy For EIA-1605 (2007)</t>
  </si>
  <si>
    <t>For period 1999-2002</t>
  </si>
  <si>
    <t>NJ, DE, PA, ML, WV,OH, IN, MI</t>
  </si>
  <si>
    <t>CO, UT, NV, WY, MT</t>
  </si>
  <si>
    <t>683 (it was 1)</t>
  </si>
  <si>
    <t>683 (it was 26)</t>
  </si>
  <si>
    <t>13( it was 1)</t>
  </si>
  <si>
    <t>Emissions Factors for US States</t>
  </si>
  <si>
    <t>ACI ACERT 1</t>
  </si>
  <si>
    <r>
      <t>c-1) Estimate percentage who travels for</t>
    </r>
    <r>
      <rPr>
        <b/>
        <sz val="11"/>
        <rFont val="Arial"/>
        <family val="2"/>
      </rPr>
      <t xml:space="preserve"> Leisure</t>
    </r>
    <r>
      <rPr>
        <sz val="11"/>
        <rFont val="Arial"/>
        <family val="2"/>
      </rPr>
      <t xml:space="preserve"> vs. for </t>
    </r>
    <r>
      <rPr>
        <b/>
        <sz val="11"/>
        <rFont val="Arial"/>
        <family val="2"/>
      </rPr>
      <t>Business</t>
    </r>
    <r>
      <rPr>
        <sz val="11"/>
        <rFont val="Arial"/>
        <family val="2"/>
      </rPr>
      <t>:</t>
    </r>
  </si>
  <si>
    <t>Note: Leisure travellers tend to be in small groups and business travellers alone.</t>
  </si>
  <si>
    <t>Check: # pax</t>
  </si>
  <si>
    <t>Double-aisle aircraft with kerosene</t>
  </si>
  <si>
    <t>30min-idle-A330</t>
  </si>
  <si>
    <t>Single-aisle aircraft with kerosene</t>
  </si>
  <si>
    <t>Jet Fuel (#runups) - SA</t>
  </si>
  <si>
    <t>Jet Fuel (#runups) - DA</t>
  </si>
  <si>
    <t>Jet Fuel (SA)</t>
  </si>
  <si>
    <t>Jet Fuel (DA)</t>
  </si>
  <si>
    <t>Note: Estimate equivalent number of runups based on Cessna 182 aircraft</t>
  </si>
  <si>
    <t>Passengers:</t>
  </si>
  <si>
    <t>province:</t>
  </si>
  <si>
    <t>To see US data click here</t>
  </si>
  <si>
    <t>Default EF is</t>
  </si>
  <si>
    <t>g CO2/kWh Emission Factor for electricity purchased from the national grid</t>
  </si>
  <si>
    <t>Select the best description of how you selected this distance</t>
  </si>
  <si>
    <t>Q 3.11</t>
  </si>
  <si>
    <t>Distance from airport to city centre</t>
  </si>
  <si>
    <t>Survey data</t>
  </si>
  <si>
    <t>Best estimate</t>
  </si>
  <si>
    <t>How I chose the vehicle travel distance?</t>
  </si>
  <si>
    <t>Q3.11 2 d) Trains</t>
  </si>
  <si>
    <t>How I chose train distance?</t>
  </si>
  <si>
    <t>Default distances (not recommended)</t>
  </si>
  <si>
    <t>Default 15 km (not recommended)</t>
  </si>
  <si>
    <t>Survey data incl passenger travel distances</t>
  </si>
  <si>
    <t>Select the best description of how you selected the distances for trains.</t>
  </si>
  <si>
    <t>n/a</t>
  </si>
  <si>
    <t>Acronyms &amp; Abbreviations</t>
  </si>
  <si>
    <t>AO</t>
  </si>
  <si>
    <t>Airport Operators</t>
  </si>
  <si>
    <t>AMO</t>
  </si>
  <si>
    <t>Aircraft Maintenance Organization</t>
  </si>
  <si>
    <t>Air Conditioning Unit</t>
  </si>
  <si>
    <t xml:space="preserve">Auxiliary Power Unit </t>
  </si>
  <si>
    <t>CAC</t>
  </si>
  <si>
    <t>Common Air Contaminants</t>
  </si>
  <si>
    <t>Methane</t>
  </si>
  <si>
    <t>Compressed Natural Gas</t>
  </si>
  <si>
    <t>Carbon Monoxide</t>
  </si>
  <si>
    <t>Carbon Dioxide</t>
  </si>
  <si>
    <t>EDMS</t>
  </si>
  <si>
    <t>Emission and Dispersion Modelling System</t>
  </si>
  <si>
    <t>EC</t>
  </si>
  <si>
    <t>Environnent Canada</t>
  </si>
  <si>
    <t>EEA</t>
  </si>
  <si>
    <t>European Environment Agency</t>
  </si>
  <si>
    <t>EPA</t>
  </si>
  <si>
    <t>U.S. Environmental Protection Agency</t>
  </si>
  <si>
    <t>FAA</t>
  </si>
  <si>
    <t>U.S. Federal Aviation Administration</t>
  </si>
  <si>
    <t>Greenhouse Gas</t>
  </si>
  <si>
    <t>Ground Power Unit</t>
  </si>
  <si>
    <t>GSE</t>
  </si>
  <si>
    <t>Ground Support Equipment</t>
  </si>
  <si>
    <t>LEED</t>
  </si>
  <si>
    <t>Leadership in Energy and Environmental Design</t>
  </si>
  <si>
    <t>Liquefied Propane Gas</t>
  </si>
  <si>
    <t>LNG</t>
  </si>
  <si>
    <t>Liquefied Natural Gas</t>
  </si>
  <si>
    <t>LTO</t>
  </si>
  <si>
    <t>Landing Takeoff Cycle</t>
  </si>
  <si>
    <t>Nitrous Oxide</t>
  </si>
  <si>
    <t>Sulphur Oxides</t>
  </si>
  <si>
    <t>TC</t>
  </si>
  <si>
    <t>Transport Canada</t>
  </si>
  <si>
    <t>Volatile Organic Compounds</t>
  </si>
  <si>
    <t>Light Duty Vehicle</t>
  </si>
  <si>
    <t>CO2 Emission Factors for Electricity for Countries and US States</t>
  </si>
  <si>
    <t>EF</t>
  </si>
  <si>
    <t>Emissions Factor</t>
  </si>
  <si>
    <t>t</t>
  </si>
  <si>
    <t>metric tonnes (1000 kg)</t>
  </si>
  <si>
    <t>Airport</t>
  </si>
  <si>
    <t>Tenants</t>
  </si>
  <si>
    <t>mvmts</t>
  </si>
  <si>
    <r>
      <t xml:space="preserve">Daily visitors or deliveries to </t>
    </r>
    <r>
      <rPr>
        <u/>
        <sz val="11"/>
        <rFont val="Arial"/>
        <family val="2"/>
      </rPr>
      <t>each</t>
    </r>
    <r>
      <rPr>
        <sz val="11"/>
        <rFont val="Arial"/>
        <family val="2"/>
      </rPr>
      <t xml:space="preserve"> tenant:</t>
    </r>
  </si>
  <si>
    <t xml:space="preserve">Total daily visitors and deliveries to all tenants = </t>
  </si>
  <si>
    <t>5) Visitor Traffic including delivery and business visitors to tenants</t>
  </si>
  <si>
    <t>ACI ACERT Spreadsheet</t>
  </si>
  <si>
    <t>Joining or upgrading within the next 3 years?</t>
  </si>
  <si>
    <t>(As noted this ACERT inventory is not yet sufficiently detailed to qualify for Airport Carbon Accreditation.)</t>
  </si>
  <si>
    <t>GENERAL AIRPORT INFORMATION</t>
  </si>
  <si>
    <t>ACERT</t>
  </si>
  <si>
    <t>Airport Carbon and Emissions Reporting Tool</t>
  </si>
  <si>
    <t>According to the Input Page, the Airport has granted the following permission to ACI:</t>
  </si>
  <si>
    <t>Public Landside Vehicles</t>
  </si>
  <si>
    <t>Heavy Duty Vehicle</t>
  </si>
  <si>
    <t>PC</t>
  </si>
  <si>
    <t>Passenger Car</t>
  </si>
  <si>
    <t>TU</t>
  </si>
  <si>
    <t>Traffic Unit</t>
  </si>
  <si>
    <t>Typical Train Speed (km/h)</t>
  </si>
  <si>
    <t>Time (h)</t>
  </si>
  <si>
    <t>One-Way Distance (km)</t>
  </si>
  <si>
    <t>Train emission factors</t>
  </si>
  <si>
    <t>Energy use per light rail wagon</t>
  </si>
  <si>
    <t>MJ/km</t>
  </si>
  <si>
    <t>Energy use per suburban rail wagon</t>
  </si>
  <si>
    <t>Energy user per light rail pass.-km</t>
  </si>
  <si>
    <t>Energy use per suburban rail pass.-km</t>
  </si>
  <si>
    <t>MJ/pkm</t>
  </si>
  <si>
    <t>kWh/MJ</t>
  </si>
  <si>
    <t>EI MJ</t>
  </si>
  <si>
    <t>km/a</t>
  </si>
  <si>
    <t>1-way-dist. (km)</t>
  </si>
  <si>
    <t>EI kWh/km</t>
  </si>
  <si>
    <t>Suburban Rail</t>
  </si>
  <si>
    <t>Light Rail/Metro</t>
  </si>
  <si>
    <t>kWh/km</t>
  </si>
  <si>
    <t>kWh/a</t>
  </si>
  <si>
    <t>t CO2/kWh</t>
  </si>
  <si>
    <t>t CO2/a</t>
  </si>
  <si>
    <r>
      <t>CO</t>
    </r>
    <r>
      <rPr>
        <vertAlign val="subscript"/>
        <sz val="10"/>
        <rFont val="Arial"/>
        <family val="2"/>
      </rPr>
      <t>2</t>
    </r>
    <r>
      <rPr>
        <sz val="10"/>
        <rFont val="Arial"/>
        <family val="2"/>
      </rPr>
      <t>e</t>
    </r>
  </si>
  <si>
    <r>
      <t>NO</t>
    </r>
    <r>
      <rPr>
        <vertAlign val="subscript"/>
        <sz val="10"/>
        <rFont val="Arial"/>
        <family val="2"/>
      </rPr>
      <t>x</t>
    </r>
  </si>
  <si>
    <r>
      <t>Nitrogen Oxides (NO</t>
    </r>
    <r>
      <rPr>
        <vertAlign val="subscript"/>
        <sz val="10"/>
        <rFont val="Arial"/>
        <family val="2"/>
      </rPr>
      <t>X</t>
    </r>
    <r>
      <rPr>
        <sz val="10"/>
        <rFont val="Arial"/>
        <family val="2"/>
      </rPr>
      <t xml:space="preserve"> = NO</t>
    </r>
    <r>
      <rPr>
        <vertAlign val="subscript"/>
        <sz val="10"/>
        <rFont val="Arial"/>
        <family val="2"/>
      </rPr>
      <t>2</t>
    </r>
    <r>
      <rPr>
        <sz val="10"/>
        <rFont val="Arial"/>
        <family val="2"/>
      </rPr>
      <t xml:space="preserve"> + NO)</t>
    </r>
  </si>
  <si>
    <r>
      <t>PM</t>
    </r>
    <r>
      <rPr>
        <vertAlign val="subscript"/>
        <sz val="10"/>
        <rFont val="Arial"/>
        <family val="2"/>
      </rPr>
      <t>2.5</t>
    </r>
  </si>
  <si>
    <r>
      <t>SO</t>
    </r>
    <r>
      <rPr>
        <vertAlign val="subscript"/>
        <sz val="10"/>
        <rFont val="Arial"/>
        <family val="2"/>
      </rPr>
      <t>X</t>
    </r>
  </si>
  <si>
    <t>Drop-down selection landside traffic access distances</t>
  </si>
  <si>
    <t>Murdoch Univ, Murdoch, WA, AU, 1995</t>
  </si>
  <si>
    <t>Hotel Shuttle/Vans</t>
  </si>
  <si>
    <t>Communter Bus/Coach</t>
  </si>
  <si>
    <t>d-1) Estimate percentage of different fuel types:</t>
  </si>
  <si>
    <t>Note: includes regular services of shuttles/vans, buses and trains.</t>
  </si>
  <si>
    <t>Notes: Round trips - 1 bus to airport and back to city/hotel is 1 round trip.</t>
  </si>
  <si>
    <t>Notes: Distance - Hotel Vans - use average distance from airport to hotel area</t>
  </si>
  <si>
    <t>Notes: Distance - Communter bus - use same distance as for Cars in Step 3-11 1)</t>
  </si>
  <si>
    <t>Average Number of round trips/day</t>
  </si>
  <si>
    <t>Time (hr) one way</t>
  </si>
  <si>
    <t>This is the one that is used in the calcs.</t>
  </si>
  <si>
    <t>(XOH:simplify input by removing #routes)</t>
  </si>
  <si>
    <t>Distance from airport to next train stations (recommended)</t>
  </si>
  <si>
    <t>Distance from airport to city centre (recommended)</t>
  </si>
  <si>
    <r>
      <rPr>
        <sz val="10"/>
        <rFont val="Arial"/>
        <family val="2"/>
      </rPr>
      <t xml:space="preserve">Electricity consumption by </t>
    </r>
    <r>
      <rPr>
        <b/>
        <sz val="10"/>
        <rFont val="Arial"/>
        <family val="2"/>
      </rPr>
      <t>RAIL (Added by Emanuel Fleuti)</t>
    </r>
  </si>
  <si>
    <r>
      <rPr>
        <sz val="10"/>
        <rFont val="Arial"/>
        <family val="2"/>
      </rPr>
      <t xml:space="preserve">Electricity consumption by </t>
    </r>
    <r>
      <rPr>
        <b/>
        <sz val="10"/>
        <rFont val="Arial"/>
        <family val="2"/>
      </rPr>
      <t>RAIL (Added by Emanuel Fleuti and XOH)</t>
    </r>
  </si>
  <si>
    <t>For all road vehicles, estimate percentage of different fuel types:</t>
  </si>
  <si>
    <t>Notes: Distance: use of average distance from airport to nearest stations recommended</t>
  </si>
  <si>
    <t>Notes: Round trips: 1 train visit to airport = 1 round trip.</t>
  </si>
  <si>
    <t>Not applicable</t>
  </si>
  <si>
    <t>Radius of circle covering 80-90% of city (2nd recommend'n)</t>
  </si>
  <si>
    <t>Year Created/Started</t>
  </si>
  <si>
    <t>Select yes/no and input the year it was started.</t>
  </si>
  <si>
    <t>GRI with AOSS (Airpt Ops Supplement)</t>
  </si>
  <si>
    <t>Select the distance from airport to nearest:</t>
  </si>
  <si>
    <t>Do you have incentives for 'green' or 'eco' vehicles (alt fuel, hybrid etc)?</t>
  </si>
  <si>
    <t>Do you have RENEWABLE ENERGY GENERATION?</t>
  </si>
  <si>
    <t>What are the sources of your purchased electricity (if you know them)?</t>
  </si>
  <si>
    <t>Do you have INFRASTRUCTURE FOR ALTERNATIVE FUELS for vehicles land or airside?</t>
  </si>
  <si>
    <t>Do you have INFRASTRUCTURE FOR AIRCRAFT APU REPLACEMENT?</t>
  </si>
  <si>
    <t>Have you conducted a GHG Inventory?  If so, by whom?</t>
  </si>
  <si>
    <t>Which GHG Species are included in the inventory?</t>
  </si>
  <si>
    <t>Scope of GHG Inventory (other than in this ACI ACERT spreadsheet)</t>
  </si>
  <si>
    <t>Did your Scope 3 sources include:</t>
  </si>
  <si>
    <t>Is so, in what year?</t>
  </si>
  <si>
    <t>Alternative waiting area/line</t>
  </si>
  <si>
    <t>Tenant Elect./Heat/Fuel</t>
  </si>
  <si>
    <t>Aircraft movements in inventory year</t>
  </si>
  <si>
    <t>Cargo in inventory year</t>
  </si>
  <si>
    <t>(3 letters)</t>
  </si>
  <si>
    <t>(4 letters)</t>
  </si>
  <si>
    <t>Contact</t>
  </si>
  <si>
    <t>date</t>
  </si>
  <si>
    <t>inventory yr</t>
  </si>
  <si>
    <t>Permission</t>
  </si>
  <si>
    <t>Prev GHG inventory</t>
  </si>
  <si>
    <t>Send to ACI</t>
  </si>
  <si>
    <t>Other year</t>
  </si>
  <si>
    <t>AC mvt</t>
  </si>
  <si>
    <t>PAX</t>
  </si>
  <si>
    <t>Cargo</t>
  </si>
  <si>
    <t>El onsold</t>
  </si>
  <si>
    <t>Nat EF gCO2/kWh</t>
  </si>
  <si>
    <t>Actual EF</t>
  </si>
  <si>
    <t>Heat purch</t>
  </si>
  <si>
    <t>Heat source</t>
  </si>
  <si>
    <t>Heat onsold</t>
  </si>
  <si>
    <t>APU sm-med</t>
  </si>
  <si>
    <t>Traff study?</t>
  </si>
  <si>
    <t>trip distance</t>
  </si>
  <si>
    <t>distance</t>
  </si>
  <si>
    <t>MWh/yr</t>
  </si>
  <si>
    <t>Other?</t>
  </si>
  <si>
    <t>Please specify:</t>
  </si>
  <si>
    <t>Absolute Emissions Targets</t>
  </si>
  <si>
    <t>If modes are combined, use the principal mode</t>
  </si>
  <si>
    <t>or split the traffic between them</t>
  </si>
  <si>
    <t>Train</t>
  </si>
  <si>
    <t>Metro/Light rail</t>
  </si>
  <si>
    <t>Regional bus</t>
  </si>
  <si>
    <t>Ferry</t>
  </si>
  <si>
    <t>Bicycle</t>
  </si>
  <si>
    <t>GAV</t>
  </si>
  <si>
    <t>Apt Veh airside</t>
  </si>
  <si>
    <t>bldgs</t>
  </si>
  <si>
    <t>fire training</t>
  </si>
  <si>
    <t>em gens</t>
  </si>
  <si>
    <t>glycol</t>
  </si>
  <si>
    <t>el purchase</t>
  </si>
  <si>
    <t>heat purch</t>
  </si>
  <si>
    <t>Ten LTO</t>
  </si>
  <si>
    <t>Eng runup</t>
  </si>
  <si>
    <t>AC deice</t>
  </si>
  <si>
    <t>Aside veh</t>
  </si>
  <si>
    <t>Ten blds</t>
  </si>
  <si>
    <t>El purch</t>
  </si>
  <si>
    <t>fire tenant</t>
  </si>
  <si>
    <t>em gen</t>
  </si>
  <si>
    <t>landside veh</t>
  </si>
  <si>
    <t>apt empl veh</t>
  </si>
  <si>
    <t>Total Co2e</t>
  </si>
  <si>
    <t>Apt sc1</t>
  </si>
  <si>
    <t>Apt sc2</t>
  </si>
  <si>
    <t>Apt sc3</t>
  </si>
  <si>
    <t>Apt NOx</t>
  </si>
  <si>
    <t>Tenant NOx</t>
  </si>
  <si>
    <t>GAV NOx</t>
  </si>
  <si>
    <t>Heat purchase unit</t>
  </si>
  <si>
    <t>Tirp distance method</t>
  </si>
  <si>
    <t>Comment</t>
  </si>
  <si>
    <t>Equiv full time env staff</t>
  </si>
  <si>
    <t>APU Large aircraft</t>
  </si>
  <si>
    <t>Train # of service</t>
  </si>
  <si>
    <t>Subway # services</t>
  </si>
  <si>
    <t>% PAX connecting</t>
  </si>
  <si>
    <t>% pax on Public Transport:</t>
  </si>
  <si>
    <t># Apt emplees</t>
  </si>
  <si>
    <t>#Tenant emplees</t>
  </si>
  <si>
    <t>#Tenant visitors/day</t>
  </si>
  <si>
    <t>Annual movements declared</t>
  </si>
  <si>
    <t>Onsite Elect generation?</t>
  </si>
  <si>
    <t>Solar/PV</t>
  </si>
  <si>
    <t>Wind turbine</t>
  </si>
  <si>
    <t>Hydroelectricity</t>
  </si>
  <si>
    <t>Infrastructure for alternative fuel</t>
  </si>
  <si>
    <t>CNG for vehicles</t>
  </si>
  <si>
    <t>LPG for vehicles</t>
  </si>
  <si>
    <t>Biofuels</t>
  </si>
  <si>
    <t>Liquid Hydrogen</t>
  </si>
  <si>
    <t>Electric veh recharge station</t>
  </si>
  <si>
    <t># of bridges or contact gates</t>
  </si>
  <si>
    <t># with FEGP</t>
  </si>
  <si>
    <t># with PCA</t>
  </si>
  <si>
    <t># remote stands</t>
  </si>
  <si>
    <t># GPU available</t>
  </si>
  <si>
    <t># ACU available</t>
  </si>
  <si>
    <t>Terminal Gates APU replacement</t>
  </si>
  <si>
    <t>Outputs (tonnes per year)</t>
  </si>
  <si>
    <t>Airport CO2e</t>
  </si>
  <si>
    <t>Tenant/Staff CO2e</t>
  </si>
  <si>
    <t>Airport LAQ</t>
  </si>
  <si>
    <t>Tenant LAQ</t>
  </si>
  <si>
    <t>GAV LAQ</t>
  </si>
  <si>
    <t>Notes: This page is for tranfer of the main data to an ACI database.</t>
  </si>
  <si>
    <t>Have you ever conducted a more detailed GHG inventory?</t>
  </si>
  <si>
    <r>
      <t xml:space="preserve">Reminder: Save file under a new name </t>
    </r>
    <r>
      <rPr>
        <b/>
        <sz val="11"/>
        <rFont val="Arial"/>
        <family val="2"/>
      </rPr>
      <t>eg LHR2012</t>
    </r>
  </si>
  <si>
    <r>
      <t xml:space="preserve">Note: This table requires estimating the </t>
    </r>
    <r>
      <rPr>
        <b/>
        <sz val="11"/>
        <rFont val="Arial"/>
        <family val="2"/>
      </rPr>
      <t>proportions of the fuel</t>
    </r>
    <r>
      <rPr>
        <sz val="11"/>
        <rFont val="Arial"/>
        <family val="2"/>
      </rPr>
      <t xml:space="preserve"> going into vehicles of different sizes.</t>
    </r>
  </si>
  <si>
    <t>Note: Estimate equivalent number of single-aisle (SA) aircraft runups (e.g. B737)</t>
  </si>
  <si>
    <t>Note: Estimate equivalent number of double-aisle (DA) aircraft runups (e.g. A330)</t>
  </si>
  <si>
    <t>SA</t>
  </si>
  <si>
    <t xml:space="preserve">Single Aisle </t>
  </si>
  <si>
    <t>DA</t>
  </si>
  <si>
    <t>Double Aisle</t>
  </si>
  <si>
    <t>One-way Distance (km)</t>
  </si>
  <si>
    <r>
      <t>kg CO</t>
    </r>
    <r>
      <rPr>
        <vertAlign val="subscript"/>
        <sz val="10"/>
        <rFont val="Arial"/>
        <family val="2"/>
      </rPr>
      <t>2e</t>
    </r>
    <r>
      <rPr>
        <sz val="10"/>
        <rFont val="Arial"/>
        <family val="2"/>
      </rPr>
      <t>/traffic unit/year</t>
    </r>
  </si>
  <si>
    <t>(Canada only, otherwise select n/a)</t>
  </si>
  <si>
    <t>Passengers Movements in Inventory year</t>
  </si>
  <si>
    <t>movements</t>
  </si>
  <si>
    <t>eg Airline office</t>
  </si>
  <si>
    <t>MOU</t>
  </si>
  <si>
    <t>Memorandum of Understanding</t>
  </si>
  <si>
    <t>PLOT DATA</t>
  </si>
  <si>
    <t>Airport Scope1</t>
  </si>
  <si>
    <t>Airport Scope2</t>
  </si>
  <si>
    <t>Passenger cars</t>
  </si>
  <si>
    <t>Light duty vehicles (2-3.5 t)</t>
  </si>
  <si>
    <t>Trucks/Vans/Light Duty Vehicles:</t>
  </si>
  <si>
    <t>Truck/SUV/Light duty vehicle:</t>
  </si>
  <si>
    <t>Light duty vehicles</t>
  </si>
  <si>
    <t>Light duty vehicles - delivery trucks/vans</t>
  </si>
  <si>
    <t>What year did you reach each level?</t>
  </si>
  <si>
    <t>Level 1</t>
  </si>
  <si>
    <t>Level 2</t>
  </si>
  <si>
    <t>Level 3</t>
  </si>
  <si>
    <t>Level 3+</t>
  </si>
  <si>
    <t>Carbon Dioxide Equivalent</t>
  </si>
  <si>
    <t>Particulate Matter (2.5 microns)</t>
  </si>
  <si>
    <t>Particulate Matter (10 microns)</t>
  </si>
  <si>
    <r>
      <t>PM</t>
    </r>
    <r>
      <rPr>
        <vertAlign val="subscript"/>
        <sz val="10"/>
        <rFont val="Arial"/>
        <family val="2"/>
      </rPr>
      <t>10</t>
    </r>
    <r>
      <rPr>
        <sz val="11"/>
        <color theme="1"/>
        <rFont val="Calibri"/>
        <family val="2"/>
        <scheme val="minor"/>
      </rPr>
      <t/>
    </r>
  </si>
  <si>
    <t>Particulate Matter</t>
  </si>
  <si>
    <t>Large Aircraft</t>
  </si>
  <si>
    <t>Small-Med. Aircraft</t>
  </si>
  <si>
    <t>Estimate percentage of different fuel types for cars and light duty vehicles:</t>
  </si>
  <si>
    <t>LAQ</t>
  </si>
  <si>
    <t>Local Air Quality</t>
  </si>
  <si>
    <t>Input movements =</t>
  </si>
  <si>
    <t>of Declared Movements</t>
  </si>
  <si>
    <t>This was input in CellJ10</t>
  </si>
  <si>
    <t>Note: - Make sure you can see Columns A through K</t>
  </si>
  <si>
    <t>Airside Vehicles</t>
  </si>
  <si>
    <t>Buildings (gas/oil/coal)</t>
  </si>
  <si>
    <t>Fire Training</t>
  </si>
  <si>
    <t>Glycol</t>
  </si>
  <si>
    <t>Heat Purchase</t>
  </si>
  <si>
    <t>Tenant</t>
  </si>
  <si>
    <t>Aircraft (LTO &amp; taxi)</t>
  </si>
  <si>
    <t>Aircraft APU</t>
  </si>
  <si>
    <t>Aircraft Engine Run-ups</t>
  </si>
  <si>
    <t>Aircraft De-icing</t>
  </si>
  <si>
    <t>Landside Vehicles</t>
  </si>
  <si>
    <t>Employee Vehicles</t>
  </si>
  <si>
    <t>Cars, taxi</t>
  </si>
  <si>
    <t>Bus, shuttles</t>
  </si>
  <si>
    <t>Report Date:</t>
  </si>
  <si>
    <t>Tenants (including airlines, government, shops etc.) and Employees</t>
  </si>
  <si>
    <t>Public (including Passengers)</t>
  </si>
  <si>
    <r>
      <t>t CO</t>
    </r>
    <r>
      <rPr>
        <b/>
        <vertAlign val="subscript"/>
        <sz val="12"/>
        <rFont val="Arial"/>
        <family val="2"/>
      </rPr>
      <t>2e</t>
    </r>
  </si>
  <si>
    <t>Aircraft movements used in calc</t>
  </si>
  <si>
    <t>Airport Buildings (gas/oil/coal)</t>
  </si>
  <si>
    <t>Aircraft (other)</t>
  </si>
  <si>
    <t>Airport Electricity Purchase (Sc2)</t>
  </si>
  <si>
    <t>Airport Heat Purchase (Sc2)</t>
  </si>
  <si>
    <r>
      <t>CO</t>
    </r>
    <r>
      <rPr>
        <b/>
        <vertAlign val="subscript"/>
        <sz val="12"/>
        <rFont val="Arial"/>
        <family val="2"/>
      </rPr>
      <t>2e</t>
    </r>
    <r>
      <rPr>
        <b/>
        <sz val="12"/>
        <rFont val="Arial"/>
        <family val="2"/>
      </rPr>
      <t xml:space="preserve"> %</t>
    </r>
  </si>
  <si>
    <t>LAQ not calculated</t>
  </si>
  <si>
    <t>GAV Cars</t>
  </si>
  <si>
    <t>GAV Buses</t>
  </si>
  <si>
    <t>GAV Trains</t>
  </si>
  <si>
    <t>EF Used:</t>
  </si>
  <si>
    <t>Default Ems Factor:</t>
  </si>
  <si>
    <r>
      <t>g</t>
    </r>
    <r>
      <rPr>
        <sz val="10"/>
        <rFont val="Arial"/>
        <family val="2"/>
      </rPr>
      <t xml:space="preserve"> CO2/kWh  </t>
    </r>
  </si>
  <si>
    <t>Short Summary</t>
  </si>
  <si>
    <t>Scope 1</t>
  </si>
  <si>
    <t>Scope 2</t>
  </si>
  <si>
    <t>Scope 3</t>
  </si>
  <si>
    <t>Pax</t>
  </si>
  <si>
    <t>Traff units</t>
  </si>
  <si>
    <t>Total/TU</t>
  </si>
  <si>
    <t>Sc1&amp;2/TU</t>
  </si>
  <si>
    <t>Nat'l EF</t>
  </si>
  <si>
    <t>EF Used</t>
  </si>
  <si>
    <t>Sc1+2</t>
  </si>
  <si>
    <t>Sc123</t>
  </si>
  <si>
    <t xml:space="preserve">Not on </t>
  </si>
  <si>
    <t>Input page</t>
  </si>
  <si>
    <t xml:space="preserve">Input </t>
  </si>
  <si>
    <t>Page</t>
  </si>
  <si>
    <t>Mirror</t>
  </si>
  <si>
    <t>Note: Combine data if necessary.</t>
  </si>
  <si>
    <t>Note: Only totals matter</t>
  </si>
  <si>
    <t>Airport Owned Equipment</t>
  </si>
  <si>
    <t>Tenant Owned Equipment</t>
  </si>
  <si>
    <t>Airport Owned Fire Services</t>
  </si>
  <si>
    <t>Non-Airport Owned Fire Services</t>
  </si>
  <si>
    <t>Airport Operation</t>
  </si>
  <si>
    <t>Non-Airport, Contactor or Airline Operation</t>
  </si>
  <si>
    <t>STEP 1 - GENERAL AIRPORT INFORMATION</t>
  </si>
  <si>
    <t>Airport Owned Vehicles</t>
  </si>
  <si>
    <t>Total Fuel used in Vehicles</t>
  </si>
  <si>
    <t>STEP 2 - AIRSIDE VEHICLES, MACHINERY, GSE, FIRE TRAINING, GLYCOL</t>
  </si>
  <si>
    <t>STEP 4 - ELECTRICITY PURCHASED FROM OFF-SITE GENERATION</t>
  </si>
  <si>
    <t>STEP 6 - AIRCRAFT ACTIVITY</t>
  </si>
  <si>
    <t>STEP 7 - GROUND ACCESS TRANSPORTATION</t>
  </si>
  <si>
    <t>January</t>
  </si>
  <si>
    <r>
      <t xml:space="preserve">Total annual </t>
    </r>
    <r>
      <rPr>
        <b/>
        <sz val="11"/>
        <rFont val="Arial"/>
        <family val="2"/>
      </rPr>
      <t>Electricity purchased by airport</t>
    </r>
    <r>
      <rPr>
        <sz val="11"/>
        <rFont val="Arial"/>
        <family val="2"/>
      </rPr>
      <t xml:space="preserve"> from off-site supplier:</t>
    </r>
  </si>
  <si>
    <t>These emissions are counted as Airport Scope 1 in Step 1-2</t>
  </si>
  <si>
    <r>
      <t xml:space="preserve">Total annual </t>
    </r>
    <r>
      <rPr>
        <b/>
        <sz val="11"/>
        <rFont val="Arial"/>
        <family val="2"/>
      </rPr>
      <t>Electricity generated by airport and sold to tenants</t>
    </r>
  </si>
  <si>
    <r>
      <t xml:space="preserve">Total annual </t>
    </r>
    <r>
      <rPr>
        <b/>
        <sz val="11"/>
        <rFont val="Arial"/>
        <family val="2"/>
      </rPr>
      <t>Electricity purchased by tenants directly from off-site</t>
    </r>
  </si>
  <si>
    <t>Emission Factor for electricity purchased from the national grid</t>
  </si>
  <si>
    <r>
      <t>Total annual</t>
    </r>
    <r>
      <rPr>
        <b/>
        <sz val="11"/>
        <rFont val="Arial"/>
        <family val="2"/>
      </rPr>
      <t xml:space="preserve"> Heat purchased by airport</t>
    </r>
    <r>
      <rPr>
        <sz val="11"/>
        <rFont val="Arial"/>
        <family val="2"/>
      </rPr>
      <t xml:space="preserve"> (eg hot water or steam)</t>
    </r>
  </si>
  <si>
    <r>
      <t xml:space="preserve">Total annual </t>
    </r>
    <r>
      <rPr>
        <b/>
        <sz val="11"/>
        <rFont val="Arial"/>
        <family val="2"/>
      </rPr>
      <t>Electricity purchased then resold to tenants:</t>
    </r>
  </si>
  <si>
    <r>
      <t xml:space="preserve">Total annual </t>
    </r>
    <r>
      <rPr>
        <b/>
        <sz val="11"/>
        <rFont val="Arial"/>
        <family val="2"/>
      </rPr>
      <t>Heat purchased then resold to tenants</t>
    </r>
  </si>
  <si>
    <r>
      <t xml:space="preserve">Total annual </t>
    </r>
    <r>
      <rPr>
        <b/>
        <sz val="11"/>
        <rFont val="Arial"/>
        <family val="2"/>
      </rPr>
      <t>Heat generated by airport and sold to tenants</t>
    </r>
  </si>
  <si>
    <r>
      <t xml:space="preserve">Total annual </t>
    </r>
    <r>
      <rPr>
        <b/>
        <sz val="11"/>
        <rFont val="Arial"/>
        <family val="2"/>
      </rPr>
      <t>Heat purchased by tenants directly from off-site</t>
    </r>
  </si>
  <si>
    <r>
      <rPr>
        <b/>
        <sz val="11"/>
        <rFont val="Arial"/>
        <family val="2"/>
      </rPr>
      <t xml:space="preserve">Fuel </t>
    </r>
    <r>
      <rPr>
        <sz val="11"/>
        <rFont val="Arial"/>
        <family val="2"/>
      </rPr>
      <t>used by the off-site Heat producer:</t>
    </r>
  </si>
  <si>
    <t>Select from pull-down menu</t>
  </si>
  <si>
    <t>STEP 5 - HEAT (Steam or Hot water) PURCHASED FROM OFF-SITE GENERATION</t>
  </si>
  <si>
    <t>Non-Airport, Tenant, or Airline Vehicles</t>
  </si>
  <si>
    <t>Fuel used in vehicles, including airside transport, machinery, ground service equipment</t>
  </si>
  <si>
    <t xml:space="preserve">Fuel used for fire training </t>
  </si>
  <si>
    <t>Fuel used for Stationary Emergency Power Generation Units</t>
  </si>
  <si>
    <t xml:space="preserve">Glycol usage for surface and aircraft de-icing </t>
  </si>
  <si>
    <t>Average Duration of APU Operation before and after flights</t>
  </si>
  <si>
    <t>Average Aircraft Taxi Time</t>
  </si>
  <si>
    <r>
      <t xml:space="preserve">Estimate </t>
    </r>
    <r>
      <rPr>
        <b/>
        <sz val="11"/>
        <rFont val="Arial"/>
        <family val="2"/>
      </rPr>
      <t>distance of average trip</t>
    </r>
    <r>
      <rPr>
        <sz val="11"/>
        <rFont val="Arial"/>
        <family val="2"/>
      </rPr>
      <t xml:space="preserve"> (staff, passenger, delivery) to or from airport</t>
    </r>
  </si>
  <si>
    <t>Percent of Passengers taking connecting flights</t>
  </si>
  <si>
    <t>Percent of Passengers travelling on Public Transport</t>
  </si>
  <si>
    <t>Passenger Traffic Ground Transport</t>
  </si>
  <si>
    <t>Airport and Tenant Staff</t>
  </si>
  <si>
    <t>Visitor Traffic</t>
  </si>
  <si>
    <t>Note: excludes cars, taxis, vans, minibuses.</t>
  </si>
  <si>
    <t>Percentages must add to 100%. Use whole numbers, no decimals.</t>
  </si>
  <si>
    <t>Bus Traffic</t>
  </si>
  <si>
    <t>Train Movements</t>
  </si>
  <si>
    <t>Fuel used by shuttle vans and communter buses</t>
  </si>
  <si>
    <t>Electricified Trains (%)</t>
  </si>
  <si>
    <t>STEP 3 - FUEL USED FOR  ELECTRICITY GENERATION AND HEATING BUILDINGS</t>
  </si>
  <si>
    <t>Non-Airport Owned and Operated Buildings</t>
  </si>
  <si>
    <t>Diesel or Jet A</t>
  </si>
  <si>
    <t>Note: Do not include Electricity Purchased</t>
  </si>
  <si>
    <t>Airport Owned and Operated Buildings and Power/Heat Generation Plant</t>
  </si>
  <si>
    <t>This is included above</t>
  </si>
  <si>
    <t>Totals only. JetA not separate</t>
  </si>
  <si>
    <t>not used</t>
  </si>
  <si>
    <t>Diesel total only</t>
  </si>
  <si>
    <t xml:space="preserve">Other/Aircraft </t>
  </si>
  <si>
    <t>February</t>
  </si>
  <si>
    <t>March</t>
  </si>
  <si>
    <t>April</t>
  </si>
  <si>
    <t>May</t>
  </si>
  <si>
    <t>June</t>
  </si>
  <si>
    <t>July</t>
  </si>
  <si>
    <t>August</t>
  </si>
  <si>
    <t>September</t>
  </si>
  <si>
    <t>October</t>
  </si>
  <si>
    <t>November</t>
  </si>
  <si>
    <t>December</t>
  </si>
  <si>
    <r>
      <t xml:space="preserve">Reminder:Save file under a new name </t>
    </r>
    <r>
      <rPr>
        <b/>
        <sz val="11"/>
        <rFont val="Arial"/>
        <family val="2"/>
      </rPr>
      <t>eg LHR2012</t>
    </r>
  </si>
  <si>
    <t>Select Type of Aircraft you are able to input</t>
  </si>
  <si>
    <t>Generic Aircraft Type</t>
  </si>
  <si>
    <t xml:space="preserve">Select the Type of Ground Traffic Data that you can input: </t>
  </si>
  <si>
    <t>Vehilces Used by Staff/Employees</t>
  </si>
  <si>
    <t>Tenants include all airlines, government bureaus, concessionaires, freight companies, maintenance, contractors, and other companies based at the airport</t>
  </si>
  <si>
    <t>STEP 8 ENVIRONMENTAL MANAGEMENT DATA</t>
  </si>
  <si>
    <t>Step 8-2 Ground Access and Landside Transport</t>
  </si>
  <si>
    <t>Step 8-1 Organization and Reporting</t>
  </si>
  <si>
    <t>Step 8-3 Electricity and Energy</t>
  </si>
  <si>
    <t>Step 8-4 Infrastrucuture of Aircraft APU Replacement</t>
  </si>
  <si>
    <t>Year of Inventory:</t>
  </si>
  <si>
    <t>First month of year:</t>
  </si>
  <si>
    <t>These are no longer inp[ut</t>
  </si>
  <si>
    <t>Defaut values are used.</t>
  </si>
  <si>
    <r>
      <rPr>
        <b/>
        <sz val="11"/>
        <color theme="1"/>
        <rFont val="Arial"/>
        <family val="2"/>
      </rPr>
      <t>Fuel used by vehicles</t>
    </r>
    <r>
      <rPr>
        <sz val="11"/>
        <color theme="1"/>
        <rFont val="Arial"/>
        <family val="2"/>
      </rPr>
      <t>: Percentage of different fuel types for all cars and light duty vehicles:</t>
    </r>
  </si>
  <si>
    <t>Include airlines, government, contractors, shops, restaurants, aircraft facilities</t>
  </si>
  <si>
    <t>These are taken from input page.</t>
  </si>
  <si>
    <t>Others are copied from here</t>
  </si>
  <si>
    <t>Hotel/shared shuttle and commuter buses that have regular services</t>
  </si>
  <si>
    <t>Total number of round trips/day.             (If none, enter zeroes here)</t>
  </si>
  <si>
    <t xml:space="preserve">The landside traffic calculations were </t>
  </si>
  <si>
    <t>Check List for Review of Input</t>
  </si>
  <si>
    <t>Data should be available from invoices to tenants.</t>
  </si>
  <si>
    <t xml:space="preserve"> Do you have a regular Environmental Report?</t>
  </si>
  <si>
    <t>When was the first report published?</t>
  </si>
  <si>
    <t>"None" means not applicable to my region.</t>
  </si>
  <si>
    <t>No longer</t>
  </si>
  <si>
    <t>Used</t>
  </si>
  <si>
    <t>(LAQ only)</t>
  </si>
  <si>
    <t>These are input once only</t>
  </si>
  <si>
    <t>Yellow data has been dropped.</t>
  </si>
  <si>
    <t xml:space="preserve">The aircraft emissions calculations were </t>
  </si>
  <si>
    <t>to output</t>
  </si>
  <si>
    <t>Switch to zero if No traffic data selected.</t>
  </si>
  <si>
    <t>Check Total Fuel dispensed to airside vehicles  should not be zero</t>
  </si>
  <si>
    <t>litres or kg</t>
  </si>
  <si>
    <t>Nat Gas</t>
  </si>
  <si>
    <t>by airport</t>
  </si>
  <si>
    <t>by tenants</t>
  </si>
  <si>
    <t>MWh</t>
  </si>
  <si>
    <t>Check Total Electricity purchases are not zero</t>
  </si>
  <si>
    <t xml:space="preserve">Check Total Fuel (airport and tenants) for electricity or heat </t>
  </si>
  <si>
    <t>Total aircraft movements declared</t>
  </si>
  <si>
    <t>Check staff numbers at airport</t>
  </si>
  <si>
    <t>Check daily number visitors/deliveries at airport</t>
  </si>
  <si>
    <t>Large: 2-aisle, long-haul</t>
  </si>
  <si>
    <t>Medium: 2-aisle, medium-haul</t>
  </si>
  <si>
    <t>Small: 1-aisle, small/medium haul</t>
  </si>
  <si>
    <t>Regional: 1-aisle, short-haul</t>
  </si>
  <si>
    <t>Business: 2-eng biz jets</t>
  </si>
  <si>
    <t>C525, F90, etc</t>
  </si>
  <si>
    <t>Turboprop (all engines)</t>
  </si>
  <si>
    <t>Piston (all engines)</t>
  </si>
  <si>
    <t>Heli small (1 engine/turbine)</t>
  </si>
  <si>
    <t>Heli large (2 engine/turbine)</t>
  </si>
  <si>
    <t>Movements input</t>
  </si>
  <si>
    <t>Example Aircraft</t>
  </si>
  <si>
    <t>Annual Mvmts</t>
  </si>
  <si>
    <t>A340, B747</t>
  </si>
  <si>
    <t>A330, B767</t>
  </si>
  <si>
    <t>A320, B737</t>
  </si>
  <si>
    <t>EMB170/190, CRJ70/90</t>
  </si>
  <si>
    <t>Aircraft Group</t>
  </si>
  <si>
    <t xml:space="preserve">       Large</t>
  </si>
  <si>
    <t>A340/B747</t>
  </si>
  <si>
    <t xml:space="preserve">      Medium</t>
  </si>
  <si>
    <t>A330/B767</t>
  </si>
  <si>
    <t xml:space="preserve">       Small</t>
  </si>
  <si>
    <t>A320/B737</t>
  </si>
  <si>
    <t xml:space="preserve">    Regional</t>
  </si>
  <si>
    <t>E170/CRJ90</t>
  </si>
  <si>
    <t xml:space="preserve">    Business</t>
  </si>
  <si>
    <t>C525/F900</t>
  </si>
  <si>
    <t xml:space="preserve">   Turboprop</t>
  </si>
  <si>
    <t xml:space="preserve">      Piston</t>
  </si>
  <si>
    <t xml:space="preserve">   HeliLarge</t>
  </si>
  <si>
    <t xml:space="preserve">   HeliSmall</t>
  </si>
  <si>
    <t>**Note: Sources from LASPORT v2.0</t>
  </si>
  <si>
    <t xml:space="preserve">V1.7 not used </t>
  </si>
  <si>
    <t>Surrogates used v1.7+</t>
  </si>
  <si>
    <t>Check that the entered number of aircraft movements is appropriate</t>
  </si>
  <si>
    <t>Annual fuel used for electricity and heat generation in AIRPORT OWNED BUILDINGS</t>
  </si>
  <si>
    <t>Annual fuel used for electricity and heat generation in NON-AIRPORT OWNED BUILDINGS</t>
  </si>
  <si>
    <t>Delete</t>
  </si>
  <si>
    <t>this</t>
  </si>
  <si>
    <t>input</t>
  </si>
  <si>
    <t>Confusing</t>
  </si>
  <si>
    <t>Tenant/Airline Employees</t>
  </si>
  <si>
    <t>Distance used for car trips to and from airport</t>
  </si>
  <si>
    <t>This distance was calculated using:</t>
  </si>
  <si>
    <t>Used for check list</t>
  </si>
  <si>
    <t>Check that electricty resold to tenants not greater than purchased by airport</t>
  </si>
  <si>
    <t>unconditionally</t>
  </si>
  <si>
    <t>APPROXIMATE LAQ EMISSIONS</t>
  </si>
  <si>
    <t>For each of the transport modes, select from the pull down menu to indicate the nearest facility to your airport</t>
  </si>
  <si>
    <t>Input by floor area is now deleted (v1.7 beta).</t>
  </si>
  <si>
    <t>Estimated number of annual engine run-ups</t>
  </si>
  <si>
    <t>Example or representative aircraft</t>
  </si>
  <si>
    <t>Single-aisle (SA) aircraft runups (e.g. B737)</t>
  </si>
  <si>
    <t>Double-aisle (DA) aircraft runups (e.g. A330)</t>
  </si>
  <si>
    <t>These are default values</t>
  </si>
  <si>
    <t>Assume high 5 diesel vans</t>
  </si>
  <si>
    <t>Your choice was to enter</t>
  </si>
  <si>
    <t>U100319:</t>
  </si>
  <si>
    <t>GHG Protocol Worksheet; data for 2006</t>
  </si>
  <si>
    <t>Power plant</t>
  </si>
  <si>
    <t>eg Heating plant</t>
  </si>
  <si>
    <t xml:space="preserve"> Airport Carbon and Emissions Reporting Tool  ACERT v1.0</t>
  </si>
  <si>
    <r>
      <t xml:space="preserve">Airport Carbon and Emissions Reporting Tool 
ACERT v1.0 - </t>
    </r>
    <r>
      <rPr>
        <b/>
        <u/>
        <sz val="12"/>
        <color rgb="FF0069AA"/>
        <rFont val="Gill Sans MT"/>
        <family val="2"/>
      </rPr>
      <t>Approximate</t>
    </r>
    <r>
      <rPr>
        <b/>
        <sz val="12"/>
        <color rgb="FF0069AA"/>
        <rFont val="Gill Sans MT"/>
        <family val="2"/>
      </rPr>
      <t xml:space="preserve"> LAQ Emissions data</t>
    </r>
  </si>
  <si>
    <t>Airport code</t>
  </si>
  <si>
    <t>Do-It-Yourself Airport Greenhouse Gas Emissions Inventory Tool</t>
  </si>
  <si>
    <t>Traffic units:</t>
  </si>
  <si>
    <t>Select One</t>
  </si>
  <si>
    <t>This was input in CellJ9</t>
  </si>
  <si>
    <t>Jet Fuel (Single Aisle Aircraft)</t>
  </si>
  <si>
    <t>Jet Fuel (Double Aisle Aircraft)</t>
  </si>
  <si>
    <t>XYZ</t>
  </si>
  <si>
    <t>WXYZ</t>
  </si>
  <si>
    <t>Calc 1 - Data processing page.</t>
  </si>
  <si>
    <t>Data: Emission Factors for Aircraft</t>
  </si>
  <si>
    <t>Data: Emission Factors for Stationary Sources and Others</t>
  </si>
  <si>
    <t>name</t>
  </si>
  <si>
    <t>Generic aircraft data (Good)</t>
  </si>
  <si>
    <t>Approxmiate data for estimation (Recommended)</t>
  </si>
  <si>
    <t>Calculation Page 2</t>
  </si>
  <si>
    <t>Banner indicating Airport Owned and Controlled Sources</t>
  </si>
  <si>
    <t>Banner indicating Non-Airport, Tenant, or Airline Sources</t>
  </si>
  <si>
    <t>WRI</t>
  </si>
  <si>
    <t>World Reporting Institute</t>
  </si>
  <si>
    <t>ACERT v1.0                                            INTRODUCTION and INSTRUCTIONS</t>
  </si>
  <si>
    <t>Airport Carbon and Emissions Reporting Tool 
ACERT v1.0</t>
  </si>
</sst>
</file>

<file path=xl/styles.xml><?xml version="1.0" encoding="utf-8"?>
<styleSheet xmlns="http://schemas.openxmlformats.org/spreadsheetml/2006/main" xmlns:mc="http://schemas.openxmlformats.org/markup-compatibility/2006" xmlns:x14ac="http://schemas.microsoft.com/office/spreadsheetml/2009/9/ac" mc:Ignorable="x14ac">
  <numFmts count="43">
    <numFmt numFmtId="43" formatCode="_-* #,##0.00_-;\-* #,##0.00_-;_-* &quot;-&quot;??_-;_-@_-"/>
    <numFmt numFmtId="164" formatCode="_ * #,##0.00_ ;_ * \-#,##0.00_ ;_ * &quot;-&quot;??_ ;_ @_ "/>
    <numFmt numFmtId="165" formatCode="_(* #,##0_);_(* \(#,##0\);_(* &quot;-&quot;_);_(@_)"/>
    <numFmt numFmtId="166" formatCode="_(* #,##0.00_);_(* \(#,##0.00\);_(* &quot;-&quot;??_);_(@_)"/>
    <numFmt numFmtId="167" formatCode="0.000"/>
    <numFmt numFmtId="168" formatCode="#,##0.000"/>
    <numFmt numFmtId="169" formatCode="#,##0.0000"/>
    <numFmt numFmtId="170" formatCode="#,##0.000000"/>
    <numFmt numFmtId="171" formatCode="0.0%"/>
    <numFmt numFmtId="172" formatCode="#,##0.00000"/>
    <numFmt numFmtId="173" formatCode="_(* #,##0.0_);_(* \(#,##0.0\);_(* &quot;-&quot;??_);_(@_)"/>
    <numFmt numFmtId="174" formatCode="#,##0.0"/>
    <numFmt numFmtId="175" formatCode="0.000E+00"/>
    <numFmt numFmtId="176" formatCode="0.0000"/>
    <numFmt numFmtId="177" formatCode="_(* #,##0_);_(* \(#,##0\);_(* &quot;-&quot;??_);_(@_)"/>
    <numFmt numFmtId="178" formatCode="_-* #,##0.0000_-;\-* #,##0.0000_-;_-* &quot;-&quot;??_-;_-@_-"/>
    <numFmt numFmtId="179" formatCode="#,##0.00000000"/>
    <numFmt numFmtId="180" formatCode="#,##0.000\ &quot;kg/L&quot;"/>
    <numFmt numFmtId="181" formatCode="#,##0.0000000"/>
    <numFmt numFmtId="182" formatCode="0.00000"/>
    <numFmt numFmtId="183" formatCode="0.000000"/>
    <numFmt numFmtId="184" formatCode="#,##0.00\ &quot;g/kg&quot;"/>
    <numFmt numFmtId="185" formatCode="General\ &quot;g/km&quot;"/>
    <numFmt numFmtId="186" formatCode="General\ "/>
    <numFmt numFmtId="187" formatCode="#,##0.000000\ &quot;kg/L&quot;"/>
    <numFmt numFmtId="188" formatCode="#,##0.00\ &quot;kg&quot;"/>
    <numFmt numFmtId="189" formatCode="d/m/yyyy;@"/>
    <numFmt numFmtId="190" formatCode="#,##0.00\ &quot;m3&quot;"/>
    <numFmt numFmtId="191" formatCode="0.00E+00\ &quot;kg/m3&quot;"/>
    <numFmt numFmtId="192" formatCode="0.00E+00\ &quot;kg/kg&quot;"/>
    <numFmt numFmtId="193" formatCode="#,##0.00\ &quot;g/L&quot;"/>
    <numFmt numFmtId="194" formatCode="0.0"/>
    <numFmt numFmtId="195" formatCode="_-* #,##0_-;\-* #,##0_-;_-* &quot;-&quot;??_-;_-@_-"/>
    <numFmt numFmtId="196" formatCode="_ * #,##0.0_ ;_ * \-#,##0.0_ ;_ * &quot;-&quot;??_ ;_ @_ "/>
    <numFmt numFmtId="197" formatCode="_ * #,##0_ ;_ * \-#,##0_ ;_ * &quot;-&quot;??_ ;_ @_ "/>
    <numFmt numFmtId="198" formatCode="_(* #,##0.00000000_);_(* \(#,##0.00000000\);_(* &quot;-&quot;??_);_(@_)"/>
    <numFmt numFmtId="199" formatCode="#,##0.00\ &quot;kgVOC/kgglycol&quot;"/>
    <numFmt numFmtId="200" formatCode="dd/mm/yyyy;@"/>
    <numFmt numFmtId="201" formatCode="0.000%"/>
    <numFmt numFmtId="202" formatCode="0.0000000000"/>
    <numFmt numFmtId="203" formatCode="_(* #,##0.0000_);_(* \(#,##0.0000\);_(* &quot;-&quot;??_);_(@_)"/>
    <numFmt numFmtId="204" formatCode="_ * #,##0.000000_ ;_ * \-#,##0.000000_ ;_ * &quot;-&quot;??_ ;_ @_ "/>
    <numFmt numFmtId="205" formatCode="#,##0_ ;\-#,##0\ "/>
  </numFmts>
  <fonts count="64" x14ac:knownFonts="1">
    <font>
      <sz val="10"/>
      <name val="Arial"/>
      <family val="2"/>
    </font>
    <font>
      <sz val="11"/>
      <color theme="1"/>
      <name val="Calibri"/>
      <family val="2"/>
      <scheme val="minor"/>
    </font>
    <font>
      <sz val="10"/>
      <name val="Arial"/>
      <family val="2"/>
    </font>
    <font>
      <u/>
      <sz val="10"/>
      <color indexed="12"/>
      <name val="Arial"/>
      <family val="2"/>
    </font>
    <font>
      <b/>
      <sz val="12"/>
      <name val="Arial"/>
      <family val="2"/>
    </font>
    <font>
      <sz val="8"/>
      <name val="Arial"/>
      <family val="2"/>
    </font>
    <font>
      <b/>
      <sz val="11"/>
      <name val="Arial"/>
      <family val="2"/>
    </font>
    <font>
      <b/>
      <sz val="10"/>
      <name val="Arial"/>
      <family val="2"/>
    </font>
    <font>
      <sz val="11"/>
      <name val="Arial"/>
      <family val="2"/>
    </font>
    <font>
      <b/>
      <sz val="11"/>
      <color indexed="17"/>
      <name val="Arial"/>
      <family val="2"/>
    </font>
    <font>
      <i/>
      <sz val="10"/>
      <name val="Arial"/>
      <family val="2"/>
    </font>
    <font>
      <vertAlign val="subscript"/>
      <sz val="10"/>
      <name val="Arial"/>
      <family val="2"/>
    </font>
    <font>
      <b/>
      <vertAlign val="subscript"/>
      <sz val="12"/>
      <name val="Arial"/>
      <family val="2"/>
    </font>
    <font>
      <b/>
      <u/>
      <sz val="12"/>
      <color indexed="12"/>
      <name val="Arial"/>
      <family val="2"/>
    </font>
    <font>
      <i/>
      <sz val="11"/>
      <name val="Arial"/>
      <family val="2"/>
    </font>
    <font>
      <sz val="12"/>
      <name val="Garamond"/>
      <family val="1"/>
    </font>
    <font>
      <b/>
      <sz val="10"/>
      <color indexed="17"/>
      <name val="Arial"/>
      <family val="2"/>
    </font>
    <font>
      <b/>
      <u/>
      <sz val="11"/>
      <name val="Arial"/>
      <family val="2"/>
    </font>
    <font>
      <b/>
      <u/>
      <sz val="16"/>
      <color indexed="12"/>
      <name val="Arial"/>
      <family val="2"/>
    </font>
    <font>
      <b/>
      <u val="double"/>
      <sz val="10"/>
      <name val="Arial"/>
      <family val="2"/>
    </font>
    <font>
      <b/>
      <u/>
      <sz val="14"/>
      <name val="Arial"/>
      <family val="2"/>
    </font>
    <font>
      <b/>
      <sz val="14"/>
      <name val="Arial"/>
      <family val="2"/>
    </font>
    <font>
      <b/>
      <vertAlign val="subscript"/>
      <sz val="10"/>
      <name val="Arial"/>
      <family val="2"/>
    </font>
    <font>
      <sz val="10"/>
      <color theme="1"/>
      <name val="Arial"/>
      <family val="2"/>
    </font>
    <font>
      <b/>
      <sz val="9"/>
      <color rgb="FF000000"/>
      <name val="Arial"/>
      <family val="2"/>
    </font>
    <font>
      <b/>
      <sz val="9"/>
      <name val="Arial"/>
      <family val="2"/>
    </font>
    <font>
      <sz val="9"/>
      <color theme="1"/>
      <name val="Arial"/>
      <family val="2"/>
    </font>
    <font>
      <sz val="9"/>
      <color rgb="FF000000"/>
      <name val="Arial"/>
      <family val="2"/>
    </font>
    <font>
      <sz val="9"/>
      <name val="Arial"/>
      <family val="2"/>
    </font>
    <font>
      <b/>
      <sz val="9"/>
      <color indexed="81"/>
      <name val="Tahoma"/>
      <family val="2"/>
    </font>
    <font>
      <sz val="9"/>
      <color indexed="81"/>
      <name val="Tahoma"/>
      <family val="2"/>
    </font>
    <font>
      <sz val="11"/>
      <color rgb="FF7030A0"/>
      <name val="Arial"/>
      <family val="2"/>
    </font>
    <font>
      <sz val="10"/>
      <color rgb="FF7030A0"/>
      <name val="Arial"/>
      <family val="2"/>
    </font>
    <font>
      <sz val="11"/>
      <color theme="1"/>
      <name val="Arial"/>
      <family val="2"/>
    </font>
    <font>
      <b/>
      <sz val="10"/>
      <color theme="1"/>
      <name val="Arial"/>
      <family val="2"/>
    </font>
    <font>
      <sz val="11"/>
      <color rgb="FFC00000"/>
      <name val="Arial"/>
      <family val="2"/>
    </font>
    <font>
      <strike/>
      <sz val="10"/>
      <name val="Arial"/>
      <family val="2"/>
    </font>
    <font>
      <strike/>
      <sz val="11"/>
      <color rgb="FF7030A0"/>
      <name val="Arial"/>
      <family val="2"/>
    </font>
    <font>
      <u/>
      <sz val="10"/>
      <name val="Arial"/>
      <family val="2"/>
    </font>
    <font>
      <i/>
      <vertAlign val="subscript"/>
      <sz val="10"/>
      <name val="Arial"/>
      <family val="2"/>
    </font>
    <font>
      <b/>
      <sz val="10"/>
      <color rgb="FF0069AA"/>
      <name val="Gill Sans MT"/>
      <family val="2"/>
    </font>
    <font>
      <b/>
      <sz val="18"/>
      <color rgb="FF0069AA"/>
      <name val="Gill Sans MT"/>
      <family val="2"/>
    </font>
    <font>
      <b/>
      <sz val="12"/>
      <color rgb="FF0069AA"/>
      <name val="Gill Sans MT"/>
      <family val="2"/>
    </font>
    <font>
      <b/>
      <vertAlign val="subscript"/>
      <sz val="10"/>
      <color theme="1"/>
      <name val="Arial"/>
      <family val="2"/>
    </font>
    <font>
      <vertAlign val="subscript"/>
      <sz val="9"/>
      <color rgb="FF000000"/>
      <name val="Arial"/>
      <family val="2"/>
    </font>
    <font>
      <b/>
      <sz val="11"/>
      <color theme="1"/>
      <name val="Calibri"/>
      <family val="2"/>
      <scheme val="minor"/>
    </font>
    <font>
      <b/>
      <sz val="11"/>
      <color theme="1"/>
      <name val="Arial"/>
      <family val="2"/>
    </font>
    <font>
      <u/>
      <sz val="11"/>
      <name val="Arial"/>
      <family val="2"/>
    </font>
    <font>
      <sz val="11"/>
      <color rgb="FFFF0000"/>
      <name val="Arial"/>
      <family val="2"/>
    </font>
    <font>
      <b/>
      <u/>
      <sz val="12"/>
      <name val="Arial"/>
      <family val="2"/>
    </font>
    <font>
      <sz val="11"/>
      <color indexed="12"/>
      <name val="Arial"/>
      <family val="2"/>
    </font>
    <font>
      <b/>
      <sz val="12"/>
      <color rgb="FF0070C0"/>
      <name val="Arial"/>
      <family val="2"/>
    </font>
    <font>
      <b/>
      <sz val="16"/>
      <color rgb="FF0069AA"/>
      <name val="Gill Sans MT"/>
      <family val="2"/>
    </font>
    <font>
      <sz val="10"/>
      <color rgb="FFFF0000"/>
      <name val="Arial"/>
      <family val="2"/>
    </font>
    <font>
      <b/>
      <sz val="14"/>
      <color rgb="FF375462"/>
      <name val="Arial"/>
      <family val="2"/>
    </font>
    <font>
      <b/>
      <u/>
      <sz val="10"/>
      <name val="Arial"/>
      <family val="2"/>
    </font>
    <font>
      <b/>
      <sz val="14"/>
      <color rgb="FF0069AA"/>
      <name val="Gill Sans MT"/>
      <family val="2"/>
    </font>
    <font>
      <b/>
      <sz val="16"/>
      <name val="Arial"/>
      <family val="2"/>
    </font>
    <font>
      <b/>
      <u/>
      <sz val="12"/>
      <color rgb="FF0069AA"/>
      <name val="Gill Sans MT"/>
      <family val="2"/>
    </font>
    <font>
      <sz val="8"/>
      <color theme="1"/>
      <name val="Arial"/>
      <family val="2"/>
    </font>
    <font>
      <b/>
      <sz val="11"/>
      <color rgb="FF008000"/>
      <name val="Arial"/>
      <family val="2"/>
    </font>
    <font>
      <b/>
      <sz val="10"/>
      <color rgb="FF008000"/>
      <name val="Arial"/>
      <family val="2"/>
    </font>
    <font>
      <b/>
      <sz val="14"/>
      <color rgb="FF008000"/>
      <name val="Arial"/>
      <family val="2"/>
    </font>
    <font>
      <b/>
      <sz val="11"/>
      <color rgb="FFFF0000"/>
      <name val="Arial"/>
      <family val="2"/>
    </font>
  </fonts>
  <fills count="27">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0" tint="-0.2499465926084170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00B0F0"/>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FFCC"/>
        <bgColor indexed="64"/>
      </patternFill>
    </fill>
    <fill>
      <patternFill patternType="solid">
        <fgColor rgb="FFFFFF66"/>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FF0000"/>
        <bgColor indexed="64"/>
      </patternFill>
    </fill>
    <fill>
      <patternFill patternType="solid">
        <fgColor theme="7" tint="0.59999389629810485"/>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medium">
        <color indexed="64"/>
      </right>
      <top style="medium">
        <color indexed="64"/>
      </top>
      <bottom/>
      <diagonal/>
    </border>
    <border>
      <left style="medium">
        <color indexed="64"/>
      </left>
      <right style="thin">
        <color theme="0" tint="-0.14996795556505021"/>
      </right>
      <top style="thin">
        <color theme="0" tint="-0.14996795556505021"/>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double">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top/>
      <bottom style="thin">
        <color theme="0" tint="-0.14996795556505021"/>
      </bottom>
      <diagonal/>
    </border>
    <border>
      <left style="double">
        <color indexed="64"/>
      </left>
      <right/>
      <top style="thin">
        <color indexed="64"/>
      </top>
      <bottom style="thin">
        <color indexed="64"/>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medium">
        <color indexed="64"/>
      </left>
      <right style="medium">
        <color indexed="64"/>
      </right>
      <top style="medium">
        <color indexed="64"/>
      </top>
      <bottom style="medium">
        <color indexed="64"/>
      </bottom>
      <diagonal/>
    </border>
    <border>
      <left style="thin">
        <color theme="0" tint="-0.14996795556505021"/>
      </left>
      <right/>
      <top style="thin">
        <color theme="0" tint="-0.14996795556505021"/>
      </top>
      <bottom style="thin">
        <color theme="0" tint="-0.14996795556505021"/>
      </bottom>
      <diagonal/>
    </border>
    <border>
      <left style="medium">
        <color indexed="64"/>
      </left>
      <right style="medium">
        <color indexed="64"/>
      </right>
      <top style="medium">
        <color indexed="64"/>
      </top>
      <bottom style="thin">
        <color theme="0" tint="-0.14996795556505021"/>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s>
  <cellStyleXfs count="6">
    <xf numFmtId="0" fontId="0" fillId="0" borderId="0"/>
    <xf numFmtId="166" fontId="2" fillId="0" borderId="0" applyFont="0" applyFill="0" applyBorder="0" applyAlignment="0" applyProtection="0"/>
    <xf numFmtId="0" fontId="3" fillId="0" borderId="0" applyNumberFormat="0" applyFill="0" applyBorder="0" applyAlignment="0" applyProtection="0">
      <alignment vertical="top"/>
      <protection locked="0"/>
    </xf>
    <xf numFmtId="9" fontId="2" fillId="0" borderId="0" applyFont="0" applyFill="0" applyBorder="0" applyAlignment="0" applyProtection="0"/>
    <xf numFmtId="0" fontId="23" fillId="0" borderId="0"/>
    <xf numFmtId="164" fontId="23" fillId="0" borderId="0" applyFont="0" applyFill="0" applyBorder="0" applyAlignment="0" applyProtection="0"/>
  </cellStyleXfs>
  <cellXfs count="1201">
    <xf numFmtId="0" fontId="0" fillId="0" borderId="0" xfId="0"/>
    <xf numFmtId="0" fontId="8" fillId="2" borderId="0" xfId="0" applyFont="1" applyFill="1"/>
    <xf numFmtId="0" fontId="0" fillId="2" borderId="0" xfId="0" applyFill="1"/>
    <xf numFmtId="0" fontId="8" fillId="2" borderId="0" xfId="0" applyFont="1" applyFill="1" applyBorder="1" applyAlignment="1">
      <alignment horizontal="center"/>
    </xf>
    <xf numFmtId="0" fontId="9" fillId="2" borderId="0" xfId="0" applyFont="1" applyFill="1" applyBorder="1" applyAlignment="1">
      <alignment horizontal="center"/>
    </xf>
    <xf numFmtId="4" fontId="9" fillId="2" borderId="0" xfId="0" applyNumberFormat="1" applyFont="1" applyFill="1" applyBorder="1" applyAlignment="1">
      <alignment horizontal="center"/>
    </xf>
    <xf numFmtId="0" fontId="8" fillId="2" borderId="0" xfId="0" applyFont="1" applyFill="1" applyBorder="1" applyAlignment="1">
      <alignment horizontal="left"/>
    </xf>
    <xf numFmtId="0" fontId="8" fillId="2" borderId="0" xfId="0" applyFont="1" applyFill="1" applyBorder="1"/>
    <xf numFmtId="0" fontId="8" fillId="2" borderId="0" xfId="0" applyFont="1" applyFill="1" applyBorder="1" applyAlignment="1">
      <alignment horizontal="right"/>
    </xf>
    <xf numFmtId="0" fontId="8" fillId="2" borderId="0" xfId="0" applyFont="1" applyFill="1" applyBorder="1" applyAlignment="1"/>
    <xf numFmtId="9" fontId="9" fillId="2" borderId="0" xfId="3" applyFont="1" applyFill="1" applyBorder="1" applyAlignment="1">
      <alignment horizontal="center"/>
    </xf>
    <xf numFmtId="0" fontId="7" fillId="0" borderId="0" xfId="0" applyFont="1"/>
    <xf numFmtId="0" fontId="6" fillId="2" borderId="0" xfId="0" applyFont="1" applyFill="1" applyBorder="1" applyAlignment="1">
      <alignment horizontal="left"/>
    </xf>
    <xf numFmtId="0" fontId="17" fillId="2" borderId="0" xfId="0" applyFont="1" applyFill="1" applyBorder="1"/>
    <xf numFmtId="0" fontId="0" fillId="0" borderId="0" xfId="0" applyProtection="1">
      <protection hidden="1"/>
    </xf>
    <xf numFmtId="0" fontId="4" fillId="0" borderId="0" xfId="0" applyFont="1" applyAlignment="1" applyProtection="1">
      <protection hidden="1"/>
    </xf>
    <xf numFmtId="0" fontId="0" fillId="0" borderId="0" xfId="0" applyFill="1" applyProtection="1">
      <protection hidden="1"/>
    </xf>
    <xf numFmtId="171" fontId="0" fillId="0" borderId="0" xfId="0" applyNumberFormat="1" applyProtection="1">
      <protection hidden="1"/>
    </xf>
    <xf numFmtId="0" fontId="15" fillId="0" borderId="0" xfId="0" applyFont="1" applyProtection="1">
      <protection hidden="1"/>
    </xf>
    <xf numFmtId="2" fontId="0" fillId="0" borderId="0" xfId="0" applyNumberFormat="1" applyProtection="1">
      <protection hidden="1"/>
    </xf>
    <xf numFmtId="0" fontId="13" fillId="0" borderId="0" xfId="2" applyFont="1" applyAlignment="1" applyProtection="1">
      <protection locked="0" hidden="1"/>
    </xf>
    <xf numFmtId="9" fontId="0" fillId="0" borderId="0" xfId="3" applyFont="1" applyBorder="1" applyProtection="1">
      <protection hidden="1"/>
    </xf>
    <xf numFmtId="0" fontId="6" fillId="2" borderId="0" xfId="0" applyFont="1" applyFill="1" applyBorder="1"/>
    <xf numFmtId="0" fontId="6" fillId="2" borderId="0" xfId="0" applyFont="1" applyFill="1" applyBorder="1" applyAlignment="1">
      <alignment horizontal="center"/>
    </xf>
    <xf numFmtId="0" fontId="6" fillId="2" borderId="1" xfId="0" applyFont="1" applyFill="1" applyBorder="1" applyAlignment="1">
      <alignment horizontal="center"/>
    </xf>
    <xf numFmtId="9" fontId="9" fillId="3" borderId="1" xfId="3" applyFont="1" applyFill="1" applyBorder="1" applyAlignment="1" applyProtection="1">
      <alignment horizontal="center"/>
      <protection locked="0"/>
    </xf>
    <xf numFmtId="9" fontId="8" fillId="2" borderId="1" xfId="3" applyFont="1" applyFill="1" applyBorder="1" applyAlignment="1">
      <alignment horizontal="center" wrapText="1"/>
    </xf>
    <xf numFmtId="3" fontId="9" fillId="3" borderId="1" xfId="3" applyNumberFormat="1" applyFont="1" applyFill="1" applyBorder="1" applyAlignment="1" applyProtection="1">
      <alignment horizontal="center"/>
      <protection locked="0"/>
    </xf>
    <xf numFmtId="0" fontId="20" fillId="2" borderId="0" xfId="0" applyFont="1" applyFill="1" applyBorder="1"/>
    <xf numFmtId="0" fontId="0" fillId="0" borderId="0" xfId="0" applyAlignment="1" applyProtection="1">
      <alignment horizontal="center" vertical="center" wrapText="1"/>
      <protection hidden="1"/>
    </xf>
    <xf numFmtId="0" fontId="0" fillId="0" borderId="0" xfId="0" applyAlignment="1" applyProtection="1">
      <alignment horizontal="center"/>
      <protection hidden="1"/>
    </xf>
    <xf numFmtId="0" fontId="0" fillId="0" borderId="0" xfId="0" applyAlignment="1" applyProtection="1">
      <alignment horizontal="center" vertical="center"/>
      <protection hidden="1"/>
    </xf>
    <xf numFmtId="0" fontId="0" fillId="0" borderId="0" xfId="0" applyFill="1" applyAlignment="1" applyProtection="1">
      <alignment horizontal="center"/>
      <protection hidden="1"/>
    </xf>
    <xf numFmtId="10" fontId="0" fillId="0" borderId="0" xfId="0" applyNumberFormat="1" applyProtection="1">
      <protection hidden="1"/>
    </xf>
    <xf numFmtId="0" fontId="0" fillId="0" borderId="0" xfId="0" applyFill="1" applyBorder="1" applyProtection="1">
      <protection hidden="1"/>
    </xf>
    <xf numFmtId="0" fontId="0" fillId="0" borderId="0" xfId="0" applyBorder="1" applyProtection="1">
      <protection hidden="1"/>
    </xf>
    <xf numFmtId="10" fontId="0" fillId="0" borderId="0" xfId="0" applyNumberFormat="1" applyBorder="1" applyProtection="1">
      <protection hidden="1"/>
    </xf>
    <xf numFmtId="0" fontId="26" fillId="0" borderId="0" xfId="4" applyFont="1"/>
    <xf numFmtId="0" fontId="26" fillId="0" borderId="0" xfId="4" applyFont="1" applyAlignment="1">
      <alignment horizontal="right"/>
    </xf>
    <xf numFmtId="0" fontId="26" fillId="0" borderId="0" xfId="4" applyFont="1" applyAlignment="1"/>
    <xf numFmtId="0" fontId="31" fillId="2" borderId="0" xfId="0" applyFont="1" applyFill="1" applyBorder="1"/>
    <xf numFmtId="0" fontId="32" fillId="0" borderId="0" xfId="0" applyFont="1" applyProtection="1">
      <protection hidden="1"/>
    </xf>
    <xf numFmtId="4" fontId="33" fillId="2" borderId="0" xfId="0" applyNumberFormat="1" applyFont="1" applyFill="1" applyBorder="1" applyAlignment="1">
      <alignment horizontal="left"/>
    </xf>
    <xf numFmtId="4" fontId="33" fillId="2" borderId="0" xfId="0" applyNumberFormat="1" applyFont="1" applyFill="1" applyBorder="1" applyAlignment="1">
      <alignment horizontal="right"/>
    </xf>
    <xf numFmtId="9" fontId="9" fillId="4" borderId="0" xfId="3" applyFont="1" applyFill="1" applyBorder="1" applyAlignment="1" applyProtection="1">
      <alignment horizontal="center"/>
      <protection locked="0"/>
    </xf>
    <xf numFmtId="0" fontId="8" fillId="4" borderId="1" xfId="0" applyFont="1" applyFill="1" applyBorder="1" applyAlignment="1">
      <alignment horizontal="center"/>
    </xf>
    <xf numFmtId="3" fontId="9" fillId="4" borderId="0" xfId="1" applyNumberFormat="1" applyFont="1" applyFill="1" applyBorder="1" applyAlignment="1" applyProtection="1">
      <alignment horizontal="center"/>
      <protection locked="0"/>
    </xf>
    <xf numFmtId="0" fontId="0" fillId="0" borderId="21" xfId="0" applyBorder="1"/>
    <xf numFmtId="0" fontId="0" fillId="0" borderId="21" xfId="0" applyBorder="1" applyAlignment="1">
      <alignment horizontal="center"/>
    </xf>
    <xf numFmtId="164" fontId="0" fillId="0" borderId="21" xfId="5" applyFont="1" applyBorder="1"/>
    <xf numFmtId="164" fontId="0" fillId="0" borderId="21" xfId="5" applyFont="1" applyBorder="1" applyAlignment="1">
      <alignment horizontal="right"/>
    </xf>
    <xf numFmtId="0" fontId="0" fillId="0" borderId="21" xfId="0" applyFill="1" applyBorder="1"/>
    <xf numFmtId="0" fontId="32" fillId="0" borderId="0" xfId="0" applyFont="1"/>
    <xf numFmtId="0" fontId="0" fillId="4" borderId="0" xfId="0" applyFill="1" applyBorder="1"/>
    <xf numFmtId="0" fontId="0" fillId="4" borderId="1" xfId="0" applyFill="1" applyBorder="1"/>
    <xf numFmtId="171" fontId="32" fillId="0" borderId="0" xfId="0" applyNumberFormat="1" applyFont="1" applyProtection="1">
      <protection hidden="1"/>
    </xf>
    <xf numFmtId="0" fontId="35" fillId="2" borderId="0" xfId="0" applyFont="1" applyFill="1" applyBorder="1"/>
    <xf numFmtId="0" fontId="23" fillId="0" borderId="0" xfId="4"/>
    <xf numFmtId="164" fontId="23" fillId="0" borderId="21" xfId="5" applyFont="1" applyBorder="1"/>
    <xf numFmtId="0" fontId="16" fillId="0" borderId="4" xfId="0" applyFont="1" applyBorder="1" applyAlignment="1" applyProtection="1">
      <alignment horizontal="center" wrapText="1"/>
      <protection locked="0"/>
    </xf>
    <xf numFmtId="0" fontId="7" fillId="2" borderId="0" xfId="0" applyFont="1" applyFill="1"/>
    <xf numFmtId="0" fontId="0" fillId="2" borderId="0" xfId="0" applyFont="1" applyFill="1"/>
    <xf numFmtId="189" fontId="0" fillId="0" borderId="0" xfId="0" applyNumberFormat="1" applyFont="1" applyAlignment="1" applyProtection="1">
      <alignment horizontal="left"/>
      <protection hidden="1"/>
    </xf>
    <xf numFmtId="0" fontId="0" fillId="0" borderId="0" xfId="0" applyAlignment="1">
      <alignment vertical="center" wrapText="1"/>
    </xf>
    <xf numFmtId="0" fontId="0" fillId="0" borderId="0" xfId="0" applyAlignment="1">
      <alignment horizontal="right"/>
    </xf>
    <xf numFmtId="17" fontId="0" fillId="0" borderId="0" xfId="0" applyNumberFormat="1"/>
    <xf numFmtId="0" fontId="23" fillId="0" borderId="0" xfId="4"/>
    <xf numFmtId="0" fontId="34" fillId="5" borderId="21" xfId="4" applyFont="1" applyFill="1" applyBorder="1"/>
    <xf numFmtId="0" fontId="23" fillId="0" borderId="21" xfId="4" applyBorder="1"/>
    <xf numFmtId="0" fontId="34" fillId="5" borderId="21" xfId="4" applyFont="1" applyFill="1" applyBorder="1" applyAlignment="1">
      <alignment horizontal="right"/>
    </xf>
    <xf numFmtId="0" fontId="23" fillId="0" borderId="21" xfId="4" applyBorder="1" applyAlignment="1">
      <alignment horizontal="right"/>
    </xf>
    <xf numFmtId="0" fontId="34" fillId="5" borderId="21" xfId="4" applyFont="1" applyFill="1" applyBorder="1" applyAlignment="1">
      <alignment horizontal="center"/>
    </xf>
    <xf numFmtId="0" fontId="23" fillId="0" borderId="21" xfId="4" applyBorder="1" applyAlignment="1">
      <alignment horizontal="center"/>
    </xf>
    <xf numFmtId="0" fontId="34" fillId="6" borderId="21" xfId="4" applyFont="1" applyFill="1" applyBorder="1"/>
    <xf numFmtId="0" fontId="34" fillId="7" borderId="21" xfId="4" applyFont="1" applyFill="1" applyBorder="1"/>
    <xf numFmtId="0" fontId="23" fillId="7" borderId="21" xfId="4" applyFill="1" applyBorder="1"/>
    <xf numFmtId="0" fontId="34" fillId="9" borderId="21" xfId="4" applyFont="1" applyFill="1" applyBorder="1"/>
    <xf numFmtId="0" fontId="23" fillId="9" borderId="21" xfId="4" applyFill="1" applyBorder="1"/>
    <xf numFmtId="0" fontId="24" fillId="0" borderId="1" xfId="4" applyFont="1" applyBorder="1" applyAlignment="1">
      <alignment vertical="top" wrapText="1"/>
    </xf>
    <xf numFmtId="0" fontId="24" fillId="0" borderId="1" xfId="4" applyFont="1" applyBorder="1" applyAlignment="1">
      <alignment horizontal="right" vertical="top" wrapText="1"/>
    </xf>
    <xf numFmtId="0" fontId="25" fillId="0" borderId="1" xfId="4" applyFont="1" applyBorder="1" applyAlignment="1">
      <alignment vertical="top" wrapText="1"/>
    </xf>
    <xf numFmtId="0" fontId="7" fillId="3" borderId="1" xfId="0" applyFont="1" applyFill="1" applyBorder="1" applyAlignment="1">
      <alignment horizontal="left"/>
    </xf>
    <xf numFmtId="0" fontId="27" fillId="0" borderId="1" xfId="4" applyFont="1" applyBorder="1" applyAlignment="1">
      <alignment wrapText="1"/>
    </xf>
    <xf numFmtId="0" fontId="25" fillId="3" borderId="1" xfId="0" applyFont="1" applyFill="1" applyBorder="1" applyAlignment="1">
      <alignment horizontal="left"/>
    </xf>
    <xf numFmtId="3" fontId="9" fillId="0" borderId="1" xfId="0" applyNumberFormat="1" applyFont="1" applyFill="1" applyBorder="1" applyAlignment="1" applyProtection="1">
      <alignment horizontal="center"/>
      <protection locked="0"/>
    </xf>
    <xf numFmtId="0" fontId="23" fillId="0" borderId="0" xfId="4"/>
    <xf numFmtId="0" fontId="23" fillId="0" borderId="21" xfId="4" applyBorder="1"/>
    <xf numFmtId="0" fontId="23" fillId="0" borderId="21" xfId="4" applyBorder="1" applyAlignment="1">
      <alignment horizontal="right"/>
    </xf>
    <xf numFmtId="0" fontId="23" fillId="0" borderId="21" xfId="4" applyBorder="1" applyAlignment="1">
      <alignment horizontal="center"/>
    </xf>
    <xf numFmtId="0" fontId="34" fillId="9" borderId="21" xfId="4" applyFont="1" applyFill="1" applyBorder="1"/>
    <xf numFmtId="0" fontId="23" fillId="9" borderId="21" xfId="4" applyFill="1" applyBorder="1"/>
    <xf numFmtId="0" fontId="23" fillId="0" borderId="0" xfId="4" applyBorder="1"/>
    <xf numFmtId="0" fontId="3" fillId="0" borderId="21" xfId="2" applyBorder="1" applyAlignment="1" applyProtection="1"/>
    <xf numFmtId="3" fontId="9" fillId="3" borderId="1" xfId="0" applyNumberFormat="1" applyFont="1" applyFill="1" applyBorder="1" applyAlignment="1" applyProtection="1">
      <alignment horizontal="right" indent="2"/>
      <protection locked="0"/>
    </xf>
    <xf numFmtId="4" fontId="6" fillId="2" borderId="0" xfId="0" applyNumberFormat="1" applyFont="1" applyFill="1" applyBorder="1" applyAlignment="1">
      <alignment horizontal="left"/>
    </xf>
    <xf numFmtId="0" fontId="8" fillId="2" borderId="0" xfId="0" applyFont="1" applyFill="1" applyAlignment="1">
      <alignment horizontal="right"/>
    </xf>
    <xf numFmtId="0" fontId="0" fillId="0" borderId="0" xfId="0" applyFont="1" applyProtection="1">
      <protection hidden="1"/>
    </xf>
    <xf numFmtId="0" fontId="0" fillId="0" borderId="0" xfId="0" applyAlignment="1">
      <alignment horizontal="left"/>
    </xf>
    <xf numFmtId="0" fontId="40" fillId="0" borderId="0" xfId="0" applyFont="1"/>
    <xf numFmtId="0" fontId="8" fillId="8" borderId="13" xfId="0" applyFont="1" applyFill="1" applyBorder="1"/>
    <xf numFmtId="0" fontId="3" fillId="0" borderId="0" xfId="2" applyAlignment="1" applyProtection="1">
      <alignment horizontal="right" vertical="center" wrapText="1"/>
      <protection locked="0"/>
    </xf>
    <xf numFmtId="1" fontId="27" fillId="0" borderId="1" xfId="4" applyNumberFormat="1" applyFont="1" applyBorder="1" applyAlignment="1">
      <alignment horizontal="right" wrapText="1"/>
    </xf>
    <xf numFmtId="1" fontId="28" fillId="0" borderId="1" xfId="4" applyNumberFormat="1" applyFont="1" applyFill="1" applyBorder="1" applyAlignment="1" applyProtection="1">
      <alignment horizontal="right"/>
    </xf>
    <xf numFmtId="1" fontId="27" fillId="0" borderId="1" xfId="4" applyNumberFormat="1" applyFont="1" applyBorder="1" applyAlignment="1">
      <alignment wrapText="1"/>
    </xf>
    <xf numFmtId="1" fontId="27" fillId="0" borderId="1" xfId="4" applyNumberFormat="1" applyFont="1" applyBorder="1" applyAlignment="1">
      <alignment vertical="top" wrapText="1"/>
    </xf>
    <xf numFmtId="177" fontId="7" fillId="0" borderId="1" xfId="1" applyNumberFormat="1" applyFont="1" applyBorder="1" applyAlignment="1" applyProtection="1">
      <alignment vertical="center"/>
      <protection hidden="1"/>
    </xf>
    <xf numFmtId="1" fontId="28" fillId="5" borderId="1" xfId="4" applyNumberFormat="1" applyFont="1" applyFill="1" applyBorder="1" applyAlignment="1" applyProtection="1">
      <alignment horizontal="right"/>
    </xf>
    <xf numFmtId="0" fontId="34" fillId="5" borderId="21" xfId="0" applyFont="1" applyFill="1" applyBorder="1" applyAlignment="1">
      <alignment wrapText="1"/>
    </xf>
    <xf numFmtId="0" fontId="34" fillId="5" borderId="21" xfId="0" applyFont="1" applyFill="1" applyBorder="1" applyAlignment="1">
      <alignment horizontal="center" wrapText="1"/>
    </xf>
    <xf numFmtId="164" fontId="34" fillId="5" borderId="21" xfId="5" applyFont="1" applyFill="1" applyBorder="1" applyAlignment="1">
      <alignment horizontal="right" wrapText="1"/>
    </xf>
    <xf numFmtId="164" fontId="34" fillId="6" borderId="21" xfId="5" applyFont="1" applyFill="1" applyBorder="1" applyAlignment="1">
      <alignment horizontal="right" wrapText="1"/>
    </xf>
    <xf numFmtId="164" fontId="34" fillId="7" borderId="21" xfId="5" applyFont="1" applyFill="1" applyBorder="1" applyAlignment="1">
      <alignment horizontal="right" wrapText="1"/>
    </xf>
    <xf numFmtId="0" fontId="0" fillId="0" borderId="0" xfId="0" applyAlignment="1">
      <alignment wrapText="1"/>
    </xf>
    <xf numFmtId="196" fontId="0" fillId="0" borderId="21" xfId="5" applyNumberFormat="1" applyFont="1" applyBorder="1" applyAlignment="1">
      <alignment horizontal="right"/>
    </xf>
    <xf numFmtId="196" fontId="0" fillId="0" borderId="0" xfId="0" applyNumberFormat="1"/>
    <xf numFmtId="197" fontId="34" fillId="6" borderId="21" xfId="5" applyNumberFormat="1" applyFont="1" applyFill="1" applyBorder="1" applyAlignment="1">
      <alignment horizontal="right" wrapText="1"/>
    </xf>
    <xf numFmtId="197" fontId="0" fillId="0" borderId="21" xfId="5" applyNumberFormat="1" applyFont="1" applyBorder="1" applyAlignment="1">
      <alignment horizontal="right"/>
    </xf>
    <xf numFmtId="197" fontId="0" fillId="0" borderId="0" xfId="0" applyNumberFormat="1"/>
    <xf numFmtId="196" fontId="34" fillId="7" borderId="21" xfId="5" applyNumberFormat="1" applyFont="1" applyFill="1" applyBorder="1" applyAlignment="1">
      <alignment horizontal="right" wrapText="1"/>
    </xf>
    <xf numFmtId="196" fontId="23" fillId="0" borderId="21" xfId="5" applyNumberFormat="1" applyFont="1" applyBorder="1"/>
    <xf numFmtId="196" fontId="23" fillId="0" borderId="0" xfId="4" applyNumberFormat="1"/>
    <xf numFmtId="197" fontId="34" fillId="7" borderId="21" xfId="5" applyNumberFormat="1" applyFont="1" applyFill="1" applyBorder="1" applyAlignment="1">
      <alignment horizontal="right" wrapText="1"/>
    </xf>
    <xf numFmtId="197" fontId="23" fillId="0" borderId="21" xfId="5" applyNumberFormat="1" applyFont="1" applyBorder="1"/>
    <xf numFmtId="197" fontId="23" fillId="0" borderId="0" xfId="4" applyNumberFormat="1"/>
    <xf numFmtId="196" fontId="34" fillId="5" borderId="21" xfId="5" applyNumberFormat="1" applyFont="1" applyFill="1" applyBorder="1" applyAlignment="1">
      <alignment horizontal="right" wrapText="1"/>
    </xf>
    <xf numFmtId="196" fontId="0" fillId="0" borderId="21" xfId="5" applyNumberFormat="1" applyFont="1" applyBorder="1"/>
    <xf numFmtId="0" fontId="34" fillId="5" borderId="21" xfId="4" applyFont="1" applyFill="1" applyBorder="1" applyAlignment="1">
      <alignment horizontal="right" wrapText="1"/>
    </xf>
    <xf numFmtId="3" fontId="9" fillId="2" borderId="30" xfId="0" applyNumberFormat="1" applyFont="1" applyFill="1" applyBorder="1" applyAlignment="1">
      <alignment horizontal="right" indent="2"/>
    </xf>
    <xf numFmtId="3" fontId="9" fillId="2" borderId="1" xfId="0" applyNumberFormat="1" applyFont="1" applyFill="1" applyBorder="1" applyAlignment="1">
      <alignment horizontal="right" indent="2"/>
    </xf>
    <xf numFmtId="0" fontId="9" fillId="3" borderId="1" xfId="0" applyFont="1" applyFill="1" applyBorder="1" applyAlignment="1" applyProtection="1">
      <alignment horizontal="left"/>
      <protection locked="0"/>
    </xf>
    <xf numFmtId="3" fontId="9" fillId="3" borderId="1" xfId="0" applyNumberFormat="1" applyFont="1" applyFill="1" applyBorder="1" applyAlignment="1" applyProtection="1">
      <alignment horizontal="right" indent="1"/>
      <protection locked="0"/>
    </xf>
    <xf numFmtId="0" fontId="8" fillId="2" borderId="0" xfId="0" applyFont="1" applyFill="1" applyAlignment="1">
      <alignment horizontal="right" indent="1"/>
    </xf>
    <xf numFmtId="9" fontId="9" fillId="3" borderId="1" xfId="3" applyFont="1" applyFill="1" applyBorder="1" applyAlignment="1" applyProtection="1">
      <alignment horizontal="right" indent="1"/>
      <protection locked="0"/>
    </xf>
    <xf numFmtId="0" fontId="6" fillId="2" borderId="0" xfId="0" applyFont="1" applyFill="1" applyBorder="1" applyAlignment="1">
      <alignment horizontal="right" indent="1"/>
    </xf>
    <xf numFmtId="0" fontId="9" fillId="3" borderId="1" xfId="0" applyFont="1" applyFill="1" applyBorder="1" applyAlignment="1" applyProtection="1">
      <alignment horizontal="right" indent="1"/>
      <protection locked="0"/>
    </xf>
    <xf numFmtId="0" fontId="8" fillId="2" borderId="0" xfId="0" quotePrefix="1" applyFont="1" applyFill="1" applyBorder="1"/>
    <xf numFmtId="0" fontId="8" fillId="2" borderId="0" xfId="0" applyFont="1" applyFill="1" applyBorder="1" applyAlignment="1">
      <alignment horizontal="right" indent="1"/>
    </xf>
    <xf numFmtId="0" fontId="8" fillId="2" borderId="0" xfId="0" applyFont="1" applyFill="1" applyProtection="1"/>
    <xf numFmtId="0" fontId="8" fillId="2" borderId="0" xfId="0" applyFont="1" applyFill="1" applyBorder="1" applyAlignment="1" applyProtection="1">
      <alignment horizontal="left"/>
    </xf>
    <xf numFmtId="4" fontId="9" fillId="2" borderId="0" xfId="0" applyNumberFormat="1" applyFont="1" applyFill="1" applyBorder="1" applyAlignment="1" applyProtection="1">
      <alignment horizontal="center"/>
    </xf>
    <xf numFmtId="0" fontId="8" fillId="2" borderId="0" xfId="0" applyFont="1" applyFill="1" applyBorder="1" applyProtection="1"/>
    <xf numFmtId="0" fontId="6" fillId="2" borderId="0" xfId="0" applyFont="1" applyFill="1" applyBorder="1" applyProtection="1"/>
    <xf numFmtId="4" fontId="9" fillId="2" borderId="0" xfId="0" applyNumberFormat="1" applyFont="1" applyFill="1" applyBorder="1" applyAlignment="1" applyProtection="1">
      <alignment horizontal="left"/>
    </xf>
    <xf numFmtId="0" fontId="31" fillId="2" borderId="0" xfId="0" applyFont="1" applyFill="1" applyBorder="1" applyProtection="1"/>
    <xf numFmtId="0" fontId="8" fillId="2" borderId="0" xfId="0" applyFont="1" applyFill="1" applyAlignment="1" applyProtection="1">
      <alignment horizontal="right"/>
    </xf>
    <xf numFmtId="0" fontId="0" fillId="4" borderId="20" xfId="0" applyFill="1" applyBorder="1"/>
    <xf numFmtId="0" fontId="8" fillId="2" borderId="3" xfId="0" applyFont="1" applyFill="1" applyBorder="1"/>
    <xf numFmtId="0" fontId="0" fillId="15" borderId="0" xfId="0" applyFill="1"/>
    <xf numFmtId="0" fontId="5" fillId="4" borderId="1" xfId="0" applyFont="1" applyFill="1" applyBorder="1"/>
    <xf numFmtId="194" fontId="0" fillId="0" borderId="0" xfId="0" applyNumberFormat="1" applyProtection="1">
      <protection hidden="1"/>
    </xf>
    <xf numFmtId="0" fontId="28" fillId="12" borderId="1" xfId="0" applyFont="1" applyFill="1" applyBorder="1" applyAlignment="1">
      <alignment horizontal="center" vertical="top"/>
    </xf>
    <xf numFmtId="9" fontId="28" fillId="12" borderId="1" xfId="0" applyNumberFormat="1" applyFont="1" applyFill="1" applyBorder="1" applyAlignment="1">
      <alignment horizontal="right" vertical="top" indent="1"/>
    </xf>
    <xf numFmtId="0" fontId="0" fillId="4" borderId="0" xfId="0" applyFill="1"/>
    <xf numFmtId="0" fontId="8" fillId="2" borderId="4" xfId="0" applyFont="1" applyFill="1" applyBorder="1"/>
    <xf numFmtId="0" fontId="8" fillId="2" borderId="17" xfId="0" applyFont="1" applyFill="1" applyBorder="1"/>
    <xf numFmtId="0" fontId="8" fillId="2" borderId="5" xfId="0" applyFont="1" applyFill="1" applyBorder="1"/>
    <xf numFmtId="0" fontId="28" fillId="4" borderId="0" xfId="0" applyFont="1" applyFill="1" applyBorder="1" applyAlignment="1">
      <alignment horizontal="left"/>
    </xf>
    <xf numFmtId="3" fontId="9" fillId="2" borderId="0" xfId="0" applyNumberFormat="1" applyFont="1" applyFill="1" applyBorder="1" applyAlignment="1">
      <alignment horizontal="right" indent="2"/>
    </xf>
    <xf numFmtId="3" fontId="9" fillId="3" borderId="1" xfId="0" applyNumberFormat="1" applyFont="1" applyFill="1" applyBorder="1" applyAlignment="1" applyProtection="1">
      <alignment horizontal="center"/>
      <protection locked="0"/>
    </xf>
    <xf numFmtId="0" fontId="0" fillId="8" borderId="13" xfId="0" applyFill="1" applyBorder="1" applyAlignment="1">
      <alignment horizontal="left" vertical="center"/>
    </xf>
    <xf numFmtId="0" fontId="0" fillId="2" borderId="1" xfId="0" applyFont="1" applyFill="1" applyBorder="1" applyAlignment="1">
      <alignment horizontal="center"/>
    </xf>
    <xf numFmtId="0" fontId="0" fillId="0" borderId="0" xfId="0" applyAlignment="1">
      <alignment horizontal="left" vertical="center"/>
    </xf>
    <xf numFmtId="200" fontId="9" fillId="3" borderId="1" xfId="0" applyNumberFormat="1" applyFont="1" applyFill="1" applyBorder="1" applyAlignment="1" applyProtection="1">
      <alignment horizontal="right"/>
      <protection locked="0"/>
    </xf>
    <xf numFmtId="0" fontId="28" fillId="2" borderId="1" xfId="0" applyFont="1" applyFill="1" applyBorder="1" applyAlignment="1">
      <alignment horizontal="center"/>
    </xf>
    <xf numFmtId="3" fontId="9" fillId="3" borderId="4" xfId="0" applyNumberFormat="1" applyFont="1" applyFill="1" applyBorder="1" applyAlignment="1" applyProtection="1">
      <alignment horizontal="right" indent="2"/>
      <protection locked="0"/>
    </xf>
    <xf numFmtId="3" fontId="9" fillId="3" borderId="30" xfId="0" applyNumberFormat="1" applyFont="1" applyFill="1" applyBorder="1" applyAlignment="1" applyProtection="1">
      <alignment horizontal="right" indent="2"/>
      <protection locked="0"/>
    </xf>
    <xf numFmtId="0" fontId="8" fillId="2" borderId="0" xfId="0" applyFont="1" applyFill="1" applyBorder="1" applyAlignment="1" applyProtection="1">
      <alignment horizontal="center"/>
    </xf>
    <xf numFmtId="0" fontId="9" fillId="2" borderId="0" xfId="0" applyFont="1" applyFill="1" applyBorder="1" applyAlignment="1" applyProtection="1">
      <alignment horizontal="center"/>
    </xf>
    <xf numFmtId="0" fontId="47" fillId="2" borderId="0" xfId="0" applyFont="1" applyFill="1" applyBorder="1" applyAlignment="1">
      <alignment horizontal="left"/>
    </xf>
    <xf numFmtId="0" fontId="8" fillId="16" borderId="1" xfId="0" applyFont="1" applyFill="1" applyBorder="1"/>
    <xf numFmtId="0" fontId="8" fillId="16" borderId="12" xfId="0" applyFont="1" applyFill="1" applyBorder="1"/>
    <xf numFmtId="0" fontId="8" fillId="16" borderId="14" xfId="0" applyFont="1" applyFill="1" applyBorder="1"/>
    <xf numFmtId="0" fontId="8" fillId="16" borderId="11" xfId="0" applyFont="1" applyFill="1" applyBorder="1"/>
    <xf numFmtId="0" fontId="8" fillId="16" borderId="16" xfId="0" applyFont="1" applyFill="1" applyBorder="1"/>
    <xf numFmtId="0" fontId="8" fillId="16" borderId="2" xfId="0" applyFont="1" applyFill="1" applyBorder="1"/>
    <xf numFmtId="0" fontId="8" fillId="16" borderId="3" xfId="0" applyFont="1" applyFill="1" applyBorder="1"/>
    <xf numFmtId="0" fontId="8" fillId="16" borderId="10" xfId="0" applyFont="1" applyFill="1" applyBorder="1"/>
    <xf numFmtId="0" fontId="8" fillId="16" borderId="17" xfId="0" applyFont="1" applyFill="1" applyBorder="1"/>
    <xf numFmtId="0" fontId="8" fillId="16" borderId="5" xfId="0" applyFont="1" applyFill="1" applyBorder="1"/>
    <xf numFmtId="0" fontId="8" fillId="16" borderId="4" xfId="0" applyFont="1" applyFill="1" applyBorder="1"/>
    <xf numFmtId="0" fontId="0" fillId="16" borderId="1" xfId="0" applyFill="1" applyBorder="1"/>
    <xf numFmtId="0" fontId="8" fillId="16" borderId="1" xfId="0" applyFont="1" applyFill="1" applyBorder="1" applyProtection="1"/>
    <xf numFmtId="3" fontId="9" fillId="3" borderId="18" xfId="0" applyNumberFormat="1" applyFont="1" applyFill="1" applyBorder="1" applyAlignment="1" applyProtection="1">
      <alignment horizontal="right" indent="2"/>
      <protection locked="0"/>
    </xf>
    <xf numFmtId="9" fontId="9" fillId="16" borderId="3" xfId="3" applyFont="1" applyFill="1" applyBorder="1" applyAlignment="1" applyProtection="1">
      <alignment horizontal="center"/>
      <protection locked="0"/>
    </xf>
    <xf numFmtId="3" fontId="8" fillId="12" borderId="0" xfId="0" applyNumberFormat="1" applyFont="1" applyFill="1" applyBorder="1" applyAlignment="1" applyProtection="1">
      <alignment horizontal="center"/>
    </xf>
    <xf numFmtId="0" fontId="8" fillId="18" borderId="1" xfId="0" applyFont="1" applyFill="1" applyBorder="1"/>
    <xf numFmtId="0" fontId="8" fillId="18" borderId="1" xfId="0" applyFont="1" applyFill="1" applyBorder="1" applyAlignment="1">
      <alignment horizontal="right"/>
    </xf>
    <xf numFmtId="0" fontId="8" fillId="18" borderId="1" xfId="0" applyFont="1" applyFill="1" applyBorder="1" applyProtection="1">
      <protection locked="0" hidden="1"/>
    </xf>
    <xf numFmtId="0" fontId="0" fillId="0" borderId="0" xfId="0" applyFont="1" applyAlignment="1" applyProtection="1">
      <alignment horizontal="left"/>
      <protection hidden="1"/>
    </xf>
    <xf numFmtId="0" fontId="0" fillId="0" borderId="0" xfId="0" applyFont="1" applyFill="1" applyBorder="1" applyProtection="1">
      <protection locked="0"/>
    </xf>
    <xf numFmtId="0" fontId="0" fillId="0" borderId="1" xfId="0" applyBorder="1" applyAlignment="1" applyProtection="1">
      <alignment horizontal="center" vertical="center"/>
      <protection hidden="1"/>
    </xf>
    <xf numFmtId="4" fontId="6" fillId="12" borderId="0" xfId="0" applyNumberFormat="1" applyFont="1" applyFill="1" applyBorder="1" applyAlignment="1" applyProtection="1">
      <alignment horizontal="left"/>
    </xf>
    <xf numFmtId="171" fontId="0" fillId="4" borderId="1" xfId="0" applyNumberFormat="1" applyFill="1" applyBorder="1" applyAlignment="1" applyProtection="1">
      <alignment horizontal="center" vertical="center"/>
      <protection hidden="1"/>
    </xf>
    <xf numFmtId="0" fontId="4" fillId="0" borderId="4" xfId="0" applyFont="1" applyFill="1" applyBorder="1" applyAlignment="1" applyProtection="1">
      <alignment horizontal="right" vertical="center"/>
      <protection hidden="1"/>
    </xf>
    <xf numFmtId="10" fontId="0" fillId="0" borderId="1" xfId="3" applyNumberFormat="1" applyFont="1" applyBorder="1" applyAlignment="1" applyProtection="1">
      <alignment horizontal="right" vertical="center"/>
      <protection hidden="1"/>
    </xf>
    <xf numFmtId="0" fontId="0" fillId="0" borderId="0" xfId="0" applyBorder="1" applyAlignment="1" applyProtection="1">
      <alignment vertical="center" wrapText="1"/>
      <protection hidden="1"/>
    </xf>
    <xf numFmtId="0" fontId="4" fillId="0" borderId="0" xfId="0" applyFont="1" applyFill="1" applyBorder="1" applyAlignment="1" applyProtection="1">
      <alignment vertical="center"/>
      <protection hidden="1"/>
    </xf>
    <xf numFmtId="0" fontId="8" fillId="16" borderId="20" xfId="0" applyFont="1" applyFill="1" applyBorder="1"/>
    <xf numFmtId="0" fontId="8" fillId="16" borderId="4" xfId="0" applyFont="1" applyFill="1" applyBorder="1" applyProtection="1"/>
    <xf numFmtId="0" fontId="8" fillId="2" borderId="1" xfId="0" applyFont="1" applyFill="1" applyBorder="1" applyAlignment="1">
      <alignment horizontal="right"/>
    </xf>
    <xf numFmtId="3" fontId="8" fillId="4" borderId="1" xfId="3" applyNumberFormat="1" applyFont="1" applyFill="1" applyBorder="1" applyAlignment="1" applyProtection="1">
      <alignment horizontal="right"/>
      <protection locked="0"/>
    </xf>
    <xf numFmtId="194" fontId="9" fillId="0" borderId="1" xfId="3" applyNumberFormat="1" applyFont="1" applyFill="1" applyBorder="1" applyAlignment="1" applyProtection="1">
      <alignment horizontal="center"/>
      <protection locked="0"/>
    </xf>
    <xf numFmtId="1" fontId="9" fillId="0" borderId="1" xfId="3" applyNumberFormat="1" applyFont="1" applyFill="1" applyBorder="1" applyAlignment="1" applyProtection="1">
      <alignment horizontal="center"/>
      <protection locked="0"/>
    </xf>
    <xf numFmtId="0" fontId="0" fillId="4" borderId="0" xfId="0" applyFill="1" applyProtection="1"/>
    <xf numFmtId="0" fontId="8" fillId="4" borderId="0" xfId="0" applyFont="1" applyFill="1" applyBorder="1" applyProtection="1"/>
    <xf numFmtId="0" fontId="45" fillId="4" borderId="0" xfId="0" applyFont="1" applyFill="1" applyProtection="1"/>
    <xf numFmtId="167" fontId="0" fillId="4" borderId="0" xfId="0" applyNumberFormat="1" applyFill="1" applyProtection="1"/>
    <xf numFmtId="0" fontId="0" fillId="4" borderId="0" xfId="0" applyFill="1" applyProtection="1">
      <protection locked="0"/>
    </xf>
    <xf numFmtId="0" fontId="0" fillId="4" borderId="0" xfId="0" applyFill="1" applyAlignment="1" applyProtection="1">
      <alignment horizontal="right"/>
    </xf>
    <xf numFmtId="0" fontId="4" fillId="0" borderId="17" xfId="0" applyFont="1" applyFill="1" applyBorder="1" applyAlignment="1" applyProtection="1">
      <alignment vertical="center"/>
      <protection hidden="1"/>
    </xf>
    <xf numFmtId="177" fontId="0" fillId="0" borderId="0" xfId="1" applyNumberFormat="1" applyFont="1" applyFill="1" applyAlignment="1" applyProtection="1">
      <alignment horizontal="right"/>
      <protection hidden="1"/>
    </xf>
    <xf numFmtId="0" fontId="8" fillId="16" borderId="4" xfId="0" applyFont="1" applyFill="1" applyBorder="1" applyAlignment="1">
      <alignment horizontal="right"/>
    </xf>
    <xf numFmtId="0" fontId="6" fillId="16" borderId="5" xfId="0" applyFont="1" applyFill="1" applyBorder="1" applyAlignment="1">
      <alignment horizontal="left"/>
    </xf>
    <xf numFmtId="4" fontId="33" fillId="16" borderId="2" xfId="0" applyNumberFormat="1" applyFont="1" applyFill="1" applyBorder="1" applyAlignment="1">
      <alignment horizontal="left"/>
    </xf>
    <xf numFmtId="4" fontId="16" fillId="0" borderId="40" xfId="0" applyNumberFormat="1" applyFont="1" applyFill="1" applyBorder="1" applyAlignment="1" applyProtection="1">
      <alignment horizontal="center"/>
      <protection locked="0"/>
    </xf>
    <xf numFmtId="3" fontId="9" fillId="0" borderId="1" xfId="0" applyNumberFormat="1" applyFont="1" applyFill="1" applyBorder="1" applyAlignment="1" applyProtection="1">
      <alignment horizontal="left"/>
      <protection locked="0"/>
    </xf>
    <xf numFmtId="4" fontId="16" fillId="0" borderId="4" xfId="0" applyNumberFormat="1" applyFont="1" applyFill="1" applyBorder="1" applyAlignment="1" applyProtection="1">
      <alignment horizontal="center"/>
      <protection locked="0"/>
    </xf>
    <xf numFmtId="0" fontId="17" fillId="2" borderId="0" xfId="0" applyFont="1" applyFill="1" applyBorder="1" applyAlignment="1">
      <alignment horizontal="left"/>
    </xf>
    <xf numFmtId="0" fontId="17" fillId="2" borderId="0" xfId="0" applyFont="1" applyFill="1" applyBorder="1" applyAlignment="1"/>
    <xf numFmtId="4" fontId="8" fillId="2" borderId="4" xfId="0" applyNumberFormat="1" applyFont="1" applyFill="1" applyBorder="1" applyAlignment="1">
      <alignment horizontal="center"/>
    </xf>
    <xf numFmtId="0" fontId="24" fillId="0" borderId="1" xfId="4" applyFont="1" applyBorder="1" applyAlignment="1">
      <alignment wrapText="1"/>
    </xf>
    <xf numFmtId="38" fontId="4" fillId="0" borderId="14" xfId="0" applyNumberFormat="1" applyFont="1" applyFill="1" applyBorder="1" applyAlignment="1" applyProtection="1">
      <alignment vertical="center"/>
      <protection hidden="1"/>
    </xf>
    <xf numFmtId="0" fontId="4" fillId="0" borderId="14" xfId="0" applyFont="1" applyFill="1" applyBorder="1" applyAlignment="1" applyProtection="1">
      <alignment vertical="center"/>
      <protection hidden="1"/>
    </xf>
    <xf numFmtId="0" fontId="4" fillId="0" borderId="4" xfId="0" applyFont="1" applyFill="1" applyBorder="1" applyAlignment="1" applyProtection="1">
      <alignment vertical="center"/>
      <protection hidden="1"/>
    </xf>
    <xf numFmtId="0" fontId="49" fillId="0" borderId="0" xfId="2" applyFont="1" applyAlignment="1" applyProtection="1">
      <protection locked="0" hidden="1"/>
    </xf>
    <xf numFmtId="0" fontId="0" fillId="0" borderId="0" xfId="0" applyFont="1" applyBorder="1" applyAlignment="1" applyProtection="1">
      <alignment horizontal="right"/>
      <protection hidden="1"/>
    </xf>
    <xf numFmtId="0" fontId="0" fillId="0" borderId="0" xfId="0" applyFont="1" applyBorder="1" applyProtection="1">
      <protection hidden="1"/>
    </xf>
    <xf numFmtId="0" fontId="0" fillId="0" borderId="0" xfId="0" applyBorder="1" applyAlignment="1" applyProtection="1">
      <alignment horizontal="center"/>
      <protection hidden="1"/>
    </xf>
    <xf numFmtId="0" fontId="0" fillId="0" borderId="12" xfId="0" applyFont="1" applyBorder="1" applyAlignment="1" applyProtection="1">
      <alignment horizontal="right"/>
      <protection hidden="1"/>
    </xf>
    <xf numFmtId="0" fontId="0" fillId="0" borderId="15" xfId="0" applyFont="1" applyBorder="1" applyAlignment="1" applyProtection="1">
      <alignment horizontal="right"/>
      <protection hidden="1"/>
    </xf>
    <xf numFmtId="0" fontId="0" fillId="0" borderId="2" xfId="0" applyFont="1" applyBorder="1" applyAlignment="1" applyProtection="1">
      <alignment horizontal="right"/>
      <protection hidden="1"/>
    </xf>
    <xf numFmtId="10" fontId="0" fillId="0" borderId="4" xfId="3" applyNumberFormat="1" applyFont="1" applyBorder="1" applyAlignment="1" applyProtection="1">
      <alignment horizontal="right" vertical="center"/>
      <protection hidden="1"/>
    </xf>
    <xf numFmtId="10" fontId="28" fillId="12" borderId="1" xfId="0" applyNumberFormat="1" applyFont="1" applyFill="1" applyBorder="1" applyAlignment="1">
      <alignment horizontal="right" vertical="top" indent="1"/>
    </xf>
    <xf numFmtId="10" fontId="28" fillId="12" borderId="1" xfId="0" applyNumberFormat="1" applyFont="1" applyFill="1" applyBorder="1" applyAlignment="1">
      <alignment horizontal="center" vertical="top"/>
    </xf>
    <xf numFmtId="0" fontId="0" fillId="4" borderId="0" xfId="0" applyFill="1" applyAlignment="1" applyProtection="1">
      <alignment horizontal="center"/>
    </xf>
    <xf numFmtId="177" fontId="0" fillId="0" borderId="0" xfId="0" applyNumberFormat="1" applyProtection="1">
      <protection hidden="1"/>
    </xf>
    <xf numFmtId="201" fontId="32" fillId="0" borderId="0" xfId="0" applyNumberFormat="1" applyFont="1" applyProtection="1">
      <protection hidden="1"/>
    </xf>
    <xf numFmtId="0" fontId="9" fillId="0" borderId="20" xfId="0" applyFont="1" applyFill="1" applyBorder="1" applyAlignment="1" applyProtection="1">
      <alignment horizontal="center"/>
      <protection locked="0"/>
    </xf>
    <xf numFmtId="0" fontId="26" fillId="8" borderId="0" xfId="4" applyFont="1" applyFill="1"/>
    <xf numFmtId="0" fontId="26" fillId="0" borderId="0" xfId="4" applyFont="1" applyAlignment="1">
      <alignment horizontal="right" wrapText="1"/>
    </xf>
    <xf numFmtId="0" fontId="0" fillId="8" borderId="0" xfId="0" applyFill="1"/>
    <xf numFmtId="0" fontId="27" fillId="8" borderId="18" xfId="4" applyFont="1" applyFill="1" applyBorder="1" applyAlignment="1">
      <alignment wrapText="1"/>
    </xf>
    <xf numFmtId="0" fontId="0" fillId="8" borderId="12" xfId="0" applyFill="1" applyBorder="1"/>
    <xf numFmtId="0" fontId="0" fillId="8" borderId="14" xfId="0" applyFill="1" applyBorder="1"/>
    <xf numFmtId="0" fontId="0" fillId="8" borderId="15" xfId="0" applyFill="1" applyBorder="1"/>
    <xf numFmtId="0" fontId="0" fillId="8" borderId="0" xfId="0" applyFill="1" applyBorder="1"/>
    <xf numFmtId="0" fontId="0" fillId="8" borderId="2" xfId="0" applyFill="1" applyBorder="1"/>
    <xf numFmtId="0" fontId="0" fillId="8" borderId="3" xfId="0" applyFill="1" applyBorder="1"/>
    <xf numFmtId="0" fontId="0" fillId="8" borderId="18" xfId="0" applyFill="1" applyBorder="1" applyAlignment="1">
      <alignment horizontal="center"/>
    </xf>
    <xf numFmtId="0" fontId="0" fillId="8" borderId="19" xfId="0" applyFill="1" applyBorder="1" applyAlignment="1">
      <alignment horizontal="center"/>
    </xf>
    <xf numFmtId="0" fontId="0" fillId="8" borderId="20" xfId="0" applyFill="1" applyBorder="1" applyAlignment="1">
      <alignment horizontal="center"/>
    </xf>
    <xf numFmtId="0" fontId="50" fillId="4" borderId="0" xfId="2" applyFont="1" applyFill="1" applyBorder="1" applyAlignment="1" applyProtection="1">
      <alignment horizontal="left"/>
      <protection hidden="1"/>
    </xf>
    <xf numFmtId="177" fontId="0" fillId="0" borderId="18" xfId="0" applyNumberFormat="1" applyFont="1" applyBorder="1" applyAlignment="1" applyProtection="1">
      <alignment horizontal="right"/>
      <protection hidden="1"/>
    </xf>
    <xf numFmtId="0" fontId="20" fillId="5" borderId="0" xfId="0" applyFont="1" applyFill="1" applyBorder="1"/>
    <xf numFmtId="0" fontId="8" fillId="5" borderId="0" xfId="0" applyFont="1" applyFill="1" applyBorder="1"/>
    <xf numFmtId="0" fontId="28" fillId="0" borderId="0" xfId="0" applyFont="1" applyAlignment="1" applyProtection="1">
      <protection hidden="1"/>
    </xf>
    <xf numFmtId="0" fontId="28" fillId="0" borderId="0" xfId="0" quotePrefix="1" applyFont="1" applyAlignment="1" applyProtection="1">
      <protection hidden="1"/>
    </xf>
    <xf numFmtId="0" fontId="28" fillId="0" borderId="0" xfId="0" applyFont="1" applyFill="1" applyAlignment="1" applyProtection="1">
      <alignment horizontal="right"/>
      <protection hidden="1"/>
    </xf>
    <xf numFmtId="0" fontId="28" fillId="0" borderId="0" xfId="0" applyFont="1" applyAlignment="1" applyProtection="1">
      <alignment horizontal="left" vertical="center" wrapText="1"/>
      <protection hidden="1"/>
    </xf>
    <xf numFmtId="0" fontId="28" fillId="0" borderId="0" xfId="0" applyFont="1" applyAlignment="1" applyProtection="1">
      <alignment horizontal="left" vertical="center"/>
      <protection hidden="1"/>
    </xf>
    <xf numFmtId="0" fontId="28" fillId="0" borderId="0" xfId="0" applyFont="1" applyProtection="1">
      <protection hidden="1"/>
    </xf>
    <xf numFmtId="40" fontId="7" fillId="11" borderId="1" xfId="0" applyNumberFormat="1" applyFont="1" applyFill="1" applyBorder="1" applyAlignment="1" applyProtection="1">
      <alignment horizontal="center" vertical="center"/>
      <protection hidden="1"/>
    </xf>
    <xf numFmtId="178" fontId="0" fillId="11" borderId="1" xfId="0" applyNumberFormat="1" applyFill="1" applyBorder="1" applyAlignment="1" applyProtection="1">
      <alignment vertical="center"/>
      <protection hidden="1"/>
    </xf>
    <xf numFmtId="195" fontId="0" fillId="11" borderId="1" xfId="0" applyNumberFormat="1" applyFill="1" applyBorder="1" applyAlignment="1" applyProtection="1">
      <alignment vertical="center"/>
      <protection hidden="1"/>
    </xf>
    <xf numFmtId="43" fontId="0" fillId="11" borderId="1" xfId="0" applyNumberFormat="1" applyFill="1" applyBorder="1" applyAlignment="1" applyProtection="1">
      <alignment vertical="center"/>
      <protection hidden="1"/>
    </xf>
    <xf numFmtId="40" fontId="7" fillId="19" borderId="1" xfId="0" applyNumberFormat="1" applyFont="1" applyFill="1" applyBorder="1" applyAlignment="1" applyProtection="1">
      <alignment horizontal="center" vertical="center"/>
      <protection hidden="1"/>
    </xf>
    <xf numFmtId="177" fontId="0" fillId="0" borderId="19" xfId="0" applyNumberFormat="1" applyFont="1" applyFill="1" applyBorder="1" applyAlignment="1" applyProtection="1">
      <alignment horizontal="right" vertical="center"/>
      <protection hidden="1"/>
    </xf>
    <xf numFmtId="177" fontId="0" fillId="0" borderId="20" xfId="0" applyNumberFormat="1" applyFont="1" applyBorder="1" applyAlignment="1" applyProtection="1">
      <alignment horizontal="right"/>
      <protection hidden="1"/>
    </xf>
    <xf numFmtId="0" fontId="24" fillId="20" borderId="1" xfId="4" applyFont="1" applyFill="1" applyBorder="1" applyAlignment="1">
      <alignment vertical="top" wrapText="1"/>
    </xf>
    <xf numFmtId="0" fontId="24" fillId="20" borderId="1" xfId="4" applyFont="1" applyFill="1" applyBorder="1" applyAlignment="1">
      <alignment horizontal="right" vertical="top" wrapText="1"/>
    </xf>
    <xf numFmtId="0" fontId="25" fillId="20" borderId="1" xfId="4" applyFont="1" applyFill="1" applyBorder="1" applyAlignment="1">
      <alignment vertical="top" wrapText="1"/>
    </xf>
    <xf numFmtId="0" fontId="8" fillId="5" borderId="0" xfId="0" applyFont="1" applyFill="1" applyBorder="1" applyAlignment="1">
      <alignment horizontal="center"/>
    </xf>
    <xf numFmtId="0" fontId="9" fillId="5" borderId="0" xfId="0" applyFont="1" applyFill="1" applyBorder="1" applyAlignment="1">
      <alignment horizontal="center"/>
    </xf>
    <xf numFmtId="0" fontId="8" fillId="5" borderId="0" xfId="0" applyFont="1" applyFill="1" applyBorder="1" applyAlignment="1">
      <alignment horizontal="left"/>
    </xf>
    <xf numFmtId="4" fontId="9" fillId="5" borderId="0" xfId="0" applyNumberFormat="1" applyFont="1" applyFill="1" applyBorder="1" applyAlignment="1">
      <alignment horizontal="center"/>
    </xf>
    <xf numFmtId="173" fontId="23" fillId="0" borderId="21" xfId="1" applyNumberFormat="1" applyFont="1" applyBorder="1" applyAlignment="1">
      <alignment horizontal="right"/>
    </xf>
    <xf numFmtId="0" fontId="0" fillId="0" borderId="0" xfId="0" applyBorder="1"/>
    <xf numFmtId="0" fontId="5" fillId="16" borderId="4" xfId="0" applyFont="1" applyFill="1" applyBorder="1" applyAlignment="1">
      <alignment horizontal="left"/>
    </xf>
    <xf numFmtId="1" fontId="0" fillId="12" borderId="0" xfId="0" applyNumberFormat="1" applyFont="1" applyFill="1" applyAlignment="1" applyProtection="1">
      <alignment horizontal="right" indent="2"/>
    </xf>
    <xf numFmtId="0" fontId="8" fillId="2" borderId="0" xfId="0" applyFont="1" applyFill="1" applyBorder="1" applyAlignment="1" applyProtection="1">
      <alignment horizontal="right"/>
    </xf>
    <xf numFmtId="0" fontId="8" fillId="12" borderId="0" xfId="0" applyFont="1" applyFill="1" applyBorder="1" applyProtection="1"/>
    <xf numFmtId="0" fontId="0" fillId="8" borderId="4" xfId="0" applyFill="1" applyBorder="1"/>
    <xf numFmtId="0" fontId="0" fillId="8" borderId="5" xfId="0" applyFill="1" applyBorder="1"/>
    <xf numFmtId="0" fontId="53" fillId="0" borderId="0" xfId="0" applyFont="1"/>
    <xf numFmtId="0" fontId="0" fillId="0" borderId="1" xfId="0" applyFont="1" applyBorder="1" applyAlignment="1" applyProtection="1">
      <alignment horizontal="center" vertical="center" wrapText="1"/>
      <protection hidden="1"/>
    </xf>
    <xf numFmtId="0" fontId="0" fillId="0" borderId="0" xfId="0" applyBorder="1" applyAlignment="1" applyProtection="1">
      <alignment horizontal="right"/>
      <protection hidden="1"/>
    </xf>
    <xf numFmtId="1" fontId="7" fillId="0" borderId="0" xfId="0" applyNumberFormat="1" applyFont="1" applyBorder="1" applyAlignment="1" applyProtection="1">
      <alignment horizontal="left" vertical="center"/>
      <protection hidden="1"/>
    </xf>
    <xf numFmtId="0" fontId="0" fillId="0" borderId="0" xfId="0" applyFont="1" applyFill="1" applyBorder="1" applyAlignment="1" applyProtection="1">
      <alignment horizontal="left"/>
      <protection hidden="1"/>
    </xf>
    <xf numFmtId="0" fontId="0" fillId="0" borderId="0" xfId="0" applyAlignment="1" applyProtection="1">
      <alignment horizontal="left" vertical="center"/>
      <protection hidden="1"/>
    </xf>
    <xf numFmtId="0" fontId="0" fillId="0" borderId="0" xfId="0" applyFont="1" applyAlignment="1" applyProtection="1">
      <alignment horizontal="left" vertical="center"/>
      <protection hidden="1"/>
    </xf>
    <xf numFmtId="1" fontId="0" fillId="0" borderId="0" xfId="0" applyNumberFormat="1" applyFont="1" applyBorder="1" applyAlignment="1" applyProtection="1">
      <alignment horizontal="left" vertical="center"/>
      <protection hidden="1"/>
    </xf>
    <xf numFmtId="0" fontId="0" fillId="0" borderId="0" xfId="0" applyFont="1" applyFill="1" applyBorder="1" applyAlignment="1" applyProtection="1">
      <alignment vertical="center"/>
      <protection hidden="1"/>
    </xf>
    <xf numFmtId="0" fontId="0" fillId="0" borderId="0" xfId="0" applyFont="1" applyAlignment="1" applyProtection="1">
      <alignment horizontal="right"/>
      <protection hidden="1"/>
    </xf>
    <xf numFmtId="0" fontId="0" fillId="0" borderId="0" xfId="0" applyFont="1" applyAlignment="1" applyProtection="1">
      <protection hidden="1"/>
    </xf>
    <xf numFmtId="0" fontId="0" fillId="0" borderId="0" xfId="0" applyFont="1" applyBorder="1" applyAlignment="1" applyProtection="1">
      <protection hidden="1"/>
    </xf>
    <xf numFmtId="0" fontId="0" fillId="0" borderId="0" xfId="0" applyFont="1" applyFill="1" applyBorder="1" applyAlignment="1" applyProtection="1">
      <protection hidden="1"/>
    </xf>
    <xf numFmtId="4" fontId="0" fillId="0" borderId="0" xfId="0" applyNumberFormat="1" applyFont="1" applyAlignment="1" applyProtection="1">
      <protection hidden="1"/>
    </xf>
    <xf numFmtId="0" fontId="54" fillId="0" borderId="0" xfId="0" applyFont="1" applyAlignment="1">
      <alignment horizontal="left" vertical="center"/>
    </xf>
    <xf numFmtId="0" fontId="0" fillId="0" borderId="0" xfId="0" applyFont="1" applyAlignment="1">
      <alignment horizontal="left"/>
    </xf>
    <xf numFmtId="0" fontId="0" fillId="0" borderId="0" xfId="0" applyFont="1" applyAlignment="1">
      <alignment horizontal="left" vertical="center"/>
    </xf>
    <xf numFmtId="0" fontId="0" fillId="0" borderId="0" xfId="0" applyFont="1"/>
    <xf numFmtId="0" fontId="0" fillId="13" borderId="0" xfId="0" applyFont="1" applyFill="1" applyProtection="1"/>
    <xf numFmtId="0" fontId="0" fillId="13" borderId="0" xfId="0" applyFill="1" applyProtection="1"/>
    <xf numFmtId="0" fontId="7" fillId="11" borderId="0" xfId="0" applyFont="1" applyFill="1" applyProtection="1"/>
    <xf numFmtId="0" fontId="0" fillId="11" borderId="0" xfId="0" applyFont="1" applyFill="1" applyProtection="1"/>
    <xf numFmtId="0" fontId="0" fillId="10" borderId="0" xfId="0" applyFont="1" applyFill="1" applyProtection="1"/>
    <xf numFmtId="0" fontId="0" fillId="2" borderId="0" xfId="0" applyFill="1" applyProtection="1"/>
    <xf numFmtId="0" fontId="10" fillId="11" borderId="0" xfId="0" applyFont="1" applyFill="1" applyAlignment="1" applyProtection="1">
      <alignment vertical="center"/>
    </xf>
    <xf numFmtId="0" fontId="20" fillId="11" borderId="0" xfId="0" applyFont="1" applyFill="1" applyAlignment="1" applyProtection="1">
      <alignment vertical="center"/>
    </xf>
    <xf numFmtId="0" fontId="0" fillId="11" borderId="1" xfId="0" applyFont="1" applyFill="1" applyBorder="1" applyProtection="1"/>
    <xf numFmtId="4" fontId="0" fillId="11" borderId="1" xfId="0" applyNumberFormat="1" applyFont="1" applyFill="1" applyBorder="1" applyAlignment="1" applyProtection="1">
      <alignment horizontal="center"/>
    </xf>
    <xf numFmtId="4" fontId="0" fillId="11" borderId="4" xfId="0" applyNumberFormat="1" applyFont="1" applyFill="1" applyBorder="1" applyAlignment="1" applyProtection="1">
      <alignment horizontal="center"/>
    </xf>
    <xf numFmtId="0" fontId="0" fillId="11" borderId="1" xfId="0" applyFont="1" applyFill="1" applyBorder="1" applyAlignment="1" applyProtection="1">
      <alignment horizontal="center"/>
    </xf>
    <xf numFmtId="0" fontId="0" fillId="11" borderId="0" xfId="0" applyFont="1" applyFill="1" applyAlignment="1" applyProtection="1">
      <alignment horizontal="center"/>
    </xf>
    <xf numFmtId="3" fontId="0" fillId="17" borderId="1" xfId="0" applyNumberFormat="1" applyFont="1" applyFill="1" applyBorder="1" applyAlignment="1" applyProtection="1">
      <alignment horizontal="center"/>
    </xf>
    <xf numFmtId="11" fontId="0" fillId="11" borderId="1" xfId="0" applyNumberFormat="1" applyFont="1" applyFill="1" applyBorder="1" applyAlignment="1" applyProtection="1">
      <alignment horizontal="center"/>
    </xf>
    <xf numFmtId="11" fontId="0" fillId="11" borderId="4" xfId="0" applyNumberFormat="1" applyFont="1" applyFill="1" applyBorder="1" applyAlignment="1" applyProtection="1">
      <alignment horizontal="center"/>
    </xf>
    <xf numFmtId="3" fontId="0" fillId="11" borderId="1" xfId="0" applyNumberFormat="1" applyFont="1" applyFill="1" applyBorder="1" applyAlignment="1" applyProtection="1">
      <alignment horizontal="center"/>
    </xf>
    <xf numFmtId="167" fontId="0" fillId="11" borderId="0" xfId="0" applyNumberFormat="1" applyFont="1" applyFill="1" applyProtection="1"/>
    <xf numFmtId="2" fontId="0" fillId="11" borderId="0" xfId="0" applyNumberFormat="1" applyFont="1" applyFill="1" applyProtection="1"/>
    <xf numFmtId="4" fontId="0" fillId="14" borderId="1" xfId="0" applyNumberFormat="1" applyFont="1" applyFill="1" applyBorder="1" applyAlignment="1" applyProtection="1">
      <alignment horizontal="center"/>
    </xf>
    <xf numFmtId="0" fontId="0" fillId="11" borderId="0" xfId="0" applyFont="1" applyFill="1" applyBorder="1" applyProtection="1"/>
    <xf numFmtId="4" fontId="0" fillId="11" borderId="0" xfId="0" applyNumberFormat="1" applyFont="1" applyFill="1" applyBorder="1" applyAlignment="1" applyProtection="1">
      <alignment horizontal="center"/>
    </xf>
    <xf numFmtId="190" fontId="0" fillId="17" borderId="1" xfId="0" applyNumberFormat="1" applyFont="1" applyFill="1" applyBorder="1" applyAlignment="1" applyProtection="1">
      <alignment horizontal="center"/>
    </xf>
    <xf numFmtId="185" fontId="0" fillId="11" borderId="21" xfId="4" applyNumberFormat="1" applyFont="1" applyFill="1" applyBorder="1" applyAlignment="1" applyProtection="1">
      <alignment horizontal="right"/>
    </xf>
    <xf numFmtId="191" fontId="0" fillId="11" borderId="1" xfId="0" applyNumberFormat="1" applyFont="1" applyFill="1" applyBorder="1" applyAlignment="1" applyProtection="1">
      <alignment horizontal="center"/>
    </xf>
    <xf numFmtId="191" fontId="0" fillId="11" borderId="4" xfId="0" applyNumberFormat="1" applyFont="1" applyFill="1" applyBorder="1" applyAlignment="1" applyProtection="1">
      <alignment horizontal="center"/>
    </xf>
    <xf numFmtId="185" fontId="0" fillId="11" borderId="1" xfId="0" applyNumberFormat="1" applyFont="1" applyFill="1" applyBorder="1" applyAlignment="1" applyProtection="1">
      <alignment horizontal="center"/>
    </xf>
    <xf numFmtId="0" fontId="36" fillId="11" borderId="0" xfId="0" applyFont="1" applyFill="1" applyAlignment="1" applyProtection="1">
      <alignment horizontal="center"/>
    </xf>
    <xf numFmtId="169" fontId="0" fillId="11" borderId="1" xfId="0" applyNumberFormat="1" applyFont="1" applyFill="1" applyBorder="1" applyAlignment="1" applyProtection="1">
      <alignment horizontal="center"/>
    </xf>
    <xf numFmtId="169" fontId="0" fillId="11" borderId="0" xfId="0" applyNumberFormat="1" applyFont="1" applyFill="1" applyBorder="1" applyAlignment="1" applyProtection="1">
      <alignment horizontal="center"/>
    </xf>
    <xf numFmtId="4" fontId="0" fillId="5" borderId="1" xfId="0" applyNumberFormat="1" applyFont="1" applyFill="1" applyBorder="1" applyAlignment="1" applyProtection="1">
      <alignment horizontal="center"/>
    </xf>
    <xf numFmtId="3" fontId="0" fillId="11" borderId="0" xfId="0" applyNumberFormat="1" applyFont="1" applyFill="1" applyBorder="1" applyAlignment="1" applyProtection="1">
      <alignment horizontal="center"/>
    </xf>
    <xf numFmtId="4" fontId="0" fillId="11" borderId="20" xfId="0" applyNumberFormat="1" applyFont="1" applyFill="1" applyBorder="1" applyAlignment="1" applyProtection="1">
      <alignment horizontal="center"/>
    </xf>
    <xf numFmtId="4" fontId="0" fillId="11" borderId="1" xfId="0" applyNumberFormat="1" applyFont="1" applyFill="1" applyBorder="1" applyAlignment="1" applyProtection="1">
      <alignment horizontal="right"/>
    </xf>
    <xf numFmtId="0" fontId="10" fillId="11" borderId="0" xfId="0" applyFont="1" applyFill="1" applyBorder="1" applyProtection="1"/>
    <xf numFmtId="0" fontId="10" fillId="11" borderId="0" xfId="0" applyFont="1" applyFill="1" applyProtection="1"/>
    <xf numFmtId="4" fontId="0" fillId="11" borderId="1" xfId="0" applyNumberFormat="1" applyFont="1" applyFill="1" applyBorder="1" applyProtection="1"/>
    <xf numFmtId="4" fontId="0" fillId="17" borderId="1" xfId="0" applyNumberFormat="1" applyFont="1" applyFill="1" applyBorder="1" applyProtection="1"/>
    <xf numFmtId="0" fontId="0" fillId="17" borderId="1" xfId="0" applyFont="1" applyFill="1" applyBorder="1" applyProtection="1"/>
    <xf numFmtId="11" fontId="0" fillId="11" borderId="1" xfId="0" applyNumberFormat="1" applyFont="1" applyFill="1" applyBorder="1" applyProtection="1"/>
    <xf numFmtId="167" fontId="0" fillId="11" borderId="1" xfId="0" applyNumberFormat="1" applyFont="1" applyFill="1" applyBorder="1" applyProtection="1"/>
    <xf numFmtId="166" fontId="0" fillId="11" borderId="0" xfId="0" applyNumberFormat="1" applyFont="1" applyFill="1" applyProtection="1"/>
    <xf numFmtId="0" fontId="0" fillId="11" borderId="2" xfId="0" applyFont="1" applyFill="1" applyBorder="1" applyAlignment="1" applyProtection="1">
      <alignment horizontal="left"/>
    </xf>
    <xf numFmtId="0" fontId="0" fillId="11" borderId="3" xfId="0" applyNumberFormat="1" applyFont="1" applyFill="1" applyBorder="1" applyAlignment="1" applyProtection="1">
      <alignment horizontal="center"/>
    </xf>
    <xf numFmtId="175" fontId="0" fillId="11" borderId="1" xfId="0" applyNumberFormat="1" applyFont="1" applyFill="1" applyBorder="1" applyProtection="1"/>
    <xf numFmtId="175" fontId="0" fillId="11" borderId="1" xfId="0" applyNumberFormat="1" applyFont="1" applyFill="1" applyBorder="1" applyAlignment="1" applyProtection="1">
      <alignment horizontal="center"/>
    </xf>
    <xf numFmtId="167" fontId="0" fillId="11" borderId="1" xfId="0" applyNumberFormat="1" applyFont="1" applyFill="1" applyBorder="1" applyAlignment="1" applyProtection="1">
      <alignment horizontal="center"/>
    </xf>
    <xf numFmtId="0" fontId="7" fillId="11" borderId="1" xfId="0" applyFont="1" applyFill="1" applyBorder="1" applyProtection="1"/>
    <xf numFmtId="0" fontId="8" fillId="11" borderId="1" xfId="0" applyFont="1" applyFill="1" applyBorder="1" applyAlignment="1" applyProtection="1">
      <alignment horizontal="center"/>
    </xf>
    <xf numFmtId="4" fontId="0" fillId="17" borderId="1" xfId="0" applyNumberFormat="1" applyFont="1" applyFill="1" applyBorder="1" applyAlignment="1" applyProtection="1">
      <alignment horizontal="center"/>
    </xf>
    <xf numFmtId="2" fontId="0" fillId="11" borderId="1" xfId="0" applyNumberFormat="1" applyFont="1" applyFill="1" applyBorder="1" applyProtection="1"/>
    <xf numFmtId="172" fontId="0" fillId="11" borderId="1" xfId="0" applyNumberFormat="1" applyFont="1" applyFill="1" applyBorder="1" applyAlignment="1" applyProtection="1">
      <alignment horizontal="center"/>
    </xf>
    <xf numFmtId="183" fontId="0" fillId="11" borderId="1" xfId="0" applyNumberFormat="1" applyFont="1" applyFill="1" applyBorder="1" applyProtection="1"/>
    <xf numFmtId="168" fontId="0" fillId="11" borderId="1" xfId="0" applyNumberFormat="1" applyFont="1" applyFill="1" applyBorder="1" applyAlignment="1" applyProtection="1">
      <alignment horizontal="center"/>
    </xf>
    <xf numFmtId="170" fontId="0" fillId="11" borderId="1" xfId="0" applyNumberFormat="1" applyFont="1" applyFill="1" applyBorder="1" applyAlignment="1" applyProtection="1">
      <alignment horizontal="center"/>
    </xf>
    <xf numFmtId="188" fontId="0" fillId="17" borderId="1" xfId="0" applyNumberFormat="1" applyFont="1" applyFill="1" applyBorder="1" applyAlignment="1" applyProtection="1">
      <alignment horizontal="center"/>
    </xf>
    <xf numFmtId="168" fontId="0" fillId="11" borderId="1" xfId="0" applyNumberFormat="1" applyFont="1" applyFill="1" applyBorder="1" applyAlignment="1" applyProtection="1">
      <alignment horizontal="center" wrapText="1"/>
    </xf>
    <xf numFmtId="0" fontId="0" fillId="11" borderId="12" xfId="0" applyFont="1" applyFill="1" applyBorder="1" applyProtection="1"/>
    <xf numFmtId="0" fontId="0" fillId="11" borderId="14" xfId="0" applyFont="1" applyFill="1" applyBorder="1" applyProtection="1"/>
    <xf numFmtId="0" fontId="0" fillId="11" borderId="11" xfId="0" applyFont="1" applyFill="1" applyBorder="1" applyProtection="1"/>
    <xf numFmtId="0" fontId="0" fillId="11" borderId="15" xfId="0" applyFont="1" applyFill="1" applyBorder="1" applyProtection="1"/>
    <xf numFmtId="0" fontId="0" fillId="11" borderId="16" xfId="0" applyFont="1" applyFill="1" applyBorder="1" applyProtection="1"/>
    <xf numFmtId="182" fontId="0" fillId="11" borderId="1" xfId="0" applyNumberFormat="1" applyFont="1" applyFill="1" applyBorder="1" applyProtection="1"/>
    <xf numFmtId="0" fontId="36" fillId="11" borderId="15" xfId="0" applyFont="1" applyFill="1" applyBorder="1" applyProtection="1"/>
    <xf numFmtId="0" fontId="36" fillId="11" borderId="0" xfId="0" applyFont="1" applyFill="1" applyBorder="1" applyProtection="1"/>
    <xf numFmtId="0" fontId="36" fillId="11" borderId="16" xfId="0" applyFont="1" applyFill="1" applyBorder="1" applyProtection="1"/>
    <xf numFmtId="0" fontId="0" fillId="11" borderId="2" xfId="0" applyFont="1" applyFill="1" applyBorder="1" applyProtection="1"/>
    <xf numFmtId="0" fontId="0" fillId="11" borderId="3" xfId="0" applyFont="1" applyFill="1" applyBorder="1" applyProtection="1"/>
    <xf numFmtId="0" fontId="0" fillId="11" borderId="10" xfId="0" applyFont="1" applyFill="1" applyBorder="1" applyProtection="1"/>
    <xf numFmtId="0" fontId="0" fillId="11" borderId="21" xfId="4" applyFont="1" applyFill="1" applyBorder="1" applyAlignment="1" applyProtection="1">
      <alignment horizontal="right"/>
    </xf>
    <xf numFmtId="0" fontId="38" fillId="11" borderId="1" xfId="2" applyFont="1" applyFill="1" applyBorder="1" applyAlignment="1" applyProtection="1"/>
    <xf numFmtId="4" fontId="0" fillId="17" borderId="4" xfId="0" applyNumberFormat="1" applyFont="1" applyFill="1" applyBorder="1" applyAlignment="1" applyProtection="1">
      <alignment horizontal="center"/>
    </xf>
    <xf numFmtId="180" fontId="0" fillId="11" borderId="1" xfId="0" applyNumberFormat="1" applyFont="1" applyFill="1" applyBorder="1" applyAlignment="1" applyProtection="1">
      <alignment horizontal="center"/>
    </xf>
    <xf numFmtId="199" fontId="0" fillId="11" borderId="1" xfId="0" applyNumberFormat="1" applyFont="1" applyFill="1" applyBorder="1" applyAlignment="1" applyProtection="1">
      <alignment horizontal="center"/>
    </xf>
    <xf numFmtId="0" fontId="0" fillId="11" borderId="1" xfId="0" applyFont="1" applyFill="1" applyBorder="1" applyAlignment="1" applyProtection="1">
      <alignment horizontal="center" vertical="top"/>
    </xf>
    <xf numFmtId="0" fontId="0" fillId="11" borderId="0" xfId="0" applyFont="1" applyFill="1" applyAlignment="1" applyProtection="1">
      <alignment horizontal="center" vertical="top"/>
    </xf>
    <xf numFmtId="168" fontId="0" fillId="11" borderId="0" xfId="0" applyNumberFormat="1" applyFont="1" applyFill="1" applyBorder="1" applyAlignment="1" applyProtection="1">
      <alignment horizontal="center"/>
    </xf>
    <xf numFmtId="4" fontId="10" fillId="11" borderId="0" xfId="0" applyNumberFormat="1" applyFont="1" applyFill="1" applyBorder="1" applyAlignment="1" applyProtection="1">
      <alignment horizontal="left"/>
    </xf>
    <xf numFmtId="0" fontId="20" fillId="11" borderId="0" xfId="0" applyFont="1" applyFill="1" applyProtection="1"/>
    <xf numFmtId="165" fontId="0" fillId="17" borderId="0" xfId="0" applyNumberFormat="1" applyFont="1" applyFill="1" applyProtection="1"/>
    <xf numFmtId="0" fontId="0" fillId="11" borderId="0" xfId="0" applyFill="1" applyProtection="1"/>
    <xf numFmtId="0" fontId="0" fillId="17" borderId="0" xfId="0" applyFont="1" applyFill="1" applyProtection="1"/>
    <xf numFmtId="176" fontId="0" fillId="11" borderId="0" xfId="0" applyNumberFormat="1" applyFont="1" applyFill="1" applyProtection="1"/>
    <xf numFmtId="179" fontId="0" fillId="17" borderId="0" xfId="0" applyNumberFormat="1" applyFont="1" applyFill="1" applyProtection="1"/>
    <xf numFmtId="0" fontId="0" fillId="2" borderId="0" xfId="0" applyFont="1" applyFill="1" applyProtection="1"/>
    <xf numFmtId="0" fontId="38" fillId="11" borderId="0" xfId="0" applyFont="1" applyFill="1" applyProtection="1"/>
    <xf numFmtId="0" fontId="0" fillId="11" borderId="1" xfId="0" applyNumberFormat="1" applyFont="1" applyFill="1" applyBorder="1" applyAlignment="1" applyProtection="1">
      <alignment horizontal="center"/>
    </xf>
    <xf numFmtId="4" fontId="0" fillId="11" borderId="1" xfId="0" applyNumberFormat="1" applyFont="1" applyFill="1" applyBorder="1" applyAlignment="1" applyProtection="1">
      <alignment horizontal="left"/>
    </xf>
    <xf numFmtId="2" fontId="0" fillId="11" borderId="1" xfId="0" applyNumberFormat="1" applyFont="1" applyFill="1" applyBorder="1" applyAlignment="1" applyProtection="1">
      <alignment horizontal="center"/>
    </xf>
    <xf numFmtId="0" fontId="21" fillId="11" borderId="0" xfId="0" applyFont="1" applyFill="1" applyProtection="1"/>
    <xf numFmtId="0" fontId="0" fillId="11" borderId="0" xfId="0" applyFont="1" applyFill="1" applyBorder="1" applyAlignment="1" applyProtection="1">
      <alignment horizontal="center"/>
    </xf>
    <xf numFmtId="0" fontId="0" fillId="11" borderId="4" xfId="0" applyFont="1" applyFill="1" applyBorder="1" applyProtection="1"/>
    <xf numFmtId="0" fontId="0" fillId="11" borderId="20" xfId="0" applyFont="1" applyFill="1" applyBorder="1" applyProtection="1"/>
    <xf numFmtId="0" fontId="0" fillId="11" borderId="4" xfId="0" applyFont="1" applyFill="1" applyBorder="1" applyAlignment="1" applyProtection="1">
      <alignment horizontal="center"/>
    </xf>
    <xf numFmtId="0" fontId="0" fillId="11" borderId="30" xfId="0" applyFont="1" applyFill="1" applyBorder="1" applyAlignment="1" applyProtection="1">
      <alignment horizontal="center"/>
    </xf>
    <xf numFmtId="0" fontId="0" fillId="11" borderId="35" xfId="0" applyFont="1" applyFill="1" applyBorder="1" applyAlignment="1" applyProtection="1">
      <alignment horizontal="center"/>
    </xf>
    <xf numFmtId="3" fontId="0" fillId="17" borderId="4" xfId="0" applyNumberFormat="1" applyFont="1" applyFill="1" applyBorder="1" applyAlignment="1" applyProtection="1">
      <alignment horizontal="center"/>
    </xf>
    <xf numFmtId="1" fontId="0" fillId="11" borderId="1" xfId="0" applyNumberFormat="1" applyFont="1" applyFill="1" applyBorder="1" applyAlignment="1" applyProtection="1">
      <alignment horizontal="center"/>
    </xf>
    <xf numFmtId="182" fontId="0" fillId="11" borderId="5" xfId="0" applyNumberFormat="1" applyFont="1" applyFill="1" applyBorder="1" applyAlignment="1" applyProtection="1">
      <alignment horizontal="center"/>
    </xf>
    <xf numFmtId="182" fontId="0" fillId="11" borderId="1" xfId="0" applyNumberFormat="1" applyFont="1" applyFill="1" applyBorder="1" applyAlignment="1" applyProtection="1">
      <alignment horizontal="center"/>
    </xf>
    <xf numFmtId="0" fontId="0" fillId="11" borderId="18" xfId="0" applyFont="1" applyFill="1" applyBorder="1" applyProtection="1"/>
    <xf numFmtId="3" fontId="0" fillId="17" borderId="12" xfId="0" applyNumberFormat="1" applyFont="1" applyFill="1" applyBorder="1" applyAlignment="1" applyProtection="1">
      <alignment horizontal="center"/>
    </xf>
    <xf numFmtId="0" fontId="0" fillId="11" borderId="36" xfId="0" applyFont="1" applyFill="1" applyBorder="1" applyAlignment="1" applyProtection="1">
      <alignment horizontal="center"/>
    </xf>
    <xf numFmtId="1" fontId="0" fillId="11" borderId="25" xfId="0" applyNumberFormat="1" applyFont="1" applyFill="1" applyBorder="1" applyAlignment="1" applyProtection="1">
      <alignment horizontal="center"/>
    </xf>
    <xf numFmtId="0" fontId="0" fillId="11" borderId="25" xfId="0" applyFont="1" applyFill="1" applyBorder="1" applyAlignment="1" applyProtection="1">
      <alignment horizontal="center"/>
    </xf>
    <xf numFmtId="0" fontId="0" fillId="11" borderId="37" xfId="0" applyFont="1" applyFill="1" applyBorder="1" applyAlignment="1" applyProtection="1">
      <alignment horizontal="center"/>
    </xf>
    <xf numFmtId="0" fontId="7" fillId="11" borderId="27" xfId="0" applyFont="1" applyFill="1" applyBorder="1" applyProtection="1"/>
    <xf numFmtId="0" fontId="0" fillId="11" borderId="28" xfId="0" applyFont="1" applyFill="1" applyBorder="1" applyProtection="1"/>
    <xf numFmtId="1" fontId="7" fillId="11" borderId="28" xfId="0" applyNumberFormat="1" applyFont="1" applyFill="1" applyBorder="1" applyAlignment="1" applyProtection="1">
      <alignment horizontal="center"/>
    </xf>
    <xf numFmtId="0" fontId="7" fillId="11" borderId="28" xfId="0" applyFont="1" applyFill="1" applyBorder="1" applyAlignment="1" applyProtection="1">
      <alignment horizontal="center"/>
    </xf>
    <xf numFmtId="0" fontId="7" fillId="11" borderId="29" xfId="0" applyFont="1" applyFill="1" applyBorder="1" applyAlignment="1" applyProtection="1">
      <alignment horizontal="center"/>
    </xf>
    <xf numFmtId="0" fontId="7" fillId="11" borderId="26" xfId="0" applyFont="1" applyFill="1" applyBorder="1" applyAlignment="1" applyProtection="1">
      <alignment horizontal="center"/>
    </xf>
    <xf numFmtId="0" fontId="7" fillId="11" borderId="0" xfId="0" applyFont="1" applyFill="1" applyBorder="1" applyAlignment="1" applyProtection="1">
      <alignment horizontal="center"/>
    </xf>
    <xf numFmtId="0" fontId="7" fillId="11" borderId="0" xfId="0" applyFont="1" applyFill="1" applyBorder="1" applyProtection="1"/>
    <xf numFmtId="10" fontId="0" fillId="11" borderId="0" xfId="3" applyNumberFormat="1" applyFont="1" applyFill="1" applyProtection="1"/>
    <xf numFmtId="11" fontId="7" fillId="11" borderId="1" xfId="0" applyNumberFormat="1" applyFont="1" applyFill="1" applyBorder="1" applyProtection="1"/>
    <xf numFmtId="3" fontId="0" fillId="17" borderId="1" xfId="0" applyNumberFormat="1" applyFont="1" applyFill="1" applyBorder="1" applyProtection="1"/>
    <xf numFmtId="0" fontId="36" fillId="11" borderId="0" xfId="0" applyFont="1" applyFill="1" applyProtection="1"/>
    <xf numFmtId="4" fontId="0" fillId="11" borderId="1" xfId="0" applyNumberFormat="1" applyFill="1" applyBorder="1" applyProtection="1"/>
    <xf numFmtId="0" fontId="0" fillId="11" borderId="1" xfId="0" applyFill="1" applyBorder="1" applyProtection="1"/>
    <xf numFmtId="170" fontId="0" fillId="11" borderId="0" xfId="0" applyNumberFormat="1" applyFont="1" applyFill="1" applyProtection="1"/>
    <xf numFmtId="0" fontId="8" fillId="11" borderId="0" xfId="0" applyFont="1" applyFill="1" applyBorder="1" applyAlignment="1" applyProtection="1">
      <alignment horizontal="center"/>
    </xf>
    <xf numFmtId="167" fontId="0" fillId="11" borderId="0" xfId="0" applyNumberFormat="1" applyFont="1" applyFill="1" applyBorder="1" applyProtection="1"/>
    <xf numFmtId="4" fontId="7" fillId="11" borderId="1" xfId="0" applyNumberFormat="1" applyFont="1" applyFill="1" applyBorder="1" applyAlignment="1" applyProtection="1">
      <alignment horizontal="center"/>
    </xf>
    <xf numFmtId="4" fontId="0" fillId="11" borderId="4" xfId="0" applyNumberFormat="1" applyFill="1" applyBorder="1" applyAlignment="1" applyProtection="1">
      <alignment horizontal="center"/>
    </xf>
    <xf numFmtId="4" fontId="0" fillId="11" borderId="1" xfId="0" applyNumberFormat="1" applyFill="1" applyBorder="1" applyAlignment="1" applyProtection="1">
      <alignment horizontal="center"/>
    </xf>
    <xf numFmtId="192" fontId="0" fillId="11" borderId="1" xfId="0" applyNumberFormat="1" applyFont="1" applyFill="1" applyBorder="1" applyProtection="1"/>
    <xf numFmtId="181" fontId="0" fillId="11" borderId="1" xfId="0" applyNumberFormat="1" applyFont="1" applyFill="1" applyBorder="1" applyAlignment="1" applyProtection="1">
      <alignment horizontal="center"/>
    </xf>
    <xf numFmtId="3" fontId="0" fillId="11" borderId="0" xfId="0" applyNumberFormat="1" applyFont="1" applyFill="1" applyAlignment="1" applyProtection="1">
      <alignment wrapText="1"/>
    </xf>
    <xf numFmtId="4" fontId="0" fillId="11" borderId="0" xfId="0" applyNumberFormat="1" applyFont="1" applyFill="1" applyAlignment="1" applyProtection="1">
      <alignment wrapText="1"/>
    </xf>
    <xf numFmtId="0" fontId="0" fillId="11" borderId="0" xfId="0" applyFont="1" applyFill="1" applyAlignment="1" applyProtection="1">
      <alignment wrapText="1"/>
    </xf>
    <xf numFmtId="0" fontId="7" fillId="11" borderId="0" xfId="0" applyFont="1" applyFill="1" applyAlignment="1" applyProtection="1">
      <alignment horizontal="center" vertical="top"/>
    </xf>
    <xf numFmtId="3" fontId="0" fillId="11" borderId="1" xfId="0" applyNumberFormat="1" applyFont="1" applyFill="1" applyBorder="1" applyAlignment="1" applyProtection="1">
      <alignment horizontal="center" vertical="top" wrapText="1"/>
    </xf>
    <xf numFmtId="4" fontId="0" fillId="11" borderId="1" xfId="0" applyNumberFormat="1" applyFont="1" applyFill="1" applyBorder="1" applyAlignment="1" applyProtection="1">
      <alignment horizontal="center" vertical="top" wrapText="1"/>
    </xf>
    <xf numFmtId="0" fontId="0" fillId="11" borderId="1" xfId="0" applyFont="1" applyFill="1" applyBorder="1" applyAlignment="1" applyProtection="1">
      <alignment horizontal="center" vertical="top" wrapText="1"/>
    </xf>
    <xf numFmtId="0" fontId="0" fillId="10" borderId="0" xfId="0" applyFont="1" applyFill="1" applyAlignment="1" applyProtection="1">
      <alignment horizontal="center" vertical="top"/>
    </xf>
    <xf numFmtId="0" fontId="2" fillId="2" borderId="0" xfId="0" applyFont="1" applyFill="1" applyAlignment="1" applyProtection="1">
      <alignment horizontal="center" vertical="top"/>
    </xf>
    <xf numFmtId="3" fontId="0" fillId="11" borderId="1" xfId="0" applyNumberFormat="1" applyFont="1" applyFill="1" applyBorder="1" applyAlignment="1" applyProtection="1">
      <alignment wrapText="1"/>
    </xf>
    <xf numFmtId="4" fontId="0" fillId="17" borderId="1" xfId="0" applyNumberFormat="1" applyFont="1" applyFill="1" applyBorder="1" applyAlignment="1" applyProtection="1">
      <alignment wrapText="1"/>
    </xf>
    <xf numFmtId="0" fontId="0" fillId="17" borderId="1" xfId="0" applyFont="1" applyFill="1" applyBorder="1" applyAlignment="1" applyProtection="1">
      <alignment wrapText="1"/>
    </xf>
    <xf numFmtId="0" fontId="2" fillId="2" borderId="0" xfId="0" applyFont="1" applyFill="1" applyProtection="1"/>
    <xf numFmtId="4" fontId="0" fillId="11" borderId="1" xfId="0" applyNumberFormat="1" applyFont="1" applyFill="1" applyBorder="1" applyAlignment="1" applyProtection="1">
      <alignment wrapText="1"/>
    </xf>
    <xf numFmtId="0" fontId="0" fillId="11" borderId="1" xfId="0" applyFont="1" applyFill="1" applyBorder="1" applyAlignment="1" applyProtection="1">
      <alignment wrapText="1"/>
    </xf>
    <xf numFmtId="3" fontId="0" fillId="17" borderId="1" xfId="0" applyNumberFormat="1" applyFont="1" applyFill="1" applyBorder="1" applyAlignment="1" applyProtection="1">
      <alignment wrapText="1"/>
    </xf>
    <xf numFmtId="3" fontId="7" fillId="11" borderId="0" xfId="0" applyNumberFormat="1" applyFont="1" applyFill="1" applyAlignment="1" applyProtection="1">
      <alignment wrapText="1"/>
    </xf>
    <xf numFmtId="0" fontId="0" fillId="11" borderId="0" xfId="0" applyFont="1" applyFill="1" applyAlignment="1" applyProtection="1"/>
    <xf numFmtId="4" fontId="0" fillId="11" borderId="1" xfId="0" applyNumberFormat="1" applyFont="1" applyFill="1" applyBorder="1" applyAlignment="1" applyProtection="1">
      <alignment horizontal="center" wrapText="1"/>
    </xf>
    <xf numFmtId="0" fontId="0" fillId="11" borderId="22" xfId="0" applyFont="1" applyFill="1" applyBorder="1" applyProtection="1"/>
    <xf numFmtId="0" fontId="0" fillId="11" borderId="6" xfId="0" applyFont="1" applyFill="1" applyBorder="1" applyProtection="1"/>
    <xf numFmtId="0" fontId="0" fillId="11" borderId="7" xfId="0" applyFont="1" applyFill="1" applyBorder="1" applyProtection="1"/>
    <xf numFmtId="0" fontId="0" fillId="11" borderId="1" xfId="0" applyFont="1" applyFill="1" applyBorder="1" applyAlignment="1" applyProtection="1">
      <alignment horizontal="right"/>
    </xf>
    <xf numFmtId="184" fontId="0" fillId="11" borderId="9" xfId="0" applyNumberFormat="1" applyFont="1" applyFill="1" applyBorder="1" applyAlignment="1" applyProtection="1">
      <alignment horizontal="center"/>
    </xf>
    <xf numFmtId="180" fontId="0" fillId="11" borderId="4" xfId="0" applyNumberFormat="1" applyFont="1" applyFill="1" applyBorder="1" applyAlignment="1" applyProtection="1">
      <alignment horizontal="center"/>
    </xf>
    <xf numFmtId="184" fontId="0" fillId="11" borderId="8" xfId="0" applyNumberFormat="1" applyFont="1" applyFill="1" applyBorder="1" applyAlignment="1" applyProtection="1">
      <alignment horizontal="center"/>
    </xf>
    <xf numFmtId="184" fontId="0" fillId="11" borderId="1" xfId="0" applyNumberFormat="1" applyFont="1" applyFill="1" applyBorder="1" applyAlignment="1" applyProtection="1">
      <alignment horizontal="center"/>
    </xf>
    <xf numFmtId="0" fontId="7" fillId="11" borderId="9" xfId="0" applyFont="1" applyFill="1" applyBorder="1" applyAlignment="1" applyProtection="1">
      <alignment wrapText="1"/>
    </xf>
    <xf numFmtId="0" fontId="7" fillId="11" borderId="1" xfId="0" applyFont="1" applyFill="1" applyBorder="1" applyAlignment="1" applyProtection="1">
      <alignment wrapText="1"/>
    </xf>
    <xf numFmtId="0" fontId="7" fillId="11" borderId="8" xfId="0" applyFont="1" applyFill="1" applyBorder="1" applyAlignment="1" applyProtection="1">
      <alignment wrapText="1"/>
    </xf>
    <xf numFmtId="11" fontId="7" fillId="11" borderId="1" xfId="0" applyNumberFormat="1" applyFont="1" applyFill="1" applyBorder="1" applyAlignment="1" applyProtection="1">
      <alignment wrapText="1"/>
    </xf>
    <xf numFmtId="11" fontId="7" fillId="11" borderId="4" xfId="0" applyNumberFormat="1" applyFont="1" applyFill="1" applyBorder="1" applyAlignment="1" applyProtection="1">
      <alignment wrapText="1"/>
    </xf>
    <xf numFmtId="185" fontId="0" fillId="11" borderId="24" xfId="0" applyNumberFormat="1" applyFont="1" applyFill="1" applyBorder="1" applyProtection="1"/>
    <xf numFmtId="185" fontId="0" fillId="11" borderId="23" xfId="4" applyNumberFormat="1" applyFont="1" applyFill="1" applyBorder="1" applyAlignment="1" applyProtection="1">
      <alignment horizontal="right"/>
    </xf>
    <xf numFmtId="185" fontId="0" fillId="11" borderId="1" xfId="0" applyNumberFormat="1" applyFont="1" applyFill="1" applyBorder="1" applyProtection="1"/>
    <xf numFmtId="0" fontId="7" fillId="11" borderId="9" xfId="0" applyNumberFormat="1" applyFont="1" applyFill="1" applyBorder="1" applyAlignment="1" applyProtection="1">
      <alignment wrapText="1"/>
    </xf>
    <xf numFmtId="0" fontId="7" fillId="11" borderId="4" xfId="0" applyFont="1" applyFill="1" applyBorder="1" applyAlignment="1" applyProtection="1">
      <alignment wrapText="1"/>
    </xf>
    <xf numFmtId="0" fontId="7" fillId="11" borderId="8" xfId="0" applyNumberFormat="1" applyFont="1" applyFill="1" applyBorder="1" applyAlignment="1" applyProtection="1">
      <alignment wrapText="1"/>
    </xf>
    <xf numFmtId="0" fontId="7" fillId="11" borderId="1" xfId="0" applyNumberFormat="1" applyFont="1" applyFill="1" applyBorder="1" applyAlignment="1" applyProtection="1">
      <alignment wrapText="1"/>
    </xf>
    <xf numFmtId="185" fontId="7" fillId="11" borderId="8" xfId="0" applyNumberFormat="1" applyFont="1" applyFill="1" applyBorder="1" applyAlignment="1" applyProtection="1">
      <alignment wrapText="1"/>
    </xf>
    <xf numFmtId="193" fontId="0" fillId="11" borderId="1" xfId="0" applyNumberFormat="1" applyFont="1" applyFill="1" applyBorder="1" applyAlignment="1" applyProtection="1">
      <alignment horizontal="center"/>
    </xf>
    <xf numFmtId="176" fontId="7" fillId="11" borderId="5" xfId="0" applyNumberFormat="1" applyFont="1" applyFill="1" applyBorder="1" applyAlignment="1" applyProtection="1">
      <alignment wrapText="1"/>
    </xf>
    <xf numFmtId="4" fontId="7" fillId="11" borderId="1" xfId="0" applyNumberFormat="1" applyFont="1" applyFill="1" applyBorder="1" applyAlignment="1" applyProtection="1">
      <alignment wrapText="1"/>
    </xf>
    <xf numFmtId="0" fontId="10" fillId="11" borderId="0" xfId="0" applyFont="1" applyFill="1" applyAlignment="1" applyProtection="1">
      <alignment horizontal="left" indent="2"/>
    </xf>
    <xf numFmtId="0" fontId="0" fillId="11" borderId="0" xfId="0" applyFont="1" applyFill="1" applyBorder="1" applyAlignment="1" applyProtection="1">
      <alignment horizontal="right"/>
    </xf>
    <xf numFmtId="2" fontId="7" fillId="11" borderId="1" xfId="0" applyNumberFormat="1" applyFont="1" applyFill="1" applyBorder="1" applyAlignment="1" applyProtection="1">
      <alignment wrapText="1"/>
    </xf>
    <xf numFmtId="186" fontId="7" fillId="11" borderId="8" xfId="0" applyNumberFormat="1" applyFont="1" applyFill="1" applyBorder="1" applyAlignment="1" applyProtection="1">
      <alignment wrapText="1"/>
    </xf>
    <xf numFmtId="186" fontId="7" fillId="11" borderId="1" xfId="0" applyNumberFormat="1" applyFont="1" applyFill="1" applyBorder="1" applyAlignment="1" applyProtection="1">
      <alignment wrapText="1"/>
    </xf>
    <xf numFmtId="186" fontId="7" fillId="11" borderId="9" xfId="0" applyNumberFormat="1" applyFont="1" applyFill="1" applyBorder="1" applyAlignment="1" applyProtection="1">
      <alignment wrapText="1"/>
    </xf>
    <xf numFmtId="3" fontId="0" fillId="11" borderId="1" xfId="0" applyNumberFormat="1" applyFont="1" applyFill="1" applyBorder="1" applyAlignment="1" applyProtection="1">
      <alignment horizontal="center" wrapText="1"/>
    </xf>
    <xf numFmtId="3" fontId="0" fillId="17" borderId="1" xfId="0" applyNumberFormat="1" applyFont="1" applyFill="1" applyBorder="1" applyAlignment="1" applyProtection="1">
      <alignment horizontal="center" wrapText="1"/>
    </xf>
    <xf numFmtId="4" fontId="0" fillId="17" borderId="1" xfId="0" applyNumberFormat="1" applyFont="1" applyFill="1" applyBorder="1" applyAlignment="1" applyProtection="1">
      <alignment horizontal="center" wrapText="1"/>
    </xf>
    <xf numFmtId="0" fontId="0" fillId="11" borderId="1" xfId="0" applyFont="1" applyFill="1" applyBorder="1" applyAlignment="1" applyProtection="1">
      <alignment horizontal="center" wrapText="1"/>
    </xf>
    <xf numFmtId="9" fontId="0" fillId="11" borderId="1" xfId="0" applyNumberFormat="1" applyFont="1" applyFill="1" applyBorder="1" applyAlignment="1" applyProtection="1">
      <alignment horizontal="center" wrapText="1"/>
    </xf>
    <xf numFmtId="3" fontId="7" fillId="11" borderId="0" xfId="0" applyNumberFormat="1" applyFont="1" applyFill="1" applyAlignment="1" applyProtection="1">
      <alignment horizontal="center" wrapText="1"/>
    </xf>
    <xf numFmtId="0" fontId="0" fillId="17" borderId="1" xfId="0" applyFont="1" applyFill="1" applyBorder="1" applyAlignment="1" applyProtection="1">
      <alignment horizontal="center" wrapText="1"/>
    </xf>
    <xf numFmtId="4" fontId="7" fillId="11" borderId="0" xfId="0" applyNumberFormat="1" applyFont="1" applyFill="1" applyAlignment="1" applyProtection="1">
      <alignment wrapText="1"/>
    </xf>
    <xf numFmtId="176" fontId="7" fillId="11" borderId="1" xfId="0" applyNumberFormat="1" applyFont="1" applyFill="1" applyBorder="1" applyAlignment="1" applyProtection="1">
      <alignment wrapText="1"/>
    </xf>
    <xf numFmtId="176" fontId="7" fillId="11" borderId="8" xfId="0" applyNumberFormat="1" applyFont="1" applyFill="1" applyBorder="1" applyAlignment="1" applyProtection="1">
      <alignment wrapText="1"/>
    </xf>
    <xf numFmtId="3" fontId="0" fillId="11" borderId="0" xfId="0" applyNumberFormat="1" applyFont="1" applyFill="1" applyAlignment="1" applyProtection="1">
      <alignment horizontal="center" wrapText="1"/>
    </xf>
    <xf numFmtId="0" fontId="0" fillId="17" borderId="1" xfId="0" applyFont="1" applyFill="1" applyBorder="1" applyAlignment="1" applyProtection="1">
      <alignment horizontal="center"/>
    </xf>
    <xf numFmtId="3" fontId="0" fillId="17" borderId="1" xfId="0" applyNumberFormat="1" applyFill="1" applyBorder="1" applyAlignment="1" applyProtection="1">
      <alignment horizontal="center"/>
    </xf>
    <xf numFmtId="0" fontId="0" fillId="11" borderId="38" xfId="0" applyFont="1" applyFill="1" applyBorder="1" applyProtection="1"/>
    <xf numFmtId="183" fontId="7" fillId="11" borderId="1" xfId="0" applyNumberFormat="1" applyFont="1" applyFill="1" applyBorder="1" applyAlignment="1" applyProtection="1">
      <alignment wrapText="1"/>
    </xf>
    <xf numFmtId="187" fontId="0" fillId="11" borderId="1" xfId="0" applyNumberFormat="1" applyFont="1" applyFill="1" applyBorder="1" applyAlignment="1" applyProtection="1">
      <alignment horizontal="center"/>
    </xf>
    <xf numFmtId="0" fontId="0" fillId="11" borderId="1" xfId="0" applyFont="1" applyFill="1" applyBorder="1" applyAlignment="1" applyProtection="1">
      <alignment horizontal="center" vertical="center" wrapText="1"/>
    </xf>
    <xf numFmtId="0" fontId="0" fillId="11" borderId="4" xfId="0" applyNumberFormat="1" applyFont="1" applyFill="1" applyBorder="1" applyAlignment="1" applyProtection="1">
      <alignment horizontal="center"/>
    </xf>
    <xf numFmtId="0" fontId="0" fillId="11" borderId="8" xfId="0" applyNumberFormat="1" applyFont="1" applyFill="1" applyBorder="1" applyAlignment="1" applyProtection="1">
      <alignment horizontal="center"/>
    </xf>
    <xf numFmtId="0" fontId="0" fillId="11" borderId="9" xfId="0" applyNumberFormat="1" applyFont="1" applyFill="1" applyBorder="1" applyAlignment="1" applyProtection="1">
      <alignment horizontal="center"/>
    </xf>
    <xf numFmtId="0" fontId="0" fillId="11" borderId="1" xfId="0" applyNumberFormat="1" applyFont="1" applyFill="1" applyBorder="1" applyAlignment="1" applyProtection="1">
      <alignment horizontal="center" wrapText="1"/>
    </xf>
    <xf numFmtId="0" fontId="0" fillId="11" borderId="0" xfId="0" applyFont="1" applyFill="1" applyBorder="1" applyAlignment="1" applyProtection="1"/>
    <xf numFmtId="176" fontId="7" fillId="11" borderId="17" xfId="0" applyNumberFormat="1" applyFont="1" applyFill="1" applyBorder="1" applyAlignment="1" applyProtection="1">
      <alignment wrapText="1"/>
    </xf>
    <xf numFmtId="176" fontId="7" fillId="11" borderId="15" xfId="0" applyNumberFormat="1" applyFont="1" applyFill="1" applyBorder="1" applyAlignment="1" applyProtection="1">
      <alignment wrapText="1"/>
    </xf>
    <xf numFmtId="176" fontId="0" fillId="11" borderId="1" xfId="0" applyNumberFormat="1" applyFont="1" applyFill="1" applyBorder="1" applyProtection="1"/>
    <xf numFmtId="0" fontId="0" fillId="11" borderId="20" xfId="0" applyNumberFormat="1" applyFont="1" applyFill="1" applyBorder="1" applyProtection="1"/>
    <xf numFmtId="0" fontId="0" fillId="11" borderId="1" xfId="0" applyFill="1" applyBorder="1" applyAlignment="1" applyProtection="1">
      <alignment horizontal="center" vertical="center"/>
    </xf>
    <xf numFmtId="0" fontId="0" fillId="0" borderId="0" xfId="0" applyProtection="1"/>
    <xf numFmtId="0" fontId="19" fillId="11" borderId="0" xfId="0" applyFont="1" applyFill="1" applyProtection="1"/>
    <xf numFmtId="0" fontId="7" fillId="2" borderId="0" xfId="0" applyFont="1" applyFill="1" applyProtection="1"/>
    <xf numFmtId="0" fontId="55" fillId="0" borderId="0" xfId="0" applyFont="1" applyBorder="1" applyAlignment="1" applyProtection="1">
      <alignment horizontal="left" vertical="center"/>
      <protection hidden="1"/>
    </xf>
    <xf numFmtId="0" fontId="56" fillId="0" borderId="0" xfId="0" applyFont="1"/>
    <xf numFmtId="0" fontId="0" fillId="11" borderId="1" xfId="0" applyFont="1" applyFill="1" applyBorder="1" applyAlignment="1" applyProtection="1">
      <alignment horizontal="center"/>
    </xf>
    <xf numFmtId="0" fontId="0" fillId="0" borderId="41" xfId="0" applyFill="1" applyBorder="1"/>
    <xf numFmtId="166" fontId="2" fillId="0" borderId="41" xfId="1" applyFont="1" applyFill="1" applyBorder="1" applyAlignment="1">
      <alignment horizontal="center"/>
    </xf>
    <xf numFmtId="166" fontId="2" fillId="0" borderId="41" xfId="1" applyFont="1" applyFill="1" applyBorder="1" applyAlignment="1">
      <alignment horizontal="right"/>
    </xf>
    <xf numFmtId="0" fontId="0" fillId="22" borderId="21" xfId="0" applyFill="1" applyBorder="1"/>
    <xf numFmtId="0" fontId="7" fillId="22" borderId="21" xfId="0" applyFont="1" applyFill="1" applyBorder="1" applyAlignment="1">
      <alignment horizontal="right"/>
    </xf>
    <xf numFmtId="0" fontId="7" fillId="22" borderId="21" xfId="0" applyFont="1" applyFill="1" applyBorder="1"/>
    <xf numFmtId="0" fontId="0" fillId="6" borderId="21" xfId="0" applyFill="1" applyBorder="1"/>
    <xf numFmtId="0" fontId="0" fillId="11" borderId="1" xfId="0" applyFill="1" applyBorder="1" applyAlignment="1" applyProtection="1">
      <alignment horizontal="right" wrapText="1"/>
    </xf>
    <xf numFmtId="166" fontId="0" fillId="0" borderId="21" xfId="1" applyFont="1" applyBorder="1"/>
    <xf numFmtId="0" fontId="0" fillId="11" borderId="1" xfId="0" applyFill="1" applyBorder="1" applyAlignment="1" applyProtection="1">
      <alignment horizontal="center"/>
    </xf>
    <xf numFmtId="4" fontId="0" fillId="11" borderId="1" xfId="0" applyNumberFormat="1" applyFill="1" applyBorder="1" applyAlignment="1" applyProtection="1">
      <alignment horizontal="center" wrapText="1"/>
    </xf>
    <xf numFmtId="177" fontId="0" fillId="11" borderId="1" xfId="1" applyNumberFormat="1" applyFont="1" applyFill="1" applyBorder="1" applyProtection="1"/>
    <xf numFmtId="202" fontId="0" fillId="11" borderId="1" xfId="0" applyNumberFormat="1" applyFont="1" applyFill="1" applyBorder="1" applyProtection="1"/>
    <xf numFmtId="164" fontId="0" fillId="11" borderId="1" xfId="0" applyNumberFormat="1" applyFont="1" applyFill="1" applyBorder="1" applyProtection="1"/>
    <xf numFmtId="4" fontId="0" fillId="11" borderId="1" xfId="0" applyNumberFormat="1" applyFont="1" applyFill="1" applyBorder="1" applyAlignment="1" applyProtection="1">
      <alignment horizontal="right" wrapText="1"/>
    </xf>
    <xf numFmtId="0" fontId="0" fillId="11" borderId="1" xfId="0" applyFont="1" applyFill="1" applyBorder="1" applyAlignment="1" applyProtection="1">
      <alignment horizontal="right" wrapText="1"/>
    </xf>
    <xf numFmtId="203" fontId="0" fillId="11" borderId="1" xfId="1" applyNumberFormat="1" applyFont="1" applyFill="1" applyBorder="1" applyProtection="1"/>
    <xf numFmtId="0" fontId="0" fillId="0" borderId="0" xfId="0" applyFont="1" applyAlignment="1">
      <alignment horizontal="left" vertical="center" wrapText="1"/>
    </xf>
    <xf numFmtId="0" fontId="7" fillId="23" borderId="42" xfId="0" applyFont="1" applyFill="1" applyBorder="1"/>
    <xf numFmtId="0" fontId="7" fillId="23" borderId="0" xfId="0" applyFont="1" applyFill="1" applyBorder="1"/>
    <xf numFmtId="0" fontId="7" fillId="13" borderId="1" xfId="0" applyFont="1" applyFill="1" applyBorder="1" applyAlignment="1" applyProtection="1">
      <alignment horizontal="center" vertical="center" wrapText="1"/>
      <protection hidden="1"/>
    </xf>
    <xf numFmtId="0" fontId="7" fillId="13" borderId="1" xfId="0" applyFont="1" applyFill="1" applyBorder="1" applyAlignment="1" applyProtection="1">
      <alignment horizontal="center" vertical="center"/>
      <protection hidden="1"/>
    </xf>
    <xf numFmtId="177" fontId="7" fillId="4" borderId="1" xfId="1" applyNumberFormat="1" applyFont="1" applyFill="1" applyBorder="1" applyAlignment="1" applyProtection="1">
      <alignment vertical="center"/>
      <protection hidden="1"/>
    </xf>
    <xf numFmtId="177" fontId="2" fillId="0" borderId="1" xfId="1" applyNumberFormat="1" applyFont="1" applyBorder="1" applyAlignment="1" applyProtection="1">
      <alignment vertical="center"/>
      <protection hidden="1"/>
    </xf>
    <xf numFmtId="0" fontId="0" fillId="11" borderId="1" xfId="0" applyFont="1" applyFill="1" applyBorder="1" applyAlignment="1" applyProtection="1">
      <alignment horizontal="center"/>
    </xf>
    <xf numFmtId="165" fontId="0" fillId="17" borderId="1" xfId="0" applyNumberFormat="1" applyFont="1" applyFill="1" applyBorder="1" applyAlignment="1" applyProtection="1"/>
    <xf numFmtId="198" fontId="0" fillId="11" borderId="12" xfId="0" applyNumberFormat="1" applyFont="1" applyFill="1" applyBorder="1" applyProtection="1"/>
    <xf numFmtId="3" fontId="0" fillId="11" borderId="0" xfId="0" applyNumberFormat="1" applyFont="1" applyFill="1" applyAlignment="1" applyProtection="1"/>
    <xf numFmtId="0" fontId="0" fillId="11" borderId="4" xfId="0" applyFont="1" applyFill="1" applyBorder="1" applyAlignment="1" applyProtection="1">
      <alignment wrapText="1"/>
    </xf>
    <xf numFmtId="0" fontId="0" fillId="11" borderId="30" xfId="0" applyFont="1" applyFill="1" applyBorder="1" applyAlignment="1" applyProtection="1">
      <alignment horizontal="right"/>
    </xf>
    <xf numFmtId="0" fontId="0" fillId="11" borderId="30" xfId="0" applyFill="1" applyBorder="1" applyAlignment="1" applyProtection="1">
      <alignment horizontal="right"/>
    </xf>
    <xf numFmtId="204" fontId="0" fillId="11" borderId="1" xfId="0" applyNumberFormat="1" applyFont="1" applyFill="1" applyBorder="1" applyProtection="1"/>
    <xf numFmtId="0" fontId="0" fillId="16" borderId="4" xfId="0" applyFill="1" applyBorder="1" applyProtection="1"/>
    <xf numFmtId="0" fontId="0" fillId="16" borderId="17" xfId="0" applyFill="1" applyBorder="1" applyProtection="1"/>
    <xf numFmtId="0" fontId="0" fillId="16" borderId="5" xfId="0" applyFill="1" applyBorder="1" applyProtection="1"/>
    <xf numFmtId="0" fontId="0" fillId="16" borderId="17" xfId="0" applyFill="1" applyBorder="1" applyAlignment="1" applyProtection="1">
      <alignment horizontal="right"/>
    </xf>
    <xf numFmtId="0" fontId="0" fillId="16" borderId="1" xfId="0" applyFill="1" applyBorder="1" applyProtection="1"/>
    <xf numFmtId="205" fontId="0" fillId="11" borderId="1" xfId="0" applyNumberFormat="1" applyFill="1" applyBorder="1" applyAlignment="1" applyProtection="1">
      <alignment vertical="center"/>
      <protection hidden="1"/>
    </xf>
    <xf numFmtId="195" fontId="28" fillId="11" borderId="1" xfId="0" applyNumberFormat="1" applyFont="1" applyFill="1" applyBorder="1" applyAlignment="1" applyProtection="1">
      <alignment vertical="center"/>
      <protection hidden="1"/>
    </xf>
    <xf numFmtId="0" fontId="0" fillId="5" borderId="43" xfId="0" applyFill="1" applyBorder="1"/>
    <xf numFmtId="178" fontId="0" fillId="11" borderId="1" xfId="0" applyNumberFormat="1" applyFont="1" applyFill="1" applyBorder="1" applyAlignment="1" applyProtection="1">
      <alignment vertical="center"/>
      <protection hidden="1"/>
    </xf>
    <xf numFmtId="0" fontId="0" fillId="0" borderId="0" xfId="0" applyFont="1" applyFill="1" applyBorder="1" applyAlignment="1" applyProtection="1">
      <alignment horizontal="center" textRotation="90"/>
      <protection hidden="1"/>
    </xf>
    <xf numFmtId="0" fontId="0" fillId="0" borderId="0" xfId="0" applyFont="1" applyBorder="1" applyAlignment="1" applyProtection="1">
      <alignment horizontal="center" textRotation="90"/>
      <protection hidden="1"/>
    </xf>
    <xf numFmtId="40" fontId="0" fillId="19" borderId="0" xfId="0" applyNumberFormat="1" applyFont="1" applyFill="1" applyBorder="1" applyAlignment="1" applyProtection="1">
      <alignment horizontal="center" textRotation="90"/>
      <protection hidden="1"/>
    </xf>
    <xf numFmtId="0" fontId="0" fillId="0" borderId="0" xfId="0" applyFont="1" applyFill="1" applyBorder="1" applyAlignment="1" applyProtection="1">
      <alignment horizontal="center" textRotation="90"/>
    </xf>
    <xf numFmtId="0" fontId="0" fillId="22" borderId="0" xfId="0" applyFont="1" applyFill="1" applyBorder="1" applyAlignment="1" applyProtection="1">
      <alignment horizontal="center" textRotation="90"/>
    </xf>
    <xf numFmtId="0" fontId="0" fillId="0" borderId="0" xfId="0" applyAlignment="1" applyProtection="1">
      <alignment horizontal="left"/>
    </xf>
    <xf numFmtId="0" fontId="0" fillId="0" borderId="0" xfId="0" applyAlignment="1" applyProtection="1"/>
    <xf numFmtId="0" fontId="0" fillId="24" borderId="0" xfId="0" applyFont="1" applyFill="1" applyBorder="1" applyAlignment="1" applyProtection="1">
      <alignment horizontal="center" textRotation="90"/>
      <protection hidden="1"/>
    </xf>
    <xf numFmtId="0" fontId="0" fillId="0" borderId="12" xfId="0" applyBorder="1" applyAlignment="1" applyProtection="1"/>
    <xf numFmtId="0" fontId="0" fillId="0" borderId="14" xfId="0" applyBorder="1" applyAlignment="1" applyProtection="1"/>
    <xf numFmtId="0" fontId="0" fillId="0" borderId="11" xfId="0" applyBorder="1" applyAlignment="1" applyProtection="1"/>
    <xf numFmtId="0" fontId="0" fillId="0" borderId="15" xfId="0" applyBorder="1" applyAlignment="1" applyProtection="1"/>
    <xf numFmtId="0" fontId="0" fillId="0" borderId="0" xfId="0" applyBorder="1" applyAlignment="1" applyProtection="1"/>
    <xf numFmtId="0" fontId="0" fillId="0" borderId="16" xfId="0" applyBorder="1" applyAlignment="1" applyProtection="1"/>
    <xf numFmtId="0" fontId="0" fillId="24" borderId="15" xfId="0" applyFont="1" applyFill="1" applyBorder="1" applyAlignment="1" applyProtection="1">
      <alignment horizontal="center" textRotation="90"/>
      <protection hidden="1"/>
    </xf>
    <xf numFmtId="0" fontId="0" fillId="0" borderId="16" xfId="0" applyFont="1" applyFill="1" applyBorder="1" applyAlignment="1" applyProtection="1">
      <alignment horizontal="center" textRotation="90"/>
      <protection hidden="1"/>
    </xf>
    <xf numFmtId="0" fontId="16" fillId="0" borderId="1" xfId="0" applyFont="1" applyFill="1" applyBorder="1" applyAlignment="1" applyProtection="1">
      <alignment horizontal="center"/>
      <protection locked="0"/>
    </xf>
    <xf numFmtId="2" fontId="0" fillId="24" borderId="3" xfId="0" applyNumberFormat="1" applyFont="1" applyFill="1" applyBorder="1" applyAlignment="1" applyProtection="1">
      <alignment horizontal="center" textRotation="90"/>
    </xf>
    <xf numFmtId="2" fontId="0" fillId="5" borderId="10" xfId="0" applyNumberFormat="1" applyFont="1" applyFill="1" applyBorder="1" applyAlignment="1" applyProtection="1">
      <alignment horizontal="center" textRotation="90"/>
    </xf>
    <xf numFmtId="2" fontId="0" fillId="5" borderId="0" xfId="0" applyNumberFormat="1" applyFont="1" applyFill="1" applyBorder="1" applyAlignment="1" applyProtection="1">
      <alignment horizontal="center" textRotation="90" wrapText="1"/>
    </xf>
    <xf numFmtId="2" fontId="0" fillId="0" borderId="0" xfId="0" applyNumberFormat="1" applyFont="1" applyFill="1" applyBorder="1" applyAlignment="1" applyProtection="1">
      <alignment horizontal="center" textRotation="90" wrapText="1"/>
    </xf>
    <xf numFmtId="2" fontId="0" fillId="5" borderId="0" xfId="0" applyNumberFormat="1" applyFont="1" applyFill="1" applyBorder="1" applyAlignment="1" applyProtection="1">
      <alignment horizontal="center" textRotation="90"/>
    </xf>
    <xf numFmtId="0" fontId="0" fillId="0" borderId="0" xfId="0" applyFont="1" applyFill="1" applyBorder="1" applyAlignment="1" applyProtection="1">
      <alignment horizontal="left" textRotation="90"/>
    </xf>
    <xf numFmtId="3" fontId="0" fillId="0" borderId="0" xfId="0" applyNumberFormat="1" applyFont="1" applyFill="1" applyBorder="1" applyAlignment="1" applyProtection="1">
      <alignment horizontal="right" textRotation="90"/>
    </xf>
    <xf numFmtId="3" fontId="0" fillId="0" borderId="0" xfId="0" applyNumberFormat="1" applyFont="1" applyFill="1" applyBorder="1" applyAlignment="1" applyProtection="1">
      <alignment horizontal="left" textRotation="90"/>
    </xf>
    <xf numFmtId="3" fontId="0" fillId="0" borderId="0" xfId="0" applyNumberFormat="1" applyFont="1" applyFill="1" applyBorder="1" applyAlignment="1" applyProtection="1">
      <alignment horizontal="center" textRotation="90"/>
    </xf>
    <xf numFmtId="9" fontId="0" fillId="0" borderId="0" xfId="3" applyFont="1" applyFill="1" applyBorder="1" applyAlignment="1" applyProtection="1">
      <alignment horizontal="right" textRotation="90"/>
    </xf>
    <xf numFmtId="174" fontId="0" fillId="22" borderId="0" xfId="0" applyNumberFormat="1" applyFont="1" applyFill="1" applyBorder="1" applyAlignment="1" applyProtection="1">
      <alignment horizontal="center" textRotation="90"/>
    </xf>
    <xf numFmtId="9" fontId="0" fillId="0" borderId="0" xfId="3" applyFont="1" applyFill="1" applyBorder="1" applyAlignment="1" applyProtection="1">
      <alignment horizontal="center" textRotation="90"/>
    </xf>
    <xf numFmtId="3" fontId="16" fillId="0" borderId="0" xfId="0" applyNumberFormat="1" applyFont="1" applyFill="1" applyBorder="1" applyAlignment="1" applyProtection="1">
      <alignment horizontal="center" textRotation="90"/>
    </xf>
    <xf numFmtId="0" fontId="16" fillId="0" borderId="0" xfId="0" applyFont="1" applyFill="1" applyBorder="1" applyAlignment="1" applyProtection="1">
      <alignment horizontal="center" textRotation="90"/>
    </xf>
    <xf numFmtId="9" fontId="16" fillId="0" borderId="0" xfId="0" applyNumberFormat="1" applyFont="1" applyFill="1" applyBorder="1" applyAlignment="1" applyProtection="1">
      <alignment horizontal="center" textRotation="90"/>
    </xf>
    <xf numFmtId="1" fontId="16" fillId="0" borderId="0" xfId="3" applyNumberFormat="1" applyFont="1" applyFill="1" applyBorder="1" applyAlignment="1" applyProtection="1">
      <alignment horizontal="center" textRotation="90"/>
    </xf>
    <xf numFmtId="1" fontId="16" fillId="0" borderId="0" xfId="0" applyNumberFormat="1" applyFont="1" applyFill="1" applyBorder="1" applyAlignment="1" applyProtection="1">
      <alignment horizontal="center" textRotation="90"/>
    </xf>
    <xf numFmtId="2" fontId="0" fillId="5" borderId="0" xfId="1" applyNumberFormat="1" applyFont="1" applyFill="1" applyBorder="1" applyAlignment="1" applyProtection="1">
      <alignment horizontal="center" textRotation="90"/>
    </xf>
    <xf numFmtId="2" fontId="0" fillId="0" borderId="0" xfId="1" applyNumberFormat="1" applyFont="1" applyFill="1" applyBorder="1" applyAlignment="1" applyProtection="1">
      <alignment horizontal="center" textRotation="90"/>
    </xf>
    <xf numFmtId="2" fontId="0" fillId="24" borderId="2" xfId="1" applyNumberFormat="1" applyFont="1" applyFill="1" applyBorder="1" applyAlignment="1" applyProtection="1">
      <alignment horizontal="center" textRotation="90"/>
    </xf>
    <xf numFmtId="4" fontId="0" fillId="0" borderId="0" xfId="0" applyNumberFormat="1" applyFont="1" applyFill="1" applyBorder="1" applyAlignment="1" applyProtection="1">
      <alignment horizontal="center" textRotation="90"/>
    </xf>
    <xf numFmtId="0" fontId="8" fillId="16" borderId="17" xfId="0" applyFont="1" applyFill="1" applyBorder="1" applyProtection="1">
      <protection hidden="1"/>
    </xf>
    <xf numFmtId="14" fontId="9" fillId="4" borderId="0" xfId="0" applyNumberFormat="1" applyFont="1" applyFill="1" applyBorder="1" applyAlignment="1" applyProtection="1">
      <alignment horizontal="left"/>
    </xf>
    <xf numFmtId="0" fontId="8" fillId="5" borderId="0" xfId="0" applyFont="1" applyFill="1" applyBorder="1" applyProtection="1"/>
    <xf numFmtId="0" fontId="8" fillId="2" borderId="0" xfId="0" applyFont="1" applyFill="1" applyAlignment="1" applyProtection="1">
      <alignment horizontal="left"/>
    </xf>
    <xf numFmtId="0" fontId="6" fillId="2" borderId="0" xfId="0" applyFont="1" applyFill="1" applyBorder="1" applyAlignment="1" applyProtection="1">
      <alignment horizontal="left"/>
    </xf>
    <xf numFmtId="0" fontId="6" fillId="16" borderId="5" xfId="0" applyFont="1" applyFill="1" applyBorder="1" applyAlignment="1" applyProtection="1">
      <alignment horizontal="left"/>
    </xf>
    <xf numFmtId="0" fontId="8" fillId="18" borderId="1" xfId="0" applyFont="1" applyFill="1" applyBorder="1" applyProtection="1">
      <protection hidden="1"/>
    </xf>
    <xf numFmtId="0" fontId="48" fillId="21" borderId="1" xfId="0" applyFont="1" applyFill="1" applyBorder="1" applyAlignment="1" applyProtection="1">
      <alignment horizontal="right"/>
    </xf>
    <xf numFmtId="3" fontId="8" fillId="2" borderId="1" xfId="0" applyNumberFormat="1" applyFont="1" applyFill="1" applyBorder="1" applyProtection="1"/>
    <xf numFmtId="0" fontId="8" fillId="16" borderId="14" xfId="0" applyFont="1" applyFill="1" applyBorder="1" applyProtection="1"/>
    <xf numFmtId="0" fontId="8" fillId="16" borderId="0" xfId="0" applyFont="1" applyFill="1" applyBorder="1" applyProtection="1"/>
    <xf numFmtId="0" fontId="8" fillId="16" borderId="3" xfId="0" applyFont="1" applyFill="1" applyBorder="1" applyProtection="1"/>
    <xf numFmtId="0" fontId="8" fillId="18" borderId="4" xfId="0" applyFont="1" applyFill="1" applyBorder="1" applyProtection="1">
      <protection hidden="1"/>
    </xf>
    <xf numFmtId="0" fontId="8" fillId="16" borderId="17" xfId="0" applyFont="1" applyFill="1" applyBorder="1" applyProtection="1"/>
    <xf numFmtId="0" fontId="0" fillId="16" borderId="0" xfId="0" applyFill="1" applyBorder="1" applyProtection="1"/>
    <xf numFmtId="0" fontId="8" fillId="16" borderId="11" xfId="0" applyFont="1" applyFill="1" applyBorder="1" applyProtection="1"/>
    <xf numFmtId="0" fontId="8" fillId="16" borderId="10" xfId="0" applyFont="1" applyFill="1" applyBorder="1" applyProtection="1"/>
    <xf numFmtId="0" fontId="8" fillId="16" borderId="5" xfId="0" applyFont="1" applyFill="1" applyBorder="1" applyProtection="1"/>
    <xf numFmtId="177" fontId="8" fillId="2" borderId="0" xfId="0" applyNumberFormat="1" applyFont="1" applyFill="1" applyBorder="1" applyProtection="1"/>
    <xf numFmtId="177" fontId="8" fillId="2" borderId="1" xfId="1" applyNumberFormat="1" applyFont="1" applyFill="1" applyBorder="1" applyProtection="1"/>
    <xf numFmtId="0" fontId="14" fillId="2" borderId="0" xfId="0" applyFont="1" applyFill="1" applyBorder="1" applyProtection="1"/>
    <xf numFmtId="0" fontId="0" fillId="0" borderId="0" xfId="0" applyAlignment="1" applyProtection="1">
      <protection locked="0"/>
    </xf>
    <xf numFmtId="0" fontId="0" fillId="0" borderId="0" xfId="0" applyFont="1" applyFill="1" applyBorder="1" applyAlignment="1" applyProtection="1">
      <alignment horizontal="center" textRotation="90"/>
      <protection locked="0"/>
    </xf>
    <xf numFmtId="0" fontId="0" fillId="0" borderId="0" xfId="0" applyFont="1" applyFill="1" applyBorder="1" applyAlignment="1" applyProtection="1">
      <alignment textRotation="90"/>
      <protection locked="0"/>
    </xf>
    <xf numFmtId="0" fontId="0" fillId="0" borderId="0" xfId="0" applyProtection="1">
      <protection locked="0"/>
    </xf>
    <xf numFmtId="0" fontId="0" fillId="0" borderId="0" xfId="0" applyAlignment="1" applyProtection="1">
      <alignment textRotation="90"/>
    </xf>
    <xf numFmtId="3" fontId="0" fillId="0" borderId="0" xfId="0" applyNumberFormat="1" applyAlignment="1" applyProtection="1">
      <alignment textRotation="90"/>
    </xf>
    <xf numFmtId="4" fontId="0" fillId="0" borderId="0" xfId="0" applyNumberFormat="1" applyAlignment="1" applyProtection="1">
      <alignment textRotation="90"/>
    </xf>
    <xf numFmtId="1" fontId="0" fillId="0" borderId="0" xfId="0" applyNumberFormat="1" applyAlignment="1" applyProtection="1">
      <alignment textRotation="90"/>
    </xf>
    <xf numFmtId="2" fontId="8" fillId="12" borderId="1" xfId="0" applyNumberFormat="1" applyFont="1" applyFill="1" applyBorder="1" applyAlignment="1" applyProtection="1">
      <alignment horizontal="center"/>
    </xf>
    <xf numFmtId="172" fontId="0" fillId="11" borderId="1" xfId="0" applyNumberFormat="1" applyFont="1" applyFill="1" applyBorder="1" applyAlignment="1" applyProtection="1">
      <alignment horizontal="center" vertical="center"/>
    </xf>
    <xf numFmtId="183" fontId="0" fillId="11" borderId="1" xfId="0" applyNumberFormat="1" applyFont="1" applyFill="1" applyBorder="1" applyAlignment="1" applyProtection="1">
      <alignment vertical="center"/>
    </xf>
    <xf numFmtId="168" fontId="0" fillId="11" borderId="1" xfId="0" applyNumberFormat="1" applyFont="1" applyFill="1" applyBorder="1" applyAlignment="1" applyProtection="1">
      <alignment horizontal="center" vertical="center"/>
    </xf>
    <xf numFmtId="170" fontId="0" fillId="11" borderId="1" xfId="0" applyNumberFormat="1" applyFont="1" applyFill="1" applyBorder="1" applyAlignment="1" applyProtection="1">
      <alignment horizontal="center" vertical="center"/>
    </xf>
    <xf numFmtId="167" fontId="0" fillId="11" borderId="1" xfId="0" applyNumberFormat="1" applyFont="1" applyFill="1" applyBorder="1" applyAlignment="1" applyProtection="1">
      <alignment vertical="center"/>
    </xf>
    <xf numFmtId="168" fontId="0" fillId="11" borderId="1" xfId="0" applyNumberFormat="1" applyFont="1" applyFill="1" applyBorder="1" applyAlignment="1" applyProtection="1">
      <alignment horizontal="center" vertical="center" wrapText="1"/>
    </xf>
    <xf numFmtId="182" fontId="0" fillId="11" borderId="1" xfId="0" applyNumberFormat="1" applyFont="1" applyFill="1" applyBorder="1" applyAlignment="1" applyProtection="1">
      <alignment vertical="center"/>
    </xf>
    <xf numFmtId="0" fontId="0" fillId="11" borderId="1" xfId="0" applyFont="1" applyFill="1" applyBorder="1" applyAlignment="1" applyProtection="1">
      <alignment vertical="center"/>
    </xf>
    <xf numFmtId="2" fontId="0" fillId="25" borderId="1" xfId="0" applyNumberFormat="1" applyFont="1" applyFill="1" applyBorder="1" applyAlignment="1" applyProtection="1">
      <alignment vertical="center"/>
    </xf>
    <xf numFmtId="0" fontId="0" fillId="25" borderId="1" xfId="0" applyFont="1" applyFill="1" applyBorder="1" applyProtection="1"/>
    <xf numFmtId="194" fontId="0" fillId="0" borderId="21" xfId="0" applyNumberFormat="1" applyBorder="1"/>
    <xf numFmtId="0" fontId="0" fillId="0" borderId="0" xfId="0" applyFont="1" applyAlignment="1" applyProtection="1">
      <alignment horizontal="left" vertical="center" wrapText="1"/>
      <protection locked="0"/>
    </xf>
    <xf numFmtId="0" fontId="0" fillId="0" borderId="0" xfId="0" applyFont="1" applyProtection="1">
      <protection locked="0"/>
    </xf>
    <xf numFmtId="3" fontId="6" fillId="12" borderId="1" xfId="0" applyNumberFormat="1" applyFont="1" applyFill="1" applyBorder="1" applyAlignment="1">
      <alignment horizontal="right" indent="1"/>
    </xf>
    <xf numFmtId="0" fontId="7" fillId="4" borderId="17" xfId="0" applyFont="1" applyFill="1" applyBorder="1" applyAlignment="1" applyProtection="1">
      <alignment horizontal="right" vertical="center" wrapText="1"/>
      <protection hidden="1"/>
    </xf>
    <xf numFmtId="0" fontId="7" fillId="4" borderId="4" xfId="0" applyFont="1" applyFill="1" applyBorder="1" applyAlignment="1" applyProtection="1">
      <alignment horizontal="right" vertical="center" wrapText="1"/>
      <protection hidden="1"/>
    </xf>
    <xf numFmtId="177" fontId="23" fillId="0" borderId="21" xfId="1" applyNumberFormat="1" applyFont="1" applyBorder="1" applyAlignment="1">
      <alignment horizontal="right"/>
    </xf>
    <xf numFmtId="177" fontId="2" fillId="0" borderId="41" xfId="1" applyNumberFormat="1" applyFont="1" applyFill="1" applyBorder="1" applyAlignment="1">
      <alignment horizontal="right"/>
    </xf>
    <xf numFmtId="173" fontId="23" fillId="5" borderId="21" xfId="1" applyNumberFormat="1" applyFont="1" applyFill="1" applyBorder="1" applyAlignment="1">
      <alignment horizontal="right"/>
    </xf>
    <xf numFmtId="166" fontId="2" fillId="5" borderId="41" xfId="1" applyFont="1" applyFill="1" applyBorder="1" applyAlignment="1">
      <alignment horizontal="right"/>
    </xf>
    <xf numFmtId="0" fontId="4" fillId="0" borderId="4" xfId="0" applyFont="1" applyFill="1" applyBorder="1" applyAlignment="1" applyProtection="1">
      <alignment horizontal="center" vertical="center"/>
      <protection hidden="1"/>
    </xf>
    <xf numFmtId="0" fontId="7" fillId="4" borderId="4" xfId="0" applyFont="1" applyFill="1" applyBorder="1" applyAlignment="1" applyProtection="1">
      <alignment horizontal="right" vertical="center"/>
      <protection hidden="1"/>
    </xf>
    <xf numFmtId="0" fontId="7" fillId="4" borderId="17" xfId="0" applyFont="1" applyFill="1" applyBorder="1" applyAlignment="1" applyProtection="1">
      <alignment horizontal="right" vertical="center"/>
      <protection hidden="1"/>
    </xf>
    <xf numFmtId="0" fontId="7" fillId="13" borderId="18" xfId="0" applyFont="1" applyFill="1" applyBorder="1" applyAlignment="1" applyProtection="1">
      <alignment horizontal="center" vertical="center"/>
      <protection hidden="1"/>
    </xf>
    <xf numFmtId="171" fontId="7" fillId="4" borderId="1" xfId="3" applyNumberFormat="1" applyFont="1" applyFill="1" applyBorder="1" applyAlignment="1" applyProtection="1">
      <alignment horizontal="right" vertical="center"/>
      <protection hidden="1"/>
    </xf>
    <xf numFmtId="0" fontId="0" fillId="4" borderId="17" xfId="0" applyFill="1" applyBorder="1" applyAlignment="1" applyProtection="1">
      <alignment vertical="center"/>
      <protection hidden="1"/>
    </xf>
    <xf numFmtId="40" fontId="7" fillId="13" borderId="1" xfId="0" applyNumberFormat="1" applyFont="1" applyFill="1" applyBorder="1" applyAlignment="1" applyProtection="1">
      <alignment horizontal="center" vertical="center" wrapText="1"/>
      <protection hidden="1"/>
    </xf>
    <xf numFmtId="0" fontId="0" fillId="0" borderId="0" xfId="0" applyBorder="1" applyAlignment="1" applyProtection="1">
      <alignment horizontal="left"/>
      <protection hidden="1"/>
    </xf>
    <xf numFmtId="205" fontId="2" fillId="19" borderId="1" xfId="1" applyNumberFormat="1" applyFont="1" applyFill="1" applyBorder="1" applyAlignment="1" applyProtection="1">
      <alignment vertical="center"/>
      <protection hidden="1"/>
    </xf>
    <xf numFmtId="177" fontId="2" fillId="19" borderId="1" xfId="1" applyNumberFormat="1" applyFont="1" applyFill="1" applyBorder="1" applyAlignment="1" applyProtection="1">
      <alignment vertical="center"/>
      <protection hidden="1"/>
    </xf>
    <xf numFmtId="10" fontId="0" fillId="19" borderId="1" xfId="3" applyNumberFormat="1" applyFont="1" applyFill="1" applyBorder="1" applyAlignment="1" applyProtection="1">
      <alignment horizontal="right" vertical="center"/>
      <protection hidden="1"/>
    </xf>
    <xf numFmtId="205" fontId="0" fillId="19" borderId="1" xfId="0" applyNumberFormat="1" applyFill="1" applyBorder="1" applyAlignment="1" applyProtection="1">
      <alignment vertical="center"/>
      <protection hidden="1"/>
    </xf>
    <xf numFmtId="178" fontId="0" fillId="19" borderId="1" xfId="0" applyNumberFormat="1" applyFill="1" applyBorder="1" applyAlignment="1" applyProtection="1">
      <alignment vertical="center"/>
      <protection hidden="1"/>
    </xf>
    <xf numFmtId="0" fontId="0" fillId="0" borderId="5" xfId="0" applyBorder="1" applyAlignment="1" applyProtection="1">
      <alignment horizontal="center" vertical="center"/>
      <protection hidden="1"/>
    </xf>
    <xf numFmtId="0" fontId="0" fillId="19" borderId="5" xfId="0" applyFill="1" applyBorder="1" applyAlignment="1" applyProtection="1">
      <alignment horizontal="center" vertical="center"/>
      <protection hidden="1"/>
    </xf>
    <xf numFmtId="0" fontId="7" fillId="4" borderId="3" xfId="0" applyFont="1" applyFill="1" applyBorder="1" applyAlignment="1" applyProtection="1">
      <alignment horizontal="right" vertical="center" wrapText="1"/>
      <protection hidden="1"/>
    </xf>
    <xf numFmtId="0" fontId="0" fillId="0" borderId="4" xfId="0" applyBorder="1" applyAlignment="1" applyProtection="1">
      <alignment horizontal="right"/>
      <protection hidden="1"/>
    </xf>
    <xf numFmtId="0" fontId="0" fillId="0" borderId="5" xfId="0" applyFill="1" applyBorder="1" applyAlignment="1" applyProtection="1">
      <alignment vertical="center"/>
      <protection hidden="1"/>
    </xf>
    <xf numFmtId="0" fontId="7" fillId="4" borderId="0" xfId="0" applyFont="1" applyFill="1" applyBorder="1" applyAlignment="1" applyProtection="1">
      <alignment horizontal="right" vertical="center" wrapText="1"/>
      <protection hidden="1"/>
    </xf>
    <xf numFmtId="0" fontId="4" fillId="0" borderId="1" xfId="0" applyFont="1" applyBorder="1" applyAlignment="1" applyProtection="1">
      <alignment horizontal="right"/>
      <protection hidden="1"/>
    </xf>
    <xf numFmtId="0" fontId="0" fillId="0" borderId="5" xfId="0" applyFont="1" applyFill="1" applyBorder="1" applyAlignment="1" applyProtection="1">
      <alignment horizontal="left"/>
      <protection hidden="1"/>
    </xf>
    <xf numFmtId="0" fontId="7" fillId="0" borderId="18" xfId="0" applyFont="1" applyFill="1" applyBorder="1" applyAlignment="1" applyProtection="1">
      <alignment horizontal="left" vertical="center"/>
      <protection hidden="1"/>
    </xf>
    <xf numFmtId="0" fontId="7" fillId="0" borderId="0" xfId="0" applyFont="1" applyProtection="1">
      <protection hidden="1"/>
    </xf>
    <xf numFmtId="38" fontId="7" fillId="0" borderId="18" xfId="0" applyNumberFormat="1" applyFont="1" applyFill="1" applyBorder="1" applyAlignment="1" applyProtection="1">
      <alignment vertical="center"/>
      <protection hidden="1"/>
    </xf>
    <xf numFmtId="40" fontId="7" fillId="0" borderId="18" xfId="0" applyNumberFormat="1" applyFont="1" applyFill="1" applyBorder="1" applyAlignment="1" applyProtection="1">
      <alignment vertical="center"/>
      <protection hidden="1"/>
    </xf>
    <xf numFmtId="189" fontId="57" fillId="0" borderId="0" xfId="0" applyNumberFormat="1" applyFont="1" applyAlignment="1">
      <alignment horizontal="center" vertical="center"/>
    </xf>
    <xf numFmtId="1" fontId="57" fillId="0" borderId="0" xfId="0" applyNumberFormat="1" applyFont="1" applyAlignment="1" applyProtection="1">
      <alignment horizontal="center" vertical="center"/>
      <protection hidden="1"/>
    </xf>
    <xf numFmtId="10" fontId="0" fillId="0" borderId="18" xfId="0" applyNumberFormat="1" applyFont="1" applyBorder="1" applyAlignment="1" applyProtection="1">
      <alignment horizontal="right"/>
      <protection hidden="1"/>
    </xf>
    <xf numFmtId="10" fontId="0" fillId="0" borderId="19" xfId="0" applyNumberFormat="1" applyFont="1" applyFill="1" applyBorder="1" applyAlignment="1" applyProtection="1">
      <alignment horizontal="right" vertical="center"/>
      <protection hidden="1"/>
    </xf>
    <xf numFmtId="10" fontId="0" fillId="0" borderId="20" xfId="0" applyNumberFormat="1" applyFont="1" applyBorder="1" applyAlignment="1" applyProtection="1">
      <alignment horizontal="right"/>
      <protection hidden="1"/>
    </xf>
    <xf numFmtId="177" fontId="28" fillId="11" borderId="1" xfId="1" applyNumberFormat="1" applyFont="1" applyFill="1" applyBorder="1" applyAlignment="1" applyProtection="1">
      <alignment vertical="center"/>
      <protection hidden="1"/>
    </xf>
    <xf numFmtId="0" fontId="0" fillId="0" borderId="4" xfId="0" applyBorder="1" applyAlignment="1" applyProtection="1">
      <alignment horizontal="left"/>
      <protection hidden="1"/>
    </xf>
    <xf numFmtId="0" fontId="0" fillId="0" borderId="17" xfId="0" applyBorder="1" applyAlignment="1" applyProtection="1">
      <alignment horizontal="left"/>
      <protection hidden="1"/>
    </xf>
    <xf numFmtId="0" fontId="0" fillId="0" borderId="17" xfId="0" applyBorder="1" applyProtection="1">
      <protection hidden="1"/>
    </xf>
    <xf numFmtId="0" fontId="7" fillId="4" borderId="4" xfId="0" applyFont="1" applyFill="1" applyBorder="1" applyAlignment="1" applyProtection="1">
      <alignment horizontal="left" vertical="center"/>
      <protection hidden="1"/>
    </xf>
    <xf numFmtId="0" fontId="0" fillId="4" borderId="17" xfId="0" applyFill="1" applyBorder="1" applyAlignment="1" applyProtection="1">
      <alignment vertical="center" wrapText="1"/>
      <protection hidden="1"/>
    </xf>
    <xf numFmtId="0" fontId="0" fillId="4" borderId="17" xfId="0" applyFill="1" applyBorder="1" applyProtection="1">
      <protection hidden="1"/>
    </xf>
    <xf numFmtId="0" fontId="4" fillId="0" borderId="1" xfId="0" applyFont="1" applyBorder="1" applyAlignment="1" applyProtection="1">
      <alignment horizontal="left" vertical="center"/>
      <protection hidden="1"/>
    </xf>
    <xf numFmtId="0" fontId="0" fillId="0" borderId="17" xfId="0" applyBorder="1" applyAlignment="1" applyProtection="1">
      <alignment vertical="center" wrapText="1"/>
      <protection hidden="1"/>
    </xf>
    <xf numFmtId="0" fontId="0" fillId="0" borderId="5" xfId="0" applyBorder="1" applyProtection="1">
      <protection hidden="1"/>
    </xf>
    <xf numFmtId="40" fontId="4" fillId="13" borderId="1" xfId="0" applyNumberFormat="1" applyFont="1" applyFill="1" applyBorder="1" applyAlignment="1" applyProtection="1">
      <alignment horizontal="right" vertical="center" wrapText="1"/>
      <protection hidden="1"/>
    </xf>
    <xf numFmtId="195" fontId="0" fillId="11" borderId="1" xfId="0" applyNumberFormat="1" applyFont="1" applyFill="1" applyBorder="1" applyAlignment="1" applyProtection="1">
      <alignment vertical="center"/>
      <protection hidden="1"/>
    </xf>
    <xf numFmtId="177" fontId="0" fillId="0" borderId="1" xfId="1" applyNumberFormat="1" applyFont="1" applyBorder="1" applyAlignment="1" applyProtection="1">
      <alignment vertical="center"/>
      <protection hidden="1"/>
    </xf>
    <xf numFmtId="0" fontId="7" fillId="0" borderId="0" xfId="0" applyFont="1" applyAlignment="1" applyProtection="1">
      <protection hidden="1"/>
    </xf>
    <xf numFmtId="0" fontId="0" fillId="0" borderId="0" xfId="0" applyFont="1" applyAlignment="1" applyProtection="1">
      <alignment horizontal="left" vertical="center" wrapText="1"/>
      <protection hidden="1"/>
    </xf>
    <xf numFmtId="0" fontId="0" fillId="0" borderId="0" xfId="0" applyFont="1" applyFill="1" applyAlignment="1" applyProtection="1">
      <alignment horizontal="right"/>
      <protection hidden="1"/>
    </xf>
    <xf numFmtId="0" fontId="0" fillId="0" borderId="0" xfId="0" quotePrefix="1" applyFont="1" applyAlignment="1" applyProtection="1">
      <alignment horizontal="right"/>
      <protection hidden="1"/>
    </xf>
    <xf numFmtId="194" fontId="0" fillId="0" borderId="0" xfId="0" applyNumberFormat="1" applyFont="1" applyAlignment="1" applyProtection="1">
      <alignment horizontal="center"/>
      <protection hidden="1"/>
    </xf>
    <xf numFmtId="0" fontId="0" fillId="0" borderId="0" xfId="0" applyAlignment="1" applyProtection="1">
      <alignment textRotation="90"/>
      <protection locked="0"/>
    </xf>
    <xf numFmtId="0" fontId="0" fillId="0" borderId="0" xfId="0" applyAlignment="1">
      <alignment horizontal="center" textRotation="90"/>
    </xf>
    <xf numFmtId="0" fontId="0" fillId="9" borderId="0" xfId="0" applyFill="1" applyAlignment="1">
      <alignment horizontal="center" textRotation="90"/>
    </xf>
    <xf numFmtId="1" fontId="0" fillId="0" borderId="0" xfId="0" applyNumberFormat="1" applyAlignment="1" applyProtection="1">
      <alignment textRotation="90"/>
      <protection locked="0"/>
    </xf>
    <xf numFmtId="1" fontId="0" fillId="9" borderId="0" xfId="0" applyNumberFormat="1" applyFill="1" applyAlignment="1" applyProtection="1">
      <alignment textRotation="90"/>
      <protection locked="0"/>
    </xf>
    <xf numFmtId="0" fontId="0" fillId="16" borderId="0" xfId="0" applyFill="1" applyAlignment="1" applyProtection="1">
      <alignment textRotation="90"/>
      <protection locked="0"/>
    </xf>
    <xf numFmtId="3" fontId="9" fillId="3" borderId="1" xfId="0" applyNumberFormat="1" applyFont="1" applyFill="1" applyBorder="1" applyAlignment="1" applyProtection="1">
      <alignment horizontal="right"/>
      <protection locked="0"/>
    </xf>
    <xf numFmtId="0" fontId="8" fillId="8" borderId="13" xfId="0" applyFont="1" applyFill="1" applyBorder="1" applyAlignment="1" applyProtection="1">
      <alignment horizontal="center"/>
    </xf>
    <xf numFmtId="167" fontId="0" fillId="0" borderId="0" xfId="0" applyNumberFormat="1" applyAlignment="1" applyProtection="1">
      <alignment textRotation="90"/>
      <protection locked="0"/>
    </xf>
    <xf numFmtId="194" fontId="0" fillId="0" borderId="0" xfId="0" applyNumberFormat="1" applyAlignment="1" applyProtection="1">
      <alignment textRotation="90"/>
      <protection locked="0"/>
    </xf>
    <xf numFmtId="0" fontId="0" fillId="26" borderId="0" xfId="0" applyFill="1" applyAlignment="1" applyProtection="1">
      <alignment textRotation="90"/>
      <protection locked="0"/>
    </xf>
    <xf numFmtId="1" fontId="0" fillId="26" borderId="0" xfId="0" applyNumberFormat="1" applyFill="1" applyAlignment="1" applyProtection="1">
      <alignment textRotation="90"/>
      <protection locked="0"/>
    </xf>
    <xf numFmtId="0" fontId="0" fillId="0" borderId="0" xfId="0" applyFill="1" applyAlignment="1">
      <alignment horizontal="center" textRotation="90"/>
    </xf>
    <xf numFmtId="0" fontId="8" fillId="2" borderId="1" xfId="0" applyFont="1" applyFill="1" applyBorder="1" applyAlignment="1">
      <alignment horizontal="center"/>
    </xf>
    <xf numFmtId="0" fontId="8" fillId="2" borderId="1" xfId="0" applyFont="1" applyFill="1" applyBorder="1" applyAlignment="1">
      <alignment horizontal="center" wrapText="1"/>
    </xf>
    <xf numFmtId="0" fontId="6" fillId="2" borderId="4" xfId="0" applyFont="1" applyFill="1" applyBorder="1" applyAlignment="1">
      <alignment horizontal="center"/>
    </xf>
    <xf numFmtId="0" fontId="8" fillId="2" borderId="4" xfId="0" applyFont="1" applyFill="1" applyBorder="1" applyAlignment="1">
      <alignment horizontal="center"/>
    </xf>
    <xf numFmtId="0" fontId="9" fillId="0" borderId="1" xfId="0" applyFont="1" applyFill="1" applyBorder="1" applyAlignment="1" applyProtection="1">
      <alignment horizontal="center"/>
      <protection locked="0"/>
    </xf>
    <xf numFmtId="4" fontId="8" fillId="2" borderId="0" xfId="0" applyNumberFormat="1" applyFont="1" applyFill="1" applyBorder="1" applyAlignment="1">
      <alignment horizontal="center"/>
    </xf>
    <xf numFmtId="4" fontId="33" fillId="2" borderId="1" xfId="0" applyNumberFormat="1" applyFont="1" applyFill="1" applyBorder="1" applyAlignment="1">
      <alignment horizontal="center" vertical="center" wrapText="1"/>
    </xf>
    <xf numFmtId="0" fontId="8" fillId="18" borderId="0" xfId="0" applyFont="1" applyFill="1" applyBorder="1"/>
    <xf numFmtId="0" fontId="8" fillId="18" borderId="1" xfId="0" applyFont="1" applyFill="1" applyBorder="1" applyAlignment="1">
      <alignment horizontal="center" wrapText="1"/>
    </xf>
    <xf numFmtId="0" fontId="8" fillId="18" borderId="1" xfId="0" applyFont="1" applyFill="1" applyBorder="1" applyAlignment="1">
      <alignment horizontal="center"/>
    </xf>
    <xf numFmtId="0" fontId="8" fillId="18" borderId="4" xfId="0" applyFont="1" applyFill="1" applyBorder="1" applyAlignment="1">
      <alignment horizontal="center"/>
    </xf>
    <xf numFmtId="0" fontId="8" fillId="18" borderId="4" xfId="0" applyFont="1" applyFill="1" applyBorder="1" applyAlignment="1">
      <alignment horizontal="center" wrapText="1"/>
    </xf>
    <xf numFmtId="0" fontId="8" fillId="18" borderId="30" xfId="0" applyFont="1" applyFill="1" applyBorder="1" applyAlignment="1">
      <alignment horizontal="center"/>
    </xf>
    <xf numFmtId="0" fontId="8" fillId="18" borderId="30" xfId="0" applyFont="1" applyFill="1" applyBorder="1" applyAlignment="1">
      <alignment horizontal="center" wrapText="1"/>
    </xf>
    <xf numFmtId="0" fontId="8" fillId="18" borderId="0" xfId="0" applyFont="1" applyFill="1" applyBorder="1" applyAlignment="1">
      <alignment horizontal="left"/>
    </xf>
    <xf numFmtId="4" fontId="9" fillId="18" borderId="0" xfId="0" applyNumberFormat="1" applyFont="1" applyFill="1" applyBorder="1" applyAlignment="1">
      <alignment horizontal="center"/>
    </xf>
    <xf numFmtId="3" fontId="8" fillId="2" borderId="0" xfId="0" applyNumberFormat="1" applyFont="1" applyFill="1" applyBorder="1" applyProtection="1"/>
    <xf numFmtId="0" fontId="8" fillId="2" borderId="0" xfId="0" applyFont="1" applyFill="1" applyAlignment="1">
      <alignment horizontal="left"/>
    </xf>
    <xf numFmtId="9" fontId="8" fillId="2" borderId="0" xfId="3" applyFont="1" applyFill="1" applyBorder="1" applyAlignment="1">
      <alignment horizontal="right" indent="1"/>
    </xf>
    <xf numFmtId="0" fontId="8" fillId="6" borderId="1" xfId="0" applyFont="1" applyFill="1" applyBorder="1" applyAlignment="1">
      <alignment horizontal="center" wrapText="1"/>
    </xf>
    <xf numFmtId="0" fontId="8" fillId="6" borderId="4" xfId="0" applyFont="1" applyFill="1" applyBorder="1" applyAlignment="1">
      <alignment horizontal="center"/>
    </xf>
    <xf numFmtId="0" fontId="8" fillId="6" borderId="4" xfId="0" applyFont="1" applyFill="1" applyBorder="1" applyAlignment="1">
      <alignment horizontal="center" wrapText="1"/>
    </xf>
    <xf numFmtId="0" fontId="8" fillId="6" borderId="30" xfId="0" applyFont="1" applyFill="1" applyBorder="1" applyAlignment="1">
      <alignment horizontal="center" wrapText="1"/>
    </xf>
    <xf numFmtId="0" fontId="8" fillId="6" borderId="1" xfId="0" applyFont="1" applyFill="1" applyBorder="1" applyAlignment="1">
      <alignment horizontal="center"/>
    </xf>
    <xf numFmtId="0" fontId="9" fillId="0" borderId="1" xfId="0" applyFont="1" applyFill="1" applyBorder="1" applyAlignment="1" applyProtection="1">
      <alignment horizontal="center"/>
      <protection locked="0"/>
    </xf>
    <xf numFmtId="0" fontId="8" fillId="6" borderId="0" xfId="0" applyFont="1" applyFill="1" applyBorder="1" applyAlignment="1">
      <alignment horizontal="left"/>
    </xf>
    <xf numFmtId="4" fontId="9" fillId="6" borderId="0" xfId="0" applyNumberFormat="1" applyFont="1" applyFill="1" applyBorder="1" applyAlignment="1">
      <alignment horizontal="center"/>
    </xf>
    <xf numFmtId="0" fontId="8" fillId="6" borderId="0" xfId="0" applyFont="1" applyFill="1" applyBorder="1"/>
    <xf numFmtId="0" fontId="8" fillId="6" borderId="0" xfId="0" applyFont="1" applyFill="1" applyBorder="1" applyAlignment="1" applyProtection="1">
      <alignment horizontal="left"/>
    </xf>
    <xf numFmtId="0" fontId="8" fillId="6" borderId="0" xfId="0" applyFont="1" applyFill="1" applyBorder="1" applyProtection="1"/>
    <xf numFmtId="0" fontId="8" fillId="6" borderId="0" xfId="0" applyFont="1" applyFill="1" applyProtection="1"/>
    <xf numFmtId="4" fontId="51" fillId="2" borderId="4" xfId="0" applyNumberFormat="1" applyFont="1" applyFill="1" applyBorder="1" applyAlignment="1">
      <alignment horizontal="left"/>
    </xf>
    <xf numFmtId="4" fontId="9" fillId="2" borderId="5" xfId="0" applyNumberFormat="1" applyFont="1" applyFill="1" applyBorder="1" applyAlignment="1">
      <alignment horizontal="center"/>
    </xf>
    <xf numFmtId="0" fontId="8" fillId="5" borderId="0" xfId="0" applyFont="1" applyFill="1"/>
    <xf numFmtId="174" fontId="59" fillId="4" borderId="0" xfId="0" applyNumberFormat="1" applyFont="1" applyFill="1" applyBorder="1" applyAlignment="1" applyProtection="1">
      <alignment horizontal="center"/>
      <protection locked="0"/>
    </xf>
    <xf numFmtId="0" fontId="5" fillId="2" borderId="0" xfId="0" applyFont="1" applyFill="1" applyBorder="1"/>
    <xf numFmtId="0" fontId="5" fillId="0" borderId="0" xfId="0" applyFont="1" applyProtection="1">
      <protection hidden="1"/>
    </xf>
    <xf numFmtId="0" fontId="5" fillId="0" borderId="0" xfId="0" applyFont="1" applyFill="1" applyBorder="1" applyProtection="1">
      <protection hidden="1"/>
    </xf>
    <xf numFmtId="0" fontId="5" fillId="0" borderId="12" xfId="0" applyFont="1" applyBorder="1" applyProtection="1">
      <protection hidden="1"/>
    </xf>
    <xf numFmtId="0" fontId="5" fillId="0" borderId="14" xfId="0" applyFont="1" applyFill="1" applyBorder="1" applyProtection="1">
      <protection hidden="1"/>
    </xf>
    <xf numFmtId="0" fontId="5" fillId="0" borderId="14" xfId="0" applyFont="1" applyBorder="1" applyProtection="1">
      <protection hidden="1"/>
    </xf>
    <xf numFmtId="0" fontId="5" fillId="0" borderId="11" xfId="0" applyFont="1" applyBorder="1" applyProtection="1">
      <protection hidden="1"/>
    </xf>
    <xf numFmtId="0" fontId="5" fillId="0" borderId="15" xfId="0" applyFont="1" applyBorder="1" applyProtection="1">
      <protection hidden="1"/>
    </xf>
    <xf numFmtId="0" fontId="5" fillId="0" borderId="0" xfId="0" quotePrefix="1" applyFont="1" applyFill="1" applyBorder="1" applyAlignment="1" applyProtection="1">
      <alignment horizontal="right"/>
      <protection hidden="1"/>
    </xf>
    <xf numFmtId="0" fontId="5" fillId="0" borderId="0" xfId="0" applyFont="1" applyBorder="1" applyProtection="1">
      <protection hidden="1"/>
    </xf>
    <xf numFmtId="0" fontId="5" fillId="0" borderId="16" xfId="0" quotePrefix="1" applyFont="1" applyFill="1" applyBorder="1" applyAlignment="1" applyProtection="1">
      <alignment horizontal="right"/>
      <protection hidden="1"/>
    </xf>
    <xf numFmtId="0" fontId="5" fillId="0" borderId="15" xfId="0" applyFont="1" applyBorder="1" applyAlignment="1" applyProtection="1">
      <alignment horizontal="right"/>
      <protection hidden="1"/>
    </xf>
    <xf numFmtId="177" fontId="5" fillId="0" borderId="0" xfId="0" applyNumberFormat="1" applyFont="1" applyBorder="1" applyProtection="1">
      <protection hidden="1"/>
    </xf>
    <xf numFmtId="177" fontId="5" fillId="0" borderId="16" xfId="0" applyNumberFormat="1" applyFont="1" applyBorder="1" applyProtection="1">
      <protection hidden="1"/>
    </xf>
    <xf numFmtId="177" fontId="5" fillId="0" borderId="0" xfId="0" applyNumberFormat="1" applyFont="1" applyProtection="1">
      <protection hidden="1"/>
    </xf>
    <xf numFmtId="0" fontId="5" fillId="0" borderId="2" xfId="0" applyFont="1" applyBorder="1" applyProtection="1">
      <protection hidden="1"/>
    </xf>
    <xf numFmtId="0" fontId="5" fillId="0" borderId="3" xfId="0" applyFont="1" applyBorder="1" applyProtection="1">
      <protection hidden="1"/>
    </xf>
    <xf numFmtId="0" fontId="5" fillId="0" borderId="2" xfId="0" applyFont="1" applyBorder="1" applyAlignment="1" applyProtection="1">
      <alignment horizontal="right"/>
      <protection hidden="1"/>
    </xf>
    <xf numFmtId="177" fontId="5" fillId="0" borderId="10" xfId="0" applyNumberFormat="1" applyFont="1" applyBorder="1" applyProtection="1">
      <protection hidden="1"/>
    </xf>
    <xf numFmtId="0" fontId="5" fillId="0" borderId="0" xfId="0" applyFont="1" applyAlignment="1" applyProtection="1">
      <alignment horizontal="right"/>
      <protection hidden="1"/>
    </xf>
    <xf numFmtId="0" fontId="5" fillId="0" borderId="0" xfId="0" applyFont="1" applyAlignment="1" applyProtection="1">
      <alignment horizontal="center" vertical="center" wrapText="1"/>
      <protection hidden="1"/>
    </xf>
    <xf numFmtId="3" fontId="9" fillId="4" borderId="0" xfId="1" applyNumberFormat="1" applyFont="1" applyFill="1" applyBorder="1" applyAlignment="1" applyProtection="1">
      <alignment horizontal="center" wrapText="1"/>
      <protection locked="0"/>
    </xf>
    <xf numFmtId="1" fontId="0" fillId="0" borderId="20" xfId="0" applyNumberFormat="1" applyFont="1" applyBorder="1" applyAlignment="1" applyProtection="1">
      <alignment horizontal="left" vertical="center"/>
      <protection hidden="1"/>
    </xf>
    <xf numFmtId="0" fontId="0" fillId="5" borderId="0" xfId="0" applyFill="1" applyProtection="1"/>
    <xf numFmtId="0" fontId="0" fillId="5" borderId="0" xfId="0" applyFill="1" applyAlignment="1" applyProtection="1">
      <alignment horizontal="right"/>
    </xf>
    <xf numFmtId="9" fontId="9" fillId="5" borderId="0" xfId="0" applyNumberFormat="1" applyFont="1" applyFill="1" applyBorder="1" applyAlignment="1" applyProtection="1">
      <alignment horizontal="center"/>
    </xf>
    <xf numFmtId="9" fontId="46" fillId="5" borderId="0" xfId="3" applyFont="1" applyFill="1" applyAlignment="1" applyProtection="1">
      <alignment horizontal="center"/>
    </xf>
    <xf numFmtId="0" fontId="26" fillId="5" borderId="1" xfId="0" applyFont="1" applyFill="1" applyBorder="1" applyAlignment="1" applyProtection="1">
      <alignment horizontal="center" vertical="center"/>
    </xf>
    <xf numFmtId="0" fontId="45" fillId="5" borderId="0" xfId="0" applyFont="1" applyFill="1" applyProtection="1"/>
    <xf numFmtId="0" fontId="0" fillId="5" borderId="5" xfId="0" applyFill="1" applyBorder="1" applyProtection="1"/>
    <xf numFmtId="0" fontId="0" fillId="5" borderId="0" xfId="0" applyFill="1" applyBorder="1" applyProtection="1"/>
    <xf numFmtId="10" fontId="26" fillId="5" borderId="1" xfId="3" applyNumberFormat="1" applyFont="1" applyFill="1" applyBorder="1" applyAlignment="1" applyProtection="1">
      <alignment horizontal="center" vertical="center"/>
    </xf>
    <xf numFmtId="0" fontId="0" fillId="5" borderId="0" xfId="0" applyFill="1" applyAlignment="1" applyProtection="1">
      <alignment horizontal="center"/>
    </xf>
    <xf numFmtId="0" fontId="0" fillId="5" borderId="1" xfId="0" applyFill="1" applyBorder="1" applyAlignment="1" applyProtection="1">
      <alignment horizontal="center"/>
    </xf>
    <xf numFmtId="0" fontId="0" fillId="5" borderId="0" xfId="0" applyFill="1" applyBorder="1" applyAlignment="1" applyProtection="1">
      <alignment horizontal="center"/>
    </xf>
    <xf numFmtId="0" fontId="0" fillId="5" borderId="1" xfId="0" applyFill="1" applyBorder="1" applyProtection="1"/>
    <xf numFmtId="0" fontId="0" fillId="5" borderId="0" xfId="0" applyFill="1" applyAlignment="1" applyProtection="1">
      <alignment horizontal="left"/>
    </xf>
    <xf numFmtId="0" fontId="0" fillId="16" borderId="20" xfId="0" applyFill="1" applyBorder="1" applyProtection="1"/>
    <xf numFmtId="177" fontId="4" fillId="0" borderId="11" xfId="0" applyNumberFormat="1" applyFont="1" applyBorder="1" applyAlignment="1" applyProtection="1">
      <alignment vertical="center"/>
      <protection hidden="1"/>
    </xf>
    <xf numFmtId="9" fontId="0" fillId="0" borderId="18" xfId="3" applyNumberFormat="1" applyFont="1" applyBorder="1" applyAlignment="1" applyProtection="1">
      <alignment horizontal="right" vertical="center"/>
      <protection hidden="1"/>
    </xf>
    <xf numFmtId="176" fontId="0" fillId="11" borderId="20" xfId="0" applyNumberFormat="1" applyFont="1" applyFill="1" applyBorder="1" applyProtection="1"/>
    <xf numFmtId="0" fontId="7" fillId="5" borderId="0" xfId="0" applyFont="1" applyFill="1" applyProtection="1"/>
    <xf numFmtId="0" fontId="0" fillId="5" borderId="0" xfId="0" applyFont="1" applyFill="1" applyBorder="1" applyProtection="1"/>
    <xf numFmtId="0" fontId="0" fillId="5" borderId="0" xfId="0" applyFont="1" applyFill="1" applyProtection="1"/>
    <xf numFmtId="0" fontId="0" fillId="11" borderId="17" xfId="0" applyFont="1" applyFill="1" applyBorder="1" applyProtection="1"/>
    <xf numFmtId="4" fontId="0" fillId="11" borderId="17" xfId="0" applyNumberFormat="1" applyFont="1" applyFill="1" applyBorder="1" applyAlignment="1" applyProtection="1">
      <alignment horizontal="center"/>
    </xf>
    <xf numFmtId="176" fontId="0" fillId="14" borderId="1" xfId="0" applyNumberFormat="1" applyFont="1" applyFill="1" applyBorder="1" applyProtection="1"/>
    <xf numFmtId="176" fontId="0" fillId="14" borderId="20" xfId="0" applyNumberFormat="1" applyFont="1" applyFill="1" applyBorder="1" applyProtection="1"/>
    <xf numFmtId="194" fontId="7" fillId="26" borderId="1" xfId="0" applyNumberFormat="1" applyFont="1" applyFill="1" applyBorder="1" applyAlignment="1" applyProtection="1">
      <alignment wrapText="1"/>
    </xf>
    <xf numFmtId="183" fontId="7" fillId="26" borderId="1" xfId="0" applyNumberFormat="1" applyFont="1" applyFill="1" applyBorder="1" applyAlignment="1" applyProtection="1">
      <alignment wrapText="1"/>
    </xf>
    <xf numFmtId="176" fontId="7" fillId="26" borderId="1" xfId="0" applyNumberFormat="1" applyFont="1" applyFill="1" applyBorder="1" applyAlignment="1" applyProtection="1">
      <alignment wrapText="1"/>
    </xf>
    <xf numFmtId="2" fontId="7" fillId="26" borderId="1" xfId="0" applyNumberFormat="1" applyFont="1" applyFill="1" applyBorder="1" applyAlignment="1" applyProtection="1">
      <alignment wrapText="1"/>
    </xf>
    <xf numFmtId="0" fontId="7" fillId="26" borderId="1" xfId="0" applyNumberFormat="1" applyFont="1" applyFill="1" applyBorder="1" applyAlignment="1" applyProtection="1">
      <alignment wrapText="1"/>
    </xf>
    <xf numFmtId="0" fontId="8" fillId="5" borderId="0" xfId="0" applyFont="1" applyFill="1" applyProtection="1"/>
    <xf numFmtId="0" fontId="8" fillId="2" borderId="3" xfId="0" applyFont="1" applyFill="1" applyBorder="1" applyAlignment="1">
      <alignment horizontal="center"/>
    </xf>
    <xf numFmtId="0" fontId="0" fillId="0" borderId="0" xfId="0" applyFont="1" applyBorder="1" applyAlignment="1" applyProtection="1">
      <alignment horizontal="left" vertical="center"/>
      <protection hidden="1"/>
    </xf>
    <xf numFmtId="0" fontId="0" fillId="0" borderId="0" xfId="0" applyFont="1" applyAlignment="1" applyProtection="1">
      <alignment horizontal="center" vertical="center" wrapText="1"/>
      <protection hidden="1"/>
    </xf>
    <xf numFmtId="0" fontId="0" fillId="0" borderId="0" xfId="0" applyAlignment="1" applyProtection="1">
      <alignment vertical="center"/>
      <protection hidden="1"/>
    </xf>
    <xf numFmtId="0" fontId="0" fillId="0" borderId="0" xfId="0" applyFont="1" applyAlignment="1" applyProtection="1">
      <alignment vertical="center"/>
      <protection hidden="1"/>
    </xf>
    <xf numFmtId="0" fontId="0" fillId="0" borderId="0" xfId="0" applyFont="1" applyAlignment="1" applyProtection="1">
      <alignment horizontal="right" vertical="center"/>
      <protection hidden="1"/>
    </xf>
    <xf numFmtId="0" fontId="0" fillId="0" borderId="0" xfId="0" applyFont="1" applyBorder="1" applyAlignment="1" applyProtection="1">
      <alignment vertical="center"/>
      <protection hidden="1"/>
    </xf>
    <xf numFmtId="0" fontId="0" fillId="0" borderId="0" xfId="0" applyBorder="1" applyAlignment="1" applyProtection="1">
      <alignment vertical="center"/>
      <protection hidden="1"/>
    </xf>
    <xf numFmtId="0" fontId="0" fillId="0" borderId="0" xfId="0" applyBorder="1" applyAlignment="1" applyProtection="1">
      <alignment horizontal="right" vertical="center"/>
      <protection hidden="1"/>
    </xf>
    <xf numFmtId="3" fontId="0" fillId="0" borderId="0" xfId="0" applyNumberFormat="1" applyFont="1" applyAlignment="1" applyProtection="1">
      <alignment horizontal="right" vertical="center"/>
      <protection hidden="1"/>
    </xf>
    <xf numFmtId="0" fontId="0" fillId="0" borderId="0" xfId="0" applyFont="1" applyBorder="1" applyAlignment="1" applyProtection="1">
      <alignment horizontal="right" vertical="center"/>
      <protection hidden="1"/>
    </xf>
    <xf numFmtId="0" fontId="38" fillId="0" borderId="0" xfId="0" applyFont="1" applyAlignment="1" applyProtection="1">
      <alignment vertical="center"/>
      <protection hidden="1"/>
    </xf>
    <xf numFmtId="4" fontId="0" fillId="0" borderId="4" xfId="0" applyNumberFormat="1" applyFont="1" applyFill="1" applyBorder="1" applyAlignment="1" applyProtection="1">
      <alignment horizontal="left" vertical="center"/>
      <protection locked="0"/>
    </xf>
    <xf numFmtId="4" fontId="0" fillId="0" borderId="17" xfId="0" applyNumberFormat="1" applyFont="1" applyFill="1" applyBorder="1" applyAlignment="1" applyProtection="1">
      <alignment horizontal="left" vertical="center"/>
      <protection locked="0"/>
    </xf>
    <xf numFmtId="4" fontId="0" fillId="0" borderId="5" xfId="0" applyNumberFormat="1" applyFont="1" applyFill="1" applyBorder="1" applyAlignment="1" applyProtection="1">
      <alignment horizontal="left" vertical="center"/>
      <protection locked="0"/>
    </xf>
    <xf numFmtId="9" fontId="0" fillId="0" borderId="0" xfId="3" applyFont="1" applyProtection="1">
      <protection hidden="1"/>
    </xf>
    <xf numFmtId="3" fontId="0" fillId="9" borderId="1" xfId="0" applyNumberFormat="1" applyFont="1" applyFill="1" applyBorder="1" applyAlignment="1" applyProtection="1">
      <alignment horizontal="right" vertical="center"/>
      <protection hidden="1"/>
    </xf>
    <xf numFmtId="3" fontId="0" fillId="9" borderId="1" xfId="0" applyNumberFormat="1" applyFont="1" applyFill="1" applyBorder="1" applyAlignment="1" applyProtection="1">
      <alignment vertical="center"/>
      <protection hidden="1"/>
    </xf>
    <xf numFmtId="0" fontId="0" fillId="9" borderId="1" xfId="0" applyFont="1" applyFill="1" applyBorder="1" applyAlignment="1" applyProtection="1">
      <alignment vertical="center"/>
      <protection hidden="1"/>
    </xf>
    <xf numFmtId="0" fontId="0" fillId="9" borderId="4" xfId="0" applyFont="1" applyFill="1" applyBorder="1" applyAlignment="1" applyProtection="1">
      <alignment vertical="center"/>
      <protection hidden="1"/>
    </xf>
    <xf numFmtId="3" fontId="0" fillId="9" borderId="18" xfId="0" applyNumberFormat="1" applyFont="1" applyFill="1" applyBorder="1" applyAlignment="1" applyProtection="1">
      <alignment horizontal="right" vertical="center"/>
      <protection hidden="1"/>
    </xf>
    <xf numFmtId="0" fontId="0" fillId="9" borderId="5" xfId="0" applyFont="1" applyFill="1" applyBorder="1" applyAlignment="1" applyProtection="1">
      <alignment vertical="center"/>
      <protection hidden="1"/>
    </xf>
    <xf numFmtId="0" fontId="0" fillId="9" borderId="17" xfId="0" applyFont="1" applyFill="1" applyBorder="1" applyAlignment="1" applyProtection="1">
      <alignment vertical="center"/>
      <protection hidden="1"/>
    </xf>
    <xf numFmtId="0" fontId="2" fillId="0" borderId="0" xfId="0" applyFont="1"/>
    <xf numFmtId="0" fontId="34" fillId="5" borderId="44" xfId="0" applyFont="1" applyFill="1" applyBorder="1" applyAlignment="1">
      <alignment horizontal="center" wrapText="1"/>
    </xf>
    <xf numFmtId="0" fontId="34" fillId="14" borderId="45" xfId="0" applyFont="1" applyFill="1" applyBorder="1" applyAlignment="1">
      <alignment wrapText="1"/>
    </xf>
    <xf numFmtId="0" fontId="0" fillId="14" borderId="46" xfId="0" applyFill="1" applyBorder="1"/>
    <xf numFmtId="0" fontId="0" fillId="14" borderId="47" xfId="0" applyFill="1" applyBorder="1"/>
    <xf numFmtId="0" fontId="34" fillId="5" borderId="48" xfId="0" applyFont="1" applyFill="1" applyBorder="1" applyAlignment="1">
      <alignment wrapText="1"/>
    </xf>
    <xf numFmtId="196" fontId="0" fillId="0" borderId="12" xfId="0" applyNumberFormat="1" applyBorder="1"/>
    <xf numFmtId="0" fontId="0" fillId="0" borderId="14" xfId="0" applyBorder="1"/>
    <xf numFmtId="196" fontId="0" fillId="0" borderId="14" xfId="0" applyNumberFormat="1" applyBorder="1"/>
    <xf numFmtId="197" fontId="0" fillId="0" borderId="14" xfId="0" applyNumberFormat="1" applyBorder="1"/>
    <xf numFmtId="197" fontId="0" fillId="0" borderId="11" xfId="0" applyNumberFormat="1" applyBorder="1"/>
    <xf numFmtId="196" fontId="0" fillId="0" borderId="15" xfId="0" applyNumberFormat="1" applyBorder="1"/>
    <xf numFmtId="196" fontId="0" fillId="0" borderId="0" xfId="0" applyNumberFormat="1" applyBorder="1"/>
    <xf numFmtId="197" fontId="0" fillId="0" borderId="0" xfId="0" applyNumberFormat="1" applyBorder="1"/>
    <xf numFmtId="197" fontId="0" fillId="0" borderId="16" xfId="0" applyNumberFormat="1" applyBorder="1"/>
    <xf numFmtId="196" fontId="34" fillId="5" borderId="49" xfId="5" applyNumberFormat="1" applyFont="1" applyFill="1" applyBorder="1" applyAlignment="1">
      <alignment horizontal="right" wrapText="1"/>
    </xf>
    <xf numFmtId="197" fontId="34" fillId="6" borderId="50" xfId="5" applyNumberFormat="1" applyFont="1" applyFill="1" applyBorder="1" applyAlignment="1">
      <alignment horizontal="right" wrapText="1"/>
    </xf>
    <xf numFmtId="1" fontId="0" fillId="0" borderId="15" xfId="0" applyNumberFormat="1" applyBorder="1"/>
    <xf numFmtId="0" fontId="0" fillId="0" borderId="16" xfId="0" applyBorder="1"/>
    <xf numFmtId="0" fontId="32" fillId="0" borderId="2" xfId="0" applyFont="1" applyBorder="1"/>
    <xf numFmtId="0" fontId="0" fillId="0" borderId="3" xfId="0" applyBorder="1"/>
    <xf numFmtId="196" fontId="0" fillId="0" borderId="3" xfId="0" applyNumberFormat="1" applyBorder="1"/>
    <xf numFmtId="197" fontId="0" fillId="0" borderId="3" xfId="0" applyNumberFormat="1" applyBorder="1"/>
    <xf numFmtId="197" fontId="0" fillId="0" borderId="10" xfId="0" applyNumberFormat="1" applyBorder="1"/>
    <xf numFmtId="164" fontId="0" fillId="25" borderId="21" xfId="5" applyNumberFormat="1" applyFont="1" applyFill="1" applyBorder="1" applyAlignment="1">
      <alignment horizontal="right"/>
    </xf>
    <xf numFmtId="197" fontId="0" fillId="0" borderId="21" xfId="5" applyNumberFormat="1" applyFont="1" applyBorder="1"/>
    <xf numFmtId="195" fontId="0" fillId="19" borderId="1" xfId="0" applyNumberFormat="1" applyFill="1" applyBorder="1" applyAlignment="1" applyProtection="1">
      <alignment vertical="center"/>
      <protection hidden="1"/>
    </xf>
    <xf numFmtId="0" fontId="0" fillId="4" borderId="5" xfId="0" applyFill="1" applyBorder="1"/>
    <xf numFmtId="0" fontId="0" fillId="4" borderId="10" xfId="0" applyFill="1" applyBorder="1"/>
    <xf numFmtId="3" fontId="9" fillId="3" borderId="35" xfId="0" applyNumberFormat="1" applyFont="1" applyFill="1" applyBorder="1" applyAlignment="1" applyProtection="1">
      <alignment horizontal="right" indent="2"/>
      <protection locked="0"/>
    </xf>
    <xf numFmtId="0" fontId="0" fillId="4" borderId="5" xfId="0" applyFont="1" applyFill="1" applyBorder="1"/>
    <xf numFmtId="0" fontId="5" fillId="4" borderId="5" xfId="0" applyFont="1" applyFill="1" applyBorder="1"/>
    <xf numFmtId="3" fontId="0" fillId="11" borderId="1" xfId="0" applyNumberFormat="1" applyFill="1" applyBorder="1" applyProtection="1"/>
    <xf numFmtId="3" fontId="0" fillId="25" borderId="1" xfId="0" applyNumberFormat="1" applyFont="1" applyFill="1" applyBorder="1" applyProtection="1"/>
    <xf numFmtId="0" fontId="53" fillId="11" borderId="0" xfId="0" applyFont="1" applyFill="1" applyProtection="1"/>
    <xf numFmtId="9" fontId="0" fillId="0" borderId="0" xfId="0" applyNumberFormat="1" applyFont="1" applyAlignment="1" applyProtection="1">
      <alignment horizontal="right" vertical="center"/>
      <protection hidden="1"/>
    </xf>
    <xf numFmtId="0" fontId="0" fillId="4" borderId="0" xfId="0" applyFont="1" applyFill="1" applyAlignment="1">
      <alignment horizontal="right" vertical="center"/>
    </xf>
    <xf numFmtId="0" fontId="0" fillId="4" borderId="0" xfId="0" applyFill="1" applyProtection="1">
      <protection hidden="1"/>
    </xf>
    <xf numFmtId="0" fontId="0" fillId="9" borderId="5" xfId="0" applyFont="1" applyFill="1" applyBorder="1" applyAlignment="1" applyProtection="1">
      <alignment horizontal="right" vertical="center"/>
      <protection hidden="1"/>
    </xf>
    <xf numFmtId="0" fontId="57" fillId="8" borderId="13" xfId="0" applyFont="1" applyFill="1" applyBorder="1" applyAlignment="1">
      <alignment horizontal="center" wrapText="1"/>
    </xf>
    <xf numFmtId="0" fontId="57" fillId="8" borderId="13" xfId="0" applyFont="1" applyFill="1" applyBorder="1" applyAlignment="1" applyProtection="1">
      <alignment horizontal="center"/>
    </xf>
    <xf numFmtId="0" fontId="6" fillId="0" borderId="0" xfId="0" applyFont="1" applyProtection="1">
      <protection hidden="1"/>
    </xf>
    <xf numFmtId="195" fontId="7" fillId="4" borderId="17" xfId="0" applyNumberFormat="1" applyFont="1" applyFill="1" applyBorder="1" applyAlignment="1" applyProtection="1">
      <alignment vertical="center" wrapText="1"/>
      <protection hidden="1"/>
    </xf>
    <xf numFmtId="195" fontId="7" fillId="4" borderId="5" xfId="0" applyNumberFormat="1" applyFont="1" applyFill="1" applyBorder="1" applyAlignment="1" applyProtection="1">
      <alignment vertical="center" wrapText="1"/>
      <protection hidden="1"/>
    </xf>
    <xf numFmtId="38" fontId="6" fillId="0" borderId="1" xfId="0" applyNumberFormat="1" applyFont="1" applyFill="1" applyBorder="1" applyAlignment="1" applyProtection="1">
      <alignment vertical="center"/>
      <protection hidden="1"/>
    </xf>
    <xf numFmtId="195" fontId="0" fillId="0" borderId="1" xfId="0" applyNumberFormat="1" applyFill="1" applyBorder="1" applyAlignment="1" applyProtection="1">
      <alignment vertical="center"/>
      <protection hidden="1"/>
    </xf>
    <xf numFmtId="195" fontId="0" fillId="19" borderId="1" xfId="0" applyNumberFormat="1" applyFont="1" applyFill="1" applyBorder="1" applyAlignment="1" applyProtection="1">
      <alignment vertical="center"/>
      <protection hidden="1"/>
    </xf>
    <xf numFmtId="195" fontId="28" fillId="0" borderId="1" xfId="0" applyNumberFormat="1" applyFont="1" applyFill="1" applyBorder="1" applyAlignment="1" applyProtection="1">
      <alignment vertical="center"/>
      <protection hidden="1"/>
    </xf>
    <xf numFmtId="9" fontId="6" fillId="12" borderId="18" xfId="3" applyFont="1" applyFill="1" applyBorder="1" applyAlignment="1">
      <alignment horizontal="center"/>
    </xf>
    <xf numFmtId="174" fontId="9" fillId="3" borderId="1" xfId="0" applyNumberFormat="1" applyFont="1" applyFill="1" applyBorder="1" applyAlignment="1" applyProtection="1">
      <alignment horizontal="right" indent="2"/>
      <protection locked="0"/>
    </xf>
    <xf numFmtId="194" fontId="0" fillId="12" borderId="0" xfId="0" applyNumberFormat="1" applyFont="1" applyFill="1" applyAlignment="1" applyProtection="1">
      <alignment horizontal="right" indent="2"/>
    </xf>
    <xf numFmtId="4" fontId="0" fillId="0" borderId="0" xfId="0" applyNumberFormat="1" applyFont="1" applyFill="1" applyBorder="1" applyAlignment="1" applyProtection="1">
      <alignment vertical="center"/>
      <protection hidden="1"/>
    </xf>
    <xf numFmtId="0" fontId="0" fillId="0" borderId="4" xfId="0" applyFont="1" applyFill="1" applyBorder="1"/>
    <xf numFmtId="0" fontId="26" fillId="0" borderId="0" xfId="4" applyFont="1" applyAlignment="1">
      <alignment wrapText="1"/>
    </xf>
    <xf numFmtId="0" fontId="41" fillId="8" borderId="13" xfId="0" applyFont="1" applyFill="1" applyBorder="1" applyAlignment="1" applyProtection="1">
      <alignment vertical="center"/>
    </xf>
    <xf numFmtId="0" fontId="0" fillId="8" borderId="13" xfId="0" applyFill="1" applyBorder="1" applyAlignment="1" applyProtection="1">
      <alignment horizontal="left" vertical="center"/>
    </xf>
    <xf numFmtId="0" fontId="8" fillId="8" borderId="13" xfId="0" applyFont="1" applyFill="1" applyBorder="1" applyAlignment="1" applyProtection="1"/>
    <xf numFmtId="0" fontId="8" fillId="8" borderId="13" xfId="0" applyFont="1" applyFill="1" applyBorder="1" applyAlignment="1" applyProtection="1">
      <alignment horizontal="center" wrapText="1"/>
    </xf>
    <xf numFmtId="0" fontId="20" fillId="5" borderId="0" xfId="0" applyFont="1" applyFill="1" applyBorder="1" applyProtection="1"/>
    <xf numFmtId="0" fontId="8" fillId="14" borderId="0" xfId="0" applyFont="1" applyFill="1" applyBorder="1" applyProtection="1"/>
    <xf numFmtId="0" fontId="6" fillId="2" borderId="0" xfId="0" applyFont="1" applyFill="1" applyBorder="1" applyAlignment="1" applyProtection="1">
      <alignment horizontal="center"/>
    </xf>
    <xf numFmtId="0" fontId="8" fillId="2" borderId="0" xfId="0" applyFont="1" applyFill="1" applyBorder="1" applyAlignment="1" applyProtection="1"/>
    <xf numFmtId="0" fontId="9" fillId="3" borderId="1" xfId="0" applyFont="1" applyFill="1" applyBorder="1" applyAlignment="1" applyProtection="1">
      <alignment horizontal="left"/>
    </xf>
    <xf numFmtId="200" fontId="9" fillId="3" borderId="1" xfId="0" applyNumberFormat="1" applyFont="1" applyFill="1" applyBorder="1" applyAlignment="1" applyProtection="1">
      <alignment horizontal="right"/>
    </xf>
    <xf numFmtId="0" fontId="9" fillId="3" borderId="1" xfId="0" applyFont="1" applyFill="1" applyBorder="1" applyAlignment="1" applyProtection="1">
      <alignment horizontal="right" indent="1"/>
    </xf>
    <xf numFmtId="3" fontId="9" fillId="3" borderId="1" xfId="0" applyNumberFormat="1" applyFont="1" applyFill="1" applyBorder="1" applyAlignment="1" applyProtection="1">
      <alignment horizontal="right" indent="1"/>
    </xf>
    <xf numFmtId="0" fontId="9" fillId="0" borderId="20" xfId="0" applyFont="1" applyFill="1" applyBorder="1" applyAlignment="1" applyProtection="1">
      <alignment horizontal="center"/>
    </xf>
    <xf numFmtId="0" fontId="5" fillId="16" borderId="4" xfId="0" applyFont="1" applyFill="1" applyBorder="1" applyAlignment="1" applyProtection="1">
      <alignment horizontal="left"/>
    </xf>
    <xf numFmtId="0" fontId="6" fillId="2" borderId="0" xfId="0" applyFont="1" applyFill="1" applyBorder="1" applyAlignment="1" applyProtection="1">
      <alignment horizontal="right" indent="1"/>
    </xf>
    <xf numFmtId="0" fontId="8" fillId="16" borderId="4" xfId="0" applyFont="1" applyFill="1" applyBorder="1" applyAlignment="1" applyProtection="1">
      <alignment horizontal="right"/>
    </xf>
    <xf numFmtId="0" fontId="16" fillId="0" borderId="1" xfId="0" applyFont="1" applyFill="1" applyBorder="1" applyAlignment="1" applyProtection="1">
      <alignment horizontal="center"/>
    </xf>
    <xf numFmtId="0" fontId="8" fillId="18" borderId="1" xfId="0" applyFont="1" applyFill="1" applyBorder="1" applyProtection="1"/>
    <xf numFmtId="0" fontId="8" fillId="18" borderId="1" xfId="0" applyFont="1" applyFill="1" applyBorder="1" applyAlignment="1" applyProtection="1">
      <alignment horizontal="right"/>
    </xf>
    <xf numFmtId="0" fontId="48" fillId="21" borderId="4" xfId="0" applyFont="1" applyFill="1" applyBorder="1" applyProtection="1"/>
    <xf numFmtId="0" fontId="48" fillId="21" borderId="17" xfId="0" applyFont="1" applyFill="1" applyBorder="1" applyProtection="1"/>
    <xf numFmtId="0" fontId="8" fillId="2" borderId="1" xfId="0" applyFont="1" applyFill="1" applyBorder="1" applyAlignment="1" applyProtection="1">
      <alignment horizontal="center"/>
    </xf>
    <xf numFmtId="0" fontId="8" fillId="2" borderId="4" xfId="0" applyFont="1" applyFill="1" applyBorder="1" applyAlignment="1" applyProtection="1">
      <alignment horizontal="center"/>
    </xf>
    <xf numFmtId="3" fontId="9" fillId="3" borderId="1" xfId="0" applyNumberFormat="1" applyFont="1" applyFill="1" applyBorder="1" applyAlignment="1" applyProtection="1">
      <alignment horizontal="right" indent="2"/>
    </xf>
    <xf numFmtId="3" fontId="8" fillId="16" borderId="1" xfId="0" applyNumberFormat="1" applyFont="1" applyFill="1" applyBorder="1" applyProtection="1"/>
    <xf numFmtId="0" fontId="8" fillId="16" borderId="1" xfId="0" applyFont="1" applyFill="1" applyBorder="1" applyAlignment="1" applyProtection="1">
      <alignment horizontal="center"/>
    </xf>
    <xf numFmtId="0" fontId="37" fillId="2" borderId="0" xfId="0" applyFont="1" applyFill="1" applyBorder="1" applyProtection="1"/>
    <xf numFmtId="0" fontId="8" fillId="16" borderId="20" xfId="0" applyFont="1" applyFill="1" applyBorder="1" applyProtection="1"/>
    <xf numFmtId="0" fontId="8" fillId="16" borderId="0" xfId="0" applyFont="1" applyFill="1" applyProtection="1"/>
    <xf numFmtId="9" fontId="9" fillId="5" borderId="1" xfId="3" applyFont="1" applyFill="1" applyBorder="1" applyAlignment="1" applyProtection="1">
      <alignment horizontal="right" indent="1"/>
    </xf>
    <xf numFmtId="9" fontId="9" fillId="5" borderId="4" xfId="3" applyFont="1" applyFill="1" applyBorder="1" applyAlignment="1" applyProtection="1">
      <alignment horizontal="right" indent="1"/>
    </xf>
    <xf numFmtId="0" fontId="8" fillId="16" borderId="12" xfId="0" quotePrefix="1" applyFont="1" applyFill="1" applyBorder="1" applyProtection="1"/>
    <xf numFmtId="3" fontId="8" fillId="2" borderId="5" xfId="0" applyNumberFormat="1" applyFont="1" applyFill="1" applyBorder="1" applyProtection="1"/>
    <xf numFmtId="0" fontId="8" fillId="16" borderId="15" xfId="0" quotePrefix="1" applyFont="1" applyFill="1" applyBorder="1" applyProtection="1"/>
    <xf numFmtId="0" fontId="8" fillId="16" borderId="16" xfId="0" applyFont="1" applyFill="1" applyBorder="1" applyProtection="1"/>
    <xf numFmtId="0" fontId="8" fillId="16" borderId="2" xfId="0" applyFont="1" applyFill="1" applyBorder="1" applyProtection="1"/>
    <xf numFmtId="9" fontId="28" fillId="12" borderId="1" xfId="0" applyNumberFormat="1" applyFont="1" applyFill="1" applyBorder="1" applyAlignment="1" applyProtection="1">
      <alignment horizontal="right" vertical="top" indent="1"/>
    </xf>
    <xf numFmtId="0" fontId="28" fillId="12" borderId="1" xfId="0" applyFont="1" applyFill="1" applyBorder="1" applyAlignment="1" applyProtection="1">
      <alignment horizontal="center" vertical="top"/>
    </xf>
    <xf numFmtId="0" fontId="8" fillId="2" borderId="4" xfId="0" applyFont="1" applyFill="1" applyBorder="1" applyProtection="1"/>
    <xf numFmtId="0" fontId="8" fillId="2" borderId="17" xfId="0" applyFont="1" applyFill="1" applyBorder="1" applyProtection="1"/>
    <xf numFmtId="0" fontId="8" fillId="2" borderId="5" xfId="0" applyFont="1" applyFill="1" applyBorder="1" applyProtection="1"/>
    <xf numFmtId="0" fontId="8" fillId="2" borderId="2" xfId="0" applyFont="1" applyFill="1" applyBorder="1" applyProtection="1"/>
    <xf numFmtId="0" fontId="8" fillId="2" borderId="3" xfId="0" applyFont="1" applyFill="1" applyBorder="1" applyProtection="1"/>
    <xf numFmtId="0" fontId="8" fillId="2" borderId="10" xfId="0" applyFont="1" applyFill="1" applyBorder="1" applyProtection="1"/>
    <xf numFmtId="0" fontId="8" fillId="2" borderId="1" xfId="0" applyFont="1" applyFill="1" applyBorder="1" applyAlignment="1" applyProtection="1">
      <alignment horizontal="center" wrapText="1"/>
    </xf>
    <xf numFmtId="0" fontId="8" fillId="2" borderId="4" xfId="0" applyFont="1" applyFill="1" applyBorder="1" applyAlignment="1" applyProtection="1">
      <alignment horizontal="center" wrapText="1"/>
    </xf>
    <xf numFmtId="0" fontId="8" fillId="2" borderId="30" xfId="0" applyFont="1" applyFill="1" applyBorder="1" applyAlignment="1" applyProtection="1">
      <alignment horizontal="center"/>
    </xf>
    <xf numFmtId="0" fontId="8" fillId="2" borderId="30" xfId="0" applyFont="1" applyFill="1" applyBorder="1" applyAlignment="1" applyProtection="1">
      <alignment horizontal="center" wrapText="1"/>
    </xf>
    <xf numFmtId="0" fontId="16" fillId="0" borderId="4" xfId="0" applyFont="1" applyBorder="1" applyAlignment="1" applyProtection="1">
      <alignment horizontal="center" wrapText="1"/>
    </xf>
    <xf numFmtId="4" fontId="8" fillId="2" borderId="4" xfId="0" applyNumberFormat="1" applyFont="1" applyFill="1" applyBorder="1" applyAlignment="1" applyProtection="1">
      <alignment horizontal="center"/>
    </xf>
    <xf numFmtId="3" fontId="9" fillId="3" borderId="30" xfId="0" applyNumberFormat="1" applyFont="1" applyFill="1" applyBorder="1" applyAlignment="1" applyProtection="1">
      <alignment horizontal="right" indent="2"/>
    </xf>
    <xf numFmtId="0" fontId="14" fillId="16" borderId="12" xfId="0" applyFont="1" applyFill="1" applyBorder="1" applyProtection="1"/>
    <xf numFmtId="0" fontId="14" fillId="16" borderId="15" xfId="0" applyFont="1" applyFill="1" applyBorder="1" applyProtection="1"/>
    <xf numFmtId="0" fontId="14" fillId="16" borderId="2" xfId="0" applyFont="1" applyFill="1" applyBorder="1" applyProtection="1"/>
    <xf numFmtId="0" fontId="6" fillId="2" borderId="4" xfId="0" applyFont="1" applyFill="1" applyBorder="1" applyAlignment="1" applyProtection="1">
      <alignment horizontal="center"/>
    </xf>
    <xf numFmtId="3" fontId="9" fillId="2" borderId="1" xfId="0" applyNumberFormat="1" applyFont="1" applyFill="1" applyBorder="1" applyAlignment="1" applyProtection="1">
      <alignment horizontal="right" indent="2"/>
    </xf>
    <xf numFmtId="3" fontId="9" fillId="2" borderId="30" xfId="0" applyNumberFormat="1" applyFont="1" applyFill="1" applyBorder="1" applyAlignment="1" applyProtection="1">
      <alignment horizontal="right" indent="2"/>
    </xf>
    <xf numFmtId="0" fontId="9" fillId="3" borderId="1" xfId="0" applyFont="1" applyFill="1" applyBorder="1" applyAlignment="1" applyProtection="1">
      <alignment horizontal="center" wrapText="1"/>
    </xf>
    <xf numFmtId="3" fontId="9" fillId="2" borderId="0" xfId="0" applyNumberFormat="1" applyFont="1" applyFill="1" applyBorder="1" applyAlignment="1" applyProtection="1">
      <alignment horizontal="right" indent="2"/>
    </xf>
    <xf numFmtId="0" fontId="28" fillId="2" borderId="1" xfId="0" applyFont="1" applyFill="1" applyBorder="1" applyAlignment="1" applyProtection="1">
      <alignment horizontal="center"/>
    </xf>
    <xf numFmtId="0" fontId="0" fillId="2" borderId="1" xfId="0" applyFont="1" applyFill="1" applyBorder="1" applyAlignment="1" applyProtection="1">
      <alignment horizontal="center"/>
    </xf>
    <xf numFmtId="0" fontId="14" fillId="2" borderId="0" xfId="0" applyFont="1" applyFill="1" applyBorder="1" applyAlignment="1" applyProtection="1">
      <alignment horizontal="left"/>
    </xf>
    <xf numFmtId="0" fontId="8" fillId="5" borderId="0" xfId="0" applyFont="1" applyFill="1" applyBorder="1" applyAlignment="1" applyProtection="1">
      <alignment horizontal="center"/>
    </xf>
    <xf numFmtId="0" fontId="9" fillId="5" borderId="0" xfId="0" applyFont="1" applyFill="1" applyBorder="1" applyAlignment="1" applyProtection="1">
      <alignment horizontal="center"/>
    </xf>
    <xf numFmtId="0" fontId="17" fillId="2" borderId="0" xfId="0" applyFont="1" applyFill="1" applyBorder="1" applyAlignment="1" applyProtection="1">
      <alignment horizontal="left"/>
    </xf>
    <xf numFmtId="3" fontId="9" fillId="3" borderId="1" xfId="0" applyNumberFormat="1" applyFont="1" applyFill="1" applyBorder="1" applyAlignment="1" applyProtection="1">
      <alignment horizontal="right"/>
    </xf>
    <xf numFmtId="0" fontId="48" fillId="2" borderId="0" xfId="0" applyFont="1" applyFill="1" applyBorder="1" applyProtection="1"/>
    <xf numFmtId="0" fontId="17" fillId="2" borderId="0" xfId="0" applyFont="1" applyFill="1" applyBorder="1" applyAlignment="1" applyProtection="1"/>
    <xf numFmtId="3" fontId="9" fillId="0" borderId="1" xfId="0" applyNumberFormat="1" applyFont="1" applyFill="1" applyBorder="1" applyAlignment="1" applyProtection="1">
      <alignment horizontal="center"/>
    </xf>
    <xf numFmtId="0" fontId="8" fillId="2" borderId="0" xfId="0" quotePrefix="1" applyFont="1" applyFill="1" applyBorder="1" applyProtection="1"/>
    <xf numFmtId="3" fontId="8" fillId="12" borderId="0" xfId="0" applyNumberFormat="1" applyFont="1" applyFill="1" applyBorder="1" applyAlignment="1" applyProtection="1">
      <alignment horizontal="right" indent="1"/>
    </xf>
    <xf numFmtId="0" fontId="8" fillId="5" borderId="0" xfId="0" applyFont="1" applyFill="1" applyBorder="1" applyAlignment="1" applyProtection="1">
      <alignment horizontal="left"/>
    </xf>
    <xf numFmtId="4" fontId="9" fillId="5" borderId="0" xfId="0" applyNumberFormat="1" applyFont="1" applyFill="1" applyBorder="1" applyAlignment="1" applyProtection="1">
      <alignment horizontal="center"/>
    </xf>
    <xf numFmtId="0" fontId="47" fillId="2" borderId="0" xfId="0" applyFont="1" applyFill="1" applyBorder="1" applyAlignment="1" applyProtection="1">
      <alignment horizontal="left"/>
    </xf>
    <xf numFmtId="0" fontId="0" fillId="4" borderId="20" xfId="0" applyFill="1" applyBorder="1" applyProtection="1"/>
    <xf numFmtId="0" fontId="0" fillId="4" borderId="1" xfId="0" applyFill="1" applyBorder="1" applyProtection="1"/>
    <xf numFmtId="0" fontId="5" fillId="4" borderId="1" xfId="0" applyFont="1" applyFill="1" applyBorder="1" applyProtection="1"/>
    <xf numFmtId="0" fontId="0" fillId="4" borderId="1" xfId="0" applyFont="1" applyFill="1" applyBorder="1" applyProtection="1"/>
    <xf numFmtId="0" fontId="8" fillId="2" borderId="0" xfId="0" applyFont="1" applyFill="1" applyAlignment="1" applyProtection="1">
      <alignment horizontal="right" indent="1"/>
    </xf>
    <xf numFmtId="3" fontId="9" fillId="11" borderId="1" xfId="0" applyNumberFormat="1" applyFont="1" applyFill="1" applyBorder="1" applyAlignment="1" applyProtection="1">
      <alignment horizontal="right" indent="2"/>
    </xf>
    <xf numFmtId="0" fontId="8" fillId="2" borderId="0" xfId="0" applyFont="1" applyFill="1" applyBorder="1" applyAlignment="1" applyProtection="1">
      <alignment horizontal="right" indent="1"/>
    </xf>
    <xf numFmtId="3" fontId="6" fillId="12" borderId="1" xfId="0" applyNumberFormat="1" applyFont="1" applyFill="1" applyBorder="1" applyAlignment="1" applyProtection="1">
      <alignment horizontal="right" indent="1"/>
    </xf>
    <xf numFmtId="9" fontId="8" fillId="2" borderId="18" xfId="3" applyFont="1" applyFill="1" applyBorder="1" applyAlignment="1" applyProtection="1">
      <alignment horizontal="center"/>
    </xf>
    <xf numFmtId="0" fontId="8" fillId="16" borderId="17" xfId="0" applyFont="1" applyFill="1" applyBorder="1" applyAlignment="1" applyProtection="1">
      <alignment horizontal="center"/>
    </xf>
    <xf numFmtId="0" fontId="0" fillId="4" borderId="0" xfId="0" applyFill="1" applyBorder="1" applyProtection="1"/>
    <xf numFmtId="0" fontId="28" fillId="4" borderId="0" xfId="0" applyFont="1" applyFill="1" applyBorder="1" applyAlignment="1" applyProtection="1">
      <alignment horizontal="left"/>
    </xf>
    <xf numFmtId="0" fontId="8" fillId="16" borderId="12" xfId="0" applyFont="1" applyFill="1" applyBorder="1" applyProtection="1"/>
    <xf numFmtId="0" fontId="35" fillId="2" borderId="0" xfId="0" applyFont="1" applyFill="1" applyBorder="1" applyProtection="1"/>
    <xf numFmtId="9" fontId="9" fillId="3" borderId="1" xfId="3" applyFont="1" applyFill="1" applyBorder="1" applyAlignment="1" applyProtection="1">
      <alignment horizontal="center"/>
    </xf>
    <xf numFmtId="9" fontId="28" fillId="12" borderId="1" xfId="0" applyNumberFormat="1" applyFont="1" applyFill="1" applyBorder="1" applyAlignment="1" applyProtection="1">
      <alignment horizontal="center" vertical="top"/>
    </xf>
    <xf numFmtId="0" fontId="6" fillId="14" borderId="0" xfId="0" applyFont="1" applyFill="1" applyBorder="1" applyProtection="1"/>
    <xf numFmtId="0" fontId="16" fillId="0" borderId="1" xfId="0" applyFont="1" applyBorder="1" applyAlignment="1" applyProtection="1">
      <alignment horizontal="center" wrapText="1"/>
    </xf>
    <xf numFmtId="0" fontId="6" fillId="2" borderId="1" xfId="0" applyFont="1" applyFill="1" applyBorder="1" applyAlignment="1" applyProtection="1">
      <alignment horizontal="center"/>
    </xf>
    <xf numFmtId="0" fontId="8" fillId="4" borderId="1" xfId="0" applyFont="1" applyFill="1" applyBorder="1" applyAlignment="1" applyProtection="1">
      <alignment horizontal="center"/>
    </xf>
    <xf numFmtId="0" fontId="6" fillId="5" borderId="0" xfId="0" applyFont="1" applyFill="1" applyBorder="1" applyProtection="1"/>
    <xf numFmtId="0" fontId="16" fillId="3" borderId="1" xfId="0" applyFont="1" applyFill="1" applyBorder="1" applyAlignment="1" applyProtection="1">
      <alignment horizontal="center" wrapText="1"/>
    </xf>
    <xf numFmtId="0" fontId="8" fillId="16" borderId="15" xfId="0" applyFont="1" applyFill="1" applyBorder="1" applyProtection="1"/>
    <xf numFmtId="3" fontId="9" fillId="3" borderId="4" xfId="0" applyNumberFormat="1" applyFont="1" applyFill="1" applyBorder="1" applyAlignment="1" applyProtection="1">
      <alignment horizontal="right" indent="2"/>
    </xf>
    <xf numFmtId="0" fontId="10" fillId="2" borderId="0" xfId="0" applyFont="1" applyFill="1" applyBorder="1" applyProtection="1"/>
    <xf numFmtId="168" fontId="16" fillId="0" borderId="1" xfId="0" applyNumberFormat="1" applyFont="1" applyFill="1" applyBorder="1" applyAlignment="1" applyProtection="1">
      <alignment horizontal="right" wrapText="1" indent="2"/>
    </xf>
    <xf numFmtId="1" fontId="8" fillId="2" borderId="1" xfId="0" applyNumberFormat="1" applyFont="1" applyFill="1" applyBorder="1" applyAlignment="1" applyProtection="1">
      <alignment horizontal="center"/>
    </xf>
    <xf numFmtId="0" fontId="8" fillId="16" borderId="18" xfId="0" applyFont="1" applyFill="1" applyBorder="1" applyProtection="1"/>
    <xf numFmtId="0" fontId="31" fillId="5" borderId="0" xfId="0" applyFont="1" applyFill="1" applyBorder="1" applyProtection="1"/>
    <xf numFmtId="174" fontId="9" fillId="0" borderId="4" xfId="0" applyNumberFormat="1" applyFont="1" applyFill="1" applyBorder="1" applyAlignment="1" applyProtection="1">
      <alignment horizontal="center"/>
    </xf>
    <xf numFmtId="4" fontId="6" fillId="2" borderId="0" xfId="0" applyNumberFormat="1" applyFont="1" applyFill="1" applyBorder="1" applyAlignment="1" applyProtection="1">
      <alignment horizontal="left"/>
    </xf>
    <xf numFmtId="0" fontId="17" fillId="2" borderId="0" xfId="0" applyFont="1" applyFill="1" applyBorder="1" applyProtection="1"/>
    <xf numFmtId="0" fontId="8" fillId="2" borderId="0" xfId="0" applyFont="1" applyFill="1" applyBorder="1" applyAlignment="1" applyProtection="1">
      <alignment horizontal="left" indent="2"/>
    </xf>
    <xf numFmtId="9" fontId="9" fillId="2" borderId="0" xfId="3" applyFont="1" applyFill="1" applyBorder="1" applyAlignment="1" applyProtection="1">
      <alignment horizontal="center"/>
    </xf>
    <xf numFmtId="3" fontId="9" fillId="3" borderId="18" xfId="0" applyNumberFormat="1" applyFont="1" applyFill="1" applyBorder="1" applyAlignment="1" applyProtection="1">
      <alignment horizontal="right" indent="2"/>
    </xf>
    <xf numFmtId="0" fontId="8" fillId="5" borderId="0" xfId="0" applyFont="1" applyFill="1" applyBorder="1" applyAlignment="1" applyProtection="1">
      <alignment horizontal="right"/>
    </xf>
    <xf numFmtId="4" fontId="33" fillId="16" borderId="2" xfId="0" applyNumberFormat="1" applyFont="1" applyFill="1" applyBorder="1" applyAlignment="1" applyProtection="1">
      <alignment horizontal="left"/>
    </xf>
    <xf numFmtId="9" fontId="9" fillId="16" borderId="3" xfId="3" applyFont="1" applyFill="1" applyBorder="1" applyAlignment="1" applyProtection="1">
      <alignment horizontal="center"/>
    </xf>
    <xf numFmtId="4" fontId="33" fillId="2" borderId="0" xfId="0" applyNumberFormat="1" applyFont="1" applyFill="1" applyBorder="1" applyAlignment="1" applyProtection="1">
      <alignment horizontal="right"/>
    </xf>
    <xf numFmtId="9" fontId="9" fillId="4" borderId="0" xfId="3" applyFont="1" applyFill="1" applyBorder="1" applyAlignment="1" applyProtection="1">
      <alignment horizontal="center"/>
    </xf>
    <xf numFmtId="4" fontId="33" fillId="2" borderId="0" xfId="0" applyNumberFormat="1" applyFont="1" applyFill="1" applyBorder="1" applyAlignment="1" applyProtection="1">
      <alignment horizontal="left"/>
    </xf>
    <xf numFmtId="9" fontId="9" fillId="3" borderId="1" xfId="3" applyFont="1" applyFill="1" applyBorder="1" applyAlignment="1" applyProtection="1">
      <alignment horizontal="right" indent="1"/>
    </xf>
    <xf numFmtId="177" fontId="8" fillId="4" borderId="1" xfId="1" applyNumberFormat="1" applyFont="1" applyFill="1" applyBorder="1" applyAlignment="1" applyProtection="1">
      <alignment horizontal="right" indent="1"/>
    </xf>
    <xf numFmtId="9" fontId="8" fillId="2" borderId="1" xfId="3" applyFont="1" applyFill="1" applyBorder="1" applyAlignment="1" applyProtection="1">
      <alignment horizontal="center"/>
    </xf>
    <xf numFmtId="9" fontId="9" fillId="3" borderId="18" xfId="3" applyFont="1" applyFill="1" applyBorder="1" applyAlignment="1" applyProtection="1">
      <alignment horizontal="center"/>
    </xf>
    <xf numFmtId="0" fontId="8" fillId="16" borderId="4" xfId="0" applyFont="1" applyFill="1" applyBorder="1" applyAlignment="1" applyProtection="1">
      <alignment horizontal="left"/>
    </xf>
    <xf numFmtId="0" fontId="8" fillId="16" borderId="17" xfId="0" applyFont="1" applyFill="1" applyBorder="1" applyAlignment="1" applyProtection="1">
      <alignment horizontal="right"/>
    </xf>
    <xf numFmtId="9" fontId="8" fillId="16" borderId="17" xfId="3" applyFont="1" applyFill="1" applyBorder="1" applyAlignment="1" applyProtection="1">
      <alignment horizontal="center"/>
    </xf>
    <xf numFmtId="3" fontId="9" fillId="4" borderId="0" xfId="1" applyNumberFormat="1" applyFont="1" applyFill="1" applyBorder="1" applyAlignment="1" applyProtection="1">
      <alignment horizontal="center"/>
    </xf>
    <xf numFmtId="0" fontId="8" fillId="4" borderId="0" xfId="0" applyFont="1" applyFill="1" applyBorder="1" applyAlignment="1" applyProtection="1">
      <alignment horizontal="right"/>
    </xf>
    <xf numFmtId="10" fontId="28" fillId="12" borderId="1" xfId="0" applyNumberFormat="1" applyFont="1" applyFill="1" applyBorder="1" applyAlignment="1" applyProtection="1">
      <alignment horizontal="center" vertical="top"/>
    </xf>
    <xf numFmtId="0" fontId="8" fillId="2" borderId="0" xfId="0" applyFont="1" applyFill="1" applyAlignment="1" applyProtection="1">
      <alignment horizontal="center"/>
    </xf>
    <xf numFmtId="10" fontId="28" fillId="12" borderId="1" xfId="0" applyNumberFormat="1" applyFont="1" applyFill="1" applyBorder="1" applyAlignment="1" applyProtection="1">
      <alignment horizontal="right" vertical="top" indent="1"/>
    </xf>
    <xf numFmtId="0" fontId="48" fillId="2" borderId="0" xfId="0" applyFont="1" applyFill="1" applyProtection="1"/>
    <xf numFmtId="3" fontId="9" fillId="4" borderId="1" xfId="0" applyNumberFormat="1" applyFont="1" applyFill="1" applyBorder="1" applyAlignment="1" applyProtection="1">
      <alignment horizontal="center"/>
    </xf>
    <xf numFmtId="3" fontId="9" fillId="3" borderId="1" xfId="0" applyNumberFormat="1" applyFont="1" applyFill="1" applyBorder="1" applyAlignment="1" applyProtection="1">
      <alignment horizontal="center"/>
    </xf>
    <xf numFmtId="4" fontId="33" fillId="5" borderId="0" xfId="0" applyNumberFormat="1" applyFont="1" applyFill="1" applyBorder="1" applyAlignment="1" applyProtection="1">
      <alignment horizontal="left"/>
    </xf>
    <xf numFmtId="9" fontId="9" fillId="0" borderId="1" xfId="3" applyFont="1" applyFill="1" applyBorder="1" applyAlignment="1" applyProtection="1">
      <alignment horizontal="center"/>
    </xf>
    <xf numFmtId="0" fontId="9" fillId="3" borderId="1" xfId="0" applyFont="1" applyFill="1" applyBorder="1" applyAlignment="1" applyProtection="1">
      <alignment horizontal="center"/>
    </xf>
    <xf numFmtId="0" fontId="8" fillId="12" borderId="1" xfId="0" applyFont="1" applyFill="1" applyBorder="1" applyProtection="1"/>
    <xf numFmtId="9" fontId="8" fillId="2" borderId="1" xfId="3" applyFont="1" applyFill="1" applyBorder="1" applyAlignment="1" applyProtection="1">
      <alignment horizontal="center" wrapText="1"/>
    </xf>
    <xf numFmtId="3" fontId="9" fillId="3" borderId="1" xfId="3" applyNumberFormat="1" applyFont="1" applyFill="1" applyBorder="1" applyAlignment="1" applyProtection="1">
      <alignment horizontal="center"/>
    </xf>
    <xf numFmtId="0" fontId="8" fillId="2" borderId="1" xfId="0" applyFont="1" applyFill="1" applyBorder="1" applyAlignment="1" applyProtection="1">
      <alignment horizontal="right"/>
    </xf>
    <xf numFmtId="3" fontId="8" fillId="4" borderId="1" xfId="3" applyNumberFormat="1" applyFont="1" applyFill="1" applyBorder="1" applyAlignment="1" applyProtection="1">
      <alignment horizontal="right"/>
    </xf>
    <xf numFmtId="9" fontId="8" fillId="4" borderId="1" xfId="3" applyFont="1" applyFill="1" applyBorder="1" applyAlignment="1" applyProtection="1">
      <alignment horizontal="center"/>
    </xf>
    <xf numFmtId="4" fontId="51" fillId="2" borderId="0" xfId="0" applyNumberFormat="1" applyFont="1" applyFill="1" applyBorder="1" applyAlignment="1" applyProtection="1">
      <alignment horizontal="center"/>
    </xf>
    <xf numFmtId="0" fontId="20" fillId="2" borderId="0" xfId="0" applyFont="1" applyFill="1" applyBorder="1" applyProtection="1"/>
    <xf numFmtId="0" fontId="0" fillId="15" borderId="0" xfId="0" applyFill="1" applyProtection="1"/>
    <xf numFmtId="0" fontId="9" fillId="5" borderId="1" xfId="0" applyFont="1" applyFill="1" applyBorder="1" applyAlignment="1" applyProtection="1">
      <alignment horizontal="center"/>
    </xf>
    <xf numFmtId="1" fontId="9" fillId="5" borderId="1" xfId="3" applyNumberFormat="1" applyFont="1" applyFill="1" applyBorder="1" applyAlignment="1" applyProtection="1">
      <alignment horizontal="center"/>
    </xf>
    <xf numFmtId="194" fontId="9" fillId="0" borderId="1" xfId="3" applyNumberFormat="1" applyFont="1" applyFill="1" applyBorder="1" applyAlignment="1" applyProtection="1">
      <alignment horizontal="center"/>
    </xf>
    <xf numFmtId="0" fontId="9" fillId="0" borderId="1" xfId="0" applyFont="1" applyFill="1" applyBorder="1" applyAlignment="1" applyProtection="1">
      <alignment horizontal="center"/>
    </xf>
    <xf numFmtId="1" fontId="9" fillId="0" borderId="1" xfId="3" applyNumberFormat="1" applyFont="1" applyFill="1" applyBorder="1" applyAlignment="1" applyProtection="1">
      <alignment horizontal="center"/>
    </xf>
    <xf numFmtId="0" fontId="28" fillId="16" borderId="4" xfId="0" applyFont="1" applyFill="1" applyBorder="1" applyProtection="1"/>
    <xf numFmtId="0" fontId="28" fillId="16" borderId="12" xfId="0" applyFont="1" applyFill="1" applyBorder="1" applyProtection="1"/>
    <xf numFmtId="0" fontId="0" fillId="16" borderId="14" xfId="0" applyFill="1" applyBorder="1" applyProtection="1"/>
    <xf numFmtId="0" fontId="28" fillId="16" borderId="2" xfId="0" applyFont="1" applyFill="1" applyBorder="1" applyProtection="1"/>
    <xf numFmtId="0" fontId="0" fillId="16" borderId="10" xfId="0" applyFill="1" applyBorder="1" applyProtection="1"/>
    <xf numFmtId="0" fontId="0" fillId="2" borderId="18" xfId="0" applyFont="1" applyFill="1" applyBorder="1" applyAlignment="1" applyProtection="1">
      <alignment horizontal="right"/>
    </xf>
    <xf numFmtId="9" fontId="9" fillId="5" borderId="5" xfId="0" applyNumberFormat="1" applyFont="1" applyFill="1" applyBorder="1" applyAlignment="1" applyProtection="1">
      <alignment horizontal="center"/>
    </xf>
    <xf numFmtId="9" fontId="9" fillId="5" borderId="1" xfId="0" applyNumberFormat="1" applyFont="1" applyFill="1" applyBorder="1" applyAlignment="1" applyProtection="1">
      <alignment horizontal="center"/>
    </xf>
    <xf numFmtId="0" fontId="0" fillId="2" borderId="0" xfId="0" applyFont="1" applyFill="1" applyAlignment="1" applyProtection="1">
      <alignment horizontal="right"/>
    </xf>
    <xf numFmtId="10" fontId="28" fillId="5" borderId="1" xfId="0" applyNumberFormat="1" applyFont="1" applyFill="1" applyBorder="1" applyAlignment="1" applyProtection="1">
      <alignment horizontal="right" vertical="top" indent="1"/>
    </xf>
    <xf numFmtId="0" fontId="28" fillId="5" borderId="1" xfId="0" applyFont="1" applyFill="1" applyBorder="1" applyAlignment="1" applyProtection="1">
      <alignment horizontal="center" vertical="center"/>
    </xf>
    <xf numFmtId="0" fontId="8" fillId="5" borderId="1" xfId="0" applyFont="1" applyFill="1" applyBorder="1" applyProtection="1"/>
    <xf numFmtId="0" fontId="8" fillId="5" borderId="1" xfId="0" applyFont="1" applyFill="1" applyBorder="1" applyAlignment="1" applyProtection="1">
      <alignment horizontal="right"/>
    </xf>
    <xf numFmtId="0" fontId="9" fillId="5" borderId="20" xfId="0" applyFont="1" applyFill="1" applyBorder="1" applyAlignment="1" applyProtection="1">
      <alignment horizontal="center"/>
    </xf>
    <xf numFmtId="9" fontId="9" fillId="5" borderId="18" xfId="0" applyNumberFormat="1" applyFont="1" applyFill="1" applyBorder="1" applyAlignment="1" applyProtection="1">
      <alignment horizontal="center"/>
    </xf>
    <xf numFmtId="1" fontId="9" fillId="5" borderId="20" xfId="3" applyNumberFormat="1" applyFont="1" applyFill="1" applyBorder="1" applyAlignment="1" applyProtection="1">
      <alignment horizontal="center"/>
    </xf>
    <xf numFmtId="1" fontId="9" fillId="5" borderId="5" xfId="3" applyNumberFormat="1" applyFont="1" applyFill="1" applyBorder="1" applyAlignment="1" applyProtection="1">
      <alignment horizontal="center"/>
    </xf>
    <xf numFmtId="3" fontId="9" fillId="3" borderId="1" xfId="0" applyNumberFormat="1" applyFont="1" applyFill="1" applyBorder="1" applyAlignment="1" applyProtection="1">
      <alignment horizontal="center"/>
      <protection locked="0"/>
    </xf>
    <xf numFmtId="0" fontId="62" fillId="0" borderId="0" xfId="0" applyFont="1"/>
    <xf numFmtId="0" fontId="63" fillId="2" borderId="0" xfId="0" applyFont="1" applyFill="1" applyBorder="1"/>
    <xf numFmtId="0" fontId="9" fillId="3" borderId="1" xfId="0" applyFont="1" applyFill="1" applyBorder="1" applyAlignment="1" applyProtection="1">
      <alignment horizontal="right"/>
      <protection locked="0"/>
    </xf>
    <xf numFmtId="3" fontId="9" fillId="3" borderId="1" xfId="1" applyNumberFormat="1" applyFont="1" applyFill="1" applyBorder="1" applyAlignment="1" applyProtection="1">
      <alignment horizontal="right"/>
      <protection locked="0"/>
    </xf>
    <xf numFmtId="0" fontId="0" fillId="23" borderId="0" xfId="0" applyFont="1" applyFill="1" applyBorder="1" applyAlignment="1" applyProtection="1">
      <alignment horizontal="center" textRotation="90"/>
    </xf>
    <xf numFmtId="0" fontId="56" fillId="8" borderId="13" xfId="0" applyFont="1" applyFill="1" applyBorder="1" applyAlignment="1" applyProtection="1">
      <alignment vertical="center"/>
    </xf>
    <xf numFmtId="0" fontId="7" fillId="9" borderId="1" xfId="0" applyFont="1" applyFill="1" applyBorder="1" applyAlignment="1" applyProtection="1">
      <alignment horizontal="right" vertical="center"/>
      <protection hidden="1"/>
    </xf>
    <xf numFmtId="0" fontId="0" fillId="0" borderId="0" xfId="0" applyNumberFormat="1" applyFont="1" applyAlignment="1" applyProtection="1">
      <alignment horizontal="left"/>
      <protection hidden="1"/>
    </xf>
    <xf numFmtId="0" fontId="28" fillId="4" borderId="0" xfId="0" applyFont="1" applyFill="1" applyBorder="1" applyAlignment="1"/>
    <xf numFmtId="0" fontId="28" fillId="18" borderId="1" xfId="0" applyFont="1" applyFill="1" applyBorder="1" applyAlignment="1"/>
    <xf numFmtId="0" fontId="28" fillId="6" borderId="1" xfId="0" applyFont="1" applyFill="1" applyBorder="1" applyAlignment="1"/>
    <xf numFmtId="0" fontId="0" fillId="0" borderId="0" xfId="0" applyAlignment="1">
      <alignment horizontal="left" vertical="center" wrapText="1"/>
    </xf>
    <xf numFmtId="0" fontId="52" fillId="0" borderId="0" xfId="0" applyFont="1" applyBorder="1" applyAlignment="1">
      <alignment horizontal="left" vertical="center" wrapText="1"/>
    </xf>
    <xf numFmtId="0" fontId="41" fillId="8" borderId="13" xfId="0" applyFont="1" applyFill="1" applyBorder="1" applyAlignment="1">
      <alignment horizontal="left" vertical="center" wrapText="1"/>
    </xf>
    <xf numFmtId="0" fontId="9" fillId="0" borderId="4" xfId="0" applyFont="1" applyFill="1" applyBorder="1" applyAlignment="1" applyProtection="1">
      <alignment horizontal="left"/>
      <protection locked="0"/>
    </xf>
    <xf numFmtId="0" fontId="9" fillId="0" borderId="17" xfId="0" applyFont="1" applyFill="1" applyBorder="1" applyAlignment="1" applyProtection="1">
      <alignment horizontal="left"/>
      <protection locked="0"/>
    </xf>
    <xf numFmtId="0" fontId="9" fillId="0" borderId="5" xfId="0" applyFont="1" applyFill="1" applyBorder="1" applyAlignment="1" applyProtection="1">
      <alignment horizontal="left"/>
      <protection locked="0"/>
    </xf>
    <xf numFmtId="0" fontId="0" fillId="4" borderId="1" xfId="0" applyFill="1" applyBorder="1" applyAlignment="1">
      <alignment horizontal="center"/>
    </xf>
    <xf numFmtId="0" fontId="0" fillId="2" borderId="4" xfId="0" applyFont="1" applyFill="1" applyBorder="1" applyAlignment="1">
      <alignment horizontal="center"/>
    </xf>
    <xf numFmtId="0" fontId="0" fillId="2" borderId="5" xfId="0" applyFont="1" applyFill="1" applyBorder="1" applyAlignment="1">
      <alignment horizontal="center"/>
    </xf>
    <xf numFmtId="0" fontId="0" fillId="2" borderId="1" xfId="0" applyFill="1" applyBorder="1" applyAlignment="1">
      <alignment horizontal="left"/>
    </xf>
    <xf numFmtId="0" fontId="0" fillId="2" borderId="1" xfId="0" applyFont="1" applyFill="1" applyBorder="1" applyAlignment="1">
      <alignment horizontal="left"/>
    </xf>
    <xf numFmtId="0" fontId="9" fillId="3" borderId="4" xfId="0" applyFont="1" applyFill="1" applyBorder="1" applyAlignment="1" applyProtection="1">
      <alignment horizontal="left"/>
      <protection locked="0"/>
    </xf>
    <xf numFmtId="0" fontId="9" fillId="3" borderId="17" xfId="0" applyFont="1" applyFill="1" applyBorder="1" applyAlignment="1" applyProtection="1">
      <alignment horizontal="left"/>
      <protection locked="0"/>
    </xf>
    <xf numFmtId="0" fontId="9" fillId="3" borderId="5" xfId="0" applyFont="1" applyFill="1" applyBorder="1" applyAlignment="1" applyProtection="1">
      <alignment horizontal="left"/>
      <protection locked="0"/>
    </xf>
    <xf numFmtId="0" fontId="9" fillId="0" borderId="11" xfId="0" applyFont="1" applyFill="1" applyBorder="1" applyAlignment="1" applyProtection="1">
      <alignment horizontal="left"/>
      <protection locked="0"/>
    </xf>
    <xf numFmtId="0" fontId="8" fillId="2" borderId="3" xfId="0" applyFont="1" applyFill="1" applyBorder="1" applyAlignment="1">
      <alignment horizontal="center"/>
    </xf>
    <xf numFmtId="0" fontId="3" fillId="0" borderId="4" xfId="2" applyFill="1" applyBorder="1" applyAlignment="1" applyProtection="1">
      <alignment horizontal="left"/>
      <protection locked="0"/>
    </xf>
    <xf numFmtId="4" fontId="16" fillId="0" borderId="4" xfId="0" applyNumberFormat="1" applyFont="1" applyFill="1" applyBorder="1" applyAlignment="1" applyProtection="1">
      <alignment horizontal="left"/>
      <protection locked="0"/>
    </xf>
    <xf numFmtId="4" fontId="16" fillId="0" borderId="17" xfId="0" applyNumberFormat="1" applyFont="1" applyFill="1" applyBorder="1" applyAlignment="1" applyProtection="1">
      <alignment horizontal="left"/>
      <protection locked="0"/>
    </xf>
    <xf numFmtId="4" fontId="16" fillId="0" borderId="5" xfId="0" applyNumberFormat="1" applyFont="1" applyFill="1" applyBorder="1" applyAlignment="1" applyProtection="1">
      <alignment horizontal="left"/>
      <protection locked="0"/>
    </xf>
    <xf numFmtId="0" fontId="16" fillId="0" borderId="4" xfId="0" applyFont="1" applyFill="1" applyBorder="1" applyAlignment="1" applyProtection="1">
      <alignment horizontal="left"/>
      <protection locked="0"/>
    </xf>
    <xf numFmtId="0" fontId="16" fillId="0" borderId="17" xfId="0" applyFont="1" applyFill="1" applyBorder="1" applyAlignment="1" applyProtection="1">
      <alignment horizontal="left"/>
      <protection locked="0"/>
    </xf>
    <xf numFmtId="0" fontId="16" fillId="0" borderId="5" xfId="0" applyFont="1" applyFill="1" applyBorder="1" applyAlignment="1" applyProtection="1">
      <alignment horizontal="left"/>
      <protection locked="0"/>
    </xf>
    <xf numFmtId="0" fontId="8" fillId="16" borderId="12" xfId="0" applyFont="1" applyFill="1" applyBorder="1" applyAlignment="1">
      <alignment horizontal="left" wrapText="1"/>
    </xf>
    <xf numFmtId="0" fontId="8" fillId="16" borderId="14" xfId="0" applyFont="1" applyFill="1" applyBorder="1" applyAlignment="1">
      <alignment horizontal="left" wrapText="1"/>
    </xf>
    <xf numFmtId="0" fontId="8" fillId="16" borderId="11" xfId="0" applyFont="1" applyFill="1" applyBorder="1" applyAlignment="1">
      <alignment horizontal="left" wrapText="1"/>
    </xf>
    <xf numFmtId="0" fontId="8" fillId="16" borderId="2" xfId="0" applyFont="1" applyFill="1" applyBorder="1" applyAlignment="1">
      <alignment horizontal="left" wrapText="1"/>
    </xf>
    <xf numFmtId="0" fontId="8" fillId="16" borderId="3" xfId="0" applyFont="1" applyFill="1" applyBorder="1" applyAlignment="1">
      <alignment horizontal="left" wrapText="1"/>
    </xf>
    <xf numFmtId="0" fontId="8" fillId="16" borderId="10" xfId="0" applyFont="1" applyFill="1" applyBorder="1" applyAlignment="1">
      <alignment horizontal="left" wrapText="1"/>
    </xf>
    <xf numFmtId="0" fontId="6" fillId="18" borderId="4" xfId="0" applyFont="1" applyFill="1" applyBorder="1" applyAlignment="1">
      <alignment horizontal="center"/>
    </xf>
    <xf numFmtId="0" fontId="6" fillId="18" borderId="17" xfId="0" applyFont="1" applyFill="1" applyBorder="1" applyAlignment="1">
      <alignment horizontal="center"/>
    </xf>
    <xf numFmtId="0" fontId="6" fillId="18" borderId="5" xfId="0" applyFont="1" applyFill="1" applyBorder="1" applyAlignment="1">
      <alignment horizontal="center"/>
    </xf>
    <xf numFmtId="0" fontId="6" fillId="6" borderId="4" xfId="0" applyFont="1" applyFill="1" applyBorder="1" applyAlignment="1">
      <alignment horizontal="center"/>
    </xf>
    <xf numFmtId="0" fontId="6" fillId="6" borderId="17" xfId="0" applyFont="1" applyFill="1" applyBorder="1" applyAlignment="1">
      <alignment horizontal="center"/>
    </xf>
    <xf numFmtId="0" fontId="6" fillId="6" borderId="5" xfId="0" applyFont="1" applyFill="1" applyBorder="1" applyAlignment="1">
      <alignment horizontal="center"/>
    </xf>
    <xf numFmtId="0" fontId="3" fillId="4" borderId="14" xfId="2" applyFill="1" applyBorder="1" applyAlignment="1" applyProtection="1">
      <alignment horizontal="left"/>
      <protection hidden="1"/>
    </xf>
    <xf numFmtId="0" fontId="8" fillId="2" borderId="1" xfId="0" applyFont="1" applyFill="1" applyBorder="1" applyAlignment="1">
      <alignment horizont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60" fillId="0" borderId="4" xfId="0" applyFont="1" applyFill="1" applyBorder="1" applyAlignment="1" applyProtection="1">
      <alignment horizontal="left"/>
      <protection locked="0"/>
    </xf>
    <xf numFmtId="0" fontId="60" fillId="0" borderId="17" xfId="0" applyFont="1" applyFill="1" applyBorder="1" applyAlignment="1" applyProtection="1">
      <alignment horizontal="left"/>
      <protection locked="0"/>
    </xf>
    <xf numFmtId="0" fontId="60" fillId="0" borderId="5" xfId="0" applyFont="1" applyFill="1" applyBorder="1" applyAlignment="1" applyProtection="1">
      <alignment horizontal="left"/>
      <protection locked="0"/>
    </xf>
    <xf numFmtId="0" fontId="8" fillId="16" borderId="4" xfId="0" applyFont="1" applyFill="1" applyBorder="1" applyAlignment="1">
      <alignment horizontal="left"/>
    </xf>
    <xf numFmtId="0" fontId="8" fillId="16" borderId="17" xfId="0" applyFont="1" applyFill="1" applyBorder="1" applyAlignment="1">
      <alignment horizontal="left"/>
    </xf>
    <xf numFmtId="0" fontId="8" fillId="16" borderId="5" xfId="0" applyFont="1" applyFill="1" applyBorder="1" applyAlignment="1">
      <alignment horizontal="left"/>
    </xf>
    <xf numFmtId="0" fontId="8" fillId="2" borderId="4" xfId="0" applyFont="1" applyFill="1" applyBorder="1" applyAlignment="1">
      <alignment horizontal="center" wrapText="1"/>
    </xf>
    <xf numFmtId="0" fontId="8" fillId="2" borderId="5" xfId="0" applyFont="1" applyFill="1" applyBorder="1" applyAlignment="1">
      <alignment horizontal="center" wrapText="1"/>
    </xf>
    <xf numFmtId="3" fontId="9" fillId="3" borderId="4" xfId="0" applyNumberFormat="1" applyFont="1" applyFill="1" applyBorder="1" applyAlignment="1" applyProtection="1">
      <alignment horizontal="center"/>
      <protection locked="0"/>
    </xf>
    <xf numFmtId="3" fontId="9" fillId="3" borderId="5" xfId="0" applyNumberFormat="1" applyFont="1" applyFill="1" applyBorder="1" applyAlignment="1" applyProtection="1">
      <alignment horizontal="center"/>
      <protection locked="0"/>
    </xf>
    <xf numFmtId="0" fontId="8" fillId="2" borderId="4" xfId="0" applyFont="1" applyFill="1" applyBorder="1" applyAlignment="1">
      <alignment horizontal="center"/>
    </xf>
    <xf numFmtId="0" fontId="8" fillId="2" borderId="5" xfId="0" applyFont="1" applyFill="1" applyBorder="1" applyAlignment="1">
      <alignment horizontal="center"/>
    </xf>
    <xf numFmtId="0" fontId="61" fillId="0" borderId="1" xfId="0" applyFont="1" applyFill="1" applyBorder="1" applyAlignment="1" applyProtection="1">
      <alignment horizontal="left"/>
      <protection locked="0"/>
    </xf>
    <xf numFmtId="0" fontId="8" fillId="16" borderId="17" xfId="0" applyFont="1" applyFill="1" applyBorder="1" applyAlignment="1">
      <alignment horizontal="center"/>
    </xf>
    <xf numFmtId="0" fontId="8" fillId="16" borderId="5" xfId="0" applyFont="1" applyFill="1" applyBorder="1" applyAlignment="1">
      <alignment horizontal="center"/>
    </xf>
    <xf numFmtId="0" fontId="8" fillId="16" borderId="4" xfId="0" applyFont="1" applyFill="1" applyBorder="1" applyAlignment="1">
      <alignment horizontal="center"/>
    </xf>
    <xf numFmtId="0" fontId="8" fillId="16" borderId="1" xfId="0" applyFont="1" applyFill="1" applyBorder="1" applyAlignment="1">
      <alignment horizontal="left"/>
    </xf>
    <xf numFmtId="0" fontId="8" fillId="2" borderId="1" xfId="0" applyFont="1" applyFill="1" applyBorder="1" applyAlignment="1">
      <alignment horizontal="center" vertical="center" wrapText="1"/>
    </xf>
    <xf numFmtId="0" fontId="8" fillId="2" borderId="1" xfId="0" applyFont="1" applyFill="1" applyBorder="1" applyAlignment="1">
      <alignment horizontal="center" wrapText="1"/>
    </xf>
    <xf numFmtId="0" fontId="18" fillId="4" borderId="0" xfId="2" applyFont="1" applyFill="1" applyBorder="1" applyAlignment="1" applyProtection="1">
      <alignment horizontal="left"/>
      <protection hidden="1"/>
    </xf>
    <xf numFmtId="0" fontId="0" fillId="0" borderId="4" xfId="0" applyFill="1" applyBorder="1" applyAlignment="1" applyProtection="1">
      <alignment horizontal="left"/>
      <protection locked="0"/>
    </xf>
    <xf numFmtId="0" fontId="0" fillId="0" borderId="5" xfId="0" applyFill="1" applyBorder="1" applyAlignment="1" applyProtection="1">
      <alignment horizontal="left"/>
      <protection locked="0"/>
    </xf>
    <xf numFmtId="0" fontId="0" fillId="0" borderId="4" xfId="0" applyFont="1" applyFill="1" applyBorder="1" applyAlignment="1">
      <alignment horizontal="left"/>
    </xf>
    <xf numFmtId="0" fontId="0" fillId="0" borderId="17" xfId="0" applyFont="1" applyFill="1" applyBorder="1" applyAlignment="1">
      <alignment horizontal="left"/>
    </xf>
    <xf numFmtId="0" fontId="0" fillId="0" borderId="5" xfId="0" applyFont="1" applyFill="1" applyBorder="1" applyAlignment="1">
      <alignment horizontal="left"/>
    </xf>
    <xf numFmtId="0" fontId="0" fillId="0" borderId="1" xfId="0" applyFont="1" applyFill="1" applyBorder="1" applyAlignment="1">
      <alignment horizontal="left"/>
    </xf>
    <xf numFmtId="0" fontId="42" fillId="0" borderId="0" xfId="0" applyFont="1" applyAlignment="1" applyProtection="1">
      <alignment horizontal="left" vertical="center" wrapText="1"/>
      <protection hidden="1"/>
    </xf>
    <xf numFmtId="0" fontId="0" fillId="0" borderId="12" xfId="0" applyBorder="1" applyAlignment="1" applyProtection="1">
      <alignment horizontal="center" vertical="center" wrapText="1"/>
      <protection hidden="1"/>
    </xf>
    <xf numFmtId="0" fontId="0" fillId="0" borderId="15" xfId="0" applyBorder="1" applyAlignment="1" applyProtection="1">
      <alignment horizontal="center" vertical="center" wrapText="1"/>
      <protection hidden="1"/>
    </xf>
    <xf numFmtId="0" fontId="0" fillId="0" borderId="2" xfId="0" applyBorder="1" applyAlignment="1" applyProtection="1">
      <alignment horizontal="center" vertical="center" wrapText="1"/>
      <protection hidden="1"/>
    </xf>
    <xf numFmtId="9" fontId="7" fillId="11" borderId="4" xfId="0" applyNumberFormat="1" applyFont="1" applyFill="1" applyBorder="1" applyAlignment="1" applyProtection="1">
      <alignment horizontal="center"/>
      <protection hidden="1"/>
    </xf>
    <xf numFmtId="9" fontId="7" fillId="11" borderId="17" xfId="0" applyNumberFormat="1" applyFont="1" applyFill="1" applyBorder="1" applyAlignment="1" applyProtection="1">
      <alignment horizontal="center"/>
      <protection hidden="1"/>
    </xf>
    <xf numFmtId="9" fontId="7" fillId="11" borderId="5" xfId="0" applyNumberFormat="1" applyFont="1" applyFill="1" applyBorder="1" applyAlignment="1" applyProtection="1">
      <alignment horizontal="center"/>
      <protection hidden="1"/>
    </xf>
    <xf numFmtId="0" fontId="0" fillId="0" borderId="18" xfId="0" applyFill="1" applyBorder="1" applyAlignment="1" applyProtection="1">
      <alignment horizontal="center" vertical="center" wrapText="1"/>
      <protection hidden="1"/>
    </xf>
    <xf numFmtId="0" fontId="0" fillId="0" borderId="19" xfId="0" applyFill="1" applyBorder="1" applyAlignment="1" applyProtection="1">
      <alignment horizontal="center" vertical="center" wrapText="1"/>
      <protection hidden="1"/>
    </xf>
    <xf numFmtId="0" fontId="0" fillId="0" borderId="20" xfId="0" applyFill="1" applyBorder="1" applyAlignment="1" applyProtection="1">
      <alignment horizontal="center" vertical="center" wrapText="1"/>
      <protection hidden="1"/>
    </xf>
    <xf numFmtId="0" fontId="0" fillId="0" borderId="11" xfId="0" applyFill="1" applyBorder="1" applyAlignment="1" applyProtection="1">
      <alignment horizontal="center" vertical="center" wrapText="1"/>
      <protection hidden="1"/>
    </xf>
    <xf numFmtId="0" fontId="0" fillId="0" borderId="16" xfId="0" applyFill="1" applyBorder="1" applyAlignment="1" applyProtection="1">
      <alignment horizontal="center" vertical="center" wrapText="1"/>
      <protection hidden="1"/>
    </xf>
    <xf numFmtId="0" fontId="0" fillId="0" borderId="10" xfId="0" applyFill="1" applyBorder="1" applyAlignment="1" applyProtection="1">
      <alignment horizontal="center" vertical="center" wrapText="1"/>
      <protection hidden="1"/>
    </xf>
    <xf numFmtId="0" fontId="0" fillId="0" borderId="17" xfId="0" applyFill="1" applyBorder="1" applyAlignment="1" applyProtection="1">
      <alignment horizontal="left" vertical="center"/>
      <protection hidden="1"/>
    </xf>
    <xf numFmtId="0" fontId="0" fillId="0" borderId="5" xfId="0" applyFill="1" applyBorder="1" applyAlignment="1" applyProtection="1">
      <alignment horizontal="left" vertical="center"/>
      <protection hidden="1"/>
    </xf>
    <xf numFmtId="0" fontId="7" fillId="13" borderId="4" xfId="0" applyFont="1" applyFill="1" applyBorder="1" applyAlignment="1" applyProtection="1">
      <alignment horizontal="left" vertical="center"/>
      <protection hidden="1"/>
    </xf>
    <xf numFmtId="0" fontId="7" fillId="13" borderId="17" xfId="0" applyFont="1" applyFill="1" applyBorder="1" applyAlignment="1" applyProtection="1">
      <alignment horizontal="left" vertical="center"/>
      <protection hidden="1"/>
    </xf>
    <xf numFmtId="0" fontId="7" fillId="13" borderId="5" xfId="0" applyFont="1" applyFill="1" applyBorder="1" applyAlignment="1" applyProtection="1">
      <alignment horizontal="left" vertical="center"/>
      <protection hidden="1"/>
    </xf>
    <xf numFmtId="0" fontId="0" fillId="0" borderId="4" xfId="0" applyFill="1" applyBorder="1" applyAlignment="1" applyProtection="1">
      <alignment horizontal="left" vertical="center"/>
      <protection hidden="1"/>
    </xf>
    <xf numFmtId="0" fontId="0" fillId="0" borderId="4" xfId="0" applyFont="1" applyFill="1" applyBorder="1" applyAlignment="1" applyProtection="1">
      <alignment horizontal="left" vertical="center"/>
      <protection hidden="1"/>
    </xf>
    <xf numFmtId="0" fontId="0" fillId="0" borderId="5" xfId="0" applyFont="1" applyFill="1" applyBorder="1" applyAlignment="1" applyProtection="1">
      <alignment horizontal="left" vertical="center"/>
      <protection hidden="1"/>
    </xf>
    <xf numFmtId="0" fontId="56" fillId="0" borderId="0" xfId="4" applyFont="1" applyAlignment="1">
      <alignment horizontal="left" wrapText="1"/>
    </xf>
    <xf numFmtId="0" fontId="56" fillId="0" borderId="0" xfId="4" applyFont="1" applyAlignment="1">
      <alignment horizontal="left"/>
    </xf>
    <xf numFmtId="0" fontId="0" fillId="0" borderId="18" xfId="0" applyBorder="1" applyAlignment="1" applyProtection="1">
      <alignment horizontal="center" vertical="center" wrapText="1"/>
      <protection hidden="1"/>
    </xf>
    <xf numFmtId="0" fontId="0" fillId="0" borderId="19" xfId="0" applyBorder="1" applyAlignment="1" applyProtection="1">
      <alignment horizontal="center" vertical="center" wrapText="1"/>
      <protection hidden="1"/>
    </xf>
    <xf numFmtId="0" fontId="0" fillId="0" borderId="18" xfId="0" applyFill="1" applyBorder="1" applyAlignment="1" applyProtection="1">
      <alignment horizontal="center" vertical="center"/>
      <protection hidden="1"/>
    </xf>
    <xf numFmtId="0" fontId="0" fillId="0" borderId="19" xfId="0" applyFill="1" applyBorder="1" applyAlignment="1" applyProtection="1">
      <alignment horizontal="center" vertical="center"/>
      <protection hidden="1"/>
    </xf>
    <xf numFmtId="0" fontId="0" fillId="0" borderId="20" xfId="0" applyFill="1" applyBorder="1" applyAlignment="1" applyProtection="1">
      <alignment horizontal="center" vertical="center"/>
      <protection hidden="1"/>
    </xf>
    <xf numFmtId="0" fontId="7" fillId="19" borderId="4" xfId="0" applyFont="1" applyFill="1" applyBorder="1" applyAlignment="1" applyProtection="1">
      <alignment horizontal="center"/>
      <protection hidden="1"/>
    </xf>
    <xf numFmtId="0" fontId="7" fillId="19" borderId="17" xfId="0" applyFont="1" applyFill="1" applyBorder="1" applyAlignment="1" applyProtection="1">
      <alignment horizontal="center"/>
      <protection hidden="1"/>
    </xf>
    <xf numFmtId="0" fontId="7" fillId="19" borderId="5" xfId="0" applyFont="1" applyFill="1" applyBorder="1" applyAlignment="1" applyProtection="1">
      <alignment horizontal="center"/>
      <protection hidden="1"/>
    </xf>
    <xf numFmtId="0" fontId="0" fillId="0" borderId="20" xfId="0" applyBorder="1" applyAlignment="1" applyProtection="1">
      <alignment horizontal="center" vertical="center" wrapText="1"/>
      <protection hidden="1"/>
    </xf>
    <xf numFmtId="0" fontId="0" fillId="5" borderId="4" xfId="0" applyFill="1" applyBorder="1" applyAlignment="1" applyProtection="1">
      <alignment horizontal="left"/>
    </xf>
    <xf numFmtId="0" fontId="0" fillId="5" borderId="5" xfId="0" applyFill="1" applyBorder="1" applyAlignment="1" applyProtection="1">
      <alignment horizontal="left"/>
    </xf>
    <xf numFmtId="0" fontId="9" fillId="5" borderId="1" xfId="0" applyFont="1" applyFill="1" applyBorder="1" applyAlignment="1" applyProtection="1">
      <alignment horizontal="center"/>
    </xf>
    <xf numFmtId="0" fontId="8" fillId="2" borderId="1" xfId="0" applyFont="1" applyFill="1" applyBorder="1" applyAlignment="1" applyProtection="1">
      <alignment horizontal="center"/>
    </xf>
    <xf numFmtId="0" fontId="6" fillId="2" borderId="4" xfId="0" applyFont="1" applyFill="1" applyBorder="1" applyAlignment="1" applyProtection="1">
      <alignment horizontal="center"/>
    </xf>
    <xf numFmtId="0" fontId="6" fillId="2" borderId="5" xfId="0" applyFont="1" applyFill="1" applyBorder="1" applyAlignment="1" applyProtection="1">
      <alignment horizontal="center"/>
    </xf>
    <xf numFmtId="0" fontId="8" fillId="2" borderId="4" xfId="0" applyFont="1" applyFill="1" applyBorder="1" applyAlignment="1" applyProtection="1">
      <alignment horizontal="center"/>
    </xf>
    <xf numFmtId="0" fontId="8" fillId="2" borderId="5" xfId="0" applyFont="1" applyFill="1" applyBorder="1" applyAlignment="1" applyProtection="1">
      <alignment horizontal="center"/>
    </xf>
    <xf numFmtId="0" fontId="8" fillId="16" borderId="4" xfId="0" applyFont="1" applyFill="1" applyBorder="1" applyAlignment="1" applyProtection="1">
      <alignment horizontal="left"/>
    </xf>
    <xf numFmtId="0" fontId="8" fillId="16" borderId="17" xfId="0" applyFont="1" applyFill="1" applyBorder="1" applyAlignment="1" applyProtection="1">
      <alignment horizontal="left"/>
    </xf>
    <xf numFmtId="0" fontId="8" fillId="16" borderId="5" xfId="0" applyFont="1" applyFill="1" applyBorder="1" applyAlignment="1" applyProtection="1">
      <alignment horizontal="left"/>
    </xf>
    <xf numFmtId="0" fontId="9" fillId="0" borderId="2" xfId="0" applyFont="1" applyFill="1" applyBorder="1" applyAlignment="1" applyProtection="1">
      <alignment horizontal="center"/>
    </xf>
    <xf numFmtId="0" fontId="9" fillId="0" borderId="10" xfId="0" applyFont="1" applyFill="1" applyBorder="1" applyAlignment="1" applyProtection="1">
      <alignment horizontal="center"/>
    </xf>
    <xf numFmtId="4" fontId="16" fillId="0" borderId="4" xfId="0" applyNumberFormat="1" applyFont="1" applyFill="1" applyBorder="1" applyAlignment="1" applyProtection="1">
      <alignment horizontal="left"/>
    </xf>
    <xf numFmtId="4" fontId="16" fillId="0" borderId="17" xfId="0" applyNumberFormat="1" applyFont="1" applyFill="1" applyBorder="1" applyAlignment="1" applyProtection="1">
      <alignment horizontal="left"/>
    </xf>
    <xf numFmtId="4" fontId="16" fillId="0" borderId="5" xfId="0" applyNumberFormat="1" applyFont="1" applyFill="1" applyBorder="1" applyAlignment="1" applyProtection="1">
      <alignment horizontal="left"/>
    </xf>
    <xf numFmtId="0" fontId="9" fillId="0" borderId="4" xfId="0" applyFont="1" applyFill="1" applyBorder="1" applyAlignment="1" applyProtection="1">
      <alignment horizontal="left"/>
    </xf>
    <xf numFmtId="0" fontId="9" fillId="0" borderId="17" xfId="0" applyFont="1" applyFill="1" applyBorder="1" applyAlignment="1" applyProtection="1">
      <alignment horizontal="left"/>
    </xf>
    <xf numFmtId="0" fontId="9" fillId="0" borderId="5" xfId="0" applyFont="1" applyFill="1" applyBorder="1" applyAlignment="1" applyProtection="1">
      <alignment horizontal="left"/>
    </xf>
    <xf numFmtId="0" fontId="8" fillId="2" borderId="4" xfId="0" applyFont="1" applyFill="1" applyBorder="1" applyAlignment="1" applyProtection="1">
      <alignment horizontal="center" wrapText="1"/>
    </xf>
    <xf numFmtId="0" fontId="8" fillId="2" borderId="5" xfId="0" applyFont="1" applyFill="1" applyBorder="1" applyAlignment="1" applyProtection="1">
      <alignment horizontal="center" wrapText="1"/>
    </xf>
    <xf numFmtId="0" fontId="8" fillId="0" borderId="1" xfId="0" applyFont="1" applyFill="1" applyBorder="1" applyAlignment="1" applyProtection="1">
      <alignment horizontal="left"/>
    </xf>
    <xf numFmtId="0" fontId="8" fillId="2" borderId="1" xfId="0" applyFont="1" applyFill="1" applyBorder="1" applyAlignment="1" applyProtection="1">
      <alignment horizontal="center" wrapText="1"/>
    </xf>
    <xf numFmtId="0" fontId="9" fillId="3" borderId="4" xfId="0" applyFont="1" applyFill="1" applyBorder="1" applyAlignment="1" applyProtection="1">
      <alignment horizontal="left"/>
    </xf>
    <xf numFmtId="0" fontId="9" fillId="3" borderId="17" xfId="0" applyFont="1" applyFill="1" applyBorder="1" applyAlignment="1" applyProtection="1">
      <alignment horizontal="left"/>
    </xf>
    <xf numFmtId="0" fontId="9" fillId="3" borderId="5" xfId="0" applyFont="1" applyFill="1" applyBorder="1" applyAlignment="1" applyProtection="1">
      <alignment horizontal="left"/>
    </xf>
    <xf numFmtId="0" fontId="0" fillId="0" borderId="4" xfId="0" applyFill="1" applyBorder="1" applyAlignment="1" applyProtection="1">
      <alignment horizontal="left"/>
    </xf>
    <xf numFmtId="0" fontId="0" fillId="0" borderId="5" xfId="0" applyFill="1" applyBorder="1" applyAlignment="1" applyProtection="1">
      <alignment horizontal="left"/>
    </xf>
    <xf numFmtId="0" fontId="8" fillId="2" borderId="1" xfId="0" applyFont="1" applyFill="1" applyBorder="1" applyAlignment="1" applyProtection="1">
      <alignment horizontal="center" vertical="center" wrapText="1"/>
    </xf>
    <xf numFmtId="0" fontId="8" fillId="2" borderId="18" xfId="0" applyFont="1" applyFill="1" applyBorder="1" applyAlignment="1" applyProtection="1">
      <alignment horizontal="center" vertical="center" wrapText="1"/>
    </xf>
    <xf numFmtId="0" fontId="8" fillId="2" borderId="19" xfId="0" applyFont="1" applyFill="1" applyBorder="1" applyAlignment="1" applyProtection="1">
      <alignment horizontal="center" vertical="center" wrapText="1"/>
    </xf>
    <xf numFmtId="0" fontId="8" fillId="2" borderId="20" xfId="0" applyFont="1" applyFill="1" applyBorder="1" applyAlignment="1" applyProtection="1">
      <alignment horizontal="center" vertical="center" wrapText="1"/>
    </xf>
    <xf numFmtId="0" fontId="8" fillId="0" borderId="4" xfId="0" applyFont="1" applyFill="1" applyBorder="1" applyAlignment="1" applyProtection="1">
      <alignment horizontal="left"/>
    </xf>
    <xf numFmtId="0" fontId="8" fillId="0" borderId="17" xfId="0" applyFont="1" applyFill="1" applyBorder="1" applyAlignment="1" applyProtection="1">
      <alignment horizontal="left"/>
    </xf>
    <xf numFmtId="0" fontId="8" fillId="0" borderId="5" xfId="0" applyFont="1" applyFill="1" applyBorder="1" applyAlignment="1" applyProtection="1">
      <alignment horizontal="left"/>
    </xf>
    <xf numFmtId="0" fontId="9" fillId="0" borderId="11" xfId="0" applyFont="1" applyFill="1" applyBorder="1" applyAlignment="1" applyProtection="1">
      <alignment horizontal="left"/>
    </xf>
    <xf numFmtId="0" fontId="0" fillId="11" borderId="18" xfId="0" applyFont="1" applyFill="1" applyBorder="1" applyAlignment="1" applyProtection="1">
      <alignment horizontal="center" vertical="center"/>
    </xf>
    <xf numFmtId="0" fontId="0" fillId="11" borderId="20" xfId="0" applyFont="1" applyFill="1" applyBorder="1" applyAlignment="1" applyProtection="1">
      <alignment horizontal="center" vertical="center"/>
    </xf>
    <xf numFmtId="0" fontId="0" fillId="11" borderId="1" xfId="0" applyFont="1" applyFill="1" applyBorder="1" applyAlignment="1" applyProtection="1">
      <alignment horizontal="center" vertical="center"/>
    </xf>
    <xf numFmtId="0" fontId="0" fillId="11" borderId="18" xfId="0" applyFont="1" applyFill="1" applyBorder="1" applyAlignment="1" applyProtection="1">
      <alignment horizontal="center" vertical="center" wrapText="1"/>
    </xf>
    <xf numFmtId="0" fontId="0" fillId="11" borderId="19" xfId="0" applyFont="1" applyFill="1" applyBorder="1" applyAlignment="1" applyProtection="1">
      <alignment horizontal="center" vertical="center" wrapText="1"/>
    </xf>
    <xf numFmtId="0" fontId="0" fillId="11" borderId="20" xfId="0" applyFont="1" applyFill="1" applyBorder="1" applyAlignment="1" applyProtection="1">
      <alignment horizontal="center" vertical="center" wrapText="1"/>
    </xf>
    <xf numFmtId="0" fontId="8" fillId="11" borderId="1" xfId="0" applyFont="1" applyFill="1" applyBorder="1" applyAlignment="1" applyProtection="1">
      <alignment horizontal="center"/>
    </xf>
    <xf numFmtId="0" fontId="0" fillId="11" borderId="19" xfId="0" applyFont="1" applyFill="1" applyBorder="1" applyAlignment="1" applyProtection="1">
      <alignment horizontal="center" vertical="center"/>
    </xf>
    <xf numFmtId="0" fontId="0" fillId="11" borderId="12" xfId="0" applyFont="1" applyFill="1" applyBorder="1" applyAlignment="1" applyProtection="1">
      <alignment horizontal="center"/>
    </xf>
    <xf numFmtId="0" fontId="0" fillId="11" borderId="14" xfId="0" applyFont="1" applyFill="1" applyBorder="1" applyAlignment="1" applyProtection="1">
      <alignment horizontal="center"/>
    </xf>
    <xf numFmtId="0" fontId="0" fillId="11" borderId="11" xfId="0" applyFont="1" applyFill="1" applyBorder="1" applyAlignment="1" applyProtection="1">
      <alignment horizontal="center"/>
    </xf>
    <xf numFmtId="0" fontId="0" fillId="11" borderId="1" xfId="0" applyFont="1" applyFill="1" applyBorder="1" applyAlignment="1" applyProtection="1">
      <alignment horizontal="center" vertical="center" wrapText="1"/>
    </xf>
    <xf numFmtId="0" fontId="0" fillId="11" borderId="1" xfId="0" applyFont="1" applyFill="1" applyBorder="1" applyAlignment="1" applyProtection="1">
      <alignment horizontal="center"/>
    </xf>
    <xf numFmtId="0" fontId="0" fillId="11" borderId="5" xfId="0" applyFont="1" applyFill="1" applyBorder="1" applyAlignment="1" applyProtection="1">
      <alignment horizontal="center"/>
    </xf>
    <xf numFmtId="0" fontId="7" fillId="11" borderId="28" xfId="0" applyFont="1" applyFill="1" applyBorder="1" applyAlignment="1" applyProtection="1">
      <alignment horizontal="center"/>
    </xf>
    <xf numFmtId="0" fontId="7" fillId="11" borderId="29" xfId="0" applyFont="1" applyFill="1" applyBorder="1" applyAlignment="1" applyProtection="1">
      <alignment horizontal="center"/>
    </xf>
    <xf numFmtId="0" fontId="0" fillId="11" borderId="31" xfId="0" applyFont="1" applyFill="1" applyBorder="1" applyAlignment="1" applyProtection="1">
      <alignment horizontal="center"/>
    </xf>
    <xf numFmtId="0" fontId="0" fillId="11" borderId="20" xfId="0" applyFont="1" applyFill="1" applyBorder="1" applyAlignment="1" applyProtection="1">
      <alignment horizontal="center"/>
    </xf>
    <xf numFmtId="0" fontId="0" fillId="11" borderId="34" xfId="0" applyFont="1" applyFill="1" applyBorder="1" applyAlignment="1" applyProtection="1">
      <alignment horizontal="center"/>
    </xf>
    <xf numFmtId="0" fontId="7" fillId="11" borderId="32" xfId="0" applyFont="1" applyFill="1" applyBorder="1" applyAlignment="1" applyProtection="1">
      <alignment horizontal="center"/>
    </xf>
    <xf numFmtId="0" fontId="7" fillId="11" borderId="33" xfId="0" applyFont="1" applyFill="1" applyBorder="1" applyAlignment="1" applyProtection="1">
      <alignment horizontal="center"/>
    </xf>
    <xf numFmtId="0" fontId="41" fillId="8" borderId="0" xfId="0" applyFont="1" applyFill="1" applyAlignment="1" applyProtection="1">
      <alignment horizontal="left" vertical="center"/>
    </xf>
    <xf numFmtId="0" fontId="0" fillId="8" borderId="0" xfId="0" applyFill="1" applyAlignment="1" applyProtection="1">
      <alignment horizontal="left" vertical="center"/>
    </xf>
    <xf numFmtId="0" fontId="56" fillId="0" borderId="39" xfId="0" applyFont="1" applyBorder="1" applyAlignment="1">
      <alignment horizontal="left"/>
    </xf>
  </cellXfs>
  <cellStyles count="6">
    <cellStyle name="Comma" xfId="1" builtinId="3"/>
    <cellStyle name="Comma 2" xfId="5"/>
    <cellStyle name="Hyperlink" xfId="2" builtinId="8"/>
    <cellStyle name="Normal" xfId="0" builtinId="0"/>
    <cellStyle name="Normal 2" xfId="4"/>
    <cellStyle name="Percent" xfId="3" builtinId="5"/>
  </cellStyles>
  <dxfs count="0"/>
  <tableStyles count="0" defaultTableStyle="TableStyleMedium9" defaultPivotStyle="PivotStyleLight16"/>
  <colors>
    <mruColors>
      <color rgb="FF008000"/>
      <color rgb="FFFFFF66"/>
      <color rgb="FFFFFFCC"/>
      <color rgb="FFFFFF99"/>
      <color rgb="FF0069AA"/>
      <color rgb="FFF7FBD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200" b="1" i="0" u="none" strike="noStrike" baseline="0">
                <a:solidFill>
                  <a:srgbClr val="000000"/>
                </a:solidFill>
                <a:latin typeface="Arial" pitchFamily="34" charset="0"/>
                <a:ea typeface="宋体"/>
                <a:cs typeface="Arial" pitchFamily="34" charset="0"/>
              </a:defRPr>
            </a:pPr>
            <a:r>
              <a:rPr lang="en-US" sz="1800">
                <a:solidFill>
                  <a:srgbClr val="0069AA"/>
                </a:solidFill>
                <a:latin typeface="Arial" pitchFamily="34" charset="0"/>
                <a:cs typeface="Arial" pitchFamily="34" charset="0"/>
              </a:rPr>
              <a:t>Figure 1: Airport GHG Inventory - Scopes 1 and 2</a:t>
            </a:r>
          </a:p>
          <a:p>
            <a:pPr algn="ctr">
              <a:defRPr sz="1200" b="1" i="0" u="none" strike="noStrike" baseline="0">
                <a:solidFill>
                  <a:srgbClr val="000000"/>
                </a:solidFill>
                <a:latin typeface="Arial" pitchFamily="34" charset="0"/>
                <a:ea typeface="宋体"/>
                <a:cs typeface="Arial" pitchFamily="34" charset="0"/>
              </a:defRPr>
            </a:pPr>
            <a:r>
              <a:rPr lang="en-US" sz="1800" b="1">
                <a:solidFill>
                  <a:srgbClr val="0069AA"/>
                </a:solidFill>
                <a:latin typeface="Arial" pitchFamily="34" charset="0"/>
                <a:cs typeface="Arial" pitchFamily="34" charset="0"/>
              </a:rPr>
              <a:t>(t CO2 e)</a:t>
            </a:r>
          </a:p>
        </c:rich>
      </c:tx>
      <c:layout>
        <c:manualLayout>
          <c:xMode val="edge"/>
          <c:yMode val="edge"/>
          <c:x val="0.13630163744501997"/>
          <c:y val="5.0775040225298808E-2"/>
        </c:manualLayout>
      </c:layout>
      <c:overlay val="0"/>
      <c:spPr>
        <a:noFill/>
        <a:ln w="25400">
          <a:noFill/>
        </a:ln>
      </c:spPr>
    </c:title>
    <c:autoTitleDeleted val="0"/>
    <c:view3D>
      <c:rotX val="30"/>
      <c:rotY val="90"/>
      <c:rAngAx val="0"/>
      <c:perspective val="0"/>
    </c:view3D>
    <c:floor>
      <c:thickness val="0"/>
    </c:floor>
    <c:sideWall>
      <c:thickness val="0"/>
    </c:sideWall>
    <c:backWall>
      <c:thickness val="0"/>
    </c:backWall>
    <c:plotArea>
      <c:layout>
        <c:manualLayout>
          <c:layoutTarget val="inner"/>
          <c:xMode val="edge"/>
          <c:yMode val="edge"/>
          <c:x val="0.13056761225210015"/>
          <c:y val="0.26403113751909141"/>
          <c:w val="0.60217145360072533"/>
          <c:h val="0.47263732766620492"/>
        </c:manualLayout>
      </c:layout>
      <c:pie3DChart>
        <c:varyColors val="1"/>
        <c:ser>
          <c:idx val="0"/>
          <c:order val="0"/>
          <c:explosion val="25"/>
          <c:dPt>
            <c:idx val="0"/>
            <c:bubble3D val="0"/>
            <c:explosion val="30"/>
          </c:dPt>
          <c:dPt>
            <c:idx val="1"/>
            <c:bubble3D val="0"/>
            <c:explosion val="15"/>
          </c:dPt>
          <c:dLbls>
            <c:numFmt formatCode="0.0" sourceLinked="0"/>
            <c:txPr>
              <a:bodyPr/>
              <a:lstStyle/>
              <a:p>
                <a:pPr>
                  <a:defRPr sz="1000" baseline="0">
                    <a:latin typeface="Arial" pitchFamily="34" charset="0"/>
                  </a:defRPr>
                </a:pPr>
                <a:endParaRPr lang="en-US"/>
              </a:p>
            </c:txPr>
            <c:dLblPos val="bestFit"/>
            <c:showLegendKey val="0"/>
            <c:showVal val="1"/>
            <c:showCatName val="1"/>
            <c:showSerName val="0"/>
            <c:showPercent val="0"/>
            <c:showBubbleSize val="0"/>
            <c:showLeaderLines val="1"/>
          </c:dLbls>
          <c:cat>
            <c:strRef>
              <c:f>Output!$C$179:$C$185</c:f>
              <c:strCache>
                <c:ptCount val="7"/>
                <c:pt idx="0">
                  <c:v>Airport Airside Vehicles</c:v>
                </c:pt>
                <c:pt idx="1">
                  <c:v>Airport Buildings (gas/oil/coal)</c:v>
                </c:pt>
                <c:pt idx="2">
                  <c:v>Airport Fire Training</c:v>
                </c:pt>
                <c:pt idx="3">
                  <c:v>Airport Emergency Generator</c:v>
                </c:pt>
                <c:pt idx="4">
                  <c:v>Airport Glycol</c:v>
                </c:pt>
                <c:pt idx="5">
                  <c:v>Airport Electricity Purchase (Sc2)</c:v>
                </c:pt>
                <c:pt idx="6">
                  <c:v>Airport Heat Purchase (Sc2)</c:v>
                </c:pt>
              </c:strCache>
            </c:strRef>
          </c:cat>
          <c:val>
            <c:numRef>
              <c:f>Output!$D$179:$D$185</c:f>
              <c:numCache>
                <c:formatCode>_(* #,##0_);_(* \(#,##0\);_(* "-"??_);_(@_)</c:formatCode>
                <c:ptCount val="7"/>
                <c:pt idx="0">
                  <c:v>1.1807709999999999E-2</c:v>
                </c:pt>
                <c:pt idx="1">
                  <c:v>1.8695246879999999E-2</c:v>
                </c:pt>
                <c:pt idx="2">
                  <c:v>0</c:v>
                </c:pt>
                <c:pt idx="3">
                  <c:v>0</c:v>
                </c:pt>
                <c:pt idx="4">
                  <c:v>0</c:v>
                </c:pt>
                <c:pt idx="5">
                  <c:v>1.721975E-4</c:v>
                </c:pt>
                <c:pt idx="6">
                  <c:v>0</c:v>
                </c:pt>
              </c:numCache>
            </c:numRef>
          </c:val>
        </c:ser>
        <c:dLbls>
          <c:showLegendKey val="0"/>
          <c:showVal val="0"/>
          <c:showCatName val="0"/>
          <c:showSerName val="0"/>
          <c:showPercent val="1"/>
          <c:showBubbleSize val="0"/>
          <c:showLeaderLines val="1"/>
        </c:dLbls>
      </c:pie3DChart>
      <c:spPr>
        <a:noFill/>
        <a:ln w="25400">
          <a:noFill/>
        </a:ln>
      </c:spPr>
    </c:plotArea>
    <c:legend>
      <c:legendPos val="r"/>
      <c:layout>
        <c:manualLayout>
          <c:xMode val="edge"/>
          <c:yMode val="edge"/>
          <c:x val="0.808959865037297"/>
          <c:y val="0.57331531843991568"/>
          <c:w val="0.18934580309458554"/>
          <c:h val="0.42503711831332164"/>
        </c:manualLayout>
      </c:layout>
      <c:overlay val="0"/>
      <c:spPr>
        <a:solidFill>
          <a:srgbClr val="FFFFFF"/>
        </a:solidFill>
        <a:ln w="3175">
          <a:solidFill>
            <a:srgbClr val="000000"/>
          </a:solidFill>
          <a:prstDash val="solid"/>
        </a:ln>
      </c:spPr>
      <c:txPr>
        <a:bodyPr/>
        <a:lstStyle/>
        <a:p>
          <a:pPr rtl="0">
            <a:defRPr sz="1100" b="0" i="0" u="none" strike="noStrike" baseline="0">
              <a:solidFill>
                <a:srgbClr val="000000"/>
              </a:solidFill>
              <a:latin typeface="Arial Narrow" pitchFamily="34" charset="0"/>
              <a:ea typeface="宋体"/>
              <a:cs typeface="宋体"/>
            </a:defRPr>
          </a:pPr>
          <a:endParaRPr lang="en-US"/>
        </a:p>
      </c:txPr>
    </c:legend>
    <c:plotVisOnly val="1"/>
    <c:dispBlanksAs val="zero"/>
    <c:showDLblsOverMax val="0"/>
  </c:chart>
  <c:spPr>
    <a:gradFill>
      <a:gsLst>
        <a:gs pos="100000">
          <a:schemeClr val="accent3">
            <a:lumMod val="40000"/>
            <a:lumOff val="60000"/>
          </a:schemeClr>
        </a:gs>
        <a:gs pos="0">
          <a:schemeClr val="accent1">
            <a:tint val="23500"/>
            <a:satMod val="160000"/>
          </a:schemeClr>
        </a:gs>
      </a:gsLst>
      <a:lin ang="5400000" scaled="0"/>
    </a:gradFill>
    <a:ln w="3175">
      <a:solidFill>
        <a:srgbClr val="000000"/>
      </a:solidFill>
      <a:prstDash val="solid"/>
    </a:ln>
  </c:spPr>
  <c:txPr>
    <a:bodyPr/>
    <a:lstStyle/>
    <a:p>
      <a:pPr>
        <a:defRPr sz="800" b="0" i="0" u="none" strike="noStrike" baseline="0">
          <a:solidFill>
            <a:srgbClr val="000000"/>
          </a:solidFill>
          <a:latin typeface="宋体"/>
          <a:ea typeface="宋体"/>
          <a:cs typeface="宋体"/>
        </a:defRPr>
      </a:pPr>
      <a:endParaRPr lang="en-US"/>
    </a:p>
  </c:txPr>
  <c:printSettings>
    <c:headerFooter alignWithMargins="0"/>
    <c:pageMargins b="1" l="0.75000000000000644" r="0.75000000000000644" t="1" header="0.5" footer="0.5"/>
    <c:pageSetup paperSize="9" orientation="landscape" verticalDpi="1200"/>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C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800" b="1" i="0" u="none" strike="noStrike" kern="1200" baseline="0">
                <a:solidFill>
                  <a:srgbClr val="0069AA"/>
                </a:solidFill>
                <a:latin typeface="Arial" pitchFamily="34" charset="0"/>
                <a:ea typeface="宋体"/>
                <a:cs typeface="Arial" pitchFamily="34" charset="0"/>
              </a:defRPr>
            </a:pPr>
            <a:r>
              <a:rPr lang="en-US" sz="1800" b="1" i="0" u="none" strike="noStrike" kern="1200" baseline="0">
                <a:solidFill>
                  <a:srgbClr val="0069AA"/>
                </a:solidFill>
                <a:latin typeface="Arial" pitchFamily="34" charset="0"/>
                <a:ea typeface="宋体"/>
                <a:cs typeface="Arial" pitchFamily="34" charset="0"/>
              </a:rPr>
              <a:t>Figure 2: Airport GHG Inventory - Scopes 1, 2 and 3</a:t>
            </a:r>
          </a:p>
          <a:p>
            <a:pPr algn="ctr" rtl="0">
              <a:defRPr lang="en-US" sz="1800" b="1" i="0" u="none" strike="noStrike" kern="1200" baseline="0">
                <a:solidFill>
                  <a:srgbClr val="0069AA"/>
                </a:solidFill>
                <a:latin typeface="Arial" pitchFamily="34" charset="0"/>
                <a:ea typeface="宋体"/>
                <a:cs typeface="Arial" pitchFamily="34" charset="0"/>
              </a:defRPr>
            </a:pPr>
            <a:r>
              <a:rPr lang="en-US" sz="1800" b="1" i="0" u="none" strike="noStrike" kern="1200" baseline="0">
                <a:solidFill>
                  <a:srgbClr val="0069AA"/>
                </a:solidFill>
                <a:latin typeface="Arial" pitchFamily="34" charset="0"/>
                <a:ea typeface="宋体"/>
                <a:cs typeface="Arial" pitchFamily="34" charset="0"/>
              </a:rPr>
              <a:t>(t CO2 e)</a:t>
            </a:r>
          </a:p>
        </c:rich>
      </c:tx>
      <c:layout>
        <c:manualLayout>
          <c:xMode val="edge"/>
          <c:yMode val="edge"/>
          <c:x val="0.19645977755252153"/>
          <c:y val="6.5103549012895126E-2"/>
        </c:manualLayout>
      </c:layout>
      <c:overlay val="0"/>
    </c:title>
    <c:autoTitleDeleted val="0"/>
    <c:view3D>
      <c:rotX val="30"/>
      <c:rotY val="244"/>
      <c:rAngAx val="0"/>
      <c:perspective val="0"/>
    </c:view3D>
    <c:floor>
      <c:thickness val="0"/>
    </c:floor>
    <c:sideWall>
      <c:thickness val="0"/>
    </c:sideWall>
    <c:backWall>
      <c:thickness val="0"/>
    </c:backWall>
    <c:plotArea>
      <c:layout>
        <c:manualLayout>
          <c:layoutTarget val="inner"/>
          <c:xMode val="edge"/>
          <c:yMode val="edge"/>
          <c:x val="0.16569148662218092"/>
          <c:y val="0.2134317126443111"/>
          <c:w val="0.53899439205916566"/>
          <c:h val="0.57535946992639908"/>
        </c:manualLayout>
      </c:layout>
      <c:pie3DChart>
        <c:varyColors val="1"/>
        <c:ser>
          <c:idx val="0"/>
          <c:order val="0"/>
          <c:explosion val="25"/>
          <c:dLbls>
            <c:numFmt formatCode="0.0" sourceLinked="0"/>
            <c:txPr>
              <a:bodyPr/>
              <a:lstStyle/>
              <a:p>
                <a:pPr>
                  <a:defRPr sz="1000" baseline="0">
                    <a:latin typeface="Arial" pitchFamily="34" charset="0"/>
                  </a:defRPr>
                </a:pPr>
                <a:endParaRPr lang="en-US"/>
              </a:p>
            </c:txPr>
            <c:showLegendKey val="0"/>
            <c:showVal val="1"/>
            <c:showCatName val="1"/>
            <c:showSerName val="0"/>
            <c:showPercent val="0"/>
            <c:showBubbleSize val="0"/>
            <c:showLeaderLines val="1"/>
          </c:dLbls>
          <c:cat>
            <c:strRef>
              <c:f>Output!$I$179:$I$187</c:f>
              <c:strCache>
                <c:ptCount val="9"/>
                <c:pt idx="0">
                  <c:v>Airport Scope1</c:v>
                </c:pt>
                <c:pt idx="1">
                  <c:v>Airport Scope2</c:v>
                </c:pt>
                <c:pt idx="2">
                  <c:v>Aircraft (LTO &amp; taxi)</c:v>
                </c:pt>
                <c:pt idx="3">
                  <c:v>Aircraft (other)</c:v>
                </c:pt>
                <c:pt idx="4">
                  <c:v>Tenant Airside Vehicles</c:v>
                </c:pt>
                <c:pt idx="5">
                  <c:v>Tenant Elect./Heat/Fuel</c:v>
                </c:pt>
                <c:pt idx="6">
                  <c:v>Tenant Landside Vehicles</c:v>
                </c:pt>
                <c:pt idx="7">
                  <c:v>Employee Vehicles</c:v>
                </c:pt>
                <c:pt idx="8">
                  <c:v>Public Landside Vehicles</c:v>
                </c:pt>
              </c:strCache>
            </c:strRef>
          </c:cat>
          <c:val>
            <c:numRef>
              <c:f>Output!$J$179:$J$187</c:f>
              <c:numCache>
                <c:formatCode>_(* #,##0_);_(* \(#,##0\);_(* "-"??_);_(@_)</c:formatCode>
                <c:ptCount val="9"/>
                <c:pt idx="0">
                  <c:v>3.0502956879999998E-2</c:v>
                </c:pt>
                <c:pt idx="1">
                  <c:v>1.721975E-4</c:v>
                </c:pt>
                <c:pt idx="2">
                  <c:v>306.52578891180002</c:v>
                </c:pt>
                <c:pt idx="3">
                  <c:v>29.1687922845</c:v>
                </c:pt>
                <c:pt idx="4">
                  <c:v>0</c:v>
                </c:pt>
                <c:pt idx="5">
                  <c:v>0</c:v>
                </c:pt>
                <c:pt idx="6">
                  <c:v>4606.7012231702547</c:v>
                </c:pt>
                <c:pt idx="7">
                  <c:v>450.08900541369866</c:v>
                </c:pt>
                <c:pt idx="8">
                  <c:v>41.970926033055157</c:v>
                </c:pt>
              </c:numCache>
            </c:numRef>
          </c:val>
        </c:ser>
        <c:dLbls>
          <c:showLegendKey val="0"/>
          <c:showVal val="0"/>
          <c:showCatName val="0"/>
          <c:showSerName val="0"/>
          <c:showPercent val="1"/>
          <c:showBubbleSize val="0"/>
          <c:showLeaderLines val="1"/>
        </c:dLbls>
      </c:pie3DChart>
    </c:plotArea>
    <c:legend>
      <c:legendPos val="r"/>
      <c:layout>
        <c:manualLayout>
          <c:xMode val="edge"/>
          <c:yMode val="edge"/>
          <c:x val="0.80632504298706209"/>
          <c:y val="0.43342951012242353"/>
          <c:w val="0.1919818817302428"/>
          <c:h val="0.56540113429877203"/>
        </c:manualLayout>
      </c:layout>
      <c:overlay val="0"/>
      <c:spPr>
        <a:solidFill>
          <a:schemeClr val="bg1"/>
        </a:solidFill>
        <a:ln>
          <a:solidFill>
            <a:schemeClr val="tx1"/>
          </a:solidFill>
        </a:ln>
      </c:spPr>
      <c:txPr>
        <a:bodyPr/>
        <a:lstStyle/>
        <a:p>
          <a:pPr rtl="0">
            <a:defRPr sz="1100" baseline="0">
              <a:latin typeface="Arial Narrow" pitchFamily="34" charset="0"/>
            </a:defRPr>
          </a:pPr>
          <a:endParaRPr lang="en-US"/>
        </a:p>
      </c:txPr>
    </c:legend>
    <c:plotVisOnly val="1"/>
    <c:dispBlanksAs val="zero"/>
    <c:showDLblsOverMax val="0"/>
  </c:chart>
  <c:spPr>
    <a:gradFill>
      <a:gsLst>
        <a:gs pos="100000">
          <a:schemeClr val="accent3">
            <a:lumMod val="40000"/>
            <a:lumOff val="60000"/>
          </a:schemeClr>
        </a:gs>
        <a:gs pos="0">
          <a:schemeClr val="accent1">
            <a:tint val="23500"/>
            <a:satMod val="160000"/>
          </a:schemeClr>
        </a:gs>
      </a:gsLst>
      <a:lin ang="5400000" scaled="0"/>
    </a:gradFill>
  </c:spPr>
  <c:printSettings>
    <c:headerFooter/>
    <c:pageMargins b="0.75000000000000167" l="0.70000000000000062" r="0.70000000000000062" t="0.75000000000000167"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tif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jpeg"/><Relationship Id="rId1" Type="http://schemas.openxmlformats.org/officeDocument/2006/relationships/image" Target="../media/image6.png"/><Relationship Id="rId5" Type="http://schemas.openxmlformats.org/officeDocument/2006/relationships/image" Target="../media/image5.tiff"/><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10.tif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9.png"/><Relationship Id="rId5" Type="http://schemas.openxmlformats.org/officeDocument/2006/relationships/image" Target="../media/image2.jpeg"/><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4</xdr:col>
      <xdr:colOff>28574</xdr:colOff>
      <xdr:row>0</xdr:row>
      <xdr:rowOff>47626</xdr:rowOff>
    </xdr:from>
    <xdr:to>
      <xdr:col>6</xdr:col>
      <xdr:colOff>85725</xdr:colOff>
      <xdr:row>0</xdr:row>
      <xdr:rowOff>666750</xdr:rowOff>
    </xdr:to>
    <xdr:pic>
      <xdr:nvPicPr>
        <xdr:cNvPr id="2" name="Picture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48645"/>
        <a:stretch/>
      </xdr:blipFill>
      <xdr:spPr>
        <a:xfrm>
          <a:off x="4267199" y="47626"/>
          <a:ext cx="1276351" cy="619124"/>
        </a:xfrm>
        <a:prstGeom prst="rect">
          <a:avLst/>
        </a:prstGeom>
      </xdr:spPr>
    </xdr:pic>
    <xdr:clientData/>
  </xdr:twoCellAnchor>
  <xdr:twoCellAnchor>
    <xdr:from>
      <xdr:col>0</xdr:col>
      <xdr:colOff>0</xdr:colOff>
      <xdr:row>77</xdr:row>
      <xdr:rowOff>76199</xdr:rowOff>
    </xdr:from>
    <xdr:to>
      <xdr:col>13</xdr:col>
      <xdr:colOff>0</xdr:colOff>
      <xdr:row>98</xdr:row>
      <xdr:rowOff>133349</xdr:rowOff>
    </xdr:to>
    <xdr:sp macro="" textlink="">
      <xdr:nvSpPr>
        <xdr:cNvPr id="3" name="Textfeld 2"/>
        <xdr:cNvSpPr txBox="1"/>
      </xdr:nvSpPr>
      <xdr:spPr>
        <a:xfrm>
          <a:off x="0" y="13192124"/>
          <a:ext cx="9963150" cy="345757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de-CH" sz="1000" b="1" u="sng">
              <a:latin typeface="Arial" pitchFamily="34" charset="0"/>
              <a:cs typeface="Arial" pitchFamily="34" charset="0"/>
            </a:rPr>
            <a:t>ACKNOWLEDGEMENTS</a:t>
          </a:r>
        </a:p>
        <a:p>
          <a:endParaRPr lang="de-CH" sz="1000" b="1">
            <a:latin typeface="Arial" pitchFamily="34" charset="0"/>
            <a:cs typeface="Arial" pitchFamily="34" charset="0"/>
          </a:endParaRPr>
        </a:p>
        <a:p>
          <a:r>
            <a:rPr lang="de-CH" sz="1000">
              <a:latin typeface="Arial" pitchFamily="34" charset="0"/>
              <a:cs typeface="Arial" pitchFamily="34" charset="0"/>
            </a:rPr>
            <a:t>The Airport Carbon and Emission Reporting Tool (ACERT) was funded by Transport Canada.  Throughout the development and modifications of the project, it received significant support from the Airports Council International, Zurich Airport, and Toronto Pearson Airport. </a:t>
          </a:r>
        </a:p>
        <a:p>
          <a:endParaRPr lang="de-CH" sz="1000">
            <a:latin typeface="Arial" pitchFamily="34" charset="0"/>
            <a:cs typeface="Arial" pitchFamily="34" charset="0"/>
          </a:endParaRPr>
        </a:p>
        <a:p>
          <a:r>
            <a:rPr lang="de-CH" sz="1000">
              <a:latin typeface="Arial" pitchFamily="34" charset="0"/>
              <a:cs typeface="Arial" pitchFamily="34" charset="0"/>
            </a:rPr>
            <a:t>The following agencies and individuals contributed in the development of this model:</a:t>
          </a:r>
        </a:p>
        <a:p>
          <a:endParaRPr lang="de-CH" sz="1000">
            <a:latin typeface="Arial" pitchFamily="34" charset="0"/>
            <a:cs typeface="Arial" pitchFamily="34" charset="0"/>
          </a:endParaRPr>
        </a:p>
        <a:p>
          <a:r>
            <a:rPr lang="de-CH" sz="1000" b="1">
              <a:latin typeface="Arial" pitchFamily="34" charset="0"/>
              <a:cs typeface="Arial" pitchFamily="34" charset="0"/>
            </a:rPr>
            <a:t>Transport</a:t>
          </a:r>
          <a:r>
            <a:rPr lang="de-CH" sz="1000" b="1" baseline="0">
              <a:latin typeface="Arial" pitchFamily="34" charset="0"/>
              <a:cs typeface="Arial" pitchFamily="34" charset="0"/>
            </a:rPr>
            <a:t> Canada</a:t>
          </a:r>
          <a:r>
            <a:rPr lang="de-CH" sz="1000" baseline="0">
              <a:latin typeface="Arial" pitchFamily="34" charset="0"/>
              <a:cs typeface="Arial" pitchFamily="34" charset="0"/>
            </a:rPr>
            <a:t>		Alec Simpson</a:t>
          </a:r>
        </a:p>
        <a:p>
          <a:r>
            <a:rPr lang="de-CH" sz="1000" baseline="0">
              <a:latin typeface="Arial" pitchFamily="34" charset="0"/>
              <a:cs typeface="Arial" pitchFamily="34" charset="0"/>
            </a:rPr>
            <a:t>			Sheila Sankey</a:t>
          </a:r>
        </a:p>
        <a:p>
          <a:endParaRPr lang="de-CH" sz="1000" baseline="0">
            <a:latin typeface="Arial" pitchFamily="34" charset="0"/>
            <a:cs typeface="Arial" pitchFamily="34" charset="0"/>
          </a:endParaRPr>
        </a:p>
        <a:p>
          <a:r>
            <a:rPr lang="de-CH" sz="1000" b="1" baseline="0">
              <a:latin typeface="Arial" pitchFamily="34" charset="0"/>
              <a:cs typeface="Arial" pitchFamily="34" charset="0"/>
            </a:rPr>
            <a:t>Airports Council International (ACI)</a:t>
          </a:r>
          <a:r>
            <a:rPr lang="de-CH" sz="1000" baseline="0">
              <a:latin typeface="Arial" pitchFamily="34" charset="0"/>
              <a:cs typeface="Arial" pitchFamily="34" charset="0"/>
            </a:rPr>
            <a:t>	Xavier Oh</a:t>
          </a:r>
        </a:p>
        <a:p>
          <a:endParaRPr lang="de-CH" sz="1000" baseline="0">
            <a:latin typeface="Arial" pitchFamily="34" charset="0"/>
            <a:cs typeface="Arial" pitchFamily="34" charset="0"/>
          </a:endParaRPr>
        </a:p>
        <a:p>
          <a:r>
            <a:rPr lang="de-CH" sz="1000" b="1" baseline="0">
              <a:latin typeface="Arial" pitchFamily="34" charset="0"/>
              <a:cs typeface="Arial" pitchFamily="34" charset="0"/>
            </a:rPr>
            <a:t>Zurich Airport</a:t>
          </a:r>
          <a:r>
            <a:rPr lang="de-CH" sz="1000" baseline="0">
              <a:latin typeface="Arial" pitchFamily="34" charset="0"/>
              <a:cs typeface="Arial" pitchFamily="34" charset="0"/>
            </a:rPr>
            <a:t>			Emanuel Fleuti</a:t>
          </a:r>
        </a:p>
        <a:p>
          <a:endParaRPr lang="de-CH" sz="1000" baseline="0">
            <a:latin typeface="Arial" pitchFamily="34" charset="0"/>
            <a:cs typeface="Arial" pitchFamily="34" charset="0"/>
          </a:endParaRPr>
        </a:p>
        <a:p>
          <a:r>
            <a:rPr lang="de-CH" sz="1000" b="1" baseline="0">
              <a:latin typeface="Arial" pitchFamily="34" charset="0"/>
              <a:cs typeface="Arial" pitchFamily="34" charset="0"/>
            </a:rPr>
            <a:t>Toronto Pearson Airport	</a:t>
          </a:r>
          <a:r>
            <a:rPr lang="de-CH" sz="1000" baseline="0">
              <a:latin typeface="Arial" pitchFamily="34" charset="0"/>
              <a:cs typeface="Arial" pitchFamily="34" charset="0"/>
            </a:rPr>
            <a:t>	Randy McGill</a:t>
          </a:r>
        </a:p>
        <a:p>
          <a:r>
            <a:rPr lang="de-CH" sz="1000" baseline="0">
              <a:latin typeface="Arial" pitchFamily="34" charset="0"/>
              <a:cs typeface="Arial" pitchFamily="34" charset="0"/>
            </a:rPr>
            <a:t>			Allison Barrett</a:t>
          </a:r>
        </a:p>
        <a:p>
          <a:r>
            <a:rPr lang="de-CH" sz="1000" b="1" baseline="0">
              <a:latin typeface="Arial" pitchFamily="34" charset="0"/>
              <a:cs typeface="Arial" pitchFamily="34" charset="0"/>
            </a:rPr>
            <a:t/>
          </a:r>
          <a:br>
            <a:rPr lang="de-CH" sz="1000" b="1" baseline="0">
              <a:latin typeface="Arial" pitchFamily="34" charset="0"/>
              <a:cs typeface="Arial" pitchFamily="34" charset="0"/>
            </a:rPr>
          </a:br>
          <a:r>
            <a:rPr lang="de-CH" sz="1000" b="1" baseline="0">
              <a:latin typeface="Arial" pitchFamily="34" charset="0"/>
              <a:cs typeface="Arial" pitchFamily="34" charset="0"/>
            </a:rPr>
            <a:t>EBA, A Tetra Tech Company (EBA)</a:t>
          </a:r>
          <a:r>
            <a:rPr lang="de-CH" sz="1000" baseline="0">
              <a:latin typeface="Arial" pitchFamily="34" charset="0"/>
              <a:cs typeface="Arial" pitchFamily="34" charset="0"/>
            </a:rPr>
            <a:t>	Clark Norton</a:t>
          </a:r>
        </a:p>
        <a:p>
          <a:r>
            <a:rPr lang="de-CH" sz="1000" baseline="0">
              <a:latin typeface="Arial" pitchFamily="34" charset="0"/>
              <a:cs typeface="Arial" pitchFamily="34" charset="0"/>
            </a:rPr>
            <a:t>			Daniel Qian</a:t>
          </a:r>
        </a:p>
        <a:p>
          <a:r>
            <a:rPr lang="de-CH" sz="1000" baseline="0">
              <a:latin typeface="Arial" pitchFamily="34" charset="0"/>
              <a:cs typeface="Arial" pitchFamily="34" charset="0"/>
            </a:rPr>
            <a:t>			Carmen Yu</a:t>
          </a:r>
        </a:p>
        <a:p>
          <a:endParaRPr lang="de-CH" sz="1000" baseline="0">
            <a:latin typeface="Arial" pitchFamily="34" charset="0"/>
            <a:cs typeface="Arial" pitchFamily="34" charset="0"/>
          </a:endParaRPr>
        </a:p>
        <a:p>
          <a:r>
            <a:rPr lang="de-CH" sz="1000">
              <a:latin typeface="Arial" pitchFamily="34" charset="0"/>
              <a:cs typeface="Arial" pitchFamily="34" charset="0"/>
            </a:rPr>
            <a:t>While every effort has been made to acknowledge all contributors, apologies are extended to those who inadvertently may have been overlooked.  Please contact the above-mentioned for any corrections.</a:t>
          </a:r>
        </a:p>
      </xdr:txBody>
    </xdr:sp>
    <xdr:clientData/>
  </xdr:twoCellAnchor>
  <xdr:twoCellAnchor>
    <xdr:from>
      <xdr:col>0</xdr:col>
      <xdr:colOff>0</xdr:colOff>
      <xdr:row>2</xdr:row>
      <xdr:rowOff>133349</xdr:rowOff>
    </xdr:from>
    <xdr:to>
      <xdr:col>12</xdr:col>
      <xdr:colOff>838200</xdr:colOff>
      <xdr:row>34</xdr:row>
      <xdr:rowOff>76200</xdr:rowOff>
    </xdr:to>
    <xdr:sp macro="" textlink="">
      <xdr:nvSpPr>
        <xdr:cNvPr id="4" name="Textfeld 3"/>
        <xdr:cNvSpPr txBox="1"/>
      </xdr:nvSpPr>
      <xdr:spPr>
        <a:xfrm>
          <a:off x="0" y="1114424"/>
          <a:ext cx="9953625" cy="5114926"/>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de-CH" sz="1100" b="1" u="sng">
              <a:solidFill>
                <a:schemeClr val="dk1"/>
              </a:solidFill>
              <a:effectLst/>
              <a:latin typeface="+mn-lt"/>
              <a:ea typeface="+mn-ea"/>
              <a:cs typeface="+mn-cs"/>
            </a:rPr>
            <a:t>INSTRUCTIONS</a:t>
          </a:r>
          <a:endParaRPr lang="en-CA" sz="1000">
            <a:effectLst/>
          </a:endParaRPr>
        </a:p>
        <a:p>
          <a:endParaRPr lang="de-CH" sz="1100" b="1">
            <a:solidFill>
              <a:schemeClr val="dk1"/>
            </a:solidFill>
            <a:effectLst/>
            <a:latin typeface="+mn-lt"/>
            <a:ea typeface="+mn-ea"/>
            <a:cs typeface="+mn-cs"/>
          </a:endParaRPr>
        </a:p>
        <a:p>
          <a:r>
            <a:rPr lang="de-CH" sz="1100" b="1">
              <a:solidFill>
                <a:schemeClr val="dk1"/>
              </a:solidFill>
              <a:effectLst/>
              <a:latin typeface="+mn-lt"/>
              <a:ea typeface="+mn-ea"/>
              <a:cs typeface="+mn-cs"/>
            </a:rPr>
            <a:t>Use</a:t>
          </a:r>
          <a:r>
            <a:rPr lang="de-CH" sz="1100" b="1" baseline="0">
              <a:solidFill>
                <a:schemeClr val="dk1"/>
              </a:solidFill>
              <a:effectLst/>
              <a:latin typeface="+mn-lt"/>
              <a:ea typeface="+mn-ea"/>
              <a:cs typeface="+mn-cs"/>
            </a:rPr>
            <a:t> the tabs at the bottom of the screen to navigate through the pages.</a:t>
          </a:r>
        </a:p>
        <a:p>
          <a:endParaRPr lang="de-CH" sz="1100" b="1" baseline="0">
            <a:solidFill>
              <a:schemeClr val="dk1"/>
            </a:solidFill>
            <a:effectLst/>
            <a:latin typeface="+mn-lt"/>
            <a:ea typeface="+mn-ea"/>
            <a:cs typeface="+mn-cs"/>
          </a:endParaRPr>
        </a:p>
        <a:p>
          <a:r>
            <a:rPr lang="de-CH" sz="1100" b="1" baseline="0">
              <a:solidFill>
                <a:schemeClr val="dk1"/>
              </a:solidFill>
              <a:effectLst/>
              <a:latin typeface="+mn-lt"/>
              <a:ea typeface="+mn-ea"/>
              <a:cs typeface="+mn-cs"/>
            </a:rPr>
            <a:t>Before you start it is recommended to save a clean copy of the origninal document and to create a new name for your current work - eg  "LHR 2012"</a:t>
          </a:r>
          <a:endParaRPr lang="en-CA" sz="1000">
            <a:effectLst/>
          </a:endParaRPr>
        </a:p>
        <a:p>
          <a:r>
            <a:rPr lang="de-CH" sz="1100" b="1" baseline="0">
              <a:solidFill>
                <a:schemeClr val="dk1"/>
              </a:solidFill>
              <a:effectLst/>
              <a:latin typeface="+mn-lt"/>
              <a:ea typeface="+mn-ea"/>
              <a:cs typeface="+mn-cs"/>
            </a:rPr>
            <a:t>It is also recommended to regularly save your work as you progress.</a:t>
          </a:r>
        </a:p>
        <a:p>
          <a:endParaRPr lang="de-CH" sz="1100" b="1" baseline="0">
            <a:solidFill>
              <a:schemeClr val="dk1"/>
            </a:solidFill>
            <a:effectLst/>
            <a:latin typeface="+mn-lt"/>
            <a:ea typeface="+mn-ea"/>
            <a:cs typeface="+mn-cs"/>
          </a:endParaRPr>
        </a:p>
        <a:p>
          <a:r>
            <a:rPr lang="de-CH" sz="1100" b="1" baseline="0">
              <a:solidFill>
                <a:schemeClr val="dk1"/>
              </a:solidFill>
              <a:effectLst/>
              <a:latin typeface="+mn-lt"/>
              <a:ea typeface="+mn-ea"/>
              <a:cs typeface="+mn-cs"/>
            </a:rPr>
            <a:t>On the Input page, follow the instructions and notes to provide data in all of the White cells. </a:t>
          </a:r>
        </a:p>
        <a:p>
          <a:r>
            <a:rPr lang="de-CH" sz="1100" b="1" baseline="0">
              <a:solidFill>
                <a:schemeClr val="dk1"/>
              </a:solidFill>
              <a:effectLst/>
              <a:latin typeface="+mn-lt"/>
              <a:ea typeface="+mn-ea"/>
              <a:cs typeface="+mn-cs"/>
            </a:rPr>
            <a:t>If you operate multiple airports, prepare one inventory  spreadsheet for each airport.</a:t>
          </a:r>
        </a:p>
        <a:p>
          <a:r>
            <a:rPr lang="de-CH" sz="1100" b="1" baseline="0">
              <a:solidFill>
                <a:schemeClr val="dk1"/>
              </a:solidFill>
              <a:effectLst/>
              <a:latin typeface="+mn-lt"/>
              <a:ea typeface="+mn-ea"/>
              <a:cs typeface="+mn-cs"/>
            </a:rPr>
            <a:t>If invalid data is attempted, you will be giving a warning notice.  </a:t>
          </a:r>
        </a:p>
        <a:p>
          <a:r>
            <a:rPr lang="de-CH" sz="1100" b="1" baseline="0">
              <a:solidFill>
                <a:schemeClr val="dk1"/>
              </a:solidFill>
              <a:effectLst/>
              <a:latin typeface="+mn-lt"/>
              <a:ea typeface="+mn-ea"/>
              <a:cs typeface="+mn-cs"/>
            </a:rPr>
            <a:t>Non-input cells will be protected from being over-written. </a:t>
          </a:r>
        </a:p>
        <a:p>
          <a:endParaRPr lang="de-CH" sz="1000" b="1" u="none">
            <a:latin typeface="Arial" pitchFamily="34" charset="0"/>
            <a:cs typeface="Arial" pitchFamily="34" charset="0"/>
          </a:endParaRPr>
        </a:p>
        <a:p>
          <a:r>
            <a:rPr lang="de-CH" sz="1000" b="1" u="none">
              <a:latin typeface="Arial" pitchFamily="34" charset="0"/>
              <a:cs typeface="Arial" pitchFamily="34" charset="0"/>
            </a:rPr>
            <a:t>When the Input</a:t>
          </a:r>
          <a:r>
            <a:rPr lang="de-CH" sz="1000" b="1" u="none" baseline="0">
              <a:latin typeface="Arial" pitchFamily="34" charset="0"/>
              <a:cs typeface="Arial" pitchFamily="34" charset="0"/>
            </a:rPr>
            <a:t> is complete, the GHG report will be found on the Output page.</a:t>
          </a:r>
          <a:endParaRPr lang="de-CH" sz="1000" b="1" u="none">
            <a:latin typeface="Arial" pitchFamily="34" charset="0"/>
            <a:cs typeface="Arial" pitchFamily="34" charset="0"/>
          </a:endParaRPr>
        </a:p>
        <a:p>
          <a:r>
            <a:rPr lang="de-CH" sz="1000" b="1" u="none">
              <a:latin typeface="Arial" pitchFamily="34" charset="0"/>
              <a:cs typeface="Arial" pitchFamily="34" charset="0"/>
            </a:rPr>
            <a:t>The report includes:</a:t>
          </a:r>
        </a:p>
        <a:p>
          <a:pPr lvl="1"/>
          <a:r>
            <a:rPr lang="de-CH" sz="1000" b="1" u="none">
              <a:latin typeface="Arial" pitchFamily="34" charset="0"/>
              <a:cs typeface="Arial" pitchFamily="34" charset="0"/>
            </a:rPr>
            <a:t>- A summary</a:t>
          </a:r>
          <a:r>
            <a:rPr lang="de-CH" sz="1000" b="1" u="none" baseline="0">
              <a:latin typeface="Arial" pitchFamily="34" charset="0"/>
              <a:cs typeface="Arial" pitchFamily="34" charset="0"/>
            </a:rPr>
            <a:t> table of GHG emissions inventory for the Airport.</a:t>
          </a:r>
        </a:p>
        <a:p>
          <a:pPr lvl="1"/>
          <a:r>
            <a:rPr lang="de-CH" sz="1000" b="1" u="none" baseline="0">
              <a:latin typeface="Arial" pitchFamily="34" charset="0"/>
              <a:cs typeface="Arial" pitchFamily="34" charset="0"/>
            </a:rPr>
            <a:t>- A summary of the Caveats and Limitations of the inventory.  This is important so that the Inventory report is not interpreted out of context.</a:t>
          </a:r>
        </a:p>
        <a:p>
          <a:pPr lvl="1"/>
          <a:r>
            <a:rPr lang="de-CH" sz="1000" b="1" u="none" baseline="0">
              <a:latin typeface="Arial" pitchFamily="34" charset="0"/>
              <a:cs typeface="Arial" pitchFamily="34" charset="0"/>
            </a:rPr>
            <a:t>- A short check list to allow the review of some input data.</a:t>
          </a:r>
        </a:p>
        <a:p>
          <a:pPr lvl="1"/>
          <a:r>
            <a:rPr lang="de-CH" sz="1000" b="1" u="none" baseline="0">
              <a:latin typeface="Arial" pitchFamily="34" charset="0"/>
              <a:cs typeface="Arial" pitchFamily="34" charset="0"/>
            </a:rPr>
            <a:t>- Figure 1 showing the Aiport's Scope 1 and 2 GHG emissions.</a:t>
          </a:r>
        </a:p>
        <a:p>
          <a:pPr marL="457200" marR="0" lvl="1" indent="0" defTabSz="914400" eaLnBrk="1" fontAlgn="auto" latinLnBrk="0" hangingPunct="1">
            <a:lnSpc>
              <a:spcPct val="100000"/>
            </a:lnSpc>
            <a:spcBef>
              <a:spcPts val="0"/>
            </a:spcBef>
            <a:spcAft>
              <a:spcPts val="0"/>
            </a:spcAft>
            <a:buClrTx/>
            <a:buSzTx/>
            <a:buFontTx/>
            <a:buNone/>
            <a:tabLst/>
            <a:defRPr/>
          </a:pPr>
          <a:r>
            <a:rPr lang="de-CH" sz="1000" b="1" u="none" baseline="0">
              <a:latin typeface="Arial" pitchFamily="34" charset="0"/>
              <a:cs typeface="Arial" pitchFamily="34" charset="0"/>
            </a:rPr>
            <a:t>- Figure 2 showing the </a:t>
          </a:r>
          <a:r>
            <a:rPr lang="de-CH" sz="1100" b="1" baseline="0">
              <a:solidFill>
                <a:schemeClr val="dk1"/>
              </a:solidFill>
              <a:effectLst/>
              <a:latin typeface="+mn-lt"/>
              <a:ea typeface="+mn-ea"/>
              <a:cs typeface="+mn-cs"/>
            </a:rPr>
            <a:t>Aiport's Scope 1, 2 and 3 GHG emissions. </a:t>
          </a:r>
        </a:p>
        <a:p>
          <a:pPr marL="0" marR="0" lvl="0" indent="0" defTabSz="914400" eaLnBrk="1" fontAlgn="auto" latinLnBrk="0" hangingPunct="1">
            <a:lnSpc>
              <a:spcPct val="100000"/>
            </a:lnSpc>
            <a:spcBef>
              <a:spcPts val="0"/>
            </a:spcBef>
            <a:spcAft>
              <a:spcPts val="0"/>
            </a:spcAft>
            <a:buClrTx/>
            <a:buSzTx/>
            <a:buFontTx/>
            <a:buNone/>
            <a:tabLst/>
            <a:defRPr/>
          </a:pPr>
          <a:r>
            <a:rPr lang="de-CH" sz="1100" b="1" baseline="0">
              <a:solidFill>
                <a:schemeClr val="dk1"/>
              </a:solidFill>
              <a:effectLst/>
              <a:latin typeface="+mn-lt"/>
              <a:ea typeface="+mn-ea"/>
              <a:cs typeface="+mn-cs"/>
            </a:rPr>
            <a:t>The report will be ready to be printed on A4 (default) or Ltr paper.</a:t>
          </a:r>
        </a:p>
        <a:p>
          <a:pPr marL="0" marR="0" lvl="0" indent="0" defTabSz="914400" eaLnBrk="1" fontAlgn="auto" latinLnBrk="0" hangingPunct="1">
            <a:lnSpc>
              <a:spcPct val="100000"/>
            </a:lnSpc>
            <a:spcBef>
              <a:spcPts val="0"/>
            </a:spcBef>
            <a:spcAft>
              <a:spcPts val="0"/>
            </a:spcAft>
            <a:buClrTx/>
            <a:buSzTx/>
            <a:buFontTx/>
            <a:buNone/>
            <a:tabLst/>
            <a:defRPr/>
          </a:pPr>
          <a:endParaRPr lang="de-CH" sz="11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de-CH" sz="1100" b="1" baseline="0">
              <a:solidFill>
                <a:schemeClr val="dk1"/>
              </a:solidFill>
              <a:effectLst/>
              <a:latin typeface="+mn-lt"/>
              <a:ea typeface="+mn-ea"/>
              <a:cs typeface="+mn-cs"/>
            </a:rPr>
            <a:t>A report on </a:t>
          </a:r>
          <a:r>
            <a:rPr lang="de-CH" sz="1100" b="1" u="sng" baseline="0">
              <a:solidFill>
                <a:schemeClr val="dk1"/>
              </a:solidFill>
              <a:effectLst/>
              <a:latin typeface="+mn-lt"/>
              <a:ea typeface="+mn-ea"/>
              <a:cs typeface="+mn-cs"/>
            </a:rPr>
            <a:t>Approximate LAQ emissions calculations</a:t>
          </a:r>
          <a:r>
            <a:rPr lang="de-CH" sz="1100" b="1" u="none" baseline="0">
              <a:solidFill>
                <a:schemeClr val="dk1"/>
              </a:solidFill>
              <a:effectLst/>
              <a:latin typeface="+mn-lt"/>
              <a:ea typeface="+mn-ea"/>
              <a:cs typeface="+mn-cs"/>
            </a:rPr>
            <a:t> is also available on page LAQ.  </a:t>
          </a:r>
          <a:endParaRPr lang="de-CH" sz="11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de-CH" sz="11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de-CH" sz="1100" b="1" baseline="0">
              <a:solidFill>
                <a:schemeClr val="dk1"/>
              </a:solidFill>
              <a:effectLst/>
              <a:latin typeface="+mn-lt"/>
              <a:ea typeface="+mn-ea"/>
              <a:cs typeface="+mn-cs"/>
            </a:rPr>
            <a:t>ACI requests that the </a:t>
          </a:r>
          <a:r>
            <a:rPr lang="de-CH" sz="1100" b="1" u="sng" baseline="0">
              <a:solidFill>
                <a:schemeClr val="dk1"/>
              </a:solidFill>
              <a:effectLst/>
              <a:latin typeface="+mn-lt"/>
              <a:ea typeface="+mn-ea"/>
              <a:cs typeface="+mn-cs"/>
            </a:rPr>
            <a:t>full ACERT spreadsheet file </a:t>
          </a:r>
          <a:r>
            <a:rPr lang="de-CH" sz="1100" b="1" baseline="0">
              <a:solidFill>
                <a:schemeClr val="dk1"/>
              </a:solidFill>
              <a:effectLst/>
              <a:latin typeface="+mn-lt"/>
              <a:ea typeface="+mn-ea"/>
              <a:cs typeface="+mn-cs"/>
            </a:rPr>
            <a:t>is emailed to Xavier Oh in Montreal</a:t>
          </a:r>
        </a:p>
        <a:p>
          <a:pPr marL="0" marR="0" lvl="0" indent="0" defTabSz="914400" eaLnBrk="1" fontAlgn="auto" latinLnBrk="0" hangingPunct="1">
            <a:lnSpc>
              <a:spcPct val="100000"/>
            </a:lnSpc>
            <a:spcBef>
              <a:spcPts val="0"/>
            </a:spcBef>
            <a:spcAft>
              <a:spcPts val="0"/>
            </a:spcAft>
            <a:buClrTx/>
            <a:buSzTx/>
            <a:buFontTx/>
            <a:buNone/>
            <a:tabLst/>
            <a:defRPr/>
          </a:pPr>
          <a:r>
            <a:rPr lang="de-CH" sz="1100" b="1" u="sng" baseline="0">
              <a:solidFill>
                <a:schemeClr val="dk1"/>
              </a:solidFill>
              <a:effectLst/>
              <a:latin typeface="+mn-lt"/>
              <a:ea typeface="+mn-ea"/>
              <a:cs typeface="+mn-cs"/>
            </a:rPr>
            <a:t>xoh@aci.aero</a:t>
          </a:r>
          <a:r>
            <a:rPr lang="de-CH" sz="1100" b="1" baseline="0">
              <a:solidFill>
                <a:schemeClr val="dk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de-CH" sz="1100" b="1" baseline="0">
              <a:solidFill>
                <a:schemeClr val="dk1"/>
              </a:solidFill>
              <a:effectLst/>
              <a:latin typeface="+mn-lt"/>
              <a:ea typeface="+mn-ea"/>
              <a:cs typeface="+mn-cs"/>
            </a:rPr>
            <a:t>If you have previously conducted a GHG inventory, please email a copy of that report too.</a:t>
          </a:r>
          <a:endParaRPr lang="en-CA" sz="10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CA" sz="1000" b="0"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de-CH" sz="1000" b="1" u="none">
              <a:latin typeface="Arial" pitchFamily="34" charset="0"/>
              <a:cs typeface="Arial" pitchFamily="34" charset="0"/>
            </a:rPr>
            <a:t>The Input page includes a cell </a:t>
          </a:r>
          <a:r>
            <a:rPr lang="de-CH" sz="1000" b="1" u="none" baseline="0">
              <a:latin typeface="Arial" pitchFamily="34" charset="0"/>
              <a:cs typeface="Arial" pitchFamily="34" charset="0"/>
            </a:rPr>
            <a:t>where the airport can grant or withold permission regarding ACI's use of the data.</a:t>
          </a:r>
        </a:p>
        <a:p>
          <a:pPr marL="0" marR="0" lvl="0" indent="0" defTabSz="914400" eaLnBrk="1" fontAlgn="auto" latinLnBrk="0" hangingPunct="1">
            <a:lnSpc>
              <a:spcPct val="100000"/>
            </a:lnSpc>
            <a:spcBef>
              <a:spcPts val="0"/>
            </a:spcBef>
            <a:spcAft>
              <a:spcPts val="0"/>
            </a:spcAft>
            <a:buClrTx/>
            <a:buSzTx/>
            <a:buFontTx/>
            <a:buNone/>
            <a:tabLst/>
            <a:defRPr/>
          </a:pPr>
          <a:endParaRPr lang="de-CH" sz="1000" b="1" u="none" baseline="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de-CH" sz="1000" b="1" u="none" baseline="0">
              <a:latin typeface="Arial" pitchFamily="34" charset="0"/>
              <a:cs typeface="Arial" pitchFamily="34" charset="0"/>
            </a:rPr>
            <a:t>Futher information can be found in ACI's </a:t>
          </a:r>
          <a:r>
            <a:rPr lang="de-CH" sz="1000" b="1" i="1" u="none" baseline="0">
              <a:latin typeface="Arial" pitchFamily="34" charset="0"/>
              <a:cs typeface="Arial" pitchFamily="34" charset="0"/>
            </a:rPr>
            <a:t>Guidance Manual on Airport Greenhouse Gas Emissions Management </a:t>
          </a:r>
          <a:r>
            <a:rPr lang="de-CH" sz="1000" b="1" u="none" baseline="0">
              <a:latin typeface="Arial" pitchFamily="34" charset="0"/>
              <a:cs typeface="Arial" pitchFamily="34" charset="0"/>
            </a:rPr>
            <a:t>(2009) at </a:t>
          </a:r>
          <a:r>
            <a:rPr lang="de-CH" sz="1000" b="1" u="sng" baseline="0">
              <a:latin typeface="Arial" pitchFamily="34" charset="0"/>
              <a:cs typeface="Arial" pitchFamily="34" charset="0"/>
            </a:rPr>
            <a:t>www.aci.aero</a:t>
          </a:r>
          <a:r>
            <a:rPr lang="de-CH" sz="1000" b="1" u="none" baseline="0">
              <a:latin typeface="Arial" pitchFamily="34" charset="0"/>
              <a:cs typeface="Arial" pitchFamily="34" charset="0"/>
            </a:rPr>
            <a:t> </a:t>
          </a:r>
          <a:endParaRPr lang="de-CH" sz="1000" b="1" u="none">
            <a:latin typeface="Arial" pitchFamily="34" charset="0"/>
            <a:cs typeface="Arial" pitchFamily="34" charset="0"/>
          </a:endParaRPr>
        </a:p>
        <a:p>
          <a:r>
            <a:rPr lang="de-CH" sz="1000" b="1" u="none">
              <a:latin typeface="Arial" pitchFamily="34" charset="0"/>
              <a:cs typeface="Arial" pitchFamily="34" charset="0"/>
            </a:rPr>
            <a:t>Questions</a:t>
          </a:r>
          <a:r>
            <a:rPr lang="de-CH" sz="1000" b="1" u="none" baseline="0">
              <a:latin typeface="Arial" pitchFamily="34" charset="0"/>
              <a:cs typeface="Arial" pitchFamily="34" charset="0"/>
            </a:rPr>
            <a:t> can be sent to Xavier Oh at ACI Montreal  </a:t>
          </a:r>
          <a:r>
            <a:rPr lang="de-CH" sz="1000" b="1" u="sng" baseline="0">
              <a:latin typeface="Arial" pitchFamily="34" charset="0"/>
              <a:cs typeface="Arial" pitchFamily="34" charset="0"/>
            </a:rPr>
            <a:t>xoh@aci.aero</a:t>
          </a:r>
          <a:endParaRPr lang="de-CH" sz="1000" b="1" u="sng">
            <a:latin typeface="Arial" pitchFamily="34" charset="0"/>
            <a:cs typeface="Arial" pitchFamily="34" charset="0"/>
          </a:endParaRPr>
        </a:p>
        <a:p>
          <a:endParaRPr lang="de-CH" sz="1000" b="1" u="none">
            <a:latin typeface="Arial" pitchFamily="34" charset="0"/>
            <a:cs typeface="Arial" pitchFamily="34" charset="0"/>
          </a:endParaRPr>
        </a:p>
      </xdr:txBody>
    </xdr:sp>
    <xdr:clientData/>
  </xdr:twoCellAnchor>
  <xdr:twoCellAnchor editAs="oneCell">
    <xdr:from>
      <xdr:col>10</xdr:col>
      <xdr:colOff>371476</xdr:colOff>
      <xdr:row>0</xdr:row>
      <xdr:rowOff>336164</xdr:rowOff>
    </xdr:from>
    <xdr:to>
      <xdr:col>12</xdr:col>
      <xdr:colOff>485775</xdr:colOff>
      <xdr:row>0</xdr:row>
      <xdr:rowOff>486536</xdr:rowOff>
    </xdr:to>
    <xdr:pic>
      <xdr:nvPicPr>
        <xdr:cNvPr id="5" name="Picture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67701" y="336164"/>
          <a:ext cx="1333499" cy="150372"/>
        </a:xfrm>
        <a:prstGeom prst="rect">
          <a:avLst/>
        </a:prstGeom>
      </xdr:spPr>
    </xdr:pic>
    <xdr:clientData/>
  </xdr:twoCellAnchor>
  <xdr:twoCellAnchor editAs="oneCell">
    <xdr:from>
      <xdr:col>7</xdr:col>
      <xdr:colOff>514350</xdr:colOff>
      <xdr:row>0</xdr:row>
      <xdr:rowOff>142875</xdr:rowOff>
    </xdr:from>
    <xdr:to>
      <xdr:col>8</xdr:col>
      <xdr:colOff>541358</xdr:colOff>
      <xdr:row>0</xdr:row>
      <xdr:rowOff>600075</xdr:rowOff>
    </xdr:to>
    <xdr:pic>
      <xdr:nvPicPr>
        <xdr:cNvPr id="6" name="Picture 5"/>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581775" y="142875"/>
          <a:ext cx="636608" cy="457200"/>
        </a:xfrm>
        <a:prstGeom prst="rect">
          <a:avLst/>
        </a:prstGeom>
      </xdr:spPr>
    </xdr:pic>
    <xdr:clientData/>
  </xdr:twoCellAnchor>
  <xdr:twoCellAnchor editAs="oneCell">
    <xdr:from>
      <xdr:col>8</xdr:col>
      <xdr:colOff>533399</xdr:colOff>
      <xdr:row>0</xdr:row>
      <xdr:rowOff>104775</xdr:rowOff>
    </xdr:from>
    <xdr:to>
      <xdr:col>10</xdr:col>
      <xdr:colOff>219074</xdr:colOff>
      <xdr:row>0</xdr:row>
      <xdr:rowOff>660693</xdr:rowOff>
    </xdr:to>
    <xdr:pic>
      <xdr:nvPicPr>
        <xdr:cNvPr id="10" name="Picture 9"/>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210424" y="104775"/>
          <a:ext cx="904875" cy="555918"/>
        </a:xfrm>
        <a:prstGeom prst="rect">
          <a:avLst/>
        </a:prstGeom>
      </xdr:spPr>
    </xdr:pic>
    <xdr:clientData/>
  </xdr:twoCellAnchor>
  <xdr:twoCellAnchor>
    <xdr:from>
      <xdr:col>0</xdr:col>
      <xdr:colOff>0</xdr:colOff>
      <xdr:row>43</xdr:row>
      <xdr:rowOff>76199</xdr:rowOff>
    </xdr:from>
    <xdr:to>
      <xdr:col>12</xdr:col>
      <xdr:colOff>838200</xdr:colOff>
      <xdr:row>77</xdr:row>
      <xdr:rowOff>76200</xdr:rowOff>
    </xdr:to>
    <xdr:sp macro="" textlink="">
      <xdr:nvSpPr>
        <xdr:cNvPr id="8" name="Textfeld 3"/>
        <xdr:cNvSpPr txBox="1"/>
      </xdr:nvSpPr>
      <xdr:spPr>
        <a:xfrm>
          <a:off x="0" y="7629524"/>
          <a:ext cx="9953625" cy="5562601"/>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de-CH" sz="1000" b="1" u="sng">
              <a:latin typeface="Arial" pitchFamily="34" charset="0"/>
              <a:cs typeface="Arial" pitchFamily="34" charset="0"/>
            </a:rPr>
            <a:t>EXPLANATIONS,</a:t>
          </a:r>
          <a:r>
            <a:rPr lang="de-CH" sz="1000" b="1" u="sng" baseline="0">
              <a:latin typeface="Arial" pitchFamily="34" charset="0"/>
              <a:cs typeface="Arial" pitchFamily="34" charset="0"/>
            </a:rPr>
            <a:t> CAVEATS, LIMITATIONS</a:t>
          </a:r>
        </a:p>
        <a:p>
          <a:endParaRPr lang="de-CH" sz="1000" b="1">
            <a:latin typeface="Arial" pitchFamily="34" charset="0"/>
            <a:cs typeface="Arial" pitchFamily="34" charset="0"/>
          </a:endParaRPr>
        </a:p>
        <a:p>
          <a:r>
            <a:rPr lang="de-CH" sz="1000" b="1">
              <a:latin typeface="Arial" pitchFamily="34" charset="0"/>
              <a:cs typeface="Arial" pitchFamily="34" charset="0"/>
            </a:rPr>
            <a:t>Scopes:</a:t>
          </a:r>
        </a:p>
        <a:p>
          <a:r>
            <a:rPr lang="de-CH" sz="1000" b="0">
              <a:latin typeface="Arial" pitchFamily="34" charset="0"/>
              <a:cs typeface="Arial" pitchFamily="34" charset="0"/>
            </a:rPr>
            <a:t>Airports have many options for including sources and which Scope to put them in. This spreadsheet offers only one system, named Airport Carbon and Emissions Reporting Tool (ACERT v1.0 2012) to allow global compatibility. An airport may categorize sources differently or add others for its own purposes. For ACI's data compliation, please submit this spreadsheet with the default categories.</a:t>
          </a:r>
        </a:p>
        <a:p>
          <a:endParaRPr lang="de-CH" sz="1000" b="1">
            <a:latin typeface="Arial" pitchFamily="34" charset="0"/>
            <a:cs typeface="Arial" pitchFamily="34" charset="0"/>
          </a:endParaRPr>
        </a:p>
        <a:p>
          <a:r>
            <a:rPr lang="de-CH" sz="1000" b="1">
              <a:latin typeface="Arial" pitchFamily="34" charset="0"/>
              <a:cs typeface="Arial" pitchFamily="34" charset="0"/>
            </a:rPr>
            <a:t>Scope 1: Airport Operator direct emissions</a:t>
          </a:r>
        </a:p>
        <a:p>
          <a:pPr marL="685800" lvl="1" indent="-228600">
            <a:buFont typeface="+mj-lt"/>
            <a:buAutoNum type="arabicPeriod"/>
          </a:pPr>
          <a:r>
            <a:rPr lang="de-CH" sz="1000">
              <a:latin typeface="Arial" pitchFamily="34" charset="0"/>
              <a:cs typeface="Arial" pitchFamily="34" charset="0"/>
            </a:rPr>
            <a:t>Airside vehicle emissions are based entirely on fuel dispensed.  Fuel dispensed to tenant vehicles must be estimated separately for Scope 3.</a:t>
          </a:r>
        </a:p>
        <a:p>
          <a:pPr marL="685800" lvl="1" indent="-228600">
            <a:buFont typeface="+mj-lt"/>
            <a:buAutoNum type="arabicPeriod"/>
          </a:pPr>
          <a:r>
            <a:rPr lang="de-CH" sz="1000">
              <a:latin typeface="Arial" pitchFamily="34" charset="0"/>
              <a:cs typeface="Arial" pitchFamily="34" charset="0"/>
            </a:rPr>
            <a:t>Airport natural gas, fuel oil and coal used for both heating and power generation is required.</a:t>
          </a:r>
        </a:p>
        <a:p>
          <a:pPr marL="685800" lvl="1" indent="-228600">
            <a:buFont typeface="+mj-lt"/>
            <a:buAutoNum type="arabicPeriod"/>
          </a:pPr>
          <a:r>
            <a:rPr lang="de-CH" sz="1000">
              <a:latin typeface="Arial" pitchFamily="34" charset="0"/>
              <a:cs typeface="Arial" pitchFamily="34" charset="0"/>
            </a:rPr>
            <a:t>Emissions from generation of electricity and heat by the airport plant that is on-sold to tenants, still count as Airport Scope 1 emissions.</a:t>
          </a:r>
        </a:p>
        <a:p>
          <a:pPr lvl="1"/>
          <a:endParaRPr lang="de-CH" sz="1000">
            <a:latin typeface="Arial" pitchFamily="34" charset="0"/>
            <a:cs typeface="Arial" pitchFamily="34" charset="0"/>
          </a:endParaRPr>
        </a:p>
        <a:p>
          <a:r>
            <a:rPr lang="de-CH" sz="1000" b="1">
              <a:latin typeface="Arial" pitchFamily="34" charset="0"/>
              <a:cs typeface="Arial" pitchFamily="34" charset="0"/>
            </a:rPr>
            <a:t>Scope 2: Electricity and Heat purchased by Airport Operator</a:t>
          </a:r>
        </a:p>
        <a:p>
          <a:pPr marL="685800" lvl="1" indent="-228600">
            <a:buFont typeface="+mj-lt"/>
            <a:buAutoNum type="arabicPeriod" startAt="4"/>
          </a:pPr>
          <a:r>
            <a:rPr lang="de-CH" sz="1000">
              <a:latin typeface="Arial" pitchFamily="34" charset="0"/>
              <a:cs typeface="Arial" pitchFamily="34" charset="0"/>
            </a:rPr>
            <a:t>Off-site</a:t>
          </a:r>
          <a:r>
            <a:rPr lang="de-CH" sz="1000" baseline="0">
              <a:latin typeface="Arial" pitchFamily="34" charset="0"/>
              <a:cs typeface="Arial" pitchFamily="34" charset="0"/>
            </a:rPr>
            <a:t> e</a:t>
          </a:r>
          <a:r>
            <a:rPr lang="de-CH" sz="1000">
              <a:latin typeface="Arial" pitchFamily="34" charset="0"/>
              <a:cs typeface="Arial" pitchFamily="34" charset="0"/>
            </a:rPr>
            <a:t>missions from generation of purchased electricity and heat that is on-sold to tenants, do not count as Airport Scope 2 emissions. </a:t>
          </a:r>
        </a:p>
        <a:p>
          <a:pPr marL="685800" lvl="1" indent="-228600">
            <a:buFont typeface="+mj-lt"/>
            <a:buAutoNum type="arabicPeriod" startAt="4"/>
          </a:pPr>
          <a:r>
            <a:rPr lang="de-CH" sz="1000" b="0" i="0" u="none" strike="noStrike">
              <a:solidFill>
                <a:schemeClr val="dk1"/>
              </a:solidFill>
              <a:latin typeface="Arial" pitchFamily="34" charset="0"/>
              <a:ea typeface="+mn-ea"/>
              <a:cs typeface="Arial" pitchFamily="34" charset="0"/>
            </a:rPr>
            <a:t>Only CO2 emission factors for national grids are available.  Other GHG and LAQ emissions are not calcuated.</a:t>
          </a:r>
          <a:r>
            <a:rPr lang="de-CH" sz="1000">
              <a:latin typeface="Arial" pitchFamily="34" charset="0"/>
              <a:cs typeface="Arial" pitchFamily="34" charset="0"/>
            </a:rPr>
            <a:t>  Some countries do not have emissions factors for electricity generation and will need to be estimated.  Some</a:t>
          </a:r>
          <a:r>
            <a:rPr lang="de-CH" sz="1000" baseline="0">
              <a:latin typeface="Arial" pitchFamily="34" charset="0"/>
              <a:cs typeface="Arial" pitchFamily="34" charset="0"/>
            </a:rPr>
            <a:t> regional averages are also available for first estimate calculations.</a:t>
          </a:r>
          <a:endParaRPr lang="de-CH" sz="1000">
            <a:latin typeface="Arial" pitchFamily="34" charset="0"/>
            <a:cs typeface="Arial" pitchFamily="34" charset="0"/>
          </a:endParaRPr>
        </a:p>
        <a:p>
          <a:pPr lvl="1"/>
          <a:endParaRPr lang="de-CH" sz="1000">
            <a:latin typeface="Arial" pitchFamily="34" charset="0"/>
            <a:cs typeface="Arial" pitchFamily="34" charset="0"/>
          </a:endParaRPr>
        </a:p>
        <a:p>
          <a:r>
            <a:rPr lang="de-CH" sz="1000" b="1">
              <a:latin typeface="Arial" pitchFamily="34" charset="0"/>
              <a:cs typeface="Arial" pitchFamily="34" charset="0"/>
            </a:rPr>
            <a:t>Scope 3: Tenant and Public Emissions</a:t>
          </a:r>
        </a:p>
        <a:p>
          <a:pPr marL="685800" lvl="1" indent="-228600">
            <a:buFont typeface="+mj-lt"/>
            <a:buAutoNum type="arabicPeriod" startAt="6"/>
          </a:pPr>
          <a:r>
            <a:rPr lang="de-CH" sz="1000">
              <a:latin typeface="Arial" pitchFamily="34" charset="0"/>
              <a:cs typeface="Arial" pitchFamily="34" charset="0"/>
            </a:rPr>
            <a:t>Aircraft emissions currenly include LTO, APU, run-ups and glycol de-icing.  Whole of flight is not included at this time.  An option is available</a:t>
          </a:r>
          <a:r>
            <a:rPr lang="de-CH" sz="1000" baseline="0">
              <a:latin typeface="Arial" pitchFamily="34" charset="0"/>
              <a:cs typeface="Arial" pitchFamily="34" charset="0"/>
            </a:rPr>
            <a:t> i</a:t>
          </a:r>
          <a:r>
            <a:rPr lang="de-CH" sz="1000">
              <a:latin typeface="Arial" pitchFamily="34" charset="0"/>
              <a:cs typeface="Arial" pitchFamily="34" charset="0"/>
            </a:rPr>
            <a:t>f no aircraft data. </a:t>
          </a:r>
        </a:p>
        <a:p>
          <a:pPr marL="685800" lvl="1" indent="-228600">
            <a:buFont typeface="+mj-lt"/>
            <a:buAutoNum type="arabicPeriod" startAt="6"/>
          </a:pPr>
          <a:r>
            <a:rPr lang="de-CH" sz="1000">
              <a:latin typeface="Arial" pitchFamily="34" charset="0"/>
              <a:cs typeface="Arial" pitchFamily="34" charset="0"/>
            </a:rPr>
            <a:t>Fuel dispensed to aircraft is not used at this stage.  This might be included in later versions.</a:t>
          </a:r>
        </a:p>
        <a:p>
          <a:pPr marL="685800" lvl="1" indent="-228600">
            <a:buFont typeface="+mj-lt"/>
            <a:buAutoNum type="arabicPeriod" startAt="6"/>
          </a:pPr>
          <a:r>
            <a:rPr lang="de-CH" sz="1000">
              <a:latin typeface="Arial" pitchFamily="34" charset="0"/>
              <a:cs typeface="Arial" pitchFamily="34" charset="0"/>
            </a:rPr>
            <a:t>Airport employee, tenant employee and visitors, and general public vehicle emissions are all included under Scope 3.</a:t>
          </a:r>
        </a:p>
        <a:p>
          <a:pPr marL="685800" lvl="1" indent="-228600">
            <a:buFont typeface="+mj-lt"/>
            <a:buAutoNum type="arabicPeriod" startAt="6"/>
          </a:pPr>
          <a:r>
            <a:rPr lang="de-CH" sz="1000">
              <a:latin typeface="Arial" pitchFamily="34" charset="0"/>
              <a:cs typeface="Arial" pitchFamily="34" charset="0"/>
            </a:rPr>
            <a:t>Some airports may prefer to include some of these emissions (eg staff or cars on the airport property) in Scope 1 (not current principle!).  This cannot be calculated by the spreadsheet at this time.</a:t>
          </a:r>
        </a:p>
        <a:p>
          <a:pPr marL="685800" lvl="1" indent="-228600">
            <a:buFont typeface="+mj-lt"/>
            <a:buAutoNum type="arabicPeriod" startAt="6"/>
          </a:pPr>
          <a:r>
            <a:rPr lang="de-CH" sz="1000">
              <a:latin typeface="Arial" pitchFamily="34" charset="0"/>
              <a:cs typeface="Arial" pitchFamily="34" charset="0"/>
            </a:rPr>
            <a:t>Landside vehicle emissions are based on a single distance representing the average trip length to and from the airport. A first estimate using the distance between the city centre and the airport terminal is recommended. For airports close to the city centre, a distance more representative of the average distance travelled should be selected, eg the radius of a circle that encloses 80-90% of the city population.</a:t>
          </a:r>
        </a:p>
        <a:p>
          <a:pPr marL="685800" lvl="1" indent="-228600">
            <a:buFont typeface="+mj-lt"/>
            <a:buAutoNum type="arabicPeriod" startAt="6"/>
          </a:pPr>
          <a:r>
            <a:rPr lang="de-CH" sz="1000">
              <a:latin typeface="Arial" pitchFamily="34" charset="0"/>
              <a:cs typeface="Arial" pitchFamily="34" charset="0"/>
            </a:rPr>
            <a:t>Emissions factors for diesel trains are based on operation time (ie number of minutes).  Distance and train speed</a:t>
          </a:r>
          <a:r>
            <a:rPr lang="de-CH" sz="1000" baseline="0">
              <a:latin typeface="Arial" pitchFamily="34" charset="0"/>
              <a:cs typeface="Arial" pitchFamily="34" charset="0"/>
            </a:rPr>
            <a:t> are needed.</a:t>
          </a:r>
          <a:endParaRPr lang="de-CH" sz="1000">
            <a:latin typeface="Arial" pitchFamily="34" charset="0"/>
            <a:cs typeface="Arial" pitchFamily="34" charset="0"/>
          </a:endParaRPr>
        </a:p>
        <a:p>
          <a:pPr marL="685800" lvl="1" indent="-228600">
            <a:buFont typeface="+mj-lt"/>
            <a:buAutoNum type="arabicPeriod" startAt="6"/>
          </a:pPr>
          <a:r>
            <a:rPr lang="de-CH" sz="1000">
              <a:latin typeface="Arial" pitchFamily="34" charset="0"/>
              <a:cs typeface="Arial" pitchFamily="34" charset="0"/>
            </a:rPr>
            <a:t>As not all train passengers are accessing the airport, it is recommend to use the distance to the nearest railway station from the airport. </a:t>
          </a:r>
          <a:endParaRPr lang="de-CH" sz="1000">
            <a:solidFill>
              <a:srgbClr val="FF0000"/>
            </a:solidFill>
            <a:latin typeface="Arial" pitchFamily="34" charset="0"/>
            <a:cs typeface="Arial" pitchFamily="34" charset="0"/>
          </a:endParaRPr>
        </a:p>
        <a:p>
          <a:pPr marL="685800" lvl="1" indent="-228600">
            <a:buFont typeface="+mj-lt"/>
            <a:buAutoNum type="arabicPeriod" startAt="6"/>
          </a:pPr>
          <a:r>
            <a:rPr lang="de-CH" sz="1000">
              <a:latin typeface="Arial" pitchFamily="34" charset="0"/>
              <a:cs typeface="Arial" pitchFamily="34" charset="0"/>
            </a:rPr>
            <a:t>Cargo and Freight handling are not currently included, although the flight LTO should be caputured in the inventory.</a:t>
          </a:r>
        </a:p>
        <a:p>
          <a:endParaRPr lang="de-CH" sz="1000">
            <a:latin typeface="Arial" pitchFamily="34" charset="0"/>
            <a:cs typeface="Arial" pitchFamily="34" charset="0"/>
          </a:endParaRPr>
        </a:p>
        <a:p>
          <a:r>
            <a:rPr lang="de-CH" sz="1000" b="1" i="0" u="none" strike="noStrike">
              <a:solidFill>
                <a:schemeClr val="dk1"/>
              </a:solidFill>
              <a:latin typeface="Arial" pitchFamily="34" charset="0"/>
              <a:ea typeface="+mn-ea"/>
              <a:cs typeface="Arial" pitchFamily="34" charset="0"/>
            </a:rPr>
            <a:t>General</a:t>
          </a:r>
          <a:endParaRPr lang="de-CH" sz="1000">
            <a:latin typeface="Arial" pitchFamily="34" charset="0"/>
            <a:cs typeface="Arial" pitchFamily="34" charset="0"/>
          </a:endParaRPr>
        </a:p>
        <a:p>
          <a:pPr marL="228600" indent="-228600">
            <a:buFont typeface="Wingdings" pitchFamily="2" charset="2"/>
            <a:buChar char="§"/>
          </a:pPr>
          <a:r>
            <a:rPr lang="de-CH" sz="1000">
              <a:latin typeface="Arial" pitchFamily="34" charset="0"/>
              <a:cs typeface="Arial" pitchFamily="34" charset="0"/>
            </a:rPr>
            <a:t>CO</a:t>
          </a:r>
          <a:r>
            <a:rPr lang="de-CH" sz="700">
              <a:latin typeface="Arial" pitchFamily="34" charset="0"/>
              <a:cs typeface="Arial" pitchFamily="34" charset="0"/>
            </a:rPr>
            <a:t>2</a:t>
          </a:r>
          <a:r>
            <a:rPr lang="de-CH" sz="1000">
              <a:latin typeface="Arial" pitchFamily="34" charset="0"/>
              <a:cs typeface="Arial" pitchFamily="34" charset="0"/>
            </a:rPr>
            <a:t> equivalent (CO</a:t>
          </a:r>
          <a:r>
            <a:rPr lang="de-CH" sz="700">
              <a:latin typeface="Arial" pitchFamily="34" charset="0"/>
              <a:cs typeface="Arial" pitchFamily="34" charset="0"/>
            </a:rPr>
            <a:t>2</a:t>
          </a:r>
          <a:r>
            <a:rPr lang="de-CH" sz="1000">
              <a:latin typeface="Arial" pitchFamily="34" charset="0"/>
              <a:cs typeface="Arial" pitchFamily="34" charset="0"/>
            </a:rPr>
            <a:t>e) for CH</a:t>
          </a:r>
          <a:r>
            <a:rPr lang="de-CH" sz="700">
              <a:latin typeface="Arial" pitchFamily="34" charset="0"/>
              <a:cs typeface="Arial" pitchFamily="34" charset="0"/>
            </a:rPr>
            <a:t>4</a:t>
          </a:r>
          <a:r>
            <a:rPr lang="de-CH" sz="1000">
              <a:latin typeface="Arial" pitchFamily="34" charset="0"/>
              <a:cs typeface="Arial" pitchFamily="34" charset="0"/>
            </a:rPr>
            <a:t> and N</a:t>
          </a:r>
          <a:r>
            <a:rPr lang="de-CH" sz="700">
              <a:latin typeface="Arial" pitchFamily="34" charset="0"/>
              <a:cs typeface="Arial" pitchFamily="34" charset="0"/>
            </a:rPr>
            <a:t>2</a:t>
          </a:r>
          <a:r>
            <a:rPr lang="de-CH" sz="1000">
              <a:latin typeface="Arial" pitchFamily="34" charset="0"/>
              <a:cs typeface="Arial" pitchFamily="34" charset="0"/>
            </a:rPr>
            <a:t>O are calculated using Global Warming Potential (GWP) factors of 21 and 310, respectively.</a:t>
          </a:r>
        </a:p>
        <a:p>
          <a:pPr marL="228600" indent="-228600">
            <a:buFont typeface="Wingdings" pitchFamily="2" charset="2"/>
            <a:buChar char="§"/>
          </a:pPr>
          <a:r>
            <a:rPr lang="de-CH" sz="1000">
              <a:latin typeface="Arial" pitchFamily="34" charset="0"/>
              <a:cs typeface="Arial" pitchFamily="34" charset="0"/>
            </a:rPr>
            <a:t>Traffic unit (TU) = 1 PAX movement or 100 kg cargo arriving or departing.</a:t>
          </a:r>
        </a:p>
        <a:p>
          <a:pPr marL="228600" indent="-228600">
            <a:buFont typeface="Wingdings" pitchFamily="2" charset="2"/>
            <a:buChar char="§"/>
          </a:pPr>
          <a:endParaRPr lang="de-CH" sz="1000">
            <a:latin typeface="Arial" pitchFamily="34" charset="0"/>
            <a:cs typeface="Arial" pitchFamily="34" charset="0"/>
          </a:endParaRPr>
        </a:p>
        <a:p>
          <a:pPr marL="0" indent="0">
            <a:buFontTx/>
            <a:buNone/>
          </a:pPr>
          <a:r>
            <a:rPr lang="de-CH" sz="1000" b="1">
              <a:latin typeface="Arial" pitchFamily="34" charset="0"/>
              <a:cs typeface="Arial" pitchFamily="34" charset="0"/>
            </a:rPr>
            <a:t>Local Air Quality Pollutants</a:t>
          </a:r>
        </a:p>
        <a:p>
          <a:pPr marL="228600" indent="-228600">
            <a:buFont typeface="Wingdings" pitchFamily="2" charset="2"/>
            <a:buChar char="§"/>
          </a:pPr>
          <a:r>
            <a:rPr lang="de-CH" sz="1000">
              <a:latin typeface="Arial" pitchFamily="34" charset="0"/>
              <a:cs typeface="Arial" pitchFamily="34" charset="0"/>
            </a:rPr>
            <a:t>ACERT 1.0 includes estimation</a:t>
          </a:r>
          <a:r>
            <a:rPr lang="de-CH" sz="1000" baseline="0">
              <a:latin typeface="Arial" pitchFamily="34" charset="0"/>
              <a:cs typeface="Arial" pitchFamily="34" charset="0"/>
            </a:rPr>
            <a:t>s of some pollutants that contribute to Local Air Quality situations including NOx, VOC, CO, PM and SOx.</a:t>
          </a:r>
        </a:p>
        <a:p>
          <a:pPr marL="228600" indent="-228600">
            <a:buFont typeface="Wingdings" pitchFamily="2" charset="2"/>
            <a:buChar char="§"/>
          </a:pPr>
          <a:r>
            <a:rPr lang="de-CH" sz="1000">
              <a:latin typeface="Arial" pitchFamily="34" charset="0"/>
              <a:cs typeface="Arial" pitchFamily="34" charset="0"/>
            </a:rPr>
            <a:t>Note that these</a:t>
          </a:r>
          <a:r>
            <a:rPr lang="de-CH" sz="1000" baseline="0">
              <a:latin typeface="Arial" pitchFamily="34" charset="0"/>
              <a:cs typeface="Arial" pitchFamily="34" charset="0"/>
            </a:rPr>
            <a:t> are only indicative values and accuracy is not sufficient for detailed work such as Environmental Impact Studies or compliance examinations.</a:t>
          </a:r>
          <a:endParaRPr lang="de-CH" sz="1000">
            <a:latin typeface="Arial" pitchFamily="34" charset="0"/>
            <a:cs typeface="Arial" pitchFamily="34" charset="0"/>
          </a:endParaRPr>
        </a:p>
        <a:p>
          <a:endParaRPr lang="de-CH" sz="1000">
            <a:latin typeface="Arial" pitchFamily="34" charset="0"/>
            <a:cs typeface="Arial" pitchFamily="34" charset="0"/>
          </a:endParaRPr>
        </a:p>
      </xdr:txBody>
    </xdr:sp>
    <xdr:clientData/>
  </xdr:twoCellAnchor>
  <xdr:twoCellAnchor editAs="oneCell">
    <xdr:from>
      <xdr:col>6</xdr:col>
      <xdr:colOff>114837</xdr:colOff>
      <xdr:row>0</xdr:row>
      <xdr:rowOff>171450</xdr:rowOff>
    </xdr:from>
    <xdr:to>
      <xdr:col>7</xdr:col>
      <xdr:colOff>409575</xdr:colOff>
      <xdr:row>0</xdr:row>
      <xdr:rowOff>571500</xdr:rowOff>
    </xdr:to>
    <xdr:pic>
      <xdr:nvPicPr>
        <xdr:cNvPr id="7" name="Picture 6"/>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72662" y="171450"/>
          <a:ext cx="904338" cy="400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905996</xdr:colOff>
      <xdr:row>0</xdr:row>
      <xdr:rowOff>54348</xdr:rowOff>
    </xdr:from>
    <xdr:to>
      <xdr:col>5</xdr:col>
      <xdr:colOff>447675</xdr:colOff>
      <xdr:row>0</xdr:row>
      <xdr:rowOff>890273</xdr:rowOff>
    </xdr:to>
    <xdr:pic>
      <xdr:nvPicPr>
        <xdr:cNvPr id="2" name="Picture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48390"/>
        <a:stretch/>
      </xdr:blipFill>
      <xdr:spPr>
        <a:xfrm>
          <a:off x="3677771" y="54348"/>
          <a:ext cx="1732429" cy="835925"/>
        </a:xfrm>
        <a:prstGeom prst="rect">
          <a:avLst/>
        </a:prstGeom>
      </xdr:spPr>
    </xdr:pic>
    <xdr:clientData/>
  </xdr:twoCellAnchor>
  <xdr:twoCellAnchor editAs="oneCell">
    <xdr:from>
      <xdr:col>7</xdr:col>
      <xdr:colOff>876109</xdr:colOff>
      <xdr:row>0</xdr:row>
      <xdr:rowOff>428625</xdr:rowOff>
    </xdr:from>
    <xdr:to>
      <xdr:col>9</xdr:col>
      <xdr:colOff>290245</xdr:colOff>
      <xdr:row>0</xdr:row>
      <xdr:rowOff>609600</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29384" y="428625"/>
          <a:ext cx="1604886" cy="180975"/>
        </a:xfrm>
        <a:prstGeom prst="rect">
          <a:avLst/>
        </a:prstGeom>
      </xdr:spPr>
    </xdr:pic>
    <xdr:clientData/>
  </xdr:twoCellAnchor>
  <xdr:twoCellAnchor editAs="oneCell">
    <xdr:from>
      <xdr:col>6</xdr:col>
      <xdr:colOff>333375</xdr:colOff>
      <xdr:row>0</xdr:row>
      <xdr:rowOff>228601</xdr:rowOff>
    </xdr:from>
    <xdr:to>
      <xdr:col>7</xdr:col>
      <xdr:colOff>7234</xdr:colOff>
      <xdr:row>0</xdr:row>
      <xdr:rowOff>781051</xdr:rowOff>
    </xdr:to>
    <xdr:pic>
      <xdr:nvPicPr>
        <xdr:cNvPr id="4" name="Pictur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391275" y="228601"/>
          <a:ext cx="769234" cy="552450"/>
        </a:xfrm>
        <a:prstGeom prst="rect">
          <a:avLst/>
        </a:prstGeom>
      </xdr:spPr>
    </xdr:pic>
    <xdr:clientData/>
  </xdr:twoCellAnchor>
  <xdr:twoCellAnchor editAs="oneCell">
    <xdr:from>
      <xdr:col>6</xdr:col>
      <xdr:colOff>1085850</xdr:colOff>
      <xdr:row>0</xdr:row>
      <xdr:rowOff>266700</xdr:rowOff>
    </xdr:from>
    <xdr:to>
      <xdr:col>7</xdr:col>
      <xdr:colOff>895350</xdr:colOff>
      <xdr:row>0</xdr:row>
      <xdr:rowOff>822618</xdr:rowOff>
    </xdr:to>
    <xdr:pic>
      <xdr:nvPicPr>
        <xdr:cNvPr id="6" name="Picture 5"/>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143750" y="266700"/>
          <a:ext cx="904875" cy="555918"/>
        </a:xfrm>
        <a:prstGeom prst="rect">
          <a:avLst/>
        </a:prstGeom>
      </xdr:spPr>
    </xdr:pic>
    <xdr:clientData/>
  </xdr:twoCellAnchor>
  <xdr:twoCellAnchor editAs="oneCell">
    <xdr:from>
      <xdr:col>5</xdr:col>
      <xdr:colOff>428625</xdr:colOff>
      <xdr:row>0</xdr:row>
      <xdr:rowOff>285750</xdr:rowOff>
    </xdr:from>
    <xdr:to>
      <xdr:col>6</xdr:col>
      <xdr:colOff>237588</xdr:colOff>
      <xdr:row>0</xdr:row>
      <xdr:rowOff>685800</xdr:rowOff>
    </xdr:to>
    <xdr:pic>
      <xdr:nvPicPr>
        <xdr:cNvPr id="8" name="Picture 7"/>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391150" y="285750"/>
          <a:ext cx="904338" cy="400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99</xdr:row>
      <xdr:rowOff>176686</xdr:rowOff>
    </xdr:from>
    <xdr:to>
      <xdr:col>11</xdr:col>
      <xdr:colOff>973455</xdr:colOff>
      <xdr:row>132</xdr:row>
      <xdr:rowOff>104775</xdr:rowOff>
    </xdr:to>
    <xdr:graphicFrame macro="">
      <xdr:nvGraphicFramePr>
        <xdr:cNvPr id="7169"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14288</xdr:colOff>
      <xdr:row>136</xdr:row>
      <xdr:rowOff>9525</xdr:rowOff>
    </xdr:from>
    <xdr:to>
      <xdr:col>11</xdr:col>
      <xdr:colOff>981075</xdr:colOff>
      <xdr:row>169</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9526</xdr:colOff>
      <xdr:row>39</xdr:row>
      <xdr:rowOff>28575</xdr:rowOff>
    </xdr:from>
    <xdr:to>
      <xdr:col>12</xdr:col>
      <xdr:colOff>0</xdr:colOff>
      <xdr:row>63</xdr:row>
      <xdr:rowOff>114300</xdr:rowOff>
    </xdr:to>
    <xdr:sp macro="" textlink="">
      <xdr:nvSpPr>
        <xdr:cNvPr id="5" name="Textfeld 3"/>
        <xdr:cNvSpPr txBox="1"/>
      </xdr:nvSpPr>
      <xdr:spPr>
        <a:xfrm>
          <a:off x="9526" y="6981825"/>
          <a:ext cx="9163049" cy="465772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de-CH" sz="1000" b="1" u="sng">
              <a:latin typeface="Arial" pitchFamily="34" charset="0"/>
              <a:cs typeface="Arial" pitchFamily="34" charset="0"/>
            </a:rPr>
            <a:t>EXPLANATIONS,</a:t>
          </a:r>
          <a:r>
            <a:rPr lang="de-CH" sz="1000" b="1" u="sng" baseline="0">
              <a:latin typeface="Arial" pitchFamily="34" charset="0"/>
              <a:cs typeface="Arial" pitchFamily="34" charset="0"/>
            </a:rPr>
            <a:t> CAVEATS, LIMITATIONS</a:t>
          </a:r>
        </a:p>
        <a:p>
          <a:endParaRPr lang="de-CH" sz="1000" b="1">
            <a:latin typeface="Arial" pitchFamily="34" charset="0"/>
            <a:cs typeface="Arial" pitchFamily="34" charset="0"/>
          </a:endParaRPr>
        </a:p>
        <a:p>
          <a:r>
            <a:rPr lang="de-CH" sz="1000" b="1">
              <a:latin typeface="Arial" pitchFamily="34" charset="0"/>
              <a:cs typeface="Arial" pitchFamily="34" charset="0"/>
            </a:rPr>
            <a:t>Background:</a:t>
          </a:r>
        </a:p>
        <a:p>
          <a:r>
            <a:rPr lang="de-CH" sz="1000" b="0">
              <a:latin typeface="Arial" pitchFamily="34" charset="0"/>
              <a:cs typeface="Arial" pitchFamily="34" charset="0"/>
            </a:rPr>
            <a:t>This inventory has</a:t>
          </a:r>
          <a:r>
            <a:rPr lang="de-CH" sz="1000" b="0" baseline="0">
              <a:latin typeface="Arial" pitchFamily="34" charset="0"/>
              <a:cs typeface="Arial" pitchFamily="34" charset="0"/>
            </a:rPr>
            <a:t> been developed using the </a:t>
          </a:r>
          <a:r>
            <a:rPr lang="de-CH" sz="1000" b="0">
              <a:latin typeface="Arial" pitchFamily="34" charset="0"/>
              <a:cs typeface="Arial" pitchFamily="34" charset="0"/>
            </a:rPr>
            <a:t>ACI Airport Carbon and Emissions Reporting Tool - ACERT v1.0 (2012).  The</a:t>
          </a:r>
          <a:r>
            <a:rPr lang="de-CH" sz="1000" b="0" baseline="0">
              <a:latin typeface="Arial" pitchFamily="34" charset="0"/>
              <a:cs typeface="Arial" pitchFamily="34" charset="0"/>
            </a:rPr>
            <a:t> following assumptions, caveats and limitations should be noted.</a:t>
          </a:r>
          <a:endParaRPr lang="de-CH" sz="1000" b="0">
            <a:latin typeface="Arial" pitchFamily="34" charset="0"/>
            <a:cs typeface="Arial" pitchFamily="34" charset="0"/>
          </a:endParaRPr>
        </a:p>
        <a:p>
          <a:endParaRPr lang="de-CH" sz="1000" b="1">
            <a:latin typeface="Arial" pitchFamily="34" charset="0"/>
            <a:cs typeface="Arial" pitchFamily="34" charset="0"/>
          </a:endParaRPr>
        </a:p>
        <a:p>
          <a:r>
            <a:rPr lang="de-CH" sz="1000" b="1">
              <a:latin typeface="Arial" pitchFamily="34" charset="0"/>
              <a:cs typeface="Arial" pitchFamily="34" charset="0"/>
            </a:rPr>
            <a:t>Scope 1: Airport Operator direct emissions</a:t>
          </a:r>
        </a:p>
        <a:p>
          <a:pPr marL="685800" lvl="1" indent="-228600">
            <a:buFont typeface="+mj-lt"/>
            <a:buAutoNum type="arabicPeriod"/>
          </a:pPr>
          <a:r>
            <a:rPr lang="de-CH" sz="1000">
              <a:latin typeface="Arial" pitchFamily="34" charset="0"/>
              <a:cs typeface="Arial" pitchFamily="34" charset="0"/>
            </a:rPr>
            <a:t>Airside vehicle emissions are based entirely on fuel dispensed.  </a:t>
          </a:r>
        </a:p>
        <a:p>
          <a:pPr marL="685800" lvl="1" indent="-228600">
            <a:buFont typeface="+mj-lt"/>
            <a:buAutoNum type="arabicPeriod"/>
          </a:pPr>
          <a:r>
            <a:rPr lang="de-CH" sz="1000">
              <a:latin typeface="Arial" pitchFamily="34" charset="0"/>
              <a:cs typeface="Arial" pitchFamily="34" charset="0"/>
            </a:rPr>
            <a:t>Emissions from generation of electricity and heat by the airport plant that is on-sold to tenants, still count as Airport Scope 1 emissions.</a:t>
          </a:r>
        </a:p>
        <a:p>
          <a:pPr lvl="1"/>
          <a:endParaRPr lang="de-CH" sz="1000">
            <a:latin typeface="Arial" pitchFamily="34" charset="0"/>
            <a:cs typeface="Arial" pitchFamily="34" charset="0"/>
          </a:endParaRPr>
        </a:p>
        <a:p>
          <a:r>
            <a:rPr lang="de-CH" sz="1000" b="1">
              <a:latin typeface="Arial" pitchFamily="34" charset="0"/>
              <a:cs typeface="Arial" pitchFamily="34" charset="0"/>
            </a:rPr>
            <a:t>Scope 2: Electricity and Heat purchased by Airport Operator</a:t>
          </a:r>
        </a:p>
        <a:p>
          <a:pPr marL="685800" lvl="1" indent="-228600">
            <a:buFont typeface="+mj-lt"/>
            <a:buAutoNum type="arabicPeriod" startAt="3"/>
          </a:pPr>
          <a:r>
            <a:rPr lang="de-CH" sz="1000">
              <a:latin typeface="Arial" pitchFamily="34" charset="0"/>
              <a:cs typeface="Arial" pitchFamily="34" charset="0"/>
            </a:rPr>
            <a:t>Off-site</a:t>
          </a:r>
          <a:r>
            <a:rPr lang="de-CH" sz="1000" baseline="0">
              <a:latin typeface="Arial" pitchFamily="34" charset="0"/>
              <a:cs typeface="Arial" pitchFamily="34" charset="0"/>
            </a:rPr>
            <a:t> e</a:t>
          </a:r>
          <a:r>
            <a:rPr lang="de-CH" sz="1000">
              <a:latin typeface="Arial" pitchFamily="34" charset="0"/>
              <a:cs typeface="Arial" pitchFamily="34" charset="0"/>
            </a:rPr>
            <a:t>missions from generation of purchased electricity and heat that is on-sold to tenants, do not count as Airport Scope 2 emissions. </a:t>
          </a:r>
        </a:p>
        <a:p>
          <a:pPr marL="685800" lvl="1" indent="-228600">
            <a:buFont typeface="+mj-lt"/>
            <a:buAutoNum type="arabicPeriod" startAt="3"/>
          </a:pPr>
          <a:r>
            <a:rPr lang="de-CH" sz="1000" b="0" i="0" u="none" strike="noStrike">
              <a:solidFill>
                <a:schemeClr val="dk1"/>
              </a:solidFill>
              <a:latin typeface="Arial" pitchFamily="34" charset="0"/>
              <a:ea typeface="+mn-ea"/>
              <a:cs typeface="Arial" pitchFamily="34" charset="0"/>
            </a:rPr>
            <a:t>CO2 emission factors (EF) for national electricity grids take</a:t>
          </a:r>
          <a:r>
            <a:rPr lang="de-CH" sz="1000" b="0" i="0" u="none" strike="noStrike" baseline="0">
              <a:solidFill>
                <a:schemeClr val="dk1"/>
              </a:solidFill>
              <a:latin typeface="Arial" pitchFamily="34" charset="0"/>
              <a:ea typeface="+mn-ea"/>
              <a:cs typeface="Arial" pitchFamily="34" charset="0"/>
            </a:rPr>
            <a:t>n from the WRI GHG Protocol are used by default</a:t>
          </a:r>
          <a:r>
            <a:rPr lang="de-CH" sz="1000" b="0" i="0" u="none" strike="noStrike">
              <a:solidFill>
                <a:schemeClr val="dk1"/>
              </a:solidFill>
              <a:latin typeface="Arial" pitchFamily="34" charset="0"/>
              <a:ea typeface="+mn-ea"/>
              <a:cs typeface="Arial" pitchFamily="34" charset="0"/>
            </a:rPr>
            <a:t>.  Other GHG (CH4 and N2O emissions are not calcuated.</a:t>
          </a:r>
          <a:r>
            <a:rPr lang="de-CH" sz="1000">
              <a:latin typeface="Arial" pitchFamily="34" charset="0"/>
              <a:cs typeface="Arial" pitchFamily="34" charset="0"/>
            </a:rPr>
            <a:t>  Another EF can be input</a:t>
          </a:r>
          <a:r>
            <a:rPr lang="de-CH" sz="1000" baseline="0">
              <a:latin typeface="Arial" pitchFamily="34" charset="0"/>
              <a:cs typeface="Arial" pitchFamily="34" charset="0"/>
            </a:rPr>
            <a:t> if known to be more accurate or if it reflects purchasing practice.</a:t>
          </a:r>
          <a:endParaRPr lang="de-CH" sz="1000">
            <a:latin typeface="Arial" pitchFamily="34" charset="0"/>
            <a:cs typeface="Arial" pitchFamily="34" charset="0"/>
          </a:endParaRPr>
        </a:p>
        <a:p>
          <a:pPr lvl="1"/>
          <a:endParaRPr lang="de-CH" sz="1000">
            <a:latin typeface="Arial" pitchFamily="34" charset="0"/>
            <a:cs typeface="Arial" pitchFamily="34" charset="0"/>
          </a:endParaRPr>
        </a:p>
        <a:p>
          <a:r>
            <a:rPr lang="de-CH" sz="1000" b="1">
              <a:latin typeface="Arial" pitchFamily="34" charset="0"/>
              <a:cs typeface="Arial" pitchFamily="34" charset="0"/>
            </a:rPr>
            <a:t>Scope 3: Tenant and Public Emissions</a:t>
          </a:r>
        </a:p>
        <a:p>
          <a:pPr marL="685800" lvl="1" indent="-228600">
            <a:buFont typeface="+mj-lt"/>
            <a:buAutoNum type="arabicPeriod" startAt="5"/>
          </a:pPr>
          <a:r>
            <a:rPr lang="de-CH" sz="1000">
              <a:latin typeface="Arial" pitchFamily="34" charset="0"/>
              <a:cs typeface="Arial" pitchFamily="34" charset="0"/>
            </a:rPr>
            <a:t>Aircraft emissions currenly include LTO, APU, run-ups and glycol de-icing.  Whole of flight is not included at this time. The input provides an option not to include aircraft data.</a:t>
          </a:r>
        </a:p>
        <a:p>
          <a:pPr marL="685800" lvl="1" indent="-228600">
            <a:buFont typeface="+mj-lt"/>
            <a:buAutoNum type="arabicPeriod" startAt="5"/>
          </a:pPr>
          <a:r>
            <a:rPr lang="de-CH" sz="1000">
              <a:latin typeface="Arial" pitchFamily="34" charset="0"/>
              <a:cs typeface="Arial" pitchFamily="34" charset="0"/>
            </a:rPr>
            <a:t>Fuel dispensed to aircraft is not used at this stage.  This might be included in later versions.</a:t>
          </a:r>
        </a:p>
        <a:p>
          <a:pPr marL="685800" lvl="1" indent="-228600">
            <a:buFont typeface="+mj-lt"/>
            <a:buAutoNum type="arabicPeriod" startAt="5"/>
          </a:pPr>
          <a:r>
            <a:rPr lang="de-CH" sz="1000">
              <a:latin typeface="Arial" pitchFamily="34" charset="0"/>
              <a:cs typeface="Arial" pitchFamily="34" charset="0"/>
            </a:rPr>
            <a:t>Airport employee, tenant employee and visitors, and general public vehicle emissions are all included under Scope 3. The</a:t>
          </a:r>
          <a:r>
            <a:rPr lang="de-CH" sz="1000" baseline="0">
              <a:latin typeface="Arial" pitchFamily="34" charset="0"/>
              <a:cs typeface="Arial" pitchFamily="34" charset="0"/>
            </a:rPr>
            <a:t> input provides an option not to include Ground Access Transportation data.</a:t>
          </a:r>
          <a:endParaRPr lang="de-CH" sz="1000">
            <a:latin typeface="Arial" pitchFamily="34" charset="0"/>
            <a:cs typeface="Arial" pitchFamily="34" charset="0"/>
          </a:endParaRPr>
        </a:p>
        <a:p>
          <a:pPr marL="685800" lvl="1" indent="-228600">
            <a:buFont typeface="+mj-lt"/>
            <a:buAutoNum type="arabicPeriod" startAt="5"/>
          </a:pPr>
          <a:r>
            <a:rPr lang="de-CH" sz="1000">
              <a:latin typeface="Arial" pitchFamily="34" charset="0"/>
              <a:cs typeface="Arial" pitchFamily="34" charset="0"/>
            </a:rPr>
            <a:t>Landside vehicle emissions are based on a single distance representing the average trip length to and from the airport. The distance used in the</a:t>
          </a:r>
          <a:r>
            <a:rPr lang="de-CH" sz="1000" baseline="0">
              <a:latin typeface="Arial" pitchFamily="34" charset="0"/>
              <a:cs typeface="Arial" pitchFamily="34" charset="0"/>
            </a:rPr>
            <a:t> calculations for this inventory is listed in the check list below and an indication of how this distance was selected is provided.</a:t>
          </a:r>
          <a:endParaRPr lang="de-CH" sz="1000">
            <a:latin typeface="Arial" pitchFamily="34" charset="0"/>
            <a:cs typeface="Arial" pitchFamily="34" charset="0"/>
          </a:endParaRPr>
        </a:p>
        <a:p>
          <a:pPr marL="685800" lvl="1" indent="-228600">
            <a:buFont typeface="+mj-lt"/>
            <a:buAutoNum type="arabicPeriod" startAt="5"/>
          </a:pPr>
          <a:r>
            <a:rPr lang="de-CH" sz="1000">
              <a:latin typeface="Arial" pitchFamily="34" charset="0"/>
              <a:cs typeface="Arial" pitchFamily="34" charset="0"/>
            </a:rPr>
            <a:t>Emissions factors for diesel trains are based on operation time (ie number of minutes).  Distance and train speed</a:t>
          </a:r>
          <a:r>
            <a:rPr lang="de-CH" sz="1000" baseline="0">
              <a:latin typeface="Arial" pitchFamily="34" charset="0"/>
              <a:cs typeface="Arial" pitchFamily="34" charset="0"/>
            </a:rPr>
            <a:t> have been input.</a:t>
          </a:r>
          <a:endParaRPr lang="de-CH" sz="1000">
            <a:latin typeface="Arial" pitchFamily="34" charset="0"/>
            <a:cs typeface="Arial" pitchFamily="34" charset="0"/>
          </a:endParaRPr>
        </a:p>
        <a:p>
          <a:pPr marL="685800" lvl="1" indent="-228600">
            <a:buFont typeface="+mj-lt"/>
            <a:buAutoNum type="arabicPeriod" startAt="5"/>
          </a:pPr>
          <a:r>
            <a:rPr lang="de-CH" sz="1000">
              <a:latin typeface="Arial" pitchFamily="34" charset="0"/>
              <a:cs typeface="Arial" pitchFamily="34" charset="0"/>
            </a:rPr>
            <a:t>As not all train passengers are accessing the airport, it is recommend to use the distance to the nearest railway station from the airport. </a:t>
          </a:r>
          <a:endParaRPr lang="de-CH" sz="1000">
            <a:solidFill>
              <a:srgbClr val="FF0000"/>
            </a:solidFill>
            <a:latin typeface="Arial" pitchFamily="34" charset="0"/>
            <a:cs typeface="Arial" pitchFamily="34" charset="0"/>
          </a:endParaRPr>
        </a:p>
        <a:p>
          <a:pPr marL="685800" lvl="1" indent="-228600">
            <a:buFont typeface="+mj-lt"/>
            <a:buAutoNum type="arabicPeriod" startAt="5"/>
          </a:pPr>
          <a:r>
            <a:rPr lang="de-CH" sz="1000">
              <a:latin typeface="Arial" pitchFamily="34" charset="0"/>
              <a:cs typeface="Arial" pitchFamily="34" charset="0"/>
            </a:rPr>
            <a:t>Cargo and Freight handling are not currently included, although the flight LTO should be caputured in the inventory.</a:t>
          </a:r>
        </a:p>
        <a:p>
          <a:endParaRPr lang="de-CH" sz="1000">
            <a:latin typeface="Arial" pitchFamily="34" charset="0"/>
            <a:cs typeface="Arial" pitchFamily="34" charset="0"/>
          </a:endParaRPr>
        </a:p>
        <a:p>
          <a:r>
            <a:rPr lang="de-CH" sz="1000" b="1" i="0" u="none" strike="noStrike">
              <a:solidFill>
                <a:schemeClr val="dk1"/>
              </a:solidFill>
              <a:latin typeface="Arial" pitchFamily="34" charset="0"/>
              <a:ea typeface="+mn-ea"/>
              <a:cs typeface="Arial" pitchFamily="34" charset="0"/>
            </a:rPr>
            <a:t>General</a:t>
          </a:r>
          <a:endParaRPr lang="de-CH" sz="1000">
            <a:latin typeface="Arial" pitchFamily="34" charset="0"/>
            <a:cs typeface="Arial" pitchFamily="34" charset="0"/>
          </a:endParaRPr>
        </a:p>
        <a:p>
          <a:pPr marL="228600" indent="-228600">
            <a:buFont typeface="Arial" pitchFamily="34" charset="0"/>
            <a:buChar char="•"/>
          </a:pPr>
          <a:r>
            <a:rPr lang="de-CH" sz="1000">
              <a:latin typeface="Arial" pitchFamily="34" charset="0"/>
              <a:cs typeface="Arial" pitchFamily="34" charset="0"/>
            </a:rPr>
            <a:t>CO</a:t>
          </a:r>
          <a:r>
            <a:rPr lang="de-CH" sz="700">
              <a:latin typeface="Arial" pitchFamily="34" charset="0"/>
              <a:cs typeface="Arial" pitchFamily="34" charset="0"/>
            </a:rPr>
            <a:t>2</a:t>
          </a:r>
          <a:r>
            <a:rPr lang="de-CH" sz="1000">
              <a:latin typeface="Arial" pitchFamily="34" charset="0"/>
              <a:cs typeface="Arial" pitchFamily="34" charset="0"/>
            </a:rPr>
            <a:t> equivalent (CO</a:t>
          </a:r>
          <a:r>
            <a:rPr lang="de-CH" sz="700">
              <a:latin typeface="Arial" pitchFamily="34" charset="0"/>
              <a:cs typeface="Arial" pitchFamily="34" charset="0"/>
            </a:rPr>
            <a:t>2</a:t>
          </a:r>
          <a:r>
            <a:rPr lang="de-CH" sz="1000">
              <a:latin typeface="Arial" pitchFamily="34" charset="0"/>
              <a:cs typeface="Arial" pitchFamily="34" charset="0"/>
            </a:rPr>
            <a:t>e) for CH</a:t>
          </a:r>
          <a:r>
            <a:rPr lang="de-CH" sz="700">
              <a:latin typeface="Arial" pitchFamily="34" charset="0"/>
              <a:cs typeface="Arial" pitchFamily="34" charset="0"/>
            </a:rPr>
            <a:t>4</a:t>
          </a:r>
          <a:r>
            <a:rPr lang="de-CH" sz="1000">
              <a:latin typeface="Arial" pitchFamily="34" charset="0"/>
              <a:cs typeface="Arial" pitchFamily="34" charset="0"/>
            </a:rPr>
            <a:t> and N</a:t>
          </a:r>
          <a:r>
            <a:rPr lang="de-CH" sz="700">
              <a:latin typeface="Arial" pitchFamily="34" charset="0"/>
              <a:cs typeface="Arial" pitchFamily="34" charset="0"/>
            </a:rPr>
            <a:t>2</a:t>
          </a:r>
          <a:r>
            <a:rPr lang="de-CH" sz="1000">
              <a:latin typeface="Arial" pitchFamily="34" charset="0"/>
              <a:cs typeface="Arial" pitchFamily="34" charset="0"/>
            </a:rPr>
            <a:t>O are calculated using Global Warming Potential (GWP) factors of 21 and 310, respectively.</a:t>
          </a:r>
        </a:p>
        <a:p>
          <a:pPr marL="228600" indent="-228600">
            <a:buFont typeface="Arial" pitchFamily="34" charset="0"/>
            <a:buChar char="•"/>
          </a:pPr>
          <a:r>
            <a:rPr lang="de-CH" sz="1000">
              <a:latin typeface="Arial" pitchFamily="34" charset="0"/>
              <a:cs typeface="Arial" pitchFamily="34" charset="0"/>
            </a:rPr>
            <a:t>Traffic unit (TU) = 1 PAX movement or 100 kg cargo arriving or departing.</a:t>
          </a:r>
        </a:p>
        <a:p>
          <a:pPr marL="228600" indent="-228600">
            <a:buFont typeface="Arial" pitchFamily="34" charset="0"/>
            <a:buChar char="•"/>
          </a:pPr>
          <a:r>
            <a:rPr lang="de-CH" sz="1000">
              <a:latin typeface="Arial" pitchFamily="34" charset="0"/>
              <a:cs typeface="Arial" pitchFamily="34" charset="0"/>
            </a:rPr>
            <a:t>Total CO2 and CO2e</a:t>
          </a:r>
          <a:r>
            <a:rPr lang="de-CH" sz="1000" baseline="0">
              <a:latin typeface="Arial" pitchFamily="34" charset="0"/>
              <a:cs typeface="Arial" pitchFamily="34" charset="0"/>
            </a:rPr>
            <a:t> values from ACERT can be within 10% of more rigourous and detailed GHG inventory calculations.</a:t>
          </a: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xdr:txBody>
    </xdr:sp>
    <xdr:clientData/>
  </xdr:twoCellAnchor>
  <xdr:twoCellAnchor editAs="oneCell">
    <xdr:from>
      <xdr:col>8</xdr:col>
      <xdr:colOff>9525</xdr:colOff>
      <xdr:row>0</xdr:row>
      <xdr:rowOff>19050</xdr:rowOff>
    </xdr:from>
    <xdr:to>
      <xdr:col>9</xdr:col>
      <xdr:colOff>539417</xdr:colOff>
      <xdr:row>0</xdr:row>
      <xdr:rowOff>616742</xdr:rowOff>
    </xdr:to>
    <xdr:pic>
      <xdr:nvPicPr>
        <xdr:cNvPr id="7" name="Picture 6"/>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r="48872"/>
        <a:stretch/>
      </xdr:blipFill>
      <xdr:spPr>
        <a:xfrm>
          <a:off x="5572125" y="19050"/>
          <a:ext cx="1215692" cy="597692"/>
        </a:xfrm>
        <a:prstGeom prst="rect">
          <a:avLst/>
        </a:prstGeom>
      </xdr:spPr>
    </xdr:pic>
    <xdr:clientData/>
  </xdr:twoCellAnchor>
  <xdr:twoCellAnchor editAs="oneCell">
    <xdr:from>
      <xdr:col>9</xdr:col>
      <xdr:colOff>657225</xdr:colOff>
      <xdr:row>0</xdr:row>
      <xdr:rowOff>66675</xdr:rowOff>
    </xdr:from>
    <xdr:to>
      <xdr:col>10</xdr:col>
      <xdr:colOff>360383</xdr:colOff>
      <xdr:row>0</xdr:row>
      <xdr:rowOff>523875</xdr:rowOff>
    </xdr:to>
    <xdr:pic>
      <xdr:nvPicPr>
        <xdr:cNvPr id="8" name="Picture 7"/>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905625" y="66675"/>
          <a:ext cx="636608" cy="457200"/>
        </a:xfrm>
        <a:prstGeom prst="rect">
          <a:avLst/>
        </a:prstGeom>
      </xdr:spPr>
    </xdr:pic>
    <xdr:clientData/>
  </xdr:twoCellAnchor>
  <xdr:twoCellAnchor editAs="oneCell">
    <xdr:from>
      <xdr:col>9</xdr:col>
      <xdr:colOff>142875</xdr:colOff>
      <xdr:row>0</xdr:row>
      <xdr:rowOff>609600</xdr:rowOff>
    </xdr:from>
    <xdr:to>
      <xdr:col>10</xdr:col>
      <xdr:colOff>542924</xdr:colOff>
      <xdr:row>0</xdr:row>
      <xdr:rowOff>759972</xdr:rowOff>
    </xdr:to>
    <xdr:pic>
      <xdr:nvPicPr>
        <xdr:cNvPr id="10" name="Picture 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391275" y="609600"/>
          <a:ext cx="1333499" cy="150372"/>
        </a:xfrm>
        <a:prstGeom prst="rect">
          <a:avLst/>
        </a:prstGeom>
      </xdr:spPr>
    </xdr:pic>
    <xdr:clientData/>
  </xdr:twoCellAnchor>
  <xdr:twoCellAnchor editAs="oneCell">
    <xdr:from>
      <xdr:col>10</xdr:col>
      <xdr:colOff>341866</xdr:colOff>
      <xdr:row>0</xdr:row>
      <xdr:rowOff>95250</xdr:rowOff>
    </xdr:from>
    <xdr:to>
      <xdr:col>11</xdr:col>
      <xdr:colOff>276225</xdr:colOff>
      <xdr:row>0</xdr:row>
      <xdr:rowOff>476250</xdr:rowOff>
    </xdr:to>
    <xdr:pic>
      <xdr:nvPicPr>
        <xdr:cNvPr id="11" name="Picture 10"/>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523716" y="95250"/>
          <a:ext cx="620159" cy="381000"/>
        </a:xfrm>
        <a:prstGeom prst="rect">
          <a:avLst/>
        </a:prstGeom>
      </xdr:spPr>
    </xdr:pic>
    <xdr:clientData/>
  </xdr:twoCellAnchor>
  <xdr:twoCellAnchor editAs="oneCell">
    <xdr:from>
      <xdr:col>11</xdr:col>
      <xdr:colOff>238126</xdr:colOff>
      <xdr:row>0</xdr:row>
      <xdr:rowOff>373996</xdr:rowOff>
    </xdr:from>
    <xdr:to>
      <xdr:col>11</xdr:col>
      <xdr:colOff>942976</xdr:colOff>
      <xdr:row>0</xdr:row>
      <xdr:rowOff>685799</xdr:rowOff>
    </xdr:to>
    <xdr:pic>
      <xdr:nvPicPr>
        <xdr:cNvPr id="9" name="Picture 8"/>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105776" y="373996"/>
          <a:ext cx="704850" cy="311803"/>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0.11938</cdr:x>
      <cdr:y>0.84083</cdr:y>
    </cdr:from>
    <cdr:to>
      <cdr:x>0.42124</cdr:x>
      <cdr:y>0.99116</cdr:y>
    </cdr:to>
    <cdr:sp macro="" textlink="">
      <cdr:nvSpPr>
        <cdr:cNvPr id="2" name="TextBox 1"/>
        <cdr:cNvSpPr txBox="1"/>
      </cdr:nvSpPr>
      <cdr:spPr>
        <a:xfrm xmlns:a="http://schemas.openxmlformats.org/drawingml/2006/main">
          <a:off x="1002030" y="4528664"/>
          <a:ext cx="2533650" cy="809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CA" sz="1100"/>
            <a:t>Note:  Scope 2 sources include only Airport Electricity</a:t>
          </a:r>
          <a:r>
            <a:rPr lang="en-CA" sz="1100" baseline="0"/>
            <a:t> and Heat Purchases (not on-sold to Tenants).</a:t>
          </a:r>
        </a:p>
        <a:p xmlns:a="http://schemas.openxmlformats.org/drawingml/2006/main">
          <a:r>
            <a:rPr lang="en-CA" sz="1100" baseline="0"/>
            <a:t>All others here are Scope 1.</a:t>
          </a:r>
          <a:endParaRPr lang="en-CA" sz="1100"/>
        </a:p>
      </cdr:txBody>
    </cdr:sp>
  </cdr:relSizeAnchor>
  <cdr:relSizeAnchor xmlns:cdr="http://schemas.openxmlformats.org/drawingml/2006/chartDrawing">
    <cdr:from>
      <cdr:x>0.57213</cdr:x>
      <cdr:y>0.89015</cdr:y>
    </cdr:from>
    <cdr:to>
      <cdr:x>0.66386</cdr:x>
      <cdr:y>0.95204</cdr:y>
    </cdr:to>
    <cdr:sp macro="" textlink="Output!$L$180">
      <cdr:nvSpPr>
        <cdr:cNvPr id="7" name="TextBox 1"/>
        <cdr:cNvSpPr txBox="1"/>
      </cdr:nvSpPr>
      <cdr:spPr>
        <a:xfrm xmlns:a="http://schemas.openxmlformats.org/drawingml/2006/main">
          <a:off x="5041913" y="4794271"/>
          <a:ext cx="808342" cy="333335"/>
        </a:xfrm>
        <a:prstGeom xmlns:a="http://schemas.openxmlformats.org/drawingml/2006/main" prst="rect">
          <a:avLst/>
        </a:prstGeom>
        <a:solidFill xmlns:a="http://schemas.openxmlformats.org/drawingml/2006/main">
          <a:schemeClr val="bg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FE0DE96F-9307-445C-A14B-774FDA755742}" type="TxLink">
            <a:rPr lang="en-US"/>
            <a:pPr/>
            <a:t> 0 </a:t>
          </a:fld>
          <a:endParaRPr lang="en-US"/>
        </a:p>
      </cdr:txBody>
    </cdr:sp>
  </cdr:relSizeAnchor>
  <cdr:relSizeAnchor xmlns:cdr="http://schemas.openxmlformats.org/drawingml/2006/chartDrawing">
    <cdr:from>
      <cdr:x>0.43054</cdr:x>
      <cdr:y>0.89015</cdr:y>
    </cdr:from>
    <cdr:to>
      <cdr:x>0.57321</cdr:x>
      <cdr:y>0.95204</cdr:y>
    </cdr:to>
    <cdr:sp macro="" textlink="">
      <cdr:nvSpPr>
        <cdr:cNvPr id="8" name="TextBox 1"/>
        <cdr:cNvSpPr txBox="1"/>
      </cdr:nvSpPr>
      <cdr:spPr>
        <a:xfrm xmlns:a="http://schemas.openxmlformats.org/drawingml/2006/main">
          <a:off x="3794125" y="4794250"/>
          <a:ext cx="1257300" cy="333374"/>
        </a:xfrm>
        <a:prstGeom xmlns:a="http://schemas.openxmlformats.org/drawingml/2006/main" prst="rect">
          <a:avLst/>
        </a:prstGeom>
        <a:solidFill xmlns:a="http://schemas.openxmlformats.org/drawingml/2006/main">
          <a:schemeClr val="bg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t>Total Scope 1 + 2 = </a:t>
          </a:r>
        </a:p>
      </cdr:txBody>
    </cdr:sp>
  </cdr:relSizeAnchor>
</c:userShapes>
</file>

<file path=xl/drawings/drawing5.xml><?xml version="1.0" encoding="utf-8"?>
<c:userShapes xmlns:c="http://schemas.openxmlformats.org/drawingml/2006/chart">
  <cdr:relSizeAnchor xmlns:cdr="http://schemas.openxmlformats.org/drawingml/2006/chartDrawing">
    <cdr:from>
      <cdr:x>0.37574</cdr:x>
      <cdr:y>0.88869</cdr:y>
    </cdr:from>
    <cdr:to>
      <cdr:x>0.55562</cdr:x>
      <cdr:y>0.94988</cdr:y>
    </cdr:to>
    <cdr:sp macro="" textlink="">
      <cdr:nvSpPr>
        <cdr:cNvPr id="2" name="TextBox 1"/>
        <cdr:cNvSpPr txBox="1"/>
      </cdr:nvSpPr>
      <cdr:spPr>
        <a:xfrm xmlns:a="http://schemas.openxmlformats.org/drawingml/2006/main">
          <a:off x="3319462" y="4841875"/>
          <a:ext cx="1589088" cy="333374"/>
        </a:xfrm>
        <a:prstGeom xmlns:a="http://schemas.openxmlformats.org/drawingml/2006/main" prst="rect">
          <a:avLst/>
        </a:prstGeom>
        <a:solidFill xmlns:a="http://schemas.openxmlformats.org/drawingml/2006/main">
          <a:schemeClr val="bg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t>Total Scope 1 + 2 + 3 = </a:t>
          </a:r>
        </a:p>
      </cdr:txBody>
    </cdr:sp>
  </cdr:relSizeAnchor>
  <cdr:relSizeAnchor xmlns:cdr="http://schemas.openxmlformats.org/drawingml/2006/chartDrawing">
    <cdr:from>
      <cdr:x>0.55346</cdr:x>
      <cdr:y>0.88869</cdr:y>
    </cdr:from>
    <cdr:to>
      <cdr:x>0.65067</cdr:x>
      <cdr:y>0.94988</cdr:y>
    </cdr:to>
    <cdr:sp macro="" textlink="Output!$L$187">
      <cdr:nvSpPr>
        <cdr:cNvPr id="3" name="TextBox 1"/>
        <cdr:cNvSpPr txBox="1"/>
      </cdr:nvSpPr>
      <cdr:spPr>
        <a:xfrm xmlns:a="http://schemas.openxmlformats.org/drawingml/2006/main">
          <a:off x="4889507" y="4841850"/>
          <a:ext cx="858829" cy="333381"/>
        </a:xfrm>
        <a:prstGeom xmlns:a="http://schemas.openxmlformats.org/drawingml/2006/main" prst="rect">
          <a:avLst/>
        </a:prstGeom>
        <a:solidFill xmlns:a="http://schemas.openxmlformats.org/drawingml/2006/main">
          <a:schemeClr val="bg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B16A571F-1665-4263-BEE7-9FED1EDB8B23}" type="TxLink">
            <a:rPr lang="en-US"/>
            <a:pPr/>
            <a:t> 5,434 </a:t>
          </a:fld>
          <a:endParaRPr lang="en-US"/>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57150</xdr:colOff>
      <xdr:row>39</xdr:row>
      <xdr:rowOff>104775</xdr:rowOff>
    </xdr:from>
    <xdr:to>
      <xdr:col>11</xdr:col>
      <xdr:colOff>895350</xdr:colOff>
      <xdr:row>64</xdr:row>
      <xdr:rowOff>0</xdr:rowOff>
    </xdr:to>
    <xdr:sp macro="" textlink="">
      <xdr:nvSpPr>
        <xdr:cNvPr id="5" name="Textfeld 3"/>
        <xdr:cNvSpPr txBox="1"/>
      </xdr:nvSpPr>
      <xdr:spPr>
        <a:xfrm>
          <a:off x="57150" y="7153275"/>
          <a:ext cx="7991475" cy="465772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de-CH" sz="1000" b="1" u="sng">
              <a:latin typeface="Arial" pitchFamily="34" charset="0"/>
              <a:cs typeface="Arial" pitchFamily="34" charset="0"/>
            </a:rPr>
            <a:t>EXPLANATIONS,</a:t>
          </a:r>
          <a:r>
            <a:rPr lang="de-CH" sz="1000" b="1" u="sng" baseline="0">
              <a:latin typeface="Arial" pitchFamily="34" charset="0"/>
              <a:cs typeface="Arial" pitchFamily="34" charset="0"/>
            </a:rPr>
            <a:t> CAVEATS, LIMITATIONS - Regarding LAQ Emissions estimates</a:t>
          </a:r>
        </a:p>
        <a:p>
          <a:endParaRPr lang="de-CH" sz="1000" b="1">
            <a:latin typeface="Arial" pitchFamily="34" charset="0"/>
            <a:cs typeface="Arial" pitchFamily="34" charset="0"/>
          </a:endParaRPr>
        </a:p>
        <a:p>
          <a:r>
            <a:rPr lang="de-CH" sz="1000" b="1">
              <a:latin typeface="Arial" pitchFamily="34" charset="0"/>
              <a:cs typeface="Arial" pitchFamily="34" charset="0"/>
            </a:rPr>
            <a:t>Background:</a:t>
          </a:r>
        </a:p>
        <a:p>
          <a:r>
            <a:rPr lang="de-CH" sz="1000" b="0">
              <a:latin typeface="Arial" pitchFamily="34" charset="0"/>
              <a:cs typeface="Arial" pitchFamily="34" charset="0"/>
            </a:rPr>
            <a:t>This inventory has</a:t>
          </a:r>
          <a:r>
            <a:rPr lang="de-CH" sz="1000" b="0" baseline="0">
              <a:latin typeface="Arial" pitchFamily="34" charset="0"/>
              <a:cs typeface="Arial" pitchFamily="34" charset="0"/>
            </a:rPr>
            <a:t> been developed using the </a:t>
          </a:r>
          <a:r>
            <a:rPr lang="de-CH" sz="1000" b="0">
              <a:latin typeface="Arial" pitchFamily="34" charset="0"/>
              <a:cs typeface="Arial" pitchFamily="34" charset="0"/>
            </a:rPr>
            <a:t>ACI Airport Carbon and Emissions Reporting Tool (ACERT) v2.0 2012.  The</a:t>
          </a:r>
          <a:r>
            <a:rPr lang="de-CH" sz="1000" b="0" baseline="0">
              <a:latin typeface="Arial" pitchFamily="34" charset="0"/>
              <a:cs typeface="Arial" pitchFamily="34" charset="0"/>
            </a:rPr>
            <a:t> following assumptions, caveats and limitations should be noted.</a:t>
          </a:r>
          <a:endParaRPr lang="de-CH" sz="1000" b="0">
            <a:latin typeface="Arial" pitchFamily="34" charset="0"/>
            <a:cs typeface="Arial" pitchFamily="34" charset="0"/>
          </a:endParaRPr>
        </a:p>
        <a:p>
          <a:endParaRPr lang="de-CH" sz="1000" b="1">
            <a:latin typeface="Arial" pitchFamily="34" charset="0"/>
            <a:cs typeface="Arial" pitchFamily="34" charset="0"/>
          </a:endParaRPr>
        </a:p>
        <a:p>
          <a:r>
            <a:rPr lang="de-CH" sz="1000" b="1">
              <a:latin typeface="Arial" pitchFamily="34" charset="0"/>
              <a:cs typeface="Arial" pitchFamily="34" charset="0"/>
            </a:rPr>
            <a:t>Airport Operator emissions</a:t>
          </a:r>
        </a:p>
        <a:p>
          <a:pPr marL="685800" lvl="1" indent="-228600">
            <a:buFont typeface="+mj-lt"/>
            <a:buAutoNum type="arabicPeriod"/>
          </a:pPr>
          <a:r>
            <a:rPr lang="de-CH" sz="1000">
              <a:latin typeface="Arial" pitchFamily="34" charset="0"/>
              <a:cs typeface="Arial" pitchFamily="34" charset="0"/>
            </a:rPr>
            <a:t>Airside vehicle emissions are based entirely on fuel dispensed and estimate of proportion</a:t>
          </a:r>
          <a:r>
            <a:rPr lang="de-CH" sz="1000" baseline="0">
              <a:latin typeface="Arial" pitchFamily="34" charset="0"/>
              <a:cs typeface="Arial" pitchFamily="34" charset="0"/>
            </a:rPr>
            <a:t> of fuels is different sized vehicles.</a:t>
          </a:r>
          <a:r>
            <a:rPr lang="de-CH" sz="1000">
              <a:latin typeface="Arial" pitchFamily="34" charset="0"/>
              <a:cs typeface="Arial" pitchFamily="34" charset="0"/>
            </a:rPr>
            <a:t>.  </a:t>
          </a:r>
        </a:p>
        <a:p>
          <a:pPr marL="685800" lvl="1" indent="-228600">
            <a:buFont typeface="+mj-lt"/>
            <a:buAutoNum type="arabicPeriod"/>
          </a:pPr>
          <a:r>
            <a:rPr lang="de-CH" sz="1000">
              <a:latin typeface="Arial" pitchFamily="34" charset="0"/>
              <a:cs typeface="Arial" pitchFamily="34" charset="0"/>
            </a:rPr>
            <a:t>Emissions from generation of electricity and heat by the airport plant that is on-sold to tenants, still count as Airport emissions.</a:t>
          </a:r>
        </a:p>
        <a:p>
          <a:pPr lvl="1"/>
          <a:endParaRPr lang="de-CH" sz="1000">
            <a:latin typeface="Arial" pitchFamily="34" charset="0"/>
            <a:cs typeface="Arial" pitchFamily="34" charset="0"/>
          </a:endParaRPr>
        </a:p>
        <a:p>
          <a:r>
            <a:rPr lang="de-CH" sz="1000" b="1">
              <a:latin typeface="Arial" pitchFamily="34" charset="0"/>
              <a:cs typeface="Arial" pitchFamily="34" charset="0"/>
            </a:rPr>
            <a:t>Scope 2: Electricity and Heat purchased by Airport Operator</a:t>
          </a:r>
        </a:p>
        <a:p>
          <a:pPr marL="685800" lvl="1" indent="-228600">
            <a:buFont typeface="+mj-lt"/>
            <a:buAutoNum type="arabicPeriod" startAt="3"/>
          </a:pPr>
          <a:r>
            <a:rPr lang="de-CH" sz="1000">
              <a:latin typeface="Arial" pitchFamily="34" charset="0"/>
              <a:cs typeface="Arial" pitchFamily="34" charset="0"/>
            </a:rPr>
            <a:t>Off-site</a:t>
          </a:r>
          <a:r>
            <a:rPr lang="de-CH" sz="1000" baseline="0">
              <a:latin typeface="Arial" pitchFamily="34" charset="0"/>
              <a:cs typeface="Arial" pitchFamily="34" charset="0"/>
            </a:rPr>
            <a:t> e</a:t>
          </a:r>
          <a:r>
            <a:rPr lang="de-CH" sz="1000">
              <a:latin typeface="Arial" pitchFamily="34" charset="0"/>
              <a:cs typeface="Arial" pitchFamily="34" charset="0"/>
            </a:rPr>
            <a:t>missions from generation of purchased electricity and heat that is on-sold to tenants, do not count as Airport LAQ emissions. </a:t>
          </a:r>
        </a:p>
        <a:p>
          <a:pPr marL="685800" lvl="1" indent="-228600">
            <a:buFont typeface="+mj-lt"/>
            <a:buAutoNum type="arabicPeriod" startAt="3"/>
          </a:pPr>
          <a:endParaRPr lang="de-CH" sz="1000">
            <a:latin typeface="Arial" pitchFamily="34" charset="0"/>
            <a:cs typeface="Arial" pitchFamily="34" charset="0"/>
          </a:endParaRPr>
        </a:p>
        <a:p>
          <a:r>
            <a:rPr lang="de-CH" sz="1000" b="1">
              <a:latin typeface="Arial" pitchFamily="34" charset="0"/>
              <a:cs typeface="Arial" pitchFamily="34" charset="0"/>
            </a:rPr>
            <a:t>Scope 3: Tenant and Public Emissions</a:t>
          </a:r>
        </a:p>
        <a:p>
          <a:pPr marL="685800" lvl="1" indent="-228600">
            <a:buFont typeface="+mj-lt"/>
            <a:buAutoNum type="arabicPeriod" startAt="5"/>
          </a:pPr>
          <a:r>
            <a:rPr lang="de-CH" sz="1000">
              <a:latin typeface="Arial" pitchFamily="34" charset="0"/>
              <a:cs typeface="Arial" pitchFamily="34" charset="0"/>
            </a:rPr>
            <a:t>Aircraft emissions currenly include LTO, APU, run-ups and glycol de-icing.  Whole of flight is not included in LAQ calculations.</a:t>
          </a:r>
        </a:p>
        <a:p>
          <a:pPr marL="685800" lvl="1" indent="-228600">
            <a:buFont typeface="+mj-lt"/>
            <a:buAutoNum type="arabicPeriod" startAt="5"/>
          </a:pPr>
          <a:r>
            <a:rPr lang="de-CH" sz="1000">
              <a:latin typeface="Arial" pitchFamily="34" charset="0"/>
              <a:cs typeface="Arial" pitchFamily="34" charset="0"/>
            </a:rPr>
            <a:t>Fuel dispensed to aircraft is not used at this stage.  This might be included in later versions.</a:t>
          </a:r>
        </a:p>
        <a:p>
          <a:pPr marL="685800" lvl="1" indent="-228600">
            <a:buFont typeface="+mj-lt"/>
            <a:buAutoNum type="arabicPeriod" startAt="5"/>
          </a:pPr>
          <a:r>
            <a:rPr lang="de-CH" sz="1000">
              <a:latin typeface="Arial" pitchFamily="34" charset="0"/>
              <a:cs typeface="Arial" pitchFamily="34" charset="0"/>
            </a:rPr>
            <a:t>Airport employee, tenant employee and visitors, and general public vehicle emissions are all included.</a:t>
          </a:r>
        </a:p>
        <a:p>
          <a:pPr marL="685800" lvl="1" indent="-228600">
            <a:buFont typeface="+mj-lt"/>
            <a:buAutoNum type="arabicPeriod" startAt="5"/>
          </a:pPr>
          <a:r>
            <a:rPr lang="de-CH" sz="1000">
              <a:latin typeface="Arial" pitchFamily="34" charset="0"/>
              <a:cs typeface="Arial" pitchFamily="34" charset="0"/>
            </a:rPr>
            <a:t>Landside vehicle emissions are based on a single distance representing the average trip length to and from the airport. The distance used in the</a:t>
          </a:r>
          <a:r>
            <a:rPr lang="de-CH" sz="1000" baseline="0">
              <a:latin typeface="Arial" pitchFamily="34" charset="0"/>
              <a:cs typeface="Arial" pitchFamily="34" charset="0"/>
            </a:rPr>
            <a:t> calculations for this inventory is listed below and an indication of how this distance was selected is provided.</a:t>
          </a:r>
          <a:endParaRPr lang="de-CH" sz="1000">
            <a:latin typeface="Arial" pitchFamily="34" charset="0"/>
            <a:cs typeface="Arial" pitchFamily="34" charset="0"/>
          </a:endParaRPr>
        </a:p>
        <a:p>
          <a:pPr marL="685800" lvl="1" indent="-228600">
            <a:buFont typeface="+mj-lt"/>
            <a:buAutoNum type="arabicPeriod" startAt="5"/>
          </a:pPr>
          <a:r>
            <a:rPr lang="de-CH" sz="1000">
              <a:latin typeface="Arial" pitchFamily="34" charset="0"/>
              <a:cs typeface="Arial" pitchFamily="34" charset="0"/>
            </a:rPr>
            <a:t>Emissions factors for diesel trains are based on operation time (ie number of minutes).  Distance and train speed</a:t>
          </a:r>
          <a:r>
            <a:rPr lang="de-CH" sz="1000" baseline="0">
              <a:latin typeface="Arial" pitchFamily="34" charset="0"/>
              <a:cs typeface="Arial" pitchFamily="34" charset="0"/>
            </a:rPr>
            <a:t> have been input.</a:t>
          </a:r>
          <a:endParaRPr lang="de-CH" sz="1000">
            <a:latin typeface="Arial" pitchFamily="34" charset="0"/>
            <a:cs typeface="Arial" pitchFamily="34" charset="0"/>
          </a:endParaRPr>
        </a:p>
        <a:p>
          <a:pPr marL="685800" lvl="1" indent="-228600">
            <a:buFont typeface="+mj-lt"/>
            <a:buAutoNum type="arabicPeriod" startAt="5"/>
          </a:pPr>
          <a:r>
            <a:rPr lang="de-CH" sz="1000">
              <a:latin typeface="Arial" pitchFamily="34" charset="0"/>
              <a:cs typeface="Arial" pitchFamily="34" charset="0"/>
            </a:rPr>
            <a:t>As not all train passengers are accessing the airport, it is recommend to use the distance to the nearest railway station from the airport. </a:t>
          </a:r>
          <a:endParaRPr lang="de-CH" sz="1000">
            <a:solidFill>
              <a:srgbClr val="FF0000"/>
            </a:solidFill>
            <a:latin typeface="Arial" pitchFamily="34" charset="0"/>
            <a:cs typeface="Arial" pitchFamily="34" charset="0"/>
          </a:endParaRPr>
        </a:p>
        <a:p>
          <a:pPr marL="685800" lvl="1" indent="-228600">
            <a:buFont typeface="+mj-lt"/>
            <a:buAutoNum type="arabicPeriod" startAt="5"/>
          </a:pPr>
          <a:r>
            <a:rPr lang="de-CH" sz="1000">
              <a:latin typeface="Arial" pitchFamily="34" charset="0"/>
              <a:cs typeface="Arial" pitchFamily="34" charset="0"/>
            </a:rPr>
            <a:t>Cargo and Freight handling are not currently included, although the flight LTO should be caputured in the inventory.</a:t>
          </a:r>
        </a:p>
        <a:p>
          <a:endParaRPr lang="de-CH" sz="1000">
            <a:latin typeface="Arial" pitchFamily="34" charset="0"/>
            <a:cs typeface="Arial" pitchFamily="34" charset="0"/>
          </a:endParaRPr>
        </a:p>
        <a:p>
          <a:r>
            <a:rPr lang="de-CH" sz="1000" b="1" i="0" u="none" strike="noStrike">
              <a:solidFill>
                <a:schemeClr val="dk1"/>
              </a:solidFill>
              <a:latin typeface="Arial" pitchFamily="34" charset="0"/>
              <a:ea typeface="+mn-ea"/>
              <a:cs typeface="Arial" pitchFamily="34" charset="0"/>
            </a:rPr>
            <a:t>General</a:t>
          </a:r>
          <a:endParaRPr lang="de-CH" sz="1000">
            <a:latin typeface="Arial" pitchFamily="34" charset="0"/>
            <a:cs typeface="Arial" pitchFamily="34" charset="0"/>
          </a:endParaRPr>
        </a:p>
        <a:p>
          <a:pPr marL="228600" indent="-228600">
            <a:buFont typeface="Arial" pitchFamily="34" charset="0"/>
            <a:buChar char="•"/>
          </a:pPr>
          <a:r>
            <a:rPr lang="de-CH" sz="1000">
              <a:latin typeface="Arial" pitchFamily="34" charset="0"/>
              <a:cs typeface="Arial" pitchFamily="34" charset="0"/>
            </a:rPr>
            <a:t>Traffic unit (TU) = 1 PAX movement or 100 kg cargo arriving or departing.</a:t>
          </a:r>
        </a:p>
        <a:p>
          <a:pPr marL="228600" indent="-228600">
            <a:buFont typeface="Arial" pitchFamily="34" charset="0"/>
            <a:buChar char="•"/>
          </a:pPr>
          <a:r>
            <a:rPr lang="de-CH" sz="1100" b="1" baseline="0">
              <a:latin typeface="Arial" pitchFamily="34" charset="0"/>
              <a:cs typeface="Arial" pitchFamily="34" charset="0"/>
            </a:rPr>
            <a:t>Total LAQ values may be often less accurate and should be seen as indicatively only.</a:t>
          </a:r>
          <a:endParaRPr lang="de-CH" sz="1100" b="1">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a:p>
          <a:endParaRPr lang="de-CH" sz="1000">
            <a:latin typeface="Arial" pitchFamily="34" charset="0"/>
            <a:cs typeface="Arial"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19</xdr:col>
      <xdr:colOff>473190</xdr:colOff>
      <xdr:row>0</xdr:row>
      <xdr:rowOff>95250</xdr:rowOff>
    </xdr:from>
    <xdr:to>
      <xdr:col>24</xdr:col>
      <xdr:colOff>569219</xdr:colOff>
      <xdr:row>3</xdr:row>
      <xdr:rowOff>200873</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51690" y="95250"/>
          <a:ext cx="3429779" cy="8543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atmos-chem-phys-discuss.net/10/27523/2010/acpd-10-27523-2010-prin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3" tint="0.39997558519241921"/>
    <pageSetUpPr fitToPage="1"/>
  </sheetPr>
  <dimension ref="A1:P46"/>
  <sheetViews>
    <sheetView tabSelected="1" workbookViewId="0">
      <selection sqref="A1:D1"/>
    </sheetView>
  </sheetViews>
  <sheetFormatPr defaultColWidth="9.140625" defaultRowHeight="12.75" x14ac:dyDescent="0.2"/>
  <cols>
    <col min="1" max="1" width="20.140625" customWidth="1"/>
    <col min="2" max="2" width="14.7109375" customWidth="1"/>
    <col min="3" max="3" width="19.5703125" customWidth="1"/>
    <col min="13" max="13" width="12.7109375" customWidth="1"/>
  </cols>
  <sheetData>
    <row r="1" spans="1:4" s="276" customFormat="1" ht="57" customHeight="1" x14ac:dyDescent="0.2">
      <c r="A1" s="1044" t="s">
        <v>1947</v>
      </c>
      <c r="B1" s="1044"/>
      <c r="C1" s="1044"/>
      <c r="D1" s="1044"/>
    </row>
    <row r="2" spans="1:4" ht="20.25" customHeight="1" x14ac:dyDescent="0.25">
      <c r="A2" s="1032" t="s">
        <v>1928</v>
      </c>
    </row>
    <row r="19" spans="2:16" x14ac:dyDescent="0.2">
      <c r="B19" s="11"/>
    </row>
    <row r="24" spans="2:16" x14ac:dyDescent="0.2">
      <c r="B24" s="11"/>
    </row>
    <row r="27" spans="2:16" x14ac:dyDescent="0.2">
      <c r="O27" s="283"/>
      <c r="P27" s="283"/>
    </row>
    <row r="30" spans="2:16" ht="12" customHeight="1" x14ac:dyDescent="0.2">
      <c r="B30" s="1043"/>
      <c r="C30" s="1043"/>
      <c r="D30" s="63"/>
      <c r="E30" s="63"/>
      <c r="F30" s="63"/>
      <c r="G30" s="63"/>
      <c r="H30" s="63"/>
      <c r="I30" s="63"/>
      <c r="J30" s="63"/>
    </row>
    <row r="31" spans="2:16" x14ac:dyDescent="0.2">
      <c r="B31" s="63"/>
      <c r="C31" s="100"/>
      <c r="D31" s="63"/>
      <c r="E31" s="63"/>
      <c r="F31" s="63"/>
      <c r="G31" s="63"/>
      <c r="H31" s="63"/>
      <c r="I31" s="63"/>
      <c r="J31" s="63"/>
    </row>
    <row r="33" spans="1:13" x14ac:dyDescent="0.2">
      <c r="B33" s="64"/>
    </row>
    <row r="34" spans="1:13" x14ac:dyDescent="0.2">
      <c r="B34" s="65"/>
    </row>
    <row r="36" spans="1:13" ht="13.5" thickBot="1" x14ac:dyDescent="0.25"/>
    <row r="37" spans="1:13" ht="15.75" thickBot="1" x14ac:dyDescent="0.3">
      <c r="A37" s="550" t="s">
        <v>1094</v>
      </c>
      <c r="B37" s="890"/>
      <c r="C37" s="152" t="s">
        <v>1169</v>
      </c>
      <c r="D37" s="152"/>
      <c r="E37" s="152"/>
      <c r="F37" s="152"/>
      <c r="G37" s="152"/>
      <c r="H37" s="152"/>
      <c r="I37" s="152"/>
      <c r="J37" s="152"/>
      <c r="K37" s="152"/>
      <c r="L37" s="152"/>
      <c r="M37" s="152"/>
    </row>
    <row r="38" spans="1:13" x14ac:dyDescent="0.2">
      <c r="A38" s="152"/>
      <c r="B38" s="152"/>
      <c r="C38" s="152" t="s">
        <v>1168</v>
      </c>
      <c r="D38" s="152"/>
      <c r="E38" s="152"/>
      <c r="F38" s="152"/>
      <c r="G38" s="152"/>
      <c r="H38" s="152"/>
      <c r="I38" s="152"/>
      <c r="J38" s="152"/>
      <c r="K38" s="152"/>
      <c r="L38" s="152"/>
      <c r="M38" s="152"/>
    </row>
    <row r="39" spans="1:13" x14ac:dyDescent="0.2">
      <c r="A39" s="152"/>
      <c r="B39" s="151"/>
      <c r="C39" s="152" t="s">
        <v>970</v>
      </c>
      <c r="D39" s="152"/>
      <c r="E39" s="152"/>
      <c r="F39" s="152"/>
      <c r="G39" s="152"/>
      <c r="H39" s="152"/>
      <c r="I39" s="152"/>
      <c r="J39" s="152"/>
      <c r="K39" s="152"/>
      <c r="L39" s="152"/>
      <c r="M39" s="152"/>
    </row>
    <row r="40" spans="1:13" ht="14.25" customHeight="1" x14ac:dyDescent="0.2">
      <c r="A40" s="152"/>
      <c r="B40" s="180"/>
      <c r="C40" s="152" t="s">
        <v>1053</v>
      </c>
      <c r="D40" s="152"/>
      <c r="E40" s="152"/>
      <c r="F40" s="152"/>
      <c r="G40" s="152"/>
      <c r="H40" s="152"/>
      <c r="I40" s="152"/>
      <c r="J40" s="152"/>
      <c r="K40" s="152"/>
      <c r="L40" s="152"/>
      <c r="M40" s="152"/>
    </row>
    <row r="41" spans="1:13" ht="14.25" customHeight="1" x14ac:dyDescent="0.2">
      <c r="A41" s="152"/>
      <c r="B41" s="152"/>
      <c r="C41" s="152"/>
      <c r="D41" s="152"/>
      <c r="E41" s="152"/>
      <c r="F41" s="152"/>
      <c r="G41" s="152"/>
      <c r="H41" s="152"/>
      <c r="I41" s="152"/>
      <c r="J41" s="152"/>
      <c r="K41" s="152"/>
      <c r="L41" s="152"/>
      <c r="M41" s="152"/>
    </row>
    <row r="42" spans="1:13" ht="14.25" customHeight="1" x14ac:dyDescent="0.2">
      <c r="A42" s="152"/>
      <c r="B42" s="1041"/>
      <c r="C42" s="1040" t="s">
        <v>1943</v>
      </c>
      <c r="D42" s="152"/>
      <c r="E42" s="152"/>
      <c r="F42" s="152"/>
      <c r="G42" s="152"/>
      <c r="H42" s="152"/>
      <c r="I42" s="152"/>
      <c r="J42" s="152"/>
      <c r="K42" s="152"/>
      <c r="L42" s="152"/>
      <c r="M42" s="152"/>
    </row>
    <row r="43" spans="1:13" ht="14.25" customHeight="1" x14ac:dyDescent="0.2">
      <c r="A43" s="152"/>
      <c r="B43" s="1042"/>
      <c r="C43" s="1040" t="s">
        <v>1944</v>
      </c>
      <c r="D43" s="152"/>
      <c r="E43" s="152"/>
      <c r="F43" s="152"/>
      <c r="G43" s="152"/>
      <c r="H43" s="152"/>
      <c r="I43" s="152"/>
      <c r="J43" s="152"/>
      <c r="K43" s="152"/>
      <c r="L43" s="152"/>
      <c r="M43" s="152"/>
    </row>
    <row r="44" spans="1:13" ht="14.25" customHeight="1" x14ac:dyDescent="0.2"/>
    <row r="45" spans="1:13" ht="14.25" customHeight="1" x14ac:dyDescent="0.2"/>
    <row r="46" spans="1:13" ht="14.25" customHeight="1" x14ac:dyDescent="0.2"/>
  </sheetData>
  <sheetProtection password="CA83" sheet="1" objects="1" scenarios="1"/>
  <protectedRanges>
    <protectedRange sqref="B37" name="Airside"/>
  </protectedRanges>
  <mergeCells count="2">
    <mergeCell ref="B30:C30"/>
    <mergeCell ref="A1:D1"/>
  </mergeCells>
  <dataValidations count="1">
    <dataValidation type="whole" operator="greaterThanOrEqual" showInputMessage="1" showErrorMessage="1" sqref="B37">
      <formula1>0</formula1>
    </dataValidation>
  </dataValidations>
  <printOptions horizontalCentered="1" verticalCentered="1"/>
  <pageMargins left="0.25" right="0.25" top="0.75" bottom="0.75" header="0.3" footer="0.3"/>
  <pageSetup scale="91"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indexed="17"/>
    <pageSetUpPr fitToPage="1"/>
  </sheetPr>
  <dimension ref="A1:XFC313"/>
  <sheetViews>
    <sheetView workbookViewId="0">
      <selection activeCell="C4" sqref="C4:F4"/>
    </sheetView>
  </sheetViews>
  <sheetFormatPr defaultColWidth="9.140625" defaultRowHeight="14.25" x14ac:dyDescent="0.2"/>
  <cols>
    <col min="1" max="1" width="8.7109375" style="1" customWidth="1"/>
    <col min="2" max="10" width="16.42578125" style="1" customWidth="1"/>
    <col min="11" max="11" width="15.85546875" style="1" customWidth="1"/>
    <col min="12" max="16384" width="9.140625" style="1"/>
  </cols>
  <sheetData>
    <row r="1" spans="1:15" ht="74.25" customHeight="1" thickBot="1" x14ac:dyDescent="0.35">
      <c r="A1" s="1045" t="s">
        <v>1925</v>
      </c>
      <c r="B1" s="1045"/>
      <c r="C1" s="1045"/>
      <c r="D1" s="1045"/>
      <c r="E1" s="159"/>
      <c r="F1" s="159"/>
      <c r="G1" s="159"/>
      <c r="H1" s="99"/>
      <c r="I1" s="99"/>
      <c r="J1" s="852" t="str">
        <f>C5</f>
        <v>XYZ</v>
      </c>
      <c r="K1" s="853">
        <f>J6</f>
        <v>2011</v>
      </c>
    </row>
    <row r="2" spans="1:15" ht="18" x14ac:dyDescent="0.25">
      <c r="A2" s="253" t="s">
        <v>1756</v>
      </c>
      <c r="B2" s="254"/>
      <c r="C2" s="254"/>
      <c r="D2" s="254"/>
      <c r="E2" s="254"/>
      <c r="F2" s="254"/>
      <c r="G2" s="254"/>
      <c r="H2" s="254"/>
      <c r="I2" s="254"/>
      <c r="J2" s="254"/>
      <c r="K2" s="592"/>
    </row>
    <row r="3" spans="1:15" x14ac:dyDescent="0.2">
      <c r="A3" s="7"/>
      <c r="B3" s="7"/>
      <c r="C3" s="7"/>
      <c r="D3" s="7"/>
      <c r="E3" s="7"/>
      <c r="F3" s="7"/>
      <c r="G3" s="7"/>
      <c r="H3" s="7"/>
      <c r="I3" s="7"/>
      <c r="J3" s="7"/>
      <c r="K3" s="140"/>
    </row>
    <row r="4" spans="1:15" ht="15" x14ac:dyDescent="0.25">
      <c r="A4" s="7"/>
      <c r="B4" s="8" t="s">
        <v>8</v>
      </c>
      <c r="C4" s="1046"/>
      <c r="D4" s="1047"/>
      <c r="E4" s="1047"/>
      <c r="F4" s="1048"/>
      <c r="G4" s="8" t="s">
        <v>49</v>
      </c>
      <c r="H4" s="1054"/>
      <c r="I4" s="1055"/>
      <c r="J4" s="1056"/>
      <c r="K4" s="140"/>
    </row>
    <row r="5" spans="1:15" ht="15" x14ac:dyDescent="0.25">
      <c r="A5" s="7"/>
      <c r="B5" s="8" t="s">
        <v>645</v>
      </c>
      <c r="C5" s="129" t="s">
        <v>1934</v>
      </c>
      <c r="D5" s="1" t="s">
        <v>1560</v>
      </c>
      <c r="E5" s="8" t="s">
        <v>9</v>
      </c>
      <c r="F5" s="129" t="s">
        <v>1935</v>
      </c>
      <c r="G5" s="1" t="s">
        <v>1561</v>
      </c>
      <c r="H5" s="7"/>
      <c r="I5" s="8" t="s">
        <v>1010</v>
      </c>
      <c r="J5" s="162">
        <v>41153</v>
      </c>
      <c r="K5" s="279"/>
      <c r="O5" s="95" t="s">
        <v>1763</v>
      </c>
    </row>
    <row r="6" spans="1:15" ht="15" x14ac:dyDescent="0.25">
      <c r="A6" s="7"/>
      <c r="B6" s="8"/>
      <c r="C6" s="8"/>
      <c r="D6" s="8"/>
      <c r="E6" s="8"/>
      <c r="F6" s="8"/>
      <c r="H6" s="7"/>
      <c r="I6" s="8" t="s">
        <v>1828</v>
      </c>
      <c r="J6" s="134">
        <v>2011</v>
      </c>
      <c r="K6" s="279"/>
      <c r="O6" s="95" t="s">
        <v>1806</v>
      </c>
    </row>
    <row r="7" spans="1:15" ht="15" x14ac:dyDescent="0.25">
      <c r="A7" s="7"/>
      <c r="B7" s="8" t="s">
        <v>48</v>
      </c>
      <c r="C7" s="1046"/>
      <c r="D7" s="1047"/>
      <c r="E7" s="1047"/>
      <c r="F7" s="1048"/>
      <c r="G7" s="7"/>
      <c r="H7" s="7"/>
      <c r="I7" s="95" t="s">
        <v>1829</v>
      </c>
      <c r="J7" s="134" t="s">
        <v>1763</v>
      </c>
      <c r="O7" s="95" t="s">
        <v>1807</v>
      </c>
    </row>
    <row r="8" spans="1:15" ht="15" x14ac:dyDescent="0.25">
      <c r="A8" s="7"/>
      <c r="B8" s="8" t="s">
        <v>187</v>
      </c>
      <c r="C8" s="1046" t="s">
        <v>153</v>
      </c>
      <c r="D8" s="1057"/>
      <c r="E8" s="95" t="s">
        <v>1372</v>
      </c>
      <c r="F8" s="129" t="s">
        <v>1930</v>
      </c>
      <c r="G8" s="7"/>
      <c r="O8" s="95" t="s">
        <v>1808</v>
      </c>
    </row>
    <row r="9" spans="1:15" ht="15" x14ac:dyDescent="0.25">
      <c r="A9" s="7"/>
      <c r="B9" s="8" t="s">
        <v>1371</v>
      </c>
      <c r="C9" s="237" t="s">
        <v>1429</v>
      </c>
      <c r="D9" s="277" t="s">
        <v>1666</v>
      </c>
      <c r="E9" s="212"/>
      <c r="F9" s="12"/>
      <c r="G9" s="12"/>
      <c r="I9" s="95" t="s">
        <v>1558</v>
      </c>
      <c r="J9" s="130">
        <v>100</v>
      </c>
      <c r="K9" s="137" t="s">
        <v>1668</v>
      </c>
      <c r="O9" s="95" t="s">
        <v>1809</v>
      </c>
    </row>
    <row r="10" spans="1:15" ht="15" x14ac:dyDescent="0.25">
      <c r="A10" s="7"/>
      <c r="B10" s="8"/>
      <c r="C10" s="8"/>
      <c r="D10" s="6"/>
      <c r="E10" s="12"/>
      <c r="F10" s="12"/>
      <c r="G10" s="12"/>
      <c r="H10" s="12"/>
      <c r="I10" s="8" t="s">
        <v>1667</v>
      </c>
      <c r="J10" s="130">
        <v>100</v>
      </c>
      <c r="K10" s="137" t="s">
        <v>1668</v>
      </c>
      <c r="O10" s="95" t="s">
        <v>1810</v>
      </c>
    </row>
    <row r="11" spans="1:15" ht="15" x14ac:dyDescent="0.25">
      <c r="A11" s="7"/>
      <c r="B11" s="95" t="s">
        <v>1097</v>
      </c>
      <c r="C11" s="1046" t="s">
        <v>1939</v>
      </c>
      <c r="D11" s="1047"/>
      <c r="E11" s="1047"/>
      <c r="F11" s="1048"/>
      <c r="G11" s="12"/>
      <c r="H11" s="7"/>
      <c r="I11" s="8" t="s">
        <v>1559</v>
      </c>
      <c r="J11" s="130">
        <v>10</v>
      </c>
      <c r="K11" s="593" t="s">
        <v>1150</v>
      </c>
      <c r="O11" s="95" t="s">
        <v>1811</v>
      </c>
    </row>
    <row r="12" spans="1:15" ht="15" x14ac:dyDescent="0.25">
      <c r="A12" s="7"/>
      <c r="B12" s="95" t="s">
        <v>1098</v>
      </c>
      <c r="C12" s="1046"/>
      <c r="D12" s="1047"/>
      <c r="E12" s="1047"/>
      <c r="F12" s="1048"/>
      <c r="H12" s="179" t="s">
        <v>1050</v>
      </c>
      <c r="I12" s="177"/>
      <c r="J12" s="178"/>
      <c r="K12" s="137"/>
      <c r="O12" s="95" t="s">
        <v>1812</v>
      </c>
    </row>
    <row r="13" spans="1:15" ht="15" x14ac:dyDescent="0.25">
      <c r="A13" s="7"/>
      <c r="B13" s="95" t="s">
        <v>1099</v>
      </c>
      <c r="C13" s="1059"/>
      <c r="D13" s="1047"/>
      <c r="E13" s="1047"/>
      <c r="F13" s="1048"/>
      <c r="K13" s="137"/>
      <c r="O13" s="95" t="s">
        <v>1813</v>
      </c>
    </row>
    <row r="14" spans="1:15" ht="15" x14ac:dyDescent="0.25">
      <c r="A14" s="7"/>
      <c r="B14" s="8"/>
      <c r="C14" s="8"/>
      <c r="D14" s="9"/>
      <c r="F14" s="7"/>
      <c r="G14" s="7"/>
      <c r="H14" s="7"/>
      <c r="I14" s="12"/>
      <c r="J14" s="133"/>
      <c r="K14" s="594"/>
      <c r="O14" s="95" t="s">
        <v>1814</v>
      </c>
    </row>
    <row r="15" spans="1:15" ht="15" x14ac:dyDescent="0.25">
      <c r="A15" s="7"/>
      <c r="D15" s="95" t="s">
        <v>1138</v>
      </c>
      <c r="E15" s="1060" t="s">
        <v>1910</v>
      </c>
      <c r="F15" s="1061"/>
      <c r="G15" s="1062"/>
      <c r="I15" s="211" t="s">
        <v>25</v>
      </c>
      <c r="J15" s="590" t="s">
        <v>856</v>
      </c>
      <c r="K15" s="595"/>
      <c r="O15" s="95" t="s">
        <v>1815</v>
      </c>
    </row>
    <row r="16" spans="1:15" ht="15" x14ac:dyDescent="0.25">
      <c r="A16" s="7"/>
      <c r="D16" s="95" t="s">
        <v>1655</v>
      </c>
      <c r="E16" s="568" t="s">
        <v>871</v>
      </c>
      <c r="H16" s="7"/>
      <c r="I16" s="8"/>
      <c r="J16" s="8"/>
      <c r="K16" s="594"/>
      <c r="O16" s="95" t="s">
        <v>1816</v>
      </c>
    </row>
    <row r="17" spans="1:11" ht="15" x14ac:dyDescent="0.25">
      <c r="A17" s="7"/>
      <c r="D17" s="95" t="s">
        <v>1135</v>
      </c>
      <c r="E17" s="568" t="s">
        <v>871</v>
      </c>
      <c r="F17" s="7" t="s">
        <v>1325</v>
      </c>
      <c r="G17" s="134"/>
      <c r="I17" s="185" t="s">
        <v>1817</v>
      </c>
      <c r="J17" s="186"/>
      <c r="K17" s="596"/>
    </row>
    <row r="18" spans="1:11" ht="15" x14ac:dyDescent="0.25">
      <c r="A18" s="7"/>
      <c r="B18" s="179" t="s">
        <v>1699</v>
      </c>
      <c r="C18" s="177"/>
      <c r="D18" s="178"/>
      <c r="F18" s="7"/>
      <c r="G18" s="7"/>
      <c r="H18" s="7"/>
      <c r="I18" s="7"/>
      <c r="J18" s="7"/>
      <c r="K18" s="594"/>
    </row>
    <row r="19" spans="1:11" ht="15" x14ac:dyDescent="0.25">
      <c r="A19" s="7"/>
      <c r="B19" s="7"/>
      <c r="C19" s="7"/>
      <c r="D19" s="7"/>
      <c r="E19" s="7"/>
      <c r="F19" s="7"/>
      <c r="G19" s="7"/>
      <c r="H19" s="7"/>
      <c r="I19" s="7"/>
      <c r="J19" s="7"/>
      <c r="K19" s="594"/>
    </row>
    <row r="20" spans="1:11" ht="18" x14ac:dyDescent="0.25">
      <c r="A20" s="253" t="s">
        <v>1759</v>
      </c>
      <c r="B20" s="254"/>
      <c r="C20" s="254"/>
      <c r="D20" s="254"/>
      <c r="E20" s="254"/>
      <c r="F20" s="254"/>
      <c r="G20" s="254"/>
      <c r="H20" s="254"/>
      <c r="I20" s="254"/>
      <c r="J20" s="254"/>
      <c r="K20" s="592"/>
    </row>
    <row r="21" spans="1:11" x14ac:dyDescent="0.2">
      <c r="A21" s="7"/>
      <c r="B21" s="7"/>
      <c r="C21" s="7"/>
      <c r="D21" s="7"/>
      <c r="E21" s="7"/>
      <c r="F21" s="7"/>
      <c r="G21" s="7"/>
      <c r="H21" s="7"/>
      <c r="I21" s="7"/>
      <c r="J21" s="7"/>
      <c r="K21" s="140"/>
    </row>
    <row r="22" spans="1:11" ht="15" x14ac:dyDescent="0.25">
      <c r="A22" s="22"/>
      <c r="B22" s="22" t="s">
        <v>1778</v>
      </c>
      <c r="C22" s="7"/>
      <c r="D22" s="7"/>
      <c r="E22" s="7"/>
      <c r="F22" s="7"/>
      <c r="G22" s="7"/>
      <c r="H22" s="7"/>
      <c r="I22" s="7"/>
      <c r="J22" s="7"/>
      <c r="K22" s="140"/>
    </row>
    <row r="23" spans="1:11" ht="45" customHeight="1" x14ac:dyDescent="0.2">
      <c r="A23" s="7"/>
      <c r="C23" s="702" t="s">
        <v>1758</v>
      </c>
      <c r="D23" s="709" t="s">
        <v>1757</v>
      </c>
      <c r="E23" s="720" t="s">
        <v>1777</v>
      </c>
      <c r="F23" s="701" t="s">
        <v>11</v>
      </c>
      <c r="H23" s="1066" t="s">
        <v>1822</v>
      </c>
      <c r="I23" s="1067"/>
      <c r="J23" s="1068"/>
      <c r="K23" s="140"/>
    </row>
    <row r="24" spans="1:11" ht="15" x14ac:dyDescent="0.25">
      <c r="A24" s="7"/>
      <c r="C24" s="701" t="s">
        <v>14</v>
      </c>
      <c r="D24" s="93">
        <v>5</v>
      </c>
      <c r="E24" s="93"/>
      <c r="F24" s="701" t="s">
        <v>857</v>
      </c>
      <c r="H24" s="1069"/>
      <c r="I24" s="1070"/>
      <c r="J24" s="1071"/>
      <c r="K24" s="140"/>
    </row>
    <row r="25" spans="1:11" ht="15" x14ac:dyDescent="0.25">
      <c r="A25" s="7"/>
      <c r="C25" s="701" t="s">
        <v>12</v>
      </c>
      <c r="D25" s="93"/>
      <c r="E25" s="93"/>
      <c r="F25" s="701" t="s">
        <v>857</v>
      </c>
      <c r="G25" s="7"/>
      <c r="I25" s="7"/>
      <c r="J25" s="7"/>
      <c r="K25" s="140"/>
    </row>
    <row r="26" spans="1:11" ht="15" x14ac:dyDescent="0.25">
      <c r="A26" s="7"/>
      <c r="C26" s="701" t="s">
        <v>50</v>
      </c>
      <c r="D26" s="93"/>
      <c r="E26" s="93"/>
      <c r="F26" s="701" t="s">
        <v>13</v>
      </c>
      <c r="G26" s="7"/>
      <c r="I26" s="7"/>
      <c r="J26" s="7"/>
      <c r="K26" s="140"/>
    </row>
    <row r="27" spans="1:11" ht="15" x14ac:dyDescent="0.25">
      <c r="A27" s="7"/>
      <c r="C27" s="701" t="s">
        <v>114</v>
      </c>
      <c r="D27" s="93"/>
      <c r="E27" s="93"/>
      <c r="F27" s="701" t="s">
        <v>857</v>
      </c>
      <c r="G27" s="7"/>
      <c r="K27" s="140"/>
    </row>
    <row r="28" spans="1:11" ht="15" x14ac:dyDescent="0.25">
      <c r="A28" s="22"/>
      <c r="B28" s="7"/>
      <c r="C28" s="7"/>
      <c r="D28" s="7"/>
      <c r="E28" s="40"/>
      <c r="F28" s="7"/>
      <c r="G28" s="7"/>
      <c r="I28" s="7"/>
      <c r="J28" s="7"/>
      <c r="K28" s="140"/>
    </row>
    <row r="29" spans="1:11" ht="15" x14ac:dyDescent="0.25">
      <c r="B29" s="22" t="s">
        <v>1779</v>
      </c>
      <c r="C29" s="7"/>
      <c r="D29" s="7"/>
      <c r="E29" s="7"/>
      <c r="F29" s="7"/>
      <c r="G29" s="7"/>
      <c r="I29" s="7"/>
      <c r="J29" s="7"/>
      <c r="K29" s="140"/>
    </row>
    <row r="30" spans="1:11" ht="42.75" x14ac:dyDescent="0.2">
      <c r="A30" s="7"/>
      <c r="C30" s="701" t="s">
        <v>23</v>
      </c>
      <c r="D30" s="709" t="s">
        <v>1752</v>
      </c>
      <c r="E30" s="720" t="s">
        <v>1753</v>
      </c>
      <c r="F30" s="701" t="s">
        <v>11</v>
      </c>
      <c r="G30" s="7"/>
      <c r="I30" s="7"/>
      <c r="J30" s="7"/>
      <c r="K30" s="140"/>
    </row>
    <row r="31" spans="1:11" ht="15" x14ac:dyDescent="0.25">
      <c r="A31" s="7"/>
      <c r="C31" s="701" t="s">
        <v>162</v>
      </c>
      <c r="D31" s="93"/>
      <c r="E31" s="93"/>
      <c r="F31" s="701" t="s">
        <v>857</v>
      </c>
      <c r="G31" s="7"/>
      <c r="I31" s="7"/>
      <c r="J31" s="7"/>
      <c r="K31" s="140"/>
    </row>
    <row r="32" spans="1:11" ht="15" x14ac:dyDescent="0.25">
      <c r="A32" s="7"/>
      <c r="C32" s="701" t="s">
        <v>163</v>
      </c>
      <c r="D32" s="93"/>
      <c r="E32" s="93"/>
      <c r="F32" s="701" t="s">
        <v>857</v>
      </c>
      <c r="G32" s="7"/>
      <c r="I32" s="7"/>
      <c r="J32" s="7"/>
      <c r="K32" s="140"/>
    </row>
    <row r="33" spans="1:11" ht="15" x14ac:dyDescent="0.25">
      <c r="A33" s="7"/>
      <c r="C33" s="701" t="s">
        <v>114</v>
      </c>
      <c r="D33" s="93"/>
      <c r="E33" s="93"/>
      <c r="F33" s="701" t="s">
        <v>13</v>
      </c>
      <c r="G33" s="7"/>
      <c r="I33" s="7"/>
      <c r="J33" s="7"/>
      <c r="K33" s="140"/>
    </row>
    <row r="34" spans="1:11" ht="15" x14ac:dyDescent="0.25">
      <c r="A34" s="7"/>
      <c r="C34" s="701" t="s">
        <v>184</v>
      </c>
      <c r="D34" s="93"/>
      <c r="E34" s="93"/>
      <c r="F34" s="701" t="s">
        <v>857</v>
      </c>
      <c r="G34" s="7"/>
      <c r="I34" s="7"/>
      <c r="J34" s="7"/>
      <c r="K34" s="140"/>
    </row>
    <row r="35" spans="1:11" ht="15" x14ac:dyDescent="0.25">
      <c r="A35" s="7"/>
      <c r="C35" s="701" t="s">
        <v>185</v>
      </c>
      <c r="D35" s="93"/>
      <c r="E35" s="93"/>
      <c r="F35" s="701" t="s">
        <v>857</v>
      </c>
      <c r="G35" s="7"/>
      <c r="I35" s="7"/>
      <c r="J35" s="7"/>
      <c r="K35" s="140"/>
    </row>
    <row r="36" spans="1:11" ht="15" x14ac:dyDescent="0.25">
      <c r="A36" s="7"/>
      <c r="C36" s="701" t="s">
        <v>164</v>
      </c>
      <c r="D36" s="93"/>
      <c r="E36" s="93"/>
      <c r="F36" s="701" t="s">
        <v>13</v>
      </c>
      <c r="G36" s="7"/>
    </row>
    <row r="37" spans="1:11" ht="15" x14ac:dyDescent="0.25">
      <c r="A37" s="7"/>
      <c r="B37" s="3"/>
      <c r="C37" s="4"/>
      <c r="D37" s="3"/>
      <c r="E37" s="7"/>
      <c r="F37" s="7"/>
      <c r="G37" s="7"/>
      <c r="H37" s="7"/>
      <c r="I37" s="185" t="s">
        <v>1067</v>
      </c>
      <c r="J37" s="186"/>
      <c r="K37" s="596"/>
    </row>
    <row r="38" spans="1:11" ht="15" x14ac:dyDescent="0.25">
      <c r="B38" s="22" t="s">
        <v>1780</v>
      </c>
      <c r="C38" s="7"/>
      <c r="D38" s="7"/>
      <c r="E38" s="7"/>
      <c r="F38" s="7"/>
      <c r="G38" s="7"/>
      <c r="H38" s="7"/>
      <c r="I38" s="7"/>
      <c r="J38" s="7"/>
      <c r="K38" s="140"/>
    </row>
    <row r="39" spans="1:11" ht="28.5" x14ac:dyDescent="0.2">
      <c r="A39" s="7"/>
      <c r="C39" s="701" t="s">
        <v>23</v>
      </c>
      <c r="D39" s="712" t="s">
        <v>1750</v>
      </c>
      <c r="E39" s="720" t="s">
        <v>1751</v>
      </c>
      <c r="F39" s="701" t="s">
        <v>11</v>
      </c>
      <c r="I39" s="7"/>
      <c r="J39" s="7"/>
      <c r="K39" s="140"/>
    </row>
    <row r="40" spans="1:11" ht="15" x14ac:dyDescent="0.25">
      <c r="A40" s="7"/>
      <c r="C40" s="701" t="s">
        <v>1798</v>
      </c>
      <c r="D40" s="93"/>
      <c r="E40" s="93"/>
      <c r="F40" s="701" t="s">
        <v>857</v>
      </c>
      <c r="I40" s="7"/>
      <c r="J40" s="7"/>
      <c r="K40" s="140"/>
    </row>
    <row r="41" spans="1:11" ht="15" x14ac:dyDescent="0.25">
      <c r="A41" s="7"/>
      <c r="B41" s="3"/>
      <c r="C41" s="157"/>
      <c r="D41" s="157"/>
      <c r="E41" s="3"/>
      <c r="F41" s="7"/>
      <c r="G41" s="7"/>
      <c r="I41" s="7"/>
      <c r="J41" s="7"/>
      <c r="K41" s="140"/>
    </row>
    <row r="42" spans="1:11" ht="15" x14ac:dyDescent="0.25">
      <c r="B42" s="22" t="s">
        <v>1781</v>
      </c>
      <c r="C42" s="4"/>
      <c r="D42" s="3"/>
      <c r="E42" s="40"/>
      <c r="F42" s="7"/>
      <c r="G42" s="7"/>
      <c r="H42" s="7"/>
      <c r="I42" s="7"/>
      <c r="J42" s="7"/>
      <c r="K42" s="140"/>
    </row>
    <row r="43" spans="1:11" ht="42.75" x14ac:dyDescent="0.2">
      <c r="A43" s="7"/>
      <c r="C43" s="701" t="s">
        <v>176</v>
      </c>
      <c r="D43" s="710" t="s">
        <v>1754</v>
      </c>
      <c r="E43" s="720" t="s">
        <v>1755</v>
      </c>
      <c r="F43" s="701" t="s">
        <v>11</v>
      </c>
      <c r="G43" s="7"/>
      <c r="I43" s="7"/>
      <c r="J43" s="7"/>
      <c r="K43" s="140"/>
    </row>
    <row r="44" spans="1:11" ht="15" x14ac:dyDescent="0.25">
      <c r="A44" s="7"/>
      <c r="C44" s="163" t="s">
        <v>174</v>
      </c>
      <c r="D44" s="93"/>
      <c r="E44" s="93"/>
      <c r="F44" s="701" t="s">
        <v>857</v>
      </c>
      <c r="G44" s="7"/>
      <c r="I44" s="7"/>
      <c r="K44" s="140"/>
    </row>
    <row r="45" spans="1:11" ht="15" x14ac:dyDescent="0.25">
      <c r="A45" s="7"/>
      <c r="C45" s="160" t="s">
        <v>1805</v>
      </c>
      <c r="D45" s="93"/>
      <c r="E45" s="93"/>
      <c r="F45" s="701" t="s">
        <v>857</v>
      </c>
      <c r="G45" s="179" t="s">
        <v>1042</v>
      </c>
      <c r="H45" s="177"/>
      <c r="I45" s="178"/>
      <c r="J45" s="7"/>
      <c r="K45" s="140"/>
    </row>
    <row r="46" spans="1:11" ht="15" x14ac:dyDescent="0.25">
      <c r="A46" s="7"/>
      <c r="B46" s="3"/>
      <c r="C46" s="5"/>
      <c r="D46" s="3"/>
      <c r="I46" s="185" t="s">
        <v>1067</v>
      </c>
      <c r="J46" s="186"/>
      <c r="K46" s="596"/>
    </row>
    <row r="47" spans="1:11" ht="18" x14ac:dyDescent="0.25">
      <c r="A47" s="253" t="s">
        <v>1796</v>
      </c>
      <c r="B47" s="254"/>
      <c r="C47" s="254"/>
      <c r="D47" s="254"/>
      <c r="E47" s="254"/>
      <c r="F47" s="254"/>
      <c r="G47" s="254"/>
      <c r="H47" s="254"/>
      <c r="I47" s="254"/>
      <c r="J47" s="254"/>
      <c r="K47" s="592"/>
    </row>
    <row r="48" spans="1:11" ht="15" x14ac:dyDescent="0.25">
      <c r="A48" s="22"/>
      <c r="B48" s="7"/>
      <c r="C48" s="7"/>
      <c r="D48" s="7"/>
      <c r="E48" s="7"/>
      <c r="F48" s="7"/>
      <c r="G48" s="7"/>
      <c r="H48" s="7"/>
      <c r="I48" s="7"/>
      <c r="J48" s="7"/>
      <c r="K48" s="140"/>
    </row>
    <row r="49" spans="1:11" ht="15" x14ac:dyDescent="0.25">
      <c r="A49" s="22"/>
      <c r="B49" s="7" t="s">
        <v>1899</v>
      </c>
      <c r="C49" s="7"/>
      <c r="D49" s="7"/>
      <c r="E49" s="40"/>
      <c r="I49" s="7"/>
      <c r="J49" s="7"/>
      <c r="K49" s="140"/>
    </row>
    <row r="50" spans="1:11" ht="15" x14ac:dyDescent="0.25">
      <c r="A50" s="22"/>
      <c r="B50" s="1072" t="s">
        <v>1800</v>
      </c>
      <c r="C50" s="1073"/>
      <c r="D50" s="1073"/>
      <c r="E50" s="1073"/>
      <c r="F50" s="1073"/>
      <c r="G50" s="1073"/>
      <c r="H50" s="1074"/>
      <c r="I50" s="7"/>
      <c r="J50" s="7"/>
      <c r="K50" s="140"/>
    </row>
    <row r="51" spans="1:11" ht="29.25" x14ac:dyDescent="0.25">
      <c r="A51" s="22"/>
      <c r="B51" s="711" t="s">
        <v>97</v>
      </c>
      <c r="C51" s="709" t="s">
        <v>50</v>
      </c>
      <c r="D51" s="712" t="s">
        <v>1014</v>
      </c>
      <c r="E51" s="713" t="s">
        <v>1002</v>
      </c>
      <c r="F51" s="711" t="s">
        <v>11</v>
      </c>
      <c r="G51" s="714" t="s">
        <v>191</v>
      </c>
      <c r="H51" s="710" t="s">
        <v>11</v>
      </c>
      <c r="K51" s="140"/>
    </row>
    <row r="52" spans="1:11" ht="15" x14ac:dyDescent="0.25">
      <c r="A52" s="22"/>
      <c r="B52" s="59" t="s">
        <v>1924</v>
      </c>
      <c r="C52" s="93">
        <v>10</v>
      </c>
      <c r="D52" s="214" t="s">
        <v>1173</v>
      </c>
      <c r="E52" s="165"/>
      <c r="F52" s="704" t="s">
        <v>857</v>
      </c>
      <c r="G52" s="165"/>
      <c r="H52" s="701" t="s">
        <v>13</v>
      </c>
      <c r="K52" s="137"/>
    </row>
    <row r="53" spans="1:11" ht="15" x14ac:dyDescent="0.25">
      <c r="A53" s="22"/>
      <c r="B53" s="59" t="s">
        <v>1923</v>
      </c>
      <c r="C53" s="93"/>
      <c r="D53" s="219" t="str">
        <f>D$52</f>
        <v>m3</v>
      </c>
      <c r="E53" s="165"/>
      <c r="F53" s="704" t="s">
        <v>857</v>
      </c>
      <c r="G53" s="165"/>
      <c r="H53" s="701" t="s">
        <v>13</v>
      </c>
      <c r="K53" s="137"/>
    </row>
    <row r="54" spans="1:11" ht="15" x14ac:dyDescent="0.25">
      <c r="A54" s="22"/>
      <c r="B54" s="59"/>
      <c r="C54" s="93"/>
      <c r="D54" s="219" t="str">
        <f>D$52</f>
        <v>m3</v>
      </c>
      <c r="E54" s="165"/>
      <c r="F54" s="704" t="s">
        <v>857</v>
      </c>
      <c r="G54" s="165"/>
      <c r="H54" s="701" t="s">
        <v>13</v>
      </c>
      <c r="I54" s="170" t="s">
        <v>1799</v>
      </c>
      <c r="J54" s="171"/>
      <c r="K54" s="172"/>
    </row>
    <row r="55" spans="1:11" ht="15" x14ac:dyDescent="0.25">
      <c r="A55" s="22"/>
      <c r="B55" s="59"/>
      <c r="C55" s="93"/>
      <c r="D55" s="219" t="str">
        <f>D$52</f>
        <v>m3</v>
      </c>
      <c r="E55" s="165"/>
      <c r="F55" s="704" t="s">
        <v>857</v>
      </c>
      <c r="G55" s="165"/>
      <c r="H55" s="701" t="s">
        <v>13</v>
      </c>
      <c r="I55" s="179" t="s">
        <v>1748</v>
      </c>
      <c r="J55" s="177"/>
      <c r="K55" s="607"/>
    </row>
    <row r="56" spans="1:11" ht="15" x14ac:dyDescent="0.25">
      <c r="A56" s="22"/>
      <c r="B56" s="703" t="s">
        <v>7</v>
      </c>
      <c r="C56" s="128">
        <f>SUM(C52:C55)</f>
        <v>10</v>
      </c>
      <c r="D56" s="219" t="str">
        <f>D$52</f>
        <v>m3</v>
      </c>
      <c r="E56" s="127">
        <f>SUM(E52:E55)</f>
        <v>0</v>
      </c>
      <c r="F56" s="704" t="s">
        <v>857</v>
      </c>
      <c r="G56" s="127">
        <f>SUM(G52:G55)</f>
        <v>0</v>
      </c>
      <c r="H56" s="701" t="s">
        <v>13</v>
      </c>
      <c r="I56" s="174" t="s">
        <v>1749</v>
      </c>
      <c r="J56" s="175"/>
      <c r="K56" s="606"/>
    </row>
    <row r="57" spans="1:11" ht="15" x14ac:dyDescent="0.25">
      <c r="A57" s="22"/>
      <c r="B57" s="23"/>
      <c r="C57" s="157"/>
      <c r="D57" s="706"/>
      <c r="E57" s="157"/>
      <c r="F57" s="3"/>
      <c r="G57" s="157"/>
      <c r="H57" s="3"/>
    </row>
    <row r="58" spans="1:11" ht="15" x14ac:dyDescent="0.25">
      <c r="A58" s="22"/>
      <c r="B58" s="7" t="s">
        <v>1900</v>
      </c>
      <c r="C58" s="7"/>
      <c r="D58" s="7"/>
      <c r="E58" s="7"/>
      <c r="F58" s="40"/>
      <c r="G58" s="7"/>
      <c r="H58" s="7"/>
    </row>
    <row r="59" spans="1:11" ht="15" x14ac:dyDescent="0.25">
      <c r="A59" s="22"/>
      <c r="B59" s="1075" t="s">
        <v>1797</v>
      </c>
      <c r="C59" s="1076"/>
      <c r="D59" s="1076"/>
      <c r="E59" s="1076"/>
      <c r="F59" s="1076"/>
      <c r="G59" s="1076"/>
      <c r="H59" s="1077"/>
    </row>
    <row r="60" spans="1:11" ht="29.25" x14ac:dyDescent="0.25">
      <c r="A60" s="22"/>
      <c r="B60" s="721" t="s">
        <v>97</v>
      </c>
      <c r="C60" s="720" t="s">
        <v>50</v>
      </c>
      <c r="D60" s="722" t="s">
        <v>964</v>
      </c>
      <c r="E60" s="723" t="s">
        <v>1002</v>
      </c>
      <c r="F60" s="721" t="s">
        <v>11</v>
      </c>
      <c r="G60" s="723" t="s">
        <v>191</v>
      </c>
      <c r="H60" s="724" t="s">
        <v>11</v>
      </c>
    </row>
    <row r="61" spans="1:11" ht="15" x14ac:dyDescent="0.25">
      <c r="A61" s="22"/>
      <c r="B61" s="59" t="s">
        <v>1669</v>
      </c>
      <c r="C61" s="164"/>
      <c r="D61" s="216" t="s">
        <v>1173</v>
      </c>
      <c r="E61" s="165"/>
      <c r="F61" s="704" t="s">
        <v>857</v>
      </c>
      <c r="G61" s="165"/>
      <c r="H61" s="701" t="s">
        <v>13</v>
      </c>
    </row>
    <row r="62" spans="1:11" ht="15" customHeight="1" x14ac:dyDescent="0.25">
      <c r="A62" s="22"/>
      <c r="B62" s="59" t="s">
        <v>1040</v>
      </c>
      <c r="C62" s="93"/>
      <c r="D62" s="219" t="str">
        <f>D$61</f>
        <v>m3</v>
      </c>
      <c r="E62" s="165"/>
      <c r="F62" s="704" t="s">
        <v>857</v>
      </c>
      <c r="G62" s="165"/>
      <c r="H62" s="701" t="s">
        <v>13</v>
      </c>
    </row>
    <row r="63" spans="1:11" ht="15" x14ac:dyDescent="0.25">
      <c r="A63" s="22"/>
      <c r="B63" s="59" t="s">
        <v>971</v>
      </c>
      <c r="C63" s="93"/>
      <c r="D63" s="219" t="str">
        <f>D$61</f>
        <v>m3</v>
      </c>
      <c r="E63" s="165"/>
      <c r="F63" s="704" t="s">
        <v>857</v>
      </c>
      <c r="G63" s="165"/>
      <c r="H63" s="701" t="s">
        <v>13</v>
      </c>
      <c r="I63" s="170" t="s">
        <v>1799</v>
      </c>
      <c r="J63" s="171"/>
      <c r="K63" s="172"/>
    </row>
    <row r="64" spans="1:11" ht="15" customHeight="1" x14ac:dyDescent="0.25">
      <c r="A64" s="22"/>
      <c r="B64" s="59" t="s">
        <v>1057</v>
      </c>
      <c r="C64" s="93"/>
      <c r="D64" s="219" t="str">
        <f>D$61</f>
        <v>m3</v>
      </c>
      <c r="E64" s="165"/>
      <c r="F64" s="704" t="s">
        <v>857</v>
      </c>
      <c r="G64" s="165"/>
      <c r="H64" s="701" t="s">
        <v>13</v>
      </c>
      <c r="I64" s="179" t="s">
        <v>1748</v>
      </c>
      <c r="J64" s="177"/>
      <c r="K64" s="607"/>
    </row>
    <row r="65" spans="1:11" ht="15" x14ac:dyDescent="0.25">
      <c r="A65" s="22"/>
      <c r="B65" s="24" t="s">
        <v>7</v>
      </c>
      <c r="C65" s="128">
        <f>SUM(C61:C64)</f>
        <v>0</v>
      </c>
      <c r="D65" s="219" t="str">
        <f>D$61</f>
        <v>m3</v>
      </c>
      <c r="E65" s="127">
        <f>SUM(E61:E64)</f>
        <v>0</v>
      </c>
      <c r="F65" s="704" t="s">
        <v>857</v>
      </c>
      <c r="G65" s="127">
        <f>SUM(G61:G64)</f>
        <v>0</v>
      </c>
      <c r="H65" s="45" t="s">
        <v>13</v>
      </c>
      <c r="I65" s="174" t="s">
        <v>1749</v>
      </c>
      <c r="J65" s="175"/>
      <c r="K65" s="606"/>
    </row>
    <row r="66" spans="1:11" ht="15" x14ac:dyDescent="0.25">
      <c r="A66" s="22"/>
      <c r="B66" s="7"/>
      <c r="C66" s="7"/>
      <c r="D66" s="7"/>
      <c r="E66" s="7"/>
      <c r="F66" s="40"/>
      <c r="G66" s="7"/>
      <c r="H66" s="7"/>
    </row>
    <row r="67" spans="1:11" ht="18" x14ac:dyDescent="0.25">
      <c r="A67" s="253" t="s">
        <v>1760</v>
      </c>
      <c r="B67" s="271"/>
      <c r="C67" s="272"/>
      <c r="D67" s="271"/>
      <c r="E67" s="254"/>
      <c r="F67" s="254"/>
      <c r="G67" s="254"/>
      <c r="H67" s="254"/>
      <c r="I67" s="254"/>
      <c r="J67" s="254"/>
      <c r="K67" s="592"/>
    </row>
    <row r="68" spans="1:11" ht="15" x14ac:dyDescent="0.25">
      <c r="A68" s="7"/>
      <c r="B68" s="217"/>
      <c r="C68" s="5"/>
      <c r="D68" s="3"/>
      <c r="E68" s="3"/>
      <c r="F68" s="7"/>
      <c r="G68" s="7"/>
      <c r="H68" s="7"/>
      <c r="I68" s="7"/>
      <c r="J68" s="7"/>
      <c r="K68" s="140"/>
    </row>
    <row r="69" spans="1:11" ht="15" x14ac:dyDescent="0.25">
      <c r="A69" s="22"/>
      <c r="B69" s="715" t="s">
        <v>1764</v>
      </c>
      <c r="C69" s="716"/>
      <c r="D69" s="708"/>
      <c r="E69" s="708"/>
      <c r="F69" s="694">
        <v>5</v>
      </c>
      <c r="G69" s="7" t="s">
        <v>74</v>
      </c>
      <c r="H69" s="179" t="s">
        <v>1171</v>
      </c>
      <c r="I69" s="177"/>
      <c r="J69" s="178"/>
      <c r="K69" s="140"/>
    </row>
    <row r="70" spans="1:11" s="137" customFormat="1" ht="15" x14ac:dyDescent="0.25">
      <c r="B70" s="138"/>
      <c r="C70" s="139"/>
      <c r="D70" s="140"/>
      <c r="E70" s="140"/>
      <c r="F70" s="1033" t="str">
        <f>IF(F69&lt;F71,"Warning: Sold amount higher than bought amount! Amend"," ")</f>
        <v xml:space="preserve"> </v>
      </c>
      <c r="G70" s="140"/>
      <c r="K70" s="140"/>
    </row>
    <row r="71" spans="1:11" s="137" customFormat="1" ht="15" x14ac:dyDescent="0.25">
      <c r="B71" s="726" t="s">
        <v>1770</v>
      </c>
      <c r="C71" s="727"/>
      <c r="D71" s="728"/>
      <c r="E71" s="728"/>
      <c r="F71" s="694"/>
      <c r="G71" s="7" t="s">
        <v>74</v>
      </c>
      <c r="H71" s="179" t="s">
        <v>1840</v>
      </c>
      <c r="I71" s="177"/>
      <c r="J71" s="178"/>
    </row>
    <row r="73" spans="1:11" ht="15" x14ac:dyDescent="0.25">
      <c r="A73" s="22"/>
      <c r="B73" s="729" t="s">
        <v>1766</v>
      </c>
      <c r="C73" s="730"/>
      <c r="D73" s="730"/>
      <c r="E73" s="730"/>
      <c r="F73" s="694"/>
      <c r="G73" s="7" t="s">
        <v>74</v>
      </c>
      <c r="H73" s="198" t="s">
        <v>1765</v>
      </c>
      <c r="I73" s="603"/>
      <c r="J73" s="603"/>
      <c r="K73" s="178"/>
    </row>
    <row r="74" spans="1:11" ht="15" x14ac:dyDescent="0.25">
      <c r="A74" s="22"/>
      <c r="G74" s="140"/>
      <c r="I74" s="7"/>
      <c r="J74" s="7"/>
    </row>
    <row r="75" spans="1:11" ht="15" x14ac:dyDescent="0.25">
      <c r="A75" s="140"/>
      <c r="B75" s="729" t="s">
        <v>1767</v>
      </c>
      <c r="C75" s="730"/>
      <c r="D75" s="730"/>
      <c r="E75" s="731"/>
      <c r="F75" s="694"/>
      <c r="G75" s="7" t="s">
        <v>74</v>
      </c>
      <c r="H75" s="181" t="s">
        <v>1035</v>
      </c>
      <c r="I75" s="181"/>
      <c r="J75" s="7"/>
    </row>
    <row r="76" spans="1:11" x14ac:dyDescent="0.2">
      <c r="A76" s="140"/>
    </row>
    <row r="77" spans="1:11" ht="15" x14ac:dyDescent="0.25">
      <c r="A77" s="141"/>
      <c r="B77" s="144" t="s">
        <v>950</v>
      </c>
      <c r="C77" s="191" t="str">
        <f>+IF(C8="(Select One)","You must select one at Line 9", C8)</f>
        <v xml:space="preserve">Albania </v>
      </c>
      <c r="D77" s="280"/>
      <c r="E77" s="279" t="s">
        <v>1415</v>
      </c>
      <c r="F77" s="863">
        <f>VLOOKUP(C77,EF!$A$4:$B$158,2)</f>
        <v>34.439500000000002</v>
      </c>
      <c r="G77" s="7" t="s">
        <v>170</v>
      </c>
      <c r="H77" s="198" t="s">
        <v>1768</v>
      </c>
      <c r="I77" s="603"/>
      <c r="J77" s="603"/>
      <c r="K77" s="607"/>
    </row>
    <row r="78" spans="1:11" ht="15" x14ac:dyDescent="0.25">
      <c r="A78" s="22"/>
      <c r="B78" s="6" t="s">
        <v>1045</v>
      </c>
      <c r="C78" s="5"/>
      <c r="D78" s="7"/>
      <c r="E78" s="7"/>
      <c r="F78" s="862"/>
      <c r="G78" s="7" t="s">
        <v>170</v>
      </c>
      <c r="H78" s="179" t="s">
        <v>1124</v>
      </c>
      <c r="I78" s="177"/>
      <c r="J78" s="177"/>
      <c r="K78" s="603"/>
    </row>
    <row r="79" spans="1:11" ht="15" x14ac:dyDescent="0.25">
      <c r="A79" s="140"/>
      <c r="B79" s="137"/>
      <c r="C79" s="138"/>
      <c r="D79" s="139"/>
      <c r="E79" s="140"/>
      <c r="F79" s="140"/>
      <c r="G79" s="7"/>
      <c r="H79" s="1078" t="s">
        <v>1414</v>
      </c>
      <c r="I79" s="1078"/>
      <c r="J79" s="140"/>
      <c r="K79" s="140"/>
    </row>
    <row r="80" spans="1:11" ht="18" x14ac:dyDescent="0.25">
      <c r="A80" s="253" t="s">
        <v>1776</v>
      </c>
      <c r="B80" s="271"/>
      <c r="C80" s="272"/>
      <c r="D80" s="271"/>
      <c r="E80" s="254"/>
      <c r="F80" s="254"/>
      <c r="G80" s="254"/>
      <c r="H80" s="254"/>
      <c r="I80" s="254"/>
      <c r="J80" s="254"/>
      <c r="K80" s="592"/>
    </row>
    <row r="81" spans="1:11" ht="15" x14ac:dyDescent="0.25">
      <c r="A81" s="22"/>
      <c r="B81" s="218"/>
      <c r="C81" s="5"/>
      <c r="D81" s="7"/>
      <c r="E81" s="7"/>
      <c r="F81" s="7"/>
      <c r="G81" s="7"/>
      <c r="H81" s="179" t="s">
        <v>969</v>
      </c>
      <c r="I81" s="178"/>
      <c r="J81" s="7"/>
      <c r="K81" s="140"/>
    </row>
    <row r="82" spans="1:11" ht="15" x14ac:dyDescent="0.25">
      <c r="A82" s="22"/>
      <c r="B82" s="715" t="s">
        <v>1769</v>
      </c>
      <c r="C82" s="716"/>
      <c r="D82" s="708"/>
      <c r="E82" s="708"/>
      <c r="F82" s="694"/>
      <c r="G82" s="215" t="s">
        <v>74</v>
      </c>
      <c r="H82" s="179" t="s">
        <v>1172</v>
      </c>
      <c r="I82" s="177"/>
      <c r="J82" s="178"/>
      <c r="K82" s="140"/>
    </row>
    <row r="83" spans="1:11" ht="15" x14ac:dyDescent="0.25">
      <c r="A83" s="22"/>
      <c r="B83" s="6"/>
      <c r="C83" s="5"/>
      <c r="D83" s="7"/>
      <c r="E83" s="7"/>
      <c r="F83" s="1033" t="str">
        <f>IF(F82&lt;F84,"Warning: Sold amount higher than bought amount! Amend"," ")</f>
        <v xml:space="preserve"> </v>
      </c>
      <c r="G83" s="7"/>
      <c r="K83" s="140"/>
    </row>
    <row r="84" spans="1:11" ht="15" x14ac:dyDescent="0.25">
      <c r="A84" s="22"/>
      <c r="B84" s="726" t="s">
        <v>1771</v>
      </c>
      <c r="C84" s="727"/>
      <c r="D84" s="728"/>
      <c r="E84" s="728"/>
      <c r="F84" s="694"/>
      <c r="G84" s="140" t="str">
        <f>+G82</f>
        <v>kWh</v>
      </c>
      <c r="H84" s="179" t="s">
        <v>1840</v>
      </c>
      <c r="I84" s="177"/>
      <c r="J84" s="178"/>
      <c r="K84" s="140"/>
    </row>
    <row r="85" spans="1:11" ht="15" x14ac:dyDescent="0.25">
      <c r="A85" s="22"/>
      <c r="K85" s="140"/>
    </row>
    <row r="86" spans="1:11" ht="15" x14ac:dyDescent="0.25">
      <c r="A86" s="22"/>
      <c r="B86" s="729" t="s">
        <v>1772</v>
      </c>
      <c r="C86" s="730"/>
      <c r="D86" s="730"/>
      <c r="E86" s="730"/>
      <c r="F86" s="694"/>
      <c r="G86" s="717" t="str">
        <f>+G82</f>
        <v>kWh</v>
      </c>
      <c r="H86" s="179" t="s">
        <v>1840</v>
      </c>
      <c r="I86" s="177"/>
      <c r="J86" s="178"/>
      <c r="K86" s="140"/>
    </row>
    <row r="87" spans="1:11" ht="15" x14ac:dyDescent="0.25">
      <c r="A87" s="22"/>
      <c r="B87" s="138"/>
      <c r="C87" s="140"/>
      <c r="D87" s="140"/>
      <c r="E87" s="140"/>
      <c r="F87" s="279"/>
      <c r="G87" s="140"/>
      <c r="K87" s="140"/>
    </row>
    <row r="88" spans="1:11" ht="15" x14ac:dyDescent="0.25">
      <c r="A88" s="22"/>
      <c r="B88" s="729" t="s">
        <v>1773</v>
      </c>
      <c r="C88" s="730"/>
      <c r="D88" s="730"/>
      <c r="E88" s="731"/>
      <c r="F88" s="694"/>
      <c r="G88" s="717" t="str">
        <f>+G82</f>
        <v>kWh</v>
      </c>
      <c r="H88" s="181" t="s">
        <v>1035</v>
      </c>
      <c r="I88" s="181"/>
      <c r="K88" s="140"/>
    </row>
    <row r="89" spans="1:11" ht="15" x14ac:dyDescent="0.25">
      <c r="A89" s="22"/>
      <c r="G89" s="7"/>
      <c r="K89" s="140"/>
    </row>
    <row r="90" spans="1:11" ht="15" x14ac:dyDescent="0.25">
      <c r="A90" s="22"/>
      <c r="B90" s="6" t="s">
        <v>1774</v>
      </c>
      <c r="C90" s="5"/>
      <c r="D90" s="7"/>
      <c r="E90" s="7"/>
      <c r="F90" s="84" t="s">
        <v>50</v>
      </c>
      <c r="H90" s="179" t="s">
        <v>1775</v>
      </c>
      <c r="I90" s="178"/>
      <c r="K90" s="140"/>
    </row>
    <row r="91" spans="1:11" ht="15" x14ac:dyDescent="0.25">
      <c r="A91" s="7"/>
      <c r="B91" s="6"/>
      <c r="C91" s="5"/>
      <c r="D91" s="7"/>
      <c r="E91" s="7"/>
      <c r="F91" s="7"/>
      <c r="G91" s="7"/>
      <c r="H91" s="7"/>
      <c r="I91" s="7"/>
      <c r="J91" s="7"/>
      <c r="K91" s="140"/>
    </row>
    <row r="92" spans="1:11" ht="18" x14ac:dyDescent="0.25">
      <c r="A92" s="253" t="s">
        <v>1761</v>
      </c>
      <c r="B92" s="273"/>
      <c r="C92" s="274"/>
      <c r="D92" s="254"/>
      <c r="E92" s="254"/>
      <c r="F92" s="254"/>
      <c r="G92" s="254"/>
      <c r="H92" s="254"/>
      <c r="I92" s="254"/>
      <c r="J92" s="254"/>
      <c r="K92" s="592"/>
    </row>
    <row r="93" spans="1:11" ht="15" x14ac:dyDescent="0.25">
      <c r="A93" s="22"/>
      <c r="B93" s="168" t="s">
        <v>131</v>
      </c>
      <c r="C93" s="5"/>
      <c r="D93" s="7"/>
      <c r="E93" s="7"/>
      <c r="F93" s="7"/>
      <c r="G93" s="7"/>
      <c r="H93" s="7"/>
      <c r="I93" s="7"/>
      <c r="J93" s="7"/>
      <c r="K93" s="140"/>
    </row>
    <row r="94" spans="1:11" ht="15" x14ac:dyDescent="0.25">
      <c r="A94" s="22"/>
      <c r="B94" s="168"/>
      <c r="C94" s="5"/>
      <c r="D94" s="7"/>
      <c r="E94" s="7"/>
      <c r="F94" s="7"/>
      <c r="G94" s="7"/>
      <c r="H94" s="7"/>
      <c r="I94" s="7"/>
      <c r="J94" s="7"/>
      <c r="K94" s="140"/>
    </row>
    <row r="95" spans="1:11" ht="15" x14ac:dyDescent="0.25">
      <c r="C95" s="5"/>
      <c r="D95" s="95" t="s">
        <v>1818</v>
      </c>
      <c r="E95" s="1063" t="s">
        <v>1940</v>
      </c>
      <c r="F95" s="1064"/>
      <c r="G95" s="1065"/>
      <c r="H95" s="736">
        <f>IF(E95="No aircraft data",0,+IF(E95="Generic aircraft data (Good)",1,2))</f>
        <v>1</v>
      </c>
      <c r="I95" s="7"/>
      <c r="J95" s="7"/>
      <c r="K95" s="140"/>
    </row>
    <row r="96" spans="1:11" ht="15" x14ac:dyDescent="0.25">
      <c r="A96" s="22"/>
      <c r="B96" s="168"/>
      <c r="C96" s="95"/>
      <c r="F96" s="7"/>
      <c r="G96" s="7"/>
      <c r="H96" s="7"/>
      <c r="I96" s="7"/>
      <c r="J96" s="7"/>
      <c r="K96" s="140"/>
    </row>
    <row r="97" spans="1:11" ht="15" x14ac:dyDescent="0.25">
      <c r="A97" s="22"/>
      <c r="B97" s="22" t="str">
        <f>IF($H$95=0,"No data available. Skip Input of Annual Aircraft Movements",+IF($H$95=1,"Input Generic aircraft data here","Input Detailed aircraft data in next section below"))</f>
        <v>Input Generic aircraft data here</v>
      </c>
      <c r="C97" s="7"/>
      <c r="D97" s="7"/>
      <c r="E97" s="7"/>
      <c r="F97" s="7"/>
      <c r="G97" s="7"/>
      <c r="H97" s="7"/>
      <c r="I97" s="7"/>
      <c r="J97" s="7"/>
      <c r="K97" s="140"/>
    </row>
    <row r="98" spans="1:11" ht="15" x14ac:dyDescent="0.25">
      <c r="A98" s="22"/>
      <c r="B98" s="1058" t="s">
        <v>1819</v>
      </c>
      <c r="C98" s="1058"/>
      <c r="D98" s="790" t="s">
        <v>1875</v>
      </c>
      <c r="E98" s="1079" t="s">
        <v>1874</v>
      </c>
      <c r="F98" s="1079"/>
      <c r="G98" s="7"/>
      <c r="H98" s="7"/>
      <c r="I98" s="7"/>
      <c r="J98" s="7"/>
      <c r="K98" s="140"/>
    </row>
    <row r="99" spans="1:11" ht="15" x14ac:dyDescent="0.25">
      <c r="A99" s="22"/>
      <c r="B99" s="1049" t="s">
        <v>1863</v>
      </c>
      <c r="C99" s="1049"/>
      <c r="D99" s="93"/>
      <c r="E99" s="1052" t="s">
        <v>1876</v>
      </c>
      <c r="F99" s="1052"/>
      <c r="G99" s="177" t="s">
        <v>1050</v>
      </c>
      <c r="H99" s="177"/>
      <c r="I99" s="178"/>
      <c r="K99" s="140"/>
    </row>
    <row r="100" spans="1:11" ht="15" x14ac:dyDescent="0.25">
      <c r="A100" s="22"/>
      <c r="B100" s="1049" t="s">
        <v>1864</v>
      </c>
      <c r="C100" s="1049"/>
      <c r="D100" s="93">
        <v>100</v>
      </c>
      <c r="E100" s="1052" t="s">
        <v>1877</v>
      </c>
      <c r="F100" s="1052"/>
      <c r="K100" s="140"/>
    </row>
    <row r="101" spans="1:11" ht="15" x14ac:dyDescent="0.25">
      <c r="A101" s="22"/>
      <c r="B101" s="1049" t="s">
        <v>1865</v>
      </c>
      <c r="C101" s="1049"/>
      <c r="D101" s="93"/>
      <c r="E101" s="1052" t="s">
        <v>1878</v>
      </c>
      <c r="F101" s="1052"/>
      <c r="K101" s="140"/>
    </row>
    <row r="102" spans="1:11" ht="15" x14ac:dyDescent="0.25">
      <c r="A102" s="22"/>
      <c r="B102" s="1049" t="s">
        <v>1866</v>
      </c>
      <c r="C102" s="1049"/>
      <c r="D102" s="93"/>
      <c r="E102" s="1052" t="s">
        <v>1879</v>
      </c>
      <c r="F102" s="1052"/>
      <c r="H102" s="8" t="s">
        <v>1140</v>
      </c>
      <c r="I102" s="633">
        <f>+SUM(D99:D107)</f>
        <v>100</v>
      </c>
      <c r="J102" s="7"/>
      <c r="K102" s="140"/>
    </row>
    <row r="103" spans="1:11" ht="15" x14ac:dyDescent="0.25">
      <c r="A103" s="22"/>
      <c r="B103" s="1050" t="s">
        <v>1867</v>
      </c>
      <c r="C103" s="1051"/>
      <c r="D103" s="93"/>
      <c r="E103" s="1052" t="s">
        <v>1868</v>
      </c>
      <c r="F103" s="1052"/>
      <c r="H103" s="95" t="s">
        <v>1141</v>
      </c>
      <c r="I103" s="633">
        <f>+J9</f>
        <v>100</v>
      </c>
      <c r="J103" s="7" t="s">
        <v>1698</v>
      </c>
      <c r="K103" s="140"/>
    </row>
    <row r="104" spans="1:11" ht="15" x14ac:dyDescent="0.25">
      <c r="A104" s="22"/>
      <c r="B104" s="1049" t="s">
        <v>1869</v>
      </c>
      <c r="C104" s="1049"/>
      <c r="D104" s="93"/>
      <c r="E104" s="1053"/>
      <c r="F104" s="1053"/>
      <c r="G104" s="1096" t="str">
        <f>+IF($H$95=0,"No data required here",+IF($H$95=1,"These numbers should match as closely as possible","No data required here"))</f>
        <v>These numbers should match as closely as possible</v>
      </c>
      <c r="H104" s="1096"/>
      <c r="I104" s="1097"/>
      <c r="J104" s="140"/>
      <c r="K104" s="140"/>
    </row>
    <row r="105" spans="1:11" ht="15" x14ac:dyDescent="0.25">
      <c r="A105" s="22"/>
      <c r="B105" s="1049" t="s">
        <v>1870</v>
      </c>
      <c r="C105" s="1049"/>
      <c r="D105" s="93"/>
      <c r="E105" s="1053"/>
      <c r="F105" s="1053"/>
      <c r="G105" s="8" t="s">
        <v>1873</v>
      </c>
      <c r="H105" s="861">
        <f>+I102/I103</f>
        <v>1</v>
      </c>
      <c r="I105" s="7" t="s">
        <v>1697</v>
      </c>
      <c r="J105" s="140"/>
      <c r="K105" s="140"/>
    </row>
    <row r="106" spans="1:11" ht="15" x14ac:dyDescent="0.25">
      <c r="A106" s="22"/>
      <c r="B106" s="1049" t="s">
        <v>1871</v>
      </c>
      <c r="C106" s="1049"/>
      <c r="D106" s="93"/>
      <c r="E106" s="1053"/>
      <c r="F106" s="1053"/>
      <c r="G106" s="1096" t="str">
        <f>+IF(OR($H$95=0,$H$95=2),"No data required here",IF(H105&lt;90%,"Continue to input more aircraft movements",IF(H105&gt;110%,"Too many movements input, reduce or review CellJ10","Acceptable. Input movements within 10% of declared")))</f>
        <v>Acceptable. Input movements within 10% of declared</v>
      </c>
      <c r="H106" s="1096"/>
      <c r="I106" s="1097"/>
      <c r="J106" s="140"/>
      <c r="K106" s="140"/>
    </row>
    <row r="107" spans="1:11" ht="15" x14ac:dyDescent="0.25">
      <c r="A107" s="22"/>
      <c r="B107" s="1049" t="s">
        <v>1872</v>
      </c>
      <c r="C107" s="1049"/>
      <c r="D107" s="93"/>
      <c r="E107" s="1053"/>
      <c r="F107" s="1053"/>
      <c r="G107" s="7"/>
      <c r="H107" s="7"/>
      <c r="I107" s="7"/>
      <c r="J107" s="7"/>
      <c r="K107" s="140"/>
    </row>
    <row r="108" spans="1:11" ht="15" x14ac:dyDescent="0.25">
      <c r="A108" s="22"/>
      <c r="B108" s="168"/>
      <c r="C108" s="5"/>
      <c r="D108" s="7"/>
      <c r="E108" s="7"/>
      <c r="F108" s="7"/>
      <c r="G108" s="7"/>
      <c r="H108" s="7"/>
      <c r="I108" s="7"/>
      <c r="J108" s="7"/>
      <c r="K108" s="140"/>
    </row>
    <row r="109" spans="1:11" ht="15" x14ac:dyDescent="0.25">
      <c r="A109" s="22"/>
      <c r="B109" s="22" t="str">
        <f>IF($H$95=0,"No data available. Skip Input of Annual Aircraft Movements",+IF($H$95=1,"Input Generic aircraft data above","Input Detailed aircraft data here"))</f>
        <v>Input Generic aircraft data above</v>
      </c>
      <c r="D109" s="7"/>
      <c r="E109" s="7"/>
      <c r="F109" s="7"/>
      <c r="G109" s="179" t="s">
        <v>1050</v>
      </c>
      <c r="H109" s="177"/>
      <c r="I109" s="178"/>
      <c r="K109" s="137"/>
    </row>
    <row r="110" spans="1:11" ht="15" x14ac:dyDescent="0.25">
      <c r="C110" s="5"/>
      <c r="D110" s="7"/>
      <c r="G110" s="169" t="s">
        <v>1047</v>
      </c>
      <c r="H110" s="169"/>
      <c r="I110" s="169"/>
      <c r="J110" s="181"/>
    </row>
    <row r="111" spans="1:11" x14ac:dyDescent="0.2">
      <c r="A111" s="3"/>
      <c r="B111" s="146" t="s">
        <v>2</v>
      </c>
      <c r="C111" s="790" t="s">
        <v>1875</v>
      </c>
      <c r="D111" s="146" t="s">
        <v>2</v>
      </c>
      <c r="E111" s="790" t="s">
        <v>1875</v>
      </c>
      <c r="F111" s="146" t="s">
        <v>2</v>
      </c>
      <c r="G111" s="790" t="s">
        <v>1875</v>
      </c>
      <c r="H111" s="146" t="s">
        <v>2</v>
      </c>
      <c r="I111" s="790" t="s">
        <v>1875</v>
      </c>
      <c r="J111" s="7"/>
      <c r="K111" s="140"/>
    </row>
    <row r="112" spans="1:11" ht="15" x14ac:dyDescent="0.25">
      <c r="A112" s="3"/>
      <c r="B112" s="145" t="s">
        <v>240</v>
      </c>
      <c r="C112" s="842"/>
      <c r="D112" s="840" t="s">
        <v>339</v>
      </c>
      <c r="E112" s="842"/>
      <c r="F112" s="840" t="s">
        <v>429</v>
      </c>
      <c r="G112" s="842"/>
      <c r="H112" s="840" t="s">
        <v>508</v>
      </c>
      <c r="I112" s="842"/>
      <c r="J112" s="7"/>
      <c r="K112" s="140"/>
    </row>
    <row r="113" spans="1:11" ht="15" x14ac:dyDescent="0.25">
      <c r="A113" s="3"/>
      <c r="B113" s="54" t="s">
        <v>244</v>
      </c>
      <c r="C113" s="842"/>
      <c r="D113" s="840" t="s">
        <v>342</v>
      </c>
      <c r="E113" s="842"/>
      <c r="F113" s="840" t="s">
        <v>432</v>
      </c>
      <c r="G113" s="842"/>
      <c r="H113" s="840" t="s">
        <v>510</v>
      </c>
      <c r="I113" s="842"/>
      <c r="J113" s="7"/>
      <c r="K113" s="140"/>
    </row>
    <row r="114" spans="1:11" ht="15" x14ac:dyDescent="0.25">
      <c r="A114" s="3"/>
      <c r="B114" s="54" t="s">
        <v>247</v>
      </c>
      <c r="C114" s="842"/>
      <c r="D114" s="840" t="s">
        <v>345</v>
      </c>
      <c r="E114" s="842"/>
      <c r="F114" s="840" t="s">
        <v>435</v>
      </c>
      <c r="G114" s="842"/>
      <c r="H114" s="840" t="s">
        <v>512</v>
      </c>
      <c r="I114" s="842"/>
      <c r="J114" s="7"/>
      <c r="K114" s="140"/>
    </row>
    <row r="115" spans="1:11" ht="15" x14ac:dyDescent="0.25">
      <c r="A115" s="3"/>
      <c r="B115" s="54" t="s">
        <v>251</v>
      </c>
      <c r="C115" s="842"/>
      <c r="D115" s="840" t="s">
        <v>348</v>
      </c>
      <c r="E115" s="842"/>
      <c r="F115" s="840" t="s">
        <v>438</v>
      </c>
      <c r="G115" s="842"/>
      <c r="H115" s="840" t="s">
        <v>514</v>
      </c>
      <c r="I115" s="842"/>
      <c r="J115" s="7"/>
      <c r="K115" s="140"/>
    </row>
    <row r="116" spans="1:11" ht="15" x14ac:dyDescent="0.25">
      <c r="A116" s="3"/>
      <c r="B116" s="54" t="s">
        <v>254</v>
      </c>
      <c r="C116" s="842"/>
      <c r="D116" s="840" t="s">
        <v>349</v>
      </c>
      <c r="E116" s="842"/>
      <c r="F116" s="840" t="s">
        <v>439</v>
      </c>
      <c r="G116" s="842"/>
      <c r="H116" s="844" t="s">
        <v>516</v>
      </c>
      <c r="I116" s="842"/>
      <c r="J116" s="7"/>
      <c r="K116" s="140"/>
    </row>
    <row r="117" spans="1:11" ht="15" x14ac:dyDescent="0.25">
      <c r="A117" s="3"/>
      <c r="B117" s="54" t="s">
        <v>257</v>
      </c>
      <c r="C117" s="842"/>
      <c r="D117" s="840" t="s">
        <v>352</v>
      </c>
      <c r="E117" s="842"/>
      <c r="F117" s="843" t="s">
        <v>442</v>
      </c>
      <c r="G117" s="842"/>
      <c r="H117" s="844" t="s">
        <v>518</v>
      </c>
      <c r="I117" s="842"/>
      <c r="J117" s="7"/>
      <c r="K117" s="140"/>
    </row>
    <row r="118" spans="1:11" ht="15" x14ac:dyDescent="0.25">
      <c r="A118" s="3"/>
      <c r="B118" s="54" t="s">
        <v>260</v>
      </c>
      <c r="C118" s="842"/>
      <c r="D118" s="840" t="s">
        <v>354</v>
      </c>
      <c r="E118" s="842"/>
      <c r="F118" s="843" t="s">
        <v>444</v>
      </c>
      <c r="G118" s="842"/>
      <c r="H118" s="844" t="s">
        <v>520</v>
      </c>
      <c r="I118" s="842"/>
      <c r="J118" s="7"/>
      <c r="K118" s="140"/>
    </row>
    <row r="119" spans="1:11" ht="15" x14ac:dyDescent="0.25">
      <c r="A119" s="3"/>
      <c r="B119" s="54" t="s">
        <v>263</v>
      </c>
      <c r="C119" s="842"/>
      <c r="D119" s="840" t="s">
        <v>357</v>
      </c>
      <c r="E119" s="842"/>
      <c r="F119" s="843" t="s">
        <v>446</v>
      </c>
      <c r="G119" s="842"/>
      <c r="H119" s="844" t="s">
        <v>523</v>
      </c>
      <c r="I119" s="842"/>
      <c r="J119" s="7"/>
      <c r="K119" s="140"/>
    </row>
    <row r="120" spans="1:11" ht="15" x14ac:dyDescent="0.25">
      <c r="A120" s="3"/>
      <c r="B120" s="54" t="s">
        <v>266</v>
      </c>
      <c r="C120" s="842"/>
      <c r="D120" s="840" t="s">
        <v>361</v>
      </c>
      <c r="E120" s="842"/>
      <c r="F120" s="844" t="s">
        <v>448</v>
      </c>
      <c r="G120" s="842"/>
      <c r="H120" s="844" t="s">
        <v>524</v>
      </c>
      <c r="I120" s="842"/>
      <c r="J120" s="7"/>
      <c r="K120" s="140"/>
    </row>
    <row r="121" spans="1:11" ht="15" x14ac:dyDescent="0.25">
      <c r="A121" s="3"/>
      <c r="B121" s="54" t="s">
        <v>270</v>
      </c>
      <c r="C121" s="842"/>
      <c r="D121" s="840" t="s">
        <v>364</v>
      </c>
      <c r="E121" s="842"/>
      <c r="F121" s="844" t="s">
        <v>450</v>
      </c>
      <c r="G121" s="842"/>
      <c r="H121" s="840" t="s">
        <v>526</v>
      </c>
      <c r="I121" s="842"/>
      <c r="J121" s="7"/>
      <c r="K121" s="140"/>
    </row>
    <row r="122" spans="1:11" ht="15" x14ac:dyDescent="0.25">
      <c r="A122" s="3"/>
      <c r="B122" s="54" t="s">
        <v>273</v>
      </c>
      <c r="C122" s="842"/>
      <c r="D122" s="840" t="s">
        <v>367</v>
      </c>
      <c r="E122" s="842"/>
      <c r="F122" s="843" t="s">
        <v>100</v>
      </c>
      <c r="G122" s="842"/>
      <c r="H122" s="840" t="s">
        <v>527</v>
      </c>
      <c r="I122" s="842"/>
      <c r="J122" s="7"/>
      <c r="K122" s="140"/>
    </row>
    <row r="123" spans="1:11" ht="15" x14ac:dyDescent="0.25">
      <c r="A123" s="3"/>
      <c r="B123" s="54" t="s">
        <v>276</v>
      </c>
      <c r="C123" s="842"/>
      <c r="D123" s="840" t="s">
        <v>371</v>
      </c>
      <c r="E123" s="842"/>
      <c r="F123" s="843" t="s">
        <v>454</v>
      </c>
      <c r="G123" s="842"/>
      <c r="H123" s="840" t="s">
        <v>530</v>
      </c>
      <c r="I123" s="842"/>
      <c r="J123" s="7"/>
      <c r="K123" s="140"/>
    </row>
    <row r="124" spans="1:11" ht="15" x14ac:dyDescent="0.25">
      <c r="A124" s="3"/>
      <c r="B124" s="54" t="s">
        <v>280</v>
      </c>
      <c r="C124" s="842"/>
      <c r="D124" s="840" t="s">
        <v>374</v>
      </c>
      <c r="E124" s="842"/>
      <c r="F124" s="843" t="s">
        <v>456</v>
      </c>
      <c r="G124" s="842"/>
      <c r="H124" s="840" t="s">
        <v>532</v>
      </c>
      <c r="I124" s="842"/>
      <c r="J124" s="7"/>
      <c r="K124" s="140"/>
    </row>
    <row r="125" spans="1:11" ht="15" x14ac:dyDescent="0.25">
      <c r="A125" s="3"/>
      <c r="B125" s="54" t="s">
        <v>283</v>
      </c>
      <c r="C125" s="842"/>
      <c r="D125" s="840" t="s">
        <v>377</v>
      </c>
      <c r="E125" s="842"/>
      <c r="F125" s="843" t="s">
        <v>459</v>
      </c>
      <c r="G125" s="842"/>
      <c r="H125" s="840" t="s">
        <v>534</v>
      </c>
      <c r="I125" s="842"/>
      <c r="J125" s="7"/>
      <c r="K125" s="140"/>
    </row>
    <row r="126" spans="1:11" ht="15" x14ac:dyDescent="0.25">
      <c r="A126" s="3"/>
      <c r="B126" s="54" t="s">
        <v>287</v>
      </c>
      <c r="C126" s="842"/>
      <c r="D126" s="840" t="s">
        <v>380</v>
      </c>
      <c r="E126" s="842"/>
      <c r="F126" s="843" t="s">
        <v>462</v>
      </c>
      <c r="G126" s="842"/>
      <c r="H126" s="840" t="s">
        <v>536</v>
      </c>
      <c r="I126" s="842"/>
      <c r="J126" s="7"/>
      <c r="K126" s="140"/>
    </row>
    <row r="127" spans="1:11" ht="15" x14ac:dyDescent="0.25">
      <c r="A127" s="3"/>
      <c r="B127" s="54" t="s">
        <v>289</v>
      </c>
      <c r="C127" s="842"/>
      <c r="D127" s="840" t="s">
        <v>383</v>
      </c>
      <c r="E127" s="842"/>
      <c r="F127" s="843" t="s">
        <v>465</v>
      </c>
      <c r="G127" s="842"/>
      <c r="H127" s="840" t="s">
        <v>538</v>
      </c>
      <c r="I127" s="842"/>
      <c r="J127" s="7"/>
      <c r="K127" s="140"/>
    </row>
    <row r="128" spans="1:11" ht="15" x14ac:dyDescent="0.25">
      <c r="A128" s="3"/>
      <c r="B128" s="54" t="s">
        <v>292</v>
      </c>
      <c r="C128" s="842"/>
      <c r="D128" s="841" t="s">
        <v>386</v>
      </c>
      <c r="E128" s="842"/>
      <c r="F128" s="843" t="s">
        <v>468</v>
      </c>
      <c r="G128" s="842"/>
      <c r="H128" s="840" t="s">
        <v>540</v>
      </c>
      <c r="I128" s="842"/>
      <c r="J128" s="7"/>
      <c r="K128" s="140"/>
    </row>
    <row r="129" spans="1:11" ht="15" x14ac:dyDescent="0.25">
      <c r="A129" s="3"/>
      <c r="B129" s="54" t="s">
        <v>294</v>
      </c>
      <c r="C129" s="842"/>
      <c r="D129" s="840" t="s">
        <v>389</v>
      </c>
      <c r="E129" s="842"/>
      <c r="F129" s="843" t="s">
        <v>470</v>
      </c>
      <c r="G129" s="842"/>
      <c r="H129" s="840" t="s">
        <v>542</v>
      </c>
      <c r="I129" s="842"/>
      <c r="J129" s="7"/>
      <c r="K129" s="140"/>
    </row>
    <row r="130" spans="1:11" ht="15" x14ac:dyDescent="0.25">
      <c r="A130" s="3"/>
      <c r="B130" s="54" t="s">
        <v>297</v>
      </c>
      <c r="C130" s="842"/>
      <c r="D130" s="840" t="s">
        <v>392</v>
      </c>
      <c r="E130" s="842"/>
      <c r="F130" s="840" t="s">
        <v>471</v>
      </c>
      <c r="G130" s="842"/>
      <c r="H130" s="840" t="s">
        <v>544</v>
      </c>
      <c r="I130" s="842"/>
      <c r="J130" s="7"/>
      <c r="K130" s="140"/>
    </row>
    <row r="131" spans="1:11" ht="15" x14ac:dyDescent="0.25">
      <c r="A131" s="3"/>
      <c r="B131" s="54" t="s">
        <v>300</v>
      </c>
      <c r="C131" s="842"/>
      <c r="D131" s="840" t="s">
        <v>394</v>
      </c>
      <c r="E131" s="842"/>
      <c r="F131" s="840" t="s">
        <v>474</v>
      </c>
      <c r="G131" s="842"/>
      <c r="H131" s="840" t="s">
        <v>546</v>
      </c>
      <c r="I131" s="842"/>
      <c r="J131" s="7"/>
      <c r="K131" s="140"/>
    </row>
    <row r="132" spans="1:11" ht="15" x14ac:dyDescent="0.25">
      <c r="A132" s="3"/>
      <c r="B132" s="148" t="s">
        <v>303</v>
      </c>
      <c r="C132" s="842"/>
      <c r="D132" s="840" t="s">
        <v>396</v>
      </c>
      <c r="E132" s="842"/>
      <c r="F132" s="840" t="s">
        <v>477</v>
      </c>
      <c r="G132" s="842"/>
      <c r="H132" s="840" t="s">
        <v>549</v>
      </c>
      <c r="I132" s="842"/>
      <c r="J132" s="7"/>
      <c r="K132" s="140"/>
    </row>
    <row r="133" spans="1:11" ht="15" x14ac:dyDescent="0.25">
      <c r="A133" s="3"/>
      <c r="B133" s="148" t="s">
        <v>306</v>
      </c>
      <c r="C133" s="842"/>
      <c r="D133" s="840" t="s">
        <v>399</v>
      </c>
      <c r="E133" s="842"/>
      <c r="F133" s="840" t="s">
        <v>479</v>
      </c>
      <c r="G133" s="842"/>
      <c r="H133" s="840" t="s">
        <v>551</v>
      </c>
      <c r="I133" s="842"/>
      <c r="J133" s="7"/>
      <c r="K133" s="140"/>
    </row>
    <row r="134" spans="1:11" ht="15" x14ac:dyDescent="0.25">
      <c r="A134" s="3"/>
      <c r="B134" s="54" t="s">
        <v>308</v>
      </c>
      <c r="C134" s="842"/>
      <c r="D134" s="840" t="s">
        <v>400</v>
      </c>
      <c r="E134" s="842"/>
      <c r="F134" s="840" t="s">
        <v>480</v>
      </c>
      <c r="G134" s="842"/>
      <c r="H134" s="840" t="s">
        <v>554</v>
      </c>
      <c r="I134" s="842"/>
      <c r="K134" s="137"/>
    </row>
    <row r="135" spans="1:11" ht="15" x14ac:dyDescent="0.25">
      <c r="A135" s="3"/>
      <c r="B135" s="54" t="s">
        <v>311</v>
      </c>
      <c r="C135" s="842"/>
      <c r="D135" s="840" t="s">
        <v>403</v>
      </c>
      <c r="E135" s="842"/>
      <c r="F135" s="840" t="s">
        <v>481</v>
      </c>
      <c r="G135" s="842"/>
      <c r="H135" s="840" t="s">
        <v>556</v>
      </c>
      <c r="I135" s="842"/>
      <c r="J135" s="7"/>
      <c r="K135" s="140"/>
    </row>
    <row r="136" spans="1:11" ht="15" x14ac:dyDescent="0.25">
      <c r="A136" s="3"/>
      <c r="B136" s="54" t="s">
        <v>314</v>
      </c>
      <c r="C136" s="842"/>
      <c r="D136" s="840" t="s">
        <v>406</v>
      </c>
      <c r="E136" s="842"/>
      <c r="F136" s="840" t="s">
        <v>483</v>
      </c>
      <c r="G136" s="842"/>
      <c r="H136" s="840" t="s">
        <v>559</v>
      </c>
      <c r="I136" s="842"/>
      <c r="J136" s="7"/>
      <c r="K136" s="140"/>
    </row>
    <row r="137" spans="1:11" ht="15" x14ac:dyDescent="0.25">
      <c r="A137" s="3"/>
      <c r="B137" s="54" t="s">
        <v>316</v>
      </c>
      <c r="C137" s="842"/>
      <c r="D137" s="840" t="s">
        <v>408</v>
      </c>
      <c r="E137" s="842"/>
      <c r="F137" s="840" t="s">
        <v>486</v>
      </c>
      <c r="G137" s="842"/>
      <c r="H137" s="60" t="s">
        <v>951</v>
      </c>
      <c r="I137" s="131"/>
      <c r="J137" s="7"/>
      <c r="K137" s="140"/>
    </row>
    <row r="138" spans="1:11" ht="15" x14ac:dyDescent="0.25">
      <c r="A138" s="3"/>
      <c r="B138" s="54" t="s">
        <v>318</v>
      </c>
      <c r="C138" s="842"/>
      <c r="D138" s="840" t="s">
        <v>410</v>
      </c>
      <c r="E138" s="842"/>
      <c r="F138" s="840" t="s">
        <v>488</v>
      </c>
      <c r="G138" s="842"/>
      <c r="H138" s="840" t="s">
        <v>952</v>
      </c>
      <c r="I138" s="842"/>
      <c r="K138" s="137"/>
    </row>
    <row r="139" spans="1:11" ht="15" x14ac:dyDescent="0.25">
      <c r="A139" s="3"/>
      <c r="B139" s="54" t="s">
        <v>320</v>
      </c>
      <c r="C139" s="842"/>
      <c r="D139" s="840" t="s">
        <v>412</v>
      </c>
      <c r="E139" s="842"/>
      <c r="F139" s="840" t="s">
        <v>3</v>
      </c>
      <c r="G139" s="842"/>
      <c r="H139" s="840" t="s">
        <v>955</v>
      </c>
      <c r="I139" s="842"/>
      <c r="J139" s="7"/>
      <c r="K139" s="140"/>
    </row>
    <row r="140" spans="1:11" ht="15" x14ac:dyDescent="0.25">
      <c r="A140" s="3"/>
      <c r="B140" s="54" t="s">
        <v>322</v>
      </c>
      <c r="C140" s="842"/>
      <c r="D140" s="840" t="s">
        <v>415</v>
      </c>
      <c r="E140" s="842"/>
      <c r="F140" s="840" t="s">
        <v>4</v>
      </c>
      <c r="G140" s="842"/>
      <c r="H140" s="840" t="s">
        <v>953</v>
      </c>
      <c r="I140" s="842"/>
      <c r="J140" s="7"/>
      <c r="K140" s="140"/>
    </row>
    <row r="141" spans="1:11" ht="15" x14ac:dyDescent="0.25">
      <c r="A141" s="3"/>
      <c r="B141" s="54" t="s">
        <v>325</v>
      </c>
      <c r="C141" s="842"/>
      <c r="D141" s="840" t="s">
        <v>417</v>
      </c>
      <c r="E141" s="842"/>
      <c r="F141" s="840" t="s">
        <v>495</v>
      </c>
      <c r="G141" s="842"/>
      <c r="H141" s="840" t="s">
        <v>956</v>
      </c>
      <c r="I141" s="842"/>
      <c r="J141" s="7"/>
      <c r="K141" s="140"/>
    </row>
    <row r="142" spans="1:11" ht="15" x14ac:dyDescent="0.25">
      <c r="A142" s="3"/>
      <c r="B142" s="54" t="s">
        <v>328</v>
      </c>
      <c r="C142" s="842"/>
      <c r="D142" s="840" t="s">
        <v>419</v>
      </c>
      <c r="E142" s="842"/>
      <c r="F142" s="840" t="s">
        <v>497</v>
      </c>
      <c r="G142" s="842"/>
      <c r="H142" s="840" t="s">
        <v>954</v>
      </c>
      <c r="I142" s="842"/>
      <c r="J142" s="7"/>
      <c r="K142" s="140"/>
    </row>
    <row r="143" spans="1:11" ht="15" x14ac:dyDescent="0.25">
      <c r="A143" s="3"/>
      <c r="B143" s="54" t="s">
        <v>331</v>
      </c>
      <c r="C143" s="842"/>
      <c r="D143" s="840" t="s">
        <v>422</v>
      </c>
      <c r="E143" s="842"/>
      <c r="F143" s="840" t="s">
        <v>499</v>
      </c>
      <c r="G143" s="842"/>
      <c r="H143" s="840" t="s">
        <v>985</v>
      </c>
      <c r="I143" s="842"/>
      <c r="J143" s="7"/>
      <c r="K143" s="140"/>
    </row>
    <row r="144" spans="1:11" ht="15" x14ac:dyDescent="0.25">
      <c r="A144" s="3"/>
      <c r="B144" s="54" t="s">
        <v>334</v>
      </c>
      <c r="C144" s="842"/>
      <c r="D144" s="840" t="s">
        <v>424</v>
      </c>
      <c r="E144" s="842"/>
      <c r="F144" s="841" t="s">
        <v>502</v>
      </c>
      <c r="G144" s="842"/>
      <c r="H144" s="840" t="s">
        <v>982</v>
      </c>
      <c r="I144" s="842"/>
      <c r="K144" s="137"/>
    </row>
    <row r="145" spans="1:11" ht="15" x14ac:dyDescent="0.25">
      <c r="A145" s="3"/>
      <c r="B145" s="54" t="s">
        <v>101</v>
      </c>
      <c r="C145" s="842"/>
      <c r="D145" s="840" t="s">
        <v>427</v>
      </c>
      <c r="E145" s="842"/>
      <c r="F145" s="840" t="s">
        <v>505</v>
      </c>
      <c r="G145" s="842"/>
      <c r="H145" s="840" t="s">
        <v>983</v>
      </c>
      <c r="I145" s="842"/>
      <c r="J145" s="7"/>
      <c r="K145" s="140"/>
    </row>
    <row r="146" spans="1:11" ht="15" x14ac:dyDescent="0.25">
      <c r="A146" s="3"/>
      <c r="H146" s="54" t="s">
        <v>984</v>
      </c>
      <c r="I146" s="842"/>
      <c r="J146" s="7"/>
      <c r="K146" s="140"/>
    </row>
    <row r="147" spans="1:11" x14ac:dyDescent="0.2">
      <c r="A147" s="3"/>
      <c r="H147" s="7"/>
      <c r="I147" s="136"/>
      <c r="J147" s="7"/>
      <c r="K147" s="140"/>
    </row>
    <row r="148" spans="1:11" ht="15" x14ac:dyDescent="0.25">
      <c r="A148" s="3"/>
      <c r="H148" s="8" t="s">
        <v>1140</v>
      </c>
      <c r="I148" s="633">
        <f>SUM(C112:C145)+SUM(E112:E145)+SUM(G112:G145)+SUM(I112:I146)</f>
        <v>0</v>
      </c>
      <c r="J148" s="7"/>
      <c r="K148" s="140"/>
    </row>
    <row r="149" spans="1:11" ht="15" x14ac:dyDescent="0.25">
      <c r="A149" s="3"/>
      <c r="H149" s="95" t="s">
        <v>1141</v>
      </c>
      <c r="I149" s="633">
        <f>J9</f>
        <v>100</v>
      </c>
      <c r="J149" s="7" t="s">
        <v>1931</v>
      </c>
      <c r="K149" s="140"/>
    </row>
    <row r="150" spans="1:11" x14ac:dyDescent="0.2">
      <c r="A150" s="3"/>
      <c r="H150" s="1098" t="str">
        <f>+IF($H$95=0,"No data required here",+IF($H$95=2,"These numbers should match as closely as possible","No data required here"))</f>
        <v>No data required here</v>
      </c>
      <c r="I150" s="1096"/>
      <c r="J150" s="1097"/>
      <c r="K150" s="140"/>
    </row>
    <row r="151" spans="1:11" ht="15" x14ac:dyDescent="0.25">
      <c r="A151" s="3"/>
      <c r="H151" s="8" t="s">
        <v>1696</v>
      </c>
      <c r="I151" s="861">
        <f>+I148/I149</f>
        <v>0</v>
      </c>
      <c r="J151" s="7" t="s">
        <v>1697</v>
      </c>
      <c r="K151" s="140"/>
    </row>
    <row r="152" spans="1:11" x14ac:dyDescent="0.2">
      <c r="A152" s="3"/>
      <c r="D152" s="3"/>
      <c r="H152" s="1098" t="str">
        <f>+IF(OR($H$95=0,$H$95=1),"No data required here",IF(I151&lt;90%,"Continue to input more aircraft movements",IF(I151&gt;110%,"Too many movements input, reduce or review CellJ10","Acceptable. Input movements within 10% of declared")))</f>
        <v>No data required here</v>
      </c>
      <c r="I152" s="1096"/>
      <c r="J152" s="1097"/>
      <c r="K152" s="140"/>
    </row>
    <row r="153" spans="1:11" ht="15" x14ac:dyDescent="0.25">
      <c r="A153" s="7"/>
      <c r="B153" s="22" t="s">
        <v>1783</v>
      </c>
      <c r="C153" s="7"/>
      <c r="D153" s="7"/>
      <c r="F153" s="7"/>
      <c r="G153" s="7"/>
      <c r="H153" s="7"/>
      <c r="I153" s="7"/>
      <c r="J153" s="7"/>
      <c r="K153" s="140"/>
    </row>
    <row r="154" spans="1:11" ht="15" x14ac:dyDescent="0.25">
      <c r="A154" s="7"/>
      <c r="B154" s="61"/>
      <c r="C154" s="84">
        <v>26</v>
      </c>
      <c r="D154" s="7" t="s">
        <v>574</v>
      </c>
      <c r="E154" s="179" t="s">
        <v>961</v>
      </c>
      <c r="F154" s="177"/>
      <c r="G154" s="177"/>
      <c r="H154" s="177"/>
      <c r="I154" s="178"/>
      <c r="J154" s="7"/>
      <c r="K154" s="140"/>
    </row>
    <row r="155" spans="1:11" x14ac:dyDescent="0.2">
      <c r="A155" s="7"/>
      <c r="B155" s="53"/>
      <c r="C155" s="7"/>
      <c r="D155" s="7"/>
      <c r="E155" s="7"/>
      <c r="F155" s="7"/>
      <c r="G155" s="7"/>
      <c r="H155" s="7"/>
      <c r="I155" s="7"/>
      <c r="J155" s="7"/>
      <c r="K155" s="140"/>
    </row>
    <row r="156" spans="1:11" ht="15" x14ac:dyDescent="0.25">
      <c r="B156" s="22" t="s">
        <v>1782</v>
      </c>
      <c r="C156" s="7"/>
      <c r="D156" s="7"/>
      <c r="E156" s="7"/>
      <c r="F156" s="7"/>
      <c r="G156" s="7"/>
      <c r="H156" s="7"/>
      <c r="I156" s="7"/>
      <c r="J156" s="7"/>
      <c r="K156" s="140"/>
    </row>
    <row r="157" spans="1:11" ht="15" x14ac:dyDescent="0.25">
      <c r="A157" s="7"/>
      <c r="B157" s="156" t="s">
        <v>1692</v>
      </c>
      <c r="C157" s="84">
        <v>15</v>
      </c>
      <c r="D157" s="7" t="s">
        <v>602</v>
      </c>
      <c r="E157" s="170" t="s">
        <v>986</v>
      </c>
      <c r="F157" s="171"/>
      <c r="G157" s="171"/>
      <c r="H157" s="172"/>
      <c r="I157" s="7"/>
      <c r="J157" s="7"/>
      <c r="K157" s="140"/>
    </row>
    <row r="158" spans="1:11" ht="15" x14ac:dyDescent="0.25">
      <c r="A158" s="7"/>
      <c r="B158" s="156" t="s">
        <v>1691</v>
      </c>
      <c r="C158" s="84">
        <v>45</v>
      </c>
      <c r="D158" s="7" t="s">
        <v>602</v>
      </c>
      <c r="E158" s="174" t="s">
        <v>987</v>
      </c>
      <c r="F158" s="175"/>
      <c r="G158" s="175"/>
      <c r="H158" s="176"/>
      <c r="I158" s="7"/>
      <c r="J158" s="7"/>
      <c r="K158" s="140"/>
    </row>
    <row r="159" spans="1:11" x14ac:dyDescent="0.2">
      <c r="A159" s="7"/>
      <c r="B159" s="53"/>
      <c r="C159" s="7"/>
      <c r="D159" s="7"/>
      <c r="E159" s="56"/>
      <c r="F159" s="7"/>
      <c r="G159" s="7"/>
      <c r="H159" s="7"/>
      <c r="I159" s="7"/>
      <c r="J159" s="7"/>
      <c r="K159" s="140"/>
    </row>
    <row r="160" spans="1:11" ht="15" x14ac:dyDescent="0.25">
      <c r="A160" s="22"/>
      <c r="B160" s="22" t="s">
        <v>1914</v>
      </c>
      <c r="C160" s="4"/>
      <c r="D160" s="3"/>
      <c r="E160" s="56"/>
      <c r="F160" s="7"/>
      <c r="G160" s="7"/>
      <c r="H160" s="7"/>
      <c r="I160" s="7"/>
      <c r="K160" s="140"/>
    </row>
    <row r="161" spans="1:11" x14ac:dyDescent="0.2">
      <c r="A161" s="7"/>
      <c r="B161" s="1079" t="s">
        <v>23</v>
      </c>
      <c r="C161" s="1079"/>
      <c r="D161" s="701" t="s">
        <v>748</v>
      </c>
      <c r="E161" s="153" t="s">
        <v>1915</v>
      </c>
      <c r="F161" s="154"/>
      <c r="G161" s="155"/>
      <c r="I161" s="7"/>
      <c r="K161" s="140"/>
    </row>
    <row r="162" spans="1:11" ht="15" x14ac:dyDescent="0.25">
      <c r="A162" s="7"/>
      <c r="B162" s="1079" t="s">
        <v>44</v>
      </c>
      <c r="C162" s="1079"/>
      <c r="D162" s="93">
        <v>1</v>
      </c>
      <c r="E162" s="1086" t="s">
        <v>361</v>
      </c>
      <c r="F162" s="1087"/>
      <c r="G162" s="1088"/>
      <c r="I162" s="7"/>
      <c r="K162" s="140"/>
    </row>
    <row r="163" spans="1:11" ht="15" x14ac:dyDescent="0.25">
      <c r="A163" s="7"/>
      <c r="B163" s="1079" t="s">
        <v>1932</v>
      </c>
      <c r="C163" s="1079"/>
      <c r="D163" s="93"/>
      <c r="E163" s="1086" t="s">
        <v>1916</v>
      </c>
      <c r="F163" s="1087"/>
      <c r="G163" s="1088"/>
      <c r="I163" s="7"/>
      <c r="K163" s="140"/>
    </row>
    <row r="164" spans="1:11" ht="15" x14ac:dyDescent="0.25">
      <c r="A164" s="7"/>
      <c r="B164" s="1079" t="s">
        <v>1933</v>
      </c>
      <c r="C164" s="1079"/>
      <c r="D164" s="93"/>
      <c r="E164" s="1099" t="s">
        <v>1917</v>
      </c>
      <c r="F164" s="1099"/>
      <c r="G164" s="1099"/>
      <c r="I164" s="7"/>
      <c r="K164" s="140"/>
    </row>
    <row r="165" spans="1:11" ht="15" x14ac:dyDescent="0.25">
      <c r="A165" s="7"/>
      <c r="B165" s="3"/>
      <c r="C165" s="5"/>
      <c r="D165" s="3"/>
      <c r="E165" s="7"/>
      <c r="F165" s="7"/>
      <c r="G165" s="7"/>
      <c r="I165" s="185" t="s">
        <v>1067</v>
      </c>
      <c r="J165" s="186"/>
      <c r="K165" s="596"/>
    </row>
    <row r="166" spans="1:11" ht="15" x14ac:dyDescent="0.25">
      <c r="A166" s="7"/>
      <c r="B166" s="3"/>
      <c r="C166" s="5"/>
      <c r="D166" s="3"/>
      <c r="E166" s="7"/>
      <c r="F166" s="7"/>
      <c r="G166" s="7"/>
    </row>
    <row r="167" spans="1:11" ht="18" x14ac:dyDescent="0.25">
      <c r="A167" s="253" t="s">
        <v>1762</v>
      </c>
      <c r="B167" s="273"/>
      <c r="C167" s="274"/>
      <c r="D167" s="254"/>
      <c r="E167" s="254"/>
      <c r="F167" s="254"/>
      <c r="G167" s="254"/>
      <c r="H167" s="254"/>
      <c r="I167" s="254"/>
      <c r="J167" s="254"/>
      <c r="K167" s="592"/>
    </row>
    <row r="168" spans="1:11" ht="15" x14ac:dyDescent="0.25">
      <c r="A168" s="22"/>
      <c r="B168" s="3"/>
      <c r="C168" s="5"/>
      <c r="D168" s="3"/>
      <c r="G168" s="7"/>
      <c r="H168" s="7"/>
      <c r="I168" s="7"/>
      <c r="J168" s="7"/>
      <c r="K168" s="140"/>
    </row>
    <row r="169" spans="1:11" ht="15" x14ac:dyDescent="0.25">
      <c r="A169" s="22"/>
      <c r="C169" s="5"/>
      <c r="D169" s="8" t="s">
        <v>1820</v>
      </c>
      <c r="E169" s="1063" t="s">
        <v>1941</v>
      </c>
      <c r="F169" s="1064"/>
      <c r="G169" s="1065"/>
      <c r="I169" s="735" t="str">
        <f>+IF(E169&lt;"B","No.",+IF(E169&gt;"M","None","Yes."))</f>
        <v>No.</v>
      </c>
    </row>
    <row r="170" spans="1:11" ht="13.9" customHeight="1" x14ac:dyDescent="0.25">
      <c r="A170" s="22"/>
      <c r="B170" s="12"/>
      <c r="C170" s="5"/>
      <c r="D170" s="3"/>
      <c r="F170" s="170" t="s">
        <v>1060</v>
      </c>
      <c r="G170" s="171"/>
      <c r="H170" s="171"/>
      <c r="I170" s="171"/>
      <c r="J170" s="171"/>
      <c r="K170" s="599"/>
    </row>
    <row r="171" spans="1:11" ht="15" x14ac:dyDescent="0.25">
      <c r="A171" s="22"/>
      <c r="B171" s="94"/>
      <c r="D171" s="3"/>
      <c r="E171" s="7"/>
      <c r="F171" s="174" t="s">
        <v>1311</v>
      </c>
      <c r="G171" s="175"/>
      <c r="H171" s="175"/>
      <c r="I171" s="175"/>
      <c r="J171" s="175"/>
      <c r="K171" s="601"/>
    </row>
    <row r="172" spans="1:11" ht="15" x14ac:dyDescent="0.25">
      <c r="A172" s="22"/>
      <c r="B172" s="13" t="str">
        <f>IF($I$169="None","No traffic data available to input. Skip this section.",+IF($I$169="No.", "Input Approximate Ground Transport Activity Data Here", "Input Detailed Traffic Survey Data in Section Further below"))</f>
        <v>Input Approximate Ground Transport Activity Data Here</v>
      </c>
      <c r="D172" s="3"/>
      <c r="K172" s="137"/>
    </row>
    <row r="173" spans="1:11" ht="15" x14ac:dyDescent="0.25">
      <c r="A173" s="7"/>
      <c r="B173" s="7"/>
      <c r="C173" s="6"/>
      <c r="D173" s="5"/>
      <c r="E173" s="3"/>
      <c r="F173" s="179" t="s">
        <v>1163</v>
      </c>
      <c r="G173" s="177"/>
      <c r="H173" s="177"/>
      <c r="I173" s="177"/>
      <c r="J173" s="178"/>
      <c r="K173" s="607"/>
    </row>
    <row r="174" spans="1:11" ht="15" x14ac:dyDescent="0.25">
      <c r="A174" s="7"/>
      <c r="B174" s="7"/>
      <c r="C174" s="6"/>
      <c r="D174" s="5"/>
      <c r="E174" s="3"/>
      <c r="F174" s="179" t="s">
        <v>1312</v>
      </c>
      <c r="G174" s="177"/>
      <c r="H174" s="177"/>
      <c r="I174" s="177"/>
      <c r="J174" s="178"/>
      <c r="K174" s="607"/>
    </row>
    <row r="175" spans="1:11" ht="15" x14ac:dyDescent="0.25">
      <c r="A175" s="7"/>
      <c r="B175" s="6" t="s">
        <v>1784</v>
      </c>
      <c r="D175" s="10"/>
      <c r="G175" s="182">
        <v>30</v>
      </c>
      <c r="H175" s="6" t="s">
        <v>803</v>
      </c>
    </row>
    <row r="176" spans="1:11" x14ac:dyDescent="0.2">
      <c r="A176" s="7"/>
      <c r="B176" s="3"/>
      <c r="C176" s="170" t="s">
        <v>1151</v>
      </c>
      <c r="D176" s="171"/>
      <c r="E176" s="171"/>
      <c r="F176" s="171"/>
      <c r="G176" s="172"/>
      <c r="H176" s="7"/>
      <c r="I176" s="7"/>
      <c r="J176" s="8"/>
      <c r="K176" s="608"/>
    </row>
    <row r="177" spans="1:11" ht="15" x14ac:dyDescent="0.25">
      <c r="A177" s="7"/>
      <c r="B177" s="3"/>
      <c r="C177" s="213" t="s">
        <v>1152</v>
      </c>
      <c r="D177" s="183"/>
      <c r="E177" s="175"/>
      <c r="F177" s="175"/>
      <c r="G177" s="173"/>
      <c r="H177" s="7"/>
      <c r="I177" s="7"/>
      <c r="J177" s="8"/>
      <c r="K177" s="279"/>
    </row>
    <row r="178" spans="1:11" x14ac:dyDescent="0.2">
      <c r="A178" s="7"/>
      <c r="B178" s="3"/>
      <c r="C178" s="6" t="s">
        <v>1417</v>
      </c>
      <c r="D178" s="3"/>
      <c r="E178" s="3"/>
      <c r="F178" s="3"/>
      <c r="G178" s="1095" t="s">
        <v>1422</v>
      </c>
      <c r="H178" s="1095"/>
      <c r="I178" s="1095"/>
      <c r="J178" s="8"/>
      <c r="K178" s="279"/>
    </row>
    <row r="179" spans="1:11" ht="15" x14ac:dyDescent="0.25">
      <c r="A179" s="7"/>
      <c r="B179" s="3"/>
      <c r="C179" s="43"/>
      <c r="D179" s="44"/>
      <c r="E179" s="7"/>
      <c r="F179" s="7"/>
      <c r="G179" s="7"/>
      <c r="H179" s="7"/>
      <c r="I179" s="7"/>
      <c r="K179" s="140"/>
    </row>
    <row r="180" spans="1:11" ht="15" x14ac:dyDescent="0.25">
      <c r="A180" s="7"/>
      <c r="B180" s="12" t="s">
        <v>1787</v>
      </c>
      <c r="C180" s="43"/>
      <c r="D180" s="44"/>
      <c r="E180" s="7"/>
    </row>
    <row r="181" spans="1:11" ht="15" x14ac:dyDescent="0.25">
      <c r="A181" s="7"/>
      <c r="B181" s="718" t="s">
        <v>1785</v>
      </c>
      <c r="C181" s="12"/>
      <c r="E181" s="132">
        <v>0.3</v>
      </c>
      <c r="F181" s="179" t="s">
        <v>1166</v>
      </c>
      <c r="G181" s="177"/>
      <c r="H181" s="177"/>
      <c r="I181" s="178"/>
      <c r="K181" s="140"/>
    </row>
    <row r="182" spans="1:11" ht="15" x14ac:dyDescent="0.25">
      <c r="A182" s="7"/>
      <c r="B182" s="6" t="s">
        <v>1786</v>
      </c>
      <c r="C182" s="7"/>
      <c r="D182" s="7"/>
      <c r="E182" s="132">
        <v>0.2</v>
      </c>
      <c r="F182" s="169" t="s">
        <v>1525</v>
      </c>
      <c r="G182" s="169"/>
      <c r="H182" s="169"/>
      <c r="I182" s="169"/>
      <c r="K182" s="140"/>
    </row>
    <row r="183" spans="1:11" x14ac:dyDescent="0.2">
      <c r="A183" s="7"/>
      <c r="B183" s="3"/>
      <c r="C183" s="7"/>
      <c r="E183" s="719"/>
      <c r="F183" s="169" t="s">
        <v>1790</v>
      </c>
      <c r="G183" s="169"/>
      <c r="H183" s="169"/>
      <c r="I183" s="7"/>
      <c r="K183" s="140"/>
    </row>
    <row r="184" spans="1:11" ht="15" x14ac:dyDescent="0.25">
      <c r="A184" s="7"/>
      <c r="B184" s="3"/>
      <c r="C184" s="43"/>
      <c r="D184" s="44"/>
      <c r="E184" s="7"/>
      <c r="F184" s="7"/>
      <c r="G184" s="7"/>
      <c r="H184" s="7"/>
      <c r="I184" s="7"/>
      <c r="J184" s="7"/>
      <c r="K184" s="140"/>
    </row>
    <row r="185" spans="1:11" ht="15" x14ac:dyDescent="0.25">
      <c r="B185" s="12" t="s">
        <v>1788</v>
      </c>
      <c r="G185" s="46"/>
      <c r="H185" s="7"/>
      <c r="I185" s="7"/>
      <c r="K185" s="7"/>
    </row>
    <row r="186" spans="1:11" ht="15" x14ac:dyDescent="0.25">
      <c r="B186" s="6" t="s">
        <v>150</v>
      </c>
      <c r="C186" s="3"/>
      <c r="D186" s="5"/>
      <c r="E186" s="694">
        <v>100</v>
      </c>
      <c r="H186" s="40"/>
      <c r="I186" s="7"/>
      <c r="J186" s="7"/>
      <c r="K186" s="7"/>
    </row>
    <row r="187" spans="1:11" ht="15" x14ac:dyDescent="0.25">
      <c r="B187" s="6" t="s">
        <v>198</v>
      </c>
      <c r="E187" s="694">
        <v>1000</v>
      </c>
      <c r="G187" s="40"/>
      <c r="H187" s="7"/>
      <c r="I187" s="7"/>
      <c r="J187" s="7"/>
      <c r="K187" s="7"/>
    </row>
    <row r="188" spans="1:11" x14ac:dyDescent="0.2">
      <c r="B188" s="6"/>
      <c r="G188" s="40"/>
      <c r="H188" s="7"/>
      <c r="I188" s="7"/>
      <c r="J188" s="7"/>
      <c r="K188" s="7"/>
    </row>
    <row r="189" spans="1:11" ht="15" x14ac:dyDescent="0.25">
      <c r="B189" s="22" t="s">
        <v>1821</v>
      </c>
      <c r="E189" s="95"/>
      <c r="G189" s="40"/>
      <c r="H189" s="7"/>
      <c r="I189" s="7"/>
      <c r="J189" s="7"/>
      <c r="K189" s="7"/>
    </row>
    <row r="190" spans="1:11" ht="15" x14ac:dyDescent="0.25">
      <c r="D190" s="8" t="s">
        <v>199</v>
      </c>
      <c r="E190" s="132">
        <v>1</v>
      </c>
      <c r="F190" s="135" t="s">
        <v>979</v>
      </c>
      <c r="G190" s="8"/>
      <c r="H190" s="44"/>
      <c r="I190" s="7"/>
      <c r="J190" s="7"/>
      <c r="K190" s="7"/>
    </row>
    <row r="191" spans="1:11" ht="15" x14ac:dyDescent="0.25">
      <c r="B191" s="7"/>
      <c r="D191" s="8" t="s">
        <v>1678</v>
      </c>
      <c r="E191" s="132">
        <v>0</v>
      </c>
      <c r="F191" s="135" t="s">
        <v>973</v>
      </c>
      <c r="G191" s="8"/>
      <c r="H191" s="44"/>
      <c r="I191" s="7"/>
      <c r="J191" s="7"/>
      <c r="K191" s="7"/>
    </row>
    <row r="192" spans="1:11" ht="15" x14ac:dyDescent="0.25">
      <c r="B192" s="7"/>
      <c r="D192" s="8" t="s">
        <v>817</v>
      </c>
      <c r="E192" s="132">
        <v>0</v>
      </c>
      <c r="G192" s="8"/>
      <c r="H192" s="44"/>
      <c r="I192" s="7"/>
      <c r="J192" s="7"/>
      <c r="K192" s="7"/>
    </row>
    <row r="193" spans="2:11" ht="15" x14ac:dyDescent="0.25">
      <c r="B193" s="7"/>
      <c r="D193" s="8" t="s">
        <v>1077</v>
      </c>
      <c r="E193" s="132">
        <v>0</v>
      </c>
      <c r="F193" s="1" t="s">
        <v>1315</v>
      </c>
      <c r="G193" s="8"/>
      <c r="H193" s="44"/>
      <c r="I193" s="7"/>
      <c r="J193" s="7"/>
      <c r="K193" s="7"/>
    </row>
    <row r="194" spans="2:11" ht="15" x14ac:dyDescent="0.25">
      <c r="B194" s="7"/>
      <c r="C194" s="5"/>
      <c r="D194" s="3"/>
      <c r="E194" s="232">
        <f>+SUM(E190:E193)</f>
        <v>1</v>
      </c>
      <c r="F194" s="150" t="str">
        <f>IF(E194&gt;1, "&gt; 100%, revise!", IF(E194&lt;1, "&lt; 100%, revise!", "Total % is OK."))</f>
        <v>Total % is OK.</v>
      </c>
      <c r="G194" s="1086" t="s">
        <v>1791</v>
      </c>
      <c r="H194" s="1087"/>
      <c r="I194" s="1087"/>
      <c r="J194" s="1088"/>
    </row>
    <row r="195" spans="2:11" ht="15" x14ac:dyDescent="0.25">
      <c r="B195" s="22" t="s">
        <v>1789</v>
      </c>
      <c r="C195" s="5"/>
      <c r="D195" s="3"/>
      <c r="E195" s="3"/>
      <c r="F195" s="3"/>
    </row>
    <row r="196" spans="2:11" ht="15" x14ac:dyDescent="0.25">
      <c r="B196" s="6" t="s">
        <v>1316</v>
      </c>
      <c r="C196" s="7"/>
      <c r="E196" s="1034">
        <v>20</v>
      </c>
      <c r="F196" s="1086" t="s">
        <v>1833</v>
      </c>
      <c r="G196" s="1087"/>
      <c r="H196" s="1087"/>
      <c r="I196" s="1087"/>
      <c r="J196" s="1088"/>
      <c r="K196" s="7"/>
    </row>
    <row r="197" spans="2:11" ht="15" x14ac:dyDescent="0.25">
      <c r="B197" s="6" t="s">
        <v>1478</v>
      </c>
      <c r="E197" s="1035">
        <v>2</v>
      </c>
      <c r="F197" s="197" t="s">
        <v>1525</v>
      </c>
      <c r="G197" s="197"/>
      <c r="H197" s="197"/>
      <c r="I197" s="197"/>
      <c r="J197" s="7"/>
      <c r="K197" s="7"/>
    </row>
    <row r="198" spans="2:11" x14ac:dyDescent="0.2">
      <c r="B198" s="6"/>
      <c r="G198" s="7"/>
      <c r="H198" s="40"/>
      <c r="I198" s="7"/>
      <c r="J198" s="7"/>
      <c r="K198" s="7"/>
    </row>
    <row r="199" spans="2:11" ht="15" x14ac:dyDescent="0.25">
      <c r="B199" s="42" t="s">
        <v>1832</v>
      </c>
      <c r="G199" s="7"/>
      <c r="H199" s="40"/>
      <c r="I199" s="7"/>
      <c r="J199" s="7"/>
      <c r="K199" s="7"/>
    </row>
    <row r="200" spans="2:11" x14ac:dyDescent="0.2">
      <c r="B200" s="7"/>
      <c r="D200" s="3"/>
      <c r="E200" s="3" t="s">
        <v>902</v>
      </c>
      <c r="F200" s="718" t="s">
        <v>1679</v>
      </c>
      <c r="H200" s="40"/>
      <c r="I200" s="7"/>
      <c r="J200" s="7"/>
      <c r="K200" s="7"/>
    </row>
    <row r="201" spans="2:11" ht="15" x14ac:dyDescent="0.25">
      <c r="B201" s="7"/>
      <c r="C201" s="42"/>
      <c r="D201" s="43" t="s">
        <v>200</v>
      </c>
      <c r="E201" s="25">
        <v>0.9</v>
      </c>
      <c r="F201" s="25">
        <v>0.2</v>
      </c>
      <c r="H201" s="40"/>
      <c r="I201" s="7"/>
      <c r="J201" s="7"/>
      <c r="K201" s="7"/>
    </row>
    <row r="202" spans="2:11" ht="15" x14ac:dyDescent="0.25">
      <c r="B202" s="7"/>
      <c r="D202" s="43" t="s">
        <v>201</v>
      </c>
      <c r="E202" s="25">
        <v>0.1</v>
      </c>
      <c r="F202" s="25">
        <v>0.8</v>
      </c>
      <c r="H202" s="40"/>
      <c r="I202" s="7"/>
      <c r="J202" s="7"/>
      <c r="K202" s="7"/>
    </row>
    <row r="203" spans="2:11" ht="15" x14ac:dyDescent="0.25">
      <c r="B203" s="7"/>
      <c r="D203" s="43" t="s">
        <v>202</v>
      </c>
      <c r="E203" s="25">
        <v>0</v>
      </c>
      <c r="F203" s="25">
        <v>0</v>
      </c>
      <c r="H203" s="7"/>
      <c r="I203" s="7"/>
      <c r="J203" s="7"/>
      <c r="K203" s="7"/>
    </row>
    <row r="204" spans="2:11" ht="15" x14ac:dyDescent="0.25">
      <c r="B204" s="7"/>
      <c r="D204" s="43" t="s">
        <v>1036</v>
      </c>
      <c r="E204" s="25">
        <v>0</v>
      </c>
      <c r="F204" s="25">
        <v>0</v>
      </c>
      <c r="H204" s="7"/>
      <c r="I204" s="7"/>
      <c r="J204" s="7"/>
      <c r="K204" s="7"/>
    </row>
    <row r="205" spans="2:11" ht="15" x14ac:dyDescent="0.25">
      <c r="B205" s="7"/>
      <c r="D205" s="43" t="s">
        <v>1038</v>
      </c>
      <c r="E205" s="25">
        <v>0</v>
      </c>
      <c r="F205" s="25">
        <v>0</v>
      </c>
      <c r="H205" s="7"/>
      <c r="I205" s="7"/>
      <c r="J205" s="7"/>
      <c r="K205" s="7"/>
    </row>
    <row r="206" spans="2:11" x14ac:dyDescent="0.2">
      <c r="B206" s="7"/>
      <c r="D206" s="3"/>
      <c r="E206" s="232">
        <f>+SUM(E201:E205)</f>
        <v>1</v>
      </c>
      <c r="F206" s="232">
        <f>+SUM(F201:F205)</f>
        <v>1</v>
      </c>
      <c r="K206" s="7"/>
    </row>
    <row r="207" spans="2:11" ht="15" x14ac:dyDescent="0.25">
      <c r="B207" s="7"/>
      <c r="C207" s="5"/>
      <c r="D207" s="3"/>
      <c r="E207" s="150" t="str">
        <f>IF(E206&gt;1, "&gt; 100%, revise!", IF(E206&lt;1, "&lt; 100%, revise!", "Total % is OK."))</f>
        <v>Total % is OK.</v>
      </c>
      <c r="F207" s="150" t="str">
        <f>IF(F206&gt;1, "&gt; 100%, revise!", IF(F206&lt;1, "&lt; 100%, revise!", "Total % is OK."))</f>
        <v>Total % is OK.</v>
      </c>
      <c r="H207" s="7"/>
      <c r="I207" s="185" t="s">
        <v>1067</v>
      </c>
      <c r="J207" s="186"/>
      <c r="K207" s="187"/>
    </row>
    <row r="208" spans="2:11" x14ac:dyDescent="0.2">
      <c r="B208" s="7"/>
      <c r="D208" s="43"/>
      <c r="G208" s="7"/>
    </row>
    <row r="209" spans="1:11" ht="15" x14ac:dyDescent="0.25">
      <c r="A209" s="7"/>
      <c r="B209" s="22" t="s">
        <v>1792</v>
      </c>
      <c r="C209" s="1" t="s">
        <v>1836</v>
      </c>
      <c r="D209" s="8"/>
      <c r="E209" s="3"/>
      <c r="G209" s="8"/>
      <c r="H209" s="10"/>
      <c r="I209" s="7"/>
      <c r="J209" s="7"/>
      <c r="K209" s="140"/>
    </row>
    <row r="210" spans="1:11" ht="42.75" x14ac:dyDescent="0.2">
      <c r="A210" s="7"/>
      <c r="B210" s="7"/>
      <c r="C210" s="1093" t="s">
        <v>613</v>
      </c>
      <c r="D210" s="1094"/>
      <c r="E210" s="1089" t="s">
        <v>1837</v>
      </c>
      <c r="F210" s="1090"/>
      <c r="G210" s="702" t="s">
        <v>1664</v>
      </c>
      <c r="H210" s="702" t="s">
        <v>1076</v>
      </c>
      <c r="K210" s="140"/>
    </row>
    <row r="211" spans="1:11" ht="15" x14ac:dyDescent="0.25">
      <c r="A211" s="7"/>
      <c r="B211" s="7"/>
      <c r="C211" s="1093" t="s">
        <v>996</v>
      </c>
      <c r="D211" s="1094"/>
      <c r="E211" s="1091">
        <v>1</v>
      </c>
      <c r="F211" s="1092"/>
      <c r="G211" s="158">
        <v>5</v>
      </c>
      <c r="H211" s="1031">
        <v>365</v>
      </c>
      <c r="K211" s="140"/>
    </row>
    <row r="212" spans="1:11" ht="15" x14ac:dyDescent="0.25">
      <c r="A212" s="7"/>
      <c r="B212" s="7"/>
      <c r="C212" s="1093" t="s">
        <v>995</v>
      </c>
      <c r="D212" s="1094"/>
      <c r="E212" s="1091">
        <v>1</v>
      </c>
      <c r="F212" s="1092"/>
      <c r="G212" s="1031">
        <v>30</v>
      </c>
      <c r="H212" s="1031">
        <v>365</v>
      </c>
      <c r="K212" s="140"/>
    </row>
    <row r="213" spans="1:11" x14ac:dyDescent="0.2">
      <c r="A213" s="7"/>
      <c r="B213" s="7"/>
      <c r="C213" s="6"/>
      <c r="D213" s="179" t="s">
        <v>1526</v>
      </c>
      <c r="E213" s="179"/>
      <c r="F213" s="179"/>
      <c r="G213" s="179"/>
      <c r="H213" s="169"/>
      <c r="J213" s="7"/>
      <c r="K213" s="140"/>
    </row>
    <row r="214" spans="1:11" x14ac:dyDescent="0.2">
      <c r="A214" s="7"/>
      <c r="B214" s="7"/>
      <c r="C214" s="6"/>
      <c r="D214" s="179" t="s">
        <v>1527</v>
      </c>
      <c r="E214" s="179"/>
      <c r="F214" s="179"/>
      <c r="G214" s="179"/>
      <c r="H214" s="169"/>
      <c r="J214" s="7"/>
      <c r="K214" s="140"/>
    </row>
    <row r="215" spans="1:11" ht="15" x14ac:dyDescent="0.25">
      <c r="A215" s="7"/>
      <c r="B215" s="7"/>
      <c r="D215" s="6"/>
      <c r="E215" s="5"/>
      <c r="F215" s="3"/>
      <c r="G215" s="46"/>
      <c r="H215" s="10"/>
      <c r="I215" s="7"/>
      <c r="J215" s="7"/>
      <c r="K215" s="140"/>
    </row>
    <row r="216" spans="1:11" ht="15" x14ac:dyDescent="0.25">
      <c r="A216" s="7"/>
      <c r="B216" s="7"/>
      <c r="C216" s="1" t="s">
        <v>1794</v>
      </c>
      <c r="D216" s="42"/>
      <c r="E216" s="3"/>
      <c r="F216" s="7"/>
      <c r="G216" s="46"/>
      <c r="H216" s="7"/>
      <c r="I216" s="7"/>
      <c r="J216" s="7"/>
      <c r="K216" s="140"/>
    </row>
    <row r="217" spans="1:11" ht="15" x14ac:dyDescent="0.25">
      <c r="A217" s="7"/>
      <c r="B217" s="7"/>
      <c r="D217" s="3"/>
      <c r="E217" s="7" t="s">
        <v>1522</v>
      </c>
      <c r="F217" s="46"/>
      <c r="G217" s="3" t="s">
        <v>1523</v>
      </c>
      <c r="I217" s="7"/>
      <c r="J217" s="7"/>
      <c r="K217" s="140"/>
    </row>
    <row r="218" spans="1:11" ht="15" x14ac:dyDescent="0.25">
      <c r="A218" s="7"/>
      <c r="B218" s="7"/>
      <c r="D218" s="43" t="s">
        <v>200</v>
      </c>
      <c r="E218" s="25">
        <v>0.5</v>
      </c>
      <c r="F218" s="46"/>
      <c r="G218" s="25">
        <v>0.2</v>
      </c>
      <c r="I218" s="46"/>
      <c r="J218" s="7"/>
      <c r="K218" s="140"/>
    </row>
    <row r="219" spans="1:11" ht="15" x14ac:dyDescent="0.25">
      <c r="A219" s="7"/>
      <c r="B219" s="7"/>
      <c r="D219" s="43" t="s">
        <v>201</v>
      </c>
      <c r="E219" s="25">
        <v>0.5</v>
      </c>
      <c r="F219" s="46"/>
      <c r="G219" s="25">
        <v>0.8</v>
      </c>
      <c r="I219" s="46"/>
      <c r="J219" s="7"/>
      <c r="K219" s="140"/>
    </row>
    <row r="220" spans="1:11" ht="15" x14ac:dyDescent="0.25">
      <c r="A220" s="7"/>
      <c r="B220" s="7"/>
      <c r="D220" s="43" t="s">
        <v>202</v>
      </c>
      <c r="E220" s="25">
        <v>0</v>
      </c>
      <c r="F220" s="46"/>
      <c r="G220" s="25">
        <v>0</v>
      </c>
      <c r="I220" s="46"/>
      <c r="J220" s="7"/>
      <c r="K220" s="140"/>
    </row>
    <row r="221" spans="1:11" ht="15" x14ac:dyDescent="0.25">
      <c r="A221" s="7"/>
      <c r="B221" s="7"/>
      <c r="D221" s="43" t="s">
        <v>1313</v>
      </c>
      <c r="E221" s="25">
        <v>0</v>
      </c>
      <c r="F221" s="46"/>
      <c r="G221" s="25">
        <v>0</v>
      </c>
      <c r="I221" s="46"/>
      <c r="J221" s="7"/>
      <c r="K221" s="140"/>
    </row>
    <row r="222" spans="1:11" x14ac:dyDescent="0.2">
      <c r="A222" s="7"/>
      <c r="B222" s="7"/>
      <c r="D222" s="3"/>
      <c r="E222" s="233">
        <f>+SUM(E218:E221)</f>
        <v>1</v>
      </c>
      <c r="G222" s="233">
        <f>+SUM(G218:G221)</f>
        <v>1</v>
      </c>
      <c r="H222" s="1086" t="s">
        <v>1791</v>
      </c>
      <c r="I222" s="1087"/>
      <c r="J222" s="1087"/>
      <c r="K222" s="1088"/>
    </row>
    <row r="223" spans="1:11" ht="15" x14ac:dyDescent="0.25">
      <c r="A223" s="7"/>
      <c r="B223" s="7"/>
      <c r="D223" s="3"/>
      <c r="E223" s="150" t="str">
        <f>IF(E222&gt;1, "&gt; 100%, revise!", IF(E222&lt;1, "&lt; 100%, revise!", "Total % is OK."))</f>
        <v>Total % is OK.</v>
      </c>
      <c r="F223" s="757"/>
      <c r="G223" s="150" t="str">
        <f>IF(G222&gt;1, "&gt; 100%, revise!", IF(G222&lt;1, "&lt; 100%, revise!", "Total % is OK."))</f>
        <v>Total % is OK.</v>
      </c>
      <c r="K223" s="137"/>
    </row>
    <row r="224" spans="1:11" ht="15" x14ac:dyDescent="0.25">
      <c r="A224" s="7"/>
      <c r="B224" s="22" t="s">
        <v>1793</v>
      </c>
      <c r="D224" s="8"/>
      <c r="E224" s="3"/>
      <c r="F224" s="3"/>
      <c r="K224" s="137"/>
    </row>
    <row r="225" spans="1:11" ht="27" customHeight="1" x14ac:dyDescent="0.2">
      <c r="A225" s="7"/>
      <c r="B225" s="7"/>
      <c r="C225" s="1093" t="s">
        <v>647</v>
      </c>
      <c r="D225" s="1094"/>
      <c r="E225" s="1089" t="s">
        <v>1837</v>
      </c>
      <c r="F225" s="1090"/>
      <c r="G225" s="702" t="s">
        <v>1496</v>
      </c>
      <c r="H225" s="702" t="s">
        <v>1494</v>
      </c>
      <c r="I225" s="701" t="s">
        <v>615</v>
      </c>
      <c r="J225" s="707" t="s">
        <v>1795</v>
      </c>
      <c r="K225" s="137"/>
    </row>
    <row r="226" spans="1:11" ht="15" customHeight="1" x14ac:dyDescent="0.25">
      <c r="A226" s="7"/>
      <c r="B226" s="7"/>
      <c r="C226" s="1089" t="s">
        <v>998</v>
      </c>
      <c r="D226" s="1090"/>
      <c r="E226" s="1091">
        <v>1</v>
      </c>
      <c r="F226" s="1092"/>
      <c r="G226" s="1031">
        <v>5</v>
      </c>
      <c r="H226" s="1031">
        <v>60</v>
      </c>
      <c r="I226" s="1031">
        <v>365</v>
      </c>
      <c r="J226" s="25">
        <v>1</v>
      </c>
      <c r="K226" s="137"/>
    </row>
    <row r="227" spans="1:11" ht="15" x14ac:dyDescent="0.25">
      <c r="A227" s="7"/>
      <c r="B227" s="7"/>
      <c r="C227" s="1093" t="s">
        <v>999</v>
      </c>
      <c r="D227" s="1094"/>
      <c r="E227" s="1091">
        <v>1</v>
      </c>
      <c r="F227" s="1092"/>
      <c r="G227" s="1031">
        <v>5</v>
      </c>
      <c r="H227" s="1031">
        <v>45</v>
      </c>
      <c r="I227" s="1031">
        <v>365</v>
      </c>
      <c r="J227" s="25">
        <v>1</v>
      </c>
      <c r="K227" s="137"/>
    </row>
    <row r="228" spans="1:11" ht="15" x14ac:dyDescent="0.25">
      <c r="A228" s="7"/>
      <c r="B228" s="7"/>
      <c r="C228" s="6" t="s">
        <v>1428</v>
      </c>
      <c r="D228" s="3"/>
      <c r="E228" s="3"/>
      <c r="F228" s="3"/>
      <c r="G228" s="1083" t="s">
        <v>1533</v>
      </c>
      <c r="H228" s="1084"/>
      <c r="I228" s="1084"/>
      <c r="J228" s="1085"/>
    </row>
    <row r="229" spans="1:11" x14ac:dyDescent="0.2">
      <c r="A229" s="7"/>
      <c r="B229" s="3"/>
      <c r="E229" s="179" t="s">
        <v>1539</v>
      </c>
      <c r="F229" s="179"/>
      <c r="G229" s="179"/>
      <c r="H229" s="179"/>
      <c r="I229" s="169"/>
      <c r="J229" s="8"/>
      <c r="K229" s="8"/>
    </row>
    <row r="230" spans="1:11" x14ac:dyDescent="0.2">
      <c r="A230" s="7"/>
      <c r="B230" s="3"/>
      <c r="E230" s="179" t="s">
        <v>1538</v>
      </c>
      <c r="F230" s="179"/>
      <c r="G230" s="179"/>
      <c r="H230" s="179"/>
      <c r="I230" s="169"/>
      <c r="J230" s="8"/>
      <c r="K230" s="8"/>
    </row>
    <row r="231" spans="1:11" ht="15" x14ac:dyDescent="0.25">
      <c r="A231" s="7"/>
      <c r="B231" s="7"/>
      <c r="D231" s="43"/>
      <c r="F231" s="7"/>
      <c r="G231" s="46"/>
    </row>
    <row r="232" spans="1:11" ht="15" x14ac:dyDescent="0.25">
      <c r="A232" s="12"/>
      <c r="B232" s="13" t="str">
        <f>IF($I$169="None","No traffic data available to input. Skip this section.",+IF($I$169="No.", "Input Approximate Ground Transport Activity Data in section above", "Input Detailed Traffic Survey Data here"))</f>
        <v>Input Approximate Ground Transport Activity Data in section above</v>
      </c>
      <c r="C232" s="13"/>
      <c r="D232" s="3"/>
      <c r="F232" s="10"/>
      <c r="G232" s="7"/>
      <c r="H232" s="7"/>
      <c r="I232" s="185" t="s">
        <v>1067</v>
      </c>
      <c r="J232" s="186"/>
      <c r="K232" s="187"/>
    </row>
    <row r="233" spans="1:11" ht="15" x14ac:dyDescent="0.25">
      <c r="A233" s="7"/>
      <c r="B233" s="12"/>
      <c r="C233" s="10"/>
      <c r="D233" s="3"/>
      <c r="E233" s="8"/>
      <c r="F233" s="10"/>
      <c r="G233" s="7"/>
      <c r="H233" s="7"/>
      <c r="I233" s="7"/>
      <c r="J233" s="7"/>
      <c r="K233" s="7"/>
    </row>
    <row r="234" spans="1:11" ht="57" x14ac:dyDescent="0.2">
      <c r="A234" s="7"/>
      <c r="B234" s="7"/>
      <c r="C234" s="701" t="s">
        <v>805</v>
      </c>
      <c r="D234" s="1079" t="s">
        <v>102</v>
      </c>
      <c r="E234" s="1079"/>
      <c r="F234" s="26" t="s">
        <v>1117</v>
      </c>
      <c r="G234" s="701" t="s">
        <v>11</v>
      </c>
      <c r="H234" s="7"/>
      <c r="J234" s="7"/>
      <c r="K234" s="7"/>
    </row>
    <row r="235" spans="1:11" ht="14.45" customHeight="1" x14ac:dyDescent="0.25">
      <c r="A235" s="7"/>
      <c r="B235" s="7"/>
      <c r="C235" s="1080" t="s">
        <v>841</v>
      </c>
      <c r="D235" s="1079" t="s">
        <v>204</v>
      </c>
      <c r="E235" s="1079"/>
      <c r="F235" s="27"/>
      <c r="G235" s="701" t="s">
        <v>803</v>
      </c>
      <c r="H235" s="7"/>
      <c r="J235" s="7"/>
      <c r="K235" s="7"/>
    </row>
    <row r="236" spans="1:11" ht="15" x14ac:dyDescent="0.25">
      <c r="A236" s="7"/>
      <c r="B236" s="7"/>
      <c r="C236" s="1081"/>
      <c r="D236" s="1079" t="s">
        <v>1118</v>
      </c>
      <c r="E236" s="1079"/>
      <c r="F236" s="27"/>
      <c r="G236" s="701" t="s">
        <v>803</v>
      </c>
      <c r="H236" s="7"/>
      <c r="J236" s="7"/>
      <c r="K236" s="7"/>
    </row>
    <row r="237" spans="1:11" ht="15" x14ac:dyDescent="0.25">
      <c r="A237" s="7"/>
      <c r="B237" s="7"/>
      <c r="C237" s="1082"/>
      <c r="D237" s="1079" t="s">
        <v>834</v>
      </c>
      <c r="E237" s="1079"/>
      <c r="F237" s="27"/>
      <c r="G237" s="701" t="s">
        <v>803</v>
      </c>
      <c r="H237" s="7"/>
      <c r="J237" s="7"/>
      <c r="K237" s="7"/>
    </row>
    <row r="238" spans="1:11" ht="14.45" customHeight="1" x14ac:dyDescent="0.25">
      <c r="A238" s="7"/>
      <c r="B238" s="7"/>
      <c r="C238" s="1080" t="s">
        <v>842</v>
      </c>
      <c r="D238" s="1079" t="s">
        <v>204</v>
      </c>
      <c r="E238" s="1079"/>
      <c r="F238" s="27"/>
      <c r="G238" s="701" t="s">
        <v>803</v>
      </c>
      <c r="H238" s="7"/>
      <c r="J238" s="7"/>
      <c r="K238" s="7"/>
    </row>
    <row r="239" spans="1:11" ht="15" x14ac:dyDescent="0.25">
      <c r="A239" s="7"/>
      <c r="B239" s="7"/>
      <c r="C239" s="1081"/>
      <c r="D239" s="1079" t="s">
        <v>1118</v>
      </c>
      <c r="E239" s="1079"/>
      <c r="F239" s="27"/>
      <c r="G239" s="701" t="s">
        <v>803</v>
      </c>
      <c r="H239" s="7"/>
      <c r="J239" s="7"/>
      <c r="K239" s="7"/>
    </row>
    <row r="240" spans="1:11" ht="15" x14ac:dyDescent="0.25">
      <c r="A240" s="7"/>
      <c r="B240" s="7"/>
      <c r="C240" s="1082"/>
      <c r="D240" s="1079" t="s">
        <v>834</v>
      </c>
      <c r="E240" s="1079"/>
      <c r="F240" s="27"/>
      <c r="G240" s="701" t="s">
        <v>803</v>
      </c>
      <c r="H240" s="7"/>
      <c r="J240" s="7"/>
      <c r="K240" s="7"/>
    </row>
    <row r="241" spans="1:11" ht="15" x14ac:dyDescent="0.25">
      <c r="A241" s="7"/>
      <c r="B241" s="7"/>
      <c r="C241" s="1080" t="s">
        <v>628</v>
      </c>
      <c r="D241" s="1079" t="s">
        <v>204</v>
      </c>
      <c r="E241" s="1079"/>
      <c r="F241" s="27"/>
      <c r="G241" s="701" t="s">
        <v>803</v>
      </c>
      <c r="H241" s="7"/>
      <c r="J241" s="7"/>
      <c r="K241" s="7"/>
    </row>
    <row r="242" spans="1:11" ht="15" x14ac:dyDescent="0.25">
      <c r="A242" s="7"/>
      <c r="B242" s="7"/>
      <c r="C242" s="1081"/>
      <c r="D242" s="1079" t="s">
        <v>802</v>
      </c>
      <c r="E242" s="1079"/>
      <c r="F242" s="27"/>
      <c r="G242" s="701" t="s">
        <v>803</v>
      </c>
      <c r="H242" s="7"/>
      <c r="I242" s="7"/>
      <c r="J242" s="7"/>
      <c r="K242" s="7"/>
    </row>
    <row r="243" spans="1:11" ht="15" x14ac:dyDescent="0.25">
      <c r="A243" s="7"/>
      <c r="B243" s="7"/>
      <c r="C243" s="1082"/>
      <c r="D243" s="1079" t="s">
        <v>834</v>
      </c>
      <c r="E243" s="1079"/>
      <c r="F243" s="27"/>
      <c r="G243" s="701" t="s">
        <v>803</v>
      </c>
      <c r="H243" s="7"/>
      <c r="I243" s="7"/>
      <c r="J243" s="7"/>
      <c r="K243" s="7"/>
    </row>
    <row r="244" spans="1:11" ht="15" x14ac:dyDescent="0.25">
      <c r="A244" s="7"/>
      <c r="B244" s="7"/>
      <c r="C244" s="1100" t="s">
        <v>144</v>
      </c>
      <c r="D244" s="1079" t="s">
        <v>1123</v>
      </c>
      <c r="E244" s="1079"/>
      <c r="F244" s="27"/>
      <c r="G244" s="701" t="s">
        <v>803</v>
      </c>
      <c r="H244" s="7"/>
      <c r="I244" s="7"/>
      <c r="J244" s="7"/>
      <c r="K244" s="7"/>
    </row>
    <row r="245" spans="1:11" ht="15" customHeight="1" x14ac:dyDescent="0.25">
      <c r="A245" s="7"/>
      <c r="B245" s="7"/>
      <c r="C245" s="1100"/>
      <c r="D245" s="1101" t="s">
        <v>848</v>
      </c>
      <c r="E245" s="1101"/>
      <c r="F245" s="27"/>
      <c r="G245" s="701" t="s">
        <v>803</v>
      </c>
      <c r="H245" s="7"/>
      <c r="I245" s="7"/>
      <c r="J245" s="7"/>
      <c r="K245" s="7"/>
    </row>
    <row r="246" spans="1:11" ht="15" x14ac:dyDescent="0.25">
      <c r="A246" s="7"/>
      <c r="B246" s="7"/>
      <c r="C246" s="1100"/>
      <c r="D246" s="1079" t="s">
        <v>840</v>
      </c>
      <c r="E246" s="1079"/>
      <c r="F246" s="27"/>
      <c r="G246" s="701" t="s">
        <v>803</v>
      </c>
      <c r="H246" s="7"/>
      <c r="I246" s="7"/>
      <c r="J246" s="7"/>
      <c r="K246" s="7"/>
    </row>
    <row r="247" spans="1:11" ht="15" x14ac:dyDescent="0.25">
      <c r="A247" s="7"/>
      <c r="B247" s="7"/>
      <c r="C247" s="1100"/>
      <c r="D247" s="1079" t="s">
        <v>1119</v>
      </c>
      <c r="E247" s="1079"/>
      <c r="F247" s="27"/>
      <c r="G247" s="701" t="s">
        <v>803</v>
      </c>
      <c r="H247" s="7"/>
      <c r="I247" s="7"/>
      <c r="J247" s="7"/>
      <c r="K247" s="7"/>
    </row>
    <row r="248" spans="1:11" ht="15" x14ac:dyDescent="0.25">
      <c r="A248" s="7"/>
      <c r="B248" s="7"/>
      <c r="C248" s="1100"/>
      <c r="D248" s="1079" t="s">
        <v>1120</v>
      </c>
      <c r="E248" s="1079"/>
      <c r="F248" s="27"/>
      <c r="G248" s="701" t="s">
        <v>803</v>
      </c>
      <c r="J248" s="199" t="s">
        <v>1121</v>
      </c>
      <c r="K248" s="199" t="s">
        <v>1122</v>
      </c>
    </row>
    <row r="249" spans="1:11" ht="15" x14ac:dyDescent="0.25">
      <c r="A249" s="7"/>
      <c r="B249" s="12"/>
      <c r="C249" s="1100"/>
      <c r="D249" s="1089" t="s">
        <v>998</v>
      </c>
      <c r="E249" s="1090"/>
      <c r="F249" s="27"/>
      <c r="G249" s="701" t="s">
        <v>803</v>
      </c>
      <c r="J249" s="199">
        <v>60</v>
      </c>
      <c r="K249" s="200">
        <f>+F249/J249</f>
        <v>0</v>
      </c>
    </row>
    <row r="250" spans="1:11" ht="15" x14ac:dyDescent="0.25">
      <c r="A250" s="7"/>
      <c r="B250" s="12"/>
      <c r="C250" s="1100"/>
      <c r="D250" s="1079" t="s">
        <v>999</v>
      </c>
      <c r="E250" s="1079"/>
      <c r="F250" s="27"/>
      <c r="G250" s="701" t="s">
        <v>803</v>
      </c>
      <c r="J250" s="199">
        <v>45</v>
      </c>
      <c r="K250" s="200">
        <f>+F250/J250</f>
        <v>0</v>
      </c>
    </row>
    <row r="251" spans="1:11" ht="15" x14ac:dyDescent="0.25">
      <c r="A251" s="7"/>
      <c r="B251" s="7"/>
      <c r="C251" s="6"/>
      <c r="D251" s="5"/>
      <c r="E251" s="3"/>
      <c r="F251" s="7"/>
      <c r="G251" s="46"/>
      <c r="H251" s="7"/>
      <c r="I251" s="7"/>
      <c r="J251" s="7"/>
      <c r="K251" s="7"/>
    </row>
    <row r="252" spans="1:11" ht="15" x14ac:dyDescent="0.25">
      <c r="A252" s="7"/>
      <c r="B252" s="7"/>
      <c r="C252" s="42" t="s">
        <v>1537</v>
      </c>
      <c r="D252" s="3"/>
      <c r="E252" s="7"/>
      <c r="F252" s="7"/>
      <c r="G252" s="46"/>
      <c r="H252" s="7"/>
      <c r="I252" s="7"/>
      <c r="J252" s="7"/>
      <c r="K252" s="7"/>
    </row>
    <row r="253" spans="1:11" ht="28.5" x14ac:dyDescent="0.2">
      <c r="A253" s="7"/>
      <c r="B253" s="7"/>
      <c r="C253" s="3"/>
      <c r="D253" s="702" t="s">
        <v>902</v>
      </c>
      <c r="E253" s="702" t="s">
        <v>1005</v>
      </c>
      <c r="F253" s="702" t="s">
        <v>1006</v>
      </c>
      <c r="G253" s="702" t="s">
        <v>616</v>
      </c>
      <c r="I253" s="7"/>
      <c r="J253" s="7"/>
      <c r="K253" s="7"/>
    </row>
    <row r="254" spans="1:11" ht="15" x14ac:dyDescent="0.25">
      <c r="A254" s="7"/>
      <c r="B254" s="7"/>
      <c r="C254" s="43" t="s">
        <v>200</v>
      </c>
      <c r="D254" s="25">
        <v>0.9</v>
      </c>
      <c r="E254" s="25">
        <v>0.2</v>
      </c>
      <c r="F254" s="25"/>
      <c r="G254" s="25"/>
      <c r="I254" s="7"/>
      <c r="J254" s="7"/>
      <c r="K254" s="7"/>
    </row>
    <row r="255" spans="1:11" ht="15" x14ac:dyDescent="0.25">
      <c r="A255" s="7"/>
      <c r="B255" s="7"/>
      <c r="C255" s="43" t="s">
        <v>201</v>
      </c>
      <c r="D255" s="25">
        <v>0.1</v>
      </c>
      <c r="E255" s="25">
        <v>0.8</v>
      </c>
      <c r="F255" s="25">
        <v>1</v>
      </c>
      <c r="G255" s="25">
        <v>1</v>
      </c>
      <c r="I255" s="7"/>
      <c r="J255" s="7"/>
      <c r="K255" s="7"/>
    </row>
    <row r="256" spans="1:11" ht="15" x14ac:dyDescent="0.25">
      <c r="A256" s="7"/>
      <c r="B256" s="7"/>
      <c r="C256" s="43" t="s">
        <v>202</v>
      </c>
      <c r="D256" s="25"/>
      <c r="E256" s="25"/>
      <c r="F256" s="25"/>
      <c r="G256" s="25"/>
      <c r="I256" s="7"/>
      <c r="J256" s="7"/>
      <c r="K256" s="7"/>
    </row>
    <row r="257" spans="1:16383" ht="15" x14ac:dyDescent="0.25">
      <c r="A257" s="7"/>
      <c r="B257" s="7"/>
      <c r="C257" s="95" t="s">
        <v>1008</v>
      </c>
      <c r="D257" s="25"/>
      <c r="E257" s="25"/>
      <c r="F257" s="25"/>
      <c r="G257" s="25"/>
      <c r="I257" s="7"/>
      <c r="J257" s="7"/>
      <c r="K257" s="7"/>
    </row>
    <row r="258" spans="1:16383" ht="15" x14ac:dyDescent="0.25">
      <c r="A258" s="7"/>
      <c r="B258" s="7"/>
      <c r="C258" s="95" t="s">
        <v>1009</v>
      </c>
      <c r="D258" s="25"/>
      <c r="E258" s="25"/>
      <c r="F258" s="25"/>
      <c r="G258" s="25"/>
      <c r="I258" s="7"/>
      <c r="J258" s="7"/>
      <c r="K258" s="7"/>
    </row>
    <row r="259" spans="1:16383" x14ac:dyDescent="0.2">
      <c r="A259" s="7"/>
      <c r="B259" s="7"/>
      <c r="C259" s="3"/>
      <c r="D259" s="232">
        <f>+SUM(D254:D258)</f>
        <v>1</v>
      </c>
      <c r="E259" s="232">
        <f t="shared" ref="E259:G259" si="0">+SUM(E254:E258)</f>
        <v>1</v>
      </c>
      <c r="F259" s="232">
        <f t="shared" si="0"/>
        <v>1</v>
      </c>
      <c r="G259" s="232">
        <f t="shared" si="0"/>
        <v>1</v>
      </c>
      <c r="I259" s="7"/>
      <c r="J259" s="7"/>
      <c r="K259" s="7"/>
    </row>
    <row r="260" spans="1:16383" x14ac:dyDescent="0.2">
      <c r="A260" s="7"/>
      <c r="B260" s="7"/>
      <c r="C260" s="3"/>
      <c r="D260" s="150" t="str">
        <f t="shared" ref="D260:F260" si="1">IF(D259&gt;1, "&gt; 100%, revise!", IF(D259&lt;1, "&lt; 100%, revise!", "Total % is OK."))</f>
        <v>Total % is OK.</v>
      </c>
      <c r="E260" s="150" t="str">
        <f t="shared" si="1"/>
        <v>Total % is OK.</v>
      </c>
      <c r="F260" s="150" t="str">
        <f t="shared" si="1"/>
        <v>Total % is OK.</v>
      </c>
      <c r="G260" s="150" t="str">
        <f>IF(G259&gt;1, "&gt; 100%, revise!", IF(G259&lt;1, "&lt; 100%, revise!", "Total % is OK."))</f>
        <v>Total % is OK.</v>
      </c>
    </row>
    <row r="261" spans="1:16383" ht="15" x14ac:dyDescent="0.25">
      <c r="A261" s="7"/>
      <c r="B261" s="7"/>
      <c r="D261" s="43"/>
      <c r="F261" s="46"/>
      <c r="G261" s="1086" t="s">
        <v>1056</v>
      </c>
      <c r="H261" s="1087"/>
      <c r="I261" s="1087"/>
      <c r="J261" s="1088"/>
    </row>
    <row r="262" spans="1:16383" x14ac:dyDescent="0.2">
      <c r="A262" s="7"/>
      <c r="B262" s="7"/>
      <c r="C262" s="42" t="s">
        <v>1007</v>
      </c>
      <c r="D262" s="3"/>
      <c r="F262" s="7"/>
      <c r="K262" s="7"/>
    </row>
    <row r="263" spans="1:16383" ht="15" customHeight="1" x14ac:dyDescent="0.25">
      <c r="A263" s="7"/>
      <c r="B263" s="7"/>
      <c r="C263" s="3"/>
      <c r="D263" s="702" t="s">
        <v>1078</v>
      </c>
      <c r="E263" s="702" t="s">
        <v>1079</v>
      </c>
      <c r="G263" s="46"/>
      <c r="H263" s="7"/>
      <c r="I263" s="7"/>
      <c r="J263" s="7"/>
      <c r="K263" s="7"/>
    </row>
    <row r="264" spans="1:16383" ht="15" x14ac:dyDescent="0.25">
      <c r="A264" s="7"/>
      <c r="B264" s="3"/>
      <c r="C264" s="43" t="s">
        <v>201</v>
      </c>
      <c r="D264" s="25">
        <v>0</v>
      </c>
      <c r="E264" s="25">
        <v>0</v>
      </c>
      <c r="G264" s="7"/>
      <c r="H264" s="7"/>
      <c r="I264" s="7"/>
      <c r="J264" s="7"/>
      <c r="K264" s="7"/>
    </row>
    <row r="265" spans="1:16383" x14ac:dyDescent="0.2">
      <c r="A265" s="7"/>
      <c r="B265" s="3"/>
      <c r="C265" s="43" t="s">
        <v>648</v>
      </c>
      <c r="D265" s="1005">
        <f>1-D264</f>
        <v>1</v>
      </c>
      <c r="E265" s="1005">
        <f>1-E264</f>
        <v>1</v>
      </c>
      <c r="G265" s="7"/>
      <c r="H265" s="7"/>
      <c r="I265" s="7"/>
      <c r="J265" s="7"/>
      <c r="K265" s="7"/>
    </row>
    <row r="266" spans="1:16383" ht="15" x14ac:dyDescent="0.25">
      <c r="A266" s="7"/>
      <c r="B266" s="3"/>
      <c r="D266" s="6"/>
      <c r="E266" s="5"/>
      <c r="F266" s="7"/>
      <c r="G266" s="7"/>
      <c r="I266" s="185" t="s">
        <v>1067</v>
      </c>
      <c r="J266" s="186"/>
      <c r="K266" s="187"/>
    </row>
    <row r="267" spans="1:16383" ht="15.75" x14ac:dyDescent="0.25">
      <c r="A267" s="7"/>
      <c r="B267" s="732" t="s">
        <v>1366</v>
      </c>
      <c r="C267" s="154"/>
      <c r="D267" s="154"/>
      <c r="E267" s="154"/>
      <c r="F267" s="154"/>
      <c r="G267" s="733"/>
      <c r="H267" s="5"/>
      <c r="I267" s="5"/>
      <c r="J267" s="5"/>
      <c r="K267" s="5"/>
    </row>
    <row r="268" spans="1:16383" ht="18.75" customHeight="1" x14ac:dyDescent="0.2">
      <c r="A268" s="7"/>
      <c r="B268" s="7"/>
      <c r="C268" s="7"/>
      <c r="D268" s="7"/>
      <c r="E268" s="7"/>
      <c r="F268" s="7"/>
      <c r="G268" s="7"/>
      <c r="H268" s="7"/>
      <c r="I268" s="7"/>
      <c r="J268" s="7"/>
      <c r="K268" s="7"/>
    </row>
    <row r="269" spans="1:16383" ht="18" x14ac:dyDescent="0.25">
      <c r="A269" s="253" t="s">
        <v>1823</v>
      </c>
      <c r="B269" s="253"/>
      <c r="C269" s="253"/>
      <c r="D269" s="253"/>
      <c r="E269" s="253"/>
      <c r="F269" s="253"/>
      <c r="G269" s="253"/>
      <c r="H269" s="253"/>
      <c r="I269" s="253"/>
      <c r="J269" s="253"/>
      <c r="K269" s="253"/>
      <c r="L269" s="203" t="s">
        <v>861</v>
      </c>
      <c r="M269" s="203" t="s">
        <v>884</v>
      </c>
      <c r="N269" s="203"/>
      <c r="O269" s="203"/>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c r="BD269" s="28"/>
      <c r="BE269" s="28"/>
      <c r="BF269" s="28"/>
      <c r="BG269" s="28"/>
      <c r="BH269" s="28"/>
      <c r="BI269" s="28"/>
      <c r="BJ269" s="28"/>
      <c r="BK269" s="28"/>
      <c r="BL269" s="28"/>
      <c r="BM269" s="28"/>
      <c r="BN269" s="28"/>
      <c r="BO269" s="28"/>
      <c r="BP269" s="28"/>
      <c r="BQ269" s="28"/>
      <c r="BR269" s="28"/>
      <c r="BS269" s="28"/>
      <c r="BT269" s="28"/>
      <c r="BU269" s="28"/>
      <c r="BV269" s="28"/>
      <c r="BW269" s="28"/>
      <c r="BX269" s="28"/>
      <c r="BY269" s="28"/>
      <c r="BZ269" s="28"/>
      <c r="CA269" s="28"/>
      <c r="CB269" s="28"/>
      <c r="CC269" s="28"/>
      <c r="CD269" s="28"/>
      <c r="CE269" s="28"/>
      <c r="CF269" s="28"/>
      <c r="CG269" s="28"/>
      <c r="CH269" s="28"/>
      <c r="CI269" s="28"/>
      <c r="CJ269" s="28"/>
      <c r="CK269" s="28"/>
      <c r="CL269" s="28"/>
      <c r="CM269" s="28"/>
      <c r="CN269" s="28"/>
      <c r="CO269" s="28"/>
      <c r="CP269" s="28"/>
      <c r="CQ269" s="28"/>
      <c r="CR269" s="28"/>
      <c r="CS269" s="28"/>
      <c r="CT269" s="28"/>
      <c r="CU269" s="28"/>
      <c r="CV269" s="28"/>
      <c r="CW269" s="28"/>
      <c r="CX269" s="28"/>
      <c r="CY269" s="28"/>
      <c r="CZ269" s="28"/>
      <c r="DA269" s="28"/>
      <c r="DB269" s="28"/>
      <c r="DC269" s="28"/>
      <c r="DD269" s="28"/>
      <c r="DE269" s="28"/>
      <c r="DF269" s="28"/>
      <c r="DG269" s="28"/>
      <c r="DH269" s="28"/>
      <c r="DI269" s="28"/>
      <c r="DJ269" s="28"/>
      <c r="DK269" s="28"/>
      <c r="DL269" s="28"/>
      <c r="DM269" s="28"/>
      <c r="DN269" s="28"/>
      <c r="DO269" s="28"/>
      <c r="DP269" s="28"/>
      <c r="DQ269" s="28"/>
      <c r="DR269" s="28"/>
      <c r="DS269" s="28"/>
      <c r="DT269" s="28"/>
      <c r="DU269" s="28"/>
      <c r="DV269" s="28"/>
      <c r="DW269" s="28"/>
      <c r="DX269" s="28"/>
      <c r="DY269" s="28"/>
      <c r="DZ269" s="28"/>
      <c r="EA269" s="28"/>
      <c r="EB269" s="28"/>
      <c r="EC269" s="28"/>
      <c r="ED269" s="28"/>
      <c r="EE269" s="28"/>
      <c r="EF269" s="28"/>
      <c r="EG269" s="28"/>
      <c r="EH269" s="28"/>
      <c r="EI269" s="28"/>
      <c r="EJ269" s="28"/>
      <c r="EK269" s="28"/>
      <c r="EL269" s="28"/>
      <c r="EM269" s="28"/>
      <c r="EN269" s="28"/>
      <c r="EO269" s="28"/>
      <c r="EP269" s="28"/>
      <c r="EQ269" s="28"/>
      <c r="ER269" s="28"/>
      <c r="ES269" s="28"/>
      <c r="ET269" s="28"/>
      <c r="EU269" s="28"/>
      <c r="EV269" s="28"/>
      <c r="EW269" s="28"/>
      <c r="EX269" s="28"/>
      <c r="EY269" s="28"/>
      <c r="EZ269" s="28"/>
      <c r="FA269" s="28"/>
      <c r="FB269" s="28"/>
      <c r="FC269" s="28"/>
      <c r="FD269" s="28"/>
      <c r="FE269" s="28"/>
      <c r="FF269" s="28"/>
      <c r="FG269" s="28"/>
      <c r="FH269" s="28"/>
      <c r="FI269" s="28"/>
      <c r="FJ269" s="28"/>
      <c r="FK269" s="28"/>
      <c r="FL269" s="28"/>
      <c r="FM269" s="28"/>
      <c r="FN269" s="28"/>
      <c r="FO269" s="28"/>
      <c r="FP269" s="28"/>
      <c r="FQ269" s="28"/>
      <c r="FR269" s="28"/>
      <c r="FS269" s="28"/>
      <c r="FT269" s="28"/>
      <c r="FU269" s="28"/>
      <c r="FV269" s="28"/>
      <c r="FW269" s="28"/>
      <c r="FX269" s="28"/>
      <c r="FY269" s="28"/>
      <c r="FZ269" s="28"/>
      <c r="GA269" s="28"/>
      <c r="GB269" s="28"/>
      <c r="GC269" s="28"/>
      <c r="GD269" s="28"/>
      <c r="GE269" s="28"/>
      <c r="GF269" s="28"/>
      <c r="GG269" s="28"/>
      <c r="GH269" s="28"/>
      <c r="GI269" s="28"/>
      <c r="GJ269" s="28"/>
      <c r="GK269" s="28"/>
      <c r="GL269" s="28"/>
      <c r="GM269" s="28"/>
      <c r="GN269" s="28"/>
      <c r="GO269" s="28"/>
      <c r="GP269" s="28"/>
      <c r="GQ269" s="28"/>
      <c r="GR269" s="28"/>
      <c r="GS269" s="28"/>
      <c r="GT269" s="28"/>
      <c r="GU269" s="28"/>
      <c r="GV269" s="28"/>
      <c r="GW269" s="28"/>
      <c r="GX269" s="28"/>
      <c r="GY269" s="28"/>
      <c r="GZ269" s="28"/>
      <c r="HA269" s="28"/>
      <c r="HB269" s="28"/>
      <c r="HC269" s="28"/>
      <c r="HD269" s="28"/>
      <c r="HE269" s="28"/>
      <c r="HF269" s="28"/>
      <c r="HG269" s="28"/>
      <c r="HH269" s="28"/>
      <c r="HI269" s="28"/>
      <c r="HJ269" s="28"/>
      <c r="HK269" s="28"/>
      <c r="HL269" s="28"/>
      <c r="HM269" s="28"/>
      <c r="HN269" s="28"/>
      <c r="HO269" s="28"/>
      <c r="HP269" s="28"/>
      <c r="HQ269" s="28"/>
      <c r="HR269" s="28"/>
      <c r="HS269" s="28"/>
      <c r="HT269" s="28"/>
      <c r="HU269" s="28"/>
      <c r="HV269" s="28"/>
      <c r="HW269" s="28"/>
      <c r="HX269" s="28"/>
      <c r="HY269" s="28"/>
      <c r="HZ269" s="28"/>
      <c r="IA269" s="28"/>
      <c r="IB269" s="28"/>
      <c r="IC269" s="28"/>
      <c r="ID269" s="28"/>
      <c r="IE269" s="28"/>
      <c r="IF269" s="28"/>
      <c r="IG269" s="28"/>
      <c r="IH269" s="28"/>
      <c r="II269" s="28"/>
      <c r="IJ269" s="28"/>
      <c r="IK269" s="28"/>
      <c r="IL269" s="28"/>
      <c r="IM269" s="28"/>
      <c r="IN269" s="28"/>
      <c r="IO269" s="28"/>
      <c r="IP269" s="28"/>
      <c r="IQ269" s="28"/>
      <c r="IR269" s="28"/>
      <c r="IS269" s="28"/>
      <c r="IT269" s="28"/>
      <c r="IU269" s="28"/>
      <c r="IV269" s="28"/>
      <c r="IW269" s="28"/>
      <c r="IX269" s="28"/>
      <c r="IY269" s="28"/>
      <c r="IZ269" s="28"/>
      <c r="JA269" s="28"/>
      <c r="JB269" s="28"/>
      <c r="JC269" s="28"/>
      <c r="JD269" s="28"/>
      <c r="JE269" s="28"/>
      <c r="JF269" s="28"/>
      <c r="JG269" s="28"/>
      <c r="JH269" s="28"/>
      <c r="JI269" s="28"/>
      <c r="JJ269" s="28"/>
      <c r="JK269" s="28"/>
      <c r="JL269" s="28"/>
      <c r="JM269" s="28"/>
      <c r="JN269" s="28"/>
      <c r="JO269" s="28"/>
      <c r="JP269" s="28"/>
      <c r="JQ269" s="28"/>
      <c r="JR269" s="28"/>
      <c r="JS269" s="28"/>
      <c r="JT269" s="28"/>
      <c r="JU269" s="28"/>
      <c r="JV269" s="28"/>
      <c r="JW269" s="28"/>
      <c r="JX269" s="28"/>
      <c r="JY269" s="28"/>
      <c r="JZ269" s="28"/>
      <c r="KA269" s="28"/>
      <c r="KB269" s="28"/>
      <c r="KC269" s="28"/>
      <c r="KD269" s="28"/>
      <c r="KE269" s="28"/>
      <c r="KF269" s="28"/>
      <c r="KG269" s="28"/>
      <c r="KH269" s="28"/>
      <c r="KI269" s="28"/>
      <c r="KJ269" s="28"/>
      <c r="KK269" s="28"/>
      <c r="KL269" s="28"/>
      <c r="KM269" s="28"/>
      <c r="KN269" s="28"/>
      <c r="KO269" s="28"/>
      <c r="KP269" s="28"/>
      <c r="KQ269" s="28"/>
      <c r="KR269" s="28"/>
      <c r="KS269" s="28"/>
      <c r="KT269" s="28"/>
      <c r="KU269" s="28"/>
      <c r="KV269" s="28"/>
      <c r="KW269" s="28"/>
      <c r="KX269" s="28"/>
      <c r="KY269" s="28"/>
      <c r="KZ269" s="28"/>
      <c r="LA269" s="28"/>
      <c r="LB269" s="28"/>
      <c r="LC269" s="28"/>
      <c r="LD269" s="28"/>
      <c r="LE269" s="28"/>
      <c r="LF269" s="28"/>
      <c r="LG269" s="28"/>
      <c r="LH269" s="28"/>
      <c r="LI269" s="28"/>
      <c r="LJ269" s="28"/>
      <c r="LK269" s="28"/>
      <c r="LL269" s="28"/>
      <c r="LM269" s="28"/>
      <c r="LN269" s="28"/>
      <c r="LO269" s="28"/>
      <c r="LP269" s="28"/>
      <c r="LQ269" s="28"/>
      <c r="LR269" s="28"/>
      <c r="LS269" s="28"/>
      <c r="LT269" s="28"/>
      <c r="LU269" s="28"/>
      <c r="LV269" s="28"/>
      <c r="LW269" s="28"/>
      <c r="LX269" s="28"/>
      <c r="LY269" s="28"/>
      <c r="LZ269" s="28"/>
      <c r="MA269" s="28"/>
      <c r="MB269" s="28"/>
      <c r="MC269" s="28"/>
      <c r="MD269" s="28"/>
      <c r="ME269" s="28"/>
      <c r="MF269" s="28"/>
      <c r="MG269" s="28"/>
      <c r="MH269" s="28"/>
      <c r="MI269" s="28"/>
      <c r="MJ269" s="28"/>
      <c r="MK269" s="28"/>
      <c r="ML269" s="28"/>
      <c r="MM269" s="28"/>
      <c r="MN269" s="28"/>
      <c r="MO269" s="28"/>
      <c r="MP269" s="28"/>
      <c r="MQ269" s="28"/>
      <c r="MR269" s="28"/>
      <c r="MS269" s="28"/>
      <c r="MT269" s="28"/>
      <c r="MU269" s="28"/>
      <c r="MV269" s="28"/>
      <c r="MW269" s="28"/>
      <c r="MX269" s="28"/>
      <c r="MY269" s="28"/>
      <c r="MZ269" s="28"/>
      <c r="NA269" s="28"/>
      <c r="NB269" s="28"/>
      <c r="NC269" s="28"/>
      <c r="ND269" s="28"/>
      <c r="NE269" s="28"/>
      <c r="NF269" s="28"/>
      <c r="NG269" s="28"/>
      <c r="NH269" s="28"/>
      <c r="NI269" s="28"/>
      <c r="NJ269" s="28"/>
      <c r="NK269" s="28"/>
      <c r="NL269" s="28"/>
      <c r="NM269" s="28"/>
      <c r="NN269" s="28"/>
      <c r="NO269" s="28"/>
      <c r="NP269" s="28"/>
      <c r="NQ269" s="28"/>
      <c r="NR269" s="28"/>
      <c r="NS269" s="28"/>
      <c r="NT269" s="28"/>
      <c r="NU269" s="28"/>
      <c r="NV269" s="28"/>
      <c r="NW269" s="28"/>
      <c r="NX269" s="28"/>
      <c r="NY269" s="28"/>
      <c r="NZ269" s="28"/>
      <c r="OA269" s="28"/>
      <c r="OB269" s="28"/>
      <c r="OC269" s="28"/>
      <c r="OD269" s="28"/>
      <c r="OE269" s="28"/>
      <c r="OF269" s="28"/>
      <c r="OG269" s="28"/>
      <c r="OH269" s="28"/>
      <c r="OI269" s="28"/>
      <c r="OJ269" s="28"/>
      <c r="OK269" s="28"/>
      <c r="OL269" s="28"/>
      <c r="OM269" s="28"/>
      <c r="ON269" s="28"/>
      <c r="OO269" s="28"/>
      <c r="OP269" s="28"/>
      <c r="OQ269" s="28"/>
      <c r="OR269" s="28"/>
      <c r="OS269" s="28"/>
      <c r="OT269" s="28"/>
      <c r="OU269" s="28"/>
      <c r="OV269" s="28"/>
      <c r="OW269" s="28"/>
      <c r="OX269" s="28"/>
      <c r="OY269" s="28"/>
      <c r="OZ269" s="28"/>
      <c r="PA269" s="28"/>
      <c r="PB269" s="28"/>
      <c r="PC269" s="28"/>
      <c r="PD269" s="28"/>
      <c r="PE269" s="28"/>
      <c r="PF269" s="28"/>
      <c r="PG269" s="28"/>
      <c r="PH269" s="28"/>
      <c r="PI269" s="28"/>
      <c r="PJ269" s="28"/>
      <c r="PK269" s="28"/>
      <c r="PL269" s="28"/>
      <c r="PM269" s="28"/>
      <c r="PN269" s="28"/>
      <c r="PO269" s="28"/>
      <c r="PP269" s="28"/>
      <c r="PQ269" s="28"/>
      <c r="PR269" s="28"/>
      <c r="PS269" s="28"/>
      <c r="PT269" s="28"/>
      <c r="PU269" s="28"/>
      <c r="PV269" s="28"/>
      <c r="PW269" s="28"/>
      <c r="PX269" s="28"/>
      <c r="PY269" s="28"/>
      <c r="PZ269" s="28"/>
      <c r="QA269" s="28"/>
      <c r="QB269" s="28"/>
      <c r="QC269" s="28"/>
      <c r="QD269" s="28"/>
      <c r="QE269" s="28"/>
      <c r="QF269" s="28"/>
      <c r="QG269" s="28"/>
      <c r="QH269" s="28"/>
      <c r="QI269" s="28"/>
      <c r="QJ269" s="28"/>
      <c r="QK269" s="28"/>
      <c r="QL269" s="28"/>
      <c r="QM269" s="28"/>
      <c r="QN269" s="28"/>
      <c r="QO269" s="28"/>
      <c r="QP269" s="28"/>
      <c r="QQ269" s="28"/>
      <c r="QR269" s="28"/>
      <c r="QS269" s="28"/>
      <c r="QT269" s="28"/>
      <c r="QU269" s="28"/>
      <c r="QV269" s="28"/>
      <c r="QW269" s="28"/>
      <c r="QX269" s="28"/>
      <c r="QY269" s="28"/>
      <c r="QZ269" s="28"/>
      <c r="RA269" s="28"/>
      <c r="RB269" s="28"/>
      <c r="RC269" s="28"/>
      <c r="RD269" s="28"/>
      <c r="RE269" s="28"/>
      <c r="RF269" s="28"/>
      <c r="RG269" s="28"/>
      <c r="RH269" s="28"/>
      <c r="RI269" s="28"/>
      <c r="RJ269" s="28"/>
      <c r="RK269" s="28"/>
      <c r="RL269" s="28"/>
      <c r="RM269" s="28"/>
      <c r="RN269" s="28"/>
      <c r="RO269" s="28"/>
      <c r="RP269" s="28"/>
      <c r="RQ269" s="28"/>
      <c r="RR269" s="28"/>
      <c r="RS269" s="28"/>
      <c r="RT269" s="28"/>
      <c r="RU269" s="28"/>
      <c r="RV269" s="28"/>
      <c r="RW269" s="28"/>
      <c r="RX269" s="28"/>
      <c r="RY269" s="28"/>
      <c r="RZ269" s="28"/>
      <c r="SA269" s="28"/>
      <c r="SB269" s="28"/>
      <c r="SC269" s="28"/>
      <c r="SD269" s="28"/>
      <c r="SE269" s="28"/>
      <c r="SF269" s="28"/>
      <c r="SG269" s="28"/>
      <c r="SH269" s="28"/>
      <c r="SI269" s="28"/>
      <c r="SJ269" s="28"/>
      <c r="SK269" s="28"/>
      <c r="SL269" s="28"/>
      <c r="SM269" s="28"/>
      <c r="SN269" s="28"/>
      <c r="SO269" s="28"/>
      <c r="SP269" s="28"/>
      <c r="SQ269" s="28"/>
      <c r="SR269" s="28"/>
      <c r="SS269" s="28"/>
      <c r="ST269" s="28"/>
      <c r="SU269" s="28"/>
      <c r="SV269" s="28"/>
      <c r="SW269" s="28"/>
      <c r="SX269" s="28"/>
      <c r="SY269" s="28"/>
      <c r="SZ269" s="28"/>
      <c r="TA269" s="28"/>
      <c r="TB269" s="28"/>
      <c r="TC269" s="28"/>
      <c r="TD269" s="28"/>
      <c r="TE269" s="28"/>
      <c r="TF269" s="28"/>
      <c r="TG269" s="28"/>
      <c r="TH269" s="28"/>
      <c r="TI269" s="28"/>
      <c r="TJ269" s="28"/>
      <c r="TK269" s="28"/>
      <c r="TL269" s="28"/>
      <c r="TM269" s="28"/>
      <c r="TN269" s="28"/>
      <c r="TO269" s="28"/>
      <c r="TP269" s="28"/>
      <c r="TQ269" s="28"/>
      <c r="TR269" s="28"/>
      <c r="TS269" s="28"/>
      <c r="TT269" s="28"/>
      <c r="TU269" s="28"/>
      <c r="TV269" s="28"/>
      <c r="TW269" s="28"/>
      <c r="TX269" s="28"/>
      <c r="TY269" s="28"/>
      <c r="TZ269" s="28"/>
      <c r="UA269" s="28"/>
      <c r="UB269" s="28"/>
      <c r="UC269" s="28"/>
      <c r="UD269" s="28"/>
      <c r="UE269" s="28"/>
      <c r="UF269" s="28"/>
      <c r="UG269" s="28"/>
      <c r="UH269" s="28"/>
      <c r="UI269" s="28"/>
      <c r="UJ269" s="28"/>
      <c r="UK269" s="28"/>
      <c r="UL269" s="28"/>
      <c r="UM269" s="28"/>
      <c r="UN269" s="28"/>
      <c r="UO269" s="28"/>
      <c r="UP269" s="28"/>
      <c r="UQ269" s="28"/>
      <c r="UR269" s="28"/>
      <c r="US269" s="28"/>
      <c r="UT269" s="28"/>
      <c r="UU269" s="28"/>
      <c r="UV269" s="28"/>
      <c r="UW269" s="28"/>
      <c r="UX269" s="28"/>
      <c r="UY269" s="28"/>
      <c r="UZ269" s="28"/>
      <c r="VA269" s="28"/>
      <c r="VB269" s="28"/>
      <c r="VC269" s="28"/>
      <c r="VD269" s="28"/>
      <c r="VE269" s="28"/>
      <c r="VF269" s="28"/>
      <c r="VG269" s="28"/>
      <c r="VH269" s="28"/>
      <c r="VI269" s="28"/>
      <c r="VJ269" s="28"/>
      <c r="VK269" s="28"/>
      <c r="VL269" s="28"/>
      <c r="VM269" s="28"/>
      <c r="VN269" s="28"/>
      <c r="VO269" s="28"/>
      <c r="VP269" s="28"/>
      <c r="VQ269" s="28"/>
      <c r="VR269" s="28"/>
      <c r="VS269" s="28"/>
      <c r="VT269" s="28"/>
      <c r="VU269" s="28"/>
      <c r="VV269" s="28"/>
      <c r="VW269" s="28"/>
      <c r="VX269" s="28"/>
      <c r="VY269" s="28"/>
      <c r="VZ269" s="28"/>
      <c r="WA269" s="28"/>
      <c r="WB269" s="28"/>
      <c r="WC269" s="28"/>
      <c r="WD269" s="28"/>
      <c r="WE269" s="28"/>
      <c r="WF269" s="28"/>
      <c r="WG269" s="28"/>
      <c r="WH269" s="28"/>
      <c r="WI269" s="28"/>
      <c r="WJ269" s="28"/>
      <c r="WK269" s="28"/>
      <c r="WL269" s="28"/>
      <c r="WM269" s="28"/>
      <c r="WN269" s="28"/>
      <c r="WO269" s="28"/>
      <c r="WP269" s="28"/>
      <c r="WQ269" s="28"/>
      <c r="WR269" s="28"/>
      <c r="WS269" s="28"/>
      <c r="WT269" s="28"/>
      <c r="WU269" s="28"/>
      <c r="WV269" s="28"/>
      <c r="WW269" s="28"/>
      <c r="WX269" s="28"/>
      <c r="WY269" s="28"/>
      <c r="WZ269" s="28"/>
      <c r="XA269" s="28"/>
      <c r="XB269" s="28"/>
      <c r="XC269" s="28"/>
      <c r="XD269" s="28"/>
      <c r="XE269" s="28"/>
      <c r="XF269" s="28"/>
      <c r="XG269" s="28"/>
      <c r="XH269" s="28"/>
      <c r="XI269" s="28"/>
      <c r="XJ269" s="28"/>
      <c r="XK269" s="28"/>
      <c r="XL269" s="28"/>
      <c r="XM269" s="28"/>
      <c r="XN269" s="28"/>
      <c r="XO269" s="28"/>
      <c r="XP269" s="28"/>
      <c r="XQ269" s="28"/>
      <c r="XR269" s="28"/>
      <c r="XS269" s="28"/>
      <c r="XT269" s="28"/>
      <c r="XU269" s="28"/>
      <c r="XV269" s="28"/>
      <c r="XW269" s="28"/>
      <c r="XX269" s="28"/>
      <c r="XY269" s="28"/>
      <c r="XZ269" s="28"/>
      <c r="YA269" s="28"/>
      <c r="YB269" s="28"/>
      <c r="YC269" s="28"/>
      <c r="YD269" s="28"/>
      <c r="YE269" s="28"/>
      <c r="YF269" s="28"/>
      <c r="YG269" s="28"/>
      <c r="YH269" s="28"/>
      <c r="YI269" s="28"/>
      <c r="YJ269" s="28"/>
      <c r="YK269" s="28"/>
      <c r="YL269" s="28"/>
      <c r="YM269" s="28"/>
      <c r="YN269" s="28"/>
      <c r="YO269" s="28"/>
      <c r="YP269" s="28"/>
      <c r="YQ269" s="28"/>
      <c r="YR269" s="28"/>
      <c r="YS269" s="28"/>
      <c r="YT269" s="28"/>
      <c r="YU269" s="28"/>
      <c r="YV269" s="28"/>
      <c r="YW269" s="28"/>
      <c r="YX269" s="28"/>
      <c r="YY269" s="28"/>
      <c r="YZ269" s="28"/>
      <c r="ZA269" s="28"/>
      <c r="ZB269" s="28"/>
      <c r="ZC269" s="28"/>
      <c r="ZD269" s="28"/>
      <c r="ZE269" s="28"/>
      <c r="ZF269" s="28"/>
      <c r="ZG269" s="28"/>
      <c r="ZH269" s="28"/>
      <c r="ZI269" s="28"/>
      <c r="ZJ269" s="28"/>
      <c r="ZK269" s="28"/>
      <c r="ZL269" s="28"/>
      <c r="ZM269" s="28"/>
      <c r="ZN269" s="28"/>
      <c r="ZO269" s="28"/>
      <c r="ZP269" s="28"/>
      <c r="ZQ269" s="28"/>
      <c r="ZR269" s="28"/>
      <c r="ZS269" s="28"/>
      <c r="ZT269" s="28"/>
      <c r="ZU269" s="28"/>
      <c r="ZV269" s="28"/>
      <c r="ZW269" s="28"/>
      <c r="ZX269" s="28"/>
      <c r="ZY269" s="28"/>
      <c r="ZZ269" s="28"/>
      <c r="AAA269" s="28"/>
      <c r="AAB269" s="28"/>
      <c r="AAC269" s="28"/>
      <c r="AAD269" s="28"/>
      <c r="AAE269" s="28"/>
      <c r="AAF269" s="28"/>
      <c r="AAG269" s="28"/>
      <c r="AAH269" s="28"/>
      <c r="AAI269" s="28"/>
      <c r="AAJ269" s="28"/>
      <c r="AAK269" s="28"/>
      <c r="AAL269" s="28"/>
      <c r="AAM269" s="28"/>
      <c r="AAN269" s="28"/>
      <c r="AAO269" s="28"/>
      <c r="AAP269" s="28"/>
      <c r="AAQ269" s="28"/>
      <c r="AAR269" s="28"/>
      <c r="AAS269" s="28"/>
      <c r="AAT269" s="28"/>
      <c r="AAU269" s="28"/>
      <c r="AAV269" s="28"/>
      <c r="AAW269" s="28"/>
      <c r="AAX269" s="28"/>
      <c r="AAY269" s="28"/>
      <c r="AAZ269" s="28"/>
      <c r="ABA269" s="28"/>
      <c r="ABB269" s="28"/>
      <c r="ABC269" s="28"/>
      <c r="ABD269" s="28"/>
      <c r="ABE269" s="28"/>
      <c r="ABF269" s="28"/>
      <c r="ABG269" s="28"/>
      <c r="ABH269" s="28"/>
      <c r="ABI269" s="28"/>
      <c r="ABJ269" s="28"/>
      <c r="ABK269" s="28"/>
      <c r="ABL269" s="28"/>
      <c r="ABM269" s="28"/>
      <c r="ABN269" s="28"/>
      <c r="ABO269" s="28"/>
      <c r="ABP269" s="28"/>
      <c r="ABQ269" s="28"/>
      <c r="ABR269" s="28"/>
      <c r="ABS269" s="28"/>
      <c r="ABT269" s="28"/>
      <c r="ABU269" s="28"/>
      <c r="ABV269" s="28"/>
      <c r="ABW269" s="28"/>
      <c r="ABX269" s="28"/>
      <c r="ABY269" s="28"/>
      <c r="ABZ269" s="28"/>
      <c r="ACA269" s="28"/>
      <c r="ACB269" s="28"/>
      <c r="ACC269" s="28"/>
      <c r="ACD269" s="28"/>
      <c r="ACE269" s="28"/>
      <c r="ACF269" s="28"/>
      <c r="ACG269" s="28"/>
      <c r="ACH269" s="28"/>
      <c r="ACI269" s="28"/>
      <c r="ACJ269" s="28"/>
      <c r="ACK269" s="28"/>
      <c r="ACL269" s="28"/>
      <c r="ACM269" s="28"/>
      <c r="ACN269" s="28"/>
      <c r="ACO269" s="28"/>
      <c r="ACP269" s="28"/>
      <c r="ACQ269" s="28"/>
      <c r="ACR269" s="28"/>
      <c r="ACS269" s="28"/>
      <c r="ACT269" s="28"/>
      <c r="ACU269" s="28"/>
      <c r="ACV269" s="28"/>
      <c r="ACW269" s="28"/>
      <c r="ACX269" s="28"/>
      <c r="ACY269" s="28"/>
      <c r="ACZ269" s="28"/>
      <c r="ADA269" s="28"/>
      <c r="ADB269" s="28"/>
      <c r="ADC269" s="28"/>
      <c r="ADD269" s="28"/>
      <c r="ADE269" s="28"/>
      <c r="ADF269" s="28"/>
      <c r="ADG269" s="28"/>
      <c r="ADH269" s="28"/>
      <c r="ADI269" s="28"/>
      <c r="ADJ269" s="28"/>
      <c r="ADK269" s="28"/>
      <c r="ADL269" s="28"/>
      <c r="ADM269" s="28"/>
      <c r="ADN269" s="28"/>
      <c r="ADO269" s="28"/>
      <c r="ADP269" s="28"/>
      <c r="ADQ269" s="28"/>
      <c r="ADR269" s="28"/>
      <c r="ADS269" s="28"/>
      <c r="ADT269" s="28"/>
      <c r="ADU269" s="28"/>
      <c r="ADV269" s="28"/>
      <c r="ADW269" s="28"/>
      <c r="ADX269" s="28"/>
      <c r="ADY269" s="28"/>
      <c r="ADZ269" s="28"/>
      <c r="AEA269" s="28"/>
      <c r="AEB269" s="28"/>
      <c r="AEC269" s="28"/>
      <c r="AED269" s="28"/>
      <c r="AEE269" s="28"/>
      <c r="AEF269" s="28"/>
      <c r="AEG269" s="28"/>
      <c r="AEH269" s="28"/>
      <c r="AEI269" s="28"/>
      <c r="AEJ269" s="28"/>
      <c r="AEK269" s="28"/>
      <c r="AEL269" s="28"/>
      <c r="AEM269" s="28"/>
      <c r="AEN269" s="28"/>
      <c r="AEO269" s="28"/>
      <c r="AEP269" s="28"/>
      <c r="AEQ269" s="28"/>
      <c r="AER269" s="28"/>
      <c r="AES269" s="28"/>
      <c r="AET269" s="28"/>
      <c r="AEU269" s="28"/>
      <c r="AEV269" s="28"/>
      <c r="AEW269" s="28"/>
      <c r="AEX269" s="28"/>
      <c r="AEY269" s="28"/>
      <c r="AEZ269" s="28"/>
      <c r="AFA269" s="28"/>
      <c r="AFB269" s="28"/>
      <c r="AFC269" s="28"/>
      <c r="AFD269" s="28"/>
      <c r="AFE269" s="28"/>
      <c r="AFF269" s="28"/>
      <c r="AFG269" s="28"/>
      <c r="AFH269" s="28"/>
      <c r="AFI269" s="28"/>
      <c r="AFJ269" s="28"/>
      <c r="AFK269" s="28"/>
      <c r="AFL269" s="28"/>
      <c r="AFM269" s="28"/>
      <c r="AFN269" s="28"/>
      <c r="AFO269" s="28"/>
      <c r="AFP269" s="28"/>
      <c r="AFQ269" s="28"/>
      <c r="AFR269" s="28"/>
      <c r="AFS269" s="28"/>
      <c r="AFT269" s="28"/>
      <c r="AFU269" s="28"/>
      <c r="AFV269" s="28"/>
      <c r="AFW269" s="28"/>
      <c r="AFX269" s="28"/>
      <c r="AFY269" s="28"/>
      <c r="AFZ269" s="28"/>
      <c r="AGA269" s="28"/>
      <c r="AGB269" s="28"/>
      <c r="AGC269" s="28"/>
      <c r="AGD269" s="28"/>
      <c r="AGE269" s="28"/>
      <c r="AGF269" s="28"/>
      <c r="AGG269" s="28"/>
      <c r="AGH269" s="28"/>
      <c r="AGI269" s="28"/>
      <c r="AGJ269" s="28"/>
      <c r="AGK269" s="28"/>
      <c r="AGL269" s="28"/>
      <c r="AGM269" s="28"/>
      <c r="AGN269" s="28"/>
      <c r="AGO269" s="28"/>
      <c r="AGP269" s="28"/>
      <c r="AGQ269" s="28"/>
      <c r="AGR269" s="28"/>
      <c r="AGS269" s="28"/>
      <c r="AGT269" s="28"/>
      <c r="AGU269" s="28"/>
      <c r="AGV269" s="28"/>
      <c r="AGW269" s="28"/>
      <c r="AGX269" s="28"/>
      <c r="AGY269" s="28"/>
      <c r="AGZ269" s="28"/>
      <c r="AHA269" s="28"/>
      <c r="AHB269" s="28"/>
      <c r="AHC269" s="28"/>
      <c r="AHD269" s="28"/>
      <c r="AHE269" s="28"/>
      <c r="AHF269" s="28"/>
      <c r="AHG269" s="28"/>
      <c r="AHH269" s="28"/>
      <c r="AHI269" s="28"/>
      <c r="AHJ269" s="28"/>
      <c r="AHK269" s="28"/>
      <c r="AHL269" s="28"/>
      <c r="AHM269" s="28"/>
      <c r="AHN269" s="28"/>
      <c r="AHO269" s="28"/>
      <c r="AHP269" s="28"/>
      <c r="AHQ269" s="28"/>
      <c r="AHR269" s="28"/>
      <c r="AHS269" s="28"/>
      <c r="AHT269" s="28"/>
      <c r="AHU269" s="28"/>
      <c r="AHV269" s="28"/>
      <c r="AHW269" s="28"/>
      <c r="AHX269" s="28"/>
      <c r="AHY269" s="28"/>
      <c r="AHZ269" s="28"/>
      <c r="AIA269" s="28"/>
      <c r="AIB269" s="28"/>
      <c r="AIC269" s="28"/>
      <c r="AID269" s="28"/>
      <c r="AIE269" s="28"/>
      <c r="AIF269" s="28"/>
      <c r="AIG269" s="28"/>
      <c r="AIH269" s="28"/>
      <c r="AII269" s="28"/>
      <c r="AIJ269" s="28"/>
      <c r="AIK269" s="28"/>
      <c r="AIL269" s="28"/>
      <c r="AIM269" s="28"/>
      <c r="AIN269" s="28"/>
      <c r="AIO269" s="28"/>
      <c r="AIP269" s="28"/>
      <c r="AIQ269" s="28"/>
      <c r="AIR269" s="28"/>
      <c r="AIS269" s="28"/>
      <c r="AIT269" s="28"/>
      <c r="AIU269" s="28"/>
      <c r="AIV269" s="28"/>
      <c r="AIW269" s="28"/>
      <c r="AIX269" s="28"/>
      <c r="AIY269" s="28"/>
      <c r="AIZ269" s="28"/>
      <c r="AJA269" s="28"/>
      <c r="AJB269" s="28"/>
      <c r="AJC269" s="28"/>
      <c r="AJD269" s="28"/>
      <c r="AJE269" s="28"/>
      <c r="AJF269" s="28"/>
      <c r="AJG269" s="28"/>
      <c r="AJH269" s="28"/>
      <c r="AJI269" s="28"/>
      <c r="AJJ269" s="28"/>
      <c r="AJK269" s="28"/>
      <c r="AJL269" s="28"/>
      <c r="AJM269" s="28"/>
      <c r="AJN269" s="28"/>
      <c r="AJO269" s="28"/>
      <c r="AJP269" s="28"/>
      <c r="AJQ269" s="28"/>
      <c r="AJR269" s="28"/>
      <c r="AJS269" s="28"/>
      <c r="AJT269" s="28"/>
      <c r="AJU269" s="28"/>
      <c r="AJV269" s="28"/>
      <c r="AJW269" s="28"/>
      <c r="AJX269" s="28"/>
      <c r="AJY269" s="28"/>
      <c r="AJZ269" s="28"/>
      <c r="AKA269" s="28"/>
      <c r="AKB269" s="28"/>
      <c r="AKC269" s="28"/>
      <c r="AKD269" s="28"/>
      <c r="AKE269" s="28"/>
      <c r="AKF269" s="28"/>
      <c r="AKG269" s="28"/>
      <c r="AKH269" s="28"/>
      <c r="AKI269" s="28"/>
      <c r="AKJ269" s="28"/>
      <c r="AKK269" s="28"/>
      <c r="AKL269" s="28"/>
      <c r="AKM269" s="28"/>
      <c r="AKN269" s="28"/>
      <c r="AKO269" s="28"/>
      <c r="AKP269" s="28"/>
      <c r="AKQ269" s="28"/>
      <c r="AKR269" s="28"/>
      <c r="AKS269" s="28"/>
      <c r="AKT269" s="28"/>
      <c r="AKU269" s="28"/>
      <c r="AKV269" s="28"/>
      <c r="AKW269" s="28"/>
      <c r="AKX269" s="28"/>
      <c r="AKY269" s="28"/>
      <c r="AKZ269" s="28"/>
      <c r="ALA269" s="28"/>
      <c r="ALB269" s="28"/>
      <c r="ALC269" s="28"/>
      <c r="ALD269" s="28"/>
      <c r="ALE269" s="28"/>
      <c r="ALF269" s="28"/>
      <c r="ALG269" s="28"/>
      <c r="ALH269" s="28"/>
      <c r="ALI269" s="28"/>
      <c r="ALJ269" s="28"/>
      <c r="ALK269" s="28"/>
      <c r="ALL269" s="28"/>
      <c r="ALM269" s="28"/>
      <c r="ALN269" s="28"/>
      <c r="ALO269" s="28"/>
      <c r="ALP269" s="28"/>
      <c r="ALQ269" s="28"/>
      <c r="ALR269" s="28"/>
      <c r="ALS269" s="28"/>
      <c r="ALT269" s="28"/>
      <c r="ALU269" s="28"/>
      <c r="ALV269" s="28"/>
      <c r="ALW269" s="28"/>
      <c r="ALX269" s="28"/>
      <c r="ALY269" s="28"/>
      <c r="ALZ269" s="28"/>
      <c r="AMA269" s="28"/>
      <c r="AMB269" s="28"/>
      <c r="AMC269" s="28"/>
      <c r="AMD269" s="28"/>
      <c r="AME269" s="28"/>
      <c r="AMF269" s="28"/>
      <c r="AMG269" s="28"/>
      <c r="AMH269" s="28"/>
      <c r="AMI269" s="28"/>
      <c r="AMJ269" s="28"/>
      <c r="AMK269" s="28"/>
      <c r="AML269" s="28"/>
      <c r="AMM269" s="28"/>
      <c r="AMN269" s="28"/>
      <c r="AMO269" s="28"/>
      <c r="AMP269" s="28"/>
      <c r="AMQ269" s="28"/>
      <c r="AMR269" s="28"/>
      <c r="AMS269" s="28"/>
      <c r="AMT269" s="28"/>
      <c r="AMU269" s="28"/>
      <c r="AMV269" s="28"/>
      <c r="AMW269" s="28"/>
      <c r="AMX269" s="28"/>
      <c r="AMY269" s="28"/>
      <c r="AMZ269" s="28"/>
      <c r="ANA269" s="28"/>
      <c r="ANB269" s="28"/>
      <c r="ANC269" s="28"/>
      <c r="AND269" s="28"/>
      <c r="ANE269" s="28"/>
      <c r="ANF269" s="28"/>
      <c r="ANG269" s="28"/>
      <c r="ANH269" s="28"/>
      <c r="ANI269" s="28"/>
      <c r="ANJ269" s="28"/>
      <c r="ANK269" s="28"/>
      <c r="ANL269" s="28"/>
      <c r="ANM269" s="28"/>
      <c r="ANN269" s="28"/>
      <c r="ANO269" s="28"/>
      <c r="ANP269" s="28"/>
      <c r="ANQ269" s="28"/>
      <c r="ANR269" s="28"/>
      <c r="ANS269" s="28"/>
      <c r="ANT269" s="28"/>
      <c r="ANU269" s="28"/>
      <c r="ANV269" s="28"/>
      <c r="ANW269" s="28"/>
      <c r="ANX269" s="28"/>
      <c r="ANY269" s="28"/>
      <c r="ANZ269" s="28"/>
      <c r="AOA269" s="28"/>
      <c r="AOB269" s="28"/>
      <c r="AOC269" s="28"/>
      <c r="AOD269" s="28"/>
      <c r="AOE269" s="28"/>
      <c r="AOF269" s="28"/>
      <c r="AOG269" s="28"/>
      <c r="AOH269" s="28"/>
      <c r="AOI269" s="28"/>
      <c r="AOJ269" s="28"/>
      <c r="AOK269" s="28"/>
      <c r="AOL269" s="28"/>
      <c r="AOM269" s="28"/>
      <c r="AON269" s="28"/>
      <c r="AOO269" s="28"/>
      <c r="AOP269" s="28"/>
      <c r="AOQ269" s="28"/>
      <c r="AOR269" s="28"/>
      <c r="AOS269" s="28"/>
      <c r="AOT269" s="28"/>
      <c r="AOU269" s="28"/>
      <c r="AOV269" s="28"/>
      <c r="AOW269" s="28"/>
      <c r="AOX269" s="28"/>
      <c r="AOY269" s="28"/>
      <c r="AOZ269" s="28"/>
      <c r="APA269" s="28"/>
      <c r="APB269" s="28"/>
      <c r="APC269" s="28"/>
      <c r="APD269" s="28"/>
      <c r="APE269" s="28"/>
      <c r="APF269" s="28"/>
      <c r="APG269" s="28"/>
      <c r="APH269" s="28"/>
      <c r="API269" s="28"/>
      <c r="APJ269" s="28"/>
      <c r="APK269" s="28"/>
      <c r="APL269" s="28"/>
      <c r="APM269" s="28"/>
      <c r="APN269" s="28"/>
      <c r="APO269" s="28"/>
      <c r="APP269" s="28"/>
      <c r="APQ269" s="28"/>
      <c r="APR269" s="28"/>
      <c r="APS269" s="28"/>
      <c r="APT269" s="28"/>
      <c r="APU269" s="28"/>
      <c r="APV269" s="28"/>
      <c r="APW269" s="28"/>
      <c r="APX269" s="28"/>
      <c r="APY269" s="28"/>
      <c r="APZ269" s="28"/>
      <c r="AQA269" s="28"/>
      <c r="AQB269" s="28"/>
      <c r="AQC269" s="28"/>
      <c r="AQD269" s="28"/>
      <c r="AQE269" s="28"/>
      <c r="AQF269" s="28"/>
      <c r="AQG269" s="28"/>
      <c r="AQH269" s="28"/>
      <c r="AQI269" s="28"/>
      <c r="AQJ269" s="28"/>
      <c r="AQK269" s="28"/>
      <c r="AQL269" s="28"/>
      <c r="AQM269" s="28"/>
      <c r="AQN269" s="28"/>
      <c r="AQO269" s="28"/>
      <c r="AQP269" s="28"/>
      <c r="AQQ269" s="28"/>
      <c r="AQR269" s="28"/>
      <c r="AQS269" s="28"/>
      <c r="AQT269" s="28"/>
      <c r="AQU269" s="28"/>
      <c r="AQV269" s="28"/>
      <c r="AQW269" s="28"/>
      <c r="AQX269" s="28"/>
      <c r="AQY269" s="28"/>
      <c r="AQZ269" s="28"/>
      <c r="ARA269" s="28"/>
      <c r="ARB269" s="28"/>
      <c r="ARC269" s="28"/>
      <c r="ARD269" s="28"/>
      <c r="ARE269" s="28"/>
      <c r="ARF269" s="28"/>
      <c r="ARG269" s="28"/>
      <c r="ARH269" s="28"/>
      <c r="ARI269" s="28"/>
      <c r="ARJ269" s="28"/>
      <c r="ARK269" s="28"/>
      <c r="ARL269" s="28"/>
      <c r="ARM269" s="28"/>
      <c r="ARN269" s="28"/>
      <c r="ARO269" s="28"/>
      <c r="ARP269" s="28"/>
      <c r="ARQ269" s="28"/>
      <c r="ARR269" s="28"/>
      <c r="ARS269" s="28"/>
      <c r="ART269" s="28"/>
      <c r="ARU269" s="28"/>
      <c r="ARV269" s="28"/>
      <c r="ARW269" s="28"/>
      <c r="ARX269" s="28"/>
      <c r="ARY269" s="28"/>
      <c r="ARZ269" s="28"/>
      <c r="ASA269" s="28"/>
      <c r="ASB269" s="28"/>
      <c r="ASC269" s="28"/>
      <c r="ASD269" s="28"/>
      <c r="ASE269" s="28"/>
      <c r="ASF269" s="28"/>
      <c r="ASG269" s="28"/>
      <c r="ASH269" s="28"/>
      <c r="ASI269" s="28"/>
      <c r="ASJ269" s="28"/>
      <c r="ASK269" s="28"/>
      <c r="ASL269" s="28"/>
      <c r="ASM269" s="28"/>
      <c r="ASN269" s="28"/>
      <c r="ASO269" s="28"/>
      <c r="ASP269" s="28"/>
      <c r="ASQ269" s="28"/>
      <c r="ASR269" s="28"/>
      <c r="ASS269" s="28"/>
      <c r="AST269" s="28"/>
      <c r="ASU269" s="28"/>
      <c r="ASV269" s="28"/>
      <c r="ASW269" s="28"/>
      <c r="ASX269" s="28"/>
      <c r="ASY269" s="28"/>
      <c r="ASZ269" s="28"/>
      <c r="ATA269" s="28"/>
      <c r="ATB269" s="28"/>
      <c r="ATC269" s="28"/>
      <c r="ATD269" s="28"/>
      <c r="ATE269" s="28"/>
      <c r="ATF269" s="28"/>
      <c r="ATG269" s="28"/>
      <c r="ATH269" s="28"/>
      <c r="ATI269" s="28"/>
      <c r="ATJ269" s="28"/>
      <c r="ATK269" s="28"/>
      <c r="ATL269" s="28"/>
      <c r="ATM269" s="28"/>
      <c r="ATN269" s="28"/>
      <c r="ATO269" s="28"/>
      <c r="ATP269" s="28"/>
      <c r="ATQ269" s="28"/>
      <c r="ATR269" s="28"/>
      <c r="ATS269" s="28"/>
      <c r="ATT269" s="28"/>
      <c r="ATU269" s="28"/>
      <c r="ATV269" s="28"/>
      <c r="ATW269" s="28"/>
      <c r="ATX269" s="28"/>
      <c r="ATY269" s="28"/>
      <c r="ATZ269" s="28"/>
      <c r="AUA269" s="28"/>
      <c r="AUB269" s="28"/>
      <c r="AUC269" s="28"/>
      <c r="AUD269" s="28"/>
      <c r="AUE269" s="28"/>
      <c r="AUF269" s="28"/>
      <c r="AUG269" s="28"/>
      <c r="AUH269" s="28"/>
      <c r="AUI269" s="28"/>
      <c r="AUJ269" s="28"/>
      <c r="AUK269" s="28"/>
      <c r="AUL269" s="28"/>
      <c r="AUM269" s="28"/>
      <c r="AUN269" s="28"/>
      <c r="AUO269" s="28"/>
      <c r="AUP269" s="28"/>
      <c r="AUQ269" s="28"/>
      <c r="AUR269" s="28"/>
      <c r="AUS269" s="28"/>
      <c r="AUT269" s="28"/>
      <c r="AUU269" s="28"/>
      <c r="AUV269" s="28"/>
      <c r="AUW269" s="28"/>
      <c r="AUX269" s="28"/>
      <c r="AUY269" s="28"/>
      <c r="AUZ269" s="28"/>
      <c r="AVA269" s="28"/>
      <c r="AVB269" s="28"/>
      <c r="AVC269" s="28"/>
      <c r="AVD269" s="28"/>
      <c r="AVE269" s="28"/>
      <c r="AVF269" s="28"/>
      <c r="AVG269" s="28"/>
      <c r="AVH269" s="28"/>
      <c r="AVI269" s="28"/>
      <c r="AVJ269" s="28"/>
      <c r="AVK269" s="28"/>
      <c r="AVL269" s="28"/>
      <c r="AVM269" s="28"/>
      <c r="AVN269" s="28"/>
      <c r="AVO269" s="28"/>
      <c r="AVP269" s="28"/>
      <c r="AVQ269" s="28"/>
      <c r="AVR269" s="28"/>
      <c r="AVS269" s="28"/>
      <c r="AVT269" s="28"/>
      <c r="AVU269" s="28"/>
      <c r="AVV269" s="28"/>
      <c r="AVW269" s="28"/>
      <c r="AVX269" s="28"/>
      <c r="AVY269" s="28"/>
      <c r="AVZ269" s="28"/>
      <c r="AWA269" s="28"/>
      <c r="AWB269" s="28"/>
      <c r="AWC269" s="28"/>
      <c r="AWD269" s="28"/>
      <c r="AWE269" s="28"/>
      <c r="AWF269" s="28"/>
      <c r="AWG269" s="28"/>
      <c r="AWH269" s="28"/>
      <c r="AWI269" s="28"/>
      <c r="AWJ269" s="28"/>
      <c r="AWK269" s="28"/>
      <c r="AWL269" s="28"/>
      <c r="AWM269" s="28"/>
      <c r="AWN269" s="28"/>
      <c r="AWO269" s="28"/>
      <c r="AWP269" s="28"/>
      <c r="AWQ269" s="28"/>
      <c r="AWR269" s="28"/>
      <c r="AWS269" s="28"/>
      <c r="AWT269" s="28"/>
      <c r="AWU269" s="28"/>
      <c r="AWV269" s="28"/>
      <c r="AWW269" s="28"/>
      <c r="AWX269" s="28"/>
      <c r="AWY269" s="28"/>
      <c r="AWZ269" s="28"/>
      <c r="AXA269" s="28"/>
      <c r="AXB269" s="28"/>
      <c r="AXC269" s="28"/>
      <c r="AXD269" s="28"/>
      <c r="AXE269" s="28"/>
      <c r="AXF269" s="28"/>
      <c r="AXG269" s="28"/>
      <c r="AXH269" s="28"/>
      <c r="AXI269" s="28"/>
      <c r="AXJ269" s="28"/>
      <c r="AXK269" s="28"/>
      <c r="AXL269" s="28"/>
      <c r="AXM269" s="28"/>
      <c r="AXN269" s="28"/>
      <c r="AXO269" s="28"/>
      <c r="AXP269" s="28"/>
      <c r="AXQ269" s="28"/>
      <c r="AXR269" s="28"/>
      <c r="AXS269" s="28"/>
      <c r="AXT269" s="28"/>
      <c r="AXU269" s="28"/>
      <c r="AXV269" s="28"/>
      <c r="AXW269" s="28"/>
      <c r="AXX269" s="28"/>
      <c r="AXY269" s="28"/>
      <c r="AXZ269" s="28"/>
      <c r="AYA269" s="28"/>
      <c r="AYB269" s="28"/>
      <c r="AYC269" s="28"/>
      <c r="AYD269" s="28"/>
      <c r="AYE269" s="28"/>
      <c r="AYF269" s="28"/>
      <c r="AYG269" s="28"/>
      <c r="AYH269" s="28"/>
      <c r="AYI269" s="28"/>
      <c r="AYJ269" s="28"/>
      <c r="AYK269" s="28"/>
      <c r="AYL269" s="28"/>
      <c r="AYM269" s="28"/>
      <c r="AYN269" s="28"/>
      <c r="AYO269" s="28"/>
      <c r="AYP269" s="28"/>
      <c r="AYQ269" s="28"/>
      <c r="AYR269" s="28"/>
      <c r="AYS269" s="28"/>
      <c r="AYT269" s="28"/>
      <c r="AYU269" s="28"/>
      <c r="AYV269" s="28"/>
      <c r="AYW269" s="28"/>
      <c r="AYX269" s="28"/>
      <c r="AYY269" s="28"/>
      <c r="AYZ269" s="28"/>
      <c r="AZA269" s="28"/>
      <c r="AZB269" s="28"/>
      <c r="AZC269" s="28"/>
      <c r="AZD269" s="28"/>
      <c r="AZE269" s="28"/>
      <c r="AZF269" s="28"/>
      <c r="AZG269" s="28"/>
      <c r="AZH269" s="28"/>
      <c r="AZI269" s="28"/>
      <c r="AZJ269" s="28"/>
      <c r="AZK269" s="28"/>
      <c r="AZL269" s="28"/>
      <c r="AZM269" s="28"/>
      <c r="AZN269" s="28"/>
      <c r="AZO269" s="28"/>
      <c r="AZP269" s="28"/>
      <c r="AZQ269" s="28"/>
      <c r="AZR269" s="28"/>
      <c r="AZS269" s="28"/>
      <c r="AZT269" s="28"/>
      <c r="AZU269" s="28"/>
      <c r="AZV269" s="28"/>
      <c r="AZW269" s="28"/>
      <c r="AZX269" s="28"/>
      <c r="AZY269" s="28"/>
      <c r="AZZ269" s="28"/>
      <c r="BAA269" s="28"/>
      <c r="BAB269" s="28"/>
      <c r="BAC269" s="28"/>
      <c r="BAD269" s="28"/>
      <c r="BAE269" s="28"/>
      <c r="BAF269" s="28"/>
      <c r="BAG269" s="28"/>
      <c r="BAH269" s="28"/>
      <c r="BAI269" s="28"/>
      <c r="BAJ269" s="28"/>
      <c r="BAK269" s="28"/>
      <c r="BAL269" s="28"/>
      <c r="BAM269" s="28"/>
      <c r="BAN269" s="28"/>
      <c r="BAO269" s="28"/>
      <c r="BAP269" s="28"/>
      <c r="BAQ269" s="28"/>
      <c r="BAR269" s="28"/>
      <c r="BAS269" s="28"/>
      <c r="BAT269" s="28"/>
      <c r="BAU269" s="28"/>
      <c r="BAV269" s="28"/>
      <c r="BAW269" s="28"/>
      <c r="BAX269" s="28"/>
      <c r="BAY269" s="28"/>
      <c r="BAZ269" s="28"/>
      <c r="BBA269" s="28"/>
      <c r="BBB269" s="28"/>
      <c r="BBC269" s="28"/>
      <c r="BBD269" s="28"/>
      <c r="BBE269" s="28"/>
      <c r="BBF269" s="28"/>
      <c r="BBG269" s="28"/>
      <c r="BBH269" s="28"/>
      <c r="BBI269" s="28"/>
      <c r="BBJ269" s="28"/>
      <c r="BBK269" s="28"/>
      <c r="BBL269" s="28"/>
      <c r="BBM269" s="28"/>
      <c r="BBN269" s="28"/>
      <c r="BBO269" s="28"/>
      <c r="BBP269" s="28"/>
      <c r="BBQ269" s="28"/>
      <c r="BBR269" s="28"/>
      <c r="BBS269" s="28"/>
      <c r="BBT269" s="28"/>
      <c r="BBU269" s="28"/>
      <c r="BBV269" s="28"/>
      <c r="BBW269" s="28"/>
      <c r="BBX269" s="28"/>
      <c r="BBY269" s="28"/>
      <c r="BBZ269" s="28"/>
      <c r="BCA269" s="28"/>
      <c r="BCB269" s="28"/>
      <c r="BCC269" s="28"/>
      <c r="BCD269" s="28"/>
      <c r="BCE269" s="28"/>
      <c r="BCF269" s="28"/>
      <c r="BCG269" s="28"/>
      <c r="BCH269" s="28"/>
      <c r="BCI269" s="28"/>
      <c r="BCJ269" s="28"/>
      <c r="BCK269" s="28"/>
      <c r="BCL269" s="28"/>
      <c r="BCM269" s="28"/>
      <c r="BCN269" s="28"/>
      <c r="BCO269" s="28"/>
      <c r="BCP269" s="28"/>
      <c r="BCQ269" s="28"/>
      <c r="BCR269" s="28"/>
      <c r="BCS269" s="28"/>
      <c r="BCT269" s="28"/>
      <c r="BCU269" s="28"/>
      <c r="BCV269" s="28"/>
      <c r="BCW269" s="28"/>
      <c r="BCX269" s="28"/>
      <c r="BCY269" s="28"/>
      <c r="BCZ269" s="28"/>
      <c r="BDA269" s="28"/>
      <c r="BDB269" s="28"/>
      <c r="BDC269" s="28"/>
      <c r="BDD269" s="28"/>
      <c r="BDE269" s="28"/>
      <c r="BDF269" s="28"/>
      <c r="BDG269" s="28"/>
      <c r="BDH269" s="28"/>
      <c r="BDI269" s="28"/>
      <c r="BDJ269" s="28"/>
      <c r="BDK269" s="28"/>
      <c r="BDL269" s="28"/>
      <c r="BDM269" s="28"/>
      <c r="BDN269" s="28"/>
      <c r="BDO269" s="28"/>
      <c r="BDP269" s="28"/>
      <c r="BDQ269" s="28"/>
      <c r="BDR269" s="28"/>
      <c r="BDS269" s="28"/>
      <c r="BDT269" s="28"/>
      <c r="BDU269" s="28"/>
      <c r="BDV269" s="28"/>
      <c r="BDW269" s="28"/>
      <c r="BDX269" s="28"/>
      <c r="BDY269" s="28"/>
      <c r="BDZ269" s="28"/>
      <c r="BEA269" s="28"/>
      <c r="BEB269" s="28"/>
      <c r="BEC269" s="28"/>
      <c r="BED269" s="28"/>
      <c r="BEE269" s="28"/>
      <c r="BEF269" s="28"/>
      <c r="BEG269" s="28"/>
      <c r="BEH269" s="28"/>
      <c r="BEI269" s="28"/>
      <c r="BEJ269" s="28"/>
      <c r="BEK269" s="28"/>
      <c r="BEL269" s="28"/>
      <c r="BEM269" s="28"/>
      <c r="BEN269" s="28"/>
      <c r="BEO269" s="28"/>
      <c r="BEP269" s="28"/>
      <c r="BEQ269" s="28"/>
      <c r="BER269" s="28"/>
      <c r="BES269" s="28"/>
      <c r="BET269" s="28"/>
      <c r="BEU269" s="28"/>
      <c r="BEV269" s="28"/>
      <c r="BEW269" s="28"/>
      <c r="BEX269" s="28"/>
      <c r="BEY269" s="28"/>
      <c r="BEZ269" s="28"/>
      <c r="BFA269" s="28"/>
      <c r="BFB269" s="28"/>
      <c r="BFC269" s="28"/>
      <c r="BFD269" s="28"/>
      <c r="BFE269" s="28"/>
      <c r="BFF269" s="28"/>
      <c r="BFG269" s="28"/>
      <c r="BFH269" s="28"/>
      <c r="BFI269" s="28"/>
      <c r="BFJ269" s="28"/>
      <c r="BFK269" s="28"/>
      <c r="BFL269" s="28"/>
      <c r="BFM269" s="28"/>
      <c r="BFN269" s="28"/>
      <c r="BFO269" s="28"/>
      <c r="BFP269" s="28"/>
      <c r="BFQ269" s="28"/>
      <c r="BFR269" s="28"/>
      <c r="BFS269" s="28"/>
      <c r="BFT269" s="28"/>
      <c r="BFU269" s="28"/>
      <c r="BFV269" s="28"/>
      <c r="BFW269" s="28"/>
      <c r="BFX269" s="28"/>
      <c r="BFY269" s="28"/>
      <c r="BFZ269" s="28"/>
      <c r="BGA269" s="28"/>
      <c r="BGB269" s="28"/>
      <c r="BGC269" s="28"/>
      <c r="BGD269" s="28"/>
      <c r="BGE269" s="28"/>
      <c r="BGF269" s="28"/>
      <c r="BGG269" s="28"/>
      <c r="BGH269" s="28"/>
      <c r="BGI269" s="28"/>
      <c r="BGJ269" s="28"/>
      <c r="BGK269" s="28"/>
      <c r="BGL269" s="28"/>
      <c r="BGM269" s="28"/>
      <c r="BGN269" s="28"/>
      <c r="BGO269" s="28"/>
      <c r="BGP269" s="28"/>
      <c r="BGQ269" s="28"/>
      <c r="BGR269" s="28"/>
      <c r="BGS269" s="28"/>
      <c r="BGT269" s="28"/>
      <c r="BGU269" s="28"/>
      <c r="BGV269" s="28"/>
      <c r="BGW269" s="28"/>
      <c r="BGX269" s="28"/>
      <c r="BGY269" s="28"/>
      <c r="BGZ269" s="28"/>
      <c r="BHA269" s="28"/>
      <c r="BHB269" s="28"/>
      <c r="BHC269" s="28"/>
      <c r="BHD269" s="28"/>
      <c r="BHE269" s="28"/>
      <c r="BHF269" s="28"/>
      <c r="BHG269" s="28"/>
      <c r="BHH269" s="28"/>
      <c r="BHI269" s="28"/>
      <c r="BHJ269" s="28"/>
      <c r="BHK269" s="28"/>
      <c r="BHL269" s="28"/>
      <c r="BHM269" s="28"/>
      <c r="BHN269" s="28"/>
      <c r="BHO269" s="28"/>
      <c r="BHP269" s="28"/>
      <c r="BHQ269" s="28"/>
      <c r="BHR269" s="28"/>
      <c r="BHS269" s="28"/>
      <c r="BHT269" s="28"/>
      <c r="BHU269" s="28"/>
      <c r="BHV269" s="28"/>
      <c r="BHW269" s="28"/>
      <c r="BHX269" s="28"/>
      <c r="BHY269" s="28"/>
      <c r="BHZ269" s="28"/>
      <c r="BIA269" s="28"/>
      <c r="BIB269" s="28"/>
      <c r="BIC269" s="28"/>
      <c r="BID269" s="28"/>
      <c r="BIE269" s="28"/>
      <c r="BIF269" s="28"/>
      <c r="BIG269" s="28"/>
      <c r="BIH269" s="28"/>
      <c r="BII269" s="28"/>
      <c r="BIJ269" s="28"/>
      <c r="BIK269" s="28"/>
      <c r="BIL269" s="28"/>
      <c r="BIM269" s="28"/>
      <c r="BIN269" s="28"/>
      <c r="BIO269" s="28"/>
      <c r="BIP269" s="28"/>
      <c r="BIQ269" s="28"/>
      <c r="BIR269" s="28"/>
      <c r="BIS269" s="28"/>
      <c r="BIT269" s="28"/>
      <c r="BIU269" s="28"/>
      <c r="BIV269" s="28"/>
      <c r="BIW269" s="28"/>
      <c r="BIX269" s="28"/>
      <c r="BIY269" s="28"/>
      <c r="BIZ269" s="28"/>
      <c r="BJA269" s="28"/>
      <c r="BJB269" s="28"/>
      <c r="BJC269" s="28"/>
      <c r="BJD269" s="28"/>
      <c r="BJE269" s="28"/>
      <c r="BJF269" s="28"/>
      <c r="BJG269" s="28"/>
      <c r="BJH269" s="28"/>
      <c r="BJI269" s="28"/>
      <c r="BJJ269" s="28"/>
      <c r="BJK269" s="28"/>
      <c r="BJL269" s="28"/>
      <c r="BJM269" s="28"/>
      <c r="BJN269" s="28"/>
      <c r="BJO269" s="28"/>
      <c r="BJP269" s="28"/>
      <c r="BJQ269" s="28"/>
      <c r="BJR269" s="28"/>
      <c r="BJS269" s="28"/>
      <c r="BJT269" s="28"/>
      <c r="BJU269" s="28"/>
      <c r="BJV269" s="28"/>
      <c r="BJW269" s="28"/>
      <c r="BJX269" s="28"/>
      <c r="BJY269" s="28"/>
      <c r="BJZ269" s="28"/>
      <c r="BKA269" s="28"/>
      <c r="BKB269" s="28"/>
      <c r="BKC269" s="28"/>
      <c r="BKD269" s="28"/>
      <c r="BKE269" s="28"/>
      <c r="BKF269" s="28"/>
      <c r="BKG269" s="28"/>
      <c r="BKH269" s="28"/>
      <c r="BKI269" s="28"/>
      <c r="BKJ269" s="28"/>
      <c r="BKK269" s="28"/>
      <c r="BKL269" s="28"/>
      <c r="BKM269" s="28"/>
      <c r="BKN269" s="28"/>
      <c r="BKO269" s="28"/>
      <c r="BKP269" s="28"/>
      <c r="BKQ269" s="28"/>
      <c r="BKR269" s="28"/>
      <c r="BKS269" s="28"/>
      <c r="BKT269" s="28"/>
      <c r="BKU269" s="28"/>
      <c r="BKV269" s="28"/>
      <c r="BKW269" s="28"/>
      <c r="BKX269" s="28"/>
      <c r="BKY269" s="28"/>
      <c r="BKZ269" s="28"/>
      <c r="BLA269" s="28"/>
      <c r="BLB269" s="28"/>
      <c r="BLC269" s="28"/>
      <c r="BLD269" s="28"/>
      <c r="BLE269" s="28"/>
      <c r="BLF269" s="28"/>
      <c r="BLG269" s="28"/>
      <c r="BLH269" s="28"/>
      <c r="BLI269" s="28"/>
      <c r="BLJ269" s="28"/>
      <c r="BLK269" s="28"/>
      <c r="BLL269" s="28"/>
      <c r="BLM269" s="28"/>
      <c r="BLN269" s="28"/>
      <c r="BLO269" s="28"/>
      <c r="BLP269" s="28"/>
      <c r="BLQ269" s="28"/>
      <c r="BLR269" s="28"/>
      <c r="BLS269" s="28"/>
      <c r="BLT269" s="28"/>
      <c r="BLU269" s="28"/>
      <c r="BLV269" s="28"/>
      <c r="BLW269" s="28"/>
      <c r="BLX269" s="28"/>
      <c r="BLY269" s="28"/>
      <c r="BLZ269" s="28"/>
      <c r="BMA269" s="28"/>
      <c r="BMB269" s="28"/>
      <c r="BMC269" s="28"/>
      <c r="BMD269" s="28"/>
      <c r="BME269" s="28"/>
      <c r="BMF269" s="28"/>
      <c r="BMG269" s="28"/>
      <c r="BMH269" s="28"/>
      <c r="BMI269" s="28"/>
      <c r="BMJ269" s="28"/>
      <c r="BMK269" s="28"/>
      <c r="BML269" s="28"/>
      <c r="BMM269" s="28"/>
      <c r="BMN269" s="28"/>
      <c r="BMO269" s="28"/>
      <c r="BMP269" s="28"/>
      <c r="BMQ269" s="28"/>
      <c r="BMR269" s="28"/>
      <c r="BMS269" s="28"/>
      <c r="BMT269" s="28"/>
      <c r="BMU269" s="28"/>
      <c r="BMV269" s="28"/>
      <c r="BMW269" s="28"/>
      <c r="BMX269" s="28"/>
      <c r="BMY269" s="28"/>
      <c r="BMZ269" s="28"/>
      <c r="BNA269" s="28"/>
      <c r="BNB269" s="28"/>
      <c r="BNC269" s="28"/>
      <c r="BND269" s="28"/>
      <c r="BNE269" s="28"/>
      <c r="BNF269" s="28"/>
      <c r="BNG269" s="28"/>
      <c r="BNH269" s="28"/>
      <c r="BNI269" s="28"/>
      <c r="BNJ269" s="28"/>
      <c r="BNK269" s="28"/>
      <c r="BNL269" s="28"/>
      <c r="BNM269" s="28"/>
      <c r="BNN269" s="28"/>
      <c r="BNO269" s="28"/>
      <c r="BNP269" s="28"/>
      <c r="BNQ269" s="28"/>
      <c r="BNR269" s="28"/>
      <c r="BNS269" s="28"/>
      <c r="BNT269" s="28"/>
      <c r="BNU269" s="28"/>
      <c r="BNV269" s="28"/>
      <c r="BNW269" s="28"/>
      <c r="BNX269" s="28"/>
      <c r="BNY269" s="28"/>
      <c r="BNZ269" s="28"/>
      <c r="BOA269" s="28"/>
      <c r="BOB269" s="28"/>
      <c r="BOC269" s="28"/>
      <c r="BOD269" s="28"/>
      <c r="BOE269" s="28"/>
      <c r="BOF269" s="28"/>
      <c r="BOG269" s="28"/>
      <c r="BOH269" s="28"/>
      <c r="BOI269" s="28"/>
      <c r="BOJ269" s="28"/>
      <c r="BOK269" s="28"/>
      <c r="BOL269" s="28"/>
      <c r="BOM269" s="28"/>
      <c r="BON269" s="28"/>
      <c r="BOO269" s="28"/>
      <c r="BOP269" s="28"/>
      <c r="BOQ269" s="28"/>
      <c r="BOR269" s="28"/>
      <c r="BOS269" s="28"/>
      <c r="BOT269" s="28"/>
      <c r="BOU269" s="28"/>
      <c r="BOV269" s="28"/>
      <c r="BOW269" s="28"/>
      <c r="BOX269" s="28"/>
      <c r="BOY269" s="28"/>
      <c r="BOZ269" s="28"/>
      <c r="BPA269" s="28"/>
      <c r="BPB269" s="28"/>
      <c r="BPC269" s="28"/>
      <c r="BPD269" s="28"/>
      <c r="BPE269" s="28"/>
      <c r="BPF269" s="28"/>
      <c r="BPG269" s="28"/>
      <c r="BPH269" s="28"/>
      <c r="BPI269" s="28"/>
      <c r="BPJ269" s="28"/>
      <c r="BPK269" s="28"/>
      <c r="BPL269" s="28"/>
      <c r="BPM269" s="28"/>
      <c r="BPN269" s="28"/>
      <c r="BPO269" s="28"/>
      <c r="BPP269" s="28"/>
      <c r="BPQ269" s="28"/>
      <c r="BPR269" s="28"/>
      <c r="BPS269" s="28"/>
      <c r="BPT269" s="28"/>
      <c r="BPU269" s="28"/>
      <c r="BPV269" s="28"/>
      <c r="BPW269" s="28"/>
      <c r="BPX269" s="28"/>
      <c r="BPY269" s="28"/>
      <c r="BPZ269" s="28"/>
      <c r="BQA269" s="28"/>
      <c r="BQB269" s="28"/>
      <c r="BQC269" s="28"/>
      <c r="BQD269" s="28"/>
      <c r="BQE269" s="28"/>
      <c r="BQF269" s="28"/>
      <c r="BQG269" s="28"/>
      <c r="BQH269" s="28"/>
      <c r="BQI269" s="28"/>
      <c r="BQJ269" s="28"/>
      <c r="BQK269" s="28"/>
      <c r="BQL269" s="28"/>
      <c r="BQM269" s="28"/>
      <c r="BQN269" s="28"/>
      <c r="BQO269" s="28"/>
      <c r="BQP269" s="28"/>
      <c r="BQQ269" s="28"/>
      <c r="BQR269" s="28"/>
      <c r="BQS269" s="28"/>
      <c r="BQT269" s="28"/>
      <c r="BQU269" s="28"/>
      <c r="BQV269" s="28"/>
      <c r="BQW269" s="28"/>
      <c r="BQX269" s="28"/>
      <c r="BQY269" s="28"/>
      <c r="BQZ269" s="28"/>
      <c r="BRA269" s="28"/>
      <c r="BRB269" s="28"/>
      <c r="BRC269" s="28"/>
      <c r="BRD269" s="28"/>
      <c r="BRE269" s="28"/>
      <c r="BRF269" s="28"/>
      <c r="BRG269" s="28"/>
      <c r="BRH269" s="28"/>
      <c r="BRI269" s="28"/>
      <c r="BRJ269" s="28"/>
      <c r="BRK269" s="28"/>
      <c r="BRL269" s="28"/>
      <c r="BRM269" s="28"/>
      <c r="BRN269" s="28"/>
      <c r="BRO269" s="28"/>
      <c r="BRP269" s="28"/>
      <c r="BRQ269" s="28"/>
      <c r="BRR269" s="28"/>
      <c r="BRS269" s="28"/>
      <c r="BRT269" s="28"/>
      <c r="BRU269" s="28"/>
      <c r="BRV269" s="28"/>
      <c r="BRW269" s="28"/>
      <c r="BRX269" s="28"/>
      <c r="BRY269" s="28"/>
      <c r="BRZ269" s="28"/>
      <c r="BSA269" s="28"/>
      <c r="BSB269" s="28"/>
      <c r="BSC269" s="28"/>
      <c r="BSD269" s="28"/>
      <c r="BSE269" s="28"/>
      <c r="BSF269" s="28"/>
      <c r="BSG269" s="28"/>
      <c r="BSH269" s="28"/>
      <c r="BSI269" s="28"/>
      <c r="BSJ269" s="28"/>
      <c r="BSK269" s="28"/>
      <c r="BSL269" s="28"/>
      <c r="BSM269" s="28"/>
      <c r="BSN269" s="28"/>
      <c r="BSO269" s="28"/>
      <c r="BSP269" s="28"/>
      <c r="BSQ269" s="28"/>
      <c r="BSR269" s="28"/>
      <c r="BSS269" s="28"/>
      <c r="BST269" s="28"/>
      <c r="BSU269" s="28"/>
      <c r="BSV269" s="28"/>
      <c r="BSW269" s="28"/>
      <c r="BSX269" s="28"/>
      <c r="BSY269" s="28"/>
      <c r="BSZ269" s="28"/>
      <c r="BTA269" s="28"/>
      <c r="BTB269" s="28"/>
      <c r="BTC269" s="28"/>
      <c r="BTD269" s="28"/>
      <c r="BTE269" s="28"/>
      <c r="BTF269" s="28"/>
      <c r="BTG269" s="28"/>
      <c r="BTH269" s="28"/>
      <c r="BTI269" s="28"/>
      <c r="BTJ269" s="28"/>
      <c r="BTK269" s="28"/>
      <c r="BTL269" s="28"/>
      <c r="BTM269" s="28"/>
      <c r="BTN269" s="28"/>
      <c r="BTO269" s="28"/>
      <c r="BTP269" s="28"/>
      <c r="BTQ269" s="28"/>
      <c r="BTR269" s="28"/>
      <c r="BTS269" s="28"/>
      <c r="BTT269" s="28"/>
      <c r="BTU269" s="28"/>
      <c r="BTV269" s="28"/>
      <c r="BTW269" s="28"/>
      <c r="BTX269" s="28"/>
      <c r="BTY269" s="28"/>
      <c r="BTZ269" s="28"/>
      <c r="BUA269" s="28"/>
      <c r="BUB269" s="28"/>
      <c r="BUC269" s="28"/>
      <c r="BUD269" s="28"/>
      <c r="BUE269" s="28"/>
      <c r="BUF269" s="28"/>
      <c r="BUG269" s="28"/>
      <c r="BUH269" s="28"/>
      <c r="BUI269" s="28"/>
      <c r="BUJ269" s="28"/>
      <c r="BUK269" s="28"/>
      <c r="BUL269" s="28"/>
      <c r="BUM269" s="28"/>
      <c r="BUN269" s="28"/>
      <c r="BUO269" s="28"/>
      <c r="BUP269" s="28"/>
      <c r="BUQ269" s="28"/>
      <c r="BUR269" s="28"/>
      <c r="BUS269" s="28"/>
      <c r="BUT269" s="28"/>
      <c r="BUU269" s="28"/>
      <c r="BUV269" s="28"/>
      <c r="BUW269" s="28"/>
      <c r="BUX269" s="28"/>
      <c r="BUY269" s="28"/>
      <c r="BUZ269" s="28"/>
      <c r="BVA269" s="28"/>
      <c r="BVB269" s="28"/>
      <c r="BVC269" s="28"/>
      <c r="BVD269" s="28"/>
      <c r="BVE269" s="28"/>
      <c r="BVF269" s="28"/>
      <c r="BVG269" s="28"/>
      <c r="BVH269" s="28"/>
      <c r="BVI269" s="28"/>
      <c r="BVJ269" s="28"/>
      <c r="BVK269" s="28"/>
      <c r="BVL269" s="28"/>
      <c r="BVM269" s="28"/>
      <c r="BVN269" s="28"/>
      <c r="BVO269" s="28"/>
      <c r="BVP269" s="28"/>
      <c r="BVQ269" s="28"/>
      <c r="BVR269" s="28"/>
      <c r="BVS269" s="28"/>
      <c r="BVT269" s="28"/>
      <c r="BVU269" s="28"/>
      <c r="BVV269" s="28"/>
      <c r="BVW269" s="28"/>
      <c r="BVX269" s="28"/>
      <c r="BVY269" s="28"/>
      <c r="BVZ269" s="28"/>
      <c r="BWA269" s="28"/>
      <c r="BWB269" s="28"/>
      <c r="BWC269" s="28"/>
      <c r="BWD269" s="28"/>
      <c r="BWE269" s="28"/>
      <c r="BWF269" s="28"/>
      <c r="BWG269" s="28"/>
      <c r="BWH269" s="28"/>
      <c r="BWI269" s="28"/>
      <c r="BWJ269" s="28"/>
      <c r="BWK269" s="28"/>
      <c r="BWL269" s="28"/>
      <c r="BWM269" s="28"/>
      <c r="BWN269" s="28"/>
      <c r="BWO269" s="28"/>
      <c r="BWP269" s="28"/>
      <c r="BWQ269" s="28"/>
      <c r="BWR269" s="28"/>
      <c r="BWS269" s="28"/>
      <c r="BWT269" s="28"/>
      <c r="BWU269" s="28"/>
      <c r="BWV269" s="28"/>
      <c r="BWW269" s="28"/>
      <c r="BWX269" s="28"/>
      <c r="BWY269" s="28"/>
      <c r="BWZ269" s="28"/>
      <c r="BXA269" s="28"/>
      <c r="BXB269" s="28"/>
      <c r="BXC269" s="28"/>
      <c r="BXD269" s="28"/>
      <c r="BXE269" s="28"/>
      <c r="BXF269" s="28"/>
      <c r="BXG269" s="28"/>
      <c r="BXH269" s="28"/>
      <c r="BXI269" s="28"/>
      <c r="BXJ269" s="28"/>
      <c r="BXK269" s="28"/>
      <c r="BXL269" s="28"/>
      <c r="BXM269" s="28"/>
      <c r="BXN269" s="28"/>
      <c r="BXO269" s="28"/>
      <c r="BXP269" s="28"/>
      <c r="BXQ269" s="28"/>
      <c r="BXR269" s="28"/>
      <c r="BXS269" s="28"/>
      <c r="BXT269" s="28"/>
      <c r="BXU269" s="28"/>
      <c r="BXV269" s="28"/>
      <c r="BXW269" s="28"/>
      <c r="BXX269" s="28"/>
      <c r="BXY269" s="28"/>
      <c r="BXZ269" s="28"/>
      <c r="BYA269" s="28"/>
      <c r="BYB269" s="28"/>
      <c r="BYC269" s="28"/>
      <c r="BYD269" s="28"/>
      <c r="BYE269" s="28"/>
      <c r="BYF269" s="28"/>
      <c r="BYG269" s="28"/>
      <c r="BYH269" s="28"/>
      <c r="BYI269" s="28"/>
      <c r="BYJ269" s="28"/>
      <c r="BYK269" s="28"/>
      <c r="BYL269" s="28"/>
      <c r="BYM269" s="28"/>
      <c r="BYN269" s="28"/>
      <c r="BYO269" s="28"/>
      <c r="BYP269" s="28"/>
      <c r="BYQ269" s="28"/>
      <c r="BYR269" s="28"/>
      <c r="BYS269" s="28"/>
      <c r="BYT269" s="28"/>
      <c r="BYU269" s="28"/>
      <c r="BYV269" s="28"/>
      <c r="BYW269" s="28"/>
      <c r="BYX269" s="28"/>
      <c r="BYY269" s="28"/>
      <c r="BYZ269" s="28"/>
      <c r="BZA269" s="28"/>
      <c r="BZB269" s="28"/>
      <c r="BZC269" s="28"/>
      <c r="BZD269" s="28"/>
      <c r="BZE269" s="28"/>
      <c r="BZF269" s="28"/>
      <c r="BZG269" s="28"/>
      <c r="BZH269" s="28"/>
      <c r="BZI269" s="28"/>
      <c r="BZJ269" s="28"/>
      <c r="BZK269" s="28"/>
      <c r="BZL269" s="28"/>
      <c r="BZM269" s="28"/>
      <c r="BZN269" s="28"/>
      <c r="BZO269" s="28"/>
      <c r="BZP269" s="28"/>
      <c r="BZQ269" s="28"/>
      <c r="BZR269" s="28"/>
      <c r="BZS269" s="28"/>
      <c r="BZT269" s="28"/>
      <c r="BZU269" s="28"/>
      <c r="BZV269" s="28"/>
      <c r="BZW269" s="28"/>
      <c r="BZX269" s="28"/>
      <c r="BZY269" s="28"/>
      <c r="BZZ269" s="28"/>
      <c r="CAA269" s="28"/>
      <c r="CAB269" s="28"/>
      <c r="CAC269" s="28"/>
      <c r="CAD269" s="28"/>
      <c r="CAE269" s="28"/>
      <c r="CAF269" s="28"/>
      <c r="CAG269" s="28"/>
      <c r="CAH269" s="28"/>
      <c r="CAI269" s="28"/>
      <c r="CAJ269" s="28"/>
      <c r="CAK269" s="28"/>
      <c r="CAL269" s="28"/>
      <c r="CAM269" s="28"/>
      <c r="CAN269" s="28"/>
      <c r="CAO269" s="28"/>
      <c r="CAP269" s="28"/>
      <c r="CAQ269" s="28"/>
      <c r="CAR269" s="28"/>
      <c r="CAS269" s="28"/>
      <c r="CAT269" s="28"/>
      <c r="CAU269" s="28"/>
      <c r="CAV269" s="28"/>
      <c r="CAW269" s="28"/>
      <c r="CAX269" s="28"/>
      <c r="CAY269" s="28"/>
      <c r="CAZ269" s="28"/>
      <c r="CBA269" s="28"/>
      <c r="CBB269" s="28"/>
      <c r="CBC269" s="28"/>
      <c r="CBD269" s="28"/>
      <c r="CBE269" s="28"/>
      <c r="CBF269" s="28"/>
      <c r="CBG269" s="28"/>
      <c r="CBH269" s="28"/>
      <c r="CBI269" s="28"/>
      <c r="CBJ269" s="28"/>
      <c r="CBK269" s="28"/>
      <c r="CBL269" s="28"/>
      <c r="CBM269" s="28"/>
      <c r="CBN269" s="28"/>
      <c r="CBO269" s="28"/>
      <c r="CBP269" s="28"/>
      <c r="CBQ269" s="28"/>
      <c r="CBR269" s="28"/>
      <c r="CBS269" s="28"/>
      <c r="CBT269" s="28"/>
      <c r="CBU269" s="28"/>
      <c r="CBV269" s="28"/>
      <c r="CBW269" s="28"/>
      <c r="CBX269" s="28"/>
      <c r="CBY269" s="28"/>
      <c r="CBZ269" s="28"/>
      <c r="CCA269" s="28"/>
      <c r="CCB269" s="28"/>
      <c r="CCC269" s="28"/>
      <c r="CCD269" s="28"/>
      <c r="CCE269" s="28"/>
      <c r="CCF269" s="28"/>
      <c r="CCG269" s="28"/>
      <c r="CCH269" s="28"/>
      <c r="CCI269" s="28"/>
      <c r="CCJ269" s="28"/>
      <c r="CCK269" s="28"/>
      <c r="CCL269" s="28"/>
      <c r="CCM269" s="28"/>
      <c r="CCN269" s="28"/>
      <c r="CCO269" s="28"/>
      <c r="CCP269" s="28"/>
      <c r="CCQ269" s="28"/>
      <c r="CCR269" s="28"/>
      <c r="CCS269" s="28"/>
      <c r="CCT269" s="28"/>
      <c r="CCU269" s="28"/>
      <c r="CCV269" s="28"/>
      <c r="CCW269" s="28"/>
      <c r="CCX269" s="28"/>
      <c r="CCY269" s="28"/>
      <c r="CCZ269" s="28"/>
      <c r="CDA269" s="28"/>
      <c r="CDB269" s="28"/>
      <c r="CDC269" s="28"/>
      <c r="CDD269" s="28"/>
      <c r="CDE269" s="28"/>
      <c r="CDF269" s="28"/>
      <c r="CDG269" s="28"/>
      <c r="CDH269" s="28"/>
      <c r="CDI269" s="28"/>
      <c r="CDJ269" s="28"/>
      <c r="CDK269" s="28"/>
      <c r="CDL269" s="28"/>
      <c r="CDM269" s="28"/>
      <c r="CDN269" s="28"/>
      <c r="CDO269" s="28"/>
      <c r="CDP269" s="28"/>
      <c r="CDQ269" s="28"/>
      <c r="CDR269" s="28"/>
      <c r="CDS269" s="28"/>
      <c r="CDT269" s="28"/>
      <c r="CDU269" s="28"/>
      <c r="CDV269" s="28"/>
      <c r="CDW269" s="28"/>
      <c r="CDX269" s="28"/>
      <c r="CDY269" s="28"/>
      <c r="CDZ269" s="28"/>
      <c r="CEA269" s="28"/>
      <c r="CEB269" s="28"/>
      <c r="CEC269" s="28"/>
      <c r="CED269" s="28"/>
      <c r="CEE269" s="28"/>
      <c r="CEF269" s="28"/>
      <c r="CEG269" s="28"/>
      <c r="CEH269" s="28"/>
      <c r="CEI269" s="28"/>
      <c r="CEJ269" s="28"/>
      <c r="CEK269" s="28"/>
      <c r="CEL269" s="28"/>
      <c r="CEM269" s="28"/>
      <c r="CEN269" s="28"/>
      <c r="CEO269" s="28"/>
      <c r="CEP269" s="28"/>
      <c r="CEQ269" s="28"/>
      <c r="CER269" s="28"/>
      <c r="CES269" s="28"/>
      <c r="CET269" s="28"/>
      <c r="CEU269" s="28"/>
      <c r="CEV269" s="28"/>
      <c r="CEW269" s="28"/>
      <c r="CEX269" s="28"/>
      <c r="CEY269" s="28"/>
      <c r="CEZ269" s="28"/>
      <c r="CFA269" s="28"/>
      <c r="CFB269" s="28"/>
      <c r="CFC269" s="28"/>
      <c r="CFD269" s="28"/>
      <c r="CFE269" s="28"/>
      <c r="CFF269" s="28"/>
      <c r="CFG269" s="28"/>
      <c r="CFH269" s="28"/>
      <c r="CFI269" s="28"/>
      <c r="CFJ269" s="28"/>
      <c r="CFK269" s="28"/>
      <c r="CFL269" s="28"/>
      <c r="CFM269" s="28"/>
      <c r="CFN269" s="28"/>
      <c r="CFO269" s="28"/>
      <c r="CFP269" s="28"/>
      <c r="CFQ269" s="28"/>
      <c r="CFR269" s="28"/>
      <c r="CFS269" s="28"/>
      <c r="CFT269" s="28"/>
      <c r="CFU269" s="28"/>
      <c r="CFV269" s="28"/>
      <c r="CFW269" s="28"/>
      <c r="CFX269" s="28"/>
      <c r="CFY269" s="28"/>
      <c r="CFZ269" s="28"/>
      <c r="CGA269" s="28"/>
      <c r="CGB269" s="28"/>
      <c r="CGC269" s="28"/>
      <c r="CGD269" s="28"/>
      <c r="CGE269" s="28"/>
      <c r="CGF269" s="28"/>
      <c r="CGG269" s="28"/>
      <c r="CGH269" s="28"/>
      <c r="CGI269" s="28"/>
      <c r="CGJ269" s="28"/>
      <c r="CGK269" s="28"/>
      <c r="CGL269" s="28"/>
      <c r="CGM269" s="28"/>
      <c r="CGN269" s="28"/>
      <c r="CGO269" s="28"/>
      <c r="CGP269" s="28"/>
      <c r="CGQ269" s="28"/>
      <c r="CGR269" s="28"/>
      <c r="CGS269" s="28"/>
      <c r="CGT269" s="28"/>
      <c r="CGU269" s="28"/>
      <c r="CGV269" s="28"/>
      <c r="CGW269" s="28"/>
      <c r="CGX269" s="28"/>
      <c r="CGY269" s="28"/>
      <c r="CGZ269" s="28"/>
      <c r="CHA269" s="28"/>
      <c r="CHB269" s="28"/>
      <c r="CHC269" s="28"/>
      <c r="CHD269" s="28"/>
      <c r="CHE269" s="28"/>
      <c r="CHF269" s="28"/>
      <c r="CHG269" s="28"/>
      <c r="CHH269" s="28"/>
      <c r="CHI269" s="28"/>
      <c r="CHJ269" s="28"/>
      <c r="CHK269" s="28"/>
      <c r="CHL269" s="28"/>
      <c r="CHM269" s="28"/>
      <c r="CHN269" s="28"/>
      <c r="CHO269" s="28"/>
      <c r="CHP269" s="28"/>
      <c r="CHQ269" s="28"/>
      <c r="CHR269" s="28"/>
      <c r="CHS269" s="28"/>
      <c r="CHT269" s="28"/>
      <c r="CHU269" s="28"/>
      <c r="CHV269" s="28"/>
      <c r="CHW269" s="28"/>
      <c r="CHX269" s="28"/>
      <c r="CHY269" s="28"/>
      <c r="CHZ269" s="28"/>
      <c r="CIA269" s="28"/>
      <c r="CIB269" s="28"/>
      <c r="CIC269" s="28"/>
      <c r="CID269" s="28"/>
      <c r="CIE269" s="28"/>
      <c r="CIF269" s="28"/>
      <c r="CIG269" s="28"/>
      <c r="CIH269" s="28"/>
      <c r="CII269" s="28"/>
      <c r="CIJ269" s="28"/>
      <c r="CIK269" s="28"/>
      <c r="CIL269" s="28"/>
      <c r="CIM269" s="28"/>
      <c r="CIN269" s="28"/>
      <c r="CIO269" s="28"/>
      <c r="CIP269" s="28"/>
      <c r="CIQ269" s="28"/>
      <c r="CIR269" s="28"/>
      <c r="CIS269" s="28"/>
      <c r="CIT269" s="28"/>
      <c r="CIU269" s="28"/>
      <c r="CIV269" s="28"/>
      <c r="CIW269" s="28"/>
      <c r="CIX269" s="28"/>
      <c r="CIY269" s="28"/>
      <c r="CIZ269" s="28"/>
      <c r="CJA269" s="28"/>
      <c r="CJB269" s="28"/>
      <c r="CJC269" s="28"/>
      <c r="CJD269" s="28"/>
      <c r="CJE269" s="28"/>
      <c r="CJF269" s="28"/>
      <c r="CJG269" s="28"/>
      <c r="CJH269" s="28"/>
      <c r="CJI269" s="28"/>
      <c r="CJJ269" s="28"/>
      <c r="CJK269" s="28"/>
      <c r="CJL269" s="28"/>
      <c r="CJM269" s="28"/>
      <c r="CJN269" s="28"/>
      <c r="CJO269" s="28"/>
      <c r="CJP269" s="28"/>
      <c r="CJQ269" s="28"/>
      <c r="CJR269" s="28"/>
      <c r="CJS269" s="28"/>
      <c r="CJT269" s="28"/>
      <c r="CJU269" s="28"/>
      <c r="CJV269" s="28"/>
      <c r="CJW269" s="28"/>
      <c r="CJX269" s="28"/>
      <c r="CJY269" s="28"/>
      <c r="CJZ269" s="28"/>
      <c r="CKA269" s="28"/>
      <c r="CKB269" s="28"/>
      <c r="CKC269" s="28"/>
      <c r="CKD269" s="28"/>
      <c r="CKE269" s="28"/>
      <c r="CKF269" s="28"/>
      <c r="CKG269" s="28"/>
      <c r="CKH269" s="28"/>
      <c r="CKI269" s="28"/>
      <c r="CKJ269" s="28"/>
      <c r="CKK269" s="28"/>
      <c r="CKL269" s="28"/>
      <c r="CKM269" s="28"/>
      <c r="CKN269" s="28"/>
      <c r="CKO269" s="28"/>
      <c r="CKP269" s="28"/>
      <c r="CKQ269" s="28"/>
      <c r="CKR269" s="28"/>
      <c r="CKS269" s="28"/>
      <c r="CKT269" s="28"/>
      <c r="CKU269" s="28"/>
      <c r="CKV269" s="28"/>
      <c r="CKW269" s="28"/>
      <c r="CKX269" s="28"/>
      <c r="CKY269" s="28"/>
      <c r="CKZ269" s="28"/>
      <c r="CLA269" s="28"/>
      <c r="CLB269" s="28"/>
      <c r="CLC269" s="28"/>
      <c r="CLD269" s="28"/>
      <c r="CLE269" s="28"/>
      <c r="CLF269" s="28"/>
      <c r="CLG269" s="28"/>
      <c r="CLH269" s="28"/>
      <c r="CLI269" s="28"/>
      <c r="CLJ269" s="28"/>
      <c r="CLK269" s="28"/>
      <c r="CLL269" s="28"/>
      <c r="CLM269" s="28"/>
      <c r="CLN269" s="28"/>
      <c r="CLO269" s="28"/>
      <c r="CLP269" s="28"/>
      <c r="CLQ269" s="28"/>
      <c r="CLR269" s="28"/>
      <c r="CLS269" s="28"/>
      <c r="CLT269" s="28"/>
      <c r="CLU269" s="28"/>
      <c r="CLV269" s="28"/>
      <c r="CLW269" s="28"/>
      <c r="CLX269" s="28"/>
      <c r="CLY269" s="28"/>
      <c r="CLZ269" s="28"/>
      <c r="CMA269" s="28"/>
      <c r="CMB269" s="28"/>
      <c r="CMC269" s="28"/>
      <c r="CMD269" s="28"/>
      <c r="CME269" s="28"/>
      <c r="CMF269" s="28"/>
      <c r="CMG269" s="28"/>
      <c r="CMH269" s="28"/>
      <c r="CMI269" s="28"/>
      <c r="CMJ269" s="28"/>
      <c r="CMK269" s="28"/>
      <c r="CML269" s="28"/>
      <c r="CMM269" s="28"/>
      <c r="CMN269" s="28"/>
      <c r="CMO269" s="28"/>
      <c r="CMP269" s="28"/>
      <c r="CMQ269" s="28"/>
      <c r="CMR269" s="28"/>
      <c r="CMS269" s="28"/>
      <c r="CMT269" s="28"/>
      <c r="CMU269" s="28"/>
      <c r="CMV269" s="28"/>
      <c r="CMW269" s="28"/>
      <c r="CMX269" s="28"/>
      <c r="CMY269" s="28"/>
      <c r="CMZ269" s="28"/>
      <c r="CNA269" s="28"/>
      <c r="CNB269" s="28"/>
      <c r="CNC269" s="28"/>
      <c r="CND269" s="28"/>
      <c r="CNE269" s="28"/>
      <c r="CNF269" s="28"/>
      <c r="CNG269" s="28"/>
      <c r="CNH269" s="28"/>
      <c r="CNI269" s="28"/>
      <c r="CNJ269" s="28"/>
      <c r="CNK269" s="28"/>
      <c r="CNL269" s="28"/>
      <c r="CNM269" s="28"/>
      <c r="CNN269" s="28"/>
      <c r="CNO269" s="28"/>
      <c r="CNP269" s="28"/>
      <c r="CNQ269" s="28"/>
      <c r="CNR269" s="28"/>
      <c r="CNS269" s="28"/>
      <c r="CNT269" s="28"/>
      <c r="CNU269" s="28"/>
      <c r="CNV269" s="28"/>
      <c r="CNW269" s="28"/>
      <c r="CNX269" s="28"/>
      <c r="CNY269" s="28"/>
      <c r="CNZ269" s="28"/>
      <c r="COA269" s="28"/>
      <c r="COB269" s="28"/>
      <c r="COC269" s="28"/>
      <c r="COD269" s="28"/>
      <c r="COE269" s="28"/>
      <c r="COF269" s="28"/>
      <c r="COG269" s="28"/>
      <c r="COH269" s="28"/>
      <c r="COI269" s="28"/>
      <c r="COJ269" s="28"/>
      <c r="COK269" s="28"/>
      <c r="COL269" s="28"/>
      <c r="COM269" s="28"/>
      <c r="CON269" s="28"/>
      <c r="COO269" s="28"/>
      <c r="COP269" s="28"/>
      <c r="COQ269" s="28"/>
      <c r="COR269" s="28"/>
      <c r="COS269" s="28"/>
      <c r="COT269" s="28"/>
      <c r="COU269" s="28"/>
      <c r="COV269" s="28"/>
      <c r="COW269" s="28"/>
      <c r="COX269" s="28"/>
      <c r="COY269" s="28"/>
      <c r="COZ269" s="28"/>
      <c r="CPA269" s="28"/>
      <c r="CPB269" s="28"/>
      <c r="CPC269" s="28"/>
      <c r="CPD269" s="28"/>
      <c r="CPE269" s="28"/>
      <c r="CPF269" s="28"/>
      <c r="CPG269" s="28"/>
      <c r="CPH269" s="28"/>
      <c r="CPI269" s="28"/>
      <c r="CPJ269" s="28"/>
      <c r="CPK269" s="28"/>
      <c r="CPL269" s="28"/>
      <c r="CPM269" s="28"/>
      <c r="CPN269" s="28"/>
      <c r="CPO269" s="28"/>
      <c r="CPP269" s="28"/>
      <c r="CPQ269" s="28"/>
      <c r="CPR269" s="28"/>
      <c r="CPS269" s="28"/>
      <c r="CPT269" s="28"/>
      <c r="CPU269" s="28"/>
      <c r="CPV269" s="28"/>
      <c r="CPW269" s="28"/>
      <c r="CPX269" s="28"/>
      <c r="CPY269" s="28"/>
      <c r="CPZ269" s="28"/>
      <c r="CQA269" s="28"/>
      <c r="CQB269" s="28"/>
      <c r="CQC269" s="28"/>
      <c r="CQD269" s="28"/>
      <c r="CQE269" s="28"/>
      <c r="CQF269" s="28"/>
      <c r="CQG269" s="28"/>
      <c r="CQH269" s="28"/>
      <c r="CQI269" s="28"/>
      <c r="CQJ269" s="28"/>
      <c r="CQK269" s="28"/>
      <c r="CQL269" s="28"/>
      <c r="CQM269" s="28"/>
      <c r="CQN269" s="28"/>
      <c r="CQO269" s="28"/>
      <c r="CQP269" s="28"/>
      <c r="CQQ269" s="28"/>
      <c r="CQR269" s="28"/>
      <c r="CQS269" s="28"/>
      <c r="CQT269" s="28"/>
      <c r="CQU269" s="28"/>
      <c r="CQV269" s="28"/>
      <c r="CQW269" s="28"/>
      <c r="CQX269" s="28"/>
      <c r="CQY269" s="28"/>
      <c r="CQZ269" s="28"/>
      <c r="CRA269" s="28"/>
      <c r="CRB269" s="28"/>
      <c r="CRC269" s="28"/>
      <c r="CRD269" s="28"/>
      <c r="CRE269" s="28"/>
      <c r="CRF269" s="28"/>
      <c r="CRG269" s="28"/>
      <c r="CRH269" s="28"/>
      <c r="CRI269" s="28"/>
      <c r="CRJ269" s="28"/>
      <c r="CRK269" s="28"/>
      <c r="CRL269" s="28"/>
      <c r="CRM269" s="28"/>
      <c r="CRN269" s="28"/>
      <c r="CRO269" s="28"/>
      <c r="CRP269" s="28"/>
      <c r="CRQ269" s="28"/>
      <c r="CRR269" s="28"/>
      <c r="CRS269" s="28"/>
      <c r="CRT269" s="28"/>
      <c r="CRU269" s="28"/>
      <c r="CRV269" s="28"/>
      <c r="CRW269" s="28"/>
      <c r="CRX269" s="28"/>
      <c r="CRY269" s="28"/>
      <c r="CRZ269" s="28"/>
      <c r="CSA269" s="28"/>
      <c r="CSB269" s="28"/>
      <c r="CSC269" s="28"/>
      <c r="CSD269" s="28"/>
      <c r="CSE269" s="28"/>
      <c r="CSF269" s="28"/>
      <c r="CSG269" s="28"/>
      <c r="CSH269" s="28"/>
      <c r="CSI269" s="28"/>
      <c r="CSJ269" s="28"/>
      <c r="CSK269" s="28"/>
      <c r="CSL269" s="28"/>
      <c r="CSM269" s="28"/>
      <c r="CSN269" s="28"/>
      <c r="CSO269" s="28"/>
      <c r="CSP269" s="28"/>
      <c r="CSQ269" s="28"/>
      <c r="CSR269" s="28"/>
      <c r="CSS269" s="28"/>
      <c r="CST269" s="28"/>
      <c r="CSU269" s="28"/>
      <c r="CSV269" s="28"/>
      <c r="CSW269" s="28"/>
      <c r="CSX269" s="28"/>
      <c r="CSY269" s="28"/>
      <c r="CSZ269" s="28"/>
      <c r="CTA269" s="28"/>
      <c r="CTB269" s="28"/>
      <c r="CTC269" s="28"/>
      <c r="CTD269" s="28"/>
      <c r="CTE269" s="28"/>
      <c r="CTF269" s="28"/>
      <c r="CTG269" s="28"/>
      <c r="CTH269" s="28"/>
      <c r="CTI269" s="28"/>
      <c r="CTJ269" s="28"/>
      <c r="CTK269" s="28"/>
      <c r="CTL269" s="28"/>
      <c r="CTM269" s="28"/>
      <c r="CTN269" s="28"/>
      <c r="CTO269" s="28"/>
      <c r="CTP269" s="28"/>
      <c r="CTQ269" s="28"/>
      <c r="CTR269" s="28"/>
      <c r="CTS269" s="28"/>
      <c r="CTT269" s="28"/>
      <c r="CTU269" s="28"/>
      <c r="CTV269" s="28"/>
      <c r="CTW269" s="28"/>
      <c r="CTX269" s="28"/>
      <c r="CTY269" s="28"/>
      <c r="CTZ269" s="28"/>
      <c r="CUA269" s="28"/>
      <c r="CUB269" s="28"/>
      <c r="CUC269" s="28"/>
      <c r="CUD269" s="28"/>
      <c r="CUE269" s="28"/>
      <c r="CUF269" s="28"/>
      <c r="CUG269" s="28"/>
      <c r="CUH269" s="28"/>
      <c r="CUI269" s="28"/>
      <c r="CUJ269" s="28"/>
      <c r="CUK269" s="28"/>
      <c r="CUL269" s="28"/>
      <c r="CUM269" s="28"/>
      <c r="CUN269" s="28"/>
      <c r="CUO269" s="28"/>
      <c r="CUP269" s="28"/>
      <c r="CUQ269" s="28"/>
      <c r="CUR269" s="28"/>
      <c r="CUS269" s="28"/>
      <c r="CUT269" s="28"/>
      <c r="CUU269" s="28"/>
      <c r="CUV269" s="28"/>
      <c r="CUW269" s="28"/>
      <c r="CUX269" s="28"/>
      <c r="CUY269" s="28"/>
      <c r="CUZ269" s="28"/>
      <c r="CVA269" s="28"/>
      <c r="CVB269" s="28"/>
      <c r="CVC269" s="28"/>
      <c r="CVD269" s="28"/>
      <c r="CVE269" s="28"/>
      <c r="CVF269" s="28"/>
      <c r="CVG269" s="28"/>
      <c r="CVH269" s="28"/>
      <c r="CVI269" s="28"/>
      <c r="CVJ269" s="28"/>
      <c r="CVK269" s="28"/>
      <c r="CVL269" s="28"/>
      <c r="CVM269" s="28"/>
      <c r="CVN269" s="28"/>
      <c r="CVO269" s="28"/>
      <c r="CVP269" s="28"/>
      <c r="CVQ269" s="28"/>
      <c r="CVR269" s="28"/>
      <c r="CVS269" s="28"/>
      <c r="CVT269" s="28"/>
      <c r="CVU269" s="28"/>
      <c r="CVV269" s="28"/>
      <c r="CVW269" s="28"/>
      <c r="CVX269" s="28"/>
      <c r="CVY269" s="28"/>
      <c r="CVZ269" s="28"/>
      <c r="CWA269" s="28"/>
      <c r="CWB269" s="28"/>
      <c r="CWC269" s="28"/>
      <c r="CWD269" s="28"/>
      <c r="CWE269" s="28"/>
      <c r="CWF269" s="28"/>
      <c r="CWG269" s="28"/>
      <c r="CWH269" s="28"/>
      <c r="CWI269" s="28"/>
      <c r="CWJ269" s="28"/>
      <c r="CWK269" s="28"/>
      <c r="CWL269" s="28"/>
      <c r="CWM269" s="28"/>
      <c r="CWN269" s="28"/>
      <c r="CWO269" s="28"/>
      <c r="CWP269" s="28"/>
      <c r="CWQ269" s="28"/>
      <c r="CWR269" s="28"/>
      <c r="CWS269" s="28"/>
      <c r="CWT269" s="28"/>
      <c r="CWU269" s="28"/>
      <c r="CWV269" s="28"/>
      <c r="CWW269" s="28"/>
      <c r="CWX269" s="28"/>
      <c r="CWY269" s="28"/>
      <c r="CWZ269" s="28"/>
      <c r="CXA269" s="28"/>
      <c r="CXB269" s="28"/>
      <c r="CXC269" s="28"/>
      <c r="CXD269" s="28"/>
      <c r="CXE269" s="28"/>
      <c r="CXF269" s="28"/>
      <c r="CXG269" s="28"/>
      <c r="CXH269" s="28"/>
      <c r="CXI269" s="28"/>
      <c r="CXJ269" s="28"/>
      <c r="CXK269" s="28"/>
      <c r="CXL269" s="28"/>
      <c r="CXM269" s="28"/>
      <c r="CXN269" s="28"/>
      <c r="CXO269" s="28"/>
      <c r="CXP269" s="28"/>
      <c r="CXQ269" s="28"/>
      <c r="CXR269" s="28"/>
      <c r="CXS269" s="28"/>
      <c r="CXT269" s="28"/>
      <c r="CXU269" s="28"/>
      <c r="CXV269" s="28"/>
      <c r="CXW269" s="28"/>
      <c r="CXX269" s="28"/>
      <c r="CXY269" s="28"/>
      <c r="CXZ269" s="28"/>
      <c r="CYA269" s="28"/>
      <c r="CYB269" s="28"/>
      <c r="CYC269" s="28"/>
      <c r="CYD269" s="28"/>
      <c r="CYE269" s="28"/>
      <c r="CYF269" s="28"/>
      <c r="CYG269" s="28"/>
      <c r="CYH269" s="28"/>
      <c r="CYI269" s="28"/>
      <c r="CYJ269" s="28"/>
      <c r="CYK269" s="28"/>
      <c r="CYL269" s="28"/>
      <c r="CYM269" s="28"/>
      <c r="CYN269" s="28"/>
      <c r="CYO269" s="28"/>
      <c r="CYP269" s="28"/>
      <c r="CYQ269" s="28"/>
      <c r="CYR269" s="28"/>
      <c r="CYS269" s="28"/>
      <c r="CYT269" s="28"/>
      <c r="CYU269" s="28"/>
      <c r="CYV269" s="28"/>
      <c r="CYW269" s="28"/>
      <c r="CYX269" s="28"/>
      <c r="CYY269" s="28"/>
      <c r="CYZ269" s="28"/>
      <c r="CZA269" s="28"/>
      <c r="CZB269" s="28"/>
      <c r="CZC269" s="28"/>
      <c r="CZD269" s="28"/>
      <c r="CZE269" s="28"/>
      <c r="CZF269" s="28"/>
      <c r="CZG269" s="28"/>
      <c r="CZH269" s="28"/>
      <c r="CZI269" s="28"/>
      <c r="CZJ269" s="28"/>
      <c r="CZK269" s="28"/>
      <c r="CZL269" s="28"/>
      <c r="CZM269" s="28"/>
      <c r="CZN269" s="28"/>
      <c r="CZO269" s="28"/>
      <c r="CZP269" s="28"/>
      <c r="CZQ269" s="28"/>
      <c r="CZR269" s="28"/>
      <c r="CZS269" s="28"/>
      <c r="CZT269" s="28"/>
      <c r="CZU269" s="28"/>
      <c r="CZV269" s="28"/>
      <c r="CZW269" s="28"/>
      <c r="CZX269" s="28"/>
      <c r="CZY269" s="28"/>
      <c r="CZZ269" s="28"/>
      <c r="DAA269" s="28"/>
      <c r="DAB269" s="28"/>
      <c r="DAC269" s="28"/>
      <c r="DAD269" s="28"/>
      <c r="DAE269" s="28"/>
      <c r="DAF269" s="28"/>
      <c r="DAG269" s="28"/>
      <c r="DAH269" s="28"/>
      <c r="DAI269" s="28"/>
      <c r="DAJ269" s="28"/>
      <c r="DAK269" s="28"/>
      <c r="DAL269" s="28"/>
      <c r="DAM269" s="28"/>
      <c r="DAN269" s="28"/>
      <c r="DAO269" s="28"/>
      <c r="DAP269" s="28"/>
      <c r="DAQ269" s="28"/>
      <c r="DAR269" s="28"/>
      <c r="DAS269" s="28"/>
      <c r="DAT269" s="28"/>
      <c r="DAU269" s="28"/>
      <c r="DAV269" s="28"/>
      <c r="DAW269" s="28"/>
      <c r="DAX269" s="28"/>
      <c r="DAY269" s="28"/>
      <c r="DAZ269" s="28"/>
      <c r="DBA269" s="28"/>
      <c r="DBB269" s="28"/>
      <c r="DBC269" s="28"/>
      <c r="DBD269" s="28"/>
      <c r="DBE269" s="28"/>
      <c r="DBF269" s="28"/>
      <c r="DBG269" s="28"/>
      <c r="DBH269" s="28"/>
      <c r="DBI269" s="28"/>
      <c r="DBJ269" s="28"/>
      <c r="DBK269" s="28"/>
      <c r="DBL269" s="28"/>
      <c r="DBM269" s="28"/>
      <c r="DBN269" s="28"/>
      <c r="DBO269" s="28"/>
      <c r="DBP269" s="28"/>
      <c r="DBQ269" s="28"/>
      <c r="DBR269" s="28"/>
      <c r="DBS269" s="28"/>
      <c r="DBT269" s="28"/>
      <c r="DBU269" s="28"/>
      <c r="DBV269" s="28"/>
      <c r="DBW269" s="28"/>
      <c r="DBX269" s="28"/>
      <c r="DBY269" s="28"/>
      <c r="DBZ269" s="28"/>
      <c r="DCA269" s="28"/>
      <c r="DCB269" s="28"/>
      <c r="DCC269" s="28"/>
      <c r="DCD269" s="28"/>
      <c r="DCE269" s="28"/>
      <c r="DCF269" s="28"/>
      <c r="DCG269" s="28"/>
      <c r="DCH269" s="28"/>
      <c r="DCI269" s="28"/>
      <c r="DCJ269" s="28"/>
      <c r="DCK269" s="28"/>
      <c r="DCL269" s="28"/>
      <c r="DCM269" s="28"/>
      <c r="DCN269" s="28"/>
      <c r="DCO269" s="28"/>
      <c r="DCP269" s="28"/>
      <c r="DCQ269" s="28"/>
      <c r="DCR269" s="28"/>
      <c r="DCS269" s="28"/>
      <c r="DCT269" s="28"/>
      <c r="DCU269" s="28"/>
      <c r="DCV269" s="28"/>
      <c r="DCW269" s="28"/>
      <c r="DCX269" s="28"/>
      <c r="DCY269" s="28"/>
      <c r="DCZ269" s="28"/>
      <c r="DDA269" s="28"/>
      <c r="DDB269" s="28"/>
      <c r="DDC269" s="28"/>
      <c r="DDD269" s="28"/>
      <c r="DDE269" s="28"/>
      <c r="DDF269" s="28"/>
      <c r="DDG269" s="28"/>
      <c r="DDH269" s="28"/>
      <c r="DDI269" s="28"/>
      <c r="DDJ269" s="28"/>
      <c r="DDK269" s="28"/>
      <c r="DDL269" s="28"/>
      <c r="DDM269" s="28"/>
      <c r="DDN269" s="28"/>
      <c r="DDO269" s="28"/>
      <c r="DDP269" s="28"/>
      <c r="DDQ269" s="28"/>
      <c r="DDR269" s="28"/>
      <c r="DDS269" s="28"/>
      <c r="DDT269" s="28"/>
      <c r="DDU269" s="28"/>
      <c r="DDV269" s="28"/>
      <c r="DDW269" s="28"/>
      <c r="DDX269" s="28"/>
      <c r="DDY269" s="28"/>
      <c r="DDZ269" s="28"/>
      <c r="DEA269" s="28"/>
      <c r="DEB269" s="28"/>
      <c r="DEC269" s="28"/>
      <c r="DED269" s="28"/>
      <c r="DEE269" s="28"/>
      <c r="DEF269" s="28"/>
      <c r="DEG269" s="28"/>
      <c r="DEH269" s="28"/>
      <c r="DEI269" s="28"/>
      <c r="DEJ269" s="28"/>
      <c r="DEK269" s="28"/>
      <c r="DEL269" s="28"/>
      <c r="DEM269" s="28"/>
      <c r="DEN269" s="28"/>
      <c r="DEO269" s="28"/>
      <c r="DEP269" s="28"/>
      <c r="DEQ269" s="28"/>
      <c r="DER269" s="28"/>
      <c r="DES269" s="28"/>
      <c r="DET269" s="28"/>
      <c r="DEU269" s="28"/>
      <c r="DEV269" s="28"/>
      <c r="DEW269" s="28"/>
      <c r="DEX269" s="28"/>
      <c r="DEY269" s="28"/>
      <c r="DEZ269" s="28"/>
      <c r="DFA269" s="28"/>
      <c r="DFB269" s="28"/>
      <c r="DFC269" s="28"/>
      <c r="DFD269" s="28"/>
      <c r="DFE269" s="28"/>
      <c r="DFF269" s="28"/>
      <c r="DFG269" s="28"/>
      <c r="DFH269" s="28"/>
      <c r="DFI269" s="28"/>
      <c r="DFJ269" s="28"/>
      <c r="DFK269" s="28"/>
      <c r="DFL269" s="28"/>
      <c r="DFM269" s="28"/>
      <c r="DFN269" s="28"/>
      <c r="DFO269" s="28"/>
      <c r="DFP269" s="28"/>
      <c r="DFQ269" s="28"/>
      <c r="DFR269" s="28"/>
      <c r="DFS269" s="28"/>
      <c r="DFT269" s="28"/>
      <c r="DFU269" s="28"/>
      <c r="DFV269" s="28"/>
      <c r="DFW269" s="28"/>
      <c r="DFX269" s="28"/>
      <c r="DFY269" s="28"/>
      <c r="DFZ269" s="28"/>
      <c r="DGA269" s="28"/>
      <c r="DGB269" s="28"/>
      <c r="DGC269" s="28"/>
      <c r="DGD269" s="28"/>
      <c r="DGE269" s="28"/>
      <c r="DGF269" s="28"/>
      <c r="DGG269" s="28"/>
      <c r="DGH269" s="28"/>
      <c r="DGI269" s="28"/>
      <c r="DGJ269" s="28"/>
      <c r="DGK269" s="28"/>
      <c r="DGL269" s="28"/>
      <c r="DGM269" s="28"/>
      <c r="DGN269" s="28"/>
      <c r="DGO269" s="28"/>
      <c r="DGP269" s="28"/>
      <c r="DGQ269" s="28"/>
      <c r="DGR269" s="28"/>
      <c r="DGS269" s="28"/>
      <c r="DGT269" s="28"/>
      <c r="DGU269" s="28"/>
      <c r="DGV269" s="28"/>
      <c r="DGW269" s="28"/>
      <c r="DGX269" s="28"/>
      <c r="DGY269" s="28"/>
      <c r="DGZ269" s="28"/>
      <c r="DHA269" s="28"/>
      <c r="DHB269" s="28"/>
      <c r="DHC269" s="28"/>
      <c r="DHD269" s="28"/>
      <c r="DHE269" s="28"/>
      <c r="DHF269" s="28"/>
      <c r="DHG269" s="28"/>
      <c r="DHH269" s="28"/>
      <c r="DHI269" s="28"/>
      <c r="DHJ269" s="28"/>
      <c r="DHK269" s="28"/>
      <c r="DHL269" s="28"/>
      <c r="DHM269" s="28"/>
      <c r="DHN269" s="28"/>
      <c r="DHO269" s="28"/>
      <c r="DHP269" s="28"/>
      <c r="DHQ269" s="28"/>
      <c r="DHR269" s="28"/>
      <c r="DHS269" s="28"/>
      <c r="DHT269" s="28"/>
      <c r="DHU269" s="28"/>
      <c r="DHV269" s="28"/>
      <c r="DHW269" s="28"/>
      <c r="DHX269" s="28"/>
      <c r="DHY269" s="28"/>
      <c r="DHZ269" s="28"/>
      <c r="DIA269" s="28"/>
      <c r="DIB269" s="28"/>
      <c r="DIC269" s="28"/>
      <c r="DID269" s="28"/>
      <c r="DIE269" s="28"/>
      <c r="DIF269" s="28"/>
      <c r="DIG269" s="28"/>
      <c r="DIH269" s="28"/>
      <c r="DII269" s="28"/>
      <c r="DIJ269" s="28"/>
      <c r="DIK269" s="28"/>
      <c r="DIL269" s="28"/>
      <c r="DIM269" s="28"/>
      <c r="DIN269" s="28"/>
      <c r="DIO269" s="28"/>
      <c r="DIP269" s="28"/>
      <c r="DIQ269" s="28"/>
      <c r="DIR269" s="28"/>
      <c r="DIS269" s="28"/>
      <c r="DIT269" s="28"/>
      <c r="DIU269" s="28"/>
      <c r="DIV269" s="28"/>
      <c r="DIW269" s="28"/>
      <c r="DIX269" s="28"/>
      <c r="DIY269" s="28"/>
      <c r="DIZ269" s="28"/>
      <c r="DJA269" s="28"/>
      <c r="DJB269" s="28"/>
      <c r="DJC269" s="28"/>
      <c r="DJD269" s="28"/>
      <c r="DJE269" s="28"/>
      <c r="DJF269" s="28"/>
      <c r="DJG269" s="28"/>
      <c r="DJH269" s="28"/>
      <c r="DJI269" s="28"/>
      <c r="DJJ269" s="28"/>
      <c r="DJK269" s="28"/>
      <c r="DJL269" s="28"/>
      <c r="DJM269" s="28"/>
      <c r="DJN269" s="28"/>
      <c r="DJO269" s="28"/>
      <c r="DJP269" s="28"/>
      <c r="DJQ269" s="28"/>
      <c r="DJR269" s="28"/>
      <c r="DJS269" s="28"/>
      <c r="DJT269" s="28"/>
      <c r="DJU269" s="28"/>
      <c r="DJV269" s="28"/>
      <c r="DJW269" s="28"/>
      <c r="DJX269" s="28"/>
      <c r="DJY269" s="28"/>
      <c r="DJZ269" s="28"/>
      <c r="DKA269" s="28"/>
      <c r="DKB269" s="28"/>
      <c r="DKC269" s="28"/>
      <c r="DKD269" s="28"/>
      <c r="DKE269" s="28"/>
      <c r="DKF269" s="28"/>
      <c r="DKG269" s="28"/>
      <c r="DKH269" s="28"/>
      <c r="DKI269" s="28"/>
      <c r="DKJ269" s="28"/>
      <c r="DKK269" s="28"/>
      <c r="DKL269" s="28"/>
      <c r="DKM269" s="28"/>
      <c r="DKN269" s="28"/>
      <c r="DKO269" s="28"/>
      <c r="DKP269" s="28"/>
      <c r="DKQ269" s="28"/>
      <c r="DKR269" s="28"/>
      <c r="DKS269" s="28"/>
      <c r="DKT269" s="28"/>
      <c r="DKU269" s="28"/>
      <c r="DKV269" s="28"/>
      <c r="DKW269" s="28"/>
      <c r="DKX269" s="28"/>
      <c r="DKY269" s="28"/>
      <c r="DKZ269" s="28"/>
      <c r="DLA269" s="28"/>
      <c r="DLB269" s="28"/>
      <c r="DLC269" s="28"/>
      <c r="DLD269" s="28"/>
      <c r="DLE269" s="28"/>
      <c r="DLF269" s="28"/>
      <c r="DLG269" s="28"/>
      <c r="DLH269" s="28"/>
      <c r="DLI269" s="28"/>
      <c r="DLJ269" s="28"/>
      <c r="DLK269" s="28"/>
      <c r="DLL269" s="28"/>
      <c r="DLM269" s="28"/>
      <c r="DLN269" s="28"/>
      <c r="DLO269" s="28"/>
      <c r="DLP269" s="28"/>
      <c r="DLQ269" s="28"/>
      <c r="DLR269" s="28"/>
      <c r="DLS269" s="28"/>
      <c r="DLT269" s="28"/>
      <c r="DLU269" s="28"/>
      <c r="DLV269" s="28"/>
      <c r="DLW269" s="28"/>
      <c r="DLX269" s="28"/>
      <c r="DLY269" s="28"/>
      <c r="DLZ269" s="28"/>
      <c r="DMA269" s="28"/>
      <c r="DMB269" s="28"/>
      <c r="DMC269" s="28"/>
      <c r="DMD269" s="28"/>
      <c r="DME269" s="28"/>
      <c r="DMF269" s="28"/>
      <c r="DMG269" s="28"/>
      <c r="DMH269" s="28"/>
      <c r="DMI269" s="28"/>
      <c r="DMJ269" s="28"/>
      <c r="DMK269" s="28"/>
      <c r="DML269" s="28"/>
      <c r="DMM269" s="28"/>
      <c r="DMN269" s="28"/>
      <c r="DMO269" s="28"/>
      <c r="DMP269" s="28"/>
      <c r="DMQ269" s="28"/>
      <c r="DMR269" s="28"/>
      <c r="DMS269" s="28"/>
      <c r="DMT269" s="28"/>
      <c r="DMU269" s="28"/>
      <c r="DMV269" s="28"/>
      <c r="DMW269" s="28"/>
      <c r="DMX269" s="28"/>
      <c r="DMY269" s="28"/>
      <c r="DMZ269" s="28"/>
      <c r="DNA269" s="28"/>
      <c r="DNB269" s="28"/>
      <c r="DNC269" s="28"/>
      <c r="DND269" s="28"/>
      <c r="DNE269" s="28"/>
      <c r="DNF269" s="28"/>
      <c r="DNG269" s="28"/>
      <c r="DNH269" s="28"/>
      <c r="DNI269" s="28"/>
      <c r="DNJ269" s="28"/>
      <c r="DNK269" s="28"/>
      <c r="DNL269" s="28"/>
      <c r="DNM269" s="28"/>
      <c r="DNN269" s="28"/>
      <c r="DNO269" s="28"/>
      <c r="DNP269" s="28"/>
      <c r="DNQ269" s="28"/>
      <c r="DNR269" s="28"/>
      <c r="DNS269" s="28"/>
      <c r="DNT269" s="28"/>
      <c r="DNU269" s="28"/>
      <c r="DNV269" s="28"/>
      <c r="DNW269" s="28"/>
      <c r="DNX269" s="28"/>
      <c r="DNY269" s="28"/>
      <c r="DNZ269" s="28"/>
      <c r="DOA269" s="28"/>
      <c r="DOB269" s="28"/>
      <c r="DOC269" s="28"/>
      <c r="DOD269" s="28"/>
      <c r="DOE269" s="28"/>
      <c r="DOF269" s="28"/>
      <c r="DOG269" s="28"/>
      <c r="DOH269" s="28"/>
      <c r="DOI269" s="28"/>
      <c r="DOJ269" s="28"/>
      <c r="DOK269" s="28"/>
      <c r="DOL269" s="28"/>
      <c r="DOM269" s="28"/>
      <c r="DON269" s="28"/>
      <c r="DOO269" s="28"/>
      <c r="DOP269" s="28"/>
      <c r="DOQ269" s="28"/>
      <c r="DOR269" s="28"/>
      <c r="DOS269" s="28"/>
      <c r="DOT269" s="28"/>
      <c r="DOU269" s="28"/>
      <c r="DOV269" s="28"/>
      <c r="DOW269" s="28"/>
      <c r="DOX269" s="28"/>
      <c r="DOY269" s="28"/>
      <c r="DOZ269" s="28"/>
      <c r="DPA269" s="28"/>
      <c r="DPB269" s="28"/>
      <c r="DPC269" s="28"/>
      <c r="DPD269" s="28"/>
      <c r="DPE269" s="28"/>
      <c r="DPF269" s="28"/>
      <c r="DPG269" s="28"/>
      <c r="DPH269" s="28"/>
      <c r="DPI269" s="28"/>
      <c r="DPJ269" s="28"/>
      <c r="DPK269" s="28"/>
      <c r="DPL269" s="28"/>
      <c r="DPM269" s="28"/>
      <c r="DPN269" s="28"/>
      <c r="DPO269" s="28"/>
      <c r="DPP269" s="28"/>
      <c r="DPQ269" s="28"/>
      <c r="DPR269" s="28"/>
      <c r="DPS269" s="28"/>
      <c r="DPT269" s="28"/>
      <c r="DPU269" s="28"/>
      <c r="DPV269" s="28"/>
      <c r="DPW269" s="28"/>
      <c r="DPX269" s="28"/>
      <c r="DPY269" s="28"/>
      <c r="DPZ269" s="28"/>
      <c r="DQA269" s="28"/>
      <c r="DQB269" s="28"/>
      <c r="DQC269" s="28"/>
      <c r="DQD269" s="28"/>
      <c r="DQE269" s="28"/>
      <c r="DQF269" s="28"/>
      <c r="DQG269" s="28"/>
      <c r="DQH269" s="28"/>
      <c r="DQI269" s="28"/>
      <c r="DQJ269" s="28"/>
      <c r="DQK269" s="28"/>
      <c r="DQL269" s="28"/>
      <c r="DQM269" s="28"/>
      <c r="DQN269" s="28"/>
      <c r="DQO269" s="28"/>
      <c r="DQP269" s="28"/>
      <c r="DQQ269" s="28"/>
      <c r="DQR269" s="28"/>
      <c r="DQS269" s="28"/>
      <c r="DQT269" s="28"/>
      <c r="DQU269" s="28"/>
      <c r="DQV269" s="28"/>
      <c r="DQW269" s="28"/>
      <c r="DQX269" s="28"/>
      <c r="DQY269" s="28"/>
      <c r="DQZ269" s="28"/>
      <c r="DRA269" s="28"/>
      <c r="DRB269" s="28"/>
      <c r="DRC269" s="28"/>
      <c r="DRD269" s="28"/>
      <c r="DRE269" s="28"/>
      <c r="DRF269" s="28"/>
      <c r="DRG269" s="28"/>
      <c r="DRH269" s="28"/>
      <c r="DRI269" s="28"/>
      <c r="DRJ269" s="28"/>
      <c r="DRK269" s="28"/>
      <c r="DRL269" s="28"/>
      <c r="DRM269" s="28"/>
      <c r="DRN269" s="28"/>
      <c r="DRO269" s="28"/>
      <c r="DRP269" s="28"/>
      <c r="DRQ269" s="28"/>
      <c r="DRR269" s="28"/>
      <c r="DRS269" s="28"/>
      <c r="DRT269" s="28"/>
      <c r="DRU269" s="28"/>
      <c r="DRV269" s="28"/>
      <c r="DRW269" s="28"/>
      <c r="DRX269" s="28"/>
      <c r="DRY269" s="28"/>
      <c r="DRZ269" s="28"/>
      <c r="DSA269" s="28"/>
      <c r="DSB269" s="28"/>
      <c r="DSC269" s="28"/>
      <c r="DSD269" s="28"/>
      <c r="DSE269" s="28"/>
      <c r="DSF269" s="28"/>
      <c r="DSG269" s="28"/>
      <c r="DSH269" s="28"/>
      <c r="DSI269" s="28"/>
      <c r="DSJ269" s="28"/>
      <c r="DSK269" s="28"/>
      <c r="DSL269" s="28"/>
      <c r="DSM269" s="28"/>
      <c r="DSN269" s="28"/>
      <c r="DSO269" s="28"/>
      <c r="DSP269" s="28"/>
      <c r="DSQ269" s="28"/>
      <c r="DSR269" s="28"/>
      <c r="DSS269" s="28"/>
      <c r="DST269" s="28"/>
      <c r="DSU269" s="28"/>
      <c r="DSV269" s="28"/>
      <c r="DSW269" s="28"/>
      <c r="DSX269" s="28"/>
      <c r="DSY269" s="28"/>
      <c r="DSZ269" s="28"/>
      <c r="DTA269" s="28"/>
      <c r="DTB269" s="28"/>
      <c r="DTC269" s="28"/>
      <c r="DTD269" s="28"/>
      <c r="DTE269" s="28"/>
      <c r="DTF269" s="28"/>
      <c r="DTG269" s="28"/>
      <c r="DTH269" s="28"/>
      <c r="DTI269" s="28"/>
      <c r="DTJ269" s="28"/>
      <c r="DTK269" s="28"/>
      <c r="DTL269" s="28"/>
      <c r="DTM269" s="28"/>
      <c r="DTN269" s="28"/>
      <c r="DTO269" s="28"/>
      <c r="DTP269" s="28"/>
      <c r="DTQ269" s="28"/>
      <c r="DTR269" s="28"/>
      <c r="DTS269" s="28"/>
      <c r="DTT269" s="28"/>
      <c r="DTU269" s="28"/>
      <c r="DTV269" s="28"/>
      <c r="DTW269" s="28"/>
      <c r="DTX269" s="28"/>
      <c r="DTY269" s="28"/>
      <c r="DTZ269" s="28"/>
      <c r="DUA269" s="28"/>
      <c r="DUB269" s="28"/>
      <c r="DUC269" s="28"/>
      <c r="DUD269" s="28"/>
      <c r="DUE269" s="28"/>
      <c r="DUF269" s="28"/>
      <c r="DUG269" s="28"/>
      <c r="DUH269" s="28"/>
      <c r="DUI269" s="28"/>
      <c r="DUJ269" s="28"/>
      <c r="DUK269" s="28"/>
      <c r="DUL269" s="28"/>
      <c r="DUM269" s="28"/>
      <c r="DUN269" s="28"/>
      <c r="DUO269" s="28"/>
      <c r="DUP269" s="28"/>
      <c r="DUQ269" s="28"/>
      <c r="DUR269" s="28"/>
      <c r="DUS269" s="28"/>
      <c r="DUT269" s="28"/>
      <c r="DUU269" s="28"/>
      <c r="DUV269" s="28"/>
      <c r="DUW269" s="28"/>
      <c r="DUX269" s="28"/>
      <c r="DUY269" s="28"/>
      <c r="DUZ269" s="28"/>
      <c r="DVA269" s="28"/>
      <c r="DVB269" s="28"/>
      <c r="DVC269" s="28"/>
      <c r="DVD269" s="28"/>
      <c r="DVE269" s="28"/>
      <c r="DVF269" s="28"/>
      <c r="DVG269" s="28"/>
      <c r="DVH269" s="28"/>
      <c r="DVI269" s="28"/>
      <c r="DVJ269" s="28"/>
      <c r="DVK269" s="28"/>
      <c r="DVL269" s="28"/>
      <c r="DVM269" s="28"/>
      <c r="DVN269" s="28"/>
      <c r="DVO269" s="28"/>
      <c r="DVP269" s="28"/>
      <c r="DVQ269" s="28"/>
      <c r="DVR269" s="28"/>
      <c r="DVS269" s="28"/>
      <c r="DVT269" s="28"/>
      <c r="DVU269" s="28"/>
      <c r="DVV269" s="28"/>
      <c r="DVW269" s="28"/>
      <c r="DVX269" s="28"/>
      <c r="DVY269" s="28"/>
      <c r="DVZ269" s="28"/>
      <c r="DWA269" s="28"/>
      <c r="DWB269" s="28"/>
      <c r="DWC269" s="28"/>
      <c r="DWD269" s="28"/>
      <c r="DWE269" s="28"/>
      <c r="DWF269" s="28"/>
      <c r="DWG269" s="28"/>
      <c r="DWH269" s="28"/>
      <c r="DWI269" s="28"/>
      <c r="DWJ269" s="28"/>
      <c r="DWK269" s="28"/>
      <c r="DWL269" s="28"/>
      <c r="DWM269" s="28"/>
      <c r="DWN269" s="28"/>
      <c r="DWO269" s="28"/>
      <c r="DWP269" s="28"/>
      <c r="DWQ269" s="28"/>
      <c r="DWR269" s="28"/>
      <c r="DWS269" s="28"/>
      <c r="DWT269" s="28"/>
      <c r="DWU269" s="28"/>
      <c r="DWV269" s="28"/>
      <c r="DWW269" s="28"/>
      <c r="DWX269" s="28"/>
      <c r="DWY269" s="28"/>
      <c r="DWZ269" s="28"/>
      <c r="DXA269" s="28"/>
      <c r="DXB269" s="28"/>
      <c r="DXC269" s="28"/>
      <c r="DXD269" s="28"/>
      <c r="DXE269" s="28"/>
      <c r="DXF269" s="28"/>
      <c r="DXG269" s="28"/>
      <c r="DXH269" s="28"/>
      <c r="DXI269" s="28"/>
      <c r="DXJ269" s="28"/>
      <c r="DXK269" s="28"/>
      <c r="DXL269" s="28"/>
      <c r="DXM269" s="28"/>
      <c r="DXN269" s="28"/>
      <c r="DXO269" s="28"/>
      <c r="DXP269" s="28"/>
      <c r="DXQ269" s="28"/>
      <c r="DXR269" s="28"/>
      <c r="DXS269" s="28"/>
      <c r="DXT269" s="28"/>
      <c r="DXU269" s="28"/>
      <c r="DXV269" s="28"/>
      <c r="DXW269" s="28"/>
      <c r="DXX269" s="28"/>
      <c r="DXY269" s="28"/>
      <c r="DXZ269" s="28"/>
      <c r="DYA269" s="28"/>
      <c r="DYB269" s="28"/>
      <c r="DYC269" s="28"/>
      <c r="DYD269" s="28"/>
      <c r="DYE269" s="28"/>
      <c r="DYF269" s="28"/>
      <c r="DYG269" s="28"/>
      <c r="DYH269" s="28"/>
      <c r="DYI269" s="28"/>
      <c r="DYJ269" s="28"/>
      <c r="DYK269" s="28"/>
      <c r="DYL269" s="28"/>
      <c r="DYM269" s="28"/>
      <c r="DYN269" s="28"/>
      <c r="DYO269" s="28"/>
      <c r="DYP269" s="28"/>
      <c r="DYQ269" s="28"/>
      <c r="DYR269" s="28"/>
      <c r="DYS269" s="28"/>
      <c r="DYT269" s="28"/>
      <c r="DYU269" s="28"/>
      <c r="DYV269" s="28"/>
      <c r="DYW269" s="28"/>
      <c r="DYX269" s="28"/>
      <c r="DYY269" s="28"/>
      <c r="DYZ269" s="28"/>
      <c r="DZA269" s="28"/>
      <c r="DZB269" s="28"/>
      <c r="DZC269" s="28"/>
      <c r="DZD269" s="28"/>
      <c r="DZE269" s="28"/>
      <c r="DZF269" s="28"/>
      <c r="DZG269" s="28"/>
      <c r="DZH269" s="28"/>
      <c r="DZI269" s="28"/>
      <c r="DZJ269" s="28"/>
      <c r="DZK269" s="28"/>
      <c r="DZL269" s="28"/>
      <c r="DZM269" s="28"/>
      <c r="DZN269" s="28"/>
      <c r="DZO269" s="28"/>
      <c r="DZP269" s="28"/>
      <c r="DZQ269" s="28"/>
      <c r="DZR269" s="28"/>
      <c r="DZS269" s="28"/>
      <c r="DZT269" s="28"/>
      <c r="DZU269" s="28"/>
      <c r="DZV269" s="28"/>
      <c r="DZW269" s="28"/>
      <c r="DZX269" s="28"/>
      <c r="DZY269" s="28"/>
      <c r="DZZ269" s="28"/>
      <c r="EAA269" s="28"/>
      <c r="EAB269" s="28"/>
      <c r="EAC269" s="28"/>
      <c r="EAD269" s="28"/>
      <c r="EAE269" s="28"/>
      <c r="EAF269" s="28"/>
      <c r="EAG269" s="28"/>
      <c r="EAH269" s="28"/>
      <c r="EAI269" s="28"/>
      <c r="EAJ269" s="28"/>
      <c r="EAK269" s="28"/>
      <c r="EAL269" s="28"/>
      <c r="EAM269" s="28"/>
      <c r="EAN269" s="28"/>
      <c r="EAO269" s="28"/>
      <c r="EAP269" s="28"/>
      <c r="EAQ269" s="28"/>
      <c r="EAR269" s="28"/>
      <c r="EAS269" s="28"/>
      <c r="EAT269" s="28"/>
      <c r="EAU269" s="28"/>
      <c r="EAV269" s="28"/>
      <c r="EAW269" s="28"/>
      <c r="EAX269" s="28"/>
      <c r="EAY269" s="28"/>
      <c r="EAZ269" s="28"/>
      <c r="EBA269" s="28"/>
      <c r="EBB269" s="28"/>
      <c r="EBC269" s="28"/>
      <c r="EBD269" s="28"/>
      <c r="EBE269" s="28"/>
      <c r="EBF269" s="28"/>
      <c r="EBG269" s="28"/>
      <c r="EBH269" s="28"/>
      <c r="EBI269" s="28"/>
      <c r="EBJ269" s="28"/>
      <c r="EBK269" s="28"/>
      <c r="EBL269" s="28"/>
      <c r="EBM269" s="28"/>
      <c r="EBN269" s="28"/>
      <c r="EBO269" s="28"/>
      <c r="EBP269" s="28"/>
      <c r="EBQ269" s="28"/>
      <c r="EBR269" s="28"/>
      <c r="EBS269" s="28"/>
      <c r="EBT269" s="28"/>
      <c r="EBU269" s="28"/>
      <c r="EBV269" s="28"/>
      <c r="EBW269" s="28"/>
      <c r="EBX269" s="28"/>
      <c r="EBY269" s="28"/>
      <c r="EBZ269" s="28"/>
      <c r="ECA269" s="28"/>
      <c r="ECB269" s="28"/>
      <c r="ECC269" s="28"/>
      <c r="ECD269" s="28"/>
      <c r="ECE269" s="28"/>
      <c r="ECF269" s="28"/>
      <c r="ECG269" s="28"/>
      <c r="ECH269" s="28"/>
      <c r="ECI269" s="28"/>
      <c r="ECJ269" s="28"/>
      <c r="ECK269" s="28"/>
      <c r="ECL269" s="28"/>
      <c r="ECM269" s="28"/>
      <c r="ECN269" s="28"/>
      <c r="ECO269" s="28"/>
      <c r="ECP269" s="28"/>
      <c r="ECQ269" s="28"/>
      <c r="ECR269" s="28"/>
      <c r="ECS269" s="28"/>
      <c r="ECT269" s="28"/>
      <c r="ECU269" s="28"/>
      <c r="ECV269" s="28"/>
      <c r="ECW269" s="28"/>
      <c r="ECX269" s="28"/>
      <c r="ECY269" s="28"/>
      <c r="ECZ269" s="28"/>
      <c r="EDA269" s="28"/>
      <c r="EDB269" s="28"/>
      <c r="EDC269" s="28"/>
      <c r="EDD269" s="28"/>
      <c r="EDE269" s="28"/>
      <c r="EDF269" s="28"/>
      <c r="EDG269" s="28"/>
      <c r="EDH269" s="28"/>
      <c r="EDI269" s="28"/>
      <c r="EDJ269" s="28"/>
      <c r="EDK269" s="28"/>
      <c r="EDL269" s="28"/>
      <c r="EDM269" s="28"/>
      <c r="EDN269" s="28"/>
      <c r="EDO269" s="28"/>
      <c r="EDP269" s="28"/>
      <c r="EDQ269" s="28"/>
      <c r="EDR269" s="28"/>
      <c r="EDS269" s="28"/>
      <c r="EDT269" s="28"/>
      <c r="EDU269" s="28"/>
      <c r="EDV269" s="28"/>
      <c r="EDW269" s="28"/>
      <c r="EDX269" s="28"/>
      <c r="EDY269" s="28"/>
      <c r="EDZ269" s="28"/>
      <c r="EEA269" s="28"/>
      <c r="EEB269" s="28"/>
      <c r="EEC269" s="28"/>
      <c r="EED269" s="28"/>
      <c r="EEE269" s="28"/>
      <c r="EEF269" s="28"/>
      <c r="EEG269" s="28"/>
      <c r="EEH269" s="28"/>
      <c r="EEI269" s="28"/>
      <c r="EEJ269" s="28"/>
      <c r="EEK269" s="28"/>
      <c r="EEL269" s="28"/>
      <c r="EEM269" s="28"/>
      <c r="EEN269" s="28"/>
      <c r="EEO269" s="28"/>
      <c r="EEP269" s="28"/>
      <c r="EEQ269" s="28"/>
      <c r="EER269" s="28"/>
      <c r="EES269" s="28"/>
      <c r="EET269" s="28"/>
      <c r="EEU269" s="28"/>
      <c r="EEV269" s="28"/>
      <c r="EEW269" s="28"/>
      <c r="EEX269" s="28"/>
      <c r="EEY269" s="28"/>
      <c r="EEZ269" s="28"/>
      <c r="EFA269" s="28"/>
      <c r="EFB269" s="28"/>
      <c r="EFC269" s="28"/>
      <c r="EFD269" s="28"/>
      <c r="EFE269" s="28"/>
      <c r="EFF269" s="28"/>
      <c r="EFG269" s="28"/>
      <c r="EFH269" s="28"/>
      <c r="EFI269" s="28"/>
      <c r="EFJ269" s="28"/>
      <c r="EFK269" s="28"/>
      <c r="EFL269" s="28"/>
      <c r="EFM269" s="28"/>
      <c r="EFN269" s="28"/>
      <c r="EFO269" s="28"/>
      <c r="EFP269" s="28"/>
      <c r="EFQ269" s="28"/>
      <c r="EFR269" s="28"/>
      <c r="EFS269" s="28"/>
      <c r="EFT269" s="28"/>
      <c r="EFU269" s="28"/>
      <c r="EFV269" s="28"/>
      <c r="EFW269" s="28"/>
      <c r="EFX269" s="28"/>
      <c r="EFY269" s="28"/>
      <c r="EFZ269" s="28"/>
      <c r="EGA269" s="28"/>
      <c r="EGB269" s="28"/>
      <c r="EGC269" s="28"/>
      <c r="EGD269" s="28"/>
      <c r="EGE269" s="28"/>
      <c r="EGF269" s="28"/>
      <c r="EGG269" s="28"/>
      <c r="EGH269" s="28"/>
      <c r="EGI269" s="28"/>
      <c r="EGJ269" s="28"/>
      <c r="EGK269" s="28"/>
      <c r="EGL269" s="28"/>
      <c r="EGM269" s="28"/>
      <c r="EGN269" s="28"/>
      <c r="EGO269" s="28"/>
      <c r="EGP269" s="28"/>
      <c r="EGQ269" s="28"/>
      <c r="EGR269" s="28"/>
      <c r="EGS269" s="28"/>
      <c r="EGT269" s="28"/>
      <c r="EGU269" s="28"/>
      <c r="EGV269" s="28"/>
      <c r="EGW269" s="28"/>
      <c r="EGX269" s="28"/>
      <c r="EGY269" s="28"/>
      <c r="EGZ269" s="28"/>
      <c r="EHA269" s="28"/>
      <c r="EHB269" s="28"/>
      <c r="EHC269" s="28"/>
      <c r="EHD269" s="28"/>
      <c r="EHE269" s="28"/>
      <c r="EHF269" s="28"/>
      <c r="EHG269" s="28"/>
      <c r="EHH269" s="28"/>
      <c r="EHI269" s="28"/>
      <c r="EHJ269" s="28"/>
      <c r="EHK269" s="28"/>
      <c r="EHL269" s="28"/>
      <c r="EHM269" s="28"/>
      <c r="EHN269" s="28"/>
      <c r="EHO269" s="28"/>
      <c r="EHP269" s="28"/>
      <c r="EHQ269" s="28"/>
      <c r="EHR269" s="28"/>
      <c r="EHS269" s="28"/>
      <c r="EHT269" s="28"/>
      <c r="EHU269" s="28"/>
      <c r="EHV269" s="28"/>
      <c r="EHW269" s="28"/>
      <c r="EHX269" s="28"/>
      <c r="EHY269" s="28"/>
      <c r="EHZ269" s="28"/>
      <c r="EIA269" s="28"/>
      <c r="EIB269" s="28"/>
      <c r="EIC269" s="28"/>
      <c r="EID269" s="28"/>
      <c r="EIE269" s="28"/>
      <c r="EIF269" s="28"/>
      <c r="EIG269" s="28"/>
      <c r="EIH269" s="28"/>
      <c r="EII269" s="28"/>
      <c r="EIJ269" s="28"/>
      <c r="EIK269" s="28"/>
      <c r="EIL269" s="28"/>
      <c r="EIM269" s="28"/>
      <c r="EIN269" s="28"/>
      <c r="EIO269" s="28"/>
      <c r="EIP269" s="28"/>
      <c r="EIQ269" s="28"/>
      <c r="EIR269" s="28"/>
      <c r="EIS269" s="28"/>
      <c r="EIT269" s="28"/>
      <c r="EIU269" s="28"/>
      <c r="EIV269" s="28"/>
      <c r="EIW269" s="28"/>
      <c r="EIX269" s="28"/>
      <c r="EIY269" s="28"/>
      <c r="EIZ269" s="28"/>
      <c r="EJA269" s="28"/>
      <c r="EJB269" s="28"/>
      <c r="EJC269" s="28"/>
      <c r="EJD269" s="28"/>
      <c r="EJE269" s="28"/>
      <c r="EJF269" s="28"/>
      <c r="EJG269" s="28"/>
      <c r="EJH269" s="28"/>
      <c r="EJI269" s="28"/>
      <c r="EJJ269" s="28"/>
      <c r="EJK269" s="28"/>
      <c r="EJL269" s="28"/>
      <c r="EJM269" s="28"/>
      <c r="EJN269" s="28"/>
      <c r="EJO269" s="28"/>
      <c r="EJP269" s="28"/>
      <c r="EJQ269" s="28"/>
      <c r="EJR269" s="28"/>
      <c r="EJS269" s="28"/>
      <c r="EJT269" s="28"/>
      <c r="EJU269" s="28"/>
      <c r="EJV269" s="28"/>
      <c r="EJW269" s="28"/>
      <c r="EJX269" s="28"/>
      <c r="EJY269" s="28"/>
      <c r="EJZ269" s="28"/>
      <c r="EKA269" s="28"/>
      <c r="EKB269" s="28"/>
      <c r="EKC269" s="28"/>
      <c r="EKD269" s="28"/>
      <c r="EKE269" s="28"/>
      <c r="EKF269" s="28"/>
      <c r="EKG269" s="28"/>
      <c r="EKH269" s="28"/>
      <c r="EKI269" s="28"/>
      <c r="EKJ269" s="28"/>
      <c r="EKK269" s="28"/>
      <c r="EKL269" s="28"/>
      <c r="EKM269" s="28"/>
      <c r="EKN269" s="28"/>
      <c r="EKO269" s="28"/>
      <c r="EKP269" s="28"/>
      <c r="EKQ269" s="28"/>
      <c r="EKR269" s="28"/>
      <c r="EKS269" s="28"/>
      <c r="EKT269" s="28"/>
      <c r="EKU269" s="28"/>
      <c r="EKV269" s="28"/>
      <c r="EKW269" s="28"/>
      <c r="EKX269" s="28"/>
      <c r="EKY269" s="28"/>
      <c r="EKZ269" s="28"/>
      <c r="ELA269" s="28"/>
      <c r="ELB269" s="28"/>
      <c r="ELC269" s="28"/>
      <c r="ELD269" s="28"/>
      <c r="ELE269" s="28"/>
      <c r="ELF269" s="28"/>
      <c r="ELG269" s="28"/>
      <c r="ELH269" s="28"/>
      <c r="ELI269" s="28"/>
      <c r="ELJ269" s="28"/>
      <c r="ELK269" s="28"/>
      <c r="ELL269" s="28"/>
      <c r="ELM269" s="28"/>
      <c r="ELN269" s="28"/>
      <c r="ELO269" s="28"/>
      <c r="ELP269" s="28"/>
      <c r="ELQ269" s="28"/>
      <c r="ELR269" s="28"/>
      <c r="ELS269" s="28"/>
      <c r="ELT269" s="28"/>
      <c r="ELU269" s="28"/>
      <c r="ELV269" s="28"/>
      <c r="ELW269" s="28"/>
      <c r="ELX269" s="28"/>
      <c r="ELY269" s="28"/>
      <c r="ELZ269" s="28"/>
      <c r="EMA269" s="28"/>
      <c r="EMB269" s="28"/>
      <c r="EMC269" s="28"/>
      <c r="EMD269" s="28"/>
      <c r="EME269" s="28"/>
      <c r="EMF269" s="28"/>
      <c r="EMG269" s="28"/>
      <c r="EMH269" s="28"/>
      <c r="EMI269" s="28"/>
      <c r="EMJ269" s="28"/>
      <c r="EMK269" s="28"/>
      <c r="EML269" s="28"/>
      <c r="EMM269" s="28"/>
      <c r="EMN269" s="28"/>
      <c r="EMO269" s="28"/>
      <c r="EMP269" s="28"/>
      <c r="EMQ269" s="28"/>
      <c r="EMR269" s="28"/>
      <c r="EMS269" s="28"/>
      <c r="EMT269" s="28"/>
      <c r="EMU269" s="28"/>
      <c r="EMV269" s="28"/>
      <c r="EMW269" s="28"/>
      <c r="EMX269" s="28"/>
      <c r="EMY269" s="28"/>
      <c r="EMZ269" s="28"/>
      <c r="ENA269" s="28"/>
      <c r="ENB269" s="28"/>
      <c r="ENC269" s="28"/>
      <c r="END269" s="28"/>
      <c r="ENE269" s="28"/>
      <c r="ENF269" s="28"/>
      <c r="ENG269" s="28"/>
      <c r="ENH269" s="28"/>
      <c r="ENI269" s="28"/>
      <c r="ENJ269" s="28"/>
      <c r="ENK269" s="28"/>
      <c r="ENL269" s="28"/>
      <c r="ENM269" s="28"/>
      <c r="ENN269" s="28"/>
      <c r="ENO269" s="28"/>
      <c r="ENP269" s="28"/>
      <c r="ENQ269" s="28"/>
      <c r="ENR269" s="28"/>
      <c r="ENS269" s="28"/>
      <c r="ENT269" s="28"/>
      <c r="ENU269" s="28"/>
      <c r="ENV269" s="28"/>
      <c r="ENW269" s="28"/>
      <c r="ENX269" s="28"/>
      <c r="ENY269" s="28"/>
      <c r="ENZ269" s="28"/>
      <c r="EOA269" s="28"/>
      <c r="EOB269" s="28"/>
      <c r="EOC269" s="28"/>
      <c r="EOD269" s="28"/>
      <c r="EOE269" s="28"/>
      <c r="EOF269" s="28"/>
      <c r="EOG269" s="28"/>
      <c r="EOH269" s="28"/>
      <c r="EOI269" s="28"/>
      <c r="EOJ269" s="28"/>
      <c r="EOK269" s="28"/>
      <c r="EOL269" s="28"/>
      <c r="EOM269" s="28"/>
      <c r="EON269" s="28"/>
      <c r="EOO269" s="28"/>
      <c r="EOP269" s="28"/>
      <c r="EOQ269" s="28"/>
      <c r="EOR269" s="28"/>
      <c r="EOS269" s="28"/>
      <c r="EOT269" s="28"/>
      <c r="EOU269" s="28"/>
      <c r="EOV269" s="28"/>
      <c r="EOW269" s="28"/>
      <c r="EOX269" s="28"/>
      <c r="EOY269" s="28"/>
      <c r="EOZ269" s="28"/>
      <c r="EPA269" s="28"/>
      <c r="EPB269" s="28"/>
      <c r="EPC269" s="28"/>
      <c r="EPD269" s="28"/>
      <c r="EPE269" s="28"/>
      <c r="EPF269" s="28"/>
      <c r="EPG269" s="28"/>
      <c r="EPH269" s="28"/>
      <c r="EPI269" s="28"/>
      <c r="EPJ269" s="28"/>
      <c r="EPK269" s="28"/>
      <c r="EPL269" s="28"/>
      <c r="EPM269" s="28"/>
      <c r="EPN269" s="28"/>
      <c r="EPO269" s="28"/>
      <c r="EPP269" s="28"/>
      <c r="EPQ269" s="28"/>
      <c r="EPR269" s="28"/>
      <c r="EPS269" s="28"/>
      <c r="EPT269" s="28"/>
      <c r="EPU269" s="28"/>
      <c r="EPV269" s="28"/>
      <c r="EPW269" s="28"/>
      <c r="EPX269" s="28"/>
      <c r="EPY269" s="28"/>
      <c r="EPZ269" s="28"/>
      <c r="EQA269" s="28"/>
      <c r="EQB269" s="28"/>
      <c r="EQC269" s="28"/>
      <c r="EQD269" s="28"/>
      <c r="EQE269" s="28"/>
      <c r="EQF269" s="28"/>
      <c r="EQG269" s="28"/>
      <c r="EQH269" s="28"/>
      <c r="EQI269" s="28"/>
      <c r="EQJ269" s="28"/>
      <c r="EQK269" s="28"/>
      <c r="EQL269" s="28"/>
      <c r="EQM269" s="28"/>
      <c r="EQN269" s="28"/>
      <c r="EQO269" s="28"/>
      <c r="EQP269" s="28"/>
      <c r="EQQ269" s="28"/>
      <c r="EQR269" s="28"/>
      <c r="EQS269" s="28"/>
      <c r="EQT269" s="28"/>
      <c r="EQU269" s="28"/>
      <c r="EQV269" s="28"/>
      <c r="EQW269" s="28"/>
      <c r="EQX269" s="28"/>
      <c r="EQY269" s="28"/>
      <c r="EQZ269" s="28"/>
      <c r="ERA269" s="28"/>
      <c r="ERB269" s="28"/>
      <c r="ERC269" s="28"/>
      <c r="ERD269" s="28"/>
      <c r="ERE269" s="28"/>
      <c r="ERF269" s="28"/>
      <c r="ERG269" s="28"/>
      <c r="ERH269" s="28"/>
      <c r="ERI269" s="28"/>
      <c r="ERJ269" s="28"/>
      <c r="ERK269" s="28"/>
      <c r="ERL269" s="28"/>
      <c r="ERM269" s="28"/>
      <c r="ERN269" s="28"/>
      <c r="ERO269" s="28"/>
      <c r="ERP269" s="28"/>
      <c r="ERQ269" s="28"/>
      <c r="ERR269" s="28"/>
      <c r="ERS269" s="28"/>
      <c r="ERT269" s="28"/>
      <c r="ERU269" s="28"/>
      <c r="ERV269" s="28"/>
      <c r="ERW269" s="28"/>
      <c r="ERX269" s="28"/>
      <c r="ERY269" s="28"/>
      <c r="ERZ269" s="28"/>
      <c r="ESA269" s="28"/>
      <c r="ESB269" s="28"/>
      <c r="ESC269" s="28"/>
      <c r="ESD269" s="28"/>
      <c r="ESE269" s="28"/>
      <c r="ESF269" s="28"/>
      <c r="ESG269" s="28"/>
      <c r="ESH269" s="28"/>
      <c r="ESI269" s="28"/>
      <c r="ESJ269" s="28"/>
      <c r="ESK269" s="28"/>
      <c r="ESL269" s="28"/>
      <c r="ESM269" s="28"/>
      <c r="ESN269" s="28"/>
      <c r="ESO269" s="28"/>
      <c r="ESP269" s="28"/>
      <c r="ESQ269" s="28"/>
      <c r="ESR269" s="28"/>
      <c r="ESS269" s="28"/>
      <c r="EST269" s="28"/>
      <c r="ESU269" s="28"/>
      <c r="ESV269" s="28"/>
      <c r="ESW269" s="28"/>
      <c r="ESX269" s="28"/>
      <c r="ESY269" s="28"/>
      <c r="ESZ269" s="28"/>
      <c r="ETA269" s="28"/>
      <c r="ETB269" s="28"/>
      <c r="ETC269" s="28"/>
      <c r="ETD269" s="28"/>
      <c r="ETE269" s="28"/>
      <c r="ETF269" s="28"/>
      <c r="ETG269" s="28"/>
      <c r="ETH269" s="28"/>
      <c r="ETI269" s="28"/>
      <c r="ETJ269" s="28"/>
      <c r="ETK269" s="28"/>
      <c r="ETL269" s="28"/>
      <c r="ETM269" s="28"/>
      <c r="ETN269" s="28"/>
      <c r="ETO269" s="28"/>
      <c r="ETP269" s="28"/>
      <c r="ETQ269" s="28"/>
      <c r="ETR269" s="28"/>
      <c r="ETS269" s="28"/>
      <c r="ETT269" s="28"/>
      <c r="ETU269" s="28"/>
      <c r="ETV269" s="28"/>
      <c r="ETW269" s="28"/>
      <c r="ETX269" s="28"/>
      <c r="ETY269" s="28"/>
      <c r="ETZ269" s="28"/>
      <c r="EUA269" s="28"/>
      <c r="EUB269" s="28"/>
      <c r="EUC269" s="28"/>
      <c r="EUD269" s="28"/>
      <c r="EUE269" s="28"/>
      <c r="EUF269" s="28"/>
      <c r="EUG269" s="28"/>
      <c r="EUH269" s="28"/>
      <c r="EUI269" s="28"/>
      <c r="EUJ269" s="28"/>
      <c r="EUK269" s="28"/>
      <c r="EUL269" s="28"/>
      <c r="EUM269" s="28"/>
      <c r="EUN269" s="28"/>
      <c r="EUO269" s="28"/>
      <c r="EUP269" s="28"/>
      <c r="EUQ269" s="28"/>
      <c r="EUR269" s="28"/>
      <c r="EUS269" s="28"/>
      <c r="EUT269" s="28"/>
      <c r="EUU269" s="28"/>
      <c r="EUV269" s="28"/>
      <c r="EUW269" s="28"/>
      <c r="EUX269" s="28"/>
      <c r="EUY269" s="28"/>
      <c r="EUZ269" s="28"/>
      <c r="EVA269" s="28"/>
      <c r="EVB269" s="28"/>
      <c r="EVC269" s="28"/>
      <c r="EVD269" s="28"/>
      <c r="EVE269" s="28"/>
      <c r="EVF269" s="28"/>
      <c r="EVG269" s="28"/>
      <c r="EVH269" s="28"/>
      <c r="EVI269" s="28"/>
      <c r="EVJ269" s="28"/>
      <c r="EVK269" s="28"/>
      <c r="EVL269" s="28"/>
      <c r="EVM269" s="28"/>
      <c r="EVN269" s="28"/>
      <c r="EVO269" s="28"/>
      <c r="EVP269" s="28"/>
      <c r="EVQ269" s="28"/>
      <c r="EVR269" s="28"/>
      <c r="EVS269" s="28"/>
      <c r="EVT269" s="28"/>
      <c r="EVU269" s="28"/>
      <c r="EVV269" s="28"/>
      <c r="EVW269" s="28"/>
      <c r="EVX269" s="28"/>
      <c r="EVY269" s="28"/>
      <c r="EVZ269" s="28"/>
      <c r="EWA269" s="28"/>
      <c r="EWB269" s="28"/>
      <c r="EWC269" s="28"/>
      <c r="EWD269" s="28"/>
      <c r="EWE269" s="28"/>
      <c r="EWF269" s="28"/>
      <c r="EWG269" s="28"/>
      <c r="EWH269" s="28"/>
      <c r="EWI269" s="28"/>
      <c r="EWJ269" s="28"/>
      <c r="EWK269" s="28"/>
      <c r="EWL269" s="28"/>
      <c r="EWM269" s="28"/>
      <c r="EWN269" s="28"/>
      <c r="EWO269" s="28"/>
      <c r="EWP269" s="28"/>
      <c r="EWQ269" s="28"/>
      <c r="EWR269" s="28"/>
      <c r="EWS269" s="28"/>
      <c r="EWT269" s="28"/>
      <c r="EWU269" s="28"/>
      <c r="EWV269" s="28"/>
      <c r="EWW269" s="28"/>
      <c r="EWX269" s="28"/>
      <c r="EWY269" s="28"/>
      <c r="EWZ269" s="28"/>
      <c r="EXA269" s="28"/>
      <c r="EXB269" s="28"/>
      <c r="EXC269" s="28"/>
      <c r="EXD269" s="28"/>
      <c r="EXE269" s="28"/>
      <c r="EXF269" s="28"/>
      <c r="EXG269" s="28"/>
      <c r="EXH269" s="28"/>
      <c r="EXI269" s="28"/>
      <c r="EXJ269" s="28"/>
      <c r="EXK269" s="28"/>
      <c r="EXL269" s="28"/>
      <c r="EXM269" s="28"/>
      <c r="EXN269" s="28"/>
      <c r="EXO269" s="28"/>
      <c r="EXP269" s="28"/>
      <c r="EXQ269" s="28"/>
      <c r="EXR269" s="28"/>
      <c r="EXS269" s="28"/>
      <c r="EXT269" s="28"/>
      <c r="EXU269" s="28"/>
      <c r="EXV269" s="28"/>
      <c r="EXW269" s="28"/>
      <c r="EXX269" s="28"/>
      <c r="EXY269" s="28"/>
      <c r="EXZ269" s="28"/>
      <c r="EYA269" s="28"/>
      <c r="EYB269" s="28"/>
      <c r="EYC269" s="28"/>
      <c r="EYD269" s="28"/>
      <c r="EYE269" s="28"/>
      <c r="EYF269" s="28"/>
      <c r="EYG269" s="28"/>
      <c r="EYH269" s="28"/>
      <c r="EYI269" s="28"/>
      <c r="EYJ269" s="28"/>
      <c r="EYK269" s="28"/>
      <c r="EYL269" s="28"/>
      <c r="EYM269" s="28"/>
      <c r="EYN269" s="28"/>
      <c r="EYO269" s="28"/>
      <c r="EYP269" s="28"/>
      <c r="EYQ269" s="28"/>
      <c r="EYR269" s="28"/>
      <c r="EYS269" s="28"/>
      <c r="EYT269" s="28"/>
      <c r="EYU269" s="28"/>
      <c r="EYV269" s="28"/>
      <c r="EYW269" s="28"/>
      <c r="EYX269" s="28"/>
      <c r="EYY269" s="28"/>
      <c r="EYZ269" s="28"/>
      <c r="EZA269" s="28"/>
      <c r="EZB269" s="28"/>
      <c r="EZC269" s="28"/>
      <c r="EZD269" s="28"/>
      <c r="EZE269" s="28"/>
      <c r="EZF269" s="28"/>
      <c r="EZG269" s="28"/>
      <c r="EZH269" s="28"/>
      <c r="EZI269" s="28"/>
      <c r="EZJ269" s="28"/>
      <c r="EZK269" s="28"/>
      <c r="EZL269" s="28"/>
      <c r="EZM269" s="28"/>
      <c r="EZN269" s="28"/>
      <c r="EZO269" s="28"/>
      <c r="EZP269" s="28"/>
      <c r="EZQ269" s="28"/>
      <c r="EZR269" s="28"/>
      <c r="EZS269" s="28"/>
      <c r="EZT269" s="28"/>
      <c r="EZU269" s="28"/>
      <c r="EZV269" s="28"/>
      <c r="EZW269" s="28"/>
      <c r="EZX269" s="28"/>
      <c r="EZY269" s="28"/>
      <c r="EZZ269" s="28"/>
      <c r="FAA269" s="28"/>
      <c r="FAB269" s="28"/>
      <c r="FAC269" s="28"/>
      <c r="FAD269" s="28"/>
      <c r="FAE269" s="28"/>
      <c r="FAF269" s="28"/>
      <c r="FAG269" s="28"/>
      <c r="FAH269" s="28"/>
      <c r="FAI269" s="28"/>
      <c r="FAJ269" s="28"/>
      <c r="FAK269" s="28"/>
      <c r="FAL269" s="28"/>
      <c r="FAM269" s="28"/>
      <c r="FAN269" s="28"/>
      <c r="FAO269" s="28"/>
      <c r="FAP269" s="28"/>
      <c r="FAQ269" s="28"/>
      <c r="FAR269" s="28"/>
      <c r="FAS269" s="28"/>
      <c r="FAT269" s="28"/>
      <c r="FAU269" s="28"/>
      <c r="FAV269" s="28"/>
      <c r="FAW269" s="28"/>
      <c r="FAX269" s="28"/>
      <c r="FAY269" s="28"/>
      <c r="FAZ269" s="28"/>
      <c r="FBA269" s="28"/>
      <c r="FBB269" s="28"/>
      <c r="FBC269" s="28"/>
      <c r="FBD269" s="28"/>
      <c r="FBE269" s="28"/>
      <c r="FBF269" s="28"/>
      <c r="FBG269" s="28"/>
      <c r="FBH269" s="28"/>
      <c r="FBI269" s="28"/>
      <c r="FBJ269" s="28"/>
      <c r="FBK269" s="28"/>
      <c r="FBL269" s="28"/>
      <c r="FBM269" s="28"/>
      <c r="FBN269" s="28"/>
      <c r="FBO269" s="28"/>
      <c r="FBP269" s="28"/>
      <c r="FBQ269" s="28"/>
      <c r="FBR269" s="28"/>
      <c r="FBS269" s="28"/>
      <c r="FBT269" s="28"/>
      <c r="FBU269" s="28"/>
      <c r="FBV269" s="28"/>
      <c r="FBW269" s="28"/>
      <c r="FBX269" s="28"/>
      <c r="FBY269" s="28"/>
      <c r="FBZ269" s="28"/>
      <c r="FCA269" s="28"/>
      <c r="FCB269" s="28"/>
      <c r="FCC269" s="28"/>
      <c r="FCD269" s="28"/>
      <c r="FCE269" s="28"/>
      <c r="FCF269" s="28"/>
      <c r="FCG269" s="28"/>
      <c r="FCH269" s="28"/>
      <c r="FCI269" s="28"/>
      <c r="FCJ269" s="28"/>
      <c r="FCK269" s="28"/>
      <c r="FCL269" s="28"/>
      <c r="FCM269" s="28"/>
      <c r="FCN269" s="28"/>
      <c r="FCO269" s="28"/>
      <c r="FCP269" s="28"/>
      <c r="FCQ269" s="28"/>
      <c r="FCR269" s="28"/>
      <c r="FCS269" s="28"/>
      <c r="FCT269" s="28"/>
      <c r="FCU269" s="28"/>
      <c r="FCV269" s="28"/>
      <c r="FCW269" s="28"/>
      <c r="FCX269" s="28"/>
      <c r="FCY269" s="28"/>
      <c r="FCZ269" s="28"/>
      <c r="FDA269" s="28"/>
      <c r="FDB269" s="28"/>
      <c r="FDC269" s="28"/>
      <c r="FDD269" s="28"/>
      <c r="FDE269" s="28"/>
      <c r="FDF269" s="28"/>
      <c r="FDG269" s="28"/>
      <c r="FDH269" s="28"/>
      <c r="FDI269" s="28"/>
      <c r="FDJ269" s="28"/>
      <c r="FDK269" s="28"/>
      <c r="FDL269" s="28"/>
      <c r="FDM269" s="28"/>
      <c r="FDN269" s="28"/>
      <c r="FDO269" s="28"/>
      <c r="FDP269" s="28"/>
      <c r="FDQ269" s="28"/>
      <c r="FDR269" s="28"/>
      <c r="FDS269" s="28"/>
      <c r="FDT269" s="28"/>
      <c r="FDU269" s="28"/>
      <c r="FDV269" s="28"/>
      <c r="FDW269" s="28"/>
      <c r="FDX269" s="28"/>
      <c r="FDY269" s="28"/>
      <c r="FDZ269" s="28"/>
      <c r="FEA269" s="28"/>
      <c r="FEB269" s="28"/>
      <c r="FEC269" s="28"/>
      <c r="FED269" s="28"/>
      <c r="FEE269" s="28"/>
      <c r="FEF269" s="28"/>
      <c r="FEG269" s="28"/>
      <c r="FEH269" s="28"/>
      <c r="FEI269" s="28"/>
      <c r="FEJ269" s="28"/>
      <c r="FEK269" s="28"/>
      <c r="FEL269" s="28"/>
      <c r="FEM269" s="28"/>
      <c r="FEN269" s="28"/>
      <c r="FEO269" s="28"/>
      <c r="FEP269" s="28"/>
      <c r="FEQ269" s="28"/>
      <c r="FER269" s="28"/>
      <c r="FES269" s="28"/>
      <c r="FET269" s="28"/>
      <c r="FEU269" s="28"/>
      <c r="FEV269" s="28"/>
      <c r="FEW269" s="28"/>
      <c r="FEX269" s="28"/>
      <c r="FEY269" s="28"/>
      <c r="FEZ269" s="28"/>
      <c r="FFA269" s="28"/>
      <c r="FFB269" s="28"/>
      <c r="FFC269" s="28"/>
      <c r="FFD269" s="28"/>
      <c r="FFE269" s="28"/>
      <c r="FFF269" s="28"/>
      <c r="FFG269" s="28"/>
      <c r="FFH269" s="28"/>
      <c r="FFI269" s="28"/>
      <c r="FFJ269" s="28"/>
      <c r="FFK269" s="28"/>
      <c r="FFL269" s="28"/>
      <c r="FFM269" s="28"/>
      <c r="FFN269" s="28"/>
      <c r="FFO269" s="28"/>
      <c r="FFP269" s="28"/>
      <c r="FFQ269" s="28"/>
      <c r="FFR269" s="28"/>
      <c r="FFS269" s="28"/>
      <c r="FFT269" s="28"/>
      <c r="FFU269" s="28"/>
      <c r="FFV269" s="28"/>
      <c r="FFW269" s="28"/>
      <c r="FFX269" s="28"/>
      <c r="FFY269" s="28"/>
      <c r="FFZ269" s="28"/>
      <c r="FGA269" s="28"/>
      <c r="FGB269" s="28"/>
      <c r="FGC269" s="28"/>
      <c r="FGD269" s="28"/>
      <c r="FGE269" s="28"/>
      <c r="FGF269" s="28"/>
      <c r="FGG269" s="28"/>
      <c r="FGH269" s="28"/>
      <c r="FGI269" s="28"/>
      <c r="FGJ269" s="28"/>
      <c r="FGK269" s="28"/>
      <c r="FGL269" s="28"/>
      <c r="FGM269" s="28"/>
      <c r="FGN269" s="28"/>
      <c r="FGO269" s="28"/>
      <c r="FGP269" s="28"/>
      <c r="FGQ269" s="28"/>
      <c r="FGR269" s="28"/>
      <c r="FGS269" s="28"/>
      <c r="FGT269" s="28"/>
      <c r="FGU269" s="28"/>
      <c r="FGV269" s="28"/>
      <c r="FGW269" s="28"/>
      <c r="FGX269" s="28"/>
      <c r="FGY269" s="28"/>
      <c r="FGZ269" s="28"/>
      <c r="FHA269" s="28"/>
      <c r="FHB269" s="28"/>
      <c r="FHC269" s="28"/>
      <c r="FHD269" s="28"/>
      <c r="FHE269" s="28"/>
      <c r="FHF269" s="28"/>
      <c r="FHG269" s="28"/>
      <c r="FHH269" s="28"/>
      <c r="FHI269" s="28"/>
      <c r="FHJ269" s="28"/>
      <c r="FHK269" s="28"/>
      <c r="FHL269" s="28"/>
      <c r="FHM269" s="28"/>
      <c r="FHN269" s="28"/>
      <c r="FHO269" s="28"/>
      <c r="FHP269" s="28"/>
      <c r="FHQ269" s="28"/>
      <c r="FHR269" s="28"/>
      <c r="FHS269" s="28"/>
      <c r="FHT269" s="28"/>
      <c r="FHU269" s="28"/>
      <c r="FHV269" s="28"/>
      <c r="FHW269" s="28"/>
      <c r="FHX269" s="28"/>
      <c r="FHY269" s="28"/>
      <c r="FHZ269" s="28"/>
      <c r="FIA269" s="28"/>
      <c r="FIB269" s="28"/>
      <c r="FIC269" s="28"/>
      <c r="FID269" s="28"/>
      <c r="FIE269" s="28"/>
      <c r="FIF269" s="28"/>
      <c r="FIG269" s="28"/>
      <c r="FIH269" s="28"/>
      <c r="FII269" s="28"/>
      <c r="FIJ269" s="28"/>
      <c r="FIK269" s="28"/>
      <c r="FIL269" s="28"/>
      <c r="FIM269" s="28"/>
      <c r="FIN269" s="28"/>
      <c r="FIO269" s="28"/>
      <c r="FIP269" s="28"/>
      <c r="FIQ269" s="28"/>
      <c r="FIR269" s="28"/>
      <c r="FIS269" s="28"/>
      <c r="FIT269" s="28"/>
      <c r="FIU269" s="28"/>
      <c r="FIV269" s="28"/>
      <c r="FIW269" s="28"/>
      <c r="FIX269" s="28"/>
      <c r="FIY269" s="28"/>
      <c r="FIZ269" s="28"/>
      <c r="FJA269" s="28"/>
      <c r="FJB269" s="28"/>
      <c r="FJC269" s="28"/>
      <c r="FJD269" s="28"/>
      <c r="FJE269" s="28"/>
      <c r="FJF269" s="28"/>
      <c r="FJG269" s="28"/>
      <c r="FJH269" s="28"/>
      <c r="FJI269" s="28"/>
      <c r="FJJ269" s="28"/>
      <c r="FJK269" s="28"/>
      <c r="FJL269" s="28"/>
      <c r="FJM269" s="28"/>
      <c r="FJN269" s="28"/>
      <c r="FJO269" s="28"/>
      <c r="FJP269" s="28"/>
      <c r="FJQ269" s="28"/>
      <c r="FJR269" s="28"/>
      <c r="FJS269" s="28"/>
      <c r="FJT269" s="28"/>
      <c r="FJU269" s="28"/>
      <c r="FJV269" s="28"/>
      <c r="FJW269" s="28"/>
      <c r="FJX269" s="28"/>
      <c r="FJY269" s="28"/>
      <c r="FJZ269" s="28"/>
      <c r="FKA269" s="28"/>
      <c r="FKB269" s="28"/>
      <c r="FKC269" s="28"/>
      <c r="FKD269" s="28"/>
      <c r="FKE269" s="28"/>
      <c r="FKF269" s="28"/>
      <c r="FKG269" s="28"/>
      <c r="FKH269" s="28"/>
      <c r="FKI269" s="28"/>
      <c r="FKJ269" s="28"/>
      <c r="FKK269" s="28"/>
      <c r="FKL269" s="28"/>
      <c r="FKM269" s="28"/>
      <c r="FKN269" s="28"/>
      <c r="FKO269" s="28"/>
      <c r="FKP269" s="28"/>
      <c r="FKQ269" s="28"/>
      <c r="FKR269" s="28"/>
      <c r="FKS269" s="28"/>
      <c r="FKT269" s="28"/>
      <c r="FKU269" s="28"/>
      <c r="FKV269" s="28"/>
      <c r="FKW269" s="28"/>
      <c r="FKX269" s="28"/>
      <c r="FKY269" s="28"/>
      <c r="FKZ269" s="28"/>
      <c r="FLA269" s="28"/>
      <c r="FLB269" s="28"/>
      <c r="FLC269" s="28"/>
      <c r="FLD269" s="28"/>
      <c r="FLE269" s="28"/>
      <c r="FLF269" s="28"/>
      <c r="FLG269" s="28"/>
      <c r="FLH269" s="28"/>
      <c r="FLI269" s="28"/>
      <c r="FLJ269" s="28"/>
      <c r="FLK269" s="28"/>
      <c r="FLL269" s="28"/>
      <c r="FLM269" s="28"/>
      <c r="FLN269" s="28"/>
      <c r="FLO269" s="28"/>
      <c r="FLP269" s="28"/>
      <c r="FLQ269" s="28"/>
      <c r="FLR269" s="28"/>
      <c r="FLS269" s="28"/>
      <c r="FLT269" s="28"/>
      <c r="FLU269" s="28"/>
      <c r="FLV269" s="28"/>
      <c r="FLW269" s="28"/>
      <c r="FLX269" s="28"/>
      <c r="FLY269" s="28"/>
      <c r="FLZ269" s="28"/>
      <c r="FMA269" s="28"/>
      <c r="FMB269" s="28"/>
      <c r="FMC269" s="28"/>
      <c r="FMD269" s="28"/>
      <c r="FME269" s="28"/>
      <c r="FMF269" s="28"/>
      <c r="FMG269" s="28"/>
      <c r="FMH269" s="28"/>
      <c r="FMI269" s="28"/>
      <c r="FMJ269" s="28"/>
      <c r="FMK269" s="28"/>
      <c r="FML269" s="28"/>
      <c r="FMM269" s="28"/>
      <c r="FMN269" s="28"/>
      <c r="FMO269" s="28"/>
      <c r="FMP269" s="28"/>
      <c r="FMQ269" s="28"/>
      <c r="FMR269" s="28"/>
      <c r="FMS269" s="28"/>
      <c r="FMT269" s="28"/>
      <c r="FMU269" s="28"/>
      <c r="FMV269" s="28"/>
      <c r="FMW269" s="28"/>
      <c r="FMX269" s="28"/>
      <c r="FMY269" s="28"/>
      <c r="FMZ269" s="28"/>
      <c r="FNA269" s="28"/>
      <c r="FNB269" s="28"/>
      <c r="FNC269" s="28"/>
      <c r="FND269" s="28"/>
      <c r="FNE269" s="28"/>
      <c r="FNF269" s="28"/>
      <c r="FNG269" s="28"/>
      <c r="FNH269" s="28"/>
      <c r="FNI269" s="28"/>
      <c r="FNJ269" s="28"/>
      <c r="FNK269" s="28"/>
      <c r="FNL269" s="28"/>
      <c r="FNM269" s="28"/>
      <c r="FNN269" s="28"/>
      <c r="FNO269" s="28"/>
      <c r="FNP269" s="28"/>
      <c r="FNQ269" s="28"/>
      <c r="FNR269" s="28"/>
      <c r="FNS269" s="28"/>
      <c r="FNT269" s="28"/>
      <c r="FNU269" s="28"/>
      <c r="FNV269" s="28"/>
      <c r="FNW269" s="28"/>
      <c r="FNX269" s="28"/>
      <c r="FNY269" s="28"/>
      <c r="FNZ269" s="28"/>
      <c r="FOA269" s="28"/>
      <c r="FOB269" s="28"/>
      <c r="FOC269" s="28"/>
      <c r="FOD269" s="28"/>
      <c r="FOE269" s="28"/>
      <c r="FOF269" s="28"/>
      <c r="FOG269" s="28"/>
      <c r="FOH269" s="28"/>
      <c r="FOI269" s="28"/>
      <c r="FOJ269" s="28"/>
      <c r="FOK269" s="28"/>
      <c r="FOL269" s="28"/>
      <c r="FOM269" s="28"/>
      <c r="FON269" s="28"/>
      <c r="FOO269" s="28"/>
      <c r="FOP269" s="28"/>
      <c r="FOQ269" s="28"/>
      <c r="FOR269" s="28"/>
      <c r="FOS269" s="28"/>
      <c r="FOT269" s="28"/>
      <c r="FOU269" s="28"/>
      <c r="FOV269" s="28"/>
      <c r="FOW269" s="28"/>
      <c r="FOX269" s="28"/>
      <c r="FOY269" s="28"/>
      <c r="FOZ269" s="28"/>
      <c r="FPA269" s="28"/>
      <c r="FPB269" s="28"/>
      <c r="FPC269" s="28"/>
      <c r="FPD269" s="28"/>
      <c r="FPE269" s="28"/>
      <c r="FPF269" s="28"/>
      <c r="FPG269" s="28"/>
      <c r="FPH269" s="28"/>
      <c r="FPI269" s="28"/>
      <c r="FPJ269" s="28"/>
      <c r="FPK269" s="28"/>
      <c r="FPL269" s="28"/>
      <c r="FPM269" s="28"/>
      <c r="FPN269" s="28"/>
      <c r="FPO269" s="28"/>
      <c r="FPP269" s="28"/>
      <c r="FPQ269" s="28"/>
      <c r="FPR269" s="28"/>
      <c r="FPS269" s="28"/>
      <c r="FPT269" s="28"/>
      <c r="FPU269" s="28"/>
      <c r="FPV269" s="28"/>
      <c r="FPW269" s="28"/>
      <c r="FPX269" s="28"/>
      <c r="FPY269" s="28"/>
      <c r="FPZ269" s="28"/>
      <c r="FQA269" s="28"/>
      <c r="FQB269" s="28"/>
      <c r="FQC269" s="28"/>
      <c r="FQD269" s="28"/>
      <c r="FQE269" s="28"/>
      <c r="FQF269" s="28"/>
      <c r="FQG269" s="28"/>
      <c r="FQH269" s="28"/>
      <c r="FQI269" s="28"/>
      <c r="FQJ269" s="28"/>
      <c r="FQK269" s="28"/>
      <c r="FQL269" s="28"/>
      <c r="FQM269" s="28"/>
      <c r="FQN269" s="28"/>
      <c r="FQO269" s="28"/>
      <c r="FQP269" s="28"/>
      <c r="FQQ269" s="28"/>
      <c r="FQR269" s="28"/>
      <c r="FQS269" s="28"/>
      <c r="FQT269" s="28"/>
      <c r="FQU269" s="28"/>
      <c r="FQV269" s="28"/>
      <c r="FQW269" s="28"/>
      <c r="FQX269" s="28"/>
      <c r="FQY269" s="28"/>
      <c r="FQZ269" s="28"/>
      <c r="FRA269" s="28"/>
      <c r="FRB269" s="28"/>
      <c r="FRC269" s="28"/>
      <c r="FRD269" s="28"/>
      <c r="FRE269" s="28"/>
      <c r="FRF269" s="28"/>
      <c r="FRG269" s="28"/>
      <c r="FRH269" s="28"/>
      <c r="FRI269" s="28"/>
      <c r="FRJ269" s="28"/>
      <c r="FRK269" s="28"/>
      <c r="FRL269" s="28"/>
      <c r="FRM269" s="28"/>
      <c r="FRN269" s="28"/>
      <c r="FRO269" s="28"/>
      <c r="FRP269" s="28"/>
      <c r="FRQ269" s="28"/>
      <c r="FRR269" s="28"/>
      <c r="FRS269" s="28"/>
      <c r="FRT269" s="28"/>
      <c r="FRU269" s="28"/>
      <c r="FRV269" s="28"/>
      <c r="FRW269" s="28"/>
      <c r="FRX269" s="28"/>
      <c r="FRY269" s="28"/>
      <c r="FRZ269" s="28"/>
      <c r="FSA269" s="28"/>
      <c r="FSB269" s="28"/>
      <c r="FSC269" s="28"/>
      <c r="FSD269" s="28"/>
      <c r="FSE269" s="28"/>
      <c r="FSF269" s="28"/>
      <c r="FSG269" s="28"/>
      <c r="FSH269" s="28"/>
      <c r="FSI269" s="28"/>
      <c r="FSJ269" s="28"/>
      <c r="FSK269" s="28"/>
      <c r="FSL269" s="28"/>
      <c r="FSM269" s="28"/>
      <c r="FSN269" s="28"/>
      <c r="FSO269" s="28"/>
      <c r="FSP269" s="28"/>
      <c r="FSQ269" s="28"/>
      <c r="FSR269" s="28"/>
      <c r="FSS269" s="28"/>
      <c r="FST269" s="28"/>
      <c r="FSU269" s="28"/>
      <c r="FSV269" s="28"/>
      <c r="FSW269" s="28"/>
      <c r="FSX269" s="28"/>
      <c r="FSY269" s="28"/>
      <c r="FSZ269" s="28"/>
      <c r="FTA269" s="28"/>
      <c r="FTB269" s="28"/>
      <c r="FTC269" s="28"/>
      <c r="FTD269" s="28"/>
      <c r="FTE269" s="28"/>
      <c r="FTF269" s="28"/>
      <c r="FTG269" s="28"/>
      <c r="FTH269" s="28"/>
      <c r="FTI269" s="28"/>
      <c r="FTJ269" s="28"/>
      <c r="FTK269" s="28"/>
      <c r="FTL269" s="28"/>
      <c r="FTM269" s="28"/>
      <c r="FTN269" s="28"/>
      <c r="FTO269" s="28"/>
      <c r="FTP269" s="28"/>
      <c r="FTQ269" s="28"/>
      <c r="FTR269" s="28"/>
      <c r="FTS269" s="28"/>
      <c r="FTT269" s="28"/>
      <c r="FTU269" s="28"/>
      <c r="FTV269" s="28"/>
      <c r="FTW269" s="28"/>
      <c r="FTX269" s="28"/>
      <c r="FTY269" s="28"/>
      <c r="FTZ269" s="28"/>
      <c r="FUA269" s="28"/>
      <c r="FUB269" s="28"/>
      <c r="FUC269" s="28"/>
      <c r="FUD269" s="28"/>
      <c r="FUE269" s="28"/>
      <c r="FUF269" s="28"/>
      <c r="FUG269" s="28"/>
      <c r="FUH269" s="28"/>
      <c r="FUI269" s="28"/>
      <c r="FUJ269" s="28"/>
      <c r="FUK269" s="28"/>
      <c r="FUL269" s="28"/>
      <c r="FUM269" s="28"/>
      <c r="FUN269" s="28"/>
      <c r="FUO269" s="28"/>
      <c r="FUP269" s="28"/>
      <c r="FUQ269" s="28"/>
      <c r="FUR269" s="28"/>
      <c r="FUS269" s="28"/>
      <c r="FUT269" s="28"/>
      <c r="FUU269" s="28"/>
      <c r="FUV269" s="28"/>
      <c r="FUW269" s="28"/>
      <c r="FUX269" s="28"/>
      <c r="FUY269" s="28"/>
      <c r="FUZ269" s="28"/>
      <c r="FVA269" s="28"/>
      <c r="FVB269" s="28"/>
      <c r="FVC269" s="28"/>
      <c r="FVD269" s="28"/>
      <c r="FVE269" s="28"/>
      <c r="FVF269" s="28"/>
      <c r="FVG269" s="28"/>
      <c r="FVH269" s="28"/>
      <c r="FVI269" s="28"/>
      <c r="FVJ269" s="28"/>
      <c r="FVK269" s="28"/>
      <c r="FVL269" s="28"/>
      <c r="FVM269" s="28"/>
      <c r="FVN269" s="28"/>
      <c r="FVO269" s="28"/>
      <c r="FVP269" s="28"/>
      <c r="FVQ269" s="28"/>
      <c r="FVR269" s="28"/>
      <c r="FVS269" s="28"/>
      <c r="FVT269" s="28"/>
      <c r="FVU269" s="28"/>
      <c r="FVV269" s="28"/>
      <c r="FVW269" s="28"/>
      <c r="FVX269" s="28"/>
      <c r="FVY269" s="28"/>
      <c r="FVZ269" s="28"/>
      <c r="FWA269" s="28"/>
      <c r="FWB269" s="28"/>
      <c r="FWC269" s="28"/>
      <c r="FWD269" s="28"/>
      <c r="FWE269" s="28"/>
      <c r="FWF269" s="28"/>
      <c r="FWG269" s="28"/>
      <c r="FWH269" s="28"/>
      <c r="FWI269" s="28"/>
      <c r="FWJ269" s="28"/>
      <c r="FWK269" s="28"/>
      <c r="FWL269" s="28"/>
      <c r="FWM269" s="28"/>
      <c r="FWN269" s="28"/>
      <c r="FWO269" s="28"/>
      <c r="FWP269" s="28"/>
      <c r="FWQ269" s="28"/>
      <c r="FWR269" s="28"/>
      <c r="FWS269" s="28"/>
      <c r="FWT269" s="28"/>
      <c r="FWU269" s="28"/>
      <c r="FWV269" s="28"/>
      <c r="FWW269" s="28"/>
      <c r="FWX269" s="28"/>
      <c r="FWY269" s="28"/>
      <c r="FWZ269" s="28"/>
      <c r="FXA269" s="28"/>
      <c r="FXB269" s="28"/>
      <c r="FXC269" s="28"/>
      <c r="FXD269" s="28"/>
      <c r="FXE269" s="28"/>
      <c r="FXF269" s="28"/>
      <c r="FXG269" s="28"/>
      <c r="FXH269" s="28"/>
      <c r="FXI269" s="28"/>
      <c r="FXJ269" s="28"/>
      <c r="FXK269" s="28"/>
      <c r="FXL269" s="28"/>
      <c r="FXM269" s="28"/>
      <c r="FXN269" s="28"/>
      <c r="FXO269" s="28"/>
      <c r="FXP269" s="28"/>
      <c r="FXQ269" s="28"/>
      <c r="FXR269" s="28"/>
      <c r="FXS269" s="28"/>
      <c r="FXT269" s="28"/>
      <c r="FXU269" s="28"/>
      <c r="FXV269" s="28"/>
      <c r="FXW269" s="28"/>
      <c r="FXX269" s="28"/>
      <c r="FXY269" s="28"/>
      <c r="FXZ269" s="28"/>
      <c r="FYA269" s="28"/>
      <c r="FYB269" s="28"/>
      <c r="FYC269" s="28"/>
      <c r="FYD269" s="28"/>
      <c r="FYE269" s="28"/>
      <c r="FYF269" s="28"/>
      <c r="FYG269" s="28"/>
      <c r="FYH269" s="28"/>
      <c r="FYI269" s="28"/>
      <c r="FYJ269" s="28"/>
      <c r="FYK269" s="28"/>
      <c r="FYL269" s="28"/>
      <c r="FYM269" s="28"/>
      <c r="FYN269" s="28"/>
      <c r="FYO269" s="28"/>
      <c r="FYP269" s="28"/>
      <c r="FYQ269" s="28"/>
      <c r="FYR269" s="28"/>
      <c r="FYS269" s="28"/>
      <c r="FYT269" s="28"/>
      <c r="FYU269" s="28"/>
      <c r="FYV269" s="28"/>
      <c r="FYW269" s="28"/>
      <c r="FYX269" s="28"/>
      <c r="FYY269" s="28"/>
      <c r="FYZ269" s="28"/>
      <c r="FZA269" s="28"/>
      <c r="FZB269" s="28"/>
      <c r="FZC269" s="28"/>
      <c r="FZD269" s="28"/>
      <c r="FZE269" s="28"/>
      <c r="FZF269" s="28"/>
      <c r="FZG269" s="28"/>
      <c r="FZH269" s="28"/>
      <c r="FZI269" s="28"/>
      <c r="FZJ269" s="28"/>
      <c r="FZK269" s="28"/>
      <c r="FZL269" s="28"/>
      <c r="FZM269" s="28"/>
      <c r="FZN269" s="28"/>
      <c r="FZO269" s="28"/>
      <c r="FZP269" s="28"/>
      <c r="FZQ269" s="28"/>
      <c r="FZR269" s="28"/>
      <c r="FZS269" s="28"/>
      <c r="FZT269" s="28"/>
      <c r="FZU269" s="28"/>
      <c r="FZV269" s="28"/>
      <c r="FZW269" s="28"/>
      <c r="FZX269" s="28"/>
      <c r="FZY269" s="28"/>
      <c r="FZZ269" s="28"/>
      <c r="GAA269" s="28"/>
      <c r="GAB269" s="28"/>
      <c r="GAC269" s="28"/>
      <c r="GAD269" s="28"/>
      <c r="GAE269" s="28"/>
      <c r="GAF269" s="28"/>
      <c r="GAG269" s="28"/>
      <c r="GAH269" s="28"/>
      <c r="GAI269" s="28"/>
      <c r="GAJ269" s="28"/>
      <c r="GAK269" s="28"/>
      <c r="GAL269" s="28"/>
      <c r="GAM269" s="28"/>
      <c r="GAN269" s="28"/>
      <c r="GAO269" s="28"/>
      <c r="GAP269" s="28"/>
      <c r="GAQ269" s="28"/>
      <c r="GAR269" s="28"/>
      <c r="GAS269" s="28"/>
      <c r="GAT269" s="28"/>
      <c r="GAU269" s="28"/>
      <c r="GAV269" s="28"/>
      <c r="GAW269" s="28"/>
      <c r="GAX269" s="28"/>
      <c r="GAY269" s="28"/>
      <c r="GAZ269" s="28"/>
      <c r="GBA269" s="28"/>
      <c r="GBB269" s="28"/>
      <c r="GBC269" s="28"/>
      <c r="GBD269" s="28"/>
      <c r="GBE269" s="28"/>
      <c r="GBF269" s="28"/>
      <c r="GBG269" s="28"/>
      <c r="GBH269" s="28"/>
      <c r="GBI269" s="28"/>
      <c r="GBJ269" s="28"/>
      <c r="GBK269" s="28"/>
      <c r="GBL269" s="28"/>
      <c r="GBM269" s="28"/>
      <c r="GBN269" s="28"/>
      <c r="GBO269" s="28"/>
      <c r="GBP269" s="28"/>
      <c r="GBQ269" s="28"/>
      <c r="GBR269" s="28"/>
      <c r="GBS269" s="28"/>
      <c r="GBT269" s="28"/>
      <c r="GBU269" s="28"/>
      <c r="GBV269" s="28"/>
      <c r="GBW269" s="28"/>
      <c r="GBX269" s="28"/>
      <c r="GBY269" s="28"/>
      <c r="GBZ269" s="28"/>
      <c r="GCA269" s="28"/>
      <c r="GCB269" s="28"/>
      <c r="GCC269" s="28"/>
      <c r="GCD269" s="28"/>
      <c r="GCE269" s="28"/>
      <c r="GCF269" s="28"/>
      <c r="GCG269" s="28"/>
      <c r="GCH269" s="28"/>
      <c r="GCI269" s="28"/>
      <c r="GCJ269" s="28"/>
      <c r="GCK269" s="28"/>
      <c r="GCL269" s="28"/>
      <c r="GCM269" s="28"/>
      <c r="GCN269" s="28"/>
      <c r="GCO269" s="28"/>
      <c r="GCP269" s="28"/>
      <c r="GCQ269" s="28"/>
      <c r="GCR269" s="28"/>
      <c r="GCS269" s="28"/>
      <c r="GCT269" s="28"/>
      <c r="GCU269" s="28"/>
      <c r="GCV269" s="28"/>
      <c r="GCW269" s="28"/>
      <c r="GCX269" s="28"/>
      <c r="GCY269" s="28"/>
      <c r="GCZ269" s="28"/>
      <c r="GDA269" s="28"/>
      <c r="GDB269" s="28"/>
      <c r="GDC269" s="28"/>
      <c r="GDD269" s="28"/>
      <c r="GDE269" s="28"/>
      <c r="GDF269" s="28"/>
      <c r="GDG269" s="28"/>
      <c r="GDH269" s="28"/>
      <c r="GDI269" s="28"/>
      <c r="GDJ269" s="28"/>
      <c r="GDK269" s="28"/>
      <c r="GDL269" s="28"/>
      <c r="GDM269" s="28"/>
      <c r="GDN269" s="28"/>
      <c r="GDO269" s="28"/>
      <c r="GDP269" s="28"/>
      <c r="GDQ269" s="28"/>
      <c r="GDR269" s="28"/>
      <c r="GDS269" s="28"/>
      <c r="GDT269" s="28"/>
      <c r="GDU269" s="28"/>
      <c r="GDV269" s="28"/>
      <c r="GDW269" s="28"/>
      <c r="GDX269" s="28"/>
      <c r="GDY269" s="28"/>
      <c r="GDZ269" s="28"/>
      <c r="GEA269" s="28"/>
      <c r="GEB269" s="28"/>
      <c r="GEC269" s="28"/>
      <c r="GED269" s="28"/>
      <c r="GEE269" s="28"/>
      <c r="GEF269" s="28"/>
      <c r="GEG269" s="28"/>
      <c r="GEH269" s="28"/>
      <c r="GEI269" s="28"/>
      <c r="GEJ269" s="28"/>
      <c r="GEK269" s="28"/>
      <c r="GEL269" s="28"/>
      <c r="GEM269" s="28"/>
      <c r="GEN269" s="28"/>
      <c r="GEO269" s="28"/>
      <c r="GEP269" s="28"/>
      <c r="GEQ269" s="28"/>
      <c r="GER269" s="28"/>
      <c r="GES269" s="28"/>
      <c r="GET269" s="28"/>
      <c r="GEU269" s="28"/>
      <c r="GEV269" s="28"/>
      <c r="GEW269" s="28"/>
      <c r="GEX269" s="28"/>
      <c r="GEY269" s="28"/>
      <c r="GEZ269" s="28"/>
      <c r="GFA269" s="28"/>
      <c r="GFB269" s="28"/>
      <c r="GFC269" s="28"/>
      <c r="GFD269" s="28"/>
      <c r="GFE269" s="28"/>
      <c r="GFF269" s="28"/>
      <c r="GFG269" s="28"/>
      <c r="GFH269" s="28"/>
      <c r="GFI269" s="28"/>
      <c r="GFJ269" s="28"/>
      <c r="GFK269" s="28"/>
      <c r="GFL269" s="28"/>
      <c r="GFM269" s="28"/>
      <c r="GFN269" s="28"/>
      <c r="GFO269" s="28"/>
      <c r="GFP269" s="28"/>
      <c r="GFQ269" s="28"/>
      <c r="GFR269" s="28"/>
      <c r="GFS269" s="28"/>
      <c r="GFT269" s="28"/>
      <c r="GFU269" s="28"/>
      <c r="GFV269" s="28"/>
      <c r="GFW269" s="28"/>
      <c r="GFX269" s="28"/>
      <c r="GFY269" s="28"/>
      <c r="GFZ269" s="28"/>
      <c r="GGA269" s="28"/>
      <c r="GGB269" s="28"/>
      <c r="GGC269" s="28"/>
      <c r="GGD269" s="28"/>
      <c r="GGE269" s="28"/>
      <c r="GGF269" s="28"/>
      <c r="GGG269" s="28"/>
      <c r="GGH269" s="28"/>
      <c r="GGI269" s="28"/>
      <c r="GGJ269" s="28"/>
      <c r="GGK269" s="28"/>
      <c r="GGL269" s="28"/>
      <c r="GGM269" s="28"/>
      <c r="GGN269" s="28"/>
      <c r="GGO269" s="28"/>
      <c r="GGP269" s="28"/>
      <c r="GGQ269" s="28"/>
      <c r="GGR269" s="28"/>
      <c r="GGS269" s="28"/>
      <c r="GGT269" s="28"/>
      <c r="GGU269" s="28"/>
      <c r="GGV269" s="28"/>
      <c r="GGW269" s="28"/>
      <c r="GGX269" s="28"/>
      <c r="GGY269" s="28"/>
      <c r="GGZ269" s="28"/>
      <c r="GHA269" s="28"/>
      <c r="GHB269" s="28"/>
      <c r="GHC269" s="28"/>
      <c r="GHD269" s="28"/>
      <c r="GHE269" s="28"/>
      <c r="GHF269" s="28"/>
      <c r="GHG269" s="28"/>
      <c r="GHH269" s="28"/>
      <c r="GHI269" s="28"/>
      <c r="GHJ269" s="28"/>
      <c r="GHK269" s="28"/>
      <c r="GHL269" s="28"/>
      <c r="GHM269" s="28"/>
      <c r="GHN269" s="28"/>
      <c r="GHO269" s="28"/>
      <c r="GHP269" s="28"/>
      <c r="GHQ269" s="28"/>
      <c r="GHR269" s="28"/>
      <c r="GHS269" s="28"/>
      <c r="GHT269" s="28"/>
      <c r="GHU269" s="28"/>
      <c r="GHV269" s="28"/>
      <c r="GHW269" s="28"/>
      <c r="GHX269" s="28"/>
      <c r="GHY269" s="28"/>
      <c r="GHZ269" s="28"/>
      <c r="GIA269" s="28"/>
      <c r="GIB269" s="28"/>
      <c r="GIC269" s="28"/>
      <c r="GID269" s="28"/>
      <c r="GIE269" s="28"/>
      <c r="GIF269" s="28"/>
      <c r="GIG269" s="28"/>
      <c r="GIH269" s="28"/>
      <c r="GII269" s="28"/>
      <c r="GIJ269" s="28"/>
      <c r="GIK269" s="28"/>
      <c r="GIL269" s="28"/>
      <c r="GIM269" s="28"/>
      <c r="GIN269" s="28"/>
      <c r="GIO269" s="28"/>
      <c r="GIP269" s="28"/>
      <c r="GIQ269" s="28"/>
      <c r="GIR269" s="28"/>
      <c r="GIS269" s="28"/>
      <c r="GIT269" s="28"/>
      <c r="GIU269" s="28"/>
      <c r="GIV269" s="28"/>
      <c r="GIW269" s="28"/>
      <c r="GIX269" s="28"/>
      <c r="GIY269" s="28"/>
      <c r="GIZ269" s="28"/>
      <c r="GJA269" s="28"/>
      <c r="GJB269" s="28"/>
      <c r="GJC269" s="28"/>
      <c r="GJD269" s="28"/>
      <c r="GJE269" s="28"/>
      <c r="GJF269" s="28"/>
      <c r="GJG269" s="28"/>
      <c r="GJH269" s="28"/>
      <c r="GJI269" s="28"/>
      <c r="GJJ269" s="28"/>
      <c r="GJK269" s="28"/>
      <c r="GJL269" s="28"/>
      <c r="GJM269" s="28"/>
      <c r="GJN269" s="28"/>
      <c r="GJO269" s="28"/>
      <c r="GJP269" s="28"/>
      <c r="GJQ269" s="28"/>
      <c r="GJR269" s="28"/>
      <c r="GJS269" s="28"/>
      <c r="GJT269" s="28"/>
      <c r="GJU269" s="28"/>
      <c r="GJV269" s="28"/>
      <c r="GJW269" s="28"/>
      <c r="GJX269" s="28"/>
      <c r="GJY269" s="28"/>
      <c r="GJZ269" s="28"/>
      <c r="GKA269" s="28"/>
      <c r="GKB269" s="28"/>
      <c r="GKC269" s="28"/>
      <c r="GKD269" s="28"/>
      <c r="GKE269" s="28"/>
      <c r="GKF269" s="28"/>
      <c r="GKG269" s="28"/>
      <c r="GKH269" s="28"/>
      <c r="GKI269" s="28"/>
      <c r="GKJ269" s="28"/>
      <c r="GKK269" s="28"/>
      <c r="GKL269" s="28"/>
      <c r="GKM269" s="28"/>
      <c r="GKN269" s="28"/>
      <c r="GKO269" s="28"/>
      <c r="GKP269" s="28"/>
      <c r="GKQ269" s="28"/>
      <c r="GKR269" s="28"/>
      <c r="GKS269" s="28"/>
      <c r="GKT269" s="28"/>
      <c r="GKU269" s="28"/>
      <c r="GKV269" s="28"/>
      <c r="GKW269" s="28"/>
      <c r="GKX269" s="28"/>
      <c r="GKY269" s="28"/>
      <c r="GKZ269" s="28"/>
      <c r="GLA269" s="28"/>
      <c r="GLB269" s="28"/>
      <c r="GLC269" s="28"/>
      <c r="GLD269" s="28"/>
      <c r="GLE269" s="28"/>
      <c r="GLF269" s="28"/>
      <c r="GLG269" s="28"/>
      <c r="GLH269" s="28"/>
      <c r="GLI269" s="28"/>
      <c r="GLJ269" s="28"/>
      <c r="GLK269" s="28"/>
      <c r="GLL269" s="28"/>
      <c r="GLM269" s="28"/>
      <c r="GLN269" s="28"/>
      <c r="GLO269" s="28"/>
      <c r="GLP269" s="28"/>
      <c r="GLQ269" s="28"/>
      <c r="GLR269" s="28"/>
      <c r="GLS269" s="28"/>
      <c r="GLT269" s="28"/>
      <c r="GLU269" s="28"/>
      <c r="GLV269" s="28"/>
      <c r="GLW269" s="28"/>
      <c r="GLX269" s="28"/>
      <c r="GLY269" s="28"/>
      <c r="GLZ269" s="28"/>
      <c r="GMA269" s="28"/>
      <c r="GMB269" s="28"/>
      <c r="GMC269" s="28"/>
      <c r="GMD269" s="28"/>
      <c r="GME269" s="28"/>
      <c r="GMF269" s="28"/>
      <c r="GMG269" s="28"/>
      <c r="GMH269" s="28"/>
      <c r="GMI269" s="28"/>
      <c r="GMJ269" s="28"/>
      <c r="GMK269" s="28"/>
      <c r="GML269" s="28"/>
      <c r="GMM269" s="28"/>
      <c r="GMN269" s="28"/>
      <c r="GMO269" s="28"/>
      <c r="GMP269" s="28"/>
      <c r="GMQ269" s="28"/>
      <c r="GMR269" s="28"/>
      <c r="GMS269" s="28"/>
      <c r="GMT269" s="28"/>
      <c r="GMU269" s="28"/>
      <c r="GMV269" s="28"/>
      <c r="GMW269" s="28"/>
      <c r="GMX269" s="28"/>
      <c r="GMY269" s="28"/>
      <c r="GMZ269" s="28"/>
      <c r="GNA269" s="28"/>
      <c r="GNB269" s="28"/>
      <c r="GNC269" s="28"/>
      <c r="GND269" s="28"/>
      <c r="GNE269" s="28"/>
      <c r="GNF269" s="28"/>
      <c r="GNG269" s="28"/>
      <c r="GNH269" s="28"/>
      <c r="GNI269" s="28"/>
      <c r="GNJ269" s="28"/>
      <c r="GNK269" s="28"/>
      <c r="GNL269" s="28"/>
      <c r="GNM269" s="28"/>
      <c r="GNN269" s="28"/>
      <c r="GNO269" s="28"/>
      <c r="GNP269" s="28"/>
      <c r="GNQ269" s="28"/>
      <c r="GNR269" s="28"/>
      <c r="GNS269" s="28"/>
      <c r="GNT269" s="28"/>
      <c r="GNU269" s="28"/>
      <c r="GNV269" s="28"/>
      <c r="GNW269" s="28"/>
      <c r="GNX269" s="28"/>
      <c r="GNY269" s="28"/>
      <c r="GNZ269" s="28"/>
      <c r="GOA269" s="28"/>
      <c r="GOB269" s="28"/>
      <c r="GOC269" s="28"/>
      <c r="GOD269" s="28"/>
      <c r="GOE269" s="28"/>
      <c r="GOF269" s="28"/>
      <c r="GOG269" s="28"/>
      <c r="GOH269" s="28"/>
      <c r="GOI269" s="28"/>
      <c r="GOJ269" s="28"/>
      <c r="GOK269" s="28"/>
      <c r="GOL269" s="28"/>
      <c r="GOM269" s="28"/>
      <c r="GON269" s="28"/>
      <c r="GOO269" s="28"/>
      <c r="GOP269" s="28"/>
      <c r="GOQ269" s="28"/>
      <c r="GOR269" s="28"/>
      <c r="GOS269" s="28"/>
      <c r="GOT269" s="28"/>
      <c r="GOU269" s="28"/>
      <c r="GOV269" s="28"/>
      <c r="GOW269" s="28"/>
      <c r="GOX269" s="28"/>
      <c r="GOY269" s="28"/>
      <c r="GOZ269" s="28"/>
      <c r="GPA269" s="28"/>
      <c r="GPB269" s="28"/>
      <c r="GPC269" s="28"/>
      <c r="GPD269" s="28"/>
      <c r="GPE269" s="28"/>
      <c r="GPF269" s="28"/>
      <c r="GPG269" s="28"/>
      <c r="GPH269" s="28"/>
      <c r="GPI269" s="28"/>
      <c r="GPJ269" s="28"/>
      <c r="GPK269" s="28"/>
      <c r="GPL269" s="28"/>
      <c r="GPM269" s="28"/>
      <c r="GPN269" s="28"/>
      <c r="GPO269" s="28"/>
      <c r="GPP269" s="28"/>
      <c r="GPQ269" s="28"/>
      <c r="GPR269" s="28"/>
      <c r="GPS269" s="28"/>
      <c r="GPT269" s="28"/>
      <c r="GPU269" s="28"/>
      <c r="GPV269" s="28"/>
      <c r="GPW269" s="28"/>
      <c r="GPX269" s="28"/>
      <c r="GPY269" s="28"/>
      <c r="GPZ269" s="28"/>
      <c r="GQA269" s="28"/>
      <c r="GQB269" s="28"/>
      <c r="GQC269" s="28"/>
      <c r="GQD269" s="28"/>
      <c r="GQE269" s="28"/>
      <c r="GQF269" s="28"/>
      <c r="GQG269" s="28"/>
      <c r="GQH269" s="28"/>
      <c r="GQI269" s="28"/>
      <c r="GQJ269" s="28"/>
      <c r="GQK269" s="28"/>
      <c r="GQL269" s="28"/>
      <c r="GQM269" s="28"/>
      <c r="GQN269" s="28"/>
      <c r="GQO269" s="28"/>
      <c r="GQP269" s="28"/>
      <c r="GQQ269" s="28"/>
      <c r="GQR269" s="28"/>
      <c r="GQS269" s="28"/>
      <c r="GQT269" s="28"/>
      <c r="GQU269" s="28"/>
      <c r="GQV269" s="28"/>
      <c r="GQW269" s="28"/>
      <c r="GQX269" s="28"/>
      <c r="GQY269" s="28"/>
      <c r="GQZ269" s="28"/>
      <c r="GRA269" s="28"/>
      <c r="GRB269" s="28"/>
      <c r="GRC269" s="28"/>
      <c r="GRD269" s="28"/>
      <c r="GRE269" s="28"/>
      <c r="GRF269" s="28"/>
      <c r="GRG269" s="28"/>
      <c r="GRH269" s="28"/>
      <c r="GRI269" s="28"/>
      <c r="GRJ269" s="28"/>
      <c r="GRK269" s="28"/>
      <c r="GRL269" s="28"/>
      <c r="GRM269" s="28"/>
      <c r="GRN269" s="28"/>
      <c r="GRO269" s="28"/>
      <c r="GRP269" s="28"/>
      <c r="GRQ269" s="28"/>
      <c r="GRR269" s="28"/>
      <c r="GRS269" s="28"/>
      <c r="GRT269" s="28"/>
      <c r="GRU269" s="28"/>
      <c r="GRV269" s="28"/>
      <c r="GRW269" s="28"/>
      <c r="GRX269" s="28"/>
      <c r="GRY269" s="28"/>
      <c r="GRZ269" s="28"/>
      <c r="GSA269" s="28"/>
      <c r="GSB269" s="28"/>
      <c r="GSC269" s="28"/>
      <c r="GSD269" s="28"/>
      <c r="GSE269" s="28"/>
      <c r="GSF269" s="28"/>
      <c r="GSG269" s="28"/>
      <c r="GSH269" s="28"/>
      <c r="GSI269" s="28"/>
      <c r="GSJ269" s="28"/>
      <c r="GSK269" s="28"/>
      <c r="GSL269" s="28"/>
      <c r="GSM269" s="28"/>
      <c r="GSN269" s="28"/>
      <c r="GSO269" s="28"/>
      <c r="GSP269" s="28"/>
      <c r="GSQ269" s="28"/>
      <c r="GSR269" s="28"/>
      <c r="GSS269" s="28"/>
      <c r="GST269" s="28"/>
      <c r="GSU269" s="28"/>
      <c r="GSV269" s="28"/>
      <c r="GSW269" s="28"/>
      <c r="GSX269" s="28"/>
      <c r="GSY269" s="28"/>
      <c r="GSZ269" s="28"/>
      <c r="GTA269" s="28"/>
      <c r="GTB269" s="28"/>
      <c r="GTC269" s="28"/>
      <c r="GTD269" s="28"/>
      <c r="GTE269" s="28"/>
      <c r="GTF269" s="28"/>
      <c r="GTG269" s="28"/>
      <c r="GTH269" s="28"/>
      <c r="GTI269" s="28"/>
      <c r="GTJ269" s="28"/>
      <c r="GTK269" s="28"/>
      <c r="GTL269" s="28"/>
      <c r="GTM269" s="28"/>
      <c r="GTN269" s="28"/>
      <c r="GTO269" s="28"/>
      <c r="GTP269" s="28"/>
      <c r="GTQ269" s="28"/>
      <c r="GTR269" s="28"/>
      <c r="GTS269" s="28"/>
      <c r="GTT269" s="28"/>
      <c r="GTU269" s="28"/>
      <c r="GTV269" s="28"/>
      <c r="GTW269" s="28"/>
      <c r="GTX269" s="28"/>
      <c r="GTY269" s="28"/>
      <c r="GTZ269" s="28"/>
      <c r="GUA269" s="28"/>
      <c r="GUB269" s="28"/>
      <c r="GUC269" s="28"/>
      <c r="GUD269" s="28"/>
      <c r="GUE269" s="28"/>
      <c r="GUF269" s="28"/>
      <c r="GUG269" s="28"/>
      <c r="GUH269" s="28"/>
      <c r="GUI269" s="28"/>
      <c r="GUJ269" s="28"/>
      <c r="GUK269" s="28"/>
      <c r="GUL269" s="28"/>
      <c r="GUM269" s="28"/>
      <c r="GUN269" s="28"/>
      <c r="GUO269" s="28"/>
      <c r="GUP269" s="28"/>
      <c r="GUQ269" s="28"/>
      <c r="GUR269" s="28"/>
      <c r="GUS269" s="28"/>
      <c r="GUT269" s="28"/>
      <c r="GUU269" s="28"/>
      <c r="GUV269" s="28"/>
      <c r="GUW269" s="28"/>
      <c r="GUX269" s="28"/>
      <c r="GUY269" s="28"/>
      <c r="GUZ269" s="28"/>
      <c r="GVA269" s="28"/>
      <c r="GVB269" s="28"/>
      <c r="GVC269" s="28"/>
      <c r="GVD269" s="28"/>
      <c r="GVE269" s="28"/>
      <c r="GVF269" s="28"/>
      <c r="GVG269" s="28"/>
      <c r="GVH269" s="28"/>
      <c r="GVI269" s="28"/>
      <c r="GVJ269" s="28"/>
      <c r="GVK269" s="28"/>
      <c r="GVL269" s="28"/>
      <c r="GVM269" s="28"/>
      <c r="GVN269" s="28"/>
      <c r="GVO269" s="28"/>
      <c r="GVP269" s="28"/>
      <c r="GVQ269" s="28"/>
      <c r="GVR269" s="28"/>
      <c r="GVS269" s="28"/>
      <c r="GVT269" s="28"/>
      <c r="GVU269" s="28"/>
      <c r="GVV269" s="28"/>
      <c r="GVW269" s="28"/>
      <c r="GVX269" s="28"/>
      <c r="GVY269" s="28"/>
      <c r="GVZ269" s="28"/>
      <c r="GWA269" s="28"/>
      <c r="GWB269" s="28"/>
      <c r="GWC269" s="28"/>
      <c r="GWD269" s="28"/>
      <c r="GWE269" s="28"/>
      <c r="GWF269" s="28"/>
      <c r="GWG269" s="28"/>
      <c r="GWH269" s="28"/>
      <c r="GWI269" s="28"/>
      <c r="GWJ269" s="28"/>
      <c r="GWK269" s="28"/>
      <c r="GWL269" s="28"/>
      <c r="GWM269" s="28"/>
      <c r="GWN269" s="28"/>
      <c r="GWO269" s="28"/>
      <c r="GWP269" s="28"/>
      <c r="GWQ269" s="28"/>
      <c r="GWR269" s="28"/>
      <c r="GWS269" s="28"/>
      <c r="GWT269" s="28"/>
      <c r="GWU269" s="28"/>
      <c r="GWV269" s="28"/>
      <c r="GWW269" s="28"/>
      <c r="GWX269" s="28"/>
      <c r="GWY269" s="28"/>
      <c r="GWZ269" s="28"/>
      <c r="GXA269" s="28"/>
      <c r="GXB269" s="28"/>
      <c r="GXC269" s="28"/>
      <c r="GXD269" s="28"/>
      <c r="GXE269" s="28"/>
      <c r="GXF269" s="28"/>
      <c r="GXG269" s="28"/>
      <c r="GXH269" s="28"/>
      <c r="GXI269" s="28"/>
      <c r="GXJ269" s="28"/>
      <c r="GXK269" s="28"/>
      <c r="GXL269" s="28"/>
      <c r="GXM269" s="28"/>
      <c r="GXN269" s="28"/>
      <c r="GXO269" s="28"/>
      <c r="GXP269" s="28"/>
      <c r="GXQ269" s="28"/>
      <c r="GXR269" s="28"/>
      <c r="GXS269" s="28"/>
      <c r="GXT269" s="28"/>
      <c r="GXU269" s="28"/>
      <c r="GXV269" s="28"/>
      <c r="GXW269" s="28"/>
      <c r="GXX269" s="28"/>
      <c r="GXY269" s="28"/>
      <c r="GXZ269" s="28"/>
      <c r="GYA269" s="28"/>
      <c r="GYB269" s="28"/>
      <c r="GYC269" s="28"/>
      <c r="GYD269" s="28"/>
      <c r="GYE269" s="28"/>
      <c r="GYF269" s="28"/>
      <c r="GYG269" s="28"/>
      <c r="GYH269" s="28"/>
      <c r="GYI269" s="28"/>
      <c r="GYJ269" s="28"/>
      <c r="GYK269" s="28"/>
      <c r="GYL269" s="28"/>
      <c r="GYM269" s="28"/>
      <c r="GYN269" s="28"/>
      <c r="GYO269" s="28"/>
      <c r="GYP269" s="28"/>
      <c r="GYQ269" s="28"/>
      <c r="GYR269" s="28"/>
      <c r="GYS269" s="28"/>
      <c r="GYT269" s="28"/>
      <c r="GYU269" s="28"/>
      <c r="GYV269" s="28"/>
      <c r="GYW269" s="28"/>
      <c r="GYX269" s="28"/>
      <c r="GYY269" s="28"/>
      <c r="GYZ269" s="28"/>
      <c r="GZA269" s="28"/>
      <c r="GZB269" s="28"/>
      <c r="GZC269" s="28"/>
      <c r="GZD269" s="28"/>
      <c r="GZE269" s="28"/>
      <c r="GZF269" s="28"/>
      <c r="GZG269" s="28"/>
      <c r="GZH269" s="28"/>
      <c r="GZI269" s="28"/>
      <c r="GZJ269" s="28"/>
      <c r="GZK269" s="28"/>
      <c r="GZL269" s="28"/>
      <c r="GZM269" s="28"/>
      <c r="GZN269" s="28"/>
      <c r="GZO269" s="28"/>
      <c r="GZP269" s="28"/>
      <c r="GZQ269" s="28"/>
      <c r="GZR269" s="28"/>
      <c r="GZS269" s="28"/>
      <c r="GZT269" s="28"/>
      <c r="GZU269" s="28"/>
      <c r="GZV269" s="28"/>
      <c r="GZW269" s="28"/>
      <c r="GZX269" s="28"/>
      <c r="GZY269" s="28"/>
      <c r="GZZ269" s="28"/>
      <c r="HAA269" s="28"/>
      <c r="HAB269" s="28"/>
      <c r="HAC269" s="28"/>
      <c r="HAD269" s="28"/>
      <c r="HAE269" s="28"/>
      <c r="HAF269" s="28"/>
      <c r="HAG269" s="28"/>
      <c r="HAH269" s="28"/>
      <c r="HAI269" s="28"/>
      <c r="HAJ269" s="28"/>
      <c r="HAK269" s="28"/>
      <c r="HAL269" s="28"/>
      <c r="HAM269" s="28"/>
      <c r="HAN269" s="28"/>
      <c r="HAO269" s="28"/>
      <c r="HAP269" s="28"/>
      <c r="HAQ269" s="28"/>
      <c r="HAR269" s="28"/>
      <c r="HAS269" s="28"/>
      <c r="HAT269" s="28"/>
      <c r="HAU269" s="28"/>
      <c r="HAV269" s="28"/>
      <c r="HAW269" s="28"/>
      <c r="HAX269" s="28"/>
      <c r="HAY269" s="28"/>
      <c r="HAZ269" s="28"/>
      <c r="HBA269" s="28"/>
      <c r="HBB269" s="28"/>
      <c r="HBC269" s="28"/>
      <c r="HBD269" s="28"/>
      <c r="HBE269" s="28"/>
      <c r="HBF269" s="28"/>
      <c r="HBG269" s="28"/>
      <c r="HBH269" s="28"/>
      <c r="HBI269" s="28"/>
      <c r="HBJ269" s="28"/>
      <c r="HBK269" s="28"/>
      <c r="HBL269" s="28"/>
      <c r="HBM269" s="28"/>
      <c r="HBN269" s="28"/>
      <c r="HBO269" s="28"/>
      <c r="HBP269" s="28"/>
      <c r="HBQ269" s="28"/>
      <c r="HBR269" s="28"/>
      <c r="HBS269" s="28"/>
      <c r="HBT269" s="28"/>
      <c r="HBU269" s="28"/>
      <c r="HBV269" s="28"/>
      <c r="HBW269" s="28"/>
      <c r="HBX269" s="28"/>
      <c r="HBY269" s="28"/>
      <c r="HBZ269" s="28"/>
      <c r="HCA269" s="28"/>
      <c r="HCB269" s="28"/>
      <c r="HCC269" s="28"/>
      <c r="HCD269" s="28"/>
      <c r="HCE269" s="28"/>
      <c r="HCF269" s="28"/>
      <c r="HCG269" s="28"/>
      <c r="HCH269" s="28"/>
      <c r="HCI269" s="28"/>
      <c r="HCJ269" s="28"/>
      <c r="HCK269" s="28"/>
      <c r="HCL269" s="28"/>
      <c r="HCM269" s="28"/>
      <c r="HCN269" s="28"/>
      <c r="HCO269" s="28"/>
      <c r="HCP269" s="28"/>
      <c r="HCQ269" s="28"/>
      <c r="HCR269" s="28"/>
      <c r="HCS269" s="28"/>
      <c r="HCT269" s="28"/>
      <c r="HCU269" s="28"/>
      <c r="HCV269" s="28"/>
      <c r="HCW269" s="28"/>
      <c r="HCX269" s="28"/>
      <c r="HCY269" s="28"/>
      <c r="HCZ269" s="28"/>
      <c r="HDA269" s="28"/>
      <c r="HDB269" s="28"/>
      <c r="HDC269" s="28"/>
      <c r="HDD269" s="28"/>
      <c r="HDE269" s="28"/>
      <c r="HDF269" s="28"/>
      <c r="HDG269" s="28"/>
      <c r="HDH269" s="28"/>
      <c r="HDI269" s="28"/>
      <c r="HDJ269" s="28"/>
      <c r="HDK269" s="28"/>
      <c r="HDL269" s="28"/>
      <c r="HDM269" s="28"/>
      <c r="HDN269" s="28"/>
      <c r="HDO269" s="28"/>
      <c r="HDP269" s="28"/>
      <c r="HDQ269" s="28"/>
      <c r="HDR269" s="28"/>
      <c r="HDS269" s="28"/>
      <c r="HDT269" s="28"/>
      <c r="HDU269" s="28"/>
      <c r="HDV269" s="28"/>
      <c r="HDW269" s="28"/>
      <c r="HDX269" s="28"/>
      <c r="HDY269" s="28"/>
      <c r="HDZ269" s="28"/>
      <c r="HEA269" s="28"/>
      <c r="HEB269" s="28"/>
      <c r="HEC269" s="28"/>
      <c r="HED269" s="28"/>
      <c r="HEE269" s="28"/>
      <c r="HEF269" s="28"/>
      <c r="HEG269" s="28"/>
      <c r="HEH269" s="28"/>
      <c r="HEI269" s="28"/>
      <c r="HEJ269" s="28"/>
      <c r="HEK269" s="28"/>
      <c r="HEL269" s="28"/>
      <c r="HEM269" s="28"/>
      <c r="HEN269" s="28"/>
      <c r="HEO269" s="28"/>
      <c r="HEP269" s="28"/>
      <c r="HEQ269" s="28"/>
      <c r="HER269" s="28"/>
      <c r="HES269" s="28"/>
      <c r="HET269" s="28"/>
      <c r="HEU269" s="28"/>
      <c r="HEV269" s="28"/>
      <c r="HEW269" s="28"/>
      <c r="HEX269" s="28"/>
      <c r="HEY269" s="28"/>
      <c r="HEZ269" s="28"/>
      <c r="HFA269" s="28"/>
      <c r="HFB269" s="28"/>
      <c r="HFC269" s="28"/>
      <c r="HFD269" s="28"/>
      <c r="HFE269" s="28"/>
      <c r="HFF269" s="28"/>
      <c r="HFG269" s="28"/>
      <c r="HFH269" s="28"/>
      <c r="HFI269" s="28"/>
      <c r="HFJ269" s="28"/>
      <c r="HFK269" s="28"/>
      <c r="HFL269" s="28"/>
      <c r="HFM269" s="28"/>
      <c r="HFN269" s="28"/>
      <c r="HFO269" s="28"/>
      <c r="HFP269" s="28"/>
      <c r="HFQ269" s="28"/>
      <c r="HFR269" s="28"/>
      <c r="HFS269" s="28"/>
      <c r="HFT269" s="28"/>
      <c r="HFU269" s="28"/>
      <c r="HFV269" s="28"/>
      <c r="HFW269" s="28"/>
      <c r="HFX269" s="28"/>
      <c r="HFY269" s="28"/>
      <c r="HFZ269" s="28"/>
      <c r="HGA269" s="28"/>
      <c r="HGB269" s="28"/>
      <c r="HGC269" s="28"/>
      <c r="HGD269" s="28"/>
      <c r="HGE269" s="28"/>
      <c r="HGF269" s="28"/>
      <c r="HGG269" s="28"/>
      <c r="HGH269" s="28"/>
      <c r="HGI269" s="28"/>
      <c r="HGJ269" s="28"/>
      <c r="HGK269" s="28"/>
      <c r="HGL269" s="28"/>
      <c r="HGM269" s="28"/>
      <c r="HGN269" s="28"/>
      <c r="HGO269" s="28"/>
      <c r="HGP269" s="28"/>
      <c r="HGQ269" s="28"/>
      <c r="HGR269" s="28"/>
      <c r="HGS269" s="28"/>
      <c r="HGT269" s="28"/>
      <c r="HGU269" s="28"/>
      <c r="HGV269" s="28"/>
      <c r="HGW269" s="28"/>
      <c r="HGX269" s="28"/>
      <c r="HGY269" s="28"/>
      <c r="HGZ269" s="28"/>
      <c r="HHA269" s="28"/>
      <c r="HHB269" s="28"/>
      <c r="HHC269" s="28"/>
      <c r="HHD269" s="28"/>
      <c r="HHE269" s="28"/>
      <c r="HHF269" s="28"/>
      <c r="HHG269" s="28"/>
      <c r="HHH269" s="28"/>
      <c r="HHI269" s="28"/>
      <c r="HHJ269" s="28"/>
      <c r="HHK269" s="28"/>
      <c r="HHL269" s="28"/>
      <c r="HHM269" s="28"/>
      <c r="HHN269" s="28"/>
      <c r="HHO269" s="28"/>
      <c r="HHP269" s="28"/>
      <c r="HHQ269" s="28"/>
      <c r="HHR269" s="28"/>
      <c r="HHS269" s="28"/>
      <c r="HHT269" s="28"/>
      <c r="HHU269" s="28"/>
      <c r="HHV269" s="28"/>
      <c r="HHW269" s="28"/>
      <c r="HHX269" s="28"/>
      <c r="HHY269" s="28"/>
      <c r="HHZ269" s="28"/>
      <c r="HIA269" s="28"/>
      <c r="HIB269" s="28"/>
      <c r="HIC269" s="28"/>
      <c r="HID269" s="28"/>
      <c r="HIE269" s="28"/>
      <c r="HIF269" s="28"/>
      <c r="HIG269" s="28"/>
      <c r="HIH269" s="28"/>
      <c r="HII269" s="28"/>
      <c r="HIJ269" s="28"/>
      <c r="HIK269" s="28"/>
      <c r="HIL269" s="28"/>
      <c r="HIM269" s="28"/>
      <c r="HIN269" s="28"/>
      <c r="HIO269" s="28"/>
      <c r="HIP269" s="28"/>
      <c r="HIQ269" s="28"/>
      <c r="HIR269" s="28"/>
      <c r="HIS269" s="28"/>
      <c r="HIT269" s="28"/>
      <c r="HIU269" s="28"/>
      <c r="HIV269" s="28"/>
      <c r="HIW269" s="28"/>
      <c r="HIX269" s="28"/>
      <c r="HIY269" s="28"/>
      <c r="HIZ269" s="28"/>
      <c r="HJA269" s="28"/>
      <c r="HJB269" s="28"/>
      <c r="HJC269" s="28"/>
      <c r="HJD269" s="28"/>
      <c r="HJE269" s="28"/>
      <c r="HJF269" s="28"/>
      <c r="HJG269" s="28"/>
      <c r="HJH269" s="28"/>
      <c r="HJI269" s="28"/>
      <c r="HJJ269" s="28"/>
      <c r="HJK269" s="28"/>
      <c r="HJL269" s="28"/>
      <c r="HJM269" s="28"/>
      <c r="HJN269" s="28"/>
      <c r="HJO269" s="28"/>
      <c r="HJP269" s="28"/>
      <c r="HJQ269" s="28"/>
      <c r="HJR269" s="28"/>
      <c r="HJS269" s="28"/>
      <c r="HJT269" s="28"/>
      <c r="HJU269" s="28"/>
      <c r="HJV269" s="28"/>
      <c r="HJW269" s="28"/>
      <c r="HJX269" s="28"/>
      <c r="HJY269" s="28"/>
      <c r="HJZ269" s="28"/>
      <c r="HKA269" s="28"/>
      <c r="HKB269" s="28"/>
      <c r="HKC269" s="28"/>
      <c r="HKD269" s="28"/>
      <c r="HKE269" s="28"/>
      <c r="HKF269" s="28"/>
      <c r="HKG269" s="28"/>
      <c r="HKH269" s="28"/>
      <c r="HKI269" s="28"/>
      <c r="HKJ269" s="28"/>
      <c r="HKK269" s="28"/>
      <c r="HKL269" s="28"/>
      <c r="HKM269" s="28"/>
      <c r="HKN269" s="28"/>
      <c r="HKO269" s="28"/>
      <c r="HKP269" s="28"/>
      <c r="HKQ269" s="28"/>
      <c r="HKR269" s="28"/>
      <c r="HKS269" s="28"/>
      <c r="HKT269" s="28"/>
      <c r="HKU269" s="28"/>
      <c r="HKV269" s="28"/>
      <c r="HKW269" s="28"/>
      <c r="HKX269" s="28"/>
      <c r="HKY269" s="28"/>
      <c r="HKZ269" s="28"/>
      <c r="HLA269" s="28"/>
      <c r="HLB269" s="28"/>
      <c r="HLC269" s="28"/>
      <c r="HLD269" s="28"/>
      <c r="HLE269" s="28"/>
      <c r="HLF269" s="28"/>
      <c r="HLG269" s="28"/>
      <c r="HLH269" s="28"/>
      <c r="HLI269" s="28"/>
      <c r="HLJ269" s="28"/>
      <c r="HLK269" s="28"/>
      <c r="HLL269" s="28"/>
      <c r="HLM269" s="28"/>
      <c r="HLN269" s="28"/>
      <c r="HLO269" s="28"/>
      <c r="HLP269" s="28"/>
      <c r="HLQ269" s="28"/>
      <c r="HLR269" s="28"/>
      <c r="HLS269" s="28"/>
      <c r="HLT269" s="28"/>
      <c r="HLU269" s="28"/>
      <c r="HLV269" s="28"/>
      <c r="HLW269" s="28"/>
      <c r="HLX269" s="28"/>
      <c r="HLY269" s="28"/>
      <c r="HLZ269" s="28"/>
      <c r="HMA269" s="28"/>
      <c r="HMB269" s="28"/>
      <c r="HMC269" s="28"/>
      <c r="HMD269" s="28"/>
      <c r="HME269" s="28"/>
      <c r="HMF269" s="28"/>
      <c r="HMG269" s="28"/>
      <c r="HMH269" s="28"/>
      <c r="HMI269" s="28"/>
      <c r="HMJ269" s="28"/>
      <c r="HMK269" s="28"/>
      <c r="HML269" s="28"/>
      <c r="HMM269" s="28"/>
      <c r="HMN269" s="28"/>
      <c r="HMO269" s="28"/>
      <c r="HMP269" s="28"/>
      <c r="HMQ269" s="28"/>
      <c r="HMR269" s="28"/>
      <c r="HMS269" s="28"/>
      <c r="HMT269" s="28"/>
      <c r="HMU269" s="28"/>
      <c r="HMV269" s="28"/>
      <c r="HMW269" s="28"/>
      <c r="HMX269" s="28"/>
      <c r="HMY269" s="28"/>
      <c r="HMZ269" s="28"/>
      <c r="HNA269" s="28"/>
      <c r="HNB269" s="28"/>
      <c r="HNC269" s="28"/>
      <c r="HND269" s="28"/>
      <c r="HNE269" s="28"/>
      <c r="HNF269" s="28"/>
      <c r="HNG269" s="28"/>
      <c r="HNH269" s="28"/>
      <c r="HNI269" s="28"/>
      <c r="HNJ269" s="28"/>
      <c r="HNK269" s="28"/>
      <c r="HNL269" s="28"/>
      <c r="HNM269" s="28"/>
      <c r="HNN269" s="28"/>
      <c r="HNO269" s="28"/>
      <c r="HNP269" s="28"/>
      <c r="HNQ269" s="28"/>
      <c r="HNR269" s="28"/>
      <c r="HNS269" s="28"/>
      <c r="HNT269" s="28"/>
      <c r="HNU269" s="28"/>
      <c r="HNV269" s="28"/>
      <c r="HNW269" s="28"/>
      <c r="HNX269" s="28"/>
      <c r="HNY269" s="28"/>
      <c r="HNZ269" s="28"/>
      <c r="HOA269" s="28"/>
      <c r="HOB269" s="28"/>
      <c r="HOC269" s="28"/>
      <c r="HOD269" s="28"/>
      <c r="HOE269" s="28"/>
      <c r="HOF269" s="28"/>
      <c r="HOG269" s="28"/>
      <c r="HOH269" s="28"/>
      <c r="HOI269" s="28"/>
      <c r="HOJ269" s="28"/>
      <c r="HOK269" s="28"/>
      <c r="HOL269" s="28"/>
      <c r="HOM269" s="28"/>
      <c r="HON269" s="28"/>
      <c r="HOO269" s="28"/>
      <c r="HOP269" s="28"/>
      <c r="HOQ269" s="28"/>
      <c r="HOR269" s="28"/>
      <c r="HOS269" s="28"/>
      <c r="HOT269" s="28"/>
      <c r="HOU269" s="28"/>
      <c r="HOV269" s="28"/>
      <c r="HOW269" s="28"/>
      <c r="HOX269" s="28"/>
      <c r="HOY269" s="28"/>
      <c r="HOZ269" s="28"/>
      <c r="HPA269" s="28"/>
      <c r="HPB269" s="28"/>
      <c r="HPC269" s="28"/>
      <c r="HPD269" s="28"/>
      <c r="HPE269" s="28"/>
      <c r="HPF269" s="28"/>
      <c r="HPG269" s="28"/>
      <c r="HPH269" s="28"/>
      <c r="HPI269" s="28"/>
      <c r="HPJ269" s="28"/>
      <c r="HPK269" s="28"/>
      <c r="HPL269" s="28"/>
      <c r="HPM269" s="28"/>
      <c r="HPN269" s="28"/>
      <c r="HPO269" s="28"/>
      <c r="HPP269" s="28"/>
      <c r="HPQ269" s="28"/>
      <c r="HPR269" s="28"/>
      <c r="HPS269" s="28"/>
      <c r="HPT269" s="28"/>
      <c r="HPU269" s="28"/>
      <c r="HPV269" s="28"/>
      <c r="HPW269" s="28"/>
      <c r="HPX269" s="28"/>
      <c r="HPY269" s="28"/>
      <c r="HPZ269" s="28"/>
      <c r="HQA269" s="28"/>
      <c r="HQB269" s="28"/>
      <c r="HQC269" s="28"/>
      <c r="HQD269" s="28"/>
      <c r="HQE269" s="28"/>
      <c r="HQF269" s="28"/>
      <c r="HQG269" s="28"/>
      <c r="HQH269" s="28"/>
      <c r="HQI269" s="28"/>
      <c r="HQJ269" s="28"/>
      <c r="HQK269" s="28"/>
      <c r="HQL269" s="28"/>
      <c r="HQM269" s="28"/>
      <c r="HQN269" s="28"/>
      <c r="HQO269" s="28"/>
      <c r="HQP269" s="28"/>
      <c r="HQQ269" s="28"/>
      <c r="HQR269" s="28"/>
      <c r="HQS269" s="28"/>
      <c r="HQT269" s="28"/>
      <c r="HQU269" s="28"/>
      <c r="HQV269" s="28"/>
      <c r="HQW269" s="28"/>
      <c r="HQX269" s="28"/>
      <c r="HQY269" s="28"/>
      <c r="HQZ269" s="28"/>
      <c r="HRA269" s="28"/>
      <c r="HRB269" s="28"/>
      <c r="HRC269" s="28"/>
      <c r="HRD269" s="28"/>
      <c r="HRE269" s="28"/>
      <c r="HRF269" s="28"/>
      <c r="HRG269" s="28"/>
      <c r="HRH269" s="28"/>
      <c r="HRI269" s="28"/>
      <c r="HRJ269" s="28"/>
      <c r="HRK269" s="28"/>
      <c r="HRL269" s="28"/>
      <c r="HRM269" s="28"/>
      <c r="HRN269" s="28"/>
      <c r="HRO269" s="28"/>
      <c r="HRP269" s="28"/>
      <c r="HRQ269" s="28"/>
      <c r="HRR269" s="28"/>
      <c r="HRS269" s="28"/>
      <c r="HRT269" s="28"/>
      <c r="HRU269" s="28"/>
      <c r="HRV269" s="28"/>
      <c r="HRW269" s="28"/>
      <c r="HRX269" s="28"/>
      <c r="HRY269" s="28"/>
      <c r="HRZ269" s="28"/>
      <c r="HSA269" s="28"/>
      <c r="HSB269" s="28"/>
      <c r="HSC269" s="28"/>
      <c r="HSD269" s="28"/>
      <c r="HSE269" s="28"/>
      <c r="HSF269" s="28"/>
      <c r="HSG269" s="28"/>
      <c r="HSH269" s="28"/>
      <c r="HSI269" s="28"/>
      <c r="HSJ269" s="28"/>
      <c r="HSK269" s="28"/>
      <c r="HSL269" s="28"/>
      <c r="HSM269" s="28"/>
      <c r="HSN269" s="28"/>
      <c r="HSO269" s="28"/>
      <c r="HSP269" s="28"/>
      <c r="HSQ269" s="28"/>
      <c r="HSR269" s="28"/>
      <c r="HSS269" s="28"/>
      <c r="HST269" s="28"/>
      <c r="HSU269" s="28"/>
      <c r="HSV269" s="28"/>
      <c r="HSW269" s="28"/>
      <c r="HSX269" s="28"/>
      <c r="HSY269" s="28"/>
      <c r="HSZ269" s="28"/>
      <c r="HTA269" s="28"/>
      <c r="HTB269" s="28"/>
      <c r="HTC269" s="28"/>
      <c r="HTD269" s="28"/>
      <c r="HTE269" s="28"/>
      <c r="HTF269" s="28"/>
      <c r="HTG269" s="28"/>
      <c r="HTH269" s="28"/>
      <c r="HTI269" s="28"/>
      <c r="HTJ269" s="28"/>
      <c r="HTK269" s="28"/>
      <c r="HTL269" s="28"/>
      <c r="HTM269" s="28"/>
      <c r="HTN269" s="28"/>
      <c r="HTO269" s="28"/>
      <c r="HTP269" s="28"/>
      <c r="HTQ269" s="28"/>
      <c r="HTR269" s="28"/>
      <c r="HTS269" s="28"/>
      <c r="HTT269" s="28"/>
      <c r="HTU269" s="28"/>
      <c r="HTV269" s="28"/>
      <c r="HTW269" s="28"/>
      <c r="HTX269" s="28"/>
      <c r="HTY269" s="28"/>
      <c r="HTZ269" s="28"/>
      <c r="HUA269" s="28"/>
      <c r="HUB269" s="28"/>
      <c r="HUC269" s="28"/>
      <c r="HUD269" s="28"/>
      <c r="HUE269" s="28"/>
      <c r="HUF269" s="28"/>
      <c r="HUG269" s="28"/>
      <c r="HUH269" s="28"/>
      <c r="HUI269" s="28"/>
      <c r="HUJ269" s="28"/>
      <c r="HUK269" s="28"/>
      <c r="HUL269" s="28"/>
      <c r="HUM269" s="28"/>
      <c r="HUN269" s="28"/>
      <c r="HUO269" s="28"/>
      <c r="HUP269" s="28"/>
      <c r="HUQ269" s="28"/>
      <c r="HUR269" s="28"/>
      <c r="HUS269" s="28"/>
      <c r="HUT269" s="28"/>
      <c r="HUU269" s="28"/>
      <c r="HUV269" s="28"/>
      <c r="HUW269" s="28"/>
      <c r="HUX269" s="28"/>
      <c r="HUY269" s="28"/>
      <c r="HUZ269" s="28"/>
      <c r="HVA269" s="28"/>
      <c r="HVB269" s="28"/>
      <c r="HVC269" s="28"/>
      <c r="HVD269" s="28"/>
      <c r="HVE269" s="28"/>
      <c r="HVF269" s="28"/>
      <c r="HVG269" s="28"/>
      <c r="HVH269" s="28"/>
      <c r="HVI269" s="28"/>
      <c r="HVJ269" s="28"/>
      <c r="HVK269" s="28"/>
      <c r="HVL269" s="28"/>
      <c r="HVM269" s="28"/>
      <c r="HVN269" s="28"/>
      <c r="HVO269" s="28"/>
      <c r="HVP269" s="28"/>
      <c r="HVQ269" s="28"/>
      <c r="HVR269" s="28"/>
      <c r="HVS269" s="28"/>
      <c r="HVT269" s="28"/>
      <c r="HVU269" s="28"/>
      <c r="HVV269" s="28"/>
      <c r="HVW269" s="28"/>
      <c r="HVX269" s="28"/>
      <c r="HVY269" s="28"/>
      <c r="HVZ269" s="28"/>
      <c r="HWA269" s="28"/>
      <c r="HWB269" s="28"/>
      <c r="HWC269" s="28"/>
      <c r="HWD269" s="28"/>
      <c r="HWE269" s="28"/>
      <c r="HWF269" s="28"/>
      <c r="HWG269" s="28"/>
      <c r="HWH269" s="28"/>
      <c r="HWI269" s="28"/>
      <c r="HWJ269" s="28"/>
      <c r="HWK269" s="28"/>
      <c r="HWL269" s="28"/>
      <c r="HWM269" s="28"/>
      <c r="HWN269" s="28"/>
      <c r="HWO269" s="28"/>
      <c r="HWP269" s="28"/>
      <c r="HWQ269" s="28"/>
      <c r="HWR269" s="28"/>
      <c r="HWS269" s="28"/>
      <c r="HWT269" s="28"/>
      <c r="HWU269" s="28"/>
      <c r="HWV269" s="28"/>
      <c r="HWW269" s="28"/>
      <c r="HWX269" s="28"/>
      <c r="HWY269" s="28"/>
      <c r="HWZ269" s="28"/>
      <c r="HXA269" s="28"/>
      <c r="HXB269" s="28"/>
      <c r="HXC269" s="28"/>
      <c r="HXD269" s="28"/>
      <c r="HXE269" s="28"/>
      <c r="HXF269" s="28"/>
      <c r="HXG269" s="28"/>
      <c r="HXH269" s="28"/>
      <c r="HXI269" s="28"/>
      <c r="HXJ269" s="28"/>
      <c r="HXK269" s="28"/>
      <c r="HXL269" s="28"/>
      <c r="HXM269" s="28"/>
      <c r="HXN269" s="28"/>
      <c r="HXO269" s="28"/>
      <c r="HXP269" s="28"/>
      <c r="HXQ269" s="28"/>
      <c r="HXR269" s="28"/>
      <c r="HXS269" s="28"/>
      <c r="HXT269" s="28"/>
      <c r="HXU269" s="28"/>
      <c r="HXV269" s="28"/>
      <c r="HXW269" s="28"/>
      <c r="HXX269" s="28"/>
      <c r="HXY269" s="28"/>
      <c r="HXZ269" s="28"/>
      <c r="HYA269" s="28"/>
      <c r="HYB269" s="28"/>
      <c r="HYC269" s="28"/>
      <c r="HYD269" s="28"/>
      <c r="HYE269" s="28"/>
      <c r="HYF269" s="28"/>
      <c r="HYG269" s="28"/>
      <c r="HYH269" s="28"/>
      <c r="HYI269" s="28"/>
      <c r="HYJ269" s="28"/>
      <c r="HYK269" s="28"/>
      <c r="HYL269" s="28"/>
      <c r="HYM269" s="28"/>
      <c r="HYN269" s="28"/>
      <c r="HYO269" s="28"/>
      <c r="HYP269" s="28"/>
      <c r="HYQ269" s="28"/>
      <c r="HYR269" s="28"/>
      <c r="HYS269" s="28"/>
      <c r="HYT269" s="28"/>
      <c r="HYU269" s="28"/>
      <c r="HYV269" s="28"/>
      <c r="HYW269" s="28"/>
      <c r="HYX269" s="28"/>
      <c r="HYY269" s="28"/>
      <c r="HYZ269" s="28"/>
      <c r="HZA269" s="28"/>
      <c r="HZB269" s="28"/>
      <c r="HZC269" s="28"/>
      <c r="HZD269" s="28"/>
      <c r="HZE269" s="28"/>
      <c r="HZF269" s="28"/>
      <c r="HZG269" s="28"/>
      <c r="HZH269" s="28"/>
      <c r="HZI269" s="28"/>
      <c r="HZJ269" s="28"/>
      <c r="HZK269" s="28"/>
      <c r="HZL269" s="28"/>
      <c r="HZM269" s="28"/>
      <c r="HZN269" s="28"/>
      <c r="HZO269" s="28"/>
      <c r="HZP269" s="28"/>
      <c r="HZQ269" s="28"/>
      <c r="HZR269" s="28"/>
      <c r="HZS269" s="28"/>
      <c r="HZT269" s="28"/>
      <c r="HZU269" s="28"/>
      <c r="HZV269" s="28"/>
      <c r="HZW269" s="28"/>
      <c r="HZX269" s="28"/>
      <c r="HZY269" s="28"/>
      <c r="HZZ269" s="28"/>
      <c r="IAA269" s="28"/>
      <c r="IAB269" s="28"/>
      <c r="IAC269" s="28"/>
      <c r="IAD269" s="28"/>
      <c r="IAE269" s="28"/>
      <c r="IAF269" s="28"/>
      <c r="IAG269" s="28"/>
      <c r="IAH269" s="28"/>
      <c r="IAI269" s="28"/>
      <c r="IAJ269" s="28"/>
      <c r="IAK269" s="28"/>
      <c r="IAL269" s="28"/>
      <c r="IAM269" s="28"/>
      <c r="IAN269" s="28"/>
      <c r="IAO269" s="28"/>
      <c r="IAP269" s="28"/>
      <c r="IAQ269" s="28"/>
      <c r="IAR269" s="28"/>
      <c r="IAS269" s="28"/>
      <c r="IAT269" s="28"/>
      <c r="IAU269" s="28"/>
      <c r="IAV269" s="28"/>
      <c r="IAW269" s="28"/>
      <c r="IAX269" s="28"/>
      <c r="IAY269" s="28"/>
      <c r="IAZ269" s="28"/>
      <c r="IBA269" s="28"/>
      <c r="IBB269" s="28"/>
      <c r="IBC269" s="28"/>
      <c r="IBD269" s="28"/>
      <c r="IBE269" s="28"/>
      <c r="IBF269" s="28"/>
      <c r="IBG269" s="28"/>
      <c r="IBH269" s="28"/>
      <c r="IBI269" s="28"/>
      <c r="IBJ269" s="28"/>
      <c r="IBK269" s="28"/>
      <c r="IBL269" s="28"/>
      <c r="IBM269" s="28"/>
      <c r="IBN269" s="28"/>
      <c r="IBO269" s="28"/>
      <c r="IBP269" s="28"/>
      <c r="IBQ269" s="28"/>
      <c r="IBR269" s="28"/>
      <c r="IBS269" s="28"/>
      <c r="IBT269" s="28"/>
      <c r="IBU269" s="28"/>
      <c r="IBV269" s="28"/>
      <c r="IBW269" s="28"/>
      <c r="IBX269" s="28"/>
      <c r="IBY269" s="28"/>
      <c r="IBZ269" s="28"/>
      <c r="ICA269" s="28"/>
      <c r="ICB269" s="28"/>
      <c r="ICC269" s="28"/>
      <c r="ICD269" s="28"/>
      <c r="ICE269" s="28"/>
      <c r="ICF269" s="28"/>
      <c r="ICG269" s="28"/>
      <c r="ICH269" s="28"/>
      <c r="ICI269" s="28"/>
      <c r="ICJ269" s="28"/>
      <c r="ICK269" s="28"/>
      <c r="ICL269" s="28"/>
      <c r="ICM269" s="28"/>
      <c r="ICN269" s="28"/>
      <c r="ICO269" s="28"/>
      <c r="ICP269" s="28"/>
      <c r="ICQ269" s="28"/>
      <c r="ICR269" s="28"/>
      <c r="ICS269" s="28"/>
      <c r="ICT269" s="28"/>
      <c r="ICU269" s="28"/>
      <c r="ICV269" s="28"/>
      <c r="ICW269" s="28"/>
      <c r="ICX269" s="28"/>
      <c r="ICY269" s="28"/>
      <c r="ICZ269" s="28"/>
      <c r="IDA269" s="28"/>
      <c r="IDB269" s="28"/>
      <c r="IDC269" s="28"/>
      <c r="IDD269" s="28"/>
      <c r="IDE269" s="28"/>
      <c r="IDF269" s="28"/>
      <c r="IDG269" s="28"/>
      <c r="IDH269" s="28"/>
      <c r="IDI269" s="28"/>
      <c r="IDJ269" s="28"/>
      <c r="IDK269" s="28"/>
      <c r="IDL269" s="28"/>
      <c r="IDM269" s="28"/>
      <c r="IDN269" s="28"/>
      <c r="IDO269" s="28"/>
      <c r="IDP269" s="28"/>
      <c r="IDQ269" s="28"/>
      <c r="IDR269" s="28"/>
      <c r="IDS269" s="28"/>
      <c r="IDT269" s="28"/>
      <c r="IDU269" s="28"/>
      <c r="IDV269" s="28"/>
      <c r="IDW269" s="28"/>
      <c r="IDX269" s="28"/>
      <c r="IDY269" s="28"/>
      <c r="IDZ269" s="28"/>
      <c r="IEA269" s="28"/>
      <c r="IEB269" s="28"/>
      <c r="IEC269" s="28"/>
      <c r="IED269" s="28"/>
      <c r="IEE269" s="28"/>
      <c r="IEF269" s="28"/>
      <c r="IEG269" s="28"/>
      <c r="IEH269" s="28"/>
      <c r="IEI269" s="28"/>
      <c r="IEJ269" s="28"/>
      <c r="IEK269" s="28"/>
      <c r="IEL269" s="28"/>
      <c r="IEM269" s="28"/>
      <c r="IEN269" s="28"/>
      <c r="IEO269" s="28"/>
      <c r="IEP269" s="28"/>
      <c r="IEQ269" s="28"/>
      <c r="IER269" s="28"/>
      <c r="IES269" s="28"/>
      <c r="IET269" s="28"/>
      <c r="IEU269" s="28"/>
      <c r="IEV269" s="28"/>
      <c r="IEW269" s="28"/>
      <c r="IEX269" s="28"/>
      <c r="IEY269" s="28"/>
      <c r="IEZ269" s="28"/>
      <c r="IFA269" s="28"/>
      <c r="IFB269" s="28"/>
      <c r="IFC269" s="28"/>
      <c r="IFD269" s="28"/>
      <c r="IFE269" s="28"/>
      <c r="IFF269" s="28"/>
      <c r="IFG269" s="28"/>
      <c r="IFH269" s="28"/>
      <c r="IFI269" s="28"/>
      <c r="IFJ269" s="28"/>
      <c r="IFK269" s="28"/>
      <c r="IFL269" s="28"/>
      <c r="IFM269" s="28"/>
      <c r="IFN269" s="28"/>
      <c r="IFO269" s="28"/>
      <c r="IFP269" s="28"/>
      <c r="IFQ269" s="28"/>
      <c r="IFR269" s="28"/>
      <c r="IFS269" s="28"/>
      <c r="IFT269" s="28"/>
      <c r="IFU269" s="28"/>
      <c r="IFV269" s="28"/>
      <c r="IFW269" s="28"/>
      <c r="IFX269" s="28"/>
      <c r="IFY269" s="28"/>
      <c r="IFZ269" s="28"/>
      <c r="IGA269" s="28"/>
      <c r="IGB269" s="28"/>
      <c r="IGC269" s="28"/>
      <c r="IGD269" s="28"/>
      <c r="IGE269" s="28"/>
      <c r="IGF269" s="28"/>
      <c r="IGG269" s="28"/>
      <c r="IGH269" s="28"/>
      <c r="IGI269" s="28"/>
      <c r="IGJ269" s="28"/>
      <c r="IGK269" s="28"/>
      <c r="IGL269" s="28"/>
      <c r="IGM269" s="28"/>
      <c r="IGN269" s="28"/>
      <c r="IGO269" s="28"/>
      <c r="IGP269" s="28"/>
      <c r="IGQ269" s="28"/>
      <c r="IGR269" s="28"/>
      <c r="IGS269" s="28"/>
      <c r="IGT269" s="28"/>
      <c r="IGU269" s="28"/>
      <c r="IGV269" s="28"/>
      <c r="IGW269" s="28"/>
      <c r="IGX269" s="28"/>
      <c r="IGY269" s="28"/>
      <c r="IGZ269" s="28"/>
      <c r="IHA269" s="28"/>
      <c r="IHB269" s="28"/>
      <c r="IHC269" s="28"/>
      <c r="IHD269" s="28"/>
      <c r="IHE269" s="28"/>
      <c r="IHF269" s="28"/>
      <c r="IHG269" s="28"/>
      <c r="IHH269" s="28"/>
      <c r="IHI269" s="28"/>
      <c r="IHJ269" s="28"/>
      <c r="IHK269" s="28"/>
      <c r="IHL269" s="28"/>
      <c r="IHM269" s="28"/>
      <c r="IHN269" s="28"/>
      <c r="IHO269" s="28"/>
      <c r="IHP269" s="28"/>
      <c r="IHQ269" s="28"/>
      <c r="IHR269" s="28"/>
      <c r="IHS269" s="28"/>
      <c r="IHT269" s="28"/>
      <c r="IHU269" s="28"/>
      <c r="IHV269" s="28"/>
      <c r="IHW269" s="28"/>
      <c r="IHX269" s="28"/>
      <c r="IHY269" s="28"/>
      <c r="IHZ269" s="28"/>
      <c r="IIA269" s="28"/>
      <c r="IIB269" s="28"/>
      <c r="IIC269" s="28"/>
      <c r="IID269" s="28"/>
      <c r="IIE269" s="28"/>
      <c r="IIF269" s="28"/>
      <c r="IIG269" s="28"/>
      <c r="IIH269" s="28"/>
      <c r="III269" s="28"/>
      <c r="IIJ269" s="28"/>
      <c r="IIK269" s="28"/>
      <c r="IIL269" s="28"/>
      <c r="IIM269" s="28"/>
      <c r="IIN269" s="28"/>
      <c r="IIO269" s="28"/>
      <c r="IIP269" s="28"/>
      <c r="IIQ269" s="28"/>
      <c r="IIR269" s="28"/>
      <c r="IIS269" s="28"/>
      <c r="IIT269" s="28"/>
      <c r="IIU269" s="28"/>
      <c r="IIV269" s="28"/>
      <c r="IIW269" s="28"/>
      <c r="IIX269" s="28"/>
      <c r="IIY269" s="28"/>
      <c r="IIZ269" s="28"/>
      <c r="IJA269" s="28"/>
      <c r="IJB269" s="28"/>
      <c r="IJC269" s="28"/>
      <c r="IJD269" s="28"/>
      <c r="IJE269" s="28"/>
      <c r="IJF269" s="28"/>
      <c r="IJG269" s="28"/>
      <c r="IJH269" s="28"/>
      <c r="IJI269" s="28"/>
      <c r="IJJ269" s="28"/>
      <c r="IJK269" s="28"/>
      <c r="IJL269" s="28"/>
      <c r="IJM269" s="28"/>
      <c r="IJN269" s="28"/>
      <c r="IJO269" s="28"/>
      <c r="IJP269" s="28"/>
      <c r="IJQ269" s="28"/>
      <c r="IJR269" s="28"/>
      <c r="IJS269" s="28"/>
      <c r="IJT269" s="28"/>
      <c r="IJU269" s="28"/>
      <c r="IJV269" s="28"/>
      <c r="IJW269" s="28"/>
      <c r="IJX269" s="28"/>
      <c r="IJY269" s="28"/>
      <c r="IJZ269" s="28"/>
      <c r="IKA269" s="28"/>
      <c r="IKB269" s="28"/>
      <c r="IKC269" s="28"/>
      <c r="IKD269" s="28"/>
      <c r="IKE269" s="28"/>
      <c r="IKF269" s="28"/>
      <c r="IKG269" s="28"/>
      <c r="IKH269" s="28"/>
      <c r="IKI269" s="28"/>
      <c r="IKJ269" s="28"/>
      <c r="IKK269" s="28"/>
      <c r="IKL269" s="28"/>
      <c r="IKM269" s="28"/>
      <c r="IKN269" s="28"/>
      <c r="IKO269" s="28"/>
      <c r="IKP269" s="28"/>
      <c r="IKQ269" s="28"/>
      <c r="IKR269" s="28"/>
      <c r="IKS269" s="28"/>
      <c r="IKT269" s="28"/>
      <c r="IKU269" s="28"/>
      <c r="IKV269" s="28"/>
      <c r="IKW269" s="28"/>
      <c r="IKX269" s="28"/>
      <c r="IKY269" s="28"/>
      <c r="IKZ269" s="28"/>
      <c r="ILA269" s="28"/>
      <c r="ILB269" s="28"/>
      <c r="ILC269" s="28"/>
      <c r="ILD269" s="28"/>
      <c r="ILE269" s="28"/>
      <c r="ILF269" s="28"/>
      <c r="ILG269" s="28"/>
      <c r="ILH269" s="28"/>
      <c r="ILI269" s="28"/>
      <c r="ILJ269" s="28"/>
      <c r="ILK269" s="28"/>
      <c r="ILL269" s="28"/>
      <c r="ILM269" s="28"/>
      <c r="ILN269" s="28"/>
      <c r="ILO269" s="28"/>
      <c r="ILP269" s="28"/>
      <c r="ILQ269" s="28"/>
      <c r="ILR269" s="28"/>
      <c r="ILS269" s="28"/>
      <c r="ILT269" s="28"/>
      <c r="ILU269" s="28"/>
      <c r="ILV269" s="28"/>
      <c r="ILW269" s="28"/>
      <c r="ILX269" s="28"/>
      <c r="ILY269" s="28"/>
      <c r="ILZ269" s="28"/>
      <c r="IMA269" s="28"/>
      <c r="IMB269" s="28"/>
      <c r="IMC269" s="28"/>
      <c r="IMD269" s="28"/>
      <c r="IME269" s="28"/>
      <c r="IMF269" s="28"/>
      <c r="IMG269" s="28"/>
      <c r="IMH269" s="28"/>
      <c r="IMI269" s="28"/>
      <c r="IMJ269" s="28"/>
      <c r="IMK269" s="28"/>
      <c r="IML269" s="28"/>
      <c r="IMM269" s="28"/>
      <c r="IMN269" s="28"/>
      <c r="IMO269" s="28"/>
      <c r="IMP269" s="28"/>
      <c r="IMQ269" s="28"/>
      <c r="IMR269" s="28"/>
      <c r="IMS269" s="28"/>
      <c r="IMT269" s="28"/>
      <c r="IMU269" s="28"/>
      <c r="IMV269" s="28"/>
      <c r="IMW269" s="28"/>
      <c r="IMX269" s="28"/>
      <c r="IMY269" s="28"/>
      <c r="IMZ269" s="28"/>
      <c r="INA269" s="28"/>
      <c r="INB269" s="28"/>
      <c r="INC269" s="28"/>
      <c r="IND269" s="28"/>
      <c r="INE269" s="28"/>
      <c r="INF269" s="28"/>
      <c r="ING269" s="28"/>
      <c r="INH269" s="28"/>
      <c r="INI269" s="28"/>
      <c r="INJ269" s="28"/>
      <c r="INK269" s="28"/>
      <c r="INL269" s="28"/>
      <c r="INM269" s="28"/>
      <c r="INN269" s="28"/>
      <c r="INO269" s="28"/>
      <c r="INP269" s="28"/>
      <c r="INQ269" s="28"/>
      <c r="INR269" s="28"/>
      <c r="INS269" s="28"/>
      <c r="INT269" s="28"/>
      <c r="INU269" s="28"/>
      <c r="INV269" s="28"/>
      <c r="INW269" s="28"/>
      <c r="INX269" s="28"/>
      <c r="INY269" s="28"/>
      <c r="INZ269" s="28"/>
      <c r="IOA269" s="28"/>
      <c r="IOB269" s="28"/>
      <c r="IOC269" s="28"/>
      <c r="IOD269" s="28"/>
      <c r="IOE269" s="28"/>
      <c r="IOF269" s="28"/>
      <c r="IOG269" s="28"/>
      <c r="IOH269" s="28"/>
      <c r="IOI269" s="28"/>
      <c r="IOJ269" s="28"/>
      <c r="IOK269" s="28"/>
      <c r="IOL269" s="28"/>
      <c r="IOM269" s="28"/>
      <c r="ION269" s="28"/>
      <c r="IOO269" s="28"/>
      <c r="IOP269" s="28"/>
      <c r="IOQ269" s="28"/>
      <c r="IOR269" s="28"/>
      <c r="IOS269" s="28"/>
      <c r="IOT269" s="28"/>
      <c r="IOU269" s="28"/>
      <c r="IOV269" s="28"/>
      <c r="IOW269" s="28"/>
      <c r="IOX269" s="28"/>
      <c r="IOY269" s="28"/>
      <c r="IOZ269" s="28"/>
      <c r="IPA269" s="28"/>
      <c r="IPB269" s="28"/>
      <c r="IPC269" s="28"/>
      <c r="IPD269" s="28"/>
      <c r="IPE269" s="28"/>
      <c r="IPF269" s="28"/>
      <c r="IPG269" s="28"/>
      <c r="IPH269" s="28"/>
      <c r="IPI269" s="28"/>
      <c r="IPJ269" s="28"/>
      <c r="IPK269" s="28"/>
      <c r="IPL269" s="28"/>
      <c r="IPM269" s="28"/>
      <c r="IPN269" s="28"/>
      <c r="IPO269" s="28"/>
      <c r="IPP269" s="28"/>
      <c r="IPQ269" s="28"/>
      <c r="IPR269" s="28"/>
      <c r="IPS269" s="28"/>
      <c r="IPT269" s="28"/>
      <c r="IPU269" s="28"/>
      <c r="IPV269" s="28"/>
      <c r="IPW269" s="28"/>
      <c r="IPX269" s="28"/>
      <c r="IPY269" s="28"/>
      <c r="IPZ269" s="28"/>
      <c r="IQA269" s="28"/>
      <c r="IQB269" s="28"/>
      <c r="IQC269" s="28"/>
      <c r="IQD269" s="28"/>
      <c r="IQE269" s="28"/>
      <c r="IQF269" s="28"/>
      <c r="IQG269" s="28"/>
      <c r="IQH269" s="28"/>
      <c r="IQI269" s="28"/>
      <c r="IQJ269" s="28"/>
      <c r="IQK269" s="28"/>
      <c r="IQL269" s="28"/>
      <c r="IQM269" s="28"/>
      <c r="IQN269" s="28"/>
      <c r="IQO269" s="28"/>
      <c r="IQP269" s="28"/>
      <c r="IQQ269" s="28"/>
      <c r="IQR269" s="28"/>
      <c r="IQS269" s="28"/>
      <c r="IQT269" s="28"/>
      <c r="IQU269" s="28"/>
      <c r="IQV269" s="28"/>
      <c r="IQW269" s="28"/>
      <c r="IQX269" s="28"/>
      <c r="IQY269" s="28"/>
      <c r="IQZ269" s="28"/>
      <c r="IRA269" s="28"/>
      <c r="IRB269" s="28"/>
      <c r="IRC269" s="28"/>
      <c r="IRD269" s="28"/>
      <c r="IRE269" s="28"/>
      <c r="IRF269" s="28"/>
      <c r="IRG269" s="28"/>
      <c r="IRH269" s="28"/>
      <c r="IRI269" s="28"/>
      <c r="IRJ269" s="28"/>
      <c r="IRK269" s="28"/>
      <c r="IRL269" s="28"/>
      <c r="IRM269" s="28"/>
      <c r="IRN269" s="28"/>
      <c r="IRO269" s="28"/>
      <c r="IRP269" s="28"/>
      <c r="IRQ269" s="28"/>
      <c r="IRR269" s="28"/>
      <c r="IRS269" s="28"/>
      <c r="IRT269" s="28"/>
      <c r="IRU269" s="28"/>
      <c r="IRV269" s="28"/>
      <c r="IRW269" s="28"/>
      <c r="IRX269" s="28"/>
      <c r="IRY269" s="28"/>
      <c r="IRZ269" s="28"/>
      <c r="ISA269" s="28"/>
      <c r="ISB269" s="28"/>
      <c r="ISC269" s="28"/>
      <c r="ISD269" s="28"/>
      <c r="ISE269" s="28"/>
      <c r="ISF269" s="28"/>
      <c r="ISG269" s="28"/>
      <c r="ISH269" s="28"/>
      <c r="ISI269" s="28"/>
      <c r="ISJ269" s="28"/>
      <c r="ISK269" s="28"/>
      <c r="ISL269" s="28"/>
      <c r="ISM269" s="28"/>
      <c r="ISN269" s="28"/>
      <c r="ISO269" s="28"/>
      <c r="ISP269" s="28"/>
      <c r="ISQ269" s="28"/>
      <c r="ISR269" s="28"/>
      <c r="ISS269" s="28"/>
      <c r="IST269" s="28"/>
      <c r="ISU269" s="28"/>
      <c r="ISV269" s="28"/>
      <c r="ISW269" s="28"/>
      <c r="ISX269" s="28"/>
      <c r="ISY269" s="28"/>
      <c r="ISZ269" s="28"/>
      <c r="ITA269" s="28"/>
      <c r="ITB269" s="28"/>
      <c r="ITC269" s="28"/>
      <c r="ITD269" s="28"/>
      <c r="ITE269" s="28"/>
      <c r="ITF269" s="28"/>
      <c r="ITG269" s="28"/>
      <c r="ITH269" s="28"/>
      <c r="ITI269" s="28"/>
      <c r="ITJ269" s="28"/>
      <c r="ITK269" s="28"/>
      <c r="ITL269" s="28"/>
      <c r="ITM269" s="28"/>
      <c r="ITN269" s="28"/>
      <c r="ITO269" s="28"/>
      <c r="ITP269" s="28"/>
      <c r="ITQ269" s="28"/>
      <c r="ITR269" s="28"/>
      <c r="ITS269" s="28"/>
      <c r="ITT269" s="28"/>
      <c r="ITU269" s="28"/>
      <c r="ITV269" s="28"/>
      <c r="ITW269" s="28"/>
      <c r="ITX269" s="28"/>
      <c r="ITY269" s="28"/>
      <c r="ITZ269" s="28"/>
      <c r="IUA269" s="28"/>
      <c r="IUB269" s="28"/>
      <c r="IUC269" s="28"/>
      <c r="IUD269" s="28"/>
      <c r="IUE269" s="28"/>
      <c r="IUF269" s="28"/>
      <c r="IUG269" s="28"/>
      <c r="IUH269" s="28"/>
      <c r="IUI269" s="28"/>
      <c r="IUJ269" s="28"/>
      <c r="IUK269" s="28"/>
      <c r="IUL269" s="28"/>
      <c r="IUM269" s="28"/>
      <c r="IUN269" s="28"/>
      <c r="IUO269" s="28"/>
      <c r="IUP269" s="28"/>
      <c r="IUQ269" s="28"/>
      <c r="IUR269" s="28"/>
      <c r="IUS269" s="28"/>
      <c r="IUT269" s="28"/>
      <c r="IUU269" s="28"/>
      <c r="IUV269" s="28"/>
      <c r="IUW269" s="28"/>
      <c r="IUX269" s="28"/>
      <c r="IUY269" s="28"/>
      <c r="IUZ269" s="28"/>
      <c r="IVA269" s="28"/>
      <c r="IVB269" s="28"/>
      <c r="IVC269" s="28"/>
      <c r="IVD269" s="28"/>
      <c r="IVE269" s="28"/>
      <c r="IVF269" s="28"/>
      <c r="IVG269" s="28"/>
      <c r="IVH269" s="28"/>
      <c r="IVI269" s="28"/>
      <c r="IVJ269" s="28"/>
      <c r="IVK269" s="28"/>
      <c r="IVL269" s="28"/>
      <c r="IVM269" s="28"/>
      <c r="IVN269" s="28"/>
      <c r="IVO269" s="28"/>
      <c r="IVP269" s="28"/>
      <c r="IVQ269" s="28"/>
      <c r="IVR269" s="28"/>
      <c r="IVS269" s="28"/>
      <c r="IVT269" s="28"/>
      <c r="IVU269" s="28"/>
      <c r="IVV269" s="28"/>
      <c r="IVW269" s="28"/>
      <c r="IVX269" s="28"/>
      <c r="IVY269" s="28"/>
      <c r="IVZ269" s="28"/>
      <c r="IWA269" s="28"/>
      <c r="IWB269" s="28"/>
      <c r="IWC269" s="28"/>
      <c r="IWD269" s="28"/>
      <c r="IWE269" s="28"/>
      <c r="IWF269" s="28"/>
      <c r="IWG269" s="28"/>
      <c r="IWH269" s="28"/>
      <c r="IWI269" s="28"/>
      <c r="IWJ269" s="28"/>
      <c r="IWK269" s="28"/>
      <c r="IWL269" s="28"/>
      <c r="IWM269" s="28"/>
      <c r="IWN269" s="28"/>
      <c r="IWO269" s="28"/>
      <c r="IWP269" s="28"/>
      <c r="IWQ269" s="28"/>
      <c r="IWR269" s="28"/>
      <c r="IWS269" s="28"/>
      <c r="IWT269" s="28"/>
      <c r="IWU269" s="28"/>
      <c r="IWV269" s="28"/>
      <c r="IWW269" s="28"/>
      <c r="IWX269" s="28"/>
      <c r="IWY269" s="28"/>
      <c r="IWZ269" s="28"/>
      <c r="IXA269" s="28"/>
      <c r="IXB269" s="28"/>
      <c r="IXC269" s="28"/>
      <c r="IXD269" s="28"/>
      <c r="IXE269" s="28"/>
      <c r="IXF269" s="28"/>
      <c r="IXG269" s="28"/>
      <c r="IXH269" s="28"/>
      <c r="IXI269" s="28"/>
      <c r="IXJ269" s="28"/>
      <c r="IXK269" s="28"/>
      <c r="IXL269" s="28"/>
      <c r="IXM269" s="28"/>
      <c r="IXN269" s="28"/>
      <c r="IXO269" s="28"/>
      <c r="IXP269" s="28"/>
      <c r="IXQ269" s="28"/>
      <c r="IXR269" s="28"/>
      <c r="IXS269" s="28"/>
      <c r="IXT269" s="28"/>
      <c r="IXU269" s="28"/>
      <c r="IXV269" s="28"/>
      <c r="IXW269" s="28"/>
      <c r="IXX269" s="28"/>
      <c r="IXY269" s="28"/>
      <c r="IXZ269" s="28"/>
      <c r="IYA269" s="28"/>
      <c r="IYB269" s="28"/>
      <c r="IYC269" s="28"/>
      <c r="IYD269" s="28"/>
      <c r="IYE269" s="28"/>
      <c r="IYF269" s="28"/>
      <c r="IYG269" s="28"/>
      <c r="IYH269" s="28"/>
      <c r="IYI269" s="28"/>
      <c r="IYJ269" s="28"/>
      <c r="IYK269" s="28"/>
      <c r="IYL269" s="28"/>
      <c r="IYM269" s="28"/>
      <c r="IYN269" s="28"/>
      <c r="IYO269" s="28"/>
      <c r="IYP269" s="28"/>
      <c r="IYQ269" s="28"/>
      <c r="IYR269" s="28"/>
      <c r="IYS269" s="28"/>
      <c r="IYT269" s="28"/>
      <c r="IYU269" s="28"/>
      <c r="IYV269" s="28"/>
      <c r="IYW269" s="28"/>
      <c r="IYX269" s="28"/>
      <c r="IYY269" s="28"/>
      <c r="IYZ269" s="28"/>
      <c r="IZA269" s="28"/>
      <c r="IZB269" s="28"/>
      <c r="IZC269" s="28"/>
      <c r="IZD269" s="28"/>
      <c r="IZE269" s="28"/>
      <c r="IZF269" s="28"/>
      <c r="IZG269" s="28"/>
      <c r="IZH269" s="28"/>
      <c r="IZI269" s="28"/>
      <c r="IZJ269" s="28"/>
      <c r="IZK269" s="28"/>
      <c r="IZL269" s="28"/>
      <c r="IZM269" s="28"/>
      <c r="IZN269" s="28"/>
      <c r="IZO269" s="28"/>
      <c r="IZP269" s="28"/>
      <c r="IZQ269" s="28"/>
      <c r="IZR269" s="28"/>
      <c r="IZS269" s="28"/>
      <c r="IZT269" s="28"/>
      <c r="IZU269" s="28"/>
      <c r="IZV269" s="28"/>
      <c r="IZW269" s="28"/>
      <c r="IZX269" s="28"/>
      <c r="IZY269" s="28"/>
      <c r="IZZ269" s="28"/>
      <c r="JAA269" s="28"/>
      <c r="JAB269" s="28"/>
      <c r="JAC269" s="28"/>
      <c r="JAD269" s="28"/>
      <c r="JAE269" s="28"/>
      <c r="JAF269" s="28"/>
      <c r="JAG269" s="28"/>
      <c r="JAH269" s="28"/>
      <c r="JAI269" s="28"/>
      <c r="JAJ269" s="28"/>
      <c r="JAK269" s="28"/>
      <c r="JAL269" s="28"/>
      <c r="JAM269" s="28"/>
      <c r="JAN269" s="28"/>
      <c r="JAO269" s="28"/>
      <c r="JAP269" s="28"/>
      <c r="JAQ269" s="28"/>
      <c r="JAR269" s="28"/>
      <c r="JAS269" s="28"/>
      <c r="JAT269" s="28"/>
      <c r="JAU269" s="28"/>
      <c r="JAV269" s="28"/>
      <c r="JAW269" s="28"/>
      <c r="JAX269" s="28"/>
      <c r="JAY269" s="28"/>
      <c r="JAZ269" s="28"/>
      <c r="JBA269" s="28"/>
      <c r="JBB269" s="28"/>
      <c r="JBC269" s="28"/>
      <c r="JBD269" s="28"/>
      <c r="JBE269" s="28"/>
      <c r="JBF269" s="28"/>
      <c r="JBG269" s="28"/>
      <c r="JBH269" s="28"/>
      <c r="JBI269" s="28"/>
      <c r="JBJ269" s="28"/>
      <c r="JBK269" s="28"/>
      <c r="JBL269" s="28"/>
      <c r="JBM269" s="28"/>
      <c r="JBN269" s="28"/>
      <c r="JBO269" s="28"/>
      <c r="JBP269" s="28"/>
      <c r="JBQ269" s="28"/>
      <c r="JBR269" s="28"/>
      <c r="JBS269" s="28"/>
      <c r="JBT269" s="28"/>
      <c r="JBU269" s="28"/>
      <c r="JBV269" s="28"/>
      <c r="JBW269" s="28"/>
      <c r="JBX269" s="28"/>
      <c r="JBY269" s="28"/>
      <c r="JBZ269" s="28"/>
      <c r="JCA269" s="28"/>
      <c r="JCB269" s="28"/>
      <c r="JCC269" s="28"/>
      <c r="JCD269" s="28"/>
      <c r="JCE269" s="28"/>
      <c r="JCF269" s="28"/>
      <c r="JCG269" s="28"/>
      <c r="JCH269" s="28"/>
      <c r="JCI269" s="28"/>
      <c r="JCJ269" s="28"/>
      <c r="JCK269" s="28"/>
      <c r="JCL269" s="28"/>
      <c r="JCM269" s="28"/>
      <c r="JCN269" s="28"/>
      <c r="JCO269" s="28"/>
      <c r="JCP269" s="28"/>
      <c r="JCQ269" s="28"/>
      <c r="JCR269" s="28"/>
      <c r="JCS269" s="28"/>
      <c r="JCT269" s="28"/>
      <c r="JCU269" s="28"/>
      <c r="JCV269" s="28"/>
      <c r="JCW269" s="28"/>
      <c r="JCX269" s="28"/>
      <c r="JCY269" s="28"/>
      <c r="JCZ269" s="28"/>
      <c r="JDA269" s="28"/>
      <c r="JDB269" s="28"/>
      <c r="JDC269" s="28"/>
      <c r="JDD269" s="28"/>
      <c r="JDE269" s="28"/>
      <c r="JDF269" s="28"/>
      <c r="JDG269" s="28"/>
      <c r="JDH269" s="28"/>
      <c r="JDI269" s="28"/>
      <c r="JDJ269" s="28"/>
      <c r="JDK269" s="28"/>
      <c r="JDL269" s="28"/>
      <c r="JDM269" s="28"/>
      <c r="JDN269" s="28"/>
      <c r="JDO269" s="28"/>
      <c r="JDP269" s="28"/>
      <c r="JDQ269" s="28"/>
      <c r="JDR269" s="28"/>
      <c r="JDS269" s="28"/>
      <c r="JDT269" s="28"/>
      <c r="JDU269" s="28"/>
      <c r="JDV269" s="28"/>
      <c r="JDW269" s="28"/>
      <c r="JDX269" s="28"/>
      <c r="JDY269" s="28"/>
      <c r="JDZ269" s="28"/>
      <c r="JEA269" s="28"/>
      <c r="JEB269" s="28"/>
      <c r="JEC269" s="28"/>
      <c r="JED269" s="28"/>
      <c r="JEE269" s="28"/>
      <c r="JEF269" s="28"/>
      <c r="JEG269" s="28"/>
      <c r="JEH269" s="28"/>
      <c r="JEI269" s="28"/>
      <c r="JEJ269" s="28"/>
      <c r="JEK269" s="28"/>
      <c r="JEL269" s="28"/>
      <c r="JEM269" s="28"/>
      <c r="JEN269" s="28"/>
      <c r="JEO269" s="28"/>
      <c r="JEP269" s="28"/>
      <c r="JEQ269" s="28"/>
      <c r="JER269" s="28"/>
      <c r="JES269" s="28"/>
      <c r="JET269" s="28"/>
      <c r="JEU269" s="28"/>
      <c r="JEV269" s="28"/>
      <c r="JEW269" s="28"/>
      <c r="JEX269" s="28"/>
      <c r="JEY269" s="28"/>
      <c r="JEZ269" s="28"/>
      <c r="JFA269" s="28"/>
      <c r="JFB269" s="28"/>
      <c r="JFC269" s="28"/>
      <c r="JFD269" s="28"/>
      <c r="JFE269" s="28"/>
      <c r="JFF269" s="28"/>
      <c r="JFG269" s="28"/>
      <c r="JFH269" s="28"/>
      <c r="JFI269" s="28"/>
      <c r="JFJ269" s="28"/>
      <c r="JFK269" s="28"/>
      <c r="JFL269" s="28"/>
      <c r="JFM269" s="28"/>
      <c r="JFN269" s="28"/>
      <c r="JFO269" s="28"/>
      <c r="JFP269" s="28"/>
      <c r="JFQ269" s="28"/>
      <c r="JFR269" s="28"/>
      <c r="JFS269" s="28"/>
      <c r="JFT269" s="28"/>
      <c r="JFU269" s="28"/>
      <c r="JFV269" s="28"/>
      <c r="JFW269" s="28"/>
      <c r="JFX269" s="28"/>
      <c r="JFY269" s="28"/>
      <c r="JFZ269" s="28"/>
      <c r="JGA269" s="28"/>
      <c r="JGB269" s="28"/>
      <c r="JGC269" s="28"/>
      <c r="JGD269" s="28"/>
      <c r="JGE269" s="28"/>
      <c r="JGF269" s="28"/>
      <c r="JGG269" s="28"/>
      <c r="JGH269" s="28"/>
      <c r="JGI269" s="28"/>
      <c r="JGJ269" s="28"/>
      <c r="JGK269" s="28"/>
      <c r="JGL269" s="28"/>
      <c r="JGM269" s="28"/>
      <c r="JGN269" s="28"/>
      <c r="JGO269" s="28"/>
      <c r="JGP269" s="28"/>
      <c r="JGQ269" s="28"/>
      <c r="JGR269" s="28"/>
      <c r="JGS269" s="28"/>
      <c r="JGT269" s="28"/>
      <c r="JGU269" s="28"/>
      <c r="JGV269" s="28"/>
      <c r="JGW269" s="28"/>
      <c r="JGX269" s="28"/>
      <c r="JGY269" s="28"/>
      <c r="JGZ269" s="28"/>
      <c r="JHA269" s="28"/>
      <c r="JHB269" s="28"/>
      <c r="JHC269" s="28"/>
      <c r="JHD269" s="28"/>
      <c r="JHE269" s="28"/>
      <c r="JHF269" s="28"/>
      <c r="JHG269" s="28"/>
      <c r="JHH269" s="28"/>
      <c r="JHI269" s="28"/>
      <c r="JHJ269" s="28"/>
      <c r="JHK269" s="28"/>
      <c r="JHL269" s="28"/>
      <c r="JHM269" s="28"/>
      <c r="JHN269" s="28"/>
      <c r="JHO269" s="28"/>
      <c r="JHP269" s="28"/>
      <c r="JHQ269" s="28"/>
      <c r="JHR269" s="28"/>
      <c r="JHS269" s="28"/>
      <c r="JHT269" s="28"/>
      <c r="JHU269" s="28"/>
      <c r="JHV269" s="28"/>
      <c r="JHW269" s="28"/>
      <c r="JHX269" s="28"/>
      <c r="JHY269" s="28"/>
      <c r="JHZ269" s="28"/>
      <c r="JIA269" s="28"/>
      <c r="JIB269" s="28"/>
      <c r="JIC269" s="28"/>
      <c r="JID269" s="28"/>
      <c r="JIE269" s="28"/>
      <c r="JIF269" s="28"/>
      <c r="JIG269" s="28"/>
      <c r="JIH269" s="28"/>
      <c r="JII269" s="28"/>
      <c r="JIJ269" s="28"/>
      <c r="JIK269" s="28"/>
      <c r="JIL269" s="28"/>
      <c r="JIM269" s="28"/>
      <c r="JIN269" s="28"/>
      <c r="JIO269" s="28"/>
      <c r="JIP269" s="28"/>
      <c r="JIQ269" s="28"/>
      <c r="JIR269" s="28"/>
      <c r="JIS269" s="28"/>
      <c r="JIT269" s="28"/>
      <c r="JIU269" s="28"/>
      <c r="JIV269" s="28"/>
      <c r="JIW269" s="28"/>
      <c r="JIX269" s="28"/>
      <c r="JIY269" s="28"/>
      <c r="JIZ269" s="28"/>
      <c r="JJA269" s="28"/>
      <c r="JJB269" s="28"/>
      <c r="JJC269" s="28"/>
      <c r="JJD269" s="28"/>
      <c r="JJE269" s="28"/>
      <c r="JJF269" s="28"/>
      <c r="JJG269" s="28"/>
      <c r="JJH269" s="28"/>
      <c r="JJI269" s="28"/>
      <c r="JJJ269" s="28"/>
      <c r="JJK269" s="28"/>
      <c r="JJL269" s="28"/>
      <c r="JJM269" s="28"/>
      <c r="JJN269" s="28"/>
      <c r="JJO269" s="28"/>
      <c r="JJP269" s="28"/>
      <c r="JJQ269" s="28"/>
      <c r="JJR269" s="28"/>
      <c r="JJS269" s="28"/>
      <c r="JJT269" s="28"/>
      <c r="JJU269" s="28"/>
      <c r="JJV269" s="28"/>
      <c r="JJW269" s="28"/>
      <c r="JJX269" s="28"/>
      <c r="JJY269" s="28"/>
      <c r="JJZ269" s="28"/>
      <c r="JKA269" s="28"/>
      <c r="JKB269" s="28"/>
      <c r="JKC269" s="28"/>
      <c r="JKD269" s="28"/>
      <c r="JKE269" s="28"/>
      <c r="JKF269" s="28"/>
      <c r="JKG269" s="28"/>
      <c r="JKH269" s="28"/>
      <c r="JKI269" s="28"/>
      <c r="JKJ269" s="28"/>
      <c r="JKK269" s="28"/>
      <c r="JKL269" s="28"/>
      <c r="JKM269" s="28"/>
      <c r="JKN269" s="28"/>
      <c r="JKO269" s="28"/>
      <c r="JKP269" s="28"/>
      <c r="JKQ269" s="28"/>
      <c r="JKR269" s="28"/>
      <c r="JKS269" s="28"/>
      <c r="JKT269" s="28"/>
      <c r="JKU269" s="28"/>
      <c r="JKV269" s="28"/>
      <c r="JKW269" s="28"/>
      <c r="JKX269" s="28"/>
      <c r="JKY269" s="28"/>
      <c r="JKZ269" s="28"/>
      <c r="JLA269" s="28"/>
      <c r="JLB269" s="28"/>
      <c r="JLC269" s="28"/>
      <c r="JLD269" s="28"/>
      <c r="JLE269" s="28"/>
      <c r="JLF269" s="28"/>
      <c r="JLG269" s="28"/>
      <c r="JLH269" s="28"/>
      <c r="JLI269" s="28"/>
      <c r="JLJ269" s="28"/>
      <c r="JLK269" s="28"/>
      <c r="JLL269" s="28"/>
      <c r="JLM269" s="28"/>
      <c r="JLN269" s="28"/>
      <c r="JLO269" s="28"/>
      <c r="JLP269" s="28"/>
      <c r="JLQ269" s="28"/>
      <c r="JLR269" s="28"/>
      <c r="JLS269" s="28"/>
      <c r="JLT269" s="28"/>
      <c r="JLU269" s="28"/>
      <c r="JLV269" s="28"/>
      <c r="JLW269" s="28"/>
      <c r="JLX269" s="28"/>
      <c r="JLY269" s="28"/>
      <c r="JLZ269" s="28"/>
      <c r="JMA269" s="28"/>
      <c r="JMB269" s="28"/>
      <c r="JMC269" s="28"/>
      <c r="JMD269" s="28"/>
      <c r="JME269" s="28"/>
      <c r="JMF269" s="28"/>
      <c r="JMG269" s="28"/>
      <c r="JMH269" s="28"/>
      <c r="JMI269" s="28"/>
      <c r="JMJ269" s="28"/>
      <c r="JMK269" s="28"/>
      <c r="JML269" s="28"/>
      <c r="JMM269" s="28"/>
      <c r="JMN269" s="28"/>
      <c r="JMO269" s="28"/>
      <c r="JMP269" s="28"/>
      <c r="JMQ269" s="28"/>
      <c r="JMR269" s="28"/>
      <c r="JMS269" s="28"/>
      <c r="JMT269" s="28"/>
      <c r="JMU269" s="28"/>
      <c r="JMV269" s="28"/>
      <c r="JMW269" s="28"/>
      <c r="JMX269" s="28"/>
      <c r="JMY269" s="28"/>
      <c r="JMZ269" s="28"/>
      <c r="JNA269" s="28"/>
      <c r="JNB269" s="28"/>
      <c r="JNC269" s="28"/>
      <c r="JND269" s="28"/>
      <c r="JNE269" s="28"/>
      <c r="JNF269" s="28"/>
      <c r="JNG269" s="28"/>
      <c r="JNH269" s="28"/>
      <c r="JNI269" s="28"/>
      <c r="JNJ269" s="28"/>
      <c r="JNK269" s="28"/>
      <c r="JNL269" s="28"/>
      <c r="JNM269" s="28"/>
      <c r="JNN269" s="28"/>
      <c r="JNO269" s="28"/>
      <c r="JNP269" s="28"/>
      <c r="JNQ269" s="28"/>
      <c r="JNR269" s="28"/>
      <c r="JNS269" s="28"/>
      <c r="JNT269" s="28"/>
      <c r="JNU269" s="28"/>
      <c r="JNV269" s="28"/>
      <c r="JNW269" s="28"/>
      <c r="JNX269" s="28"/>
      <c r="JNY269" s="28"/>
      <c r="JNZ269" s="28"/>
      <c r="JOA269" s="28"/>
      <c r="JOB269" s="28"/>
      <c r="JOC269" s="28"/>
      <c r="JOD269" s="28"/>
      <c r="JOE269" s="28"/>
      <c r="JOF269" s="28"/>
      <c r="JOG269" s="28"/>
      <c r="JOH269" s="28"/>
      <c r="JOI269" s="28"/>
      <c r="JOJ269" s="28"/>
      <c r="JOK269" s="28"/>
      <c r="JOL269" s="28"/>
      <c r="JOM269" s="28"/>
      <c r="JON269" s="28"/>
      <c r="JOO269" s="28"/>
      <c r="JOP269" s="28"/>
      <c r="JOQ269" s="28"/>
      <c r="JOR269" s="28"/>
      <c r="JOS269" s="28"/>
      <c r="JOT269" s="28"/>
      <c r="JOU269" s="28"/>
      <c r="JOV269" s="28"/>
      <c r="JOW269" s="28"/>
      <c r="JOX269" s="28"/>
      <c r="JOY269" s="28"/>
      <c r="JOZ269" s="28"/>
      <c r="JPA269" s="28"/>
      <c r="JPB269" s="28"/>
      <c r="JPC269" s="28"/>
      <c r="JPD269" s="28"/>
      <c r="JPE269" s="28"/>
      <c r="JPF269" s="28"/>
      <c r="JPG269" s="28"/>
      <c r="JPH269" s="28"/>
      <c r="JPI269" s="28"/>
      <c r="JPJ269" s="28"/>
      <c r="JPK269" s="28"/>
      <c r="JPL269" s="28"/>
      <c r="JPM269" s="28"/>
      <c r="JPN269" s="28"/>
      <c r="JPO269" s="28"/>
      <c r="JPP269" s="28"/>
      <c r="JPQ269" s="28"/>
      <c r="JPR269" s="28"/>
      <c r="JPS269" s="28"/>
      <c r="JPT269" s="28"/>
      <c r="JPU269" s="28"/>
      <c r="JPV269" s="28"/>
      <c r="JPW269" s="28"/>
      <c r="JPX269" s="28"/>
      <c r="JPY269" s="28"/>
      <c r="JPZ269" s="28"/>
      <c r="JQA269" s="28"/>
      <c r="JQB269" s="28"/>
      <c r="JQC269" s="28"/>
      <c r="JQD269" s="28"/>
      <c r="JQE269" s="28"/>
      <c r="JQF269" s="28"/>
      <c r="JQG269" s="28"/>
      <c r="JQH269" s="28"/>
      <c r="JQI269" s="28"/>
      <c r="JQJ269" s="28"/>
      <c r="JQK269" s="28"/>
      <c r="JQL269" s="28"/>
      <c r="JQM269" s="28"/>
      <c r="JQN269" s="28"/>
      <c r="JQO269" s="28"/>
      <c r="JQP269" s="28"/>
      <c r="JQQ269" s="28"/>
      <c r="JQR269" s="28"/>
      <c r="JQS269" s="28"/>
      <c r="JQT269" s="28"/>
      <c r="JQU269" s="28"/>
      <c r="JQV269" s="28"/>
      <c r="JQW269" s="28"/>
      <c r="JQX269" s="28"/>
      <c r="JQY269" s="28"/>
      <c r="JQZ269" s="28"/>
      <c r="JRA269" s="28"/>
      <c r="JRB269" s="28"/>
      <c r="JRC269" s="28"/>
      <c r="JRD269" s="28"/>
      <c r="JRE269" s="28"/>
      <c r="JRF269" s="28"/>
      <c r="JRG269" s="28"/>
      <c r="JRH269" s="28"/>
      <c r="JRI269" s="28"/>
      <c r="JRJ269" s="28"/>
      <c r="JRK269" s="28"/>
      <c r="JRL269" s="28"/>
      <c r="JRM269" s="28"/>
      <c r="JRN269" s="28"/>
      <c r="JRO269" s="28"/>
      <c r="JRP269" s="28"/>
      <c r="JRQ269" s="28"/>
      <c r="JRR269" s="28"/>
      <c r="JRS269" s="28"/>
      <c r="JRT269" s="28"/>
      <c r="JRU269" s="28"/>
      <c r="JRV269" s="28"/>
      <c r="JRW269" s="28"/>
      <c r="JRX269" s="28"/>
      <c r="JRY269" s="28"/>
      <c r="JRZ269" s="28"/>
      <c r="JSA269" s="28"/>
      <c r="JSB269" s="28"/>
      <c r="JSC269" s="28"/>
      <c r="JSD269" s="28"/>
      <c r="JSE269" s="28"/>
      <c r="JSF269" s="28"/>
      <c r="JSG269" s="28"/>
      <c r="JSH269" s="28"/>
      <c r="JSI269" s="28"/>
      <c r="JSJ269" s="28"/>
      <c r="JSK269" s="28"/>
      <c r="JSL269" s="28"/>
      <c r="JSM269" s="28"/>
      <c r="JSN269" s="28"/>
      <c r="JSO269" s="28"/>
      <c r="JSP269" s="28"/>
      <c r="JSQ269" s="28"/>
      <c r="JSR269" s="28"/>
      <c r="JSS269" s="28"/>
      <c r="JST269" s="28"/>
      <c r="JSU269" s="28"/>
      <c r="JSV269" s="28"/>
      <c r="JSW269" s="28"/>
      <c r="JSX269" s="28"/>
      <c r="JSY269" s="28"/>
      <c r="JSZ269" s="28"/>
      <c r="JTA269" s="28"/>
      <c r="JTB269" s="28"/>
      <c r="JTC269" s="28"/>
      <c r="JTD269" s="28"/>
      <c r="JTE269" s="28"/>
      <c r="JTF269" s="28"/>
      <c r="JTG269" s="28"/>
      <c r="JTH269" s="28"/>
      <c r="JTI269" s="28"/>
      <c r="JTJ269" s="28"/>
      <c r="JTK269" s="28"/>
      <c r="JTL269" s="28"/>
      <c r="JTM269" s="28"/>
      <c r="JTN269" s="28"/>
      <c r="JTO269" s="28"/>
      <c r="JTP269" s="28"/>
      <c r="JTQ269" s="28"/>
      <c r="JTR269" s="28"/>
      <c r="JTS269" s="28"/>
      <c r="JTT269" s="28"/>
      <c r="JTU269" s="28"/>
      <c r="JTV269" s="28"/>
      <c r="JTW269" s="28"/>
      <c r="JTX269" s="28"/>
      <c r="JTY269" s="28"/>
      <c r="JTZ269" s="28"/>
      <c r="JUA269" s="28"/>
      <c r="JUB269" s="28"/>
      <c r="JUC269" s="28"/>
      <c r="JUD269" s="28"/>
      <c r="JUE269" s="28"/>
      <c r="JUF269" s="28"/>
      <c r="JUG269" s="28"/>
      <c r="JUH269" s="28"/>
      <c r="JUI269" s="28"/>
      <c r="JUJ269" s="28"/>
      <c r="JUK269" s="28"/>
      <c r="JUL269" s="28"/>
      <c r="JUM269" s="28"/>
      <c r="JUN269" s="28"/>
      <c r="JUO269" s="28"/>
      <c r="JUP269" s="28"/>
      <c r="JUQ269" s="28"/>
      <c r="JUR269" s="28"/>
      <c r="JUS269" s="28"/>
      <c r="JUT269" s="28"/>
      <c r="JUU269" s="28"/>
      <c r="JUV269" s="28"/>
      <c r="JUW269" s="28"/>
      <c r="JUX269" s="28"/>
      <c r="JUY269" s="28"/>
      <c r="JUZ269" s="28"/>
      <c r="JVA269" s="28"/>
      <c r="JVB269" s="28"/>
      <c r="JVC269" s="28"/>
      <c r="JVD269" s="28"/>
      <c r="JVE269" s="28"/>
      <c r="JVF269" s="28"/>
      <c r="JVG269" s="28"/>
      <c r="JVH269" s="28"/>
      <c r="JVI269" s="28"/>
      <c r="JVJ269" s="28"/>
      <c r="JVK269" s="28"/>
      <c r="JVL269" s="28"/>
      <c r="JVM269" s="28"/>
      <c r="JVN269" s="28"/>
      <c r="JVO269" s="28"/>
      <c r="JVP269" s="28"/>
      <c r="JVQ269" s="28"/>
      <c r="JVR269" s="28"/>
      <c r="JVS269" s="28"/>
      <c r="JVT269" s="28"/>
      <c r="JVU269" s="28"/>
      <c r="JVV269" s="28"/>
      <c r="JVW269" s="28"/>
      <c r="JVX269" s="28"/>
      <c r="JVY269" s="28"/>
      <c r="JVZ269" s="28"/>
      <c r="JWA269" s="28"/>
      <c r="JWB269" s="28"/>
      <c r="JWC269" s="28"/>
      <c r="JWD269" s="28"/>
      <c r="JWE269" s="28"/>
      <c r="JWF269" s="28"/>
      <c r="JWG269" s="28"/>
      <c r="JWH269" s="28"/>
      <c r="JWI269" s="28"/>
      <c r="JWJ269" s="28"/>
      <c r="JWK269" s="28"/>
      <c r="JWL269" s="28"/>
      <c r="JWM269" s="28"/>
      <c r="JWN269" s="28"/>
      <c r="JWO269" s="28"/>
      <c r="JWP269" s="28"/>
      <c r="JWQ269" s="28"/>
      <c r="JWR269" s="28"/>
      <c r="JWS269" s="28"/>
      <c r="JWT269" s="28"/>
      <c r="JWU269" s="28"/>
      <c r="JWV269" s="28"/>
      <c r="JWW269" s="28"/>
      <c r="JWX269" s="28"/>
      <c r="JWY269" s="28"/>
      <c r="JWZ269" s="28"/>
      <c r="JXA269" s="28"/>
      <c r="JXB269" s="28"/>
      <c r="JXC269" s="28"/>
      <c r="JXD269" s="28"/>
      <c r="JXE269" s="28"/>
      <c r="JXF269" s="28"/>
      <c r="JXG269" s="28"/>
      <c r="JXH269" s="28"/>
      <c r="JXI269" s="28"/>
      <c r="JXJ269" s="28"/>
      <c r="JXK269" s="28"/>
      <c r="JXL269" s="28"/>
      <c r="JXM269" s="28"/>
      <c r="JXN269" s="28"/>
      <c r="JXO269" s="28"/>
      <c r="JXP269" s="28"/>
      <c r="JXQ269" s="28"/>
      <c r="JXR269" s="28"/>
      <c r="JXS269" s="28"/>
      <c r="JXT269" s="28"/>
      <c r="JXU269" s="28"/>
      <c r="JXV269" s="28"/>
      <c r="JXW269" s="28"/>
      <c r="JXX269" s="28"/>
      <c r="JXY269" s="28"/>
      <c r="JXZ269" s="28"/>
      <c r="JYA269" s="28"/>
      <c r="JYB269" s="28"/>
      <c r="JYC269" s="28"/>
      <c r="JYD269" s="28"/>
      <c r="JYE269" s="28"/>
      <c r="JYF269" s="28"/>
      <c r="JYG269" s="28"/>
      <c r="JYH269" s="28"/>
      <c r="JYI269" s="28"/>
      <c r="JYJ269" s="28"/>
      <c r="JYK269" s="28"/>
      <c r="JYL269" s="28"/>
      <c r="JYM269" s="28"/>
      <c r="JYN269" s="28"/>
      <c r="JYO269" s="28"/>
      <c r="JYP269" s="28"/>
      <c r="JYQ269" s="28"/>
      <c r="JYR269" s="28"/>
      <c r="JYS269" s="28"/>
      <c r="JYT269" s="28"/>
      <c r="JYU269" s="28"/>
      <c r="JYV269" s="28"/>
      <c r="JYW269" s="28"/>
      <c r="JYX269" s="28"/>
      <c r="JYY269" s="28"/>
      <c r="JYZ269" s="28"/>
      <c r="JZA269" s="28"/>
      <c r="JZB269" s="28"/>
      <c r="JZC269" s="28"/>
      <c r="JZD269" s="28"/>
      <c r="JZE269" s="28"/>
      <c r="JZF269" s="28"/>
      <c r="JZG269" s="28"/>
      <c r="JZH269" s="28"/>
      <c r="JZI269" s="28"/>
      <c r="JZJ269" s="28"/>
      <c r="JZK269" s="28"/>
      <c r="JZL269" s="28"/>
      <c r="JZM269" s="28"/>
      <c r="JZN269" s="28"/>
      <c r="JZO269" s="28"/>
      <c r="JZP269" s="28"/>
      <c r="JZQ269" s="28"/>
      <c r="JZR269" s="28"/>
      <c r="JZS269" s="28"/>
      <c r="JZT269" s="28"/>
      <c r="JZU269" s="28"/>
      <c r="JZV269" s="28"/>
      <c r="JZW269" s="28"/>
      <c r="JZX269" s="28"/>
      <c r="JZY269" s="28"/>
      <c r="JZZ269" s="28"/>
      <c r="KAA269" s="28"/>
      <c r="KAB269" s="28"/>
      <c r="KAC269" s="28"/>
      <c r="KAD269" s="28"/>
      <c r="KAE269" s="28"/>
      <c r="KAF269" s="28"/>
      <c r="KAG269" s="28"/>
      <c r="KAH269" s="28"/>
      <c r="KAI269" s="28"/>
      <c r="KAJ269" s="28"/>
      <c r="KAK269" s="28"/>
      <c r="KAL269" s="28"/>
      <c r="KAM269" s="28"/>
      <c r="KAN269" s="28"/>
      <c r="KAO269" s="28"/>
      <c r="KAP269" s="28"/>
      <c r="KAQ269" s="28"/>
      <c r="KAR269" s="28"/>
      <c r="KAS269" s="28"/>
      <c r="KAT269" s="28"/>
      <c r="KAU269" s="28"/>
      <c r="KAV269" s="28"/>
      <c r="KAW269" s="28"/>
      <c r="KAX269" s="28"/>
      <c r="KAY269" s="28"/>
      <c r="KAZ269" s="28"/>
      <c r="KBA269" s="28"/>
      <c r="KBB269" s="28"/>
      <c r="KBC269" s="28"/>
      <c r="KBD269" s="28"/>
      <c r="KBE269" s="28"/>
      <c r="KBF269" s="28"/>
      <c r="KBG269" s="28"/>
      <c r="KBH269" s="28"/>
      <c r="KBI269" s="28"/>
      <c r="KBJ269" s="28"/>
      <c r="KBK269" s="28"/>
      <c r="KBL269" s="28"/>
      <c r="KBM269" s="28"/>
      <c r="KBN269" s="28"/>
      <c r="KBO269" s="28"/>
      <c r="KBP269" s="28"/>
      <c r="KBQ269" s="28"/>
      <c r="KBR269" s="28"/>
      <c r="KBS269" s="28"/>
      <c r="KBT269" s="28"/>
      <c r="KBU269" s="28"/>
      <c r="KBV269" s="28"/>
      <c r="KBW269" s="28"/>
      <c r="KBX269" s="28"/>
      <c r="KBY269" s="28"/>
      <c r="KBZ269" s="28"/>
      <c r="KCA269" s="28"/>
      <c r="KCB269" s="28"/>
      <c r="KCC269" s="28"/>
      <c r="KCD269" s="28"/>
      <c r="KCE269" s="28"/>
      <c r="KCF269" s="28"/>
      <c r="KCG269" s="28"/>
      <c r="KCH269" s="28"/>
      <c r="KCI269" s="28"/>
      <c r="KCJ269" s="28"/>
      <c r="KCK269" s="28"/>
      <c r="KCL269" s="28"/>
      <c r="KCM269" s="28"/>
      <c r="KCN269" s="28"/>
      <c r="KCO269" s="28"/>
      <c r="KCP269" s="28"/>
      <c r="KCQ269" s="28"/>
      <c r="KCR269" s="28"/>
      <c r="KCS269" s="28"/>
      <c r="KCT269" s="28"/>
      <c r="KCU269" s="28"/>
      <c r="KCV269" s="28"/>
      <c r="KCW269" s="28"/>
      <c r="KCX269" s="28"/>
      <c r="KCY269" s="28"/>
      <c r="KCZ269" s="28"/>
      <c r="KDA269" s="28"/>
      <c r="KDB269" s="28"/>
      <c r="KDC269" s="28"/>
      <c r="KDD269" s="28"/>
      <c r="KDE269" s="28"/>
      <c r="KDF269" s="28"/>
      <c r="KDG269" s="28"/>
      <c r="KDH269" s="28"/>
      <c r="KDI269" s="28"/>
      <c r="KDJ269" s="28"/>
      <c r="KDK269" s="28"/>
      <c r="KDL269" s="28"/>
      <c r="KDM269" s="28"/>
      <c r="KDN269" s="28"/>
      <c r="KDO269" s="28"/>
      <c r="KDP269" s="28"/>
      <c r="KDQ269" s="28"/>
      <c r="KDR269" s="28"/>
      <c r="KDS269" s="28"/>
      <c r="KDT269" s="28"/>
      <c r="KDU269" s="28"/>
      <c r="KDV269" s="28"/>
      <c r="KDW269" s="28"/>
      <c r="KDX269" s="28"/>
      <c r="KDY269" s="28"/>
      <c r="KDZ269" s="28"/>
      <c r="KEA269" s="28"/>
      <c r="KEB269" s="28"/>
      <c r="KEC269" s="28"/>
      <c r="KED269" s="28"/>
      <c r="KEE269" s="28"/>
      <c r="KEF269" s="28"/>
      <c r="KEG269" s="28"/>
      <c r="KEH269" s="28"/>
      <c r="KEI269" s="28"/>
      <c r="KEJ269" s="28"/>
      <c r="KEK269" s="28"/>
      <c r="KEL269" s="28"/>
      <c r="KEM269" s="28"/>
      <c r="KEN269" s="28"/>
      <c r="KEO269" s="28"/>
      <c r="KEP269" s="28"/>
      <c r="KEQ269" s="28"/>
      <c r="KER269" s="28"/>
      <c r="KES269" s="28"/>
      <c r="KET269" s="28"/>
      <c r="KEU269" s="28"/>
      <c r="KEV269" s="28"/>
      <c r="KEW269" s="28"/>
      <c r="KEX269" s="28"/>
      <c r="KEY269" s="28"/>
      <c r="KEZ269" s="28"/>
      <c r="KFA269" s="28"/>
      <c r="KFB269" s="28"/>
      <c r="KFC269" s="28"/>
      <c r="KFD269" s="28"/>
      <c r="KFE269" s="28"/>
      <c r="KFF269" s="28"/>
      <c r="KFG269" s="28"/>
      <c r="KFH269" s="28"/>
      <c r="KFI269" s="28"/>
      <c r="KFJ269" s="28"/>
      <c r="KFK269" s="28"/>
      <c r="KFL269" s="28"/>
      <c r="KFM269" s="28"/>
      <c r="KFN269" s="28"/>
      <c r="KFO269" s="28"/>
      <c r="KFP269" s="28"/>
      <c r="KFQ269" s="28"/>
      <c r="KFR269" s="28"/>
      <c r="KFS269" s="28"/>
      <c r="KFT269" s="28"/>
      <c r="KFU269" s="28"/>
      <c r="KFV269" s="28"/>
      <c r="KFW269" s="28"/>
      <c r="KFX269" s="28"/>
      <c r="KFY269" s="28"/>
      <c r="KFZ269" s="28"/>
      <c r="KGA269" s="28"/>
      <c r="KGB269" s="28"/>
      <c r="KGC269" s="28"/>
      <c r="KGD269" s="28"/>
      <c r="KGE269" s="28"/>
      <c r="KGF269" s="28"/>
      <c r="KGG269" s="28"/>
      <c r="KGH269" s="28"/>
      <c r="KGI269" s="28"/>
      <c r="KGJ269" s="28"/>
      <c r="KGK269" s="28"/>
      <c r="KGL269" s="28"/>
      <c r="KGM269" s="28"/>
      <c r="KGN269" s="28"/>
      <c r="KGO269" s="28"/>
      <c r="KGP269" s="28"/>
      <c r="KGQ269" s="28"/>
      <c r="KGR269" s="28"/>
      <c r="KGS269" s="28"/>
      <c r="KGT269" s="28"/>
      <c r="KGU269" s="28"/>
      <c r="KGV269" s="28"/>
      <c r="KGW269" s="28"/>
      <c r="KGX269" s="28"/>
      <c r="KGY269" s="28"/>
      <c r="KGZ269" s="28"/>
      <c r="KHA269" s="28"/>
      <c r="KHB269" s="28"/>
      <c r="KHC269" s="28"/>
      <c r="KHD269" s="28"/>
      <c r="KHE269" s="28"/>
      <c r="KHF269" s="28"/>
      <c r="KHG269" s="28"/>
      <c r="KHH269" s="28"/>
      <c r="KHI269" s="28"/>
      <c r="KHJ269" s="28"/>
      <c r="KHK269" s="28"/>
      <c r="KHL269" s="28"/>
      <c r="KHM269" s="28"/>
      <c r="KHN269" s="28"/>
      <c r="KHO269" s="28"/>
      <c r="KHP269" s="28"/>
      <c r="KHQ269" s="28"/>
      <c r="KHR269" s="28"/>
      <c r="KHS269" s="28"/>
      <c r="KHT269" s="28"/>
      <c r="KHU269" s="28"/>
      <c r="KHV269" s="28"/>
      <c r="KHW269" s="28"/>
      <c r="KHX269" s="28"/>
      <c r="KHY269" s="28"/>
      <c r="KHZ269" s="28"/>
      <c r="KIA269" s="28"/>
      <c r="KIB269" s="28"/>
      <c r="KIC269" s="28"/>
      <c r="KID269" s="28"/>
      <c r="KIE269" s="28"/>
      <c r="KIF269" s="28"/>
      <c r="KIG269" s="28"/>
      <c r="KIH269" s="28"/>
      <c r="KII269" s="28"/>
      <c r="KIJ269" s="28"/>
      <c r="KIK269" s="28"/>
      <c r="KIL269" s="28"/>
      <c r="KIM269" s="28"/>
      <c r="KIN269" s="28"/>
      <c r="KIO269" s="28"/>
      <c r="KIP269" s="28"/>
      <c r="KIQ269" s="28"/>
      <c r="KIR269" s="28"/>
      <c r="KIS269" s="28"/>
      <c r="KIT269" s="28"/>
      <c r="KIU269" s="28"/>
      <c r="KIV269" s="28"/>
      <c r="KIW269" s="28"/>
      <c r="KIX269" s="28"/>
      <c r="KIY269" s="28"/>
      <c r="KIZ269" s="28"/>
      <c r="KJA269" s="28"/>
      <c r="KJB269" s="28"/>
      <c r="KJC269" s="28"/>
      <c r="KJD269" s="28"/>
      <c r="KJE269" s="28"/>
      <c r="KJF269" s="28"/>
      <c r="KJG269" s="28"/>
      <c r="KJH269" s="28"/>
      <c r="KJI269" s="28"/>
      <c r="KJJ269" s="28"/>
      <c r="KJK269" s="28"/>
      <c r="KJL269" s="28"/>
      <c r="KJM269" s="28"/>
      <c r="KJN269" s="28"/>
      <c r="KJO269" s="28"/>
      <c r="KJP269" s="28"/>
      <c r="KJQ269" s="28"/>
      <c r="KJR269" s="28"/>
      <c r="KJS269" s="28"/>
      <c r="KJT269" s="28"/>
      <c r="KJU269" s="28"/>
      <c r="KJV269" s="28"/>
      <c r="KJW269" s="28"/>
      <c r="KJX269" s="28"/>
      <c r="KJY269" s="28"/>
      <c r="KJZ269" s="28"/>
      <c r="KKA269" s="28"/>
      <c r="KKB269" s="28"/>
      <c r="KKC269" s="28"/>
      <c r="KKD269" s="28"/>
      <c r="KKE269" s="28"/>
      <c r="KKF269" s="28"/>
      <c r="KKG269" s="28"/>
      <c r="KKH269" s="28"/>
      <c r="KKI269" s="28"/>
      <c r="KKJ269" s="28"/>
      <c r="KKK269" s="28"/>
      <c r="KKL269" s="28"/>
      <c r="KKM269" s="28"/>
      <c r="KKN269" s="28"/>
      <c r="KKO269" s="28"/>
      <c r="KKP269" s="28"/>
      <c r="KKQ269" s="28"/>
      <c r="KKR269" s="28"/>
      <c r="KKS269" s="28"/>
      <c r="KKT269" s="28"/>
      <c r="KKU269" s="28"/>
      <c r="KKV269" s="28"/>
      <c r="KKW269" s="28"/>
      <c r="KKX269" s="28"/>
      <c r="KKY269" s="28"/>
      <c r="KKZ269" s="28"/>
      <c r="KLA269" s="28"/>
      <c r="KLB269" s="28"/>
      <c r="KLC269" s="28"/>
      <c r="KLD269" s="28"/>
      <c r="KLE269" s="28"/>
      <c r="KLF269" s="28"/>
      <c r="KLG269" s="28"/>
      <c r="KLH269" s="28"/>
      <c r="KLI269" s="28"/>
      <c r="KLJ269" s="28"/>
      <c r="KLK269" s="28"/>
      <c r="KLL269" s="28"/>
      <c r="KLM269" s="28"/>
      <c r="KLN269" s="28"/>
      <c r="KLO269" s="28"/>
      <c r="KLP269" s="28"/>
      <c r="KLQ269" s="28"/>
      <c r="KLR269" s="28"/>
      <c r="KLS269" s="28"/>
      <c r="KLT269" s="28"/>
      <c r="KLU269" s="28"/>
      <c r="KLV269" s="28"/>
      <c r="KLW269" s="28"/>
      <c r="KLX269" s="28"/>
      <c r="KLY269" s="28"/>
      <c r="KLZ269" s="28"/>
      <c r="KMA269" s="28"/>
      <c r="KMB269" s="28"/>
      <c r="KMC269" s="28"/>
      <c r="KMD269" s="28"/>
      <c r="KME269" s="28"/>
      <c r="KMF269" s="28"/>
      <c r="KMG269" s="28"/>
      <c r="KMH269" s="28"/>
      <c r="KMI269" s="28"/>
      <c r="KMJ269" s="28"/>
      <c r="KMK269" s="28"/>
      <c r="KML269" s="28"/>
      <c r="KMM269" s="28"/>
      <c r="KMN269" s="28"/>
      <c r="KMO269" s="28"/>
      <c r="KMP269" s="28"/>
      <c r="KMQ269" s="28"/>
      <c r="KMR269" s="28"/>
      <c r="KMS269" s="28"/>
      <c r="KMT269" s="28"/>
      <c r="KMU269" s="28"/>
      <c r="KMV269" s="28"/>
      <c r="KMW269" s="28"/>
      <c r="KMX269" s="28"/>
      <c r="KMY269" s="28"/>
      <c r="KMZ269" s="28"/>
      <c r="KNA269" s="28"/>
      <c r="KNB269" s="28"/>
      <c r="KNC269" s="28"/>
      <c r="KND269" s="28"/>
      <c r="KNE269" s="28"/>
      <c r="KNF269" s="28"/>
      <c r="KNG269" s="28"/>
      <c r="KNH269" s="28"/>
      <c r="KNI269" s="28"/>
      <c r="KNJ269" s="28"/>
      <c r="KNK269" s="28"/>
      <c r="KNL269" s="28"/>
      <c r="KNM269" s="28"/>
      <c r="KNN269" s="28"/>
      <c r="KNO269" s="28"/>
      <c r="KNP269" s="28"/>
      <c r="KNQ269" s="28"/>
      <c r="KNR269" s="28"/>
      <c r="KNS269" s="28"/>
      <c r="KNT269" s="28"/>
      <c r="KNU269" s="28"/>
      <c r="KNV269" s="28"/>
      <c r="KNW269" s="28"/>
      <c r="KNX269" s="28"/>
      <c r="KNY269" s="28"/>
      <c r="KNZ269" s="28"/>
      <c r="KOA269" s="28"/>
      <c r="KOB269" s="28"/>
      <c r="KOC269" s="28"/>
      <c r="KOD269" s="28"/>
      <c r="KOE269" s="28"/>
      <c r="KOF269" s="28"/>
      <c r="KOG269" s="28"/>
      <c r="KOH269" s="28"/>
      <c r="KOI269" s="28"/>
      <c r="KOJ269" s="28"/>
      <c r="KOK269" s="28"/>
      <c r="KOL269" s="28"/>
      <c r="KOM269" s="28"/>
      <c r="KON269" s="28"/>
      <c r="KOO269" s="28"/>
      <c r="KOP269" s="28"/>
      <c r="KOQ269" s="28"/>
      <c r="KOR269" s="28"/>
      <c r="KOS269" s="28"/>
      <c r="KOT269" s="28"/>
      <c r="KOU269" s="28"/>
      <c r="KOV269" s="28"/>
      <c r="KOW269" s="28"/>
      <c r="KOX269" s="28"/>
      <c r="KOY269" s="28"/>
      <c r="KOZ269" s="28"/>
      <c r="KPA269" s="28"/>
      <c r="KPB269" s="28"/>
      <c r="KPC269" s="28"/>
      <c r="KPD269" s="28"/>
      <c r="KPE269" s="28"/>
      <c r="KPF269" s="28"/>
      <c r="KPG269" s="28"/>
      <c r="KPH269" s="28"/>
      <c r="KPI269" s="28"/>
      <c r="KPJ269" s="28"/>
      <c r="KPK269" s="28"/>
      <c r="KPL269" s="28"/>
      <c r="KPM269" s="28"/>
      <c r="KPN269" s="28"/>
      <c r="KPO269" s="28"/>
      <c r="KPP269" s="28"/>
      <c r="KPQ269" s="28"/>
      <c r="KPR269" s="28"/>
      <c r="KPS269" s="28"/>
      <c r="KPT269" s="28"/>
      <c r="KPU269" s="28"/>
      <c r="KPV269" s="28"/>
      <c r="KPW269" s="28"/>
      <c r="KPX269" s="28"/>
      <c r="KPY269" s="28"/>
      <c r="KPZ269" s="28"/>
      <c r="KQA269" s="28"/>
      <c r="KQB269" s="28"/>
      <c r="KQC269" s="28"/>
      <c r="KQD269" s="28"/>
      <c r="KQE269" s="28"/>
      <c r="KQF269" s="28"/>
      <c r="KQG269" s="28"/>
      <c r="KQH269" s="28"/>
      <c r="KQI269" s="28"/>
      <c r="KQJ269" s="28"/>
      <c r="KQK269" s="28"/>
      <c r="KQL269" s="28"/>
      <c r="KQM269" s="28"/>
      <c r="KQN269" s="28"/>
      <c r="KQO269" s="28"/>
      <c r="KQP269" s="28"/>
      <c r="KQQ269" s="28"/>
      <c r="KQR269" s="28"/>
      <c r="KQS269" s="28"/>
      <c r="KQT269" s="28"/>
      <c r="KQU269" s="28"/>
      <c r="KQV269" s="28"/>
      <c r="KQW269" s="28"/>
      <c r="KQX269" s="28"/>
      <c r="KQY269" s="28"/>
      <c r="KQZ269" s="28"/>
      <c r="KRA269" s="28"/>
      <c r="KRB269" s="28"/>
      <c r="KRC269" s="28"/>
      <c r="KRD269" s="28"/>
      <c r="KRE269" s="28"/>
      <c r="KRF269" s="28"/>
      <c r="KRG269" s="28"/>
      <c r="KRH269" s="28"/>
      <c r="KRI269" s="28"/>
      <c r="KRJ269" s="28"/>
      <c r="KRK269" s="28"/>
      <c r="KRL269" s="28"/>
      <c r="KRM269" s="28"/>
      <c r="KRN269" s="28"/>
      <c r="KRO269" s="28"/>
      <c r="KRP269" s="28"/>
      <c r="KRQ269" s="28"/>
      <c r="KRR269" s="28"/>
      <c r="KRS269" s="28"/>
      <c r="KRT269" s="28"/>
      <c r="KRU269" s="28"/>
      <c r="KRV269" s="28"/>
      <c r="KRW269" s="28"/>
      <c r="KRX269" s="28"/>
      <c r="KRY269" s="28"/>
      <c r="KRZ269" s="28"/>
      <c r="KSA269" s="28"/>
      <c r="KSB269" s="28"/>
      <c r="KSC269" s="28"/>
      <c r="KSD269" s="28"/>
      <c r="KSE269" s="28"/>
      <c r="KSF269" s="28"/>
      <c r="KSG269" s="28"/>
      <c r="KSH269" s="28"/>
      <c r="KSI269" s="28"/>
      <c r="KSJ269" s="28"/>
      <c r="KSK269" s="28"/>
      <c r="KSL269" s="28"/>
      <c r="KSM269" s="28"/>
      <c r="KSN269" s="28"/>
      <c r="KSO269" s="28"/>
      <c r="KSP269" s="28"/>
      <c r="KSQ269" s="28"/>
      <c r="KSR269" s="28"/>
      <c r="KSS269" s="28"/>
      <c r="KST269" s="28"/>
      <c r="KSU269" s="28"/>
      <c r="KSV269" s="28"/>
      <c r="KSW269" s="28"/>
      <c r="KSX269" s="28"/>
      <c r="KSY269" s="28"/>
      <c r="KSZ269" s="28"/>
      <c r="KTA269" s="28"/>
      <c r="KTB269" s="28"/>
      <c r="KTC269" s="28"/>
      <c r="KTD269" s="28"/>
      <c r="KTE269" s="28"/>
      <c r="KTF269" s="28"/>
      <c r="KTG269" s="28"/>
      <c r="KTH269" s="28"/>
      <c r="KTI269" s="28"/>
      <c r="KTJ269" s="28"/>
      <c r="KTK269" s="28"/>
      <c r="KTL269" s="28"/>
      <c r="KTM269" s="28"/>
      <c r="KTN269" s="28"/>
      <c r="KTO269" s="28"/>
      <c r="KTP269" s="28"/>
      <c r="KTQ269" s="28"/>
      <c r="KTR269" s="28"/>
      <c r="KTS269" s="28"/>
      <c r="KTT269" s="28"/>
      <c r="KTU269" s="28"/>
      <c r="KTV269" s="28"/>
      <c r="KTW269" s="28"/>
      <c r="KTX269" s="28"/>
      <c r="KTY269" s="28"/>
      <c r="KTZ269" s="28"/>
      <c r="KUA269" s="28"/>
      <c r="KUB269" s="28"/>
      <c r="KUC269" s="28"/>
      <c r="KUD269" s="28"/>
      <c r="KUE269" s="28"/>
      <c r="KUF269" s="28"/>
      <c r="KUG269" s="28"/>
      <c r="KUH269" s="28"/>
      <c r="KUI269" s="28"/>
      <c r="KUJ269" s="28"/>
      <c r="KUK269" s="28"/>
      <c r="KUL269" s="28"/>
      <c r="KUM269" s="28"/>
      <c r="KUN269" s="28"/>
      <c r="KUO269" s="28"/>
      <c r="KUP269" s="28"/>
      <c r="KUQ269" s="28"/>
      <c r="KUR269" s="28"/>
      <c r="KUS269" s="28"/>
      <c r="KUT269" s="28"/>
      <c r="KUU269" s="28"/>
      <c r="KUV269" s="28"/>
      <c r="KUW269" s="28"/>
      <c r="KUX269" s="28"/>
      <c r="KUY269" s="28"/>
      <c r="KUZ269" s="28"/>
      <c r="KVA269" s="28"/>
      <c r="KVB269" s="28"/>
      <c r="KVC269" s="28"/>
      <c r="KVD269" s="28"/>
      <c r="KVE269" s="28"/>
      <c r="KVF269" s="28"/>
      <c r="KVG269" s="28"/>
      <c r="KVH269" s="28"/>
      <c r="KVI269" s="28"/>
      <c r="KVJ269" s="28"/>
      <c r="KVK269" s="28"/>
      <c r="KVL269" s="28"/>
      <c r="KVM269" s="28"/>
      <c r="KVN269" s="28"/>
      <c r="KVO269" s="28"/>
      <c r="KVP269" s="28"/>
      <c r="KVQ269" s="28"/>
      <c r="KVR269" s="28"/>
      <c r="KVS269" s="28"/>
      <c r="KVT269" s="28"/>
      <c r="KVU269" s="28"/>
      <c r="KVV269" s="28"/>
      <c r="KVW269" s="28"/>
      <c r="KVX269" s="28"/>
      <c r="KVY269" s="28"/>
      <c r="KVZ269" s="28"/>
      <c r="KWA269" s="28"/>
      <c r="KWB269" s="28"/>
      <c r="KWC269" s="28"/>
      <c r="KWD269" s="28"/>
      <c r="KWE269" s="28"/>
      <c r="KWF269" s="28"/>
      <c r="KWG269" s="28"/>
      <c r="KWH269" s="28"/>
      <c r="KWI269" s="28"/>
      <c r="KWJ269" s="28"/>
      <c r="KWK269" s="28"/>
      <c r="KWL269" s="28"/>
      <c r="KWM269" s="28"/>
      <c r="KWN269" s="28"/>
      <c r="KWO269" s="28"/>
      <c r="KWP269" s="28"/>
      <c r="KWQ269" s="28"/>
      <c r="KWR269" s="28"/>
      <c r="KWS269" s="28"/>
      <c r="KWT269" s="28"/>
      <c r="KWU269" s="28"/>
      <c r="KWV269" s="28"/>
      <c r="KWW269" s="28"/>
      <c r="KWX269" s="28"/>
      <c r="KWY269" s="28"/>
      <c r="KWZ269" s="28"/>
      <c r="KXA269" s="28"/>
      <c r="KXB269" s="28"/>
      <c r="KXC269" s="28"/>
      <c r="KXD269" s="28"/>
      <c r="KXE269" s="28"/>
      <c r="KXF269" s="28"/>
      <c r="KXG269" s="28"/>
      <c r="KXH269" s="28"/>
      <c r="KXI269" s="28"/>
      <c r="KXJ269" s="28"/>
      <c r="KXK269" s="28"/>
      <c r="KXL269" s="28"/>
      <c r="KXM269" s="28"/>
      <c r="KXN269" s="28"/>
      <c r="KXO269" s="28"/>
      <c r="KXP269" s="28"/>
      <c r="KXQ269" s="28"/>
      <c r="KXR269" s="28"/>
      <c r="KXS269" s="28"/>
      <c r="KXT269" s="28"/>
      <c r="KXU269" s="28"/>
      <c r="KXV269" s="28"/>
      <c r="KXW269" s="28"/>
      <c r="KXX269" s="28"/>
      <c r="KXY269" s="28"/>
      <c r="KXZ269" s="28"/>
      <c r="KYA269" s="28"/>
      <c r="KYB269" s="28"/>
      <c r="KYC269" s="28"/>
      <c r="KYD269" s="28"/>
      <c r="KYE269" s="28"/>
      <c r="KYF269" s="28"/>
      <c r="KYG269" s="28"/>
      <c r="KYH269" s="28"/>
      <c r="KYI269" s="28"/>
      <c r="KYJ269" s="28"/>
      <c r="KYK269" s="28"/>
      <c r="KYL269" s="28"/>
      <c r="KYM269" s="28"/>
      <c r="KYN269" s="28"/>
      <c r="KYO269" s="28"/>
      <c r="KYP269" s="28"/>
      <c r="KYQ269" s="28"/>
      <c r="KYR269" s="28"/>
      <c r="KYS269" s="28"/>
      <c r="KYT269" s="28"/>
      <c r="KYU269" s="28"/>
      <c r="KYV269" s="28"/>
      <c r="KYW269" s="28"/>
      <c r="KYX269" s="28"/>
      <c r="KYY269" s="28"/>
      <c r="KYZ269" s="28"/>
      <c r="KZA269" s="28"/>
      <c r="KZB269" s="28"/>
      <c r="KZC269" s="28"/>
      <c r="KZD269" s="28"/>
      <c r="KZE269" s="28"/>
      <c r="KZF269" s="28"/>
      <c r="KZG269" s="28"/>
      <c r="KZH269" s="28"/>
      <c r="KZI269" s="28"/>
      <c r="KZJ269" s="28"/>
      <c r="KZK269" s="28"/>
      <c r="KZL269" s="28"/>
      <c r="KZM269" s="28"/>
      <c r="KZN269" s="28"/>
      <c r="KZO269" s="28"/>
      <c r="KZP269" s="28"/>
      <c r="KZQ269" s="28"/>
      <c r="KZR269" s="28"/>
      <c r="KZS269" s="28"/>
      <c r="KZT269" s="28"/>
      <c r="KZU269" s="28"/>
      <c r="KZV269" s="28"/>
      <c r="KZW269" s="28"/>
      <c r="KZX269" s="28"/>
      <c r="KZY269" s="28"/>
      <c r="KZZ269" s="28"/>
      <c r="LAA269" s="28"/>
      <c r="LAB269" s="28"/>
      <c r="LAC269" s="28"/>
      <c r="LAD269" s="28"/>
      <c r="LAE269" s="28"/>
      <c r="LAF269" s="28"/>
      <c r="LAG269" s="28"/>
      <c r="LAH269" s="28"/>
      <c r="LAI269" s="28"/>
      <c r="LAJ269" s="28"/>
      <c r="LAK269" s="28"/>
      <c r="LAL269" s="28"/>
      <c r="LAM269" s="28"/>
      <c r="LAN269" s="28"/>
      <c r="LAO269" s="28"/>
      <c r="LAP269" s="28"/>
      <c r="LAQ269" s="28"/>
      <c r="LAR269" s="28"/>
      <c r="LAS269" s="28"/>
      <c r="LAT269" s="28"/>
      <c r="LAU269" s="28"/>
      <c r="LAV269" s="28"/>
      <c r="LAW269" s="28"/>
      <c r="LAX269" s="28"/>
      <c r="LAY269" s="28"/>
      <c r="LAZ269" s="28"/>
      <c r="LBA269" s="28"/>
      <c r="LBB269" s="28"/>
      <c r="LBC269" s="28"/>
      <c r="LBD269" s="28"/>
      <c r="LBE269" s="28"/>
      <c r="LBF269" s="28"/>
      <c r="LBG269" s="28"/>
      <c r="LBH269" s="28"/>
      <c r="LBI269" s="28"/>
      <c r="LBJ269" s="28"/>
      <c r="LBK269" s="28"/>
      <c r="LBL269" s="28"/>
      <c r="LBM269" s="28"/>
      <c r="LBN269" s="28"/>
      <c r="LBO269" s="28"/>
      <c r="LBP269" s="28"/>
      <c r="LBQ269" s="28"/>
      <c r="LBR269" s="28"/>
      <c r="LBS269" s="28"/>
      <c r="LBT269" s="28"/>
      <c r="LBU269" s="28"/>
      <c r="LBV269" s="28"/>
      <c r="LBW269" s="28"/>
      <c r="LBX269" s="28"/>
      <c r="LBY269" s="28"/>
      <c r="LBZ269" s="28"/>
      <c r="LCA269" s="28"/>
      <c r="LCB269" s="28"/>
      <c r="LCC269" s="28"/>
      <c r="LCD269" s="28"/>
      <c r="LCE269" s="28"/>
      <c r="LCF269" s="28"/>
      <c r="LCG269" s="28"/>
      <c r="LCH269" s="28"/>
      <c r="LCI269" s="28"/>
      <c r="LCJ269" s="28"/>
      <c r="LCK269" s="28"/>
      <c r="LCL269" s="28"/>
      <c r="LCM269" s="28"/>
      <c r="LCN269" s="28"/>
      <c r="LCO269" s="28"/>
      <c r="LCP269" s="28"/>
      <c r="LCQ269" s="28"/>
      <c r="LCR269" s="28"/>
      <c r="LCS269" s="28"/>
      <c r="LCT269" s="28"/>
      <c r="LCU269" s="28"/>
      <c r="LCV269" s="28"/>
      <c r="LCW269" s="28"/>
      <c r="LCX269" s="28"/>
      <c r="LCY269" s="28"/>
      <c r="LCZ269" s="28"/>
      <c r="LDA269" s="28"/>
      <c r="LDB269" s="28"/>
      <c r="LDC269" s="28"/>
      <c r="LDD269" s="28"/>
      <c r="LDE269" s="28"/>
      <c r="LDF269" s="28"/>
      <c r="LDG269" s="28"/>
      <c r="LDH269" s="28"/>
      <c r="LDI269" s="28"/>
      <c r="LDJ269" s="28"/>
      <c r="LDK269" s="28"/>
      <c r="LDL269" s="28"/>
      <c r="LDM269" s="28"/>
      <c r="LDN269" s="28"/>
      <c r="LDO269" s="28"/>
      <c r="LDP269" s="28"/>
      <c r="LDQ269" s="28"/>
      <c r="LDR269" s="28"/>
      <c r="LDS269" s="28"/>
      <c r="LDT269" s="28"/>
      <c r="LDU269" s="28"/>
      <c r="LDV269" s="28"/>
      <c r="LDW269" s="28"/>
      <c r="LDX269" s="28"/>
      <c r="LDY269" s="28"/>
      <c r="LDZ269" s="28"/>
      <c r="LEA269" s="28"/>
      <c r="LEB269" s="28"/>
      <c r="LEC269" s="28"/>
      <c r="LED269" s="28"/>
      <c r="LEE269" s="28"/>
      <c r="LEF269" s="28"/>
      <c r="LEG269" s="28"/>
      <c r="LEH269" s="28"/>
      <c r="LEI269" s="28"/>
      <c r="LEJ269" s="28"/>
      <c r="LEK269" s="28"/>
      <c r="LEL269" s="28"/>
      <c r="LEM269" s="28"/>
      <c r="LEN269" s="28"/>
      <c r="LEO269" s="28"/>
      <c r="LEP269" s="28"/>
      <c r="LEQ269" s="28"/>
      <c r="LER269" s="28"/>
      <c r="LES269" s="28"/>
      <c r="LET269" s="28"/>
      <c r="LEU269" s="28"/>
      <c r="LEV269" s="28"/>
      <c r="LEW269" s="28"/>
      <c r="LEX269" s="28"/>
      <c r="LEY269" s="28"/>
      <c r="LEZ269" s="28"/>
      <c r="LFA269" s="28"/>
      <c r="LFB269" s="28"/>
      <c r="LFC269" s="28"/>
      <c r="LFD269" s="28"/>
      <c r="LFE269" s="28"/>
      <c r="LFF269" s="28"/>
      <c r="LFG269" s="28"/>
      <c r="LFH269" s="28"/>
      <c r="LFI269" s="28"/>
      <c r="LFJ269" s="28"/>
      <c r="LFK269" s="28"/>
      <c r="LFL269" s="28"/>
      <c r="LFM269" s="28"/>
      <c r="LFN269" s="28"/>
      <c r="LFO269" s="28"/>
      <c r="LFP269" s="28"/>
      <c r="LFQ269" s="28"/>
      <c r="LFR269" s="28"/>
      <c r="LFS269" s="28"/>
      <c r="LFT269" s="28"/>
      <c r="LFU269" s="28"/>
      <c r="LFV269" s="28"/>
      <c r="LFW269" s="28"/>
      <c r="LFX269" s="28"/>
      <c r="LFY269" s="28"/>
      <c r="LFZ269" s="28"/>
      <c r="LGA269" s="28"/>
      <c r="LGB269" s="28"/>
      <c r="LGC269" s="28"/>
      <c r="LGD269" s="28"/>
      <c r="LGE269" s="28"/>
      <c r="LGF269" s="28"/>
      <c r="LGG269" s="28"/>
      <c r="LGH269" s="28"/>
      <c r="LGI269" s="28"/>
      <c r="LGJ269" s="28"/>
      <c r="LGK269" s="28"/>
      <c r="LGL269" s="28"/>
      <c r="LGM269" s="28"/>
      <c r="LGN269" s="28"/>
      <c r="LGO269" s="28"/>
      <c r="LGP269" s="28"/>
      <c r="LGQ269" s="28"/>
      <c r="LGR269" s="28"/>
      <c r="LGS269" s="28"/>
      <c r="LGT269" s="28"/>
      <c r="LGU269" s="28"/>
      <c r="LGV269" s="28"/>
      <c r="LGW269" s="28"/>
      <c r="LGX269" s="28"/>
      <c r="LGY269" s="28"/>
      <c r="LGZ269" s="28"/>
      <c r="LHA269" s="28"/>
      <c r="LHB269" s="28"/>
      <c r="LHC269" s="28"/>
      <c r="LHD269" s="28"/>
      <c r="LHE269" s="28"/>
      <c r="LHF269" s="28"/>
      <c r="LHG269" s="28"/>
      <c r="LHH269" s="28"/>
      <c r="LHI269" s="28"/>
      <c r="LHJ269" s="28"/>
      <c r="LHK269" s="28"/>
      <c r="LHL269" s="28"/>
      <c r="LHM269" s="28"/>
      <c r="LHN269" s="28"/>
      <c r="LHO269" s="28"/>
      <c r="LHP269" s="28"/>
      <c r="LHQ269" s="28"/>
      <c r="LHR269" s="28"/>
      <c r="LHS269" s="28"/>
      <c r="LHT269" s="28"/>
      <c r="LHU269" s="28"/>
      <c r="LHV269" s="28"/>
      <c r="LHW269" s="28"/>
      <c r="LHX269" s="28"/>
      <c r="LHY269" s="28"/>
      <c r="LHZ269" s="28"/>
      <c r="LIA269" s="28"/>
      <c r="LIB269" s="28"/>
      <c r="LIC269" s="28"/>
      <c r="LID269" s="28"/>
      <c r="LIE269" s="28"/>
      <c r="LIF269" s="28"/>
      <c r="LIG269" s="28"/>
      <c r="LIH269" s="28"/>
      <c r="LII269" s="28"/>
      <c r="LIJ269" s="28"/>
      <c r="LIK269" s="28"/>
      <c r="LIL269" s="28"/>
      <c r="LIM269" s="28"/>
      <c r="LIN269" s="28"/>
      <c r="LIO269" s="28"/>
      <c r="LIP269" s="28"/>
      <c r="LIQ269" s="28"/>
      <c r="LIR269" s="28"/>
      <c r="LIS269" s="28"/>
      <c r="LIT269" s="28"/>
      <c r="LIU269" s="28"/>
      <c r="LIV269" s="28"/>
      <c r="LIW269" s="28"/>
      <c r="LIX269" s="28"/>
      <c r="LIY269" s="28"/>
      <c r="LIZ269" s="28"/>
      <c r="LJA269" s="28"/>
      <c r="LJB269" s="28"/>
      <c r="LJC269" s="28"/>
      <c r="LJD269" s="28"/>
      <c r="LJE269" s="28"/>
      <c r="LJF269" s="28"/>
      <c r="LJG269" s="28"/>
      <c r="LJH269" s="28"/>
      <c r="LJI269" s="28"/>
      <c r="LJJ269" s="28"/>
      <c r="LJK269" s="28"/>
      <c r="LJL269" s="28"/>
      <c r="LJM269" s="28"/>
      <c r="LJN269" s="28"/>
      <c r="LJO269" s="28"/>
      <c r="LJP269" s="28"/>
      <c r="LJQ269" s="28"/>
      <c r="LJR269" s="28"/>
      <c r="LJS269" s="28"/>
      <c r="LJT269" s="28"/>
      <c r="LJU269" s="28"/>
      <c r="LJV269" s="28"/>
      <c r="LJW269" s="28"/>
      <c r="LJX269" s="28"/>
      <c r="LJY269" s="28"/>
      <c r="LJZ269" s="28"/>
      <c r="LKA269" s="28"/>
      <c r="LKB269" s="28"/>
      <c r="LKC269" s="28"/>
      <c r="LKD269" s="28"/>
      <c r="LKE269" s="28"/>
      <c r="LKF269" s="28"/>
      <c r="LKG269" s="28"/>
      <c r="LKH269" s="28"/>
      <c r="LKI269" s="28"/>
      <c r="LKJ269" s="28"/>
      <c r="LKK269" s="28"/>
      <c r="LKL269" s="28"/>
      <c r="LKM269" s="28"/>
      <c r="LKN269" s="28"/>
      <c r="LKO269" s="28"/>
      <c r="LKP269" s="28"/>
      <c r="LKQ269" s="28"/>
      <c r="LKR269" s="28"/>
      <c r="LKS269" s="28"/>
      <c r="LKT269" s="28"/>
      <c r="LKU269" s="28"/>
      <c r="LKV269" s="28"/>
      <c r="LKW269" s="28"/>
      <c r="LKX269" s="28"/>
      <c r="LKY269" s="28"/>
      <c r="LKZ269" s="28"/>
      <c r="LLA269" s="28"/>
      <c r="LLB269" s="28"/>
      <c r="LLC269" s="28"/>
      <c r="LLD269" s="28"/>
      <c r="LLE269" s="28"/>
      <c r="LLF269" s="28"/>
      <c r="LLG269" s="28"/>
      <c r="LLH269" s="28"/>
      <c r="LLI269" s="28"/>
      <c r="LLJ269" s="28"/>
      <c r="LLK269" s="28"/>
      <c r="LLL269" s="28"/>
      <c r="LLM269" s="28"/>
      <c r="LLN269" s="28"/>
      <c r="LLO269" s="28"/>
      <c r="LLP269" s="28"/>
      <c r="LLQ269" s="28"/>
      <c r="LLR269" s="28"/>
      <c r="LLS269" s="28"/>
      <c r="LLT269" s="28"/>
      <c r="LLU269" s="28"/>
      <c r="LLV269" s="28"/>
      <c r="LLW269" s="28"/>
      <c r="LLX269" s="28"/>
      <c r="LLY269" s="28"/>
      <c r="LLZ269" s="28"/>
      <c r="LMA269" s="28"/>
      <c r="LMB269" s="28"/>
      <c r="LMC269" s="28"/>
      <c r="LMD269" s="28"/>
      <c r="LME269" s="28"/>
      <c r="LMF269" s="28"/>
      <c r="LMG269" s="28"/>
      <c r="LMH269" s="28"/>
      <c r="LMI269" s="28"/>
      <c r="LMJ269" s="28"/>
      <c r="LMK269" s="28"/>
      <c r="LML269" s="28"/>
      <c r="LMM269" s="28"/>
      <c r="LMN269" s="28"/>
      <c r="LMO269" s="28"/>
      <c r="LMP269" s="28"/>
      <c r="LMQ269" s="28"/>
      <c r="LMR269" s="28"/>
      <c r="LMS269" s="28"/>
      <c r="LMT269" s="28"/>
      <c r="LMU269" s="28"/>
      <c r="LMV269" s="28"/>
      <c r="LMW269" s="28"/>
      <c r="LMX269" s="28"/>
      <c r="LMY269" s="28"/>
      <c r="LMZ269" s="28"/>
      <c r="LNA269" s="28"/>
      <c r="LNB269" s="28"/>
      <c r="LNC269" s="28"/>
      <c r="LND269" s="28"/>
      <c r="LNE269" s="28"/>
      <c r="LNF269" s="28"/>
      <c r="LNG269" s="28"/>
      <c r="LNH269" s="28"/>
      <c r="LNI269" s="28"/>
      <c r="LNJ269" s="28"/>
      <c r="LNK269" s="28"/>
      <c r="LNL269" s="28"/>
      <c r="LNM269" s="28"/>
      <c r="LNN269" s="28"/>
      <c r="LNO269" s="28"/>
      <c r="LNP269" s="28"/>
      <c r="LNQ269" s="28"/>
      <c r="LNR269" s="28"/>
      <c r="LNS269" s="28"/>
      <c r="LNT269" s="28"/>
      <c r="LNU269" s="28"/>
      <c r="LNV269" s="28"/>
      <c r="LNW269" s="28"/>
      <c r="LNX269" s="28"/>
      <c r="LNY269" s="28"/>
      <c r="LNZ269" s="28"/>
      <c r="LOA269" s="28"/>
      <c r="LOB269" s="28"/>
      <c r="LOC269" s="28"/>
      <c r="LOD269" s="28"/>
      <c r="LOE269" s="28"/>
      <c r="LOF269" s="28"/>
      <c r="LOG269" s="28"/>
      <c r="LOH269" s="28"/>
      <c r="LOI269" s="28"/>
      <c r="LOJ269" s="28"/>
      <c r="LOK269" s="28"/>
      <c r="LOL269" s="28"/>
      <c r="LOM269" s="28"/>
      <c r="LON269" s="28"/>
      <c r="LOO269" s="28"/>
      <c r="LOP269" s="28"/>
      <c r="LOQ269" s="28"/>
      <c r="LOR269" s="28"/>
      <c r="LOS269" s="28"/>
      <c r="LOT269" s="28"/>
      <c r="LOU269" s="28"/>
      <c r="LOV269" s="28"/>
      <c r="LOW269" s="28"/>
      <c r="LOX269" s="28"/>
      <c r="LOY269" s="28"/>
      <c r="LOZ269" s="28"/>
      <c r="LPA269" s="28"/>
      <c r="LPB269" s="28"/>
      <c r="LPC269" s="28"/>
      <c r="LPD269" s="28"/>
      <c r="LPE269" s="28"/>
      <c r="LPF269" s="28"/>
      <c r="LPG269" s="28"/>
      <c r="LPH269" s="28"/>
      <c r="LPI269" s="28"/>
      <c r="LPJ269" s="28"/>
      <c r="LPK269" s="28"/>
      <c r="LPL269" s="28"/>
      <c r="LPM269" s="28"/>
      <c r="LPN269" s="28"/>
      <c r="LPO269" s="28"/>
      <c r="LPP269" s="28"/>
      <c r="LPQ269" s="28"/>
      <c r="LPR269" s="28"/>
      <c r="LPS269" s="28"/>
      <c r="LPT269" s="28"/>
      <c r="LPU269" s="28"/>
      <c r="LPV269" s="28"/>
      <c r="LPW269" s="28"/>
      <c r="LPX269" s="28"/>
      <c r="LPY269" s="28"/>
      <c r="LPZ269" s="28"/>
      <c r="LQA269" s="28"/>
      <c r="LQB269" s="28"/>
      <c r="LQC269" s="28"/>
      <c r="LQD269" s="28"/>
      <c r="LQE269" s="28"/>
      <c r="LQF269" s="28"/>
      <c r="LQG269" s="28"/>
      <c r="LQH269" s="28"/>
      <c r="LQI269" s="28"/>
      <c r="LQJ269" s="28"/>
      <c r="LQK269" s="28"/>
      <c r="LQL269" s="28"/>
      <c r="LQM269" s="28"/>
      <c r="LQN269" s="28"/>
      <c r="LQO269" s="28"/>
      <c r="LQP269" s="28"/>
      <c r="LQQ269" s="28"/>
      <c r="LQR269" s="28"/>
      <c r="LQS269" s="28"/>
      <c r="LQT269" s="28"/>
      <c r="LQU269" s="28"/>
      <c r="LQV269" s="28"/>
      <c r="LQW269" s="28"/>
      <c r="LQX269" s="28"/>
      <c r="LQY269" s="28"/>
      <c r="LQZ269" s="28"/>
      <c r="LRA269" s="28"/>
      <c r="LRB269" s="28"/>
      <c r="LRC269" s="28"/>
      <c r="LRD269" s="28"/>
      <c r="LRE269" s="28"/>
      <c r="LRF269" s="28"/>
      <c r="LRG269" s="28"/>
      <c r="LRH269" s="28"/>
      <c r="LRI269" s="28"/>
      <c r="LRJ269" s="28"/>
      <c r="LRK269" s="28"/>
      <c r="LRL269" s="28"/>
      <c r="LRM269" s="28"/>
      <c r="LRN269" s="28"/>
      <c r="LRO269" s="28"/>
      <c r="LRP269" s="28"/>
      <c r="LRQ269" s="28"/>
      <c r="LRR269" s="28"/>
      <c r="LRS269" s="28"/>
      <c r="LRT269" s="28"/>
      <c r="LRU269" s="28"/>
      <c r="LRV269" s="28"/>
      <c r="LRW269" s="28"/>
      <c r="LRX269" s="28"/>
      <c r="LRY269" s="28"/>
      <c r="LRZ269" s="28"/>
      <c r="LSA269" s="28"/>
      <c r="LSB269" s="28"/>
      <c r="LSC269" s="28"/>
      <c r="LSD269" s="28"/>
      <c r="LSE269" s="28"/>
      <c r="LSF269" s="28"/>
      <c r="LSG269" s="28"/>
      <c r="LSH269" s="28"/>
      <c r="LSI269" s="28"/>
      <c r="LSJ269" s="28"/>
      <c r="LSK269" s="28"/>
      <c r="LSL269" s="28"/>
      <c r="LSM269" s="28"/>
      <c r="LSN269" s="28"/>
      <c r="LSO269" s="28"/>
      <c r="LSP269" s="28"/>
      <c r="LSQ269" s="28"/>
      <c r="LSR269" s="28"/>
      <c r="LSS269" s="28"/>
      <c r="LST269" s="28"/>
      <c r="LSU269" s="28"/>
      <c r="LSV269" s="28"/>
      <c r="LSW269" s="28"/>
      <c r="LSX269" s="28"/>
      <c r="LSY269" s="28"/>
      <c r="LSZ269" s="28"/>
      <c r="LTA269" s="28"/>
      <c r="LTB269" s="28"/>
      <c r="LTC269" s="28"/>
      <c r="LTD269" s="28"/>
      <c r="LTE269" s="28"/>
      <c r="LTF269" s="28"/>
      <c r="LTG269" s="28"/>
      <c r="LTH269" s="28"/>
      <c r="LTI269" s="28"/>
      <c r="LTJ269" s="28"/>
      <c r="LTK269" s="28"/>
      <c r="LTL269" s="28"/>
      <c r="LTM269" s="28"/>
      <c r="LTN269" s="28"/>
      <c r="LTO269" s="28"/>
      <c r="LTP269" s="28"/>
      <c r="LTQ269" s="28"/>
      <c r="LTR269" s="28"/>
      <c r="LTS269" s="28"/>
      <c r="LTT269" s="28"/>
      <c r="LTU269" s="28"/>
      <c r="LTV269" s="28"/>
      <c r="LTW269" s="28"/>
      <c r="LTX269" s="28"/>
      <c r="LTY269" s="28"/>
      <c r="LTZ269" s="28"/>
      <c r="LUA269" s="28"/>
      <c r="LUB269" s="28"/>
      <c r="LUC269" s="28"/>
      <c r="LUD269" s="28"/>
      <c r="LUE269" s="28"/>
      <c r="LUF269" s="28"/>
      <c r="LUG269" s="28"/>
      <c r="LUH269" s="28"/>
      <c r="LUI269" s="28"/>
      <c r="LUJ269" s="28"/>
      <c r="LUK269" s="28"/>
      <c r="LUL269" s="28"/>
      <c r="LUM269" s="28"/>
      <c r="LUN269" s="28"/>
      <c r="LUO269" s="28"/>
      <c r="LUP269" s="28"/>
      <c r="LUQ269" s="28"/>
      <c r="LUR269" s="28"/>
      <c r="LUS269" s="28"/>
      <c r="LUT269" s="28"/>
      <c r="LUU269" s="28"/>
      <c r="LUV269" s="28"/>
      <c r="LUW269" s="28"/>
      <c r="LUX269" s="28"/>
      <c r="LUY269" s="28"/>
      <c r="LUZ269" s="28"/>
      <c r="LVA269" s="28"/>
      <c r="LVB269" s="28"/>
      <c r="LVC269" s="28"/>
      <c r="LVD269" s="28"/>
      <c r="LVE269" s="28"/>
      <c r="LVF269" s="28"/>
      <c r="LVG269" s="28"/>
      <c r="LVH269" s="28"/>
      <c r="LVI269" s="28"/>
      <c r="LVJ269" s="28"/>
      <c r="LVK269" s="28"/>
      <c r="LVL269" s="28"/>
      <c r="LVM269" s="28"/>
      <c r="LVN269" s="28"/>
      <c r="LVO269" s="28"/>
      <c r="LVP269" s="28"/>
      <c r="LVQ269" s="28"/>
      <c r="LVR269" s="28"/>
      <c r="LVS269" s="28"/>
      <c r="LVT269" s="28"/>
      <c r="LVU269" s="28"/>
      <c r="LVV269" s="28"/>
      <c r="LVW269" s="28"/>
      <c r="LVX269" s="28"/>
      <c r="LVY269" s="28"/>
      <c r="LVZ269" s="28"/>
      <c r="LWA269" s="28"/>
      <c r="LWB269" s="28"/>
      <c r="LWC269" s="28"/>
      <c r="LWD269" s="28"/>
      <c r="LWE269" s="28"/>
      <c r="LWF269" s="28"/>
      <c r="LWG269" s="28"/>
      <c r="LWH269" s="28"/>
      <c r="LWI269" s="28"/>
      <c r="LWJ269" s="28"/>
      <c r="LWK269" s="28"/>
      <c r="LWL269" s="28"/>
      <c r="LWM269" s="28"/>
      <c r="LWN269" s="28"/>
      <c r="LWO269" s="28"/>
      <c r="LWP269" s="28"/>
      <c r="LWQ269" s="28"/>
      <c r="LWR269" s="28"/>
      <c r="LWS269" s="28"/>
      <c r="LWT269" s="28"/>
      <c r="LWU269" s="28"/>
      <c r="LWV269" s="28"/>
      <c r="LWW269" s="28"/>
      <c r="LWX269" s="28"/>
      <c r="LWY269" s="28"/>
      <c r="LWZ269" s="28"/>
      <c r="LXA269" s="28"/>
      <c r="LXB269" s="28"/>
      <c r="LXC269" s="28"/>
      <c r="LXD269" s="28"/>
      <c r="LXE269" s="28"/>
      <c r="LXF269" s="28"/>
      <c r="LXG269" s="28"/>
      <c r="LXH269" s="28"/>
      <c r="LXI269" s="28"/>
      <c r="LXJ269" s="28"/>
      <c r="LXK269" s="28"/>
      <c r="LXL269" s="28"/>
      <c r="LXM269" s="28"/>
      <c r="LXN269" s="28"/>
      <c r="LXO269" s="28"/>
      <c r="LXP269" s="28"/>
      <c r="LXQ269" s="28"/>
      <c r="LXR269" s="28"/>
      <c r="LXS269" s="28"/>
      <c r="LXT269" s="28"/>
      <c r="LXU269" s="28"/>
      <c r="LXV269" s="28"/>
      <c r="LXW269" s="28"/>
      <c r="LXX269" s="28"/>
      <c r="LXY269" s="28"/>
      <c r="LXZ269" s="28"/>
      <c r="LYA269" s="28"/>
      <c r="LYB269" s="28"/>
      <c r="LYC269" s="28"/>
      <c r="LYD269" s="28"/>
      <c r="LYE269" s="28"/>
      <c r="LYF269" s="28"/>
      <c r="LYG269" s="28"/>
      <c r="LYH269" s="28"/>
      <c r="LYI269" s="28"/>
      <c r="LYJ269" s="28"/>
      <c r="LYK269" s="28"/>
      <c r="LYL269" s="28"/>
      <c r="LYM269" s="28"/>
      <c r="LYN269" s="28"/>
      <c r="LYO269" s="28"/>
      <c r="LYP269" s="28"/>
      <c r="LYQ269" s="28"/>
      <c r="LYR269" s="28"/>
      <c r="LYS269" s="28"/>
      <c r="LYT269" s="28"/>
      <c r="LYU269" s="28"/>
      <c r="LYV269" s="28"/>
      <c r="LYW269" s="28"/>
      <c r="LYX269" s="28"/>
      <c r="LYY269" s="28"/>
      <c r="LYZ269" s="28"/>
      <c r="LZA269" s="28"/>
      <c r="LZB269" s="28"/>
      <c r="LZC269" s="28"/>
      <c r="LZD269" s="28"/>
      <c r="LZE269" s="28"/>
      <c r="LZF269" s="28"/>
      <c r="LZG269" s="28"/>
      <c r="LZH269" s="28"/>
      <c r="LZI269" s="28"/>
      <c r="LZJ269" s="28"/>
      <c r="LZK269" s="28"/>
      <c r="LZL269" s="28"/>
      <c r="LZM269" s="28"/>
      <c r="LZN269" s="28"/>
      <c r="LZO269" s="28"/>
      <c r="LZP269" s="28"/>
      <c r="LZQ269" s="28"/>
      <c r="LZR269" s="28"/>
      <c r="LZS269" s="28"/>
      <c r="LZT269" s="28"/>
      <c r="LZU269" s="28"/>
      <c r="LZV269" s="28"/>
      <c r="LZW269" s="28"/>
      <c r="LZX269" s="28"/>
      <c r="LZY269" s="28"/>
      <c r="LZZ269" s="28"/>
      <c r="MAA269" s="28"/>
      <c r="MAB269" s="28"/>
      <c r="MAC269" s="28"/>
      <c r="MAD269" s="28"/>
      <c r="MAE269" s="28"/>
      <c r="MAF269" s="28"/>
      <c r="MAG269" s="28"/>
      <c r="MAH269" s="28"/>
      <c r="MAI269" s="28"/>
      <c r="MAJ269" s="28"/>
      <c r="MAK269" s="28"/>
      <c r="MAL269" s="28"/>
      <c r="MAM269" s="28"/>
      <c r="MAN269" s="28"/>
      <c r="MAO269" s="28"/>
      <c r="MAP269" s="28"/>
      <c r="MAQ269" s="28"/>
      <c r="MAR269" s="28"/>
      <c r="MAS269" s="28"/>
      <c r="MAT269" s="28"/>
      <c r="MAU269" s="28"/>
      <c r="MAV269" s="28"/>
      <c r="MAW269" s="28"/>
      <c r="MAX269" s="28"/>
      <c r="MAY269" s="28"/>
      <c r="MAZ269" s="28"/>
      <c r="MBA269" s="28"/>
      <c r="MBB269" s="28"/>
      <c r="MBC269" s="28"/>
      <c r="MBD269" s="28"/>
      <c r="MBE269" s="28"/>
      <c r="MBF269" s="28"/>
      <c r="MBG269" s="28"/>
      <c r="MBH269" s="28"/>
      <c r="MBI269" s="28"/>
      <c r="MBJ269" s="28"/>
      <c r="MBK269" s="28"/>
      <c r="MBL269" s="28"/>
      <c r="MBM269" s="28"/>
      <c r="MBN269" s="28"/>
      <c r="MBO269" s="28"/>
      <c r="MBP269" s="28"/>
      <c r="MBQ269" s="28"/>
      <c r="MBR269" s="28"/>
      <c r="MBS269" s="28"/>
      <c r="MBT269" s="28"/>
      <c r="MBU269" s="28"/>
      <c r="MBV269" s="28"/>
      <c r="MBW269" s="28"/>
      <c r="MBX269" s="28"/>
      <c r="MBY269" s="28"/>
      <c r="MBZ269" s="28"/>
      <c r="MCA269" s="28"/>
      <c r="MCB269" s="28"/>
      <c r="MCC269" s="28"/>
      <c r="MCD269" s="28"/>
      <c r="MCE269" s="28"/>
      <c r="MCF269" s="28"/>
      <c r="MCG269" s="28"/>
      <c r="MCH269" s="28"/>
      <c r="MCI269" s="28"/>
      <c r="MCJ269" s="28"/>
      <c r="MCK269" s="28"/>
      <c r="MCL269" s="28"/>
      <c r="MCM269" s="28"/>
      <c r="MCN269" s="28"/>
      <c r="MCO269" s="28"/>
      <c r="MCP269" s="28"/>
      <c r="MCQ269" s="28"/>
      <c r="MCR269" s="28"/>
      <c r="MCS269" s="28"/>
      <c r="MCT269" s="28"/>
      <c r="MCU269" s="28"/>
      <c r="MCV269" s="28"/>
      <c r="MCW269" s="28"/>
      <c r="MCX269" s="28"/>
      <c r="MCY269" s="28"/>
      <c r="MCZ269" s="28"/>
      <c r="MDA269" s="28"/>
      <c r="MDB269" s="28"/>
      <c r="MDC269" s="28"/>
      <c r="MDD269" s="28"/>
      <c r="MDE269" s="28"/>
      <c r="MDF269" s="28"/>
      <c r="MDG269" s="28"/>
      <c r="MDH269" s="28"/>
      <c r="MDI269" s="28"/>
      <c r="MDJ269" s="28"/>
      <c r="MDK269" s="28"/>
      <c r="MDL269" s="28"/>
      <c r="MDM269" s="28"/>
      <c r="MDN269" s="28"/>
      <c r="MDO269" s="28"/>
      <c r="MDP269" s="28"/>
      <c r="MDQ269" s="28"/>
      <c r="MDR269" s="28"/>
      <c r="MDS269" s="28"/>
      <c r="MDT269" s="28"/>
      <c r="MDU269" s="28"/>
      <c r="MDV269" s="28"/>
      <c r="MDW269" s="28"/>
      <c r="MDX269" s="28"/>
      <c r="MDY269" s="28"/>
      <c r="MDZ269" s="28"/>
      <c r="MEA269" s="28"/>
      <c r="MEB269" s="28"/>
      <c r="MEC269" s="28"/>
      <c r="MED269" s="28"/>
      <c r="MEE269" s="28"/>
      <c r="MEF269" s="28"/>
      <c r="MEG269" s="28"/>
      <c r="MEH269" s="28"/>
      <c r="MEI269" s="28"/>
      <c r="MEJ269" s="28"/>
      <c r="MEK269" s="28"/>
      <c r="MEL269" s="28"/>
      <c r="MEM269" s="28"/>
      <c r="MEN269" s="28"/>
      <c r="MEO269" s="28"/>
      <c r="MEP269" s="28"/>
      <c r="MEQ269" s="28"/>
      <c r="MER269" s="28"/>
      <c r="MES269" s="28"/>
      <c r="MET269" s="28"/>
      <c r="MEU269" s="28"/>
      <c r="MEV269" s="28"/>
      <c r="MEW269" s="28"/>
      <c r="MEX269" s="28"/>
      <c r="MEY269" s="28"/>
      <c r="MEZ269" s="28"/>
      <c r="MFA269" s="28"/>
      <c r="MFB269" s="28"/>
      <c r="MFC269" s="28"/>
      <c r="MFD269" s="28"/>
      <c r="MFE269" s="28"/>
      <c r="MFF269" s="28"/>
      <c r="MFG269" s="28"/>
      <c r="MFH269" s="28"/>
      <c r="MFI269" s="28"/>
      <c r="MFJ269" s="28"/>
      <c r="MFK269" s="28"/>
      <c r="MFL269" s="28"/>
      <c r="MFM269" s="28"/>
      <c r="MFN269" s="28"/>
      <c r="MFO269" s="28"/>
      <c r="MFP269" s="28"/>
      <c r="MFQ269" s="28"/>
      <c r="MFR269" s="28"/>
      <c r="MFS269" s="28"/>
      <c r="MFT269" s="28"/>
      <c r="MFU269" s="28"/>
      <c r="MFV269" s="28"/>
      <c r="MFW269" s="28"/>
      <c r="MFX269" s="28"/>
      <c r="MFY269" s="28"/>
      <c r="MFZ269" s="28"/>
      <c r="MGA269" s="28"/>
      <c r="MGB269" s="28"/>
      <c r="MGC269" s="28"/>
      <c r="MGD269" s="28"/>
      <c r="MGE269" s="28"/>
      <c r="MGF269" s="28"/>
      <c r="MGG269" s="28"/>
      <c r="MGH269" s="28"/>
      <c r="MGI269" s="28"/>
      <c r="MGJ269" s="28"/>
      <c r="MGK269" s="28"/>
      <c r="MGL269" s="28"/>
      <c r="MGM269" s="28"/>
      <c r="MGN269" s="28"/>
      <c r="MGO269" s="28"/>
      <c r="MGP269" s="28"/>
      <c r="MGQ269" s="28"/>
      <c r="MGR269" s="28"/>
      <c r="MGS269" s="28"/>
      <c r="MGT269" s="28"/>
      <c r="MGU269" s="28"/>
      <c r="MGV269" s="28"/>
      <c r="MGW269" s="28"/>
      <c r="MGX269" s="28"/>
      <c r="MGY269" s="28"/>
      <c r="MGZ269" s="28"/>
      <c r="MHA269" s="28"/>
      <c r="MHB269" s="28"/>
      <c r="MHC269" s="28"/>
      <c r="MHD269" s="28"/>
      <c r="MHE269" s="28"/>
      <c r="MHF269" s="28"/>
      <c r="MHG269" s="28"/>
      <c r="MHH269" s="28"/>
      <c r="MHI269" s="28"/>
      <c r="MHJ269" s="28"/>
      <c r="MHK269" s="28"/>
      <c r="MHL269" s="28"/>
      <c r="MHM269" s="28"/>
      <c r="MHN269" s="28"/>
      <c r="MHO269" s="28"/>
      <c r="MHP269" s="28"/>
      <c r="MHQ269" s="28"/>
      <c r="MHR269" s="28"/>
      <c r="MHS269" s="28"/>
      <c r="MHT269" s="28"/>
      <c r="MHU269" s="28"/>
      <c r="MHV269" s="28"/>
      <c r="MHW269" s="28"/>
      <c r="MHX269" s="28"/>
      <c r="MHY269" s="28"/>
      <c r="MHZ269" s="28"/>
      <c r="MIA269" s="28"/>
      <c r="MIB269" s="28"/>
      <c r="MIC269" s="28"/>
      <c r="MID269" s="28"/>
      <c r="MIE269" s="28"/>
      <c r="MIF269" s="28"/>
      <c r="MIG269" s="28"/>
      <c r="MIH269" s="28"/>
      <c r="MII269" s="28"/>
      <c r="MIJ269" s="28"/>
      <c r="MIK269" s="28"/>
      <c r="MIL269" s="28"/>
      <c r="MIM269" s="28"/>
      <c r="MIN269" s="28"/>
      <c r="MIO269" s="28"/>
      <c r="MIP269" s="28"/>
      <c r="MIQ269" s="28"/>
      <c r="MIR269" s="28"/>
      <c r="MIS269" s="28"/>
      <c r="MIT269" s="28"/>
      <c r="MIU269" s="28"/>
      <c r="MIV269" s="28"/>
      <c r="MIW269" s="28"/>
      <c r="MIX269" s="28"/>
      <c r="MIY269" s="28"/>
      <c r="MIZ269" s="28"/>
      <c r="MJA269" s="28"/>
      <c r="MJB269" s="28"/>
      <c r="MJC269" s="28"/>
      <c r="MJD269" s="28"/>
      <c r="MJE269" s="28"/>
      <c r="MJF269" s="28"/>
      <c r="MJG269" s="28"/>
      <c r="MJH269" s="28"/>
      <c r="MJI269" s="28"/>
      <c r="MJJ269" s="28"/>
      <c r="MJK269" s="28"/>
      <c r="MJL269" s="28"/>
      <c r="MJM269" s="28"/>
      <c r="MJN269" s="28"/>
      <c r="MJO269" s="28"/>
      <c r="MJP269" s="28"/>
      <c r="MJQ269" s="28"/>
      <c r="MJR269" s="28"/>
      <c r="MJS269" s="28"/>
      <c r="MJT269" s="28"/>
      <c r="MJU269" s="28"/>
      <c r="MJV269" s="28"/>
      <c r="MJW269" s="28"/>
      <c r="MJX269" s="28"/>
      <c r="MJY269" s="28"/>
      <c r="MJZ269" s="28"/>
      <c r="MKA269" s="28"/>
      <c r="MKB269" s="28"/>
      <c r="MKC269" s="28"/>
      <c r="MKD269" s="28"/>
      <c r="MKE269" s="28"/>
      <c r="MKF269" s="28"/>
      <c r="MKG269" s="28"/>
      <c r="MKH269" s="28"/>
      <c r="MKI269" s="28"/>
      <c r="MKJ269" s="28"/>
      <c r="MKK269" s="28"/>
      <c r="MKL269" s="28"/>
      <c r="MKM269" s="28"/>
      <c r="MKN269" s="28"/>
      <c r="MKO269" s="28"/>
      <c r="MKP269" s="28"/>
      <c r="MKQ269" s="28"/>
      <c r="MKR269" s="28"/>
      <c r="MKS269" s="28"/>
      <c r="MKT269" s="28"/>
      <c r="MKU269" s="28"/>
      <c r="MKV269" s="28"/>
      <c r="MKW269" s="28"/>
      <c r="MKX269" s="28"/>
      <c r="MKY269" s="28"/>
      <c r="MKZ269" s="28"/>
      <c r="MLA269" s="28"/>
      <c r="MLB269" s="28"/>
      <c r="MLC269" s="28"/>
      <c r="MLD269" s="28"/>
      <c r="MLE269" s="28"/>
      <c r="MLF269" s="28"/>
      <c r="MLG269" s="28"/>
      <c r="MLH269" s="28"/>
      <c r="MLI269" s="28"/>
      <c r="MLJ269" s="28"/>
      <c r="MLK269" s="28"/>
      <c r="MLL269" s="28"/>
      <c r="MLM269" s="28"/>
      <c r="MLN269" s="28"/>
      <c r="MLO269" s="28"/>
      <c r="MLP269" s="28"/>
      <c r="MLQ269" s="28"/>
      <c r="MLR269" s="28"/>
      <c r="MLS269" s="28"/>
      <c r="MLT269" s="28"/>
      <c r="MLU269" s="28"/>
      <c r="MLV269" s="28"/>
      <c r="MLW269" s="28"/>
      <c r="MLX269" s="28"/>
      <c r="MLY269" s="28"/>
      <c r="MLZ269" s="28"/>
      <c r="MMA269" s="28"/>
      <c r="MMB269" s="28"/>
      <c r="MMC269" s="28"/>
      <c r="MMD269" s="28"/>
      <c r="MME269" s="28"/>
      <c r="MMF269" s="28"/>
      <c r="MMG269" s="28"/>
      <c r="MMH269" s="28"/>
      <c r="MMI269" s="28"/>
      <c r="MMJ269" s="28"/>
      <c r="MMK269" s="28"/>
      <c r="MML269" s="28"/>
      <c r="MMM269" s="28"/>
      <c r="MMN269" s="28"/>
      <c r="MMO269" s="28"/>
      <c r="MMP269" s="28"/>
      <c r="MMQ269" s="28"/>
      <c r="MMR269" s="28"/>
      <c r="MMS269" s="28"/>
      <c r="MMT269" s="28"/>
      <c r="MMU269" s="28"/>
      <c r="MMV269" s="28"/>
      <c r="MMW269" s="28"/>
      <c r="MMX269" s="28"/>
      <c r="MMY269" s="28"/>
      <c r="MMZ269" s="28"/>
      <c r="MNA269" s="28"/>
      <c r="MNB269" s="28"/>
      <c r="MNC269" s="28"/>
      <c r="MND269" s="28"/>
      <c r="MNE269" s="28"/>
      <c r="MNF269" s="28"/>
      <c r="MNG269" s="28"/>
      <c r="MNH269" s="28"/>
      <c r="MNI269" s="28"/>
      <c r="MNJ269" s="28"/>
      <c r="MNK269" s="28"/>
      <c r="MNL269" s="28"/>
      <c r="MNM269" s="28"/>
      <c r="MNN269" s="28"/>
      <c r="MNO269" s="28"/>
      <c r="MNP269" s="28"/>
      <c r="MNQ269" s="28"/>
      <c r="MNR269" s="28"/>
      <c r="MNS269" s="28"/>
      <c r="MNT269" s="28"/>
      <c r="MNU269" s="28"/>
      <c r="MNV269" s="28"/>
      <c r="MNW269" s="28"/>
      <c r="MNX269" s="28"/>
      <c r="MNY269" s="28"/>
      <c r="MNZ269" s="28"/>
      <c r="MOA269" s="28"/>
      <c r="MOB269" s="28"/>
      <c r="MOC269" s="28"/>
      <c r="MOD269" s="28"/>
      <c r="MOE269" s="28"/>
      <c r="MOF269" s="28"/>
      <c r="MOG269" s="28"/>
      <c r="MOH269" s="28"/>
      <c r="MOI269" s="28"/>
      <c r="MOJ269" s="28"/>
      <c r="MOK269" s="28"/>
      <c r="MOL269" s="28"/>
      <c r="MOM269" s="28"/>
      <c r="MON269" s="28"/>
      <c r="MOO269" s="28"/>
      <c r="MOP269" s="28"/>
      <c r="MOQ269" s="28"/>
      <c r="MOR269" s="28"/>
      <c r="MOS269" s="28"/>
      <c r="MOT269" s="28"/>
      <c r="MOU269" s="28"/>
      <c r="MOV269" s="28"/>
      <c r="MOW269" s="28"/>
      <c r="MOX269" s="28"/>
      <c r="MOY269" s="28"/>
      <c r="MOZ269" s="28"/>
      <c r="MPA269" s="28"/>
      <c r="MPB269" s="28"/>
      <c r="MPC269" s="28"/>
      <c r="MPD269" s="28"/>
      <c r="MPE269" s="28"/>
      <c r="MPF269" s="28"/>
      <c r="MPG269" s="28"/>
      <c r="MPH269" s="28"/>
      <c r="MPI269" s="28"/>
      <c r="MPJ269" s="28"/>
      <c r="MPK269" s="28"/>
      <c r="MPL269" s="28"/>
      <c r="MPM269" s="28"/>
      <c r="MPN269" s="28"/>
      <c r="MPO269" s="28"/>
      <c r="MPP269" s="28"/>
      <c r="MPQ269" s="28"/>
      <c r="MPR269" s="28"/>
      <c r="MPS269" s="28"/>
      <c r="MPT269" s="28"/>
      <c r="MPU269" s="28"/>
      <c r="MPV269" s="28"/>
      <c r="MPW269" s="28"/>
      <c r="MPX269" s="28"/>
      <c r="MPY269" s="28"/>
      <c r="MPZ269" s="28"/>
      <c r="MQA269" s="28"/>
      <c r="MQB269" s="28"/>
      <c r="MQC269" s="28"/>
      <c r="MQD269" s="28"/>
      <c r="MQE269" s="28"/>
      <c r="MQF269" s="28"/>
      <c r="MQG269" s="28"/>
      <c r="MQH269" s="28"/>
      <c r="MQI269" s="28"/>
      <c r="MQJ269" s="28"/>
      <c r="MQK269" s="28"/>
      <c r="MQL269" s="28"/>
      <c r="MQM269" s="28"/>
      <c r="MQN269" s="28"/>
      <c r="MQO269" s="28"/>
      <c r="MQP269" s="28"/>
      <c r="MQQ269" s="28"/>
      <c r="MQR269" s="28"/>
      <c r="MQS269" s="28"/>
      <c r="MQT269" s="28"/>
      <c r="MQU269" s="28"/>
      <c r="MQV269" s="28"/>
      <c r="MQW269" s="28"/>
      <c r="MQX269" s="28"/>
      <c r="MQY269" s="28"/>
      <c r="MQZ269" s="28"/>
      <c r="MRA269" s="28"/>
      <c r="MRB269" s="28"/>
      <c r="MRC269" s="28"/>
      <c r="MRD269" s="28"/>
      <c r="MRE269" s="28"/>
      <c r="MRF269" s="28"/>
      <c r="MRG269" s="28"/>
      <c r="MRH269" s="28"/>
      <c r="MRI269" s="28"/>
      <c r="MRJ269" s="28"/>
      <c r="MRK269" s="28"/>
      <c r="MRL269" s="28"/>
      <c r="MRM269" s="28"/>
      <c r="MRN269" s="28"/>
      <c r="MRO269" s="28"/>
      <c r="MRP269" s="28"/>
      <c r="MRQ269" s="28"/>
      <c r="MRR269" s="28"/>
      <c r="MRS269" s="28"/>
      <c r="MRT269" s="28"/>
      <c r="MRU269" s="28"/>
      <c r="MRV269" s="28"/>
      <c r="MRW269" s="28"/>
      <c r="MRX269" s="28"/>
      <c r="MRY269" s="28"/>
      <c r="MRZ269" s="28"/>
      <c r="MSA269" s="28"/>
      <c r="MSB269" s="28"/>
      <c r="MSC269" s="28"/>
      <c r="MSD269" s="28"/>
      <c r="MSE269" s="28"/>
      <c r="MSF269" s="28"/>
      <c r="MSG269" s="28"/>
      <c r="MSH269" s="28"/>
      <c r="MSI269" s="28"/>
      <c r="MSJ269" s="28"/>
      <c r="MSK269" s="28"/>
      <c r="MSL269" s="28"/>
      <c r="MSM269" s="28"/>
      <c r="MSN269" s="28"/>
      <c r="MSO269" s="28"/>
      <c r="MSP269" s="28"/>
      <c r="MSQ269" s="28"/>
      <c r="MSR269" s="28"/>
      <c r="MSS269" s="28"/>
      <c r="MST269" s="28"/>
      <c r="MSU269" s="28"/>
      <c r="MSV269" s="28"/>
      <c r="MSW269" s="28"/>
      <c r="MSX269" s="28"/>
      <c r="MSY269" s="28"/>
      <c r="MSZ269" s="28"/>
      <c r="MTA269" s="28"/>
      <c r="MTB269" s="28"/>
      <c r="MTC269" s="28"/>
      <c r="MTD269" s="28"/>
      <c r="MTE269" s="28"/>
      <c r="MTF269" s="28"/>
      <c r="MTG269" s="28"/>
      <c r="MTH269" s="28"/>
      <c r="MTI269" s="28"/>
      <c r="MTJ269" s="28"/>
      <c r="MTK269" s="28"/>
      <c r="MTL269" s="28"/>
      <c r="MTM269" s="28"/>
      <c r="MTN269" s="28"/>
      <c r="MTO269" s="28"/>
      <c r="MTP269" s="28"/>
      <c r="MTQ269" s="28"/>
      <c r="MTR269" s="28"/>
      <c r="MTS269" s="28"/>
      <c r="MTT269" s="28"/>
      <c r="MTU269" s="28"/>
      <c r="MTV269" s="28"/>
      <c r="MTW269" s="28"/>
      <c r="MTX269" s="28"/>
      <c r="MTY269" s="28"/>
      <c r="MTZ269" s="28"/>
      <c r="MUA269" s="28"/>
      <c r="MUB269" s="28"/>
      <c r="MUC269" s="28"/>
      <c r="MUD269" s="28"/>
      <c r="MUE269" s="28"/>
      <c r="MUF269" s="28"/>
      <c r="MUG269" s="28"/>
      <c r="MUH269" s="28"/>
      <c r="MUI269" s="28"/>
      <c r="MUJ269" s="28"/>
      <c r="MUK269" s="28"/>
      <c r="MUL269" s="28"/>
      <c r="MUM269" s="28"/>
      <c r="MUN269" s="28"/>
      <c r="MUO269" s="28"/>
      <c r="MUP269" s="28"/>
      <c r="MUQ269" s="28"/>
      <c r="MUR269" s="28"/>
      <c r="MUS269" s="28"/>
      <c r="MUT269" s="28"/>
      <c r="MUU269" s="28"/>
      <c r="MUV269" s="28"/>
      <c r="MUW269" s="28"/>
      <c r="MUX269" s="28"/>
      <c r="MUY269" s="28"/>
      <c r="MUZ269" s="28"/>
      <c r="MVA269" s="28"/>
      <c r="MVB269" s="28"/>
      <c r="MVC269" s="28"/>
      <c r="MVD269" s="28"/>
      <c r="MVE269" s="28"/>
      <c r="MVF269" s="28"/>
      <c r="MVG269" s="28"/>
      <c r="MVH269" s="28"/>
      <c r="MVI269" s="28"/>
      <c r="MVJ269" s="28"/>
      <c r="MVK269" s="28"/>
      <c r="MVL269" s="28"/>
      <c r="MVM269" s="28"/>
      <c r="MVN269" s="28"/>
      <c r="MVO269" s="28"/>
      <c r="MVP269" s="28"/>
      <c r="MVQ269" s="28"/>
      <c r="MVR269" s="28"/>
      <c r="MVS269" s="28"/>
      <c r="MVT269" s="28"/>
      <c r="MVU269" s="28"/>
      <c r="MVV269" s="28"/>
      <c r="MVW269" s="28"/>
      <c r="MVX269" s="28"/>
      <c r="MVY269" s="28"/>
      <c r="MVZ269" s="28"/>
      <c r="MWA269" s="28"/>
      <c r="MWB269" s="28"/>
      <c r="MWC269" s="28"/>
      <c r="MWD269" s="28"/>
      <c r="MWE269" s="28"/>
      <c r="MWF269" s="28"/>
      <c r="MWG269" s="28"/>
      <c r="MWH269" s="28"/>
      <c r="MWI269" s="28"/>
      <c r="MWJ269" s="28"/>
      <c r="MWK269" s="28"/>
      <c r="MWL269" s="28"/>
      <c r="MWM269" s="28"/>
      <c r="MWN269" s="28"/>
      <c r="MWO269" s="28"/>
      <c r="MWP269" s="28"/>
      <c r="MWQ269" s="28"/>
      <c r="MWR269" s="28"/>
      <c r="MWS269" s="28"/>
      <c r="MWT269" s="28"/>
      <c r="MWU269" s="28"/>
      <c r="MWV269" s="28"/>
      <c r="MWW269" s="28"/>
      <c r="MWX269" s="28"/>
      <c r="MWY269" s="28"/>
      <c r="MWZ269" s="28"/>
      <c r="MXA269" s="28"/>
      <c r="MXB269" s="28"/>
      <c r="MXC269" s="28"/>
      <c r="MXD269" s="28"/>
      <c r="MXE269" s="28"/>
      <c r="MXF269" s="28"/>
      <c r="MXG269" s="28"/>
      <c r="MXH269" s="28"/>
      <c r="MXI269" s="28"/>
      <c r="MXJ269" s="28"/>
      <c r="MXK269" s="28"/>
      <c r="MXL269" s="28"/>
      <c r="MXM269" s="28"/>
      <c r="MXN269" s="28"/>
      <c r="MXO269" s="28"/>
      <c r="MXP269" s="28"/>
      <c r="MXQ269" s="28"/>
      <c r="MXR269" s="28"/>
      <c r="MXS269" s="28"/>
      <c r="MXT269" s="28"/>
      <c r="MXU269" s="28"/>
      <c r="MXV269" s="28"/>
      <c r="MXW269" s="28"/>
      <c r="MXX269" s="28"/>
      <c r="MXY269" s="28"/>
      <c r="MXZ269" s="28"/>
      <c r="MYA269" s="28"/>
      <c r="MYB269" s="28"/>
      <c r="MYC269" s="28"/>
      <c r="MYD269" s="28"/>
      <c r="MYE269" s="28"/>
      <c r="MYF269" s="28"/>
      <c r="MYG269" s="28"/>
      <c r="MYH269" s="28"/>
      <c r="MYI269" s="28"/>
      <c r="MYJ269" s="28"/>
      <c r="MYK269" s="28"/>
      <c r="MYL269" s="28"/>
      <c r="MYM269" s="28"/>
      <c r="MYN269" s="28"/>
      <c r="MYO269" s="28"/>
      <c r="MYP269" s="28"/>
      <c r="MYQ269" s="28"/>
      <c r="MYR269" s="28"/>
      <c r="MYS269" s="28"/>
      <c r="MYT269" s="28"/>
      <c r="MYU269" s="28"/>
      <c r="MYV269" s="28"/>
      <c r="MYW269" s="28"/>
      <c r="MYX269" s="28"/>
      <c r="MYY269" s="28"/>
      <c r="MYZ269" s="28"/>
      <c r="MZA269" s="28"/>
      <c r="MZB269" s="28"/>
      <c r="MZC269" s="28"/>
      <c r="MZD269" s="28"/>
      <c r="MZE269" s="28"/>
      <c r="MZF269" s="28"/>
      <c r="MZG269" s="28"/>
      <c r="MZH269" s="28"/>
      <c r="MZI269" s="28"/>
      <c r="MZJ269" s="28"/>
      <c r="MZK269" s="28"/>
      <c r="MZL269" s="28"/>
      <c r="MZM269" s="28"/>
      <c r="MZN269" s="28"/>
      <c r="MZO269" s="28"/>
      <c r="MZP269" s="28"/>
      <c r="MZQ269" s="28"/>
      <c r="MZR269" s="28"/>
      <c r="MZS269" s="28"/>
      <c r="MZT269" s="28"/>
      <c r="MZU269" s="28"/>
      <c r="MZV269" s="28"/>
      <c r="MZW269" s="28"/>
      <c r="MZX269" s="28"/>
      <c r="MZY269" s="28"/>
      <c r="MZZ269" s="28"/>
      <c r="NAA269" s="28"/>
      <c r="NAB269" s="28"/>
      <c r="NAC269" s="28"/>
      <c r="NAD269" s="28"/>
      <c r="NAE269" s="28"/>
      <c r="NAF269" s="28"/>
      <c r="NAG269" s="28"/>
      <c r="NAH269" s="28"/>
      <c r="NAI269" s="28"/>
      <c r="NAJ269" s="28"/>
      <c r="NAK269" s="28"/>
      <c r="NAL269" s="28"/>
      <c r="NAM269" s="28"/>
      <c r="NAN269" s="28"/>
      <c r="NAO269" s="28"/>
      <c r="NAP269" s="28"/>
      <c r="NAQ269" s="28"/>
      <c r="NAR269" s="28"/>
      <c r="NAS269" s="28"/>
      <c r="NAT269" s="28"/>
      <c r="NAU269" s="28"/>
      <c r="NAV269" s="28"/>
      <c r="NAW269" s="28"/>
      <c r="NAX269" s="28"/>
      <c r="NAY269" s="28"/>
      <c r="NAZ269" s="28"/>
      <c r="NBA269" s="28"/>
      <c r="NBB269" s="28"/>
      <c r="NBC269" s="28"/>
      <c r="NBD269" s="28"/>
      <c r="NBE269" s="28"/>
      <c r="NBF269" s="28"/>
      <c r="NBG269" s="28"/>
      <c r="NBH269" s="28"/>
      <c r="NBI269" s="28"/>
      <c r="NBJ269" s="28"/>
      <c r="NBK269" s="28"/>
      <c r="NBL269" s="28"/>
      <c r="NBM269" s="28"/>
      <c r="NBN269" s="28"/>
      <c r="NBO269" s="28"/>
      <c r="NBP269" s="28"/>
      <c r="NBQ269" s="28"/>
      <c r="NBR269" s="28"/>
      <c r="NBS269" s="28"/>
      <c r="NBT269" s="28"/>
      <c r="NBU269" s="28"/>
      <c r="NBV269" s="28"/>
      <c r="NBW269" s="28"/>
      <c r="NBX269" s="28"/>
      <c r="NBY269" s="28"/>
      <c r="NBZ269" s="28"/>
      <c r="NCA269" s="28"/>
      <c r="NCB269" s="28"/>
      <c r="NCC269" s="28"/>
      <c r="NCD269" s="28"/>
      <c r="NCE269" s="28"/>
      <c r="NCF269" s="28"/>
      <c r="NCG269" s="28"/>
      <c r="NCH269" s="28"/>
      <c r="NCI269" s="28"/>
      <c r="NCJ269" s="28"/>
      <c r="NCK269" s="28"/>
      <c r="NCL269" s="28"/>
      <c r="NCM269" s="28"/>
      <c r="NCN269" s="28"/>
      <c r="NCO269" s="28"/>
      <c r="NCP269" s="28"/>
      <c r="NCQ269" s="28"/>
      <c r="NCR269" s="28"/>
      <c r="NCS269" s="28"/>
      <c r="NCT269" s="28"/>
      <c r="NCU269" s="28"/>
      <c r="NCV269" s="28"/>
      <c r="NCW269" s="28"/>
      <c r="NCX269" s="28"/>
      <c r="NCY269" s="28"/>
      <c r="NCZ269" s="28"/>
      <c r="NDA269" s="28"/>
      <c r="NDB269" s="28"/>
      <c r="NDC269" s="28"/>
      <c r="NDD269" s="28"/>
      <c r="NDE269" s="28"/>
      <c r="NDF269" s="28"/>
      <c r="NDG269" s="28"/>
      <c r="NDH269" s="28"/>
      <c r="NDI269" s="28"/>
      <c r="NDJ269" s="28"/>
      <c r="NDK269" s="28"/>
      <c r="NDL269" s="28"/>
      <c r="NDM269" s="28"/>
      <c r="NDN269" s="28"/>
      <c r="NDO269" s="28"/>
      <c r="NDP269" s="28"/>
      <c r="NDQ269" s="28"/>
      <c r="NDR269" s="28"/>
      <c r="NDS269" s="28"/>
      <c r="NDT269" s="28"/>
      <c r="NDU269" s="28"/>
      <c r="NDV269" s="28"/>
      <c r="NDW269" s="28"/>
      <c r="NDX269" s="28"/>
      <c r="NDY269" s="28"/>
      <c r="NDZ269" s="28"/>
      <c r="NEA269" s="28"/>
      <c r="NEB269" s="28"/>
      <c r="NEC269" s="28"/>
      <c r="NED269" s="28"/>
      <c r="NEE269" s="28"/>
      <c r="NEF269" s="28"/>
      <c r="NEG269" s="28"/>
      <c r="NEH269" s="28"/>
      <c r="NEI269" s="28"/>
      <c r="NEJ269" s="28"/>
      <c r="NEK269" s="28"/>
      <c r="NEL269" s="28"/>
      <c r="NEM269" s="28"/>
      <c r="NEN269" s="28"/>
      <c r="NEO269" s="28"/>
      <c r="NEP269" s="28"/>
      <c r="NEQ269" s="28"/>
      <c r="NER269" s="28"/>
      <c r="NES269" s="28"/>
      <c r="NET269" s="28"/>
      <c r="NEU269" s="28"/>
      <c r="NEV269" s="28"/>
      <c r="NEW269" s="28"/>
      <c r="NEX269" s="28"/>
      <c r="NEY269" s="28"/>
      <c r="NEZ269" s="28"/>
      <c r="NFA269" s="28"/>
      <c r="NFB269" s="28"/>
      <c r="NFC269" s="28"/>
      <c r="NFD269" s="28"/>
      <c r="NFE269" s="28"/>
      <c r="NFF269" s="28"/>
      <c r="NFG269" s="28"/>
      <c r="NFH269" s="28"/>
      <c r="NFI269" s="28"/>
      <c r="NFJ269" s="28"/>
      <c r="NFK269" s="28"/>
      <c r="NFL269" s="28"/>
      <c r="NFM269" s="28"/>
      <c r="NFN269" s="28"/>
      <c r="NFO269" s="28"/>
      <c r="NFP269" s="28"/>
      <c r="NFQ269" s="28"/>
      <c r="NFR269" s="28"/>
      <c r="NFS269" s="28"/>
      <c r="NFT269" s="28"/>
      <c r="NFU269" s="28"/>
      <c r="NFV269" s="28"/>
      <c r="NFW269" s="28"/>
      <c r="NFX269" s="28"/>
      <c r="NFY269" s="28"/>
      <c r="NFZ269" s="28"/>
      <c r="NGA269" s="28"/>
      <c r="NGB269" s="28"/>
      <c r="NGC269" s="28"/>
      <c r="NGD269" s="28"/>
      <c r="NGE269" s="28"/>
      <c r="NGF269" s="28"/>
      <c r="NGG269" s="28"/>
      <c r="NGH269" s="28"/>
      <c r="NGI269" s="28"/>
      <c r="NGJ269" s="28"/>
      <c r="NGK269" s="28"/>
      <c r="NGL269" s="28"/>
      <c r="NGM269" s="28"/>
      <c r="NGN269" s="28"/>
      <c r="NGO269" s="28"/>
      <c r="NGP269" s="28"/>
      <c r="NGQ269" s="28"/>
      <c r="NGR269" s="28"/>
      <c r="NGS269" s="28"/>
      <c r="NGT269" s="28"/>
      <c r="NGU269" s="28"/>
      <c r="NGV269" s="28"/>
      <c r="NGW269" s="28"/>
      <c r="NGX269" s="28"/>
      <c r="NGY269" s="28"/>
      <c r="NGZ269" s="28"/>
      <c r="NHA269" s="28"/>
      <c r="NHB269" s="28"/>
      <c r="NHC269" s="28"/>
      <c r="NHD269" s="28"/>
      <c r="NHE269" s="28"/>
      <c r="NHF269" s="28"/>
      <c r="NHG269" s="28"/>
      <c r="NHH269" s="28"/>
      <c r="NHI269" s="28"/>
      <c r="NHJ269" s="28"/>
      <c r="NHK269" s="28"/>
      <c r="NHL269" s="28"/>
      <c r="NHM269" s="28"/>
      <c r="NHN269" s="28"/>
      <c r="NHO269" s="28"/>
      <c r="NHP269" s="28"/>
      <c r="NHQ269" s="28"/>
      <c r="NHR269" s="28"/>
      <c r="NHS269" s="28"/>
      <c r="NHT269" s="28"/>
      <c r="NHU269" s="28"/>
      <c r="NHV269" s="28"/>
      <c r="NHW269" s="28"/>
      <c r="NHX269" s="28"/>
      <c r="NHY269" s="28"/>
      <c r="NHZ269" s="28"/>
      <c r="NIA269" s="28"/>
      <c r="NIB269" s="28"/>
      <c r="NIC269" s="28"/>
      <c r="NID269" s="28"/>
      <c r="NIE269" s="28"/>
      <c r="NIF269" s="28"/>
      <c r="NIG269" s="28"/>
      <c r="NIH269" s="28"/>
      <c r="NII269" s="28"/>
      <c r="NIJ269" s="28"/>
      <c r="NIK269" s="28"/>
      <c r="NIL269" s="28"/>
      <c r="NIM269" s="28"/>
      <c r="NIN269" s="28"/>
      <c r="NIO269" s="28"/>
      <c r="NIP269" s="28"/>
      <c r="NIQ269" s="28"/>
      <c r="NIR269" s="28"/>
      <c r="NIS269" s="28"/>
      <c r="NIT269" s="28"/>
      <c r="NIU269" s="28"/>
      <c r="NIV269" s="28"/>
      <c r="NIW269" s="28"/>
      <c r="NIX269" s="28"/>
      <c r="NIY269" s="28"/>
      <c r="NIZ269" s="28"/>
      <c r="NJA269" s="28"/>
      <c r="NJB269" s="28"/>
      <c r="NJC269" s="28"/>
      <c r="NJD269" s="28"/>
      <c r="NJE269" s="28"/>
      <c r="NJF269" s="28"/>
      <c r="NJG269" s="28"/>
      <c r="NJH269" s="28"/>
      <c r="NJI269" s="28"/>
      <c r="NJJ269" s="28"/>
      <c r="NJK269" s="28"/>
      <c r="NJL269" s="28"/>
      <c r="NJM269" s="28"/>
      <c r="NJN269" s="28"/>
      <c r="NJO269" s="28"/>
      <c r="NJP269" s="28"/>
      <c r="NJQ269" s="28"/>
      <c r="NJR269" s="28"/>
      <c r="NJS269" s="28"/>
      <c r="NJT269" s="28"/>
      <c r="NJU269" s="28"/>
      <c r="NJV269" s="28"/>
      <c r="NJW269" s="28"/>
      <c r="NJX269" s="28"/>
      <c r="NJY269" s="28"/>
      <c r="NJZ269" s="28"/>
      <c r="NKA269" s="28"/>
      <c r="NKB269" s="28"/>
      <c r="NKC269" s="28"/>
      <c r="NKD269" s="28"/>
      <c r="NKE269" s="28"/>
      <c r="NKF269" s="28"/>
      <c r="NKG269" s="28"/>
      <c r="NKH269" s="28"/>
      <c r="NKI269" s="28"/>
      <c r="NKJ269" s="28"/>
      <c r="NKK269" s="28"/>
      <c r="NKL269" s="28"/>
      <c r="NKM269" s="28"/>
      <c r="NKN269" s="28"/>
      <c r="NKO269" s="28"/>
      <c r="NKP269" s="28"/>
      <c r="NKQ269" s="28"/>
      <c r="NKR269" s="28"/>
      <c r="NKS269" s="28"/>
      <c r="NKT269" s="28"/>
      <c r="NKU269" s="28"/>
      <c r="NKV269" s="28"/>
      <c r="NKW269" s="28"/>
      <c r="NKX269" s="28"/>
      <c r="NKY269" s="28"/>
      <c r="NKZ269" s="28"/>
      <c r="NLA269" s="28"/>
      <c r="NLB269" s="28"/>
      <c r="NLC269" s="28"/>
      <c r="NLD269" s="28"/>
      <c r="NLE269" s="28"/>
      <c r="NLF269" s="28"/>
      <c r="NLG269" s="28"/>
      <c r="NLH269" s="28"/>
      <c r="NLI269" s="28"/>
      <c r="NLJ269" s="28"/>
      <c r="NLK269" s="28"/>
      <c r="NLL269" s="28"/>
      <c r="NLM269" s="28"/>
      <c r="NLN269" s="28"/>
      <c r="NLO269" s="28"/>
      <c r="NLP269" s="28"/>
      <c r="NLQ269" s="28"/>
      <c r="NLR269" s="28"/>
      <c r="NLS269" s="28"/>
      <c r="NLT269" s="28"/>
      <c r="NLU269" s="28"/>
      <c r="NLV269" s="28"/>
      <c r="NLW269" s="28"/>
      <c r="NLX269" s="28"/>
      <c r="NLY269" s="28"/>
      <c r="NLZ269" s="28"/>
      <c r="NMA269" s="28"/>
      <c r="NMB269" s="28"/>
      <c r="NMC269" s="28"/>
      <c r="NMD269" s="28"/>
      <c r="NME269" s="28"/>
      <c r="NMF269" s="28"/>
      <c r="NMG269" s="28"/>
      <c r="NMH269" s="28"/>
      <c r="NMI269" s="28"/>
      <c r="NMJ269" s="28"/>
      <c r="NMK269" s="28"/>
      <c r="NML269" s="28"/>
      <c r="NMM269" s="28"/>
      <c r="NMN269" s="28"/>
      <c r="NMO269" s="28"/>
      <c r="NMP269" s="28"/>
      <c r="NMQ269" s="28"/>
      <c r="NMR269" s="28"/>
      <c r="NMS269" s="28"/>
      <c r="NMT269" s="28"/>
      <c r="NMU269" s="28"/>
      <c r="NMV269" s="28"/>
      <c r="NMW269" s="28"/>
      <c r="NMX269" s="28"/>
      <c r="NMY269" s="28"/>
      <c r="NMZ269" s="28"/>
      <c r="NNA269" s="28"/>
      <c r="NNB269" s="28"/>
      <c r="NNC269" s="28"/>
      <c r="NND269" s="28"/>
      <c r="NNE269" s="28"/>
      <c r="NNF269" s="28"/>
      <c r="NNG269" s="28"/>
      <c r="NNH269" s="28"/>
      <c r="NNI269" s="28"/>
      <c r="NNJ269" s="28"/>
      <c r="NNK269" s="28"/>
      <c r="NNL269" s="28"/>
      <c r="NNM269" s="28"/>
      <c r="NNN269" s="28"/>
      <c r="NNO269" s="28"/>
      <c r="NNP269" s="28"/>
      <c r="NNQ269" s="28"/>
      <c r="NNR269" s="28"/>
      <c r="NNS269" s="28"/>
      <c r="NNT269" s="28"/>
      <c r="NNU269" s="28"/>
      <c r="NNV269" s="28"/>
      <c r="NNW269" s="28"/>
      <c r="NNX269" s="28"/>
      <c r="NNY269" s="28"/>
      <c r="NNZ269" s="28"/>
      <c r="NOA269" s="28"/>
      <c r="NOB269" s="28"/>
      <c r="NOC269" s="28"/>
      <c r="NOD269" s="28"/>
      <c r="NOE269" s="28"/>
      <c r="NOF269" s="28"/>
      <c r="NOG269" s="28"/>
      <c r="NOH269" s="28"/>
      <c r="NOI269" s="28"/>
      <c r="NOJ269" s="28"/>
      <c r="NOK269" s="28"/>
      <c r="NOL269" s="28"/>
      <c r="NOM269" s="28"/>
      <c r="NON269" s="28"/>
      <c r="NOO269" s="28"/>
      <c r="NOP269" s="28"/>
      <c r="NOQ269" s="28"/>
      <c r="NOR269" s="28"/>
      <c r="NOS269" s="28"/>
      <c r="NOT269" s="28"/>
      <c r="NOU269" s="28"/>
      <c r="NOV269" s="28"/>
      <c r="NOW269" s="28"/>
      <c r="NOX269" s="28"/>
      <c r="NOY269" s="28"/>
      <c r="NOZ269" s="28"/>
      <c r="NPA269" s="28"/>
      <c r="NPB269" s="28"/>
      <c r="NPC269" s="28"/>
      <c r="NPD269" s="28"/>
      <c r="NPE269" s="28"/>
      <c r="NPF269" s="28"/>
      <c r="NPG269" s="28"/>
      <c r="NPH269" s="28"/>
      <c r="NPI269" s="28"/>
      <c r="NPJ269" s="28"/>
      <c r="NPK269" s="28"/>
      <c r="NPL269" s="28"/>
      <c r="NPM269" s="28"/>
      <c r="NPN269" s="28"/>
      <c r="NPO269" s="28"/>
      <c r="NPP269" s="28"/>
      <c r="NPQ269" s="28"/>
      <c r="NPR269" s="28"/>
      <c r="NPS269" s="28"/>
      <c r="NPT269" s="28"/>
      <c r="NPU269" s="28"/>
      <c r="NPV269" s="28"/>
      <c r="NPW269" s="28"/>
      <c r="NPX269" s="28"/>
      <c r="NPY269" s="28"/>
      <c r="NPZ269" s="28"/>
      <c r="NQA269" s="28"/>
      <c r="NQB269" s="28"/>
      <c r="NQC269" s="28"/>
      <c r="NQD269" s="28"/>
      <c r="NQE269" s="28"/>
      <c r="NQF269" s="28"/>
      <c r="NQG269" s="28"/>
      <c r="NQH269" s="28"/>
      <c r="NQI269" s="28"/>
      <c r="NQJ269" s="28"/>
      <c r="NQK269" s="28"/>
      <c r="NQL269" s="28"/>
      <c r="NQM269" s="28"/>
      <c r="NQN269" s="28"/>
      <c r="NQO269" s="28"/>
      <c r="NQP269" s="28"/>
      <c r="NQQ269" s="28"/>
      <c r="NQR269" s="28"/>
      <c r="NQS269" s="28"/>
      <c r="NQT269" s="28"/>
      <c r="NQU269" s="28"/>
      <c r="NQV269" s="28"/>
      <c r="NQW269" s="28"/>
      <c r="NQX269" s="28"/>
      <c r="NQY269" s="28"/>
      <c r="NQZ269" s="28"/>
      <c r="NRA269" s="28"/>
      <c r="NRB269" s="28"/>
      <c r="NRC269" s="28"/>
      <c r="NRD269" s="28"/>
      <c r="NRE269" s="28"/>
      <c r="NRF269" s="28"/>
      <c r="NRG269" s="28"/>
      <c r="NRH269" s="28"/>
      <c r="NRI269" s="28"/>
      <c r="NRJ269" s="28"/>
      <c r="NRK269" s="28"/>
      <c r="NRL269" s="28"/>
      <c r="NRM269" s="28"/>
      <c r="NRN269" s="28"/>
      <c r="NRO269" s="28"/>
      <c r="NRP269" s="28"/>
      <c r="NRQ269" s="28"/>
      <c r="NRR269" s="28"/>
      <c r="NRS269" s="28"/>
      <c r="NRT269" s="28"/>
      <c r="NRU269" s="28"/>
      <c r="NRV269" s="28"/>
      <c r="NRW269" s="28"/>
      <c r="NRX269" s="28"/>
      <c r="NRY269" s="28"/>
      <c r="NRZ269" s="28"/>
      <c r="NSA269" s="28"/>
      <c r="NSB269" s="28"/>
      <c r="NSC269" s="28"/>
      <c r="NSD269" s="28"/>
      <c r="NSE269" s="28"/>
      <c r="NSF269" s="28"/>
      <c r="NSG269" s="28"/>
      <c r="NSH269" s="28"/>
      <c r="NSI269" s="28"/>
      <c r="NSJ269" s="28"/>
      <c r="NSK269" s="28"/>
      <c r="NSL269" s="28"/>
      <c r="NSM269" s="28"/>
      <c r="NSN269" s="28"/>
      <c r="NSO269" s="28"/>
      <c r="NSP269" s="28"/>
      <c r="NSQ269" s="28"/>
      <c r="NSR269" s="28"/>
      <c r="NSS269" s="28"/>
      <c r="NST269" s="28"/>
      <c r="NSU269" s="28"/>
      <c r="NSV269" s="28"/>
      <c r="NSW269" s="28"/>
      <c r="NSX269" s="28"/>
      <c r="NSY269" s="28"/>
      <c r="NSZ269" s="28"/>
      <c r="NTA269" s="28"/>
      <c r="NTB269" s="28"/>
      <c r="NTC269" s="28"/>
      <c r="NTD269" s="28"/>
      <c r="NTE269" s="28"/>
      <c r="NTF269" s="28"/>
      <c r="NTG269" s="28"/>
      <c r="NTH269" s="28"/>
      <c r="NTI269" s="28"/>
      <c r="NTJ269" s="28"/>
      <c r="NTK269" s="28"/>
      <c r="NTL269" s="28"/>
      <c r="NTM269" s="28"/>
      <c r="NTN269" s="28"/>
      <c r="NTO269" s="28"/>
      <c r="NTP269" s="28"/>
      <c r="NTQ269" s="28"/>
      <c r="NTR269" s="28"/>
      <c r="NTS269" s="28"/>
      <c r="NTT269" s="28"/>
      <c r="NTU269" s="28"/>
      <c r="NTV269" s="28"/>
      <c r="NTW269" s="28"/>
      <c r="NTX269" s="28"/>
      <c r="NTY269" s="28"/>
      <c r="NTZ269" s="28"/>
      <c r="NUA269" s="28"/>
      <c r="NUB269" s="28"/>
      <c r="NUC269" s="28"/>
      <c r="NUD269" s="28"/>
      <c r="NUE269" s="28"/>
      <c r="NUF269" s="28"/>
      <c r="NUG269" s="28"/>
      <c r="NUH269" s="28"/>
      <c r="NUI269" s="28"/>
      <c r="NUJ269" s="28"/>
      <c r="NUK269" s="28"/>
      <c r="NUL269" s="28"/>
      <c r="NUM269" s="28"/>
      <c r="NUN269" s="28"/>
      <c r="NUO269" s="28"/>
      <c r="NUP269" s="28"/>
      <c r="NUQ269" s="28"/>
      <c r="NUR269" s="28"/>
      <c r="NUS269" s="28"/>
      <c r="NUT269" s="28"/>
      <c r="NUU269" s="28"/>
      <c r="NUV269" s="28"/>
      <c r="NUW269" s="28"/>
      <c r="NUX269" s="28"/>
      <c r="NUY269" s="28"/>
      <c r="NUZ269" s="28"/>
      <c r="NVA269" s="28"/>
      <c r="NVB269" s="28"/>
      <c r="NVC269" s="28"/>
      <c r="NVD269" s="28"/>
      <c r="NVE269" s="28"/>
      <c r="NVF269" s="28"/>
      <c r="NVG269" s="28"/>
      <c r="NVH269" s="28"/>
      <c r="NVI269" s="28"/>
      <c r="NVJ269" s="28"/>
      <c r="NVK269" s="28"/>
      <c r="NVL269" s="28"/>
      <c r="NVM269" s="28"/>
      <c r="NVN269" s="28"/>
      <c r="NVO269" s="28"/>
      <c r="NVP269" s="28"/>
      <c r="NVQ269" s="28"/>
      <c r="NVR269" s="28"/>
      <c r="NVS269" s="28"/>
      <c r="NVT269" s="28"/>
      <c r="NVU269" s="28"/>
      <c r="NVV269" s="28"/>
      <c r="NVW269" s="28"/>
      <c r="NVX269" s="28"/>
      <c r="NVY269" s="28"/>
      <c r="NVZ269" s="28"/>
      <c r="NWA269" s="28"/>
      <c r="NWB269" s="28"/>
      <c r="NWC269" s="28"/>
      <c r="NWD269" s="28"/>
      <c r="NWE269" s="28"/>
      <c r="NWF269" s="28"/>
      <c r="NWG269" s="28"/>
      <c r="NWH269" s="28"/>
      <c r="NWI269" s="28"/>
      <c r="NWJ269" s="28"/>
      <c r="NWK269" s="28"/>
      <c r="NWL269" s="28"/>
      <c r="NWM269" s="28"/>
      <c r="NWN269" s="28"/>
      <c r="NWO269" s="28"/>
      <c r="NWP269" s="28"/>
      <c r="NWQ269" s="28"/>
      <c r="NWR269" s="28"/>
      <c r="NWS269" s="28"/>
      <c r="NWT269" s="28"/>
      <c r="NWU269" s="28"/>
      <c r="NWV269" s="28"/>
      <c r="NWW269" s="28"/>
      <c r="NWX269" s="28"/>
      <c r="NWY269" s="28"/>
      <c r="NWZ269" s="28"/>
      <c r="NXA269" s="28"/>
      <c r="NXB269" s="28"/>
      <c r="NXC269" s="28"/>
      <c r="NXD269" s="28"/>
      <c r="NXE269" s="28"/>
      <c r="NXF269" s="28"/>
      <c r="NXG269" s="28"/>
      <c r="NXH269" s="28"/>
      <c r="NXI269" s="28"/>
      <c r="NXJ269" s="28"/>
      <c r="NXK269" s="28"/>
      <c r="NXL269" s="28"/>
      <c r="NXM269" s="28"/>
      <c r="NXN269" s="28"/>
      <c r="NXO269" s="28"/>
      <c r="NXP269" s="28"/>
      <c r="NXQ269" s="28"/>
      <c r="NXR269" s="28"/>
      <c r="NXS269" s="28"/>
      <c r="NXT269" s="28"/>
      <c r="NXU269" s="28"/>
      <c r="NXV269" s="28"/>
      <c r="NXW269" s="28"/>
      <c r="NXX269" s="28"/>
      <c r="NXY269" s="28"/>
      <c r="NXZ269" s="28"/>
      <c r="NYA269" s="28"/>
      <c r="NYB269" s="28"/>
      <c r="NYC269" s="28"/>
      <c r="NYD269" s="28"/>
      <c r="NYE269" s="28"/>
      <c r="NYF269" s="28"/>
      <c r="NYG269" s="28"/>
      <c r="NYH269" s="28"/>
      <c r="NYI269" s="28"/>
      <c r="NYJ269" s="28"/>
      <c r="NYK269" s="28"/>
      <c r="NYL269" s="28"/>
      <c r="NYM269" s="28"/>
      <c r="NYN269" s="28"/>
      <c r="NYO269" s="28"/>
      <c r="NYP269" s="28"/>
      <c r="NYQ269" s="28"/>
      <c r="NYR269" s="28"/>
      <c r="NYS269" s="28"/>
      <c r="NYT269" s="28"/>
      <c r="NYU269" s="28"/>
      <c r="NYV269" s="28"/>
      <c r="NYW269" s="28"/>
      <c r="NYX269" s="28"/>
      <c r="NYY269" s="28"/>
      <c r="NYZ269" s="28"/>
      <c r="NZA269" s="28"/>
      <c r="NZB269" s="28"/>
      <c r="NZC269" s="28"/>
      <c r="NZD269" s="28"/>
      <c r="NZE269" s="28"/>
      <c r="NZF269" s="28"/>
      <c r="NZG269" s="28"/>
      <c r="NZH269" s="28"/>
      <c r="NZI269" s="28"/>
      <c r="NZJ269" s="28"/>
      <c r="NZK269" s="28"/>
      <c r="NZL269" s="28"/>
      <c r="NZM269" s="28"/>
      <c r="NZN269" s="28"/>
      <c r="NZO269" s="28"/>
      <c r="NZP269" s="28"/>
      <c r="NZQ269" s="28"/>
      <c r="NZR269" s="28"/>
      <c r="NZS269" s="28"/>
      <c r="NZT269" s="28"/>
      <c r="NZU269" s="28"/>
      <c r="NZV269" s="28"/>
      <c r="NZW269" s="28"/>
      <c r="NZX269" s="28"/>
      <c r="NZY269" s="28"/>
      <c r="NZZ269" s="28"/>
      <c r="OAA269" s="28"/>
      <c r="OAB269" s="28"/>
      <c r="OAC269" s="28"/>
      <c r="OAD269" s="28"/>
      <c r="OAE269" s="28"/>
      <c r="OAF269" s="28"/>
      <c r="OAG269" s="28"/>
      <c r="OAH269" s="28"/>
      <c r="OAI269" s="28"/>
      <c r="OAJ269" s="28"/>
      <c r="OAK269" s="28"/>
      <c r="OAL269" s="28"/>
      <c r="OAM269" s="28"/>
      <c r="OAN269" s="28"/>
      <c r="OAO269" s="28"/>
      <c r="OAP269" s="28"/>
      <c r="OAQ269" s="28"/>
      <c r="OAR269" s="28"/>
      <c r="OAS269" s="28"/>
      <c r="OAT269" s="28"/>
      <c r="OAU269" s="28"/>
      <c r="OAV269" s="28"/>
      <c r="OAW269" s="28"/>
      <c r="OAX269" s="28"/>
      <c r="OAY269" s="28"/>
      <c r="OAZ269" s="28"/>
      <c r="OBA269" s="28"/>
      <c r="OBB269" s="28"/>
      <c r="OBC269" s="28"/>
      <c r="OBD269" s="28"/>
      <c r="OBE269" s="28"/>
      <c r="OBF269" s="28"/>
      <c r="OBG269" s="28"/>
      <c r="OBH269" s="28"/>
      <c r="OBI269" s="28"/>
      <c r="OBJ269" s="28"/>
      <c r="OBK269" s="28"/>
      <c r="OBL269" s="28"/>
      <c r="OBM269" s="28"/>
      <c r="OBN269" s="28"/>
      <c r="OBO269" s="28"/>
      <c r="OBP269" s="28"/>
      <c r="OBQ269" s="28"/>
      <c r="OBR269" s="28"/>
      <c r="OBS269" s="28"/>
      <c r="OBT269" s="28"/>
      <c r="OBU269" s="28"/>
      <c r="OBV269" s="28"/>
      <c r="OBW269" s="28"/>
      <c r="OBX269" s="28"/>
      <c r="OBY269" s="28"/>
      <c r="OBZ269" s="28"/>
      <c r="OCA269" s="28"/>
      <c r="OCB269" s="28"/>
      <c r="OCC269" s="28"/>
      <c r="OCD269" s="28"/>
      <c r="OCE269" s="28"/>
      <c r="OCF269" s="28"/>
      <c r="OCG269" s="28"/>
      <c r="OCH269" s="28"/>
      <c r="OCI269" s="28"/>
      <c r="OCJ269" s="28"/>
      <c r="OCK269" s="28"/>
      <c r="OCL269" s="28"/>
      <c r="OCM269" s="28"/>
      <c r="OCN269" s="28"/>
      <c r="OCO269" s="28"/>
      <c r="OCP269" s="28"/>
      <c r="OCQ269" s="28"/>
      <c r="OCR269" s="28"/>
      <c r="OCS269" s="28"/>
      <c r="OCT269" s="28"/>
      <c r="OCU269" s="28"/>
      <c r="OCV269" s="28"/>
      <c r="OCW269" s="28"/>
      <c r="OCX269" s="28"/>
      <c r="OCY269" s="28"/>
      <c r="OCZ269" s="28"/>
      <c r="ODA269" s="28"/>
      <c r="ODB269" s="28"/>
      <c r="ODC269" s="28"/>
      <c r="ODD269" s="28"/>
      <c r="ODE269" s="28"/>
      <c r="ODF269" s="28"/>
      <c r="ODG269" s="28"/>
      <c r="ODH269" s="28"/>
      <c r="ODI269" s="28"/>
      <c r="ODJ269" s="28"/>
      <c r="ODK269" s="28"/>
      <c r="ODL269" s="28"/>
      <c r="ODM269" s="28"/>
      <c r="ODN269" s="28"/>
      <c r="ODO269" s="28"/>
      <c r="ODP269" s="28"/>
      <c r="ODQ269" s="28"/>
      <c r="ODR269" s="28"/>
      <c r="ODS269" s="28"/>
      <c r="ODT269" s="28"/>
      <c r="ODU269" s="28"/>
      <c r="ODV269" s="28"/>
      <c r="ODW269" s="28"/>
      <c r="ODX269" s="28"/>
      <c r="ODY269" s="28"/>
      <c r="ODZ269" s="28"/>
      <c r="OEA269" s="28"/>
      <c r="OEB269" s="28"/>
      <c r="OEC269" s="28"/>
      <c r="OED269" s="28"/>
      <c r="OEE269" s="28"/>
      <c r="OEF269" s="28"/>
      <c r="OEG269" s="28"/>
      <c r="OEH269" s="28"/>
      <c r="OEI269" s="28"/>
      <c r="OEJ269" s="28"/>
      <c r="OEK269" s="28"/>
      <c r="OEL269" s="28"/>
      <c r="OEM269" s="28"/>
      <c r="OEN269" s="28"/>
      <c r="OEO269" s="28"/>
      <c r="OEP269" s="28"/>
      <c r="OEQ269" s="28"/>
      <c r="OER269" s="28"/>
      <c r="OES269" s="28"/>
      <c r="OET269" s="28"/>
      <c r="OEU269" s="28"/>
      <c r="OEV269" s="28"/>
      <c r="OEW269" s="28"/>
      <c r="OEX269" s="28"/>
      <c r="OEY269" s="28"/>
      <c r="OEZ269" s="28"/>
      <c r="OFA269" s="28"/>
      <c r="OFB269" s="28"/>
      <c r="OFC269" s="28"/>
      <c r="OFD269" s="28"/>
      <c r="OFE269" s="28"/>
      <c r="OFF269" s="28"/>
      <c r="OFG269" s="28"/>
      <c r="OFH269" s="28"/>
      <c r="OFI269" s="28"/>
      <c r="OFJ269" s="28"/>
      <c r="OFK269" s="28"/>
      <c r="OFL269" s="28"/>
      <c r="OFM269" s="28"/>
      <c r="OFN269" s="28"/>
      <c r="OFO269" s="28"/>
      <c r="OFP269" s="28"/>
      <c r="OFQ269" s="28"/>
      <c r="OFR269" s="28"/>
      <c r="OFS269" s="28"/>
      <c r="OFT269" s="28"/>
      <c r="OFU269" s="28"/>
      <c r="OFV269" s="28"/>
      <c r="OFW269" s="28"/>
      <c r="OFX269" s="28"/>
      <c r="OFY269" s="28"/>
      <c r="OFZ269" s="28"/>
      <c r="OGA269" s="28"/>
      <c r="OGB269" s="28"/>
      <c r="OGC269" s="28"/>
      <c r="OGD269" s="28"/>
      <c r="OGE269" s="28"/>
      <c r="OGF269" s="28"/>
      <c r="OGG269" s="28"/>
      <c r="OGH269" s="28"/>
      <c r="OGI269" s="28"/>
      <c r="OGJ269" s="28"/>
      <c r="OGK269" s="28"/>
      <c r="OGL269" s="28"/>
      <c r="OGM269" s="28"/>
      <c r="OGN269" s="28"/>
      <c r="OGO269" s="28"/>
      <c r="OGP269" s="28"/>
      <c r="OGQ269" s="28"/>
      <c r="OGR269" s="28"/>
      <c r="OGS269" s="28"/>
      <c r="OGT269" s="28"/>
      <c r="OGU269" s="28"/>
      <c r="OGV269" s="28"/>
      <c r="OGW269" s="28"/>
      <c r="OGX269" s="28"/>
      <c r="OGY269" s="28"/>
      <c r="OGZ269" s="28"/>
      <c r="OHA269" s="28"/>
      <c r="OHB269" s="28"/>
      <c r="OHC269" s="28"/>
      <c r="OHD269" s="28"/>
      <c r="OHE269" s="28"/>
      <c r="OHF269" s="28"/>
      <c r="OHG269" s="28"/>
      <c r="OHH269" s="28"/>
      <c r="OHI269" s="28"/>
      <c r="OHJ269" s="28"/>
      <c r="OHK269" s="28"/>
      <c r="OHL269" s="28"/>
      <c r="OHM269" s="28"/>
      <c r="OHN269" s="28"/>
      <c r="OHO269" s="28"/>
      <c r="OHP269" s="28"/>
      <c r="OHQ269" s="28"/>
      <c r="OHR269" s="28"/>
      <c r="OHS269" s="28"/>
      <c r="OHT269" s="28"/>
      <c r="OHU269" s="28"/>
      <c r="OHV269" s="28"/>
      <c r="OHW269" s="28"/>
      <c r="OHX269" s="28"/>
      <c r="OHY269" s="28"/>
      <c r="OHZ269" s="28"/>
      <c r="OIA269" s="28"/>
      <c r="OIB269" s="28"/>
      <c r="OIC269" s="28"/>
      <c r="OID269" s="28"/>
      <c r="OIE269" s="28"/>
      <c r="OIF269" s="28"/>
      <c r="OIG269" s="28"/>
      <c r="OIH269" s="28"/>
      <c r="OII269" s="28"/>
      <c r="OIJ269" s="28"/>
      <c r="OIK269" s="28"/>
      <c r="OIL269" s="28"/>
      <c r="OIM269" s="28"/>
      <c r="OIN269" s="28"/>
      <c r="OIO269" s="28"/>
      <c r="OIP269" s="28"/>
      <c r="OIQ269" s="28"/>
      <c r="OIR269" s="28"/>
      <c r="OIS269" s="28"/>
      <c r="OIT269" s="28"/>
      <c r="OIU269" s="28"/>
      <c r="OIV269" s="28"/>
      <c r="OIW269" s="28"/>
      <c r="OIX269" s="28"/>
      <c r="OIY269" s="28"/>
      <c r="OIZ269" s="28"/>
      <c r="OJA269" s="28"/>
      <c r="OJB269" s="28"/>
      <c r="OJC269" s="28"/>
      <c r="OJD269" s="28"/>
      <c r="OJE269" s="28"/>
      <c r="OJF269" s="28"/>
      <c r="OJG269" s="28"/>
      <c r="OJH269" s="28"/>
      <c r="OJI269" s="28"/>
      <c r="OJJ269" s="28"/>
      <c r="OJK269" s="28"/>
      <c r="OJL269" s="28"/>
      <c r="OJM269" s="28"/>
      <c r="OJN269" s="28"/>
      <c r="OJO269" s="28"/>
      <c r="OJP269" s="28"/>
      <c r="OJQ269" s="28"/>
      <c r="OJR269" s="28"/>
      <c r="OJS269" s="28"/>
      <c r="OJT269" s="28"/>
      <c r="OJU269" s="28"/>
      <c r="OJV269" s="28"/>
      <c r="OJW269" s="28"/>
      <c r="OJX269" s="28"/>
      <c r="OJY269" s="28"/>
      <c r="OJZ269" s="28"/>
      <c r="OKA269" s="28"/>
      <c r="OKB269" s="28"/>
      <c r="OKC269" s="28"/>
      <c r="OKD269" s="28"/>
      <c r="OKE269" s="28"/>
      <c r="OKF269" s="28"/>
      <c r="OKG269" s="28"/>
      <c r="OKH269" s="28"/>
      <c r="OKI269" s="28"/>
      <c r="OKJ269" s="28"/>
      <c r="OKK269" s="28"/>
      <c r="OKL269" s="28"/>
      <c r="OKM269" s="28"/>
      <c r="OKN269" s="28"/>
      <c r="OKO269" s="28"/>
      <c r="OKP269" s="28"/>
      <c r="OKQ269" s="28"/>
      <c r="OKR269" s="28"/>
      <c r="OKS269" s="28"/>
      <c r="OKT269" s="28"/>
      <c r="OKU269" s="28"/>
      <c r="OKV269" s="28"/>
      <c r="OKW269" s="28"/>
      <c r="OKX269" s="28"/>
      <c r="OKY269" s="28"/>
      <c r="OKZ269" s="28"/>
      <c r="OLA269" s="28"/>
      <c r="OLB269" s="28"/>
      <c r="OLC269" s="28"/>
      <c r="OLD269" s="28"/>
      <c r="OLE269" s="28"/>
      <c r="OLF269" s="28"/>
      <c r="OLG269" s="28"/>
      <c r="OLH269" s="28"/>
      <c r="OLI269" s="28"/>
      <c r="OLJ269" s="28"/>
      <c r="OLK269" s="28"/>
      <c r="OLL269" s="28"/>
      <c r="OLM269" s="28"/>
      <c r="OLN269" s="28"/>
      <c r="OLO269" s="28"/>
      <c r="OLP269" s="28"/>
      <c r="OLQ269" s="28"/>
      <c r="OLR269" s="28"/>
      <c r="OLS269" s="28"/>
      <c r="OLT269" s="28"/>
      <c r="OLU269" s="28"/>
      <c r="OLV269" s="28"/>
      <c r="OLW269" s="28"/>
      <c r="OLX269" s="28"/>
      <c r="OLY269" s="28"/>
      <c r="OLZ269" s="28"/>
      <c r="OMA269" s="28"/>
      <c r="OMB269" s="28"/>
      <c r="OMC269" s="28"/>
      <c r="OMD269" s="28"/>
      <c r="OME269" s="28"/>
      <c r="OMF269" s="28"/>
      <c r="OMG269" s="28"/>
      <c r="OMH269" s="28"/>
      <c r="OMI269" s="28"/>
      <c r="OMJ269" s="28"/>
      <c r="OMK269" s="28"/>
      <c r="OML269" s="28"/>
      <c r="OMM269" s="28"/>
      <c r="OMN269" s="28"/>
      <c r="OMO269" s="28"/>
      <c r="OMP269" s="28"/>
      <c r="OMQ269" s="28"/>
      <c r="OMR269" s="28"/>
      <c r="OMS269" s="28"/>
      <c r="OMT269" s="28"/>
      <c r="OMU269" s="28"/>
      <c r="OMV269" s="28"/>
      <c r="OMW269" s="28"/>
      <c r="OMX269" s="28"/>
      <c r="OMY269" s="28"/>
      <c r="OMZ269" s="28"/>
      <c r="ONA269" s="28"/>
      <c r="ONB269" s="28"/>
      <c r="ONC269" s="28"/>
      <c r="OND269" s="28"/>
      <c r="ONE269" s="28"/>
      <c r="ONF269" s="28"/>
      <c r="ONG269" s="28"/>
      <c r="ONH269" s="28"/>
      <c r="ONI269" s="28"/>
      <c r="ONJ269" s="28"/>
      <c r="ONK269" s="28"/>
      <c r="ONL269" s="28"/>
      <c r="ONM269" s="28"/>
      <c r="ONN269" s="28"/>
      <c r="ONO269" s="28"/>
      <c r="ONP269" s="28"/>
      <c r="ONQ269" s="28"/>
      <c r="ONR269" s="28"/>
      <c r="ONS269" s="28"/>
      <c r="ONT269" s="28"/>
      <c r="ONU269" s="28"/>
      <c r="ONV269" s="28"/>
      <c r="ONW269" s="28"/>
      <c r="ONX269" s="28"/>
      <c r="ONY269" s="28"/>
      <c r="ONZ269" s="28"/>
      <c r="OOA269" s="28"/>
      <c r="OOB269" s="28"/>
      <c r="OOC269" s="28"/>
      <c r="OOD269" s="28"/>
      <c r="OOE269" s="28"/>
      <c r="OOF269" s="28"/>
      <c r="OOG269" s="28"/>
      <c r="OOH269" s="28"/>
      <c r="OOI269" s="28"/>
      <c r="OOJ269" s="28"/>
      <c r="OOK269" s="28"/>
      <c r="OOL269" s="28"/>
      <c r="OOM269" s="28"/>
      <c r="OON269" s="28"/>
      <c r="OOO269" s="28"/>
      <c r="OOP269" s="28"/>
      <c r="OOQ269" s="28"/>
      <c r="OOR269" s="28"/>
      <c r="OOS269" s="28"/>
      <c r="OOT269" s="28"/>
      <c r="OOU269" s="28"/>
      <c r="OOV269" s="28"/>
      <c r="OOW269" s="28"/>
      <c r="OOX269" s="28"/>
      <c r="OOY269" s="28"/>
      <c r="OOZ269" s="28"/>
      <c r="OPA269" s="28"/>
      <c r="OPB269" s="28"/>
      <c r="OPC269" s="28"/>
      <c r="OPD269" s="28"/>
      <c r="OPE269" s="28"/>
      <c r="OPF269" s="28"/>
      <c r="OPG269" s="28"/>
      <c r="OPH269" s="28"/>
      <c r="OPI269" s="28"/>
      <c r="OPJ269" s="28"/>
      <c r="OPK269" s="28"/>
      <c r="OPL269" s="28"/>
      <c r="OPM269" s="28"/>
      <c r="OPN269" s="28"/>
      <c r="OPO269" s="28"/>
      <c r="OPP269" s="28"/>
      <c r="OPQ269" s="28"/>
      <c r="OPR269" s="28"/>
      <c r="OPS269" s="28"/>
      <c r="OPT269" s="28"/>
      <c r="OPU269" s="28"/>
      <c r="OPV269" s="28"/>
      <c r="OPW269" s="28"/>
      <c r="OPX269" s="28"/>
      <c r="OPY269" s="28"/>
      <c r="OPZ269" s="28"/>
      <c r="OQA269" s="28"/>
      <c r="OQB269" s="28"/>
      <c r="OQC269" s="28"/>
      <c r="OQD269" s="28"/>
      <c r="OQE269" s="28"/>
      <c r="OQF269" s="28"/>
      <c r="OQG269" s="28"/>
      <c r="OQH269" s="28"/>
      <c r="OQI269" s="28"/>
      <c r="OQJ269" s="28"/>
      <c r="OQK269" s="28"/>
      <c r="OQL269" s="28"/>
      <c r="OQM269" s="28"/>
      <c r="OQN269" s="28"/>
      <c r="OQO269" s="28"/>
      <c r="OQP269" s="28"/>
      <c r="OQQ269" s="28"/>
      <c r="OQR269" s="28"/>
      <c r="OQS269" s="28"/>
      <c r="OQT269" s="28"/>
      <c r="OQU269" s="28"/>
      <c r="OQV269" s="28"/>
      <c r="OQW269" s="28"/>
      <c r="OQX269" s="28"/>
      <c r="OQY269" s="28"/>
      <c r="OQZ269" s="28"/>
      <c r="ORA269" s="28"/>
      <c r="ORB269" s="28"/>
      <c r="ORC269" s="28"/>
      <c r="ORD269" s="28"/>
      <c r="ORE269" s="28"/>
      <c r="ORF269" s="28"/>
      <c r="ORG269" s="28"/>
      <c r="ORH269" s="28"/>
      <c r="ORI269" s="28"/>
      <c r="ORJ269" s="28"/>
      <c r="ORK269" s="28"/>
      <c r="ORL269" s="28"/>
      <c r="ORM269" s="28"/>
      <c r="ORN269" s="28"/>
      <c r="ORO269" s="28"/>
      <c r="ORP269" s="28"/>
      <c r="ORQ269" s="28"/>
      <c r="ORR269" s="28"/>
      <c r="ORS269" s="28"/>
      <c r="ORT269" s="28"/>
      <c r="ORU269" s="28"/>
      <c r="ORV269" s="28"/>
      <c r="ORW269" s="28"/>
      <c r="ORX269" s="28"/>
      <c r="ORY269" s="28"/>
      <c r="ORZ269" s="28"/>
      <c r="OSA269" s="28"/>
      <c r="OSB269" s="28"/>
      <c r="OSC269" s="28"/>
      <c r="OSD269" s="28"/>
      <c r="OSE269" s="28"/>
      <c r="OSF269" s="28"/>
      <c r="OSG269" s="28"/>
      <c r="OSH269" s="28"/>
      <c r="OSI269" s="28"/>
      <c r="OSJ269" s="28"/>
      <c r="OSK269" s="28"/>
      <c r="OSL269" s="28"/>
      <c r="OSM269" s="28"/>
      <c r="OSN269" s="28"/>
      <c r="OSO269" s="28"/>
      <c r="OSP269" s="28"/>
      <c r="OSQ269" s="28"/>
      <c r="OSR269" s="28"/>
      <c r="OSS269" s="28"/>
      <c r="OST269" s="28"/>
      <c r="OSU269" s="28"/>
      <c r="OSV269" s="28"/>
      <c r="OSW269" s="28"/>
      <c r="OSX269" s="28"/>
      <c r="OSY269" s="28"/>
      <c r="OSZ269" s="28"/>
      <c r="OTA269" s="28"/>
      <c r="OTB269" s="28"/>
      <c r="OTC269" s="28"/>
      <c r="OTD269" s="28"/>
      <c r="OTE269" s="28"/>
      <c r="OTF269" s="28"/>
      <c r="OTG269" s="28"/>
      <c r="OTH269" s="28"/>
      <c r="OTI269" s="28"/>
      <c r="OTJ269" s="28"/>
      <c r="OTK269" s="28"/>
      <c r="OTL269" s="28"/>
      <c r="OTM269" s="28"/>
      <c r="OTN269" s="28"/>
      <c r="OTO269" s="28"/>
      <c r="OTP269" s="28"/>
      <c r="OTQ269" s="28"/>
      <c r="OTR269" s="28"/>
      <c r="OTS269" s="28"/>
      <c r="OTT269" s="28"/>
      <c r="OTU269" s="28"/>
      <c r="OTV269" s="28"/>
      <c r="OTW269" s="28"/>
      <c r="OTX269" s="28"/>
      <c r="OTY269" s="28"/>
      <c r="OTZ269" s="28"/>
      <c r="OUA269" s="28"/>
      <c r="OUB269" s="28"/>
      <c r="OUC269" s="28"/>
      <c r="OUD269" s="28"/>
      <c r="OUE269" s="28"/>
      <c r="OUF269" s="28"/>
      <c r="OUG269" s="28"/>
      <c r="OUH269" s="28"/>
      <c r="OUI269" s="28"/>
      <c r="OUJ269" s="28"/>
      <c r="OUK269" s="28"/>
      <c r="OUL269" s="28"/>
      <c r="OUM269" s="28"/>
      <c r="OUN269" s="28"/>
      <c r="OUO269" s="28"/>
      <c r="OUP269" s="28"/>
      <c r="OUQ269" s="28"/>
      <c r="OUR269" s="28"/>
      <c r="OUS269" s="28"/>
      <c r="OUT269" s="28"/>
      <c r="OUU269" s="28"/>
      <c r="OUV269" s="28"/>
      <c r="OUW269" s="28"/>
      <c r="OUX269" s="28"/>
      <c r="OUY269" s="28"/>
      <c r="OUZ269" s="28"/>
      <c r="OVA269" s="28"/>
      <c r="OVB269" s="28"/>
      <c r="OVC269" s="28"/>
      <c r="OVD269" s="28"/>
      <c r="OVE269" s="28"/>
      <c r="OVF269" s="28"/>
      <c r="OVG269" s="28"/>
      <c r="OVH269" s="28"/>
      <c r="OVI269" s="28"/>
      <c r="OVJ269" s="28"/>
      <c r="OVK269" s="28"/>
      <c r="OVL269" s="28"/>
      <c r="OVM269" s="28"/>
      <c r="OVN269" s="28"/>
      <c r="OVO269" s="28"/>
      <c r="OVP269" s="28"/>
      <c r="OVQ269" s="28"/>
      <c r="OVR269" s="28"/>
      <c r="OVS269" s="28"/>
      <c r="OVT269" s="28"/>
      <c r="OVU269" s="28"/>
      <c r="OVV269" s="28"/>
      <c r="OVW269" s="28"/>
      <c r="OVX269" s="28"/>
      <c r="OVY269" s="28"/>
      <c r="OVZ269" s="28"/>
      <c r="OWA269" s="28"/>
      <c r="OWB269" s="28"/>
      <c r="OWC269" s="28"/>
      <c r="OWD269" s="28"/>
      <c r="OWE269" s="28"/>
      <c r="OWF269" s="28"/>
      <c r="OWG269" s="28"/>
      <c r="OWH269" s="28"/>
      <c r="OWI269" s="28"/>
      <c r="OWJ269" s="28"/>
      <c r="OWK269" s="28"/>
      <c r="OWL269" s="28"/>
      <c r="OWM269" s="28"/>
      <c r="OWN269" s="28"/>
      <c r="OWO269" s="28"/>
      <c r="OWP269" s="28"/>
      <c r="OWQ269" s="28"/>
      <c r="OWR269" s="28"/>
      <c r="OWS269" s="28"/>
      <c r="OWT269" s="28"/>
      <c r="OWU269" s="28"/>
      <c r="OWV269" s="28"/>
      <c r="OWW269" s="28"/>
      <c r="OWX269" s="28"/>
      <c r="OWY269" s="28"/>
      <c r="OWZ269" s="28"/>
      <c r="OXA269" s="28"/>
      <c r="OXB269" s="28"/>
      <c r="OXC269" s="28"/>
      <c r="OXD269" s="28"/>
      <c r="OXE269" s="28"/>
      <c r="OXF269" s="28"/>
      <c r="OXG269" s="28"/>
      <c r="OXH269" s="28"/>
      <c r="OXI269" s="28"/>
      <c r="OXJ269" s="28"/>
      <c r="OXK269" s="28"/>
      <c r="OXL269" s="28"/>
      <c r="OXM269" s="28"/>
      <c r="OXN269" s="28"/>
      <c r="OXO269" s="28"/>
      <c r="OXP269" s="28"/>
      <c r="OXQ269" s="28"/>
      <c r="OXR269" s="28"/>
      <c r="OXS269" s="28"/>
      <c r="OXT269" s="28"/>
      <c r="OXU269" s="28"/>
      <c r="OXV269" s="28"/>
      <c r="OXW269" s="28"/>
      <c r="OXX269" s="28"/>
      <c r="OXY269" s="28"/>
      <c r="OXZ269" s="28"/>
      <c r="OYA269" s="28"/>
      <c r="OYB269" s="28"/>
      <c r="OYC269" s="28"/>
      <c r="OYD269" s="28"/>
      <c r="OYE269" s="28"/>
      <c r="OYF269" s="28"/>
      <c r="OYG269" s="28"/>
      <c r="OYH269" s="28"/>
      <c r="OYI269" s="28"/>
      <c r="OYJ269" s="28"/>
      <c r="OYK269" s="28"/>
      <c r="OYL269" s="28"/>
      <c r="OYM269" s="28"/>
      <c r="OYN269" s="28"/>
      <c r="OYO269" s="28"/>
      <c r="OYP269" s="28"/>
      <c r="OYQ269" s="28"/>
      <c r="OYR269" s="28"/>
      <c r="OYS269" s="28"/>
      <c r="OYT269" s="28"/>
      <c r="OYU269" s="28"/>
      <c r="OYV269" s="28"/>
      <c r="OYW269" s="28"/>
      <c r="OYX269" s="28"/>
      <c r="OYY269" s="28"/>
      <c r="OYZ269" s="28"/>
      <c r="OZA269" s="28"/>
      <c r="OZB269" s="28"/>
      <c r="OZC269" s="28"/>
      <c r="OZD269" s="28"/>
      <c r="OZE269" s="28"/>
      <c r="OZF269" s="28"/>
      <c r="OZG269" s="28"/>
      <c r="OZH269" s="28"/>
      <c r="OZI269" s="28"/>
      <c r="OZJ269" s="28"/>
      <c r="OZK269" s="28"/>
      <c r="OZL269" s="28"/>
      <c r="OZM269" s="28"/>
      <c r="OZN269" s="28"/>
      <c r="OZO269" s="28"/>
      <c r="OZP269" s="28"/>
      <c r="OZQ269" s="28"/>
      <c r="OZR269" s="28"/>
      <c r="OZS269" s="28"/>
      <c r="OZT269" s="28"/>
      <c r="OZU269" s="28"/>
      <c r="OZV269" s="28"/>
      <c r="OZW269" s="28"/>
      <c r="OZX269" s="28"/>
      <c r="OZY269" s="28"/>
      <c r="OZZ269" s="28"/>
      <c r="PAA269" s="28"/>
      <c r="PAB269" s="28"/>
      <c r="PAC269" s="28"/>
      <c r="PAD269" s="28"/>
      <c r="PAE269" s="28"/>
      <c r="PAF269" s="28"/>
      <c r="PAG269" s="28"/>
      <c r="PAH269" s="28"/>
      <c r="PAI269" s="28"/>
      <c r="PAJ269" s="28"/>
      <c r="PAK269" s="28"/>
      <c r="PAL269" s="28"/>
      <c r="PAM269" s="28"/>
      <c r="PAN269" s="28"/>
      <c r="PAO269" s="28"/>
      <c r="PAP269" s="28"/>
      <c r="PAQ269" s="28"/>
      <c r="PAR269" s="28"/>
      <c r="PAS269" s="28"/>
      <c r="PAT269" s="28"/>
      <c r="PAU269" s="28"/>
      <c r="PAV269" s="28"/>
      <c r="PAW269" s="28"/>
      <c r="PAX269" s="28"/>
      <c r="PAY269" s="28"/>
      <c r="PAZ269" s="28"/>
      <c r="PBA269" s="28"/>
      <c r="PBB269" s="28"/>
      <c r="PBC269" s="28"/>
      <c r="PBD269" s="28"/>
      <c r="PBE269" s="28"/>
      <c r="PBF269" s="28"/>
      <c r="PBG269" s="28"/>
      <c r="PBH269" s="28"/>
      <c r="PBI269" s="28"/>
      <c r="PBJ269" s="28"/>
      <c r="PBK269" s="28"/>
      <c r="PBL269" s="28"/>
      <c r="PBM269" s="28"/>
      <c r="PBN269" s="28"/>
      <c r="PBO269" s="28"/>
      <c r="PBP269" s="28"/>
      <c r="PBQ269" s="28"/>
      <c r="PBR269" s="28"/>
      <c r="PBS269" s="28"/>
      <c r="PBT269" s="28"/>
      <c r="PBU269" s="28"/>
      <c r="PBV269" s="28"/>
      <c r="PBW269" s="28"/>
      <c r="PBX269" s="28"/>
      <c r="PBY269" s="28"/>
      <c r="PBZ269" s="28"/>
      <c r="PCA269" s="28"/>
      <c r="PCB269" s="28"/>
      <c r="PCC269" s="28"/>
      <c r="PCD269" s="28"/>
      <c r="PCE269" s="28"/>
      <c r="PCF269" s="28"/>
      <c r="PCG269" s="28"/>
      <c r="PCH269" s="28"/>
      <c r="PCI269" s="28"/>
      <c r="PCJ269" s="28"/>
      <c r="PCK269" s="28"/>
      <c r="PCL269" s="28"/>
      <c r="PCM269" s="28"/>
      <c r="PCN269" s="28"/>
      <c r="PCO269" s="28"/>
      <c r="PCP269" s="28"/>
      <c r="PCQ269" s="28"/>
      <c r="PCR269" s="28"/>
      <c r="PCS269" s="28"/>
      <c r="PCT269" s="28"/>
      <c r="PCU269" s="28"/>
      <c r="PCV269" s="28"/>
      <c r="PCW269" s="28"/>
      <c r="PCX269" s="28"/>
      <c r="PCY269" s="28"/>
      <c r="PCZ269" s="28"/>
      <c r="PDA269" s="28"/>
      <c r="PDB269" s="28"/>
      <c r="PDC269" s="28"/>
      <c r="PDD269" s="28"/>
      <c r="PDE269" s="28"/>
      <c r="PDF269" s="28"/>
      <c r="PDG269" s="28"/>
      <c r="PDH269" s="28"/>
      <c r="PDI269" s="28"/>
      <c r="PDJ269" s="28"/>
      <c r="PDK269" s="28"/>
      <c r="PDL269" s="28"/>
      <c r="PDM269" s="28"/>
      <c r="PDN269" s="28"/>
      <c r="PDO269" s="28"/>
      <c r="PDP269" s="28"/>
      <c r="PDQ269" s="28"/>
      <c r="PDR269" s="28"/>
      <c r="PDS269" s="28"/>
      <c r="PDT269" s="28"/>
      <c r="PDU269" s="28"/>
      <c r="PDV269" s="28"/>
      <c r="PDW269" s="28"/>
      <c r="PDX269" s="28"/>
      <c r="PDY269" s="28"/>
      <c r="PDZ269" s="28"/>
      <c r="PEA269" s="28"/>
      <c r="PEB269" s="28"/>
      <c r="PEC269" s="28"/>
      <c r="PED269" s="28"/>
      <c r="PEE269" s="28"/>
      <c r="PEF269" s="28"/>
      <c r="PEG269" s="28"/>
      <c r="PEH269" s="28"/>
      <c r="PEI269" s="28"/>
      <c r="PEJ269" s="28"/>
      <c r="PEK269" s="28"/>
      <c r="PEL269" s="28"/>
      <c r="PEM269" s="28"/>
      <c r="PEN269" s="28"/>
      <c r="PEO269" s="28"/>
      <c r="PEP269" s="28"/>
      <c r="PEQ269" s="28"/>
      <c r="PER269" s="28"/>
      <c r="PES269" s="28"/>
      <c r="PET269" s="28"/>
      <c r="PEU269" s="28"/>
      <c r="PEV269" s="28"/>
      <c r="PEW269" s="28"/>
      <c r="PEX269" s="28"/>
      <c r="PEY269" s="28"/>
      <c r="PEZ269" s="28"/>
      <c r="PFA269" s="28"/>
      <c r="PFB269" s="28"/>
      <c r="PFC269" s="28"/>
      <c r="PFD269" s="28"/>
      <c r="PFE269" s="28"/>
      <c r="PFF269" s="28"/>
      <c r="PFG269" s="28"/>
      <c r="PFH269" s="28"/>
      <c r="PFI269" s="28"/>
      <c r="PFJ269" s="28"/>
      <c r="PFK269" s="28"/>
      <c r="PFL269" s="28"/>
      <c r="PFM269" s="28"/>
      <c r="PFN269" s="28"/>
      <c r="PFO269" s="28"/>
      <c r="PFP269" s="28"/>
      <c r="PFQ269" s="28"/>
      <c r="PFR269" s="28"/>
      <c r="PFS269" s="28"/>
      <c r="PFT269" s="28"/>
      <c r="PFU269" s="28"/>
      <c r="PFV269" s="28"/>
      <c r="PFW269" s="28"/>
      <c r="PFX269" s="28"/>
      <c r="PFY269" s="28"/>
      <c r="PFZ269" s="28"/>
      <c r="PGA269" s="28"/>
      <c r="PGB269" s="28"/>
      <c r="PGC269" s="28"/>
      <c r="PGD269" s="28"/>
      <c r="PGE269" s="28"/>
      <c r="PGF269" s="28"/>
      <c r="PGG269" s="28"/>
      <c r="PGH269" s="28"/>
      <c r="PGI269" s="28"/>
      <c r="PGJ269" s="28"/>
      <c r="PGK269" s="28"/>
      <c r="PGL269" s="28"/>
      <c r="PGM269" s="28"/>
      <c r="PGN269" s="28"/>
      <c r="PGO269" s="28"/>
      <c r="PGP269" s="28"/>
      <c r="PGQ269" s="28"/>
      <c r="PGR269" s="28"/>
      <c r="PGS269" s="28"/>
      <c r="PGT269" s="28"/>
      <c r="PGU269" s="28"/>
      <c r="PGV269" s="28"/>
      <c r="PGW269" s="28"/>
      <c r="PGX269" s="28"/>
      <c r="PGY269" s="28"/>
      <c r="PGZ269" s="28"/>
      <c r="PHA269" s="28"/>
      <c r="PHB269" s="28"/>
      <c r="PHC269" s="28"/>
      <c r="PHD269" s="28"/>
      <c r="PHE269" s="28"/>
      <c r="PHF269" s="28"/>
      <c r="PHG269" s="28"/>
      <c r="PHH269" s="28"/>
      <c r="PHI269" s="28"/>
      <c r="PHJ269" s="28"/>
      <c r="PHK269" s="28"/>
      <c r="PHL269" s="28"/>
      <c r="PHM269" s="28"/>
      <c r="PHN269" s="28"/>
      <c r="PHO269" s="28"/>
      <c r="PHP269" s="28"/>
      <c r="PHQ269" s="28"/>
      <c r="PHR269" s="28"/>
      <c r="PHS269" s="28"/>
      <c r="PHT269" s="28"/>
      <c r="PHU269" s="28"/>
      <c r="PHV269" s="28"/>
      <c r="PHW269" s="28"/>
      <c r="PHX269" s="28"/>
      <c r="PHY269" s="28"/>
      <c r="PHZ269" s="28"/>
      <c r="PIA269" s="28"/>
      <c r="PIB269" s="28"/>
      <c r="PIC269" s="28"/>
      <c r="PID269" s="28"/>
      <c r="PIE269" s="28"/>
      <c r="PIF269" s="28"/>
      <c r="PIG269" s="28"/>
      <c r="PIH269" s="28"/>
      <c r="PII269" s="28"/>
      <c r="PIJ269" s="28"/>
      <c r="PIK269" s="28"/>
      <c r="PIL269" s="28"/>
      <c r="PIM269" s="28"/>
      <c r="PIN269" s="28"/>
      <c r="PIO269" s="28"/>
      <c r="PIP269" s="28"/>
      <c r="PIQ269" s="28"/>
      <c r="PIR269" s="28"/>
      <c r="PIS269" s="28"/>
      <c r="PIT269" s="28"/>
      <c r="PIU269" s="28"/>
      <c r="PIV269" s="28"/>
      <c r="PIW269" s="28"/>
      <c r="PIX269" s="28"/>
      <c r="PIY269" s="28"/>
      <c r="PIZ269" s="28"/>
      <c r="PJA269" s="28"/>
      <c r="PJB269" s="28"/>
      <c r="PJC269" s="28"/>
      <c r="PJD269" s="28"/>
      <c r="PJE269" s="28"/>
      <c r="PJF269" s="28"/>
      <c r="PJG269" s="28"/>
      <c r="PJH269" s="28"/>
      <c r="PJI269" s="28"/>
      <c r="PJJ269" s="28"/>
      <c r="PJK269" s="28"/>
      <c r="PJL269" s="28"/>
      <c r="PJM269" s="28"/>
      <c r="PJN269" s="28"/>
      <c r="PJO269" s="28"/>
      <c r="PJP269" s="28"/>
      <c r="PJQ269" s="28"/>
      <c r="PJR269" s="28"/>
      <c r="PJS269" s="28"/>
      <c r="PJT269" s="28"/>
      <c r="PJU269" s="28"/>
      <c r="PJV269" s="28"/>
      <c r="PJW269" s="28"/>
      <c r="PJX269" s="28"/>
      <c r="PJY269" s="28"/>
      <c r="PJZ269" s="28"/>
      <c r="PKA269" s="28"/>
      <c r="PKB269" s="28"/>
      <c r="PKC269" s="28"/>
      <c r="PKD269" s="28"/>
      <c r="PKE269" s="28"/>
      <c r="PKF269" s="28"/>
      <c r="PKG269" s="28"/>
      <c r="PKH269" s="28"/>
      <c r="PKI269" s="28"/>
      <c r="PKJ269" s="28"/>
      <c r="PKK269" s="28"/>
      <c r="PKL269" s="28"/>
      <c r="PKM269" s="28"/>
      <c r="PKN269" s="28"/>
      <c r="PKO269" s="28"/>
      <c r="PKP269" s="28"/>
      <c r="PKQ269" s="28"/>
      <c r="PKR269" s="28"/>
      <c r="PKS269" s="28"/>
      <c r="PKT269" s="28"/>
      <c r="PKU269" s="28"/>
      <c r="PKV269" s="28"/>
      <c r="PKW269" s="28"/>
      <c r="PKX269" s="28"/>
      <c r="PKY269" s="28"/>
      <c r="PKZ269" s="28"/>
      <c r="PLA269" s="28"/>
      <c r="PLB269" s="28"/>
      <c r="PLC269" s="28"/>
      <c r="PLD269" s="28"/>
      <c r="PLE269" s="28"/>
      <c r="PLF269" s="28"/>
      <c r="PLG269" s="28"/>
      <c r="PLH269" s="28"/>
      <c r="PLI269" s="28"/>
      <c r="PLJ269" s="28"/>
      <c r="PLK269" s="28"/>
      <c r="PLL269" s="28"/>
      <c r="PLM269" s="28"/>
      <c r="PLN269" s="28"/>
      <c r="PLO269" s="28"/>
      <c r="PLP269" s="28"/>
      <c r="PLQ269" s="28"/>
      <c r="PLR269" s="28"/>
      <c r="PLS269" s="28"/>
      <c r="PLT269" s="28"/>
      <c r="PLU269" s="28"/>
      <c r="PLV269" s="28"/>
      <c r="PLW269" s="28"/>
      <c r="PLX269" s="28"/>
      <c r="PLY269" s="28"/>
      <c r="PLZ269" s="28"/>
      <c r="PMA269" s="28"/>
      <c r="PMB269" s="28"/>
      <c r="PMC269" s="28"/>
      <c r="PMD269" s="28"/>
      <c r="PME269" s="28"/>
      <c r="PMF269" s="28"/>
      <c r="PMG269" s="28"/>
      <c r="PMH269" s="28"/>
      <c r="PMI269" s="28"/>
      <c r="PMJ269" s="28"/>
      <c r="PMK269" s="28"/>
      <c r="PML269" s="28"/>
      <c r="PMM269" s="28"/>
      <c r="PMN269" s="28"/>
      <c r="PMO269" s="28"/>
      <c r="PMP269" s="28"/>
      <c r="PMQ269" s="28"/>
      <c r="PMR269" s="28"/>
      <c r="PMS269" s="28"/>
      <c r="PMT269" s="28"/>
      <c r="PMU269" s="28"/>
      <c r="PMV269" s="28"/>
      <c r="PMW269" s="28"/>
      <c r="PMX269" s="28"/>
      <c r="PMY269" s="28"/>
      <c r="PMZ269" s="28"/>
      <c r="PNA269" s="28"/>
      <c r="PNB269" s="28"/>
      <c r="PNC269" s="28"/>
      <c r="PND269" s="28"/>
      <c r="PNE269" s="28"/>
      <c r="PNF269" s="28"/>
      <c r="PNG269" s="28"/>
      <c r="PNH269" s="28"/>
      <c r="PNI269" s="28"/>
      <c r="PNJ269" s="28"/>
      <c r="PNK269" s="28"/>
      <c r="PNL269" s="28"/>
      <c r="PNM269" s="28"/>
      <c r="PNN269" s="28"/>
      <c r="PNO269" s="28"/>
      <c r="PNP269" s="28"/>
      <c r="PNQ269" s="28"/>
      <c r="PNR269" s="28"/>
      <c r="PNS269" s="28"/>
      <c r="PNT269" s="28"/>
      <c r="PNU269" s="28"/>
      <c r="PNV269" s="28"/>
      <c r="PNW269" s="28"/>
      <c r="PNX269" s="28"/>
      <c r="PNY269" s="28"/>
      <c r="PNZ269" s="28"/>
      <c r="POA269" s="28"/>
      <c r="POB269" s="28"/>
      <c r="POC269" s="28"/>
      <c r="POD269" s="28"/>
      <c r="POE269" s="28"/>
      <c r="POF269" s="28"/>
      <c r="POG269" s="28"/>
      <c r="POH269" s="28"/>
      <c r="POI269" s="28"/>
      <c r="POJ269" s="28"/>
      <c r="POK269" s="28"/>
      <c r="POL269" s="28"/>
      <c r="POM269" s="28"/>
      <c r="PON269" s="28"/>
      <c r="POO269" s="28"/>
      <c r="POP269" s="28"/>
      <c r="POQ269" s="28"/>
      <c r="POR269" s="28"/>
      <c r="POS269" s="28"/>
      <c r="POT269" s="28"/>
      <c r="POU269" s="28"/>
      <c r="POV269" s="28"/>
      <c r="POW269" s="28"/>
      <c r="POX269" s="28"/>
      <c r="POY269" s="28"/>
      <c r="POZ269" s="28"/>
      <c r="PPA269" s="28"/>
      <c r="PPB269" s="28"/>
      <c r="PPC269" s="28"/>
      <c r="PPD269" s="28"/>
      <c r="PPE269" s="28"/>
      <c r="PPF269" s="28"/>
      <c r="PPG269" s="28"/>
      <c r="PPH269" s="28"/>
      <c r="PPI269" s="28"/>
      <c r="PPJ269" s="28"/>
      <c r="PPK269" s="28"/>
      <c r="PPL269" s="28"/>
      <c r="PPM269" s="28"/>
      <c r="PPN269" s="28"/>
      <c r="PPO269" s="28"/>
      <c r="PPP269" s="28"/>
      <c r="PPQ269" s="28"/>
      <c r="PPR269" s="28"/>
      <c r="PPS269" s="28"/>
      <c r="PPT269" s="28"/>
      <c r="PPU269" s="28"/>
      <c r="PPV269" s="28"/>
      <c r="PPW269" s="28"/>
      <c r="PPX269" s="28"/>
      <c r="PPY269" s="28"/>
      <c r="PPZ269" s="28"/>
      <c r="PQA269" s="28"/>
      <c r="PQB269" s="28"/>
      <c r="PQC269" s="28"/>
      <c r="PQD269" s="28"/>
      <c r="PQE269" s="28"/>
      <c r="PQF269" s="28"/>
      <c r="PQG269" s="28"/>
      <c r="PQH269" s="28"/>
      <c r="PQI269" s="28"/>
      <c r="PQJ269" s="28"/>
      <c r="PQK269" s="28"/>
      <c r="PQL269" s="28"/>
      <c r="PQM269" s="28"/>
      <c r="PQN269" s="28"/>
      <c r="PQO269" s="28"/>
      <c r="PQP269" s="28"/>
      <c r="PQQ269" s="28"/>
      <c r="PQR269" s="28"/>
      <c r="PQS269" s="28"/>
      <c r="PQT269" s="28"/>
      <c r="PQU269" s="28"/>
      <c r="PQV269" s="28"/>
      <c r="PQW269" s="28"/>
      <c r="PQX269" s="28"/>
      <c r="PQY269" s="28"/>
      <c r="PQZ269" s="28"/>
      <c r="PRA269" s="28"/>
      <c r="PRB269" s="28"/>
      <c r="PRC269" s="28"/>
      <c r="PRD269" s="28"/>
      <c r="PRE269" s="28"/>
      <c r="PRF269" s="28"/>
      <c r="PRG269" s="28"/>
      <c r="PRH269" s="28"/>
      <c r="PRI269" s="28"/>
      <c r="PRJ269" s="28"/>
      <c r="PRK269" s="28"/>
      <c r="PRL269" s="28"/>
      <c r="PRM269" s="28"/>
      <c r="PRN269" s="28"/>
      <c r="PRO269" s="28"/>
      <c r="PRP269" s="28"/>
      <c r="PRQ269" s="28"/>
      <c r="PRR269" s="28"/>
      <c r="PRS269" s="28"/>
      <c r="PRT269" s="28"/>
      <c r="PRU269" s="28"/>
      <c r="PRV269" s="28"/>
      <c r="PRW269" s="28"/>
      <c r="PRX269" s="28"/>
      <c r="PRY269" s="28"/>
      <c r="PRZ269" s="28"/>
      <c r="PSA269" s="28"/>
      <c r="PSB269" s="28"/>
      <c r="PSC269" s="28"/>
      <c r="PSD269" s="28"/>
      <c r="PSE269" s="28"/>
      <c r="PSF269" s="28"/>
      <c r="PSG269" s="28"/>
      <c r="PSH269" s="28"/>
      <c r="PSI269" s="28"/>
      <c r="PSJ269" s="28"/>
      <c r="PSK269" s="28"/>
      <c r="PSL269" s="28"/>
      <c r="PSM269" s="28"/>
      <c r="PSN269" s="28"/>
      <c r="PSO269" s="28"/>
      <c r="PSP269" s="28"/>
      <c r="PSQ269" s="28"/>
      <c r="PSR269" s="28"/>
      <c r="PSS269" s="28"/>
      <c r="PST269" s="28"/>
      <c r="PSU269" s="28"/>
      <c r="PSV269" s="28"/>
      <c r="PSW269" s="28"/>
      <c r="PSX269" s="28"/>
      <c r="PSY269" s="28"/>
      <c r="PSZ269" s="28"/>
      <c r="PTA269" s="28"/>
      <c r="PTB269" s="28"/>
      <c r="PTC269" s="28"/>
      <c r="PTD269" s="28"/>
      <c r="PTE269" s="28"/>
      <c r="PTF269" s="28"/>
      <c r="PTG269" s="28"/>
      <c r="PTH269" s="28"/>
      <c r="PTI269" s="28"/>
      <c r="PTJ269" s="28"/>
      <c r="PTK269" s="28"/>
      <c r="PTL269" s="28"/>
      <c r="PTM269" s="28"/>
      <c r="PTN269" s="28"/>
      <c r="PTO269" s="28"/>
      <c r="PTP269" s="28"/>
      <c r="PTQ269" s="28"/>
      <c r="PTR269" s="28"/>
      <c r="PTS269" s="28"/>
      <c r="PTT269" s="28"/>
      <c r="PTU269" s="28"/>
      <c r="PTV269" s="28"/>
      <c r="PTW269" s="28"/>
      <c r="PTX269" s="28"/>
      <c r="PTY269" s="28"/>
      <c r="PTZ269" s="28"/>
      <c r="PUA269" s="28"/>
      <c r="PUB269" s="28"/>
      <c r="PUC269" s="28"/>
      <c r="PUD269" s="28"/>
      <c r="PUE269" s="28"/>
      <c r="PUF269" s="28"/>
      <c r="PUG269" s="28"/>
      <c r="PUH269" s="28"/>
      <c r="PUI269" s="28"/>
      <c r="PUJ269" s="28"/>
      <c r="PUK269" s="28"/>
      <c r="PUL269" s="28"/>
      <c r="PUM269" s="28"/>
      <c r="PUN269" s="28"/>
      <c r="PUO269" s="28"/>
      <c r="PUP269" s="28"/>
      <c r="PUQ269" s="28"/>
      <c r="PUR269" s="28"/>
      <c r="PUS269" s="28"/>
      <c r="PUT269" s="28"/>
      <c r="PUU269" s="28"/>
      <c r="PUV269" s="28"/>
      <c r="PUW269" s="28"/>
      <c r="PUX269" s="28"/>
      <c r="PUY269" s="28"/>
      <c r="PUZ269" s="28"/>
      <c r="PVA269" s="28"/>
      <c r="PVB269" s="28"/>
      <c r="PVC269" s="28"/>
      <c r="PVD269" s="28"/>
      <c r="PVE269" s="28"/>
      <c r="PVF269" s="28"/>
      <c r="PVG269" s="28"/>
      <c r="PVH269" s="28"/>
      <c r="PVI269" s="28"/>
      <c r="PVJ269" s="28"/>
      <c r="PVK269" s="28"/>
      <c r="PVL269" s="28"/>
      <c r="PVM269" s="28"/>
      <c r="PVN269" s="28"/>
      <c r="PVO269" s="28"/>
      <c r="PVP269" s="28"/>
      <c r="PVQ269" s="28"/>
      <c r="PVR269" s="28"/>
      <c r="PVS269" s="28"/>
      <c r="PVT269" s="28"/>
      <c r="PVU269" s="28"/>
      <c r="PVV269" s="28"/>
      <c r="PVW269" s="28"/>
      <c r="PVX269" s="28"/>
      <c r="PVY269" s="28"/>
      <c r="PVZ269" s="28"/>
      <c r="PWA269" s="28"/>
      <c r="PWB269" s="28"/>
      <c r="PWC269" s="28"/>
      <c r="PWD269" s="28"/>
      <c r="PWE269" s="28"/>
      <c r="PWF269" s="28"/>
      <c r="PWG269" s="28"/>
      <c r="PWH269" s="28"/>
      <c r="PWI269" s="28"/>
      <c r="PWJ269" s="28"/>
      <c r="PWK269" s="28"/>
      <c r="PWL269" s="28"/>
      <c r="PWM269" s="28"/>
      <c r="PWN269" s="28"/>
      <c r="PWO269" s="28"/>
      <c r="PWP269" s="28"/>
      <c r="PWQ269" s="28"/>
      <c r="PWR269" s="28"/>
      <c r="PWS269" s="28"/>
      <c r="PWT269" s="28"/>
      <c r="PWU269" s="28"/>
      <c r="PWV269" s="28"/>
      <c r="PWW269" s="28"/>
      <c r="PWX269" s="28"/>
      <c r="PWY269" s="28"/>
      <c r="PWZ269" s="28"/>
      <c r="PXA269" s="28"/>
      <c r="PXB269" s="28"/>
      <c r="PXC269" s="28"/>
      <c r="PXD269" s="28"/>
      <c r="PXE269" s="28"/>
      <c r="PXF269" s="28"/>
      <c r="PXG269" s="28"/>
      <c r="PXH269" s="28"/>
      <c r="PXI269" s="28"/>
      <c r="PXJ269" s="28"/>
      <c r="PXK269" s="28"/>
      <c r="PXL269" s="28"/>
      <c r="PXM269" s="28"/>
      <c r="PXN269" s="28"/>
      <c r="PXO269" s="28"/>
      <c r="PXP269" s="28"/>
      <c r="PXQ269" s="28"/>
      <c r="PXR269" s="28"/>
      <c r="PXS269" s="28"/>
      <c r="PXT269" s="28"/>
      <c r="PXU269" s="28"/>
      <c r="PXV269" s="28"/>
      <c r="PXW269" s="28"/>
      <c r="PXX269" s="28"/>
      <c r="PXY269" s="28"/>
      <c r="PXZ269" s="28"/>
      <c r="PYA269" s="28"/>
      <c r="PYB269" s="28"/>
      <c r="PYC269" s="28"/>
      <c r="PYD269" s="28"/>
      <c r="PYE269" s="28"/>
      <c r="PYF269" s="28"/>
      <c r="PYG269" s="28"/>
      <c r="PYH269" s="28"/>
      <c r="PYI269" s="28"/>
      <c r="PYJ269" s="28"/>
      <c r="PYK269" s="28"/>
      <c r="PYL269" s="28"/>
      <c r="PYM269" s="28"/>
      <c r="PYN269" s="28"/>
      <c r="PYO269" s="28"/>
      <c r="PYP269" s="28"/>
      <c r="PYQ269" s="28"/>
      <c r="PYR269" s="28"/>
      <c r="PYS269" s="28"/>
      <c r="PYT269" s="28"/>
      <c r="PYU269" s="28"/>
      <c r="PYV269" s="28"/>
      <c r="PYW269" s="28"/>
      <c r="PYX269" s="28"/>
      <c r="PYY269" s="28"/>
      <c r="PYZ269" s="28"/>
      <c r="PZA269" s="28"/>
      <c r="PZB269" s="28"/>
      <c r="PZC269" s="28"/>
      <c r="PZD269" s="28"/>
      <c r="PZE269" s="28"/>
      <c r="PZF269" s="28"/>
      <c r="PZG269" s="28"/>
      <c r="PZH269" s="28"/>
      <c r="PZI269" s="28"/>
      <c r="PZJ269" s="28"/>
      <c r="PZK269" s="28"/>
      <c r="PZL269" s="28"/>
      <c r="PZM269" s="28"/>
      <c r="PZN269" s="28"/>
      <c r="PZO269" s="28"/>
      <c r="PZP269" s="28"/>
      <c r="PZQ269" s="28"/>
      <c r="PZR269" s="28"/>
      <c r="PZS269" s="28"/>
      <c r="PZT269" s="28"/>
      <c r="PZU269" s="28"/>
      <c r="PZV269" s="28"/>
      <c r="PZW269" s="28"/>
      <c r="PZX269" s="28"/>
      <c r="PZY269" s="28"/>
      <c r="PZZ269" s="28"/>
      <c r="QAA269" s="28"/>
      <c r="QAB269" s="28"/>
      <c r="QAC269" s="28"/>
      <c r="QAD269" s="28"/>
      <c r="QAE269" s="28"/>
      <c r="QAF269" s="28"/>
      <c r="QAG269" s="28"/>
      <c r="QAH269" s="28"/>
      <c r="QAI269" s="28"/>
      <c r="QAJ269" s="28"/>
      <c r="QAK269" s="28"/>
      <c r="QAL269" s="28"/>
      <c r="QAM269" s="28"/>
      <c r="QAN269" s="28"/>
      <c r="QAO269" s="28"/>
      <c r="QAP269" s="28"/>
      <c r="QAQ269" s="28"/>
      <c r="QAR269" s="28"/>
      <c r="QAS269" s="28"/>
      <c r="QAT269" s="28"/>
      <c r="QAU269" s="28"/>
      <c r="QAV269" s="28"/>
      <c r="QAW269" s="28"/>
      <c r="QAX269" s="28"/>
      <c r="QAY269" s="28"/>
      <c r="QAZ269" s="28"/>
      <c r="QBA269" s="28"/>
      <c r="QBB269" s="28"/>
      <c r="QBC269" s="28"/>
      <c r="QBD269" s="28"/>
      <c r="QBE269" s="28"/>
      <c r="QBF269" s="28"/>
      <c r="QBG269" s="28"/>
      <c r="QBH269" s="28"/>
      <c r="QBI269" s="28"/>
      <c r="QBJ269" s="28"/>
      <c r="QBK269" s="28"/>
      <c r="QBL269" s="28"/>
      <c r="QBM269" s="28"/>
      <c r="QBN269" s="28"/>
      <c r="QBO269" s="28"/>
      <c r="QBP269" s="28"/>
      <c r="QBQ269" s="28"/>
      <c r="QBR269" s="28"/>
      <c r="QBS269" s="28"/>
      <c r="QBT269" s="28"/>
      <c r="QBU269" s="28"/>
      <c r="QBV269" s="28"/>
      <c r="QBW269" s="28"/>
      <c r="QBX269" s="28"/>
      <c r="QBY269" s="28"/>
      <c r="QBZ269" s="28"/>
      <c r="QCA269" s="28"/>
      <c r="QCB269" s="28"/>
      <c r="QCC269" s="28"/>
      <c r="QCD269" s="28"/>
      <c r="QCE269" s="28"/>
      <c r="QCF269" s="28"/>
      <c r="QCG269" s="28"/>
      <c r="QCH269" s="28"/>
      <c r="QCI269" s="28"/>
      <c r="QCJ269" s="28"/>
      <c r="QCK269" s="28"/>
      <c r="QCL269" s="28"/>
      <c r="QCM269" s="28"/>
      <c r="QCN269" s="28"/>
      <c r="QCO269" s="28"/>
      <c r="QCP269" s="28"/>
      <c r="QCQ269" s="28"/>
      <c r="QCR269" s="28"/>
      <c r="QCS269" s="28"/>
      <c r="QCT269" s="28"/>
      <c r="QCU269" s="28"/>
      <c r="QCV269" s="28"/>
      <c r="QCW269" s="28"/>
      <c r="QCX269" s="28"/>
      <c r="QCY269" s="28"/>
      <c r="QCZ269" s="28"/>
      <c r="QDA269" s="28"/>
      <c r="QDB269" s="28"/>
      <c r="QDC269" s="28"/>
      <c r="QDD269" s="28"/>
      <c r="QDE269" s="28"/>
      <c r="QDF269" s="28"/>
      <c r="QDG269" s="28"/>
      <c r="QDH269" s="28"/>
      <c r="QDI269" s="28"/>
      <c r="QDJ269" s="28"/>
      <c r="QDK269" s="28"/>
      <c r="QDL269" s="28"/>
      <c r="QDM269" s="28"/>
      <c r="QDN269" s="28"/>
      <c r="QDO269" s="28"/>
      <c r="QDP269" s="28"/>
      <c r="QDQ269" s="28"/>
      <c r="QDR269" s="28"/>
      <c r="QDS269" s="28"/>
      <c r="QDT269" s="28"/>
      <c r="QDU269" s="28"/>
      <c r="QDV269" s="28"/>
      <c r="QDW269" s="28"/>
      <c r="QDX269" s="28"/>
      <c r="QDY269" s="28"/>
      <c r="QDZ269" s="28"/>
      <c r="QEA269" s="28"/>
      <c r="QEB269" s="28"/>
      <c r="QEC269" s="28"/>
      <c r="QED269" s="28"/>
      <c r="QEE269" s="28"/>
      <c r="QEF269" s="28"/>
      <c r="QEG269" s="28"/>
      <c r="QEH269" s="28"/>
      <c r="QEI269" s="28"/>
      <c r="QEJ269" s="28"/>
      <c r="QEK269" s="28"/>
      <c r="QEL269" s="28"/>
      <c r="QEM269" s="28"/>
      <c r="QEN269" s="28"/>
      <c r="QEO269" s="28"/>
      <c r="QEP269" s="28"/>
      <c r="QEQ269" s="28"/>
      <c r="QER269" s="28"/>
      <c r="QES269" s="28"/>
      <c r="QET269" s="28"/>
      <c r="QEU269" s="28"/>
      <c r="QEV269" s="28"/>
      <c r="QEW269" s="28"/>
      <c r="QEX269" s="28"/>
      <c r="QEY269" s="28"/>
      <c r="QEZ269" s="28"/>
      <c r="QFA269" s="28"/>
      <c r="QFB269" s="28"/>
      <c r="QFC269" s="28"/>
      <c r="QFD269" s="28"/>
      <c r="QFE269" s="28"/>
      <c r="QFF269" s="28"/>
      <c r="QFG269" s="28"/>
      <c r="QFH269" s="28"/>
      <c r="QFI269" s="28"/>
      <c r="QFJ269" s="28"/>
      <c r="QFK269" s="28"/>
      <c r="QFL269" s="28"/>
      <c r="QFM269" s="28"/>
      <c r="QFN269" s="28"/>
      <c r="QFO269" s="28"/>
      <c r="QFP269" s="28"/>
      <c r="QFQ269" s="28"/>
      <c r="QFR269" s="28"/>
      <c r="QFS269" s="28"/>
      <c r="QFT269" s="28"/>
      <c r="QFU269" s="28"/>
      <c r="QFV269" s="28"/>
      <c r="QFW269" s="28"/>
      <c r="QFX269" s="28"/>
      <c r="QFY269" s="28"/>
      <c r="QFZ269" s="28"/>
      <c r="QGA269" s="28"/>
      <c r="QGB269" s="28"/>
      <c r="QGC269" s="28"/>
      <c r="QGD269" s="28"/>
      <c r="QGE269" s="28"/>
      <c r="QGF269" s="28"/>
      <c r="QGG269" s="28"/>
      <c r="QGH269" s="28"/>
      <c r="QGI269" s="28"/>
      <c r="QGJ269" s="28"/>
      <c r="QGK269" s="28"/>
      <c r="QGL269" s="28"/>
      <c r="QGM269" s="28"/>
      <c r="QGN269" s="28"/>
      <c r="QGO269" s="28"/>
      <c r="QGP269" s="28"/>
      <c r="QGQ269" s="28"/>
      <c r="QGR269" s="28"/>
      <c r="QGS269" s="28"/>
      <c r="QGT269" s="28"/>
      <c r="QGU269" s="28"/>
      <c r="QGV269" s="28"/>
      <c r="QGW269" s="28"/>
      <c r="QGX269" s="28"/>
      <c r="QGY269" s="28"/>
      <c r="QGZ269" s="28"/>
      <c r="QHA269" s="28"/>
      <c r="QHB269" s="28"/>
      <c r="QHC269" s="28"/>
      <c r="QHD269" s="28"/>
      <c r="QHE269" s="28"/>
      <c r="QHF269" s="28"/>
      <c r="QHG269" s="28"/>
      <c r="QHH269" s="28"/>
      <c r="QHI269" s="28"/>
      <c r="QHJ269" s="28"/>
      <c r="QHK269" s="28"/>
      <c r="QHL269" s="28"/>
      <c r="QHM269" s="28"/>
      <c r="QHN269" s="28"/>
      <c r="QHO269" s="28"/>
      <c r="QHP269" s="28"/>
      <c r="QHQ269" s="28"/>
      <c r="QHR269" s="28"/>
      <c r="QHS269" s="28"/>
      <c r="QHT269" s="28"/>
      <c r="QHU269" s="28"/>
      <c r="QHV269" s="28"/>
      <c r="QHW269" s="28"/>
      <c r="QHX269" s="28"/>
      <c r="QHY269" s="28"/>
      <c r="QHZ269" s="28"/>
      <c r="QIA269" s="28"/>
      <c r="QIB269" s="28"/>
      <c r="QIC269" s="28"/>
      <c r="QID269" s="28"/>
      <c r="QIE269" s="28"/>
      <c r="QIF269" s="28"/>
      <c r="QIG269" s="28"/>
      <c r="QIH269" s="28"/>
      <c r="QII269" s="28"/>
      <c r="QIJ269" s="28"/>
      <c r="QIK269" s="28"/>
      <c r="QIL269" s="28"/>
      <c r="QIM269" s="28"/>
      <c r="QIN269" s="28"/>
      <c r="QIO269" s="28"/>
      <c r="QIP269" s="28"/>
      <c r="QIQ269" s="28"/>
      <c r="QIR269" s="28"/>
      <c r="QIS269" s="28"/>
      <c r="QIT269" s="28"/>
      <c r="QIU269" s="28"/>
      <c r="QIV269" s="28"/>
      <c r="QIW269" s="28"/>
      <c r="QIX269" s="28"/>
      <c r="QIY269" s="28"/>
      <c r="QIZ269" s="28"/>
      <c r="QJA269" s="28"/>
      <c r="QJB269" s="28"/>
      <c r="QJC269" s="28"/>
      <c r="QJD269" s="28"/>
      <c r="QJE269" s="28"/>
      <c r="QJF269" s="28"/>
      <c r="QJG269" s="28"/>
      <c r="QJH269" s="28"/>
      <c r="QJI269" s="28"/>
      <c r="QJJ269" s="28"/>
      <c r="QJK269" s="28"/>
      <c r="QJL269" s="28"/>
      <c r="QJM269" s="28"/>
      <c r="QJN269" s="28"/>
      <c r="QJO269" s="28"/>
      <c r="QJP269" s="28"/>
      <c r="QJQ269" s="28"/>
      <c r="QJR269" s="28"/>
      <c r="QJS269" s="28"/>
      <c r="QJT269" s="28"/>
      <c r="QJU269" s="28"/>
      <c r="QJV269" s="28"/>
      <c r="QJW269" s="28"/>
      <c r="QJX269" s="28"/>
      <c r="QJY269" s="28"/>
      <c r="QJZ269" s="28"/>
      <c r="QKA269" s="28"/>
      <c r="QKB269" s="28"/>
      <c r="QKC269" s="28"/>
      <c r="QKD269" s="28"/>
      <c r="QKE269" s="28"/>
      <c r="QKF269" s="28"/>
      <c r="QKG269" s="28"/>
      <c r="QKH269" s="28"/>
      <c r="QKI269" s="28"/>
      <c r="QKJ269" s="28"/>
      <c r="QKK269" s="28"/>
      <c r="QKL269" s="28"/>
      <c r="QKM269" s="28"/>
      <c r="QKN269" s="28"/>
      <c r="QKO269" s="28"/>
      <c r="QKP269" s="28"/>
      <c r="QKQ269" s="28"/>
      <c r="QKR269" s="28"/>
      <c r="QKS269" s="28"/>
      <c r="QKT269" s="28"/>
      <c r="QKU269" s="28"/>
      <c r="QKV269" s="28"/>
      <c r="QKW269" s="28"/>
      <c r="QKX269" s="28"/>
      <c r="QKY269" s="28"/>
      <c r="QKZ269" s="28"/>
      <c r="QLA269" s="28"/>
      <c r="QLB269" s="28"/>
      <c r="QLC269" s="28"/>
      <c r="QLD269" s="28"/>
      <c r="QLE269" s="28"/>
      <c r="QLF269" s="28"/>
      <c r="QLG269" s="28"/>
      <c r="QLH269" s="28"/>
      <c r="QLI269" s="28"/>
      <c r="QLJ269" s="28"/>
      <c r="QLK269" s="28"/>
      <c r="QLL269" s="28"/>
      <c r="QLM269" s="28"/>
      <c r="QLN269" s="28"/>
      <c r="QLO269" s="28"/>
      <c r="QLP269" s="28"/>
      <c r="QLQ269" s="28"/>
      <c r="QLR269" s="28"/>
      <c r="QLS269" s="28"/>
      <c r="QLT269" s="28"/>
      <c r="QLU269" s="28"/>
      <c r="QLV269" s="28"/>
      <c r="QLW269" s="28"/>
      <c r="QLX269" s="28"/>
      <c r="QLY269" s="28"/>
      <c r="QLZ269" s="28"/>
      <c r="QMA269" s="28"/>
      <c r="QMB269" s="28"/>
      <c r="QMC269" s="28"/>
      <c r="QMD269" s="28"/>
      <c r="QME269" s="28"/>
      <c r="QMF269" s="28"/>
      <c r="QMG269" s="28"/>
      <c r="QMH269" s="28"/>
      <c r="QMI269" s="28"/>
      <c r="QMJ269" s="28"/>
      <c r="QMK269" s="28"/>
      <c r="QML269" s="28"/>
      <c r="QMM269" s="28"/>
      <c r="QMN269" s="28"/>
      <c r="QMO269" s="28"/>
      <c r="QMP269" s="28"/>
      <c r="QMQ269" s="28"/>
      <c r="QMR269" s="28"/>
      <c r="QMS269" s="28"/>
      <c r="QMT269" s="28"/>
      <c r="QMU269" s="28"/>
      <c r="QMV269" s="28"/>
      <c r="QMW269" s="28"/>
      <c r="QMX269" s="28"/>
      <c r="QMY269" s="28"/>
      <c r="QMZ269" s="28"/>
      <c r="QNA269" s="28"/>
      <c r="QNB269" s="28"/>
      <c r="QNC269" s="28"/>
      <c r="QND269" s="28"/>
      <c r="QNE269" s="28"/>
      <c r="QNF269" s="28"/>
      <c r="QNG269" s="28"/>
      <c r="QNH269" s="28"/>
      <c r="QNI269" s="28"/>
      <c r="QNJ269" s="28"/>
      <c r="QNK269" s="28"/>
      <c r="QNL269" s="28"/>
      <c r="QNM269" s="28"/>
      <c r="QNN269" s="28"/>
      <c r="QNO269" s="28"/>
      <c r="QNP269" s="28"/>
      <c r="QNQ269" s="28"/>
      <c r="QNR269" s="28"/>
      <c r="QNS269" s="28"/>
      <c r="QNT269" s="28"/>
      <c r="QNU269" s="28"/>
      <c r="QNV269" s="28"/>
      <c r="QNW269" s="28"/>
      <c r="QNX269" s="28"/>
      <c r="QNY269" s="28"/>
      <c r="QNZ269" s="28"/>
      <c r="QOA269" s="28"/>
      <c r="QOB269" s="28"/>
      <c r="QOC269" s="28"/>
      <c r="QOD269" s="28"/>
      <c r="QOE269" s="28"/>
      <c r="QOF269" s="28"/>
      <c r="QOG269" s="28"/>
      <c r="QOH269" s="28"/>
      <c r="QOI269" s="28"/>
      <c r="QOJ269" s="28"/>
      <c r="QOK269" s="28"/>
      <c r="QOL269" s="28"/>
      <c r="QOM269" s="28"/>
      <c r="QON269" s="28"/>
      <c r="QOO269" s="28"/>
      <c r="QOP269" s="28"/>
      <c r="QOQ269" s="28"/>
      <c r="QOR269" s="28"/>
      <c r="QOS269" s="28"/>
      <c r="QOT269" s="28"/>
      <c r="QOU269" s="28"/>
      <c r="QOV269" s="28"/>
      <c r="QOW269" s="28"/>
      <c r="QOX269" s="28"/>
      <c r="QOY269" s="28"/>
      <c r="QOZ269" s="28"/>
      <c r="QPA269" s="28"/>
      <c r="QPB269" s="28"/>
      <c r="QPC269" s="28"/>
      <c r="QPD269" s="28"/>
      <c r="QPE269" s="28"/>
      <c r="QPF269" s="28"/>
      <c r="QPG269" s="28"/>
      <c r="QPH269" s="28"/>
      <c r="QPI269" s="28"/>
      <c r="QPJ269" s="28"/>
      <c r="QPK269" s="28"/>
      <c r="QPL269" s="28"/>
      <c r="QPM269" s="28"/>
      <c r="QPN269" s="28"/>
      <c r="QPO269" s="28"/>
      <c r="QPP269" s="28"/>
      <c r="QPQ269" s="28"/>
      <c r="QPR269" s="28"/>
      <c r="QPS269" s="28"/>
      <c r="QPT269" s="28"/>
      <c r="QPU269" s="28"/>
      <c r="QPV269" s="28"/>
      <c r="QPW269" s="28"/>
      <c r="QPX269" s="28"/>
      <c r="QPY269" s="28"/>
      <c r="QPZ269" s="28"/>
      <c r="QQA269" s="28"/>
      <c r="QQB269" s="28"/>
      <c r="QQC269" s="28"/>
      <c r="QQD269" s="28"/>
      <c r="QQE269" s="28"/>
      <c r="QQF269" s="28"/>
      <c r="QQG269" s="28"/>
      <c r="QQH269" s="28"/>
      <c r="QQI269" s="28"/>
      <c r="QQJ269" s="28"/>
      <c r="QQK269" s="28"/>
      <c r="QQL269" s="28"/>
      <c r="QQM269" s="28"/>
      <c r="QQN269" s="28"/>
      <c r="QQO269" s="28"/>
      <c r="QQP269" s="28"/>
      <c r="QQQ269" s="28"/>
      <c r="QQR269" s="28"/>
      <c r="QQS269" s="28"/>
      <c r="QQT269" s="28"/>
      <c r="QQU269" s="28"/>
      <c r="QQV269" s="28"/>
      <c r="QQW269" s="28"/>
      <c r="QQX269" s="28"/>
      <c r="QQY269" s="28"/>
      <c r="QQZ269" s="28"/>
      <c r="QRA269" s="28"/>
      <c r="QRB269" s="28"/>
      <c r="QRC269" s="28"/>
      <c r="QRD269" s="28"/>
      <c r="QRE269" s="28"/>
      <c r="QRF269" s="28"/>
      <c r="QRG269" s="28"/>
      <c r="QRH269" s="28"/>
      <c r="QRI269" s="28"/>
      <c r="QRJ269" s="28"/>
      <c r="QRK269" s="28"/>
      <c r="QRL269" s="28"/>
      <c r="QRM269" s="28"/>
      <c r="QRN269" s="28"/>
      <c r="QRO269" s="28"/>
      <c r="QRP269" s="28"/>
      <c r="QRQ269" s="28"/>
      <c r="QRR269" s="28"/>
      <c r="QRS269" s="28"/>
      <c r="QRT269" s="28"/>
      <c r="QRU269" s="28"/>
      <c r="QRV269" s="28"/>
      <c r="QRW269" s="28"/>
      <c r="QRX269" s="28"/>
      <c r="QRY269" s="28"/>
      <c r="QRZ269" s="28"/>
      <c r="QSA269" s="28"/>
      <c r="QSB269" s="28"/>
      <c r="QSC269" s="28"/>
      <c r="QSD269" s="28"/>
      <c r="QSE269" s="28"/>
      <c r="QSF269" s="28"/>
      <c r="QSG269" s="28"/>
      <c r="QSH269" s="28"/>
      <c r="QSI269" s="28"/>
      <c r="QSJ269" s="28"/>
      <c r="QSK269" s="28"/>
      <c r="QSL269" s="28"/>
      <c r="QSM269" s="28"/>
      <c r="QSN269" s="28"/>
      <c r="QSO269" s="28"/>
      <c r="QSP269" s="28"/>
      <c r="QSQ269" s="28"/>
      <c r="QSR269" s="28"/>
      <c r="QSS269" s="28"/>
      <c r="QST269" s="28"/>
      <c r="QSU269" s="28"/>
      <c r="QSV269" s="28"/>
      <c r="QSW269" s="28"/>
      <c r="QSX269" s="28"/>
      <c r="QSY269" s="28"/>
      <c r="QSZ269" s="28"/>
      <c r="QTA269" s="28"/>
      <c r="QTB269" s="28"/>
      <c r="QTC269" s="28"/>
      <c r="QTD269" s="28"/>
      <c r="QTE269" s="28"/>
      <c r="QTF269" s="28"/>
      <c r="QTG269" s="28"/>
      <c r="QTH269" s="28"/>
      <c r="QTI269" s="28"/>
      <c r="QTJ269" s="28"/>
      <c r="QTK269" s="28"/>
      <c r="QTL269" s="28"/>
      <c r="QTM269" s="28"/>
      <c r="QTN269" s="28"/>
      <c r="QTO269" s="28"/>
      <c r="QTP269" s="28"/>
      <c r="QTQ269" s="28"/>
      <c r="QTR269" s="28"/>
      <c r="QTS269" s="28"/>
      <c r="QTT269" s="28"/>
      <c r="QTU269" s="28"/>
      <c r="QTV269" s="28"/>
      <c r="QTW269" s="28"/>
      <c r="QTX269" s="28"/>
      <c r="QTY269" s="28"/>
      <c r="QTZ269" s="28"/>
      <c r="QUA269" s="28"/>
      <c r="QUB269" s="28"/>
      <c r="QUC269" s="28"/>
      <c r="QUD269" s="28"/>
      <c r="QUE269" s="28"/>
      <c r="QUF269" s="28"/>
      <c r="QUG269" s="28"/>
      <c r="QUH269" s="28"/>
      <c r="QUI269" s="28"/>
      <c r="QUJ269" s="28"/>
      <c r="QUK269" s="28"/>
      <c r="QUL269" s="28"/>
      <c r="QUM269" s="28"/>
      <c r="QUN269" s="28"/>
      <c r="QUO269" s="28"/>
      <c r="QUP269" s="28"/>
      <c r="QUQ269" s="28"/>
      <c r="QUR269" s="28"/>
      <c r="QUS269" s="28"/>
      <c r="QUT269" s="28"/>
      <c r="QUU269" s="28"/>
      <c r="QUV269" s="28"/>
      <c r="QUW269" s="28"/>
      <c r="QUX269" s="28"/>
      <c r="QUY269" s="28"/>
      <c r="QUZ269" s="28"/>
      <c r="QVA269" s="28"/>
      <c r="QVB269" s="28"/>
      <c r="QVC269" s="28"/>
      <c r="QVD269" s="28"/>
      <c r="QVE269" s="28"/>
      <c r="QVF269" s="28"/>
      <c r="QVG269" s="28"/>
      <c r="QVH269" s="28"/>
      <c r="QVI269" s="28"/>
      <c r="QVJ269" s="28"/>
      <c r="QVK269" s="28"/>
      <c r="QVL269" s="28"/>
      <c r="QVM269" s="28"/>
      <c r="QVN269" s="28"/>
      <c r="QVO269" s="28"/>
      <c r="QVP269" s="28"/>
      <c r="QVQ269" s="28"/>
      <c r="QVR269" s="28"/>
      <c r="QVS269" s="28"/>
      <c r="QVT269" s="28"/>
      <c r="QVU269" s="28"/>
      <c r="QVV269" s="28"/>
      <c r="QVW269" s="28"/>
      <c r="QVX269" s="28"/>
      <c r="QVY269" s="28"/>
      <c r="QVZ269" s="28"/>
      <c r="QWA269" s="28"/>
      <c r="QWB269" s="28"/>
      <c r="QWC269" s="28"/>
      <c r="QWD269" s="28"/>
      <c r="QWE269" s="28"/>
      <c r="QWF269" s="28"/>
      <c r="QWG269" s="28"/>
      <c r="QWH269" s="28"/>
      <c r="QWI269" s="28"/>
      <c r="QWJ269" s="28"/>
      <c r="QWK269" s="28"/>
      <c r="QWL269" s="28"/>
      <c r="QWM269" s="28"/>
      <c r="QWN269" s="28"/>
      <c r="QWO269" s="28"/>
      <c r="QWP269" s="28"/>
      <c r="QWQ269" s="28"/>
      <c r="QWR269" s="28"/>
      <c r="QWS269" s="28"/>
      <c r="QWT269" s="28"/>
      <c r="QWU269" s="28"/>
      <c r="QWV269" s="28"/>
      <c r="QWW269" s="28"/>
      <c r="QWX269" s="28"/>
      <c r="QWY269" s="28"/>
      <c r="QWZ269" s="28"/>
      <c r="QXA269" s="28"/>
      <c r="QXB269" s="28"/>
      <c r="QXC269" s="28"/>
      <c r="QXD269" s="28"/>
      <c r="QXE269" s="28"/>
      <c r="QXF269" s="28"/>
      <c r="QXG269" s="28"/>
      <c r="QXH269" s="28"/>
      <c r="QXI269" s="28"/>
      <c r="QXJ269" s="28"/>
      <c r="QXK269" s="28"/>
      <c r="QXL269" s="28"/>
      <c r="QXM269" s="28"/>
      <c r="QXN269" s="28"/>
      <c r="QXO269" s="28"/>
      <c r="QXP269" s="28"/>
      <c r="QXQ269" s="28"/>
      <c r="QXR269" s="28"/>
      <c r="QXS269" s="28"/>
      <c r="QXT269" s="28"/>
      <c r="QXU269" s="28"/>
      <c r="QXV269" s="28"/>
      <c r="QXW269" s="28"/>
      <c r="QXX269" s="28"/>
      <c r="QXY269" s="28"/>
      <c r="QXZ269" s="28"/>
      <c r="QYA269" s="28"/>
      <c r="QYB269" s="28"/>
      <c r="QYC269" s="28"/>
      <c r="QYD269" s="28"/>
      <c r="QYE269" s="28"/>
      <c r="QYF269" s="28"/>
      <c r="QYG269" s="28"/>
      <c r="QYH269" s="28"/>
      <c r="QYI269" s="28"/>
      <c r="QYJ269" s="28"/>
      <c r="QYK269" s="28"/>
      <c r="QYL269" s="28"/>
      <c r="QYM269" s="28"/>
      <c r="QYN269" s="28"/>
      <c r="QYO269" s="28"/>
      <c r="QYP269" s="28"/>
      <c r="QYQ269" s="28"/>
      <c r="QYR269" s="28"/>
      <c r="QYS269" s="28"/>
      <c r="QYT269" s="28"/>
      <c r="QYU269" s="28"/>
      <c r="QYV269" s="28"/>
      <c r="QYW269" s="28"/>
      <c r="QYX269" s="28"/>
      <c r="QYY269" s="28"/>
      <c r="QYZ269" s="28"/>
      <c r="QZA269" s="28"/>
      <c r="QZB269" s="28"/>
      <c r="QZC269" s="28"/>
      <c r="QZD269" s="28"/>
      <c r="QZE269" s="28"/>
      <c r="QZF269" s="28"/>
      <c r="QZG269" s="28"/>
      <c r="QZH269" s="28"/>
      <c r="QZI269" s="28"/>
      <c r="QZJ269" s="28"/>
      <c r="QZK269" s="28"/>
      <c r="QZL269" s="28"/>
      <c r="QZM269" s="28"/>
      <c r="QZN269" s="28"/>
      <c r="QZO269" s="28"/>
      <c r="QZP269" s="28"/>
      <c r="QZQ269" s="28"/>
      <c r="QZR269" s="28"/>
      <c r="QZS269" s="28"/>
      <c r="QZT269" s="28"/>
      <c r="QZU269" s="28"/>
      <c r="QZV269" s="28"/>
      <c r="QZW269" s="28"/>
      <c r="QZX269" s="28"/>
      <c r="QZY269" s="28"/>
      <c r="QZZ269" s="28"/>
      <c r="RAA269" s="28"/>
      <c r="RAB269" s="28"/>
      <c r="RAC269" s="28"/>
      <c r="RAD269" s="28"/>
      <c r="RAE269" s="28"/>
      <c r="RAF269" s="28"/>
      <c r="RAG269" s="28"/>
      <c r="RAH269" s="28"/>
      <c r="RAI269" s="28"/>
      <c r="RAJ269" s="28"/>
      <c r="RAK269" s="28"/>
      <c r="RAL269" s="28"/>
      <c r="RAM269" s="28"/>
      <c r="RAN269" s="28"/>
      <c r="RAO269" s="28"/>
      <c r="RAP269" s="28"/>
      <c r="RAQ269" s="28"/>
      <c r="RAR269" s="28"/>
      <c r="RAS269" s="28"/>
      <c r="RAT269" s="28"/>
      <c r="RAU269" s="28"/>
      <c r="RAV269" s="28"/>
      <c r="RAW269" s="28"/>
      <c r="RAX269" s="28"/>
      <c r="RAY269" s="28"/>
      <c r="RAZ269" s="28"/>
      <c r="RBA269" s="28"/>
      <c r="RBB269" s="28"/>
      <c r="RBC269" s="28"/>
      <c r="RBD269" s="28"/>
      <c r="RBE269" s="28"/>
      <c r="RBF269" s="28"/>
      <c r="RBG269" s="28"/>
      <c r="RBH269" s="28"/>
      <c r="RBI269" s="28"/>
      <c r="RBJ269" s="28"/>
      <c r="RBK269" s="28"/>
      <c r="RBL269" s="28"/>
      <c r="RBM269" s="28"/>
      <c r="RBN269" s="28"/>
      <c r="RBO269" s="28"/>
      <c r="RBP269" s="28"/>
      <c r="RBQ269" s="28"/>
      <c r="RBR269" s="28"/>
      <c r="RBS269" s="28"/>
      <c r="RBT269" s="28"/>
      <c r="RBU269" s="28"/>
      <c r="RBV269" s="28"/>
      <c r="RBW269" s="28"/>
      <c r="RBX269" s="28"/>
      <c r="RBY269" s="28"/>
      <c r="RBZ269" s="28"/>
      <c r="RCA269" s="28"/>
      <c r="RCB269" s="28"/>
      <c r="RCC269" s="28"/>
      <c r="RCD269" s="28"/>
      <c r="RCE269" s="28"/>
      <c r="RCF269" s="28"/>
      <c r="RCG269" s="28"/>
      <c r="RCH269" s="28"/>
      <c r="RCI269" s="28"/>
      <c r="RCJ269" s="28"/>
      <c r="RCK269" s="28"/>
      <c r="RCL269" s="28"/>
      <c r="RCM269" s="28"/>
      <c r="RCN269" s="28"/>
      <c r="RCO269" s="28"/>
      <c r="RCP269" s="28"/>
      <c r="RCQ269" s="28"/>
      <c r="RCR269" s="28"/>
      <c r="RCS269" s="28"/>
      <c r="RCT269" s="28"/>
      <c r="RCU269" s="28"/>
      <c r="RCV269" s="28"/>
      <c r="RCW269" s="28"/>
      <c r="RCX269" s="28"/>
      <c r="RCY269" s="28"/>
      <c r="RCZ269" s="28"/>
      <c r="RDA269" s="28"/>
      <c r="RDB269" s="28"/>
      <c r="RDC269" s="28"/>
      <c r="RDD269" s="28"/>
      <c r="RDE269" s="28"/>
      <c r="RDF269" s="28"/>
      <c r="RDG269" s="28"/>
      <c r="RDH269" s="28"/>
      <c r="RDI269" s="28"/>
      <c r="RDJ269" s="28"/>
      <c r="RDK269" s="28"/>
      <c r="RDL269" s="28"/>
      <c r="RDM269" s="28"/>
      <c r="RDN269" s="28"/>
      <c r="RDO269" s="28"/>
      <c r="RDP269" s="28"/>
      <c r="RDQ269" s="28"/>
      <c r="RDR269" s="28"/>
      <c r="RDS269" s="28"/>
      <c r="RDT269" s="28"/>
      <c r="RDU269" s="28"/>
      <c r="RDV269" s="28"/>
      <c r="RDW269" s="28"/>
      <c r="RDX269" s="28"/>
      <c r="RDY269" s="28"/>
      <c r="RDZ269" s="28"/>
      <c r="REA269" s="28"/>
      <c r="REB269" s="28"/>
      <c r="REC269" s="28"/>
      <c r="RED269" s="28"/>
      <c r="REE269" s="28"/>
      <c r="REF269" s="28"/>
      <c r="REG269" s="28"/>
      <c r="REH269" s="28"/>
      <c r="REI269" s="28"/>
      <c r="REJ269" s="28"/>
      <c r="REK269" s="28"/>
      <c r="REL269" s="28"/>
      <c r="REM269" s="28"/>
      <c r="REN269" s="28"/>
      <c r="REO269" s="28"/>
      <c r="REP269" s="28"/>
      <c r="REQ269" s="28"/>
      <c r="RER269" s="28"/>
      <c r="RES269" s="28"/>
      <c r="RET269" s="28"/>
      <c r="REU269" s="28"/>
      <c r="REV269" s="28"/>
      <c r="REW269" s="28"/>
      <c r="REX269" s="28"/>
      <c r="REY269" s="28"/>
      <c r="REZ269" s="28"/>
      <c r="RFA269" s="28"/>
      <c r="RFB269" s="28"/>
      <c r="RFC269" s="28"/>
      <c r="RFD269" s="28"/>
      <c r="RFE269" s="28"/>
      <c r="RFF269" s="28"/>
      <c r="RFG269" s="28"/>
      <c r="RFH269" s="28"/>
      <c r="RFI269" s="28"/>
      <c r="RFJ269" s="28"/>
      <c r="RFK269" s="28"/>
      <c r="RFL269" s="28"/>
      <c r="RFM269" s="28"/>
      <c r="RFN269" s="28"/>
      <c r="RFO269" s="28"/>
      <c r="RFP269" s="28"/>
      <c r="RFQ269" s="28"/>
      <c r="RFR269" s="28"/>
      <c r="RFS269" s="28"/>
      <c r="RFT269" s="28"/>
      <c r="RFU269" s="28"/>
      <c r="RFV269" s="28"/>
      <c r="RFW269" s="28"/>
      <c r="RFX269" s="28"/>
      <c r="RFY269" s="28"/>
      <c r="RFZ269" s="28"/>
      <c r="RGA269" s="28"/>
      <c r="RGB269" s="28"/>
      <c r="RGC269" s="28"/>
      <c r="RGD269" s="28"/>
      <c r="RGE269" s="28"/>
      <c r="RGF269" s="28"/>
      <c r="RGG269" s="28"/>
      <c r="RGH269" s="28"/>
      <c r="RGI269" s="28"/>
      <c r="RGJ269" s="28"/>
      <c r="RGK269" s="28"/>
      <c r="RGL269" s="28"/>
      <c r="RGM269" s="28"/>
      <c r="RGN269" s="28"/>
      <c r="RGO269" s="28"/>
      <c r="RGP269" s="28"/>
      <c r="RGQ269" s="28"/>
      <c r="RGR269" s="28"/>
      <c r="RGS269" s="28"/>
      <c r="RGT269" s="28"/>
      <c r="RGU269" s="28"/>
      <c r="RGV269" s="28"/>
      <c r="RGW269" s="28"/>
      <c r="RGX269" s="28"/>
      <c r="RGY269" s="28"/>
      <c r="RGZ269" s="28"/>
      <c r="RHA269" s="28"/>
      <c r="RHB269" s="28"/>
      <c r="RHC269" s="28"/>
      <c r="RHD269" s="28"/>
      <c r="RHE269" s="28"/>
      <c r="RHF269" s="28"/>
      <c r="RHG269" s="28"/>
      <c r="RHH269" s="28"/>
      <c r="RHI269" s="28"/>
      <c r="RHJ269" s="28"/>
      <c r="RHK269" s="28"/>
      <c r="RHL269" s="28"/>
      <c r="RHM269" s="28"/>
      <c r="RHN269" s="28"/>
      <c r="RHO269" s="28"/>
      <c r="RHP269" s="28"/>
      <c r="RHQ269" s="28"/>
      <c r="RHR269" s="28"/>
      <c r="RHS269" s="28"/>
      <c r="RHT269" s="28"/>
      <c r="RHU269" s="28"/>
      <c r="RHV269" s="28"/>
      <c r="RHW269" s="28"/>
      <c r="RHX269" s="28"/>
      <c r="RHY269" s="28"/>
      <c r="RHZ269" s="28"/>
      <c r="RIA269" s="28"/>
      <c r="RIB269" s="28"/>
      <c r="RIC269" s="28"/>
      <c r="RID269" s="28"/>
      <c r="RIE269" s="28"/>
      <c r="RIF269" s="28"/>
      <c r="RIG269" s="28"/>
      <c r="RIH269" s="28"/>
      <c r="RII269" s="28"/>
      <c r="RIJ269" s="28"/>
      <c r="RIK269" s="28"/>
      <c r="RIL269" s="28"/>
      <c r="RIM269" s="28"/>
      <c r="RIN269" s="28"/>
      <c r="RIO269" s="28"/>
      <c r="RIP269" s="28"/>
      <c r="RIQ269" s="28"/>
      <c r="RIR269" s="28"/>
      <c r="RIS269" s="28"/>
      <c r="RIT269" s="28"/>
      <c r="RIU269" s="28"/>
      <c r="RIV269" s="28"/>
      <c r="RIW269" s="28"/>
      <c r="RIX269" s="28"/>
      <c r="RIY269" s="28"/>
      <c r="RIZ269" s="28"/>
      <c r="RJA269" s="28"/>
      <c r="RJB269" s="28"/>
      <c r="RJC269" s="28"/>
      <c r="RJD269" s="28"/>
      <c r="RJE269" s="28"/>
      <c r="RJF269" s="28"/>
      <c r="RJG269" s="28"/>
      <c r="RJH269" s="28"/>
      <c r="RJI269" s="28"/>
      <c r="RJJ269" s="28"/>
      <c r="RJK269" s="28"/>
      <c r="RJL269" s="28"/>
      <c r="RJM269" s="28"/>
      <c r="RJN269" s="28"/>
      <c r="RJO269" s="28"/>
      <c r="RJP269" s="28"/>
      <c r="RJQ269" s="28"/>
      <c r="RJR269" s="28"/>
      <c r="RJS269" s="28"/>
      <c r="RJT269" s="28"/>
      <c r="RJU269" s="28"/>
      <c r="RJV269" s="28"/>
      <c r="RJW269" s="28"/>
      <c r="RJX269" s="28"/>
      <c r="RJY269" s="28"/>
      <c r="RJZ269" s="28"/>
      <c r="RKA269" s="28"/>
      <c r="RKB269" s="28"/>
      <c r="RKC269" s="28"/>
      <c r="RKD269" s="28"/>
      <c r="RKE269" s="28"/>
      <c r="RKF269" s="28"/>
      <c r="RKG269" s="28"/>
      <c r="RKH269" s="28"/>
      <c r="RKI269" s="28"/>
      <c r="RKJ269" s="28"/>
      <c r="RKK269" s="28"/>
      <c r="RKL269" s="28"/>
      <c r="RKM269" s="28"/>
      <c r="RKN269" s="28"/>
      <c r="RKO269" s="28"/>
      <c r="RKP269" s="28"/>
      <c r="RKQ269" s="28"/>
      <c r="RKR269" s="28"/>
      <c r="RKS269" s="28"/>
      <c r="RKT269" s="28"/>
      <c r="RKU269" s="28"/>
      <c r="RKV269" s="28"/>
      <c r="RKW269" s="28"/>
      <c r="RKX269" s="28"/>
      <c r="RKY269" s="28"/>
      <c r="RKZ269" s="28"/>
      <c r="RLA269" s="28"/>
      <c r="RLB269" s="28"/>
      <c r="RLC269" s="28"/>
      <c r="RLD269" s="28"/>
      <c r="RLE269" s="28"/>
      <c r="RLF269" s="28"/>
      <c r="RLG269" s="28"/>
      <c r="RLH269" s="28"/>
      <c r="RLI269" s="28"/>
      <c r="RLJ269" s="28"/>
      <c r="RLK269" s="28"/>
      <c r="RLL269" s="28"/>
      <c r="RLM269" s="28"/>
      <c r="RLN269" s="28"/>
      <c r="RLO269" s="28"/>
      <c r="RLP269" s="28"/>
      <c r="RLQ269" s="28"/>
      <c r="RLR269" s="28"/>
      <c r="RLS269" s="28"/>
      <c r="RLT269" s="28"/>
      <c r="RLU269" s="28"/>
      <c r="RLV269" s="28"/>
      <c r="RLW269" s="28"/>
      <c r="RLX269" s="28"/>
      <c r="RLY269" s="28"/>
      <c r="RLZ269" s="28"/>
      <c r="RMA269" s="28"/>
      <c r="RMB269" s="28"/>
      <c r="RMC269" s="28"/>
      <c r="RMD269" s="28"/>
      <c r="RME269" s="28"/>
      <c r="RMF269" s="28"/>
      <c r="RMG269" s="28"/>
      <c r="RMH269" s="28"/>
      <c r="RMI269" s="28"/>
      <c r="RMJ269" s="28"/>
      <c r="RMK269" s="28"/>
      <c r="RML269" s="28"/>
      <c r="RMM269" s="28"/>
      <c r="RMN269" s="28"/>
      <c r="RMO269" s="28"/>
      <c r="RMP269" s="28"/>
      <c r="RMQ269" s="28"/>
      <c r="RMR269" s="28"/>
      <c r="RMS269" s="28"/>
      <c r="RMT269" s="28"/>
      <c r="RMU269" s="28"/>
      <c r="RMV269" s="28"/>
      <c r="RMW269" s="28"/>
      <c r="RMX269" s="28"/>
      <c r="RMY269" s="28"/>
      <c r="RMZ269" s="28"/>
      <c r="RNA269" s="28"/>
      <c r="RNB269" s="28"/>
      <c r="RNC269" s="28"/>
      <c r="RND269" s="28"/>
      <c r="RNE269" s="28"/>
      <c r="RNF269" s="28"/>
      <c r="RNG269" s="28"/>
      <c r="RNH269" s="28"/>
      <c r="RNI269" s="28"/>
      <c r="RNJ269" s="28"/>
      <c r="RNK269" s="28"/>
      <c r="RNL269" s="28"/>
      <c r="RNM269" s="28"/>
      <c r="RNN269" s="28"/>
      <c r="RNO269" s="28"/>
      <c r="RNP269" s="28"/>
      <c r="RNQ269" s="28"/>
      <c r="RNR269" s="28"/>
      <c r="RNS269" s="28"/>
      <c r="RNT269" s="28"/>
      <c r="RNU269" s="28"/>
      <c r="RNV269" s="28"/>
      <c r="RNW269" s="28"/>
      <c r="RNX269" s="28"/>
      <c r="RNY269" s="28"/>
      <c r="RNZ269" s="28"/>
      <c r="ROA269" s="28"/>
      <c r="ROB269" s="28"/>
      <c r="ROC269" s="28"/>
      <c r="ROD269" s="28"/>
      <c r="ROE269" s="28"/>
      <c r="ROF269" s="28"/>
      <c r="ROG269" s="28"/>
      <c r="ROH269" s="28"/>
      <c r="ROI269" s="28"/>
      <c r="ROJ269" s="28"/>
      <c r="ROK269" s="28"/>
      <c r="ROL269" s="28"/>
      <c r="ROM269" s="28"/>
      <c r="RON269" s="28"/>
      <c r="ROO269" s="28"/>
      <c r="ROP269" s="28"/>
      <c r="ROQ269" s="28"/>
      <c r="ROR269" s="28"/>
      <c r="ROS269" s="28"/>
      <c r="ROT269" s="28"/>
      <c r="ROU269" s="28"/>
      <c r="ROV269" s="28"/>
      <c r="ROW269" s="28"/>
      <c r="ROX269" s="28"/>
      <c r="ROY269" s="28"/>
      <c r="ROZ269" s="28"/>
      <c r="RPA269" s="28"/>
      <c r="RPB269" s="28"/>
      <c r="RPC269" s="28"/>
      <c r="RPD269" s="28"/>
      <c r="RPE269" s="28"/>
      <c r="RPF269" s="28"/>
      <c r="RPG269" s="28"/>
      <c r="RPH269" s="28"/>
      <c r="RPI269" s="28"/>
      <c r="RPJ269" s="28"/>
      <c r="RPK269" s="28"/>
      <c r="RPL269" s="28"/>
      <c r="RPM269" s="28"/>
      <c r="RPN269" s="28"/>
      <c r="RPO269" s="28"/>
      <c r="RPP269" s="28"/>
      <c r="RPQ269" s="28"/>
      <c r="RPR269" s="28"/>
      <c r="RPS269" s="28"/>
      <c r="RPT269" s="28"/>
      <c r="RPU269" s="28"/>
      <c r="RPV269" s="28"/>
      <c r="RPW269" s="28"/>
      <c r="RPX269" s="28"/>
      <c r="RPY269" s="28"/>
      <c r="RPZ269" s="28"/>
      <c r="RQA269" s="28"/>
      <c r="RQB269" s="28"/>
      <c r="RQC269" s="28"/>
      <c r="RQD269" s="28"/>
      <c r="RQE269" s="28"/>
      <c r="RQF269" s="28"/>
      <c r="RQG269" s="28"/>
      <c r="RQH269" s="28"/>
      <c r="RQI269" s="28"/>
      <c r="RQJ269" s="28"/>
      <c r="RQK269" s="28"/>
      <c r="RQL269" s="28"/>
      <c r="RQM269" s="28"/>
      <c r="RQN269" s="28"/>
      <c r="RQO269" s="28"/>
      <c r="RQP269" s="28"/>
      <c r="RQQ269" s="28"/>
      <c r="RQR269" s="28"/>
      <c r="RQS269" s="28"/>
      <c r="RQT269" s="28"/>
      <c r="RQU269" s="28"/>
      <c r="RQV269" s="28"/>
      <c r="RQW269" s="28"/>
      <c r="RQX269" s="28"/>
      <c r="RQY269" s="28"/>
      <c r="RQZ269" s="28"/>
      <c r="RRA269" s="28"/>
      <c r="RRB269" s="28"/>
      <c r="RRC269" s="28"/>
      <c r="RRD269" s="28"/>
      <c r="RRE269" s="28"/>
      <c r="RRF269" s="28"/>
      <c r="RRG269" s="28"/>
      <c r="RRH269" s="28"/>
      <c r="RRI269" s="28"/>
      <c r="RRJ269" s="28"/>
      <c r="RRK269" s="28"/>
      <c r="RRL269" s="28"/>
      <c r="RRM269" s="28"/>
      <c r="RRN269" s="28"/>
      <c r="RRO269" s="28"/>
      <c r="RRP269" s="28"/>
      <c r="RRQ269" s="28"/>
      <c r="RRR269" s="28"/>
      <c r="RRS269" s="28"/>
      <c r="RRT269" s="28"/>
      <c r="RRU269" s="28"/>
      <c r="RRV269" s="28"/>
      <c r="RRW269" s="28"/>
      <c r="RRX269" s="28"/>
      <c r="RRY269" s="28"/>
      <c r="RRZ269" s="28"/>
      <c r="RSA269" s="28"/>
      <c r="RSB269" s="28"/>
      <c r="RSC269" s="28"/>
      <c r="RSD269" s="28"/>
      <c r="RSE269" s="28"/>
      <c r="RSF269" s="28"/>
      <c r="RSG269" s="28"/>
      <c r="RSH269" s="28"/>
      <c r="RSI269" s="28"/>
      <c r="RSJ269" s="28"/>
      <c r="RSK269" s="28"/>
      <c r="RSL269" s="28"/>
      <c r="RSM269" s="28"/>
      <c r="RSN269" s="28"/>
      <c r="RSO269" s="28"/>
      <c r="RSP269" s="28"/>
      <c r="RSQ269" s="28"/>
      <c r="RSR269" s="28"/>
      <c r="RSS269" s="28"/>
      <c r="RST269" s="28"/>
      <c r="RSU269" s="28"/>
      <c r="RSV269" s="28"/>
      <c r="RSW269" s="28"/>
      <c r="RSX269" s="28"/>
      <c r="RSY269" s="28"/>
      <c r="RSZ269" s="28"/>
      <c r="RTA269" s="28"/>
      <c r="RTB269" s="28"/>
      <c r="RTC269" s="28"/>
      <c r="RTD269" s="28"/>
      <c r="RTE269" s="28"/>
      <c r="RTF269" s="28"/>
      <c r="RTG269" s="28"/>
      <c r="RTH269" s="28"/>
      <c r="RTI269" s="28"/>
      <c r="RTJ269" s="28"/>
      <c r="RTK269" s="28"/>
      <c r="RTL269" s="28"/>
      <c r="RTM269" s="28"/>
      <c r="RTN269" s="28"/>
      <c r="RTO269" s="28"/>
      <c r="RTP269" s="28"/>
      <c r="RTQ269" s="28"/>
      <c r="RTR269" s="28"/>
      <c r="RTS269" s="28"/>
      <c r="RTT269" s="28"/>
      <c r="RTU269" s="28"/>
      <c r="RTV269" s="28"/>
      <c r="RTW269" s="28"/>
      <c r="RTX269" s="28"/>
      <c r="RTY269" s="28"/>
      <c r="RTZ269" s="28"/>
      <c r="RUA269" s="28"/>
      <c r="RUB269" s="28"/>
      <c r="RUC269" s="28"/>
      <c r="RUD269" s="28"/>
      <c r="RUE269" s="28"/>
      <c r="RUF269" s="28"/>
      <c r="RUG269" s="28"/>
      <c r="RUH269" s="28"/>
      <c r="RUI269" s="28"/>
      <c r="RUJ269" s="28"/>
      <c r="RUK269" s="28"/>
      <c r="RUL269" s="28"/>
      <c r="RUM269" s="28"/>
      <c r="RUN269" s="28"/>
      <c r="RUO269" s="28"/>
      <c r="RUP269" s="28"/>
      <c r="RUQ269" s="28"/>
      <c r="RUR269" s="28"/>
      <c r="RUS269" s="28"/>
      <c r="RUT269" s="28"/>
      <c r="RUU269" s="28"/>
      <c r="RUV269" s="28"/>
      <c r="RUW269" s="28"/>
      <c r="RUX269" s="28"/>
      <c r="RUY269" s="28"/>
      <c r="RUZ269" s="28"/>
      <c r="RVA269" s="28"/>
      <c r="RVB269" s="28"/>
      <c r="RVC269" s="28"/>
      <c r="RVD269" s="28"/>
      <c r="RVE269" s="28"/>
      <c r="RVF269" s="28"/>
      <c r="RVG269" s="28"/>
      <c r="RVH269" s="28"/>
      <c r="RVI269" s="28"/>
      <c r="RVJ269" s="28"/>
      <c r="RVK269" s="28"/>
      <c r="RVL269" s="28"/>
      <c r="RVM269" s="28"/>
      <c r="RVN269" s="28"/>
      <c r="RVO269" s="28"/>
      <c r="RVP269" s="28"/>
      <c r="RVQ269" s="28"/>
      <c r="RVR269" s="28"/>
      <c r="RVS269" s="28"/>
      <c r="RVT269" s="28"/>
      <c r="RVU269" s="28"/>
      <c r="RVV269" s="28"/>
      <c r="RVW269" s="28"/>
      <c r="RVX269" s="28"/>
      <c r="RVY269" s="28"/>
      <c r="RVZ269" s="28"/>
      <c r="RWA269" s="28"/>
      <c r="RWB269" s="28"/>
      <c r="RWC269" s="28"/>
      <c r="RWD269" s="28"/>
      <c r="RWE269" s="28"/>
      <c r="RWF269" s="28"/>
      <c r="RWG269" s="28"/>
      <c r="RWH269" s="28"/>
      <c r="RWI269" s="28"/>
      <c r="RWJ269" s="28"/>
      <c r="RWK269" s="28"/>
      <c r="RWL269" s="28"/>
      <c r="RWM269" s="28"/>
      <c r="RWN269" s="28"/>
      <c r="RWO269" s="28"/>
      <c r="RWP269" s="28"/>
      <c r="RWQ269" s="28"/>
      <c r="RWR269" s="28"/>
      <c r="RWS269" s="28"/>
      <c r="RWT269" s="28"/>
      <c r="RWU269" s="28"/>
      <c r="RWV269" s="28"/>
      <c r="RWW269" s="28"/>
      <c r="RWX269" s="28"/>
      <c r="RWY269" s="28"/>
      <c r="RWZ269" s="28"/>
      <c r="RXA269" s="28"/>
      <c r="RXB269" s="28"/>
      <c r="RXC269" s="28"/>
      <c r="RXD269" s="28"/>
      <c r="RXE269" s="28"/>
      <c r="RXF269" s="28"/>
      <c r="RXG269" s="28"/>
      <c r="RXH269" s="28"/>
      <c r="RXI269" s="28"/>
      <c r="RXJ269" s="28"/>
      <c r="RXK269" s="28"/>
      <c r="RXL269" s="28"/>
      <c r="RXM269" s="28"/>
      <c r="RXN269" s="28"/>
      <c r="RXO269" s="28"/>
      <c r="RXP269" s="28"/>
      <c r="RXQ269" s="28"/>
      <c r="RXR269" s="28"/>
      <c r="RXS269" s="28"/>
      <c r="RXT269" s="28"/>
      <c r="RXU269" s="28"/>
      <c r="RXV269" s="28"/>
      <c r="RXW269" s="28"/>
      <c r="RXX269" s="28"/>
      <c r="RXY269" s="28"/>
      <c r="RXZ269" s="28"/>
      <c r="RYA269" s="28"/>
      <c r="RYB269" s="28"/>
      <c r="RYC269" s="28"/>
      <c r="RYD269" s="28"/>
      <c r="RYE269" s="28"/>
      <c r="RYF269" s="28"/>
      <c r="RYG269" s="28"/>
      <c r="RYH269" s="28"/>
      <c r="RYI269" s="28"/>
      <c r="RYJ269" s="28"/>
      <c r="RYK269" s="28"/>
      <c r="RYL269" s="28"/>
      <c r="RYM269" s="28"/>
      <c r="RYN269" s="28"/>
      <c r="RYO269" s="28"/>
      <c r="RYP269" s="28"/>
      <c r="RYQ269" s="28"/>
      <c r="RYR269" s="28"/>
      <c r="RYS269" s="28"/>
      <c r="RYT269" s="28"/>
      <c r="RYU269" s="28"/>
      <c r="RYV269" s="28"/>
      <c r="RYW269" s="28"/>
      <c r="RYX269" s="28"/>
      <c r="RYY269" s="28"/>
      <c r="RYZ269" s="28"/>
      <c r="RZA269" s="28"/>
      <c r="RZB269" s="28"/>
      <c r="RZC269" s="28"/>
      <c r="RZD269" s="28"/>
      <c r="RZE269" s="28"/>
      <c r="RZF269" s="28"/>
      <c r="RZG269" s="28"/>
      <c r="RZH269" s="28"/>
      <c r="RZI269" s="28"/>
      <c r="RZJ269" s="28"/>
      <c r="RZK269" s="28"/>
      <c r="RZL269" s="28"/>
      <c r="RZM269" s="28"/>
      <c r="RZN269" s="28"/>
      <c r="RZO269" s="28"/>
      <c r="RZP269" s="28"/>
      <c r="RZQ269" s="28"/>
      <c r="RZR269" s="28"/>
      <c r="RZS269" s="28"/>
      <c r="RZT269" s="28"/>
      <c r="RZU269" s="28"/>
      <c r="RZV269" s="28"/>
      <c r="RZW269" s="28"/>
      <c r="RZX269" s="28"/>
      <c r="RZY269" s="28"/>
      <c r="RZZ269" s="28"/>
      <c r="SAA269" s="28"/>
      <c r="SAB269" s="28"/>
      <c r="SAC269" s="28"/>
      <c r="SAD269" s="28"/>
      <c r="SAE269" s="28"/>
      <c r="SAF269" s="28"/>
      <c r="SAG269" s="28"/>
      <c r="SAH269" s="28"/>
      <c r="SAI269" s="28"/>
      <c r="SAJ269" s="28"/>
      <c r="SAK269" s="28"/>
      <c r="SAL269" s="28"/>
      <c r="SAM269" s="28"/>
      <c r="SAN269" s="28"/>
      <c r="SAO269" s="28"/>
      <c r="SAP269" s="28"/>
      <c r="SAQ269" s="28"/>
      <c r="SAR269" s="28"/>
      <c r="SAS269" s="28"/>
      <c r="SAT269" s="28"/>
      <c r="SAU269" s="28"/>
      <c r="SAV269" s="28"/>
      <c r="SAW269" s="28"/>
      <c r="SAX269" s="28"/>
      <c r="SAY269" s="28"/>
      <c r="SAZ269" s="28"/>
      <c r="SBA269" s="28"/>
      <c r="SBB269" s="28"/>
      <c r="SBC269" s="28"/>
      <c r="SBD269" s="28"/>
      <c r="SBE269" s="28"/>
      <c r="SBF269" s="28"/>
      <c r="SBG269" s="28"/>
      <c r="SBH269" s="28"/>
      <c r="SBI269" s="28"/>
      <c r="SBJ269" s="28"/>
      <c r="SBK269" s="28"/>
      <c r="SBL269" s="28"/>
      <c r="SBM269" s="28"/>
      <c r="SBN269" s="28"/>
      <c r="SBO269" s="28"/>
      <c r="SBP269" s="28"/>
      <c r="SBQ269" s="28"/>
      <c r="SBR269" s="28"/>
      <c r="SBS269" s="28"/>
      <c r="SBT269" s="28"/>
      <c r="SBU269" s="28"/>
      <c r="SBV269" s="28"/>
      <c r="SBW269" s="28"/>
      <c r="SBX269" s="28"/>
      <c r="SBY269" s="28"/>
      <c r="SBZ269" s="28"/>
      <c r="SCA269" s="28"/>
      <c r="SCB269" s="28"/>
      <c r="SCC269" s="28"/>
      <c r="SCD269" s="28"/>
      <c r="SCE269" s="28"/>
      <c r="SCF269" s="28"/>
      <c r="SCG269" s="28"/>
      <c r="SCH269" s="28"/>
      <c r="SCI269" s="28"/>
      <c r="SCJ269" s="28"/>
      <c r="SCK269" s="28"/>
      <c r="SCL269" s="28"/>
      <c r="SCM269" s="28"/>
      <c r="SCN269" s="28"/>
      <c r="SCO269" s="28"/>
      <c r="SCP269" s="28"/>
      <c r="SCQ269" s="28"/>
      <c r="SCR269" s="28"/>
      <c r="SCS269" s="28"/>
      <c r="SCT269" s="28"/>
      <c r="SCU269" s="28"/>
      <c r="SCV269" s="28"/>
      <c r="SCW269" s="28"/>
      <c r="SCX269" s="28"/>
      <c r="SCY269" s="28"/>
      <c r="SCZ269" s="28"/>
      <c r="SDA269" s="28"/>
      <c r="SDB269" s="28"/>
      <c r="SDC269" s="28"/>
      <c r="SDD269" s="28"/>
      <c r="SDE269" s="28"/>
      <c r="SDF269" s="28"/>
      <c r="SDG269" s="28"/>
      <c r="SDH269" s="28"/>
      <c r="SDI269" s="28"/>
      <c r="SDJ269" s="28"/>
      <c r="SDK269" s="28"/>
      <c r="SDL269" s="28"/>
      <c r="SDM269" s="28"/>
      <c r="SDN269" s="28"/>
      <c r="SDO269" s="28"/>
      <c r="SDP269" s="28"/>
      <c r="SDQ269" s="28"/>
      <c r="SDR269" s="28"/>
      <c r="SDS269" s="28"/>
      <c r="SDT269" s="28"/>
      <c r="SDU269" s="28"/>
      <c r="SDV269" s="28"/>
      <c r="SDW269" s="28"/>
      <c r="SDX269" s="28"/>
      <c r="SDY269" s="28"/>
      <c r="SDZ269" s="28"/>
      <c r="SEA269" s="28"/>
      <c r="SEB269" s="28"/>
      <c r="SEC269" s="28"/>
      <c r="SED269" s="28"/>
      <c r="SEE269" s="28"/>
      <c r="SEF269" s="28"/>
      <c r="SEG269" s="28"/>
      <c r="SEH269" s="28"/>
      <c r="SEI269" s="28"/>
      <c r="SEJ269" s="28"/>
      <c r="SEK269" s="28"/>
      <c r="SEL269" s="28"/>
      <c r="SEM269" s="28"/>
      <c r="SEN269" s="28"/>
      <c r="SEO269" s="28"/>
      <c r="SEP269" s="28"/>
      <c r="SEQ269" s="28"/>
      <c r="SER269" s="28"/>
      <c r="SES269" s="28"/>
      <c r="SET269" s="28"/>
      <c r="SEU269" s="28"/>
      <c r="SEV269" s="28"/>
      <c r="SEW269" s="28"/>
      <c r="SEX269" s="28"/>
      <c r="SEY269" s="28"/>
      <c r="SEZ269" s="28"/>
      <c r="SFA269" s="28"/>
      <c r="SFB269" s="28"/>
      <c r="SFC269" s="28"/>
      <c r="SFD269" s="28"/>
      <c r="SFE269" s="28"/>
      <c r="SFF269" s="28"/>
      <c r="SFG269" s="28"/>
      <c r="SFH269" s="28"/>
      <c r="SFI269" s="28"/>
      <c r="SFJ269" s="28"/>
      <c r="SFK269" s="28"/>
      <c r="SFL269" s="28"/>
      <c r="SFM269" s="28"/>
      <c r="SFN269" s="28"/>
      <c r="SFO269" s="28"/>
      <c r="SFP269" s="28"/>
      <c r="SFQ269" s="28"/>
      <c r="SFR269" s="28"/>
      <c r="SFS269" s="28"/>
      <c r="SFT269" s="28"/>
      <c r="SFU269" s="28"/>
      <c r="SFV269" s="28"/>
      <c r="SFW269" s="28"/>
      <c r="SFX269" s="28"/>
      <c r="SFY269" s="28"/>
      <c r="SFZ269" s="28"/>
      <c r="SGA269" s="28"/>
      <c r="SGB269" s="28"/>
      <c r="SGC269" s="28"/>
      <c r="SGD269" s="28"/>
      <c r="SGE269" s="28"/>
      <c r="SGF269" s="28"/>
      <c r="SGG269" s="28"/>
      <c r="SGH269" s="28"/>
      <c r="SGI269" s="28"/>
      <c r="SGJ269" s="28"/>
      <c r="SGK269" s="28"/>
      <c r="SGL269" s="28"/>
      <c r="SGM269" s="28"/>
      <c r="SGN269" s="28"/>
      <c r="SGO269" s="28"/>
      <c r="SGP269" s="28"/>
      <c r="SGQ269" s="28"/>
      <c r="SGR269" s="28"/>
      <c r="SGS269" s="28"/>
      <c r="SGT269" s="28"/>
      <c r="SGU269" s="28"/>
      <c r="SGV269" s="28"/>
      <c r="SGW269" s="28"/>
      <c r="SGX269" s="28"/>
      <c r="SGY269" s="28"/>
      <c r="SGZ269" s="28"/>
      <c r="SHA269" s="28"/>
      <c r="SHB269" s="28"/>
      <c r="SHC269" s="28"/>
      <c r="SHD269" s="28"/>
      <c r="SHE269" s="28"/>
      <c r="SHF269" s="28"/>
      <c r="SHG269" s="28"/>
      <c r="SHH269" s="28"/>
      <c r="SHI269" s="28"/>
      <c r="SHJ269" s="28"/>
      <c r="SHK269" s="28"/>
      <c r="SHL269" s="28"/>
      <c r="SHM269" s="28"/>
      <c r="SHN269" s="28"/>
      <c r="SHO269" s="28"/>
      <c r="SHP269" s="28"/>
      <c r="SHQ269" s="28"/>
      <c r="SHR269" s="28"/>
      <c r="SHS269" s="28"/>
      <c r="SHT269" s="28"/>
      <c r="SHU269" s="28"/>
      <c r="SHV269" s="28"/>
      <c r="SHW269" s="28"/>
      <c r="SHX269" s="28"/>
      <c r="SHY269" s="28"/>
      <c r="SHZ269" s="28"/>
      <c r="SIA269" s="28"/>
      <c r="SIB269" s="28"/>
      <c r="SIC269" s="28"/>
      <c r="SID269" s="28"/>
      <c r="SIE269" s="28"/>
      <c r="SIF269" s="28"/>
      <c r="SIG269" s="28"/>
      <c r="SIH269" s="28"/>
      <c r="SII269" s="28"/>
      <c r="SIJ269" s="28"/>
      <c r="SIK269" s="28"/>
      <c r="SIL269" s="28"/>
      <c r="SIM269" s="28"/>
      <c r="SIN269" s="28"/>
      <c r="SIO269" s="28"/>
      <c r="SIP269" s="28"/>
      <c r="SIQ269" s="28"/>
      <c r="SIR269" s="28"/>
      <c r="SIS269" s="28"/>
      <c r="SIT269" s="28"/>
      <c r="SIU269" s="28"/>
      <c r="SIV269" s="28"/>
      <c r="SIW269" s="28"/>
      <c r="SIX269" s="28"/>
      <c r="SIY269" s="28"/>
      <c r="SIZ269" s="28"/>
      <c r="SJA269" s="28"/>
      <c r="SJB269" s="28"/>
      <c r="SJC269" s="28"/>
      <c r="SJD269" s="28"/>
      <c r="SJE269" s="28"/>
      <c r="SJF269" s="28"/>
      <c r="SJG269" s="28"/>
      <c r="SJH269" s="28"/>
      <c r="SJI269" s="28"/>
      <c r="SJJ269" s="28"/>
      <c r="SJK269" s="28"/>
      <c r="SJL269" s="28"/>
      <c r="SJM269" s="28"/>
      <c r="SJN269" s="28"/>
      <c r="SJO269" s="28"/>
      <c r="SJP269" s="28"/>
      <c r="SJQ269" s="28"/>
      <c r="SJR269" s="28"/>
      <c r="SJS269" s="28"/>
      <c r="SJT269" s="28"/>
      <c r="SJU269" s="28"/>
      <c r="SJV269" s="28"/>
      <c r="SJW269" s="28"/>
      <c r="SJX269" s="28"/>
      <c r="SJY269" s="28"/>
      <c r="SJZ269" s="28"/>
      <c r="SKA269" s="28"/>
      <c r="SKB269" s="28"/>
      <c r="SKC269" s="28"/>
      <c r="SKD269" s="28"/>
      <c r="SKE269" s="28"/>
      <c r="SKF269" s="28"/>
      <c r="SKG269" s="28"/>
      <c r="SKH269" s="28"/>
      <c r="SKI269" s="28"/>
      <c r="SKJ269" s="28"/>
      <c r="SKK269" s="28"/>
      <c r="SKL269" s="28"/>
      <c r="SKM269" s="28"/>
      <c r="SKN269" s="28"/>
      <c r="SKO269" s="28"/>
      <c r="SKP269" s="28"/>
      <c r="SKQ269" s="28"/>
      <c r="SKR269" s="28"/>
      <c r="SKS269" s="28"/>
      <c r="SKT269" s="28"/>
      <c r="SKU269" s="28"/>
      <c r="SKV269" s="28"/>
      <c r="SKW269" s="28"/>
      <c r="SKX269" s="28"/>
      <c r="SKY269" s="28"/>
      <c r="SKZ269" s="28"/>
      <c r="SLA269" s="28"/>
      <c r="SLB269" s="28"/>
      <c r="SLC269" s="28"/>
      <c r="SLD269" s="28"/>
      <c r="SLE269" s="28"/>
      <c r="SLF269" s="28"/>
      <c r="SLG269" s="28"/>
      <c r="SLH269" s="28"/>
      <c r="SLI269" s="28"/>
      <c r="SLJ269" s="28"/>
      <c r="SLK269" s="28"/>
      <c r="SLL269" s="28"/>
      <c r="SLM269" s="28"/>
      <c r="SLN269" s="28"/>
      <c r="SLO269" s="28"/>
      <c r="SLP269" s="28"/>
      <c r="SLQ269" s="28"/>
      <c r="SLR269" s="28"/>
      <c r="SLS269" s="28"/>
      <c r="SLT269" s="28"/>
      <c r="SLU269" s="28"/>
      <c r="SLV269" s="28"/>
      <c r="SLW269" s="28"/>
      <c r="SLX269" s="28"/>
      <c r="SLY269" s="28"/>
      <c r="SLZ269" s="28"/>
      <c r="SMA269" s="28"/>
      <c r="SMB269" s="28"/>
      <c r="SMC269" s="28"/>
      <c r="SMD269" s="28"/>
      <c r="SME269" s="28"/>
      <c r="SMF269" s="28"/>
      <c r="SMG269" s="28"/>
      <c r="SMH269" s="28"/>
      <c r="SMI269" s="28"/>
      <c r="SMJ269" s="28"/>
      <c r="SMK269" s="28"/>
      <c r="SML269" s="28"/>
      <c r="SMM269" s="28"/>
      <c r="SMN269" s="28"/>
      <c r="SMO269" s="28"/>
      <c r="SMP269" s="28"/>
      <c r="SMQ269" s="28"/>
      <c r="SMR269" s="28"/>
      <c r="SMS269" s="28"/>
      <c r="SMT269" s="28"/>
      <c r="SMU269" s="28"/>
      <c r="SMV269" s="28"/>
      <c r="SMW269" s="28"/>
      <c r="SMX269" s="28"/>
      <c r="SMY269" s="28"/>
      <c r="SMZ269" s="28"/>
      <c r="SNA269" s="28"/>
      <c r="SNB269" s="28"/>
      <c r="SNC269" s="28"/>
      <c r="SND269" s="28"/>
      <c r="SNE269" s="28"/>
      <c r="SNF269" s="28"/>
      <c r="SNG269" s="28"/>
      <c r="SNH269" s="28"/>
      <c r="SNI269" s="28"/>
      <c r="SNJ269" s="28"/>
      <c r="SNK269" s="28"/>
      <c r="SNL269" s="28"/>
      <c r="SNM269" s="28"/>
      <c r="SNN269" s="28"/>
      <c r="SNO269" s="28"/>
      <c r="SNP269" s="28"/>
      <c r="SNQ269" s="28"/>
      <c r="SNR269" s="28"/>
      <c r="SNS269" s="28"/>
      <c r="SNT269" s="28"/>
      <c r="SNU269" s="28"/>
      <c r="SNV269" s="28"/>
      <c r="SNW269" s="28"/>
      <c r="SNX269" s="28"/>
      <c r="SNY269" s="28"/>
      <c r="SNZ269" s="28"/>
      <c r="SOA269" s="28"/>
      <c r="SOB269" s="28"/>
      <c r="SOC269" s="28"/>
      <c r="SOD269" s="28"/>
      <c r="SOE269" s="28"/>
      <c r="SOF269" s="28"/>
      <c r="SOG269" s="28"/>
      <c r="SOH269" s="28"/>
      <c r="SOI269" s="28"/>
      <c r="SOJ269" s="28"/>
      <c r="SOK269" s="28"/>
      <c r="SOL269" s="28"/>
      <c r="SOM269" s="28"/>
      <c r="SON269" s="28"/>
      <c r="SOO269" s="28"/>
      <c r="SOP269" s="28"/>
      <c r="SOQ269" s="28"/>
      <c r="SOR269" s="28"/>
      <c r="SOS269" s="28"/>
      <c r="SOT269" s="28"/>
      <c r="SOU269" s="28"/>
      <c r="SOV269" s="28"/>
      <c r="SOW269" s="28"/>
      <c r="SOX269" s="28"/>
      <c r="SOY269" s="28"/>
      <c r="SOZ269" s="28"/>
      <c r="SPA269" s="28"/>
      <c r="SPB269" s="28"/>
      <c r="SPC269" s="28"/>
      <c r="SPD269" s="28"/>
      <c r="SPE269" s="28"/>
      <c r="SPF269" s="28"/>
      <c r="SPG269" s="28"/>
      <c r="SPH269" s="28"/>
      <c r="SPI269" s="28"/>
      <c r="SPJ269" s="28"/>
      <c r="SPK269" s="28"/>
      <c r="SPL269" s="28"/>
      <c r="SPM269" s="28"/>
      <c r="SPN269" s="28"/>
      <c r="SPO269" s="28"/>
      <c r="SPP269" s="28"/>
      <c r="SPQ269" s="28"/>
      <c r="SPR269" s="28"/>
      <c r="SPS269" s="28"/>
      <c r="SPT269" s="28"/>
      <c r="SPU269" s="28"/>
      <c r="SPV269" s="28"/>
      <c r="SPW269" s="28"/>
      <c r="SPX269" s="28"/>
      <c r="SPY269" s="28"/>
      <c r="SPZ269" s="28"/>
      <c r="SQA269" s="28"/>
      <c r="SQB269" s="28"/>
      <c r="SQC269" s="28"/>
      <c r="SQD269" s="28"/>
      <c r="SQE269" s="28"/>
      <c r="SQF269" s="28"/>
      <c r="SQG269" s="28"/>
      <c r="SQH269" s="28"/>
      <c r="SQI269" s="28"/>
      <c r="SQJ269" s="28"/>
      <c r="SQK269" s="28"/>
      <c r="SQL269" s="28"/>
      <c r="SQM269" s="28"/>
      <c r="SQN269" s="28"/>
      <c r="SQO269" s="28"/>
      <c r="SQP269" s="28"/>
      <c r="SQQ269" s="28"/>
      <c r="SQR269" s="28"/>
      <c r="SQS269" s="28"/>
      <c r="SQT269" s="28"/>
      <c r="SQU269" s="28"/>
      <c r="SQV269" s="28"/>
      <c r="SQW269" s="28"/>
      <c r="SQX269" s="28"/>
      <c r="SQY269" s="28"/>
      <c r="SQZ269" s="28"/>
      <c r="SRA269" s="28"/>
      <c r="SRB269" s="28"/>
      <c r="SRC269" s="28"/>
      <c r="SRD269" s="28"/>
      <c r="SRE269" s="28"/>
      <c r="SRF269" s="28"/>
      <c r="SRG269" s="28"/>
      <c r="SRH269" s="28"/>
      <c r="SRI269" s="28"/>
      <c r="SRJ269" s="28"/>
      <c r="SRK269" s="28"/>
      <c r="SRL269" s="28"/>
      <c r="SRM269" s="28"/>
      <c r="SRN269" s="28"/>
      <c r="SRO269" s="28"/>
      <c r="SRP269" s="28"/>
      <c r="SRQ269" s="28"/>
      <c r="SRR269" s="28"/>
      <c r="SRS269" s="28"/>
      <c r="SRT269" s="28"/>
      <c r="SRU269" s="28"/>
      <c r="SRV269" s="28"/>
      <c r="SRW269" s="28"/>
      <c r="SRX269" s="28"/>
      <c r="SRY269" s="28"/>
      <c r="SRZ269" s="28"/>
      <c r="SSA269" s="28"/>
      <c r="SSB269" s="28"/>
      <c r="SSC269" s="28"/>
      <c r="SSD269" s="28"/>
      <c r="SSE269" s="28"/>
      <c r="SSF269" s="28"/>
      <c r="SSG269" s="28"/>
      <c r="SSH269" s="28"/>
      <c r="SSI269" s="28"/>
      <c r="SSJ269" s="28"/>
      <c r="SSK269" s="28"/>
      <c r="SSL269" s="28"/>
      <c r="SSM269" s="28"/>
      <c r="SSN269" s="28"/>
      <c r="SSO269" s="28"/>
      <c r="SSP269" s="28"/>
      <c r="SSQ269" s="28"/>
      <c r="SSR269" s="28"/>
      <c r="SSS269" s="28"/>
      <c r="SST269" s="28"/>
      <c r="SSU269" s="28"/>
      <c r="SSV269" s="28"/>
      <c r="SSW269" s="28"/>
      <c r="SSX269" s="28"/>
      <c r="SSY269" s="28"/>
      <c r="SSZ269" s="28"/>
      <c r="STA269" s="28"/>
      <c r="STB269" s="28"/>
      <c r="STC269" s="28"/>
      <c r="STD269" s="28"/>
      <c r="STE269" s="28"/>
      <c r="STF269" s="28"/>
      <c r="STG269" s="28"/>
      <c r="STH269" s="28"/>
      <c r="STI269" s="28"/>
      <c r="STJ269" s="28"/>
      <c r="STK269" s="28"/>
      <c r="STL269" s="28"/>
      <c r="STM269" s="28"/>
      <c r="STN269" s="28"/>
      <c r="STO269" s="28"/>
      <c r="STP269" s="28"/>
      <c r="STQ269" s="28"/>
      <c r="STR269" s="28"/>
      <c r="STS269" s="28"/>
      <c r="STT269" s="28"/>
      <c r="STU269" s="28"/>
      <c r="STV269" s="28"/>
      <c r="STW269" s="28"/>
      <c r="STX269" s="28"/>
      <c r="STY269" s="28"/>
      <c r="STZ269" s="28"/>
      <c r="SUA269" s="28"/>
      <c r="SUB269" s="28"/>
      <c r="SUC269" s="28"/>
      <c r="SUD269" s="28"/>
      <c r="SUE269" s="28"/>
      <c r="SUF269" s="28"/>
      <c r="SUG269" s="28"/>
      <c r="SUH269" s="28"/>
      <c r="SUI269" s="28"/>
      <c r="SUJ269" s="28"/>
      <c r="SUK269" s="28"/>
      <c r="SUL269" s="28"/>
      <c r="SUM269" s="28"/>
      <c r="SUN269" s="28"/>
      <c r="SUO269" s="28"/>
      <c r="SUP269" s="28"/>
      <c r="SUQ269" s="28"/>
      <c r="SUR269" s="28"/>
      <c r="SUS269" s="28"/>
      <c r="SUT269" s="28"/>
      <c r="SUU269" s="28"/>
      <c r="SUV269" s="28"/>
      <c r="SUW269" s="28"/>
      <c r="SUX269" s="28"/>
      <c r="SUY269" s="28"/>
      <c r="SUZ269" s="28"/>
      <c r="SVA269" s="28"/>
      <c r="SVB269" s="28"/>
      <c r="SVC269" s="28"/>
      <c r="SVD269" s="28"/>
      <c r="SVE269" s="28"/>
      <c r="SVF269" s="28"/>
      <c r="SVG269" s="28"/>
      <c r="SVH269" s="28"/>
      <c r="SVI269" s="28"/>
      <c r="SVJ269" s="28"/>
      <c r="SVK269" s="28"/>
      <c r="SVL269" s="28"/>
      <c r="SVM269" s="28"/>
      <c r="SVN269" s="28"/>
      <c r="SVO269" s="28"/>
      <c r="SVP269" s="28"/>
      <c r="SVQ269" s="28"/>
      <c r="SVR269" s="28"/>
      <c r="SVS269" s="28"/>
      <c r="SVT269" s="28"/>
      <c r="SVU269" s="28"/>
      <c r="SVV269" s="28"/>
      <c r="SVW269" s="28"/>
      <c r="SVX269" s="28"/>
      <c r="SVY269" s="28"/>
      <c r="SVZ269" s="28"/>
      <c r="SWA269" s="28"/>
      <c r="SWB269" s="28"/>
      <c r="SWC269" s="28"/>
      <c r="SWD269" s="28"/>
      <c r="SWE269" s="28"/>
      <c r="SWF269" s="28"/>
      <c r="SWG269" s="28"/>
      <c r="SWH269" s="28"/>
      <c r="SWI269" s="28"/>
      <c r="SWJ269" s="28"/>
      <c r="SWK269" s="28"/>
      <c r="SWL269" s="28"/>
      <c r="SWM269" s="28"/>
      <c r="SWN269" s="28"/>
      <c r="SWO269" s="28"/>
      <c r="SWP269" s="28"/>
      <c r="SWQ269" s="28"/>
      <c r="SWR269" s="28"/>
      <c r="SWS269" s="28"/>
      <c r="SWT269" s="28"/>
      <c r="SWU269" s="28"/>
      <c r="SWV269" s="28"/>
      <c r="SWW269" s="28"/>
      <c r="SWX269" s="28"/>
      <c r="SWY269" s="28"/>
      <c r="SWZ269" s="28"/>
      <c r="SXA269" s="28"/>
      <c r="SXB269" s="28"/>
      <c r="SXC269" s="28"/>
      <c r="SXD269" s="28"/>
      <c r="SXE269" s="28"/>
      <c r="SXF269" s="28"/>
      <c r="SXG269" s="28"/>
      <c r="SXH269" s="28"/>
      <c r="SXI269" s="28"/>
      <c r="SXJ269" s="28"/>
      <c r="SXK269" s="28"/>
      <c r="SXL269" s="28"/>
      <c r="SXM269" s="28"/>
      <c r="SXN269" s="28"/>
      <c r="SXO269" s="28"/>
      <c r="SXP269" s="28"/>
      <c r="SXQ269" s="28"/>
      <c r="SXR269" s="28"/>
      <c r="SXS269" s="28"/>
      <c r="SXT269" s="28"/>
      <c r="SXU269" s="28"/>
      <c r="SXV269" s="28"/>
      <c r="SXW269" s="28"/>
      <c r="SXX269" s="28"/>
      <c r="SXY269" s="28"/>
      <c r="SXZ269" s="28"/>
      <c r="SYA269" s="28"/>
      <c r="SYB269" s="28"/>
      <c r="SYC269" s="28"/>
      <c r="SYD269" s="28"/>
      <c r="SYE269" s="28"/>
      <c r="SYF269" s="28"/>
      <c r="SYG269" s="28"/>
      <c r="SYH269" s="28"/>
      <c r="SYI269" s="28"/>
      <c r="SYJ269" s="28"/>
      <c r="SYK269" s="28"/>
      <c r="SYL269" s="28"/>
      <c r="SYM269" s="28"/>
      <c r="SYN269" s="28"/>
      <c r="SYO269" s="28"/>
      <c r="SYP269" s="28"/>
      <c r="SYQ269" s="28"/>
      <c r="SYR269" s="28"/>
      <c r="SYS269" s="28"/>
      <c r="SYT269" s="28"/>
      <c r="SYU269" s="28"/>
      <c r="SYV269" s="28"/>
      <c r="SYW269" s="28"/>
      <c r="SYX269" s="28"/>
      <c r="SYY269" s="28"/>
      <c r="SYZ269" s="28"/>
      <c r="SZA269" s="28"/>
      <c r="SZB269" s="28"/>
      <c r="SZC269" s="28"/>
      <c r="SZD269" s="28"/>
      <c r="SZE269" s="28"/>
      <c r="SZF269" s="28"/>
      <c r="SZG269" s="28"/>
      <c r="SZH269" s="28"/>
      <c r="SZI269" s="28"/>
      <c r="SZJ269" s="28"/>
      <c r="SZK269" s="28"/>
      <c r="SZL269" s="28"/>
      <c r="SZM269" s="28"/>
      <c r="SZN269" s="28"/>
      <c r="SZO269" s="28"/>
      <c r="SZP269" s="28"/>
      <c r="SZQ269" s="28"/>
      <c r="SZR269" s="28"/>
      <c r="SZS269" s="28"/>
      <c r="SZT269" s="28"/>
      <c r="SZU269" s="28"/>
      <c r="SZV269" s="28"/>
      <c r="SZW269" s="28"/>
      <c r="SZX269" s="28"/>
      <c r="SZY269" s="28"/>
      <c r="SZZ269" s="28"/>
      <c r="TAA269" s="28"/>
      <c r="TAB269" s="28"/>
      <c r="TAC269" s="28"/>
      <c r="TAD269" s="28"/>
      <c r="TAE269" s="28"/>
      <c r="TAF269" s="28"/>
      <c r="TAG269" s="28"/>
      <c r="TAH269" s="28"/>
      <c r="TAI269" s="28"/>
      <c r="TAJ269" s="28"/>
      <c r="TAK269" s="28"/>
      <c r="TAL269" s="28"/>
      <c r="TAM269" s="28"/>
      <c r="TAN269" s="28"/>
      <c r="TAO269" s="28"/>
      <c r="TAP269" s="28"/>
      <c r="TAQ269" s="28"/>
      <c r="TAR269" s="28"/>
      <c r="TAS269" s="28"/>
      <c r="TAT269" s="28"/>
      <c r="TAU269" s="28"/>
      <c r="TAV269" s="28"/>
      <c r="TAW269" s="28"/>
      <c r="TAX269" s="28"/>
      <c r="TAY269" s="28"/>
      <c r="TAZ269" s="28"/>
      <c r="TBA269" s="28"/>
      <c r="TBB269" s="28"/>
      <c r="TBC269" s="28"/>
      <c r="TBD269" s="28"/>
      <c r="TBE269" s="28"/>
      <c r="TBF269" s="28"/>
      <c r="TBG269" s="28"/>
      <c r="TBH269" s="28"/>
      <c r="TBI269" s="28"/>
      <c r="TBJ269" s="28"/>
      <c r="TBK269" s="28"/>
      <c r="TBL269" s="28"/>
      <c r="TBM269" s="28"/>
      <c r="TBN269" s="28"/>
      <c r="TBO269" s="28"/>
      <c r="TBP269" s="28"/>
      <c r="TBQ269" s="28"/>
      <c r="TBR269" s="28"/>
      <c r="TBS269" s="28"/>
      <c r="TBT269" s="28"/>
      <c r="TBU269" s="28"/>
      <c r="TBV269" s="28"/>
      <c r="TBW269" s="28"/>
      <c r="TBX269" s="28"/>
      <c r="TBY269" s="28"/>
      <c r="TBZ269" s="28"/>
      <c r="TCA269" s="28"/>
      <c r="TCB269" s="28"/>
      <c r="TCC269" s="28"/>
      <c r="TCD269" s="28"/>
      <c r="TCE269" s="28"/>
      <c r="TCF269" s="28"/>
      <c r="TCG269" s="28"/>
      <c r="TCH269" s="28"/>
      <c r="TCI269" s="28"/>
      <c r="TCJ269" s="28"/>
      <c r="TCK269" s="28"/>
      <c r="TCL269" s="28"/>
      <c r="TCM269" s="28"/>
      <c r="TCN269" s="28"/>
      <c r="TCO269" s="28"/>
      <c r="TCP269" s="28"/>
      <c r="TCQ269" s="28"/>
      <c r="TCR269" s="28"/>
      <c r="TCS269" s="28"/>
      <c r="TCT269" s="28"/>
      <c r="TCU269" s="28"/>
      <c r="TCV269" s="28"/>
      <c r="TCW269" s="28"/>
      <c r="TCX269" s="28"/>
      <c r="TCY269" s="28"/>
      <c r="TCZ269" s="28"/>
      <c r="TDA269" s="28"/>
      <c r="TDB269" s="28"/>
      <c r="TDC269" s="28"/>
      <c r="TDD269" s="28"/>
      <c r="TDE269" s="28"/>
      <c r="TDF269" s="28"/>
      <c r="TDG269" s="28"/>
      <c r="TDH269" s="28"/>
      <c r="TDI269" s="28"/>
      <c r="TDJ269" s="28"/>
      <c r="TDK269" s="28"/>
      <c r="TDL269" s="28"/>
      <c r="TDM269" s="28"/>
      <c r="TDN269" s="28"/>
      <c r="TDO269" s="28"/>
      <c r="TDP269" s="28"/>
      <c r="TDQ269" s="28"/>
      <c r="TDR269" s="28"/>
      <c r="TDS269" s="28"/>
      <c r="TDT269" s="28"/>
      <c r="TDU269" s="28"/>
      <c r="TDV269" s="28"/>
      <c r="TDW269" s="28"/>
      <c r="TDX269" s="28"/>
      <c r="TDY269" s="28"/>
      <c r="TDZ269" s="28"/>
      <c r="TEA269" s="28"/>
      <c r="TEB269" s="28"/>
      <c r="TEC269" s="28"/>
      <c r="TED269" s="28"/>
      <c r="TEE269" s="28"/>
      <c r="TEF269" s="28"/>
      <c r="TEG269" s="28"/>
      <c r="TEH269" s="28"/>
      <c r="TEI269" s="28"/>
      <c r="TEJ269" s="28"/>
      <c r="TEK269" s="28"/>
      <c r="TEL269" s="28"/>
      <c r="TEM269" s="28"/>
      <c r="TEN269" s="28"/>
      <c r="TEO269" s="28"/>
      <c r="TEP269" s="28"/>
      <c r="TEQ269" s="28"/>
      <c r="TER269" s="28"/>
      <c r="TES269" s="28"/>
      <c r="TET269" s="28"/>
      <c r="TEU269" s="28"/>
      <c r="TEV269" s="28"/>
      <c r="TEW269" s="28"/>
      <c r="TEX269" s="28"/>
      <c r="TEY269" s="28"/>
      <c r="TEZ269" s="28"/>
      <c r="TFA269" s="28"/>
      <c r="TFB269" s="28"/>
      <c r="TFC269" s="28"/>
      <c r="TFD269" s="28"/>
      <c r="TFE269" s="28"/>
      <c r="TFF269" s="28"/>
      <c r="TFG269" s="28"/>
      <c r="TFH269" s="28"/>
      <c r="TFI269" s="28"/>
      <c r="TFJ269" s="28"/>
      <c r="TFK269" s="28"/>
      <c r="TFL269" s="28"/>
      <c r="TFM269" s="28"/>
      <c r="TFN269" s="28"/>
      <c r="TFO269" s="28"/>
      <c r="TFP269" s="28"/>
      <c r="TFQ269" s="28"/>
      <c r="TFR269" s="28"/>
      <c r="TFS269" s="28"/>
      <c r="TFT269" s="28"/>
      <c r="TFU269" s="28"/>
      <c r="TFV269" s="28"/>
      <c r="TFW269" s="28"/>
      <c r="TFX269" s="28"/>
      <c r="TFY269" s="28"/>
      <c r="TFZ269" s="28"/>
      <c r="TGA269" s="28"/>
      <c r="TGB269" s="28"/>
      <c r="TGC269" s="28"/>
      <c r="TGD269" s="28"/>
      <c r="TGE269" s="28"/>
      <c r="TGF269" s="28"/>
      <c r="TGG269" s="28"/>
      <c r="TGH269" s="28"/>
      <c r="TGI269" s="28"/>
      <c r="TGJ269" s="28"/>
      <c r="TGK269" s="28"/>
      <c r="TGL269" s="28"/>
      <c r="TGM269" s="28"/>
      <c r="TGN269" s="28"/>
      <c r="TGO269" s="28"/>
      <c r="TGP269" s="28"/>
      <c r="TGQ269" s="28"/>
      <c r="TGR269" s="28"/>
      <c r="TGS269" s="28"/>
      <c r="TGT269" s="28"/>
      <c r="TGU269" s="28"/>
      <c r="TGV269" s="28"/>
      <c r="TGW269" s="28"/>
      <c r="TGX269" s="28"/>
      <c r="TGY269" s="28"/>
      <c r="TGZ269" s="28"/>
      <c r="THA269" s="28"/>
      <c r="THB269" s="28"/>
      <c r="THC269" s="28"/>
      <c r="THD269" s="28"/>
      <c r="THE269" s="28"/>
      <c r="THF269" s="28"/>
      <c r="THG269" s="28"/>
      <c r="THH269" s="28"/>
      <c r="THI269" s="28"/>
      <c r="THJ269" s="28"/>
      <c r="THK269" s="28"/>
      <c r="THL269" s="28"/>
      <c r="THM269" s="28"/>
      <c r="THN269" s="28"/>
      <c r="THO269" s="28"/>
      <c r="THP269" s="28"/>
      <c r="THQ269" s="28"/>
      <c r="THR269" s="28"/>
      <c r="THS269" s="28"/>
      <c r="THT269" s="28"/>
      <c r="THU269" s="28"/>
      <c r="THV269" s="28"/>
      <c r="THW269" s="28"/>
      <c r="THX269" s="28"/>
      <c r="THY269" s="28"/>
      <c r="THZ269" s="28"/>
      <c r="TIA269" s="28"/>
      <c r="TIB269" s="28"/>
      <c r="TIC269" s="28"/>
      <c r="TID269" s="28"/>
      <c r="TIE269" s="28"/>
      <c r="TIF269" s="28"/>
      <c r="TIG269" s="28"/>
      <c r="TIH269" s="28"/>
      <c r="TII269" s="28"/>
      <c r="TIJ269" s="28"/>
      <c r="TIK269" s="28"/>
      <c r="TIL269" s="28"/>
      <c r="TIM269" s="28"/>
      <c r="TIN269" s="28"/>
      <c r="TIO269" s="28"/>
      <c r="TIP269" s="28"/>
      <c r="TIQ269" s="28"/>
      <c r="TIR269" s="28"/>
      <c r="TIS269" s="28"/>
      <c r="TIT269" s="28"/>
      <c r="TIU269" s="28"/>
      <c r="TIV269" s="28"/>
      <c r="TIW269" s="28"/>
      <c r="TIX269" s="28"/>
      <c r="TIY269" s="28"/>
      <c r="TIZ269" s="28"/>
      <c r="TJA269" s="28"/>
      <c r="TJB269" s="28"/>
      <c r="TJC269" s="28"/>
      <c r="TJD269" s="28"/>
      <c r="TJE269" s="28"/>
      <c r="TJF269" s="28"/>
      <c r="TJG269" s="28"/>
      <c r="TJH269" s="28"/>
      <c r="TJI269" s="28"/>
      <c r="TJJ269" s="28"/>
      <c r="TJK269" s="28"/>
      <c r="TJL269" s="28"/>
      <c r="TJM269" s="28"/>
      <c r="TJN269" s="28"/>
      <c r="TJO269" s="28"/>
      <c r="TJP269" s="28"/>
      <c r="TJQ269" s="28"/>
      <c r="TJR269" s="28"/>
      <c r="TJS269" s="28"/>
      <c r="TJT269" s="28"/>
      <c r="TJU269" s="28"/>
      <c r="TJV269" s="28"/>
      <c r="TJW269" s="28"/>
      <c r="TJX269" s="28"/>
      <c r="TJY269" s="28"/>
      <c r="TJZ269" s="28"/>
      <c r="TKA269" s="28"/>
      <c r="TKB269" s="28"/>
      <c r="TKC269" s="28"/>
      <c r="TKD269" s="28"/>
      <c r="TKE269" s="28"/>
      <c r="TKF269" s="28"/>
      <c r="TKG269" s="28"/>
      <c r="TKH269" s="28"/>
      <c r="TKI269" s="28"/>
      <c r="TKJ269" s="28"/>
      <c r="TKK269" s="28"/>
      <c r="TKL269" s="28"/>
      <c r="TKM269" s="28"/>
      <c r="TKN269" s="28"/>
      <c r="TKO269" s="28"/>
      <c r="TKP269" s="28"/>
      <c r="TKQ269" s="28"/>
      <c r="TKR269" s="28"/>
      <c r="TKS269" s="28"/>
      <c r="TKT269" s="28"/>
      <c r="TKU269" s="28"/>
      <c r="TKV269" s="28"/>
      <c r="TKW269" s="28"/>
      <c r="TKX269" s="28"/>
      <c r="TKY269" s="28"/>
      <c r="TKZ269" s="28"/>
      <c r="TLA269" s="28"/>
      <c r="TLB269" s="28"/>
      <c r="TLC269" s="28"/>
      <c r="TLD269" s="28"/>
      <c r="TLE269" s="28"/>
      <c r="TLF269" s="28"/>
      <c r="TLG269" s="28"/>
      <c r="TLH269" s="28"/>
      <c r="TLI269" s="28"/>
      <c r="TLJ269" s="28"/>
      <c r="TLK269" s="28"/>
      <c r="TLL269" s="28"/>
      <c r="TLM269" s="28"/>
      <c r="TLN269" s="28"/>
      <c r="TLO269" s="28"/>
      <c r="TLP269" s="28"/>
      <c r="TLQ269" s="28"/>
      <c r="TLR269" s="28"/>
      <c r="TLS269" s="28"/>
      <c r="TLT269" s="28"/>
      <c r="TLU269" s="28"/>
      <c r="TLV269" s="28"/>
      <c r="TLW269" s="28"/>
      <c r="TLX269" s="28"/>
      <c r="TLY269" s="28"/>
      <c r="TLZ269" s="28"/>
      <c r="TMA269" s="28"/>
      <c r="TMB269" s="28"/>
      <c r="TMC269" s="28"/>
      <c r="TMD269" s="28"/>
      <c r="TME269" s="28"/>
      <c r="TMF269" s="28"/>
      <c r="TMG269" s="28"/>
      <c r="TMH269" s="28"/>
      <c r="TMI269" s="28"/>
      <c r="TMJ269" s="28"/>
      <c r="TMK269" s="28"/>
      <c r="TML269" s="28"/>
      <c r="TMM269" s="28"/>
      <c r="TMN269" s="28"/>
      <c r="TMO269" s="28"/>
      <c r="TMP269" s="28"/>
      <c r="TMQ269" s="28"/>
      <c r="TMR269" s="28"/>
      <c r="TMS269" s="28"/>
      <c r="TMT269" s="28"/>
      <c r="TMU269" s="28"/>
      <c r="TMV269" s="28"/>
      <c r="TMW269" s="28"/>
      <c r="TMX269" s="28"/>
      <c r="TMY269" s="28"/>
      <c r="TMZ269" s="28"/>
      <c r="TNA269" s="28"/>
      <c r="TNB269" s="28"/>
      <c r="TNC269" s="28"/>
      <c r="TND269" s="28"/>
      <c r="TNE269" s="28"/>
      <c r="TNF269" s="28"/>
      <c r="TNG269" s="28"/>
      <c r="TNH269" s="28"/>
      <c r="TNI269" s="28"/>
      <c r="TNJ269" s="28"/>
      <c r="TNK269" s="28"/>
      <c r="TNL269" s="28"/>
      <c r="TNM269" s="28"/>
      <c r="TNN269" s="28"/>
      <c r="TNO269" s="28"/>
      <c r="TNP269" s="28"/>
      <c r="TNQ269" s="28"/>
      <c r="TNR269" s="28"/>
      <c r="TNS269" s="28"/>
      <c r="TNT269" s="28"/>
      <c r="TNU269" s="28"/>
      <c r="TNV269" s="28"/>
      <c r="TNW269" s="28"/>
      <c r="TNX269" s="28"/>
      <c r="TNY269" s="28"/>
      <c r="TNZ269" s="28"/>
      <c r="TOA269" s="28"/>
      <c r="TOB269" s="28"/>
      <c r="TOC269" s="28"/>
      <c r="TOD269" s="28"/>
      <c r="TOE269" s="28"/>
      <c r="TOF269" s="28"/>
      <c r="TOG269" s="28"/>
      <c r="TOH269" s="28"/>
      <c r="TOI269" s="28"/>
      <c r="TOJ269" s="28"/>
      <c r="TOK269" s="28"/>
      <c r="TOL269" s="28"/>
      <c r="TOM269" s="28"/>
      <c r="TON269" s="28"/>
      <c r="TOO269" s="28"/>
      <c r="TOP269" s="28"/>
      <c r="TOQ269" s="28"/>
      <c r="TOR269" s="28"/>
      <c r="TOS269" s="28"/>
      <c r="TOT269" s="28"/>
      <c r="TOU269" s="28"/>
      <c r="TOV269" s="28"/>
      <c r="TOW269" s="28"/>
      <c r="TOX269" s="28"/>
      <c r="TOY269" s="28"/>
      <c r="TOZ269" s="28"/>
      <c r="TPA269" s="28"/>
      <c r="TPB269" s="28"/>
      <c r="TPC269" s="28"/>
      <c r="TPD269" s="28"/>
      <c r="TPE269" s="28"/>
      <c r="TPF269" s="28"/>
      <c r="TPG269" s="28"/>
      <c r="TPH269" s="28"/>
      <c r="TPI269" s="28"/>
      <c r="TPJ269" s="28"/>
      <c r="TPK269" s="28"/>
      <c r="TPL269" s="28"/>
      <c r="TPM269" s="28"/>
      <c r="TPN269" s="28"/>
      <c r="TPO269" s="28"/>
      <c r="TPP269" s="28"/>
      <c r="TPQ269" s="28"/>
      <c r="TPR269" s="28"/>
      <c r="TPS269" s="28"/>
      <c r="TPT269" s="28"/>
      <c r="TPU269" s="28"/>
      <c r="TPV269" s="28"/>
      <c r="TPW269" s="28"/>
      <c r="TPX269" s="28"/>
      <c r="TPY269" s="28"/>
      <c r="TPZ269" s="28"/>
      <c r="TQA269" s="28"/>
      <c r="TQB269" s="28"/>
      <c r="TQC269" s="28"/>
      <c r="TQD269" s="28"/>
      <c r="TQE269" s="28"/>
      <c r="TQF269" s="28"/>
      <c r="TQG269" s="28"/>
      <c r="TQH269" s="28"/>
      <c r="TQI269" s="28"/>
      <c r="TQJ269" s="28"/>
      <c r="TQK269" s="28"/>
      <c r="TQL269" s="28"/>
      <c r="TQM269" s="28"/>
      <c r="TQN269" s="28"/>
      <c r="TQO269" s="28"/>
      <c r="TQP269" s="28"/>
      <c r="TQQ269" s="28"/>
      <c r="TQR269" s="28"/>
      <c r="TQS269" s="28"/>
      <c r="TQT269" s="28"/>
      <c r="TQU269" s="28"/>
      <c r="TQV269" s="28"/>
      <c r="TQW269" s="28"/>
      <c r="TQX269" s="28"/>
      <c r="TQY269" s="28"/>
      <c r="TQZ269" s="28"/>
      <c r="TRA269" s="28"/>
      <c r="TRB269" s="28"/>
      <c r="TRC269" s="28"/>
      <c r="TRD269" s="28"/>
      <c r="TRE269" s="28"/>
      <c r="TRF269" s="28"/>
      <c r="TRG269" s="28"/>
      <c r="TRH269" s="28"/>
      <c r="TRI269" s="28"/>
      <c r="TRJ269" s="28"/>
      <c r="TRK269" s="28"/>
      <c r="TRL269" s="28"/>
      <c r="TRM269" s="28"/>
      <c r="TRN269" s="28"/>
      <c r="TRO269" s="28"/>
      <c r="TRP269" s="28"/>
      <c r="TRQ269" s="28"/>
      <c r="TRR269" s="28"/>
      <c r="TRS269" s="28"/>
      <c r="TRT269" s="28"/>
      <c r="TRU269" s="28"/>
      <c r="TRV269" s="28"/>
      <c r="TRW269" s="28"/>
      <c r="TRX269" s="28"/>
      <c r="TRY269" s="28"/>
      <c r="TRZ269" s="28"/>
      <c r="TSA269" s="28"/>
      <c r="TSB269" s="28"/>
      <c r="TSC269" s="28"/>
      <c r="TSD269" s="28"/>
      <c r="TSE269" s="28"/>
      <c r="TSF269" s="28"/>
      <c r="TSG269" s="28"/>
      <c r="TSH269" s="28"/>
      <c r="TSI269" s="28"/>
      <c r="TSJ269" s="28"/>
      <c r="TSK269" s="28"/>
      <c r="TSL269" s="28"/>
      <c r="TSM269" s="28"/>
      <c r="TSN269" s="28"/>
      <c r="TSO269" s="28"/>
      <c r="TSP269" s="28"/>
      <c r="TSQ269" s="28"/>
      <c r="TSR269" s="28"/>
      <c r="TSS269" s="28"/>
      <c r="TST269" s="28"/>
      <c r="TSU269" s="28"/>
      <c r="TSV269" s="28"/>
      <c r="TSW269" s="28"/>
      <c r="TSX269" s="28"/>
      <c r="TSY269" s="28"/>
      <c r="TSZ269" s="28"/>
      <c r="TTA269" s="28"/>
      <c r="TTB269" s="28"/>
      <c r="TTC269" s="28"/>
      <c r="TTD269" s="28"/>
      <c r="TTE269" s="28"/>
      <c r="TTF269" s="28"/>
      <c r="TTG269" s="28"/>
      <c r="TTH269" s="28"/>
      <c r="TTI269" s="28"/>
      <c r="TTJ269" s="28"/>
      <c r="TTK269" s="28"/>
      <c r="TTL269" s="28"/>
      <c r="TTM269" s="28"/>
      <c r="TTN269" s="28"/>
      <c r="TTO269" s="28"/>
      <c r="TTP269" s="28"/>
      <c r="TTQ269" s="28"/>
      <c r="TTR269" s="28"/>
      <c r="TTS269" s="28"/>
      <c r="TTT269" s="28"/>
      <c r="TTU269" s="28"/>
      <c r="TTV269" s="28"/>
      <c r="TTW269" s="28"/>
      <c r="TTX269" s="28"/>
      <c r="TTY269" s="28"/>
      <c r="TTZ269" s="28"/>
      <c r="TUA269" s="28"/>
      <c r="TUB269" s="28"/>
      <c r="TUC269" s="28"/>
      <c r="TUD269" s="28"/>
      <c r="TUE269" s="28"/>
      <c r="TUF269" s="28"/>
      <c r="TUG269" s="28"/>
      <c r="TUH269" s="28"/>
      <c r="TUI269" s="28"/>
      <c r="TUJ269" s="28"/>
      <c r="TUK269" s="28"/>
      <c r="TUL269" s="28"/>
      <c r="TUM269" s="28"/>
      <c r="TUN269" s="28"/>
      <c r="TUO269" s="28"/>
      <c r="TUP269" s="28"/>
      <c r="TUQ269" s="28"/>
      <c r="TUR269" s="28"/>
      <c r="TUS269" s="28"/>
      <c r="TUT269" s="28"/>
      <c r="TUU269" s="28"/>
      <c r="TUV269" s="28"/>
      <c r="TUW269" s="28"/>
      <c r="TUX269" s="28"/>
      <c r="TUY269" s="28"/>
      <c r="TUZ269" s="28"/>
      <c r="TVA269" s="28"/>
      <c r="TVB269" s="28"/>
      <c r="TVC269" s="28"/>
      <c r="TVD269" s="28"/>
      <c r="TVE269" s="28"/>
      <c r="TVF269" s="28"/>
      <c r="TVG269" s="28"/>
      <c r="TVH269" s="28"/>
      <c r="TVI269" s="28"/>
      <c r="TVJ269" s="28"/>
      <c r="TVK269" s="28"/>
      <c r="TVL269" s="28"/>
      <c r="TVM269" s="28"/>
      <c r="TVN269" s="28"/>
      <c r="TVO269" s="28"/>
      <c r="TVP269" s="28"/>
      <c r="TVQ269" s="28"/>
      <c r="TVR269" s="28"/>
      <c r="TVS269" s="28"/>
      <c r="TVT269" s="28"/>
      <c r="TVU269" s="28"/>
      <c r="TVV269" s="28"/>
      <c r="TVW269" s="28"/>
      <c r="TVX269" s="28"/>
      <c r="TVY269" s="28"/>
      <c r="TVZ269" s="28"/>
      <c r="TWA269" s="28"/>
      <c r="TWB269" s="28"/>
      <c r="TWC269" s="28"/>
      <c r="TWD269" s="28"/>
      <c r="TWE269" s="28"/>
      <c r="TWF269" s="28"/>
      <c r="TWG269" s="28"/>
      <c r="TWH269" s="28"/>
      <c r="TWI269" s="28"/>
      <c r="TWJ269" s="28"/>
      <c r="TWK269" s="28"/>
      <c r="TWL269" s="28"/>
      <c r="TWM269" s="28"/>
      <c r="TWN269" s="28"/>
      <c r="TWO269" s="28"/>
      <c r="TWP269" s="28"/>
      <c r="TWQ269" s="28"/>
      <c r="TWR269" s="28"/>
      <c r="TWS269" s="28"/>
      <c r="TWT269" s="28"/>
      <c r="TWU269" s="28"/>
      <c r="TWV269" s="28"/>
      <c r="TWW269" s="28"/>
      <c r="TWX269" s="28"/>
      <c r="TWY269" s="28"/>
      <c r="TWZ269" s="28"/>
      <c r="TXA269" s="28"/>
      <c r="TXB269" s="28"/>
      <c r="TXC269" s="28"/>
      <c r="TXD269" s="28"/>
      <c r="TXE269" s="28"/>
      <c r="TXF269" s="28"/>
      <c r="TXG269" s="28"/>
      <c r="TXH269" s="28"/>
      <c r="TXI269" s="28"/>
      <c r="TXJ269" s="28"/>
      <c r="TXK269" s="28"/>
      <c r="TXL269" s="28"/>
      <c r="TXM269" s="28"/>
      <c r="TXN269" s="28"/>
      <c r="TXO269" s="28"/>
      <c r="TXP269" s="28"/>
      <c r="TXQ269" s="28"/>
      <c r="TXR269" s="28"/>
      <c r="TXS269" s="28"/>
      <c r="TXT269" s="28"/>
      <c r="TXU269" s="28"/>
      <c r="TXV269" s="28"/>
      <c r="TXW269" s="28"/>
      <c r="TXX269" s="28"/>
      <c r="TXY269" s="28"/>
      <c r="TXZ269" s="28"/>
      <c r="TYA269" s="28"/>
      <c r="TYB269" s="28"/>
      <c r="TYC269" s="28"/>
      <c r="TYD269" s="28"/>
      <c r="TYE269" s="28"/>
      <c r="TYF269" s="28"/>
      <c r="TYG269" s="28"/>
      <c r="TYH269" s="28"/>
      <c r="TYI269" s="28"/>
      <c r="TYJ269" s="28"/>
      <c r="TYK269" s="28"/>
      <c r="TYL269" s="28"/>
      <c r="TYM269" s="28"/>
      <c r="TYN269" s="28"/>
      <c r="TYO269" s="28"/>
      <c r="TYP269" s="28"/>
      <c r="TYQ269" s="28"/>
      <c r="TYR269" s="28"/>
      <c r="TYS269" s="28"/>
      <c r="TYT269" s="28"/>
      <c r="TYU269" s="28"/>
      <c r="TYV269" s="28"/>
      <c r="TYW269" s="28"/>
      <c r="TYX269" s="28"/>
      <c r="TYY269" s="28"/>
      <c r="TYZ269" s="28"/>
      <c r="TZA269" s="28"/>
      <c r="TZB269" s="28"/>
      <c r="TZC269" s="28"/>
      <c r="TZD269" s="28"/>
      <c r="TZE269" s="28"/>
      <c r="TZF269" s="28"/>
      <c r="TZG269" s="28"/>
      <c r="TZH269" s="28"/>
      <c r="TZI269" s="28"/>
      <c r="TZJ269" s="28"/>
      <c r="TZK269" s="28"/>
      <c r="TZL269" s="28"/>
      <c r="TZM269" s="28"/>
      <c r="TZN269" s="28"/>
      <c r="TZO269" s="28"/>
      <c r="TZP269" s="28"/>
      <c r="TZQ269" s="28"/>
      <c r="TZR269" s="28"/>
      <c r="TZS269" s="28"/>
      <c r="TZT269" s="28"/>
      <c r="TZU269" s="28"/>
      <c r="TZV269" s="28"/>
      <c r="TZW269" s="28"/>
      <c r="TZX269" s="28"/>
      <c r="TZY269" s="28"/>
      <c r="TZZ269" s="28"/>
      <c r="UAA269" s="28"/>
      <c r="UAB269" s="28"/>
      <c r="UAC269" s="28"/>
      <c r="UAD269" s="28"/>
      <c r="UAE269" s="28"/>
      <c r="UAF269" s="28"/>
      <c r="UAG269" s="28"/>
      <c r="UAH269" s="28"/>
      <c r="UAI269" s="28"/>
      <c r="UAJ269" s="28"/>
      <c r="UAK269" s="28"/>
      <c r="UAL269" s="28"/>
      <c r="UAM269" s="28"/>
      <c r="UAN269" s="28"/>
      <c r="UAO269" s="28"/>
      <c r="UAP269" s="28"/>
      <c r="UAQ269" s="28"/>
      <c r="UAR269" s="28"/>
      <c r="UAS269" s="28"/>
      <c r="UAT269" s="28"/>
      <c r="UAU269" s="28"/>
      <c r="UAV269" s="28"/>
      <c r="UAW269" s="28"/>
      <c r="UAX269" s="28"/>
      <c r="UAY269" s="28"/>
      <c r="UAZ269" s="28"/>
      <c r="UBA269" s="28"/>
      <c r="UBB269" s="28"/>
      <c r="UBC269" s="28"/>
      <c r="UBD269" s="28"/>
      <c r="UBE269" s="28"/>
      <c r="UBF269" s="28"/>
      <c r="UBG269" s="28"/>
      <c r="UBH269" s="28"/>
      <c r="UBI269" s="28"/>
      <c r="UBJ269" s="28"/>
      <c r="UBK269" s="28"/>
      <c r="UBL269" s="28"/>
      <c r="UBM269" s="28"/>
      <c r="UBN269" s="28"/>
      <c r="UBO269" s="28"/>
      <c r="UBP269" s="28"/>
      <c r="UBQ269" s="28"/>
      <c r="UBR269" s="28"/>
      <c r="UBS269" s="28"/>
      <c r="UBT269" s="28"/>
      <c r="UBU269" s="28"/>
      <c r="UBV269" s="28"/>
      <c r="UBW269" s="28"/>
      <c r="UBX269" s="28"/>
      <c r="UBY269" s="28"/>
      <c r="UBZ269" s="28"/>
      <c r="UCA269" s="28"/>
      <c r="UCB269" s="28"/>
      <c r="UCC269" s="28"/>
      <c r="UCD269" s="28"/>
      <c r="UCE269" s="28"/>
      <c r="UCF269" s="28"/>
      <c r="UCG269" s="28"/>
      <c r="UCH269" s="28"/>
      <c r="UCI269" s="28"/>
      <c r="UCJ269" s="28"/>
      <c r="UCK269" s="28"/>
      <c r="UCL269" s="28"/>
      <c r="UCM269" s="28"/>
      <c r="UCN269" s="28"/>
      <c r="UCO269" s="28"/>
      <c r="UCP269" s="28"/>
      <c r="UCQ269" s="28"/>
      <c r="UCR269" s="28"/>
      <c r="UCS269" s="28"/>
      <c r="UCT269" s="28"/>
      <c r="UCU269" s="28"/>
      <c r="UCV269" s="28"/>
      <c r="UCW269" s="28"/>
      <c r="UCX269" s="28"/>
      <c r="UCY269" s="28"/>
      <c r="UCZ269" s="28"/>
      <c r="UDA269" s="28"/>
      <c r="UDB269" s="28"/>
      <c r="UDC269" s="28"/>
      <c r="UDD269" s="28"/>
      <c r="UDE269" s="28"/>
      <c r="UDF269" s="28"/>
      <c r="UDG269" s="28"/>
      <c r="UDH269" s="28"/>
      <c r="UDI269" s="28"/>
      <c r="UDJ269" s="28"/>
      <c r="UDK269" s="28"/>
      <c r="UDL269" s="28"/>
      <c r="UDM269" s="28"/>
      <c r="UDN269" s="28"/>
      <c r="UDO269" s="28"/>
      <c r="UDP269" s="28"/>
      <c r="UDQ269" s="28"/>
      <c r="UDR269" s="28"/>
      <c r="UDS269" s="28"/>
      <c r="UDT269" s="28"/>
      <c r="UDU269" s="28"/>
      <c r="UDV269" s="28"/>
      <c r="UDW269" s="28"/>
      <c r="UDX269" s="28"/>
      <c r="UDY269" s="28"/>
      <c r="UDZ269" s="28"/>
      <c r="UEA269" s="28"/>
      <c r="UEB269" s="28"/>
      <c r="UEC269" s="28"/>
      <c r="UED269" s="28"/>
      <c r="UEE269" s="28"/>
      <c r="UEF269" s="28"/>
      <c r="UEG269" s="28"/>
      <c r="UEH269" s="28"/>
      <c r="UEI269" s="28"/>
      <c r="UEJ269" s="28"/>
      <c r="UEK269" s="28"/>
      <c r="UEL269" s="28"/>
      <c r="UEM269" s="28"/>
      <c r="UEN269" s="28"/>
      <c r="UEO269" s="28"/>
      <c r="UEP269" s="28"/>
      <c r="UEQ269" s="28"/>
      <c r="UER269" s="28"/>
      <c r="UES269" s="28"/>
      <c r="UET269" s="28"/>
      <c r="UEU269" s="28"/>
      <c r="UEV269" s="28"/>
      <c r="UEW269" s="28"/>
      <c r="UEX269" s="28"/>
      <c r="UEY269" s="28"/>
      <c r="UEZ269" s="28"/>
      <c r="UFA269" s="28"/>
      <c r="UFB269" s="28"/>
      <c r="UFC269" s="28"/>
      <c r="UFD269" s="28"/>
      <c r="UFE269" s="28"/>
      <c r="UFF269" s="28"/>
      <c r="UFG269" s="28"/>
      <c r="UFH269" s="28"/>
      <c r="UFI269" s="28"/>
      <c r="UFJ269" s="28"/>
      <c r="UFK269" s="28"/>
      <c r="UFL269" s="28"/>
      <c r="UFM269" s="28"/>
      <c r="UFN269" s="28"/>
      <c r="UFO269" s="28"/>
      <c r="UFP269" s="28"/>
      <c r="UFQ269" s="28"/>
      <c r="UFR269" s="28"/>
      <c r="UFS269" s="28"/>
      <c r="UFT269" s="28"/>
      <c r="UFU269" s="28"/>
      <c r="UFV269" s="28"/>
      <c r="UFW269" s="28"/>
      <c r="UFX269" s="28"/>
      <c r="UFY269" s="28"/>
      <c r="UFZ269" s="28"/>
      <c r="UGA269" s="28"/>
      <c r="UGB269" s="28"/>
      <c r="UGC269" s="28"/>
      <c r="UGD269" s="28"/>
      <c r="UGE269" s="28"/>
      <c r="UGF269" s="28"/>
      <c r="UGG269" s="28"/>
      <c r="UGH269" s="28"/>
      <c r="UGI269" s="28"/>
      <c r="UGJ269" s="28"/>
      <c r="UGK269" s="28"/>
      <c r="UGL269" s="28"/>
      <c r="UGM269" s="28"/>
      <c r="UGN269" s="28"/>
      <c r="UGO269" s="28"/>
      <c r="UGP269" s="28"/>
      <c r="UGQ269" s="28"/>
      <c r="UGR269" s="28"/>
      <c r="UGS269" s="28"/>
      <c r="UGT269" s="28"/>
      <c r="UGU269" s="28"/>
      <c r="UGV269" s="28"/>
      <c r="UGW269" s="28"/>
      <c r="UGX269" s="28"/>
      <c r="UGY269" s="28"/>
      <c r="UGZ269" s="28"/>
      <c r="UHA269" s="28"/>
      <c r="UHB269" s="28"/>
      <c r="UHC269" s="28"/>
      <c r="UHD269" s="28"/>
      <c r="UHE269" s="28"/>
      <c r="UHF269" s="28"/>
      <c r="UHG269" s="28"/>
      <c r="UHH269" s="28"/>
      <c r="UHI269" s="28"/>
      <c r="UHJ269" s="28"/>
      <c r="UHK269" s="28"/>
      <c r="UHL269" s="28"/>
      <c r="UHM269" s="28"/>
      <c r="UHN269" s="28"/>
      <c r="UHO269" s="28"/>
      <c r="UHP269" s="28"/>
      <c r="UHQ269" s="28"/>
      <c r="UHR269" s="28"/>
      <c r="UHS269" s="28"/>
      <c r="UHT269" s="28"/>
      <c r="UHU269" s="28"/>
      <c r="UHV269" s="28"/>
      <c r="UHW269" s="28"/>
      <c r="UHX269" s="28"/>
      <c r="UHY269" s="28"/>
      <c r="UHZ269" s="28"/>
      <c r="UIA269" s="28"/>
      <c r="UIB269" s="28"/>
      <c r="UIC269" s="28"/>
      <c r="UID269" s="28"/>
      <c r="UIE269" s="28"/>
      <c r="UIF269" s="28"/>
      <c r="UIG269" s="28"/>
      <c r="UIH269" s="28"/>
      <c r="UII269" s="28"/>
      <c r="UIJ269" s="28"/>
      <c r="UIK269" s="28"/>
      <c r="UIL269" s="28"/>
      <c r="UIM269" s="28"/>
      <c r="UIN269" s="28"/>
      <c r="UIO269" s="28"/>
      <c r="UIP269" s="28"/>
      <c r="UIQ269" s="28"/>
      <c r="UIR269" s="28"/>
      <c r="UIS269" s="28"/>
      <c r="UIT269" s="28"/>
      <c r="UIU269" s="28"/>
      <c r="UIV269" s="28"/>
      <c r="UIW269" s="28"/>
      <c r="UIX269" s="28"/>
      <c r="UIY269" s="28"/>
      <c r="UIZ269" s="28"/>
      <c r="UJA269" s="28"/>
      <c r="UJB269" s="28"/>
      <c r="UJC269" s="28"/>
      <c r="UJD269" s="28"/>
      <c r="UJE269" s="28"/>
      <c r="UJF269" s="28"/>
      <c r="UJG269" s="28"/>
      <c r="UJH269" s="28"/>
      <c r="UJI269" s="28"/>
      <c r="UJJ269" s="28"/>
      <c r="UJK269" s="28"/>
      <c r="UJL269" s="28"/>
      <c r="UJM269" s="28"/>
      <c r="UJN269" s="28"/>
      <c r="UJO269" s="28"/>
      <c r="UJP269" s="28"/>
      <c r="UJQ269" s="28"/>
      <c r="UJR269" s="28"/>
      <c r="UJS269" s="28"/>
      <c r="UJT269" s="28"/>
      <c r="UJU269" s="28"/>
      <c r="UJV269" s="28"/>
      <c r="UJW269" s="28"/>
      <c r="UJX269" s="28"/>
      <c r="UJY269" s="28"/>
      <c r="UJZ269" s="28"/>
      <c r="UKA269" s="28"/>
      <c r="UKB269" s="28"/>
      <c r="UKC269" s="28"/>
      <c r="UKD269" s="28"/>
      <c r="UKE269" s="28"/>
      <c r="UKF269" s="28"/>
      <c r="UKG269" s="28"/>
      <c r="UKH269" s="28"/>
      <c r="UKI269" s="28"/>
      <c r="UKJ269" s="28"/>
      <c r="UKK269" s="28"/>
      <c r="UKL269" s="28"/>
      <c r="UKM269" s="28"/>
      <c r="UKN269" s="28"/>
      <c r="UKO269" s="28"/>
      <c r="UKP269" s="28"/>
      <c r="UKQ269" s="28"/>
      <c r="UKR269" s="28"/>
      <c r="UKS269" s="28"/>
      <c r="UKT269" s="28"/>
      <c r="UKU269" s="28"/>
      <c r="UKV269" s="28"/>
      <c r="UKW269" s="28"/>
      <c r="UKX269" s="28"/>
      <c r="UKY269" s="28"/>
      <c r="UKZ269" s="28"/>
      <c r="ULA269" s="28"/>
      <c r="ULB269" s="28"/>
      <c r="ULC269" s="28"/>
      <c r="ULD269" s="28"/>
      <c r="ULE269" s="28"/>
      <c r="ULF269" s="28"/>
      <c r="ULG269" s="28"/>
      <c r="ULH269" s="28"/>
      <c r="ULI269" s="28"/>
      <c r="ULJ269" s="28"/>
      <c r="ULK269" s="28"/>
      <c r="ULL269" s="28"/>
      <c r="ULM269" s="28"/>
      <c r="ULN269" s="28"/>
      <c r="ULO269" s="28"/>
      <c r="ULP269" s="28"/>
      <c r="ULQ269" s="28"/>
      <c r="ULR269" s="28"/>
      <c r="ULS269" s="28"/>
      <c r="ULT269" s="28"/>
      <c r="ULU269" s="28"/>
      <c r="ULV269" s="28"/>
      <c r="ULW269" s="28"/>
      <c r="ULX269" s="28"/>
      <c r="ULY269" s="28"/>
      <c r="ULZ269" s="28"/>
      <c r="UMA269" s="28"/>
      <c r="UMB269" s="28"/>
      <c r="UMC269" s="28"/>
      <c r="UMD269" s="28"/>
      <c r="UME269" s="28"/>
      <c r="UMF269" s="28"/>
      <c r="UMG269" s="28"/>
      <c r="UMH269" s="28"/>
      <c r="UMI269" s="28"/>
      <c r="UMJ269" s="28"/>
      <c r="UMK269" s="28"/>
      <c r="UML269" s="28"/>
      <c r="UMM269" s="28"/>
      <c r="UMN269" s="28"/>
      <c r="UMO269" s="28"/>
      <c r="UMP269" s="28"/>
      <c r="UMQ269" s="28"/>
      <c r="UMR269" s="28"/>
      <c r="UMS269" s="28"/>
      <c r="UMT269" s="28"/>
      <c r="UMU269" s="28"/>
      <c r="UMV269" s="28"/>
      <c r="UMW269" s="28"/>
      <c r="UMX269" s="28"/>
      <c r="UMY269" s="28"/>
      <c r="UMZ269" s="28"/>
      <c r="UNA269" s="28"/>
      <c r="UNB269" s="28"/>
      <c r="UNC269" s="28"/>
      <c r="UND269" s="28"/>
      <c r="UNE269" s="28"/>
      <c r="UNF269" s="28"/>
      <c r="UNG269" s="28"/>
      <c r="UNH269" s="28"/>
      <c r="UNI269" s="28"/>
      <c r="UNJ269" s="28"/>
      <c r="UNK269" s="28"/>
      <c r="UNL269" s="28"/>
      <c r="UNM269" s="28"/>
      <c r="UNN269" s="28"/>
      <c r="UNO269" s="28"/>
      <c r="UNP269" s="28"/>
      <c r="UNQ269" s="28"/>
      <c r="UNR269" s="28"/>
      <c r="UNS269" s="28"/>
      <c r="UNT269" s="28"/>
      <c r="UNU269" s="28"/>
      <c r="UNV269" s="28"/>
      <c r="UNW269" s="28"/>
      <c r="UNX269" s="28"/>
      <c r="UNY269" s="28"/>
      <c r="UNZ269" s="28"/>
      <c r="UOA269" s="28"/>
      <c r="UOB269" s="28"/>
      <c r="UOC269" s="28"/>
      <c r="UOD269" s="28"/>
      <c r="UOE269" s="28"/>
      <c r="UOF269" s="28"/>
      <c r="UOG269" s="28"/>
      <c r="UOH269" s="28"/>
      <c r="UOI269" s="28"/>
      <c r="UOJ269" s="28"/>
      <c r="UOK269" s="28"/>
      <c r="UOL269" s="28"/>
      <c r="UOM269" s="28"/>
      <c r="UON269" s="28"/>
      <c r="UOO269" s="28"/>
      <c r="UOP269" s="28"/>
      <c r="UOQ269" s="28"/>
      <c r="UOR269" s="28"/>
      <c r="UOS269" s="28"/>
      <c r="UOT269" s="28"/>
      <c r="UOU269" s="28"/>
      <c r="UOV269" s="28"/>
      <c r="UOW269" s="28"/>
      <c r="UOX269" s="28"/>
      <c r="UOY269" s="28"/>
      <c r="UOZ269" s="28"/>
      <c r="UPA269" s="28"/>
      <c r="UPB269" s="28"/>
      <c r="UPC269" s="28"/>
      <c r="UPD269" s="28"/>
      <c r="UPE269" s="28"/>
      <c r="UPF269" s="28"/>
      <c r="UPG269" s="28"/>
      <c r="UPH269" s="28"/>
      <c r="UPI269" s="28"/>
      <c r="UPJ269" s="28"/>
      <c r="UPK269" s="28"/>
      <c r="UPL269" s="28"/>
      <c r="UPM269" s="28"/>
      <c r="UPN269" s="28"/>
      <c r="UPO269" s="28"/>
      <c r="UPP269" s="28"/>
      <c r="UPQ269" s="28"/>
      <c r="UPR269" s="28"/>
      <c r="UPS269" s="28"/>
      <c r="UPT269" s="28"/>
      <c r="UPU269" s="28"/>
      <c r="UPV269" s="28"/>
      <c r="UPW269" s="28"/>
      <c r="UPX269" s="28"/>
      <c r="UPY269" s="28"/>
      <c r="UPZ269" s="28"/>
      <c r="UQA269" s="28"/>
      <c r="UQB269" s="28"/>
      <c r="UQC269" s="28"/>
      <c r="UQD269" s="28"/>
      <c r="UQE269" s="28"/>
      <c r="UQF269" s="28"/>
      <c r="UQG269" s="28"/>
      <c r="UQH269" s="28"/>
      <c r="UQI269" s="28"/>
      <c r="UQJ269" s="28"/>
      <c r="UQK269" s="28"/>
      <c r="UQL269" s="28"/>
      <c r="UQM269" s="28"/>
      <c r="UQN269" s="28"/>
      <c r="UQO269" s="28"/>
      <c r="UQP269" s="28"/>
      <c r="UQQ269" s="28"/>
      <c r="UQR269" s="28"/>
      <c r="UQS269" s="28"/>
      <c r="UQT269" s="28"/>
      <c r="UQU269" s="28"/>
      <c r="UQV269" s="28"/>
      <c r="UQW269" s="28"/>
      <c r="UQX269" s="28"/>
      <c r="UQY269" s="28"/>
      <c r="UQZ269" s="28"/>
      <c r="URA269" s="28"/>
      <c r="URB269" s="28"/>
      <c r="URC269" s="28"/>
      <c r="URD269" s="28"/>
      <c r="URE269" s="28"/>
      <c r="URF269" s="28"/>
      <c r="URG269" s="28"/>
      <c r="URH269" s="28"/>
      <c r="URI269" s="28"/>
      <c r="URJ269" s="28"/>
      <c r="URK269" s="28"/>
      <c r="URL269" s="28"/>
      <c r="URM269" s="28"/>
      <c r="URN269" s="28"/>
      <c r="URO269" s="28"/>
      <c r="URP269" s="28"/>
      <c r="URQ269" s="28"/>
      <c r="URR269" s="28"/>
      <c r="URS269" s="28"/>
      <c r="URT269" s="28"/>
      <c r="URU269" s="28"/>
      <c r="URV269" s="28"/>
      <c r="URW269" s="28"/>
      <c r="URX269" s="28"/>
      <c r="URY269" s="28"/>
      <c r="URZ269" s="28"/>
      <c r="USA269" s="28"/>
      <c r="USB269" s="28"/>
      <c r="USC269" s="28"/>
      <c r="USD269" s="28"/>
      <c r="USE269" s="28"/>
      <c r="USF269" s="28"/>
      <c r="USG269" s="28"/>
      <c r="USH269" s="28"/>
      <c r="USI269" s="28"/>
      <c r="USJ269" s="28"/>
      <c r="USK269" s="28"/>
      <c r="USL269" s="28"/>
      <c r="USM269" s="28"/>
      <c r="USN269" s="28"/>
      <c r="USO269" s="28"/>
      <c r="USP269" s="28"/>
      <c r="USQ269" s="28"/>
      <c r="USR269" s="28"/>
      <c r="USS269" s="28"/>
      <c r="UST269" s="28"/>
      <c r="USU269" s="28"/>
      <c r="USV269" s="28"/>
      <c r="USW269" s="28"/>
      <c r="USX269" s="28"/>
      <c r="USY269" s="28"/>
      <c r="USZ269" s="28"/>
      <c r="UTA269" s="28"/>
      <c r="UTB269" s="28"/>
      <c r="UTC269" s="28"/>
      <c r="UTD269" s="28"/>
      <c r="UTE269" s="28"/>
      <c r="UTF269" s="28"/>
      <c r="UTG269" s="28"/>
      <c r="UTH269" s="28"/>
      <c r="UTI269" s="28"/>
      <c r="UTJ269" s="28"/>
      <c r="UTK269" s="28"/>
      <c r="UTL269" s="28"/>
      <c r="UTM269" s="28"/>
      <c r="UTN269" s="28"/>
      <c r="UTO269" s="28"/>
      <c r="UTP269" s="28"/>
      <c r="UTQ269" s="28"/>
      <c r="UTR269" s="28"/>
      <c r="UTS269" s="28"/>
      <c r="UTT269" s="28"/>
      <c r="UTU269" s="28"/>
      <c r="UTV269" s="28"/>
      <c r="UTW269" s="28"/>
      <c r="UTX269" s="28"/>
      <c r="UTY269" s="28"/>
      <c r="UTZ269" s="28"/>
      <c r="UUA269" s="28"/>
      <c r="UUB269" s="28"/>
      <c r="UUC269" s="28"/>
      <c r="UUD269" s="28"/>
      <c r="UUE269" s="28"/>
      <c r="UUF269" s="28"/>
      <c r="UUG269" s="28"/>
      <c r="UUH269" s="28"/>
      <c r="UUI269" s="28"/>
      <c r="UUJ269" s="28"/>
      <c r="UUK269" s="28"/>
      <c r="UUL269" s="28"/>
      <c r="UUM269" s="28"/>
      <c r="UUN269" s="28"/>
      <c r="UUO269" s="28"/>
      <c r="UUP269" s="28"/>
      <c r="UUQ269" s="28"/>
      <c r="UUR269" s="28"/>
      <c r="UUS269" s="28"/>
      <c r="UUT269" s="28"/>
      <c r="UUU269" s="28"/>
      <c r="UUV269" s="28"/>
      <c r="UUW269" s="28"/>
      <c r="UUX269" s="28"/>
      <c r="UUY269" s="28"/>
      <c r="UUZ269" s="28"/>
      <c r="UVA269" s="28"/>
      <c r="UVB269" s="28"/>
      <c r="UVC269" s="28"/>
      <c r="UVD269" s="28"/>
      <c r="UVE269" s="28"/>
      <c r="UVF269" s="28"/>
      <c r="UVG269" s="28"/>
      <c r="UVH269" s="28"/>
      <c r="UVI269" s="28"/>
      <c r="UVJ269" s="28"/>
      <c r="UVK269" s="28"/>
      <c r="UVL269" s="28"/>
      <c r="UVM269" s="28"/>
      <c r="UVN269" s="28"/>
      <c r="UVO269" s="28"/>
      <c r="UVP269" s="28"/>
      <c r="UVQ269" s="28"/>
      <c r="UVR269" s="28"/>
      <c r="UVS269" s="28"/>
      <c r="UVT269" s="28"/>
      <c r="UVU269" s="28"/>
      <c r="UVV269" s="28"/>
      <c r="UVW269" s="28"/>
      <c r="UVX269" s="28"/>
      <c r="UVY269" s="28"/>
      <c r="UVZ269" s="28"/>
      <c r="UWA269" s="28"/>
      <c r="UWB269" s="28"/>
      <c r="UWC269" s="28"/>
      <c r="UWD269" s="28"/>
      <c r="UWE269" s="28"/>
      <c r="UWF269" s="28"/>
      <c r="UWG269" s="28"/>
      <c r="UWH269" s="28"/>
      <c r="UWI269" s="28"/>
      <c r="UWJ269" s="28"/>
      <c r="UWK269" s="28"/>
      <c r="UWL269" s="28"/>
      <c r="UWM269" s="28"/>
      <c r="UWN269" s="28"/>
      <c r="UWO269" s="28"/>
      <c r="UWP269" s="28"/>
      <c r="UWQ269" s="28"/>
      <c r="UWR269" s="28"/>
      <c r="UWS269" s="28"/>
      <c r="UWT269" s="28"/>
      <c r="UWU269" s="28"/>
      <c r="UWV269" s="28"/>
      <c r="UWW269" s="28"/>
      <c r="UWX269" s="28"/>
      <c r="UWY269" s="28"/>
      <c r="UWZ269" s="28"/>
      <c r="UXA269" s="28"/>
      <c r="UXB269" s="28"/>
      <c r="UXC269" s="28"/>
      <c r="UXD269" s="28"/>
      <c r="UXE269" s="28"/>
      <c r="UXF269" s="28"/>
      <c r="UXG269" s="28"/>
      <c r="UXH269" s="28"/>
      <c r="UXI269" s="28"/>
      <c r="UXJ269" s="28"/>
      <c r="UXK269" s="28"/>
      <c r="UXL269" s="28"/>
      <c r="UXM269" s="28"/>
      <c r="UXN269" s="28"/>
      <c r="UXO269" s="28"/>
      <c r="UXP269" s="28"/>
      <c r="UXQ269" s="28"/>
      <c r="UXR269" s="28"/>
      <c r="UXS269" s="28"/>
      <c r="UXT269" s="28"/>
      <c r="UXU269" s="28"/>
      <c r="UXV269" s="28"/>
      <c r="UXW269" s="28"/>
      <c r="UXX269" s="28"/>
      <c r="UXY269" s="28"/>
      <c r="UXZ269" s="28"/>
      <c r="UYA269" s="28"/>
      <c r="UYB269" s="28"/>
      <c r="UYC269" s="28"/>
      <c r="UYD269" s="28"/>
      <c r="UYE269" s="28"/>
      <c r="UYF269" s="28"/>
      <c r="UYG269" s="28"/>
      <c r="UYH269" s="28"/>
      <c r="UYI269" s="28"/>
      <c r="UYJ269" s="28"/>
      <c r="UYK269" s="28"/>
      <c r="UYL269" s="28"/>
      <c r="UYM269" s="28"/>
      <c r="UYN269" s="28"/>
      <c r="UYO269" s="28"/>
      <c r="UYP269" s="28"/>
      <c r="UYQ269" s="28"/>
      <c r="UYR269" s="28"/>
      <c r="UYS269" s="28"/>
      <c r="UYT269" s="28"/>
      <c r="UYU269" s="28"/>
      <c r="UYV269" s="28"/>
      <c r="UYW269" s="28"/>
      <c r="UYX269" s="28"/>
      <c r="UYY269" s="28"/>
      <c r="UYZ269" s="28"/>
      <c r="UZA269" s="28"/>
      <c r="UZB269" s="28"/>
      <c r="UZC269" s="28"/>
      <c r="UZD269" s="28"/>
      <c r="UZE269" s="28"/>
      <c r="UZF269" s="28"/>
      <c r="UZG269" s="28"/>
      <c r="UZH269" s="28"/>
      <c r="UZI269" s="28"/>
      <c r="UZJ269" s="28"/>
      <c r="UZK269" s="28"/>
      <c r="UZL269" s="28"/>
      <c r="UZM269" s="28"/>
      <c r="UZN269" s="28"/>
      <c r="UZO269" s="28"/>
      <c r="UZP269" s="28"/>
      <c r="UZQ269" s="28"/>
      <c r="UZR269" s="28"/>
      <c r="UZS269" s="28"/>
      <c r="UZT269" s="28"/>
      <c r="UZU269" s="28"/>
      <c r="UZV269" s="28"/>
      <c r="UZW269" s="28"/>
      <c r="UZX269" s="28"/>
      <c r="UZY269" s="28"/>
      <c r="UZZ269" s="28"/>
      <c r="VAA269" s="28"/>
      <c r="VAB269" s="28"/>
      <c r="VAC269" s="28"/>
      <c r="VAD269" s="28"/>
      <c r="VAE269" s="28"/>
      <c r="VAF269" s="28"/>
      <c r="VAG269" s="28"/>
      <c r="VAH269" s="28"/>
      <c r="VAI269" s="28"/>
      <c r="VAJ269" s="28"/>
      <c r="VAK269" s="28"/>
      <c r="VAL269" s="28"/>
      <c r="VAM269" s="28"/>
      <c r="VAN269" s="28"/>
      <c r="VAO269" s="28"/>
      <c r="VAP269" s="28"/>
      <c r="VAQ269" s="28"/>
      <c r="VAR269" s="28"/>
      <c r="VAS269" s="28"/>
      <c r="VAT269" s="28"/>
      <c r="VAU269" s="28"/>
      <c r="VAV269" s="28"/>
      <c r="VAW269" s="28"/>
      <c r="VAX269" s="28"/>
      <c r="VAY269" s="28"/>
      <c r="VAZ269" s="28"/>
      <c r="VBA269" s="28"/>
      <c r="VBB269" s="28"/>
      <c r="VBC269" s="28"/>
      <c r="VBD269" s="28"/>
      <c r="VBE269" s="28"/>
      <c r="VBF269" s="28"/>
      <c r="VBG269" s="28"/>
      <c r="VBH269" s="28"/>
      <c r="VBI269" s="28"/>
      <c r="VBJ269" s="28"/>
      <c r="VBK269" s="28"/>
      <c r="VBL269" s="28"/>
      <c r="VBM269" s="28"/>
      <c r="VBN269" s="28"/>
      <c r="VBO269" s="28"/>
      <c r="VBP269" s="28"/>
      <c r="VBQ269" s="28"/>
      <c r="VBR269" s="28"/>
      <c r="VBS269" s="28"/>
      <c r="VBT269" s="28"/>
      <c r="VBU269" s="28"/>
      <c r="VBV269" s="28"/>
      <c r="VBW269" s="28"/>
      <c r="VBX269" s="28"/>
      <c r="VBY269" s="28"/>
      <c r="VBZ269" s="28"/>
      <c r="VCA269" s="28"/>
      <c r="VCB269" s="28"/>
      <c r="VCC269" s="28"/>
      <c r="VCD269" s="28"/>
      <c r="VCE269" s="28"/>
      <c r="VCF269" s="28"/>
      <c r="VCG269" s="28"/>
      <c r="VCH269" s="28"/>
      <c r="VCI269" s="28"/>
      <c r="VCJ269" s="28"/>
      <c r="VCK269" s="28"/>
      <c r="VCL269" s="28"/>
      <c r="VCM269" s="28"/>
      <c r="VCN269" s="28"/>
      <c r="VCO269" s="28"/>
      <c r="VCP269" s="28"/>
      <c r="VCQ269" s="28"/>
      <c r="VCR269" s="28"/>
      <c r="VCS269" s="28"/>
      <c r="VCT269" s="28"/>
      <c r="VCU269" s="28"/>
      <c r="VCV269" s="28"/>
      <c r="VCW269" s="28"/>
      <c r="VCX269" s="28"/>
      <c r="VCY269" s="28"/>
      <c r="VCZ269" s="28"/>
      <c r="VDA269" s="28"/>
      <c r="VDB269" s="28"/>
      <c r="VDC269" s="28"/>
      <c r="VDD269" s="28"/>
      <c r="VDE269" s="28"/>
      <c r="VDF269" s="28"/>
      <c r="VDG269" s="28"/>
      <c r="VDH269" s="28"/>
      <c r="VDI269" s="28"/>
      <c r="VDJ269" s="28"/>
      <c r="VDK269" s="28"/>
      <c r="VDL269" s="28"/>
      <c r="VDM269" s="28"/>
      <c r="VDN269" s="28"/>
      <c r="VDO269" s="28"/>
      <c r="VDP269" s="28"/>
      <c r="VDQ269" s="28"/>
      <c r="VDR269" s="28"/>
      <c r="VDS269" s="28"/>
      <c r="VDT269" s="28"/>
      <c r="VDU269" s="28"/>
      <c r="VDV269" s="28"/>
      <c r="VDW269" s="28"/>
      <c r="VDX269" s="28"/>
      <c r="VDY269" s="28"/>
      <c r="VDZ269" s="28"/>
      <c r="VEA269" s="28"/>
      <c r="VEB269" s="28"/>
      <c r="VEC269" s="28"/>
      <c r="VED269" s="28"/>
      <c r="VEE269" s="28"/>
      <c r="VEF269" s="28"/>
      <c r="VEG269" s="28"/>
      <c r="VEH269" s="28"/>
      <c r="VEI269" s="28"/>
      <c r="VEJ269" s="28"/>
      <c r="VEK269" s="28"/>
      <c r="VEL269" s="28"/>
      <c r="VEM269" s="28"/>
      <c r="VEN269" s="28"/>
      <c r="VEO269" s="28"/>
      <c r="VEP269" s="28"/>
      <c r="VEQ269" s="28"/>
      <c r="VER269" s="28"/>
      <c r="VES269" s="28"/>
      <c r="VET269" s="28"/>
      <c r="VEU269" s="28"/>
      <c r="VEV269" s="28"/>
      <c r="VEW269" s="28"/>
      <c r="VEX269" s="28"/>
      <c r="VEY269" s="28"/>
      <c r="VEZ269" s="28"/>
      <c r="VFA269" s="28"/>
      <c r="VFB269" s="28"/>
      <c r="VFC269" s="28"/>
      <c r="VFD269" s="28"/>
      <c r="VFE269" s="28"/>
      <c r="VFF269" s="28"/>
      <c r="VFG269" s="28"/>
      <c r="VFH269" s="28"/>
      <c r="VFI269" s="28"/>
      <c r="VFJ269" s="28"/>
      <c r="VFK269" s="28"/>
      <c r="VFL269" s="28"/>
      <c r="VFM269" s="28"/>
      <c r="VFN269" s="28"/>
      <c r="VFO269" s="28"/>
      <c r="VFP269" s="28"/>
      <c r="VFQ269" s="28"/>
      <c r="VFR269" s="28"/>
      <c r="VFS269" s="28"/>
      <c r="VFT269" s="28"/>
      <c r="VFU269" s="28"/>
      <c r="VFV269" s="28"/>
      <c r="VFW269" s="28"/>
      <c r="VFX269" s="28"/>
      <c r="VFY269" s="28"/>
      <c r="VFZ269" s="28"/>
      <c r="VGA269" s="28"/>
      <c r="VGB269" s="28"/>
      <c r="VGC269" s="28"/>
      <c r="VGD269" s="28"/>
      <c r="VGE269" s="28"/>
      <c r="VGF269" s="28"/>
      <c r="VGG269" s="28"/>
      <c r="VGH269" s="28"/>
      <c r="VGI269" s="28"/>
      <c r="VGJ269" s="28"/>
      <c r="VGK269" s="28"/>
      <c r="VGL269" s="28"/>
      <c r="VGM269" s="28"/>
      <c r="VGN269" s="28"/>
      <c r="VGO269" s="28"/>
      <c r="VGP269" s="28"/>
      <c r="VGQ269" s="28"/>
      <c r="VGR269" s="28"/>
      <c r="VGS269" s="28"/>
      <c r="VGT269" s="28"/>
      <c r="VGU269" s="28"/>
      <c r="VGV269" s="28"/>
      <c r="VGW269" s="28"/>
      <c r="VGX269" s="28"/>
      <c r="VGY269" s="28"/>
      <c r="VGZ269" s="28"/>
      <c r="VHA269" s="28"/>
      <c r="VHB269" s="28"/>
      <c r="VHC269" s="28"/>
      <c r="VHD269" s="28"/>
      <c r="VHE269" s="28"/>
      <c r="VHF269" s="28"/>
      <c r="VHG269" s="28"/>
      <c r="VHH269" s="28"/>
      <c r="VHI269" s="28"/>
      <c r="VHJ269" s="28"/>
      <c r="VHK269" s="28"/>
      <c r="VHL269" s="28"/>
      <c r="VHM269" s="28"/>
      <c r="VHN269" s="28"/>
      <c r="VHO269" s="28"/>
      <c r="VHP269" s="28"/>
      <c r="VHQ269" s="28"/>
      <c r="VHR269" s="28"/>
      <c r="VHS269" s="28"/>
      <c r="VHT269" s="28"/>
      <c r="VHU269" s="28"/>
      <c r="VHV269" s="28"/>
      <c r="VHW269" s="28"/>
      <c r="VHX269" s="28"/>
      <c r="VHY269" s="28"/>
      <c r="VHZ269" s="28"/>
      <c r="VIA269" s="28"/>
      <c r="VIB269" s="28"/>
      <c r="VIC269" s="28"/>
      <c r="VID269" s="28"/>
      <c r="VIE269" s="28"/>
      <c r="VIF269" s="28"/>
      <c r="VIG269" s="28"/>
      <c r="VIH269" s="28"/>
      <c r="VII269" s="28"/>
      <c r="VIJ269" s="28"/>
      <c r="VIK269" s="28"/>
      <c r="VIL269" s="28"/>
      <c r="VIM269" s="28"/>
      <c r="VIN269" s="28"/>
      <c r="VIO269" s="28"/>
      <c r="VIP269" s="28"/>
      <c r="VIQ269" s="28"/>
      <c r="VIR269" s="28"/>
      <c r="VIS269" s="28"/>
      <c r="VIT269" s="28"/>
      <c r="VIU269" s="28"/>
      <c r="VIV269" s="28"/>
      <c r="VIW269" s="28"/>
      <c r="VIX269" s="28"/>
      <c r="VIY269" s="28"/>
      <c r="VIZ269" s="28"/>
      <c r="VJA269" s="28"/>
      <c r="VJB269" s="28"/>
      <c r="VJC269" s="28"/>
      <c r="VJD269" s="28"/>
      <c r="VJE269" s="28"/>
      <c r="VJF269" s="28"/>
      <c r="VJG269" s="28"/>
      <c r="VJH269" s="28"/>
      <c r="VJI269" s="28"/>
      <c r="VJJ269" s="28"/>
      <c r="VJK269" s="28"/>
      <c r="VJL269" s="28"/>
      <c r="VJM269" s="28"/>
      <c r="VJN269" s="28"/>
      <c r="VJO269" s="28"/>
      <c r="VJP269" s="28"/>
      <c r="VJQ269" s="28"/>
      <c r="VJR269" s="28"/>
      <c r="VJS269" s="28"/>
      <c r="VJT269" s="28"/>
      <c r="VJU269" s="28"/>
      <c r="VJV269" s="28"/>
      <c r="VJW269" s="28"/>
      <c r="VJX269" s="28"/>
      <c r="VJY269" s="28"/>
      <c r="VJZ269" s="28"/>
      <c r="VKA269" s="28"/>
      <c r="VKB269" s="28"/>
      <c r="VKC269" s="28"/>
      <c r="VKD269" s="28"/>
      <c r="VKE269" s="28"/>
      <c r="VKF269" s="28"/>
      <c r="VKG269" s="28"/>
      <c r="VKH269" s="28"/>
      <c r="VKI269" s="28"/>
      <c r="VKJ269" s="28"/>
      <c r="VKK269" s="28"/>
      <c r="VKL269" s="28"/>
      <c r="VKM269" s="28"/>
      <c r="VKN269" s="28"/>
      <c r="VKO269" s="28"/>
      <c r="VKP269" s="28"/>
      <c r="VKQ269" s="28"/>
      <c r="VKR269" s="28"/>
      <c r="VKS269" s="28"/>
      <c r="VKT269" s="28"/>
      <c r="VKU269" s="28"/>
      <c r="VKV269" s="28"/>
      <c r="VKW269" s="28"/>
      <c r="VKX269" s="28"/>
      <c r="VKY269" s="28"/>
      <c r="VKZ269" s="28"/>
      <c r="VLA269" s="28"/>
      <c r="VLB269" s="28"/>
      <c r="VLC269" s="28"/>
      <c r="VLD269" s="28"/>
      <c r="VLE269" s="28"/>
      <c r="VLF269" s="28"/>
      <c r="VLG269" s="28"/>
      <c r="VLH269" s="28"/>
      <c r="VLI269" s="28"/>
      <c r="VLJ269" s="28"/>
      <c r="VLK269" s="28"/>
      <c r="VLL269" s="28"/>
      <c r="VLM269" s="28"/>
      <c r="VLN269" s="28"/>
      <c r="VLO269" s="28"/>
      <c r="VLP269" s="28"/>
      <c r="VLQ269" s="28"/>
      <c r="VLR269" s="28"/>
      <c r="VLS269" s="28"/>
      <c r="VLT269" s="28"/>
      <c r="VLU269" s="28"/>
      <c r="VLV269" s="28"/>
      <c r="VLW269" s="28"/>
      <c r="VLX269" s="28"/>
      <c r="VLY269" s="28"/>
      <c r="VLZ269" s="28"/>
      <c r="VMA269" s="28"/>
      <c r="VMB269" s="28"/>
      <c r="VMC269" s="28"/>
      <c r="VMD269" s="28"/>
      <c r="VME269" s="28"/>
      <c r="VMF269" s="28"/>
      <c r="VMG269" s="28"/>
      <c r="VMH269" s="28"/>
      <c r="VMI269" s="28"/>
      <c r="VMJ269" s="28"/>
      <c r="VMK269" s="28"/>
      <c r="VML269" s="28"/>
      <c r="VMM269" s="28"/>
      <c r="VMN269" s="28"/>
      <c r="VMO269" s="28"/>
      <c r="VMP269" s="28"/>
      <c r="VMQ269" s="28"/>
      <c r="VMR269" s="28"/>
      <c r="VMS269" s="28"/>
      <c r="VMT269" s="28"/>
      <c r="VMU269" s="28"/>
      <c r="VMV269" s="28"/>
      <c r="VMW269" s="28"/>
      <c r="VMX269" s="28"/>
      <c r="VMY269" s="28"/>
      <c r="VMZ269" s="28"/>
      <c r="VNA269" s="28"/>
      <c r="VNB269" s="28"/>
      <c r="VNC269" s="28"/>
      <c r="VND269" s="28"/>
      <c r="VNE269" s="28"/>
      <c r="VNF269" s="28"/>
      <c r="VNG269" s="28"/>
      <c r="VNH269" s="28"/>
      <c r="VNI269" s="28"/>
      <c r="VNJ269" s="28"/>
      <c r="VNK269" s="28"/>
      <c r="VNL269" s="28"/>
      <c r="VNM269" s="28"/>
      <c r="VNN269" s="28"/>
      <c r="VNO269" s="28"/>
      <c r="VNP269" s="28"/>
      <c r="VNQ269" s="28"/>
      <c r="VNR269" s="28"/>
      <c r="VNS269" s="28"/>
      <c r="VNT269" s="28"/>
      <c r="VNU269" s="28"/>
      <c r="VNV269" s="28"/>
      <c r="VNW269" s="28"/>
      <c r="VNX269" s="28"/>
      <c r="VNY269" s="28"/>
      <c r="VNZ269" s="28"/>
      <c r="VOA269" s="28"/>
      <c r="VOB269" s="28"/>
      <c r="VOC269" s="28"/>
      <c r="VOD269" s="28"/>
      <c r="VOE269" s="28"/>
      <c r="VOF269" s="28"/>
      <c r="VOG269" s="28"/>
      <c r="VOH269" s="28"/>
      <c r="VOI269" s="28"/>
      <c r="VOJ269" s="28"/>
      <c r="VOK269" s="28"/>
      <c r="VOL269" s="28"/>
      <c r="VOM269" s="28"/>
      <c r="VON269" s="28"/>
      <c r="VOO269" s="28"/>
      <c r="VOP269" s="28"/>
      <c r="VOQ269" s="28"/>
      <c r="VOR269" s="28"/>
      <c r="VOS269" s="28"/>
      <c r="VOT269" s="28"/>
      <c r="VOU269" s="28"/>
      <c r="VOV269" s="28"/>
      <c r="VOW269" s="28"/>
      <c r="VOX269" s="28"/>
      <c r="VOY269" s="28"/>
      <c r="VOZ269" s="28"/>
      <c r="VPA269" s="28"/>
      <c r="VPB269" s="28"/>
      <c r="VPC269" s="28"/>
      <c r="VPD269" s="28"/>
      <c r="VPE269" s="28"/>
      <c r="VPF269" s="28"/>
      <c r="VPG269" s="28"/>
      <c r="VPH269" s="28"/>
      <c r="VPI269" s="28"/>
      <c r="VPJ269" s="28"/>
      <c r="VPK269" s="28"/>
      <c r="VPL269" s="28"/>
      <c r="VPM269" s="28"/>
      <c r="VPN269" s="28"/>
      <c r="VPO269" s="28"/>
      <c r="VPP269" s="28"/>
      <c r="VPQ269" s="28"/>
      <c r="VPR269" s="28"/>
      <c r="VPS269" s="28"/>
      <c r="VPT269" s="28"/>
      <c r="VPU269" s="28"/>
      <c r="VPV269" s="28"/>
      <c r="VPW269" s="28"/>
      <c r="VPX269" s="28"/>
      <c r="VPY269" s="28"/>
      <c r="VPZ269" s="28"/>
      <c r="VQA269" s="28"/>
      <c r="VQB269" s="28"/>
      <c r="VQC269" s="28"/>
      <c r="VQD269" s="28"/>
      <c r="VQE269" s="28"/>
      <c r="VQF269" s="28"/>
      <c r="VQG269" s="28"/>
      <c r="VQH269" s="28"/>
      <c r="VQI269" s="28"/>
      <c r="VQJ269" s="28"/>
      <c r="VQK269" s="28"/>
      <c r="VQL269" s="28"/>
      <c r="VQM269" s="28"/>
      <c r="VQN269" s="28"/>
      <c r="VQO269" s="28"/>
      <c r="VQP269" s="28"/>
      <c r="VQQ269" s="28"/>
      <c r="VQR269" s="28"/>
      <c r="VQS269" s="28"/>
      <c r="VQT269" s="28"/>
      <c r="VQU269" s="28"/>
      <c r="VQV269" s="28"/>
      <c r="VQW269" s="28"/>
      <c r="VQX269" s="28"/>
      <c r="VQY269" s="28"/>
      <c r="VQZ269" s="28"/>
      <c r="VRA269" s="28"/>
      <c r="VRB269" s="28"/>
      <c r="VRC269" s="28"/>
      <c r="VRD269" s="28"/>
      <c r="VRE269" s="28"/>
      <c r="VRF269" s="28"/>
      <c r="VRG269" s="28"/>
      <c r="VRH269" s="28"/>
      <c r="VRI269" s="28"/>
      <c r="VRJ269" s="28"/>
      <c r="VRK269" s="28"/>
      <c r="VRL269" s="28"/>
      <c r="VRM269" s="28"/>
      <c r="VRN269" s="28"/>
      <c r="VRO269" s="28"/>
      <c r="VRP269" s="28"/>
      <c r="VRQ269" s="28"/>
      <c r="VRR269" s="28"/>
      <c r="VRS269" s="28"/>
      <c r="VRT269" s="28"/>
      <c r="VRU269" s="28"/>
      <c r="VRV269" s="28"/>
      <c r="VRW269" s="28"/>
      <c r="VRX269" s="28"/>
      <c r="VRY269" s="28"/>
      <c r="VRZ269" s="28"/>
      <c r="VSA269" s="28"/>
      <c r="VSB269" s="28"/>
      <c r="VSC269" s="28"/>
      <c r="VSD269" s="28"/>
      <c r="VSE269" s="28"/>
      <c r="VSF269" s="28"/>
      <c r="VSG269" s="28"/>
      <c r="VSH269" s="28"/>
      <c r="VSI269" s="28"/>
      <c r="VSJ269" s="28"/>
      <c r="VSK269" s="28"/>
      <c r="VSL269" s="28"/>
      <c r="VSM269" s="28"/>
      <c r="VSN269" s="28"/>
      <c r="VSO269" s="28"/>
      <c r="VSP269" s="28"/>
      <c r="VSQ269" s="28"/>
      <c r="VSR269" s="28"/>
      <c r="VSS269" s="28"/>
      <c r="VST269" s="28"/>
      <c r="VSU269" s="28"/>
      <c r="VSV269" s="28"/>
      <c r="VSW269" s="28"/>
      <c r="VSX269" s="28"/>
      <c r="VSY269" s="28"/>
      <c r="VSZ269" s="28"/>
      <c r="VTA269" s="28"/>
      <c r="VTB269" s="28"/>
      <c r="VTC269" s="28"/>
      <c r="VTD269" s="28"/>
      <c r="VTE269" s="28"/>
      <c r="VTF269" s="28"/>
      <c r="VTG269" s="28"/>
      <c r="VTH269" s="28"/>
      <c r="VTI269" s="28"/>
      <c r="VTJ269" s="28"/>
      <c r="VTK269" s="28"/>
      <c r="VTL269" s="28"/>
      <c r="VTM269" s="28"/>
      <c r="VTN269" s="28"/>
      <c r="VTO269" s="28"/>
      <c r="VTP269" s="28"/>
      <c r="VTQ269" s="28"/>
      <c r="VTR269" s="28"/>
      <c r="VTS269" s="28"/>
      <c r="VTT269" s="28"/>
      <c r="VTU269" s="28"/>
      <c r="VTV269" s="28"/>
      <c r="VTW269" s="28"/>
      <c r="VTX269" s="28"/>
      <c r="VTY269" s="28"/>
      <c r="VTZ269" s="28"/>
      <c r="VUA269" s="28"/>
      <c r="VUB269" s="28"/>
      <c r="VUC269" s="28"/>
      <c r="VUD269" s="28"/>
      <c r="VUE269" s="28"/>
      <c r="VUF269" s="28"/>
      <c r="VUG269" s="28"/>
      <c r="VUH269" s="28"/>
      <c r="VUI269" s="28"/>
      <c r="VUJ269" s="28"/>
      <c r="VUK269" s="28"/>
      <c r="VUL269" s="28"/>
      <c r="VUM269" s="28"/>
      <c r="VUN269" s="28"/>
      <c r="VUO269" s="28"/>
      <c r="VUP269" s="28"/>
      <c r="VUQ269" s="28"/>
      <c r="VUR269" s="28"/>
      <c r="VUS269" s="28"/>
      <c r="VUT269" s="28"/>
      <c r="VUU269" s="28"/>
      <c r="VUV269" s="28"/>
      <c r="VUW269" s="28"/>
      <c r="VUX269" s="28"/>
      <c r="VUY269" s="28"/>
      <c r="VUZ269" s="28"/>
      <c r="VVA269" s="28"/>
      <c r="VVB269" s="28"/>
      <c r="VVC269" s="28"/>
      <c r="VVD269" s="28"/>
      <c r="VVE269" s="28"/>
      <c r="VVF269" s="28"/>
      <c r="VVG269" s="28"/>
      <c r="VVH269" s="28"/>
      <c r="VVI269" s="28"/>
      <c r="VVJ269" s="28"/>
      <c r="VVK269" s="28"/>
      <c r="VVL269" s="28"/>
      <c r="VVM269" s="28"/>
      <c r="VVN269" s="28"/>
      <c r="VVO269" s="28"/>
      <c r="VVP269" s="28"/>
      <c r="VVQ269" s="28"/>
      <c r="VVR269" s="28"/>
      <c r="VVS269" s="28"/>
      <c r="VVT269" s="28"/>
      <c r="VVU269" s="28"/>
      <c r="VVV269" s="28"/>
      <c r="VVW269" s="28"/>
      <c r="VVX269" s="28"/>
      <c r="VVY269" s="28"/>
      <c r="VVZ269" s="28"/>
      <c r="VWA269" s="28"/>
      <c r="VWB269" s="28"/>
      <c r="VWC269" s="28"/>
      <c r="VWD269" s="28"/>
      <c r="VWE269" s="28"/>
      <c r="VWF269" s="28"/>
      <c r="VWG269" s="28"/>
      <c r="VWH269" s="28"/>
      <c r="VWI269" s="28"/>
      <c r="VWJ269" s="28"/>
      <c r="VWK269" s="28"/>
      <c r="VWL269" s="28"/>
      <c r="VWM269" s="28"/>
      <c r="VWN269" s="28"/>
      <c r="VWO269" s="28"/>
      <c r="VWP269" s="28"/>
      <c r="VWQ269" s="28"/>
      <c r="VWR269" s="28"/>
      <c r="VWS269" s="28"/>
      <c r="VWT269" s="28"/>
      <c r="VWU269" s="28"/>
      <c r="VWV269" s="28"/>
      <c r="VWW269" s="28"/>
      <c r="VWX269" s="28"/>
      <c r="VWY269" s="28"/>
      <c r="VWZ269" s="28"/>
      <c r="VXA269" s="28"/>
      <c r="VXB269" s="28"/>
      <c r="VXC269" s="28"/>
      <c r="VXD269" s="28"/>
      <c r="VXE269" s="28"/>
      <c r="VXF269" s="28"/>
      <c r="VXG269" s="28"/>
      <c r="VXH269" s="28"/>
      <c r="VXI269" s="28"/>
      <c r="VXJ269" s="28"/>
      <c r="VXK269" s="28"/>
      <c r="VXL269" s="28"/>
      <c r="VXM269" s="28"/>
      <c r="VXN269" s="28"/>
      <c r="VXO269" s="28"/>
      <c r="VXP269" s="28"/>
      <c r="VXQ269" s="28"/>
      <c r="VXR269" s="28"/>
      <c r="VXS269" s="28"/>
      <c r="VXT269" s="28"/>
      <c r="VXU269" s="28"/>
      <c r="VXV269" s="28"/>
      <c r="VXW269" s="28"/>
      <c r="VXX269" s="28"/>
      <c r="VXY269" s="28"/>
      <c r="VXZ269" s="28"/>
      <c r="VYA269" s="28"/>
      <c r="VYB269" s="28"/>
      <c r="VYC269" s="28"/>
      <c r="VYD269" s="28"/>
      <c r="VYE269" s="28"/>
      <c r="VYF269" s="28"/>
      <c r="VYG269" s="28"/>
      <c r="VYH269" s="28"/>
      <c r="VYI269" s="28"/>
      <c r="VYJ269" s="28"/>
      <c r="VYK269" s="28"/>
      <c r="VYL269" s="28"/>
      <c r="VYM269" s="28"/>
      <c r="VYN269" s="28"/>
      <c r="VYO269" s="28"/>
      <c r="VYP269" s="28"/>
      <c r="VYQ269" s="28"/>
      <c r="VYR269" s="28"/>
      <c r="VYS269" s="28"/>
      <c r="VYT269" s="28"/>
      <c r="VYU269" s="28"/>
      <c r="VYV269" s="28"/>
      <c r="VYW269" s="28"/>
      <c r="VYX269" s="28"/>
      <c r="VYY269" s="28"/>
      <c r="VYZ269" s="28"/>
      <c r="VZA269" s="28"/>
      <c r="VZB269" s="28"/>
      <c r="VZC269" s="28"/>
      <c r="VZD269" s="28"/>
      <c r="VZE269" s="28"/>
      <c r="VZF269" s="28"/>
      <c r="VZG269" s="28"/>
      <c r="VZH269" s="28"/>
      <c r="VZI269" s="28"/>
      <c r="VZJ269" s="28"/>
      <c r="VZK269" s="28"/>
      <c r="VZL269" s="28"/>
      <c r="VZM269" s="28"/>
      <c r="VZN269" s="28"/>
      <c r="VZO269" s="28"/>
      <c r="VZP269" s="28"/>
      <c r="VZQ269" s="28"/>
      <c r="VZR269" s="28"/>
      <c r="VZS269" s="28"/>
      <c r="VZT269" s="28"/>
      <c r="VZU269" s="28"/>
      <c r="VZV269" s="28"/>
      <c r="VZW269" s="28"/>
      <c r="VZX269" s="28"/>
      <c r="VZY269" s="28"/>
      <c r="VZZ269" s="28"/>
      <c r="WAA269" s="28"/>
      <c r="WAB269" s="28"/>
      <c r="WAC269" s="28"/>
      <c r="WAD269" s="28"/>
      <c r="WAE269" s="28"/>
      <c r="WAF269" s="28"/>
      <c r="WAG269" s="28"/>
      <c r="WAH269" s="28"/>
      <c r="WAI269" s="28"/>
      <c r="WAJ269" s="28"/>
      <c r="WAK269" s="28"/>
      <c r="WAL269" s="28"/>
      <c r="WAM269" s="28"/>
      <c r="WAN269" s="28"/>
      <c r="WAO269" s="28"/>
      <c r="WAP269" s="28"/>
      <c r="WAQ269" s="28"/>
      <c r="WAR269" s="28"/>
      <c r="WAS269" s="28"/>
      <c r="WAT269" s="28"/>
      <c r="WAU269" s="28"/>
      <c r="WAV269" s="28"/>
      <c r="WAW269" s="28"/>
      <c r="WAX269" s="28"/>
      <c r="WAY269" s="28"/>
      <c r="WAZ269" s="28"/>
      <c r="WBA269" s="28"/>
      <c r="WBB269" s="28"/>
      <c r="WBC269" s="28"/>
      <c r="WBD269" s="28"/>
      <c r="WBE269" s="28"/>
      <c r="WBF269" s="28"/>
      <c r="WBG269" s="28"/>
      <c r="WBH269" s="28"/>
      <c r="WBI269" s="28"/>
      <c r="WBJ269" s="28"/>
      <c r="WBK269" s="28"/>
      <c r="WBL269" s="28"/>
      <c r="WBM269" s="28"/>
      <c r="WBN269" s="28"/>
      <c r="WBO269" s="28"/>
      <c r="WBP269" s="28"/>
      <c r="WBQ269" s="28"/>
      <c r="WBR269" s="28"/>
      <c r="WBS269" s="28"/>
      <c r="WBT269" s="28"/>
      <c r="WBU269" s="28"/>
      <c r="WBV269" s="28"/>
      <c r="WBW269" s="28"/>
      <c r="WBX269" s="28"/>
      <c r="WBY269" s="28"/>
      <c r="WBZ269" s="28"/>
      <c r="WCA269" s="28"/>
      <c r="WCB269" s="28"/>
      <c r="WCC269" s="28"/>
      <c r="WCD269" s="28"/>
      <c r="WCE269" s="28"/>
      <c r="WCF269" s="28"/>
      <c r="WCG269" s="28"/>
      <c r="WCH269" s="28"/>
      <c r="WCI269" s="28"/>
      <c r="WCJ269" s="28"/>
      <c r="WCK269" s="28"/>
      <c r="WCL269" s="28"/>
      <c r="WCM269" s="28"/>
      <c r="WCN269" s="28"/>
      <c r="WCO269" s="28"/>
      <c r="WCP269" s="28"/>
      <c r="WCQ269" s="28"/>
      <c r="WCR269" s="28"/>
      <c r="WCS269" s="28"/>
      <c r="WCT269" s="28"/>
      <c r="WCU269" s="28"/>
      <c r="WCV269" s="28"/>
      <c r="WCW269" s="28"/>
      <c r="WCX269" s="28"/>
      <c r="WCY269" s="28"/>
      <c r="WCZ269" s="28"/>
      <c r="WDA269" s="28"/>
      <c r="WDB269" s="28"/>
      <c r="WDC269" s="28"/>
      <c r="WDD269" s="28"/>
      <c r="WDE269" s="28"/>
      <c r="WDF269" s="28"/>
      <c r="WDG269" s="28"/>
      <c r="WDH269" s="28"/>
      <c r="WDI269" s="28"/>
      <c r="WDJ269" s="28"/>
      <c r="WDK269" s="28"/>
      <c r="WDL269" s="28"/>
      <c r="WDM269" s="28"/>
      <c r="WDN269" s="28"/>
      <c r="WDO269" s="28"/>
      <c r="WDP269" s="28"/>
      <c r="WDQ269" s="28"/>
      <c r="WDR269" s="28"/>
      <c r="WDS269" s="28"/>
      <c r="WDT269" s="28"/>
      <c r="WDU269" s="28"/>
      <c r="WDV269" s="28"/>
      <c r="WDW269" s="28"/>
      <c r="WDX269" s="28"/>
      <c r="WDY269" s="28"/>
      <c r="WDZ269" s="28"/>
      <c r="WEA269" s="28"/>
      <c r="WEB269" s="28"/>
      <c r="WEC269" s="28"/>
      <c r="WED269" s="28"/>
      <c r="WEE269" s="28"/>
      <c r="WEF269" s="28"/>
      <c r="WEG269" s="28"/>
      <c r="WEH269" s="28"/>
      <c r="WEI269" s="28"/>
      <c r="WEJ269" s="28"/>
      <c r="WEK269" s="28"/>
      <c r="WEL269" s="28"/>
      <c r="WEM269" s="28"/>
      <c r="WEN269" s="28"/>
      <c r="WEO269" s="28"/>
      <c r="WEP269" s="28"/>
      <c r="WEQ269" s="28"/>
      <c r="WER269" s="28"/>
      <c r="WES269" s="28"/>
      <c r="WET269" s="28"/>
      <c r="WEU269" s="28"/>
      <c r="WEV269" s="28"/>
      <c r="WEW269" s="28"/>
      <c r="WEX269" s="28"/>
      <c r="WEY269" s="28"/>
      <c r="WEZ269" s="28"/>
      <c r="WFA269" s="28"/>
      <c r="WFB269" s="28"/>
      <c r="WFC269" s="28"/>
      <c r="WFD269" s="28"/>
      <c r="WFE269" s="28"/>
      <c r="WFF269" s="28"/>
      <c r="WFG269" s="28"/>
      <c r="WFH269" s="28"/>
      <c r="WFI269" s="28"/>
      <c r="WFJ269" s="28"/>
      <c r="WFK269" s="28"/>
      <c r="WFL269" s="28"/>
      <c r="WFM269" s="28"/>
      <c r="WFN269" s="28"/>
      <c r="WFO269" s="28"/>
      <c r="WFP269" s="28"/>
      <c r="WFQ269" s="28"/>
      <c r="WFR269" s="28"/>
      <c r="WFS269" s="28"/>
      <c r="WFT269" s="28"/>
      <c r="WFU269" s="28"/>
      <c r="WFV269" s="28"/>
      <c r="WFW269" s="28"/>
      <c r="WFX269" s="28"/>
      <c r="WFY269" s="28"/>
      <c r="WFZ269" s="28"/>
      <c r="WGA269" s="28"/>
      <c r="WGB269" s="28"/>
      <c r="WGC269" s="28"/>
      <c r="WGD269" s="28"/>
      <c r="WGE269" s="28"/>
      <c r="WGF269" s="28"/>
      <c r="WGG269" s="28"/>
      <c r="WGH269" s="28"/>
      <c r="WGI269" s="28"/>
      <c r="WGJ269" s="28"/>
      <c r="WGK269" s="28"/>
      <c r="WGL269" s="28"/>
      <c r="WGM269" s="28"/>
      <c r="WGN269" s="28"/>
      <c r="WGO269" s="28"/>
      <c r="WGP269" s="28"/>
      <c r="WGQ269" s="28"/>
      <c r="WGR269" s="28"/>
      <c r="WGS269" s="28"/>
      <c r="WGT269" s="28"/>
      <c r="WGU269" s="28"/>
      <c r="WGV269" s="28"/>
      <c r="WGW269" s="28"/>
      <c r="WGX269" s="28"/>
      <c r="WGY269" s="28"/>
      <c r="WGZ269" s="28"/>
      <c r="WHA269" s="28"/>
      <c r="WHB269" s="28"/>
      <c r="WHC269" s="28"/>
      <c r="WHD269" s="28"/>
      <c r="WHE269" s="28"/>
      <c r="WHF269" s="28"/>
      <c r="WHG269" s="28"/>
      <c r="WHH269" s="28"/>
      <c r="WHI269" s="28"/>
      <c r="WHJ269" s="28"/>
      <c r="WHK269" s="28"/>
      <c r="WHL269" s="28"/>
      <c r="WHM269" s="28"/>
      <c r="WHN269" s="28"/>
      <c r="WHO269" s="28"/>
      <c r="WHP269" s="28"/>
      <c r="WHQ269" s="28"/>
      <c r="WHR269" s="28"/>
      <c r="WHS269" s="28"/>
      <c r="WHT269" s="28"/>
      <c r="WHU269" s="28"/>
      <c r="WHV269" s="28"/>
      <c r="WHW269" s="28"/>
      <c r="WHX269" s="28"/>
      <c r="WHY269" s="28"/>
      <c r="WHZ269" s="28"/>
      <c r="WIA269" s="28"/>
      <c r="WIB269" s="28"/>
      <c r="WIC269" s="28"/>
      <c r="WID269" s="28"/>
      <c r="WIE269" s="28"/>
      <c r="WIF269" s="28"/>
      <c r="WIG269" s="28"/>
      <c r="WIH269" s="28"/>
      <c r="WII269" s="28"/>
      <c r="WIJ269" s="28"/>
      <c r="WIK269" s="28"/>
      <c r="WIL269" s="28"/>
      <c r="WIM269" s="28"/>
      <c r="WIN269" s="28"/>
      <c r="WIO269" s="28"/>
      <c r="WIP269" s="28"/>
      <c r="WIQ269" s="28"/>
      <c r="WIR269" s="28"/>
      <c r="WIS269" s="28"/>
      <c r="WIT269" s="28"/>
      <c r="WIU269" s="28"/>
      <c r="WIV269" s="28"/>
      <c r="WIW269" s="28"/>
      <c r="WIX269" s="28"/>
      <c r="WIY269" s="28"/>
      <c r="WIZ269" s="28"/>
      <c r="WJA269" s="28"/>
      <c r="WJB269" s="28"/>
      <c r="WJC269" s="28"/>
      <c r="WJD269" s="28"/>
      <c r="WJE269" s="28"/>
      <c r="WJF269" s="28"/>
      <c r="WJG269" s="28"/>
      <c r="WJH269" s="28"/>
      <c r="WJI269" s="28"/>
      <c r="WJJ269" s="28"/>
      <c r="WJK269" s="28"/>
      <c r="WJL269" s="28"/>
      <c r="WJM269" s="28"/>
      <c r="WJN269" s="28"/>
      <c r="WJO269" s="28"/>
      <c r="WJP269" s="28"/>
      <c r="WJQ269" s="28"/>
      <c r="WJR269" s="28"/>
      <c r="WJS269" s="28"/>
      <c r="WJT269" s="28"/>
      <c r="WJU269" s="28"/>
      <c r="WJV269" s="28"/>
      <c r="WJW269" s="28"/>
      <c r="WJX269" s="28"/>
      <c r="WJY269" s="28"/>
      <c r="WJZ269" s="28"/>
      <c r="WKA269" s="28"/>
      <c r="WKB269" s="28"/>
      <c r="WKC269" s="28"/>
      <c r="WKD269" s="28"/>
      <c r="WKE269" s="28"/>
      <c r="WKF269" s="28"/>
      <c r="WKG269" s="28"/>
      <c r="WKH269" s="28"/>
      <c r="WKI269" s="28"/>
      <c r="WKJ269" s="28"/>
      <c r="WKK269" s="28"/>
      <c r="WKL269" s="28"/>
      <c r="WKM269" s="28"/>
      <c r="WKN269" s="28"/>
      <c r="WKO269" s="28"/>
      <c r="WKP269" s="28"/>
      <c r="WKQ269" s="28"/>
      <c r="WKR269" s="28"/>
      <c r="WKS269" s="28"/>
      <c r="WKT269" s="28"/>
      <c r="WKU269" s="28"/>
      <c r="WKV269" s="28"/>
      <c r="WKW269" s="28"/>
      <c r="WKX269" s="28"/>
      <c r="WKY269" s="28"/>
      <c r="WKZ269" s="28"/>
      <c r="WLA269" s="28"/>
      <c r="WLB269" s="28"/>
      <c r="WLC269" s="28"/>
      <c r="WLD269" s="28"/>
      <c r="WLE269" s="28"/>
      <c r="WLF269" s="28"/>
      <c r="WLG269" s="28"/>
      <c r="WLH269" s="28"/>
      <c r="WLI269" s="28"/>
      <c r="WLJ269" s="28"/>
      <c r="WLK269" s="28"/>
      <c r="WLL269" s="28"/>
      <c r="WLM269" s="28"/>
      <c r="WLN269" s="28"/>
      <c r="WLO269" s="28"/>
      <c r="WLP269" s="28"/>
      <c r="WLQ269" s="28"/>
      <c r="WLR269" s="28"/>
      <c r="WLS269" s="28"/>
      <c r="WLT269" s="28"/>
      <c r="WLU269" s="28"/>
      <c r="WLV269" s="28"/>
      <c r="WLW269" s="28"/>
      <c r="WLX269" s="28"/>
      <c r="WLY269" s="28"/>
      <c r="WLZ269" s="28"/>
      <c r="WMA269" s="28"/>
      <c r="WMB269" s="28"/>
      <c r="WMC269" s="28"/>
      <c r="WMD269" s="28"/>
      <c r="WME269" s="28"/>
      <c r="WMF269" s="28"/>
      <c r="WMG269" s="28"/>
      <c r="WMH269" s="28"/>
      <c r="WMI269" s="28"/>
      <c r="WMJ269" s="28"/>
      <c r="WMK269" s="28"/>
      <c r="WML269" s="28"/>
      <c r="WMM269" s="28"/>
      <c r="WMN269" s="28"/>
      <c r="WMO269" s="28"/>
      <c r="WMP269" s="28"/>
      <c r="WMQ269" s="28"/>
      <c r="WMR269" s="28"/>
      <c r="WMS269" s="28"/>
      <c r="WMT269" s="28"/>
      <c r="WMU269" s="28"/>
      <c r="WMV269" s="28"/>
      <c r="WMW269" s="28"/>
      <c r="WMX269" s="28"/>
      <c r="WMY269" s="28"/>
      <c r="WMZ269" s="28"/>
      <c r="WNA269" s="28"/>
      <c r="WNB269" s="28"/>
      <c r="WNC269" s="28"/>
      <c r="WND269" s="28"/>
      <c r="WNE269" s="28"/>
      <c r="WNF269" s="28"/>
      <c r="WNG269" s="28"/>
      <c r="WNH269" s="28"/>
      <c r="WNI269" s="28"/>
      <c r="WNJ269" s="28"/>
      <c r="WNK269" s="28"/>
      <c r="WNL269" s="28"/>
      <c r="WNM269" s="28"/>
      <c r="WNN269" s="28"/>
      <c r="WNO269" s="28"/>
      <c r="WNP269" s="28"/>
      <c r="WNQ269" s="28"/>
      <c r="WNR269" s="28"/>
      <c r="WNS269" s="28"/>
      <c r="WNT269" s="28"/>
      <c r="WNU269" s="28"/>
      <c r="WNV269" s="28"/>
      <c r="WNW269" s="28"/>
      <c r="WNX269" s="28"/>
      <c r="WNY269" s="28"/>
      <c r="WNZ269" s="28"/>
      <c r="WOA269" s="28"/>
      <c r="WOB269" s="28"/>
      <c r="WOC269" s="28"/>
      <c r="WOD269" s="28"/>
      <c r="WOE269" s="28"/>
      <c r="WOF269" s="28"/>
      <c r="WOG269" s="28"/>
      <c r="WOH269" s="28"/>
      <c r="WOI269" s="28"/>
      <c r="WOJ269" s="28"/>
      <c r="WOK269" s="28"/>
      <c r="WOL269" s="28"/>
      <c r="WOM269" s="28"/>
      <c r="WON269" s="28"/>
      <c r="WOO269" s="28"/>
      <c r="WOP269" s="28"/>
      <c r="WOQ269" s="28"/>
      <c r="WOR269" s="28"/>
      <c r="WOS269" s="28"/>
      <c r="WOT269" s="28"/>
      <c r="WOU269" s="28"/>
      <c r="WOV269" s="28"/>
      <c r="WOW269" s="28"/>
      <c r="WOX269" s="28"/>
      <c r="WOY269" s="28"/>
      <c r="WOZ269" s="28"/>
      <c r="WPA269" s="28"/>
      <c r="WPB269" s="28"/>
      <c r="WPC269" s="28"/>
      <c r="WPD269" s="28"/>
      <c r="WPE269" s="28"/>
      <c r="WPF269" s="28"/>
      <c r="WPG269" s="28"/>
      <c r="WPH269" s="28"/>
      <c r="WPI269" s="28"/>
      <c r="WPJ269" s="28"/>
      <c r="WPK269" s="28"/>
      <c r="WPL269" s="28"/>
      <c r="WPM269" s="28"/>
      <c r="WPN269" s="28"/>
      <c r="WPO269" s="28"/>
      <c r="WPP269" s="28"/>
      <c r="WPQ269" s="28"/>
      <c r="WPR269" s="28"/>
      <c r="WPS269" s="28"/>
      <c r="WPT269" s="28"/>
      <c r="WPU269" s="28"/>
      <c r="WPV269" s="28"/>
      <c r="WPW269" s="28"/>
      <c r="WPX269" s="28"/>
      <c r="WPY269" s="28"/>
      <c r="WPZ269" s="28"/>
      <c r="WQA269" s="28"/>
      <c r="WQB269" s="28"/>
      <c r="WQC269" s="28"/>
      <c r="WQD269" s="28"/>
      <c r="WQE269" s="28"/>
      <c r="WQF269" s="28"/>
      <c r="WQG269" s="28"/>
      <c r="WQH269" s="28"/>
      <c r="WQI269" s="28"/>
      <c r="WQJ269" s="28"/>
      <c r="WQK269" s="28"/>
      <c r="WQL269" s="28"/>
      <c r="WQM269" s="28"/>
      <c r="WQN269" s="28"/>
      <c r="WQO269" s="28"/>
      <c r="WQP269" s="28"/>
      <c r="WQQ269" s="28"/>
      <c r="WQR269" s="28"/>
      <c r="WQS269" s="28"/>
      <c r="WQT269" s="28"/>
      <c r="WQU269" s="28"/>
      <c r="WQV269" s="28"/>
      <c r="WQW269" s="28"/>
      <c r="WQX269" s="28"/>
      <c r="WQY269" s="28"/>
      <c r="WQZ269" s="28"/>
      <c r="WRA269" s="28"/>
      <c r="WRB269" s="28"/>
      <c r="WRC269" s="28"/>
      <c r="WRD269" s="28"/>
      <c r="WRE269" s="28"/>
      <c r="WRF269" s="28"/>
      <c r="WRG269" s="28"/>
      <c r="WRH269" s="28"/>
      <c r="WRI269" s="28"/>
      <c r="WRJ269" s="28"/>
      <c r="WRK269" s="28"/>
      <c r="WRL269" s="28"/>
      <c r="WRM269" s="28"/>
      <c r="WRN269" s="28"/>
      <c r="WRO269" s="28"/>
      <c r="WRP269" s="28"/>
      <c r="WRQ269" s="28"/>
      <c r="WRR269" s="28"/>
      <c r="WRS269" s="28"/>
      <c r="WRT269" s="28"/>
      <c r="WRU269" s="28"/>
      <c r="WRV269" s="28"/>
      <c r="WRW269" s="28"/>
      <c r="WRX269" s="28"/>
      <c r="WRY269" s="28"/>
      <c r="WRZ269" s="28"/>
      <c r="WSA269" s="28"/>
      <c r="WSB269" s="28"/>
      <c r="WSC269" s="28"/>
      <c r="WSD269" s="28"/>
      <c r="WSE269" s="28"/>
      <c r="WSF269" s="28"/>
      <c r="WSG269" s="28"/>
      <c r="WSH269" s="28"/>
      <c r="WSI269" s="28"/>
      <c r="WSJ269" s="28"/>
      <c r="WSK269" s="28"/>
      <c r="WSL269" s="28"/>
      <c r="WSM269" s="28"/>
      <c r="WSN269" s="28"/>
      <c r="WSO269" s="28"/>
      <c r="WSP269" s="28"/>
      <c r="WSQ269" s="28"/>
      <c r="WSR269" s="28"/>
      <c r="WSS269" s="28"/>
      <c r="WST269" s="28"/>
      <c r="WSU269" s="28"/>
      <c r="WSV269" s="28"/>
      <c r="WSW269" s="28"/>
      <c r="WSX269" s="28"/>
      <c r="WSY269" s="28"/>
      <c r="WSZ269" s="28"/>
      <c r="WTA269" s="28"/>
      <c r="WTB269" s="28"/>
      <c r="WTC269" s="28"/>
      <c r="WTD269" s="28"/>
      <c r="WTE269" s="28"/>
      <c r="WTF269" s="28"/>
      <c r="WTG269" s="28"/>
      <c r="WTH269" s="28"/>
      <c r="WTI269" s="28"/>
      <c r="WTJ269" s="28"/>
      <c r="WTK269" s="28"/>
      <c r="WTL269" s="28"/>
      <c r="WTM269" s="28"/>
      <c r="WTN269" s="28"/>
      <c r="WTO269" s="28"/>
      <c r="WTP269" s="28"/>
      <c r="WTQ269" s="28"/>
      <c r="WTR269" s="28"/>
      <c r="WTS269" s="28"/>
      <c r="WTT269" s="28"/>
      <c r="WTU269" s="28"/>
      <c r="WTV269" s="28"/>
      <c r="WTW269" s="28"/>
      <c r="WTX269" s="28"/>
      <c r="WTY269" s="28"/>
      <c r="WTZ269" s="28"/>
      <c r="WUA269" s="28"/>
      <c r="WUB269" s="28"/>
      <c r="WUC269" s="28"/>
      <c r="WUD269" s="28"/>
      <c r="WUE269" s="28"/>
      <c r="WUF269" s="28"/>
      <c r="WUG269" s="28"/>
      <c r="WUH269" s="28"/>
      <c r="WUI269" s="28"/>
      <c r="WUJ269" s="28"/>
      <c r="WUK269" s="28"/>
      <c r="WUL269" s="28"/>
      <c r="WUM269" s="28"/>
      <c r="WUN269" s="28"/>
      <c r="WUO269" s="28"/>
      <c r="WUP269" s="28"/>
      <c r="WUQ269" s="28"/>
      <c r="WUR269" s="28"/>
      <c r="WUS269" s="28"/>
      <c r="WUT269" s="28"/>
      <c r="WUU269" s="28"/>
      <c r="WUV269" s="28"/>
      <c r="WUW269" s="28"/>
      <c r="WUX269" s="28"/>
      <c r="WUY269" s="28"/>
      <c r="WUZ269" s="28"/>
      <c r="WVA269" s="28"/>
      <c r="WVB269" s="28"/>
      <c r="WVC269" s="28"/>
      <c r="WVD269" s="28"/>
      <c r="WVE269" s="28"/>
      <c r="WVF269" s="28"/>
      <c r="WVG269" s="28"/>
      <c r="WVH269" s="28"/>
      <c r="WVI269" s="28"/>
      <c r="WVJ269" s="28"/>
      <c r="WVK269" s="28"/>
      <c r="WVL269" s="28"/>
      <c r="WVM269" s="28"/>
      <c r="WVN269" s="28"/>
      <c r="WVO269" s="28"/>
      <c r="WVP269" s="28"/>
      <c r="WVQ269" s="28"/>
      <c r="WVR269" s="28"/>
      <c r="WVS269" s="28"/>
      <c r="WVT269" s="28"/>
      <c r="WVU269" s="28"/>
      <c r="WVV269" s="28"/>
      <c r="WVW269" s="28"/>
      <c r="WVX269" s="28"/>
      <c r="WVY269" s="28"/>
      <c r="WVZ269" s="28"/>
      <c r="WWA269" s="28"/>
      <c r="WWB269" s="28"/>
      <c r="WWC269" s="28"/>
      <c r="WWD269" s="28"/>
      <c r="WWE269" s="28"/>
      <c r="WWF269" s="28"/>
      <c r="WWG269" s="28"/>
      <c r="WWH269" s="28"/>
      <c r="WWI269" s="28"/>
      <c r="WWJ269" s="28"/>
      <c r="WWK269" s="28"/>
      <c r="WWL269" s="28"/>
      <c r="WWM269" s="28"/>
      <c r="WWN269" s="28"/>
      <c r="WWO269" s="28"/>
      <c r="WWP269" s="28"/>
      <c r="WWQ269" s="28"/>
      <c r="WWR269" s="28"/>
      <c r="WWS269" s="28"/>
      <c r="WWT269" s="28"/>
      <c r="WWU269" s="28"/>
      <c r="WWV269" s="28"/>
      <c r="WWW269" s="28"/>
      <c r="WWX269" s="28"/>
      <c r="WWY269" s="28"/>
      <c r="WWZ269" s="28"/>
      <c r="WXA269" s="28"/>
      <c r="WXB269" s="28"/>
      <c r="WXC269" s="28"/>
      <c r="WXD269" s="28"/>
      <c r="WXE269" s="28"/>
      <c r="WXF269" s="28"/>
      <c r="WXG269" s="28"/>
      <c r="WXH269" s="28"/>
      <c r="WXI269" s="28"/>
      <c r="WXJ269" s="28"/>
      <c r="WXK269" s="28"/>
      <c r="WXL269" s="28"/>
      <c r="WXM269" s="28"/>
      <c r="WXN269" s="28"/>
      <c r="WXO269" s="28"/>
      <c r="WXP269" s="28"/>
      <c r="WXQ269" s="28"/>
      <c r="WXR269" s="28"/>
      <c r="WXS269" s="28"/>
      <c r="WXT269" s="28"/>
      <c r="WXU269" s="28"/>
      <c r="WXV269" s="28"/>
      <c r="WXW269" s="28"/>
      <c r="WXX269" s="28"/>
      <c r="WXY269" s="28"/>
      <c r="WXZ269" s="28"/>
      <c r="WYA269" s="28"/>
      <c r="WYB269" s="28"/>
      <c r="WYC269" s="28"/>
      <c r="WYD269" s="28"/>
      <c r="WYE269" s="28"/>
      <c r="WYF269" s="28"/>
      <c r="WYG269" s="28"/>
      <c r="WYH269" s="28"/>
      <c r="WYI269" s="28"/>
      <c r="WYJ269" s="28"/>
      <c r="WYK269" s="28"/>
      <c r="WYL269" s="28"/>
      <c r="WYM269" s="28"/>
      <c r="WYN269" s="28"/>
      <c r="WYO269" s="28"/>
      <c r="WYP269" s="28"/>
      <c r="WYQ269" s="28"/>
      <c r="WYR269" s="28"/>
      <c r="WYS269" s="28"/>
      <c r="WYT269" s="28"/>
      <c r="WYU269" s="28"/>
      <c r="WYV269" s="28"/>
      <c r="WYW269" s="28"/>
      <c r="WYX269" s="28"/>
      <c r="WYY269" s="28"/>
      <c r="WYZ269" s="28"/>
      <c r="WZA269" s="28"/>
      <c r="WZB269" s="28"/>
      <c r="WZC269" s="28"/>
      <c r="WZD269" s="28"/>
      <c r="WZE269" s="28"/>
      <c r="WZF269" s="28"/>
      <c r="WZG269" s="28"/>
      <c r="WZH269" s="28"/>
      <c r="WZI269" s="28"/>
      <c r="WZJ269" s="28"/>
      <c r="WZK269" s="28"/>
      <c r="WZL269" s="28"/>
      <c r="WZM269" s="28"/>
      <c r="WZN269" s="28"/>
      <c r="WZO269" s="28"/>
      <c r="WZP269" s="28"/>
      <c r="WZQ269" s="28"/>
      <c r="WZR269" s="28"/>
      <c r="WZS269" s="28"/>
      <c r="WZT269" s="28"/>
      <c r="WZU269" s="28"/>
      <c r="WZV269" s="28"/>
      <c r="WZW269" s="28"/>
      <c r="WZX269" s="28"/>
      <c r="WZY269" s="28"/>
      <c r="WZZ269" s="28"/>
      <c r="XAA269" s="28"/>
      <c r="XAB269" s="28"/>
      <c r="XAC269" s="28"/>
      <c r="XAD269" s="28"/>
      <c r="XAE269" s="28"/>
      <c r="XAF269" s="28"/>
      <c r="XAG269" s="28"/>
      <c r="XAH269" s="28"/>
      <c r="XAI269" s="28"/>
      <c r="XAJ269" s="28"/>
      <c r="XAK269" s="28"/>
      <c r="XAL269" s="28"/>
      <c r="XAM269" s="28"/>
      <c r="XAN269" s="28"/>
      <c r="XAO269" s="28"/>
      <c r="XAP269" s="28"/>
      <c r="XAQ269" s="28"/>
      <c r="XAR269" s="28"/>
      <c r="XAS269" s="28"/>
      <c r="XAT269" s="28"/>
      <c r="XAU269" s="28"/>
      <c r="XAV269" s="28"/>
      <c r="XAW269" s="28"/>
      <c r="XAX269" s="28"/>
      <c r="XAY269" s="28"/>
      <c r="XAZ269" s="28"/>
      <c r="XBA269" s="28"/>
      <c r="XBB269" s="28"/>
      <c r="XBC269" s="28"/>
      <c r="XBD269" s="28"/>
      <c r="XBE269" s="28"/>
      <c r="XBF269" s="28"/>
      <c r="XBG269" s="28"/>
      <c r="XBH269" s="28"/>
      <c r="XBI269" s="28"/>
      <c r="XBJ269" s="28"/>
      <c r="XBK269" s="28"/>
      <c r="XBL269" s="28"/>
      <c r="XBM269" s="28"/>
      <c r="XBN269" s="28"/>
      <c r="XBO269" s="28"/>
      <c r="XBP269" s="28"/>
      <c r="XBQ269" s="28"/>
      <c r="XBR269" s="28"/>
      <c r="XBS269" s="28"/>
      <c r="XBT269" s="28"/>
      <c r="XBU269" s="28"/>
      <c r="XBV269" s="28"/>
      <c r="XBW269" s="28"/>
      <c r="XBX269" s="28"/>
      <c r="XBY269" s="28"/>
      <c r="XBZ269" s="28"/>
      <c r="XCA269" s="28"/>
      <c r="XCB269" s="28"/>
      <c r="XCC269" s="28"/>
      <c r="XCD269" s="28"/>
      <c r="XCE269" s="28"/>
      <c r="XCF269" s="28"/>
      <c r="XCG269" s="28"/>
      <c r="XCH269" s="28"/>
      <c r="XCI269" s="28"/>
      <c r="XCJ269" s="28"/>
      <c r="XCK269" s="28"/>
      <c r="XCL269" s="28"/>
      <c r="XCM269" s="28"/>
      <c r="XCN269" s="28"/>
      <c r="XCO269" s="28"/>
      <c r="XCP269" s="28"/>
      <c r="XCQ269" s="28"/>
      <c r="XCR269" s="28"/>
      <c r="XCS269" s="28"/>
      <c r="XCT269" s="28"/>
      <c r="XCU269" s="28"/>
      <c r="XCV269" s="28"/>
      <c r="XCW269" s="28"/>
      <c r="XCX269" s="28"/>
      <c r="XCY269" s="28"/>
      <c r="XCZ269" s="28"/>
      <c r="XDA269" s="28"/>
      <c r="XDB269" s="28"/>
      <c r="XDC269" s="28"/>
      <c r="XDD269" s="28"/>
      <c r="XDE269" s="28"/>
      <c r="XDF269" s="28"/>
      <c r="XDG269" s="28"/>
      <c r="XDH269" s="28"/>
      <c r="XDI269" s="28"/>
      <c r="XDJ269" s="28"/>
      <c r="XDK269" s="28"/>
      <c r="XDL269" s="28"/>
      <c r="XDM269" s="28"/>
      <c r="XDN269" s="28"/>
      <c r="XDO269" s="28"/>
      <c r="XDP269" s="28"/>
      <c r="XDQ269" s="28"/>
      <c r="XDR269" s="28"/>
      <c r="XDS269" s="28"/>
      <c r="XDT269" s="28"/>
      <c r="XDU269" s="28"/>
      <c r="XDV269" s="28"/>
      <c r="XDW269" s="28"/>
      <c r="XDX269" s="28"/>
      <c r="XDY269" s="28"/>
      <c r="XDZ269" s="28"/>
      <c r="XEA269" s="28"/>
      <c r="XEB269" s="28"/>
      <c r="XEC269" s="28"/>
      <c r="XED269" s="28"/>
      <c r="XEE269" s="28"/>
      <c r="XEF269" s="28"/>
      <c r="XEG269" s="28"/>
      <c r="XEH269" s="28"/>
      <c r="XEI269" s="28"/>
      <c r="XEJ269" s="28"/>
      <c r="XEK269" s="28"/>
      <c r="XEL269" s="28"/>
      <c r="XEM269" s="28"/>
      <c r="XEN269" s="28"/>
      <c r="XEO269" s="28"/>
      <c r="XEP269" s="28"/>
      <c r="XEQ269" s="28"/>
      <c r="XER269" s="28"/>
      <c r="XES269" s="28"/>
      <c r="XET269" s="28"/>
      <c r="XEU269" s="28"/>
      <c r="XEV269" s="28"/>
      <c r="XEW269" s="28"/>
      <c r="XEX269" s="28"/>
      <c r="XEY269" s="28"/>
      <c r="XEZ269" s="28"/>
      <c r="XFA269" s="28"/>
      <c r="XFB269" s="28"/>
      <c r="XFC269" s="28"/>
    </row>
    <row r="270" spans="1:16383" ht="15" x14ac:dyDescent="0.25">
      <c r="A270" s="22"/>
      <c r="B270" s="22"/>
      <c r="C270" s="22"/>
      <c r="D270" s="22"/>
      <c r="E270" s="22"/>
      <c r="F270" s="22"/>
      <c r="G270" s="22"/>
      <c r="H270" s="22"/>
      <c r="I270" s="22"/>
      <c r="J270" s="22"/>
      <c r="K270" s="22"/>
      <c r="L270" s="203" t="s">
        <v>863</v>
      </c>
      <c r="M270" s="203" t="s">
        <v>885</v>
      </c>
      <c r="N270" s="203"/>
      <c r="O270" s="203"/>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c r="DQ270" s="22"/>
      <c r="DR270" s="22"/>
      <c r="DS270" s="22"/>
      <c r="DT270" s="22"/>
      <c r="DU270" s="22"/>
      <c r="DV270" s="22"/>
      <c r="DW270" s="22"/>
      <c r="DX270" s="22"/>
      <c r="DY270" s="22"/>
      <c r="DZ270" s="22"/>
      <c r="EA270" s="22"/>
      <c r="EB270" s="22"/>
      <c r="EC270" s="22"/>
      <c r="ED270" s="22"/>
      <c r="EE270" s="22"/>
      <c r="EF270" s="22"/>
      <c r="EG270" s="22"/>
      <c r="EH270" s="22"/>
      <c r="EI270" s="22"/>
      <c r="EJ270" s="22"/>
      <c r="EK270" s="22"/>
      <c r="EL270" s="22"/>
      <c r="EM270" s="22"/>
      <c r="EN270" s="22"/>
      <c r="EO270" s="22"/>
      <c r="EP270" s="22"/>
      <c r="EQ270" s="22"/>
      <c r="ER270" s="22"/>
      <c r="ES270" s="22"/>
      <c r="ET270" s="22"/>
      <c r="EU270" s="22"/>
      <c r="EV270" s="22"/>
      <c r="EW270" s="22"/>
      <c r="EX270" s="22"/>
      <c r="EY270" s="22"/>
      <c r="EZ270" s="22"/>
      <c r="FA270" s="22"/>
      <c r="FB270" s="22"/>
      <c r="FC270" s="22"/>
      <c r="FD270" s="22"/>
      <c r="FE270" s="22"/>
      <c r="FF270" s="22"/>
      <c r="FG270" s="22"/>
      <c r="FH270" s="22"/>
      <c r="FI270" s="22"/>
      <c r="FJ270" s="22"/>
      <c r="FK270" s="22"/>
      <c r="FL270" s="22"/>
      <c r="FM270" s="22"/>
      <c r="FN270" s="22"/>
      <c r="FO270" s="22"/>
      <c r="FP270" s="22"/>
      <c r="FQ270" s="22"/>
      <c r="FR270" s="22"/>
      <c r="FS270" s="22"/>
      <c r="FT270" s="22"/>
      <c r="FU270" s="22"/>
      <c r="FV270" s="22"/>
      <c r="FW270" s="22"/>
      <c r="FX270" s="22"/>
      <c r="FY270" s="22"/>
      <c r="FZ270" s="22"/>
      <c r="GA270" s="22"/>
      <c r="GB270" s="22"/>
      <c r="GC270" s="22"/>
      <c r="GD270" s="22"/>
      <c r="GE270" s="22"/>
      <c r="GF270" s="22"/>
      <c r="GG270" s="22"/>
      <c r="GH270" s="22"/>
      <c r="GI270" s="22"/>
      <c r="GJ270" s="22"/>
      <c r="GK270" s="22"/>
      <c r="GL270" s="22"/>
      <c r="GM270" s="22"/>
      <c r="GN270" s="22"/>
      <c r="GO270" s="22"/>
      <c r="GP270" s="22"/>
      <c r="GQ270" s="22"/>
      <c r="GR270" s="22"/>
      <c r="GS270" s="22"/>
      <c r="GT270" s="22"/>
      <c r="GU270" s="22"/>
      <c r="GV270" s="22"/>
      <c r="GW270" s="22"/>
      <c r="GX270" s="22"/>
      <c r="GY270" s="22"/>
      <c r="GZ270" s="22"/>
      <c r="HA270" s="22"/>
      <c r="HB270" s="22"/>
      <c r="HC270" s="22"/>
      <c r="HD270" s="22"/>
      <c r="HE270" s="22"/>
      <c r="HF270" s="22"/>
      <c r="HG270" s="22"/>
      <c r="HH270" s="22"/>
      <c r="HI270" s="22"/>
      <c r="HJ270" s="22"/>
      <c r="HK270" s="22"/>
      <c r="HL270" s="22"/>
      <c r="HM270" s="22"/>
      <c r="HN270" s="22"/>
      <c r="HO270" s="22"/>
      <c r="HP270" s="22"/>
      <c r="HQ270" s="22"/>
      <c r="HR270" s="22"/>
      <c r="HS270" s="22"/>
      <c r="HT270" s="22"/>
      <c r="HU270" s="22"/>
      <c r="HV270" s="22"/>
      <c r="HW270" s="22"/>
      <c r="HX270" s="22"/>
      <c r="HY270" s="22"/>
      <c r="HZ270" s="22"/>
      <c r="IA270" s="22"/>
      <c r="IB270" s="22"/>
      <c r="IC270" s="22"/>
      <c r="ID270" s="22"/>
      <c r="IE270" s="22"/>
      <c r="IF270" s="22"/>
      <c r="IG270" s="22"/>
      <c r="IH270" s="22"/>
      <c r="II270" s="22"/>
      <c r="IJ270" s="22"/>
      <c r="IK270" s="22"/>
      <c r="IL270" s="22"/>
      <c r="IM270" s="22"/>
      <c r="IN270" s="22"/>
      <c r="IO270" s="22"/>
      <c r="IP270" s="22"/>
      <c r="IQ270" s="22"/>
      <c r="IR270" s="22"/>
      <c r="IS270" s="22"/>
      <c r="IT270" s="22"/>
      <c r="IU270" s="22"/>
      <c r="IV270" s="22"/>
      <c r="IW270" s="22"/>
      <c r="IX270" s="22"/>
      <c r="IY270" s="22"/>
      <c r="IZ270" s="22"/>
      <c r="JA270" s="22"/>
      <c r="JB270" s="22"/>
      <c r="JC270" s="22"/>
      <c r="JD270" s="22"/>
      <c r="JE270" s="22"/>
      <c r="JF270" s="22"/>
      <c r="JG270" s="22"/>
      <c r="JH270" s="22"/>
      <c r="JI270" s="22"/>
      <c r="JJ270" s="22"/>
      <c r="JK270" s="22"/>
      <c r="JL270" s="22"/>
      <c r="JM270" s="22"/>
      <c r="JN270" s="22"/>
      <c r="JO270" s="22"/>
      <c r="JP270" s="22"/>
      <c r="JQ270" s="22"/>
      <c r="JR270" s="22"/>
      <c r="JS270" s="22"/>
      <c r="JT270" s="22"/>
      <c r="JU270" s="22"/>
      <c r="JV270" s="22"/>
      <c r="JW270" s="22"/>
      <c r="JX270" s="22"/>
      <c r="JY270" s="22"/>
      <c r="JZ270" s="22"/>
      <c r="KA270" s="22"/>
      <c r="KB270" s="22"/>
      <c r="KC270" s="22"/>
      <c r="KD270" s="22"/>
      <c r="KE270" s="22"/>
      <c r="KF270" s="22"/>
      <c r="KG270" s="22"/>
      <c r="KH270" s="22"/>
      <c r="KI270" s="22"/>
      <c r="KJ270" s="22"/>
      <c r="KK270" s="22"/>
      <c r="KL270" s="22"/>
      <c r="KM270" s="22"/>
      <c r="KN270" s="22"/>
      <c r="KO270" s="22"/>
      <c r="KP270" s="22"/>
      <c r="KQ270" s="22"/>
      <c r="KR270" s="22"/>
      <c r="KS270" s="22"/>
      <c r="KT270" s="22"/>
      <c r="KU270" s="22"/>
      <c r="KV270" s="22"/>
      <c r="KW270" s="22"/>
      <c r="KX270" s="22"/>
      <c r="KY270" s="22"/>
      <c r="KZ270" s="22"/>
      <c r="LA270" s="22"/>
      <c r="LB270" s="22"/>
      <c r="LC270" s="22"/>
      <c r="LD270" s="22"/>
      <c r="LE270" s="22"/>
      <c r="LF270" s="22"/>
      <c r="LG270" s="22"/>
      <c r="LH270" s="22"/>
      <c r="LI270" s="22"/>
      <c r="LJ270" s="22"/>
      <c r="LK270" s="22"/>
      <c r="LL270" s="22"/>
      <c r="LM270" s="22"/>
      <c r="LN270" s="22"/>
      <c r="LO270" s="22"/>
      <c r="LP270" s="22"/>
      <c r="LQ270" s="22"/>
      <c r="LR270" s="22"/>
      <c r="LS270" s="22"/>
      <c r="LT270" s="22"/>
      <c r="LU270" s="22"/>
      <c r="LV270" s="22"/>
      <c r="LW270" s="22"/>
      <c r="LX270" s="22"/>
      <c r="LY270" s="22"/>
      <c r="LZ270" s="22"/>
      <c r="MA270" s="22"/>
      <c r="MB270" s="22"/>
      <c r="MC270" s="22"/>
      <c r="MD270" s="22"/>
      <c r="ME270" s="22"/>
      <c r="MF270" s="22"/>
      <c r="MG270" s="22"/>
      <c r="MH270" s="22"/>
      <c r="MI270" s="22"/>
      <c r="MJ270" s="22"/>
      <c r="MK270" s="22"/>
      <c r="ML270" s="22"/>
      <c r="MM270" s="22"/>
      <c r="MN270" s="22"/>
      <c r="MO270" s="22"/>
      <c r="MP270" s="22"/>
      <c r="MQ270" s="22"/>
      <c r="MR270" s="22"/>
      <c r="MS270" s="22"/>
      <c r="MT270" s="22"/>
      <c r="MU270" s="22"/>
      <c r="MV270" s="22"/>
      <c r="MW270" s="22"/>
      <c r="MX270" s="22"/>
      <c r="MY270" s="22"/>
      <c r="MZ270" s="22"/>
      <c r="NA270" s="22"/>
      <c r="NB270" s="22"/>
      <c r="NC270" s="22"/>
      <c r="ND270" s="22"/>
      <c r="NE270" s="22"/>
      <c r="NF270" s="22"/>
      <c r="NG270" s="22"/>
      <c r="NH270" s="22"/>
      <c r="NI270" s="22"/>
      <c r="NJ270" s="22"/>
      <c r="NK270" s="22"/>
      <c r="NL270" s="22"/>
      <c r="NM270" s="22"/>
      <c r="NN270" s="22"/>
      <c r="NO270" s="22"/>
      <c r="NP270" s="22"/>
      <c r="NQ270" s="22"/>
      <c r="NR270" s="22"/>
      <c r="NS270" s="22"/>
      <c r="NT270" s="22"/>
      <c r="NU270" s="22"/>
      <c r="NV270" s="22"/>
      <c r="NW270" s="22"/>
      <c r="NX270" s="22"/>
      <c r="NY270" s="22"/>
      <c r="NZ270" s="22"/>
      <c r="OA270" s="22"/>
      <c r="OB270" s="22"/>
      <c r="OC270" s="22"/>
      <c r="OD270" s="22"/>
      <c r="OE270" s="22"/>
      <c r="OF270" s="22"/>
      <c r="OG270" s="22"/>
      <c r="OH270" s="22"/>
      <c r="OI270" s="22"/>
      <c r="OJ270" s="22"/>
      <c r="OK270" s="22"/>
      <c r="OL270" s="22"/>
      <c r="OM270" s="22"/>
      <c r="ON270" s="22"/>
      <c r="OO270" s="22"/>
      <c r="OP270" s="22"/>
      <c r="OQ270" s="22"/>
      <c r="OR270" s="22"/>
      <c r="OS270" s="22"/>
      <c r="OT270" s="22"/>
      <c r="OU270" s="22"/>
      <c r="OV270" s="22"/>
      <c r="OW270" s="22"/>
      <c r="OX270" s="22"/>
      <c r="OY270" s="22"/>
      <c r="OZ270" s="22"/>
      <c r="PA270" s="22"/>
      <c r="PB270" s="22"/>
      <c r="PC270" s="22"/>
      <c r="PD270" s="22"/>
      <c r="PE270" s="22"/>
      <c r="PF270" s="22"/>
      <c r="PG270" s="22"/>
      <c r="PH270" s="22"/>
      <c r="PI270" s="22"/>
      <c r="PJ270" s="22"/>
      <c r="PK270" s="22"/>
      <c r="PL270" s="22"/>
      <c r="PM270" s="22"/>
      <c r="PN270" s="22"/>
      <c r="PO270" s="22"/>
      <c r="PP270" s="22"/>
      <c r="PQ270" s="22"/>
      <c r="PR270" s="22"/>
      <c r="PS270" s="22"/>
      <c r="PT270" s="22"/>
      <c r="PU270" s="22"/>
      <c r="PV270" s="22"/>
      <c r="PW270" s="22"/>
      <c r="PX270" s="22"/>
      <c r="PY270" s="22"/>
      <c r="PZ270" s="22"/>
      <c r="QA270" s="22"/>
      <c r="QB270" s="22"/>
      <c r="QC270" s="22"/>
      <c r="QD270" s="22"/>
      <c r="QE270" s="22"/>
      <c r="QF270" s="22"/>
      <c r="QG270" s="22"/>
      <c r="QH270" s="22"/>
      <c r="QI270" s="22"/>
      <c r="QJ270" s="22"/>
      <c r="QK270" s="22"/>
      <c r="QL270" s="22"/>
      <c r="QM270" s="22"/>
      <c r="QN270" s="22"/>
      <c r="QO270" s="22"/>
      <c r="QP270" s="22"/>
      <c r="QQ270" s="22"/>
      <c r="QR270" s="22"/>
      <c r="QS270" s="22"/>
      <c r="QT270" s="22"/>
      <c r="QU270" s="22"/>
      <c r="QV270" s="22"/>
      <c r="QW270" s="22"/>
      <c r="QX270" s="22"/>
      <c r="QY270" s="22"/>
      <c r="QZ270" s="22"/>
      <c r="RA270" s="22"/>
      <c r="RB270" s="22"/>
      <c r="RC270" s="22"/>
      <c r="RD270" s="22"/>
      <c r="RE270" s="22"/>
      <c r="RF270" s="22"/>
      <c r="RG270" s="22"/>
      <c r="RH270" s="22"/>
      <c r="RI270" s="22"/>
      <c r="RJ270" s="22"/>
      <c r="RK270" s="22"/>
      <c r="RL270" s="22"/>
      <c r="RM270" s="22"/>
      <c r="RN270" s="22"/>
      <c r="RO270" s="22"/>
      <c r="RP270" s="22"/>
      <c r="RQ270" s="22"/>
      <c r="RR270" s="22"/>
      <c r="RS270" s="22"/>
      <c r="RT270" s="22"/>
      <c r="RU270" s="22"/>
      <c r="RV270" s="22"/>
      <c r="RW270" s="22"/>
      <c r="RX270" s="22"/>
      <c r="RY270" s="22"/>
      <c r="RZ270" s="22"/>
      <c r="SA270" s="22"/>
      <c r="SB270" s="22"/>
      <c r="SC270" s="22"/>
      <c r="SD270" s="22"/>
      <c r="SE270" s="22"/>
      <c r="SF270" s="22"/>
      <c r="SG270" s="22"/>
      <c r="SH270" s="22"/>
      <c r="SI270" s="22"/>
      <c r="SJ270" s="22"/>
      <c r="SK270" s="22"/>
      <c r="SL270" s="22"/>
      <c r="SM270" s="22"/>
      <c r="SN270" s="22"/>
      <c r="SO270" s="22"/>
      <c r="SP270" s="22"/>
      <c r="SQ270" s="22"/>
      <c r="SR270" s="22"/>
      <c r="SS270" s="22"/>
      <c r="ST270" s="22"/>
      <c r="SU270" s="22"/>
      <c r="SV270" s="22"/>
      <c r="SW270" s="22"/>
      <c r="SX270" s="22"/>
      <c r="SY270" s="22"/>
      <c r="SZ270" s="22"/>
      <c r="TA270" s="22"/>
      <c r="TB270" s="22"/>
      <c r="TC270" s="22"/>
      <c r="TD270" s="22"/>
      <c r="TE270" s="22"/>
      <c r="TF270" s="22"/>
      <c r="TG270" s="22"/>
      <c r="TH270" s="22"/>
      <c r="TI270" s="22"/>
      <c r="TJ270" s="22"/>
      <c r="TK270" s="22"/>
      <c r="TL270" s="22"/>
      <c r="TM270" s="22"/>
      <c r="TN270" s="22"/>
      <c r="TO270" s="22"/>
      <c r="TP270" s="22"/>
      <c r="TQ270" s="22"/>
      <c r="TR270" s="22"/>
      <c r="TS270" s="22"/>
      <c r="TT270" s="22"/>
      <c r="TU270" s="22"/>
      <c r="TV270" s="22"/>
      <c r="TW270" s="22"/>
      <c r="TX270" s="22"/>
      <c r="TY270" s="22"/>
      <c r="TZ270" s="22"/>
      <c r="UA270" s="22"/>
      <c r="UB270" s="22"/>
      <c r="UC270" s="22"/>
      <c r="UD270" s="22"/>
      <c r="UE270" s="22"/>
      <c r="UF270" s="22"/>
      <c r="UG270" s="22"/>
      <c r="UH270" s="22"/>
      <c r="UI270" s="22"/>
      <c r="UJ270" s="22"/>
      <c r="UK270" s="22"/>
      <c r="UL270" s="22"/>
      <c r="UM270" s="22"/>
      <c r="UN270" s="22"/>
      <c r="UO270" s="22"/>
      <c r="UP270" s="22"/>
      <c r="UQ270" s="22"/>
      <c r="UR270" s="22"/>
      <c r="US270" s="22"/>
      <c r="UT270" s="22"/>
      <c r="UU270" s="22"/>
      <c r="UV270" s="22"/>
      <c r="UW270" s="22"/>
      <c r="UX270" s="22"/>
      <c r="UY270" s="22"/>
      <c r="UZ270" s="22"/>
      <c r="VA270" s="22"/>
      <c r="VB270" s="22"/>
      <c r="VC270" s="22"/>
      <c r="VD270" s="22"/>
      <c r="VE270" s="22"/>
      <c r="VF270" s="22"/>
      <c r="VG270" s="22"/>
      <c r="VH270" s="22"/>
      <c r="VI270" s="22"/>
      <c r="VJ270" s="22"/>
      <c r="VK270" s="22"/>
      <c r="VL270" s="22"/>
      <c r="VM270" s="22"/>
      <c r="VN270" s="22"/>
      <c r="VO270" s="22"/>
      <c r="VP270" s="22"/>
      <c r="VQ270" s="22"/>
      <c r="VR270" s="22"/>
      <c r="VS270" s="22"/>
      <c r="VT270" s="22"/>
      <c r="VU270" s="22"/>
      <c r="VV270" s="22"/>
      <c r="VW270" s="22"/>
      <c r="VX270" s="22"/>
      <c r="VY270" s="22"/>
      <c r="VZ270" s="22"/>
      <c r="WA270" s="22"/>
      <c r="WB270" s="22"/>
      <c r="WC270" s="22"/>
      <c r="WD270" s="22"/>
      <c r="WE270" s="22"/>
      <c r="WF270" s="22"/>
      <c r="WG270" s="22"/>
      <c r="WH270" s="22"/>
      <c r="WI270" s="22"/>
      <c r="WJ270" s="22"/>
      <c r="WK270" s="22"/>
      <c r="WL270" s="22"/>
      <c r="WM270" s="22"/>
      <c r="WN270" s="22"/>
      <c r="WO270" s="22"/>
      <c r="WP270" s="22"/>
      <c r="WQ270" s="22"/>
      <c r="WR270" s="22"/>
      <c r="WS270" s="22"/>
      <c r="WT270" s="22"/>
      <c r="WU270" s="22"/>
      <c r="WV270" s="22"/>
      <c r="WW270" s="22"/>
      <c r="WX270" s="22"/>
      <c r="WY270" s="22"/>
      <c r="WZ270" s="22"/>
      <c r="XA270" s="22"/>
      <c r="XB270" s="22"/>
      <c r="XC270" s="22"/>
      <c r="XD270" s="22"/>
      <c r="XE270" s="22"/>
      <c r="XF270" s="22"/>
      <c r="XG270" s="22"/>
      <c r="XH270" s="22"/>
      <c r="XI270" s="22"/>
      <c r="XJ270" s="22"/>
      <c r="XK270" s="22"/>
      <c r="XL270" s="22"/>
      <c r="XM270" s="22"/>
      <c r="XN270" s="22"/>
      <c r="XO270" s="22"/>
      <c r="XP270" s="22"/>
      <c r="XQ270" s="22"/>
      <c r="XR270" s="22"/>
      <c r="XS270" s="22"/>
      <c r="XT270" s="22"/>
      <c r="XU270" s="22"/>
      <c r="XV270" s="22"/>
      <c r="XW270" s="22"/>
      <c r="XX270" s="22"/>
      <c r="XY270" s="22"/>
      <c r="XZ270" s="22"/>
      <c r="YA270" s="22"/>
      <c r="YB270" s="22"/>
      <c r="YC270" s="22"/>
      <c r="YD270" s="22"/>
      <c r="YE270" s="22"/>
      <c r="YF270" s="22"/>
      <c r="YG270" s="22"/>
      <c r="YH270" s="22"/>
      <c r="YI270" s="22"/>
      <c r="YJ270" s="22"/>
      <c r="YK270" s="22"/>
      <c r="YL270" s="22"/>
      <c r="YM270" s="22"/>
      <c r="YN270" s="22"/>
      <c r="YO270" s="22"/>
      <c r="YP270" s="22"/>
      <c r="YQ270" s="22"/>
      <c r="YR270" s="22"/>
      <c r="YS270" s="22"/>
      <c r="YT270" s="22"/>
      <c r="YU270" s="22"/>
      <c r="YV270" s="22"/>
      <c r="YW270" s="22"/>
      <c r="YX270" s="22"/>
      <c r="YY270" s="22"/>
      <c r="YZ270" s="22"/>
      <c r="ZA270" s="22"/>
      <c r="ZB270" s="22"/>
      <c r="ZC270" s="22"/>
      <c r="ZD270" s="22"/>
      <c r="ZE270" s="22"/>
      <c r="ZF270" s="22"/>
      <c r="ZG270" s="22"/>
      <c r="ZH270" s="22"/>
      <c r="ZI270" s="22"/>
      <c r="ZJ270" s="22"/>
      <c r="ZK270" s="22"/>
      <c r="ZL270" s="22"/>
      <c r="ZM270" s="22"/>
      <c r="ZN270" s="22"/>
      <c r="ZO270" s="22"/>
      <c r="ZP270" s="22"/>
      <c r="ZQ270" s="22"/>
      <c r="ZR270" s="22"/>
      <c r="ZS270" s="22"/>
      <c r="ZT270" s="22"/>
      <c r="ZU270" s="22"/>
      <c r="ZV270" s="22"/>
      <c r="ZW270" s="22"/>
      <c r="ZX270" s="22"/>
      <c r="ZY270" s="22"/>
      <c r="ZZ270" s="22"/>
      <c r="AAA270" s="22"/>
      <c r="AAB270" s="22"/>
      <c r="AAC270" s="22"/>
      <c r="AAD270" s="22"/>
      <c r="AAE270" s="22"/>
      <c r="AAF270" s="22"/>
      <c r="AAG270" s="22"/>
      <c r="AAH270" s="22"/>
      <c r="AAI270" s="22"/>
      <c r="AAJ270" s="22"/>
      <c r="AAK270" s="22"/>
      <c r="AAL270" s="22"/>
      <c r="AAM270" s="22"/>
      <c r="AAN270" s="22"/>
      <c r="AAO270" s="22"/>
      <c r="AAP270" s="22"/>
      <c r="AAQ270" s="22"/>
      <c r="AAR270" s="22"/>
      <c r="AAS270" s="22"/>
      <c r="AAT270" s="22"/>
      <c r="AAU270" s="22"/>
      <c r="AAV270" s="22"/>
      <c r="AAW270" s="22"/>
      <c r="AAX270" s="22"/>
      <c r="AAY270" s="22"/>
      <c r="AAZ270" s="22"/>
      <c r="ABA270" s="22"/>
      <c r="ABB270" s="22"/>
      <c r="ABC270" s="22"/>
      <c r="ABD270" s="22"/>
      <c r="ABE270" s="22"/>
      <c r="ABF270" s="22"/>
      <c r="ABG270" s="22"/>
      <c r="ABH270" s="22"/>
      <c r="ABI270" s="22"/>
      <c r="ABJ270" s="22"/>
      <c r="ABK270" s="22"/>
      <c r="ABL270" s="22"/>
      <c r="ABM270" s="22"/>
      <c r="ABN270" s="22"/>
      <c r="ABO270" s="22"/>
      <c r="ABP270" s="22"/>
      <c r="ABQ270" s="22"/>
      <c r="ABR270" s="22"/>
      <c r="ABS270" s="22"/>
      <c r="ABT270" s="22"/>
      <c r="ABU270" s="22"/>
      <c r="ABV270" s="22"/>
      <c r="ABW270" s="22"/>
      <c r="ABX270" s="22"/>
      <c r="ABY270" s="22"/>
      <c r="ABZ270" s="22"/>
      <c r="ACA270" s="22"/>
      <c r="ACB270" s="22"/>
      <c r="ACC270" s="22"/>
      <c r="ACD270" s="22"/>
      <c r="ACE270" s="22"/>
      <c r="ACF270" s="22"/>
      <c r="ACG270" s="22"/>
      <c r="ACH270" s="22"/>
      <c r="ACI270" s="22"/>
      <c r="ACJ270" s="22"/>
      <c r="ACK270" s="22"/>
      <c r="ACL270" s="22"/>
      <c r="ACM270" s="22"/>
      <c r="ACN270" s="22"/>
      <c r="ACO270" s="22"/>
      <c r="ACP270" s="22"/>
      <c r="ACQ270" s="22"/>
      <c r="ACR270" s="22"/>
      <c r="ACS270" s="22"/>
      <c r="ACT270" s="22"/>
      <c r="ACU270" s="22"/>
      <c r="ACV270" s="22"/>
      <c r="ACW270" s="22"/>
      <c r="ACX270" s="22"/>
      <c r="ACY270" s="22"/>
      <c r="ACZ270" s="22"/>
      <c r="ADA270" s="22"/>
      <c r="ADB270" s="22"/>
      <c r="ADC270" s="22"/>
      <c r="ADD270" s="22"/>
      <c r="ADE270" s="22"/>
      <c r="ADF270" s="22"/>
      <c r="ADG270" s="22"/>
      <c r="ADH270" s="22"/>
      <c r="ADI270" s="22"/>
      <c r="ADJ270" s="22"/>
      <c r="ADK270" s="22"/>
      <c r="ADL270" s="22"/>
      <c r="ADM270" s="22"/>
      <c r="ADN270" s="22"/>
      <c r="ADO270" s="22"/>
      <c r="ADP270" s="22"/>
      <c r="ADQ270" s="22"/>
      <c r="ADR270" s="22"/>
      <c r="ADS270" s="22"/>
      <c r="ADT270" s="22"/>
      <c r="ADU270" s="22"/>
      <c r="ADV270" s="22"/>
      <c r="ADW270" s="22"/>
      <c r="ADX270" s="22"/>
      <c r="ADY270" s="22"/>
      <c r="ADZ270" s="22"/>
      <c r="AEA270" s="22"/>
      <c r="AEB270" s="22"/>
      <c r="AEC270" s="22"/>
      <c r="AED270" s="22"/>
      <c r="AEE270" s="22"/>
      <c r="AEF270" s="22"/>
      <c r="AEG270" s="22"/>
      <c r="AEH270" s="22"/>
      <c r="AEI270" s="22"/>
      <c r="AEJ270" s="22"/>
      <c r="AEK270" s="22"/>
      <c r="AEL270" s="22"/>
      <c r="AEM270" s="22"/>
      <c r="AEN270" s="22"/>
      <c r="AEO270" s="22"/>
      <c r="AEP270" s="22"/>
      <c r="AEQ270" s="22"/>
      <c r="AER270" s="22"/>
      <c r="AES270" s="22"/>
      <c r="AET270" s="22"/>
      <c r="AEU270" s="22"/>
      <c r="AEV270" s="22"/>
      <c r="AEW270" s="22"/>
      <c r="AEX270" s="22"/>
      <c r="AEY270" s="22"/>
      <c r="AEZ270" s="22"/>
      <c r="AFA270" s="22"/>
      <c r="AFB270" s="22"/>
      <c r="AFC270" s="22"/>
      <c r="AFD270" s="22"/>
      <c r="AFE270" s="22"/>
      <c r="AFF270" s="22"/>
      <c r="AFG270" s="22"/>
      <c r="AFH270" s="22"/>
      <c r="AFI270" s="22"/>
      <c r="AFJ270" s="22"/>
      <c r="AFK270" s="22"/>
      <c r="AFL270" s="22"/>
      <c r="AFM270" s="22"/>
      <c r="AFN270" s="22"/>
      <c r="AFO270" s="22"/>
      <c r="AFP270" s="22"/>
      <c r="AFQ270" s="22"/>
      <c r="AFR270" s="22"/>
      <c r="AFS270" s="22"/>
      <c r="AFT270" s="22"/>
      <c r="AFU270" s="22"/>
      <c r="AFV270" s="22"/>
      <c r="AFW270" s="22"/>
      <c r="AFX270" s="22"/>
      <c r="AFY270" s="22"/>
      <c r="AFZ270" s="22"/>
      <c r="AGA270" s="22"/>
      <c r="AGB270" s="22"/>
      <c r="AGC270" s="22"/>
      <c r="AGD270" s="22"/>
      <c r="AGE270" s="22"/>
      <c r="AGF270" s="22"/>
      <c r="AGG270" s="22"/>
      <c r="AGH270" s="22"/>
      <c r="AGI270" s="22"/>
      <c r="AGJ270" s="22"/>
      <c r="AGK270" s="22"/>
      <c r="AGL270" s="22"/>
      <c r="AGM270" s="22"/>
      <c r="AGN270" s="22"/>
      <c r="AGO270" s="22"/>
      <c r="AGP270" s="22"/>
      <c r="AGQ270" s="22"/>
      <c r="AGR270" s="22"/>
      <c r="AGS270" s="22"/>
      <c r="AGT270" s="22"/>
      <c r="AGU270" s="22"/>
      <c r="AGV270" s="22"/>
      <c r="AGW270" s="22"/>
      <c r="AGX270" s="22"/>
      <c r="AGY270" s="22"/>
      <c r="AGZ270" s="22"/>
      <c r="AHA270" s="22"/>
      <c r="AHB270" s="22"/>
      <c r="AHC270" s="22"/>
      <c r="AHD270" s="22"/>
      <c r="AHE270" s="22"/>
      <c r="AHF270" s="22"/>
      <c r="AHG270" s="22"/>
      <c r="AHH270" s="22"/>
      <c r="AHI270" s="22"/>
      <c r="AHJ270" s="22"/>
      <c r="AHK270" s="22"/>
      <c r="AHL270" s="22"/>
      <c r="AHM270" s="22"/>
      <c r="AHN270" s="22"/>
      <c r="AHO270" s="22"/>
      <c r="AHP270" s="22"/>
      <c r="AHQ270" s="22"/>
      <c r="AHR270" s="22"/>
      <c r="AHS270" s="22"/>
      <c r="AHT270" s="22"/>
      <c r="AHU270" s="22"/>
      <c r="AHV270" s="22"/>
      <c r="AHW270" s="22"/>
      <c r="AHX270" s="22"/>
      <c r="AHY270" s="22"/>
      <c r="AHZ270" s="22"/>
      <c r="AIA270" s="22"/>
      <c r="AIB270" s="22"/>
      <c r="AIC270" s="22"/>
      <c r="AID270" s="22"/>
      <c r="AIE270" s="22"/>
      <c r="AIF270" s="22"/>
      <c r="AIG270" s="22"/>
      <c r="AIH270" s="22"/>
      <c r="AII270" s="22"/>
      <c r="AIJ270" s="22"/>
      <c r="AIK270" s="22"/>
      <c r="AIL270" s="22"/>
      <c r="AIM270" s="22"/>
      <c r="AIN270" s="22"/>
      <c r="AIO270" s="22"/>
      <c r="AIP270" s="22"/>
      <c r="AIQ270" s="22"/>
      <c r="AIR270" s="22"/>
      <c r="AIS270" s="22"/>
      <c r="AIT270" s="22"/>
      <c r="AIU270" s="22"/>
      <c r="AIV270" s="22"/>
      <c r="AIW270" s="22"/>
      <c r="AIX270" s="22"/>
      <c r="AIY270" s="22"/>
      <c r="AIZ270" s="22"/>
      <c r="AJA270" s="22"/>
      <c r="AJB270" s="22"/>
      <c r="AJC270" s="22"/>
      <c r="AJD270" s="22"/>
      <c r="AJE270" s="22"/>
      <c r="AJF270" s="22"/>
      <c r="AJG270" s="22"/>
      <c r="AJH270" s="22"/>
      <c r="AJI270" s="22"/>
      <c r="AJJ270" s="22"/>
      <c r="AJK270" s="22"/>
      <c r="AJL270" s="22"/>
      <c r="AJM270" s="22"/>
      <c r="AJN270" s="22"/>
      <c r="AJO270" s="22"/>
      <c r="AJP270" s="22"/>
      <c r="AJQ270" s="22"/>
      <c r="AJR270" s="22"/>
      <c r="AJS270" s="22"/>
      <c r="AJT270" s="22"/>
      <c r="AJU270" s="22"/>
      <c r="AJV270" s="22"/>
      <c r="AJW270" s="22"/>
      <c r="AJX270" s="22"/>
      <c r="AJY270" s="22"/>
      <c r="AJZ270" s="22"/>
      <c r="AKA270" s="22"/>
      <c r="AKB270" s="22"/>
      <c r="AKC270" s="22"/>
      <c r="AKD270" s="22"/>
      <c r="AKE270" s="22"/>
      <c r="AKF270" s="22"/>
      <c r="AKG270" s="22"/>
      <c r="AKH270" s="22"/>
      <c r="AKI270" s="22"/>
      <c r="AKJ270" s="22"/>
      <c r="AKK270" s="22"/>
      <c r="AKL270" s="22"/>
      <c r="AKM270" s="22"/>
      <c r="AKN270" s="22"/>
      <c r="AKO270" s="22"/>
      <c r="AKP270" s="22"/>
      <c r="AKQ270" s="22"/>
      <c r="AKR270" s="22"/>
      <c r="AKS270" s="22"/>
      <c r="AKT270" s="22"/>
      <c r="AKU270" s="22"/>
      <c r="AKV270" s="22"/>
      <c r="AKW270" s="22"/>
      <c r="AKX270" s="22"/>
      <c r="AKY270" s="22"/>
      <c r="AKZ270" s="22"/>
      <c r="ALA270" s="22"/>
      <c r="ALB270" s="22"/>
      <c r="ALC270" s="22"/>
      <c r="ALD270" s="22"/>
      <c r="ALE270" s="22"/>
      <c r="ALF270" s="22"/>
      <c r="ALG270" s="22"/>
      <c r="ALH270" s="22"/>
      <c r="ALI270" s="22"/>
      <c r="ALJ270" s="22"/>
      <c r="ALK270" s="22"/>
      <c r="ALL270" s="22"/>
      <c r="ALM270" s="22"/>
      <c r="ALN270" s="22"/>
      <c r="ALO270" s="22"/>
      <c r="ALP270" s="22"/>
      <c r="ALQ270" s="22"/>
      <c r="ALR270" s="22"/>
      <c r="ALS270" s="22"/>
      <c r="ALT270" s="22"/>
      <c r="ALU270" s="22"/>
      <c r="ALV270" s="22"/>
      <c r="ALW270" s="22"/>
      <c r="ALX270" s="22"/>
      <c r="ALY270" s="22"/>
      <c r="ALZ270" s="22"/>
      <c r="AMA270" s="22"/>
      <c r="AMB270" s="22"/>
      <c r="AMC270" s="22"/>
      <c r="AMD270" s="22"/>
      <c r="AME270" s="22"/>
      <c r="AMF270" s="22"/>
      <c r="AMG270" s="22"/>
      <c r="AMH270" s="22"/>
      <c r="AMI270" s="22"/>
      <c r="AMJ270" s="22"/>
      <c r="AMK270" s="22"/>
      <c r="AML270" s="22"/>
      <c r="AMM270" s="22"/>
      <c r="AMN270" s="22"/>
      <c r="AMO270" s="22"/>
      <c r="AMP270" s="22"/>
      <c r="AMQ270" s="22"/>
      <c r="AMR270" s="22"/>
      <c r="AMS270" s="22"/>
      <c r="AMT270" s="22"/>
      <c r="AMU270" s="22"/>
      <c r="AMV270" s="22"/>
      <c r="AMW270" s="22"/>
      <c r="AMX270" s="22"/>
      <c r="AMY270" s="22"/>
      <c r="AMZ270" s="22"/>
      <c r="ANA270" s="22"/>
      <c r="ANB270" s="22"/>
      <c r="ANC270" s="22"/>
      <c r="AND270" s="22"/>
      <c r="ANE270" s="22"/>
      <c r="ANF270" s="22"/>
      <c r="ANG270" s="22"/>
      <c r="ANH270" s="22"/>
      <c r="ANI270" s="22"/>
      <c r="ANJ270" s="22"/>
      <c r="ANK270" s="22"/>
      <c r="ANL270" s="22"/>
      <c r="ANM270" s="22"/>
      <c r="ANN270" s="22"/>
      <c r="ANO270" s="22"/>
      <c r="ANP270" s="22"/>
      <c r="ANQ270" s="22"/>
      <c r="ANR270" s="22"/>
      <c r="ANS270" s="22"/>
      <c r="ANT270" s="22"/>
      <c r="ANU270" s="22"/>
      <c r="ANV270" s="22"/>
      <c r="ANW270" s="22"/>
      <c r="ANX270" s="22"/>
      <c r="ANY270" s="22"/>
      <c r="ANZ270" s="22"/>
      <c r="AOA270" s="22"/>
      <c r="AOB270" s="22"/>
      <c r="AOC270" s="22"/>
      <c r="AOD270" s="22"/>
      <c r="AOE270" s="22"/>
      <c r="AOF270" s="22"/>
      <c r="AOG270" s="22"/>
      <c r="AOH270" s="22"/>
      <c r="AOI270" s="22"/>
      <c r="AOJ270" s="22"/>
      <c r="AOK270" s="22"/>
      <c r="AOL270" s="22"/>
      <c r="AOM270" s="22"/>
      <c r="AON270" s="22"/>
      <c r="AOO270" s="22"/>
      <c r="AOP270" s="22"/>
      <c r="AOQ270" s="22"/>
      <c r="AOR270" s="22"/>
      <c r="AOS270" s="22"/>
      <c r="AOT270" s="22"/>
      <c r="AOU270" s="22"/>
      <c r="AOV270" s="22"/>
      <c r="AOW270" s="22"/>
      <c r="AOX270" s="22"/>
      <c r="AOY270" s="22"/>
      <c r="AOZ270" s="22"/>
      <c r="APA270" s="22"/>
      <c r="APB270" s="22"/>
      <c r="APC270" s="22"/>
      <c r="APD270" s="22"/>
      <c r="APE270" s="22"/>
      <c r="APF270" s="22"/>
      <c r="APG270" s="22"/>
      <c r="APH270" s="22"/>
      <c r="API270" s="22"/>
      <c r="APJ270" s="22"/>
      <c r="APK270" s="22"/>
      <c r="APL270" s="22"/>
      <c r="APM270" s="22"/>
      <c r="APN270" s="22"/>
      <c r="APO270" s="22"/>
      <c r="APP270" s="22"/>
      <c r="APQ270" s="22"/>
      <c r="APR270" s="22"/>
      <c r="APS270" s="22"/>
      <c r="APT270" s="22"/>
      <c r="APU270" s="22"/>
      <c r="APV270" s="22"/>
      <c r="APW270" s="22"/>
      <c r="APX270" s="22"/>
      <c r="APY270" s="22"/>
      <c r="APZ270" s="22"/>
      <c r="AQA270" s="22"/>
      <c r="AQB270" s="22"/>
      <c r="AQC270" s="22"/>
      <c r="AQD270" s="22"/>
      <c r="AQE270" s="22"/>
      <c r="AQF270" s="22"/>
      <c r="AQG270" s="22"/>
      <c r="AQH270" s="22"/>
      <c r="AQI270" s="22"/>
      <c r="AQJ270" s="22"/>
      <c r="AQK270" s="22"/>
      <c r="AQL270" s="22"/>
      <c r="AQM270" s="22"/>
      <c r="AQN270" s="22"/>
      <c r="AQO270" s="22"/>
      <c r="AQP270" s="22"/>
      <c r="AQQ270" s="22"/>
      <c r="AQR270" s="22"/>
      <c r="AQS270" s="22"/>
      <c r="AQT270" s="22"/>
      <c r="AQU270" s="22"/>
      <c r="AQV270" s="22"/>
      <c r="AQW270" s="22"/>
      <c r="AQX270" s="22"/>
      <c r="AQY270" s="22"/>
      <c r="AQZ270" s="22"/>
      <c r="ARA270" s="22"/>
      <c r="ARB270" s="22"/>
      <c r="ARC270" s="22"/>
      <c r="ARD270" s="22"/>
      <c r="ARE270" s="22"/>
      <c r="ARF270" s="22"/>
      <c r="ARG270" s="22"/>
      <c r="ARH270" s="22"/>
      <c r="ARI270" s="22"/>
      <c r="ARJ270" s="22"/>
      <c r="ARK270" s="22"/>
      <c r="ARL270" s="22"/>
      <c r="ARM270" s="22"/>
      <c r="ARN270" s="22"/>
      <c r="ARO270" s="22"/>
      <c r="ARP270" s="22"/>
      <c r="ARQ270" s="22"/>
      <c r="ARR270" s="22"/>
      <c r="ARS270" s="22"/>
      <c r="ART270" s="22"/>
      <c r="ARU270" s="22"/>
      <c r="ARV270" s="22"/>
      <c r="ARW270" s="22"/>
      <c r="ARX270" s="22"/>
      <c r="ARY270" s="22"/>
      <c r="ARZ270" s="22"/>
      <c r="ASA270" s="22"/>
      <c r="ASB270" s="22"/>
      <c r="ASC270" s="22"/>
      <c r="ASD270" s="22"/>
      <c r="ASE270" s="22"/>
      <c r="ASF270" s="22"/>
      <c r="ASG270" s="22"/>
      <c r="ASH270" s="22"/>
      <c r="ASI270" s="22"/>
      <c r="ASJ270" s="22"/>
      <c r="ASK270" s="22"/>
      <c r="ASL270" s="22"/>
      <c r="ASM270" s="22"/>
      <c r="ASN270" s="22"/>
      <c r="ASO270" s="22"/>
      <c r="ASP270" s="22"/>
      <c r="ASQ270" s="22"/>
      <c r="ASR270" s="22"/>
      <c r="ASS270" s="22"/>
      <c r="AST270" s="22"/>
      <c r="ASU270" s="22"/>
      <c r="ASV270" s="22"/>
      <c r="ASW270" s="22"/>
      <c r="ASX270" s="22"/>
      <c r="ASY270" s="22"/>
      <c r="ASZ270" s="22"/>
      <c r="ATA270" s="22"/>
      <c r="ATB270" s="22"/>
      <c r="ATC270" s="22"/>
      <c r="ATD270" s="22"/>
      <c r="ATE270" s="22"/>
      <c r="ATF270" s="22"/>
      <c r="ATG270" s="22"/>
      <c r="ATH270" s="22"/>
      <c r="ATI270" s="22"/>
      <c r="ATJ270" s="22"/>
      <c r="ATK270" s="22"/>
      <c r="ATL270" s="22"/>
      <c r="ATM270" s="22"/>
      <c r="ATN270" s="22"/>
      <c r="ATO270" s="22"/>
      <c r="ATP270" s="22"/>
      <c r="ATQ270" s="22"/>
      <c r="ATR270" s="22"/>
      <c r="ATS270" s="22"/>
      <c r="ATT270" s="22"/>
      <c r="ATU270" s="22"/>
      <c r="ATV270" s="22"/>
      <c r="ATW270" s="22"/>
      <c r="ATX270" s="22"/>
      <c r="ATY270" s="22"/>
      <c r="ATZ270" s="22"/>
      <c r="AUA270" s="22"/>
      <c r="AUB270" s="22"/>
      <c r="AUC270" s="22"/>
      <c r="AUD270" s="22"/>
      <c r="AUE270" s="22"/>
      <c r="AUF270" s="22"/>
      <c r="AUG270" s="22"/>
      <c r="AUH270" s="22"/>
      <c r="AUI270" s="22"/>
      <c r="AUJ270" s="22"/>
      <c r="AUK270" s="22"/>
      <c r="AUL270" s="22"/>
      <c r="AUM270" s="22"/>
      <c r="AUN270" s="22"/>
      <c r="AUO270" s="22"/>
      <c r="AUP270" s="22"/>
      <c r="AUQ270" s="22"/>
      <c r="AUR270" s="22"/>
      <c r="AUS270" s="22"/>
      <c r="AUT270" s="22"/>
      <c r="AUU270" s="22"/>
      <c r="AUV270" s="22"/>
      <c r="AUW270" s="22"/>
      <c r="AUX270" s="22"/>
      <c r="AUY270" s="22"/>
      <c r="AUZ270" s="22"/>
      <c r="AVA270" s="22"/>
      <c r="AVB270" s="22"/>
      <c r="AVC270" s="22"/>
      <c r="AVD270" s="22"/>
      <c r="AVE270" s="22"/>
      <c r="AVF270" s="22"/>
      <c r="AVG270" s="22"/>
      <c r="AVH270" s="22"/>
      <c r="AVI270" s="22"/>
      <c r="AVJ270" s="22"/>
      <c r="AVK270" s="22"/>
      <c r="AVL270" s="22"/>
      <c r="AVM270" s="22"/>
      <c r="AVN270" s="22"/>
      <c r="AVO270" s="22"/>
      <c r="AVP270" s="22"/>
      <c r="AVQ270" s="22"/>
      <c r="AVR270" s="22"/>
      <c r="AVS270" s="22"/>
      <c r="AVT270" s="22"/>
      <c r="AVU270" s="22"/>
      <c r="AVV270" s="22"/>
      <c r="AVW270" s="22"/>
      <c r="AVX270" s="22"/>
      <c r="AVY270" s="22"/>
      <c r="AVZ270" s="22"/>
      <c r="AWA270" s="22"/>
      <c r="AWB270" s="22"/>
      <c r="AWC270" s="22"/>
      <c r="AWD270" s="22"/>
      <c r="AWE270" s="22"/>
      <c r="AWF270" s="22"/>
      <c r="AWG270" s="22"/>
      <c r="AWH270" s="22"/>
      <c r="AWI270" s="22"/>
      <c r="AWJ270" s="22"/>
      <c r="AWK270" s="22"/>
      <c r="AWL270" s="22"/>
      <c r="AWM270" s="22"/>
      <c r="AWN270" s="22"/>
      <c r="AWO270" s="22"/>
      <c r="AWP270" s="22"/>
      <c r="AWQ270" s="22"/>
      <c r="AWR270" s="22"/>
      <c r="AWS270" s="22"/>
      <c r="AWT270" s="22"/>
      <c r="AWU270" s="22"/>
      <c r="AWV270" s="22"/>
      <c r="AWW270" s="22"/>
      <c r="AWX270" s="22"/>
      <c r="AWY270" s="22"/>
      <c r="AWZ270" s="22"/>
      <c r="AXA270" s="22"/>
      <c r="AXB270" s="22"/>
      <c r="AXC270" s="22"/>
      <c r="AXD270" s="22"/>
      <c r="AXE270" s="22"/>
      <c r="AXF270" s="22"/>
      <c r="AXG270" s="22"/>
      <c r="AXH270" s="22"/>
      <c r="AXI270" s="22"/>
      <c r="AXJ270" s="22"/>
      <c r="AXK270" s="22"/>
      <c r="AXL270" s="22"/>
      <c r="AXM270" s="22"/>
      <c r="AXN270" s="22"/>
      <c r="AXO270" s="22"/>
      <c r="AXP270" s="22"/>
      <c r="AXQ270" s="22"/>
      <c r="AXR270" s="22"/>
      <c r="AXS270" s="22"/>
      <c r="AXT270" s="22"/>
      <c r="AXU270" s="22"/>
      <c r="AXV270" s="22"/>
      <c r="AXW270" s="22"/>
      <c r="AXX270" s="22"/>
      <c r="AXY270" s="22"/>
      <c r="AXZ270" s="22"/>
      <c r="AYA270" s="22"/>
      <c r="AYB270" s="22"/>
      <c r="AYC270" s="22"/>
      <c r="AYD270" s="22"/>
      <c r="AYE270" s="22"/>
      <c r="AYF270" s="22"/>
      <c r="AYG270" s="22"/>
      <c r="AYH270" s="22"/>
      <c r="AYI270" s="22"/>
      <c r="AYJ270" s="22"/>
      <c r="AYK270" s="22"/>
      <c r="AYL270" s="22"/>
      <c r="AYM270" s="22"/>
      <c r="AYN270" s="22"/>
      <c r="AYO270" s="22"/>
      <c r="AYP270" s="22"/>
      <c r="AYQ270" s="22"/>
      <c r="AYR270" s="22"/>
      <c r="AYS270" s="22"/>
      <c r="AYT270" s="22"/>
      <c r="AYU270" s="22"/>
      <c r="AYV270" s="22"/>
      <c r="AYW270" s="22"/>
      <c r="AYX270" s="22"/>
      <c r="AYY270" s="22"/>
      <c r="AYZ270" s="22"/>
      <c r="AZA270" s="22"/>
      <c r="AZB270" s="22"/>
      <c r="AZC270" s="22"/>
      <c r="AZD270" s="22"/>
      <c r="AZE270" s="22"/>
      <c r="AZF270" s="22"/>
      <c r="AZG270" s="22"/>
      <c r="AZH270" s="22"/>
      <c r="AZI270" s="22"/>
      <c r="AZJ270" s="22"/>
      <c r="AZK270" s="22"/>
      <c r="AZL270" s="22"/>
      <c r="AZM270" s="22"/>
      <c r="AZN270" s="22"/>
      <c r="AZO270" s="22"/>
      <c r="AZP270" s="22"/>
      <c r="AZQ270" s="22"/>
      <c r="AZR270" s="22"/>
      <c r="AZS270" s="22"/>
      <c r="AZT270" s="22"/>
      <c r="AZU270" s="22"/>
      <c r="AZV270" s="22"/>
      <c r="AZW270" s="22"/>
      <c r="AZX270" s="22"/>
      <c r="AZY270" s="22"/>
      <c r="AZZ270" s="22"/>
      <c r="BAA270" s="22"/>
      <c r="BAB270" s="22"/>
      <c r="BAC270" s="22"/>
      <c r="BAD270" s="22"/>
      <c r="BAE270" s="22"/>
      <c r="BAF270" s="22"/>
      <c r="BAG270" s="22"/>
      <c r="BAH270" s="22"/>
      <c r="BAI270" s="22"/>
      <c r="BAJ270" s="22"/>
      <c r="BAK270" s="22"/>
      <c r="BAL270" s="22"/>
      <c r="BAM270" s="22"/>
      <c r="BAN270" s="22"/>
      <c r="BAO270" s="22"/>
      <c r="BAP270" s="22"/>
      <c r="BAQ270" s="22"/>
      <c r="BAR270" s="22"/>
      <c r="BAS270" s="22"/>
      <c r="BAT270" s="22"/>
      <c r="BAU270" s="22"/>
      <c r="BAV270" s="22"/>
      <c r="BAW270" s="22"/>
      <c r="BAX270" s="22"/>
      <c r="BAY270" s="22"/>
      <c r="BAZ270" s="22"/>
      <c r="BBA270" s="22"/>
      <c r="BBB270" s="22"/>
      <c r="BBC270" s="22"/>
      <c r="BBD270" s="22"/>
      <c r="BBE270" s="22"/>
      <c r="BBF270" s="22"/>
      <c r="BBG270" s="22"/>
      <c r="BBH270" s="22"/>
      <c r="BBI270" s="22"/>
      <c r="BBJ270" s="22"/>
      <c r="BBK270" s="22"/>
      <c r="BBL270" s="22"/>
      <c r="BBM270" s="22"/>
      <c r="BBN270" s="22"/>
      <c r="BBO270" s="22"/>
      <c r="BBP270" s="22"/>
      <c r="BBQ270" s="22"/>
      <c r="BBR270" s="22"/>
      <c r="BBS270" s="22"/>
      <c r="BBT270" s="22"/>
      <c r="BBU270" s="22"/>
      <c r="BBV270" s="22"/>
      <c r="BBW270" s="22"/>
      <c r="BBX270" s="22"/>
      <c r="BBY270" s="22"/>
      <c r="BBZ270" s="22"/>
      <c r="BCA270" s="22"/>
      <c r="BCB270" s="22"/>
      <c r="BCC270" s="22"/>
      <c r="BCD270" s="22"/>
      <c r="BCE270" s="22"/>
      <c r="BCF270" s="22"/>
      <c r="BCG270" s="22"/>
      <c r="BCH270" s="22"/>
      <c r="BCI270" s="22"/>
      <c r="BCJ270" s="22"/>
      <c r="BCK270" s="22"/>
      <c r="BCL270" s="22"/>
      <c r="BCM270" s="22"/>
      <c r="BCN270" s="22"/>
      <c r="BCO270" s="22"/>
      <c r="BCP270" s="22"/>
      <c r="BCQ270" s="22"/>
      <c r="BCR270" s="22"/>
      <c r="BCS270" s="22"/>
      <c r="BCT270" s="22"/>
      <c r="BCU270" s="22"/>
      <c r="BCV270" s="22"/>
      <c r="BCW270" s="22"/>
      <c r="BCX270" s="22"/>
      <c r="BCY270" s="22"/>
      <c r="BCZ270" s="22"/>
      <c r="BDA270" s="22"/>
      <c r="BDB270" s="22"/>
      <c r="BDC270" s="22"/>
      <c r="BDD270" s="22"/>
      <c r="BDE270" s="22"/>
      <c r="BDF270" s="22"/>
      <c r="BDG270" s="22"/>
      <c r="BDH270" s="22"/>
      <c r="BDI270" s="22"/>
      <c r="BDJ270" s="22"/>
      <c r="BDK270" s="22"/>
      <c r="BDL270" s="22"/>
      <c r="BDM270" s="22"/>
      <c r="BDN270" s="22"/>
      <c r="BDO270" s="22"/>
      <c r="BDP270" s="22"/>
      <c r="BDQ270" s="22"/>
      <c r="BDR270" s="22"/>
      <c r="BDS270" s="22"/>
      <c r="BDT270" s="22"/>
      <c r="BDU270" s="22"/>
      <c r="BDV270" s="22"/>
      <c r="BDW270" s="22"/>
      <c r="BDX270" s="22"/>
      <c r="BDY270" s="22"/>
      <c r="BDZ270" s="22"/>
      <c r="BEA270" s="22"/>
      <c r="BEB270" s="22"/>
      <c r="BEC270" s="22"/>
      <c r="BED270" s="22"/>
      <c r="BEE270" s="22"/>
      <c r="BEF270" s="22"/>
      <c r="BEG270" s="22"/>
      <c r="BEH270" s="22"/>
      <c r="BEI270" s="22"/>
      <c r="BEJ270" s="22"/>
      <c r="BEK270" s="22"/>
      <c r="BEL270" s="22"/>
      <c r="BEM270" s="22"/>
      <c r="BEN270" s="22"/>
      <c r="BEO270" s="22"/>
      <c r="BEP270" s="22"/>
      <c r="BEQ270" s="22"/>
      <c r="BER270" s="22"/>
      <c r="BES270" s="22"/>
      <c r="BET270" s="22"/>
      <c r="BEU270" s="22"/>
      <c r="BEV270" s="22"/>
      <c r="BEW270" s="22"/>
      <c r="BEX270" s="22"/>
      <c r="BEY270" s="22"/>
      <c r="BEZ270" s="22"/>
      <c r="BFA270" s="22"/>
      <c r="BFB270" s="22"/>
      <c r="BFC270" s="22"/>
      <c r="BFD270" s="22"/>
      <c r="BFE270" s="22"/>
      <c r="BFF270" s="22"/>
      <c r="BFG270" s="22"/>
      <c r="BFH270" s="22"/>
      <c r="BFI270" s="22"/>
      <c r="BFJ270" s="22"/>
      <c r="BFK270" s="22"/>
      <c r="BFL270" s="22"/>
      <c r="BFM270" s="22"/>
      <c r="BFN270" s="22"/>
      <c r="BFO270" s="22"/>
      <c r="BFP270" s="22"/>
      <c r="BFQ270" s="22"/>
      <c r="BFR270" s="22"/>
      <c r="BFS270" s="22"/>
      <c r="BFT270" s="22"/>
      <c r="BFU270" s="22"/>
      <c r="BFV270" s="22"/>
      <c r="BFW270" s="22"/>
      <c r="BFX270" s="22"/>
      <c r="BFY270" s="22"/>
      <c r="BFZ270" s="22"/>
      <c r="BGA270" s="22"/>
      <c r="BGB270" s="22"/>
      <c r="BGC270" s="22"/>
      <c r="BGD270" s="22"/>
      <c r="BGE270" s="22"/>
      <c r="BGF270" s="22"/>
      <c r="BGG270" s="22"/>
      <c r="BGH270" s="22"/>
      <c r="BGI270" s="22"/>
      <c r="BGJ270" s="22"/>
      <c r="BGK270" s="22"/>
      <c r="BGL270" s="22"/>
      <c r="BGM270" s="22"/>
      <c r="BGN270" s="22"/>
      <c r="BGO270" s="22"/>
      <c r="BGP270" s="22"/>
      <c r="BGQ270" s="22"/>
      <c r="BGR270" s="22"/>
      <c r="BGS270" s="22"/>
      <c r="BGT270" s="22"/>
      <c r="BGU270" s="22"/>
      <c r="BGV270" s="22"/>
      <c r="BGW270" s="22"/>
      <c r="BGX270" s="22"/>
      <c r="BGY270" s="22"/>
      <c r="BGZ270" s="22"/>
      <c r="BHA270" s="22"/>
      <c r="BHB270" s="22"/>
      <c r="BHC270" s="22"/>
      <c r="BHD270" s="22"/>
      <c r="BHE270" s="22"/>
      <c r="BHF270" s="22"/>
      <c r="BHG270" s="22"/>
      <c r="BHH270" s="22"/>
      <c r="BHI270" s="22"/>
      <c r="BHJ270" s="22"/>
      <c r="BHK270" s="22"/>
      <c r="BHL270" s="22"/>
      <c r="BHM270" s="22"/>
      <c r="BHN270" s="22"/>
      <c r="BHO270" s="22"/>
      <c r="BHP270" s="22"/>
      <c r="BHQ270" s="22"/>
      <c r="BHR270" s="22"/>
      <c r="BHS270" s="22"/>
      <c r="BHT270" s="22"/>
      <c r="BHU270" s="22"/>
      <c r="BHV270" s="22"/>
      <c r="BHW270" s="22"/>
      <c r="BHX270" s="22"/>
      <c r="BHY270" s="22"/>
      <c r="BHZ270" s="22"/>
      <c r="BIA270" s="22"/>
      <c r="BIB270" s="22"/>
      <c r="BIC270" s="22"/>
      <c r="BID270" s="22"/>
      <c r="BIE270" s="22"/>
      <c r="BIF270" s="22"/>
      <c r="BIG270" s="22"/>
      <c r="BIH270" s="22"/>
      <c r="BII270" s="22"/>
      <c r="BIJ270" s="22"/>
      <c r="BIK270" s="22"/>
      <c r="BIL270" s="22"/>
      <c r="BIM270" s="22"/>
      <c r="BIN270" s="22"/>
      <c r="BIO270" s="22"/>
      <c r="BIP270" s="22"/>
      <c r="BIQ270" s="22"/>
      <c r="BIR270" s="22"/>
      <c r="BIS270" s="22"/>
      <c r="BIT270" s="22"/>
      <c r="BIU270" s="22"/>
      <c r="BIV270" s="22"/>
      <c r="BIW270" s="22"/>
      <c r="BIX270" s="22"/>
      <c r="BIY270" s="22"/>
      <c r="BIZ270" s="22"/>
      <c r="BJA270" s="22"/>
      <c r="BJB270" s="22"/>
      <c r="BJC270" s="22"/>
      <c r="BJD270" s="22"/>
      <c r="BJE270" s="22"/>
      <c r="BJF270" s="22"/>
      <c r="BJG270" s="22"/>
      <c r="BJH270" s="22"/>
      <c r="BJI270" s="22"/>
      <c r="BJJ270" s="22"/>
      <c r="BJK270" s="22"/>
      <c r="BJL270" s="22"/>
      <c r="BJM270" s="22"/>
      <c r="BJN270" s="22"/>
      <c r="BJO270" s="22"/>
      <c r="BJP270" s="22"/>
      <c r="BJQ270" s="22"/>
      <c r="BJR270" s="22"/>
      <c r="BJS270" s="22"/>
      <c r="BJT270" s="22"/>
      <c r="BJU270" s="22"/>
      <c r="BJV270" s="22"/>
      <c r="BJW270" s="22"/>
      <c r="BJX270" s="22"/>
      <c r="BJY270" s="22"/>
      <c r="BJZ270" s="22"/>
      <c r="BKA270" s="22"/>
      <c r="BKB270" s="22"/>
      <c r="BKC270" s="22"/>
      <c r="BKD270" s="22"/>
      <c r="BKE270" s="22"/>
      <c r="BKF270" s="22"/>
      <c r="BKG270" s="22"/>
      <c r="BKH270" s="22"/>
      <c r="BKI270" s="22"/>
      <c r="BKJ270" s="22"/>
      <c r="BKK270" s="22"/>
      <c r="BKL270" s="22"/>
      <c r="BKM270" s="22"/>
      <c r="BKN270" s="22"/>
      <c r="BKO270" s="22"/>
      <c r="BKP270" s="22"/>
      <c r="BKQ270" s="22"/>
      <c r="BKR270" s="22"/>
      <c r="BKS270" s="22"/>
      <c r="BKT270" s="22"/>
      <c r="BKU270" s="22"/>
      <c r="BKV270" s="22"/>
      <c r="BKW270" s="22"/>
      <c r="BKX270" s="22"/>
      <c r="BKY270" s="22"/>
      <c r="BKZ270" s="22"/>
      <c r="BLA270" s="22"/>
      <c r="BLB270" s="22"/>
      <c r="BLC270" s="22"/>
      <c r="BLD270" s="22"/>
      <c r="BLE270" s="22"/>
      <c r="BLF270" s="22"/>
      <c r="BLG270" s="22"/>
      <c r="BLH270" s="22"/>
      <c r="BLI270" s="22"/>
      <c r="BLJ270" s="22"/>
      <c r="BLK270" s="22"/>
      <c r="BLL270" s="22"/>
      <c r="BLM270" s="22"/>
      <c r="BLN270" s="22"/>
      <c r="BLO270" s="22"/>
      <c r="BLP270" s="22"/>
      <c r="BLQ270" s="22"/>
      <c r="BLR270" s="22"/>
      <c r="BLS270" s="22"/>
      <c r="BLT270" s="22"/>
      <c r="BLU270" s="22"/>
      <c r="BLV270" s="22"/>
      <c r="BLW270" s="22"/>
      <c r="BLX270" s="22"/>
      <c r="BLY270" s="22"/>
      <c r="BLZ270" s="22"/>
      <c r="BMA270" s="22"/>
      <c r="BMB270" s="22"/>
      <c r="BMC270" s="22"/>
      <c r="BMD270" s="22"/>
      <c r="BME270" s="22"/>
      <c r="BMF270" s="22"/>
      <c r="BMG270" s="22"/>
      <c r="BMH270" s="22"/>
      <c r="BMI270" s="22"/>
      <c r="BMJ270" s="22"/>
      <c r="BMK270" s="22"/>
      <c r="BML270" s="22"/>
      <c r="BMM270" s="22"/>
      <c r="BMN270" s="22"/>
      <c r="BMO270" s="22"/>
      <c r="BMP270" s="22"/>
      <c r="BMQ270" s="22"/>
      <c r="BMR270" s="22"/>
      <c r="BMS270" s="22"/>
      <c r="BMT270" s="22"/>
      <c r="BMU270" s="22"/>
      <c r="BMV270" s="22"/>
      <c r="BMW270" s="22"/>
      <c r="BMX270" s="22"/>
      <c r="BMY270" s="22"/>
      <c r="BMZ270" s="22"/>
      <c r="BNA270" s="22"/>
      <c r="BNB270" s="22"/>
      <c r="BNC270" s="22"/>
      <c r="BND270" s="22"/>
      <c r="BNE270" s="22"/>
      <c r="BNF270" s="22"/>
      <c r="BNG270" s="22"/>
      <c r="BNH270" s="22"/>
      <c r="BNI270" s="22"/>
      <c r="BNJ270" s="22"/>
      <c r="BNK270" s="22"/>
      <c r="BNL270" s="22"/>
      <c r="BNM270" s="22"/>
      <c r="BNN270" s="22"/>
      <c r="BNO270" s="22"/>
      <c r="BNP270" s="22"/>
      <c r="BNQ270" s="22"/>
      <c r="BNR270" s="22"/>
      <c r="BNS270" s="22"/>
      <c r="BNT270" s="22"/>
      <c r="BNU270" s="22"/>
      <c r="BNV270" s="22"/>
      <c r="BNW270" s="22"/>
      <c r="BNX270" s="22"/>
      <c r="BNY270" s="22"/>
      <c r="BNZ270" s="22"/>
      <c r="BOA270" s="22"/>
      <c r="BOB270" s="22"/>
      <c r="BOC270" s="22"/>
      <c r="BOD270" s="22"/>
      <c r="BOE270" s="22"/>
      <c r="BOF270" s="22"/>
      <c r="BOG270" s="22"/>
      <c r="BOH270" s="22"/>
      <c r="BOI270" s="22"/>
      <c r="BOJ270" s="22"/>
      <c r="BOK270" s="22"/>
      <c r="BOL270" s="22"/>
      <c r="BOM270" s="22"/>
      <c r="BON270" s="22"/>
      <c r="BOO270" s="22"/>
      <c r="BOP270" s="22"/>
      <c r="BOQ270" s="22"/>
      <c r="BOR270" s="22"/>
      <c r="BOS270" s="22"/>
      <c r="BOT270" s="22"/>
      <c r="BOU270" s="22"/>
      <c r="BOV270" s="22"/>
      <c r="BOW270" s="22"/>
      <c r="BOX270" s="22"/>
      <c r="BOY270" s="22"/>
      <c r="BOZ270" s="22"/>
      <c r="BPA270" s="22"/>
      <c r="BPB270" s="22"/>
      <c r="BPC270" s="22"/>
      <c r="BPD270" s="22"/>
      <c r="BPE270" s="22"/>
      <c r="BPF270" s="22"/>
      <c r="BPG270" s="22"/>
      <c r="BPH270" s="22"/>
      <c r="BPI270" s="22"/>
      <c r="BPJ270" s="22"/>
      <c r="BPK270" s="22"/>
      <c r="BPL270" s="22"/>
      <c r="BPM270" s="22"/>
      <c r="BPN270" s="22"/>
      <c r="BPO270" s="22"/>
      <c r="BPP270" s="22"/>
      <c r="BPQ270" s="22"/>
      <c r="BPR270" s="22"/>
      <c r="BPS270" s="22"/>
      <c r="BPT270" s="22"/>
      <c r="BPU270" s="22"/>
      <c r="BPV270" s="22"/>
      <c r="BPW270" s="22"/>
      <c r="BPX270" s="22"/>
      <c r="BPY270" s="22"/>
      <c r="BPZ270" s="22"/>
      <c r="BQA270" s="22"/>
      <c r="BQB270" s="22"/>
      <c r="BQC270" s="22"/>
      <c r="BQD270" s="22"/>
      <c r="BQE270" s="22"/>
      <c r="BQF270" s="22"/>
      <c r="BQG270" s="22"/>
      <c r="BQH270" s="22"/>
      <c r="BQI270" s="22"/>
      <c r="BQJ270" s="22"/>
      <c r="BQK270" s="22"/>
      <c r="BQL270" s="22"/>
      <c r="BQM270" s="22"/>
      <c r="BQN270" s="22"/>
      <c r="BQO270" s="22"/>
      <c r="BQP270" s="22"/>
      <c r="BQQ270" s="22"/>
      <c r="BQR270" s="22"/>
      <c r="BQS270" s="22"/>
      <c r="BQT270" s="22"/>
      <c r="BQU270" s="22"/>
      <c r="BQV270" s="22"/>
      <c r="BQW270" s="22"/>
      <c r="BQX270" s="22"/>
      <c r="BQY270" s="22"/>
      <c r="BQZ270" s="22"/>
      <c r="BRA270" s="22"/>
      <c r="BRB270" s="22"/>
      <c r="BRC270" s="22"/>
      <c r="BRD270" s="22"/>
      <c r="BRE270" s="22"/>
      <c r="BRF270" s="22"/>
      <c r="BRG270" s="22"/>
      <c r="BRH270" s="22"/>
      <c r="BRI270" s="22"/>
      <c r="BRJ270" s="22"/>
      <c r="BRK270" s="22"/>
      <c r="BRL270" s="22"/>
      <c r="BRM270" s="22"/>
      <c r="BRN270" s="22"/>
      <c r="BRO270" s="22"/>
      <c r="BRP270" s="22"/>
      <c r="BRQ270" s="22"/>
      <c r="BRR270" s="22"/>
      <c r="BRS270" s="22"/>
      <c r="BRT270" s="22"/>
      <c r="BRU270" s="22"/>
      <c r="BRV270" s="22"/>
      <c r="BRW270" s="22"/>
      <c r="BRX270" s="22"/>
      <c r="BRY270" s="22"/>
      <c r="BRZ270" s="22"/>
      <c r="BSA270" s="22"/>
      <c r="BSB270" s="22"/>
      <c r="BSC270" s="22"/>
      <c r="BSD270" s="22"/>
      <c r="BSE270" s="22"/>
      <c r="BSF270" s="22"/>
      <c r="BSG270" s="22"/>
      <c r="BSH270" s="22"/>
      <c r="BSI270" s="22"/>
      <c r="BSJ270" s="22"/>
      <c r="BSK270" s="22"/>
      <c r="BSL270" s="22"/>
      <c r="BSM270" s="22"/>
      <c r="BSN270" s="22"/>
      <c r="BSO270" s="22"/>
      <c r="BSP270" s="22"/>
      <c r="BSQ270" s="22"/>
      <c r="BSR270" s="22"/>
      <c r="BSS270" s="22"/>
      <c r="BST270" s="22"/>
      <c r="BSU270" s="22"/>
      <c r="BSV270" s="22"/>
      <c r="BSW270" s="22"/>
      <c r="BSX270" s="22"/>
      <c r="BSY270" s="22"/>
      <c r="BSZ270" s="22"/>
      <c r="BTA270" s="22"/>
      <c r="BTB270" s="22"/>
      <c r="BTC270" s="22"/>
      <c r="BTD270" s="22"/>
      <c r="BTE270" s="22"/>
      <c r="BTF270" s="22"/>
      <c r="BTG270" s="22"/>
      <c r="BTH270" s="22"/>
      <c r="BTI270" s="22"/>
      <c r="BTJ270" s="22"/>
      <c r="BTK270" s="22"/>
      <c r="BTL270" s="22"/>
      <c r="BTM270" s="22"/>
      <c r="BTN270" s="22"/>
      <c r="BTO270" s="22"/>
      <c r="BTP270" s="22"/>
      <c r="BTQ270" s="22"/>
      <c r="BTR270" s="22"/>
      <c r="BTS270" s="22"/>
      <c r="BTT270" s="22"/>
      <c r="BTU270" s="22"/>
      <c r="BTV270" s="22"/>
      <c r="BTW270" s="22"/>
      <c r="BTX270" s="22"/>
      <c r="BTY270" s="22"/>
      <c r="BTZ270" s="22"/>
      <c r="BUA270" s="22"/>
      <c r="BUB270" s="22"/>
      <c r="BUC270" s="22"/>
      <c r="BUD270" s="22"/>
      <c r="BUE270" s="22"/>
      <c r="BUF270" s="22"/>
      <c r="BUG270" s="22"/>
      <c r="BUH270" s="22"/>
      <c r="BUI270" s="22"/>
      <c r="BUJ270" s="22"/>
      <c r="BUK270" s="22"/>
      <c r="BUL270" s="22"/>
      <c r="BUM270" s="22"/>
      <c r="BUN270" s="22"/>
      <c r="BUO270" s="22"/>
      <c r="BUP270" s="22"/>
      <c r="BUQ270" s="22"/>
      <c r="BUR270" s="22"/>
      <c r="BUS270" s="22"/>
      <c r="BUT270" s="22"/>
      <c r="BUU270" s="22"/>
      <c r="BUV270" s="22"/>
      <c r="BUW270" s="22"/>
      <c r="BUX270" s="22"/>
      <c r="BUY270" s="22"/>
      <c r="BUZ270" s="22"/>
      <c r="BVA270" s="22"/>
      <c r="BVB270" s="22"/>
      <c r="BVC270" s="22"/>
      <c r="BVD270" s="22"/>
      <c r="BVE270" s="22"/>
      <c r="BVF270" s="22"/>
      <c r="BVG270" s="22"/>
      <c r="BVH270" s="22"/>
      <c r="BVI270" s="22"/>
      <c r="BVJ270" s="22"/>
      <c r="BVK270" s="22"/>
      <c r="BVL270" s="22"/>
      <c r="BVM270" s="22"/>
      <c r="BVN270" s="22"/>
      <c r="BVO270" s="22"/>
      <c r="BVP270" s="22"/>
      <c r="BVQ270" s="22"/>
      <c r="BVR270" s="22"/>
      <c r="BVS270" s="22"/>
      <c r="BVT270" s="22"/>
      <c r="BVU270" s="22"/>
      <c r="BVV270" s="22"/>
      <c r="BVW270" s="22"/>
      <c r="BVX270" s="22"/>
      <c r="BVY270" s="22"/>
      <c r="BVZ270" s="22"/>
      <c r="BWA270" s="22"/>
      <c r="BWB270" s="22"/>
      <c r="BWC270" s="22"/>
      <c r="BWD270" s="22"/>
      <c r="BWE270" s="22"/>
      <c r="BWF270" s="22"/>
      <c r="BWG270" s="22"/>
      <c r="BWH270" s="22"/>
      <c r="BWI270" s="22"/>
      <c r="BWJ270" s="22"/>
      <c r="BWK270" s="22"/>
      <c r="BWL270" s="22"/>
      <c r="BWM270" s="22"/>
      <c r="BWN270" s="22"/>
      <c r="BWO270" s="22"/>
      <c r="BWP270" s="22"/>
      <c r="BWQ270" s="22"/>
      <c r="BWR270" s="22"/>
      <c r="BWS270" s="22"/>
      <c r="BWT270" s="22"/>
      <c r="BWU270" s="22"/>
      <c r="BWV270" s="22"/>
      <c r="BWW270" s="22"/>
      <c r="BWX270" s="22"/>
      <c r="BWY270" s="22"/>
      <c r="BWZ270" s="22"/>
      <c r="BXA270" s="22"/>
      <c r="BXB270" s="22"/>
      <c r="BXC270" s="22"/>
      <c r="BXD270" s="22"/>
      <c r="BXE270" s="22"/>
      <c r="BXF270" s="22"/>
      <c r="BXG270" s="22"/>
      <c r="BXH270" s="22"/>
      <c r="BXI270" s="22"/>
      <c r="BXJ270" s="22"/>
      <c r="BXK270" s="22"/>
      <c r="BXL270" s="22"/>
      <c r="BXM270" s="22"/>
      <c r="BXN270" s="22"/>
      <c r="BXO270" s="22"/>
      <c r="BXP270" s="22"/>
      <c r="BXQ270" s="22"/>
      <c r="BXR270" s="22"/>
      <c r="BXS270" s="22"/>
      <c r="BXT270" s="22"/>
      <c r="BXU270" s="22"/>
      <c r="BXV270" s="22"/>
      <c r="BXW270" s="22"/>
      <c r="BXX270" s="22"/>
      <c r="BXY270" s="22"/>
      <c r="BXZ270" s="22"/>
      <c r="BYA270" s="22"/>
      <c r="BYB270" s="22"/>
      <c r="BYC270" s="22"/>
      <c r="BYD270" s="22"/>
      <c r="BYE270" s="22"/>
      <c r="BYF270" s="22"/>
      <c r="BYG270" s="22"/>
      <c r="BYH270" s="22"/>
      <c r="BYI270" s="22"/>
      <c r="BYJ270" s="22"/>
      <c r="BYK270" s="22"/>
      <c r="BYL270" s="22"/>
      <c r="BYM270" s="22"/>
      <c r="BYN270" s="22"/>
      <c r="BYO270" s="22"/>
      <c r="BYP270" s="22"/>
      <c r="BYQ270" s="22"/>
      <c r="BYR270" s="22"/>
      <c r="BYS270" s="22"/>
      <c r="BYT270" s="22"/>
      <c r="BYU270" s="22"/>
      <c r="BYV270" s="22"/>
      <c r="BYW270" s="22"/>
      <c r="BYX270" s="22"/>
      <c r="BYY270" s="22"/>
      <c r="BYZ270" s="22"/>
      <c r="BZA270" s="22"/>
      <c r="BZB270" s="22"/>
      <c r="BZC270" s="22"/>
      <c r="BZD270" s="22"/>
      <c r="BZE270" s="22"/>
      <c r="BZF270" s="22"/>
      <c r="BZG270" s="22"/>
      <c r="BZH270" s="22"/>
      <c r="BZI270" s="22"/>
      <c r="BZJ270" s="22"/>
      <c r="BZK270" s="22"/>
      <c r="BZL270" s="22"/>
      <c r="BZM270" s="22"/>
      <c r="BZN270" s="22"/>
      <c r="BZO270" s="22"/>
      <c r="BZP270" s="22"/>
      <c r="BZQ270" s="22"/>
      <c r="BZR270" s="22"/>
      <c r="BZS270" s="22"/>
      <c r="BZT270" s="22"/>
      <c r="BZU270" s="22"/>
      <c r="BZV270" s="22"/>
      <c r="BZW270" s="22"/>
      <c r="BZX270" s="22"/>
      <c r="BZY270" s="22"/>
      <c r="BZZ270" s="22"/>
      <c r="CAA270" s="22"/>
      <c r="CAB270" s="22"/>
      <c r="CAC270" s="22"/>
      <c r="CAD270" s="22"/>
      <c r="CAE270" s="22"/>
      <c r="CAF270" s="22"/>
      <c r="CAG270" s="22"/>
      <c r="CAH270" s="22"/>
      <c r="CAI270" s="22"/>
      <c r="CAJ270" s="22"/>
      <c r="CAK270" s="22"/>
      <c r="CAL270" s="22"/>
      <c r="CAM270" s="22"/>
      <c r="CAN270" s="22"/>
      <c r="CAO270" s="22"/>
      <c r="CAP270" s="22"/>
      <c r="CAQ270" s="22"/>
      <c r="CAR270" s="22"/>
      <c r="CAS270" s="22"/>
      <c r="CAT270" s="22"/>
      <c r="CAU270" s="22"/>
      <c r="CAV270" s="22"/>
      <c r="CAW270" s="22"/>
      <c r="CAX270" s="22"/>
      <c r="CAY270" s="22"/>
      <c r="CAZ270" s="22"/>
      <c r="CBA270" s="22"/>
      <c r="CBB270" s="22"/>
      <c r="CBC270" s="22"/>
      <c r="CBD270" s="22"/>
      <c r="CBE270" s="22"/>
      <c r="CBF270" s="22"/>
      <c r="CBG270" s="22"/>
      <c r="CBH270" s="22"/>
      <c r="CBI270" s="22"/>
      <c r="CBJ270" s="22"/>
      <c r="CBK270" s="22"/>
      <c r="CBL270" s="22"/>
      <c r="CBM270" s="22"/>
      <c r="CBN270" s="22"/>
      <c r="CBO270" s="22"/>
      <c r="CBP270" s="22"/>
      <c r="CBQ270" s="22"/>
      <c r="CBR270" s="22"/>
      <c r="CBS270" s="22"/>
      <c r="CBT270" s="22"/>
      <c r="CBU270" s="22"/>
      <c r="CBV270" s="22"/>
      <c r="CBW270" s="22"/>
      <c r="CBX270" s="22"/>
      <c r="CBY270" s="22"/>
      <c r="CBZ270" s="22"/>
      <c r="CCA270" s="22"/>
      <c r="CCB270" s="22"/>
      <c r="CCC270" s="22"/>
      <c r="CCD270" s="22"/>
      <c r="CCE270" s="22"/>
      <c r="CCF270" s="22"/>
      <c r="CCG270" s="22"/>
      <c r="CCH270" s="22"/>
      <c r="CCI270" s="22"/>
      <c r="CCJ270" s="22"/>
      <c r="CCK270" s="22"/>
      <c r="CCL270" s="22"/>
      <c r="CCM270" s="22"/>
      <c r="CCN270" s="22"/>
      <c r="CCO270" s="22"/>
      <c r="CCP270" s="22"/>
      <c r="CCQ270" s="22"/>
      <c r="CCR270" s="22"/>
      <c r="CCS270" s="22"/>
      <c r="CCT270" s="22"/>
      <c r="CCU270" s="22"/>
      <c r="CCV270" s="22"/>
      <c r="CCW270" s="22"/>
      <c r="CCX270" s="22"/>
      <c r="CCY270" s="22"/>
      <c r="CCZ270" s="22"/>
      <c r="CDA270" s="22"/>
      <c r="CDB270" s="22"/>
      <c r="CDC270" s="22"/>
      <c r="CDD270" s="22"/>
      <c r="CDE270" s="22"/>
      <c r="CDF270" s="22"/>
      <c r="CDG270" s="22"/>
      <c r="CDH270" s="22"/>
      <c r="CDI270" s="22"/>
      <c r="CDJ270" s="22"/>
      <c r="CDK270" s="22"/>
      <c r="CDL270" s="22"/>
      <c r="CDM270" s="22"/>
      <c r="CDN270" s="22"/>
      <c r="CDO270" s="22"/>
      <c r="CDP270" s="22"/>
      <c r="CDQ270" s="22"/>
      <c r="CDR270" s="22"/>
      <c r="CDS270" s="22"/>
      <c r="CDT270" s="22"/>
      <c r="CDU270" s="22"/>
      <c r="CDV270" s="22"/>
      <c r="CDW270" s="22"/>
      <c r="CDX270" s="22"/>
      <c r="CDY270" s="22"/>
      <c r="CDZ270" s="22"/>
      <c r="CEA270" s="22"/>
      <c r="CEB270" s="22"/>
      <c r="CEC270" s="22"/>
      <c r="CED270" s="22"/>
      <c r="CEE270" s="22"/>
      <c r="CEF270" s="22"/>
      <c r="CEG270" s="22"/>
      <c r="CEH270" s="22"/>
      <c r="CEI270" s="22"/>
      <c r="CEJ270" s="22"/>
      <c r="CEK270" s="22"/>
      <c r="CEL270" s="22"/>
      <c r="CEM270" s="22"/>
      <c r="CEN270" s="22"/>
      <c r="CEO270" s="22"/>
      <c r="CEP270" s="22"/>
      <c r="CEQ270" s="22"/>
      <c r="CER270" s="22"/>
      <c r="CES270" s="22"/>
      <c r="CET270" s="22"/>
      <c r="CEU270" s="22"/>
      <c r="CEV270" s="22"/>
      <c r="CEW270" s="22"/>
      <c r="CEX270" s="22"/>
      <c r="CEY270" s="22"/>
      <c r="CEZ270" s="22"/>
      <c r="CFA270" s="22"/>
      <c r="CFB270" s="22"/>
      <c r="CFC270" s="22"/>
      <c r="CFD270" s="22"/>
      <c r="CFE270" s="22"/>
      <c r="CFF270" s="22"/>
      <c r="CFG270" s="22"/>
      <c r="CFH270" s="22"/>
      <c r="CFI270" s="22"/>
      <c r="CFJ270" s="22"/>
      <c r="CFK270" s="22"/>
      <c r="CFL270" s="22"/>
      <c r="CFM270" s="22"/>
      <c r="CFN270" s="22"/>
      <c r="CFO270" s="22"/>
      <c r="CFP270" s="22"/>
      <c r="CFQ270" s="22"/>
      <c r="CFR270" s="22"/>
      <c r="CFS270" s="22"/>
      <c r="CFT270" s="22"/>
      <c r="CFU270" s="22"/>
      <c r="CFV270" s="22"/>
      <c r="CFW270" s="22"/>
      <c r="CFX270" s="22"/>
      <c r="CFY270" s="22"/>
      <c r="CFZ270" s="22"/>
      <c r="CGA270" s="22"/>
      <c r="CGB270" s="22"/>
      <c r="CGC270" s="22"/>
      <c r="CGD270" s="22"/>
      <c r="CGE270" s="22"/>
      <c r="CGF270" s="22"/>
      <c r="CGG270" s="22"/>
      <c r="CGH270" s="22"/>
      <c r="CGI270" s="22"/>
      <c r="CGJ270" s="22"/>
      <c r="CGK270" s="22"/>
      <c r="CGL270" s="22"/>
      <c r="CGM270" s="22"/>
      <c r="CGN270" s="22"/>
      <c r="CGO270" s="22"/>
      <c r="CGP270" s="22"/>
      <c r="CGQ270" s="22"/>
      <c r="CGR270" s="22"/>
      <c r="CGS270" s="22"/>
      <c r="CGT270" s="22"/>
      <c r="CGU270" s="22"/>
      <c r="CGV270" s="22"/>
      <c r="CGW270" s="22"/>
      <c r="CGX270" s="22"/>
      <c r="CGY270" s="22"/>
      <c r="CGZ270" s="22"/>
      <c r="CHA270" s="22"/>
      <c r="CHB270" s="22"/>
      <c r="CHC270" s="22"/>
      <c r="CHD270" s="22"/>
      <c r="CHE270" s="22"/>
      <c r="CHF270" s="22"/>
      <c r="CHG270" s="22"/>
      <c r="CHH270" s="22"/>
      <c r="CHI270" s="22"/>
      <c r="CHJ270" s="22"/>
      <c r="CHK270" s="22"/>
      <c r="CHL270" s="22"/>
      <c r="CHM270" s="22"/>
      <c r="CHN270" s="22"/>
      <c r="CHO270" s="22"/>
      <c r="CHP270" s="22"/>
      <c r="CHQ270" s="22"/>
      <c r="CHR270" s="22"/>
      <c r="CHS270" s="22"/>
      <c r="CHT270" s="22"/>
      <c r="CHU270" s="22"/>
      <c r="CHV270" s="22"/>
      <c r="CHW270" s="22"/>
      <c r="CHX270" s="22"/>
      <c r="CHY270" s="22"/>
      <c r="CHZ270" s="22"/>
      <c r="CIA270" s="22"/>
      <c r="CIB270" s="22"/>
      <c r="CIC270" s="22"/>
      <c r="CID270" s="22"/>
      <c r="CIE270" s="22"/>
      <c r="CIF270" s="22"/>
      <c r="CIG270" s="22"/>
      <c r="CIH270" s="22"/>
      <c r="CII270" s="22"/>
      <c r="CIJ270" s="22"/>
      <c r="CIK270" s="22"/>
      <c r="CIL270" s="22"/>
      <c r="CIM270" s="22"/>
      <c r="CIN270" s="22"/>
      <c r="CIO270" s="22"/>
      <c r="CIP270" s="22"/>
      <c r="CIQ270" s="22"/>
      <c r="CIR270" s="22"/>
      <c r="CIS270" s="22"/>
      <c r="CIT270" s="22"/>
      <c r="CIU270" s="22"/>
      <c r="CIV270" s="22"/>
      <c r="CIW270" s="22"/>
      <c r="CIX270" s="22"/>
      <c r="CIY270" s="22"/>
      <c r="CIZ270" s="22"/>
      <c r="CJA270" s="22"/>
      <c r="CJB270" s="22"/>
      <c r="CJC270" s="22"/>
      <c r="CJD270" s="22"/>
      <c r="CJE270" s="22"/>
      <c r="CJF270" s="22"/>
      <c r="CJG270" s="22"/>
      <c r="CJH270" s="22"/>
      <c r="CJI270" s="22"/>
      <c r="CJJ270" s="22"/>
      <c r="CJK270" s="22"/>
      <c r="CJL270" s="22"/>
      <c r="CJM270" s="22"/>
      <c r="CJN270" s="22"/>
      <c r="CJO270" s="22"/>
      <c r="CJP270" s="22"/>
      <c r="CJQ270" s="22"/>
      <c r="CJR270" s="22"/>
      <c r="CJS270" s="22"/>
      <c r="CJT270" s="22"/>
      <c r="CJU270" s="22"/>
      <c r="CJV270" s="22"/>
      <c r="CJW270" s="22"/>
      <c r="CJX270" s="22"/>
      <c r="CJY270" s="22"/>
      <c r="CJZ270" s="22"/>
      <c r="CKA270" s="22"/>
      <c r="CKB270" s="22"/>
      <c r="CKC270" s="22"/>
      <c r="CKD270" s="22"/>
      <c r="CKE270" s="22"/>
      <c r="CKF270" s="22"/>
      <c r="CKG270" s="22"/>
      <c r="CKH270" s="22"/>
      <c r="CKI270" s="22"/>
      <c r="CKJ270" s="22"/>
      <c r="CKK270" s="22"/>
      <c r="CKL270" s="22"/>
      <c r="CKM270" s="22"/>
      <c r="CKN270" s="22"/>
      <c r="CKO270" s="22"/>
      <c r="CKP270" s="22"/>
      <c r="CKQ270" s="22"/>
      <c r="CKR270" s="22"/>
      <c r="CKS270" s="22"/>
      <c r="CKT270" s="22"/>
      <c r="CKU270" s="22"/>
      <c r="CKV270" s="22"/>
      <c r="CKW270" s="22"/>
      <c r="CKX270" s="22"/>
      <c r="CKY270" s="22"/>
      <c r="CKZ270" s="22"/>
      <c r="CLA270" s="22"/>
      <c r="CLB270" s="22"/>
      <c r="CLC270" s="22"/>
      <c r="CLD270" s="22"/>
      <c r="CLE270" s="22"/>
      <c r="CLF270" s="22"/>
      <c r="CLG270" s="22"/>
      <c r="CLH270" s="22"/>
      <c r="CLI270" s="22"/>
      <c r="CLJ270" s="22"/>
      <c r="CLK270" s="22"/>
      <c r="CLL270" s="22"/>
      <c r="CLM270" s="22"/>
      <c r="CLN270" s="22"/>
      <c r="CLO270" s="22"/>
      <c r="CLP270" s="22"/>
      <c r="CLQ270" s="22"/>
      <c r="CLR270" s="22"/>
      <c r="CLS270" s="22"/>
      <c r="CLT270" s="22"/>
      <c r="CLU270" s="22"/>
      <c r="CLV270" s="22"/>
      <c r="CLW270" s="22"/>
      <c r="CLX270" s="22"/>
      <c r="CLY270" s="22"/>
      <c r="CLZ270" s="22"/>
      <c r="CMA270" s="22"/>
      <c r="CMB270" s="22"/>
      <c r="CMC270" s="22"/>
      <c r="CMD270" s="22"/>
      <c r="CME270" s="22"/>
      <c r="CMF270" s="22"/>
      <c r="CMG270" s="22"/>
      <c r="CMH270" s="22"/>
      <c r="CMI270" s="22"/>
      <c r="CMJ270" s="22"/>
      <c r="CMK270" s="22"/>
      <c r="CML270" s="22"/>
      <c r="CMM270" s="22"/>
      <c r="CMN270" s="22"/>
      <c r="CMO270" s="22"/>
      <c r="CMP270" s="22"/>
      <c r="CMQ270" s="22"/>
      <c r="CMR270" s="22"/>
      <c r="CMS270" s="22"/>
      <c r="CMT270" s="22"/>
      <c r="CMU270" s="22"/>
      <c r="CMV270" s="22"/>
      <c r="CMW270" s="22"/>
      <c r="CMX270" s="22"/>
      <c r="CMY270" s="22"/>
      <c r="CMZ270" s="22"/>
      <c r="CNA270" s="22"/>
      <c r="CNB270" s="22"/>
      <c r="CNC270" s="22"/>
      <c r="CND270" s="22"/>
      <c r="CNE270" s="22"/>
      <c r="CNF270" s="22"/>
      <c r="CNG270" s="22"/>
      <c r="CNH270" s="22"/>
      <c r="CNI270" s="22"/>
      <c r="CNJ270" s="22"/>
      <c r="CNK270" s="22"/>
      <c r="CNL270" s="22"/>
      <c r="CNM270" s="22"/>
      <c r="CNN270" s="22"/>
      <c r="CNO270" s="22"/>
      <c r="CNP270" s="22"/>
      <c r="CNQ270" s="22"/>
      <c r="CNR270" s="22"/>
      <c r="CNS270" s="22"/>
      <c r="CNT270" s="22"/>
      <c r="CNU270" s="22"/>
      <c r="CNV270" s="22"/>
      <c r="CNW270" s="22"/>
      <c r="CNX270" s="22"/>
      <c r="CNY270" s="22"/>
      <c r="CNZ270" s="22"/>
      <c r="COA270" s="22"/>
      <c r="COB270" s="22"/>
      <c r="COC270" s="22"/>
      <c r="COD270" s="22"/>
      <c r="COE270" s="22"/>
      <c r="COF270" s="22"/>
      <c r="COG270" s="22"/>
      <c r="COH270" s="22"/>
      <c r="COI270" s="22"/>
      <c r="COJ270" s="22"/>
      <c r="COK270" s="22"/>
      <c r="COL270" s="22"/>
      <c r="COM270" s="22"/>
      <c r="CON270" s="22"/>
      <c r="COO270" s="22"/>
      <c r="COP270" s="22"/>
      <c r="COQ270" s="22"/>
      <c r="COR270" s="22"/>
      <c r="COS270" s="22"/>
      <c r="COT270" s="22"/>
      <c r="COU270" s="22"/>
      <c r="COV270" s="22"/>
      <c r="COW270" s="22"/>
      <c r="COX270" s="22"/>
      <c r="COY270" s="22"/>
      <c r="COZ270" s="22"/>
      <c r="CPA270" s="22"/>
      <c r="CPB270" s="22"/>
      <c r="CPC270" s="22"/>
      <c r="CPD270" s="22"/>
      <c r="CPE270" s="22"/>
      <c r="CPF270" s="22"/>
      <c r="CPG270" s="22"/>
      <c r="CPH270" s="22"/>
      <c r="CPI270" s="22"/>
      <c r="CPJ270" s="22"/>
      <c r="CPK270" s="22"/>
      <c r="CPL270" s="22"/>
      <c r="CPM270" s="22"/>
      <c r="CPN270" s="22"/>
      <c r="CPO270" s="22"/>
      <c r="CPP270" s="22"/>
      <c r="CPQ270" s="22"/>
      <c r="CPR270" s="22"/>
      <c r="CPS270" s="22"/>
      <c r="CPT270" s="22"/>
      <c r="CPU270" s="22"/>
      <c r="CPV270" s="22"/>
      <c r="CPW270" s="22"/>
      <c r="CPX270" s="22"/>
      <c r="CPY270" s="22"/>
      <c r="CPZ270" s="22"/>
      <c r="CQA270" s="22"/>
      <c r="CQB270" s="22"/>
      <c r="CQC270" s="22"/>
      <c r="CQD270" s="22"/>
      <c r="CQE270" s="22"/>
      <c r="CQF270" s="22"/>
      <c r="CQG270" s="22"/>
      <c r="CQH270" s="22"/>
      <c r="CQI270" s="22"/>
      <c r="CQJ270" s="22"/>
      <c r="CQK270" s="22"/>
      <c r="CQL270" s="22"/>
      <c r="CQM270" s="22"/>
      <c r="CQN270" s="22"/>
      <c r="CQO270" s="22"/>
      <c r="CQP270" s="22"/>
      <c r="CQQ270" s="22"/>
      <c r="CQR270" s="22"/>
      <c r="CQS270" s="22"/>
      <c r="CQT270" s="22"/>
      <c r="CQU270" s="22"/>
      <c r="CQV270" s="22"/>
      <c r="CQW270" s="22"/>
      <c r="CQX270" s="22"/>
      <c r="CQY270" s="22"/>
      <c r="CQZ270" s="22"/>
      <c r="CRA270" s="22"/>
      <c r="CRB270" s="22"/>
      <c r="CRC270" s="22"/>
      <c r="CRD270" s="22"/>
      <c r="CRE270" s="22"/>
      <c r="CRF270" s="22"/>
      <c r="CRG270" s="22"/>
      <c r="CRH270" s="22"/>
      <c r="CRI270" s="22"/>
      <c r="CRJ270" s="22"/>
      <c r="CRK270" s="22"/>
      <c r="CRL270" s="22"/>
      <c r="CRM270" s="22"/>
      <c r="CRN270" s="22"/>
      <c r="CRO270" s="22"/>
      <c r="CRP270" s="22"/>
      <c r="CRQ270" s="22"/>
      <c r="CRR270" s="22"/>
      <c r="CRS270" s="22"/>
      <c r="CRT270" s="22"/>
      <c r="CRU270" s="22"/>
      <c r="CRV270" s="22"/>
      <c r="CRW270" s="22"/>
      <c r="CRX270" s="22"/>
      <c r="CRY270" s="22"/>
      <c r="CRZ270" s="22"/>
      <c r="CSA270" s="22"/>
      <c r="CSB270" s="22"/>
      <c r="CSC270" s="22"/>
      <c r="CSD270" s="22"/>
      <c r="CSE270" s="22"/>
      <c r="CSF270" s="22"/>
      <c r="CSG270" s="22"/>
      <c r="CSH270" s="22"/>
      <c r="CSI270" s="22"/>
      <c r="CSJ270" s="22"/>
      <c r="CSK270" s="22"/>
      <c r="CSL270" s="22"/>
      <c r="CSM270" s="22"/>
      <c r="CSN270" s="22"/>
      <c r="CSO270" s="22"/>
      <c r="CSP270" s="22"/>
      <c r="CSQ270" s="22"/>
      <c r="CSR270" s="22"/>
      <c r="CSS270" s="22"/>
      <c r="CST270" s="22"/>
      <c r="CSU270" s="22"/>
      <c r="CSV270" s="22"/>
      <c r="CSW270" s="22"/>
      <c r="CSX270" s="22"/>
      <c r="CSY270" s="22"/>
      <c r="CSZ270" s="22"/>
      <c r="CTA270" s="22"/>
      <c r="CTB270" s="22"/>
      <c r="CTC270" s="22"/>
      <c r="CTD270" s="22"/>
      <c r="CTE270" s="22"/>
      <c r="CTF270" s="22"/>
      <c r="CTG270" s="22"/>
      <c r="CTH270" s="22"/>
      <c r="CTI270" s="22"/>
      <c r="CTJ270" s="22"/>
      <c r="CTK270" s="22"/>
      <c r="CTL270" s="22"/>
      <c r="CTM270" s="22"/>
      <c r="CTN270" s="22"/>
      <c r="CTO270" s="22"/>
      <c r="CTP270" s="22"/>
      <c r="CTQ270" s="22"/>
      <c r="CTR270" s="22"/>
      <c r="CTS270" s="22"/>
      <c r="CTT270" s="22"/>
      <c r="CTU270" s="22"/>
      <c r="CTV270" s="22"/>
      <c r="CTW270" s="22"/>
      <c r="CTX270" s="22"/>
      <c r="CTY270" s="22"/>
      <c r="CTZ270" s="22"/>
      <c r="CUA270" s="22"/>
      <c r="CUB270" s="22"/>
      <c r="CUC270" s="22"/>
      <c r="CUD270" s="22"/>
      <c r="CUE270" s="22"/>
      <c r="CUF270" s="22"/>
      <c r="CUG270" s="22"/>
      <c r="CUH270" s="22"/>
      <c r="CUI270" s="22"/>
      <c r="CUJ270" s="22"/>
      <c r="CUK270" s="22"/>
      <c r="CUL270" s="22"/>
      <c r="CUM270" s="22"/>
      <c r="CUN270" s="22"/>
      <c r="CUO270" s="22"/>
      <c r="CUP270" s="22"/>
      <c r="CUQ270" s="22"/>
      <c r="CUR270" s="22"/>
      <c r="CUS270" s="22"/>
      <c r="CUT270" s="22"/>
      <c r="CUU270" s="22"/>
      <c r="CUV270" s="22"/>
      <c r="CUW270" s="22"/>
      <c r="CUX270" s="22"/>
      <c r="CUY270" s="22"/>
      <c r="CUZ270" s="22"/>
      <c r="CVA270" s="22"/>
      <c r="CVB270" s="22"/>
      <c r="CVC270" s="22"/>
      <c r="CVD270" s="22"/>
      <c r="CVE270" s="22"/>
      <c r="CVF270" s="22"/>
      <c r="CVG270" s="22"/>
      <c r="CVH270" s="22"/>
      <c r="CVI270" s="22"/>
      <c r="CVJ270" s="22"/>
      <c r="CVK270" s="22"/>
      <c r="CVL270" s="22"/>
      <c r="CVM270" s="22"/>
      <c r="CVN270" s="22"/>
      <c r="CVO270" s="22"/>
      <c r="CVP270" s="22"/>
      <c r="CVQ270" s="22"/>
      <c r="CVR270" s="22"/>
      <c r="CVS270" s="22"/>
      <c r="CVT270" s="22"/>
      <c r="CVU270" s="22"/>
      <c r="CVV270" s="22"/>
      <c r="CVW270" s="22"/>
      <c r="CVX270" s="22"/>
      <c r="CVY270" s="22"/>
      <c r="CVZ270" s="22"/>
      <c r="CWA270" s="22"/>
      <c r="CWB270" s="22"/>
      <c r="CWC270" s="22"/>
      <c r="CWD270" s="22"/>
      <c r="CWE270" s="22"/>
      <c r="CWF270" s="22"/>
      <c r="CWG270" s="22"/>
      <c r="CWH270" s="22"/>
      <c r="CWI270" s="22"/>
      <c r="CWJ270" s="22"/>
      <c r="CWK270" s="22"/>
      <c r="CWL270" s="22"/>
      <c r="CWM270" s="22"/>
      <c r="CWN270" s="22"/>
      <c r="CWO270" s="22"/>
      <c r="CWP270" s="22"/>
      <c r="CWQ270" s="22"/>
      <c r="CWR270" s="22"/>
      <c r="CWS270" s="22"/>
      <c r="CWT270" s="22"/>
      <c r="CWU270" s="22"/>
      <c r="CWV270" s="22"/>
      <c r="CWW270" s="22"/>
      <c r="CWX270" s="22"/>
      <c r="CWY270" s="22"/>
      <c r="CWZ270" s="22"/>
      <c r="CXA270" s="22"/>
      <c r="CXB270" s="22"/>
      <c r="CXC270" s="22"/>
      <c r="CXD270" s="22"/>
      <c r="CXE270" s="22"/>
      <c r="CXF270" s="22"/>
      <c r="CXG270" s="22"/>
      <c r="CXH270" s="22"/>
      <c r="CXI270" s="22"/>
      <c r="CXJ270" s="22"/>
      <c r="CXK270" s="22"/>
      <c r="CXL270" s="22"/>
      <c r="CXM270" s="22"/>
      <c r="CXN270" s="22"/>
      <c r="CXO270" s="22"/>
      <c r="CXP270" s="22"/>
      <c r="CXQ270" s="22"/>
      <c r="CXR270" s="22"/>
      <c r="CXS270" s="22"/>
      <c r="CXT270" s="22"/>
      <c r="CXU270" s="22"/>
      <c r="CXV270" s="22"/>
      <c r="CXW270" s="22"/>
      <c r="CXX270" s="22"/>
      <c r="CXY270" s="22"/>
      <c r="CXZ270" s="22"/>
      <c r="CYA270" s="22"/>
      <c r="CYB270" s="22"/>
      <c r="CYC270" s="22"/>
      <c r="CYD270" s="22"/>
      <c r="CYE270" s="22"/>
      <c r="CYF270" s="22"/>
      <c r="CYG270" s="22"/>
      <c r="CYH270" s="22"/>
      <c r="CYI270" s="22"/>
      <c r="CYJ270" s="22"/>
      <c r="CYK270" s="22"/>
      <c r="CYL270" s="22"/>
      <c r="CYM270" s="22"/>
      <c r="CYN270" s="22"/>
      <c r="CYO270" s="22"/>
      <c r="CYP270" s="22"/>
      <c r="CYQ270" s="22"/>
      <c r="CYR270" s="22"/>
      <c r="CYS270" s="22"/>
      <c r="CYT270" s="22"/>
      <c r="CYU270" s="22"/>
      <c r="CYV270" s="22"/>
      <c r="CYW270" s="22"/>
      <c r="CYX270" s="22"/>
      <c r="CYY270" s="22"/>
      <c r="CYZ270" s="22"/>
      <c r="CZA270" s="22"/>
      <c r="CZB270" s="22"/>
      <c r="CZC270" s="22"/>
      <c r="CZD270" s="22"/>
      <c r="CZE270" s="22"/>
      <c r="CZF270" s="22"/>
      <c r="CZG270" s="22"/>
      <c r="CZH270" s="22"/>
      <c r="CZI270" s="22"/>
      <c r="CZJ270" s="22"/>
      <c r="CZK270" s="22"/>
      <c r="CZL270" s="22"/>
      <c r="CZM270" s="22"/>
      <c r="CZN270" s="22"/>
      <c r="CZO270" s="22"/>
      <c r="CZP270" s="22"/>
      <c r="CZQ270" s="22"/>
      <c r="CZR270" s="22"/>
      <c r="CZS270" s="22"/>
      <c r="CZT270" s="22"/>
      <c r="CZU270" s="22"/>
      <c r="CZV270" s="22"/>
      <c r="CZW270" s="22"/>
      <c r="CZX270" s="22"/>
      <c r="CZY270" s="22"/>
      <c r="CZZ270" s="22"/>
      <c r="DAA270" s="22"/>
      <c r="DAB270" s="22"/>
      <c r="DAC270" s="22"/>
      <c r="DAD270" s="22"/>
      <c r="DAE270" s="22"/>
      <c r="DAF270" s="22"/>
      <c r="DAG270" s="22"/>
      <c r="DAH270" s="22"/>
      <c r="DAI270" s="22"/>
      <c r="DAJ270" s="22"/>
      <c r="DAK270" s="22"/>
      <c r="DAL270" s="22"/>
      <c r="DAM270" s="22"/>
      <c r="DAN270" s="22"/>
      <c r="DAO270" s="22"/>
      <c r="DAP270" s="22"/>
      <c r="DAQ270" s="22"/>
      <c r="DAR270" s="22"/>
      <c r="DAS270" s="22"/>
      <c r="DAT270" s="22"/>
      <c r="DAU270" s="22"/>
      <c r="DAV270" s="22"/>
      <c r="DAW270" s="22"/>
      <c r="DAX270" s="22"/>
      <c r="DAY270" s="22"/>
      <c r="DAZ270" s="22"/>
      <c r="DBA270" s="22"/>
      <c r="DBB270" s="22"/>
      <c r="DBC270" s="22"/>
      <c r="DBD270" s="22"/>
      <c r="DBE270" s="22"/>
      <c r="DBF270" s="22"/>
      <c r="DBG270" s="22"/>
      <c r="DBH270" s="22"/>
      <c r="DBI270" s="22"/>
      <c r="DBJ270" s="22"/>
      <c r="DBK270" s="22"/>
      <c r="DBL270" s="22"/>
      <c r="DBM270" s="22"/>
      <c r="DBN270" s="22"/>
      <c r="DBO270" s="22"/>
      <c r="DBP270" s="22"/>
      <c r="DBQ270" s="22"/>
      <c r="DBR270" s="22"/>
      <c r="DBS270" s="22"/>
      <c r="DBT270" s="22"/>
      <c r="DBU270" s="22"/>
      <c r="DBV270" s="22"/>
      <c r="DBW270" s="22"/>
      <c r="DBX270" s="22"/>
      <c r="DBY270" s="22"/>
      <c r="DBZ270" s="22"/>
      <c r="DCA270" s="22"/>
      <c r="DCB270" s="22"/>
      <c r="DCC270" s="22"/>
      <c r="DCD270" s="22"/>
      <c r="DCE270" s="22"/>
      <c r="DCF270" s="22"/>
      <c r="DCG270" s="22"/>
      <c r="DCH270" s="22"/>
      <c r="DCI270" s="22"/>
      <c r="DCJ270" s="22"/>
      <c r="DCK270" s="22"/>
      <c r="DCL270" s="22"/>
      <c r="DCM270" s="22"/>
      <c r="DCN270" s="22"/>
      <c r="DCO270" s="22"/>
      <c r="DCP270" s="22"/>
      <c r="DCQ270" s="22"/>
      <c r="DCR270" s="22"/>
      <c r="DCS270" s="22"/>
      <c r="DCT270" s="22"/>
      <c r="DCU270" s="22"/>
      <c r="DCV270" s="22"/>
      <c r="DCW270" s="22"/>
      <c r="DCX270" s="22"/>
      <c r="DCY270" s="22"/>
      <c r="DCZ270" s="22"/>
      <c r="DDA270" s="22"/>
      <c r="DDB270" s="22"/>
      <c r="DDC270" s="22"/>
      <c r="DDD270" s="22"/>
      <c r="DDE270" s="22"/>
      <c r="DDF270" s="22"/>
      <c r="DDG270" s="22"/>
      <c r="DDH270" s="22"/>
      <c r="DDI270" s="22"/>
      <c r="DDJ270" s="22"/>
      <c r="DDK270" s="22"/>
      <c r="DDL270" s="22"/>
      <c r="DDM270" s="22"/>
      <c r="DDN270" s="22"/>
      <c r="DDO270" s="22"/>
      <c r="DDP270" s="22"/>
      <c r="DDQ270" s="22"/>
      <c r="DDR270" s="22"/>
      <c r="DDS270" s="22"/>
      <c r="DDT270" s="22"/>
      <c r="DDU270" s="22"/>
      <c r="DDV270" s="22"/>
      <c r="DDW270" s="22"/>
      <c r="DDX270" s="22"/>
      <c r="DDY270" s="22"/>
      <c r="DDZ270" s="22"/>
      <c r="DEA270" s="22"/>
      <c r="DEB270" s="22"/>
      <c r="DEC270" s="22"/>
      <c r="DED270" s="22"/>
      <c r="DEE270" s="22"/>
      <c r="DEF270" s="22"/>
      <c r="DEG270" s="22"/>
      <c r="DEH270" s="22"/>
      <c r="DEI270" s="22"/>
      <c r="DEJ270" s="22"/>
      <c r="DEK270" s="22"/>
      <c r="DEL270" s="22"/>
      <c r="DEM270" s="22"/>
      <c r="DEN270" s="22"/>
      <c r="DEO270" s="22"/>
      <c r="DEP270" s="22"/>
      <c r="DEQ270" s="22"/>
      <c r="DER270" s="22"/>
      <c r="DES270" s="22"/>
      <c r="DET270" s="22"/>
      <c r="DEU270" s="22"/>
      <c r="DEV270" s="22"/>
      <c r="DEW270" s="22"/>
      <c r="DEX270" s="22"/>
      <c r="DEY270" s="22"/>
      <c r="DEZ270" s="22"/>
      <c r="DFA270" s="22"/>
      <c r="DFB270" s="22"/>
      <c r="DFC270" s="22"/>
      <c r="DFD270" s="22"/>
      <c r="DFE270" s="22"/>
      <c r="DFF270" s="22"/>
      <c r="DFG270" s="22"/>
      <c r="DFH270" s="22"/>
      <c r="DFI270" s="22"/>
      <c r="DFJ270" s="22"/>
      <c r="DFK270" s="22"/>
      <c r="DFL270" s="22"/>
      <c r="DFM270" s="22"/>
      <c r="DFN270" s="22"/>
      <c r="DFO270" s="22"/>
      <c r="DFP270" s="22"/>
      <c r="DFQ270" s="22"/>
      <c r="DFR270" s="22"/>
      <c r="DFS270" s="22"/>
      <c r="DFT270" s="22"/>
      <c r="DFU270" s="22"/>
      <c r="DFV270" s="22"/>
      <c r="DFW270" s="22"/>
      <c r="DFX270" s="22"/>
      <c r="DFY270" s="22"/>
      <c r="DFZ270" s="22"/>
      <c r="DGA270" s="22"/>
      <c r="DGB270" s="22"/>
      <c r="DGC270" s="22"/>
      <c r="DGD270" s="22"/>
      <c r="DGE270" s="22"/>
      <c r="DGF270" s="22"/>
      <c r="DGG270" s="22"/>
      <c r="DGH270" s="22"/>
      <c r="DGI270" s="22"/>
      <c r="DGJ270" s="22"/>
      <c r="DGK270" s="22"/>
      <c r="DGL270" s="22"/>
      <c r="DGM270" s="22"/>
      <c r="DGN270" s="22"/>
      <c r="DGO270" s="22"/>
      <c r="DGP270" s="22"/>
      <c r="DGQ270" s="22"/>
      <c r="DGR270" s="22"/>
      <c r="DGS270" s="22"/>
      <c r="DGT270" s="22"/>
      <c r="DGU270" s="22"/>
      <c r="DGV270" s="22"/>
      <c r="DGW270" s="22"/>
      <c r="DGX270" s="22"/>
      <c r="DGY270" s="22"/>
      <c r="DGZ270" s="22"/>
      <c r="DHA270" s="22"/>
      <c r="DHB270" s="22"/>
      <c r="DHC270" s="22"/>
      <c r="DHD270" s="22"/>
      <c r="DHE270" s="22"/>
      <c r="DHF270" s="22"/>
      <c r="DHG270" s="22"/>
      <c r="DHH270" s="22"/>
      <c r="DHI270" s="22"/>
      <c r="DHJ270" s="22"/>
      <c r="DHK270" s="22"/>
      <c r="DHL270" s="22"/>
      <c r="DHM270" s="22"/>
      <c r="DHN270" s="22"/>
      <c r="DHO270" s="22"/>
      <c r="DHP270" s="22"/>
      <c r="DHQ270" s="22"/>
      <c r="DHR270" s="22"/>
      <c r="DHS270" s="22"/>
      <c r="DHT270" s="22"/>
      <c r="DHU270" s="22"/>
      <c r="DHV270" s="22"/>
      <c r="DHW270" s="22"/>
      <c r="DHX270" s="22"/>
      <c r="DHY270" s="22"/>
      <c r="DHZ270" s="22"/>
      <c r="DIA270" s="22"/>
      <c r="DIB270" s="22"/>
      <c r="DIC270" s="22"/>
      <c r="DID270" s="22"/>
      <c r="DIE270" s="22"/>
      <c r="DIF270" s="22"/>
      <c r="DIG270" s="22"/>
      <c r="DIH270" s="22"/>
      <c r="DII270" s="22"/>
      <c r="DIJ270" s="22"/>
      <c r="DIK270" s="22"/>
      <c r="DIL270" s="22"/>
      <c r="DIM270" s="22"/>
      <c r="DIN270" s="22"/>
      <c r="DIO270" s="22"/>
      <c r="DIP270" s="22"/>
      <c r="DIQ270" s="22"/>
      <c r="DIR270" s="22"/>
      <c r="DIS270" s="22"/>
      <c r="DIT270" s="22"/>
      <c r="DIU270" s="22"/>
      <c r="DIV270" s="22"/>
      <c r="DIW270" s="22"/>
      <c r="DIX270" s="22"/>
      <c r="DIY270" s="22"/>
      <c r="DIZ270" s="22"/>
      <c r="DJA270" s="22"/>
      <c r="DJB270" s="22"/>
      <c r="DJC270" s="22"/>
      <c r="DJD270" s="22"/>
      <c r="DJE270" s="22"/>
      <c r="DJF270" s="22"/>
      <c r="DJG270" s="22"/>
      <c r="DJH270" s="22"/>
      <c r="DJI270" s="22"/>
      <c r="DJJ270" s="22"/>
      <c r="DJK270" s="22"/>
      <c r="DJL270" s="22"/>
      <c r="DJM270" s="22"/>
      <c r="DJN270" s="22"/>
      <c r="DJO270" s="22"/>
      <c r="DJP270" s="22"/>
      <c r="DJQ270" s="22"/>
      <c r="DJR270" s="22"/>
      <c r="DJS270" s="22"/>
      <c r="DJT270" s="22"/>
      <c r="DJU270" s="22"/>
      <c r="DJV270" s="22"/>
      <c r="DJW270" s="22"/>
      <c r="DJX270" s="22"/>
      <c r="DJY270" s="22"/>
      <c r="DJZ270" s="22"/>
      <c r="DKA270" s="22"/>
      <c r="DKB270" s="22"/>
      <c r="DKC270" s="22"/>
      <c r="DKD270" s="22"/>
      <c r="DKE270" s="22"/>
      <c r="DKF270" s="22"/>
      <c r="DKG270" s="22"/>
      <c r="DKH270" s="22"/>
      <c r="DKI270" s="22"/>
      <c r="DKJ270" s="22"/>
      <c r="DKK270" s="22"/>
      <c r="DKL270" s="22"/>
      <c r="DKM270" s="22"/>
      <c r="DKN270" s="22"/>
      <c r="DKO270" s="22"/>
      <c r="DKP270" s="22"/>
      <c r="DKQ270" s="22"/>
      <c r="DKR270" s="22"/>
      <c r="DKS270" s="22"/>
      <c r="DKT270" s="22"/>
      <c r="DKU270" s="22"/>
      <c r="DKV270" s="22"/>
      <c r="DKW270" s="22"/>
      <c r="DKX270" s="22"/>
      <c r="DKY270" s="22"/>
      <c r="DKZ270" s="22"/>
      <c r="DLA270" s="22"/>
      <c r="DLB270" s="22"/>
      <c r="DLC270" s="22"/>
      <c r="DLD270" s="22"/>
      <c r="DLE270" s="22"/>
      <c r="DLF270" s="22"/>
      <c r="DLG270" s="22"/>
      <c r="DLH270" s="22"/>
      <c r="DLI270" s="22"/>
      <c r="DLJ270" s="22"/>
      <c r="DLK270" s="22"/>
      <c r="DLL270" s="22"/>
      <c r="DLM270" s="22"/>
      <c r="DLN270" s="22"/>
      <c r="DLO270" s="22"/>
      <c r="DLP270" s="22"/>
      <c r="DLQ270" s="22"/>
      <c r="DLR270" s="22"/>
      <c r="DLS270" s="22"/>
      <c r="DLT270" s="22"/>
      <c r="DLU270" s="22"/>
      <c r="DLV270" s="22"/>
      <c r="DLW270" s="22"/>
      <c r="DLX270" s="22"/>
      <c r="DLY270" s="22"/>
      <c r="DLZ270" s="22"/>
      <c r="DMA270" s="22"/>
      <c r="DMB270" s="22"/>
      <c r="DMC270" s="22"/>
      <c r="DMD270" s="22"/>
      <c r="DME270" s="22"/>
      <c r="DMF270" s="22"/>
      <c r="DMG270" s="22"/>
      <c r="DMH270" s="22"/>
      <c r="DMI270" s="22"/>
      <c r="DMJ270" s="22"/>
      <c r="DMK270" s="22"/>
      <c r="DML270" s="22"/>
      <c r="DMM270" s="22"/>
      <c r="DMN270" s="22"/>
      <c r="DMO270" s="22"/>
      <c r="DMP270" s="22"/>
      <c r="DMQ270" s="22"/>
      <c r="DMR270" s="22"/>
      <c r="DMS270" s="22"/>
      <c r="DMT270" s="22"/>
      <c r="DMU270" s="22"/>
      <c r="DMV270" s="22"/>
      <c r="DMW270" s="22"/>
      <c r="DMX270" s="22"/>
      <c r="DMY270" s="22"/>
      <c r="DMZ270" s="22"/>
      <c r="DNA270" s="22"/>
      <c r="DNB270" s="22"/>
      <c r="DNC270" s="22"/>
      <c r="DND270" s="22"/>
      <c r="DNE270" s="22"/>
      <c r="DNF270" s="22"/>
      <c r="DNG270" s="22"/>
      <c r="DNH270" s="22"/>
      <c r="DNI270" s="22"/>
      <c r="DNJ270" s="22"/>
      <c r="DNK270" s="22"/>
      <c r="DNL270" s="22"/>
      <c r="DNM270" s="22"/>
      <c r="DNN270" s="22"/>
      <c r="DNO270" s="22"/>
      <c r="DNP270" s="22"/>
      <c r="DNQ270" s="22"/>
      <c r="DNR270" s="22"/>
      <c r="DNS270" s="22"/>
      <c r="DNT270" s="22"/>
      <c r="DNU270" s="22"/>
      <c r="DNV270" s="22"/>
      <c r="DNW270" s="22"/>
      <c r="DNX270" s="22"/>
      <c r="DNY270" s="22"/>
      <c r="DNZ270" s="22"/>
      <c r="DOA270" s="22"/>
      <c r="DOB270" s="22"/>
      <c r="DOC270" s="22"/>
      <c r="DOD270" s="22"/>
      <c r="DOE270" s="22"/>
      <c r="DOF270" s="22"/>
      <c r="DOG270" s="22"/>
      <c r="DOH270" s="22"/>
      <c r="DOI270" s="22"/>
      <c r="DOJ270" s="22"/>
      <c r="DOK270" s="22"/>
      <c r="DOL270" s="22"/>
      <c r="DOM270" s="22"/>
      <c r="DON270" s="22"/>
      <c r="DOO270" s="22"/>
      <c r="DOP270" s="22"/>
      <c r="DOQ270" s="22"/>
      <c r="DOR270" s="22"/>
      <c r="DOS270" s="22"/>
      <c r="DOT270" s="22"/>
      <c r="DOU270" s="22"/>
      <c r="DOV270" s="22"/>
      <c r="DOW270" s="22"/>
      <c r="DOX270" s="22"/>
      <c r="DOY270" s="22"/>
      <c r="DOZ270" s="22"/>
      <c r="DPA270" s="22"/>
      <c r="DPB270" s="22"/>
      <c r="DPC270" s="22"/>
      <c r="DPD270" s="22"/>
      <c r="DPE270" s="22"/>
      <c r="DPF270" s="22"/>
      <c r="DPG270" s="22"/>
      <c r="DPH270" s="22"/>
      <c r="DPI270" s="22"/>
      <c r="DPJ270" s="22"/>
      <c r="DPK270" s="22"/>
      <c r="DPL270" s="22"/>
      <c r="DPM270" s="22"/>
      <c r="DPN270" s="22"/>
      <c r="DPO270" s="22"/>
      <c r="DPP270" s="22"/>
      <c r="DPQ270" s="22"/>
      <c r="DPR270" s="22"/>
      <c r="DPS270" s="22"/>
      <c r="DPT270" s="22"/>
      <c r="DPU270" s="22"/>
      <c r="DPV270" s="22"/>
      <c r="DPW270" s="22"/>
      <c r="DPX270" s="22"/>
      <c r="DPY270" s="22"/>
      <c r="DPZ270" s="22"/>
      <c r="DQA270" s="22"/>
      <c r="DQB270" s="22"/>
      <c r="DQC270" s="22"/>
      <c r="DQD270" s="22"/>
      <c r="DQE270" s="22"/>
      <c r="DQF270" s="22"/>
      <c r="DQG270" s="22"/>
      <c r="DQH270" s="22"/>
      <c r="DQI270" s="22"/>
      <c r="DQJ270" s="22"/>
      <c r="DQK270" s="22"/>
      <c r="DQL270" s="22"/>
      <c r="DQM270" s="22"/>
      <c r="DQN270" s="22"/>
      <c r="DQO270" s="22"/>
      <c r="DQP270" s="22"/>
      <c r="DQQ270" s="22"/>
      <c r="DQR270" s="22"/>
      <c r="DQS270" s="22"/>
      <c r="DQT270" s="22"/>
      <c r="DQU270" s="22"/>
      <c r="DQV270" s="22"/>
      <c r="DQW270" s="22"/>
      <c r="DQX270" s="22"/>
      <c r="DQY270" s="22"/>
      <c r="DQZ270" s="22"/>
      <c r="DRA270" s="22"/>
      <c r="DRB270" s="22"/>
      <c r="DRC270" s="22"/>
      <c r="DRD270" s="22"/>
      <c r="DRE270" s="22"/>
      <c r="DRF270" s="22"/>
      <c r="DRG270" s="22"/>
      <c r="DRH270" s="22"/>
      <c r="DRI270" s="22"/>
      <c r="DRJ270" s="22"/>
      <c r="DRK270" s="22"/>
      <c r="DRL270" s="22"/>
      <c r="DRM270" s="22"/>
      <c r="DRN270" s="22"/>
      <c r="DRO270" s="22"/>
      <c r="DRP270" s="22"/>
      <c r="DRQ270" s="22"/>
      <c r="DRR270" s="22"/>
      <c r="DRS270" s="22"/>
      <c r="DRT270" s="22"/>
      <c r="DRU270" s="22"/>
      <c r="DRV270" s="22"/>
      <c r="DRW270" s="22"/>
      <c r="DRX270" s="22"/>
      <c r="DRY270" s="22"/>
      <c r="DRZ270" s="22"/>
      <c r="DSA270" s="22"/>
      <c r="DSB270" s="22"/>
      <c r="DSC270" s="22"/>
      <c r="DSD270" s="22"/>
      <c r="DSE270" s="22"/>
      <c r="DSF270" s="22"/>
      <c r="DSG270" s="22"/>
      <c r="DSH270" s="22"/>
      <c r="DSI270" s="22"/>
      <c r="DSJ270" s="22"/>
      <c r="DSK270" s="22"/>
      <c r="DSL270" s="22"/>
      <c r="DSM270" s="22"/>
      <c r="DSN270" s="22"/>
      <c r="DSO270" s="22"/>
      <c r="DSP270" s="22"/>
      <c r="DSQ270" s="22"/>
      <c r="DSR270" s="22"/>
      <c r="DSS270" s="22"/>
      <c r="DST270" s="22"/>
      <c r="DSU270" s="22"/>
      <c r="DSV270" s="22"/>
      <c r="DSW270" s="22"/>
      <c r="DSX270" s="22"/>
      <c r="DSY270" s="22"/>
      <c r="DSZ270" s="22"/>
      <c r="DTA270" s="22"/>
      <c r="DTB270" s="22"/>
      <c r="DTC270" s="22"/>
      <c r="DTD270" s="22"/>
      <c r="DTE270" s="22"/>
      <c r="DTF270" s="22"/>
      <c r="DTG270" s="22"/>
      <c r="DTH270" s="22"/>
      <c r="DTI270" s="22"/>
      <c r="DTJ270" s="22"/>
      <c r="DTK270" s="22"/>
      <c r="DTL270" s="22"/>
      <c r="DTM270" s="22"/>
      <c r="DTN270" s="22"/>
      <c r="DTO270" s="22"/>
      <c r="DTP270" s="22"/>
      <c r="DTQ270" s="22"/>
      <c r="DTR270" s="22"/>
      <c r="DTS270" s="22"/>
      <c r="DTT270" s="22"/>
      <c r="DTU270" s="22"/>
      <c r="DTV270" s="22"/>
      <c r="DTW270" s="22"/>
      <c r="DTX270" s="22"/>
      <c r="DTY270" s="22"/>
      <c r="DTZ270" s="22"/>
      <c r="DUA270" s="22"/>
      <c r="DUB270" s="22"/>
      <c r="DUC270" s="22"/>
      <c r="DUD270" s="22"/>
      <c r="DUE270" s="22"/>
      <c r="DUF270" s="22"/>
      <c r="DUG270" s="22"/>
      <c r="DUH270" s="22"/>
      <c r="DUI270" s="22"/>
      <c r="DUJ270" s="22"/>
      <c r="DUK270" s="22"/>
      <c r="DUL270" s="22"/>
      <c r="DUM270" s="22"/>
      <c r="DUN270" s="22"/>
      <c r="DUO270" s="22"/>
      <c r="DUP270" s="22"/>
      <c r="DUQ270" s="22"/>
      <c r="DUR270" s="22"/>
      <c r="DUS270" s="22"/>
      <c r="DUT270" s="22"/>
      <c r="DUU270" s="22"/>
      <c r="DUV270" s="22"/>
      <c r="DUW270" s="22"/>
      <c r="DUX270" s="22"/>
      <c r="DUY270" s="22"/>
      <c r="DUZ270" s="22"/>
      <c r="DVA270" s="22"/>
      <c r="DVB270" s="22"/>
      <c r="DVC270" s="22"/>
      <c r="DVD270" s="22"/>
      <c r="DVE270" s="22"/>
      <c r="DVF270" s="22"/>
      <c r="DVG270" s="22"/>
      <c r="DVH270" s="22"/>
      <c r="DVI270" s="22"/>
      <c r="DVJ270" s="22"/>
      <c r="DVK270" s="22"/>
      <c r="DVL270" s="22"/>
      <c r="DVM270" s="22"/>
      <c r="DVN270" s="22"/>
      <c r="DVO270" s="22"/>
      <c r="DVP270" s="22"/>
      <c r="DVQ270" s="22"/>
      <c r="DVR270" s="22"/>
      <c r="DVS270" s="22"/>
      <c r="DVT270" s="22"/>
      <c r="DVU270" s="22"/>
      <c r="DVV270" s="22"/>
      <c r="DVW270" s="22"/>
      <c r="DVX270" s="22"/>
      <c r="DVY270" s="22"/>
      <c r="DVZ270" s="22"/>
      <c r="DWA270" s="22"/>
      <c r="DWB270" s="22"/>
      <c r="DWC270" s="22"/>
      <c r="DWD270" s="22"/>
      <c r="DWE270" s="22"/>
      <c r="DWF270" s="22"/>
      <c r="DWG270" s="22"/>
      <c r="DWH270" s="22"/>
      <c r="DWI270" s="22"/>
      <c r="DWJ270" s="22"/>
      <c r="DWK270" s="22"/>
      <c r="DWL270" s="22"/>
      <c r="DWM270" s="22"/>
      <c r="DWN270" s="22"/>
      <c r="DWO270" s="22"/>
      <c r="DWP270" s="22"/>
      <c r="DWQ270" s="22"/>
      <c r="DWR270" s="22"/>
      <c r="DWS270" s="22"/>
      <c r="DWT270" s="22"/>
      <c r="DWU270" s="22"/>
      <c r="DWV270" s="22"/>
      <c r="DWW270" s="22"/>
      <c r="DWX270" s="22"/>
      <c r="DWY270" s="22"/>
      <c r="DWZ270" s="22"/>
      <c r="DXA270" s="22"/>
      <c r="DXB270" s="22"/>
      <c r="DXC270" s="22"/>
      <c r="DXD270" s="22"/>
      <c r="DXE270" s="22"/>
      <c r="DXF270" s="22"/>
      <c r="DXG270" s="22"/>
      <c r="DXH270" s="22"/>
      <c r="DXI270" s="22"/>
      <c r="DXJ270" s="22"/>
      <c r="DXK270" s="22"/>
      <c r="DXL270" s="22"/>
      <c r="DXM270" s="22"/>
      <c r="DXN270" s="22"/>
      <c r="DXO270" s="22"/>
      <c r="DXP270" s="22"/>
      <c r="DXQ270" s="22"/>
      <c r="DXR270" s="22"/>
      <c r="DXS270" s="22"/>
      <c r="DXT270" s="22"/>
      <c r="DXU270" s="22"/>
      <c r="DXV270" s="22"/>
      <c r="DXW270" s="22"/>
      <c r="DXX270" s="22"/>
      <c r="DXY270" s="22"/>
      <c r="DXZ270" s="22"/>
      <c r="DYA270" s="22"/>
      <c r="DYB270" s="22"/>
      <c r="DYC270" s="22"/>
      <c r="DYD270" s="22"/>
      <c r="DYE270" s="22"/>
      <c r="DYF270" s="22"/>
      <c r="DYG270" s="22"/>
      <c r="DYH270" s="22"/>
      <c r="DYI270" s="22"/>
      <c r="DYJ270" s="22"/>
      <c r="DYK270" s="22"/>
      <c r="DYL270" s="22"/>
      <c r="DYM270" s="22"/>
      <c r="DYN270" s="22"/>
      <c r="DYO270" s="22"/>
      <c r="DYP270" s="22"/>
      <c r="DYQ270" s="22"/>
      <c r="DYR270" s="22"/>
      <c r="DYS270" s="22"/>
      <c r="DYT270" s="22"/>
      <c r="DYU270" s="22"/>
      <c r="DYV270" s="22"/>
      <c r="DYW270" s="22"/>
      <c r="DYX270" s="22"/>
      <c r="DYY270" s="22"/>
      <c r="DYZ270" s="22"/>
      <c r="DZA270" s="22"/>
      <c r="DZB270" s="22"/>
      <c r="DZC270" s="22"/>
      <c r="DZD270" s="22"/>
      <c r="DZE270" s="22"/>
      <c r="DZF270" s="22"/>
      <c r="DZG270" s="22"/>
      <c r="DZH270" s="22"/>
      <c r="DZI270" s="22"/>
      <c r="DZJ270" s="22"/>
      <c r="DZK270" s="22"/>
      <c r="DZL270" s="22"/>
      <c r="DZM270" s="22"/>
      <c r="DZN270" s="22"/>
      <c r="DZO270" s="22"/>
      <c r="DZP270" s="22"/>
      <c r="DZQ270" s="22"/>
      <c r="DZR270" s="22"/>
      <c r="DZS270" s="22"/>
      <c r="DZT270" s="22"/>
      <c r="DZU270" s="22"/>
      <c r="DZV270" s="22"/>
      <c r="DZW270" s="22"/>
      <c r="DZX270" s="22"/>
      <c r="DZY270" s="22"/>
      <c r="DZZ270" s="22"/>
      <c r="EAA270" s="22"/>
      <c r="EAB270" s="22"/>
      <c r="EAC270" s="22"/>
      <c r="EAD270" s="22"/>
      <c r="EAE270" s="22"/>
      <c r="EAF270" s="22"/>
      <c r="EAG270" s="22"/>
      <c r="EAH270" s="22"/>
      <c r="EAI270" s="22"/>
      <c r="EAJ270" s="22"/>
      <c r="EAK270" s="22"/>
      <c r="EAL270" s="22"/>
      <c r="EAM270" s="22"/>
      <c r="EAN270" s="22"/>
      <c r="EAO270" s="22"/>
      <c r="EAP270" s="22"/>
      <c r="EAQ270" s="22"/>
      <c r="EAR270" s="22"/>
      <c r="EAS270" s="22"/>
      <c r="EAT270" s="22"/>
      <c r="EAU270" s="22"/>
      <c r="EAV270" s="22"/>
      <c r="EAW270" s="22"/>
      <c r="EAX270" s="22"/>
      <c r="EAY270" s="22"/>
      <c r="EAZ270" s="22"/>
      <c r="EBA270" s="22"/>
      <c r="EBB270" s="22"/>
      <c r="EBC270" s="22"/>
      <c r="EBD270" s="22"/>
      <c r="EBE270" s="22"/>
      <c r="EBF270" s="22"/>
      <c r="EBG270" s="22"/>
      <c r="EBH270" s="22"/>
      <c r="EBI270" s="22"/>
      <c r="EBJ270" s="22"/>
      <c r="EBK270" s="22"/>
      <c r="EBL270" s="22"/>
      <c r="EBM270" s="22"/>
      <c r="EBN270" s="22"/>
      <c r="EBO270" s="22"/>
      <c r="EBP270" s="22"/>
      <c r="EBQ270" s="22"/>
      <c r="EBR270" s="22"/>
      <c r="EBS270" s="22"/>
      <c r="EBT270" s="22"/>
      <c r="EBU270" s="22"/>
      <c r="EBV270" s="22"/>
      <c r="EBW270" s="22"/>
      <c r="EBX270" s="22"/>
      <c r="EBY270" s="22"/>
      <c r="EBZ270" s="22"/>
      <c r="ECA270" s="22"/>
      <c r="ECB270" s="22"/>
      <c r="ECC270" s="22"/>
      <c r="ECD270" s="22"/>
      <c r="ECE270" s="22"/>
      <c r="ECF270" s="22"/>
      <c r="ECG270" s="22"/>
      <c r="ECH270" s="22"/>
      <c r="ECI270" s="22"/>
      <c r="ECJ270" s="22"/>
      <c r="ECK270" s="22"/>
      <c r="ECL270" s="22"/>
      <c r="ECM270" s="22"/>
      <c r="ECN270" s="22"/>
      <c r="ECO270" s="22"/>
      <c r="ECP270" s="22"/>
      <c r="ECQ270" s="22"/>
      <c r="ECR270" s="22"/>
      <c r="ECS270" s="22"/>
      <c r="ECT270" s="22"/>
      <c r="ECU270" s="22"/>
      <c r="ECV270" s="22"/>
      <c r="ECW270" s="22"/>
      <c r="ECX270" s="22"/>
      <c r="ECY270" s="22"/>
      <c r="ECZ270" s="22"/>
      <c r="EDA270" s="22"/>
      <c r="EDB270" s="22"/>
      <c r="EDC270" s="22"/>
      <c r="EDD270" s="22"/>
      <c r="EDE270" s="22"/>
      <c r="EDF270" s="22"/>
      <c r="EDG270" s="22"/>
      <c r="EDH270" s="22"/>
      <c r="EDI270" s="22"/>
      <c r="EDJ270" s="22"/>
      <c r="EDK270" s="22"/>
      <c r="EDL270" s="22"/>
      <c r="EDM270" s="22"/>
      <c r="EDN270" s="22"/>
      <c r="EDO270" s="22"/>
      <c r="EDP270" s="22"/>
      <c r="EDQ270" s="22"/>
      <c r="EDR270" s="22"/>
      <c r="EDS270" s="22"/>
      <c r="EDT270" s="22"/>
      <c r="EDU270" s="22"/>
      <c r="EDV270" s="22"/>
      <c r="EDW270" s="22"/>
      <c r="EDX270" s="22"/>
      <c r="EDY270" s="22"/>
      <c r="EDZ270" s="22"/>
      <c r="EEA270" s="22"/>
      <c r="EEB270" s="22"/>
      <c r="EEC270" s="22"/>
      <c r="EED270" s="22"/>
      <c r="EEE270" s="22"/>
      <c r="EEF270" s="22"/>
      <c r="EEG270" s="22"/>
      <c r="EEH270" s="22"/>
      <c r="EEI270" s="22"/>
      <c r="EEJ270" s="22"/>
      <c r="EEK270" s="22"/>
      <c r="EEL270" s="22"/>
      <c r="EEM270" s="22"/>
      <c r="EEN270" s="22"/>
      <c r="EEO270" s="22"/>
      <c r="EEP270" s="22"/>
      <c r="EEQ270" s="22"/>
      <c r="EER270" s="22"/>
      <c r="EES270" s="22"/>
      <c r="EET270" s="22"/>
      <c r="EEU270" s="22"/>
      <c r="EEV270" s="22"/>
      <c r="EEW270" s="22"/>
      <c r="EEX270" s="22"/>
      <c r="EEY270" s="22"/>
      <c r="EEZ270" s="22"/>
      <c r="EFA270" s="22"/>
      <c r="EFB270" s="22"/>
      <c r="EFC270" s="22"/>
      <c r="EFD270" s="22"/>
      <c r="EFE270" s="22"/>
      <c r="EFF270" s="22"/>
      <c r="EFG270" s="22"/>
      <c r="EFH270" s="22"/>
      <c r="EFI270" s="22"/>
      <c r="EFJ270" s="22"/>
      <c r="EFK270" s="22"/>
      <c r="EFL270" s="22"/>
      <c r="EFM270" s="22"/>
      <c r="EFN270" s="22"/>
      <c r="EFO270" s="22"/>
      <c r="EFP270" s="22"/>
      <c r="EFQ270" s="22"/>
      <c r="EFR270" s="22"/>
      <c r="EFS270" s="22"/>
      <c r="EFT270" s="22"/>
      <c r="EFU270" s="22"/>
      <c r="EFV270" s="22"/>
      <c r="EFW270" s="22"/>
      <c r="EFX270" s="22"/>
      <c r="EFY270" s="22"/>
      <c r="EFZ270" s="22"/>
      <c r="EGA270" s="22"/>
      <c r="EGB270" s="22"/>
      <c r="EGC270" s="22"/>
      <c r="EGD270" s="22"/>
      <c r="EGE270" s="22"/>
      <c r="EGF270" s="22"/>
      <c r="EGG270" s="22"/>
      <c r="EGH270" s="22"/>
      <c r="EGI270" s="22"/>
      <c r="EGJ270" s="22"/>
      <c r="EGK270" s="22"/>
      <c r="EGL270" s="22"/>
      <c r="EGM270" s="22"/>
      <c r="EGN270" s="22"/>
      <c r="EGO270" s="22"/>
      <c r="EGP270" s="22"/>
      <c r="EGQ270" s="22"/>
      <c r="EGR270" s="22"/>
      <c r="EGS270" s="22"/>
      <c r="EGT270" s="22"/>
      <c r="EGU270" s="22"/>
      <c r="EGV270" s="22"/>
      <c r="EGW270" s="22"/>
      <c r="EGX270" s="22"/>
      <c r="EGY270" s="22"/>
      <c r="EGZ270" s="22"/>
      <c r="EHA270" s="22"/>
      <c r="EHB270" s="22"/>
      <c r="EHC270" s="22"/>
      <c r="EHD270" s="22"/>
      <c r="EHE270" s="22"/>
      <c r="EHF270" s="22"/>
      <c r="EHG270" s="22"/>
      <c r="EHH270" s="22"/>
      <c r="EHI270" s="22"/>
      <c r="EHJ270" s="22"/>
      <c r="EHK270" s="22"/>
      <c r="EHL270" s="22"/>
      <c r="EHM270" s="22"/>
      <c r="EHN270" s="22"/>
      <c r="EHO270" s="22"/>
      <c r="EHP270" s="22"/>
      <c r="EHQ270" s="22"/>
      <c r="EHR270" s="22"/>
      <c r="EHS270" s="22"/>
      <c r="EHT270" s="22"/>
      <c r="EHU270" s="22"/>
      <c r="EHV270" s="22"/>
      <c r="EHW270" s="22"/>
      <c r="EHX270" s="22"/>
      <c r="EHY270" s="22"/>
      <c r="EHZ270" s="22"/>
      <c r="EIA270" s="22"/>
      <c r="EIB270" s="22"/>
      <c r="EIC270" s="22"/>
      <c r="EID270" s="22"/>
      <c r="EIE270" s="22"/>
      <c r="EIF270" s="22"/>
      <c r="EIG270" s="22"/>
      <c r="EIH270" s="22"/>
      <c r="EII270" s="22"/>
      <c r="EIJ270" s="22"/>
      <c r="EIK270" s="22"/>
      <c r="EIL270" s="22"/>
      <c r="EIM270" s="22"/>
      <c r="EIN270" s="22"/>
      <c r="EIO270" s="22"/>
      <c r="EIP270" s="22"/>
      <c r="EIQ270" s="22"/>
      <c r="EIR270" s="22"/>
      <c r="EIS270" s="22"/>
      <c r="EIT270" s="22"/>
      <c r="EIU270" s="22"/>
      <c r="EIV270" s="22"/>
      <c r="EIW270" s="22"/>
      <c r="EIX270" s="22"/>
      <c r="EIY270" s="22"/>
      <c r="EIZ270" s="22"/>
      <c r="EJA270" s="22"/>
      <c r="EJB270" s="22"/>
      <c r="EJC270" s="22"/>
      <c r="EJD270" s="22"/>
      <c r="EJE270" s="22"/>
      <c r="EJF270" s="22"/>
      <c r="EJG270" s="22"/>
      <c r="EJH270" s="22"/>
      <c r="EJI270" s="22"/>
      <c r="EJJ270" s="22"/>
      <c r="EJK270" s="22"/>
      <c r="EJL270" s="22"/>
      <c r="EJM270" s="22"/>
      <c r="EJN270" s="22"/>
      <c r="EJO270" s="22"/>
      <c r="EJP270" s="22"/>
      <c r="EJQ270" s="22"/>
      <c r="EJR270" s="22"/>
      <c r="EJS270" s="22"/>
      <c r="EJT270" s="22"/>
      <c r="EJU270" s="22"/>
      <c r="EJV270" s="22"/>
      <c r="EJW270" s="22"/>
      <c r="EJX270" s="22"/>
      <c r="EJY270" s="22"/>
      <c r="EJZ270" s="22"/>
      <c r="EKA270" s="22"/>
      <c r="EKB270" s="22"/>
      <c r="EKC270" s="22"/>
      <c r="EKD270" s="22"/>
      <c r="EKE270" s="22"/>
      <c r="EKF270" s="22"/>
      <c r="EKG270" s="22"/>
      <c r="EKH270" s="22"/>
      <c r="EKI270" s="22"/>
      <c r="EKJ270" s="22"/>
      <c r="EKK270" s="22"/>
      <c r="EKL270" s="22"/>
      <c r="EKM270" s="22"/>
      <c r="EKN270" s="22"/>
      <c r="EKO270" s="22"/>
      <c r="EKP270" s="22"/>
      <c r="EKQ270" s="22"/>
      <c r="EKR270" s="22"/>
      <c r="EKS270" s="22"/>
      <c r="EKT270" s="22"/>
      <c r="EKU270" s="22"/>
      <c r="EKV270" s="22"/>
      <c r="EKW270" s="22"/>
      <c r="EKX270" s="22"/>
      <c r="EKY270" s="22"/>
      <c r="EKZ270" s="22"/>
      <c r="ELA270" s="22"/>
      <c r="ELB270" s="22"/>
      <c r="ELC270" s="22"/>
      <c r="ELD270" s="22"/>
      <c r="ELE270" s="22"/>
      <c r="ELF270" s="22"/>
      <c r="ELG270" s="22"/>
      <c r="ELH270" s="22"/>
      <c r="ELI270" s="22"/>
      <c r="ELJ270" s="22"/>
      <c r="ELK270" s="22"/>
      <c r="ELL270" s="22"/>
      <c r="ELM270" s="22"/>
      <c r="ELN270" s="22"/>
      <c r="ELO270" s="22"/>
      <c r="ELP270" s="22"/>
      <c r="ELQ270" s="22"/>
      <c r="ELR270" s="22"/>
      <c r="ELS270" s="22"/>
      <c r="ELT270" s="22"/>
      <c r="ELU270" s="22"/>
      <c r="ELV270" s="22"/>
      <c r="ELW270" s="22"/>
      <c r="ELX270" s="22"/>
      <c r="ELY270" s="22"/>
      <c r="ELZ270" s="22"/>
      <c r="EMA270" s="22"/>
      <c r="EMB270" s="22"/>
      <c r="EMC270" s="22"/>
      <c r="EMD270" s="22"/>
      <c r="EME270" s="22"/>
      <c r="EMF270" s="22"/>
      <c r="EMG270" s="22"/>
      <c r="EMH270" s="22"/>
      <c r="EMI270" s="22"/>
      <c r="EMJ270" s="22"/>
      <c r="EMK270" s="22"/>
      <c r="EML270" s="22"/>
      <c r="EMM270" s="22"/>
      <c r="EMN270" s="22"/>
      <c r="EMO270" s="22"/>
      <c r="EMP270" s="22"/>
      <c r="EMQ270" s="22"/>
      <c r="EMR270" s="22"/>
      <c r="EMS270" s="22"/>
      <c r="EMT270" s="22"/>
      <c r="EMU270" s="22"/>
      <c r="EMV270" s="22"/>
      <c r="EMW270" s="22"/>
      <c r="EMX270" s="22"/>
      <c r="EMY270" s="22"/>
      <c r="EMZ270" s="22"/>
      <c r="ENA270" s="22"/>
      <c r="ENB270" s="22"/>
      <c r="ENC270" s="22"/>
      <c r="END270" s="22"/>
      <c r="ENE270" s="22"/>
      <c r="ENF270" s="22"/>
      <c r="ENG270" s="22"/>
      <c r="ENH270" s="22"/>
      <c r="ENI270" s="22"/>
      <c r="ENJ270" s="22"/>
      <c r="ENK270" s="22"/>
      <c r="ENL270" s="22"/>
      <c r="ENM270" s="22"/>
      <c r="ENN270" s="22"/>
      <c r="ENO270" s="22"/>
      <c r="ENP270" s="22"/>
      <c r="ENQ270" s="22"/>
      <c r="ENR270" s="22"/>
      <c r="ENS270" s="22"/>
      <c r="ENT270" s="22"/>
      <c r="ENU270" s="22"/>
      <c r="ENV270" s="22"/>
      <c r="ENW270" s="22"/>
      <c r="ENX270" s="22"/>
      <c r="ENY270" s="22"/>
      <c r="ENZ270" s="22"/>
      <c r="EOA270" s="22"/>
      <c r="EOB270" s="22"/>
      <c r="EOC270" s="22"/>
      <c r="EOD270" s="22"/>
      <c r="EOE270" s="22"/>
      <c r="EOF270" s="22"/>
      <c r="EOG270" s="22"/>
      <c r="EOH270" s="22"/>
      <c r="EOI270" s="22"/>
      <c r="EOJ270" s="22"/>
      <c r="EOK270" s="22"/>
      <c r="EOL270" s="22"/>
      <c r="EOM270" s="22"/>
      <c r="EON270" s="22"/>
      <c r="EOO270" s="22"/>
      <c r="EOP270" s="22"/>
      <c r="EOQ270" s="22"/>
      <c r="EOR270" s="22"/>
      <c r="EOS270" s="22"/>
      <c r="EOT270" s="22"/>
      <c r="EOU270" s="22"/>
      <c r="EOV270" s="22"/>
      <c r="EOW270" s="22"/>
      <c r="EOX270" s="22"/>
      <c r="EOY270" s="22"/>
      <c r="EOZ270" s="22"/>
      <c r="EPA270" s="22"/>
      <c r="EPB270" s="22"/>
      <c r="EPC270" s="22"/>
      <c r="EPD270" s="22"/>
      <c r="EPE270" s="22"/>
      <c r="EPF270" s="22"/>
      <c r="EPG270" s="22"/>
      <c r="EPH270" s="22"/>
      <c r="EPI270" s="22"/>
      <c r="EPJ270" s="22"/>
      <c r="EPK270" s="22"/>
      <c r="EPL270" s="22"/>
      <c r="EPM270" s="22"/>
      <c r="EPN270" s="22"/>
      <c r="EPO270" s="22"/>
      <c r="EPP270" s="22"/>
      <c r="EPQ270" s="22"/>
      <c r="EPR270" s="22"/>
      <c r="EPS270" s="22"/>
      <c r="EPT270" s="22"/>
      <c r="EPU270" s="22"/>
      <c r="EPV270" s="22"/>
      <c r="EPW270" s="22"/>
      <c r="EPX270" s="22"/>
      <c r="EPY270" s="22"/>
      <c r="EPZ270" s="22"/>
      <c r="EQA270" s="22"/>
      <c r="EQB270" s="22"/>
      <c r="EQC270" s="22"/>
      <c r="EQD270" s="22"/>
      <c r="EQE270" s="22"/>
      <c r="EQF270" s="22"/>
      <c r="EQG270" s="22"/>
      <c r="EQH270" s="22"/>
      <c r="EQI270" s="22"/>
      <c r="EQJ270" s="22"/>
      <c r="EQK270" s="22"/>
      <c r="EQL270" s="22"/>
      <c r="EQM270" s="22"/>
      <c r="EQN270" s="22"/>
      <c r="EQO270" s="22"/>
      <c r="EQP270" s="22"/>
      <c r="EQQ270" s="22"/>
      <c r="EQR270" s="22"/>
      <c r="EQS270" s="22"/>
      <c r="EQT270" s="22"/>
      <c r="EQU270" s="22"/>
      <c r="EQV270" s="22"/>
      <c r="EQW270" s="22"/>
      <c r="EQX270" s="22"/>
      <c r="EQY270" s="22"/>
      <c r="EQZ270" s="22"/>
      <c r="ERA270" s="22"/>
      <c r="ERB270" s="22"/>
      <c r="ERC270" s="22"/>
      <c r="ERD270" s="22"/>
      <c r="ERE270" s="22"/>
      <c r="ERF270" s="22"/>
      <c r="ERG270" s="22"/>
      <c r="ERH270" s="22"/>
      <c r="ERI270" s="22"/>
      <c r="ERJ270" s="22"/>
      <c r="ERK270" s="22"/>
      <c r="ERL270" s="22"/>
      <c r="ERM270" s="22"/>
      <c r="ERN270" s="22"/>
      <c r="ERO270" s="22"/>
      <c r="ERP270" s="22"/>
      <c r="ERQ270" s="22"/>
      <c r="ERR270" s="22"/>
      <c r="ERS270" s="22"/>
      <c r="ERT270" s="22"/>
      <c r="ERU270" s="22"/>
      <c r="ERV270" s="22"/>
      <c r="ERW270" s="22"/>
      <c r="ERX270" s="22"/>
      <c r="ERY270" s="22"/>
      <c r="ERZ270" s="22"/>
      <c r="ESA270" s="22"/>
      <c r="ESB270" s="22"/>
      <c r="ESC270" s="22"/>
      <c r="ESD270" s="22"/>
      <c r="ESE270" s="22"/>
      <c r="ESF270" s="22"/>
      <c r="ESG270" s="22"/>
      <c r="ESH270" s="22"/>
      <c r="ESI270" s="22"/>
      <c r="ESJ270" s="22"/>
      <c r="ESK270" s="22"/>
      <c r="ESL270" s="22"/>
      <c r="ESM270" s="22"/>
      <c r="ESN270" s="22"/>
      <c r="ESO270" s="22"/>
      <c r="ESP270" s="22"/>
      <c r="ESQ270" s="22"/>
      <c r="ESR270" s="22"/>
      <c r="ESS270" s="22"/>
      <c r="EST270" s="22"/>
      <c r="ESU270" s="22"/>
      <c r="ESV270" s="22"/>
      <c r="ESW270" s="22"/>
      <c r="ESX270" s="22"/>
      <c r="ESY270" s="22"/>
      <c r="ESZ270" s="22"/>
      <c r="ETA270" s="22"/>
      <c r="ETB270" s="22"/>
      <c r="ETC270" s="22"/>
      <c r="ETD270" s="22"/>
      <c r="ETE270" s="22"/>
      <c r="ETF270" s="22"/>
      <c r="ETG270" s="22"/>
      <c r="ETH270" s="22"/>
      <c r="ETI270" s="22"/>
      <c r="ETJ270" s="22"/>
      <c r="ETK270" s="22"/>
      <c r="ETL270" s="22"/>
      <c r="ETM270" s="22"/>
      <c r="ETN270" s="22"/>
      <c r="ETO270" s="22"/>
      <c r="ETP270" s="22"/>
      <c r="ETQ270" s="22"/>
      <c r="ETR270" s="22"/>
      <c r="ETS270" s="22"/>
      <c r="ETT270" s="22"/>
      <c r="ETU270" s="22"/>
      <c r="ETV270" s="22"/>
      <c r="ETW270" s="22"/>
      <c r="ETX270" s="22"/>
      <c r="ETY270" s="22"/>
      <c r="ETZ270" s="22"/>
      <c r="EUA270" s="22"/>
      <c r="EUB270" s="22"/>
      <c r="EUC270" s="22"/>
      <c r="EUD270" s="22"/>
      <c r="EUE270" s="22"/>
      <c r="EUF270" s="22"/>
      <c r="EUG270" s="22"/>
      <c r="EUH270" s="22"/>
      <c r="EUI270" s="22"/>
      <c r="EUJ270" s="22"/>
      <c r="EUK270" s="22"/>
      <c r="EUL270" s="22"/>
      <c r="EUM270" s="22"/>
      <c r="EUN270" s="22"/>
      <c r="EUO270" s="22"/>
      <c r="EUP270" s="22"/>
      <c r="EUQ270" s="22"/>
      <c r="EUR270" s="22"/>
      <c r="EUS270" s="22"/>
      <c r="EUT270" s="22"/>
      <c r="EUU270" s="22"/>
      <c r="EUV270" s="22"/>
      <c r="EUW270" s="22"/>
      <c r="EUX270" s="22"/>
      <c r="EUY270" s="22"/>
      <c r="EUZ270" s="22"/>
      <c r="EVA270" s="22"/>
      <c r="EVB270" s="22"/>
      <c r="EVC270" s="22"/>
      <c r="EVD270" s="22"/>
      <c r="EVE270" s="22"/>
      <c r="EVF270" s="22"/>
      <c r="EVG270" s="22"/>
      <c r="EVH270" s="22"/>
      <c r="EVI270" s="22"/>
      <c r="EVJ270" s="22"/>
      <c r="EVK270" s="22"/>
      <c r="EVL270" s="22"/>
      <c r="EVM270" s="22"/>
      <c r="EVN270" s="22"/>
      <c r="EVO270" s="22"/>
      <c r="EVP270" s="22"/>
      <c r="EVQ270" s="22"/>
      <c r="EVR270" s="22"/>
      <c r="EVS270" s="22"/>
      <c r="EVT270" s="22"/>
      <c r="EVU270" s="22"/>
      <c r="EVV270" s="22"/>
      <c r="EVW270" s="22"/>
      <c r="EVX270" s="22"/>
      <c r="EVY270" s="22"/>
      <c r="EVZ270" s="22"/>
      <c r="EWA270" s="22"/>
      <c r="EWB270" s="22"/>
      <c r="EWC270" s="22"/>
      <c r="EWD270" s="22"/>
      <c r="EWE270" s="22"/>
      <c r="EWF270" s="22"/>
      <c r="EWG270" s="22"/>
      <c r="EWH270" s="22"/>
      <c r="EWI270" s="22"/>
      <c r="EWJ270" s="22"/>
      <c r="EWK270" s="22"/>
      <c r="EWL270" s="22"/>
      <c r="EWM270" s="22"/>
      <c r="EWN270" s="22"/>
      <c r="EWO270" s="22"/>
      <c r="EWP270" s="22"/>
      <c r="EWQ270" s="22"/>
      <c r="EWR270" s="22"/>
      <c r="EWS270" s="22"/>
      <c r="EWT270" s="22"/>
      <c r="EWU270" s="22"/>
      <c r="EWV270" s="22"/>
      <c r="EWW270" s="22"/>
      <c r="EWX270" s="22"/>
      <c r="EWY270" s="22"/>
      <c r="EWZ270" s="22"/>
      <c r="EXA270" s="22"/>
      <c r="EXB270" s="22"/>
      <c r="EXC270" s="22"/>
      <c r="EXD270" s="22"/>
      <c r="EXE270" s="22"/>
      <c r="EXF270" s="22"/>
      <c r="EXG270" s="22"/>
      <c r="EXH270" s="22"/>
      <c r="EXI270" s="22"/>
      <c r="EXJ270" s="22"/>
      <c r="EXK270" s="22"/>
      <c r="EXL270" s="22"/>
      <c r="EXM270" s="22"/>
      <c r="EXN270" s="22"/>
      <c r="EXO270" s="22"/>
      <c r="EXP270" s="22"/>
      <c r="EXQ270" s="22"/>
      <c r="EXR270" s="22"/>
      <c r="EXS270" s="22"/>
      <c r="EXT270" s="22"/>
      <c r="EXU270" s="22"/>
      <c r="EXV270" s="22"/>
      <c r="EXW270" s="22"/>
      <c r="EXX270" s="22"/>
      <c r="EXY270" s="22"/>
      <c r="EXZ270" s="22"/>
      <c r="EYA270" s="22"/>
      <c r="EYB270" s="22"/>
      <c r="EYC270" s="22"/>
      <c r="EYD270" s="22"/>
      <c r="EYE270" s="22"/>
      <c r="EYF270" s="22"/>
      <c r="EYG270" s="22"/>
      <c r="EYH270" s="22"/>
      <c r="EYI270" s="22"/>
      <c r="EYJ270" s="22"/>
      <c r="EYK270" s="22"/>
      <c r="EYL270" s="22"/>
      <c r="EYM270" s="22"/>
      <c r="EYN270" s="22"/>
      <c r="EYO270" s="22"/>
      <c r="EYP270" s="22"/>
      <c r="EYQ270" s="22"/>
      <c r="EYR270" s="22"/>
      <c r="EYS270" s="22"/>
      <c r="EYT270" s="22"/>
      <c r="EYU270" s="22"/>
      <c r="EYV270" s="22"/>
      <c r="EYW270" s="22"/>
      <c r="EYX270" s="22"/>
      <c r="EYY270" s="22"/>
      <c r="EYZ270" s="22"/>
      <c r="EZA270" s="22"/>
      <c r="EZB270" s="22"/>
      <c r="EZC270" s="22"/>
      <c r="EZD270" s="22"/>
      <c r="EZE270" s="22"/>
      <c r="EZF270" s="22"/>
      <c r="EZG270" s="22"/>
      <c r="EZH270" s="22"/>
      <c r="EZI270" s="22"/>
      <c r="EZJ270" s="22"/>
      <c r="EZK270" s="22"/>
      <c r="EZL270" s="22"/>
      <c r="EZM270" s="22"/>
      <c r="EZN270" s="22"/>
      <c r="EZO270" s="22"/>
      <c r="EZP270" s="22"/>
      <c r="EZQ270" s="22"/>
      <c r="EZR270" s="22"/>
      <c r="EZS270" s="22"/>
      <c r="EZT270" s="22"/>
      <c r="EZU270" s="22"/>
      <c r="EZV270" s="22"/>
      <c r="EZW270" s="22"/>
      <c r="EZX270" s="22"/>
      <c r="EZY270" s="22"/>
      <c r="EZZ270" s="22"/>
      <c r="FAA270" s="22"/>
      <c r="FAB270" s="22"/>
      <c r="FAC270" s="22"/>
      <c r="FAD270" s="22"/>
      <c r="FAE270" s="22"/>
      <c r="FAF270" s="22"/>
      <c r="FAG270" s="22"/>
      <c r="FAH270" s="22"/>
      <c r="FAI270" s="22"/>
      <c r="FAJ270" s="22"/>
      <c r="FAK270" s="22"/>
      <c r="FAL270" s="22"/>
      <c r="FAM270" s="22"/>
      <c r="FAN270" s="22"/>
      <c r="FAO270" s="22"/>
      <c r="FAP270" s="22"/>
      <c r="FAQ270" s="22"/>
      <c r="FAR270" s="22"/>
      <c r="FAS270" s="22"/>
      <c r="FAT270" s="22"/>
      <c r="FAU270" s="22"/>
      <c r="FAV270" s="22"/>
      <c r="FAW270" s="22"/>
      <c r="FAX270" s="22"/>
      <c r="FAY270" s="22"/>
      <c r="FAZ270" s="22"/>
      <c r="FBA270" s="22"/>
      <c r="FBB270" s="22"/>
      <c r="FBC270" s="22"/>
      <c r="FBD270" s="22"/>
      <c r="FBE270" s="22"/>
      <c r="FBF270" s="22"/>
      <c r="FBG270" s="22"/>
      <c r="FBH270" s="22"/>
      <c r="FBI270" s="22"/>
      <c r="FBJ270" s="22"/>
      <c r="FBK270" s="22"/>
      <c r="FBL270" s="22"/>
      <c r="FBM270" s="22"/>
      <c r="FBN270" s="22"/>
      <c r="FBO270" s="22"/>
      <c r="FBP270" s="22"/>
      <c r="FBQ270" s="22"/>
      <c r="FBR270" s="22"/>
      <c r="FBS270" s="22"/>
      <c r="FBT270" s="22"/>
      <c r="FBU270" s="22"/>
      <c r="FBV270" s="22"/>
      <c r="FBW270" s="22"/>
      <c r="FBX270" s="22"/>
      <c r="FBY270" s="22"/>
      <c r="FBZ270" s="22"/>
      <c r="FCA270" s="22"/>
      <c r="FCB270" s="22"/>
      <c r="FCC270" s="22"/>
      <c r="FCD270" s="22"/>
      <c r="FCE270" s="22"/>
      <c r="FCF270" s="22"/>
      <c r="FCG270" s="22"/>
      <c r="FCH270" s="22"/>
      <c r="FCI270" s="22"/>
      <c r="FCJ270" s="22"/>
      <c r="FCK270" s="22"/>
      <c r="FCL270" s="22"/>
      <c r="FCM270" s="22"/>
      <c r="FCN270" s="22"/>
      <c r="FCO270" s="22"/>
      <c r="FCP270" s="22"/>
      <c r="FCQ270" s="22"/>
      <c r="FCR270" s="22"/>
      <c r="FCS270" s="22"/>
      <c r="FCT270" s="22"/>
      <c r="FCU270" s="22"/>
      <c r="FCV270" s="22"/>
      <c r="FCW270" s="22"/>
      <c r="FCX270" s="22"/>
      <c r="FCY270" s="22"/>
      <c r="FCZ270" s="22"/>
      <c r="FDA270" s="22"/>
      <c r="FDB270" s="22"/>
      <c r="FDC270" s="22"/>
      <c r="FDD270" s="22"/>
      <c r="FDE270" s="22"/>
      <c r="FDF270" s="22"/>
      <c r="FDG270" s="22"/>
      <c r="FDH270" s="22"/>
      <c r="FDI270" s="22"/>
      <c r="FDJ270" s="22"/>
      <c r="FDK270" s="22"/>
      <c r="FDL270" s="22"/>
      <c r="FDM270" s="22"/>
      <c r="FDN270" s="22"/>
      <c r="FDO270" s="22"/>
      <c r="FDP270" s="22"/>
      <c r="FDQ270" s="22"/>
      <c r="FDR270" s="22"/>
      <c r="FDS270" s="22"/>
      <c r="FDT270" s="22"/>
      <c r="FDU270" s="22"/>
      <c r="FDV270" s="22"/>
      <c r="FDW270" s="22"/>
      <c r="FDX270" s="22"/>
      <c r="FDY270" s="22"/>
      <c r="FDZ270" s="22"/>
      <c r="FEA270" s="22"/>
      <c r="FEB270" s="22"/>
      <c r="FEC270" s="22"/>
      <c r="FED270" s="22"/>
      <c r="FEE270" s="22"/>
      <c r="FEF270" s="22"/>
      <c r="FEG270" s="22"/>
      <c r="FEH270" s="22"/>
      <c r="FEI270" s="22"/>
      <c r="FEJ270" s="22"/>
      <c r="FEK270" s="22"/>
      <c r="FEL270" s="22"/>
      <c r="FEM270" s="22"/>
      <c r="FEN270" s="22"/>
      <c r="FEO270" s="22"/>
      <c r="FEP270" s="22"/>
      <c r="FEQ270" s="22"/>
      <c r="FER270" s="22"/>
      <c r="FES270" s="22"/>
      <c r="FET270" s="22"/>
      <c r="FEU270" s="22"/>
      <c r="FEV270" s="22"/>
      <c r="FEW270" s="22"/>
      <c r="FEX270" s="22"/>
      <c r="FEY270" s="22"/>
      <c r="FEZ270" s="22"/>
      <c r="FFA270" s="22"/>
      <c r="FFB270" s="22"/>
      <c r="FFC270" s="22"/>
      <c r="FFD270" s="22"/>
      <c r="FFE270" s="22"/>
      <c r="FFF270" s="22"/>
      <c r="FFG270" s="22"/>
      <c r="FFH270" s="22"/>
      <c r="FFI270" s="22"/>
      <c r="FFJ270" s="22"/>
      <c r="FFK270" s="22"/>
      <c r="FFL270" s="22"/>
      <c r="FFM270" s="22"/>
      <c r="FFN270" s="22"/>
      <c r="FFO270" s="22"/>
      <c r="FFP270" s="22"/>
      <c r="FFQ270" s="22"/>
      <c r="FFR270" s="22"/>
      <c r="FFS270" s="22"/>
      <c r="FFT270" s="22"/>
      <c r="FFU270" s="22"/>
      <c r="FFV270" s="22"/>
      <c r="FFW270" s="22"/>
      <c r="FFX270" s="22"/>
      <c r="FFY270" s="22"/>
      <c r="FFZ270" s="22"/>
      <c r="FGA270" s="22"/>
      <c r="FGB270" s="22"/>
      <c r="FGC270" s="22"/>
      <c r="FGD270" s="22"/>
      <c r="FGE270" s="22"/>
      <c r="FGF270" s="22"/>
      <c r="FGG270" s="22"/>
      <c r="FGH270" s="22"/>
      <c r="FGI270" s="22"/>
      <c r="FGJ270" s="22"/>
      <c r="FGK270" s="22"/>
      <c r="FGL270" s="22"/>
      <c r="FGM270" s="22"/>
      <c r="FGN270" s="22"/>
      <c r="FGO270" s="22"/>
      <c r="FGP270" s="22"/>
      <c r="FGQ270" s="22"/>
      <c r="FGR270" s="22"/>
      <c r="FGS270" s="22"/>
      <c r="FGT270" s="22"/>
      <c r="FGU270" s="22"/>
      <c r="FGV270" s="22"/>
      <c r="FGW270" s="22"/>
      <c r="FGX270" s="22"/>
      <c r="FGY270" s="22"/>
      <c r="FGZ270" s="22"/>
      <c r="FHA270" s="22"/>
      <c r="FHB270" s="22"/>
      <c r="FHC270" s="22"/>
      <c r="FHD270" s="22"/>
      <c r="FHE270" s="22"/>
      <c r="FHF270" s="22"/>
      <c r="FHG270" s="22"/>
      <c r="FHH270" s="22"/>
      <c r="FHI270" s="22"/>
      <c r="FHJ270" s="22"/>
      <c r="FHK270" s="22"/>
      <c r="FHL270" s="22"/>
      <c r="FHM270" s="22"/>
      <c r="FHN270" s="22"/>
      <c r="FHO270" s="22"/>
      <c r="FHP270" s="22"/>
      <c r="FHQ270" s="22"/>
      <c r="FHR270" s="22"/>
      <c r="FHS270" s="22"/>
      <c r="FHT270" s="22"/>
      <c r="FHU270" s="22"/>
      <c r="FHV270" s="22"/>
      <c r="FHW270" s="22"/>
      <c r="FHX270" s="22"/>
      <c r="FHY270" s="22"/>
      <c r="FHZ270" s="22"/>
      <c r="FIA270" s="22"/>
      <c r="FIB270" s="22"/>
      <c r="FIC270" s="22"/>
      <c r="FID270" s="22"/>
      <c r="FIE270" s="22"/>
      <c r="FIF270" s="22"/>
      <c r="FIG270" s="22"/>
      <c r="FIH270" s="22"/>
      <c r="FII270" s="22"/>
      <c r="FIJ270" s="22"/>
      <c r="FIK270" s="22"/>
      <c r="FIL270" s="22"/>
      <c r="FIM270" s="22"/>
      <c r="FIN270" s="22"/>
      <c r="FIO270" s="22"/>
      <c r="FIP270" s="22"/>
      <c r="FIQ270" s="22"/>
      <c r="FIR270" s="22"/>
      <c r="FIS270" s="22"/>
      <c r="FIT270" s="22"/>
      <c r="FIU270" s="22"/>
      <c r="FIV270" s="22"/>
      <c r="FIW270" s="22"/>
      <c r="FIX270" s="22"/>
      <c r="FIY270" s="22"/>
      <c r="FIZ270" s="22"/>
      <c r="FJA270" s="22"/>
      <c r="FJB270" s="22"/>
      <c r="FJC270" s="22"/>
      <c r="FJD270" s="22"/>
      <c r="FJE270" s="22"/>
      <c r="FJF270" s="22"/>
      <c r="FJG270" s="22"/>
      <c r="FJH270" s="22"/>
      <c r="FJI270" s="22"/>
      <c r="FJJ270" s="22"/>
      <c r="FJK270" s="22"/>
      <c r="FJL270" s="22"/>
      <c r="FJM270" s="22"/>
      <c r="FJN270" s="22"/>
      <c r="FJO270" s="22"/>
      <c r="FJP270" s="22"/>
      <c r="FJQ270" s="22"/>
      <c r="FJR270" s="22"/>
      <c r="FJS270" s="22"/>
      <c r="FJT270" s="22"/>
      <c r="FJU270" s="22"/>
      <c r="FJV270" s="22"/>
      <c r="FJW270" s="22"/>
      <c r="FJX270" s="22"/>
      <c r="FJY270" s="22"/>
      <c r="FJZ270" s="22"/>
      <c r="FKA270" s="22"/>
      <c r="FKB270" s="22"/>
      <c r="FKC270" s="22"/>
      <c r="FKD270" s="22"/>
      <c r="FKE270" s="22"/>
      <c r="FKF270" s="22"/>
      <c r="FKG270" s="22"/>
      <c r="FKH270" s="22"/>
      <c r="FKI270" s="22"/>
      <c r="FKJ270" s="22"/>
      <c r="FKK270" s="22"/>
      <c r="FKL270" s="22"/>
      <c r="FKM270" s="22"/>
      <c r="FKN270" s="22"/>
      <c r="FKO270" s="22"/>
      <c r="FKP270" s="22"/>
      <c r="FKQ270" s="22"/>
      <c r="FKR270" s="22"/>
      <c r="FKS270" s="22"/>
      <c r="FKT270" s="22"/>
      <c r="FKU270" s="22"/>
      <c r="FKV270" s="22"/>
      <c r="FKW270" s="22"/>
      <c r="FKX270" s="22"/>
      <c r="FKY270" s="22"/>
      <c r="FKZ270" s="22"/>
      <c r="FLA270" s="22"/>
      <c r="FLB270" s="22"/>
      <c r="FLC270" s="22"/>
      <c r="FLD270" s="22"/>
      <c r="FLE270" s="22"/>
      <c r="FLF270" s="22"/>
      <c r="FLG270" s="22"/>
      <c r="FLH270" s="22"/>
      <c r="FLI270" s="22"/>
      <c r="FLJ270" s="22"/>
      <c r="FLK270" s="22"/>
      <c r="FLL270" s="22"/>
      <c r="FLM270" s="22"/>
      <c r="FLN270" s="22"/>
      <c r="FLO270" s="22"/>
      <c r="FLP270" s="22"/>
      <c r="FLQ270" s="22"/>
      <c r="FLR270" s="22"/>
      <c r="FLS270" s="22"/>
      <c r="FLT270" s="22"/>
      <c r="FLU270" s="22"/>
      <c r="FLV270" s="22"/>
      <c r="FLW270" s="22"/>
      <c r="FLX270" s="22"/>
      <c r="FLY270" s="22"/>
      <c r="FLZ270" s="22"/>
      <c r="FMA270" s="22"/>
      <c r="FMB270" s="22"/>
      <c r="FMC270" s="22"/>
      <c r="FMD270" s="22"/>
      <c r="FME270" s="22"/>
      <c r="FMF270" s="22"/>
      <c r="FMG270" s="22"/>
      <c r="FMH270" s="22"/>
      <c r="FMI270" s="22"/>
      <c r="FMJ270" s="22"/>
      <c r="FMK270" s="22"/>
      <c r="FML270" s="22"/>
      <c r="FMM270" s="22"/>
      <c r="FMN270" s="22"/>
      <c r="FMO270" s="22"/>
      <c r="FMP270" s="22"/>
      <c r="FMQ270" s="22"/>
      <c r="FMR270" s="22"/>
      <c r="FMS270" s="22"/>
      <c r="FMT270" s="22"/>
      <c r="FMU270" s="22"/>
      <c r="FMV270" s="22"/>
      <c r="FMW270" s="22"/>
      <c r="FMX270" s="22"/>
      <c r="FMY270" s="22"/>
      <c r="FMZ270" s="22"/>
      <c r="FNA270" s="22"/>
      <c r="FNB270" s="22"/>
      <c r="FNC270" s="22"/>
      <c r="FND270" s="22"/>
      <c r="FNE270" s="22"/>
      <c r="FNF270" s="22"/>
      <c r="FNG270" s="22"/>
      <c r="FNH270" s="22"/>
      <c r="FNI270" s="22"/>
      <c r="FNJ270" s="22"/>
      <c r="FNK270" s="22"/>
      <c r="FNL270" s="22"/>
      <c r="FNM270" s="22"/>
      <c r="FNN270" s="22"/>
      <c r="FNO270" s="22"/>
      <c r="FNP270" s="22"/>
      <c r="FNQ270" s="22"/>
      <c r="FNR270" s="22"/>
      <c r="FNS270" s="22"/>
      <c r="FNT270" s="22"/>
      <c r="FNU270" s="22"/>
      <c r="FNV270" s="22"/>
      <c r="FNW270" s="22"/>
      <c r="FNX270" s="22"/>
      <c r="FNY270" s="22"/>
      <c r="FNZ270" s="22"/>
      <c r="FOA270" s="22"/>
      <c r="FOB270" s="22"/>
      <c r="FOC270" s="22"/>
      <c r="FOD270" s="22"/>
      <c r="FOE270" s="22"/>
      <c r="FOF270" s="22"/>
      <c r="FOG270" s="22"/>
      <c r="FOH270" s="22"/>
      <c r="FOI270" s="22"/>
      <c r="FOJ270" s="22"/>
      <c r="FOK270" s="22"/>
      <c r="FOL270" s="22"/>
      <c r="FOM270" s="22"/>
      <c r="FON270" s="22"/>
      <c r="FOO270" s="22"/>
      <c r="FOP270" s="22"/>
      <c r="FOQ270" s="22"/>
      <c r="FOR270" s="22"/>
      <c r="FOS270" s="22"/>
      <c r="FOT270" s="22"/>
      <c r="FOU270" s="22"/>
      <c r="FOV270" s="22"/>
      <c r="FOW270" s="22"/>
      <c r="FOX270" s="22"/>
      <c r="FOY270" s="22"/>
      <c r="FOZ270" s="22"/>
      <c r="FPA270" s="22"/>
      <c r="FPB270" s="22"/>
      <c r="FPC270" s="22"/>
      <c r="FPD270" s="22"/>
      <c r="FPE270" s="22"/>
      <c r="FPF270" s="22"/>
      <c r="FPG270" s="22"/>
      <c r="FPH270" s="22"/>
      <c r="FPI270" s="22"/>
      <c r="FPJ270" s="22"/>
      <c r="FPK270" s="22"/>
      <c r="FPL270" s="22"/>
      <c r="FPM270" s="22"/>
      <c r="FPN270" s="22"/>
      <c r="FPO270" s="22"/>
      <c r="FPP270" s="22"/>
      <c r="FPQ270" s="22"/>
      <c r="FPR270" s="22"/>
      <c r="FPS270" s="22"/>
      <c r="FPT270" s="22"/>
      <c r="FPU270" s="22"/>
      <c r="FPV270" s="22"/>
      <c r="FPW270" s="22"/>
      <c r="FPX270" s="22"/>
      <c r="FPY270" s="22"/>
      <c r="FPZ270" s="22"/>
      <c r="FQA270" s="22"/>
      <c r="FQB270" s="22"/>
      <c r="FQC270" s="22"/>
      <c r="FQD270" s="22"/>
      <c r="FQE270" s="22"/>
      <c r="FQF270" s="22"/>
      <c r="FQG270" s="22"/>
      <c r="FQH270" s="22"/>
      <c r="FQI270" s="22"/>
      <c r="FQJ270" s="22"/>
      <c r="FQK270" s="22"/>
      <c r="FQL270" s="22"/>
      <c r="FQM270" s="22"/>
      <c r="FQN270" s="22"/>
      <c r="FQO270" s="22"/>
      <c r="FQP270" s="22"/>
      <c r="FQQ270" s="22"/>
      <c r="FQR270" s="22"/>
      <c r="FQS270" s="22"/>
      <c r="FQT270" s="22"/>
      <c r="FQU270" s="22"/>
      <c r="FQV270" s="22"/>
      <c r="FQW270" s="22"/>
      <c r="FQX270" s="22"/>
      <c r="FQY270" s="22"/>
      <c r="FQZ270" s="22"/>
      <c r="FRA270" s="22"/>
      <c r="FRB270" s="22"/>
      <c r="FRC270" s="22"/>
      <c r="FRD270" s="22"/>
      <c r="FRE270" s="22"/>
      <c r="FRF270" s="22"/>
      <c r="FRG270" s="22"/>
      <c r="FRH270" s="22"/>
      <c r="FRI270" s="22"/>
      <c r="FRJ270" s="22"/>
      <c r="FRK270" s="22"/>
      <c r="FRL270" s="22"/>
      <c r="FRM270" s="22"/>
      <c r="FRN270" s="22"/>
      <c r="FRO270" s="22"/>
      <c r="FRP270" s="22"/>
      <c r="FRQ270" s="22"/>
      <c r="FRR270" s="22"/>
      <c r="FRS270" s="22"/>
      <c r="FRT270" s="22"/>
      <c r="FRU270" s="22"/>
      <c r="FRV270" s="22"/>
      <c r="FRW270" s="22"/>
      <c r="FRX270" s="22"/>
      <c r="FRY270" s="22"/>
      <c r="FRZ270" s="22"/>
      <c r="FSA270" s="22"/>
      <c r="FSB270" s="22"/>
      <c r="FSC270" s="22"/>
      <c r="FSD270" s="22"/>
      <c r="FSE270" s="22"/>
      <c r="FSF270" s="22"/>
      <c r="FSG270" s="22"/>
      <c r="FSH270" s="22"/>
      <c r="FSI270" s="22"/>
      <c r="FSJ270" s="22"/>
      <c r="FSK270" s="22"/>
      <c r="FSL270" s="22"/>
      <c r="FSM270" s="22"/>
      <c r="FSN270" s="22"/>
      <c r="FSO270" s="22"/>
      <c r="FSP270" s="22"/>
      <c r="FSQ270" s="22"/>
      <c r="FSR270" s="22"/>
      <c r="FSS270" s="22"/>
      <c r="FST270" s="22"/>
      <c r="FSU270" s="22"/>
      <c r="FSV270" s="22"/>
      <c r="FSW270" s="22"/>
      <c r="FSX270" s="22"/>
      <c r="FSY270" s="22"/>
      <c r="FSZ270" s="22"/>
      <c r="FTA270" s="22"/>
      <c r="FTB270" s="22"/>
      <c r="FTC270" s="22"/>
      <c r="FTD270" s="22"/>
      <c r="FTE270" s="22"/>
      <c r="FTF270" s="22"/>
      <c r="FTG270" s="22"/>
      <c r="FTH270" s="22"/>
      <c r="FTI270" s="22"/>
      <c r="FTJ270" s="22"/>
      <c r="FTK270" s="22"/>
      <c r="FTL270" s="22"/>
      <c r="FTM270" s="22"/>
      <c r="FTN270" s="22"/>
      <c r="FTO270" s="22"/>
      <c r="FTP270" s="22"/>
      <c r="FTQ270" s="22"/>
      <c r="FTR270" s="22"/>
      <c r="FTS270" s="22"/>
      <c r="FTT270" s="22"/>
      <c r="FTU270" s="22"/>
      <c r="FTV270" s="22"/>
      <c r="FTW270" s="22"/>
      <c r="FTX270" s="22"/>
      <c r="FTY270" s="22"/>
      <c r="FTZ270" s="22"/>
      <c r="FUA270" s="22"/>
      <c r="FUB270" s="22"/>
      <c r="FUC270" s="22"/>
      <c r="FUD270" s="22"/>
      <c r="FUE270" s="22"/>
      <c r="FUF270" s="22"/>
      <c r="FUG270" s="22"/>
      <c r="FUH270" s="22"/>
      <c r="FUI270" s="22"/>
      <c r="FUJ270" s="22"/>
      <c r="FUK270" s="22"/>
      <c r="FUL270" s="22"/>
      <c r="FUM270" s="22"/>
      <c r="FUN270" s="22"/>
      <c r="FUO270" s="22"/>
      <c r="FUP270" s="22"/>
      <c r="FUQ270" s="22"/>
      <c r="FUR270" s="22"/>
      <c r="FUS270" s="22"/>
      <c r="FUT270" s="22"/>
      <c r="FUU270" s="22"/>
      <c r="FUV270" s="22"/>
      <c r="FUW270" s="22"/>
      <c r="FUX270" s="22"/>
      <c r="FUY270" s="22"/>
      <c r="FUZ270" s="22"/>
      <c r="FVA270" s="22"/>
      <c r="FVB270" s="22"/>
      <c r="FVC270" s="22"/>
      <c r="FVD270" s="22"/>
      <c r="FVE270" s="22"/>
      <c r="FVF270" s="22"/>
      <c r="FVG270" s="22"/>
      <c r="FVH270" s="22"/>
      <c r="FVI270" s="22"/>
      <c r="FVJ270" s="22"/>
      <c r="FVK270" s="22"/>
      <c r="FVL270" s="22"/>
      <c r="FVM270" s="22"/>
      <c r="FVN270" s="22"/>
      <c r="FVO270" s="22"/>
      <c r="FVP270" s="22"/>
      <c r="FVQ270" s="22"/>
      <c r="FVR270" s="22"/>
      <c r="FVS270" s="22"/>
      <c r="FVT270" s="22"/>
      <c r="FVU270" s="22"/>
      <c r="FVV270" s="22"/>
      <c r="FVW270" s="22"/>
      <c r="FVX270" s="22"/>
      <c r="FVY270" s="22"/>
      <c r="FVZ270" s="22"/>
      <c r="FWA270" s="22"/>
      <c r="FWB270" s="22"/>
      <c r="FWC270" s="22"/>
      <c r="FWD270" s="22"/>
      <c r="FWE270" s="22"/>
      <c r="FWF270" s="22"/>
      <c r="FWG270" s="22"/>
      <c r="FWH270" s="22"/>
      <c r="FWI270" s="22"/>
      <c r="FWJ270" s="22"/>
      <c r="FWK270" s="22"/>
      <c r="FWL270" s="22"/>
      <c r="FWM270" s="22"/>
      <c r="FWN270" s="22"/>
      <c r="FWO270" s="22"/>
      <c r="FWP270" s="22"/>
      <c r="FWQ270" s="22"/>
      <c r="FWR270" s="22"/>
      <c r="FWS270" s="22"/>
      <c r="FWT270" s="22"/>
      <c r="FWU270" s="22"/>
      <c r="FWV270" s="22"/>
      <c r="FWW270" s="22"/>
      <c r="FWX270" s="22"/>
      <c r="FWY270" s="22"/>
      <c r="FWZ270" s="22"/>
      <c r="FXA270" s="22"/>
      <c r="FXB270" s="22"/>
      <c r="FXC270" s="22"/>
      <c r="FXD270" s="22"/>
      <c r="FXE270" s="22"/>
      <c r="FXF270" s="22"/>
      <c r="FXG270" s="22"/>
      <c r="FXH270" s="22"/>
      <c r="FXI270" s="22"/>
      <c r="FXJ270" s="22"/>
      <c r="FXK270" s="22"/>
      <c r="FXL270" s="22"/>
      <c r="FXM270" s="22"/>
      <c r="FXN270" s="22"/>
      <c r="FXO270" s="22"/>
      <c r="FXP270" s="22"/>
      <c r="FXQ270" s="22"/>
      <c r="FXR270" s="22"/>
      <c r="FXS270" s="22"/>
      <c r="FXT270" s="22"/>
      <c r="FXU270" s="22"/>
      <c r="FXV270" s="22"/>
      <c r="FXW270" s="22"/>
      <c r="FXX270" s="22"/>
      <c r="FXY270" s="22"/>
      <c r="FXZ270" s="22"/>
      <c r="FYA270" s="22"/>
      <c r="FYB270" s="22"/>
      <c r="FYC270" s="22"/>
      <c r="FYD270" s="22"/>
      <c r="FYE270" s="22"/>
      <c r="FYF270" s="22"/>
      <c r="FYG270" s="22"/>
      <c r="FYH270" s="22"/>
      <c r="FYI270" s="22"/>
      <c r="FYJ270" s="22"/>
      <c r="FYK270" s="22"/>
      <c r="FYL270" s="22"/>
      <c r="FYM270" s="22"/>
      <c r="FYN270" s="22"/>
      <c r="FYO270" s="22"/>
      <c r="FYP270" s="22"/>
      <c r="FYQ270" s="22"/>
      <c r="FYR270" s="22"/>
      <c r="FYS270" s="22"/>
      <c r="FYT270" s="22"/>
      <c r="FYU270" s="22"/>
      <c r="FYV270" s="22"/>
      <c r="FYW270" s="22"/>
      <c r="FYX270" s="22"/>
      <c r="FYY270" s="22"/>
      <c r="FYZ270" s="22"/>
      <c r="FZA270" s="22"/>
      <c r="FZB270" s="22"/>
      <c r="FZC270" s="22"/>
      <c r="FZD270" s="22"/>
      <c r="FZE270" s="22"/>
      <c r="FZF270" s="22"/>
      <c r="FZG270" s="22"/>
      <c r="FZH270" s="22"/>
      <c r="FZI270" s="22"/>
      <c r="FZJ270" s="22"/>
      <c r="FZK270" s="22"/>
      <c r="FZL270" s="22"/>
      <c r="FZM270" s="22"/>
      <c r="FZN270" s="22"/>
      <c r="FZO270" s="22"/>
      <c r="FZP270" s="22"/>
      <c r="FZQ270" s="22"/>
      <c r="FZR270" s="22"/>
      <c r="FZS270" s="22"/>
      <c r="FZT270" s="22"/>
      <c r="FZU270" s="22"/>
      <c r="FZV270" s="22"/>
      <c r="FZW270" s="22"/>
      <c r="FZX270" s="22"/>
      <c r="FZY270" s="22"/>
      <c r="FZZ270" s="22"/>
      <c r="GAA270" s="22"/>
      <c r="GAB270" s="22"/>
      <c r="GAC270" s="22"/>
      <c r="GAD270" s="22"/>
      <c r="GAE270" s="22"/>
      <c r="GAF270" s="22"/>
      <c r="GAG270" s="22"/>
      <c r="GAH270" s="22"/>
      <c r="GAI270" s="22"/>
      <c r="GAJ270" s="22"/>
      <c r="GAK270" s="22"/>
      <c r="GAL270" s="22"/>
      <c r="GAM270" s="22"/>
      <c r="GAN270" s="22"/>
      <c r="GAO270" s="22"/>
      <c r="GAP270" s="22"/>
      <c r="GAQ270" s="22"/>
      <c r="GAR270" s="22"/>
      <c r="GAS270" s="22"/>
      <c r="GAT270" s="22"/>
      <c r="GAU270" s="22"/>
      <c r="GAV270" s="22"/>
      <c r="GAW270" s="22"/>
      <c r="GAX270" s="22"/>
      <c r="GAY270" s="22"/>
      <c r="GAZ270" s="22"/>
      <c r="GBA270" s="22"/>
      <c r="GBB270" s="22"/>
      <c r="GBC270" s="22"/>
      <c r="GBD270" s="22"/>
      <c r="GBE270" s="22"/>
      <c r="GBF270" s="22"/>
      <c r="GBG270" s="22"/>
      <c r="GBH270" s="22"/>
      <c r="GBI270" s="22"/>
      <c r="GBJ270" s="22"/>
      <c r="GBK270" s="22"/>
      <c r="GBL270" s="22"/>
      <c r="GBM270" s="22"/>
      <c r="GBN270" s="22"/>
      <c r="GBO270" s="22"/>
      <c r="GBP270" s="22"/>
      <c r="GBQ270" s="22"/>
      <c r="GBR270" s="22"/>
      <c r="GBS270" s="22"/>
      <c r="GBT270" s="22"/>
      <c r="GBU270" s="22"/>
      <c r="GBV270" s="22"/>
      <c r="GBW270" s="22"/>
      <c r="GBX270" s="22"/>
      <c r="GBY270" s="22"/>
      <c r="GBZ270" s="22"/>
      <c r="GCA270" s="22"/>
      <c r="GCB270" s="22"/>
      <c r="GCC270" s="22"/>
      <c r="GCD270" s="22"/>
      <c r="GCE270" s="22"/>
      <c r="GCF270" s="22"/>
      <c r="GCG270" s="22"/>
      <c r="GCH270" s="22"/>
      <c r="GCI270" s="22"/>
      <c r="GCJ270" s="22"/>
      <c r="GCK270" s="22"/>
      <c r="GCL270" s="22"/>
      <c r="GCM270" s="22"/>
      <c r="GCN270" s="22"/>
      <c r="GCO270" s="22"/>
      <c r="GCP270" s="22"/>
      <c r="GCQ270" s="22"/>
      <c r="GCR270" s="22"/>
      <c r="GCS270" s="22"/>
      <c r="GCT270" s="22"/>
      <c r="GCU270" s="22"/>
      <c r="GCV270" s="22"/>
      <c r="GCW270" s="22"/>
      <c r="GCX270" s="22"/>
      <c r="GCY270" s="22"/>
      <c r="GCZ270" s="22"/>
      <c r="GDA270" s="22"/>
      <c r="GDB270" s="22"/>
      <c r="GDC270" s="22"/>
      <c r="GDD270" s="22"/>
      <c r="GDE270" s="22"/>
      <c r="GDF270" s="22"/>
      <c r="GDG270" s="22"/>
      <c r="GDH270" s="22"/>
      <c r="GDI270" s="22"/>
      <c r="GDJ270" s="22"/>
      <c r="GDK270" s="22"/>
      <c r="GDL270" s="22"/>
      <c r="GDM270" s="22"/>
      <c r="GDN270" s="22"/>
      <c r="GDO270" s="22"/>
      <c r="GDP270" s="22"/>
      <c r="GDQ270" s="22"/>
      <c r="GDR270" s="22"/>
      <c r="GDS270" s="22"/>
      <c r="GDT270" s="22"/>
      <c r="GDU270" s="22"/>
      <c r="GDV270" s="22"/>
      <c r="GDW270" s="22"/>
      <c r="GDX270" s="22"/>
      <c r="GDY270" s="22"/>
      <c r="GDZ270" s="22"/>
      <c r="GEA270" s="22"/>
      <c r="GEB270" s="22"/>
      <c r="GEC270" s="22"/>
      <c r="GED270" s="22"/>
      <c r="GEE270" s="22"/>
      <c r="GEF270" s="22"/>
      <c r="GEG270" s="22"/>
      <c r="GEH270" s="22"/>
      <c r="GEI270" s="22"/>
      <c r="GEJ270" s="22"/>
      <c r="GEK270" s="22"/>
      <c r="GEL270" s="22"/>
      <c r="GEM270" s="22"/>
      <c r="GEN270" s="22"/>
      <c r="GEO270" s="22"/>
      <c r="GEP270" s="22"/>
      <c r="GEQ270" s="22"/>
      <c r="GER270" s="22"/>
      <c r="GES270" s="22"/>
      <c r="GET270" s="22"/>
      <c r="GEU270" s="22"/>
      <c r="GEV270" s="22"/>
      <c r="GEW270" s="22"/>
      <c r="GEX270" s="22"/>
      <c r="GEY270" s="22"/>
      <c r="GEZ270" s="22"/>
      <c r="GFA270" s="22"/>
      <c r="GFB270" s="22"/>
      <c r="GFC270" s="22"/>
      <c r="GFD270" s="22"/>
      <c r="GFE270" s="22"/>
      <c r="GFF270" s="22"/>
      <c r="GFG270" s="22"/>
      <c r="GFH270" s="22"/>
      <c r="GFI270" s="22"/>
      <c r="GFJ270" s="22"/>
      <c r="GFK270" s="22"/>
      <c r="GFL270" s="22"/>
      <c r="GFM270" s="22"/>
      <c r="GFN270" s="22"/>
      <c r="GFO270" s="22"/>
      <c r="GFP270" s="22"/>
      <c r="GFQ270" s="22"/>
      <c r="GFR270" s="22"/>
      <c r="GFS270" s="22"/>
      <c r="GFT270" s="22"/>
      <c r="GFU270" s="22"/>
      <c r="GFV270" s="22"/>
      <c r="GFW270" s="22"/>
      <c r="GFX270" s="22"/>
      <c r="GFY270" s="22"/>
      <c r="GFZ270" s="22"/>
      <c r="GGA270" s="22"/>
      <c r="GGB270" s="22"/>
      <c r="GGC270" s="22"/>
      <c r="GGD270" s="22"/>
      <c r="GGE270" s="22"/>
      <c r="GGF270" s="22"/>
      <c r="GGG270" s="22"/>
      <c r="GGH270" s="22"/>
      <c r="GGI270" s="22"/>
      <c r="GGJ270" s="22"/>
      <c r="GGK270" s="22"/>
      <c r="GGL270" s="22"/>
      <c r="GGM270" s="22"/>
      <c r="GGN270" s="22"/>
      <c r="GGO270" s="22"/>
      <c r="GGP270" s="22"/>
      <c r="GGQ270" s="22"/>
      <c r="GGR270" s="22"/>
      <c r="GGS270" s="22"/>
      <c r="GGT270" s="22"/>
      <c r="GGU270" s="22"/>
      <c r="GGV270" s="22"/>
      <c r="GGW270" s="22"/>
      <c r="GGX270" s="22"/>
      <c r="GGY270" s="22"/>
      <c r="GGZ270" s="22"/>
      <c r="GHA270" s="22"/>
      <c r="GHB270" s="22"/>
      <c r="GHC270" s="22"/>
      <c r="GHD270" s="22"/>
      <c r="GHE270" s="22"/>
      <c r="GHF270" s="22"/>
      <c r="GHG270" s="22"/>
      <c r="GHH270" s="22"/>
      <c r="GHI270" s="22"/>
      <c r="GHJ270" s="22"/>
      <c r="GHK270" s="22"/>
      <c r="GHL270" s="22"/>
      <c r="GHM270" s="22"/>
      <c r="GHN270" s="22"/>
      <c r="GHO270" s="22"/>
      <c r="GHP270" s="22"/>
      <c r="GHQ270" s="22"/>
      <c r="GHR270" s="22"/>
      <c r="GHS270" s="22"/>
      <c r="GHT270" s="22"/>
      <c r="GHU270" s="22"/>
      <c r="GHV270" s="22"/>
      <c r="GHW270" s="22"/>
      <c r="GHX270" s="22"/>
      <c r="GHY270" s="22"/>
      <c r="GHZ270" s="22"/>
      <c r="GIA270" s="22"/>
      <c r="GIB270" s="22"/>
      <c r="GIC270" s="22"/>
      <c r="GID270" s="22"/>
      <c r="GIE270" s="22"/>
      <c r="GIF270" s="22"/>
      <c r="GIG270" s="22"/>
      <c r="GIH270" s="22"/>
      <c r="GII270" s="22"/>
      <c r="GIJ270" s="22"/>
      <c r="GIK270" s="22"/>
      <c r="GIL270" s="22"/>
      <c r="GIM270" s="22"/>
      <c r="GIN270" s="22"/>
      <c r="GIO270" s="22"/>
      <c r="GIP270" s="22"/>
      <c r="GIQ270" s="22"/>
      <c r="GIR270" s="22"/>
      <c r="GIS270" s="22"/>
      <c r="GIT270" s="22"/>
      <c r="GIU270" s="22"/>
      <c r="GIV270" s="22"/>
      <c r="GIW270" s="22"/>
      <c r="GIX270" s="22"/>
      <c r="GIY270" s="22"/>
      <c r="GIZ270" s="22"/>
      <c r="GJA270" s="22"/>
      <c r="GJB270" s="22"/>
      <c r="GJC270" s="22"/>
      <c r="GJD270" s="22"/>
      <c r="GJE270" s="22"/>
      <c r="GJF270" s="22"/>
      <c r="GJG270" s="22"/>
      <c r="GJH270" s="22"/>
      <c r="GJI270" s="22"/>
      <c r="GJJ270" s="22"/>
      <c r="GJK270" s="22"/>
      <c r="GJL270" s="22"/>
      <c r="GJM270" s="22"/>
      <c r="GJN270" s="22"/>
      <c r="GJO270" s="22"/>
      <c r="GJP270" s="22"/>
      <c r="GJQ270" s="22"/>
      <c r="GJR270" s="22"/>
      <c r="GJS270" s="22"/>
      <c r="GJT270" s="22"/>
      <c r="GJU270" s="22"/>
      <c r="GJV270" s="22"/>
      <c r="GJW270" s="22"/>
      <c r="GJX270" s="22"/>
      <c r="GJY270" s="22"/>
      <c r="GJZ270" s="22"/>
      <c r="GKA270" s="22"/>
      <c r="GKB270" s="22"/>
      <c r="GKC270" s="22"/>
      <c r="GKD270" s="22"/>
      <c r="GKE270" s="22"/>
      <c r="GKF270" s="22"/>
      <c r="GKG270" s="22"/>
      <c r="GKH270" s="22"/>
      <c r="GKI270" s="22"/>
      <c r="GKJ270" s="22"/>
      <c r="GKK270" s="22"/>
      <c r="GKL270" s="22"/>
      <c r="GKM270" s="22"/>
      <c r="GKN270" s="22"/>
      <c r="GKO270" s="22"/>
      <c r="GKP270" s="22"/>
      <c r="GKQ270" s="22"/>
      <c r="GKR270" s="22"/>
      <c r="GKS270" s="22"/>
      <c r="GKT270" s="22"/>
      <c r="GKU270" s="22"/>
      <c r="GKV270" s="22"/>
      <c r="GKW270" s="22"/>
      <c r="GKX270" s="22"/>
      <c r="GKY270" s="22"/>
      <c r="GKZ270" s="22"/>
      <c r="GLA270" s="22"/>
      <c r="GLB270" s="22"/>
      <c r="GLC270" s="22"/>
      <c r="GLD270" s="22"/>
      <c r="GLE270" s="22"/>
      <c r="GLF270" s="22"/>
      <c r="GLG270" s="22"/>
      <c r="GLH270" s="22"/>
      <c r="GLI270" s="22"/>
      <c r="GLJ270" s="22"/>
      <c r="GLK270" s="22"/>
      <c r="GLL270" s="22"/>
      <c r="GLM270" s="22"/>
      <c r="GLN270" s="22"/>
      <c r="GLO270" s="22"/>
      <c r="GLP270" s="22"/>
      <c r="GLQ270" s="22"/>
      <c r="GLR270" s="22"/>
      <c r="GLS270" s="22"/>
      <c r="GLT270" s="22"/>
      <c r="GLU270" s="22"/>
      <c r="GLV270" s="22"/>
      <c r="GLW270" s="22"/>
      <c r="GLX270" s="22"/>
      <c r="GLY270" s="22"/>
      <c r="GLZ270" s="22"/>
      <c r="GMA270" s="22"/>
      <c r="GMB270" s="22"/>
      <c r="GMC270" s="22"/>
      <c r="GMD270" s="22"/>
      <c r="GME270" s="22"/>
      <c r="GMF270" s="22"/>
      <c r="GMG270" s="22"/>
      <c r="GMH270" s="22"/>
      <c r="GMI270" s="22"/>
      <c r="GMJ270" s="22"/>
      <c r="GMK270" s="22"/>
      <c r="GML270" s="22"/>
      <c r="GMM270" s="22"/>
      <c r="GMN270" s="22"/>
      <c r="GMO270" s="22"/>
      <c r="GMP270" s="22"/>
      <c r="GMQ270" s="22"/>
      <c r="GMR270" s="22"/>
      <c r="GMS270" s="22"/>
      <c r="GMT270" s="22"/>
      <c r="GMU270" s="22"/>
      <c r="GMV270" s="22"/>
      <c r="GMW270" s="22"/>
      <c r="GMX270" s="22"/>
      <c r="GMY270" s="22"/>
      <c r="GMZ270" s="22"/>
      <c r="GNA270" s="22"/>
      <c r="GNB270" s="22"/>
      <c r="GNC270" s="22"/>
      <c r="GND270" s="22"/>
      <c r="GNE270" s="22"/>
      <c r="GNF270" s="22"/>
      <c r="GNG270" s="22"/>
      <c r="GNH270" s="22"/>
      <c r="GNI270" s="22"/>
      <c r="GNJ270" s="22"/>
      <c r="GNK270" s="22"/>
      <c r="GNL270" s="22"/>
      <c r="GNM270" s="22"/>
      <c r="GNN270" s="22"/>
      <c r="GNO270" s="22"/>
      <c r="GNP270" s="22"/>
      <c r="GNQ270" s="22"/>
      <c r="GNR270" s="22"/>
      <c r="GNS270" s="22"/>
      <c r="GNT270" s="22"/>
      <c r="GNU270" s="22"/>
      <c r="GNV270" s="22"/>
      <c r="GNW270" s="22"/>
      <c r="GNX270" s="22"/>
      <c r="GNY270" s="22"/>
      <c r="GNZ270" s="22"/>
      <c r="GOA270" s="22"/>
      <c r="GOB270" s="22"/>
      <c r="GOC270" s="22"/>
      <c r="GOD270" s="22"/>
      <c r="GOE270" s="22"/>
      <c r="GOF270" s="22"/>
      <c r="GOG270" s="22"/>
      <c r="GOH270" s="22"/>
      <c r="GOI270" s="22"/>
      <c r="GOJ270" s="22"/>
      <c r="GOK270" s="22"/>
      <c r="GOL270" s="22"/>
      <c r="GOM270" s="22"/>
      <c r="GON270" s="22"/>
      <c r="GOO270" s="22"/>
      <c r="GOP270" s="22"/>
      <c r="GOQ270" s="22"/>
      <c r="GOR270" s="22"/>
      <c r="GOS270" s="22"/>
      <c r="GOT270" s="22"/>
      <c r="GOU270" s="22"/>
      <c r="GOV270" s="22"/>
      <c r="GOW270" s="22"/>
      <c r="GOX270" s="22"/>
      <c r="GOY270" s="22"/>
      <c r="GOZ270" s="22"/>
      <c r="GPA270" s="22"/>
      <c r="GPB270" s="22"/>
      <c r="GPC270" s="22"/>
      <c r="GPD270" s="22"/>
      <c r="GPE270" s="22"/>
      <c r="GPF270" s="22"/>
      <c r="GPG270" s="22"/>
      <c r="GPH270" s="22"/>
      <c r="GPI270" s="22"/>
      <c r="GPJ270" s="22"/>
      <c r="GPK270" s="22"/>
      <c r="GPL270" s="22"/>
      <c r="GPM270" s="22"/>
      <c r="GPN270" s="22"/>
      <c r="GPO270" s="22"/>
      <c r="GPP270" s="22"/>
      <c r="GPQ270" s="22"/>
      <c r="GPR270" s="22"/>
      <c r="GPS270" s="22"/>
      <c r="GPT270" s="22"/>
      <c r="GPU270" s="22"/>
      <c r="GPV270" s="22"/>
      <c r="GPW270" s="22"/>
      <c r="GPX270" s="22"/>
      <c r="GPY270" s="22"/>
      <c r="GPZ270" s="22"/>
      <c r="GQA270" s="22"/>
      <c r="GQB270" s="22"/>
      <c r="GQC270" s="22"/>
      <c r="GQD270" s="22"/>
      <c r="GQE270" s="22"/>
      <c r="GQF270" s="22"/>
      <c r="GQG270" s="22"/>
      <c r="GQH270" s="22"/>
      <c r="GQI270" s="22"/>
      <c r="GQJ270" s="22"/>
      <c r="GQK270" s="22"/>
      <c r="GQL270" s="22"/>
      <c r="GQM270" s="22"/>
      <c r="GQN270" s="22"/>
      <c r="GQO270" s="22"/>
      <c r="GQP270" s="22"/>
      <c r="GQQ270" s="22"/>
      <c r="GQR270" s="22"/>
      <c r="GQS270" s="22"/>
      <c r="GQT270" s="22"/>
      <c r="GQU270" s="22"/>
      <c r="GQV270" s="22"/>
      <c r="GQW270" s="22"/>
      <c r="GQX270" s="22"/>
      <c r="GQY270" s="22"/>
      <c r="GQZ270" s="22"/>
      <c r="GRA270" s="22"/>
      <c r="GRB270" s="22"/>
      <c r="GRC270" s="22"/>
      <c r="GRD270" s="22"/>
      <c r="GRE270" s="22"/>
      <c r="GRF270" s="22"/>
      <c r="GRG270" s="22"/>
      <c r="GRH270" s="22"/>
      <c r="GRI270" s="22"/>
      <c r="GRJ270" s="22"/>
      <c r="GRK270" s="22"/>
      <c r="GRL270" s="22"/>
      <c r="GRM270" s="22"/>
      <c r="GRN270" s="22"/>
      <c r="GRO270" s="22"/>
      <c r="GRP270" s="22"/>
      <c r="GRQ270" s="22"/>
      <c r="GRR270" s="22"/>
      <c r="GRS270" s="22"/>
      <c r="GRT270" s="22"/>
      <c r="GRU270" s="22"/>
      <c r="GRV270" s="22"/>
      <c r="GRW270" s="22"/>
      <c r="GRX270" s="22"/>
      <c r="GRY270" s="22"/>
      <c r="GRZ270" s="22"/>
      <c r="GSA270" s="22"/>
      <c r="GSB270" s="22"/>
      <c r="GSC270" s="22"/>
      <c r="GSD270" s="22"/>
      <c r="GSE270" s="22"/>
      <c r="GSF270" s="22"/>
      <c r="GSG270" s="22"/>
      <c r="GSH270" s="22"/>
      <c r="GSI270" s="22"/>
      <c r="GSJ270" s="22"/>
      <c r="GSK270" s="22"/>
      <c r="GSL270" s="22"/>
      <c r="GSM270" s="22"/>
      <c r="GSN270" s="22"/>
      <c r="GSO270" s="22"/>
      <c r="GSP270" s="22"/>
      <c r="GSQ270" s="22"/>
      <c r="GSR270" s="22"/>
      <c r="GSS270" s="22"/>
      <c r="GST270" s="22"/>
      <c r="GSU270" s="22"/>
      <c r="GSV270" s="22"/>
      <c r="GSW270" s="22"/>
      <c r="GSX270" s="22"/>
      <c r="GSY270" s="22"/>
      <c r="GSZ270" s="22"/>
      <c r="GTA270" s="22"/>
      <c r="GTB270" s="22"/>
      <c r="GTC270" s="22"/>
      <c r="GTD270" s="22"/>
      <c r="GTE270" s="22"/>
      <c r="GTF270" s="22"/>
      <c r="GTG270" s="22"/>
      <c r="GTH270" s="22"/>
      <c r="GTI270" s="22"/>
      <c r="GTJ270" s="22"/>
      <c r="GTK270" s="22"/>
      <c r="GTL270" s="22"/>
      <c r="GTM270" s="22"/>
      <c r="GTN270" s="22"/>
      <c r="GTO270" s="22"/>
      <c r="GTP270" s="22"/>
      <c r="GTQ270" s="22"/>
      <c r="GTR270" s="22"/>
      <c r="GTS270" s="22"/>
      <c r="GTT270" s="22"/>
      <c r="GTU270" s="22"/>
      <c r="GTV270" s="22"/>
      <c r="GTW270" s="22"/>
      <c r="GTX270" s="22"/>
      <c r="GTY270" s="22"/>
      <c r="GTZ270" s="22"/>
      <c r="GUA270" s="22"/>
      <c r="GUB270" s="22"/>
      <c r="GUC270" s="22"/>
      <c r="GUD270" s="22"/>
      <c r="GUE270" s="22"/>
      <c r="GUF270" s="22"/>
      <c r="GUG270" s="22"/>
      <c r="GUH270" s="22"/>
      <c r="GUI270" s="22"/>
      <c r="GUJ270" s="22"/>
      <c r="GUK270" s="22"/>
      <c r="GUL270" s="22"/>
      <c r="GUM270" s="22"/>
      <c r="GUN270" s="22"/>
      <c r="GUO270" s="22"/>
      <c r="GUP270" s="22"/>
      <c r="GUQ270" s="22"/>
      <c r="GUR270" s="22"/>
      <c r="GUS270" s="22"/>
      <c r="GUT270" s="22"/>
      <c r="GUU270" s="22"/>
      <c r="GUV270" s="22"/>
      <c r="GUW270" s="22"/>
      <c r="GUX270" s="22"/>
      <c r="GUY270" s="22"/>
      <c r="GUZ270" s="22"/>
      <c r="GVA270" s="22"/>
      <c r="GVB270" s="22"/>
      <c r="GVC270" s="22"/>
      <c r="GVD270" s="22"/>
      <c r="GVE270" s="22"/>
      <c r="GVF270" s="22"/>
      <c r="GVG270" s="22"/>
      <c r="GVH270" s="22"/>
      <c r="GVI270" s="22"/>
      <c r="GVJ270" s="22"/>
      <c r="GVK270" s="22"/>
      <c r="GVL270" s="22"/>
      <c r="GVM270" s="22"/>
      <c r="GVN270" s="22"/>
      <c r="GVO270" s="22"/>
      <c r="GVP270" s="22"/>
      <c r="GVQ270" s="22"/>
      <c r="GVR270" s="22"/>
      <c r="GVS270" s="22"/>
      <c r="GVT270" s="22"/>
      <c r="GVU270" s="22"/>
      <c r="GVV270" s="22"/>
      <c r="GVW270" s="22"/>
      <c r="GVX270" s="22"/>
      <c r="GVY270" s="22"/>
      <c r="GVZ270" s="22"/>
      <c r="GWA270" s="22"/>
      <c r="GWB270" s="22"/>
      <c r="GWC270" s="22"/>
      <c r="GWD270" s="22"/>
      <c r="GWE270" s="22"/>
      <c r="GWF270" s="22"/>
      <c r="GWG270" s="22"/>
      <c r="GWH270" s="22"/>
      <c r="GWI270" s="22"/>
      <c r="GWJ270" s="22"/>
      <c r="GWK270" s="22"/>
      <c r="GWL270" s="22"/>
      <c r="GWM270" s="22"/>
      <c r="GWN270" s="22"/>
      <c r="GWO270" s="22"/>
      <c r="GWP270" s="22"/>
      <c r="GWQ270" s="22"/>
      <c r="GWR270" s="22"/>
      <c r="GWS270" s="22"/>
      <c r="GWT270" s="22"/>
      <c r="GWU270" s="22"/>
      <c r="GWV270" s="22"/>
      <c r="GWW270" s="22"/>
      <c r="GWX270" s="22"/>
      <c r="GWY270" s="22"/>
      <c r="GWZ270" s="22"/>
      <c r="GXA270" s="22"/>
      <c r="GXB270" s="22"/>
      <c r="GXC270" s="22"/>
      <c r="GXD270" s="22"/>
      <c r="GXE270" s="22"/>
      <c r="GXF270" s="22"/>
      <c r="GXG270" s="22"/>
      <c r="GXH270" s="22"/>
      <c r="GXI270" s="22"/>
      <c r="GXJ270" s="22"/>
      <c r="GXK270" s="22"/>
      <c r="GXL270" s="22"/>
      <c r="GXM270" s="22"/>
      <c r="GXN270" s="22"/>
      <c r="GXO270" s="22"/>
      <c r="GXP270" s="22"/>
      <c r="GXQ270" s="22"/>
      <c r="GXR270" s="22"/>
      <c r="GXS270" s="22"/>
      <c r="GXT270" s="22"/>
      <c r="GXU270" s="22"/>
      <c r="GXV270" s="22"/>
      <c r="GXW270" s="22"/>
      <c r="GXX270" s="22"/>
      <c r="GXY270" s="22"/>
      <c r="GXZ270" s="22"/>
      <c r="GYA270" s="22"/>
      <c r="GYB270" s="22"/>
      <c r="GYC270" s="22"/>
      <c r="GYD270" s="22"/>
      <c r="GYE270" s="22"/>
      <c r="GYF270" s="22"/>
      <c r="GYG270" s="22"/>
      <c r="GYH270" s="22"/>
      <c r="GYI270" s="22"/>
      <c r="GYJ270" s="22"/>
      <c r="GYK270" s="22"/>
      <c r="GYL270" s="22"/>
      <c r="GYM270" s="22"/>
      <c r="GYN270" s="22"/>
      <c r="GYO270" s="22"/>
      <c r="GYP270" s="22"/>
      <c r="GYQ270" s="22"/>
      <c r="GYR270" s="22"/>
      <c r="GYS270" s="22"/>
      <c r="GYT270" s="22"/>
      <c r="GYU270" s="22"/>
      <c r="GYV270" s="22"/>
      <c r="GYW270" s="22"/>
      <c r="GYX270" s="22"/>
      <c r="GYY270" s="22"/>
      <c r="GYZ270" s="22"/>
      <c r="GZA270" s="22"/>
      <c r="GZB270" s="22"/>
      <c r="GZC270" s="22"/>
      <c r="GZD270" s="22"/>
      <c r="GZE270" s="22"/>
      <c r="GZF270" s="22"/>
      <c r="GZG270" s="22"/>
      <c r="GZH270" s="22"/>
      <c r="GZI270" s="22"/>
      <c r="GZJ270" s="22"/>
      <c r="GZK270" s="22"/>
      <c r="GZL270" s="22"/>
      <c r="GZM270" s="22"/>
      <c r="GZN270" s="22"/>
      <c r="GZO270" s="22"/>
      <c r="GZP270" s="22"/>
      <c r="GZQ270" s="22"/>
      <c r="GZR270" s="22"/>
      <c r="GZS270" s="22"/>
      <c r="GZT270" s="22"/>
      <c r="GZU270" s="22"/>
      <c r="GZV270" s="22"/>
      <c r="GZW270" s="22"/>
      <c r="GZX270" s="22"/>
      <c r="GZY270" s="22"/>
      <c r="GZZ270" s="22"/>
      <c r="HAA270" s="22"/>
      <c r="HAB270" s="22"/>
      <c r="HAC270" s="22"/>
      <c r="HAD270" s="22"/>
      <c r="HAE270" s="22"/>
      <c r="HAF270" s="22"/>
      <c r="HAG270" s="22"/>
      <c r="HAH270" s="22"/>
      <c r="HAI270" s="22"/>
      <c r="HAJ270" s="22"/>
      <c r="HAK270" s="22"/>
      <c r="HAL270" s="22"/>
      <c r="HAM270" s="22"/>
      <c r="HAN270" s="22"/>
      <c r="HAO270" s="22"/>
      <c r="HAP270" s="22"/>
      <c r="HAQ270" s="22"/>
      <c r="HAR270" s="22"/>
      <c r="HAS270" s="22"/>
      <c r="HAT270" s="22"/>
      <c r="HAU270" s="22"/>
      <c r="HAV270" s="22"/>
      <c r="HAW270" s="22"/>
      <c r="HAX270" s="22"/>
      <c r="HAY270" s="22"/>
      <c r="HAZ270" s="22"/>
      <c r="HBA270" s="22"/>
      <c r="HBB270" s="22"/>
      <c r="HBC270" s="22"/>
      <c r="HBD270" s="22"/>
      <c r="HBE270" s="22"/>
      <c r="HBF270" s="22"/>
      <c r="HBG270" s="22"/>
      <c r="HBH270" s="22"/>
      <c r="HBI270" s="22"/>
      <c r="HBJ270" s="22"/>
      <c r="HBK270" s="22"/>
      <c r="HBL270" s="22"/>
      <c r="HBM270" s="22"/>
      <c r="HBN270" s="22"/>
      <c r="HBO270" s="22"/>
      <c r="HBP270" s="22"/>
      <c r="HBQ270" s="22"/>
      <c r="HBR270" s="22"/>
      <c r="HBS270" s="22"/>
      <c r="HBT270" s="22"/>
      <c r="HBU270" s="22"/>
      <c r="HBV270" s="22"/>
      <c r="HBW270" s="22"/>
      <c r="HBX270" s="22"/>
      <c r="HBY270" s="22"/>
      <c r="HBZ270" s="22"/>
      <c r="HCA270" s="22"/>
      <c r="HCB270" s="22"/>
      <c r="HCC270" s="22"/>
      <c r="HCD270" s="22"/>
      <c r="HCE270" s="22"/>
      <c r="HCF270" s="22"/>
      <c r="HCG270" s="22"/>
      <c r="HCH270" s="22"/>
      <c r="HCI270" s="22"/>
      <c r="HCJ270" s="22"/>
      <c r="HCK270" s="22"/>
      <c r="HCL270" s="22"/>
      <c r="HCM270" s="22"/>
      <c r="HCN270" s="22"/>
      <c r="HCO270" s="22"/>
      <c r="HCP270" s="22"/>
      <c r="HCQ270" s="22"/>
      <c r="HCR270" s="22"/>
      <c r="HCS270" s="22"/>
      <c r="HCT270" s="22"/>
      <c r="HCU270" s="22"/>
      <c r="HCV270" s="22"/>
      <c r="HCW270" s="22"/>
      <c r="HCX270" s="22"/>
      <c r="HCY270" s="22"/>
      <c r="HCZ270" s="22"/>
      <c r="HDA270" s="22"/>
      <c r="HDB270" s="22"/>
      <c r="HDC270" s="22"/>
      <c r="HDD270" s="22"/>
      <c r="HDE270" s="22"/>
      <c r="HDF270" s="22"/>
      <c r="HDG270" s="22"/>
      <c r="HDH270" s="22"/>
      <c r="HDI270" s="22"/>
      <c r="HDJ270" s="22"/>
      <c r="HDK270" s="22"/>
      <c r="HDL270" s="22"/>
      <c r="HDM270" s="22"/>
      <c r="HDN270" s="22"/>
      <c r="HDO270" s="22"/>
      <c r="HDP270" s="22"/>
      <c r="HDQ270" s="22"/>
      <c r="HDR270" s="22"/>
      <c r="HDS270" s="22"/>
      <c r="HDT270" s="22"/>
      <c r="HDU270" s="22"/>
      <c r="HDV270" s="22"/>
      <c r="HDW270" s="22"/>
      <c r="HDX270" s="22"/>
      <c r="HDY270" s="22"/>
      <c r="HDZ270" s="22"/>
      <c r="HEA270" s="22"/>
      <c r="HEB270" s="22"/>
      <c r="HEC270" s="22"/>
      <c r="HED270" s="22"/>
      <c r="HEE270" s="22"/>
      <c r="HEF270" s="22"/>
      <c r="HEG270" s="22"/>
      <c r="HEH270" s="22"/>
      <c r="HEI270" s="22"/>
      <c r="HEJ270" s="22"/>
      <c r="HEK270" s="22"/>
      <c r="HEL270" s="22"/>
      <c r="HEM270" s="22"/>
      <c r="HEN270" s="22"/>
      <c r="HEO270" s="22"/>
      <c r="HEP270" s="22"/>
      <c r="HEQ270" s="22"/>
      <c r="HER270" s="22"/>
      <c r="HES270" s="22"/>
      <c r="HET270" s="22"/>
      <c r="HEU270" s="22"/>
      <c r="HEV270" s="22"/>
      <c r="HEW270" s="22"/>
      <c r="HEX270" s="22"/>
      <c r="HEY270" s="22"/>
      <c r="HEZ270" s="22"/>
      <c r="HFA270" s="22"/>
      <c r="HFB270" s="22"/>
      <c r="HFC270" s="22"/>
      <c r="HFD270" s="22"/>
      <c r="HFE270" s="22"/>
      <c r="HFF270" s="22"/>
      <c r="HFG270" s="22"/>
      <c r="HFH270" s="22"/>
      <c r="HFI270" s="22"/>
      <c r="HFJ270" s="22"/>
      <c r="HFK270" s="22"/>
      <c r="HFL270" s="22"/>
      <c r="HFM270" s="22"/>
      <c r="HFN270" s="22"/>
      <c r="HFO270" s="22"/>
      <c r="HFP270" s="22"/>
      <c r="HFQ270" s="22"/>
      <c r="HFR270" s="22"/>
      <c r="HFS270" s="22"/>
      <c r="HFT270" s="22"/>
      <c r="HFU270" s="22"/>
      <c r="HFV270" s="22"/>
      <c r="HFW270" s="22"/>
      <c r="HFX270" s="22"/>
      <c r="HFY270" s="22"/>
      <c r="HFZ270" s="22"/>
      <c r="HGA270" s="22"/>
      <c r="HGB270" s="22"/>
      <c r="HGC270" s="22"/>
      <c r="HGD270" s="22"/>
      <c r="HGE270" s="22"/>
      <c r="HGF270" s="22"/>
      <c r="HGG270" s="22"/>
      <c r="HGH270" s="22"/>
      <c r="HGI270" s="22"/>
      <c r="HGJ270" s="22"/>
      <c r="HGK270" s="22"/>
      <c r="HGL270" s="22"/>
      <c r="HGM270" s="22"/>
      <c r="HGN270" s="22"/>
      <c r="HGO270" s="22"/>
      <c r="HGP270" s="22"/>
      <c r="HGQ270" s="22"/>
      <c r="HGR270" s="22"/>
      <c r="HGS270" s="22"/>
      <c r="HGT270" s="22"/>
      <c r="HGU270" s="22"/>
      <c r="HGV270" s="22"/>
      <c r="HGW270" s="22"/>
      <c r="HGX270" s="22"/>
      <c r="HGY270" s="22"/>
      <c r="HGZ270" s="22"/>
      <c r="HHA270" s="22"/>
      <c r="HHB270" s="22"/>
      <c r="HHC270" s="22"/>
      <c r="HHD270" s="22"/>
      <c r="HHE270" s="22"/>
      <c r="HHF270" s="22"/>
      <c r="HHG270" s="22"/>
      <c r="HHH270" s="22"/>
      <c r="HHI270" s="22"/>
      <c r="HHJ270" s="22"/>
      <c r="HHK270" s="22"/>
      <c r="HHL270" s="22"/>
      <c r="HHM270" s="22"/>
      <c r="HHN270" s="22"/>
      <c r="HHO270" s="22"/>
      <c r="HHP270" s="22"/>
      <c r="HHQ270" s="22"/>
      <c r="HHR270" s="22"/>
      <c r="HHS270" s="22"/>
      <c r="HHT270" s="22"/>
      <c r="HHU270" s="22"/>
      <c r="HHV270" s="22"/>
      <c r="HHW270" s="22"/>
      <c r="HHX270" s="22"/>
      <c r="HHY270" s="22"/>
      <c r="HHZ270" s="22"/>
      <c r="HIA270" s="22"/>
      <c r="HIB270" s="22"/>
      <c r="HIC270" s="22"/>
      <c r="HID270" s="22"/>
      <c r="HIE270" s="22"/>
      <c r="HIF270" s="22"/>
      <c r="HIG270" s="22"/>
      <c r="HIH270" s="22"/>
      <c r="HII270" s="22"/>
      <c r="HIJ270" s="22"/>
      <c r="HIK270" s="22"/>
      <c r="HIL270" s="22"/>
      <c r="HIM270" s="22"/>
      <c r="HIN270" s="22"/>
      <c r="HIO270" s="22"/>
      <c r="HIP270" s="22"/>
      <c r="HIQ270" s="22"/>
      <c r="HIR270" s="22"/>
      <c r="HIS270" s="22"/>
      <c r="HIT270" s="22"/>
      <c r="HIU270" s="22"/>
      <c r="HIV270" s="22"/>
      <c r="HIW270" s="22"/>
      <c r="HIX270" s="22"/>
      <c r="HIY270" s="22"/>
      <c r="HIZ270" s="22"/>
      <c r="HJA270" s="22"/>
      <c r="HJB270" s="22"/>
      <c r="HJC270" s="22"/>
      <c r="HJD270" s="22"/>
      <c r="HJE270" s="22"/>
      <c r="HJF270" s="22"/>
      <c r="HJG270" s="22"/>
      <c r="HJH270" s="22"/>
      <c r="HJI270" s="22"/>
      <c r="HJJ270" s="22"/>
      <c r="HJK270" s="22"/>
      <c r="HJL270" s="22"/>
      <c r="HJM270" s="22"/>
      <c r="HJN270" s="22"/>
      <c r="HJO270" s="22"/>
      <c r="HJP270" s="22"/>
      <c r="HJQ270" s="22"/>
      <c r="HJR270" s="22"/>
      <c r="HJS270" s="22"/>
      <c r="HJT270" s="22"/>
      <c r="HJU270" s="22"/>
      <c r="HJV270" s="22"/>
      <c r="HJW270" s="22"/>
      <c r="HJX270" s="22"/>
      <c r="HJY270" s="22"/>
      <c r="HJZ270" s="22"/>
      <c r="HKA270" s="22"/>
      <c r="HKB270" s="22"/>
      <c r="HKC270" s="22"/>
      <c r="HKD270" s="22"/>
      <c r="HKE270" s="22"/>
      <c r="HKF270" s="22"/>
      <c r="HKG270" s="22"/>
      <c r="HKH270" s="22"/>
      <c r="HKI270" s="22"/>
      <c r="HKJ270" s="22"/>
      <c r="HKK270" s="22"/>
      <c r="HKL270" s="22"/>
      <c r="HKM270" s="22"/>
      <c r="HKN270" s="22"/>
      <c r="HKO270" s="22"/>
      <c r="HKP270" s="22"/>
      <c r="HKQ270" s="22"/>
      <c r="HKR270" s="22"/>
      <c r="HKS270" s="22"/>
      <c r="HKT270" s="22"/>
      <c r="HKU270" s="22"/>
      <c r="HKV270" s="22"/>
      <c r="HKW270" s="22"/>
      <c r="HKX270" s="22"/>
      <c r="HKY270" s="22"/>
      <c r="HKZ270" s="22"/>
      <c r="HLA270" s="22"/>
      <c r="HLB270" s="22"/>
      <c r="HLC270" s="22"/>
      <c r="HLD270" s="22"/>
      <c r="HLE270" s="22"/>
      <c r="HLF270" s="22"/>
      <c r="HLG270" s="22"/>
      <c r="HLH270" s="22"/>
      <c r="HLI270" s="22"/>
      <c r="HLJ270" s="22"/>
      <c r="HLK270" s="22"/>
      <c r="HLL270" s="22"/>
      <c r="HLM270" s="22"/>
      <c r="HLN270" s="22"/>
      <c r="HLO270" s="22"/>
      <c r="HLP270" s="22"/>
      <c r="HLQ270" s="22"/>
      <c r="HLR270" s="22"/>
      <c r="HLS270" s="22"/>
      <c r="HLT270" s="22"/>
      <c r="HLU270" s="22"/>
      <c r="HLV270" s="22"/>
      <c r="HLW270" s="22"/>
      <c r="HLX270" s="22"/>
      <c r="HLY270" s="22"/>
      <c r="HLZ270" s="22"/>
      <c r="HMA270" s="22"/>
      <c r="HMB270" s="22"/>
      <c r="HMC270" s="22"/>
      <c r="HMD270" s="22"/>
      <c r="HME270" s="22"/>
      <c r="HMF270" s="22"/>
      <c r="HMG270" s="22"/>
      <c r="HMH270" s="22"/>
      <c r="HMI270" s="22"/>
      <c r="HMJ270" s="22"/>
      <c r="HMK270" s="22"/>
      <c r="HML270" s="22"/>
      <c r="HMM270" s="22"/>
      <c r="HMN270" s="22"/>
      <c r="HMO270" s="22"/>
      <c r="HMP270" s="22"/>
      <c r="HMQ270" s="22"/>
      <c r="HMR270" s="22"/>
      <c r="HMS270" s="22"/>
      <c r="HMT270" s="22"/>
      <c r="HMU270" s="22"/>
      <c r="HMV270" s="22"/>
      <c r="HMW270" s="22"/>
      <c r="HMX270" s="22"/>
      <c r="HMY270" s="22"/>
      <c r="HMZ270" s="22"/>
      <c r="HNA270" s="22"/>
      <c r="HNB270" s="22"/>
      <c r="HNC270" s="22"/>
      <c r="HND270" s="22"/>
      <c r="HNE270" s="22"/>
      <c r="HNF270" s="22"/>
      <c r="HNG270" s="22"/>
      <c r="HNH270" s="22"/>
      <c r="HNI270" s="22"/>
      <c r="HNJ270" s="22"/>
      <c r="HNK270" s="22"/>
      <c r="HNL270" s="22"/>
      <c r="HNM270" s="22"/>
      <c r="HNN270" s="22"/>
      <c r="HNO270" s="22"/>
      <c r="HNP270" s="22"/>
      <c r="HNQ270" s="22"/>
      <c r="HNR270" s="22"/>
      <c r="HNS270" s="22"/>
      <c r="HNT270" s="22"/>
      <c r="HNU270" s="22"/>
      <c r="HNV270" s="22"/>
      <c r="HNW270" s="22"/>
      <c r="HNX270" s="22"/>
      <c r="HNY270" s="22"/>
      <c r="HNZ270" s="22"/>
      <c r="HOA270" s="22"/>
      <c r="HOB270" s="22"/>
      <c r="HOC270" s="22"/>
      <c r="HOD270" s="22"/>
      <c r="HOE270" s="22"/>
      <c r="HOF270" s="22"/>
      <c r="HOG270" s="22"/>
      <c r="HOH270" s="22"/>
      <c r="HOI270" s="22"/>
      <c r="HOJ270" s="22"/>
      <c r="HOK270" s="22"/>
      <c r="HOL270" s="22"/>
      <c r="HOM270" s="22"/>
      <c r="HON270" s="22"/>
      <c r="HOO270" s="22"/>
      <c r="HOP270" s="22"/>
      <c r="HOQ270" s="22"/>
      <c r="HOR270" s="22"/>
      <c r="HOS270" s="22"/>
      <c r="HOT270" s="22"/>
      <c r="HOU270" s="22"/>
      <c r="HOV270" s="22"/>
      <c r="HOW270" s="22"/>
      <c r="HOX270" s="22"/>
      <c r="HOY270" s="22"/>
      <c r="HOZ270" s="22"/>
      <c r="HPA270" s="22"/>
      <c r="HPB270" s="22"/>
      <c r="HPC270" s="22"/>
      <c r="HPD270" s="22"/>
      <c r="HPE270" s="22"/>
      <c r="HPF270" s="22"/>
      <c r="HPG270" s="22"/>
      <c r="HPH270" s="22"/>
      <c r="HPI270" s="22"/>
      <c r="HPJ270" s="22"/>
      <c r="HPK270" s="22"/>
      <c r="HPL270" s="22"/>
      <c r="HPM270" s="22"/>
      <c r="HPN270" s="22"/>
      <c r="HPO270" s="22"/>
      <c r="HPP270" s="22"/>
      <c r="HPQ270" s="22"/>
      <c r="HPR270" s="22"/>
      <c r="HPS270" s="22"/>
      <c r="HPT270" s="22"/>
      <c r="HPU270" s="22"/>
      <c r="HPV270" s="22"/>
      <c r="HPW270" s="22"/>
      <c r="HPX270" s="22"/>
      <c r="HPY270" s="22"/>
      <c r="HPZ270" s="22"/>
      <c r="HQA270" s="22"/>
      <c r="HQB270" s="22"/>
      <c r="HQC270" s="22"/>
      <c r="HQD270" s="22"/>
      <c r="HQE270" s="22"/>
      <c r="HQF270" s="22"/>
      <c r="HQG270" s="22"/>
      <c r="HQH270" s="22"/>
      <c r="HQI270" s="22"/>
      <c r="HQJ270" s="22"/>
      <c r="HQK270" s="22"/>
      <c r="HQL270" s="22"/>
      <c r="HQM270" s="22"/>
      <c r="HQN270" s="22"/>
      <c r="HQO270" s="22"/>
      <c r="HQP270" s="22"/>
      <c r="HQQ270" s="22"/>
      <c r="HQR270" s="22"/>
      <c r="HQS270" s="22"/>
      <c r="HQT270" s="22"/>
      <c r="HQU270" s="22"/>
      <c r="HQV270" s="22"/>
      <c r="HQW270" s="22"/>
      <c r="HQX270" s="22"/>
      <c r="HQY270" s="22"/>
      <c r="HQZ270" s="22"/>
      <c r="HRA270" s="22"/>
      <c r="HRB270" s="22"/>
      <c r="HRC270" s="22"/>
      <c r="HRD270" s="22"/>
      <c r="HRE270" s="22"/>
      <c r="HRF270" s="22"/>
      <c r="HRG270" s="22"/>
      <c r="HRH270" s="22"/>
      <c r="HRI270" s="22"/>
      <c r="HRJ270" s="22"/>
      <c r="HRK270" s="22"/>
      <c r="HRL270" s="22"/>
      <c r="HRM270" s="22"/>
      <c r="HRN270" s="22"/>
      <c r="HRO270" s="22"/>
      <c r="HRP270" s="22"/>
      <c r="HRQ270" s="22"/>
      <c r="HRR270" s="22"/>
      <c r="HRS270" s="22"/>
      <c r="HRT270" s="22"/>
      <c r="HRU270" s="22"/>
      <c r="HRV270" s="22"/>
      <c r="HRW270" s="22"/>
      <c r="HRX270" s="22"/>
      <c r="HRY270" s="22"/>
      <c r="HRZ270" s="22"/>
      <c r="HSA270" s="22"/>
      <c r="HSB270" s="22"/>
      <c r="HSC270" s="22"/>
      <c r="HSD270" s="22"/>
      <c r="HSE270" s="22"/>
      <c r="HSF270" s="22"/>
      <c r="HSG270" s="22"/>
      <c r="HSH270" s="22"/>
      <c r="HSI270" s="22"/>
      <c r="HSJ270" s="22"/>
      <c r="HSK270" s="22"/>
      <c r="HSL270" s="22"/>
      <c r="HSM270" s="22"/>
      <c r="HSN270" s="22"/>
      <c r="HSO270" s="22"/>
      <c r="HSP270" s="22"/>
      <c r="HSQ270" s="22"/>
      <c r="HSR270" s="22"/>
      <c r="HSS270" s="22"/>
      <c r="HST270" s="22"/>
      <c r="HSU270" s="22"/>
      <c r="HSV270" s="22"/>
      <c r="HSW270" s="22"/>
      <c r="HSX270" s="22"/>
      <c r="HSY270" s="22"/>
      <c r="HSZ270" s="22"/>
      <c r="HTA270" s="22"/>
      <c r="HTB270" s="22"/>
      <c r="HTC270" s="22"/>
      <c r="HTD270" s="22"/>
      <c r="HTE270" s="22"/>
      <c r="HTF270" s="22"/>
      <c r="HTG270" s="22"/>
      <c r="HTH270" s="22"/>
      <c r="HTI270" s="22"/>
      <c r="HTJ270" s="22"/>
      <c r="HTK270" s="22"/>
      <c r="HTL270" s="22"/>
      <c r="HTM270" s="22"/>
      <c r="HTN270" s="22"/>
      <c r="HTO270" s="22"/>
      <c r="HTP270" s="22"/>
      <c r="HTQ270" s="22"/>
      <c r="HTR270" s="22"/>
      <c r="HTS270" s="22"/>
      <c r="HTT270" s="22"/>
      <c r="HTU270" s="22"/>
      <c r="HTV270" s="22"/>
      <c r="HTW270" s="22"/>
      <c r="HTX270" s="22"/>
      <c r="HTY270" s="22"/>
      <c r="HTZ270" s="22"/>
      <c r="HUA270" s="22"/>
      <c r="HUB270" s="22"/>
      <c r="HUC270" s="22"/>
      <c r="HUD270" s="22"/>
      <c r="HUE270" s="22"/>
      <c r="HUF270" s="22"/>
      <c r="HUG270" s="22"/>
      <c r="HUH270" s="22"/>
      <c r="HUI270" s="22"/>
      <c r="HUJ270" s="22"/>
      <c r="HUK270" s="22"/>
      <c r="HUL270" s="22"/>
      <c r="HUM270" s="22"/>
      <c r="HUN270" s="22"/>
      <c r="HUO270" s="22"/>
      <c r="HUP270" s="22"/>
      <c r="HUQ270" s="22"/>
      <c r="HUR270" s="22"/>
      <c r="HUS270" s="22"/>
      <c r="HUT270" s="22"/>
      <c r="HUU270" s="22"/>
      <c r="HUV270" s="22"/>
      <c r="HUW270" s="22"/>
      <c r="HUX270" s="22"/>
      <c r="HUY270" s="22"/>
      <c r="HUZ270" s="22"/>
      <c r="HVA270" s="22"/>
      <c r="HVB270" s="22"/>
      <c r="HVC270" s="22"/>
      <c r="HVD270" s="22"/>
      <c r="HVE270" s="22"/>
      <c r="HVF270" s="22"/>
      <c r="HVG270" s="22"/>
      <c r="HVH270" s="22"/>
      <c r="HVI270" s="22"/>
      <c r="HVJ270" s="22"/>
      <c r="HVK270" s="22"/>
      <c r="HVL270" s="22"/>
      <c r="HVM270" s="22"/>
      <c r="HVN270" s="22"/>
      <c r="HVO270" s="22"/>
      <c r="HVP270" s="22"/>
      <c r="HVQ270" s="22"/>
      <c r="HVR270" s="22"/>
      <c r="HVS270" s="22"/>
      <c r="HVT270" s="22"/>
      <c r="HVU270" s="22"/>
      <c r="HVV270" s="22"/>
      <c r="HVW270" s="22"/>
      <c r="HVX270" s="22"/>
      <c r="HVY270" s="22"/>
      <c r="HVZ270" s="22"/>
      <c r="HWA270" s="22"/>
      <c r="HWB270" s="22"/>
      <c r="HWC270" s="22"/>
      <c r="HWD270" s="22"/>
      <c r="HWE270" s="22"/>
      <c r="HWF270" s="22"/>
      <c r="HWG270" s="22"/>
      <c r="HWH270" s="22"/>
      <c r="HWI270" s="22"/>
      <c r="HWJ270" s="22"/>
      <c r="HWK270" s="22"/>
      <c r="HWL270" s="22"/>
      <c r="HWM270" s="22"/>
      <c r="HWN270" s="22"/>
      <c r="HWO270" s="22"/>
      <c r="HWP270" s="22"/>
      <c r="HWQ270" s="22"/>
      <c r="HWR270" s="22"/>
      <c r="HWS270" s="22"/>
      <c r="HWT270" s="22"/>
      <c r="HWU270" s="22"/>
      <c r="HWV270" s="22"/>
      <c r="HWW270" s="22"/>
      <c r="HWX270" s="22"/>
      <c r="HWY270" s="22"/>
      <c r="HWZ270" s="22"/>
      <c r="HXA270" s="22"/>
      <c r="HXB270" s="22"/>
      <c r="HXC270" s="22"/>
      <c r="HXD270" s="22"/>
      <c r="HXE270" s="22"/>
      <c r="HXF270" s="22"/>
      <c r="HXG270" s="22"/>
      <c r="HXH270" s="22"/>
      <c r="HXI270" s="22"/>
      <c r="HXJ270" s="22"/>
      <c r="HXK270" s="22"/>
      <c r="HXL270" s="22"/>
      <c r="HXM270" s="22"/>
      <c r="HXN270" s="22"/>
      <c r="HXO270" s="22"/>
      <c r="HXP270" s="22"/>
      <c r="HXQ270" s="22"/>
      <c r="HXR270" s="22"/>
      <c r="HXS270" s="22"/>
      <c r="HXT270" s="22"/>
      <c r="HXU270" s="22"/>
      <c r="HXV270" s="22"/>
      <c r="HXW270" s="22"/>
      <c r="HXX270" s="22"/>
      <c r="HXY270" s="22"/>
      <c r="HXZ270" s="22"/>
      <c r="HYA270" s="22"/>
      <c r="HYB270" s="22"/>
      <c r="HYC270" s="22"/>
      <c r="HYD270" s="22"/>
      <c r="HYE270" s="22"/>
      <c r="HYF270" s="22"/>
      <c r="HYG270" s="22"/>
      <c r="HYH270" s="22"/>
      <c r="HYI270" s="22"/>
      <c r="HYJ270" s="22"/>
      <c r="HYK270" s="22"/>
      <c r="HYL270" s="22"/>
      <c r="HYM270" s="22"/>
      <c r="HYN270" s="22"/>
      <c r="HYO270" s="22"/>
      <c r="HYP270" s="22"/>
      <c r="HYQ270" s="22"/>
      <c r="HYR270" s="22"/>
      <c r="HYS270" s="22"/>
      <c r="HYT270" s="22"/>
      <c r="HYU270" s="22"/>
      <c r="HYV270" s="22"/>
      <c r="HYW270" s="22"/>
      <c r="HYX270" s="22"/>
      <c r="HYY270" s="22"/>
      <c r="HYZ270" s="22"/>
      <c r="HZA270" s="22"/>
      <c r="HZB270" s="22"/>
      <c r="HZC270" s="22"/>
      <c r="HZD270" s="22"/>
      <c r="HZE270" s="22"/>
      <c r="HZF270" s="22"/>
      <c r="HZG270" s="22"/>
      <c r="HZH270" s="22"/>
      <c r="HZI270" s="22"/>
      <c r="HZJ270" s="22"/>
      <c r="HZK270" s="22"/>
      <c r="HZL270" s="22"/>
      <c r="HZM270" s="22"/>
      <c r="HZN270" s="22"/>
      <c r="HZO270" s="22"/>
      <c r="HZP270" s="22"/>
      <c r="HZQ270" s="22"/>
      <c r="HZR270" s="22"/>
      <c r="HZS270" s="22"/>
      <c r="HZT270" s="22"/>
      <c r="HZU270" s="22"/>
      <c r="HZV270" s="22"/>
      <c r="HZW270" s="22"/>
      <c r="HZX270" s="22"/>
      <c r="HZY270" s="22"/>
      <c r="HZZ270" s="22"/>
      <c r="IAA270" s="22"/>
      <c r="IAB270" s="22"/>
      <c r="IAC270" s="22"/>
      <c r="IAD270" s="22"/>
      <c r="IAE270" s="22"/>
      <c r="IAF270" s="22"/>
      <c r="IAG270" s="22"/>
      <c r="IAH270" s="22"/>
      <c r="IAI270" s="22"/>
      <c r="IAJ270" s="22"/>
      <c r="IAK270" s="22"/>
      <c r="IAL270" s="22"/>
      <c r="IAM270" s="22"/>
      <c r="IAN270" s="22"/>
      <c r="IAO270" s="22"/>
      <c r="IAP270" s="22"/>
      <c r="IAQ270" s="22"/>
      <c r="IAR270" s="22"/>
      <c r="IAS270" s="22"/>
      <c r="IAT270" s="22"/>
      <c r="IAU270" s="22"/>
      <c r="IAV270" s="22"/>
      <c r="IAW270" s="22"/>
      <c r="IAX270" s="22"/>
      <c r="IAY270" s="22"/>
      <c r="IAZ270" s="22"/>
      <c r="IBA270" s="22"/>
      <c r="IBB270" s="22"/>
      <c r="IBC270" s="22"/>
      <c r="IBD270" s="22"/>
      <c r="IBE270" s="22"/>
      <c r="IBF270" s="22"/>
      <c r="IBG270" s="22"/>
      <c r="IBH270" s="22"/>
      <c r="IBI270" s="22"/>
      <c r="IBJ270" s="22"/>
      <c r="IBK270" s="22"/>
      <c r="IBL270" s="22"/>
      <c r="IBM270" s="22"/>
      <c r="IBN270" s="22"/>
      <c r="IBO270" s="22"/>
      <c r="IBP270" s="22"/>
      <c r="IBQ270" s="22"/>
      <c r="IBR270" s="22"/>
      <c r="IBS270" s="22"/>
      <c r="IBT270" s="22"/>
      <c r="IBU270" s="22"/>
      <c r="IBV270" s="22"/>
      <c r="IBW270" s="22"/>
      <c r="IBX270" s="22"/>
      <c r="IBY270" s="22"/>
      <c r="IBZ270" s="22"/>
      <c r="ICA270" s="22"/>
      <c r="ICB270" s="22"/>
      <c r="ICC270" s="22"/>
      <c r="ICD270" s="22"/>
      <c r="ICE270" s="22"/>
      <c r="ICF270" s="22"/>
      <c r="ICG270" s="22"/>
      <c r="ICH270" s="22"/>
      <c r="ICI270" s="22"/>
      <c r="ICJ270" s="22"/>
      <c r="ICK270" s="22"/>
      <c r="ICL270" s="22"/>
      <c r="ICM270" s="22"/>
      <c r="ICN270" s="22"/>
      <c r="ICO270" s="22"/>
      <c r="ICP270" s="22"/>
      <c r="ICQ270" s="22"/>
      <c r="ICR270" s="22"/>
      <c r="ICS270" s="22"/>
      <c r="ICT270" s="22"/>
      <c r="ICU270" s="22"/>
      <c r="ICV270" s="22"/>
      <c r="ICW270" s="22"/>
      <c r="ICX270" s="22"/>
      <c r="ICY270" s="22"/>
      <c r="ICZ270" s="22"/>
      <c r="IDA270" s="22"/>
      <c r="IDB270" s="22"/>
      <c r="IDC270" s="22"/>
      <c r="IDD270" s="22"/>
      <c r="IDE270" s="22"/>
      <c r="IDF270" s="22"/>
      <c r="IDG270" s="22"/>
      <c r="IDH270" s="22"/>
      <c r="IDI270" s="22"/>
      <c r="IDJ270" s="22"/>
      <c r="IDK270" s="22"/>
      <c r="IDL270" s="22"/>
      <c r="IDM270" s="22"/>
      <c r="IDN270" s="22"/>
      <c r="IDO270" s="22"/>
      <c r="IDP270" s="22"/>
      <c r="IDQ270" s="22"/>
      <c r="IDR270" s="22"/>
      <c r="IDS270" s="22"/>
      <c r="IDT270" s="22"/>
      <c r="IDU270" s="22"/>
      <c r="IDV270" s="22"/>
      <c r="IDW270" s="22"/>
      <c r="IDX270" s="22"/>
      <c r="IDY270" s="22"/>
      <c r="IDZ270" s="22"/>
      <c r="IEA270" s="22"/>
      <c r="IEB270" s="22"/>
      <c r="IEC270" s="22"/>
      <c r="IED270" s="22"/>
      <c r="IEE270" s="22"/>
      <c r="IEF270" s="22"/>
      <c r="IEG270" s="22"/>
      <c r="IEH270" s="22"/>
      <c r="IEI270" s="22"/>
      <c r="IEJ270" s="22"/>
      <c r="IEK270" s="22"/>
      <c r="IEL270" s="22"/>
      <c r="IEM270" s="22"/>
      <c r="IEN270" s="22"/>
      <c r="IEO270" s="22"/>
      <c r="IEP270" s="22"/>
      <c r="IEQ270" s="22"/>
      <c r="IER270" s="22"/>
      <c r="IES270" s="22"/>
      <c r="IET270" s="22"/>
      <c r="IEU270" s="22"/>
      <c r="IEV270" s="22"/>
      <c r="IEW270" s="22"/>
      <c r="IEX270" s="22"/>
      <c r="IEY270" s="22"/>
      <c r="IEZ270" s="22"/>
      <c r="IFA270" s="22"/>
      <c r="IFB270" s="22"/>
      <c r="IFC270" s="22"/>
      <c r="IFD270" s="22"/>
      <c r="IFE270" s="22"/>
      <c r="IFF270" s="22"/>
      <c r="IFG270" s="22"/>
      <c r="IFH270" s="22"/>
      <c r="IFI270" s="22"/>
      <c r="IFJ270" s="22"/>
      <c r="IFK270" s="22"/>
      <c r="IFL270" s="22"/>
      <c r="IFM270" s="22"/>
      <c r="IFN270" s="22"/>
      <c r="IFO270" s="22"/>
      <c r="IFP270" s="22"/>
      <c r="IFQ270" s="22"/>
      <c r="IFR270" s="22"/>
      <c r="IFS270" s="22"/>
      <c r="IFT270" s="22"/>
      <c r="IFU270" s="22"/>
      <c r="IFV270" s="22"/>
      <c r="IFW270" s="22"/>
      <c r="IFX270" s="22"/>
      <c r="IFY270" s="22"/>
      <c r="IFZ270" s="22"/>
      <c r="IGA270" s="22"/>
      <c r="IGB270" s="22"/>
      <c r="IGC270" s="22"/>
      <c r="IGD270" s="22"/>
      <c r="IGE270" s="22"/>
      <c r="IGF270" s="22"/>
      <c r="IGG270" s="22"/>
      <c r="IGH270" s="22"/>
      <c r="IGI270" s="22"/>
      <c r="IGJ270" s="22"/>
      <c r="IGK270" s="22"/>
      <c r="IGL270" s="22"/>
      <c r="IGM270" s="22"/>
      <c r="IGN270" s="22"/>
      <c r="IGO270" s="22"/>
      <c r="IGP270" s="22"/>
      <c r="IGQ270" s="22"/>
      <c r="IGR270" s="22"/>
      <c r="IGS270" s="22"/>
      <c r="IGT270" s="22"/>
      <c r="IGU270" s="22"/>
      <c r="IGV270" s="22"/>
      <c r="IGW270" s="22"/>
      <c r="IGX270" s="22"/>
      <c r="IGY270" s="22"/>
      <c r="IGZ270" s="22"/>
      <c r="IHA270" s="22"/>
      <c r="IHB270" s="22"/>
      <c r="IHC270" s="22"/>
      <c r="IHD270" s="22"/>
      <c r="IHE270" s="22"/>
      <c r="IHF270" s="22"/>
      <c r="IHG270" s="22"/>
      <c r="IHH270" s="22"/>
      <c r="IHI270" s="22"/>
      <c r="IHJ270" s="22"/>
      <c r="IHK270" s="22"/>
      <c r="IHL270" s="22"/>
      <c r="IHM270" s="22"/>
      <c r="IHN270" s="22"/>
      <c r="IHO270" s="22"/>
      <c r="IHP270" s="22"/>
      <c r="IHQ270" s="22"/>
      <c r="IHR270" s="22"/>
      <c r="IHS270" s="22"/>
      <c r="IHT270" s="22"/>
      <c r="IHU270" s="22"/>
      <c r="IHV270" s="22"/>
      <c r="IHW270" s="22"/>
      <c r="IHX270" s="22"/>
      <c r="IHY270" s="22"/>
      <c r="IHZ270" s="22"/>
      <c r="IIA270" s="22"/>
      <c r="IIB270" s="22"/>
      <c r="IIC270" s="22"/>
      <c r="IID270" s="22"/>
      <c r="IIE270" s="22"/>
      <c r="IIF270" s="22"/>
      <c r="IIG270" s="22"/>
      <c r="IIH270" s="22"/>
      <c r="III270" s="22"/>
      <c r="IIJ270" s="22"/>
      <c r="IIK270" s="22"/>
      <c r="IIL270" s="22"/>
      <c r="IIM270" s="22"/>
      <c r="IIN270" s="22"/>
      <c r="IIO270" s="22"/>
      <c r="IIP270" s="22"/>
      <c r="IIQ270" s="22"/>
      <c r="IIR270" s="22"/>
      <c r="IIS270" s="22"/>
      <c r="IIT270" s="22"/>
      <c r="IIU270" s="22"/>
      <c r="IIV270" s="22"/>
      <c r="IIW270" s="22"/>
      <c r="IIX270" s="22"/>
      <c r="IIY270" s="22"/>
      <c r="IIZ270" s="22"/>
      <c r="IJA270" s="22"/>
      <c r="IJB270" s="22"/>
      <c r="IJC270" s="22"/>
      <c r="IJD270" s="22"/>
      <c r="IJE270" s="22"/>
      <c r="IJF270" s="22"/>
      <c r="IJG270" s="22"/>
      <c r="IJH270" s="22"/>
      <c r="IJI270" s="22"/>
      <c r="IJJ270" s="22"/>
      <c r="IJK270" s="22"/>
      <c r="IJL270" s="22"/>
      <c r="IJM270" s="22"/>
      <c r="IJN270" s="22"/>
      <c r="IJO270" s="22"/>
      <c r="IJP270" s="22"/>
      <c r="IJQ270" s="22"/>
      <c r="IJR270" s="22"/>
      <c r="IJS270" s="22"/>
      <c r="IJT270" s="22"/>
      <c r="IJU270" s="22"/>
      <c r="IJV270" s="22"/>
      <c r="IJW270" s="22"/>
      <c r="IJX270" s="22"/>
      <c r="IJY270" s="22"/>
      <c r="IJZ270" s="22"/>
      <c r="IKA270" s="22"/>
      <c r="IKB270" s="22"/>
      <c r="IKC270" s="22"/>
      <c r="IKD270" s="22"/>
      <c r="IKE270" s="22"/>
      <c r="IKF270" s="22"/>
      <c r="IKG270" s="22"/>
      <c r="IKH270" s="22"/>
      <c r="IKI270" s="22"/>
      <c r="IKJ270" s="22"/>
      <c r="IKK270" s="22"/>
      <c r="IKL270" s="22"/>
      <c r="IKM270" s="22"/>
      <c r="IKN270" s="22"/>
      <c r="IKO270" s="22"/>
      <c r="IKP270" s="22"/>
      <c r="IKQ270" s="22"/>
      <c r="IKR270" s="22"/>
      <c r="IKS270" s="22"/>
      <c r="IKT270" s="22"/>
      <c r="IKU270" s="22"/>
      <c r="IKV270" s="22"/>
      <c r="IKW270" s="22"/>
      <c r="IKX270" s="22"/>
      <c r="IKY270" s="22"/>
      <c r="IKZ270" s="22"/>
      <c r="ILA270" s="22"/>
      <c r="ILB270" s="22"/>
      <c r="ILC270" s="22"/>
      <c r="ILD270" s="22"/>
      <c r="ILE270" s="22"/>
      <c r="ILF270" s="22"/>
      <c r="ILG270" s="22"/>
      <c r="ILH270" s="22"/>
      <c r="ILI270" s="22"/>
      <c r="ILJ270" s="22"/>
      <c r="ILK270" s="22"/>
      <c r="ILL270" s="22"/>
      <c r="ILM270" s="22"/>
      <c r="ILN270" s="22"/>
      <c r="ILO270" s="22"/>
      <c r="ILP270" s="22"/>
      <c r="ILQ270" s="22"/>
      <c r="ILR270" s="22"/>
      <c r="ILS270" s="22"/>
      <c r="ILT270" s="22"/>
      <c r="ILU270" s="22"/>
      <c r="ILV270" s="22"/>
      <c r="ILW270" s="22"/>
      <c r="ILX270" s="22"/>
      <c r="ILY270" s="22"/>
      <c r="ILZ270" s="22"/>
      <c r="IMA270" s="22"/>
      <c r="IMB270" s="22"/>
      <c r="IMC270" s="22"/>
      <c r="IMD270" s="22"/>
      <c r="IME270" s="22"/>
      <c r="IMF270" s="22"/>
      <c r="IMG270" s="22"/>
      <c r="IMH270" s="22"/>
      <c r="IMI270" s="22"/>
      <c r="IMJ270" s="22"/>
      <c r="IMK270" s="22"/>
      <c r="IML270" s="22"/>
      <c r="IMM270" s="22"/>
      <c r="IMN270" s="22"/>
      <c r="IMO270" s="22"/>
      <c r="IMP270" s="22"/>
      <c r="IMQ270" s="22"/>
      <c r="IMR270" s="22"/>
      <c r="IMS270" s="22"/>
      <c r="IMT270" s="22"/>
      <c r="IMU270" s="22"/>
      <c r="IMV270" s="22"/>
      <c r="IMW270" s="22"/>
      <c r="IMX270" s="22"/>
      <c r="IMY270" s="22"/>
      <c r="IMZ270" s="22"/>
      <c r="INA270" s="22"/>
      <c r="INB270" s="22"/>
      <c r="INC270" s="22"/>
      <c r="IND270" s="22"/>
      <c r="INE270" s="22"/>
      <c r="INF270" s="22"/>
      <c r="ING270" s="22"/>
      <c r="INH270" s="22"/>
      <c r="INI270" s="22"/>
      <c r="INJ270" s="22"/>
      <c r="INK270" s="22"/>
      <c r="INL270" s="22"/>
      <c r="INM270" s="22"/>
      <c r="INN270" s="22"/>
      <c r="INO270" s="22"/>
      <c r="INP270" s="22"/>
      <c r="INQ270" s="22"/>
      <c r="INR270" s="22"/>
      <c r="INS270" s="22"/>
      <c r="INT270" s="22"/>
      <c r="INU270" s="22"/>
      <c r="INV270" s="22"/>
      <c r="INW270" s="22"/>
      <c r="INX270" s="22"/>
      <c r="INY270" s="22"/>
      <c r="INZ270" s="22"/>
      <c r="IOA270" s="22"/>
      <c r="IOB270" s="22"/>
      <c r="IOC270" s="22"/>
      <c r="IOD270" s="22"/>
      <c r="IOE270" s="22"/>
      <c r="IOF270" s="22"/>
      <c r="IOG270" s="22"/>
      <c r="IOH270" s="22"/>
      <c r="IOI270" s="22"/>
      <c r="IOJ270" s="22"/>
      <c r="IOK270" s="22"/>
      <c r="IOL270" s="22"/>
      <c r="IOM270" s="22"/>
      <c r="ION270" s="22"/>
      <c r="IOO270" s="22"/>
      <c r="IOP270" s="22"/>
      <c r="IOQ270" s="22"/>
      <c r="IOR270" s="22"/>
      <c r="IOS270" s="22"/>
      <c r="IOT270" s="22"/>
      <c r="IOU270" s="22"/>
      <c r="IOV270" s="22"/>
      <c r="IOW270" s="22"/>
      <c r="IOX270" s="22"/>
      <c r="IOY270" s="22"/>
      <c r="IOZ270" s="22"/>
      <c r="IPA270" s="22"/>
      <c r="IPB270" s="22"/>
      <c r="IPC270" s="22"/>
      <c r="IPD270" s="22"/>
      <c r="IPE270" s="22"/>
      <c r="IPF270" s="22"/>
      <c r="IPG270" s="22"/>
      <c r="IPH270" s="22"/>
      <c r="IPI270" s="22"/>
      <c r="IPJ270" s="22"/>
      <c r="IPK270" s="22"/>
      <c r="IPL270" s="22"/>
      <c r="IPM270" s="22"/>
      <c r="IPN270" s="22"/>
      <c r="IPO270" s="22"/>
      <c r="IPP270" s="22"/>
      <c r="IPQ270" s="22"/>
      <c r="IPR270" s="22"/>
      <c r="IPS270" s="22"/>
      <c r="IPT270" s="22"/>
      <c r="IPU270" s="22"/>
      <c r="IPV270" s="22"/>
      <c r="IPW270" s="22"/>
      <c r="IPX270" s="22"/>
      <c r="IPY270" s="22"/>
      <c r="IPZ270" s="22"/>
      <c r="IQA270" s="22"/>
      <c r="IQB270" s="22"/>
      <c r="IQC270" s="22"/>
      <c r="IQD270" s="22"/>
      <c r="IQE270" s="22"/>
      <c r="IQF270" s="22"/>
      <c r="IQG270" s="22"/>
      <c r="IQH270" s="22"/>
      <c r="IQI270" s="22"/>
      <c r="IQJ270" s="22"/>
      <c r="IQK270" s="22"/>
      <c r="IQL270" s="22"/>
      <c r="IQM270" s="22"/>
      <c r="IQN270" s="22"/>
      <c r="IQO270" s="22"/>
      <c r="IQP270" s="22"/>
      <c r="IQQ270" s="22"/>
      <c r="IQR270" s="22"/>
      <c r="IQS270" s="22"/>
      <c r="IQT270" s="22"/>
      <c r="IQU270" s="22"/>
      <c r="IQV270" s="22"/>
      <c r="IQW270" s="22"/>
      <c r="IQX270" s="22"/>
      <c r="IQY270" s="22"/>
      <c r="IQZ270" s="22"/>
      <c r="IRA270" s="22"/>
      <c r="IRB270" s="22"/>
      <c r="IRC270" s="22"/>
      <c r="IRD270" s="22"/>
      <c r="IRE270" s="22"/>
      <c r="IRF270" s="22"/>
      <c r="IRG270" s="22"/>
      <c r="IRH270" s="22"/>
      <c r="IRI270" s="22"/>
      <c r="IRJ270" s="22"/>
      <c r="IRK270" s="22"/>
      <c r="IRL270" s="22"/>
      <c r="IRM270" s="22"/>
      <c r="IRN270" s="22"/>
      <c r="IRO270" s="22"/>
      <c r="IRP270" s="22"/>
      <c r="IRQ270" s="22"/>
      <c r="IRR270" s="22"/>
      <c r="IRS270" s="22"/>
      <c r="IRT270" s="22"/>
      <c r="IRU270" s="22"/>
      <c r="IRV270" s="22"/>
      <c r="IRW270" s="22"/>
      <c r="IRX270" s="22"/>
      <c r="IRY270" s="22"/>
      <c r="IRZ270" s="22"/>
      <c r="ISA270" s="22"/>
      <c r="ISB270" s="22"/>
      <c r="ISC270" s="22"/>
      <c r="ISD270" s="22"/>
      <c r="ISE270" s="22"/>
      <c r="ISF270" s="22"/>
      <c r="ISG270" s="22"/>
      <c r="ISH270" s="22"/>
      <c r="ISI270" s="22"/>
      <c r="ISJ270" s="22"/>
      <c r="ISK270" s="22"/>
      <c r="ISL270" s="22"/>
      <c r="ISM270" s="22"/>
      <c r="ISN270" s="22"/>
      <c r="ISO270" s="22"/>
      <c r="ISP270" s="22"/>
      <c r="ISQ270" s="22"/>
      <c r="ISR270" s="22"/>
      <c r="ISS270" s="22"/>
      <c r="IST270" s="22"/>
      <c r="ISU270" s="22"/>
      <c r="ISV270" s="22"/>
      <c r="ISW270" s="22"/>
      <c r="ISX270" s="22"/>
      <c r="ISY270" s="22"/>
      <c r="ISZ270" s="22"/>
      <c r="ITA270" s="22"/>
      <c r="ITB270" s="22"/>
      <c r="ITC270" s="22"/>
      <c r="ITD270" s="22"/>
      <c r="ITE270" s="22"/>
      <c r="ITF270" s="22"/>
      <c r="ITG270" s="22"/>
      <c r="ITH270" s="22"/>
      <c r="ITI270" s="22"/>
      <c r="ITJ270" s="22"/>
      <c r="ITK270" s="22"/>
      <c r="ITL270" s="22"/>
      <c r="ITM270" s="22"/>
      <c r="ITN270" s="22"/>
      <c r="ITO270" s="22"/>
      <c r="ITP270" s="22"/>
      <c r="ITQ270" s="22"/>
      <c r="ITR270" s="22"/>
      <c r="ITS270" s="22"/>
      <c r="ITT270" s="22"/>
      <c r="ITU270" s="22"/>
      <c r="ITV270" s="22"/>
      <c r="ITW270" s="22"/>
      <c r="ITX270" s="22"/>
      <c r="ITY270" s="22"/>
      <c r="ITZ270" s="22"/>
      <c r="IUA270" s="22"/>
      <c r="IUB270" s="22"/>
      <c r="IUC270" s="22"/>
      <c r="IUD270" s="22"/>
      <c r="IUE270" s="22"/>
      <c r="IUF270" s="22"/>
      <c r="IUG270" s="22"/>
      <c r="IUH270" s="22"/>
      <c r="IUI270" s="22"/>
      <c r="IUJ270" s="22"/>
      <c r="IUK270" s="22"/>
      <c r="IUL270" s="22"/>
      <c r="IUM270" s="22"/>
      <c r="IUN270" s="22"/>
      <c r="IUO270" s="22"/>
      <c r="IUP270" s="22"/>
      <c r="IUQ270" s="22"/>
      <c r="IUR270" s="22"/>
      <c r="IUS270" s="22"/>
      <c r="IUT270" s="22"/>
      <c r="IUU270" s="22"/>
      <c r="IUV270" s="22"/>
      <c r="IUW270" s="22"/>
      <c r="IUX270" s="22"/>
      <c r="IUY270" s="22"/>
      <c r="IUZ270" s="22"/>
      <c r="IVA270" s="22"/>
      <c r="IVB270" s="22"/>
      <c r="IVC270" s="22"/>
      <c r="IVD270" s="22"/>
      <c r="IVE270" s="22"/>
      <c r="IVF270" s="22"/>
      <c r="IVG270" s="22"/>
      <c r="IVH270" s="22"/>
      <c r="IVI270" s="22"/>
      <c r="IVJ270" s="22"/>
      <c r="IVK270" s="22"/>
      <c r="IVL270" s="22"/>
      <c r="IVM270" s="22"/>
      <c r="IVN270" s="22"/>
      <c r="IVO270" s="22"/>
      <c r="IVP270" s="22"/>
      <c r="IVQ270" s="22"/>
      <c r="IVR270" s="22"/>
      <c r="IVS270" s="22"/>
      <c r="IVT270" s="22"/>
      <c r="IVU270" s="22"/>
      <c r="IVV270" s="22"/>
      <c r="IVW270" s="22"/>
      <c r="IVX270" s="22"/>
      <c r="IVY270" s="22"/>
      <c r="IVZ270" s="22"/>
      <c r="IWA270" s="22"/>
      <c r="IWB270" s="22"/>
      <c r="IWC270" s="22"/>
      <c r="IWD270" s="22"/>
      <c r="IWE270" s="22"/>
      <c r="IWF270" s="22"/>
      <c r="IWG270" s="22"/>
      <c r="IWH270" s="22"/>
      <c r="IWI270" s="22"/>
      <c r="IWJ270" s="22"/>
      <c r="IWK270" s="22"/>
      <c r="IWL270" s="22"/>
      <c r="IWM270" s="22"/>
      <c r="IWN270" s="22"/>
      <c r="IWO270" s="22"/>
      <c r="IWP270" s="22"/>
      <c r="IWQ270" s="22"/>
      <c r="IWR270" s="22"/>
      <c r="IWS270" s="22"/>
      <c r="IWT270" s="22"/>
      <c r="IWU270" s="22"/>
      <c r="IWV270" s="22"/>
      <c r="IWW270" s="22"/>
      <c r="IWX270" s="22"/>
      <c r="IWY270" s="22"/>
      <c r="IWZ270" s="22"/>
      <c r="IXA270" s="22"/>
      <c r="IXB270" s="22"/>
      <c r="IXC270" s="22"/>
      <c r="IXD270" s="22"/>
      <c r="IXE270" s="22"/>
      <c r="IXF270" s="22"/>
      <c r="IXG270" s="22"/>
      <c r="IXH270" s="22"/>
      <c r="IXI270" s="22"/>
      <c r="IXJ270" s="22"/>
      <c r="IXK270" s="22"/>
      <c r="IXL270" s="22"/>
      <c r="IXM270" s="22"/>
      <c r="IXN270" s="22"/>
      <c r="IXO270" s="22"/>
      <c r="IXP270" s="22"/>
      <c r="IXQ270" s="22"/>
      <c r="IXR270" s="22"/>
      <c r="IXS270" s="22"/>
      <c r="IXT270" s="22"/>
      <c r="IXU270" s="22"/>
      <c r="IXV270" s="22"/>
      <c r="IXW270" s="22"/>
      <c r="IXX270" s="22"/>
      <c r="IXY270" s="22"/>
      <c r="IXZ270" s="22"/>
      <c r="IYA270" s="22"/>
      <c r="IYB270" s="22"/>
      <c r="IYC270" s="22"/>
      <c r="IYD270" s="22"/>
      <c r="IYE270" s="22"/>
      <c r="IYF270" s="22"/>
      <c r="IYG270" s="22"/>
      <c r="IYH270" s="22"/>
      <c r="IYI270" s="22"/>
      <c r="IYJ270" s="22"/>
      <c r="IYK270" s="22"/>
      <c r="IYL270" s="22"/>
      <c r="IYM270" s="22"/>
      <c r="IYN270" s="22"/>
      <c r="IYO270" s="22"/>
      <c r="IYP270" s="22"/>
      <c r="IYQ270" s="22"/>
      <c r="IYR270" s="22"/>
      <c r="IYS270" s="22"/>
      <c r="IYT270" s="22"/>
      <c r="IYU270" s="22"/>
      <c r="IYV270" s="22"/>
      <c r="IYW270" s="22"/>
      <c r="IYX270" s="22"/>
      <c r="IYY270" s="22"/>
      <c r="IYZ270" s="22"/>
      <c r="IZA270" s="22"/>
      <c r="IZB270" s="22"/>
      <c r="IZC270" s="22"/>
      <c r="IZD270" s="22"/>
      <c r="IZE270" s="22"/>
      <c r="IZF270" s="22"/>
      <c r="IZG270" s="22"/>
      <c r="IZH270" s="22"/>
      <c r="IZI270" s="22"/>
      <c r="IZJ270" s="22"/>
      <c r="IZK270" s="22"/>
      <c r="IZL270" s="22"/>
      <c r="IZM270" s="22"/>
      <c r="IZN270" s="22"/>
      <c r="IZO270" s="22"/>
      <c r="IZP270" s="22"/>
      <c r="IZQ270" s="22"/>
      <c r="IZR270" s="22"/>
      <c r="IZS270" s="22"/>
      <c r="IZT270" s="22"/>
      <c r="IZU270" s="22"/>
      <c r="IZV270" s="22"/>
      <c r="IZW270" s="22"/>
      <c r="IZX270" s="22"/>
      <c r="IZY270" s="22"/>
      <c r="IZZ270" s="22"/>
      <c r="JAA270" s="22"/>
      <c r="JAB270" s="22"/>
      <c r="JAC270" s="22"/>
      <c r="JAD270" s="22"/>
      <c r="JAE270" s="22"/>
      <c r="JAF270" s="22"/>
      <c r="JAG270" s="22"/>
      <c r="JAH270" s="22"/>
      <c r="JAI270" s="22"/>
      <c r="JAJ270" s="22"/>
      <c r="JAK270" s="22"/>
      <c r="JAL270" s="22"/>
      <c r="JAM270" s="22"/>
      <c r="JAN270" s="22"/>
      <c r="JAO270" s="22"/>
      <c r="JAP270" s="22"/>
      <c r="JAQ270" s="22"/>
      <c r="JAR270" s="22"/>
      <c r="JAS270" s="22"/>
      <c r="JAT270" s="22"/>
      <c r="JAU270" s="22"/>
      <c r="JAV270" s="22"/>
      <c r="JAW270" s="22"/>
      <c r="JAX270" s="22"/>
      <c r="JAY270" s="22"/>
      <c r="JAZ270" s="22"/>
      <c r="JBA270" s="22"/>
      <c r="JBB270" s="22"/>
      <c r="JBC270" s="22"/>
      <c r="JBD270" s="22"/>
      <c r="JBE270" s="22"/>
      <c r="JBF270" s="22"/>
      <c r="JBG270" s="22"/>
      <c r="JBH270" s="22"/>
      <c r="JBI270" s="22"/>
      <c r="JBJ270" s="22"/>
      <c r="JBK270" s="22"/>
      <c r="JBL270" s="22"/>
      <c r="JBM270" s="22"/>
      <c r="JBN270" s="22"/>
      <c r="JBO270" s="22"/>
      <c r="JBP270" s="22"/>
      <c r="JBQ270" s="22"/>
      <c r="JBR270" s="22"/>
      <c r="JBS270" s="22"/>
      <c r="JBT270" s="22"/>
      <c r="JBU270" s="22"/>
      <c r="JBV270" s="22"/>
      <c r="JBW270" s="22"/>
      <c r="JBX270" s="22"/>
      <c r="JBY270" s="22"/>
      <c r="JBZ270" s="22"/>
      <c r="JCA270" s="22"/>
      <c r="JCB270" s="22"/>
      <c r="JCC270" s="22"/>
      <c r="JCD270" s="22"/>
      <c r="JCE270" s="22"/>
      <c r="JCF270" s="22"/>
      <c r="JCG270" s="22"/>
      <c r="JCH270" s="22"/>
      <c r="JCI270" s="22"/>
      <c r="JCJ270" s="22"/>
      <c r="JCK270" s="22"/>
      <c r="JCL270" s="22"/>
      <c r="JCM270" s="22"/>
      <c r="JCN270" s="22"/>
      <c r="JCO270" s="22"/>
      <c r="JCP270" s="22"/>
      <c r="JCQ270" s="22"/>
      <c r="JCR270" s="22"/>
      <c r="JCS270" s="22"/>
      <c r="JCT270" s="22"/>
      <c r="JCU270" s="22"/>
      <c r="JCV270" s="22"/>
      <c r="JCW270" s="22"/>
      <c r="JCX270" s="22"/>
      <c r="JCY270" s="22"/>
      <c r="JCZ270" s="22"/>
      <c r="JDA270" s="22"/>
      <c r="JDB270" s="22"/>
      <c r="JDC270" s="22"/>
      <c r="JDD270" s="22"/>
      <c r="JDE270" s="22"/>
      <c r="JDF270" s="22"/>
      <c r="JDG270" s="22"/>
      <c r="JDH270" s="22"/>
      <c r="JDI270" s="22"/>
      <c r="JDJ270" s="22"/>
      <c r="JDK270" s="22"/>
      <c r="JDL270" s="22"/>
      <c r="JDM270" s="22"/>
      <c r="JDN270" s="22"/>
      <c r="JDO270" s="22"/>
      <c r="JDP270" s="22"/>
      <c r="JDQ270" s="22"/>
      <c r="JDR270" s="22"/>
      <c r="JDS270" s="22"/>
      <c r="JDT270" s="22"/>
      <c r="JDU270" s="22"/>
      <c r="JDV270" s="22"/>
      <c r="JDW270" s="22"/>
      <c r="JDX270" s="22"/>
      <c r="JDY270" s="22"/>
      <c r="JDZ270" s="22"/>
      <c r="JEA270" s="22"/>
      <c r="JEB270" s="22"/>
      <c r="JEC270" s="22"/>
      <c r="JED270" s="22"/>
      <c r="JEE270" s="22"/>
      <c r="JEF270" s="22"/>
      <c r="JEG270" s="22"/>
      <c r="JEH270" s="22"/>
      <c r="JEI270" s="22"/>
      <c r="JEJ270" s="22"/>
      <c r="JEK270" s="22"/>
      <c r="JEL270" s="22"/>
      <c r="JEM270" s="22"/>
      <c r="JEN270" s="22"/>
      <c r="JEO270" s="22"/>
      <c r="JEP270" s="22"/>
      <c r="JEQ270" s="22"/>
      <c r="JER270" s="22"/>
      <c r="JES270" s="22"/>
      <c r="JET270" s="22"/>
      <c r="JEU270" s="22"/>
      <c r="JEV270" s="22"/>
      <c r="JEW270" s="22"/>
      <c r="JEX270" s="22"/>
      <c r="JEY270" s="22"/>
      <c r="JEZ270" s="22"/>
      <c r="JFA270" s="22"/>
      <c r="JFB270" s="22"/>
      <c r="JFC270" s="22"/>
      <c r="JFD270" s="22"/>
      <c r="JFE270" s="22"/>
      <c r="JFF270" s="22"/>
      <c r="JFG270" s="22"/>
      <c r="JFH270" s="22"/>
      <c r="JFI270" s="22"/>
      <c r="JFJ270" s="22"/>
      <c r="JFK270" s="22"/>
      <c r="JFL270" s="22"/>
      <c r="JFM270" s="22"/>
      <c r="JFN270" s="22"/>
      <c r="JFO270" s="22"/>
      <c r="JFP270" s="22"/>
      <c r="JFQ270" s="22"/>
      <c r="JFR270" s="22"/>
      <c r="JFS270" s="22"/>
      <c r="JFT270" s="22"/>
      <c r="JFU270" s="22"/>
      <c r="JFV270" s="22"/>
      <c r="JFW270" s="22"/>
      <c r="JFX270" s="22"/>
      <c r="JFY270" s="22"/>
      <c r="JFZ270" s="22"/>
      <c r="JGA270" s="22"/>
      <c r="JGB270" s="22"/>
      <c r="JGC270" s="22"/>
      <c r="JGD270" s="22"/>
      <c r="JGE270" s="22"/>
      <c r="JGF270" s="22"/>
      <c r="JGG270" s="22"/>
      <c r="JGH270" s="22"/>
      <c r="JGI270" s="22"/>
      <c r="JGJ270" s="22"/>
      <c r="JGK270" s="22"/>
      <c r="JGL270" s="22"/>
      <c r="JGM270" s="22"/>
      <c r="JGN270" s="22"/>
      <c r="JGO270" s="22"/>
      <c r="JGP270" s="22"/>
      <c r="JGQ270" s="22"/>
      <c r="JGR270" s="22"/>
      <c r="JGS270" s="22"/>
      <c r="JGT270" s="22"/>
      <c r="JGU270" s="22"/>
      <c r="JGV270" s="22"/>
      <c r="JGW270" s="22"/>
      <c r="JGX270" s="22"/>
      <c r="JGY270" s="22"/>
      <c r="JGZ270" s="22"/>
      <c r="JHA270" s="22"/>
      <c r="JHB270" s="22"/>
      <c r="JHC270" s="22"/>
      <c r="JHD270" s="22"/>
      <c r="JHE270" s="22"/>
      <c r="JHF270" s="22"/>
      <c r="JHG270" s="22"/>
      <c r="JHH270" s="22"/>
      <c r="JHI270" s="22"/>
      <c r="JHJ270" s="22"/>
      <c r="JHK270" s="22"/>
      <c r="JHL270" s="22"/>
      <c r="JHM270" s="22"/>
      <c r="JHN270" s="22"/>
      <c r="JHO270" s="22"/>
      <c r="JHP270" s="22"/>
      <c r="JHQ270" s="22"/>
      <c r="JHR270" s="22"/>
      <c r="JHS270" s="22"/>
      <c r="JHT270" s="22"/>
      <c r="JHU270" s="22"/>
      <c r="JHV270" s="22"/>
      <c r="JHW270" s="22"/>
      <c r="JHX270" s="22"/>
      <c r="JHY270" s="22"/>
      <c r="JHZ270" s="22"/>
      <c r="JIA270" s="22"/>
      <c r="JIB270" s="22"/>
      <c r="JIC270" s="22"/>
      <c r="JID270" s="22"/>
      <c r="JIE270" s="22"/>
      <c r="JIF270" s="22"/>
      <c r="JIG270" s="22"/>
      <c r="JIH270" s="22"/>
      <c r="JII270" s="22"/>
      <c r="JIJ270" s="22"/>
      <c r="JIK270" s="22"/>
      <c r="JIL270" s="22"/>
      <c r="JIM270" s="22"/>
      <c r="JIN270" s="22"/>
      <c r="JIO270" s="22"/>
      <c r="JIP270" s="22"/>
      <c r="JIQ270" s="22"/>
      <c r="JIR270" s="22"/>
      <c r="JIS270" s="22"/>
      <c r="JIT270" s="22"/>
      <c r="JIU270" s="22"/>
      <c r="JIV270" s="22"/>
      <c r="JIW270" s="22"/>
      <c r="JIX270" s="22"/>
      <c r="JIY270" s="22"/>
      <c r="JIZ270" s="22"/>
      <c r="JJA270" s="22"/>
      <c r="JJB270" s="22"/>
      <c r="JJC270" s="22"/>
      <c r="JJD270" s="22"/>
      <c r="JJE270" s="22"/>
      <c r="JJF270" s="22"/>
      <c r="JJG270" s="22"/>
      <c r="JJH270" s="22"/>
      <c r="JJI270" s="22"/>
      <c r="JJJ270" s="22"/>
      <c r="JJK270" s="22"/>
      <c r="JJL270" s="22"/>
      <c r="JJM270" s="22"/>
      <c r="JJN270" s="22"/>
      <c r="JJO270" s="22"/>
      <c r="JJP270" s="22"/>
      <c r="JJQ270" s="22"/>
      <c r="JJR270" s="22"/>
      <c r="JJS270" s="22"/>
      <c r="JJT270" s="22"/>
      <c r="JJU270" s="22"/>
      <c r="JJV270" s="22"/>
      <c r="JJW270" s="22"/>
      <c r="JJX270" s="22"/>
      <c r="JJY270" s="22"/>
      <c r="JJZ270" s="22"/>
      <c r="JKA270" s="22"/>
      <c r="JKB270" s="22"/>
      <c r="JKC270" s="22"/>
      <c r="JKD270" s="22"/>
      <c r="JKE270" s="22"/>
      <c r="JKF270" s="22"/>
      <c r="JKG270" s="22"/>
      <c r="JKH270" s="22"/>
      <c r="JKI270" s="22"/>
      <c r="JKJ270" s="22"/>
      <c r="JKK270" s="22"/>
      <c r="JKL270" s="22"/>
      <c r="JKM270" s="22"/>
      <c r="JKN270" s="22"/>
      <c r="JKO270" s="22"/>
      <c r="JKP270" s="22"/>
      <c r="JKQ270" s="22"/>
      <c r="JKR270" s="22"/>
      <c r="JKS270" s="22"/>
      <c r="JKT270" s="22"/>
      <c r="JKU270" s="22"/>
      <c r="JKV270" s="22"/>
      <c r="JKW270" s="22"/>
      <c r="JKX270" s="22"/>
      <c r="JKY270" s="22"/>
      <c r="JKZ270" s="22"/>
      <c r="JLA270" s="22"/>
      <c r="JLB270" s="22"/>
      <c r="JLC270" s="22"/>
      <c r="JLD270" s="22"/>
      <c r="JLE270" s="22"/>
      <c r="JLF270" s="22"/>
      <c r="JLG270" s="22"/>
      <c r="JLH270" s="22"/>
      <c r="JLI270" s="22"/>
      <c r="JLJ270" s="22"/>
      <c r="JLK270" s="22"/>
      <c r="JLL270" s="22"/>
      <c r="JLM270" s="22"/>
      <c r="JLN270" s="22"/>
      <c r="JLO270" s="22"/>
      <c r="JLP270" s="22"/>
      <c r="JLQ270" s="22"/>
      <c r="JLR270" s="22"/>
      <c r="JLS270" s="22"/>
      <c r="JLT270" s="22"/>
      <c r="JLU270" s="22"/>
      <c r="JLV270" s="22"/>
      <c r="JLW270" s="22"/>
      <c r="JLX270" s="22"/>
      <c r="JLY270" s="22"/>
      <c r="JLZ270" s="22"/>
      <c r="JMA270" s="22"/>
      <c r="JMB270" s="22"/>
      <c r="JMC270" s="22"/>
      <c r="JMD270" s="22"/>
      <c r="JME270" s="22"/>
      <c r="JMF270" s="22"/>
      <c r="JMG270" s="22"/>
      <c r="JMH270" s="22"/>
      <c r="JMI270" s="22"/>
      <c r="JMJ270" s="22"/>
      <c r="JMK270" s="22"/>
      <c r="JML270" s="22"/>
      <c r="JMM270" s="22"/>
      <c r="JMN270" s="22"/>
      <c r="JMO270" s="22"/>
      <c r="JMP270" s="22"/>
      <c r="JMQ270" s="22"/>
      <c r="JMR270" s="22"/>
      <c r="JMS270" s="22"/>
      <c r="JMT270" s="22"/>
      <c r="JMU270" s="22"/>
      <c r="JMV270" s="22"/>
      <c r="JMW270" s="22"/>
      <c r="JMX270" s="22"/>
      <c r="JMY270" s="22"/>
      <c r="JMZ270" s="22"/>
      <c r="JNA270" s="22"/>
      <c r="JNB270" s="22"/>
      <c r="JNC270" s="22"/>
      <c r="JND270" s="22"/>
      <c r="JNE270" s="22"/>
      <c r="JNF270" s="22"/>
      <c r="JNG270" s="22"/>
      <c r="JNH270" s="22"/>
      <c r="JNI270" s="22"/>
      <c r="JNJ270" s="22"/>
      <c r="JNK270" s="22"/>
      <c r="JNL270" s="22"/>
      <c r="JNM270" s="22"/>
      <c r="JNN270" s="22"/>
      <c r="JNO270" s="22"/>
      <c r="JNP270" s="22"/>
      <c r="JNQ270" s="22"/>
      <c r="JNR270" s="22"/>
      <c r="JNS270" s="22"/>
      <c r="JNT270" s="22"/>
      <c r="JNU270" s="22"/>
      <c r="JNV270" s="22"/>
      <c r="JNW270" s="22"/>
      <c r="JNX270" s="22"/>
      <c r="JNY270" s="22"/>
      <c r="JNZ270" s="22"/>
      <c r="JOA270" s="22"/>
      <c r="JOB270" s="22"/>
      <c r="JOC270" s="22"/>
      <c r="JOD270" s="22"/>
      <c r="JOE270" s="22"/>
      <c r="JOF270" s="22"/>
      <c r="JOG270" s="22"/>
      <c r="JOH270" s="22"/>
      <c r="JOI270" s="22"/>
      <c r="JOJ270" s="22"/>
      <c r="JOK270" s="22"/>
      <c r="JOL270" s="22"/>
      <c r="JOM270" s="22"/>
      <c r="JON270" s="22"/>
      <c r="JOO270" s="22"/>
      <c r="JOP270" s="22"/>
      <c r="JOQ270" s="22"/>
      <c r="JOR270" s="22"/>
      <c r="JOS270" s="22"/>
      <c r="JOT270" s="22"/>
      <c r="JOU270" s="22"/>
      <c r="JOV270" s="22"/>
      <c r="JOW270" s="22"/>
      <c r="JOX270" s="22"/>
      <c r="JOY270" s="22"/>
      <c r="JOZ270" s="22"/>
      <c r="JPA270" s="22"/>
      <c r="JPB270" s="22"/>
      <c r="JPC270" s="22"/>
      <c r="JPD270" s="22"/>
      <c r="JPE270" s="22"/>
      <c r="JPF270" s="22"/>
      <c r="JPG270" s="22"/>
      <c r="JPH270" s="22"/>
      <c r="JPI270" s="22"/>
      <c r="JPJ270" s="22"/>
      <c r="JPK270" s="22"/>
      <c r="JPL270" s="22"/>
      <c r="JPM270" s="22"/>
      <c r="JPN270" s="22"/>
      <c r="JPO270" s="22"/>
      <c r="JPP270" s="22"/>
      <c r="JPQ270" s="22"/>
      <c r="JPR270" s="22"/>
      <c r="JPS270" s="22"/>
      <c r="JPT270" s="22"/>
      <c r="JPU270" s="22"/>
      <c r="JPV270" s="22"/>
      <c r="JPW270" s="22"/>
      <c r="JPX270" s="22"/>
      <c r="JPY270" s="22"/>
      <c r="JPZ270" s="22"/>
      <c r="JQA270" s="22"/>
      <c r="JQB270" s="22"/>
      <c r="JQC270" s="22"/>
      <c r="JQD270" s="22"/>
      <c r="JQE270" s="22"/>
      <c r="JQF270" s="22"/>
      <c r="JQG270" s="22"/>
      <c r="JQH270" s="22"/>
      <c r="JQI270" s="22"/>
      <c r="JQJ270" s="22"/>
      <c r="JQK270" s="22"/>
      <c r="JQL270" s="22"/>
      <c r="JQM270" s="22"/>
      <c r="JQN270" s="22"/>
      <c r="JQO270" s="22"/>
      <c r="JQP270" s="22"/>
      <c r="JQQ270" s="22"/>
      <c r="JQR270" s="22"/>
      <c r="JQS270" s="22"/>
      <c r="JQT270" s="22"/>
      <c r="JQU270" s="22"/>
      <c r="JQV270" s="22"/>
      <c r="JQW270" s="22"/>
      <c r="JQX270" s="22"/>
      <c r="JQY270" s="22"/>
      <c r="JQZ270" s="22"/>
      <c r="JRA270" s="22"/>
      <c r="JRB270" s="22"/>
      <c r="JRC270" s="22"/>
      <c r="JRD270" s="22"/>
      <c r="JRE270" s="22"/>
      <c r="JRF270" s="22"/>
      <c r="JRG270" s="22"/>
      <c r="JRH270" s="22"/>
      <c r="JRI270" s="22"/>
      <c r="JRJ270" s="22"/>
      <c r="JRK270" s="22"/>
      <c r="JRL270" s="22"/>
      <c r="JRM270" s="22"/>
      <c r="JRN270" s="22"/>
      <c r="JRO270" s="22"/>
      <c r="JRP270" s="22"/>
      <c r="JRQ270" s="22"/>
      <c r="JRR270" s="22"/>
      <c r="JRS270" s="22"/>
      <c r="JRT270" s="22"/>
      <c r="JRU270" s="22"/>
      <c r="JRV270" s="22"/>
      <c r="JRW270" s="22"/>
      <c r="JRX270" s="22"/>
      <c r="JRY270" s="22"/>
      <c r="JRZ270" s="22"/>
      <c r="JSA270" s="22"/>
      <c r="JSB270" s="22"/>
      <c r="JSC270" s="22"/>
      <c r="JSD270" s="22"/>
      <c r="JSE270" s="22"/>
      <c r="JSF270" s="22"/>
      <c r="JSG270" s="22"/>
      <c r="JSH270" s="22"/>
      <c r="JSI270" s="22"/>
      <c r="JSJ270" s="22"/>
      <c r="JSK270" s="22"/>
      <c r="JSL270" s="22"/>
      <c r="JSM270" s="22"/>
      <c r="JSN270" s="22"/>
      <c r="JSO270" s="22"/>
      <c r="JSP270" s="22"/>
      <c r="JSQ270" s="22"/>
      <c r="JSR270" s="22"/>
      <c r="JSS270" s="22"/>
      <c r="JST270" s="22"/>
      <c r="JSU270" s="22"/>
      <c r="JSV270" s="22"/>
      <c r="JSW270" s="22"/>
      <c r="JSX270" s="22"/>
      <c r="JSY270" s="22"/>
      <c r="JSZ270" s="22"/>
      <c r="JTA270" s="22"/>
      <c r="JTB270" s="22"/>
      <c r="JTC270" s="22"/>
      <c r="JTD270" s="22"/>
      <c r="JTE270" s="22"/>
      <c r="JTF270" s="22"/>
      <c r="JTG270" s="22"/>
      <c r="JTH270" s="22"/>
      <c r="JTI270" s="22"/>
      <c r="JTJ270" s="22"/>
      <c r="JTK270" s="22"/>
      <c r="JTL270" s="22"/>
      <c r="JTM270" s="22"/>
      <c r="JTN270" s="22"/>
      <c r="JTO270" s="22"/>
      <c r="JTP270" s="22"/>
      <c r="JTQ270" s="22"/>
      <c r="JTR270" s="22"/>
      <c r="JTS270" s="22"/>
      <c r="JTT270" s="22"/>
      <c r="JTU270" s="22"/>
      <c r="JTV270" s="22"/>
      <c r="JTW270" s="22"/>
      <c r="JTX270" s="22"/>
      <c r="JTY270" s="22"/>
      <c r="JTZ270" s="22"/>
      <c r="JUA270" s="22"/>
      <c r="JUB270" s="22"/>
      <c r="JUC270" s="22"/>
      <c r="JUD270" s="22"/>
      <c r="JUE270" s="22"/>
      <c r="JUF270" s="22"/>
      <c r="JUG270" s="22"/>
      <c r="JUH270" s="22"/>
      <c r="JUI270" s="22"/>
      <c r="JUJ270" s="22"/>
      <c r="JUK270" s="22"/>
      <c r="JUL270" s="22"/>
      <c r="JUM270" s="22"/>
      <c r="JUN270" s="22"/>
      <c r="JUO270" s="22"/>
      <c r="JUP270" s="22"/>
      <c r="JUQ270" s="22"/>
      <c r="JUR270" s="22"/>
      <c r="JUS270" s="22"/>
      <c r="JUT270" s="22"/>
      <c r="JUU270" s="22"/>
      <c r="JUV270" s="22"/>
      <c r="JUW270" s="22"/>
      <c r="JUX270" s="22"/>
      <c r="JUY270" s="22"/>
      <c r="JUZ270" s="22"/>
      <c r="JVA270" s="22"/>
      <c r="JVB270" s="22"/>
      <c r="JVC270" s="22"/>
      <c r="JVD270" s="22"/>
      <c r="JVE270" s="22"/>
      <c r="JVF270" s="22"/>
      <c r="JVG270" s="22"/>
      <c r="JVH270" s="22"/>
      <c r="JVI270" s="22"/>
      <c r="JVJ270" s="22"/>
      <c r="JVK270" s="22"/>
      <c r="JVL270" s="22"/>
      <c r="JVM270" s="22"/>
      <c r="JVN270" s="22"/>
      <c r="JVO270" s="22"/>
      <c r="JVP270" s="22"/>
      <c r="JVQ270" s="22"/>
      <c r="JVR270" s="22"/>
      <c r="JVS270" s="22"/>
      <c r="JVT270" s="22"/>
      <c r="JVU270" s="22"/>
      <c r="JVV270" s="22"/>
      <c r="JVW270" s="22"/>
      <c r="JVX270" s="22"/>
      <c r="JVY270" s="22"/>
      <c r="JVZ270" s="22"/>
      <c r="JWA270" s="22"/>
      <c r="JWB270" s="22"/>
      <c r="JWC270" s="22"/>
      <c r="JWD270" s="22"/>
      <c r="JWE270" s="22"/>
      <c r="JWF270" s="22"/>
      <c r="JWG270" s="22"/>
      <c r="JWH270" s="22"/>
      <c r="JWI270" s="22"/>
      <c r="JWJ270" s="22"/>
      <c r="JWK270" s="22"/>
      <c r="JWL270" s="22"/>
      <c r="JWM270" s="22"/>
      <c r="JWN270" s="22"/>
      <c r="JWO270" s="22"/>
      <c r="JWP270" s="22"/>
      <c r="JWQ270" s="22"/>
      <c r="JWR270" s="22"/>
      <c r="JWS270" s="22"/>
      <c r="JWT270" s="22"/>
      <c r="JWU270" s="22"/>
      <c r="JWV270" s="22"/>
      <c r="JWW270" s="22"/>
      <c r="JWX270" s="22"/>
      <c r="JWY270" s="22"/>
      <c r="JWZ270" s="22"/>
      <c r="JXA270" s="22"/>
      <c r="JXB270" s="22"/>
      <c r="JXC270" s="22"/>
      <c r="JXD270" s="22"/>
      <c r="JXE270" s="22"/>
      <c r="JXF270" s="22"/>
      <c r="JXG270" s="22"/>
      <c r="JXH270" s="22"/>
      <c r="JXI270" s="22"/>
      <c r="JXJ270" s="22"/>
      <c r="JXK270" s="22"/>
      <c r="JXL270" s="22"/>
      <c r="JXM270" s="22"/>
      <c r="JXN270" s="22"/>
      <c r="JXO270" s="22"/>
      <c r="JXP270" s="22"/>
      <c r="JXQ270" s="22"/>
      <c r="JXR270" s="22"/>
      <c r="JXS270" s="22"/>
      <c r="JXT270" s="22"/>
      <c r="JXU270" s="22"/>
      <c r="JXV270" s="22"/>
      <c r="JXW270" s="22"/>
      <c r="JXX270" s="22"/>
      <c r="JXY270" s="22"/>
      <c r="JXZ270" s="22"/>
      <c r="JYA270" s="22"/>
      <c r="JYB270" s="22"/>
      <c r="JYC270" s="22"/>
      <c r="JYD270" s="22"/>
      <c r="JYE270" s="22"/>
      <c r="JYF270" s="22"/>
      <c r="JYG270" s="22"/>
      <c r="JYH270" s="22"/>
      <c r="JYI270" s="22"/>
      <c r="JYJ270" s="22"/>
      <c r="JYK270" s="22"/>
      <c r="JYL270" s="22"/>
      <c r="JYM270" s="22"/>
      <c r="JYN270" s="22"/>
      <c r="JYO270" s="22"/>
      <c r="JYP270" s="22"/>
      <c r="JYQ270" s="22"/>
      <c r="JYR270" s="22"/>
      <c r="JYS270" s="22"/>
      <c r="JYT270" s="22"/>
      <c r="JYU270" s="22"/>
      <c r="JYV270" s="22"/>
      <c r="JYW270" s="22"/>
      <c r="JYX270" s="22"/>
      <c r="JYY270" s="22"/>
      <c r="JYZ270" s="22"/>
      <c r="JZA270" s="22"/>
      <c r="JZB270" s="22"/>
      <c r="JZC270" s="22"/>
      <c r="JZD270" s="22"/>
      <c r="JZE270" s="22"/>
      <c r="JZF270" s="22"/>
      <c r="JZG270" s="22"/>
      <c r="JZH270" s="22"/>
      <c r="JZI270" s="22"/>
      <c r="JZJ270" s="22"/>
      <c r="JZK270" s="22"/>
      <c r="JZL270" s="22"/>
      <c r="JZM270" s="22"/>
      <c r="JZN270" s="22"/>
      <c r="JZO270" s="22"/>
      <c r="JZP270" s="22"/>
      <c r="JZQ270" s="22"/>
      <c r="JZR270" s="22"/>
      <c r="JZS270" s="22"/>
      <c r="JZT270" s="22"/>
      <c r="JZU270" s="22"/>
      <c r="JZV270" s="22"/>
      <c r="JZW270" s="22"/>
      <c r="JZX270" s="22"/>
      <c r="JZY270" s="22"/>
      <c r="JZZ270" s="22"/>
      <c r="KAA270" s="22"/>
      <c r="KAB270" s="22"/>
      <c r="KAC270" s="22"/>
      <c r="KAD270" s="22"/>
      <c r="KAE270" s="22"/>
      <c r="KAF270" s="22"/>
      <c r="KAG270" s="22"/>
      <c r="KAH270" s="22"/>
      <c r="KAI270" s="22"/>
      <c r="KAJ270" s="22"/>
      <c r="KAK270" s="22"/>
      <c r="KAL270" s="22"/>
      <c r="KAM270" s="22"/>
      <c r="KAN270" s="22"/>
      <c r="KAO270" s="22"/>
      <c r="KAP270" s="22"/>
      <c r="KAQ270" s="22"/>
      <c r="KAR270" s="22"/>
      <c r="KAS270" s="22"/>
      <c r="KAT270" s="22"/>
      <c r="KAU270" s="22"/>
      <c r="KAV270" s="22"/>
      <c r="KAW270" s="22"/>
      <c r="KAX270" s="22"/>
      <c r="KAY270" s="22"/>
      <c r="KAZ270" s="22"/>
      <c r="KBA270" s="22"/>
      <c r="KBB270" s="22"/>
      <c r="KBC270" s="22"/>
      <c r="KBD270" s="22"/>
      <c r="KBE270" s="22"/>
      <c r="KBF270" s="22"/>
      <c r="KBG270" s="22"/>
      <c r="KBH270" s="22"/>
      <c r="KBI270" s="22"/>
      <c r="KBJ270" s="22"/>
      <c r="KBK270" s="22"/>
      <c r="KBL270" s="22"/>
      <c r="KBM270" s="22"/>
      <c r="KBN270" s="22"/>
      <c r="KBO270" s="22"/>
      <c r="KBP270" s="22"/>
      <c r="KBQ270" s="22"/>
      <c r="KBR270" s="22"/>
      <c r="KBS270" s="22"/>
      <c r="KBT270" s="22"/>
      <c r="KBU270" s="22"/>
      <c r="KBV270" s="22"/>
      <c r="KBW270" s="22"/>
      <c r="KBX270" s="22"/>
      <c r="KBY270" s="22"/>
      <c r="KBZ270" s="22"/>
      <c r="KCA270" s="22"/>
      <c r="KCB270" s="22"/>
      <c r="KCC270" s="22"/>
      <c r="KCD270" s="22"/>
      <c r="KCE270" s="22"/>
      <c r="KCF270" s="22"/>
      <c r="KCG270" s="22"/>
      <c r="KCH270" s="22"/>
      <c r="KCI270" s="22"/>
      <c r="KCJ270" s="22"/>
      <c r="KCK270" s="22"/>
      <c r="KCL270" s="22"/>
      <c r="KCM270" s="22"/>
      <c r="KCN270" s="22"/>
      <c r="KCO270" s="22"/>
      <c r="KCP270" s="22"/>
      <c r="KCQ270" s="22"/>
      <c r="KCR270" s="22"/>
      <c r="KCS270" s="22"/>
      <c r="KCT270" s="22"/>
      <c r="KCU270" s="22"/>
      <c r="KCV270" s="22"/>
      <c r="KCW270" s="22"/>
      <c r="KCX270" s="22"/>
      <c r="KCY270" s="22"/>
      <c r="KCZ270" s="22"/>
      <c r="KDA270" s="22"/>
      <c r="KDB270" s="22"/>
      <c r="KDC270" s="22"/>
      <c r="KDD270" s="22"/>
      <c r="KDE270" s="22"/>
      <c r="KDF270" s="22"/>
      <c r="KDG270" s="22"/>
      <c r="KDH270" s="22"/>
      <c r="KDI270" s="22"/>
      <c r="KDJ270" s="22"/>
      <c r="KDK270" s="22"/>
      <c r="KDL270" s="22"/>
      <c r="KDM270" s="22"/>
      <c r="KDN270" s="22"/>
      <c r="KDO270" s="22"/>
      <c r="KDP270" s="22"/>
      <c r="KDQ270" s="22"/>
      <c r="KDR270" s="22"/>
      <c r="KDS270" s="22"/>
      <c r="KDT270" s="22"/>
      <c r="KDU270" s="22"/>
      <c r="KDV270" s="22"/>
      <c r="KDW270" s="22"/>
      <c r="KDX270" s="22"/>
      <c r="KDY270" s="22"/>
      <c r="KDZ270" s="22"/>
      <c r="KEA270" s="22"/>
      <c r="KEB270" s="22"/>
      <c r="KEC270" s="22"/>
      <c r="KED270" s="22"/>
      <c r="KEE270" s="22"/>
      <c r="KEF270" s="22"/>
      <c r="KEG270" s="22"/>
      <c r="KEH270" s="22"/>
      <c r="KEI270" s="22"/>
      <c r="KEJ270" s="22"/>
      <c r="KEK270" s="22"/>
      <c r="KEL270" s="22"/>
      <c r="KEM270" s="22"/>
      <c r="KEN270" s="22"/>
      <c r="KEO270" s="22"/>
      <c r="KEP270" s="22"/>
      <c r="KEQ270" s="22"/>
      <c r="KER270" s="22"/>
      <c r="KES270" s="22"/>
      <c r="KET270" s="22"/>
      <c r="KEU270" s="22"/>
      <c r="KEV270" s="22"/>
      <c r="KEW270" s="22"/>
      <c r="KEX270" s="22"/>
      <c r="KEY270" s="22"/>
      <c r="KEZ270" s="22"/>
      <c r="KFA270" s="22"/>
      <c r="KFB270" s="22"/>
      <c r="KFC270" s="22"/>
      <c r="KFD270" s="22"/>
      <c r="KFE270" s="22"/>
      <c r="KFF270" s="22"/>
      <c r="KFG270" s="22"/>
      <c r="KFH270" s="22"/>
      <c r="KFI270" s="22"/>
      <c r="KFJ270" s="22"/>
      <c r="KFK270" s="22"/>
      <c r="KFL270" s="22"/>
      <c r="KFM270" s="22"/>
      <c r="KFN270" s="22"/>
      <c r="KFO270" s="22"/>
      <c r="KFP270" s="22"/>
      <c r="KFQ270" s="22"/>
      <c r="KFR270" s="22"/>
      <c r="KFS270" s="22"/>
      <c r="KFT270" s="22"/>
      <c r="KFU270" s="22"/>
      <c r="KFV270" s="22"/>
      <c r="KFW270" s="22"/>
      <c r="KFX270" s="22"/>
      <c r="KFY270" s="22"/>
      <c r="KFZ270" s="22"/>
      <c r="KGA270" s="22"/>
      <c r="KGB270" s="22"/>
      <c r="KGC270" s="22"/>
      <c r="KGD270" s="22"/>
      <c r="KGE270" s="22"/>
      <c r="KGF270" s="22"/>
      <c r="KGG270" s="22"/>
      <c r="KGH270" s="22"/>
      <c r="KGI270" s="22"/>
      <c r="KGJ270" s="22"/>
      <c r="KGK270" s="22"/>
      <c r="KGL270" s="22"/>
      <c r="KGM270" s="22"/>
      <c r="KGN270" s="22"/>
      <c r="KGO270" s="22"/>
      <c r="KGP270" s="22"/>
      <c r="KGQ270" s="22"/>
      <c r="KGR270" s="22"/>
      <c r="KGS270" s="22"/>
      <c r="KGT270" s="22"/>
      <c r="KGU270" s="22"/>
      <c r="KGV270" s="22"/>
      <c r="KGW270" s="22"/>
      <c r="KGX270" s="22"/>
      <c r="KGY270" s="22"/>
      <c r="KGZ270" s="22"/>
      <c r="KHA270" s="22"/>
      <c r="KHB270" s="22"/>
      <c r="KHC270" s="22"/>
      <c r="KHD270" s="22"/>
      <c r="KHE270" s="22"/>
      <c r="KHF270" s="22"/>
      <c r="KHG270" s="22"/>
      <c r="KHH270" s="22"/>
      <c r="KHI270" s="22"/>
      <c r="KHJ270" s="22"/>
      <c r="KHK270" s="22"/>
      <c r="KHL270" s="22"/>
      <c r="KHM270" s="22"/>
      <c r="KHN270" s="22"/>
      <c r="KHO270" s="22"/>
      <c r="KHP270" s="22"/>
      <c r="KHQ270" s="22"/>
      <c r="KHR270" s="22"/>
      <c r="KHS270" s="22"/>
      <c r="KHT270" s="22"/>
      <c r="KHU270" s="22"/>
      <c r="KHV270" s="22"/>
      <c r="KHW270" s="22"/>
      <c r="KHX270" s="22"/>
      <c r="KHY270" s="22"/>
      <c r="KHZ270" s="22"/>
      <c r="KIA270" s="22"/>
      <c r="KIB270" s="22"/>
      <c r="KIC270" s="22"/>
      <c r="KID270" s="22"/>
      <c r="KIE270" s="22"/>
      <c r="KIF270" s="22"/>
      <c r="KIG270" s="22"/>
      <c r="KIH270" s="22"/>
      <c r="KII270" s="22"/>
      <c r="KIJ270" s="22"/>
      <c r="KIK270" s="22"/>
      <c r="KIL270" s="22"/>
      <c r="KIM270" s="22"/>
      <c r="KIN270" s="22"/>
      <c r="KIO270" s="22"/>
      <c r="KIP270" s="22"/>
      <c r="KIQ270" s="22"/>
      <c r="KIR270" s="22"/>
      <c r="KIS270" s="22"/>
      <c r="KIT270" s="22"/>
      <c r="KIU270" s="22"/>
      <c r="KIV270" s="22"/>
      <c r="KIW270" s="22"/>
      <c r="KIX270" s="22"/>
      <c r="KIY270" s="22"/>
      <c r="KIZ270" s="22"/>
      <c r="KJA270" s="22"/>
      <c r="KJB270" s="22"/>
      <c r="KJC270" s="22"/>
      <c r="KJD270" s="22"/>
      <c r="KJE270" s="22"/>
      <c r="KJF270" s="22"/>
      <c r="KJG270" s="22"/>
      <c r="KJH270" s="22"/>
      <c r="KJI270" s="22"/>
      <c r="KJJ270" s="22"/>
      <c r="KJK270" s="22"/>
      <c r="KJL270" s="22"/>
      <c r="KJM270" s="22"/>
      <c r="KJN270" s="22"/>
      <c r="KJO270" s="22"/>
      <c r="KJP270" s="22"/>
      <c r="KJQ270" s="22"/>
      <c r="KJR270" s="22"/>
      <c r="KJS270" s="22"/>
      <c r="KJT270" s="22"/>
      <c r="KJU270" s="22"/>
      <c r="KJV270" s="22"/>
      <c r="KJW270" s="22"/>
      <c r="KJX270" s="22"/>
      <c r="KJY270" s="22"/>
      <c r="KJZ270" s="22"/>
      <c r="KKA270" s="22"/>
      <c r="KKB270" s="22"/>
      <c r="KKC270" s="22"/>
      <c r="KKD270" s="22"/>
      <c r="KKE270" s="22"/>
      <c r="KKF270" s="22"/>
      <c r="KKG270" s="22"/>
      <c r="KKH270" s="22"/>
      <c r="KKI270" s="22"/>
      <c r="KKJ270" s="22"/>
      <c r="KKK270" s="22"/>
      <c r="KKL270" s="22"/>
      <c r="KKM270" s="22"/>
      <c r="KKN270" s="22"/>
      <c r="KKO270" s="22"/>
      <c r="KKP270" s="22"/>
      <c r="KKQ270" s="22"/>
      <c r="KKR270" s="22"/>
      <c r="KKS270" s="22"/>
      <c r="KKT270" s="22"/>
      <c r="KKU270" s="22"/>
      <c r="KKV270" s="22"/>
      <c r="KKW270" s="22"/>
      <c r="KKX270" s="22"/>
      <c r="KKY270" s="22"/>
      <c r="KKZ270" s="22"/>
      <c r="KLA270" s="22"/>
      <c r="KLB270" s="22"/>
      <c r="KLC270" s="22"/>
      <c r="KLD270" s="22"/>
      <c r="KLE270" s="22"/>
      <c r="KLF270" s="22"/>
      <c r="KLG270" s="22"/>
      <c r="KLH270" s="22"/>
      <c r="KLI270" s="22"/>
      <c r="KLJ270" s="22"/>
      <c r="KLK270" s="22"/>
      <c r="KLL270" s="22"/>
      <c r="KLM270" s="22"/>
      <c r="KLN270" s="22"/>
      <c r="KLO270" s="22"/>
      <c r="KLP270" s="22"/>
      <c r="KLQ270" s="22"/>
      <c r="KLR270" s="22"/>
      <c r="KLS270" s="22"/>
      <c r="KLT270" s="22"/>
      <c r="KLU270" s="22"/>
      <c r="KLV270" s="22"/>
      <c r="KLW270" s="22"/>
      <c r="KLX270" s="22"/>
      <c r="KLY270" s="22"/>
      <c r="KLZ270" s="22"/>
      <c r="KMA270" s="22"/>
      <c r="KMB270" s="22"/>
      <c r="KMC270" s="22"/>
      <c r="KMD270" s="22"/>
      <c r="KME270" s="22"/>
      <c r="KMF270" s="22"/>
      <c r="KMG270" s="22"/>
      <c r="KMH270" s="22"/>
      <c r="KMI270" s="22"/>
      <c r="KMJ270" s="22"/>
      <c r="KMK270" s="22"/>
      <c r="KML270" s="22"/>
      <c r="KMM270" s="22"/>
      <c r="KMN270" s="22"/>
      <c r="KMO270" s="22"/>
      <c r="KMP270" s="22"/>
      <c r="KMQ270" s="22"/>
      <c r="KMR270" s="22"/>
      <c r="KMS270" s="22"/>
      <c r="KMT270" s="22"/>
      <c r="KMU270" s="22"/>
      <c r="KMV270" s="22"/>
      <c r="KMW270" s="22"/>
      <c r="KMX270" s="22"/>
      <c r="KMY270" s="22"/>
      <c r="KMZ270" s="22"/>
      <c r="KNA270" s="22"/>
      <c r="KNB270" s="22"/>
      <c r="KNC270" s="22"/>
      <c r="KND270" s="22"/>
      <c r="KNE270" s="22"/>
      <c r="KNF270" s="22"/>
      <c r="KNG270" s="22"/>
      <c r="KNH270" s="22"/>
      <c r="KNI270" s="22"/>
      <c r="KNJ270" s="22"/>
      <c r="KNK270" s="22"/>
      <c r="KNL270" s="22"/>
      <c r="KNM270" s="22"/>
      <c r="KNN270" s="22"/>
      <c r="KNO270" s="22"/>
      <c r="KNP270" s="22"/>
      <c r="KNQ270" s="22"/>
      <c r="KNR270" s="22"/>
      <c r="KNS270" s="22"/>
      <c r="KNT270" s="22"/>
      <c r="KNU270" s="22"/>
      <c r="KNV270" s="22"/>
      <c r="KNW270" s="22"/>
      <c r="KNX270" s="22"/>
      <c r="KNY270" s="22"/>
      <c r="KNZ270" s="22"/>
      <c r="KOA270" s="22"/>
      <c r="KOB270" s="22"/>
      <c r="KOC270" s="22"/>
      <c r="KOD270" s="22"/>
      <c r="KOE270" s="22"/>
      <c r="KOF270" s="22"/>
      <c r="KOG270" s="22"/>
      <c r="KOH270" s="22"/>
      <c r="KOI270" s="22"/>
      <c r="KOJ270" s="22"/>
      <c r="KOK270" s="22"/>
      <c r="KOL270" s="22"/>
      <c r="KOM270" s="22"/>
      <c r="KON270" s="22"/>
      <c r="KOO270" s="22"/>
      <c r="KOP270" s="22"/>
      <c r="KOQ270" s="22"/>
      <c r="KOR270" s="22"/>
      <c r="KOS270" s="22"/>
      <c r="KOT270" s="22"/>
      <c r="KOU270" s="22"/>
      <c r="KOV270" s="22"/>
      <c r="KOW270" s="22"/>
      <c r="KOX270" s="22"/>
      <c r="KOY270" s="22"/>
      <c r="KOZ270" s="22"/>
      <c r="KPA270" s="22"/>
      <c r="KPB270" s="22"/>
      <c r="KPC270" s="22"/>
      <c r="KPD270" s="22"/>
      <c r="KPE270" s="22"/>
      <c r="KPF270" s="22"/>
      <c r="KPG270" s="22"/>
      <c r="KPH270" s="22"/>
      <c r="KPI270" s="22"/>
      <c r="KPJ270" s="22"/>
      <c r="KPK270" s="22"/>
      <c r="KPL270" s="22"/>
      <c r="KPM270" s="22"/>
      <c r="KPN270" s="22"/>
      <c r="KPO270" s="22"/>
      <c r="KPP270" s="22"/>
      <c r="KPQ270" s="22"/>
      <c r="KPR270" s="22"/>
      <c r="KPS270" s="22"/>
      <c r="KPT270" s="22"/>
      <c r="KPU270" s="22"/>
      <c r="KPV270" s="22"/>
      <c r="KPW270" s="22"/>
      <c r="KPX270" s="22"/>
      <c r="KPY270" s="22"/>
      <c r="KPZ270" s="22"/>
      <c r="KQA270" s="22"/>
      <c r="KQB270" s="22"/>
      <c r="KQC270" s="22"/>
      <c r="KQD270" s="22"/>
      <c r="KQE270" s="22"/>
      <c r="KQF270" s="22"/>
      <c r="KQG270" s="22"/>
      <c r="KQH270" s="22"/>
      <c r="KQI270" s="22"/>
      <c r="KQJ270" s="22"/>
      <c r="KQK270" s="22"/>
      <c r="KQL270" s="22"/>
      <c r="KQM270" s="22"/>
      <c r="KQN270" s="22"/>
      <c r="KQO270" s="22"/>
      <c r="KQP270" s="22"/>
      <c r="KQQ270" s="22"/>
      <c r="KQR270" s="22"/>
      <c r="KQS270" s="22"/>
      <c r="KQT270" s="22"/>
      <c r="KQU270" s="22"/>
      <c r="KQV270" s="22"/>
      <c r="KQW270" s="22"/>
      <c r="KQX270" s="22"/>
      <c r="KQY270" s="22"/>
      <c r="KQZ270" s="22"/>
      <c r="KRA270" s="22"/>
      <c r="KRB270" s="22"/>
      <c r="KRC270" s="22"/>
      <c r="KRD270" s="22"/>
      <c r="KRE270" s="22"/>
      <c r="KRF270" s="22"/>
      <c r="KRG270" s="22"/>
      <c r="KRH270" s="22"/>
      <c r="KRI270" s="22"/>
      <c r="KRJ270" s="22"/>
      <c r="KRK270" s="22"/>
      <c r="KRL270" s="22"/>
      <c r="KRM270" s="22"/>
      <c r="KRN270" s="22"/>
      <c r="KRO270" s="22"/>
      <c r="KRP270" s="22"/>
      <c r="KRQ270" s="22"/>
      <c r="KRR270" s="22"/>
      <c r="KRS270" s="22"/>
      <c r="KRT270" s="22"/>
      <c r="KRU270" s="22"/>
      <c r="KRV270" s="22"/>
      <c r="KRW270" s="22"/>
      <c r="KRX270" s="22"/>
      <c r="KRY270" s="22"/>
      <c r="KRZ270" s="22"/>
      <c r="KSA270" s="22"/>
      <c r="KSB270" s="22"/>
      <c r="KSC270" s="22"/>
      <c r="KSD270" s="22"/>
      <c r="KSE270" s="22"/>
      <c r="KSF270" s="22"/>
      <c r="KSG270" s="22"/>
      <c r="KSH270" s="22"/>
      <c r="KSI270" s="22"/>
      <c r="KSJ270" s="22"/>
      <c r="KSK270" s="22"/>
      <c r="KSL270" s="22"/>
      <c r="KSM270" s="22"/>
      <c r="KSN270" s="22"/>
      <c r="KSO270" s="22"/>
      <c r="KSP270" s="22"/>
      <c r="KSQ270" s="22"/>
      <c r="KSR270" s="22"/>
      <c r="KSS270" s="22"/>
      <c r="KST270" s="22"/>
      <c r="KSU270" s="22"/>
      <c r="KSV270" s="22"/>
      <c r="KSW270" s="22"/>
      <c r="KSX270" s="22"/>
      <c r="KSY270" s="22"/>
      <c r="KSZ270" s="22"/>
      <c r="KTA270" s="22"/>
      <c r="KTB270" s="22"/>
      <c r="KTC270" s="22"/>
      <c r="KTD270" s="22"/>
      <c r="KTE270" s="22"/>
      <c r="KTF270" s="22"/>
      <c r="KTG270" s="22"/>
      <c r="KTH270" s="22"/>
      <c r="KTI270" s="22"/>
      <c r="KTJ270" s="22"/>
      <c r="KTK270" s="22"/>
      <c r="KTL270" s="22"/>
      <c r="KTM270" s="22"/>
      <c r="KTN270" s="22"/>
      <c r="KTO270" s="22"/>
      <c r="KTP270" s="22"/>
      <c r="KTQ270" s="22"/>
      <c r="KTR270" s="22"/>
      <c r="KTS270" s="22"/>
      <c r="KTT270" s="22"/>
      <c r="KTU270" s="22"/>
      <c r="KTV270" s="22"/>
      <c r="KTW270" s="22"/>
      <c r="KTX270" s="22"/>
      <c r="KTY270" s="22"/>
      <c r="KTZ270" s="22"/>
      <c r="KUA270" s="22"/>
      <c r="KUB270" s="22"/>
      <c r="KUC270" s="22"/>
      <c r="KUD270" s="22"/>
      <c r="KUE270" s="22"/>
      <c r="KUF270" s="22"/>
      <c r="KUG270" s="22"/>
      <c r="KUH270" s="22"/>
      <c r="KUI270" s="22"/>
      <c r="KUJ270" s="22"/>
      <c r="KUK270" s="22"/>
      <c r="KUL270" s="22"/>
      <c r="KUM270" s="22"/>
      <c r="KUN270" s="22"/>
      <c r="KUO270" s="22"/>
      <c r="KUP270" s="22"/>
      <c r="KUQ270" s="22"/>
      <c r="KUR270" s="22"/>
      <c r="KUS270" s="22"/>
      <c r="KUT270" s="22"/>
      <c r="KUU270" s="22"/>
      <c r="KUV270" s="22"/>
      <c r="KUW270" s="22"/>
      <c r="KUX270" s="22"/>
      <c r="KUY270" s="22"/>
      <c r="KUZ270" s="22"/>
      <c r="KVA270" s="22"/>
      <c r="KVB270" s="22"/>
      <c r="KVC270" s="22"/>
      <c r="KVD270" s="22"/>
      <c r="KVE270" s="22"/>
      <c r="KVF270" s="22"/>
      <c r="KVG270" s="22"/>
      <c r="KVH270" s="22"/>
      <c r="KVI270" s="22"/>
      <c r="KVJ270" s="22"/>
      <c r="KVK270" s="22"/>
      <c r="KVL270" s="22"/>
      <c r="KVM270" s="22"/>
      <c r="KVN270" s="22"/>
      <c r="KVO270" s="22"/>
      <c r="KVP270" s="22"/>
      <c r="KVQ270" s="22"/>
      <c r="KVR270" s="22"/>
      <c r="KVS270" s="22"/>
      <c r="KVT270" s="22"/>
      <c r="KVU270" s="22"/>
      <c r="KVV270" s="22"/>
      <c r="KVW270" s="22"/>
      <c r="KVX270" s="22"/>
      <c r="KVY270" s="22"/>
      <c r="KVZ270" s="22"/>
      <c r="KWA270" s="22"/>
      <c r="KWB270" s="22"/>
      <c r="KWC270" s="22"/>
      <c r="KWD270" s="22"/>
      <c r="KWE270" s="22"/>
      <c r="KWF270" s="22"/>
      <c r="KWG270" s="22"/>
      <c r="KWH270" s="22"/>
      <c r="KWI270" s="22"/>
      <c r="KWJ270" s="22"/>
      <c r="KWK270" s="22"/>
      <c r="KWL270" s="22"/>
      <c r="KWM270" s="22"/>
      <c r="KWN270" s="22"/>
      <c r="KWO270" s="22"/>
      <c r="KWP270" s="22"/>
      <c r="KWQ270" s="22"/>
      <c r="KWR270" s="22"/>
      <c r="KWS270" s="22"/>
      <c r="KWT270" s="22"/>
      <c r="KWU270" s="22"/>
      <c r="KWV270" s="22"/>
      <c r="KWW270" s="22"/>
      <c r="KWX270" s="22"/>
      <c r="KWY270" s="22"/>
      <c r="KWZ270" s="22"/>
      <c r="KXA270" s="22"/>
      <c r="KXB270" s="22"/>
      <c r="KXC270" s="22"/>
      <c r="KXD270" s="22"/>
      <c r="KXE270" s="22"/>
      <c r="KXF270" s="22"/>
      <c r="KXG270" s="22"/>
      <c r="KXH270" s="22"/>
      <c r="KXI270" s="22"/>
      <c r="KXJ270" s="22"/>
      <c r="KXK270" s="22"/>
      <c r="KXL270" s="22"/>
      <c r="KXM270" s="22"/>
      <c r="KXN270" s="22"/>
      <c r="KXO270" s="22"/>
      <c r="KXP270" s="22"/>
      <c r="KXQ270" s="22"/>
      <c r="KXR270" s="22"/>
      <c r="KXS270" s="22"/>
      <c r="KXT270" s="22"/>
      <c r="KXU270" s="22"/>
      <c r="KXV270" s="22"/>
      <c r="KXW270" s="22"/>
      <c r="KXX270" s="22"/>
      <c r="KXY270" s="22"/>
      <c r="KXZ270" s="22"/>
      <c r="KYA270" s="22"/>
      <c r="KYB270" s="22"/>
      <c r="KYC270" s="22"/>
      <c r="KYD270" s="22"/>
      <c r="KYE270" s="22"/>
      <c r="KYF270" s="22"/>
      <c r="KYG270" s="22"/>
      <c r="KYH270" s="22"/>
      <c r="KYI270" s="22"/>
      <c r="KYJ270" s="22"/>
      <c r="KYK270" s="22"/>
      <c r="KYL270" s="22"/>
      <c r="KYM270" s="22"/>
      <c r="KYN270" s="22"/>
      <c r="KYO270" s="22"/>
      <c r="KYP270" s="22"/>
      <c r="KYQ270" s="22"/>
      <c r="KYR270" s="22"/>
      <c r="KYS270" s="22"/>
      <c r="KYT270" s="22"/>
      <c r="KYU270" s="22"/>
      <c r="KYV270" s="22"/>
      <c r="KYW270" s="22"/>
      <c r="KYX270" s="22"/>
      <c r="KYY270" s="22"/>
      <c r="KYZ270" s="22"/>
      <c r="KZA270" s="22"/>
      <c r="KZB270" s="22"/>
      <c r="KZC270" s="22"/>
      <c r="KZD270" s="22"/>
      <c r="KZE270" s="22"/>
      <c r="KZF270" s="22"/>
      <c r="KZG270" s="22"/>
      <c r="KZH270" s="22"/>
      <c r="KZI270" s="22"/>
      <c r="KZJ270" s="22"/>
      <c r="KZK270" s="22"/>
      <c r="KZL270" s="22"/>
      <c r="KZM270" s="22"/>
      <c r="KZN270" s="22"/>
      <c r="KZO270" s="22"/>
      <c r="KZP270" s="22"/>
      <c r="KZQ270" s="22"/>
      <c r="KZR270" s="22"/>
      <c r="KZS270" s="22"/>
      <c r="KZT270" s="22"/>
      <c r="KZU270" s="22"/>
      <c r="KZV270" s="22"/>
      <c r="KZW270" s="22"/>
      <c r="KZX270" s="22"/>
      <c r="KZY270" s="22"/>
      <c r="KZZ270" s="22"/>
      <c r="LAA270" s="22"/>
      <c r="LAB270" s="22"/>
      <c r="LAC270" s="22"/>
      <c r="LAD270" s="22"/>
      <c r="LAE270" s="22"/>
      <c r="LAF270" s="22"/>
      <c r="LAG270" s="22"/>
      <c r="LAH270" s="22"/>
      <c r="LAI270" s="22"/>
      <c r="LAJ270" s="22"/>
      <c r="LAK270" s="22"/>
      <c r="LAL270" s="22"/>
      <c r="LAM270" s="22"/>
      <c r="LAN270" s="22"/>
      <c r="LAO270" s="22"/>
      <c r="LAP270" s="22"/>
      <c r="LAQ270" s="22"/>
      <c r="LAR270" s="22"/>
      <c r="LAS270" s="22"/>
      <c r="LAT270" s="22"/>
      <c r="LAU270" s="22"/>
      <c r="LAV270" s="22"/>
      <c r="LAW270" s="22"/>
      <c r="LAX270" s="22"/>
      <c r="LAY270" s="22"/>
      <c r="LAZ270" s="22"/>
      <c r="LBA270" s="22"/>
      <c r="LBB270" s="22"/>
      <c r="LBC270" s="22"/>
      <c r="LBD270" s="22"/>
      <c r="LBE270" s="22"/>
      <c r="LBF270" s="22"/>
      <c r="LBG270" s="22"/>
      <c r="LBH270" s="22"/>
      <c r="LBI270" s="22"/>
      <c r="LBJ270" s="22"/>
      <c r="LBK270" s="22"/>
      <c r="LBL270" s="22"/>
      <c r="LBM270" s="22"/>
      <c r="LBN270" s="22"/>
      <c r="LBO270" s="22"/>
      <c r="LBP270" s="22"/>
      <c r="LBQ270" s="22"/>
      <c r="LBR270" s="22"/>
      <c r="LBS270" s="22"/>
      <c r="LBT270" s="22"/>
      <c r="LBU270" s="22"/>
      <c r="LBV270" s="22"/>
      <c r="LBW270" s="22"/>
      <c r="LBX270" s="22"/>
      <c r="LBY270" s="22"/>
      <c r="LBZ270" s="22"/>
      <c r="LCA270" s="22"/>
      <c r="LCB270" s="22"/>
      <c r="LCC270" s="22"/>
      <c r="LCD270" s="22"/>
      <c r="LCE270" s="22"/>
      <c r="LCF270" s="22"/>
      <c r="LCG270" s="22"/>
      <c r="LCH270" s="22"/>
      <c r="LCI270" s="22"/>
      <c r="LCJ270" s="22"/>
      <c r="LCK270" s="22"/>
      <c r="LCL270" s="22"/>
      <c r="LCM270" s="22"/>
      <c r="LCN270" s="22"/>
      <c r="LCO270" s="22"/>
      <c r="LCP270" s="22"/>
      <c r="LCQ270" s="22"/>
      <c r="LCR270" s="22"/>
      <c r="LCS270" s="22"/>
      <c r="LCT270" s="22"/>
      <c r="LCU270" s="22"/>
      <c r="LCV270" s="22"/>
      <c r="LCW270" s="22"/>
      <c r="LCX270" s="22"/>
      <c r="LCY270" s="22"/>
      <c r="LCZ270" s="22"/>
      <c r="LDA270" s="22"/>
      <c r="LDB270" s="22"/>
      <c r="LDC270" s="22"/>
      <c r="LDD270" s="22"/>
      <c r="LDE270" s="22"/>
      <c r="LDF270" s="22"/>
      <c r="LDG270" s="22"/>
      <c r="LDH270" s="22"/>
      <c r="LDI270" s="22"/>
      <c r="LDJ270" s="22"/>
      <c r="LDK270" s="22"/>
      <c r="LDL270" s="22"/>
      <c r="LDM270" s="22"/>
      <c r="LDN270" s="22"/>
      <c r="LDO270" s="22"/>
      <c r="LDP270" s="22"/>
      <c r="LDQ270" s="22"/>
      <c r="LDR270" s="22"/>
      <c r="LDS270" s="22"/>
      <c r="LDT270" s="22"/>
      <c r="LDU270" s="22"/>
      <c r="LDV270" s="22"/>
      <c r="LDW270" s="22"/>
      <c r="LDX270" s="22"/>
      <c r="LDY270" s="22"/>
      <c r="LDZ270" s="22"/>
      <c r="LEA270" s="22"/>
      <c r="LEB270" s="22"/>
      <c r="LEC270" s="22"/>
      <c r="LED270" s="22"/>
      <c r="LEE270" s="22"/>
      <c r="LEF270" s="22"/>
      <c r="LEG270" s="22"/>
      <c r="LEH270" s="22"/>
      <c r="LEI270" s="22"/>
      <c r="LEJ270" s="22"/>
      <c r="LEK270" s="22"/>
      <c r="LEL270" s="22"/>
      <c r="LEM270" s="22"/>
      <c r="LEN270" s="22"/>
      <c r="LEO270" s="22"/>
      <c r="LEP270" s="22"/>
      <c r="LEQ270" s="22"/>
      <c r="LER270" s="22"/>
      <c r="LES270" s="22"/>
      <c r="LET270" s="22"/>
      <c r="LEU270" s="22"/>
      <c r="LEV270" s="22"/>
      <c r="LEW270" s="22"/>
      <c r="LEX270" s="22"/>
      <c r="LEY270" s="22"/>
      <c r="LEZ270" s="22"/>
      <c r="LFA270" s="22"/>
      <c r="LFB270" s="22"/>
      <c r="LFC270" s="22"/>
      <c r="LFD270" s="22"/>
      <c r="LFE270" s="22"/>
      <c r="LFF270" s="22"/>
      <c r="LFG270" s="22"/>
      <c r="LFH270" s="22"/>
      <c r="LFI270" s="22"/>
      <c r="LFJ270" s="22"/>
      <c r="LFK270" s="22"/>
      <c r="LFL270" s="22"/>
      <c r="LFM270" s="22"/>
      <c r="LFN270" s="22"/>
      <c r="LFO270" s="22"/>
      <c r="LFP270" s="22"/>
      <c r="LFQ270" s="22"/>
      <c r="LFR270" s="22"/>
      <c r="LFS270" s="22"/>
      <c r="LFT270" s="22"/>
      <c r="LFU270" s="22"/>
      <c r="LFV270" s="22"/>
      <c r="LFW270" s="22"/>
      <c r="LFX270" s="22"/>
      <c r="LFY270" s="22"/>
      <c r="LFZ270" s="22"/>
      <c r="LGA270" s="22"/>
      <c r="LGB270" s="22"/>
      <c r="LGC270" s="22"/>
      <c r="LGD270" s="22"/>
      <c r="LGE270" s="22"/>
      <c r="LGF270" s="22"/>
      <c r="LGG270" s="22"/>
      <c r="LGH270" s="22"/>
      <c r="LGI270" s="22"/>
      <c r="LGJ270" s="22"/>
      <c r="LGK270" s="22"/>
      <c r="LGL270" s="22"/>
      <c r="LGM270" s="22"/>
      <c r="LGN270" s="22"/>
      <c r="LGO270" s="22"/>
      <c r="LGP270" s="22"/>
      <c r="LGQ270" s="22"/>
      <c r="LGR270" s="22"/>
      <c r="LGS270" s="22"/>
      <c r="LGT270" s="22"/>
      <c r="LGU270" s="22"/>
      <c r="LGV270" s="22"/>
      <c r="LGW270" s="22"/>
      <c r="LGX270" s="22"/>
      <c r="LGY270" s="22"/>
      <c r="LGZ270" s="22"/>
      <c r="LHA270" s="22"/>
      <c r="LHB270" s="22"/>
      <c r="LHC270" s="22"/>
      <c r="LHD270" s="22"/>
      <c r="LHE270" s="22"/>
      <c r="LHF270" s="22"/>
      <c r="LHG270" s="22"/>
      <c r="LHH270" s="22"/>
      <c r="LHI270" s="22"/>
      <c r="LHJ270" s="22"/>
      <c r="LHK270" s="22"/>
      <c r="LHL270" s="22"/>
      <c r="LHM270" s="22"/>
      <c r="LHN270" s="22"/>
      <c r="LHO270" s="22"/>
      <c r="LHP270" s="22"/>
      <c r="LHQ270" s="22"/>
      <c r="LHR270" s="22"/>
      <c r="LHS270" s="22"/>
      <c r="LHT270" s="22"/>
      <c r="LHU270" s="22"/>
      <c r="LHV270" s="22"/>
      <c r="LHW270" s="22"/>
      <c r="LHX270" s="22"/>
      <c r="LHY270" s="22"/>
      <c r="LHZ270" s="22"/>
      <c r="LIA270" s="22"/>
      <c r="LIB270" s="22"/>
      <c r="LIC270" s="22"/>
      <c r="LID270" s="22"/>
      <c r="LIE270" s="22"/>
      <c r="LIF270" s="22"/>
      <c r="LIG270" s="22"/>
      <c r="LIH270" s="22"/>
      <c r="LII270" s="22"/>
      <c r="LIJ270" s="22"/>
      <c r="LIK270" s="22"/>
      <c r="LIL270" s="22"/>
      <c r="LIM270" s="22"/>
      <c r="LIN270" s="22"/>
      <c r="LIO270" s="22"/>
      <c r="LIP270" s="22"/>
      <c r="LIQ270" s="22"/>
      <c r="LIR270" s="22"/>
      <c r="LIS270" s="22"/>
      <c r="LIT270" s="22"/>
      <c r="LIU270" s="22"/>
      <c r="LIV270" s="22"/>
      <c r="LIW270" s="22"/>
      <c r="LIX270" s="22"/>
      <c r="LIY270" s="22"/>
      <c r="LIZ270" s="22"/>
      <c r="LJA270" s="22"/>
      <c r="LJB270" s="22"/>
      <c r="LJC270" s="22"/>
      <c r="LJD270" s="22"/>
      <c r="LJE270" s="22"/>
      <c r="LJF270" s="22"/>
      <c r="LJG270" s="22"/>
      <c r="LJH270" s="22"/>
      <c r="LJI270" s="22"/>
      <c r="LJJ270" s="22"/>
      <c r="LJK270" s="22"/>
      <c r="LJL270" s="22"/>
      <c r="LJM270" s="22"/>
      <c r="LJN270" s="22"/>
      <c r="LJO270" s="22"/>
      <c r="LJP270" s="22"/>
      <c r="LJQ270" s="22"/>
      <c r="LJR270" s="22"/>
      <c r="LJS270" s="22"/>
      <c r="LJT270" s="22"/>
      <c r="LJU270" s="22"/>
      <c r="LJV270" s="22"/>
      <c r="LJW270" s="22"/>
      <c r="LJX270" s="22"/>
      <c r="LJY270" s="22"/>
      <c r="LJZ270" s="22"/>
      <c r="LKA270" s="22"/>
      <c r="LKB270" s="22"/>
      <c r="LKC270" s="22"/>
      <c r="LKD270" s="22"/>
      <c r="LKE270" s="22"/>
      <c r="LKF270" s="22"/>
      <c r="LKG270" s="22"/>
      <c r="LKH270" s="22"/>
      <c r="LKI270" s="22"/>
      <c r="LKJ270" s="22"/>
      <c r="LKK270" s="22"/>
      <c r="LKL270" s="22"/>
      <c r="LKM270" s="22"/>
      <c r="LKN270" s="22"/>
      <c r="LKO270" s="22"/>
      <c r="LKP270" s="22"/>
      <c r="LKQ270" s="22"/>
      <c r="LKR270" s="22"/>
      <c r="LKS270" s="22"/>
      <c r="LKT270" s="22"/>
      <c r="LKU270" s="22"/>
      <c r="LKV270" s="22"/>
      <c r="LKW270" s="22"/>
      <c r="LKX270" s="22"/>
      <c r="LKY270" s="22"/>
      <c r="LKZ270" s="22"/>
      <c r="LLA270" s="22"/>
      <c r="LLB270" s="22"/>
      <c r="LLC270" s="22"/>
      <c r="LLD270" s="22"/>
      <c r="LLE270" s="22"/>
      <c r="LLF270" s="22"/>
      <c r="LLG270" s="22"/>
      <c r="LLH270" s="22"/>
      <c r="LLI270" s="22"/>
      <c r="LLJ270" s="22"/>
      <c r="LLK270" s="22"/>
      <c r="LLL270" s="22"/>
      <c r="LLM270" s="22"/>
      <c r="LLN270" s="22"/>
      <c r="LLO270" s="22"/>
      <c r="LLP270" s="22"/>
      <c r="LLQ270" s="22"/>
      <c r="LLR270" s="22"/>
      <c r="LLS270" s="22"/>
      <c r="LLT270" s="22"/>
      <c r="LLU270" s="22"/>
      <c r="LLV270" s="22"/>
      <c r="LLW270" s="22"/>
      <c r="LLX270" s="22"/>
      <c r="LLY270" s="22"/>
      <c r="LLZ270" s="22"/>
      <c r="LMA270" s="22"/>
      <c r="LMB270" s="22"/>
      <c r="LMC270" s="22"/>
      <c r="LMD270" s="22"/>
      <c r="LME270" s="22"/>
      <c r="LMF270" s="22"/>
      <c r="LMG270" s="22"/>
      <c r="LMH270" s="22"/>
      <c r="LMI270" s="22"/>
      <c r="LMJ270" s="22"/>
      <c r="LMK270" s="22"/>
      <c r="LML270" s="22"/>
      <c r="LMM270" s="22"/>
      <c r="LMN270" s="22"/>
      <c r="LMO270" s="22"/>
      <c r="LMP270" s="22"/>
      <c r="LMQ270" s="22"/>
      <c r="LMR270" s="22"/>
      <c r="LMS270" s="22"/>
      <c r="LMT270" s="22"/>
      <c r="LMU270" s="22"/>
      <c r="LMV270" s="22"/>
      <c r="LMW270" s="22"/>
      <c r="LMX270" s="22"/>
      <c r="LMY270" s="22"/>
      <c r="LMZ270" s="22"/>
      <c r="LNA270" s="22"/>
      <c r="LNB270" s="22"/>
      <c r="LNC270" s="22"/>
      <c r="LND270" s="22"/>
      <c r="LNE270" s="22"/>
      <c r="LNF270" s="22"/>
      <c r="LNG270" s="22"/>
      <c r="LNH270" s="22"/>
      <c r="LNI270" s="22"/>
      <c r="LNJ270" s="22"/>
      <c r="LNK270" s="22"/>
      <c r="LNL270" s="22"/>
      <c r="LNM270" s="22"/>
      <c r="LNN270" s="22"/>
      <c r="LNO270" s="22"/>
      <c r="LNP270" s="22"/>
      <c r="LNQ270" s="22"/>
      <c r="LNR270" s="22"/>
      <c r="LNS270" s="22"/>
      <c r="LNT270" s="22"/>
      <c r="LNU270" s="22"/>
      <c r="LNV270" s="22"/>
      <c r="LNW270" s="22"/>
      <c r="LNX270" s="22"/>
      <c r="LNY270" s="22"/>
      <c r="LNZ270" s="22"/>
      <c r="LOA270" s="22"/>
      <c r="LOB270" s="22"/>
      <c r="LOC270" s="22"/>
      <c r="LOD270" s="22"/>
      <c r="LOE270" s="22"/>
      <c r="LOF270" s="22"/>
      <c r="LOG270" s="22"/>
      <c r="LOH270" s="22"/>
      <c r="LOI270" s="22"/>
      <c r="LOJ270" s="22"/>
      <c r="LOK270" s="22"/>
      <c r="LOL270" s="22"/>
      <c r="LOM270" s="22"/>
      <c r="LON270" s="22"/>
      <c r="LOO270" s="22"/>
      <c r="LOP270" s="22"/>
      <c r="LOQ270" s="22"/>
      <c r="LOR270" s="22"/>
      <c r="LOS270" s="22"/>
      <c r="LOT270" s="22"/>
      <c r="LOU270" s="22"/>
      <c r="LOV270" s="22"/>
      <c r="LOW270" s="22"/>
      <c r="LOX270" s="22"/>
      <c r="LOY270" s="22"/>
      <c r="LOZ270" s="22"/>
      <c r="LPA270" s="22"/>
      <c r="LPB270" s="22"/>
      <c r="LPC270" s="22"/>
      <c r="LPD270" s="22"/>
      <c r="LPE270" s="22"/>
      <c r="LPF270" s="22"/>
      <c r="LPG270" s="22"/>
      <c r="LPH270" s="22"/>
      <c r="LPI270" s="22"/>
      <c r="LPJ270" s="22"/>
      <c r="LPK270" s="22"/>
      <c r="LPL270" s="22"/>
      <c r="LPM270" s="22"/>
      <c r="LPN270" s="22"/>
      <c r="LPO270" s="22"/>
      <c r="LPP270" s="22"/>
      <c r="LPQ270" s="22"/>
      <c r="LPR270" s="22"/>
      <c r="LPS270" s="22"/>
      <c r="LPT270" s="22"/>
      <c r="LPU270" s="22"/>
      <c r="LPV270" s="22"/>
      <c r="LPW270" s="22"/>
      <c r="LPX270" s="22"/>
      <c r="LPY270" s="22"/>
      <c r="LPZ270" s="22"/>
      <c r="LQA270" s="22"/>
      <c r="LQB270" s="22"/>
      <c r="LQC270" s="22"/>
      <c r="LQD270" s="22"/>
      <c r="LQE270" s="22"/>
      <c r="LQF270" s="22"/>
      <c r="LQG270" s="22"/>
      <c r="LQH270" s="22"/>
      <c r="LQI270" s="22"/>
      <c r="LQJ270" s="22"/>
      <c r="LQK270" s="22"/>
      <c r="LQL270" s="22"/>
      <c r="LQM270" s="22"/>
      <c r="LQN270" s="22"/>
      <c r="LQO270" s="22"/>
      <c r="LQP270" s="22"/>
      <c r="LQQ270" s="22"/>
      <c r="LQR270" s="22"/>
      <c r="LQS270" s="22"/>
      <c r="LQT270" s="22"/>
      <c r="LQU270" s="22"/>
      <c r="LQV270" s="22"/>
      <c r="LQW270" s="22"/>
      <c r="LQX270" s="22"/>
      <c r="LQY270" s="22"/>
      <c r="LQZ270" s="22"/>
      <c r="LRA270" s="22"/>
      <c r="LRB270" s="22"/>
      <c r="LRC270" s="22"/>
      <c r="LRD270" s="22"/>
      <c r="LRE270" s="22"/>
      <c r="LRF270" s="22"/>
      <c r="LRG270" s="22"/>
      <c r="LRH270" s="22"/>
      <c r="LRI270" s="22"/>
      <c r="LRJ270" s="22"/>
      <c r="LRK270" s="22"/>
      <c r="LRL270" s="22"/>
      <c r="LRM270" s="22"/>
      <c r="LRN270" s="22"/>
      <c r="LRO270" s="22"/>
      <c r="LRP270" s="22"/>
      <c r="LRQ270" s="22"/>
      <c r="LRR270" s="22"/>
      <c r="LRS270" s="22"/>
      <c r="LRT270" s="22"/>
      <c r="LRU270" s="22"/>
      <c r="LRV270" s="22"/>
      <c r="LRW270" s="22"/>
      <c r="LRX270" s="22"/>
      <c r="LRY270" s="22"/>
      <c r="LRZ270" s="22"/>
      <c r="LSA270" s="22"/>
      <c r="LSB270" s="22"/>
      <c r="LSC270" s="22"/>
      <c r="LSD270" s="22"/>
      <c r="LSE270" s="22"/>
      <c r="LSF270" s="22"/>
      <c r="LSG270" s="22"/>
      <c r="LSH270" s="22"/>
      <c r="LSI270" s="22"/>
      <c r="LSJ270" s="22"/>
      <c r="LSK270" s="22"/>
      <c r="LSL270" s="22"/>
      <c r="LSM270" s="22"/>
      <c r="LSN270" s="22"/>
      <c r="LSO270" s="22"/>
      <c r="LSP270" s="22"/>
      <c r="LSQ270" s="22"/>
      <c r="LSR270" s="22"/>
      <c r="LSS270" s="22"/>
      <c r="LST270" s="22"/>
      <c r="LSU270" s="22"/>
      <c r="LSV270" s="22"/>
      <c r="LSW270" s="22"/>
      <c r="LSX270" s="22"/>
      <c r="LSY270" s="22"/>
      <c r="LSZ270" s="22"/>
      <c r="LTA270" s="22"/>
      <c r="LTB270" s="22"/>
      <c r="LTC270" s="22"/>
      <c r="LTD270" s="22"/>
      <c r="LTE270" s="22"/>
      <c r="LTF270" s="22"/>
      <c r="LTG270" s="22"/>
      <c r="LTH270" s="22"/>
      <c r="LTI270" s="22"/>
      <c r="LTJ270" s="22"/>
      <c r="LTK270" s="22"/>
      <c r="LTL270" s="22"/>
      <c r="LTM270" s="22"/>
      <c r="LTN270" s="22"/>
      <c r="LTO270" s="22"/>
      <c r="LTP270" s="22"/>
      <c r="LTQ270" s="22"/>
      <c r="LTR270" s="22"/>
      <c r="LTS270" s="22"/>
      <c r="LTT270" s="22"/>
      <c r="LTU270" s="22"/>
      <c r="LTV270" s="22"/>
      <c r="LTW270" s="22"/>
      <c r="LTX270" s="22"/>
      <c r="LTY270" s="22"/>
      <c r="LTZ270" s="22"/>
      <c r="LUA270" s="22"/>
      <c r="LUB270" s="22"/>
      <c r="LUC270" s="22"/>
      <c r="LUD270" s="22"/>
      <c r="LUE270" s="22"/>
      <c r="LUF270" s="22"/>
      <c r="LUG270" s="22"/>
      <c r="LUH270" s="22"/>
      <c r="LUI270" s="22"/>
      <c r="LUJ270" s="22"/>
      <c r="LUK270" s="22"/>
      <c r="LUL270" s="22"/>
      <c r="LUM270" s="22"/>
      <c r="LUN270" s="22"/>
      <c r="LUO270" s="22"/>
      <c r="LUP270" s="22"/>
      <c r="LUQ270" s="22"/>
      <c r="LUR270" s="22"/>
      <c r="LUS270" s="22"/>
      <c r="LUT270" s="22"/>
      <c r="LUU270" s="22"/>
      <c r="LUV270" s="22"/>
      <c r="LUW270" s="22"/>
      <c r="LUX270" s="22"/>
      <c r="LUY270" s="22"/>
      <c r="LUZ270" s="22"/>
      <c r="LVA270" s="22"/>
      <c r="LVB270" s="22"/>
      <c r="LVC270" s="22"/>
      <c r="LVD270" s="22"/>
      <c r="LVE270" s="22"/>
      <c r="LVF270" s="22"/>
      <c r="LVG270" s="22"/>
      <c r="LVH270" s="22"/>
      <c r="LVI270" s="22"/>
      <c r="LVJ270" s="22"/>
      <c r="LVK270" s="22"/>
      <c r="LVL270" s="22"/>
      <c r="LVM270" s="22"/>
      <c r="LVN270" s="22"/>
      <c r="LVO270" s="22"/>
      <c r="LVP270" s="22"/>
      <c r="LVQ270" s="22"/>
      <c r="LVR270" s="22"/>
      <c r="LVS270" s="22"/>
      <c r="LVT270" s="22"/>
      <c r="LVU270" s="22"/>
      <c r="LVV270" s="22"/>
      <c r="LVW270" s="22"/>
      <c r="LVX270" s="22"/>
      <c r="LVY270" s="22"/>
      <c r="LVZ270" s="22"/>
      <c r="LWA270" s="22"/>
      <c r="LWB270" s="22"/>
      <c r="LWC270" s="22"/>
      <c r="LWD270" s="22"/>
      <c r="LWE270" s="22"/>
      <c r="LWF270" s="22"/>
      <c r="LWG270" s="22"/>
      <c r="LWH270" s="22"/>
      <c r="LWI270" s="22"/>
      <c r="LWJ270" s="22"/>
      <c r="LWK270" s="22"/>
      <c r="LWL270" s="22"/>
      <c r="LWM270" s="22"/>
      <c r="LWN270" s="22"/>
      <c r="LWO270" s="22"/>
      <c r="LWP270" s="22"/>
      <c r="LWQ270" s="22"/>
      <c r="LWR270" s="22"/>
      <c r="LWS270" s="22"/>
      <c r="LWT270" s="22"/>
      <c r="LWU270" s="22"/>
      <c r="LWV270" s="22"/>
      <c r="LWW270" s="22"/>
      <c r="LWX270" s="22"/>
      <c r="LWY270" s="22"/>
      <c r="LWZ270" s="22"/>
      <c r="LXA270" s="22"/>
      <c r="LXB270" s="22"/>
      <c r="LXC270" s="22"/>
      <c r="LXD270" s="22"/>
      <c r="LXE270" s="22"/>
      <c r="LXF270" s="22"/>
      <c r="LXG270" s="22"/>
      <c r="LXH270" s="22"/>
      <c r="LXI270" s="22"/>
      <c r="LXJ270" s="22"/>
      <c r="LXK270" s="22"/>
      <c r="LXL270" s="22"/>
      <c r="LXM270" s="22"/>
      <c r="LXN270" s="22"/>
      <c r="LXO270" s="22"/>
      <c r="LXP270" s="22"/>
      <c r="LXQ270" s="22"/>
      <c r="LXR270" s="22"/>
      <c r="LXS270" s="22"/>
      <c r="LXT270" s="22"/>
      <c r="LXU270" s="22"/>
      <c r="LXV270" s="22"/>
      <c r="LXW270" s="22"/>
      <c r="LXX270" s="22"/>
      <c r="LXY270" s="22"/>
      <c r="LXZ270" s="22"/>
      <c r="LYA270" s="22"/>
      <c r="LYB270" s="22"/>
      <c r="LYC270" s="22"/>
      <c r="LYD270" s="22"/>
      <c r="LYE270" s="22"/>
      <c r="LYF270" s="22"/>
      <c r="LYG270" s="22"/>
      <c r="LYH270" s="22"/>
      <c r="LYI270" s="22"/>
      <c r="LYJ270" s="22"/>
      <c r="LYK270" s="22"/>
      <c r="LYL270" s="22"/>
      <c r="LYM270" s="22"/>
      <c r="LYN270" s="22"/>
      <c r="LYO270" s="22"/>
      <c r="LYP270" s="22"/>
      <c r="LYQ270" s="22"/>
      <c r="LYR270" s="22"/>
      <c r="LYS270" s="22"/>
      <c r="LYT270" s="22"/>
      <c r="LYU270" s="22"/>
      <c r="LYV270" s="22"/>
      <c r="LYW270" s="22"/>
      <c r="LYX270" s="22"/>
      <c r="LYY270" s="22"/>
      <c r="LYZ270" s="22"/>
      <c r="LZA270" s="22"/>
      <c r="LZB270" s="22"/>
      <c r="LZC270" s="22"/>
      <c r="LZD270" s="22"/>
      <c r="LZE270" s="22"/>
      <c r="LZF270" s="22"/>
      <c r="LZG270" s="22"/>
      <c r="LZH270" s="22"/>
      <c r="LZI270" s="22"/>
      <c r="LZJ270" s="22"/>
      <c r="LZK270" s="22"/>
      <c r="LZL270" s="22"/>
      <c r="LZM270" s="22"/>
      <c r="LZN270" s="22"/>
      <c r="LZO270" s="22"/>
      <c r="LZP270" s="22"/>
      <c r="LZQ270" s="22"/>
      <c r="LZR270" s="22"/>
      <c r="LZS270" s="22"/>
      <c r="LZT270" s="22"/>
      <c r="LZU270" s="22"/>
      <c r="LZV270" s="22"/>
      <c r="LZW270" s="22"/>
      <c r="LZX270" s="22"/>
      <c r="LZY270" s="22"/>
      <c r="LZZ270" s="22"/>
      <c r="MAA270" s="22"/>
      <c r="MAB270" s="22"/>
      <c r="MAC270" s="22"/>
      <c r="MAD270" s="22"/>
      <c r="MAE270" s="22"/>
      <c r="MAF270" s="22"/>
      <c r="MAG270" s="22"/>
      <c r="MAH270" s="22"/>
      <c r="MAI270" s="22"/>
      <c r="MAJ270" s="22"/>
      <c r="MAK270" s="22"/>
      <c r="MAL270" s="22"/>
      <c r="MAM270" s="22"/>
      <c r="MAN270" s="22"/>
      <c r="MAO270" s="22"/>
      <c r="MAP270" s="22"/>
      <c r="MAQ270" s="22"/>
      <c r="MAR270" s="22"/>
      <c r="MAS270" s="22"/>
      <c r="MAT270" s="22"/>
      <c r="MAU270" s="22"/>
      <c r="MAV270" s="22"/>
      <c r="MAW270" s="22"/>
      <c r="MAX270" s="22"/>
      <c r="MAY270" s="22"/>
      <c r="MAZ270" s="22"/>
      <c r="MBA270" s="22"/>
      <c r="MBB270" s="22"/>
      <c r="MBC270" s="22"/>
      <c r="MBD270" s="22"/>
      <c r="MBE270" s="22"/>
      <c r="MBF270" s="22"/>
      <c r="MBG270" s="22"/>
      <c r="MBH270" s="22"/>
      <c r="MBI270" s="22"/>
      <c r="MBJ270" s="22"/>
      <c r="MBK270" s="22"/>
      <c r="MBL270" s="22"/>
      <c r="MBM270" s="22"/>
      <c r="MBN270" s="22"/>
      <c r="MBO270" s="22"/>
      <c r="MBP270" s="22"/>
      <c r="MBQ270" s="22"/>
      <c r="MBR270" s="22"/>
      <c r="MBS270" s="22"/>
      <c r="MBT270" s="22"/>
      <c r="MBU270" s="22"/>
      <c r="MBV270" s="22"/>
      <c r="MBW270" s="22"/>
      <c r="MBX270" s="22"/>
      <c r="MBY270" s="22"/>
      <c r="MBZ270" s="22"/>
      <c r="MCA270" s="22"/>
      <c r="MCB270" s="22"/>
      <c r="MCC270" s="22"/>
      <c r="MCD270" s="22"/>
      <c r="MCE270" s="22"/>
      <c r="MCF270" s="22"/>
      <c r="MCG270" s="22"/>
      <c r="MCH270" s="22"/>
      <c r="MCI270" s="22"/>
      <c r="MCJ270" s="22"/>
      <c r="MCK270" s="22"/>
      <c r="MCL270" s="22"/>
      <c r="MCM270" s="22"/>
      <c r="MCN270" s="22"/>
      <c r="MCO270" s="22"/>
      <c r="MCP270" s="22"/>
      <c r="MCQ270" s="22"/>
      <c r="MCR270" s="22"/>
      <c r="MCS270" s="22"/>
      <c r="MCT270" s="22"/>
      <c r="MCU270" s="22"/>
      <c r="MCV270" s="22"/>
      <c r="MCW270" s="22"/>
      <c r="MCX270" s="22"/>
      <c r="MCY270" s="22"/>
      <c r="MCZ270" s="22"/>
      <c r="MDA270" s="22"/>
      <c r="MDB270" s="22"/>
      <c r="MDC270" s="22"/>
      <c r="MDD270" s="22"/>
      <c r="MDE270" s="22"/>
      <c r="MDF270" s="22"/>
      <c r="MDG270" s="22"/>
      <c r="MDH270" s="22"/>
      <c r="MDI270" s="22"/>
      <c r="MDJ270" s="22"/>
      <c r="MDK270" s="22"/>
      <c r="MDL270" s="22"/>
      <c r="MDM270" s="22"/>
      <c r="MDN270" s="22"/>
      <c r="MDO270" s="22"/>
      <c r="MDP270" s="22"/>
      <c r="MDQ270" s="22"/>
      <c r="MDR270" s="22"/>
      <c r="MDS270" s="22"/>
      <c r="MDT270" s="22"/>
      <c r="MDU270" s="22"/>
      <c r="MDV270" s="22"/>
      <c r="MDW270" s="22"/>
      <c r="MDX270" s="22"/>
      <c r="MDY270" s="22"/>
      <c r="MDZ270" s="22"/>
      <c r="MEA270" s="22"/>
      <c r="MEB270" s="22"/>
      <c r="MEC270" s="22"/>
      <c r="MED270" s="22"/>
      <c r="MEE270" s="22"/>
      <c r="MEF270" s="22"/>
      <c r="MEG270" s="22"/>
      <c r="MEH270" s="22"/>
      <c r="MEI270" s="22"/>
      <c r="MEJ270" s="22"/>
      <c r="MEK270" s="22"/>
      <c r="MEL270" s="22"/>
      <c r="MEM270" s="22"/>
      <c r="MEN270" s="22"/>
      <c r="MEO270" s="22"/>
      <c r="MEP270" s="22"/>
      <c r="MEQ270" s="22"/>
      <c r="MER270" s="22"/>
      <c r="MES270" s="22"/>
      <c r="MET270" s="22"/>
      <c r="MEU270" s="22"/>
      <c r="MEV270" s="22"/>
      <c r="MEW270" s="22"/>
      <c r="MEX270" s="22"/>
      <c r="MEY270" s="22"/>
      <c r="MEZ270" s="22"/>
      <c r="MFA270" s="22"/>
      <c r="MFB270" s="22"/>
      <c r="MFC270" s="22"/>
      <c r="MFD270" s="22"/>
      <c r="MFE270" s="22"/>
      <c r="MFF270" s="22"/>
      <c r="MFG270" s="22"/>
      <c r="MFH270" s="22"/>
      <c r="MFI270" s="22"/>
      <c r="MFJ270" s="22"/>
      <c r="MFK270" s="22"/>
      <c r="MFL270" s="22"/>
      <c r="MFM270" s="22"/>
      <c r="MFN270" s="22"/>
      <c r="MFO270" s="22"/>
      <c r="MFP270" s="22"/>
      <c r="MFQ270" s="22"/>
      <c r="MFR270" s="22"/>
      <c r="MFS270" s="22"/>
      <c r="MFT270" s="22"/>
      <c r="MFU270" s="22"/>
      <c r="MFV270" s="22"/>
      <c r="MFW270" s="22"/>
      <c r="MFX270" s="22"/>
      <c r="MFY270" s="22"/>
      <c r="MFZ270" s="22"/>
      <c r="MGA270" s="22"/>
      <c r="MGB270" s="22"/>
      <c r="MGC270" s="22"/>
      <c r="MGD270" s="22"/>
      <c r="MGE270" s="22"/>
      <c r="MGF270" s="22"/>
      <c r="MGG270" s="22"/>
      <c r="MGH270" s="22"/>
      <c r="MGI270" s="22"/>
      <c r="MGJ270" s="22"/>
      <c r="MGK270" s="22"/>
      <c r="MGL270" s="22"/>
      <c r="MGM270" s="22"/>
      <c r="MGN270" s="22"/>
      <c r="MGO270" s="22"/>
      <c r="MGP270" s="22"/>
      <c r="MGQ270" s="22"/>
      <c r="MGR270" s="22"/>
      <c r="MGS270" s="22"/>
      <c r="MGT270" s="22"/>
      <c r="MGU270" s="22"/>
      <c r="MGV270" s="22"/>
      <c r="MGW270" s="22"/>
      <c r="MGX270" s="22"/>
      <c r="MGY270" s="22"/>
      <c r="MGZ270" s="22"/>
      <c r="MHA270" s="22"/>
      <c r="MHB270" s="22"/>
      <c r="MHC270" s="22"/>
      <c r="MHD270" s="22"/>
      <c r="MHE270" s="22"/>
      <c r="MHF270" s="22"/>
      <c r="MHG270" s="22"/>
      <c r="MHH270" s="22"/>
      <c r="MHI270" s="22"/>
      <c r="MHJ270" s="22"/>
      <c r="MHK270" s="22"/>
      <c r="MHL270" s="22"/>
      <c r="MHM270" s="22"/>
      <c r="MHN270" s="22"/>
      <c r="MHO270" s="22"/>
      <c r="MHP270" s="22"/>
      <c r="MHQ270" s="22"/>
      <c r="MHR270" s="22"/>
      <c r="MHS270" s="22"/>
      <c r="MHT270" s="22"/>
      <c r="MHU270" s="22"/>
      <c r="MHV270" s="22"/>
      <c r="MHW270" s="22"/>
      <c r="MHX270" s="22"/>
      <c r="MHY270" s="22"/>
      <c r="MHZ270" s="22"/>
      <c r="MIA270" s="22"/>
      <c r="MIB270" s="22"/>
      <c r="MIC270" s="22"/>
      <c r="MID270" s="22"/>
      <c r="MIE270" s="22"/>
      <c r="MIF270" s="22"/>
      <c r="MIG270" s="22"/>
      <c r="MIH270" s="22"/>
      <c r="MII270" s="22"/>
      <c r="MIJ270" s="22"/>
      <c r="MIK270" s="22"/>
      <c r="MIL270" s="22"/>
      <c r="MIM270" s="22"/>
      <c r="MIN270" s="22"/>
      <c r="MIO270" s="22"/>
      <c r="MIP270" s="22"/>
      <c r="MIQ270" s="22"/>
      <c r="MIR270" s="22"/>
      <c r="MIS270" s="22"/>
      <c r="MIT270" s="22"/>
      <c r="MIU270" s="22"/>
      <c r="MIV270" s="22"/>
      <c r="MIW270" s="22"/>
      <c r="MIX270" s="22"/>
      <c r="MIY270" s="22"/>
      <c r="MIZ270" s="22"/>
      <c r="MJA270" s="22"/>
      <c r="MJB270" s="22"/>
      <c r="MJC270" s="22"/>
      <c r="MJD270" s="22"/>
      <c r="MJE270" s="22"/>
      <c r="MJF270" s="22"/>
      <c r="MJG270" s="22"/>
      <c r="MJH270" s="22"/>
      <c r="MJI270" s="22"/>
      <c r="MJJ270" s="22"/>
      <c r="MJK270" s="22"/>
      <c r="MJL270" s="22"/>
      <c r="MJM270" s="22"/>
      <c r="MJN270" s="22"/>
      <c r="MJO270" s="22"/>
      <c r="MJP270" s="22"/>
      <c r="MJQ270" s="22"/>
      <c r="MJR270" s="22"/>
      <c r="MJS270" s="22"/>
      <c r="MJT270" s="22"/>
      <c r="MJU270" s="22"/>
      <c r="MJV270" s="22"/>
      <c r="MJW270" s="22"/>
      <c r="MJX270" s="22"/>
      <c r="MJY270" s="22"/>
      <c r="MJZ270" s="22"/>
      <c r="MKA270" s="22"/>
      <c r="MKB270" s="22"/>
      <c r="MKC270" s="22"/>
      <c r="MKD270" s="22"/>
      <c r="MKE270" s="22"/>
      <c r="MKF270" s="22"/>
      <c r="MKG270" s="22"/>
      <c r="MKH270" s="22"/>
      <c r="MKI270" s="22"/>
      <c r="MKJ270" s="22"/>
      <c r="MKK270" s="22"/>
      <c r="MKL270" s="22"/>
      <c r="MKM270" s="22"/>
      <c r="MKN270" s="22"/>
      <c r="MKO270" s="22"/>
      <c r="MKP270" s="22"/>
      <c r="MKQ270" s="22"/>
      <c r="MKR270" s="22"/>
      <c r="MKS270" s="22"/>
      <c r="MKT270" s="22"/>
      <c r="MKU270" s="22"/>
      <c r="MKV270" s="22"/>
      <c r="MKW270" s="22"/>
      <c r="MKX270" s="22"/>
      <c r="MKY270" s="22"/>
      <c r="MKZ270" s="22"/>
      <c r="MLA270" s="22"/>
      <c r="MLB270" s="22"/>
      <c r="MLC270" s="22"/>
      <c r="MLD270" s="22"/>
      <c r="MLE270" s="22"/>
      <c r="MLF270" s="22"/>
      <c r="MLG270" s="22"/>
      <c r="MLH270" s="22"/>
      <c r="MLI270" s="22"/>
      <c r="MLJ270" s="22"/>
      <c r="MLK270" s="22"/>
      <c r="MLL270" s="22"/>
      <c r="MLM270" s="22"/>
      <c r="MLN270" s="22"/>
      <c r="MLO270" s="22"/>
      <c r="MLP270" s="22"/>
      <c r="MLQ270" s="22"/>
      <c r="MLR270" s="22"/>
      <c r="MLS270" s="22"/>
      <c r="MLT270" s="22"/>
      <c r="MLU270" s="22"/>
      <c r="MLV270" s="22"/>
      <c r="MLW270" s="22"/>
      <c r="MLX270" s="22"/>
      <c r="MLY270" s="22"/>
      <c r="MLZ270" s="22"/>
      <c r="MMA270" s="22"/>
      <c r="MMB270" s="22"/>
      <c r="MMC270" s="22"/>
      <c r="MMD270" s="22"/>
      <c r="MME270" s="22"/>
      <c r="MMF270" s="22"/>
      <c r="MMG270" s="22"/>
      <c r="MMH270" s="22"/>
      <c r="MMI270" s="22"/>
      <c r="MMJ270" s="22"/>
      <c r="MMK270" s="22"/>
      <c r="MML270" s="22"/>
      <c r="MMM270" s="22"/>
      <c r="MMN270" s="22"/>
      <c r="MMO270" s="22"/>
      <c r="MMP270" s="22"/>
      <c r="MMQ270" s="22"/>
      <c r="MMR270" s="22"/>
      <c r="MMS270" s="22"/>
      <c r="MMT270" s="22"/>
      <c r="MMU270" s="22"/>
      <c r="MMV270" s="22"/>
      <c r="MMW270" s="22"/>
      <c r="MMX270" s="22"/>
      <c r="MMY270" s="22"/>
      <c r="MMZ270" s="22"/>
      <c r="MNA270" s="22"/>
      <c r="MNB270" s="22"/>
      <c r="MNC270" s="22"/>
      <c r="MND270" s="22"/>
      <c r="MNE270" s="22"/>
      <c r="MNF270" s="22"/>
      <c r="MNG270" s="22"/>
      <c r="MNH270" s="22"/>
      <c r="MNI270" s="22"/>
      <c r="MNJ270" s="22"/>
      <c r="MNK270" s="22"/>
      <c r="MNL270" s="22"/>
      <c r="MNM270" s="22"/>
      <c r="MNN270" s="22"/>
      <c r="MNO270" s="22"/>
      <c r="MNP270" s="22"/>
      <c r="MNQ270" s="22"/>
      <c r="MNR270" s="22"/>
      <c r="MNS270" s="22"/>
      <c r="MNT270" s="22"/>
      <c r="MNU270" s="22"/>
      <c r="MNV270" s="22"/>
      <c r="MNW270" s="22"/>
      <c r="MNX270" s="22"/>
      <c r="MNY270" s="22"/>
      <c r="MNZ270" s="22"/>
      <c r="MOA270" s="22"/>
      <c r="MOB270" s="22"/>
      <c r="MOC270" s="22"/>
      <c r="MOD270" s="22"/>
      <c r="MOE270" s="22"/>
      <c r="MOF270" s="22"/>
      <c r="MOG270" s="22"/>
      <c r="MOH270" s="22"/>
      <c r="MOI270" s="22"/>
      <c r="MOJ270" s="22"/>
      <c r="MOK270" s="22"/>
      <c r="MOL270" s="22"/>
      <c r="MOM270" s="22"/>
      <c r="MON270" s="22"/>
      <c r="MOO270" s="22"/>
      <c r="MOP270" s="22"/>
      <c r="MOQ270" s="22"/>
      <c r="MOR270" s="22"/>
      <c r="MOS270" s="22"/>
      <c r="MOT270" s="22"/>
      <c r="MOU270" s="22"/>
      <c r="MOV270" s="22"/>
      <c r="MOW270" s="22"/>
      <c r="MOX270" s="22"/>
      <c r="MOY270" s="22"/>
      <c r="MOZ270" s="22"/>
      <c r="MPA270" s="22"/>
      <c r="MPB270" s="22"/>
      <c r="MPC270" s="22"/>
      <c r="MPD270" s="22"/>
      <c r="MPE270" s="22"/>
      <c r="MPF270" s="22"/>
      <c r="MPG270" s="22"/>
      <c r="MPH270" s="22"/>
      <c r="MPI270" s="22"/>
      <c r="MPJ270" s="22"/>
      <c r="MPK270" s="22"/>
      <c r="MPL270" s="22"/>
      <c r="MPM270" s="22"/>
      <c r="MPN270" s="22"/>
      <c r="MPO270" s="22"/>
      <c r="MPP270" s="22"/>
      <c r="MPQ270" s="22"/>
      <c r="MPR270" s="22"/>
      <c r="MPS270" s="22"/>
      <c r="MPT270" s="22"/>
      <c r="MPU270" s="22"/>
      <c r="MPV270" s="22"/>
      <c r="MPW270" s="22"/>
      <c r="MPX270" s="22"/>
      <c r="MPY270" s="22"/>
      <c r="MPZ270" s="22"/>
      <c r="MQA270" s="22"/>
      <c r="MQB270" s="22"/>
      <c r="MQC270" s="22"/>
      <c r="MQD270" s="22"/>
      <c r="MQE270" s="22"/>
      <c r="MQF270" s="22"/>
      <c r="MQG270" s="22"/>
      <c r="MQH270" s="22"/>
      <c r="MQI270" s="22"/>
      <c r="MQJ270" s="22"/>
      <c r="MQK270" s="22"/>
      <c r="MQL270" s="22"/>
      <c r="MQM270" s="22"/>
      <c r="MQN270" s="22"/>
      <c r="MQO270" s="22"/>
      <c r="MQP270" s="22"/>
      <c r="MQQ270" s="22"/>
      <c r="MQR270" s="22"/>
      <c r="MQS270" s="22"/>
      <c r="MQT270" s="22"/>
      <c r="MQU270" s="22"/>
      <c r="MQV270" s="22"/>
      <c r="MQW270" s="22"/>
      <c r="MQX270" s="22"/>
      <c r="MQY270" s="22"/>
      <c r="MQZ270" s="22"/>
      <c r="MRA270" s="22"/>
      <c r="MRB270" s="22"/>
      <c r="MRC270" s="22"/>
      <c r="MRD270" s="22"/>
      <c r="MRE270" s="22"/>
      <c r="MRF270" s="22"/>
      <c r="MRG270" s="22"/>
      <c r="MRH270" s="22"/>
      <c r="MRI270" s="22"/>
      <c r="MRJ270" s="22"/>
      <c r="MRK270" s="22"/>
      <c r="MRL270" s="22"/>
      <c r="MRM270" s="22"/>
      <c r="MRN270" s="22"/>
      <c r="MRO270" s="22"/>
      <c r="MRP270" s="22"/>
      <c r="MRQ270" s="22"/>
      <c r="MRR270" s="22"/>
      <c r="MRS270" s="22"/>
      <c r="MRT270" s="22"/>
      <c r="MRU270" s="22"/>
      <c r="MRV270" s="22"/>
      <c r="MRW270" s="22"/>
      <c r="MRX270" s="22"/>
      <c r="MRY270" s="22"/>
      <c r="MRZ270" s="22"/>
      <c r="MSA270" s="22"/>
      <c r="MSB270" s="22"/>
      <c r="MSC270" s="22"/>
      <c r="MSD270" s="22"/>
      <c r="MSE270" s="22"/>
      <c r="MSF270" s="22"/>
      <c r="MSG270" s="22"/>
      <c r="MSH270" s="22"/>
      <c r="MSI270" s="22"/>
      <c r="MSJ270" s="22"/>
      <c r="MSK270" s="22"/>
      <c r="MSL270" s="22"/>
      <c r="MSM270" s="22"/>
      <c r="MSN270" s="22"/>
      <c r="MSO270" s="22"/>
      <c r="MSP270" s="22"/>
      <c r="MSQ270" s="22"/>
      <c r="MSR270" s="22"/>
      <c r="MSS270" s="22"/>
      <c r="MST270" s="22"/>
      <c r="MSU270" s="22"/>
      <c r="MSV270" s="22"/>
      <c r="MSW270" s="22"/>
      <c r="MSX270" s="22"/>
      <c r="MSY270" s="22"/>
      <c r="MSZ270" s="22"/>
      <c r="MTA270" s="22"/>
      <c r="MTB270" s="22"/>
      <c r="MTC270" s="22"/>
      <c r="MTD270" s="22"/>
      <c r="MTE270" s="22"/>
      <c r="MTF270" s="22"/>
      <c r="MTG270" s="22"/>
      <c r="MTH270" s="22"/>
      <c r="MTI270" s="22"/>
      <c r="MTJ270" s="22"/>
      <c r="MTK270" s="22"/>
      <c r="MTL270" s="22"/>
      <c r="MTM270" s="22"/>
      <c r="MTN270" s="22"/>
      <c r="MTO270" s="22"/>
      <c r="MTP270" s="22"/>
      <c r="MTQ270" s="22"/>
      <c r="MTR270" s="22"/>
      <c r="MTS270" s="22"/>
      <c r="MTT270" s="22"/>
      <c r="MTU270" s="22"/>
      <c r="MTV270" s="22"/>
      <c r="MTW270" s="22"/>
      <c r="MTX270" s="22"/>
      <c r="MTY270" s="22"/>
      <c r="MTZ270" s="22"/>
      <c r="MUA270" s="22"/>
      <c r="MUB270" s="22"/>
      <c r="MUC270" s="22"/>
      <c r="MUD270" s="22"/>
      <c r="MUE270" s="22"/>
      <c r="MUF270" s="22"/>
      <c r="MUG270" s="22"/>
      <c r="MUH270" s="22"/>
      <c r="MUI270" s="22"/>
      <c r="MUJ270" s="22"/>
      <c r="MUK270" s="22"/>
      <c r="MUL270" s="22"/>
      <c r="MUM270" s="22"/>
      <c r="MUN270" s="22"/>
      <c r="MUO270" s="22"/>
      <c r="MUP270" s="22"/>
      <c r="MUQ270" s="22"/>
      <c r="MUR270" s="22"/>
      <c r="MUS270" s="22"/>
      <c r="MUT270" s="22"/>
      <c r="MUU270" s="22"/>
      <c r="MUV270" s="22"/>
      <c r="MUW270" s="22"/>
      <c r="MUX270" s="22"/>
      <c r="MUY270" s="22"/>
      <c r="MUZ270" s="22"/>
      <c r="MVA270" s="22"/>
      <c r="MVB270" s="22"/>
      <c r="MVC270" s="22"/>
      <c r="MVD270" s="22"/>
      <c r="MVE270" s="22"/>
      <c r="MVF270" s="22"/>
      <c r="MVG270" s="22"/>
      <c r="MVH270" s="22"/>
      <c r="MVI270" s="22"/>
      <c r="MVJ270" s="22"/>
      <c r="MVK270" s="22"/>
      <c r="MVL270" s="22"/>
      <c r="MVM270" s="22"/>
      <c r="MVN270" s="22"/>
      <c r="MVO270" s="22"/>
      <c r="MVP270" s="22"/>
      <c r="MVQ270" s="22"/>
      <c r="MVR270" s="22"/>
      <c r="MVS270" s="22"/>
      <c r="MVT270" s="22"/>
      <c r="MVU270" s="22"/>
      <c r="MVV270" s="22"/>
      <c r="MVW270" s="22"/>
      <c r="MVX270" s="22"/>
      <c r="MVY270" s="22"/>
      <c r="MVZ270" s="22"/>
      <c r="MWA270" s="22"/>
      <c r="MWB270" s="22"/>
      <c r="MWC270" s="22"/>
      <c r="MWD270" s="22"/>
      <c r="MWE270" s="22"/>
      <c r="MWF270" s="22"/>
      <c r="MWG270" s="22"/>
      <c r="MWH270" s="22"/>
      <c r="MWI270" s="22"/>
      <c r="MWJ270" s="22"/>
      <c r="MWK270" s="22"/>
      <c r="MWL270" s="22"/>
      <c r="MWM270" s="22"/>
      <c r="MWN270" s="22"/>
      <c r="MWO270" s="22"/>
      <c r="MWP270" s="22"/>
      <c r="MWQ270" s="22"/>
      <c r="MWR270" s="22"/>
      <c r="MWS270" s="22"/>
      <c r="MWT270" s="22"/>
      <c r="MWU270" s="22"/>
      <c r="MWV270" s="22"/>
      <c r="MWW270" s="22"/>
      <c r="MWX270" s="22"/>
      <c r="MWY270" s="22"/>
      <c r="MWZ270" s="22"/>
      <c r="MXA270" s="22"/>
      <c r="MXB270" s="22"/>
      <c r="MXC270" s="22"/>
      <c r="MXD270" s="22"/>
      <c r="MXE270" s="22"/>
      <c r="MXF270" s="22"/>
      <c r="MXG270" s="22"/>
      <c r="MXH270" s="22"/>
      <c r="MXI270" s="22"/>
      <c r="MXJ270" s="22"/>
      <c r="MXK270" s="22"/>
      <c r="MXL270" s="22"/>
      <c r="MXM270" s="22"/>
      <c r="MXN270" s="22"/>
      <c r="MXO270" s="22"/>
      <c r="MXP270" s="22"/>
      <c r="MXQ270" s="22"/>
      <c r="MXR270" s="22"/>
      <c r="MXS270" s="22"/>
      <c r="MXT270" s="22"/>
      <c r="MXU270" s="22"/>
      <c r="MXV270" s="22"/>
      <c r="MXW270" s="22"/>
      <c r="MXX270" s="22"/>
      <c r="MXY270" s="22"/>
      <c r="MXZ270" s="22"/>
      <c r="MYA270" s="22"/>
      <c r="MYB270" s="22"/>
      <c r="MYC270" s="22"/>
      <c r="MYD270" s="22"/>
      <c r="MYE270" s="22"/>
      <c r="MYF270" s="22"/>
      <c r="MYG270" s="22"/>
      <c r="MYH270" s="22"/>
      <c r="MYI270" s="22"/>
      <c r="MYJ270" s="22"/>
      <c r="MYK270" s="22"/>
      <c r="MYL270" s="22"/>
      <c r="MYM270" s="22"/>
      <c r="MYN270" s="22"/>
      <c r="MYO270" s="22"/>
      <c r="MYP270" s="22"/>
      <c r="MYQ270" s="22"/>
      <c r="MYR270" s="22"/>
      <c r="MYS270" s="22"/>
      <c r="MYT270" s="22"/>
      <c r="MYU270" s="22"/>
      <c r="MYV270" s="22"/>
      <c r="MYW270" s="22"/>
      <c r="MYX270" s="22"/>
      <c r="MYY270" s="22"/>
      <c r="MYZ270" s="22"/>
      <c r="MZA270" s="22"/>
      <c r="MZB270" s="22"/>
      <c r="MZC270" s="22"/>
      <c r="MZD270" s="22"/>
      <c r="MZE270" s="22"/>
      <c r="MZF270" s="22"/>
      <c r="MZG270" s="22"/>
      <c r="MZH270" s="22"/>
      <c r="MZI270" s="22"/>
      <c r="MZJ270" s="22"/>
      <c r="MZK270" s="22"/>
      <c r="MZL270" s="22"/>
      <c r="MZM270" s="22"/>
      <c r="MZN270" s="22"/>
      <c r="MZO270" s="22"/>
      <c r="MZP270" s="22"/>
      <c r="MZQ270" s="22"/>
      <c r="MZR270" s="22"/>
      <c r="MZS270" s="22"/>
      <c r="MZT270" s="22"/>
      <c r="MZU270" s="22"/>
      <c r="MZV270" s="22"/>
      <c r="MZW270" s="22"/>
      <c r="MZX270" s="22"/>
      <c r="MZY270" s="22"/>
      <c r="MZZ270" s="22"/>
      <c r="NAA270" s="22"/>
      <c r="NAB270" s="22"/>
      <c r="NAC270" s="22"/>
      <c r="NAD270" s="22"/>
      <c r="NAE270" s="22"/>
      <c r="NAF270" s="22"/>
      <c r="NAG270" s="22"/>
      <c r="NAH270" s="22"/>
      <c r="NAI270" s="22"/>
      <c r="NAJ270" s="22"/>
      <c r="NAK270" s="22"/>
      <c r="NAL270" s="22"/>
      <c r="NAM270" s="22"/>
      <c r="NAN270" s="22"/>
      <c r="NAO270" s="22"/>
      <c r="NAP270" s="22"/>
      <c r="NAQ270" s="22"/>
      <c r="NAR270" s="22"/>
      <c r="NAS270" s="22"/>
      <c r="NAT270" s="22"/>
      <c r="NAU270" s="22"/>
      <c r="NAV270" s="22"/>
      <c r="NAW270" s="22"/>
      <c r="NAX270" s="22"/>
      <c r="NAY270" s="22"/>
      <c r="NAZ270" s="22"/>
      <c r="NBA270" s="22"/>
      <c r="NBB270" s="22"/>
      <c r="NBC270" s="22"/>
      <c r="NBD270" s="22"/>
      <c r="NBE270" s="22"/>
      <c r="NBF270" s="22"/>
      <c r="NBG270" s="22"/>
      <c r="NBH270" s="22"/>
      <c r="NBI270" s="22"/>
      <c r="NBJ270" s="22"/>
      <c r="NBK270" s="22"/>
      <c r="NBL270" s="22"/>
      <c r="NBM270" s="22"/>
      <c r="NBN270" s="22"/>
      <c r="NBO270" s="22"/>
      <c r="NBP270" s="22"/>
      <c r="NBQ270" s="22"/>
      <c r="NBR270" s="22"/>
      <c r="NBS270" s="22"/>
      <c r="NBT270" s="22"/>
      <c r="NBU270" s="22"/>
      <c r="NBV270" s="22"/>
      <c r="NBW270" s="22"/>
      <c r="NBX270" s="22"/>
      <c r="NBY270" s="22"/>
      <c r="NBZ270" s="22"/>
      <c r="NCA270" s="22"/>
      <c r="NCB270" s="22"/>
      <c r="NCC270" s="22"/>
      <c r="NCD270" s="22"/>
      <c r="NCE270" s="22"/>
      <c r="NCF270" s="22"/>
      <c r="NCG270" s="22"/>
      <c r="NCH270" s="22"/>
      <c r="NCI270" s="22"/>
      <c r="NCJ270" s="22"/>
      <c r="NCK270" s="22"/>
      <c r="NCL270" s="22"/>
      <c r="NCM270" s="22"/>
      <c r="NCN270" s="22"/>
      <c r="NCO270" s="22"/>
      <c r="NCP270" s="22"/>
      <c r="NCQ270" s="22"/>
      <c r="NCR270" s="22"/>
      <c r="NCS270" s="22"/>
      <c r="NCT270" s="22"/>
      <c r="NCU270" s="22"/>
      <c r="NCV270" s="22"/>
      <c r="NCW270" s="22"/>
      <c r="NCX270" s="22"/>
      <c r="NCY270" s="22"/>
      <c r="NCZ270" s="22"/>
      <c r="NDA270" s="22"/>
      <c r="NDB270" s="22"/>
      <c r="NDC270" s="22"/>
      <c r="NDD270" s="22"/>
      <c r="NDE270" s="22"/>
      <c r="NDF270" s="22"/>
      <c r="NDG270" s="22"/>
      <c r="NDH270" s="22"/>
      <c r="NDI270" s="22"/>
      <c r="NDJ270" s="22"/>
      <c r="NDK270" s="22"/>
      <c r="NDL270" s="22"/>
      <c r="NDM270" s="22"/>
      <c r="NDN270" s="22"/>
      <c r="NDO270" s="22"/>
      <c r="NDP270" s="22"/>
      <c r="NDQ270" s="22"/>
      <c r="NDR270" s="22"/>
      <c r="NDS270" s="22"/>
      <c r="NDT270" s="22"/>
      <c r="NDU270" s="22"/>
      <c r="NDV270" s="22"/>
      <c r="NDW270" s="22"/>
      <c r="NDX270" s="22"/>
      <c r="NDY270" s="22"/>
      <c r="NDZ270" s="22"/>
      <c r="NEA270" s="22"/>
      <c r="NEB270" s="22"/>
      <c r="NEC270" s="22"/>
      <c r="NED270" s="22"/>
      <c r="NEE270" s="22"/>
      <c r="NEF270" s="22"/>
      <c r="NEG270" s="22"/>
      <c r="NEH270" s="22"/>
      <c r="NEI270" s="22"/>
      <c r="NEJ270" s="22"/>
      <c r="NEK270" s="22"/>
      <c r="NEL270" s="22"/>
      <c r="NEM270" s="22"/>
      <c r="NEN270" s="22"/>
      <c r="NEO270" s="22"/>
      <c r="NEP270" s="22"/>
      <c r="NEQ270" s="22"/>
      <c r="NER270" s="22"/>
      <c r="NES270" s="22"/>
      <c r="NET270" s="22"/>
      <c r="NEU270" s="22"/>
      <c r="NEV270" s="22"/>
      <c r="NEW270" s="22"/>
      <c r="NEX270" s="22"/>
      <c r="NEY270" s="22"/>
      <c r="NEZ270" s="22"/>
      <c r="NFA270" s="22"/>
      <c r="NFB270" s="22"/>
      <c r="NFC270" s="22"/>
      <c r="NFD270" s="22"/>
      <c r="NFE270" s="22"/>
      <c r="NFF270" s="22"/>
      <c r="NFG270" s="22"/>
      <c r="NFH270" s="22"/>
      <c r="NFI270" s="22"/>
      <c r="NFJ270" s="22"/>
      <c r="NFK270" s="22"/>
      <c r="NFL270" s="22"/>
      <c r="NFM270" s="22"/>
      <c r="NFN270" s="22"/>
      <c r="NFO270" s="22"/>
      <c r="NFP270" s="22"/>
      <c r="NFQ270" s="22"/>
      <c r="NFR270" s="22"/>
      <c r="NFS270" s="22"/>
      <c r="NFT270" s="22"/>
      <c r="NFU270" s="22"/>
      <c r="NFV270" s="22"/>
      <c r="NFW270" s="22"/>
      <c r="NFX270" s="22"/>
      <c r="NFY270" s="22"/>
      <c r="NFZ270" s="22"/>
      <c r="NGA270" s="22"/>
      <c r="NGB270" s="22"/>
      <c r="NGC270" s="22"/>
      <c r="NGD270" s="22"/>
      <c r="NGE270" s="22"/>
      <c r="NGF270" s="22"/>
      <c r="NGG270" s="22"/>
      <c r="NGH270" s="22"/>
      <c r="NGI270" s="22"/>
      <c r="NGJ270" s="22"/>
      <c r="NGK270" s="22"/>
      <c r="NGL270" s="22"/>
      <c r="NGM270" s="22"/>
      <c r="NGN270" s="22"/>
      <c r="NGO270" s="22"/>
      <c r="NGP270" s="22"/>
      <c r="NGQ270" s="22"/>
      <c r="NGR270" s="22"/>
      <c r="NGS270" s="22"/>
      <c r="NGT270" s="22"/>
      <c r="NGU270" s="22"/>
      <c r="NGV270" s="22"/>
      <c r="NGW270" s="22"/>
      <c r="NGX270" s="22"/>
      <c r="NGY270" s="22"/>
      <c r="NGZ270" s="22"/>
      <c r="NHA270" s="22"/>
      <c r="NHB270" s="22"/>
      <c r="NHC270" s="22"/>
      <c r="NHD270" s="22"/>
      <c r="NHE270" s="22"/>
      <c r="NHF270" s="22"/>
      <c r="NHG270" s="22"/>
      <c r="NHH270" s="22"/>
      <c r="NHI270" s="22"/>
      <c r="NHJ270" s="22"/>
      <c r="NHK270" s="22"/>
      <c r="NHL270" s="22"/>
      <c r="NHM270" s="22"/>
      <c r="NHN270" s="22"/>
      <c r="NHO270" s="22"/>
      <c r="NHP270" s="22"/>
      <c r="NHQ270" s="22"/>
      <c r="NHR270" s="22"/>
      <c r="NHS270" s="22"/>
      <c r="NHT270" s="22"/>
      <c r="NHU270" s="22"/>
      <c r="NHV270" s="22"/>
      <c r="NHW270" s="22"/>
      <c r="NHX270" s="22"/>
      <c r="NHY270" s="22"/>
      <c r="NHZ270" s="22"/>
      <c r="NIA270" s="22"/>
      <c r="NIB270" s="22"/>
      <c r="NIC270" s="22"/>
      <c r="NID270" s="22"/>
      <c r="NIE270" s="22"/>
      <c r="NIF270" s="22"/>
      <c r="NIG270" s="22"/>
      <c r="NIH270" s="22"/>
      <c r="NII270" s="22"/>
      <c r="NIJ270" s="22"/>
      <c r="NIK270" s="22"/>
      <c r="NIL270" s="22"/>
      <c r="NIM270" s="22"/>
      <c r="NIN270" s="22"/>
      <c r="NIO270" s="22"/>
      <c r="NIP270" s="22"/>
      <c r="NIQ270" s="22"/>
      <c r="NIR270" s="22"/>
      <c r="NIS270" s="22"/>
      <c r="NIT270" s="22"/>
      <c r="NIU270" s="22"/>
      <c r="NIV270" s="22"/>
      <c r="NIW270" s="22"/>
      <c r="NIX270" s="22"/>
      <c r="NIY270" s="22"/>
      <c r="NIZ270" s="22"/>
      <c r="NJA270" s="22"/>
      <c r="NJB270" s="22"/>
      <c r="NJC270" s="22"/>
      <c r="NJD270" s="22"/>
      <c r="NJE270" s="22"/>
      <c r="NJF270" s="22"/>
      <c r="NJG270" s="22"/>
      <c r="NJH270" s="22"/>
      <c r="NJI270" s="22"/>
      <c r="NJJ270" s="22"/>
      <c r="NJK270" s="22"/>
      <c r="NJL270" s="22"/>
      <c r="NJM270" s="22"/>
      <c r="NJN270" s="22"/>
      <c r="NJO270" s="22"/>
      <c r="NJP270" s="22"/>
      <c r="NJQ270" s="22"/>
      <c r="NJR270" s="22"/>
      <c r="NJS270" s="22"/>
      <c r="NJT270" s="22"/>
      <c r="NJU270" s="22"/>
      <c r="NJV270" s="22"/>
      <c r="NJW270" s="22"/>
      <c r="NJX270" s="22"/>
      <c r="NJY270" s="22"/>
      <c r="NJZ270" s="22"/>
      <c r="NKA270" s="22"/>
      <c r="NKB270" s="22"/>
      <c r="NKC270" s="22"/>
      <c r="NKD270" s="22"/>
      <c r="NKE270" s="22"/>
      <c r="NKF270" s="22"/>
      <c r="NKG270" s="22"/>
      <c r="NKH270" s="22"/>
      <c r="NKI270" s="22"/>
      <c r="NKJ270" s="22"/>
      <c r="NKK270" s="22"/>
      <c r="NKL270" s="22"/>
      <c r="NKM270" s="22"/>
      <c r="NKN270" s="22"/>
      <c r="NKO270" s="22"/>
      <c r="NKP270" s="22"/>
      <c r="NKQ270" s="22"/>
      <c r="NKR270" s="22"/>
      <c r="NKS270" s="22"/>
      <c r="NKT270" s="22"/>
      <c r="NKU270" s="22"/>
      <c r="NKV270" s="22"/>
      <c r="NKW270" s="22"/>
      <c r="NKX270" s="22"/>
      <c r="NKY270" s="22"/>
      <c r="NKZ270" s="22"/>
      <c r="NLA270" s="22"/>
      <c r="NLB270" s="22"/>
      <c r="NLC270" s="22"/>
      <c r="NLD270" s="22"/>
      <c r="NLE270" s="22"/>
      <c r="NLF270" s="22"/>
      <c r="NLG270" s="22"/>
      <c r="NLH270" s="22"/>
      <c r="NLI270" s="22"/>
      <c r="NLJ270" s="22"/>
      <c r="NLK270" s="22"/>
      <c r="NLL270" s="22"/>
      <c r="NLM270" s="22"/>
      <c r="NLN270" s="22"/>
      <c r="NLO270" s="22"/>
      <c r="NLP270" s="22"/>
      <c r="NLQ270" s="22"/>
      <c r="NLR270" s="22"/>
      <c r="NLS270" s="22"/>
      <c r="NLT270" s="22"/>
      <c r="NLU270" s="22"/>
      <c r="NLV270" s="22"/>
      <c r="NLW270" s="22"/>
      <c r="NLX270" s="22"/>
      <c r="NLY270" s="22"/>
      <c r="NLZ270" s="22"/>
      <c r="NMA270" s="22"/>
      <c r="NMB270" s="22"/>
      <c r="NMC270" s="22"/>
      <c r="NMD270" s="22"/>
      <c r="NME270" s="22"/>
      <c r="NMF270" s="22"/>
      <c r="NMG270" s="22"/>
      <c r="NMH270" s="22"/>
      <c r="NMI270" s="22"/>
      <c r="NMJ270" s="22"/>
      <c r="NMK270" s="22"/>
      <c r="NML270" s="22"/>
      <c r="NMM270" s="22"/>
      <c r="NMN270" s="22"/>
      <c r="NMO270" s="22"/>
      <c r="NMP270" s="22"/>
      <c r="NMQ270" s="22"/>
      <c r="NMR270" s="22"/>
      <c r="NMS270" s="22"/>
      <c r="NMT270" s="22"/>
      <c r="NMU270" s="22"/>
      <c r="NMV270" s="22"/>
      <c r="NMW270" s="22"/>
      <c r="NMX270" s="22"/>
      <c r="NMY270" s="22"/>
      <c r="NMZ270" s="22"/>
      <c r="NNA270" s="22"/>
      <c r="NNB270" s="22"/>
      <c r="NNC270" s="22"/>
      <c r="NND270" s="22"/>
      <c r="NNE270" s="22"/>
      <c r="NNF270" s="22"/>
      <c r="NNG270" s="22"/>
      <c r="NNH270" s="22"/>
      <c r="NNI270" s="22"/>
      <c r="NNJ270" s="22"/>
      <c r="NNK270" s="22"/>
      <c r="NNL270" s="22"/>
      <c r="NNM270" s="22"/>
      <c r="NNN270" s="22"/>
      <c r="NNO270" s="22"/>
      <c r="NNP270" s="22"/>
      <c r="NNQ270" s="22"/>
      <c r="NNR270" s="22"/>
      <c r="NNS270" s="22"/>
      <c r="NNT270" s="22"/>
      <c r="NNU270" s="22"/>
      <c r="NNV270" s="22"/>
      <c r="NNW270" s="22"/>
      <c r="NNX270" s="22"/>
      <c r="NNY270" s="22"/>
      <c r="NNZ270" s="22"/>
      <c r="NOA270" s="22"/>
      <c r="NOB270" s="22"/>
      <c r="NOC270" s="22"/>
      <c r="NOD270" s="22"/>
      <c r="NOE270" s="22"/>
      <c r="NOF270" s="22"/>
      <c r="NOG270" s="22"/>
      <c r="NOH270" s="22"/>
      <c r="NOI270" s="22"/>
      <c r="NOJ270" s="22"/>
      <c r="NOK270" s="22"/>
      <c r="NOL270" s="22"/>
      <c r="NOM270" s="22"/>
      <c r="NON270" s="22"/>
      <c r="NOO270" s="22"/>
      <c r="NOP270" s="22"/>
      <c r="NOQ270" s="22"/>
      <c r="NOR270" s="22"/>
      <c r="NOS270" s="22"/>
      <c r="NOT270" s="22"/>
      <c r="NOU270" s="22"/>
      <c r="NOV270" s="22"/>
      <c r="NOW270" s="22"/>
      <c r="NOX270" s="22"/>
      <c r="NOY270" s="22"/>
      <c r="NOZ270" s="22"/>
      <c r="NPA270" s="22"/>
      <c r="NPB270" s="22"/>
      <c r="NPC270" s="22"/>
      <c r="NPD270" s="22"/>
      <c r="NPE270" s="22"/>
      <c r="NPF270" s="22"/>
      <c r="NPG270" s="22"/>
      <c r="NPH270" s="22"/>
      <c r="NPI270" s="22"/>
      <c r="NPJ270" s="22"/>
      <c r="NPK270" s="22"/>
      <c r="NPL270" s="22"/>
      <c r="NPM270" s="22"/>
      <c r="NPN270" s="22"/>
      <c r="NPO270" s="22"/>
      <c r="NPP270" s="22"/>
      <c r="NPQ270" s="22"/>
      <c r="NPR270" s="22"/>
      <c r="NPS270" s="22"/>
      <c r="NPT270" s="22"/>
      <c r="NPU270" s="22"/>
      <c r="NPV270" s="22"/>
      <c r="NPW270" s="22"/>
      <c r="NPX270" s="22"/>
      <c r="NPY270" s="22"/>
      <c r="NPZ270" s="22"/>
      <c r="NQA270" s="22"/>
      <c r="NQB270" s="22"/>
      <c r="NQC270" s="22"/>
      <c r="NQD270" s="22"/>
      <c r="NQE270" s="22"/>
      <c r="NQF270" s="22"/>
      <c r="NQG270" s="22"/>
      <c r="NQH270" s="22"/>
      <c r="NQI270" s="22"/>
      <c r="NQJ270" s="22"/>
      <c r="NQK270" s="22"/>
      <c r="NQL270" s="22"/>
      <c r="NQM270" s="22"/>
      <c r="NQN270" s="22"/>
      <c r="NQO270" s="22"/>
      <c r="NQP270" s="22"/>
      <c r="NQQ270" s="22"/>
      <c r="NQR270" s="22"/>
      <c r="NQS270" s="22"/>
      <c r="NQT270" s="22"/>
      <c r="NQU270" s="22"/>
      <c r="NQV270" s="22"/>
      <c r="NQW270" s="22"/>
      <c r="NQX270" s="22"/>
      <c r="NQY270" s="22"/>
      <c r="NQZ270" s="22"/>
      <c r="NRA270" s="22"/>
      <c r="NRB270" s="22"/>
      <c r="NRC270" s="22"/>
      <c r="NRD270" s="22"/>
      <c r="NRE270" s="22"/>
      <c r="NRF270" s="22"/>
      <c r="NRG270" s="22"/>
      <c r="NRH270" s="22"/>
      <c r="NRI270" s="22"/>
      <c r="NRJ270" s="22"/>
      <c r="NRK270" s="22"/>
      <c r="NRL270" s="22"/>
      <c r="NRM270" s="22"/>
      <c r="NRN270" s="22"/>
      <c r="NRO270" s="22"/>
      <c r="NRP270" s="22"/>
      <c r="NRQ270" s="22"/>
      <c r="NRR270" s="22"/>
      <c r="NRS270" s="22"/>
      <c r="NRT270" s="22"/>
      <c r="NRU270" s="22"/>
      <c r="NRV270" s="22"/>
      <c r="NRW270" s="22"/>
      <c r="NRX270" s="22"/>
      <c r="NRY270" s="22"/>
      <c r="NRZ270" s="22"/>
      <c r="NSA270" s="22"/>
      <c r="NSB270" s="22"/>
      <c r="NSC270" s="22"/>
      <c r="NSD270" s="22"/>
      <c r="NSE270" s="22"/>
      <c r="NSF270" s="22"/>
      <c r="NSG270" s="22"/>
      <c r="NSH270" s="22"/>
      <c r="NSI270" s="22"/>
      <c r="NSJ270" s="22"/>
      <c r="NSK270" s="22"/>
      <c r="NSL270" s="22"/>
      <c r="NSM270" s="22"/>
      <c r="NSN270" s="22"/>
      <c r="NSO270" s="22"/>
      <c r="NSP270" s="22"/>
      <c r="NSQ270" s="22"/>
      <c r="NSR270" s="22"/>
      <c r="NSS270" s="22"/>
      <c r="NST270" s="22"/>
      <c r="NSU270" s="22"/>
      <c r="NSV270" s="22"/>
      <c r="NSW270" s="22"/>
      <c r="NSX270" s="22"/>
      <c r="NSY270" s="22"/>
      <c r="NSZ270" s="22"/>
      <c r="NTA270" s="22"/>
      <c r="NTB270" s="22"/>
      <c r="NTC270" s="22"/>
      <c r="NTD270" s="22"/>
      <c r="NTE270" s="22"/>
      <c r="NTF270" s="22"/>
      <c r="NTG270" s="22"/>
      <c r="NTH270" s="22"/>
      <c r="NTI270" s="22"/>
      <c r="NTJ270" s="22"/>
      <c r="NTK270" s="22"/>
      <c r="NTL270" s="22"/>
      <c r="NTM270" s="22"/>
      <c r="NTN270" s="22"/>
      <c r="NTO270" s="22"/>
      <c r="NTP270" s="22"/>
      <c r="NTQ270" s="22"/>
      <c r="NTR270" s="22"/>
      <c r="NTS270" s="22"/>
      <c r="NTT270" s="22"/>
      <c r="NTU270" s="22"/>
      <c r="NTV270" s="22"/>
      <c r="NTW270" s="22"/>
      <c r="NTX270" s="22"/>
      <c r="NTY270" s="22"/>
      <c r="NTZ270" s="22"/>
      <c r="NUA270" s="22"/>
      <c r="NUB270" s="22"/>
      <c r="NUC270" s="22"/>
      <c r="NUD270" s="22"/>
      <c r="NUE270" s="22"/>
      <c r="NUF270" s="22"/>
      <c r="NUG270" s="22"/>
      <c r="NUH270" s="22"/>
      <c r="NUI270" s="22"/>
      <c r="NUJ270" s="22"/>
      <c r="NUK270" s="22"/>
      <c r="NUL270" s="22"/>
      <c r="NUM270" s="22"/>
      <c r="NUN270" s="22"/>
      <c r="NUO270" s="22"/>
      <c r="NUP270" s="22"/>
      <c r="NUQ270" s="22"/>
      <c r="NUR270" s="22"/>
      <c r="NUS270" s="22"/>
      <c r="NUT270" s="22"/>
      <c r="NUU270" s="22"/>
      <c r="NUV270" s="22"/>
      <c r="NUW270" s="22"/>
      <c r="NUX270" s="22"/>
      <c r="NUY270" s="22"/>
      <c r="NUZ270" s="22"/>
      <c r="NVA270" s="22"/>
      <c r="NVB270" s="22"/>
      <c r="NVC270" s="22"/>
      <c r="NVD270" s="22"/>
      <c r="NVE270" s="22"/>
      <c r="NVF270" s="22"/>
      <c r="NVG270" s="22"/>
      <c r="NVH270" s="22"/>
      <c r="NVI270" s="22"/>
      <c r="NVJ270" s="22"/>
      <c r="NVK270" s="22"/>
      <c r="NVL270" s="22"/>
      <c r="NVM270" s="22"/>
      <c r="NVN270" s="22"/>
      <c r="NVO270" s="22"/>
      <c r="NVP270" s="22"/>
      <c r="NVQ270" s="22"/>
      <c r="NVR270" s="22"/>
      <c r="NVS270" s="22"/>
      <c r="NVT270" s="22"/>
      <c r="NVU270" s="22"/>
      <c r="NVV270" s="22"/>
      <c r="NVW270" s="22"/>
      <c r="NVX270" s="22"/>
      <c r="NVY270" s="22"/>
      <c r="NVZ270" s="22"/>
      <c r="NWA270" s="22"/>
      <c r="NWB270" s="22"/>
      <c r="NWC270" s="22"/>
      <c r="NWD270" s="22"/>
      <c r="NWE270" s="22"/>
      <c r="NWF270" s="22"/>
      <c r="NWG270" s="22"/>
      <c r="NWH270" s="22"/>
      <c r="NWI270" s="22"/>
      <c r="NWJ270" s="22"/>
      <c r="NWK270" s="22"/>
      <c r="NWL270" s="22"/>
      <c r="NWM270" s="22"/>
      <c r="NWN270" s="22"/>
      <c r="NWO270" s="22"/>
      <c r="NWP270" s="22"/>
      <c r="NWQ270" s="22"/>
      <c r="NWR270" s="22"/>
      <c r="NWS270" s="22"/>
      <c r="NWT270" s="22"/>
      <c r="NWU270" s="22"/>
      <c r="NWV270" s="22"/>
      <c r="NWW270" s="22"/>
      <c r="NWX270" s="22"/>
      <c r="NWY270" s="22"/>
      <c r="NWZ270" s="22"/>
      <c r="NXA270" s="22"/>
      <c r="NXB270" s="22"/>
      <c r="NXC270" s="22"/>
      <c r="NXD270" s="22"/>
      <c r="NXE270" s="22"/>
      <c r="NXF270" s="22"/>
      <c r="NXG270" s="22"/>
      <c r="NXH270" s="22"/>
      <c r="NXI270" s="22"/>
      <c r="NXJ270" s="22"/>
      <c r="NXK270" s="22"/>
      <c r="NXL270" s="22"/>
      <c r="NXM270" s="22"/>
      <c r="NXN270" s="22"/>
      <c r="NXO270" s="22"/>
      <c r="NXP270" s="22"/>
      <c r="NXQ270" s="22"/>
      <c r="NXR270" s="22"/>
      <c r="NXS270" s="22"/>
      <c r="NXT270" s="22"/>
      <c r="NXU270" s="22"/>
      <c r="NXV270" s="22"/>
      <c r="NXW270" s="22"/>
      <c r="NXX270" s="22"/>
      <c r="NXY270" s="22"/>
      <c r="NXZ270" s="22"/>
      <c r="NYA270" s="22"/>
      <c r="NYB270" s="22"/>
      <c r="NYC270" s="22"/>
      <c r="NYD270" s="22"/>
      <c r="NYE270" s="22"/>
      <c r="NYF270" s="22"/>
      <c r="NYG270" s="22"/>
      <c r="NYH270" s="22"/>
      <c r="NYI270" s="22"/>
      <c r="NYJ270" s="22"/>
      <c r="NYK270" s="22"/>
      <c r="NYL270" s="22"/>
      <c r="NYM270" s="22"/>
      <c r="NYN270" s="22"/>
      <c r="NYO270" s="22"/>
      <c r="NYP270" s="22"/>
      <c r="NYQ270" s="22"/>
      <c r="NYR270" s="22"/>
      <c r="NYS270" s="22"/>
      <c r="NYT270" s="22"/>
      <c r="NYU270" s="22"/>
      <c r="NYV270" s="22"/>
      <c r="NYW270" s="22"/>
      <c r="NYX270" s="22"/>
      <c r="NYY270" s="22"/>
      <c r="NYZ270" s="22"/>
      <c r="NZA270" s="22"/>
      <c r="NZB270" s="22"/>
      <c r="NZC270" s="22"/>
      <c r="NZD270" s="22"/>
      <c r="NZE270" s="22"/>
      <c r="NZF270" s="22"/>
      <c r="NZG270" s="22"/>
      <c r="NZH270" s="22"/>
      <c r="NZI270" s="22"/>
      <c r="NZJ270" s="22"/>
      <c r="NZK270" s="22"/>
      <c r="NZL270" s="22"/>
      <c r="NZM270" s="22"/>
      <c r="NZN270" s="22"/>
      <c r="NZO270" s="22"/>
      <c r="NZP270" s="22"/>
      <c r="NZQ270" s="22"/>
      <c r="NZR270" s="22"/>
      <c r="NZS270" s="22"/>
      <c r="NZT270" s="22"/>
      <c r="NZU270" s="22"/>
      <c r="NZV270" s="22"/>
      <c r="NZW270" s="22"/>
      <c r="NZX270" s="22"/>
      <c r="NZY270" s="22"/>
      <c r="NZZ270" s="22"/>
      <c r="OAA270" s="22"/>
      <c r="OAB270" s="22"/>
      <c r="OAC270" s="22"/>
      <c r="OAD270" s="22"/>
      <c r="OAE270" s="22"/>
      <c r="OAF270" s="22"/>
      <c r="OAG270" s="22"/>
      <c r="OAH270" s="22"/>
      <c r="OAI270" s="22"/>
      <c r="OAJ270" s="22"/>
      <c r="OAK270" s="22"/>
      <c r="OAL270" s="22"/>
      <c r="OAM270" s="22"/>
      <c r="OAN270" s="22"/>
      <c r="OAO270" s="22"/>
      <c r="OAP270" s="22"/>
      <c r="OAQ270" s="22"/>
      <c r="OAR270" s="22"/>
      <c r="OAS270" s="22"/>
      <c r="OAT270" s="22"/>
      <c r="OAU270" s="22"/>
      <c r="OAV270" s="22"/>
      <c r="OAW270" s="22"/>
      <c r="OAX270" s="22"/>
      <c r="OAY270" s="22"/>
      <c r="OAZ270" s="22"/>
      <c r="OBA270" s="22"/>
      <c r="OBB270" s="22"/>
      <c r="OBC270" s="22"/>
      <c r="OBD270" s="22"/>
      <c r="OBE270" s="22"/>
      <c r="OBF270" s="22"/>
      <c r="OBG270" s="22"/>
      <c r="OBH270" s="22"/>
      <c r="OBI270" s="22"/>
      <c r="OBJ270" s="22"/>
      <c r="OBK270" s="22"/>
      <c r="OBL270" s="22"/>
      <c r="OBM270" s="22"/>
      <c r="OBN270" s="22"/>
      <c r="OBO270" s="22"/>
      <c r="OBP270" s="22"/>
      <c r="OBQ270" s="22"/>
      <c r="OBR270" s="22"/>
      <c r="OBS270" s="22"/>
      <c r="OBT270" s="22"/>
      <c r="OBU270" s="22"/>
      <c r="OBV270" s="22"/>
      <c r="OBW270" s="22"/>
      <c r="OBX270" s="22"/>
      <c r="OBY270" s="22"/>
      <c r="OBZ270" s="22"/>
      <c r="OCA270" s="22"/>
      <c r="OCB270" s="22"/>
      <c r="OCC270" s="22"/>
      <c r="OCD270" s="22"/>
      <c r="OCE270" s="22"/>
      <c r="OCF270" s="22"/>
      <c r="OCG270" s="22"/>
      <c r="OCH270" s="22"/>
      <c r="OCI270" s="22"/>
      <c r="OCJ270" s="22"/>
      <c r="OCK270" s="22"/>
      <c r="OCL270" s="22"/>
      <c r="OCM270" s="22"/>
      <c r="OCN270" s="22"/>
      <c r="OCO270" s="22"/>
      <c r="OCP270" s="22"/>
      <c r="OCQ270" s="22"/>
      <c r="OCR270" s="22"/>
      <c r="OCS270" s="22"/>
      <c r="OCT270" s="22"/>
      <c r="OCU270" s="22"/>
      <c r="OCV270" s="22"/>
      <c r="OCW270" s="22"/>
      <c r="OCX270" s="22"/>
      <c r="OCY270" s="22"/>
      <c r="OCZ270" s="22"/>
      <c r="ODA270" s="22"/>
      <c r="ODB270" s="22"/>
      <c r="ODC270" s="22"/>
      <c r="ODD270" s="22"/>
      <c r="ODE270" s="22"/>
      <c r="ODF270" s="22"/>
      <c r="ODG270" s="22"/>
      <c r="ODH270" s="22"/>
      <c r="ODI270" s="22"/>
      <c r="ODJ270" s="22"/>
      <c r="ODK270" s="22"/>
      <c r="ODL270" s="22"/>
      <c r="ODM270" s="22"/>
      <c r="ODN270" s="22"/>
      <c r="ODO270" s="22"/>
      <c r="ODP270" s="22"/>
      <c r="ODQ270" s="22"/>
      <c r="ODR270" s="22"/>
      <c r="ODS270" s="22"/>
      <c r="ODT270" s="22"/>
      <c r="ODU270" s="22"/>
      <c r="ODV270" s="22"/>
      <c r="ODW270" s="22"/>
      <c r="ODX270" s="22"/>
      <c r="ODY270" s="22"/>
      <c r="ODZ270" s="22"/>
      <c r="OEA270" s="22"/>
      <c r="OEB270" s="22"/>
      <c r="OEC270" s="22"/>
      <c r="OED270" s="22"/>
      <c r="OEE270" s="22"/>
      <c r="OEF270" s="22"/>
      <c r="OEG270" s="22"/>
      <c r="OEH270" s="22"/>
      <c r="OEI270" s="22"/>
      <c r="OEJ270" s="22"/>
      <c r="OEK270" s="22"/>
      <c r="OEL270" s="22"/>
      <c r="OEM270" s="22"/>
      <c r="OEN270" s="22"/>
      <c r="OEO270" s="22"/>
      <c r="OEP270" s="22"/>
      <c r="OEQ270" s="22"/>
      <c r="OER270" s="22"/>
      <c r="OES270" s="22"/>
      <c r="OET270" s="22"/>
      <c r="OEU270" s="22"/>
      <c r="OEV270" s="22"/>
      <c r="OEW270" s="22"/>
      <c r="OEX270" s="22"/>
      <c r="OEY270" s="22"/>
      <c r="OEZ270" s="22"/>
      <c r="OFA270" s="22"/>
      <c r="OFB270" s="22"/>
      <c r="OFC270" s="22"/>
      <c r="OFD270" s="22"/>
      <c r="OFE270" s="22"/>
      <c r="OFF270" s="22"/>
      <c r="OFG270" s="22"/>
      <c r="OFH270" s="22"/>
      <c r="OFI270" s="22"/>
      <c r="OFJ270" s="22"/>
      <c r="OFK270" s="22"/>
      <c r="OFL270" s="22"/>
      <c r="OFM270" s="22"/>
      <c r="OFN270" s="22"/>
      <c r="OFO270" s="22"/>
      <c r="OFP270" s="22"/>
      <c r="OFQ270" s="22"/>
      <c r="OFR270" s="22"/>
      <c r="OFS270" s="22"/>
      <c r="OFT270" s="22"/>
      <c r="OFU270" s="22"/>
      <c r="OFV270" s="22"/>
      <c r="OFW270" s="22"/>
      <c r="OFX270" s="22"/>
      <c r="OFY270" s="22"/>
      <c r="OFZ270" s="22"/>
      <c r="OGA270" s="22"/>
      <c r="OGB270" s="22"/>
      <c r="OGC270" s="22"/>
      <c r="OGD270" s="22"/>
      <c r="OGE270" s="22"/>
      <c r="OGF270" s="22"/>
      <c r="OGG270" s="22"/>
      <c r="OGH270" s="22"/>
      <c r="OGI270" s="22"/>
      <c r="OGJ270" s="22"/>
      <c r="OGK270" s="22"/>
      <c r="OGL270" s="22"/>
      <c r="OGM270" s="22"/>
      <c r="OGN270" s="22"/>
      <c r="OGO270" s="22"/>
      <c r="OGP270" s="22"/>
      <c r="OGQ270" s="22"/>
      <c r="OGR270" s="22"/>
      <c r="OGS270" s="22"/>
      <c r="OGT270" s="22"/>
      <c r="OGU270" s="22"/>
      <c r="OGV270" s="22"/>
      <c r="OGW270" s="22"/>
      <c r="OGX270" s="22"/>
      <c r="OGY270" s="22"/>
      <c r="OGZ270" s="22"/>
      <c r="OHA270" s="22"/>
      <c r="OHB270" s="22"/>
      <c r="OHC270" s="22"/>
      <c r="OHD270" s="22"/>
      <c r="OHE270" s="22"/>
      <c r="OHF270" s="22"/>
      <c r="OHG270" s="22"/>
      <c r="OHH270" s="22"/>
      <c r="OHI270" s="22"/>
      <c r="OHJ270" s="22"/>
      <c r="OHK270" s="22"/>
      <c r="OHL270" s="22"/>
      <c r="OHM270" s="22"/>
      <c r="OHN270" s="22"/>
      <c r="OHO270" s="22"/>
      <c r="OHP270" s="22"/>
      <c r="OHQ270" s="22"/>
      <c r="OHR270" s="22"/>
      <c r="OHS270" s="22"/>
      <c r="OHT270" s="22"/>
      <c r="OHU270" s="22"/>
      <c r="OHV270" s="22"/>
      <c r="OHW270" s="22"/>
      <c r="OHX270" s="22"/>
      <c r="OHY270" s="22"/>
      <c r="OHZ270" s="22"/>
      <c r="OIA270" s="22"/>
      <c r="OIB270" s="22"/>
      <c r="OIC270" s="22"/>
      <c r="OID270" s="22"/>
      <c r="OIE270" s="22"/>
      <c r="OIF270" s="22"/>
      <c r="OIG270" s="22"/>
      <c r="OIH270" s="22"/>
      <c r="OII270" s="22"/>
      <c r="OIJ270" s="22"/>
      <c r="OIK270" s="22"/>
      <c r="OIL270" s="22"/>
      <c r="OIM270" s="22"/>
      <c r="OIN270" s="22"/>
      <c r="OIO270" s="22"/>
      <c r="OIP270" s="22"/>
      <c r="OIQ270" s="22"/>
      <c r="OIR270" s="22"/>
      <c r="OIS270" s="22"/>
      <c r="OIT270" s="22"/>
      <c r="OIU270" s="22"/>
      <c r="OIV270" s="22"/>
      <c r="OIW270" s="22"/>
      <c r="OIX270" s="22"/>
      <c r="OIY270" s="22"/>
      <c r="OIZ270" s="22"/>
      <c r="OJA270" s="22"/>
      <c r="OJB270" s="22"/>
      <c r="OJC270" s="22"/>
      <c r="OJD270" s="22"/>
      <c r="OJE270" s="22"/>
      <c r="OJF270" s="22"/>
      <c r="OJG270" s="22"/>
      <c r="OJH270" s="22"/>
      <c r="OJI270" s="22"/>
      <c r="OJJ270" s="22"/>
      <c r="OJK270" s="22"/>
      <c r="OJL270" s="22"/>
      <c r="OJM270" s="22"/>
      <c r="OJN270" s="22"/>
      <c r="OJO270" s="22"/>
      <c r="OJP270" s="22"/>
      <c r="OJQ270" s="22"/>
      <c r="OJR270" s="22"/>
      <c r="OJS270" s="22"/>
      <c r="OJT270" s="22"/>
      <c r="OJU270" s="22"/>
      <c r="OJV270" s="22"/>
      <c r="OJW270" s="22"/>
      <c r="OJX270" s="22"/>
      <c r="OJY270" s="22"/>
      <c r="OJZ270" s="22"/>
      <c r="OKA270" s="22"/>
      <c r="OKB270" s="22"/>
      <c r="OKC270" s="22"/>
      <c r="OKD270" s="22"/>
      <c r="OKE270" s="22"/>
      <c r="OKF270" s="22"/>
      <c r="OKG270" s="22"/>
      <c r="OKH270" s="22"/>
      <c r="OKI270" s="22"/>
      <c r="OKJ270" s="22"/>
      <c r="OKK270" s="22"/>
      <c r="OKL270" s="22"/>
      <c r="OKM270" s="22"/>
      <c r="OKN270" s="22"/>
      <c r="OKO270" s="22"/>
      <c r="OKP270" s="22"/>
      <c r="OKQ270" s="22"/>
      <c r="OKR270" s="22"/>
      <c r="OKS270" s="22"/>
      <c r="OKT270" s="22"/>
      <c r="OKU270" s="22"/>
      <c r="OKV270" s="22"/>
      <c r="OKW270" s="22"/>
      <c r="OKX270" s="22"/>
      <c r="OKY270" s="22"/>
      <c r="OKZ270" s="22"/>
      <c r="OLA270" s="22"/>
      <c r="OLB270" s="22"/>
      <c r="OLC270" s="22"/>
      <c r="OLD270" s="22"/>
      <c r="OLE270" s="22"/>
      <c r="OLF270" s="22"/>
      <c r="OLG270" s="22"/>
      <c r="OLH270" s="22"/>
      <c r="OLI270" s="22"/>
      <c r="OLJ270" s="22"/>
      <c r="OLK270" s="22"/>
      <c r="OLL270" s="22"/>
      <c r="OLM270" s="22"/>
      <c r="OLN270" s="22"/>
      <c r="OLO270" s="22"/>
      <c r="OLP270" s="22"/>
      <c r="OLQ270" s="22"/>
      <c r="OLR270" s="22"/>
      <c r="OLS270" s="22"/>
      <c r="OLT270" s="22"/>
      <c r="OLU270" s="22"/>
      <c r="OLV270" s="22"/>
      <c r="OLW270" s="22"/>
      <c r="OLX270" s="22"/>
      <c r="OLY270" s="22"/>
      <c r="OLZ270" s="22"/>
      <c r="OMA270" s="22"/>
      <c r="OMB270" s="22"/>
      <c r="OMC270" s="22"/>
      <c r="OMD270" s="22"/>
      <c r="OME270" s="22"/>
      <c r="OMF270" s="22"/>
      <c r="OMG270" s="22"/>
      <c r="OMH270" s="22"/>
      <c r="OMI270" s="22"/>
      <c r="OMJ270" s="22"/>
      <c r="OMK270" s="22"/>
      <c r="OML270" s="22"/>
      <c r="OMM270" s="22"/>
      <c r="OMN270" s="22"/>
      <c r="OMO270" s="22"/>
      <c r="OMP270" s="22"/>
      <c r="OMQ270" s="22"/>
      <c r="OMR270" s="22"/>
      <c r="OMS270" s="22"/>
      <c r="OMT270" s="22"/>
      <c r="OMU270" s="22"/>
      <c r="OMV270" s="22"/>
      <c r="OMW270" s="22"/>
      <c r="OMX270" s="22"/>
      <c r="OMY270" s="22"/>
      <c r="OMZ270" s="22"/>
      <c r="ONA270" s="22"/>
      <c r="ONB270" s="22"/>
      <c r="ONC270" s="22"/>
      <c r="OND270" s="22"/>
      <c r="ONE270" s="22"/>
      <c r="ONF270" s="22"/>
      <c r="ONG270" s="22"/>
      <c r="ONH270" s="22"/>
      <c r="ONI270" s="22"/>
      <c r="ONJ270" s="22"/>
      <c r="ONK270" s="22"/>
      <c r="ONL270" s="22"/>
      <c r="ONM270" s="22"/>
      <c r="ONN270" s="22"/>
      <c r="ONO270" s="22"/>
      <c r="ONP270" s="22"/>
      <c r="ONQ270" s="22"/>
      <c r="ONR270" s="22"/>
      <c r="ONS270" s="22"/>
      <c r="ONT270" s="22"/>
      <c r="ONU270" s="22"/>
      <c r="ONV270" s="22"/>
      <c r="ONW270" s="22"/>
      <c r="ONX270" s="22"/>
      <c r="ONY270" s="22"/>
      <c r="ONZ270" s="22"/>
      <c r="OOA270" s="22"/>
      <c r="OOB270" s="22"/>
      <c r="OOC270" s="22"/>
      <c r="OOD270" s="22"/>
      <c r="OOE270" s="22"/>
      <c r="OOF270" s="22"/>
      <c r="OOG270" s="22"/>
      <c r="OOH270" s="22"/>
      <c r="OOI270" s="22"/>
      <c r="OOJ270" s="22"/>
      <c r="OOK270" s="22"/>
      <c r="OOL270" s="22"/>
      <c r="OOM270" s="22"/>
      <c r="OON270" s="22"/>
      <c r="OOO270" s="22"/>
      <c r="OOP270" s="22"/>
      <c r="OOQ270" s="22"/>
      <c r="OOR270" s="22"/>
      <c r="OOS270" s="22"/>
      <c r="OOT270" s="22"/>
      <c r="OOU270" s="22"/>
      <c r="OOV270" s="22"/>
      <c r="OOW270" s="22"/>
      <c r="OOX270" s="22"/>
      <c r="OOY270" s="22"/>
      <c r="OOZ270" s="22"/>
      <c r="OPA270" s="22"/>
      <c r="OPB270" s="22"/>
      <c r="OPC270" s="22"/>
      <c r="OPD270" s="22"/>
      <c r="OPE270" s="22"/>
      <c r="OPF270" s="22"/>
      <c r="OPG270" s="22"/>
      <c r="OPH270" s="22"/>
      <c r="OPI270" s="22"/>
      <c r="OPJ270" s="22"/>
      <c r="OPK270" s="22"/>
      <c r="OPL270" s="22"/>
      <c r="OPM270" s="22"/>
      <c r="OPN270" s="22"/>
      <c r="OPO270" s="22"/>
      <c r="OPP270" s="22"/>
      <c r="OPQ270" s="22"/>
      <c r="OPR270" s="22"/>
      <c r="OPS270" s="22"/>
      <c r="OPT270" s="22"/>
      <c r="OPU270" s="22"/>
      <c r="OPV270" s="22"/>
      <c r="OPW270" s="22"/>
      <c r="OPX270" s="22"/>
      <c r="OPY270" s="22"/>
      <c r="OPZ270" s="22"/>
      <c r="OQA270" s="22"/>
      <c r="OQB270" s="22"/>
      <c r="OQC270" s="22"/>
      <c r="OQD270" s="22"/>
      <c r="OQE270" s="22"/>
      <c r="OQF270" s="22"/>
      <c r="OQG270" s="22"/>
      <c r="OQH270" s="22"/>
      <c r="OQI270" s="22"/>
      <c r="OQJ270" s="22"/>
      <c r="OQK270" s="22"/>
      <c r="OQL270" s="22"/>
      <c r="OQM270" s="22"/>
      <c r="OQN270" s="22"/>
      <c r="OQO270" s="22"/>
      <c r="OQP270" s="22"/>
      <c r="OQQ270" s="22"/>
      <c r="OQR270" s="22"/>
      <c r="OQS270" s="22"/>
      <c r="OQT270" s="22"/>
      <c r="OQU270" s="22"/>
      <c r="OQV270" s="22"/>
      <c r="OQW270" s="22"/>
      <c r="OQX270" s="22"/>
      <c r="OQY270" s="22"/>
      <c r="OQZ270" s="22"/>
      <c r="ORA270" s="22"/>
      <c r="ORB270" s="22"/>
      <c r="ORC270" s="22"/>
      <c r="ORD270" s="22"/>
      <c r="ORE270" s="22"/>
      <c r="ORF270" s="22"/>
      <c r="ORG270" s="22"/>
      <c r="ORH270" s="22"/>
      <c r="ORI270" s="22"/>
      <c r="ORJ270" s="22"/>
      <c r="ORK270" s="22"/>
      <c r="ORL270" s="22"/>
      <c r="ORM270" s="22"/>
      <c r="ORN270" s="22"/>
      <c r="ORO270" s="22"/>
      <c r="ORP270" s="22"/>
      <c r="ORQ270" s="22"/>
      <c r="ORR270" s="22"/>
      <c r="ORS270" s="22"/>
      <c r="ORT270" s="22"/>
      <c r="ORU270" s="22"/>
      <c r="ORV270" s="22"/>
      <c r="ORW270" s="22"/>
      <c r="ORX270" s="22"/>
      <c r="ORY270" s="22"/>
      <c r="ORZ270" s="22"/>
      <c r="OSA270" s="22"/>
      <c r="OSB270" s="22"/>
      <c r="OSC270" s="22"/>
      <c r="OSD270" s="22"/>
      <c r="OSE270" s="22"/>
      <c r="OSF270" s="22"/>
      <c r="OSG270" s="22"/>
      <c r="OSH270" s="22"/>
      <c r="OSI270" s="22"/>
      <c r="OSJ270" s="22"/>
      <c r="OSK270" s="22"/>
      <c r="OSL270" s="22"/>
      <c r="OSM270" s="22"/>
      <c r="OSN270" s="22"/>
      <c r="OSO270" s="22"/>
      <c r="OSP270" s="22"/>
      <c r="OSQ270" s="22"/>
      <c r="OSR270" s="22"/>
      <c r="OSS270" s="22"/>
      <c r="OST270" s="22"/>
      <c r="OSU270" s="22"/>
      <c r="OSV270" s="22"/>
      <c r="OSW270" s="22"/>
      <c r="OSX270" s="22"/>
      <c r="OSY270" s="22"/>
      <c r="OSZ270" s="22"/>
      <c r="OTA270" s="22"/>
      <c r="OTB270" s="22"/>
      <c r="OTC270" s="22"/>
      <c r="OTD270" s="22"/>
      <c r="OTE270" s="22"/>
      <c r="OTF270" s="22"/>
      <c r="OTG270" s="22"/>
      <c r="OTH270" s="22"/>
      <c r="OTI270" s="22"/>
      <c r="OTJ270" s="22"/>
      <c r="OTK270" s="22"/>
      <c r="OTL270" s="22"/>
      <c r="OTM270" s="22"/>
      <c r="OTN270" s="22"/>
      <c r="OTO270" s="22"/>
      <c r="OTP270" s="22"/>
      <c r="OTQ270" s="22"/>
      <c r="OTR270" s="22"/>
      <c r="OTS270" s="22"/>
      <c r="OTT270" s="22"/>
      <c r="OTU270" s="22"/>
      <c r="OTV270" s="22"/>
      <c r="OTW270" s="22"/>
      <c r="OTX270" s="22"/>
      <c r="OTY270" s="22"/>
      <c r="OTZ270" s="22"/>
      <c r="OUA270" s="22"/>
      <c r="OUB270" s="22"/>
      <c r="OUC270" s="22"/>
      <c r="OUD270" s="22"/>
      <c r="OUE270" s="22"/>
      <c r="OUF270" s="22"/>
      <c r="OUG270" s="22"/>
      <c r="OUH270" s="22"/>
      <c r="OUI270" s="22"/>
      <c r="OUJ270" s="22"/>
      <c r="OUK270" s="22"/>
      <c r="OUL270" s="22"/>
      <c r="OUM270" s="22"/>
      <c r="OUN270" s="22"/>
      <c r="OUO270" s="22"/>
      <c r="OUP270" s="22"/>
      <c r="OUQ270" s="22"/>
      <c r="OUR270" s="22"/>
      <c r="OUS270" s="22"/>
      <c r="OUT270" s="22"/>
      <c r="OUU270" s="22"/>
      <c r="OUV270" s="22"/>
      <c r="OUW270" s="22"/>
      <c r="OUX270" s="22"/>
      <c r="OUY270" s="22"/>
      <c r="OUZ270" s="22"/>
      <c r="OVA270" s="22"/>
      <c r="OVB270" s="22"/>
      <c r="OVC270" s="22"/>
      <c r="OVD270" s="22"/>
      <c r="OVE270" s="22"/>
      <c r="OVF270" s="22"/>
      <c r="OVG270" s="22"/>
      <c r="OVH270" s="22"/>
      <c r="OVI270" s="22"/>
      <c r="OVJ270" s="22"/>
      <c r="OVK270" s="22"/>
      <c r="OVL270" s="22"/>
      <c r="OVM270" s="22"/>
      <c r="OVN270" s="22"/>
      <c r="OVO270" s="22"/>
      <c r="OVP270" s="22"/>
      <c r="OVQ270" s="22"/>
      <c r="OVR270" s="22"/>
      <c r="OVS270" s="22"/>
      <c r="OVT270" s="22"/>
      <c r="OVU270" s="22"/>
      <c r="OVV270" s="22"/>
      <c r="OVW270" s="22"/>
      <c r="OVX270" s="22"/>
      <c r="OVY270" s="22"/>
      <c r="OVZ270" s="22"/>
      <c r="OWA270" s="22"/>
      <c r="OWB270" s="22"/>
      <c r="OWC270" s="22"/>
      <c r="OWD270" s="22"/>
      <c r="OWE270" s="22"/>
      <c r="OWF270" s="22"/>
      <c r="OWG270" s="22"/>
      <c r="OWH270" s="22"/>
      <c r="OWI270" s="22"/>
      <c r="OWJ270" s="22"/>
      <c r="OWK270" s="22"/>
      <c r="OWL270" s="22"/>
      <c r="OWM270" s="22"/>
      <c r="OWN270" s="22"/>
      <c r="OWO270" s="22"/>
      <c r="OWP270" s="22"/>
      <c r="OWQ270" s="22"/>
      <c r="OWR270" s="22"/>
      <c r="OWS270" s="22"/>
      <c r="OWT270" s="22"/>
      <c r="OWU270" s="22"/>
      <c r="OWV270" s="22"/>
      <c r="OWW270" s="22"/>
      <c r="OWX270" s="22"/>
      <c r="OWY270" s="22"/>
      <c r="OWZ270" s="22"/>
      <c r="OXA270" s="22"/>
      <c r="OXB270" s="22"/>
      <c r="OXC270" s="22"/>
      <c r="OXD270" s="22"/>
      <c r="OXE270" s="22"/>
      <c r="OXF270" s="22"/>
      <c r="OXG270" s="22"/>
      <c r="OXH270" s="22"/>
      <c r="OXI270" s="22"/>
      <c r="OXJ270" s="22"/>
      <c r="OXK270" s="22"/>
      <c r="OXL270" s="22"/>
      <c r="OXM270" s="22"/>
      <c r="OXN270" s="22"/>
      <c r="OXO270" s="22"/>
      <c r="OXP270" s="22"/>
      <c r="OXQ270" s="22"/>
      <c r="OXR270" s="22"/>
      <c r="OXS270" s="22"/>
      <c r="OXT270" s="22"/>
      <c r="OXU270" s="22"/>
      <c r="OXV270" s="22"/>
      <c r="OXW270" s="22"/>
      <c r="OXX270" s="22"/>
      <c r="OXY270" s="22"/>
      <c r="OXZ270" s="22"/>
      <c r="OYA270" s="22"/>
      <c r="OYB270" s="22"/>
      <c r="OYC270" s="22"/>
      <c r="OYD270" s="22"/>
      <c r="OYE270" s="22"/>
      <c r="OYF270" s="22"/>
      <c r="OYG270" s="22"/>
      <c r="OYH270" s="22"/>
      <c r="OYI270" s="22"/>
      <c r="OYJ270" s="22"/>
      <c r="OYK270" s="22"/>
      <c r="OYL270" s="22"/>
      <c r="OYM270" s="22"/>
      <c r="OYN270" s="22"/>
      <c r="OYO270" s="22"/>
      <c r="OYP270" s="22"/>
      <c r="OYQ270" s="22"/>
      <c r="OYR270" s="22"/>
      <c r="OYS270" s="22"/>
      <c r="OYT270" s="22"/>
      <c r="OYU270" s="22"/>
      <c r="OYV270" s="22"/>
      <c r="OYW270" s="22"/>
      <c r="OYX270" s="22"/>
      <c r="OYY270" s="22"/>
      <c r="OYZ270" s="22"/>
      <c r="OZA270" s="22"/>
      <c r="OZB270" s="22"/>
      <c r="OZC270" s="22"/>
      <c r="OZD270" s="22"/>
      <c r="OZE270" s="22"/>
      <c r="OZF270" s="22"/>
      <c r="OZG270" s="22"/>
      <c r="OZH270" s="22"/>
      <c r="OZI270" s="22"/>
      <c r="OZJ270" s="22"/>
      <c r="OZK270" s="22"/>
      <c r="OZL270" s="22"/>
      <c r="OZM270" s="22"/>
      <c r="OZN270" s="22"/>
      <c r="OZO270" s="22"/>
      <c r="OZP270" s="22"/>
      <c r="OZQ270" s="22"/>
      <c r="OZR270" s="22"/>
      <c r="OZS270" s="22"/>
      <c r="OZT270" s="22"/>
      <c r="OZU270" s="22"/>
      <c r="OZV270" s="22"/>
      <c r="OZW270" s="22"/>
      <c r="OZX270" s="22"/>
      <c r="OZY270" s="22"/>
      <c r="OZZ270" s="22"/>
      <c r="PAA270" s="22"/>
      <c r="PAB270" s="22"/>
      <c r="PAC270" s="22"/>
      <c r="PAD270" s="22"/>
      <c r="PAE270" s="22"/>
      <c r="PAF270" s="22"/>
      <c r="PAG270" s="22"/>
      <c r="PAH270" s="22"/>
      <c r="PAI270" s="22"/>
      <c r="PAJ270" s="22"/>
      <c r="PAK270" s="22"/>
      <c r="PAL270" s="22"/>
      <c r="PAM270" s="22"/>
      <c r="PAN270" s="22"/>
      <c r="PAO270" s="22"/>
      <c r="PAP270" s="22"/>
      <c r="PAQ270" s="22"/>
      <c r="PAR270" s="22"/>
      <c r="PAS270" s="22"/>
      <c r="PAT270" s="22"/>
      <c r="PAU270" s="22"/>
      <c r="PAV270" s="22"/>
      <c r="PAW270" s="22"/>
      <c r="PAX270" s="22"/>
      <c r="PAY270" s="22"/>
      <c r="PAZ270" s="22"/>
      <c r="PBA270" s="22"/>
      <c r="PBB270" s="22"/>
      <c r="PBC270" s="22"/>
      <c r="PBD270" s="22"/>
      <c r="PBE270" s="22"/>
      <c r="PBF270" s="22"/>
      <c r="PBG270" s="22"/>
      <c r="PBH270" s="22"/>
      <c r="PBI270" s="22"/>
      <c r="PBJ270" s="22"/>
      <c r="PBK270" s="22"/>
      <c r="PBL270" s="22"/>
      <c r="PBM270" s="22"/>
      <c r="PBN270" s="22"/>
      <c r="PBO270" s="22"/>
      <c r="PBP270" s="22"/>
      <c r="PBQ270" s="22"/>
      <c r="PBR270" s="22"/>
      <c r="PBS270" s="22"/>
      <c r="PBT270" s="22"/>
      <c r="PBU270" s="22"/>
      <c r="PBV270" s="22"/>
      <c r="PBW270" s="22"/>
      <c r="PBX270" s="22"/>
      <c r="PBY270" s="22"/>
      <c r="PBZ270" s="22"/>
      <c r="PCA270" s="22"/>
      <c r="PCB270" s="22"/>
      <c r="PCC270" s="22"/>
      <c r="PCD270" s="22"/>
      <c r="PCE270" s="22"/>
      <c r="PCF270" s="22"/>
      <c r="PCG270" s="22"/>
      <c r="PCH270" s="22"/>
      <c r="PCI270" s="22"/>
      <c r="PCJ270" s="22"/>
      <c r="PCK270" s="22"/>
      <c r="PCL270" s="22"/>
      <c r="PCM270" s="22"/>
      <c r="PCN270" s="22"/>
      <c r="PCO270" s="22"/>
      <c r="PCP270" s="22"/>
      <c r="PCQ270" s="22"/>
      <c r="PCR270" s="22"/>
      <c r="PCS270" s="22"/>
      <c r="PCT270" s="22"/>
      <c r="PCU270" s="22"/>
      <c r="PCV270" s="22"/>
      <c r="PCW270" s="22"/>
      <c r="PCX270" s="22"/>
      <c r="PCY270" s="22"/>
      <c r="PCZ270" s="22"/>
      <c r="PDA270" s="22"/>
      <c r="PDB270" s="22"/>
      <c r="PDC270" s="22"/>
      <c r="PDD270" s="22"/>
      <c r="PDE270" s="22"/>
      <c r="PDF270" s="22"/>
      <c r="PDG270" s="22"/>
      <c r="PDH270" s="22"/>
      <c r="PDI270" s="22"/>
      <c r="PDJ270" s="22"/>
      <c r="PDK270" s="22"/>
      <c r="PDL270" s="22"/>
      <c r="PDM270" s="22"/>
      <c r="PDN270" s="22"/>
      <c r="PDO270" s="22"/>
      <c r="PDP270" s="22"/>
      <c r="PDQ270" s="22"/>
      <c r="PDR270" s="22"/>
      <c r="PDS270" s="22"/>
      <c r="PDT270" s="22"/>
      <c r="PDU270" s="22"/>
      <c r="PDV270" s="22"/>
      <c r="PDW270" s="22"/>
      <c r="PDX270" s="22"/>
      <c r="PDY270" s="22"/>
      <c r="PDZ270" s="22"/>
      <c r="PEA270" s="22"/>
      <c r="PEB270" s="22"/>
      <c r="PEC270" s="22"/>
      <c r="PED270" s="22"/>
      <c r="PEE270" s="22"/>
      <c r="PEF270" s="22"/>
      <c r="PEG270" s="22"/>
      <c r="PEH270" s="22"/>
      <c r="PEI270" s="22"/>
      <c r="PEJ270" s="22"/>
      <c r="PEK270" s="22"/>
      <c r="PEL270" s="22"/>
      <c r="PEM270" s="22"/>
      <c r="PEN270" s="22"/>
      <c r="PEO270" s="22"/>
      <c r="PEP270" s="22"/>
      <c r="PEQ270" s="22"/>
      <c r="PER270" s="22"/>
      <c r="PES270" s="22"/>
      <c r="PET270" s="22"/>
      <c r="PEU270" s="22"/>
      <c r="PEV270" s="22"/>
      <c r="PEW270" s="22"/>
      <c r="PEX270" s="22"/>
      <c r="PEY270" s="22"/>
      <c r="PEZ270" s="22"/>
      <c r="PFA270" s="22"/>
      <c r="PFB270" s="22"/>
      <c r="PFC270" s="22"/>
      <c r="PFD270" s="22"/>
      <c r="PFE270" s="22"/>
      <c r="PFF270" s="22"/>
      <c r="PFG270" s="22"/>
      <c r="PFH270" s="22"/>
      <c r="PFI270" s="22"/>
      <c r="PFJ270" s="22"/>
      <c r="PFK270" s="22"/>
      <c r="PFL270" s="22"/>
      <c r="PFM270" s="22"/>
      <c r="PFN270" s="22"/>
      <c r="PFO270" s="22"/>
      <c r="PFP270" s="22"/>
      <c r="PFQ270" s="22"/>
      <c r="PFR270" s="22"/>
      <c r="PFS270" s="22"/>
      <c r="PFT270" s="22"/>
      <c r="PFU270" s="22"/>
      <c r="PFV270" s="22"/>
      <c r="PFW270" s="22"/>
      <c r="PFX270" s="22"/>
      <c r="PFY270" s="22"/>
      <c r="PFZ270" s="22"/>
      <c r="PGA270" s="22"/>
      <c r="PGB270" s="22"/>
      <c r="PGC270" s="22"/>
      <c r="PGD270" s="22"/>
      <c r="PGE270" s="22"/>
      <c r="PGF270" s="22"/>
      <c r="PGG270" s="22"/>
      <c r="PGH270" s="22"/>
      <c r="PGI270" s="22"/>
      <c r="PGJ270" s="22"/>
      <c r="PGK270" s="22"/>
      <c r="PGL270" s="22"/>
      <c r="PGM270" s="22"/>
      <c r="PGN270" s="22"/>
      <c r="PGO270" s="22"/>
      <c r="PGP270" s="22"/>
      <c r="PGQ270" s="22"/>
      <c r="PGR270" s="22"/>
      <c r="PGS270" s="22"/>
      <c r="PGT270" s="22"/>
      <c r="PGU270" s="22"/>
      <c r="PGV270" s="22"/>
      <c r="PGW270" s="22"/>
      <c r="PGX270" s="22"/>
      <c r="PGY270" s="22"/>
      <c r="PGZ270" s="22"/>
      <c r="PHA270" s="22"/>
      <c r="PHB270" s="22"/>
      <c r="PHC270" s="22"/>
      <c r="PHD270" s="22"/>
      <c r="PHE270" s="22"/>
      <c r="PHF270" s="22"/>
      <c r="PHG270" s="22"/>
      <c r="PHH270" s="22"/>
      <c r="PHI270" s="22"/>
      <c r="PHJ270" s="22"/>
      <c r="PHK270" s="22"/>
      <c r="PHL270" s="22"/>
      <c r="PHM270" s="22"/>
      <c r="PHN270" s="22"/>
      <c r="PHO270" s="22"/>
      <c r="PHP270" s="22"/>
      <c r="PHQ270" s="22"/>
      <c r="PHR270" s="22"/>
      <c r="PHS270" s="22"/>
      <c r="PHT270" s="22"/>
      <c r="PHU270" s="22"/>
      <c r="PHV270" s="22"/>
      <c r="PHW270" s="22"/>
      <c r="PHX270" s="22"/>
      <c r="PHY270" s="22"/>
      <c r="PHZ270" s="22"/>
      <c r="PIA270" s="22"/>
      <c r="PIB270" s="22"/>
      <c r="PIC270" s="22"/>
      <c r="PID270" s="22"/>
      <c r="PIE270" s="22"/>
      <c r="PIF270" s="22"/>
      <c r="PIG270" s="22"/>
      <c r="PIH270" s="22"/>
      <c r="PII270" s="22"/>
      <c r="PIJ270" s="22"/>
      <c r="PIK270" s="22"/>
      <c r="PIL270" s="22"/>
      <c r="PIM270" s="22"/>
      <c r="PIN270" s="22"/>
      <c r="PIO270" s="22"/>
      <c r="PIP270" s="22"/>
      <c r="PIQ270" s="22"/>
      <c r="PIR270" s="22"/>
      <c r="PIS270" s="22"/>
      <c r="PIT270" s="22"/>
      <c r="PIU270" s="22"/>
      <c r="PIV270" s="22"/>
      <c r="PIW270" s="22"/>
      <c r="PIX270" s="22"/>
      <c r="PIY270" s="22"/>
      <c r="PIZ270" s="22"/>
      <c r="PJA270" s="22"/>
      <c r="PJB270" s="22"/>
      <c r="PJC270" s="22"/>
      <c r="PJD270" s="22"/>
      <c r="PJE270" s="22"/>
      <c r="PJF270" s="22"/>
      <c r="PJG270" s="22"/>
      <c r="PJH270" s="22"/>
      <c r="PJI270" s="22"/>
      <c r="PJJ270" s="22"/>
      <c r="PJK270" s="22"/>
      <c r="PJL270" s="22"/>
      <c r="PJM270" s="22"/>
      <c r="PJN270" s="22"/>
      <c r="PJO270" s="22"/>
      <c r="PJP270" s="22"/>
      <c r="PJQ270" s="22"/>
      <c r="PJR270" s="22"/>
      <c r="PJS270" s="22"/>
      <c r="PJT270" s="22"/>
      <c r="PJU270" s="22"/>
      <c r="PJV270" s="22"/>
      <c r="PJW270" s="22"/>
      <c r="PJX270" s="22"/>
      <c r="PJY270" s="22"/>
      <c r="PJZ270" s="22"/>
      <c r="PKA270" s="22"/>
      <c r="PKB270" s="22"/>
      <c r="PKC270" s="22"/>
      <c r="PKD270" s="22"/>
      <c r="PKE270" s="22"/>
      <c r="PKF270" s="22"/>
      <c r="PKG270" s="22"/>
      <c r="PKH270" s="22"/>
      <c r="PKI270" s="22"/>
      <c r="PKJ270" s="22"/>
      <c r="PKK270" s="22"/>
      <c r="PKL270" s="22"/>
      <c r="PKM270" s="22"/>
      <c r="PKN270" s="22"/>
      <c r="PKO270" s="22"/>
      <c r="PKP270" s="22"/>
      <c r="PKQ270" s="22"/>
      <c r="PKR270" s="22"/>
      <c r="PKS270" s="22"/>
      <c r="PKT270" s="22"/>
      <c r="PKU270" s="22"/>
      <c r="PKV270" s="22"/>
      <c r="PKW270" s="22"/>
      <c r="PKX270" s="22"/>
      <c r="PKY270" s="22"/>
      <c r="PKZ270" s="22"/>
      <c r="PLA270" s="22"/>
      <c r="PLB270" s="22"/>
      <c r="PLC270" s="22"/>
      <c r="PLD270" s="22"/>
      <c r="PLE270" s="22"/>
      <c r="PLF270" s="22"/>
      <c r="PLG270" s="22"/>
      <c r="PLH270" s="22"/>
      <c r="PLI270" s="22"/>
      <c r="PLJ270" s="22"/>
      <c r="PLK270" s="22"/>
      <c r="PLL270" s="22"/>
      <c r="PLM270" s="22"/>
      <c r="PLN270" s="22"/>
      <c r="PLO270" s="22"/>
      <c r="PLP270" s="22"/>
      <c r="PLQ270" s="22"/>
      <c r="PLR270" s="22"/>
      <c r="PLS270" s="22"/>
      <c r="PLT270" s="22"/>
      <c r="PLU270" s="22"/>
      <c r="PLV270" s="22"/>
      <c r="PLW270" s="22"/>
      <c r="PLX270" s="22"/>
      <c r="PLY270" s="22"/>
      <c r="PLZ270" s="22"/>
      <c r="PMA270" s="22"/>
      <c r="PMB270" s="22"/>
      <c r="PMC270" s="22"/>
      <c r="PMD270" s="22"/>
      <c r="PME270" s="22"/>
      <c r="PMF270" s="22"/>
      <c r="PMG270" s="22"/>
      <c r="PMH270" s="22"/>
      <c r="PMI270" s="22"/>
      <c r="PMJ270" s="22"/>
      <c r="PMK270" s="22"/>
      <c r="PML270" s="22"/>
      <c r="PMM270" s="22"/>
      <c r="PMN270" s="22"/>
      <c r="PMO270" s="22"/>
      <c r="PMP270" s="22"/>
      <c r="PMQ270" s="22"/>
      <c r="PMR270" s="22"/>
      <c r="PMS270" s="22"/>
      <c r="PMT270" s="22"/>
      <c r="PMU270" s="22"/>
      <c r="PMV270" s="22"/>
      <c r="PMW270" s="22"/>
      <c r="PMX270" s="22"/>
      <c r="PMY270" s="22"/>
      <c r="PMZ270" s="22"/>
      <c r="PNA270" s="22"/>
      <c r="PNB270" s="22"/>
      <c r="PNC270" s="22"/>
      <c r="PND270" s="22"/>
      <c r="PNE270" s="22"/>
      <c r="PNF270" s="22"/>
      <c r="PNG270" s="22"/>
      <c r="PNH270" s="22"/>
      <c r="PNI270" s="22"/>
      <c r="PNJ270" s="22"/>
      <c r="PNK270" s="22"/>
      <c r="PNL270" s="22"/>
      <c r="PNM270" s="22"/>
      <c r="PNN270" s="22"/>
      <c r="PNO270" s="22"/>
      <c r="PNP270" s="22"/>
      <c r="PNQ270" s="22"/>
      <c r="PNR270" s="22"/>
      <c r="PNS270" s="22"/>
      <c r="PNT270" s="22"/>
      <c r="PNU270" s="22"/>
      <c r="PNV270" s="22"/>
      <c r="PNW270" s="22"/>
      <c r="PNX270" s="22"/>
      <c r="PNY270" s="22"/>
      <c r="PNZ270" s="22"/>
      <c r="POA270" s="22"/>
      <c r="POB270" s="22"/>
      <c r="POC270" s="22"/>
      <c r="POD270" s="22"/>
      <c r="POE270" s="22"/>
      <c r="POF270" s="22"/>
      <c r="POG270" s="22"/>
      <c r="POH270" s="22"/>
      <c r="POI270" s="22"/>
      <c r="POJ270" s="22"/>
      <c r="POK270" s="22"/>
      <c r="POL270" s="22"/>
      <c r="POM270" s="22"/>
      <c r="PON270" s="22"/>
      <c r="POO270" s="22"/>
      <c r="POP270" s="22"/>
      <c r="POQ270" s="22"/>
      <c r="POR270" s="22"/>
      <c r="POS270" s="22"/>
      <c r="POT270" s="22"/>
      <c r="POU270" s="22"/>
      <c r="POV270" s="22"/>
      <c r="POW270" s="22"/>
      <c r="POX270" s="22"/>
      <c r="POY270" s="22"/>
      <c r="POZ270" s="22"/>
      <c r="PPA270" s="22"/>
      <c r="PPB270" s="22"/>
      <c r="PPC270" s="22"/>
      <c r="PPD270" s="22"/>
      <c r="PPE270" s="22"/>
      <c r="PPF270" s="22"/>
      <c r="PPG270" s="22"/>
      <c r="PPH270" s="22"/>
      <c r="PPI270" s="22"/>
      <c r="PPJ270" s="22"/>
      <c r="PPK270" s="22"/>
      <c r="PPL270" s="22"/>
      <c r="PPM270" s="22"/>
      <c r="PPN270" s="22"/>
      <c r="PPO270" s="22"/>
      <c r="PPP270" s="22"/>
      <c r="PPQ270" s="22"/>
      <c r="PPR270" s="22"/>
      <c r="PPS270" s="22"/>
      <c r="PPT270" s="22"/>
      <c r="PPU270" s="22"/>
      <c r="PPV270" s="22"/>
      <c r="PPW270" s="22"/>
      <c r="PPX270" s="22"/>
      <c r="PPY270" s="22"/>
      <c r="PPZ270" s="22"/>
      <c r="PQA270" s="22"/>
      <c r="PQB270" s="22"/>
      <c r="PQC270" s="22"/>
      <c r="PQD270" s="22"/>
      <c r="PQE270" s="22"/>
      <c r="PQF270" s="22"/>
      <c r="PQG270" s="22"/>
      <c r="PQH270" s="22"/>
      <c r="PQI270" s="22"/>
      <c r="PQJ270" s="22"/>
      <c r="PQK270" s="22"/>
      <c r="PQL270" s="22"/>
      <c r="PQM270" s="22"/>
      <c r="PQN270" s="22"/>
      <c r="PQO270" s="22"/>
      <c r="PQP270" s="22"/>
      <c r="PQQ270" s="22"/>
      <c r="PQR270" s="22"/>
      <c r="PQS270" s="22"/>
      <c r="PQT270" s="22"/>
      <c r="PQU270" s="22"/>
      <c r="PQV270" s="22"/>
      <c r="PQW270" s="22"/>
      <c r="PQX270" s="22"/>
      <c r="PQY270" s="22"/>
      <c r="PQZ270" s="22"/>
      <c r="PRA270" s="22"/>
      <c r="PRB270" s="22"/>
      <c r="PRC270" s="22"/>
      <c r="PRD270" s="22"/>
      <c r="PRE270" s="22"/>
      <c r="PRF270" s="22"/>
      <c r="PRG270" s="22"/>
      <c r="PRH270" s="22"/>
      <c r="PRI270" s="22"/>
      <c r="PRJ270" s="22"/>
      <c r="PRK270" s="22"/>
      <c r="PRL270" s="22"/>
      <c r="PRM270" s="22"/>
      <c r="PRN270" s="22"/>
      <c r="PRO270" s="22"/>
      <c r="PRP270" s="22"/>
      <c r="PRQ270" s="22"/>
      <c r="PRR270" s="22"/>
      <c r="PRS270" s="22"/>
      <c r="PRT270" s="22"/>
      <c r="PRU270" s="22"/>
      <c r="PRV270" s="22"/>
      <c r="PRW270" s="22"/>
      <c r="PRX270" s="22"/>
      <c r="PRY270" s="22"/>
      <c r="PRZ270" s="22"/>
      <c r="PSA270" s="22"/>
      <c r="PSB270" s="22"/>
      <c r="PSC270" s="22"/>
      <c r="PSD270" s="22"/>
      <c r="PSE270" s="22"/>
      <c r="PSF270" s="22"/>
      <c r="PSG270" s="22"/>
      <c r="PSH270" s="22"/>
      <c r="PSI270" s="22"/>
      <c r="PSJ270" s="22"/>
      <c r="PSK270" s="22"/>
      <c r="PSL270" s="22"/>
      <c r="PSM270" s="22"/>
      <c r="PSN270" s="22"/>
      <c r="PSO270" s="22"/>
      <c r="PSP270" s="22"/>
      <c r="PSQ270" s="22"/>
      <c r="PSR270" s="22"/>
      <c r="PSS270" s="22"/>
      <c r="PST270" s="22"/>
      <c r="PSU270" s="22"/>
      <c r="PSV270" s="22"/>
      <c r="PSW270" s="22"/>
      <c r="PSX270" s="22"/>
      <c r="PSY270" s="22"/>
      <c r="PSZ270" s="22"/>
      <c r="PTA270" s="22"/>
      <c r="PTB270" s="22"/>
      <c r="PTC270" s="22"/>
      <c r="PTD270" s="22"/>
      <c r="PTE270" s="22"/>
      <c r="PTF270" s="22"/>
      <c r="PTG270" s="22"/>
      <c r="PTH270" s="22"/>
      <c r="PTI270" s="22"/>
      <c r="PTJ270" s="22"/>
      <c r="PTK270" s="22"/>
      <c r="PTL270" s="22"/>
      <c r="PTM270" s="22"/>
      <c r="PTN270" s="22"/>
      <c r="PTO270" s="22"/>
      <c r="PTP270" s="22"/>
      <c r="PTQ270" s="22"/>
      <c r="PTR270" s="22"/>
      <c r="PTS270" s="22"/>
      <c r="PTT270" s="22"/>
      <c r="PTU270" s="22"/>
      <c r="PTV270" s="22"/>
      <c r="PTW270" s="22"/>
      <c r="PTX270" s="22"/>
      <c r="PTY270" s="22"/>
      <c r="PTZ270" s="22"/>
      <c r="PUA270" s="22"/>
      <c r="PUB270" s="22"/>
      <c r="PUC270" s="22"/>
      <c r="PUD270" s="22"/>
      <c r="PUE270" s="22"/>
      <c r="PUF270" s="22"/>
      <c r="PUG270" s="22"/>
      <c r="PUH270" s="22"/>
      <c r="PUI270" s="22"/>
      <c r="PUJ270" s="22"/>
      <c r="PUK270" s="22"/>
      <c r="PUL270" s="22"/>
      <c r="PUM270" s="22"/>
      <c r="PUN270" s="22"/>
      <c r="PUO270" s="22"/>
      <c r="PUP270" s="22"/>
      <c r="PUQ270" s="22"/>
      <c r="PUR270" s="22"/>
      <c r="PUS270" s="22"/>
      <c r="PUT270" s="22"/>
      <c r="PUU270" s="22"/>
      <c r="PUV270" s="22"/>
      <c r="PUW270" s="22"/>
      <c r="PUX270" s="22"/>
      <c r="PUY270" s="22"/>
      <c r="PUZ270" s="22"/>
      <c r="PVA270" s="22"/>
      <c r="PVB270" s="22"/>
      <c r="PVC270" s="22"/>
      <c r="PVD270" s="22"/>
      <c r="PVE270" s="22"/>
      <c r="PVF270" s="22"/>
      <c r="PVG270" s="22"/>
      <c r="PVH270" s="22"/>
      <c r="PVI270" s="22"/>
      <c r="PVJ270" s="22"/>
      <c r="PVK270" s="22"/>
      <c r="PVL270" s="22"/>
      <c r="PVM270" s="22"/>
      <c r="PVN270" s="22"/>
      <c r="PVO270" s="22"/>
      <c r="PVP270" s="22"/>
      <c r="PVQ270" s="22"/>
      <c r="PVR270" s="22"/>
      <c r="PVS270" s="22"/>
      <c r="PVT270" s="22"/>
      <c r="PVU270" s="22"/>
      <c r="PVV270" s="22"/>
      <c r="PVW270" s="22"/>
      <c r="PVX270" s="22"/>
      <c r="PVY270" s="22"/>
      <c r="PVZ270" s="22"/>
      <c r="PWA270" s="22"/>
      <c r="PWB270" s="22"/>
      <c r="PWC270" s="22"/>
      <c r="PWD270" s="22"/>
      <c r="PWE270" s="22"/>
      <c r="PWF270" s="22"/>
      <c r="PWG270" s="22"/>
      <c r="PWH270" s="22"/>
      <c r="PWI270" s="22"/>
      <c r="PWJ270" s="22"/>
      <c r="PWK270" s="22"/>
      <c r="PWL270" s="22"/>
      <c r="PWM270" s="22"/>
      <c r="PWN270" s="22"/>
      <c r="PWO270" s="22"/>
      <c r="PWP270" s="22"/>
      <c r="PWQ270" s="22"/>
      <c r="PWR270" s="22"/>
      <c r="PWS270" s="22"/>
      <c r="PWT270" s="22"/>
      <c r="PWU270" s="22"/>
      <c r="PWV270" s="22"/>
      <c r="PWW270" s="22"/>
      <c r="PWX270" s="22"/>
      <c r="PWY270" s="22"/>
      <c r="PWZ270" s="22"/>
      <c r="PXA270" s="22"/>
      <c r="PXB270" s="22"/>
      <c r="PXC270" s="22"/>
      <c r="PXD270" s="22"/>
      <c r="PXE270" s="22"/>
      <c r="PXF270" s="22"/>
      <c r="PXG270" s="22"/>
      <c r="PXH270" s="22"/>
      <c r="PXI270" s="22"/>
      <c r="PXJ270" s="22"/>
      <c r="PXK270" s="22"/>
      <c r="PXL270" s="22"/>
      <c r="PXM270" s="22"/>
      <c r="PXN270" s="22"/>
      <c r="PXO270" s="22"/>
      <c r="PXP270" s="22"/>
      <c r="PXQ270" s="22"/>
      <c r="PXR270" s="22"/>
      <c r="PXS270" s="22"/>
      <c r="PXT270" s="22"/>
      <c r="PXU270" s="22"/>
      <c r="PXV270" s="22"/>
      <c r="PXW270" s="22"/>
      <c r="PXX270" s="22"/>
      <c r="PXY270" s="22"/>
      <c r="PXZ270" s="22"/>
      <c r="PYA270" s="22"/>
      <c r="PYB270" s="22"/>
      <c r="PYC270" s="22"/>
      <c r="PYD270" s="22"/>
      <c r="PYE270" s="22"/>
      <c r="PYF270" s="22"/>
      <c r="PYG270" s="22"/>
      <c r="PYH270" s="22"/>
      <c r="PYI270" s="22"/>
      <c r="PYJ270" s="22"/>
      <c r="PYK270" s="22"/>
      <c r="PYL270" s="22"/>
      <c r="PYM270" s="22"/>
      <c r="PYN270" s="22"/>
      <c r="PYO270" s="22"/>
      <c r="PYP270" s="22"/>
      <c r="PYQ270" s="22"/>
      <c r="PYR270" s="22"/>
      <c r="PYS270" s="22"/>
      <c r="PYT270" s="22"/>
      <c r="PYU270" s="22"/>
      <c r="PYV270" s="22"/>
      <c r="PYW270" s="22"/>
      <c r="PYX270" s="22"/>
      <c r="PYY270" s="22"/>
      <c r="PYZ270" s="22"/>
      <c r="PZA270" s="22"/>
      <c r="PZB270" s="22"/>
      <c r="PZC270" s="22"/>
      <c r="PZD270" s="22"/>
      <c r="PZE270" s="22"/>
      <c r="PZF270" s="22"/>
      <c r="PZG270" s="22"/>
      <c r="PZH270" s="22"/>
      <c r="PZI270" s="22"/>
      <c r="PZJ270" s="22"/>
      <c r="PZK270" s="22"/>
      <c r="PZL270" s="22"/>
      <c r="PZM270" s="22"/>
      <c r="PZN270" s="22"/>
      <c r="PZO270" s="22"/>
      <c r="PZP270" s="22"/>
      <c r="PZQ270" s="22"/>
      <c r="PZR270" s="22"/>
      <c r="PZS270" s="22"/>
      <c r="PZT270" s="22"/>
      <c r="PZU270" s="22"/>
      <c r="PZV270" s="22"/>
      <c r="PZW270" s="22"/>
      <c r="PZX270" s="22"/>
      <c r="PZY270" s="22"/>
      <c r="PZZ270" s="22"/>
      <c r="QAA270" s="22"/>
      <c r="QAB270" s="22"/>
      <c r="QAC270" s="22"/>
      <c r="QAD270" s="22"/>
      <c r="QAE270" s="22"/>
      <c r="QAF270" s="22"/>
      <c r="QAG270" s="22"/>
      <c r="QAH270" s="22"/>
      <c r="QAI270" s="22"/>
      <c r="QAJ270" s="22"/>
      <c r="QAK270" s="22"/>
      <c r="QAL270" s="22"/>
      <c r="QAM270" s="22"/>
      <c r="QAN270" s="22"/>
      <c r="QAO270" s="22"/>
      <c r="QAP270" s="22"/>
      <c r="QAQ270" s="22"/>
      <c r="QAR270" s="22"/>
      <c r="QAS270" s="22"/>
      <c r="QAT270" s="22"/>
      <c r="QAU270" s="22"/>
      <c r="QAV270" s="22"/>
      <c r="QAW270" s="22"/>
      <c r="QAX270" s="22"/>
      <c r="QAY270" s="22"/>
      <c r="QAZ270" s="22"/>
      <c r="QBA270" s="22"/>
      <c r="QBB270" s="22"/>
      <c r="QBC270" s="22"/>
      <c r="QBD270" s="22"/>
      <c r="QBE270" s="22"/>
      <c r="QBF270" s="22"/>
      <c r="QBG270" s="22"/>
      <c r="QBH270" s="22"/>
      <c r="QBI270" s="22"/>
      <c r="QBJ270" s="22"/>
      <c r="QBK270" s="22"/>
      <c r="QBL270" s="22"/>
      <c r="QBM270" s="22"/>
      <c r="QBN270" s="22"/>
      <c r="QBO270" s="22"/>
      <c r="QBP270" s="22"/>
      <c r="QBQ270" s="22"/>
      <c r="QBR270" s="22"/>
      <c r="QBS270" s="22"/>
      <c r="QBT270" s="22"/>
      <c r="QBU270" s="22"/>
      <c r="QBV270" s="22"/>
      <c r="QBW270" s="22"/>
      <c r="QBX270" s="22"/>
      <c r="QBY270" s="22"/>
      <c r="QBZ270" s="22"/>
      <c r="QCA270" s="22"/>
      <c r="QCB270" s="22"/>
      <c r="QCC270" s="22"/>
      <c r="QCD270" s="22"/>
      <c r="QCE270" s="22"/>
      <c r="QCF270" s="22"/>
      <c r="QCG270" s="22"/>
      <c r="QCH270" s="22"/>
      <c r="QCI270" s="22"/>
      <c r="QCJ270" s="22"/>
      <c r="QCK270" s="22"/>
      <c r="QCL270" s="22"/>
      <c r="QCM270" s="22"/>
      <c r="QCN270" s="22"/>
      <c r="QCO270" s="22"/>
      <c r="QCP270" s="22"/>
      <c r="QCQ270" s="22"/>
      <c r="QCR270" s="22"/>
      <c r="QCS270" s="22"/>
      <c r="QCT270" s="22"/>
      <c r="QCU270" s="22"/>
      <c r="QCV270" s="22"/>
      <c r="QCW270" s="22"/>
      <c r="QCX270" s="22"/>
      <c r="QCY270" s="22"/>
      <c r="QCZ270" s="22"/>
      <c r="QDA270" s="22"/>
      <c r="QDB270" s="22"/>
      <c r="QDC270" s="22"/>
      <c r="QDD270" s="22"/>
      <c r="QDE270" s="22"/>
      <c r="QDF270" s="22"/>
      <c r="QDG270" s="22"/>
      <c r="QDH270" s="22"/>
      <c r="QDI270" s="22"/>
      <c r="QDJ270" s="22"/>
      <c r="QDK270" s="22"/>
      <c r="QDL270" s="22"/>
      <c r="QDM270" s="22"/>
      <c r="QDN270" s="22"/>
      <c r="QDO270" s="22"/>
      <c r="QDP270" s="22"/>
      <c r="QDQ270" s="22"/>
      <c r="QDR270" s="22"/>
      <c r="QDS270" s="22"/>
      <c r="QDT270" s="22"/>
      <c r="QDU270" s="22"/>
      <c r="QDV270" s="22"/>
      <c r="QDW270" s="22"/>
      <c r="QDX270" s="22"/>
      <c r="QDY270" s="22"/>
      <c r="QDZ270" s="22"/>
      <c r="QEA270" s="22"/>
      <c r="QEB270" s="22"/>
      <c r="QEC270" s="22"/>
      <c r="QED270" s="22"/>
      <c r="QEE270" s="22"/>
      <c r="QEF270" s="22"/>
      <c r="QEG270" s="22"/>
      <c r="QEH270" s="22"/>
      <c r="QEI270" s="22"/>
      <c r="QEJ270" s="22"/>
      <c r="QEK270" s="22"/>
      <c r="QEL270" s="22"/>
      <c r="QEM270" s="22"/>
      <c r="QEN270" s="22"/>
      <c r="QEO270" s="22"/>
      <c r="QEP270" s="22"/>
      <c r="QEQ270" s="22"/>
      <c r="QER270" s="22"/>
      <c r="QES270" s="22"/>
      <c r="QET270" s="22"/>
      <c r="QEU270" s="22"/>
      <c r="QEV270" s="22"/>
      <c r="QEW270" s="22"/>
      <c r="QEX270" s="22"/>
      <c r="QEY270" s="22"/>
      <c r="QEZ270" s="22"/>
      <c r="QFA270" s="22"/>
      <c r="QFB270" s="22"/>
      <c r="QFC270" s="22"/>
      <c r="QFD270" s="22"/>
      <c r="QFE270" s="22"/>
      <c r="QFF270" s="22"/>
      <c r="QFG270" s="22"/>
      <c r="QFH270" s="22"/>
      <c r="QFI270" s="22"/>
      <c r="QFJ270" s="22"/>
      <c r="QFK270" s="22"/>
      <c r="QFL270" s="22"/>
      <c r="QFM270" s="22"/>
      <c r="QFN270" s="22"/>
      <c r="QFO270" s="22"/>
      <c r="QFP270" s="22"/>
      <c r="QFQ270" s="22"/>
      <c r="QFR270" s="22"/>
      <c r="QFS270" s="22"/>
      <c r="QFT270" s="22"/>
      <c r="QFU270" s="22"/>
      <c r="QFV270" s="22"/>
      <c r="QFW270" s="22"/>
      <c r="QFX270" s="22"/>
      <c r="QFY270" s="22"/>
      <c r="QFZ270" s="22"/>
      <c r="QGA270" s="22"/>
      <c r="QGB270" s="22"/>
      <c r="QGC270" s="22"/>
      <c r="QGD270" s="22"/>
      <c r="QGE270" s="22"/>
      <c r="QGF270" s="22"/>
      <c r="QGG270" s="22"/>
      <c r="QGH270" s="22"/>
      <c r="QGI270" s="22"/>
      <c r="QGJ270" s="22"/>
      <c r="QGK270" s="22"/>
      <c r="QGL270" s="22"/>
      <c r="QGM270" s="22"/>
      <c r="QGN270" s="22"/>
      <c r="QGO270" s="22"/>
      <c r="QGP270" s="22"/>
      <c r="QGQ270" s="22"/>
      <c r="QGR270" s="22"/>
      <c r="QGS270" s="22"/>
      <c r="QGT270" s="22"/>
      <c r="QGU270" s="22"/>
      <c r="QGV270" s="22"/>
      <c r="QGW270" s="22"/>
      <c r="QGX270" s="22"/>
      <c r="QGY270" s="22"/>
      <c r="QGZ270" s="22"/>
      <c r="QHA270" s="22"/>
      <c r="QHB270" s="22"/>
      <c r="QHC270" s="22"/>
      <c r="QHD270" s="22"/>
      <c r="QHE270" s="22"/>
      <c r="QHF270" s="22"/>
      <c r="QHG270" s="22"/>
      <c r="QHH270" s="22"/>
      <c r="QHI270" s="22"/>
      <c r="QHJ270" s="22"/>
      <c r="QHK270" s="22"/>
      <c r="QHL270" s="22"/>
      <c r="QHM270" s="22"/>
      <c r="QHN270" s="22"/>
      <c r="QHO270" s="22"/>
      <c r="QHP270" s="22"/>
      <c r="QHQ270" s="22"/>
      <c r="QHR270" s="22"/>
      <c r="QHS270" s="22"/>
      <c r="QHT270" s="22"/>
      <c r="QHU270" s="22"/>
      <c r="QHV270" s="22"/>
      <c r="QHW270" s="22"/>
      <c r="QHX270" s="22"/>
      <c r="QHY270" s="22"/>
      <c r="QHZ270" s="22"/>
      <c r="QIA270" s="22"/>
      <c r="QIB270" s="22"/>
      <c r="QIC270" s="22"/>
      <c r="QID270" s="22"/>
      <c r="QIE270" s="22"/>
      <c r="QIF270" s="22"/>
      <c r="QIG270" s="22"/>
      <c r="QIH270" s="22"/>
      <c r="QII270" s="22"/>
      <c r="QIJ270" s="22"/>
      <c r="QIK270" s="22"/>
      <c r="QIL270" s="22"/>
      <c r="QIM270" s="22"/>
      <c r="QIN270" s="22"/>
      <c r="QIO270" s="22"/>
      <c r="QIP270" s="22"/>
      <c r="QIQ270" s="22"/>
      <c r="QIR270" s="22"/>
      <c r="QIS270" s="22"/>
      <c r="QIT270" s="22"/>
      <c r="QIU270" s="22"/>
      <c r="QIV270" s="22"/>
      <c r="QIW270" s="22"/>
      <c r="QIX270" s="22"/>
      <c r="QIY270" s="22"/>
      <c r="QIZ270" s="22"/>
      <c r="QJA270" s="22"/>
      <c r="QJB270" s="22"/>
      <c r="QJC270" s="22"/>
      <c r="QJD270" s="22"/>
      <c r="QJE270" s="22"/>
      <c r="QJF270" s="22"/>
      <c r="QJG270" s="22"/>
      <c r="QJH270" s="22"/>
      <c r="QJI270" s="22"/>
      <c r="QJJ270" s="22"/>
      <c r="QJK270" s="22"/>
      <c r="QJL270" s="22"/>
      <c r="QJM270" s="22"/>
      <c r="QJN270" s="22"/>
      <c r="QJO270" s="22"/>
      <c r="QJP270" s="22"/>
      <c r="QJQ270" s="22"/>
      <c r="QJR270" s="22"/>
      <c r="QJS270" s="22"/>
      <c r="QJT270" s="22"/>
      <c r="QJU270" s="22"/>
      <c r="QJV270" s="22"/>
      <c r="QJW270" s="22"/>
      <c r="QJX270" s="22"/>
      <c r="QJY270" s="22"/>
      <c r="QJZ270" s="22"/>
      <c r="QKA270" s="22"/>
      <c r="QKB270" s="22"/>
      <c r="QKC270" s="22"/>
      <c r="QKD270" s="22"/>
      <c r="QKE270" s="22"/>
      <c r="QKF270" s="22"/>
      <c r="QKG270" s="22"/>
      <c r="QKH270" s="22"/>
      <c r="QKI270" s="22"/>
      <c r="QKJ270" s="22"/>
      <c r="QKK270" s="22"/>
      <c r="QKL270" s="22"/>
      <c r="QKM270" s="22"/>
      <c r="QKN270" s="22"/>
      <c r="QKO270" s="22"/>
      <c r="QKP270" s="22"/>
      <c r="QKQ270" s="22"/>
      <c r="QKR270" s="22"/>
      <c r="QKS270" s="22"/>
      <c r="QKT270" s="22"/>
      <c r="QKU270" s="22"/>
      <c r="QKV270" s="22"/>
      <c r="QKW270" s="22"/>
      <c r="QKX270" s="22"/>
      <c r="QKY270" s="22"/>
      <c r="QKZ270" s="22"/>
      <c r="QLA270" s="22"/>
      <c r="QLB270" s="22"/>
      <c r="QLC270" s="22"/>
      <c r="QLD270" s="22"/>
      <c r="QLE270" s="22"/>
      <c r="QLF270" s="22"/>
      <c r="QLG270" s="22"/>
      <c r="QLH270" s="22"/>
      <c r="QLI270" s="22"/>
      <c r="QLJ270" s="22"/>
      <c r="QLK270" s="22"/>
      <c r="QLL270" s="22"/>
      <c r="QLM270" s="22"/>
      <c r="QLN270" s="22"/>
      <c r="QLO270" s="22"/>
      <c r="QLP270" s="22"/>
      <c r="QLQ270" s="22"/>
      <c r="QLR270" s="22"/>
      <c r="QLS270" s="22"/>
      <c r="QLT270" s="22"/>
      <c r="QLU270" s="22"/>
      <c r="QLV270" s="22"/>
      <c r="QLW270" s="22"/>
      <c r="QLX270" s="22"/>
      <c r="QLY270" s="22"/>
      <c r="QLZ270" s="22"/>
      <c r="QMA270" s="22"/>
      <c r="QMB270" s="22"/>
      <c r="QMC270" s="22"/>
      <c r="QMD270" s="22"/>
      <c r="QME270" s="22"/>
      <c r="QMF270" s="22"/>
      <c r="QMG270" s="22"/>
      <c r="QMH270" s="22"/>
      <c r="QMI270" s="22"/>
      <c r="QMJ270" s="22"/>
      <c r="QMK270" s="22"/>
      <c r="QML270" s="22"/>
      <c r="QMM270" s="22"/>
      <c r="QMN270" s="22"/>
      <c r="QMO270" s="22"/>
      <c r="QMP270" s="22"/>
      <c r="QMQ270" s="22"/>
      <c r="QMR270" s="22"/>
      <c r="QMS270" s="22"/>
      <c r="QMT270" s="22"/>
      <c r="QMU270" s="22"/>
      <c r="QMV270" s="22"/>
      <c r="QMW270" s="22"/>
      <c r="QMX270" s="22"/>
      <c r="QMY270" s="22"/>
      <c r="QMZ270" s="22"/>
      <c r="QNA270" s="22"/>
      <c r="QNB270" s="22"/>
      <c r="QNC270" s="22"/>
      <c r="QND270" s="22"/>
      <c r="QNE270" s="22"/>
      <c r="QNF270" s="22"/>
      <c r="QNG270" s="22"/>
      <c r="QNH270" s="22"/>
      <c r="QNI270" s="22"/>
      <c r="QNJ270" s="22"/>
      <c r="QNK270" s="22"/>
      <c r="QNL270" s="22"/>
      <c r="QNM270" s="22"/>
      <c r="QNN270" s="22"/>
      <c r="QNO270" s="22"/>
      <c r="QNP270" s="22"/>
      <c r="QNQ270" s="22"/>
      <c r="QNR270" s="22"/>
      <c r="QNS270" s="22"/>
      <c r="QNT270" s="22"/>
      <c r="QNU270" s="22"/>
      <c r="QNV270" s="22"/>
      <c r="QNW270" s="22"/>
      <c r="QNX270" s="22"/>
      <c r="QNY270" s="22"/>
      <c r="QNZ270" s="22"/>
      <c r="QOA270" s="22"/>
      <c r="QOB270" s="22"/>
      <c r="QOC270" s="22"/>
      <c r="QOD270" s="22"/>
      <c r="QOE270" s="22"/>
      <c r="QOF270" s="22"/>
      <c r="QOG270" s="22"/>
      <c r="QOH270" s="22"/>
      <c r="QOI270" s="22"/>
      <c r="QOJ270" s="22"/>
      <c r="QOK270" s="22"/>
      <c r="QOL270" s="22"/>
      <c r="QOM270" s="22"/>
      <c r="QON270" s="22"/>
      <c r="QOO270" s="22"/>
      <c r="QOP270" s="22"/>
      <c r="QOQ270" s="22"/>
      <c r="QOR270" s="22"/>
      <c r="QOS270" s="22"/>
      <c r="QOT270" s="22"/>
      <c r="QOU270" s="22"/>
      <c r="QOV270" s="22"/>
      <c r="QOW270" s="22"/>
      <c r="QOX270" s="22"/>
      <c r="QOY270" s="22"/>
      <c r="QOZ270" s="22"/>
      <c r="QPA270" s="22"/>
      <c r="QPB270" s="22"/>
      <c r="QPC270" s="22"/>
      <c r="QPD270" s="22"/>
      <c r="QPE270" s="22"/>
      <c r="QPF270" s="22"/>
      <c r="QPG270" s="22"/>
      <c r="QPH270" s="22"/>
      <c r="QPI270" s="22"/>
      <c r="QPJ270" s="22"/>
      <c r="QPK270" s="22"/>
      <c r="QPL270" s="22"/>
      <c r="QPM270" s="22"/>
      <c r="QPN270" s="22"/>
      <c r="QPO270" s="22"/>
      <c r="QPP270" s="22"/>
      <c r="QPQ270" s="22"/>
      <c r="QPR270" s="22"/>
      <c r="QPS270" s="22"/>
      <c r="QPT270" s="22"/>
      <c r="QPU270" s="22"/>
      <c r="QPV270" s="22"/>
      <c r="QPW270" s="22"/>
      <c r="QPX270" s="22"/>
      <c r="QPY270" s="22"/>
      <c r="QPZ270" s="22"/>
      <c r="QQA270" s="22"/>
      <c r="QQB270" s="22"/>
      <c r="QQC270" s="22"/>
      <c r="QQD270" s="22"/>
      <c r="QQE270" s="22"/>
      <c r="QQF270" s="22"/>
      <c r="QQG270" s="22"/>
      <c r="QQH270" s="22"/>
      <c r="QQI270" s="22"/>
      <c r="QQJ270" s="22"/>
      <c r="QQK270" s="22"/>
      <c r="QQL270" s="22"/>
      <c r="QQM270" s="22"/>
      <c r="QQN270" s="22"/>
      <c r="QQO270" s="22"/>
      <c r="QQP270" s="22"/>
      <c r="QQQ270" s="22"/>
      <c r="QQR270" s="22"/>
      <c r="QQS270" s="22"/>
      <c r="QQT270" s="22"/>
      <c r="QQU270" s="22"/>
      <c r="QQV270" s="22"/>
      <c r="QQW270" s="22"/>
      <c r="QQX270" s="22"/>
      <c r="QQY270" s="22"/>
      <c r="QQZ270" s="22"/>
      <c r="QRA270" s="22"/>
      <c r="QRB270" s="22"/>
      <c r="QRC270" s="22"/>
      <c r="QRD270" s="22"/>
      <c r="QRE270" s="22"/>
      <c r="QRF270" s="22"/>
      <c r="QRG270" s="22"/>
      <c r="QRH270" s="22"/>
      <c r="QRI270" s="22"/>
      <c r="QRJ270" s="22"/>
      <c r="QRK270" s="22"/>
      <c r="QRL270" s="22"/>
      <c r="QRM270" s="22"/>
      <c r="QRN270" s="22"/>
      <c r="QRO270" s="22"/>
      <c r="QRP270" s="22"/>
      <c r="QRQ270" s="22"/>
      <c r="QRR270" s="22"/>
      <c r="QRS270" s="22"/>
      <c r="QRT270" s="22"/>
      <c r="QRU270" s="22"/>
      <c r="QRV270" s="22"/>
      <c r="QRW270" s="22"/>
      <c r="QRX270" s="22"/>
      <c r="QRY270" s="22"/>
      <c r="QRZ270" s="22"/>
      <c r="QSA270" s="22"/>
      <c r="QSB270" s="22"/>
      <c r="QSC270" s="22"/>
      <c r="QSD270" s="22"/>
      <c r="QSE270" s="22"/>
      <c r="QSF270" s="22"/>
      <c r="QSG270" s="22"/>
      <c r="QSH270" s="22"/>
      <c r="QSI270" s="22"/>
      <c r="QSJ270" s="22"/>
      <c r="QSK270" s="22"/>
      <c r="QSL270" s="22"/>
      <c r="QSM270" s="22"/>
      <c r="QSN270" s="22"/>
      <c r="QSO270" s="22"/>
      <c r="QSP270" s="22"/>
      <c r="QSQ270" s="22"/>
      <c r="QSR270" s="22"/>
      <c r="QSS270" s="22"/>
      <c r="QST270" s="22"/>
      <c r="QSU270" s="22"/>
      <c r="QSV270" s="22"/>
      <c r="QSW270" s="22"/>
      <c r="QSX270" s="22"/>
      <c r="QSY270" s="22"/>
      <c r="QSZ270" s="22"/>
      <c r="QTA270" s="22"/>
      <c r="QTB270" s="22"/>
      <c r="QTC270" s="22"/>
      <c r="QTD270" s="22"/>
      <c r="QTE270" s="22"/>
      <c r="QTF270" s="22"/>
      <c r="QTG270" s="22"/>
      <c r="QTH270" s="22"/>
      <c r="QTI270" s="22"/>
      <c r="QTJ270" s="22"/>
      <c r="QTK270" s="22"/>
      <c r="QTL270" s="22"/>
      <c r="QTM270" s="22"/>
      <c r="QTN270" s="22"/>
      <c r="QTO270" s="22"/>
      <c r="QTP270" s="22"/>
      <c r="QTQ270" s="22"/>
      <c r="QTR270" s="22"/>
      <c r="QTS270" s="22"/>
      <c r="QTT270" s="22"/>
      <c r="QTU270" s="22"/>
      <c r="QTV270" s="22"/>
      <c r="QTW270" s="22"/>
      <c r="QTX270" s="22"/>
      <c r="QTY270" s="22"/>
      <c r="QTZ270" s="22"/>
      <c r="QUA270" s="22"/>
      <c r="QUB270" s="22"/>
      <c r="QUC270" s="22"/>
      <c r="QUD270" s="22"/>
      <c r="QUE270" s="22"/>
      <c r="QUF270" s="22"/>
      <c r="QUG270" s="22"/>
      <c r="QUH270" s="22"/>
      <c r="QUI270" s="22"/>
      <c r="QUJ270" s="22"/>
      <c r="QUK270" s="22"/>
      <c r="QUL270" s="22"/>
      <c r="QUM270" s="22"/>
      <c r="QUN270" s="22"/>
      <c r="QUO270" s="22"/>
      <c r="QUP270" s="22"/>
      <c r="QUQ270" s="22"/>
      <c r="QUR270" s="22"/>
      <c r="QUS270" s="22"/>
      <c r="QUT270" s="22"/>
      <c r="QUU270" s="22"/>
      <c r="QUV270" s="22"/>
      <c r="QUW270" s="22"/>
      <c r="QUX270" s="22"/>
      <c r="QUY270" s="22"/>
      <c r="QUZ270" s="22"/>
      <c r="QVA270" s="22"/>
      <c r="QVB270" s="22"/>
      <c r="QVC270" s="22"/>
      <c r="QVD270" s="22"/>
      <c r="QVE270" s="22"/>
      <c r="QVF270" s="22"/>
      <c r="QVG270" s="22"/>
      <c r="QVH270" s="22"/>
      <c r="QVI270" s="22"/>
      <c r="QVJ270" s="22"/>
      <c r="QVK270" s="22"/>
      <c r="QVL270" s="22"/>
      <c r="QVM270" s="22"/>
      <c r="QVN270" s="22"/>
      <c r="QVO270" s="22"/>
      <c r="QVP270" s="22"/>
      <c r="QVQ270" s="22"/>
      <c r="QVR270" s="22"/>
      <c r="QVS270" s="22"/>
      <c r="QVT270" s="22"/>
      <c r="QVU270" s="22"/>
      <c r="QVV270" s="22"/>
      <c r="QVW270" s="22"/>
      <c r="QVX270" s="22"/>
      <c r="QVY270" s="22"/>
      <c r="QVZ270" s="22"/>
      <c r="QWA270" s="22"/>
      <c r="QWB270" s="22"/>
      <c r="QWC270" s="22"/>
      <c r="QWD270" s="22"/>
      <c r="QWE270" s="22"/>
      <c r="QWF270" s="22"/>
      <c r="QWG270" s="22"/>
      <c r="QWH270" s="22"/>
      <c r="QWI270" s="22"/>
      <c r="QWJ270" s="22"/>
      <c r="QWK270" s="22"/>
      <c r="QWL270" s="22"/>
      <c r="QWM270" s="22"/>
      <c r="QWN270" s="22"/>
      <c r="QWO270" s="22"/>
      <c r="QWP270" s="22"/>
      <c r="QWQ270" s="22"/>
      <c r="QWR270" s="22"/>
      <c r="QWS270" s="22"/>
      <c r="QWT270" s="22"/>
      <c r="QWU270" s="22"/>
      <c r="QWV270" s="22"/>
      <c r="QWW270" s="22"/>
      <c r="QWX270" s="22"/>
      <c r="QWY270" s="22"/>
      <c r="QWZ270" s="22"/>
      <c r="QXA270" s="22"/>
      <c r="QXB270" s="22"/>
      <c r="QXC270" s="22"/>
      <c r="QXD270" s="22"/>
      <c r="QXE270" s="22"/>
      <c r="QXF270" s="22"/>
      <c r="QXG270" s="22"/>
      <c r="QXH270" s="22"/>
      <c r="QXI270" s="22"/>
      <c r="QXJ270" s="22"/>
      <c r="QXK270" s="22"/>
      <c r="QXL270" s="22"/>
      <c r="QXM270" s="22"/>
      <c r="QXN270" s="22"/>
      <c r="QXO270" s="22"/>
      <c r="QXP270" s="22"/>
      <c r="QXQ270" s="22"/>
      <c r="QXR270" s="22"/>
      <c r="QXS270" s="22"/>
      <c r="QXT270" s="22"/>
      <c r="QXU270" s="22"/>
      <c r="QXV270" s="22"/>
      <c r="QXW270" s="22"/>
      <c r="QXX270" s="22"/>
      <c r="QXY270" s="22"/>
      <c r="QXZ270" s="22"/>
      <c r="QYA270" s="22"/>
      <c r="QYB270" s="22"/>
      <c r="QYC270" s="22"/>
      <c r="QYD270" s="22"/>
      <c r="QYE270" s="22"/>
      <c r="QYF270" s="22"/>
      <c r="QYG270" s="22"/>
      <c r="QYH270" s="22"/>
      <c r="QYI270" s="22"/>
      <c r="QYJ270" s="22"/>
      <c r="QYK270" s="22"/>
      <c r="QYL270" s="22"/>
      <c r="QYM270" s="22"/>
      <c r="QYN270" s="22"/>
      <c r="QYO270" s="22"/>
      <c r="QYP270" s="22"/>
      <c r="QYQ270" s="22"/>
      <c r="QYR270" s="22"/>
      <c r="QYS270" s="22"/>
      <c r="QYT270" s="22"/>
      <c r="QYU270" s="22"/>
      <c r="QYV270" s="22"/>
      <c r="QYW270" s="22"/>
      <c r="QYX270" s="22"/>
      <c r="QYY270" s="22"/>
      <c r="QYZ270" s="22"/>
      <c r="QZA270" s="22"/>
      <c r="QZB270" s="22"/>
      <c r="QZC270" s="22"/>
      <c r="QZD270" s="22"/>
      <c r="QZE270" s="22"/>
      <c r="QZF270" s="22"/>
      <c r="QZG270" s="22"/>
      <c r="QZH270" s="22"/>
      <c r="QZI270" s="22"/>
      <c r="QZJ270" s="22"/>
      <c r="QZK270" s="22"/>
      <c r="QZL270" s="22"/>
      <c r="QZM270" s="22"/>
      <c r="QZN270" s="22"/>
      <c r="QZO270" s="22"/>
      <c r="QZP270" s="22"/>
      <c r="QZQ270" s="22"/>
      <c r="QZR270" s="22"/>
      <c r="QZS270" s="22"/>
      <c r="QZT270" s="22"/>
      <c r="QZU270" s="22"/>
      <c r="QZV270" s="22"/>
      <c r="QZW270" s="22"/>
      <c r="QZX270" s="22"/>
      <c r="QZY270" s="22"/>
      <c r="QZZ270" s="22"/>
      <c r="RAA270" s="22"/>
      <c r="RAB270" s="22"/>
      <c r="RAC270" s="22"/>
      <c r="RAD270" s="22"/>
      <c r="RAE270" s="22"/>
      <c r="RAF270" s="22"/>
      <c r="RAG270" s="22"/>
      <c r="RAH270" s="22"/>
      <c r="RAI270" s="22"/>
      <c r="RAJ270" s="22"/>
      <c r="RAK270" s="22"/>
      <c r="RAL270" s="22"/>
      <c r="RAM270" s="22"/>
      <c r="RAN270" s="22"/>
      <c r="RAO270" s="22"/>
      <c r="RAP270" s="22"/>
      <c r="RAQ270" s="22"/>
      <c r="RAR270" s="22"/>
      <c r="RAS270" s="22"/>
      <c r="RAT270" s="22"/>
      <c r="RAU270" s="22"/>
      <c r="RAV270" s="22"/>
      <c r="RAW270" s="22"/>
      <c r="RAX270" s="22"/>
      <c r="RAY270" s="22"/>
      <c r="RAZ270" s="22"/>
      <c r="RBA270" s="22"/>
      <c r="RBB270" s="22"/>
      <c r="RBC270" s="22"/>
      <c r="RBD270" s="22"/>
      <c r="RBE270" s="22"/>
      <c r="RBF270" s="22"/>
      <c r="RBG270" s="22"/>
      <c r="RBH270" s="22"/>
      <c r="RBI270" s="22"/>
      <c r="RBJ270" s="22"/>
      <c r="RBK270" s="22"/>
      <c r="RBL270" s="22"/>
      <c r="RBM270" s="22"/>
      <c r="RBN270" s="22"/>
      <c r="RBO270" s="22"/>
      <c r="RBP270" s="22"/>
      <c r="RBQ270" s="22"/>
      <c r="RBR270" s="22"/>
      <c r="RBS270" s="22"/>
      <c r="RBT270" s="22"/>
      <c r="RBU270" s="22"/>
      <c r="RBV270" s="22"/>
      <c r="RBW270" s="22"/>
      <c r="RBX270" s="22"/>
      <c r="RBY270" s="22"/>
      <c r="RBZ270" s="22"/>
      <c r="RCA270" s="22"/>
      <c r="RCB270" s="22"/>
      <c r="RCC270" s="22"/>
      <c r="RCD270" s="22"/>
      <c r="RCE270" s="22"/>
      <c r="RCF270" s="22"/>
      <c r="RCG270" s="22"/>
      <c r="RCH270" s="22"/>
      <c r="RCI270" s="22"/>
      <c r="RCJ270" s="22"/>
      <c r="RCK270" s="22"/>
      <c r="RCL270" s="22"/>
      <c r="RCM270" s="22"/>
      <c r="RCN270" s="22"/>
      <c r="RCO270" s="22"/>
      <c r="RCP270" s="22"/>
      <c r="RCQ270" s="22"/>
      <c r="RCR270" s="22"/>
      <c r="RCS270" s="22"/>
      <c r="RCT270" s="22"/>
      <c r="RCU270" s="22"/>
      <c r="RCV270" s="22"/>
      <c r="RCW270" s="22"/>
      <c r="RCX270" s="22"/>
      <c r="RCY270" s="22"/>
      <c r="RCZ270" s="22"/>
      <c r="RDA270" s="22"/>
      <c r="RDB270" s="22"/>
      <c r="RDC270" s="22"/>
      <c r="RDD270" s="22"/>
      <c r="RDE270" s="22"/>
      <c r="RDF270" s="22"/>
      <c r="RDG270" s="22"/>
      <c r="RDH270" s="22"/>
      <c r="RDI270" s="22"/>
      <c r="RDJ270" s="22"/>
      <c r="RDK270" s="22"/>
      <c r="RDL270" s="22"/>
      <c r="RDM270" s="22"/>
      <c r="RDN270" s="22"/>
      <c r="RDO270" s="22"/>
      <c r="RDP270" s="22"/>
      <c r="RDQ270" s="22"/>
      <c r="RDR270" s="22"/>
      <c r="RDS270" s="22"/>
      <c r="RDT270" s="22"/>
      <c r="RDU270" s="22"/>
      <c r="RDV270" s="22"/>
      <c r="RDW270" s="22"/>
      <c r="RDX270" s="22"/>
      <c r="RDY270" s="22"/>
      <c r="RDZ270" s="22"/>
      <c r="REA270" s="22"/>
      <c r="REB270" s="22"/>
      <c r="REC270" s="22"/>
      <c r="RED270" s="22"/>
      <c r="REE270" s="22"/>
      <c r="REF270" s="22"/>
      <c r="REG270" s="22"/>
      <c r="REH270" s="22"/>
      <c r="REI270" s="22"/>
      <c r="REJ270" s="22"/>
      <c r="REK270" s="22"/>
      <c r="REL270" s="22"/>
      <c r="REM270" s="22"/>
      <c r="REN270" s="22"/>
      <c r="REO270" s="22"/>
      <c r="REP270" s="22"/>
      <c r="REQ270" s="22"/>
      <c r="RER270" s="22"/>
      <c r="RES270" s="22"/>
      <c r="RET270" s="22"/>
      <c r="REU270" s="22"/>
      <c r="REV270" s="22"/>
      <c r="REW270" s="22"/>
      <c r="REX270" s="22"/>
      <c r="REY270" s="22"/>
      <c r="REZ270" s="22"/>
      <c r="RFA270" s="22"/>
      <c r="RFB270" s="22"/>
      <c r="RFC270" s="22"/>
      <c r="RFD270" s="22"/>
      <c r="RFE270" s="22"/>
      <c r="RFF270" s="22"/>
      <c r="RFG270" s="22"/>
      <c r="RFH270" s="22"/>
      <c r="RFI270" s="22"/>
      <c r="RFJ270" s="22"/>
      <c r="RFK270" s="22"/>
      <c r="RFL270" s="22"/>
      <c r="RFM270" s="22"/>
      <c r="RFN270" s="22"/>
      <c r="RFO270" s="22"/>
      <c r="RFP270" s="22"/>
      <c r="RFQ270" s="22"/>
      <c r="RFR270" s="22"/>
      <c r="RFS270" s="22"/>
      <c r="RFT270" s="22"/>
      <c r="RFU270" s="22"/>
      <c r="RFV270" s="22"/>
      <c r="RFW270" s="22"/>
      <c r="RFX270" s="22"/>
      <c r="RFY270" s="22"/>
      <c r="RFZ270" s="22"/>
      <c r="RGA270" s="22"/>
      <c r="RGB270" s="22"/>
      <c r="RGC270" s="22"/>
      <c r="RGD270" s="22"/>
      <c r="RGE270" s="22"/>
      <c r="RGF270" s="22"/>
      <c r="RGG270" s="22"/>
      <c r="RGH270" s="22"/>
      <c r="RGI270" s="22"/>
      <c r="RGJ270" s="22"/>
      <c r="RGK270" s="22"/>
      <c r="RGL270" s="22"/>
      <c r="RGM270" s="22"/>
      <c r="RGN270" s="22"/>
      <c r="RGO270" s="22"/>
      <c r="RGP270" s="22"/>
      <c r="RGQ270" s="22"/>
      <c r="RGR270" s="22"/>
      <c r="RGS270" s="22"/>
      <c r="RGT270" s="22"/>
      <c r="RGU270" s="22"/>
      <c r="RGV270" s="22"/>
      <c r="RGW270" s="22"/>
      <c r="RGX270" s="22"/>
      <c r="RGY270" s="22"/>
      <c r="RGZ270" s="22"/>
      <c r="RHA270" s="22"/>
      <c r="RHB270" s="22"/>
      <c r="RHC270" s="22"/>
      <c r="RHD270" s="22"/>
      <c r="RHE270" s="22"/>
      <c r="RHF270" s="22"/>
      <c r="RHG270" s="22"/>
      <c r="RHH270" s="22"/>
      <c r="RHI270" s="22"/>
      <c r="RHJ270" s="22"/>
      <c r="RHK270" s="22"/>
      <c r="RHL270" s="22"/>
      <c r="RHM270" s="22"/>
      <c r="RHN270" s="22"/>
      <c r="RHO270" s="22"/>
      <c r="RHP270" s="22"/>
      <c r="RHQ270" s="22"/>
      <c r="RHR270" s="22"/>
      <c r="RHS270" s="22"/>
      <c r="RHT270" s="22"/>
      <c r="RHU270" s="22"/>
      <c r="RHV270" s="22"/>
      <c r="RHW270" s="22"/>
      <c r="RHX270" s="22"/>
      <c r="RHY270" s="22"/>
      <c r="RHZ270" s="22"/>
      <c r="RIA270" s="22"/>
      <c r="RIB270" s="22"/>
      <c r="RIC270" s="22"/>
      <c r="RID270" s="22"/>
      <c r="RIE270" s="22"/>
      <c r="RIF270" s="22"/>
      <c r="RIG270" s="22"/>
      <c r="RIH270" s="22"/>
      <c r="RII270" s="22"/>
      <c r="RIJ270" s="22"/>
      <c r="RIK270" s="22"/>
      <c r="RIL270" s="22"/>
      <c r="RIM270" s="22"/>
      <c r="RIN270" s="22"/>
      <c r="RIO270" s="22"/>
      <c r="RIP270" s="22"/>
      <c r="RIQ270" s="22"/>
      <c r="RIR270" s="22"/>
      <c r="RIS270" s="22"/>
      <c r="RIT270" s="22"/>
      <c r="RIU270" s="22"/>
      <c r="RIV270" s="22"/>
      <c r="RIW270" s="22"/>
      <c r="RIX270" s="22"/>
      <c r="RIY270" s="22"/>
      <c r="RIZ270" s="22"/>
      <c r="RJA270" s="22"/>
      <c r="RJB270" s="22"/>
      <c r="RJC270" s="22"/>
      <c r="RJD270" s="22"/>
      <c r="RJE270" s="22"/>
      <c r="RJF270" s="22"/>
      <c r="RJG270" s="22"/>
      <c r="RJH270" s="22"/>
      <c r="RJI270" s="22"/>
      <c r="RJJ270" s="22"/>
      <c r="RJK270" s="22"/>
      <c r="RJL270" s="22"/>
      <c r="RJM270" s="22"/>
      <c r="RJN270" s="22"/>
      <c r="RJO270" s="22"/>
      <c r="RJP270" s="22"/>
      <c r="RJQ270" s="22"/>
      <c r="RJR270" s="22"/>
      <c r="RJS270" s="22"/>
      <c r="RJT270" s="22"/>
      <c r="RJU270" s="22"/>
      <c r="RJV270" s="22"/>
      <c r="RJW270" s="22"/>
      <c r="RJX270" s="22"/>
      <c r="RJY270" s="22"/>
      <c r="RJZ270" s="22"/>
      <c r="RKA270" s="22"/>
      <c r="RKB270" s="22"/>
      <c r="RKC270" s="22"/>
      <c r="RKD270" s="22"/>
      <c r="RKE270" s="22"/>
      <c r="RKF270" s="22"/>
      <c r="RKG270" s="22"/>
      <c r="RKH270" s="22"/>
      <c r="RKI270" s="22"/>
      <c r="RKJ270" s="22"/>
      <c r="RKK270" s="22"/>
      <c r="RKL270" s="22"/>
      <c r="RKM270" s="22"/>
      <c r="RKN270" s="22"/>
      <c r="RKO270" s="22"/>
      <c r="RKP270" s="22"/>
      <c r="RKQ270" s="22"/>
      <c r="RKR270" s="22"/>
      <c r="RKS270" s="22"/>
      <c r="RKT270" s="22"/>
      <c r="RKU270" s="22"/>
      <c r="RKV270" s="22"/>
      <c r="RKW270" s="22"/>
      <c r="RKX270" s="22"/>
      <c r="RKY270" s="22"/>
      <c r="RKZ270" s="22"/>
      <c r="RLA270" s="22"/>
      <c r="RLB270" s="22"/>
      <c r="RLC270" s="22"/>
      <c r="RLD270" s="22"/>
      <c r="RLE270" s="22"/>
      <c r="RLF270" s="22"/>
      <c r="RLG270" s="22"/>
      <c r="RLH270" s="22"/>
      <c r="RLI270" s="22"/>
      <c r="RLJ270" s="22"/>
      <c r="RLK270" s="22"/>
      <c r="RLL270" s="22"/>
      <c r="RLM270" s="22"/>
      <c r="RLN270" s="22"/>
      <c r="RLO270" s="22"/>
      <c r="RLP270" s="22"/>
      <c r="RLQ270" s="22"/>
      <c r="RLR270" s="22"/>
      <c r="RLS270" s="22"/>
      <c r="RLT270" s="22"/>
      <c r="RLU270" s="22"/>
      <c r="RLV270" s="22"/>
      <c r="RLW270" s="22"/>
      <c r="RLX270" s="22"/>
      <c r="RLY270" s="22"/>
      <c r="RLZ270" s="22"/>
      <c r="RMA270" s="22"/>
      <c r="RMB270" s="22"/>
      <c r="RMC270" s="22"/>
      <c r="RMD270" s="22"/>
      <c r="RME270" s="22"/>
      <c r="RMF270" s="22"/>
      <c r="RMG270" s="22"/>
      <c r="RMH270" s="22"/>
      <c r="RMI270" s="22"/>
      <c r="RMJ270" s="22"/>
      <c r="RMK270" s="22"/>
      <c r="RML270" s="22"/>
      <c r="RMM270" s="22"/>
      <c r="RMN270" s="22"/>
      <c r="RMO270" s="22"/>
      <c r="RMP270" s="22"/>
      <c r="RMQ270" s="22"/>
      <c r="RMR270" s="22"/>
      <c r="RMS270" s="22"/>
      <c r="RMT270" s="22"/>
      <c r="RMU270" s="22"/>
      <c r="RMV270" s="22"/>
      <c r="RMW270" s="22"/>
      <c r="RMX270" s="22"/>
      <c r="RMY270" s="22"/>
      <c r="RMZ270" s="22"/>
      <c r="RNA270" s="22"/>
      <c r="RNB270" s="22"/>
      <c r="RNC270" s="22"/>
      <c r="RND270" s="22"/>
      <c r="RNE270" s="22"/>
      <c r="RNF270" s="22"/>
      <c r="RNG270" s="22"/>
      <c r="RNH270" s="22"/>
      <c r="RNI270" s="22"/>
      <c r="RNJ270" s="22"/>
      <c r="RNK270" s="22"/>
      <c r="RNL270" s="22"/>
      <c r="RNM270" s="22"/>
      <c r="RNN270" s="22"/>
      <c r="RNO270" s="22"/>
      <c r="RNP270" s="22"/>
      <c r="RNQ270" s="22"/>
      <c r="RNR270" s="22"/>
      <c r="RNS270" s="22"/>
      <c r="RNT270" s="22"/>
      <c r="RNU270" s="22"/>
      <c r="RNV270" s="22"/>
      <c r="RNW270" s="22"/>
      <c r="RNX270" s="22"/>
      <c r="RNY270" s="22"/>
      <c r="RNZ270" s="22"/>
      <c r="ROA270" s="22"/>
      <c r="ROB270" s="22"/>
      <c r="ROC270" s="22"/>
      <c r="ROD270" s="22"/>
      <c r="ROE270" s="22"/>
      <c r="ROF270" s="22"/>
      <c r="ROG270" s="22"/>
      <c r="ROH270" s="22"/>
      <c r="ROI270" s="22"/>
      <c r="ROJ270" s="22"/>
      <c r="ROK270" s="22"/>
      <c r="ROL270" s="22"/>
      <c r="ROM270" s="22"/>
      <c r="RON270" s="22"/>
      <c r="ROO270" s="22"/>
      <c r="ROP270" s="22"/>
      <c r="ROQ270" s="22"/>
      <c r="ROR270" s="22"/>
      <c r="ROS270" s="22"/>
      <c r="ROT270" s="22"/>
      <c r="ROU270" s="22"/>
      <c r="ROV270" s="22"/>
      <c r="ROW270" s="22"/>
      <c r="ROX270" s="22"/>
      <c r="ROY270" s="22"/>
      <c r="ROZ270" s="22"/>
      <c r="RPA270" s="22"/>
      <c r="RPB270" s="22"/>
      <c r="RPC270" s="22"/>
      <c r="RPD270" s="22"/>
      <c r="RPE270" s="22"/>
      <c r="RPF270" s="22"/>
      <c r="RPG270" s="22"/>
      <c r="RPH270" s="22"/>
      <c r="RPI270" s="22"/>
      <c r="RPJ270" s="22"/>
      <c r="RPK270" s="22"/>
      <c r="RPL270" s="22"/>
      <c r="RPM270" s="22"/>
      <c r="RPN270" s="22"/>
      <c r="RPO270" s="22"/>
      <c r="RPP270" s="22"/>
      <c r="RPQ270" s="22"/>
      <c r="RPR270" s="22"/>
      <c r="RPS270" s="22"/>
      <c r="RPT270" s="22"/>
      <c r="RPU270" s="22"/>
      <c r="RPV270" s="22"/>
      <c r="RPW270" s="22"/>
      <c r="RPX270" s="22"/>
      <c r="RPY270" s="22"/>
      <c r="RPZ270" s="22"/>
      <c r="RQA270" s="22"/>
      <c r="RQB270" s="22"/>
      <c r="RQC270" s="22"/>
      <c r="RQD270" s="22"/>
      <c r="RQE270" s="22"/>
      <c r="RQF270" s="22"/>
      <c r="RQG270" s="22"/>
      <c r="RQH270" s="22"/>
      <c r="RQI270" s="22"/>
      <c r="RQJ270" s="22"/>
      <c r="RQK270" s="22"/>
      <c r="RQL270" s="22"/>
      <c r="RQM270" s="22"/>
      <c r="RQN270" s="22"/>
      <c r="RQO270" s="22"/>
      <c r="RQP270" s="22"/>
      <c r="RQQ270" s="22"/>
      <c r="RQR270" s="22"/>
      <c r="RQS270" s="22"/>
      <c r="RQT270" s="22"/>
      <c r="RQU270" s="22"/>
      <c r="RQV270" s="22"/>
      <c r="RQW270" s="22"/>
      <c r="RQX270" s="22"/>
      <c r="RQY270" s="22"/>
      <c r="RQZ270" s="22"/>
      <c r="RRA270" s="22"/>
      <c r="RRB270" s="22"/>
      <c r="RRC270" s="22"/>
      <c r="RRD270" s="22"/>
      <c r="RRE270" s="22"/>
      <c r="RRF270" s="22"/>
      <c r="RRG270" s="22"/>
      <c r="RRH270" s="22"/>
      <c r="RRI270" s="22"/>
      <c r="RRJ270" s="22"/>
      <c r="RRK270" s="22"/>
      <c r="RRL270" s="22"/>
      <c r="RRM270" s="22"/>
      <c r="RRN270" s="22"/>
      <c r="RRO270" s="22"/>
      <c r="RRP270" s="22"/>
      <c r="RRQ270" s="22"/>
      <c r="RRR270" s="22"/>
      <c r="RRS270" s="22"/>
      <c r="RRT270" s="22"/>
      <c r="RRU270" s="22"/>
      <c r="RRV270" s="22"/>
      <c r="RRW270" s="22"/>
      <c r="RRX270" s="22"/>
      <c r="RRY270" s="22"/>
      <c r="RRZ270" s="22"/>
      <c r="RSA270" s="22"/>
      <c r="RSB270" s="22"/>
      <c r="RSC270" s="22"/>
      <c r="RSD270" s="22"/>
      <c r="RSE270" s="22"/>
      <c r="RSF270" s="22"/>
      <c r="RSG270" s="22"/>
      <c r="RSH270" s="22"/>
      <c r="RSI270" s="22"/>
      <c r="RSJ270" s="22"/>
      <c r="RSK270" s="22"/>
      <c r="RSL270" s="22"/>
      <c r="RSM270" s="22"/>
      <c r="RSN270" s="22"/>
      <c r="RSO270" s="22"/>
      <c r="RSP270" s="22"/>
      <c r="RSQ270" s="22"/>
      <c r="RSR270" s="22"/>
      <c r="RSS270" s="22"/>
      <c r="RST270" s="22"/>
      <c r="RSU270" s="22"/>
      <c r="RSV270" s="22"/>
      <c r="RSW270" s="22"/>
      <c r="RSX270" s="22"/>
      <c r="RSY270" s="22"/>
      <c r="RSZ270" s="22"/>
      <c r="RTA270" s="22"/>
      <c r="RTB270" s="22"/>
      <c r="RTC270" s="22"/>
      <c r="RTD270" s="22"/>
      <c r="RTE270" s="22"/>
      <c r="RTF270" s="22"/>
      <c r="RTG270" s="22"/>
      <c r="RTH270" s="22"/>
      <c r="RTI270" s="22"/>
      <c r="RTJ270" s="22"/>
      <c r="RTK270" s="22"/>
      <c r="RTL270" s="22"/>
      <c r="RTM270" s="22"/>
      <c r="RTN270" s="22"/>
      <c r="RTO270" s="22"/>
      <c r="RTP270" s="22"/>
      <c r="RTQ270" s="22"/>
      <c r="RTR270" s="22"/>
      <c r="RTS270" s="22"/>
      <c r="RTT270" s="22"/>
      <c r="RTU270" s="22"/>
      <c r="RTV270" s="22"/>
      <c r="RTW270" s="22"/>
      <c r="RTX270" s="22"/>
      <c r="RTY270" s="22"/>
      <c r="RTZ270" s="22"/>
      <c r="RUA270" s="22"/>
      <c r="RUB270" s="22"/>
      <c r="RUC270" s="22"/>
      <c r="RUD270" s="22"/>
      <c r="RUE270" s="22"/>
      <c r="RUF270" s="22"/>
      <c r="RUG270" s="22"/>
      <c r="RUH270" s="22"/>
      <c r="RUI270" s="22"/>
      <c r="RUJ270" s="22"/>
      <c r="RUK270" s="22"/>
      <c r="RUL270" s="22"/>
      <c r="RUM270" s="22"/>
      <c r="RUN270" s="22"/>
      <c r="RUO270" s="22"/>
      <c r="RUP270" s="22"/>
      <c r="RUQ270" s="22"/>
      <c r="RUR270" s="22"/>
      <c r="RUS270" s="22"/>
      <c r="RUT270" s="22"/>
      <c r="RUU270" s="22"/>
      <c r="RUV270" s="22"/>
      <c r="RUW270" s="22"/>
      <c r="RUX270" s="22"/>
      <c r="RUY270" s="22"/>
      <c r="RUZ270" s="22"/>
      <c r="RVA270" s="22"/>
      <c r="RVB270" s="22"/>
      <c r="RVC270" s="22"/>
      <c r="RVD270" s="22"/>
      <c r="RVE270" s="22"/>
      <c r="RVF270" s="22"/>
      <c r="RVG270" s="22"/>
      <c r="RVH270" s="22"/>
      <c r="RVI270" s="22"/>
      <c r="RVJ270" s="22"/>
      <c r="RVK270" s="22"/>
      <c r="RVL270" s="22"/>
      <c r="RVM270" s="22"/>
      <c r="RVN270" s="22"/>
      <c r="RVO270" s="22"/>
      <c r="RVP270" s="22"/>
      <c r="RVQ270" s="22"/>
      <c r="RVR270" s="22"/>
      <c r="RVS270" s="22"/>
      <c r="RVT270" s="22"/>
      <c r="RVU270" s="22"/>
      <c r="RVV270" s="22"/>
      <c r="RVW270" s="22"/>
      <c r="RVX270" s="22"/>
      <c r="RVY270" s="22"/>
      <c r="RVZ270" s="22"/>
      <c r="RWA270" s="22"/>
      <c r="RWB270" s="22"/>
      <c r="RWC270" s="22"/>
      <c r="RWD270" s="22"/>
      <c r="RWE270" s="22"/>
      <c r="RWF270" s="22"/>
      <c r="RWG270" s="22"/>
      <c r="RWH270" s="22"/>
      <c r="RWI270" s="22"/>
      <c r="RWJ270" s="22"/>
      <c r="RWK270" s="22"/>
      <c r="RWL270" s="22"/>
      <c r="RWM270" s="22"/>
      <c r="RWN270" s="22"/>
      <c r="RWO270" s="22"/>
      <c r="RWP270" s="22"/>
      <c r="RWQ270" s="22"/>
      <c r="RWR270" s="22"/>
      <c r="RWS270" s="22"/>
      <c r="RWT270" s="22"/>
      <c r="RWU270" s="22"/>
      <c r="RWV270" s="22"/>
      <c r="RWW270" s="22"/>
      <c r="RWX270" s="22"/>
      <c r="RWY270" s="22"/>
      <c r="RWZ270" s="22"/>
      <c r="RXA270" s="22"/>
      <c r="RXB270" s="22"/>
      <c r="RXC270" s="22"/>
      <c r="RXD270" s="22"/>
      <c r="RXE270" s="22"/>
      <c r="RXF270" s="22"/>
      <c r="RXG270" s="22"/>
      <c r="RXH270" s="22"/>
      <c r="RXI270" s="22"/>
      <c r="RXJ270" s="22"/>
      <c r="RXK270" s="22"/>
      <c r="RXL270" s="22"/>
      <c r="RXM270" s="22"/>
      <c r="RXN270" s="22"/>
      <c r="RXO270" s="22"/>
      <c r="RXP270" s="22"/>
      <c r="RXQ270" s="22"/>
      <c r="RXR270" s="22"/>
      <c r="RXS270" s="22"/>
      <c r="RXT270" s="22"/>
      <c r="RXU270" s="22"/>
      <c r="RXV270" s="22"/>
      <c r="RXW270" s="22"/>
      <c r="RXX270" s="22"/>
      <c r="RXY270" s="22"/>
      <c r="RXZ270" s="22"/>
      <c r="RYA270" s="22"/>
      <c r="RYB270" s="22"/>
      <c r="RYC270" s="22"/>
      <c r="RYD270" s="22"/>
      <c r="RYE270" s="22"/>
      <c r="RYF270" s="22"/>
      <c r="RYG270" s="22"/>
      <c r="RYH270" s="22"/>
      <c r="RYI270" s="22"/>
      <c r="RYJ270" s="22"/>
      <c r="RYK270" s="22"/>
      <c r="RYL270" s="22"/>
      <c r="RYM270" s="22"/>
      <c r="RYN270" s="22"/>
      <c r="RYO270" s="22"/>
      <c r="RYP270" s="22"/>
      <c r="RYQ270" s="22"/>
      <c r="RYR270" s="22"/>
      <c r="RYS270" s="22"/>
      <c r="RYT270" s="22"/>
      <c r="RYU270" s="22"/>
      <c r="RYV270" s="22"/>
      <c r="RYW270" s="22"/>
      <c r="RYX270" s="22"/>
      <c r="RYY270" s="22"/>
      <c r="RYZ270" s="22"/>
      <c r="RZA270" s="22"/>
      <c r="RZB270" s="22"/>
      <c r="RZC270" s="22"/>
      <c r="RZD270" s="22"/>
      <c r="RZE270" s="22"/>
      <c r="RZF270" s="22"/>
      <c r="RZG270" s="22"/>
      <c r="RZH270" s="22"/>
      <c r="RZI270" s="22"/>
      <c r="RZJ270" s="22"/>
      <c r="RZK270" s="22"/>
      <c r="RZL270" s="22"/>
      <c r="RZM270" s="22"/>
      <c r="RZN270" s="22"/>
      <c r="RZO270" s="22"/>
      <c r="RZP270" s="22"/>
      <c r="RZQ270" s="22"/>
      <c r="RZR270" s="22"/>
      <c r="RZS270" s="22"/>
      <c r="RZT270" s="22"/>
      <c r="RZU270" s="22"/>
      <c r="RZV270" s="22"/>
      <c r="RZW270" s="22"/>
      <c r="RZX270" s="22"/>
      <c r="RZY270" s="22"/>
      <c r="RZZ270" s="22"/>
      <c r="SAA270" s="22"/>
      <c r="SAB270" s="22"/>
      <c r="SAC270" s="22"/>
      <c r="SAD270" s="22"/>
      <c r="SAE270" s="22"/>
      <c r="SAF270" s="22"/>
      <c r="SAG270" s="22"/>
      <c r="SAH270" s="22"/>
      <c r="SAI270" s="22"/>
      <c r="SAJ270" s="22"/>
      <c r="SAK270" s="22"/>
      <c r="SAL270" s="22"/>
      <c r="SAM270" s="22"/>
      <c r="SAN270" s="22"/>
      <c r="SAO270" s="22"/>
      <c r="SAP270" s="22"/>
      <c r="SAQ270" s="22"/>
      <c r="SAR270" s="22"/>
      <c r="SAS270" s="22"/>
      <c r="SAT270" s="22"/>
      <c r="SAU270" s="22"/>
      <c r="SAV270" s="22"/>
      <c r="SAW270" s="22"/>
      <c r="SAX270" s="22"/>
      <c r="SAY270" s="22"/>
      <c r="SAZ270" s="22"/>
      <c r="SBA270" s="22"/>
      <c r="SBB270" s="22"/>
      <c r="SBC270" s="22"/>
      <c r="SBD270" s="22"/>
      <c r="SBE270" s="22"/>
      <c r="SBF270" s="22"/>
      <c r="SBG270" s="22"/>
      <c r="SBH270" s="22"/>
      <c r="SBI270" s="22"/>
      <c r="SBJ270" s="22"/>
      <c r="SBK270" s="22"/>
      <c r="SBL270" s="22"/>
      <c r="SBM270" s="22"/>
      <c r="SBN270" s="22"/>
      <c r="SBO270" s="22"/>
      <c r="SBP270" s="22"/>
      <c r="SBQ270" s="22"/>
      <c r="SBR270" s="22"/>
      <c r="SBS270" s="22"/>
      <c r="SBT270" s="22"/>
      <c r="SBU270" s="22"/>
      <c r="SBV270" s="22"/>
      <c r="SBW270" s="22"/>
      <c r="SBX270" s="22"/>
      <c r="SBY270" s="22"/>
      <c r="SBZ270" s="22"/>
      <c r="SCA270" s="22"/>
      <c r="SCB270" s="22"/>
      <c r="SCC270" s="22"/>
      <c r="SCD270" s="22"/>
      <c r="SCE270" s="22"/>
      <c r="SCF270" s="22"/>
      <c r="SCG270" s="22"/>
      <c r="SCH270" s="22"/>
      <c r="SCI270" s="22"/>
      <c r="SCJ270" s="22"/>
      <c r="SCK270" s="22"/>
      <c r="SCL270" s="22"/>
      <c r="SCM270" s="22"/>
      <c r="SCN270" s="22"/>
      <c r="SCO270" s="22"/>
      <c r="SCP270" s="22"/>
      <c r="SCQ270" s="22"/>
      <c r="SCR270" s="22"/>
      <c r="SCS270" s="22"/>
      <c r="SCT270" s="22"/>
      <c r="SCU270" s="22"/>
      <c r="SCV270" s="22"/>
      <c r="SCW270" s="22"/>
      <c r="SCX270" s="22"/>
      <c r="SCY270" s="22"/>
      <c r="SCZ270" s="22"/>
      <c r="SDA270" s="22"/>
      <c r="SDB270" s="22"/>
      <c r="SDC270" s="22"/>
      <c r="SDD270" s="22"/>
      <c r="SDE270" s="22"/>
      <c r="SDF270" s="22"/>
      <c r="SDG270" s="22"/>
      <c r="SDH270" s="22"/>
      <c r="SDI270" s="22"/>
      <c r="SDJ270" s="22"/>
      <c r="SDK270" s="22"/>
      <c r="SDL270" s="22"/>
      <c r="SDM270" s="22"/>
      <c r="SDN270" s="22"/>
      <c r="SDO270" s="22"/>
      <c r="SDP270" s="22"/>
      <c r="SDQ270" s="22"/>
      <c r="SDR270" s="22"/>
      <c r="SDS270" s="22"/>
      <c r="SDT270" s="22"/>
      <c r="SDU270" s="22"/>
      <c r="SDV270" s="22"/>
      <c r="SDW270" s="22"/>
      <c r="SDX270" s="22"/>
      <c r="SDY270" s="22"/>
      <c r="SDZ270" s="22"/>
      <c r="SEA270" s="22"/>
      <c r="SEB270" s="22"/>
      <c r="SEC270" s="22"/>
      <c r="SED270" s="22"/>
      <c r="SEE270" s="22"/>
      <c r="SEF270" s="22"/>
      <c r="SEG270" s="22"/>
      <c r="SEH270" s="22"/>
      <c r="SEI270" s="22"/>
      <c r="SEJ270" s="22"/>
      <c r="SEK270" s="22"/>
      <c r="SEL270" s="22"/>
      <c r="SEM270" s="22"/>
      <c r="SEN270" s="22"/>
      <c r="SEO270" s="22"/>
      <c r="SEP270" s="22"/>
      <c r="SEQ270" s="22"/>
      <c r="SER270" s="22"/>
      <c r="SES270" s="22"/>
      <c r="SET270" s="22"/>
      <c r="SEU270" s="22"/>
      <c r="SEV270" s="22"/>
      <c r="SEW270" s="22"/>
      <c r="SEX270" s="22"/>
      <c r="SEY270" s="22"/>
      <c r="SEZ270" s="22"/>
      <c r="SFA270" s="22"/>
      <c r="SFB270" s="22"/>
      <c r="SFC270" s="22"/>
      <c r="SFD270" s="22"/>
      <c r="SFE270" s="22"/>
      <c r="SFF270" s="22"/>
      <c r="SFG270" s="22"/>
      <c r="SFH270" s="22"/>
      <c r="SFI270" s="22"/>
      <c r="SFJ270" s="22"/>
      <c r="SFK270" s="22"/>
      <c r="SFL270" s="22"/>
      <c r="SFM270" s="22"/>
      <c r="SFN270" s="22"/>
      <c r="SFO270" s="22"/>
      <c r="SFP270" s="22"/>
      <c r="SFQ270" s="22"/>
      <c r="SFR270" s="22"/>
      <c r="SFS270" s="22"/>
      <c r="SFT270" s="22"/>
      <c r="SFU270" s="22"/>
      <c r="SFV270" s="22"/>
      <c r="SFW270" s="22"/>
      <c r="SFX270" s="22"/>
      <c r="SFY270" s="22"/>
      <c r="SFZ270" s="22"/>
      <c r="SGA270" s="22"/>
      <c r="SGB270" s="22"/>
      <c r="SGC270" s="22"/>
      <c r="SGD270" s="22"/>
      <c r="SGE270" s="22"/>
      <c r="SGF270" s="22"/>
      <c r="SGG270" s="22"/>
      <c r="SGH270" s="22"/>
      <c r="SGI270" s="22"/>
      <c r="SGJ270" s="22"/>
      <c r="SGK270" s="22"/>
      <c r="SGL270" s="22"/>
      <c r="SGM270" s="22"/>
      <c r="SGN270" s="22"/>
      <c r="SGO270" s="22"/>
      <c r="SGP270" s="22"/>
      <c r="SGQ270" s="22"/>
      <c r="SGR270" s="22"/>
      <c r="SGS270" s="22"/>
      <c r="SGT270" s="22"/>
      <c r="SGU270" s="22"/>
      <c r="SGV270" s="22"/>
      <c r="SGW270" s="22"/>
      <c r="SGX270" s="22"/>
      <c r="SGY270" s="22"/>
      <c r="SGZ270" s="22"/>
      <c r="SHA270" s="22"/>
      <c r="SHB270" s="22"/>
      <c r="SHC270" s="22"/>
      <c r="SHD270" s="22"/>
      <c r="SHE270" s="22"/>
      <c r="SHF270" s="22"/>
      <c r="SHG270" s="22"/>
      <c r="SHH270" s="22"/>
      <c r="SHI270" s="22"/>
      <c r="SHJ270" s="22"/>
      <c r="SHK270" s="22"/>
      <c r="SHL270" s="22"/>
      <c r="SHM270" s="22"/>
      <c r="SHN270" s="22"/>
      <c r="SHO270" s="22"/>
      <c r="SHP270" s="22"/>
      <c r="SHQ270" s="22"/>
      <c r="SHR270" s="22"/>
      <c r="SHS270" s="22"/>
      <c r="SHT270" s="22"/>
      <c r="SHU270" s="22"/>
      <c r="SHV270" s="22"/>
      <c r="SHW270" s="22"/>
      <c r="SHX270" s="22"/>
      <c r="SHY270" s="22"/>
      <c r="SHZ270" s="22"/>
      <c r="SIA270" s="22"/>
      <c r="SIB270" s="22"/>
      <c r="SIC270" s="22"/>
      <c r="SID270" s="22"/>
      <c r="SIE270" s="22"/>
      <c r="SIF270" s="22"/>
      <c r="SIG270" s="22"/>
      <c r="SIH270" s="22"/>
      <c r="SII270" s="22"/>
      <c r="SIJ270" s="22"/>
      <c r="SIK270" s="22"/>
      <c r="SIL270" s="22"/>
      <c r="SIM270" s="22"/>
      <c r="SIN270" s="22"/>
      <c r="SIO270" s="22"/>
      <c r="SIP270" s="22"/>
      <c r="SIQ270" s="22"/>
      <c r="SIR270" s="22"/>
      <c r="SIS270" s="22"/>
      <c r="SIT270" s="22"/>
      <c r="SIU270" s="22"/>
      <c r="SIV270" s="22"/>
      <c r="SIW270" s="22"/>
      <c r="SIX270" s="22"/>
      <c r="SIY270" s="22"/>
      <c r="SIZ270" s="22"/>
      <c r="SJA270" s="22"/>
      <c r="SJB270" s="22"/>
      <c r="SJC270" s="22"/>
      <c r="SJD270" s="22"/>
      <c r="SJE270" s="22"/>
      <c r="SJF270" s="22"/>
      <c r="SJG270" s="22"/>
      <c r="SJH270" s="22"/>
      <c r="SJI270" s="22"/>
      <c r="SJJ270" s="22"/>
      <c r="SJK270" s="22"/>
      <c r="SJL270" s="22"/>
      <c r="SJM270" s="22"/>
      <c r="SJN270" s="22"/>
      <c r="SJO270" s="22"/>
      <c r="SJP270" s="22"/>
      <c r="SJQ270" s="22"/>
      <c r="SJR270" s="22"/>
      <c r="SJS270" s="22"/>
      <c r="SJT270" s="22"/>
      <c r="SJU270" s="22"/>
      <c r="SJV270" s="22"/>
      <c r="SJW270" s="22"/>
      <c r="SJX270" s="22"/>
      <c r="SJY270" s="22"/>
      <c r="SJZ270" s="22"/>
      <c r="SKA270" s="22"/>
      <c r="SKB270" s="22"/>
      <c r="SKC270" s="22"/>
      <c r="SKD270" s="22"/>
      <c r="SKE270" s="22"/>
      <c r="SKF270" s="22"/>
      <c r="SKG270" s="22"/>
      <c r="SKH270" s="22"/>
      <c r="SKI270" s="22"/>
      <c r="SKJ270" s="22"/>
      <c r="SKK270" s="22"/>
      <c r="SKL270" s="22"/>
      <c r="SKM270" s="22"/>
      <c r="SKN270" s="22"/>
      <c r="SKO270" s="22"/>
      <c r="SKP270" s="22"/>
      <c r="SKQ270" s="22"/>
      <c r="SKR270" s="22"/>
      <c r="SKS270" s="22"/>
      <c r="SKT270" s="22"/>
      <c r="SKU270" s="22"/>
      <c r="SKV270" s="22"/>
      <c r="SKW270" s="22"/>
      <c r="SKX270" s="22"/>
      <c r="SKY270" s="22"/>
      <c r="SKZ270" s="22"/>
      <c r="SLA270" s="22"/>
      <c r="SLB270" s="22"/>
      <c r="SLC270" s="22"/>
      <c r="SLD270" s="22"/>
      <c r="SLE270" s="22"/>
      <c r="SLF270" s="22"/>
      <c r="SLG270" s="22"/>
      <c r="SLH270" s="22"/>
      <c r="SLI270" s="22"/>
      <c r="SLJ270" s="22"/>
      <c r="SLK270" s="22"/>
      <c r="SLL270" s="22"/>
      <c r="SLM270" s="22"/>
      <c r="SLN270" s="22"/>
      <c r="SLO270" s="22"/>
      <c r="SLP270" s="22"/>
      <c r="SLQ270" s="22"/>
      <c r="SLR270" s="22"/>
      <c r="SLS270" s="22"/>
      <c r="SLT270" s="22"/>
      <c r="SLU270" s="22"/>
      <c r="SLV270" s="22"/>
      <c r="SLW270" s="22"/>
      <c r="SLX270" s="22"/>
      <c r="SLY270" s="22"/>
      <c r="SLZ270" s="22"/>
      <c r="SMA270" s="22"/>
      <c r="SMB270" s="22"/>
      <c r="SMC270" s="22"/>
      <c r="SMD270" s="22"/>
      <c r="SME270" s="22"/>
      <c r="SMF270" s="22"/>
      <c r="SMG270" s="22"/>
      <c r="SMH270" s="22"/>
      <c r="SMI270" s="22"/>
      <c r="SMJ270" s="22"/>
      <c r="SMK270" s="22"/>
      <c r="SML270" s="22"/>
      <c r="SMM270" s="22"/>
      <c r="SMN270" s="22"/>
      <c r="SMO270" s="22"/>
      <c r="SMP270" s="22"/>
      <c r="SMQ270" s="22"/>
      <c r="SMR270" s="22"/>
      <c r="SMS270" s="22"/>
      <c r="SMT270" s="22"/>
      <c r="SMU270" s="22"/>
      <c r="SMV270" s="22"/>
      <c r="SMW270" s="22"/>
      <c r="SMX270" s="22"/>
      <c r="SMY270" s="22"/>
      <c r="SMZ270" s="22"/>
      <c r="SNA270" s="22"/>
      <c r="SNB270" s="22"/>
      <c r="SNC270" s="22"/>
      <c r="SND270" s="22"/>
      <c r="SNE270" s="22"/>
      <c r="SNF270" s="22"/>
      <c r="SNG270" s="22"/>
      <c r="SNH270" s="22"/>
      <c r="SNI270" s="22"/>
      <c r="SNJ270" s="22"/>
      <c r="SNK270" s="22"/>
      <c r="SNL270" s="22"/>
      <c r="SNM270" s="22"/>
      <c r="SNN270" s="22"/>
      <c r="SNO270" s="22"/>
      <c r="SNP270" s="22"/>
      <c r="SNQ270" s="22"/>
      <c r="SNR270" s="22"/>
      <c r="SNS270" s="22"/>
      <c r="SNT270" s="22"/>
      <c r="SNU270" s="22"/>
      <c r="SNV270" s="22"/>
      <c r="SNW270" s="22"/>
      <c r="SNX270" s="22"/>
      <c r="SNY270" s="22"/>
      <c r="SNZ270" s="22"/>
      <c r="SOA270" s="22"/>
      <c r="SOB270" s="22"/>
      <c r="SOC270" s="22"/>
      <c r="SOD270" s="22"/>
      <c r="SOE270" s="22"/>
      <c r="SOF270" s="22"/>
      <c r="SOG270" s="22"/>
      <c r="SOH270" s="22"/>
      <c r="SOI270" s="22"/>
      <c r="SOJ270" s="22"/>
      <c r="SOK270" s="22"/>
      <c r="SOL270" s="22"/>
      <c r="SOM270" s="22"/>
      <c r="SON270" s="22"/>
      <c r="SOO270" s="22"/>
      <c r="SOP270" s="22"/>
      <c r="SOQ270" s="22"/>
      <c r="SOR270" s="22"/>
      <c r="SOS270" s="22"/>
      <c r="SOT270" s="22"/>
      <c r="SOU270" s="22"/>
      <c r="SOV270" s="22"/>
      <c r="SOW270" s="22"/>
      <c r="SOX270" s="22"/>
      <c r="SOY270" s="22"/>
      <c r="SOZ270" s="22"/>
      <c r="SPA270" s="22"/>
      <c r="SPB270" s="22"/>
      <c r="SPC270" s="22"/>
      <c r="SPD270" s="22"/>
      <c r="SPE270" s="22"/>
      <c r="SPF270" s="22"/>
      <c r="SPG270" s="22"/>
      <c r="SPH270" s="22"/>
      <c r="SPI270" s="22"/>
      <c r="SPJ270" s="22"/>
      <c r="SPK270" s="22"/>
      <c r="SPL270" s="22"/>
      <c r="SPM270" s="22"/>
      <c r="SPN270" s="22"/>
      <c r="SPO270" s="22"/>
      <c r="SPP270" s="22"/>
      <c r="SPQ270" s="22"/>
      <c r="SPR270" s="22"/>
      <c r="SPS270" s="22"/>
      <c r="SPT270" s="22"/>
      <c r="SPU270" s="22"/>
      <c r="SPV270" s="22"/>
      <c r="SPW270" s="22"/>
      <c r="SPX270" s="22"/>
      <c r="SPY270" s="22"/>
      <c r="SPZ270" s="22"/>
      <c r="SQA270" s="22"/>
      <c r="SQB270" s="22"/>
      <c r="SQC270" s="22"/>
      <c r="SQD270" s="22"/>
      <c r="SQE270" s="22"/>
      <c r="SQF270" s="22"/>
      <c r="SQG270" s="22"/>
      <c r="SQH270" s="22"/>
      <c r="SQI270" s="22"/>
      <c r="SQJ270" s="22"/>
      <c r="SQK270" s="22"/>
      <c r="SQL270" s="22"/>
      <c r="SQM270" s="22"/>
      <c r="SQN270" s="22"/>
      <c r="SQO270" s="22"/>
      <c r="SQP270" s="22"/>
      <c r="SQQ270" s="22"/>
      <c r="SQR270" s="22"/>
      <c r="SQS270" s="22"/>
      <c r="SQT270" s="22"/>
      <c r="SQU270" s="22"/>
      <c r="SQV270" s="22"/>
      <c r="SQW270" s="22"/>
      <c r="SQX270" s="22"/>
      <c r="SQY270" s="22"/>
      <c r="SQZ270" s="22"/>
      <c r="SRA270" s="22"/>
      <c r="SRB270" s="22"/>
      <c r="SRC270" s="22"/>
      <c r="SRD270" s="22"/>
      <c r="SRE270" s="22"/>
      <c r="SRF270" s="22"/>
      <c r="SRG270" s="22"/>
      <c r="SRH270" s="22"/>
      <c r="SRI270" s="22"/>
      <c r="SRJ270" s="22"/>
      <c r="SRK270" s="22"/>
      <c r="SRL270" s="22"/>
      <c r="SRM270" s="22"/>
      <c r="SRN270" s="22"/>
      <c r="SRO270" s="22"/>
      <c r="SRP270" s="22"/>
      <c r="SRQ270" s="22"/>
      <c r="SRR270" s="22"/>
      <c r="SRS270" s="22"/>
      <c r="SRT270" s="22"/>
      <c r="SRU270" s="22"/>
      <c r="SRV270" s="22"/>
      <c r="SRW270" s="22"/>
      <c r="SRX270" s="22"/>
      <c r="SRY270" s="22"/>
      <c r="SRZ270" s="22"/>
      <c r="SSA270" s="22"/>
      <c r="SSB270" s="22"/>
      <c r="SSC270" s="22"/>
      <c r="SSD270" s="22"/>
      <c r="SSE270" s="22"/>
      <c r="SSF270" s="22"/>
      <c r="SSG270" s="22"/>
      <c r="SSH270" s="22"/>
      <c r="SSI270" s="22"/>
      <c r="SSJ270" s="22"/>
      <c r="SSK270" s="22"/>
      <c r="SSL270" s="22"/>
      <c r="SSM270" s="22"/>
      <c r="SSN270" s="22"/>
      <c r="SSO270" s="22"/>
      <c r="SSP270" s="22"/>
      <c r="SSQ270" s="22"/>
      <c r="SSR270" s="22"/>
      <c r="SSS270" s="22"/>
      <c r="SST270" s="22"/>
      <c r="SSU270" s="22"/>
      <c r="SSV270" s="22"/>
      <c r="SSW270" s="22"/>
      <c r="SSX270" s="22"/>
      <c r="SSY270" s="22"/>
      <c r="SSZ270" s="22"/>
      <c r="STA270" s="22"/>
      <c r="STB270" s="22"/>
      <c r="STC270" s="22"/>
      <c r="STD270" s="22"/>
      <c r="STE270" s="22"/>
      <c r="STF270" s="22"/>
      <c r="STG270" s="22"/>
      <c r="STH270" s="22"/>
      <c r="STI270" s="22"/>
      <c r="STJ270" s="22"/>
      <c r="STK270" s="22"/>
      <c r="STL270" s="22"/>
      <c r="STM270" s="22"/>
      <c r="STN270" s="22"/>
      <c r="STO270" s="22"/>
      <c r="STP270" s="22"/>
      <c r="STQ270" s="22"/>
      <c r="STR270" s="22"/>
      <c r="STS270" s="22"/>
      <c r="STT270" s="22"/>
      <c r="STU270" s="22"/>
      <c r="STV270" s="22"/>
      <c r="STW270" s="22"/>
      <c r="STX270" s="22"/>
      <c r="STY270" s="22"/>
      <c r="STZ270" s="22"/>
      <c r="SUA270" s="22"/>
      <c r="SUB270" s="22"/>
      <c r="SUC270" s="22"/>
      <c r="SUD270" s="22"/>
      <c r="SUE270" s="22"/>
      <c r="SUF270" s="22"/>
      <c r="SUG270" s="22"/>
      <c r="SUH270" s="22"/>
      <c r="SUI270" s="22"/>
      <c r="SUJ270" s="22"/>
      <c r="SUK270" s="22"/>
      <c r="SUL270" s="22"/>
      <c r="SUM270" s="22"/>
      <c r="SUN270" s="22"/>
      <c r="SUO270" s="22"/>
      <c r="SUP270" s="22"/>
      <c r="SUQ270" s="22"/>
      <c r="SUR270" s="22"/>
      <c r="SUS270" s="22"/>
      <c r="SUT270" s="22"/>
      <c r="SUU270" s="22"/>
      <c r="SUV270" s="22"/>
      <c r="SUW270" s="22"/>
      <c r="SUX270" s="22"/>
      <c r="SUY270" s="22"/>
      <c r="SUZ270" s="22"/>
      <c r="SVA270" s="22"/>
      <c r="SVB270" s="22"/>
      <c r="SVC270" s="22"/>
      <c r="SVD270" s="22"/>
      <c r="SVE270" s="22"/>
      <c r="SVF270" s="22"/>
      <c r="SVG270" s="22"/>
      <c r="SVH270" s="22"/>
      <c r="SVI270" s="22"/>
      <c r="SVJ270" s="22"/>
      <c r="SVK270" s="22"/>
      <c r="SVL270" s="22"/>
      <c r="SVM270" s="22"/>
      <c r="SVN270" s="22"/>
      <c r="SVO270" s="22"/>
      <c r="SVP270" s="22"/>
      <c r="SVQ270" s="22"/>
      <c r="SVR270" s="22"/>
      <c r="SVS270" s="22"/>
      <c r="SVT270" s="22"/>
      <c r="SVU270" s="22"/>
      <c r="SVV270" s="22"/>
      <c r="SVW270" s="22"/>
      <c r="SVX270" s="22"/>
      <c r="SVY270" s="22"/>
      <c r="SVZ270" s="22"/>
      <c r="SWA270" s="22"/>
      <c r="SWB270" s="22"/>
      <c r="SWC270" s="22"/>
      <c r="SWD270" s="22"/>
      <c r="SWE270" s="22"/>
      <c r="SWF270" s="22"/>
      <c r="SWG270" s="22"/>
      <c r="SWH270" s="22"/>
      <c r="SWI270" s="22"/>
      <c r="SWJ270" s="22"/>
      <c r="SWK270" s="22"/>
      <c r="SWL270" s="22"/>
      <c r="SWM270" s="22"/>
      <c r="SWN270" s="22"/>
      <c r="SWO270" s="22"/>
      <c r="SWP270" s="22"/>
      <c r="SWQ270" s="22"/>
      <c r="SWR270" s="22"/>
      <c r="SWS270" s="22"/>
      <c r="SWT270" s="22"/>
      <c r="SWU270" s="22"/>
      <c r="SWV270" s="22"/>
      <c r="SWW270" s="22"/>
      <c r="SWX270" s="22"/>
      <c r="SWY270" s="22"/>
      <c r="SWZ270" s="22"/>
      <c r="SXA270" s="22"/>
      <c r="SXB270" s="22"/>
      <c r="SXC270" s="22"/>
      <c r="SXD270" s="22"/>
      <c r="SXE270" s="22"/>
      <c r="SXF270" s="22"/>
      <c r="SXG270" s="22"/>
      <c r="SXH270" s="22"/>
      <c r="SXI270" s="22"/>
      <c r="SXJ270" s="22"/>
      <c r="SXK270" s="22"/>
      <c r="SXL270" s="22"/>
      <c r="SXM270" s="22"/>
      <c r="SXN270" s="22"/>
      <c r="SXO270" s="22"/>
      <c r="SXP270" s="22"/>
      <c r="SXQ270" s="22"/>
      <c r="SXR270" s="22"/>
      <c r="SXS270" s="22"/>
      <c r="SXT270" s="22"/>
      <c r="SXU270" s="22"/>
      <c r="SXV270" s="22"/>
      <c r="SXW270" s="22"/>
      <c r="SXX270" s="22"/>
      <c r="SXY270" s="22"/>
      <c r="SXZ270" s="22"/>
      <c r="SYA270" s="22"/>
      <c r="SYB270" s="22"/>
      <c r="SYC270" s="22"/>
      <c r="SYD270" s="22"/>
      <c r="SYE270" s="22"/>
      <c r="SYF270" s="22"/>
      <c r="SYG270" s="22"/>
      <c r="SYH270" s="22"/>
      <c r="SYI270" s="22"/>
      <c r="SYJ270" s="22"/>
      <c r="SYK270" s="22"/>
      <c r="SYL270" s="22"/>
      <c r="SYM270" s="22"/>
      <c r="SYN270" s="22"/>
      <c r="SYO270" s="22"/>
      <c r="SYP270" s="22"/>
      <c r="SYQ270" s="22"/>
      <c r="SYR270" s="22"/>
      <c r="SYS270" s="22"/>
      <c r="SYT270" s="22"/>
      <c r="SYU270" s="22"/>
      <c r="SYV270" s="22"/>
      <c r="SYW270" s="22"/>
      <c r="SYX270" s="22"/>
      <c r="SYY270" s="22"/>
      <c r="SYZ270" s="22"/>
      <c r="SZA270" s="22"/>
      <c r="SZB270" s="22"/>
      <c r="SZC270" s="22"/>
      <c r="SZD270" s="22"/>
      <c r="SZE270" s="22"/>
      <c r="SZF270" s="22"/>
      <c r="SZG270" s="22"/>
      <c r="SZH270" s="22"/>
      <c r="SZI270" s="22"/>
      <c r="SZJ270" s="22"/>
      <c r="SZK270" s="22"/>
      <c r="SZL270" s="22"/>
      <c r="SZM270" s="22"/>
      <c r="SZN270" s="22"/>
      <c r="SZO270" s="22"/>
      <c r="SZP270" s="22"/>
      <c r="SZQ270" s="22"/>
      <c r="SZR270" s="22"/>
      <c r="SZS270" s="22"/>
      <c r="SZT270" s="22"/>
      <c r="SZU270" s="22"/>
      <c r="SZV270" s="22"/>
      <c r="SZW270" s="22"/>
      <c r="SZX270" s="22"/>
      <c r="SZY270" s="22"/>
      <c r="SZZ270" s="22"/>
      <c r="TAA270" s="22"/>
      <c r="TAB270" s="22"/>
      <c r="TAC270" s="22"/>
      <c r="TAD270" s="22"/>
      <c r="TAE270" s="22"/>
      <c r="TAF270" s="22"/>
      <c r="TAG270" s="22"/>
      <c r="TAH270" s="22"/>
      <c r="TAI270" s="22"/>
      <c r="TAJ270" s="22"/>
      <c r="TAK270" s="22"/>
      <c r="TAL270" s="22"/>
      <c r="TAM270" s="22"/>
      <c r="TAN270" s="22"/>
      <c r="TAO270" s="22"/>
      <c r="TAP270" s="22"/>
      <c r="TAQ270" s="22"/>
      <c r="TAR270" s="22"/>
      <c r="TAS270" s="22"/>
      <c r="TAT270" s="22"/>
      <c r="TAU270" s="22"/>
      <c r="TAV270" s="22"/>
      <c r="TAW270" s="22"/>
      <c r="TAX270" s="22"/>
      <c r="TAY270" s="22"/>
      <c r="TAZ270" s="22"/>
      <c r="TBA270" s="22"/>
      <c r="TBB270" s="22"/>
      <c r="TBC270" s="22"/>
      <c r="TBD270" s="22"/>
      <c r="TBE270" s="22"/>
      <c r="TBF270" s="22"/>
      <c r="TBG270" s="22"/>
      <c r="TBH270" s="22"/>
      <c r="TBI270" s="22"/>
      <c r="TBJ270" s="22"/>
      <c r="TBK270" s="22"/>
      <c r="TBL270" s="22"/>
      <c r="TBM270" s="22"/>
      <c r="TBN270" s="22"/>
      <c r="TBO270" s="22"/>
      <c r="TBP270" s="22"/>
      <c r="TBQ270" s="22"/>
      <c r="TBR270" s="22"/>
      <c r="TBS270" s="22"/>
      <c r="TBT270" s="22"/>
      <c r="TBU270" s="22"/>
      <c r="TBV270" s="22"/>
      <c r="TBW270" s="22"/>
      <c r="TBX270" s="22"/>
      <c r="TBY270" s="22"/>
      <c r="TBZ270" s="22"/>
      <c r="TCA270" s="22"/>
      <c r="TCB270" s="22"/>
      <c r="TCC270" s="22"/>
      <c r="TCD270" s="22"/>
      <c r="TCE270" s="22"/>
      <c r="TCF270" s="22"/>
      <c r="TCG270" s="22"/>
      <c r="TCH270" s="22"/>
      <c r="TCI270" s="22"/>
      <c r="TCJ270" s="22"/>
      <c r="TCK270" s="22"/>
      <c r="TCL270" s="22"/>
      <c r="TCM270" s="22"/>
      <c r="TCN270" s="22"/>
      <c r="TCO270" s="22"/>
      <c r="TCP270" s="22"/>
      <c r="TCQ270" s="22"/>
      <c r="TCR270" s="22"/>
      <c r="TCS270" s="22"/>
      <c r="TCT270" s="22"/>
      <c r="TCU270" s="22"/>
      <c r="TCV270" s="22"/>
      <c r="TCW270" s="22"/>
      <c r="TCX270" s="22"/>
      <c r="TCY270" s="22"/>
      <c r="TCZ270" s="22"/>
      <c r="TDA270" s="22"/>
      <c r="TDB270" s="22"/>
      <c r="TDC270" s="22"/>
      <c r="TDD270" s="22"/>
      <c r="TDE270" s="22"/>
      <c r="TDF270" s="22"/>
      <c r="TDG270" s="22"/>
      <c r="TDH270" s="22"/>
      <c r="TDI270" s="22"/>
      <c r="TDJ270" s="22"/>
      <c r="TDK270" s="22"/>
      <c r="TDL270" s="22"/>
      <c r="TDM270" s="22"/>
      <c r="TDN270" s="22"/>
      <c r="TDO270" s="22"/>
      <c r="TDP270" s="22"/>
      <c r="TDQ270" s="22"/>
      <c r="TDR270" s="22"/>
      <c r="TDS270" s="22"/>
      <c r="TDT270" s="22"/>
      <c r="TDU270" s="22"/>
      <c r="TDV270" s="22"/>
      <c r="TDW270" s="22"/>
      <c r="TDX270" s="22"/>
      <c r="TDY270" s="22"/>
      <c r="TDZ270" s="22"/>
      <c r="TEA270" s="22"/>
      <c r="TEB270" s="22"/>
      <c r="TEC270" s="22"/>
      <c r="TED270" s="22"/>
      <c r="TEE270" s="22"/>
      <c r="TEF270" s="22"/>
      <c r="TEG270" s="22"/>
      <c r="TEH270" s="22"/>
      <c r="TEI270" s="22"/>
      <c r="TEJ270" s="22"/>
      <c r="TEK270" s="22"/>
      <c r="TEL270" s="22"/>
      <c r="TEM270" s="22"/>
      <c r="TEN270" s="22"/>
      <c r="TEO270" s="22"/>
      <c r="TEP270" s="22"/>
      <c r="TEQ270" s="22"/>
      <c r="TER270" s="22"/>
      <c r="TES270" s="22"/>
      <c r="TET270" s="22"/>
      <c r="TEU270" s="22"/>
      <c r="TEV270" s="22"/>
      <c r="TEW270" s="22"/>
      <c r="TEX270" s="22"/>
      <c r="TEY270" s="22"/>
      <c r="TEZ270" s="22"/>
      <c r="TFA270" s="22"/>
      <c r="TFB270" s="22"/>
      <c r="TFC270" s="22"/>
      <c r="TFD270" s="22"/>
      <c r="TFE270" s="22"/>
      <c r="TFF270" s="22"/>
      <c r="TFG270" s="22"/>
      <c r="TFH270" s="22"/>
      <c r="TFI270" s="22"/>
      <c r="TFJ270" s="22"/>
      <c r="TFK270" s="22"/>
      <c r="TFL270" s="22"/>
      <c r="TFM270" s="22"/>
      <c r="TFN270" s="22"/>
      <c r="TFO270" s="22"/>
      <c r="TFP270" s="22"/>
      <c r="TFQ270" s="22"/>
      <c r="TFR270" s="22"/>
      <c r="TFS270" s="22"/>
      <c r="TFT270" s="22"/>
      <c r="TFU270" s="22"/>
      <c r="TFV270" s="22"/>
      <c r="TFW270" s="22"/>
      <c r="TFX270" s="22"/>
      <c r="TFY270" s="22"/>
      <c r="TFZ270" s="22"/>
      <c r="TGA270" s="22"/>
      <c r="TGB270" s="22"/>
      <c r="TGC270" s="22"/>
      <c r="TGD270" s="22"/>
      <c r="TGE270" s="22"/>
      <c r="TGF270" s="22"/>
      <c r="TGG270" s="22"/>
      <c r="TGH270" s="22"/>
      <c r="TGI270" s="22"/>
      <c r="TGJ270" s="22"/>
      <c r="TGK270" s="22"/>
      <c r="TGL270" s="22"/>
      <c r="TGM270" s="22"/>
      <c r="TGN270" s="22"/>
      <c r="TGO270" s="22"/>
      <c r="TGP270" s="22"/>
      <c r="TGQ270" s="22"/>
      <c r="TGR270" s="22"/>
      <c r="TGS270" s="22"/>
      <c r="TGT270" s="22"/>
      <c r="TGU270" s="22"/>
      <c r="TGV270" s="22"/>
      <c r="TGW270" s="22"/>
      <c r="TGX270" s="22"/>
      <c r="TGY270" s="22"/>
      <c r="TGZ270" s="22"/>
      <c r="THA270" s="22"/>
      <c r="THB270" s="22"/>
      <c r="THC270" s="22"/>
      <c r="THD270" s="22"/>
      <c r="THE270" s="22"/>
      <c r="THF270" s="22"/>
      <c r="THG270" s="22"/>
      <c r="THH270" s="22"/>
      <c r="THI270" s="22"/>
      <c r="THJ270" s="22"/>
      <c r="THK270" s="22"/>
      <c r="THL270" s="22"/>
      <c r="THM270" s="22"/>
      <c r="THN270" s="22"/>
      <c r="THO270" s="22"/>
      <c r="THP270" s="22"/>
      <c r="THQ270" s="22"/>
      <c r="THR270" s="22"/>
      <c r="THS270" s="22"/>
      <c r="THT270" s="22"/>
      <c r="THU270" s="22"/>
      <c r="THV270" s="22"/>
      <c r="THW270" s="22"/>
      <c r="THX270" s="22"/>
      <c r="THY270" s="22"/>
      <c r="THZ270" s="22"/>
      <c r="TIA270" s="22"/>
      <c r="TIB270" s="22"/>
      <c r="TIC270" s="22"/>
      <c r="TID270" s="22"/>
      <c r="TIE270" s="22"/>
      <c r="TIF270" s="22"/>
      <c r="TIG270" s="22"/>
      <c r="TIH270" s="22"/>
      <c r="TII270" s="22"/>
      <c r="TIJ270" s="22"/>
      <c r="TIK270" s="22"/>
      <c r="TIL270" s="22"/>
      <c r="TIM270" s="22"/>
      <c r="TIN270" s="22"/>
      <c r="TIO270" s="22"/>
      <c r="TIP270" s="22"/>
      <c r="TIQ270" s="22"/>
      <c r="TIR270" s="22"/>
      <c r="TIS270" s="22"/>
      <c r="TIT270" s="22"/>
      <c r="TIU270" s="22"/>
      <c r="TIV270" s="22"/>
      <c r="TIW270" s="22"/>
      <c r="TIX270" s="22"/>
      <c r="TIY270" s="22"/>
      <c r="TIZ270" s="22"/>
      <c r="TJA270" s="22"/>
      <c r="TJB270" s="22"/>
      <c r="TJC270" s="22"/>
      <c r="TJD270" s="22"/>
      <c r="TJE270" s="22"/>
      <c r="TJF270" s="22"/>
      <c r="TJG270" s="22"/>
      <c r="TJH270" s="22"/>
      <c r="TJI270" s="22"/>
      <c r="TJJ270" s="22"/>
      <c r="TJK270" s="22"/>
      <c r="TJL270" s="22"/>
      <c r="TJM270" s="22"/>
      <c r="TJN270" s="22"/>
      <c r="TJO270" s="22"/>
      <c r="TJP270" s="22"/>
      <c r="TJQ270" s="22"/>
      <c r="TJR270" s="22"/>
      <c r="TJS270" s="22"/>
      <c r="TJT270" s="22"/>
      <c r="TJU270" s="22"/>
      <c r="TJV270" s="22"/>
      <c r="TJW270" s="22"/>
      <c r="TJX270" s="22"/>
      <c r="TJY270" s="22"/>
      <c r="TJZ270" s="22"/>
      <c r="TKA270" s="22"/>
      <c r="TKB270" s="22"/>
      <c r="TKC270" s="22"/>
      <c r="TKD270" s="22"/>
      <c r="TKE270" s="22"/>
      <c r="TKF270" s="22"/>
      <c r="TKG270" s="22"/>
      <c r="TKH270" s="22"/>
      <c r="TKI270" s="22"/>
      <c r="TKJ270" s="22"/>
      <c r="TKK270" s="22"/>
      <c r="TKL270" s="22"/>
      <c r="TKM270" s="22"/>
      <c r="TKN270" s="22"/>
      <c r="TKO270" s="22"/>
      <c r="TKP270" s="22"/>
      <c r="TKQ270" s="22"/>
      <c r="TKR270" s="22"/>
      <c r="TKS270" s="22"/>
      <c r="TKT270" s="22"/>
      <c r="TKU270" s="22"/>
      <c r="TKV270" s="22"/>
      <c r="TKW270" s="22"/>
      <c r="TKX270" s="22"/>
      <c r="TKY270" s="22"/>
      <c r="TKZ270" s="22"/>
      <c r="TLA270" s="22"/>
      <c r="TLB270" s="22"/>
      <c r="TLC270" s="22"/>
      <c r="TLD270" s="22"/>
      <c r="TLE270" s="22"/>
      <c r="TLF270" s="22"/>
      <c r="TLG270" s="22"/>
      <c r="TLH270" s="22"/>
      <c r="TLI270" s="22"/>
      <c r="TLJ270" s="22"/>
      <c r="TLK270" s="22"/>
      <c r="TLL270" s="22"/>
      <c r="TLM270" s="22"/>
      <c r="TLN270" s="22"/>
      <c r="TLO270" s="22"/>
      <c r="TLP270" s="22"/>
      <c r="TLQ270" s="22"/>
      <c r="TLR270" s="22"/>
      <c r="TLS270" s="22"/>
      <c r="TLT270" s="22"/>
      <c r="TLU270" s="22"/>
      <c r="TLV270" s="22"/>
      <c r="TLW270" s="22"/>
      <c r="TLX270" s="22"/>
      <c r="TLY270" s="22"/>
      <c r="TLZ270" s="22"/>
      <c r="TMA270" s="22"/>
      <c r="TMB270" s="22"/>
      <c r="TMC270" s="22"/>
      <c r="TMD270" s="22"/>
      <c r="TME270" s="22"/>
      <c r="TMF270" s="22"/>
      <c r="TMG270" s="22"/>
      <c r="TMH270" s="22"/>
      <c r="TMI270" s="22"/>
      <c r="TMJ270" s="22"/>
      <c r="TMK270" s="22"/>
      <c r="TML270" s="22"/>
      <c r="TMM270" s="22"/>
      <c r="TMN270" s="22"/>
      <c r="TMO270" s="22"/>
      <c r="TMP270" s="22"/>
      <c r="TMQ270" s="22"/>
      <c r="TMR270" s="22"/>
      <c r="TMS270" s="22"/>
      <c r="TMT270" s="22"/>
      <c r="TMU270" s="22"/>
      <c r="TMV270" s="22"/>
      <c r="TMW270" s="22"/>
      <c r="TMX270" s="22"/>
      <c r="TMY270" s="22"/>
      <c r="TMZ270" s="22"/>
      <c r="TNA270" s="22"/>
      <c r="TNB270" s="22"/>
      <c r="TNC270" s="22"/>
      <c r="TND270" s="22"/>
      <c r="TNE270" s="22"/>
      <c r="TNF270" s="22"/>
      <c r="TNG270" s="22"/>
      <c r="TNH270" s="22"/>
      <c r="TNI270" s="22"/>
      <c r="TNJ270" s="22"/>
      <c r="TNK270" s="22"/>
      <c r="TNL270" s="22"/>
      <c r="TNM270" s="22"/>
      <c r="TNN270" s="22"/>
      <c r="TNO270" s="22"/>
      <c r="TNP270" s="22"/>
      <c r="TNQ270" s="22"/>
      <c r="TNR270" s="22"/>
      <c r="TNS270" s="22"/>
      <c r="TNT270" s="22"/>
      <c r="TNU270" s="22"/>
      <c r="TNV270" s="22"/>
      <c r="TNW270" s="22"/>
      <c r="TNX270" s="22"/>
      <c r="TNY270" s="22"/>
      <c r="TNZ270" s="22"/>
      <c r="TOA270" s="22"/>
      <c r="TOB270" s="22"/>
      <c r="TOC270" s="22"/>
      <c r="TOD270" s="22"/>
      <c r="TOE270" s="22"/>
      <c r="TOF270" s="22"/>
      <c r="TOG270" s="22"/>
      <c r="TOH270" s="22"/>
      <c r="TOI270" s="22"/>
      <c r="TOJ270" s="22"/>
      <c r="TOK270" s="22"/>
      <c r="TOL270" s="22"/>
      <c r="TOM270" s="22"/>
      <c r="TON270" s="22"/>
      <c r="TOO270" s="22"/>
      <c r="TOP270" s="22"/>
      <c r="TOQ270" s="22"/>
      <c r="TOR270" s="22"/>
      <c r="TOS270" s="22"/>
      <c r="TOT270" s="22"/>
      <c r="TOU270" s="22"/>
      <c r="TOV270" s="22"/>
      <c r="TOW270" s="22"/>
      <c r="TOX270" s="22"/>
      <c r="TOY270" s="22"/>
      <c r="TOZ270" s="22"/>
      <c r="TPA270" s="22"/>
      <c r="TPB270" s="22"/>
      <c r="TPC270" s="22"/>
      <c r="TPD270" s="22"/>
      <c r="TPE270" s="22"/>
      <c r="TPF270" s="22"/>
      <c r="TPG270" s="22"/>
      <c r="TPH270" s="22"/>
      <c r="TPI270" s="22"/>
      <c r="TPJ270" s="22"/>
      <c r="TPK270" s="22"/>
      <c r="TPL270" s="22"/>
      <c r="TPM270" s="22"/>
      <c r="TPN270" s="22"/>
      <c r="TPO270" s="22"/>
      <c r="TPP270" s="22"/>
      <c r="TPQ270" s="22"/>
      <c r="TPR270" s="22"/>
      <c r="TPS270" s="22"/>
      <c r="TPT270" s="22"/>
      <c r="TPU270" s="22"/>
      <c r="TPV270" s="22"/>
      <c r="TPW270" s="22"/>
      <c r="TPX270" s="22"/>
      <c r="TPY270" s="22"/>
      <c r="TPZ270" s="22"/>
      <c r="TQA270" s="22"/>
      <c r="TQB270" s="22"/>
      <c r="TQC270" s="22"/>
      <c r="TQD270" s="22"/>
      <c r="TQE270" s="22"/>
      <c r="TQF270" s="22"/>
      <c r="TQG270" s="22"/>
      <c r="TQH270" s="22"/>
      <c r="TQI270" s="22"/>
      <c r="TQJ270" s="22"/>
      <c r="TQK270" s="22"/>
      <c r="TQL270" s="22"/>
      <c r="TQM270" s="22"/>
      <c r="TQN270" s="22"/>
      <c r="TQO270" s="22"/>
      <c r="TQP270" s="22"/>
      <c r="TQQ270" s="22"/>
      <c r="TQR270" s="22"/>
      <c r="TQS270" s="22"/>
      <c r="TQT270" s="22"/>
      <c r="TQU270" s="22"/>
      <c r="TQV270" s="22"/>
      <c r="TQW270" s="22"/>
      <c r="TQX270" s="22"/>
      <c r="TQY270" s="22"/>
      <c r="TQZ270" s="22"/>
      <c r="TRA270" s="22"/>
      <c r="TRB270" s="22"/>
      <c r="TRC270" s="22"/>
      <c r="TRD270" s="22"/>
      <c r="TRE270" s="22"/>
      <c r="TRF270" s="22"/>
      <c r="TRG270" s="22"/>
      <c r="TRH270" s="22"/>
      <c r="TRI270" s="22"/>
      <c r="TRJ270" s="22"/>
      <c r="TRK270" s="22"/>
      <c r="TRL270" s="22"/>
      <c r="TRM270" s="22"/>
      <c r="TRN270" s="22"/>
      <c r="TRO270" s="22"/>
      <c r="TRP270" s="22"/>
      <c r="TRQ270" s="22"/>
      <c r="TRR270" s="22"/>
      <c r="TRS270" s="22"/>
      <c r="TRT270" s="22"/>
      <c r="TRU270" s="22"/>
      <c r="TRV270" s="22"/>
      <c r="TRW270" s="22"/>
      <c r="TRX270" s="22"/>
      <c r="TRY270" s="22"/>
      <c r="TRZ270" s="22"/>
      <c r="TSA270" s="22"/>
      <c r="TSB270" s="22"/>
      <c r="TSC270" s="22"/>
      <c r="TSD270" s="22"/>
      <c r="TSE270" s="22"/>
      <c r="TSF270" s="22"/>
      <c r="TSG270" s="22"/>
      <c r="TSH270" s="22"/>
      <c r="TSI270" s="22"/>
      <c r="TSJ270" s="22"/>
      <c r="TSK270" s="22"/>
      <c r="TSL270" s="22"/>
      <c r="TSM270" s="22"/>
      <c r="TSN270" s="22"/>
      <c r="TSO270" s="22"/>
      <c r="TSP270" s="22"/>
      <c r="TSQ270" s="22"/>
      <c r="TSR270" s="22"/>
      <c r="TSS270" s="22"/>
      <c r="TST270" s="22"/>
      <c r="TSU270" s="22"/>
      <c r="TSV270" s="22"/>
      <c r="TSW270" s="22"/>
      <c r="TSX270" s="22"/>
      <c r="TSY270" s="22"/>
      <c r="TSZ270" s="22"/>
      <c r="TTA270" s="22"/>
      <c r="TTB270" s="22"/>
      <c r="TTC270" s="22"/>
      <c r="TTD270" s="22"/>
      <c r="TTE270" s="22"/>
      <c r="TTF270" s="22"/>
      <c r="TTG270" s="22"/>
      <c r="TTH270" s="22"/>
      <c r="TTI270" s="22"/>
      <c r="TTJ270" s="22"/>
      <c r="TTK270" s="22"/>
      <c r="TTL270" s="22"/>
      <c r="TTM270" s="22"/>
      <c r="TTN270" s="22"/>
      <c r="TTO270" s="22"/>
      <c r="TTP270" s="22"/>
      <c r="TTQ270" s="22"/>
      <c r="TTR270" s="22"/>
      <c r="TTS270" s="22"/>
      <c r="TTT270" s="22"/>
      <c r="TTU270" s="22"/>
      <c r="TTV270" s="22"/>
      <c r="TTW270" s="22"/>
      <c r="TTX270" s="22"/>
      <c r="TTY270" s="22"/>
      <c r="TTZ270" s="22"/>
      <c r="TUA270" s="22"/>
      <c r="TUB270" s="22"/>
      <c r="TUC270" s="22"/>
      <c r="TUD270" s="22"/>
      <c r="TUE270" s="22"/>
      <c r="TUF270" s="22"/>
      <c r="TUG270" s="22"/>
      <c r="TUH270" s="22"/>
      <c r="TUI270" s="22"/>
      <c r="TUJ270" s="22"/>
      <c r="TUK270" s="22"/>
      <c r="TUL270" s="22"/>
      <c r="TUM270" s="22"/>
      <c r="TUN270" s="22"/>
      <c r="TUO270" s="22"/>
      <c r="TUP270" s="22"/>
      <c r="TUQ270" s="22"/>
      <c r="TUR270" s="22"/>
      <c r="TUS270" s="22"/>
      <c r="TUT270" s="22"/>
      <c r="TUU270" s="22"/>
      <c r="TUV270" s="22"/>
      <c r="TUW270" s="22"/>
      <c r="TUX270" s="22"/>
      <c r="TUY270" s="22"/>
      <c r="TUZ270" s="22"/>
      <c r="TVA270" s="22"/>
      <c r="TVB270" s="22"/>
      <c r="TVC270" s="22"/>
      <c r="TVD270" s="22"/>
      <c r="TVE270" s="22"/>
      <c r="TVF270" s="22"/>
      <c r="TVG270" s="22"/>
      <c r="TVH270" s="22"/>
      <c r="TVI270" s="22"/>
      <c r="TVJ270" s="22"/>
      <c r="TVK270" s="22"/>
      <c r="TVL270" s="22"/>
      <c r="TVM270" s="22"/>
      <c r="TVN270" s="22"/>
      <c r="TVO270" s="22"/>
      <c r="TVP270" s="22"/>
      <c r="TVQ270" s="22"/>
      <c r="TVR270" s="22"/>
      <c r="TVS270" s="22"/>
      <c r="TVT270" s="22"/>
      <c r="TVU270" s="22"/>
      <c r="TVV270" s="22"/>
      <c r="TVW270" s="22"/>
      <c r="TVX270" s="22"/>
      <c r="TVY270" s="22"/>
      <c r="TVZ270" s="22"/>
      <c r="TWA270" s="22"/>
      <c r="TWB270" s="22"/>
      <c r="TWC270" s="22"/>
      <c r="TWD270" s="22"/>
      <c r="TWE270" s="22"/>
      <c r="TWF270" s="22"/>
      <c r="TWG270" s="22"/>
      <c r="TWH270" s="22"/>
      <c r="TWI270" s="22"/>
      <c r="TWJ270" s="22"/>
      <c r="TWK270" s="22"/>
      <c r="TWL270" s="22"/>
      <c r="TWM270" s="22"/>
      <c r="TWN270" s="22"/>
      <c r="TWO270" s="22"/>
      <c r="TWP270" s="22"/>
      <c r="TWQ270" s="22"/>
      <c r="TWR270" s="22"/>
      <c r="TWS270" s="22"/>
      <c r="TWT270" s="22"/>
      <c r="TWU270" s="22"/>
      <c r="TWV270" s="22"/>
      <c r="TWW270" s="22"/>
      <c r="TWX270" s="22"/>
      <c r="TWY270" s="22"/>
      <c r="TWZ270" s="22"/>
      <c r="TXA270" s="22"/>
      <c r="TXB270" s="22"/>
      <c r="TXC270" s="22"/>
      <c r="TXD270" s="22"/>
      <c r="TXE270" s="22"/>
      <c r="TXF270" s="22"/>
      <c r="TXG270" s="22"/>
      <c r="TXH270" s="22"/>
      <c r="TXI270" s="22"/>
      <c r="TXJ270" s="22"/>
      <c r="TXK270" s="22"/>
      <c r="TXL270" s="22"/>
      <c r="TXM270" s="22"/>
      <c r="TXN270" s="22"/>
      <c r="TXO270" s="22"/>
      <c r="TXP270" s="22"/>
      <c r="TXQ270" s="22"/>
      <c r="TXR270" s="22"/>
      <c r="TXS270" s="22"/>
      <c r="TXT270" s="22"/>
      <c r="TXU270" s="22"/>
      <c r="TXV270" s="22"/>
      <c r="TXW270" s="22"/>
      <c r="TXX270" s="22"/>
      <c r="TXY270" s="22"/>
      <c r="TXZ270" s="22"/>
      <c r="TYA270" s="22"/>
      <c r="TYB270" s="22"/>
      <c r="TYC270" s="22"/>
      <c r="TYD270" s="22"/>
      <c r="TYE270" s="22"/>
      <c r="TYF270" s="22"/>
      <c r="TYG270" s="22"/>
      <c r="TYH270" s="22"/>
      <c r="TYI270" s="22"/>
      <c r="TYJ270" s="22"/>
      <c r="TYK270" s="22"/>
      <c r="TYL270" s="22"/>
      <c r="TYM270" s="22"/>
      <c r="TYN270" s="22"/>
      <c r="TYO270" s="22"/>
      <c r="TYP270" s="22"/>
      <c r="TYQ270" s="22"/>
      <c r="TYR270" s="22"/>
      <c r="TYS270" s="22"/>
      <c r="TYT270" s="22"/>
      <c r="TYU270" s="22"/>
      <c r="TYV270" s="22"/>
      <c r="TYW270" s="22"/>
      <c r="TYX270" s="22"/>
      <c r="TYY270" s="22"/>
      <c r="TYZ270" s="22"/>
      <c r="TZA270" s="22"/>
      <c r="TZB270" s="22"/>
      <c r="TZC270" s="22"/>
      <c r="TZD270" s="22"/>
      <c r="TZE270" s="22"/>
      <c r="TZF270" s="22"/>
      <c r="TZG270" s="22"/>
      <c r="TZH270" s="22"/>
      <c r="TZI270" s="22"/>
      <c r="TZJ270" s="22"/>
      <c r="TZK270" s="22"/>
      <c r="TZL270" s="22"/>
      <c r="TZM270" s="22"/>
      <c r="TZN270" s="22"/>
      <c r="TZO270" s="22"/>
      <c r="TZP270" s="22"/>
      <c r="TZQ270" s="22"/>
      <c r="TZR270" s="22"/>
      <c r="TZS270" s="22"/>
      <c r="TZT270" s="22"/>
      <c r="TZU270" s="22"/>
      <c r="TZV270" s="22"/>
      <c r="TZW270" s="22"/>
      <c r="TZX270" s="22"/>
      <c r="TZY270" s="22"/>
      <c r="TZZ270" s="22"/>
      <c r="UAA270" s="22"/>
      <c r="UAB270" s="22"/>
      <c r="UAC270" s="22"/>
      <c r="UAD270" s="22"/>
      <c r="UAE270" s="22"/>
      <c r="UAF270" s="22"/>
      <c r="UAG270" s="22"/>
      <c r="UAH270" s="22"/>
      <c r="UAI270" s="22"/>
      <c r="UAJ270" s="22"/>
      <c r="UAK270" s="22"/>
      <c r="UAL270" s="22"/>
      <c r="UAM270" s="22"/>
      <c r="UAN270" s="22"/>
      <c r="UAO270" s="22"/>
      <c r="UAP270" s="22"/>
      <c r="UAQ270" s="22"/>
      <c r="UAR270" s="22"/>
      <c r="UAS270" s="22"/>
      <c r="UAT270" s="22"/>
      <c r="UAU270" s="22"/>
      <c r="UAV270" s="22"/>
      <c r="UAW270" s="22"/>
      <c r="UAX270" s="22"/>
      <c r="UAY270" s="22"/>
      <c r="UAZ270" s="22"/>
      <c r="UBA270" s="22"/>
      <c r="UBB270" s="22"/>
      <c r="UBC270" s="22"/>
      <c r="UBD270" s="22"/>
      <c r="UBE270" s="22"/>
      <c r="UBF270" s="22"/>
      <c r="UBG270" s="22"/>
      <c r="UBH270" s="22"/>
      <c r="UBI270" s="22"/>
      <c r="UBJ270" s="22"/>
      <c r="UBK270" s="22"/>
      <c r="UBL270" s="22"/>
      <c r="UBM270" s="22"/>
      <c r="UBN270" s="22"/>
      <c r="UBO270" s="22"/>
      <c r="UBP270" s="22"/>
      <c r="UBQ270" s="22"/>
      <c r="UBR270" s="22"/>
      <c r="UBS270" s="22"/>
      <c r="UBT270" s="22"/>
      <c r="UBU270" s="22"/>
      <c r="UBV270" s="22"/>
      <c r="UBW270" s="22"/>
      <c r="UBX270" s="22"/>
      <c r="UBY270" s="22"/>
      <c r="UBZ270" s="22"/>
      <c r="UCA270" s="22"/>
      <c r="UCB270" s="22"/>
      <c r="UCC270" s="22"/>
      <c r="UCD270" s="22"/>
      <c r="UCE270" s="22"/>
      <c r="UCF270" s="22"/>
      <c r="UCG270" s="22"/>
      <c r="UCH270" s="22"/>
      <c r="UCI270" s="22"/>
      <c r="UCJ270" s="22"/>
      <c r="UCK270" s="22"/>
      <c r="UCL270" s="22"/>
      <c r="UCM270" s="22"/>
      <c r="UCN270" s="22"/>
      <c r="UCO270" s="22"/>
      <c r="UCP270" s="22"/>
      <c r="UCQ270" s="22"/>
      <c r="UCR270" s="22"/>
      <c r="UCS270" s="22"/>
      <c r="UCT270" s="22"/>
      <c r="UCU270" s="22"/>
      <c r="UCV270" s="22"/>
      <c r="UCW270" s="22"/>
      <c r="UCX270" s="22"/>
      <c r="UCY270" s="22"/>
      <c r="UCZ270" s="22"/>
      <c r="UDA270" s="22"/>
      <c r="UDB270" s="22"/>
      <c r="UDC270" s="22"/>
      <c r="UDD270" s="22"/>
      <c r="UDE270" s="22"/>
      <c r="UDF270" s="22"/>
      <c r="UDG270" s="22"/>
      <c r="UDH270" s="22"/>
      <c r="UDI270" s="22"/>
      <c r="UDJ270" s="22"/>
      <c r="UDK270" s="22"/>
      <c r="UDL270" s="22"/>
      <c r="UDM270" s="22"/>
      <c r="UDN270" s="22"/>
      <c r="UDO270" s="22"/>
      <c r="UDP270" s="22"/>
      <c r="UDQ270" s="22"/>
      <c r="UDR270" s="22"/>
      <c r="UDS270" s="22"/>
      <c r="UDT270" s="22"/>
      <c r="UDU270" s="22"/>
      <c r="UDV270" s="22"/>
      <c r="UDW270" s="22"/>
      <c r="UDX270" s="22"/>
      <c r="UDY270" s="22"/>
      <c r="UDZ270" s="22"/>
      <c r="UEA270" s="22"/>
      <c r="UEB270" s="22"/>
      <c r="UEC270" s="22"/>
      <c r="UED270" s="22"/>
      <c r="UEE270" s="22"/>
      <c r="UEF270" s="22"/>
      <c r="UEG270" s="22"/>
      <c r="UEH270" s="22"/>
      <c r="UEI270" s="22"/>
      <c r="UEJ270" s="22"/>
      <c r="UEK270" s="22"/>
      <c r="UEL270" s="22"/>
      <c r="UEM270" s="22"/>
      <c r="UEN270" s="22"/>
      <c r="UEO270" s="22"/>
      <c r="UEP270" s="22"/>
      <c r="UEQ270" s="22"/>
      <c r="UER270" s="22"/>
      <c r="UES270" s="22"/>
      <c r="UET270" s="22"/>
      <c r="UEU270" s="22"/>
      <c r="UEV270" s="22"/>
      <c r="UEW270" s="22"/>
      <c r="UEX270" s="22"/>
      <c r="UEY270" s="22"/>
      <c r="UEZ270" s="22"/>
      <c r="UFA270" s="22"/>
      <c r="UFB270" s="22"/>
      <c r="UFC270" s="22"/>
      <c r="UFD270" s="22"/>
      <c r="UFE270" s="22"/>
      <c r="UFF270" s="22"/>
      <c r="UFG270" s="22"/>
      <c r="UFH270" s="22"/>
      <c r="UFI270" s="22"/>
      <c r="UFJ270" s="22"/>
      <c r="UFK270" s="22"/>
      <c r="UFL270" s="22"/>
      <c r="UFM270" s="22"/>
      <c r="UFN270" s="22"/>
      <c r="UFO270" s="22"/>
      <c r="UFP270" s="22"/>
      <c r="UFQ270" s="22"/>
      <c r="UFR270" s="22"/>
      <c r="UFS270" s="22"/>
      <c r="UFT270" s="22"/>
      <c r="UFU270" s="22"/>
      <c r="UFV270" s="22"/>
      <c r="UFW270" s="22"/>
      <c r="UFX270" s="22"/>
      <c r="UFY270" s="22"/>
      <c r="UFZ270" s="22"/>
      <c r="UGA270" s="22"/>
      <c r="UGB270" s="22"/>
      <c r="UGC270" s="22"/>
      <c r="UGD270" s="22"/>
      <c r="UGE270" s="22"/>
      <c r="UGF270" s="22"/>
      <c r="UGG270" s="22"/>
      <c r="UGH270" s="22"/>
      <c r="UGI270" s="22"/>
      <c r="UGJ270" s="22"/>
      <c r="UGK270" s="22"/>
      <c r="UGL270" s="22"/>
      <c r="UGM270" s="22"/>
      <c r="UGN270" s="22"/>
      <c r="UGO270" s="22"/>
      <c r="UGP270" s="22"/>
      <c r="UGQ270" s="22"/>
      <c r="UGR270" s="22"/>
      <c r="UGS270" s="22"/>
      <c r="UGT270" s="22"/>
      <c r="UGU270" s="22"/>
      <c r="UGV270" s="22"/>
      <c r="UGW270" s="22"/>
      <c r="UGX270" s="22"/>
      <c r="UGY270" s="22"/>
      <c r="UGZ270" s="22"/>
      <c r="UHA270" s="22"/>
      <c r="UHB270" s="22"/>
      <c r="UHC270" s="22"/>
      <c r="UHD270" s="22"/>
      <c r="UHE270" s="22"/>
      <c r="UHF270" s="22"/>
      <c r="UHG270" s="22"/>
      <c r="UHH270" s="22"/>
      <c r="UHI270" s="22"/>
      <c r="UHJ270" s="22"/>
      <c r="UHK270" s="22"/>
      <c r="UHL270" s="22"/>
      <c r="UHM270" s="22"/>
      <c r="UHN270" s="22"/>
      <c r="UHO270" s="22"/>
      <c r="UHP270" s="22"/>
      <c r="UHQ270" s="22"/>
      <c r="UHR270" s="22"/>
      <c r="UHS270" s="22"/>
      <c r="UHT270" s="22"/>
      <c r="UHU270" s="22"/>
      <c r="UHV270" s="22"/>
      <c r="UHW270" s="22"/>
      <c r="UHX270" s="22"/>
      <c r="UHY270" s="22"/>
      <c r="UHZ270" s="22"/>
      <c r="UIA270" s="22"/>
      <c r="UIB270" s="22"/>
      <c r="UIC270" s="22"/>
      <c r="UID270" s="22"/>
      <c r="UIE270" s="22"/>
      <c r="UIF270" s="22"/>
      <c r="UIG270" s="22"/>
      <c r="UIH270" s="22"/>
      <c r="UII270" s="22"/>
      <c r="UIJ270" s="22"/>
      <c r="UIK270" s="22"/>
      <c r="UIL270" s="22"/>
      <c r="UIM270" s="22"/>
      <c r="UIN270" s="22"/>
      <c r="UIO270" s="22"/>
      <c r="UIP270" s="22"/>
      <c r="UIQ270" s="22"/>
      <c r="UIR270" s="22"/>
      <c r="UIS270" s="22"/>
      <c r="UIT270" s="22"/>
      <c r="UIU270" s="22"/>
      <c r="UIV270" s="22"/>
      <c r="UIW270" s="22"/>
      <c r="UIX270" s="22"/>
      <c r="UIY270" s="22"/>
      <c r="UIZ270" s="22"/>
      <c r="UJA270" s="22"/>
      <c r="UJB270" s="22"/>
      <c r="UJC270" s="22"/>
      <c r="UJD270" s="22"/>
      <c r="UJE270" s="22"/>
      <c r="UJF270" s="22"/>
      <c r="UJG270" s="22"/>
      <c r="UJH270" s="22"/>
      <c r="UJI270" s="22"/>
      <c r="UJJ270" s="22"/>
      <c r="UJK270" s="22"/>
      <c r="UJL270" s="22"/>
      <c r="UJM270" s="22"/>
      <c r="UJN270" s="22"/>
      <c r="UJO270" s="22"/>
      <c r="UJP270" s="22"/>
      <c r="UJQ270" s="22"/>
      <c r="UJR270" s="22"/>
      <c r="UJS270" s="22"/>
      <c r="UJT270" s="22"/>
      <c r="UJU270" s="22"/>
      <c r="UJV270" s="22"/>
      <c r="UJW270" s="22"/>
      <c r="UJX270" s="22"/>
      <c r="UJY270" s="22"/>
      <c r="UJZ270" s="22"/>
      <c r="UKA270" s="22"/>
      <c r="UKB270" s="22"/>
      <c r="UKC270" s="22"/>
      <c r="UKD270" s="22"/>
      <c r="UKE270" s="22"/>
      <c r="UKF270" s="22"/>
      <c r="UKG270" s="22"/>
      <c r="UKH270" s="22"/>
      <c r="UKI270" s="22"/>
      <c r="UKJ270" s="22"/>
      <c r="UKK270" s="22"/>
      <c r="UKL270" s="22"/>
      <c r="UKM270" s="22"/>
      <c r="UKN270" s="22"/>
      <c r="UKO270" s="22"/>
      <c r="UKP270" s="22"/>
      <c r="UKQ270" s="22"/>
      <c r="UKR270" s="22"/>
      <c r="UKS270" s="22"/>
      <c r="UKT270" s="22"/>
      <c r="UKU270" s="22"/>
      <c r="UKV270" s="22"/>
      <c r="UKW270" s="22"/>
      <c r="UKX270" s="22"/>
      <c r="UKY270" s="22"/>
      <c r="UKZ270" s="22"/>
      <c r="ULA270" s="22"/>
      <c r="ULB270" s="22"/>
      <c r="ULC270" s="22"/>
      <c r="ULD270" s="22"/>
      <c r="ULE270" s="22"/>
      <c r="ULF270" s="22"/>
      <c r="ULG270" s="22"/>
      <c r="ULH270" s="22"/>
      <c r="ULI270" s="22"/>
      <c r="ULJ270" s="22"/>
      <c r="ULK270" s="22"/>
      <c r="ULL270" s="22"/>
      <c r="ULM270" s="22"/>
      <c r="ULN270" s="22"/>
      <c r="ULO270" s="22"/>
      <c r="ULP270" s="22"/>
      <c r="ULQ270" s="22"/>
      <c r="ULR270" s="22"/>
      <c r="ULS270" s="22"/>
      <c r="ULT270" s="22"/>
      <c r="ULU270" s="22"/>
      <c r="ULV270" s="22"/>
      <c r="ULW270" s="22"/>
      <c r="ULX270" s="22"/>
      <c r="ULY270" s="22"/>
      <c r="ULZ270" s="22"/>
      <c r="UMA270" s="22"/>
      <c r="UMB270" s="22"/>
      <c r="UMC270" s="22"/>
      <c r="UMD270" s="22"/>
      <c r="UME270" s="22"/>
      <c r="UMF270" s="22"/>
      <c r="UMG270" s="22"/>
      <c r="UMH270" s="22"/>
      <c r="UMI270" s="22"/>
      <c r="UMJ270" s="22"/>
      <c r="UMK270" s="22"/>
      <c r="UML270" s="22"/>
      <c r="UMM270" s="22"/>
      <c r="UMN270" s="22"/>
      <c r="UMO270" s="22"/>
      <c r="UMP270" s="22"/>
      <c r="UMQ270" s="22"/>
      <c r="UMR270" s="22"/>
      <c r="UMS270" s="22"/>
      <c r="UMT270" s="22"/>
      <c r="UMU270" s="22"/>
      <c r="UMV270" s="22"/>
      <c r="UMW270" s="22"/>
      <c r="UMX270" s="22"/>
      <c r="UMY270" s="22"/>
      <c r="UMZ270" s="22"/>
      <c r="UNA270" s="22"/>
      <c r="UNB270" s="22"/>
      <c r="UNC270" s="22"/>
      <c r="UND270" s="22"/>
      <c r="UNE270" s="22"/>
      <c r="UNF270" s="22"/>
      <c r="UNG270" s="22"/>
      <c r="UNH270" s="22"/>
      <c r="UNI270" s="22"/>
      <c r="UNJ270" s="22"/>
      <c r="UNK270" s="22"/>
      <c r="UNL270" s="22"/>
      <c r="UNM270" s="22"/>
      <c r="UNN270" s="22"/>
      <c r="UNO270" s="22"/>
      <c r="UNP270" s="22"/>
      <c r="UNQ270" s="22"/>
      <c r="UNR270" s="22"/>
      <c r="UNS270" s="22"/>
      <c r="UNT270" s="22"/>
      <c r="UNU270" s="22"/>
      <c r="UNV270" s="22"/>
      <c r="UNW270" s="22"/>
      <c r="UNX270" s="22"/>
      <c r="UNY270" s="22"/>
      <c r="UNZ270" s="22"/>
      <c r="UOA270" s="22"/>
      <c r="UOB270" s="22"/>
      <c r="UOC270" s="22"/>
      <c r="UOD270" s="22"/>
      <c r="UOE270" s="22"/>
      <c r="UOF270" s="22"/>
      <c r="UOG270" s="22"/>
      <c r="UOH270" s="22"/>
      <c r="UOI270" s="22"/>
      <c r="UOJ270" s="22"/>
      <c r="UOK270" s="22"/>
      <c r="UOL270" s="22"/>
      <c r="UOM270" s="22"/>
      <c r="UON270" s="22"/>
      <c r="UOO270" s="22"/>
      <c r="UOP270" s="22"/>
      <c r="UOQ270" s="22"/>
      <c r="UOR270" s="22"/>
      <c r="UOS270" s="22"/>
      <c r="UOT270" s="22"/>
      <c r="UOU270" s="22"/>
      <c r="UOV270" s="22"/>
      <c r="UOW270" s="22"/>
      <c r="UOX270" s="22"/>
      <c r="UOY270" s="22"/>
      <c r="UOZ270" s="22"/>
      <c r="UPA270" s="22"/>
      <c r="UPB270" s="22"/>
      <c r="UPC270" s="22"/>
      <c r="UPD270" s="22"/>
      <c r="UPE270" s="22"/>
      <c r="UPF270" s="22"/>
      <c r="UPG270" s="22"/>
      <c r="UPH270" s="22"/>
      <c r="UPI270" s="22"/>
      <c r="UPJ270" s="22"/>
      <c r="UPK270" s="22"/>
      <c r="UPL270" s="22"/>
      <c r="UPM270" s="22"/>
      <c r="UPN270" s="22"/>
      <c r="UPO270" s="22"/>
      <c r="UPP270" s="22"/>
      <c r="UPQ270" s="22"/>
      <c r="UPR270" s="22"/>
      <c r="UPS270" s="22"/>
      <c r="UPT270" s="22"/>
      <c r="UPU270" s="22"/>
      <c r="UPV270" s="22"/>
      <c r="UPW270" s="22"/>
      <c r="UPX270" s="22"/>
      <c r="UPY270" s="22"/>
      <c r="UPZ270" s="22"/>
      <c r="UQA270" s="22"/>
      <c r="UQB270" s="22"/>
      <c r="UQC270" s="22"/>
      <c r="UQD270" s="22"/>
      <c r="UQE270" s="22"/>
      <c r="UQF270" s="22"/>
      <c r="UQG270" s="22"/>
      <c r="UQH270" s="22"/>
      <c r="UQI270" s="22"/>
      <c r="UQJ270" s="22"/>
      <c r="UQK270" s="22"/>
      <c r="UQL270" s="22"/>
      <c r="UQM270" s="22"/>
      <c r="UQN270" s="22"/>
      <c r="UQO270" s="22"/>
      <c r="UQP270" s="22"/>
      <c r="UQQ270" s="22"/>
      <c r="UQR270" s="22"/>
      <c r="UQS270" s="22"/>
      <c r="UQT270" s="22"/>
      <c r="UQU270" s="22"/>
      <c r="UQV270" s="22"/>
      <c r="UQW270" s="22"/>
      <c r="UQX270" s="22"/>
      <c r="UQY270" s="22"/>
      <c r="UQZ270" s="22"/>
      <c r="URA270" s="22"/>
      <c r="URB270" s="22"/>
      <c r="URC270" s="22"/>
      <c r="URD270" s="22"/>
      <c r="URE270" s="22"/>
      <c r="URF270" s="22"/>
      <c r="URG270" s="22"/>
      <c r="URH270" s="22"/>
      <c r="URI270" s="22"/>
      <c r="URJ270" s="22"/>
      <c r="URK270" s="22"/>
      <c r="URL270" s="22"/>
      <c r="URM270" s="22"/>
      <c r="URN270" s="22"/>
      <c r="URO270" s="22"/>
      <c r="URP270" s="22"/>
      <c r="URQ270" s="22"/>
      <c r="URR270" s="22"/>
      <c r="URS270" s="22"/>
      <c r="URT270" s="22"/>
      <c r="URU270" s="22"/>
      <c r="URV270" s="22"/>
      <c r="URW270" s="22"/>
      <c r="URX270" s="22"/>
      <c r="URY270" s="22"/>
      <c r="URZ270" s="22"/>
      <c r="USA270" s="22"/>
      <c r="USB270" s="22"/>
      <c r="USC270" s="22"/>
      <c r="USD270" s="22"/>
      <c r="USE270" s="22"/>
      <c r="USF270" s="22"/>
      <c r="USG270" s="22"/>
      <c r="USH270" s="22"/>
      <c r="USI270" s="22"/>
      <c r="USJ270" s="22"/>
      <c r="USK270" s="22"/>
      <c r="USL270" s="22"/>
      <c r="USM270" s="22"/>
      <c r="USN270" s="22"/>
      <c r="USO270" s="22"/>
      <c r="USP270" s="22"/>
      <c r="USQ270" s="22"/>
      <c r="USR270" s="22"/>
      <c r="USS270" s="22"/>
      <c r="UST270" s="22"/>
      <c r="USU270" s="22"/>
      <c r="USV270" s="22"/>
      <c r="USW270" s="22"/>
      <c r="USX270" s="22"/>
      <c r="USY270" s="22"/>
      <c r="USZ270" s="22"/>
      <c r="UTA270" s="22"/>
      <c r="UTB270" s="22"/>
      <c r="UTC270" s="22"/>
      <c r="UTD270" s="22"/>
      <c r="UTE270" s="22"/>
      <c r="UTF270" s="22"/>
      <c r="UTG270" s="22"/>
      <c r="UTH270" s="22"/>
      <c r="UTI270" s="22"/>
      <c r="UTJ270" s="22"/>
      <c r="UTK270" s="22"/>
      <c r="UTL270" s="22"/>
      <c r="UTM270" s="22"/>
      <c r="UTN270" s="22"/>
      <c r="UTO270" s="22"/>
      <c r="UTP270" s="22"/>
      <c r="UTQ270" s="22"/>
      <c r="UTR270" s="22"/>
      <c r="UTS270" s="22"/>
      <c r="UTT270" s="22"/>
      <c r="UTU270" s="22"/>
      <c r="UTV270" s="22"/>
      <c r="UTW270" s="22"/>
      <c r="UTX270" s="22"/>
      <c r="UTY270" s="22"/>
      <c r="UTZ270" s="22"/>
      <c r="UUA270" s="22"/>
      <c r="UUB270" s="22"/>
      <c r="UUC270" s="22"/>
      <c r="UUD270" s="22"/>
      <c r="UUE270" s="22"/>
      <c r="UUF270" s="22"/>
      <c r="UUG270" s="22"/>
      <c r="UUH270" s="22"/>
      <c r="UUI270" s="22"/>
      <c r="UUJ270" s="22"/>
      <c r="UUK270" s="22"/>
      <c r="UUL270" s="22"/>
      <c r="UUM270" s="22"/>
      <c r="UUN270" s="22"/>
      <c r="UUO270" s="22"/>
      <c r="UUP270" s="22"/>
      <c r="UUQ270" s="22"/>
      <c r="UUR270" s="22"/>
      <c r="UUS270" s="22"/>
      <c r="UUT270" s="22"/>
      <c r="UUU270" s="22"/>
      <c r="UUV270" s="22"/>
      <c r="UUW270" s="22"/>
      <c r="UUX270" s="22"/>
      <c r="UUY270" s="22"/>
      <c r="UUZ270" s="22"/>
      <c r="UVA270" s="22"/>
      <c r="UVB270" s="22"/>
      <c r="UVC270" s="22"/>
      <c r="UVD270" s="22"/>
      <c r="UVE270" s="22"/>
      <c r="UVF270" s="22"/>
      <c r="UVG270" s="22"/>
      <c r="UVH270" s="22"/>
      <c r="UVI270" s="22"/>
      <c r="UVJ270" s="22"/>
      <c r="UVK270" s="22"/>
      <c r="UVL270" s="22"/>
      <c r="UVM270" s="22"/>
      <c r="UVN270" s="22"/>
      <c r="UVO270" s="22"/>
      <c r="UVP270" s="22"/>
      <c r="UVQ270" s="22"/>
      <c r="UVR270" s="22"/>
      <c r="UVS270" s="22"/>
      <c r="UVT270" s="22"/>
      <c r="UVU270" s="22"/>
      <c r="UVV270" s="22"/>
      <c r="UVW270" s="22"/>
      <c r="UVX270" s="22"/>
      <c r="UVY270" s="22"/>
      <c r="UVZ270" s="22"/>
      <c r="UWA270" s="22"/>
      <c r="UWB270" s="22"/>
      <c r="UWC270" s="22"/>
      <c r="UWD270" s="22"/>
      <c r="UWE270" s="22"/>
      <c r="UWF270" s="22"/>
      <c r="UWG270" s="22"/>
      <c r="UWH270" s="22"/>
      <c r="UWI270" s="22"/>
      <c r="UWJ270" s="22"/>
      <c r="UWK270" s="22"/>
      <c r="UWL270" s="22"/>
      <c r="UWM270" s="22"/>
      <c r="UWN270" s="22"/>
      <c r="UWO270" s="22"/>
      <c r="UWP270" s="22"/>
      <c r="UWQ270" s="22"/>
      <c r="UWR270" s="22"/>
      <c r="UWS270" s="22"/>
      <c r="UWT270" s="22"/>
      <c r="UWU270" s="22"/>
      <c r="UWV270" s="22"/>
      <c r="UWW270" s="22"/>
      <c r="UWX270" s="22"/>
      <c r="UWY270" s="22"/>
      <c r="UWZ270" s="22"/>
      <c r="UXA270" s="22"/>
      <c r="UXB270" s="22"/>
      <c r="UXC270" s="22"/>
      <c r="UXD270" s="22"/>
      <c r="UXE270" s="22"/>
      <c r="UXF270" s="22"/>
      <c r="UXG270" s="22"/>
      <c r="UXH270" s="22"/>
      <c r="UXI270" s="22"/>
      <c r="UXJ270" s="22"/>
      <c r="UXK270" s="22"/>
      <c r="UXL270" s="22"/>
      <c r="UXM270" s="22"/>
      <c r="UXN270" s="22"/>
      <c r="UXO270" s="22"/>
      <c r="UXP270" s="22"/>
      <c r="UXQ270" s="22"/>
      <c r="UXR270" s="22"/>
      <c r="UXS270" s="22"/>
      <c r="UXT270" s="22"/>
      <c r="UXU270" s="22"/>
      <c r="UXV270" s="22"/>
      <c r="UXW270" s="22"/>
      <c r="UXX270" s="22"/>
      <c r="UXY270" s="22"/>
      <c r="UXZ270" s="22"/>
      <c r="UYA270" s="22"/>
      <c r="UYB270" s="22"/>
      <c r="UYC270" s="22"/>
      <c r="UYD270" s="22"/>
      <c r="UYE270" s="22"/>
      <c r="UYF270" s="22"/>
      <c r="UYG270" s="22"/>
      <c r="UYH270" s="22"/>
      <c r="UYI270" s="22"/>
      <c r="UYJ270" s="22"/>
      <c r="UYK270" s="22"/>
      <c r="UYL270" s="22"/>
      <c r="UYM270" s="22"/>
      <c r="UYN270" s="22"/>
      <c r="UYO270" s="22"/>
      <c r="UYP270" s="22"/>
      <c r="UYQ270" s="22"/>
      <c r="UYR270" s="22"/>
      <c r="UYS270" s="22"/>
      <c r="UYT270" s="22"/>
      <c r="UYU270" s="22"/>
      <c r="UYV270" s="22"/>
      <c r="UYW270" s="22"/>
      <c r="UYX270" s="22"/>
      <c r="UYY270" s="22"/>
      <c r="UYZ270" s="22"/>
      <c r="UZA270" s="22"/>
      <c r="UZB270" s="22"/>
      <c r="UZC270" s="22"/>
      <c r="UZD270" s="22"/>
      <c r="UZE270" s="22"/>
      <c r="UZF270" s="22"/>
      <c r="UZG270" s="22"/>
      <c r="UZH270" s="22"/>
      <c r="UZI270" s="22"/>
      <c r="UZJ270" s="22"/>
      <c r="UZK270" s="22"/>
      <c r="UZL270" s="22"/>
      <c r="UZM270" s="22"/>
      <c r="UZN270" s="22"/>
      <c r="UZO270" s="22"/>
      <c r="UZP270" s="22"/>
      <c r="UZQ270" s="22"/>
      <c r="UZR270" s="22"/>
      <c r="UZS270" s="22"/>
      <c r="UZT270" s="22"/>
      <c r="UZU270" s="22"/>
      <c r="UZV270" s="22"/>
      <c r="UZW270" s="22"/>
      <c r="UZX270" s="22"/>
      <c r="UZY270" s="22"/>
      <c r="UZZ270" s="22"/>
      <c r="VAA270" s="22"/>
      <c r="VAB270" s="22"/>
      <c r="VAC270" s="22"/>
      <c r="VAD270" s="22"/>
      <c r="VAE270" s="22"/>
      <c r="VAF270" s="22"/>
      <c r="VAG270" s="22"/>
      <c r="VAH270" s="22"/>
      <c r="VAI270" s="22"/>
      <c r="VAJ270" s="22"/>
      <c r="VAK270" s="22"/>
      <c r="VAL270" s="22"/>
      <c r="VAM270" s="22"/>
      <c r="VAN270" s="22"/>
      <c r="VAO270" s="22"/>
      <c r="VAP270" s="22"/>
      <c r="VAQ270" s="22"/>
      <c r="VAR270" s="22"/>
      <c r="VAS270" s="22"/>
      <c r="VAT270" s="22"/>
      <c r="VAU270" s="22"/>
      <c r="VAV270" s="22"/>
      <c r="VAW270" s="22"/>
      <c r="VAX270" s="22"/>
      <c r="VAY270" s="22"/>
      <c r="VAZ270" s="22"/>
      <c r="VBA270" s="22"/>
      <c r="VBB270" s="22"/>
      <c r="VBC270" s="22"/>
      <c r="VBD270" s="22"/>
      <c r="VBE270" s="22"/>
      <c r="VBF270" s="22"/>
      <c r="VBG270" s="22"/>
      <c r="VBH270" s="22"/>
      <c r="VBI270" s="22"/>
      <c r="VBJ270" s="22"/>
      <c r="VBK270" s="22"/>
      <c r="VBL270" s="22"/>
      <c r="VBM270" s="22"/>
      <c r="VBN270" s="22"/>
      <c r="VBO270" s="22"/>
      <c r="VBP270" s="22"/>
      <c r="VBQ270" s="22"/>
      <c r="VBR270" s="22"/>
      <c r="VBS270" s="22"/>
      <c r="VBT270" s="22"/>
      <c r="VBU270" s="22"/>
      <c r="VBV270" s="22"/>
      <c r="VBW270" s="22"/>
      <c r="VBX270" s="22"/>
      <c r="VBY270" s="22"/>
      <c r="VBZ270" s="22"/>
      <c r="VCA270" s="22"/>
      <c r="VCB270" s="22"/>
      <c r="VCC270" s="22"/>
      <c r="VCD270" s="22"/>
      <c r="VCE270" s="22"/>
      <c r="VCF270" s="22"/>
      <c r="VCG270" s="22"/>
      <c r="VCH270" s="22"/>
      <c r="VCI270" s="22"/>
      <c r="VCJ270" s="22"/>
      <c r="VCK270" s="22"/>
      <c r="VCL270" s="22"/>
      <c r="VCM270" s="22"/>
      <c r="VCN270" s="22"/>
      <c r="VCO270" s="22"/>
      <c r="VCP270" s="22"/>
      <c r="VCQ270" s="22"/>
      <c r="VCR270" s="22"/>
      <c r="VCS270" s="22"/>
      <c r="VCT270" s="22"/>
      <c r="VCU270" s="22"/>
      <c r="VCV270" s="22"/>
      <c r="VCW270" s="22"/>
      <c r="VCX270" s="22"/>
      <c r="VCY270" s="22"/>
      <c r="VCZ270" s="22"/>
      <c r="VDA270" s="22"/>
      <c r="VDB270" s="22"/>
      <c r="VDC270" s="22"/>
      <c r="VDD270" s="22"/>
      <c r="VDE270" s="22"/>
      <c r="VDF270" s="22"/>
      <c r="VDG270" s="22"/>
      <c r="VDH270" s="22"/>
      <c r="VDI270" s="22"/>
      <c r="VDJ270" s="22"/>
      <c r="VDK270" s="22"/>
      <c r="VDL270" s="22"/>
      <c r="VDM270" s="22"/>
      <c r="VDN270" s="22"/>
      <c r="VDO270" s="22"/>
      <c r="VDP270" s="22"/>
      <c r="VDQ270" s="22"/>
      <c r="VDR270" s="22"/>
      <c r="VDS270" s="22"/>
      <c r="VDT270" s="22"/>
      <c r="VDU270" s="22"/>
      <c r="VDV270" s="22"/>
      <c r="VDW270" s="22"/>
      <c r="VDX270" s="22"/>
      <c r="VDY270" s="22"/>
      <c r="VDZ270" s="22"/>
      <c r="VEA270" s="22"/>
      <c r="VEB270" s="22"/>
      <c r="VEC270" s="22"/>
      <c r="VED270" s="22"/>
      <c r="VEE270" s="22"/>
      <c r="VEF270" s="22"/>
      <c r="VEG270" s="22"/>
      <c r="VEH270" s="22"/>
      <c r="VEI270" s="22"/>
      <c r="VEJ270" s="22"/>
      <c r="VEK270" s="22"/>
      <c r="VEL270" s="22"/>
      <c r="VEM270" s="22"/>
      <c r="VEN270" s="22"/>
      <c r="VEO270" s="22"/>
      <c r="VEP270" s="22"/>
      <c r="VEQ270" s="22"/>
      <c r="VER270" s="22"/>
      <c r="VES270" s="22"/>
      <c r="VET270" s="22"/>
      <c r="VEU270" s="22"/>
      <c r="VEV270" s="22"/>
      <c r="VEW270" s="22"/>
      <c r="VEX270" s="22"/>
      <c r="VEY270" s="22"/>
      <c r="VEZ270" s="22"/>
      <c r="VFA270" s="22"/>
      <c r="VFB270" s="22"/>
      <c r="VFC270" s="22"/>
      <c r="VFD270" s="22"/>
      <c r="VFE270" s="22"/>
      <c r="VFF270" s="22"/>
      <c r="VFG270" s="22"/>
      <c r="VFH270" s="22"/>
      <c r="VFI270" s="22"/>
      <c r="VFJ270" s="22"/>
      <c r="VFK270" s="22"/>
      <c r="VFL270" s="22"/>
      <c r="VFM270" s="22"/>
      <c r="VFN270" s="22"/>
      <c r="VFO270" s="22"/>
      <c r="VFP270" s="22"/>
      <c r="VFQ270" s="22"/>
      <c r="VFR270" s="22"/>
      <c r="VFS270" s="22"/>
      <c r="VFT270" s="22"/>
      <c r="VFU270" s="22"/>
      <c r="VFV270" s="22"/>
      <c r="VFW270" s="22"/>
      <c r="VFX270" s="22"/>
      <c r="VFY270" s="22"/>
      <c r="VFZ270" s="22"/>
      <c r="VGA270" s="22"/>
      <c r="VGB270" s="22"/>
      <c r="VGC270" s="22"/>
      <c r="VGD270" s="22"/>
      <c r="VGE270" s="22"/>
      <c r="VGF270" s="22"/>
      <c r="VGG270" s="22"/>
      <c r="VGH270" s="22"/>
      <c r="VGI270" s="22"/>
      <c r="VGJ270" s="22"/>
      <c r="VGK270" s="22"/>
      <c r="VGL270" s="22"/>
      <c r="VGM270" s="22"/>
      <c r="VGN270" s="22"/>
      <c r="VGO270" s="22"/>
      <c r="VGP270" s="22"/>
      <c r="VGQ270" s="22"/>
      <c r="VGR270" s="22"/>
      <c r="VGS270" s="22"/>
      <c r="VGT270" s="22"/>
      <c r="VGU270" s="22"/>
      <c r="VGV270" s="22"/>
      <c r="VGW270" s="22"/>
      <c r="VGX270" s="22"/>
      <c r="VGY270" s="22"/>
      <c r="VGZ270" s="22"/>
      <c r="VHA270" s="22"/>
      <c r="VHB270" s="22"/>
      <c r="VHC270" s="22"/>
      <c r="VHD270" s="22"/>
      <c r="VHE270" s="22"/>
      <c r="VHF270" s="22"/>
      <c r="VHG270" s="22"/>
      <c r="VHH270" s="22"/>
      <c r="VHI270" s="22"/>
      <c r="VHJ270" s="22"/>
      <c r="VHK270" s="22"/>
      <c r="VHL270" s="22"/>
      <c r="VHM270" s="22"/>
      <c r="VHN270" s="22"/>
      <c r="VHO270" s="22"/>
      <c r="VHP270" s="22"/>
      <c r="VHQ270" s="22"/>
      <c r="VHR270" s="22"/>
      <c r="VHS270" s="22"/>
      <c r="VHT270" s="22"/>
      <c r="VHU270" s="22"/>
      <c r="VHV270" s="22"/>
      <c r="VHW270" s="22"/>
      <c r="VHX270" s="22"/>
      <c r="VHY270" s="22"/>
      <c r="VHZ270" s="22"/>
      <c r="VIA270" s="22"/>
      <c r="VIB270" s="22"/>
      <c r="VIC270" s="22"/>
      <c r="VID270" s="22"/>
      <c r="VIE270" s="22"/>
      <c r="VIF270" s="22"/>
      <c r="VIG270" s="22"/>
      <c r="VIH270" s="22"/>
      <c r="VII270" s="22"/>
      <c r="VIJ270" s="22"/>
      <c r="VIK270" s="22"/>
      <c r="VIL270" s="22"/>
      <c r="VIM270" s="22"/>
      <c r="VIN270" s="22"/>
      <c r="VIO270" s="22"/>
      <c r="VIP270" s="22"/>
      <c r="VIQ270" s="22"/>
      <c r="VIR270" s="22"/>
      <c r="VIS270" s="22"/>
      <c r="VIT270" s="22"/>
      <c r="VIU270" s="22"/>
      <c r="VIV270" s="22"/>
      <c r="VIW270" s="22"/>
      <c r="VIX270" s="22"/>
      <c r="VIY270" s="22"/>
      <c r="VIZ270" s="22"/>
      <c r="VJA270" s="22"/>
      <c r="VJB270" s="22"/>
      <c r="VJC270" s="22"/>
      <c r="VJD270" s="22"/>
      <c r="VJE270" s="22"/>
      <c r="VJF270" s="22"/>
      <c r="VJG270" s="22"/>
      <c r="VJH270" s="22"/>
      <c r="VJI270" s="22"/>
      <c r="VJJ270" s="22"/>
      <c r="VJK270" s="22"/>
      <c r="VJL270" s="22"/>
      <c r="VJM270" s="22"/>
      <c r="VJN270" s="22"/>
      <c r="VJO270" s="22"/>
      <c r="VJP270" s="22"/>
      <c r="VJQ270" s="22"/>
      <c r="VJR270" s="22"/>
      <c r="VJS270" s="22"/>
      <c r="VJT270" s="22"/>
      <c r="VJU270" s="22"/>
      <c r="VJV270" s="22"/>
      <c r="VJW270" s="22"/>
      <c r="VJX270" s="22"/>
      <c r="VJY270" s="22"/>
      <c r="VJZ270" s="22"/>
      <c r="VKA270" s="22"/>
      <c r="VKB270" s="22"/>
      <c r="VKC270" s="22"/>
      <c r="VKD270" s="22"/>
      <c r="VKE270" s="22"/>
      <c r="VKF270" s="22"/>
      <c r="VKG270" s="22"/>
      <c r="VKH270" s="22"/>
      <c r="VKI270" s="22"/>
      <c r="VKJ270" s="22"/>
      <c r="VKK270" s="22"/>
      <c r="VKL270" s="22"/>
      <c r="VKM270" s="22"/>
      <c r="VKN270" s="22"/>
      <c r="VKO270" s="22"/>
      <c r="VKP270" s="22"/>
      <c r="VKQ270" s="22"/>
      <c r="VKR270" s="22"/>
      <c r="VKS270" s="22"/>
      <c r="VKT270" s="22"/>
      <c r="VKU270" s="22"/>
      <c r="VKV270" s="22"/>
      <c r="VKW270" s="22"/>
      <c r="VKX270" s="22"/>
      <c r="VKY270" s="22"/>
      <c r="VKZ270" s="22"/>
      <c r="VLA270" s="22"/>
      <c r="VLB270" s="22"/>
      <c r="VLC270" s="22"/>
      <c r="VLD270" s="22"/>
      <c r="VLE270" s="22"/>
      <c r="VLF270" s="22"/>
      <c r="VLG270" s="22"/>
      <c r="VLH270" s="22"/>
      <c r="VLI270" s="22"/>
      <c r="VLJ270" s="22"/>
      <c r="VLK270" s="22"/>
      <c r="VLL270" s="22"/>
      <c r="VLM270" s="22"/>
      <c r="VLN270" s="22"/>
      <c r="VLO270" s="22"/>
      <c r="VLP270" s="22"/>
      <c r="VLQ270" s="22"/>
      <c r="VLR270" s="22"/>
      <c r="VLS270" s="22"/>
      <c r="VLT270" s="22"/>
      <c r="VLU270" s="22"/>
      <c r="VLV270" s="22"/>
      <c r="VLW270" s="22"/>
      <c r="VLX270" s="22"/>
      <c r="VLY270" s="22"/>
      <c r="VLZ270" s="22"/>
      <c r="VMA270" s="22"/>
      <c r="VMB270" s="22"/>
      <c r="VMC270" s="22"/>
      <c r="VMD270" s="22"/>
      <c r="VME270" s="22"/>
      <c r="VMF270" s="22"/>
      <c r="VMG270" s="22"/>
      <c r="VMH270" s="22"/>
      <c r="VMI270" s="22"/>
      <c r="VMJ270" s="22"/>
      <c r="VMK270" s="22"/>
      <c r="VML270" s="22"/>
      <c r="VMM270" s="22"/>
      <c r="VMN270" s="22"/>
      <c r="VMO270" s="22"/>
      <c r="VMP270" s="22"/>
      <c r="VMQ270" s="22"/>
      <c r="VMR270" s="22"/>
      <c r="VMS270" s="22"/>
      <c r="VMT270" s="22"/>
      <c r="VMU270" s="22"/>
      <c r="VMV270" s="22"/>
      <c r="VMW270" s="22"/>
      <c r="VMX270" s="22"/>
      <c r="VMY270" s="22"/>
      <c r="VMZ270" s="22"/>
      <c r="VNA270" s="22"/>
      <c r="VNB270" s="22"/>
      <c r="VNC270" s="22"/>
      <c r="VND270" s="22"/>
      <c r="VNE270" s="22"/>
      <c r="VNF270" s="22"/>
      <c r="VNG270" s="22"/>
      <c r="VNH270" s="22"/>
      <c r="VNI270" s="22"/>
      <c r="VNJ270" s="22"/>
      <c r="VNK270" s="22"/>
      <c r="VNL270" s="22"/>
      <c r="VNM270" s="22"/>
      <c r="VNN270" s="22"/>
      <c r="VNO270" s="22"/>
      <c r="VNP270" s="22"/>
      <c r="VNQ270" s="22"/>
      <c r="VNR270" s="22"/>
      <c r="VNS270" s="22"/>
      <c r="VNT270" s="22"/>
      <c r="VNU270" s="22"/>
      <c r="VNV270" s="22"/>
      <c r="VNW270" s="22"/>
      <c r="VNX270" s="22"/>
      <c r="VNY270" s="22"/>
      <c r="VNZ270" s="22"/>
      <c r="VOA270" s="22"/>
      <c r="VOB270" s="22"/>
      <c r="VOC270" s="22"/>
      <c r="VOD270" s="22"/>
      <c r="VOE270" s="22"/>
      <c r="VOF270" s="22"/>
      <c r="VOG270" s="22"/>
      <c r="VOH270" s="22"/>
      <c r="VOI270" s="22"/>
      <c r="VOJ270" s="22"/>
      <c r="VOK270" s="22"/>
      <c r="VOL270" s="22"/>
      <c r="VOM270" s="22"/>
      <c r="VON270" s="22"/>
      <c r="VOO270" s="22"/>
      <c r="VOP270" s="22"/>
      <c r="VOQ270" s="22"/>
      <c r="VOR270" s="22"/>
      <c r="VOS270" s="22"/>
      <c r="VOT270" s="22"/>
      <c r="VOU270" s="22"/>
      <c r="VOV270" s="22"/>
      <c r="VOW270" s="22"/>
      <c r="VOX270" s="22"/>
      <c r="VOY270" s="22"/>
      <c r="VOZ270" s="22"/>
      <c r="VPA270" s="22"/>
      <c r="VPB270" s="22"/>
      <c r="VPC270" s="22"/>
      <c r="VPD270" s="22"/>
      <c r="VPE270" s="22"/>
      <c r="VPF270" s="22"/>
      <c r="VPG270" s="22"/>
      <c r="VPH270" s="22"/>
      <c r="VPI270" s="22"/>
      <c r="VPJ270" s="22"/>
      <c r="VPK270" s="22"/>
      <c r="VPL270" s="22"/>
      <c r="VPM270" s="22"/>
      <c r="VPN270" s="22"/>
      <c r="VPO270" s="22"/>
      <c r="VPP270" s="22"/>
      <c r="VPQ270" s="22"/>
      <c r="VPR270" s="22"/>
      <c r="VPS270" s="22"/>
      <c r="VPT270" s="22"/>
      <c r="VPU270" s="22"/>
      <c r="VPV270" s="22"/>
      <c r="VPW270" s="22"/>
      <c r="VPX270" s="22"/>
      <c r="VPY270" s="22"/>
      <c r="VPZ270" s="22"/>
      <c r="VQA270" s="22"/>
      <c r="VQB270" s="22"/>
      <c r="VQC270" s="22"/>
      <c r="VQD270" s="22"/>
      <c r="VQE270" s="22"/>
      <c r="VQF270" s="22"/>
      <c r="VQG270" s="22"/>
      <c r="VQH270" s="22"/>
      <c r="VQI270" s="22"/>
      <c r="VQJ270" s="22"/>
      <c r="VQK270" s="22"/>
      <c r="VQL270" s="22"/>
      <c r="VQM270" s="22"/>
      <c r="VQN270" s="22"/>
      <c r="VQO270" s="22"/>
      <c r="VQP270" s="22"/>
      <c r="VQQ270" s="22"/>
      <c r="VQR270" s="22"/>
      <c r="VQS270" s="22"/>
      <c r="VQT270" s="22"/>
      <c r="VQU270" s="22"/>
      <c r="VQV270" s="22"/>
      <c r="VQW270" s="22"/>
      <c r="VQX270" s="22"/>
      <c r="VQY270" s="22"/>
      <c r="VQZ270" s="22"/>
      <c r="VRA270" s="22"/>
      <c r="VRB270" s="22"/>
      <c r="VRC270" s="22"/>
      <c r="VRD270" s="22"/>
      <c r="VRE270" s="22"/>
      <c r="VRF270" s="22"/>
      <c r="VRG270" s="22"/>
      <c r="VRH270" s="22"/>
      <c r="VRI270" s="22"/>
      <c r="VRJ270" s="22"/>
      <c r="VRK270" s="22"/>
      <c r="VRL270" s="22"/>
      <c r="VRM270" s="22"/>
      <c r="VRN270" s="22"/>
      <c r="VRO270" s="22"/>
      <c r="VRP270" s="22"/>
      <c r="VRQ270" s="22"/>
      <c r="VRR270" s="22"/>
      <c r="VRS270" s="22"/>
      <c r="VRT270" s="22"/>
      <c r="VRU270" s="22"/>
      <c r="VRV270" s="22"/>
      <c r="VRW270" s="22"/>
      <c r="VRX270" s="22"/>
      <c r="VRY270" s="22"/>
      <c r="VRZ270" s="22"/>
      <c r="VSA270" s="22"/>
      <c r="VSB270" s="22"/>
      <c r="VSC270" s="22"/>
      <c r="VSD270" s="22"/>
      <c r="VSE270" s="22"/>
      <c r="VSF270" s="22"/>
      <c r="VSG270" s="22"/>
      <c r="VSH270" s="22"/>
      <c r="VSI270" s="22"/>
      <c r="VSJ270" s="22"/>
      <c r="VSK270" s="22"/>
      <c r="VSL270" s="22"/>
      <c r="VSM270" s="22"/>
      <c r="VSN270" s="22"/>
      <c r="VSO270" s="22"/>
      <c r="VSP270" s="22"/>
      <c r="VSQ270" s="22"/>
      <c r="VSR270" s="22"/>
      <c r="VSS270" s="22"/>
      <c r="VST270" s="22"/>
      <c r="VSU270" s="22"/>
      <c r="VSV270" s="22"/>
      <c r="VSW270" s="22"/>
      <c r="VSX270" s="22"/>
      <c r="VSY270" s="22"/>
      <c r="VSZ270" s="22"/>
      <c r="VTA270" s="22"/>
      <c r="VTB270" s="22"/>
      <c r="VTC270" s="22"/>
      <c r="VTD270" s="22"/>
      <c r="VTE270" s="22"/>
      <c r="VTF270" s="22"/>
      <c r="VTG270" s="22"/>
      <c r="VTH270" s="22"/>
      <c r="VTI270" s="22"/>
      <c r="VTJ270" s="22"/>
      <c r="VTK270" s="22"/>
      <c r="VTL270" s="22"/>
      <c r="VTM270" s="22"/>
      <c r="VTN270" s="22"/>
      <c r="VTO270" s="22"/>
      <c r="VTP270" s="22"/>
      <c r="VTQ270" s="22"/>
      <c r="VTR270" s="22"/>
      <c r="VTS270" s="22"/>
      <c r="VTT270" s="22"/>
      <c r="VTU270" s="22"/>
      <c r="VTV270" s="22"/>
      <c r="VTW270" s="22"/>
      <c r="VTX270" s="22"/>
      <c r="VTY270" s="22"/>
      <c r="VTZ270" s="22"/>
      <c r="VUA270" s="22"/>
      <c r="VUB270" s="22"/>
      <c r="VUC270" s="22"/>
      <c r="VUD270" s="22"/>
      <c r="VUE270" s="22"/>
      <c r="VUF270" s="22"/>
      <c r="VUG270" s="22"/>
      <c r="VUH270" s="22"/>
      <c r="VUI270" s="22"/>
      <c r="VUJ270" s="22"/>
      <c r="VUK270" s="22"/>
      <c r="VUL270" s="22"/>
      <c r="VUM270" s="22"/>
      <c r="VUN270" s="22"/>
      <c r="VUO270" s="22"/>
      <c r="VUP270" s="22"/>
      <c r="VUQ270" s="22"/>
      <c r="VUR270" s="22"/>
      <c r="VUS270" s="22"/>
      <c r="VUT270" s="22"/>
      <c r="VUU270" s="22"/>
      <c r="VUV270" s="22"/>
      <c r="VUW270" s="22"/>
      <c r="VUX270" s="22"/>
      <c r="VUY270" s="22"/>
      <c r="VUZ270" s="22"/>
      <c r="VVA270" s="22"/>
      <c r="VVB270" s="22"/>
      <c r="VVC270" s="22"/>
      <c r="VVD270" s="22"/>
      <c r="VVE270" s="22"/>
      <c r="VVF270" s="22"/>
      <c r="VVG270" s="22"/>
      <c r="VVH270" s="22"/>
      <c r="VVI270" s="22"/>
      <c r="VVJ270" s="22"/>
      <c r="VVK270" s="22"/>
      <c r="VVL270" s="22"/>
      <c r="VVM270" s="22"/>
      <c r="VVN270" s="22"/>
      <c r="VVO270" s="22"/>
      <c r="VVP270" s="22"/>
      <c r="VVQ270" s="22"/>
      <c r="VVR270" s="22"/>
      <c r="VVS270" s="22"/>
      <c r="VVT270" s="22"/>
      <c r="VVU270" s="22"/>
      <c r="VVV270" s="22"/>
      <c r="VVW270" s="22"/>
      <c r="VVX270" s="22"/>
      <c r="VVY270" s="22"/>
      <c r="VVZ270" s="22"/>
      <c r="VWA270" s="22"/>
      <c r="VWB270" s="22"/>
      <c r="VWC270" s="22"/>
      <c r="VWD270" s="22"/>
      <c r="VWE270" s="22"/>
      <c r="VWF270" s="22"/>
      <c r="VWG270" s="22"/>
      <c r="VWH270" s="22"/>
      <c r="VWI270" s="22"/>
      <c r="VWJ270" s="22"/>
      <c r="VWK270" s="22"/>
      <c r="VWL270" s="22"/>
      <c r="VWM270" s="22"/>
      <c r="VWN270" s="22"/>
      <c r="VWO270" s="22"/>
      <c r="VWP270" s="22"/>
      <c r="VWQ270" s="22"/>
      <c r="VWR270" s="22"/>
      <c r="VWS270" s="22"/>
      <c r="VWT270" s="22"/>
      <c r="VWU270" s="22"/>
      <c r="VWV270" s="22"/>
      <c r="VWW270" s="22"/>
      <c r="VWX270" s="22"/>
      <c r="VWY270" s="22"/>
      <c r="VWZ270" s="22"/>
      <c r="VXA270" s="22"/>
      <c r="VXB270" s="22"/>
      <c r="VXC270" s="22"/>
      <c r="VXD270" s="22"/>
      <c r="VXE270" s="22"/>
      <c r="VXF270" s="22"/>
      <c r="VXG270" s="22"/>
      <c r="VXH270" s="22"/>
      <c r="VXI270" s="22"/>
      <c r="VXJ270" s="22"/>
      <c r="VXK270" s="22"/>
      <c r="VXL270" s="22"/>
      <c r="VXM270" s="22"/>
      <c r="VXN270" s="22"/>
      <c r="VXO270" s="22"/>
      <c r="VXP270" s="22"/>
      <c r="VXQ270" s="22"/>
      <c r="VXR270" s="22"/>
      <c r="VXS270" s="22"/>
      <c r="VXT270" s="22"/>
      <c r="VXU270" s="22"/>
      <c r="VXV270" s="22"/>
      <c r="VXW270" s="22"/>
      <c r="VXX270" s="22"/>
      <c r="VXY270" s="22"/>
      <c r="VXZ270" s="22"/>
      <c r="VYA270" s="22"/>
      <c r="VYB270" s="22"/>
      <c r="VYC270" s="22"/>
      <c r="VYD270" s="22"/>
      <c r="VYE270" s="22"/>
      <c r="VYF270" s="22"/>
      <c r="VYG270" s="22"/>
      <c r="VYH270" s="22"/>
      <c r="VYI270" s="22"/>
      <c r="VYJ270" s="22"/>
      <c r="VYK270" s="22"/>
      <c r="VYL270" s="22"/>
      <c r="VYM270" s="22"/>
      <c r="VYN270" s="22"/>
      <c r="VYO270" s="22"/>
      <c r="VYP270" s="22"/>
      <c r="VYQ270" s="22"/>
      <c r="VYR270" s="22"/>
      <c r="VYS270" s="22"/>
      <c r="VYT270" s="22"/>
      <c r="VYU270" s="22"/>
      <c r="VYV270" s="22"/>
      <c r="VYW270" s="22"/>
      <c r="VYX270" s="22"/>
      <c r="VYY270" s="22"/>
      <c r="VYZ270" s="22"/>
      <c r="VZA270" s="22"/>
      <c r="VZB270" s="22"/>
      <c r="VZC270" s="22"/>
      <c r="VZD270" s="22"/>
      <c r="VZE270" s="22"/>
      <c r="VZF270" s="22"/>
      <c r="VZG270" s="22"/>
      <c r="VZH270" s="22"/>
      <c r="VZI270" s="22"/>
      <c r="VZJ270" s="22"/>
      <c r="VZK270" s="22"/>
      <c r="VZL270" s="22"/>
      <c r="VZM270" s="22"/>
      <c r="VZN270" s="22"/>
      <c r="VZO270" s="22"/>
      <c r="VZP270" s="22"/>
      <c r="VZQ270" s="22"/>
      <c r="VZR270" s="22"/>
      <c r="VZS270" s="22"/>
      <c r="VZT270" s="22"/>
      <c r="VZU270" s="22"/>
      <c r="VZV270" s="22"/>
      <c r="VZW270" s="22"/>
      <c r="VZX270" s="22"/>
      <c r="VZY270" s="22"/>
      <c r="VZZ270" s="22"/>
      <c r="WAA270" s="22"/>
      <c r="WAB270" s="22"/>
      <c r="WAC270" s="22"/>
      <c r="WAD270" s="22"/>
      <c r="WAE270" s="22"/>
      <c r="WAF270" s="22"/>
      <c r="WAG270" s="22"/>
      <c r="WAH270" s="22"/>
      <c r="WAI270" s="22"/>
      <c r="WAJ270" s="22"/>
      <c r="WAK270" s="22"/>
      <c r="WAL270" s="22"/>
      <c r="WAM270" s="22"/>
      <c r="WAN270" s="22"/>
      <c r="WAO270" s="22"/>
      <c r="WAP270" s="22"/>
      <c r="WAQ270" s="22"/>
      <c r="WAR270" s="22"/>
      <c r="WAS270" s="22"/>
      <c r="WAT270" s="22"/>
      <c r="WAU270" s="22"/>
      <c r="WAV270" s="22"/>
      <c r="WAW270" s="22"/>
      <c r="WAX270" s="22"/>
      <c r="WAY270" s="22"/>
      <c r="WAZ270" s="22"/>
      <c r="WBA270" s="22"/>
      <c r="WBB270" s="22"/>
      <c r="WBC270" s="22"/>
      <c r="WBD270" s="22"/>
      <c r="WBE270" s="22"/>
      <c r="WBF270" s="22"/>
      <c r="WBG270" s="22"/>
      <c r="WBH270" s="22"/>
      <c r="WBI270" s="22"/>
      <c r="WBJ270" s="22"/>
      <c r="WBK270" s="22"/>
      <c r="WBL270" s="22"/>
      <c r="WBM270" s="22"/>
      <c r="WBN270" s="22"/>
      <c r="WBO270" s="22"/>
      <c r="WBP270" s="22"/>
      <c r="WBQ270" s="22"/>
      <c r="WBR270" s="22"/>
      <c r="WBS270" s="22"/>
      <c r="WBT270" s="22"/>
      <c r="WBU270" s="22"/>
      <c r="WBV270" s="22"/>
      <c r="WBW270" s="22"/>
      <c r="WBX270" s="22"/>
      <c r="WBY270" s="22"/>
      <c r="WBZ270" s="22"/>
      <c r="WCA270" s="22"/>
      <c r="WCB270" s="22"/>
      <c r="WCC270" s="22"/>
      <c r="WCD270" s="22"/>
      <c r="WCE270" s="22"/>
      <c r="WCF270" s="22"/>
      <c r="WCG270" s="22"/>
      <c r="WCH270" s="22"/>
      <c r="WCI270" s="22"/>
      <c r="WCJ270" s="22"/>
      <c r="WCK270" s="22"/>
      <c r="WCL270" s="22"/>
      <c r="WCM270" s="22"/>
      <c r="WCN270" s="22"/>
      <c r="WCO270" s="22"/>
      <c r="WCP270" s="22"/>
      <c r="WCQ270" s="22"/>
      <c r="WCR270" s="22"/>
      <c r="WCS270" s="22"/>
      <c r="WCT270" s="22"/>
      <c r="WCU270" s="22"/>
      <c r="WCV270" s="22"/>
      <c r="WCW270" s="22"/>
      <c r="WCX270" s="22"/>
      <c r="WCY270" s="22"/>
      <c r="WCZ270" s="22"/>
      <c r="WDA270" s="22"/>
      <c r="WDB270" s="22"/>
      <c r="WDC270" s="22"/>
      <c r="WDD270" s="22"/>
      <c r="WDE270" s="22"/>
      <c r="WDF270" s="22"/>
      <c r="WDG270" s="22"/>
      <c r="WDH270" s="22"/>
      <c r="WDI270" s="22"/>
      <c r="WDJ270" s="22"/>
      <c r="WDK270" s="22"/>
      <c r="WDL270" s="22"/>
      <c r="WDM270" s="22"/>
      <c r="WDN270" s="22"/>
      <c r="WDO270" s="22"/>
      <c r="WDP270" s="22"/>
      <c r="WDQ270" s="22"/>
      <c r="WDR270" s="22"/>
      <c r="WDS270" s="22"/>
      <c r="WDT270" s="22"/>
      <c r="WDU270" s="22"/>
      <c r="WDV270" s="22"/>
      <c r="WDW270" s="22"/>
      <c r="WDX270" s="22"/>
      <c r="WDY270" s="22"/>
      <c r="WDZ270" s="22"/>
      <c r="WEA270" s="22"/>
      <c r="WEB270" s="22"/>
      <c r="WEC270" s="22"/>
      <c r="WED270" s="22"/>
      <c r="WEE270" s="22"/>
      <c r="WEF270" s="22"/>
      <c r="WEG270" s="22"/>
      <c r="WEH270" s="22"/>
      <c r="WEI270" s="22"/>
      <c r="WEJ270" s="22"/>
      <c r="WEK270" s="22"/>
      <c r="WEL270" s="22"/>
      <c r="WEM270" s="22"/>
      <c r="WEN270" s="22"/>
      <c r="WEO270" s="22"/>
      <c r="WEP270" s="22"/>
      <c r="WEQ270" s="22"/>
      <c r="WER270" s="22"/>
      <c r="WES270" s="22"/>
      <c r="WET270" s="22"/>
      <c r="WEU270" s="22"/>
      <c r="WEV270" s="22"/>
      <c r="WEW270" s="22"/>
      <c r="WEX270" s="22"/>
      <c r="WEY270" s="22"/>
      <c r="WEZ270" s="22"/>
      <c r="WFA270" s="22"/>
      <c r="WFB270" s="22"/>
      <c r="WFC270" s="22"/>
      <c r="WFD270" s="22"/>
      <c r="WFE270" s="22"/>
      <c r="WFF270" s="22"/>
      <c r="WFG270" s="22"/>
      <c r="WFH270" s="22"/>
      <c r="WFI270" s="22"/>
      <c r="WFJ270" s="22"/>
      <c r="WFK270" s="22"/>
      <c r="WFL270" s="22"/>
      <c r="WFM270" s="22"/>
      <c r="WFN270" s="22"/>
      <c r="WFO270" s="22"/>
      <c r="WFP270" s="22"/>
      <c r="WFQ270" s="22"/>
      <c r="WFR270" s="22"/>
      <c r="WFS270" s="22"/>
      <c r="WFT270" s="22"/>
      <c r="WFU270" s="22"/>
      <c r="WFV270" s="22"/>
      <c r="WFW270" s="22"/>
      <c r="WFX270" s="22"/>
      <c r="WFY270" s="22"/>
      <c r="WFZ270" s="22"/>
      <c r="WGA270" s="22"/>
      <c r="WGB270" s="22"/>
      <c r="WGC270" s="22"/>
      <c r="WGD270" s="22"/>
      <c r="WGE270" s="22"/>
      <c r="WGF270" s="22"/>
      <c r="WGG270" s="22"/>
      <c r="WGH270" s="22"/>
      <c r="WGI270" s="22"/>
      <c r="WGJ270" s="22"/>
      <c r="WGK270" s="22"/>
      <c r="WGL270" s="22"/>
      <c r="WGM270" s="22"/>
      <c r="WGN270" s="22"/>
      <c r="WGO270" s="22"/>
      <c r="WGP270" s="22"/>
      <c r="WGQ270" s="22"/>
      <c r="WGR270" s="22"/>
      <c r="WGS270" s="22"/>
      <c r="WGT270" s="22"/>
      <c r="WGU270" s="22"/>
      <c r="WGV270" s="22"/>
      <c r="WGW270" s="22"/>
      <c r="WGX270" s="22"/>
      <c r="WGY270" s="22"/>
      <c r="WGZ270" s="22"/>
      <c r="WHA270" s="22"/>
      <c r="WHB270" s="22"/>
      <c r="WHC270" s="22"/>
      <c r="WHD270" s="22"/>
      <c r="WHE270" s="22"/>
      <c r="WHF270" s="22"/>
      <c r="WHG270" s="22"/>
      <c r="WHH270" s="22"/>
      <c r="WHI270" s="22"/>
      <c r="WHJ270" s="22"/>
      <c r="WHK270" s="22"/>
      <c r="WHL270" s="22"/>
      <c r="WHM270" s="22"/>
      <c r="WHN270" s="22"/>
      <c r="WHO270" s="22"/>
      <c r="WHP270" s="22"/>
      <c r="WHQ270" s="22"/>
      <c r="WHR270" s="22"/>
      <c r="WHS270" s="22"/>
      <c r="WHT270" s="22"/>
      <c r="WHU270" s="22"/>
      <c r="WHV270" s="22"/>
      <c r="WHW270" s="22"/>
      <c r="WHX270" s="22"/>
      <c r="WHY270" s="22"/>
      <c r="WHZ270" s="22"/>
      <c r="WIA270" s="22"/>
      <c r="WIB270" s="22"/>
      <c r="WIC270" s="22"/>
      <c r="WID270" s="22"/>
      <c r="WIE270" s="22"/>
      <c r="WIF270" s="22"/>
      <c r="WIG270" s="22"/>
      <c r="WIH270" s="22"/>
      <c r="WII270" s="22"/>
      <c r="WIJ270" s="22"/>
      <c r="WIK270" s="22"/>
      <c r="WIL270" s="22"/>
      <c r="WIM270" s="22"/>
      <c r="WIN270" s="22"/>
      <c r="WIO270" s="22"/>
      <c r="WIP270" s="22"/>
      <c r="WIQ270" s="22"/>
      <c r="WIR270" s="22"/>
      <c r="WIS270" s="22"/>
      <c r="WIT270" s="22"/>
      <c r="WIU270" s="22"/>
      <c r="WIV270" s="22"/>
      <c r="WIW270" s="22"/>
      <c r="WIX270" s="22"/>
      <c r="WIY270" s="22"/>
      <c r="WIZ270" s="22"/>
      <c r="WJA270" s="22"/>
      <c r="WJB270" s="22"/>
      <c r="WJC270" s="22"/>
      <c r="WJD270" s="22"/>
      <c r="WJE270" s="22"/>
      <c r="WJF270" s="22"/>
      <c r="WJG270" s="22"/>
      <c r="WJH270" s="22"/>
      <c r="WJI270" s="22"/>
      <c r="WJJ270" s="22"/>
      <c r="WJK270" s="22"/>
      <c r="WJL270" s="22"/>
      <c r="WJM270" s="22"/>
      <c r="WJN270" s="22"/>
      <c r="WJO270" s="22"/>
      <c r="WJP270" s="22"/>
      <c r="WJQ270" s="22"/>
      <c r="WJR270" s="22"/>
      <c r="WJS270" s="22"/>
      <c r="WJT270" s="22"/>
      <c r="WJU270" s="22"/>
      <c r="WJV270" s="22"/>
      <c r="WJW270" s="22"/>
      <c r="WJX270" s="22"/>
      <c r="WJY270" s="22"/>
      <c r="WJZ270" s="22"/>
      <c r="WKA270" s="22"/>
      <c r="WKB270" s="22"/>
      <c r="WKC270" s="22"/>
      <c r="WKD270" s="22"/>
      <c r="WKE270" s="22"/>
      <c r="WKF270" s="22"/>
      <c r="WKG270" s="22"/>
      <c r="WKH270" s="22"/>
      <c r="WKI270" s="22"/>
      <c r="WKJ270" s="22"/>
      <c r="WKK270" s="22"/>
      <c r="WKL270" s="22"/>
      <c r="WKM270" s="22"/>
      <c r="WKN270" s="22"/>
      <c r="WKO270" s="22"/>
      <c r="WKP270" s="22"/>
      <c r="WKQ270" s="22"/>
      <c r="WKR270" s="22"/>
      <c r="WKS270" s="22"/>
      <c r="WKT270" s="22"/>
      <c r="WKU270" s="22"/>
      <c r="WKV270" s="22"/>
      <c r="WKW270" s="22"/>
      <c r="WKX270" s="22"/>
      <c r="WKY270" s="22"/>
      <c r="WKZ270" s="22"/>
      <c r="WLA270" s="22"/>
      <c r="WLB270" s="22"/>
      <c r="WLC270" s="22"/>
      <c r="WLD270" s="22"/>
      <c r="WLE270" s="22"/>
      <c r="WLF270" s="22"/>
      <c r="WLG270" s="22"/>
      <c r="WLH270" s="22"/>
      <c r="WLI270" s="22"/>
      <c r="WLJ270" s="22"/>
      <c r="WLK270" s="22"/>
      <c r="WLL270" s="22"/>
      <c r="WLM270" s="22"/>
      <c r="WLN270" s="22"/>
      <c r="WLO270" s="22"/>
      <c r="WLP270" s="22"/>
      <c r="WLQ270" s="22"/>
      <c r="WLR270" s="22"/>
      <c r="WLS270" s="22"/>
      <c r="WLT270" s="22"/>
      <c r="WLU270" s="22"/>
      <c r="WLV270" s="22"/>
      <c r="WLW270" s="22"/>
      <c r="WLX270" s="22"/>
      <c r="WLY270" s="22"/>
      <c r="WLZ270" s="22"/>
      <c r="WMA270" s="22"/>
      <c r="WMB270" s="22"/>
      <c r="WMC270" s="22"/>
      <c r="WMD270" s="22"/>
      <c r="WME270" s="22"/>
      <c r="WMF270" s="22"/>
      <c r="WMG270" s="22"/>
      <c r="WMH270" s="22"/>
      <c r="WMI270" s="22"/>
      <c r="WMJ270" s="22"/>
      <c r="WMK270" s="22"/>
      <c r="WML270" s="22"/>
      <c r="WMM270" s="22"/>
      <c r="WMN270" s="22"/>
      <c r="WMO270" s="22"/>
      <c r="WMP270" s="22"/>
      <c r="WMQ270" s="22"/>
      <c r="WMR270" s="22"/>
      <c r="WMS270" s="22"/>
      <c r="WMT270" s="22"/>
      <c r="WMU270" s="22"/>
      <c r="WMV270" s="22"/>
      <c r="WMW270" s="22"/>
      <c r="WMX270" s="22"/>
      <c r="WMY270" s="22"/>
      <c r="WMZ270" s="22"/>
      <c r="WNA270" s="22"/>
      <c r="WNB270" s="22"/>
      <c r="WNC270" s="22"/>
      <c r="WND270" s="22"/>
      <c r="WNE270" s="22"/>
      <c r="WNF270" s="22"/>
      <c r="WNG270" s="22"/>
      <c r="WNH270" s="22"/>
      <c r="WNI270" s="22"/>
      <c r="WNJ270" s="22"/>
      <c r="WNK270" s="22"/>
      <c r="WNL270" s="22"/>
      <c r="WNM270" s="22"/>
      <c r="WNN270" s="22"/>
      <c r="WNO270" s="22"/>
      <c r="WNP270" s="22"/>
      <c r="WNQ270" s="22"/>
      <c r="WNR270" s="22"/>
      <c r="WNS270" s="22"/>
      <c r="WNT270" s="22"/>
      <c r="WNU270" s="22"/>
      <c r="WNV270" s="22"/>
      <c r="WNW270" s="22"/>
      <c r="WNX270" s="22"/>
      <c r="WNY270" s="22"/>
      <c r="WNZ270" s="22"/>
      <c r="WOA270" s="22"/>
      <c r="WOB270" s="22"/>
      <c r="WOC270" s="22"/>
      <c r="WOD270" s="22"/>
      <c r="WOE270" s="22"/>
      <c r="WOF270" s="22"/>
      <c r="WOG270" s="22"/>
      <c r="WOH270" s="22"/>
      <c r="WOI270" s="22"/>
      <c r="WOJ270" s="22"/>
      <c r="WOK270" s="22"/>
      <c r="WOL270" s="22"/>
      <c r="WOM270" s="22"/>
      <c r="WON270" s="22"/>
      <c r="WOO270" s="22"/>
      <c r="WOP270" s="22"/>
      <c r="WOQ270" s="22"/>
      <c r="WOR270" s="22"/>
      <c r="WOS270" s="22"/>
      <c r="WOT270" s="22"/>
      <c r="WOU270" s="22"/>
      <c r="WOV270" s="22"/>
      <c r="WOW270" s="22"/>
      <c r="WOX270" s="22"/>
      <c r="WOY270" s="22"/>
      <c r="WOZ270" s="22"/>
      <c r="WPA270" s="22"/>
      <c r="WPB270" s="22"/>
      <c r="WPC270" s="22"/>
      <c r="WPD270" s="22"/>
      <c r="WPE270" s="22"/>
      <c r="WPF270" s="22"/>
      <c r="WPG270" s="22"/>
      <c r="WPH270" s="22"/>
      <c r="WPI270" s="22"/>
      <c r="WPJ270" s="22"/>
      <c r="WPK270" s="22"/>
      <c r="WPL270" s="22"/>
      <c r="WPM270" s="22"/>
      <c r="WPN270" s="22"/>
      <c r="WPO270" s="22"/>
      <c r="WPP270" s="22"/>
      <c r="WPQ270" s="22"/>
      <c r="WPR270" s="22"/>
      <c r="WPS270" s="22"/>
      <c r="WPT270" s="22"/>
      <c r="WPU270" s="22"/>
      <c r="WPV270" s="22"/>
      <c r="WPW270" s="22"/>
      <c r="WPX270" s="22"/>
      <c r="WPY270" s="22"/>
      <c r="WPZ270" s="22"/>
      <c r="WQA270" s="22"/>
      <c r="WQB270" s="22"/>
      <c r="WQC270" s="22"/>
      <c r="WQD270" s="22"/>
      <c r="WQE270" s="22"/>
      <c r="WQF270" s="22"/>
      <c r="WQG270" s="22"/>
      <c r="WQH270" s="22"/>
      <c r="WQI270" s="22"/>
      <c r="WQJ270" s="22"/>
      <c r="WQK270" s="22"/>
      <c r="WQL270" s="22"/>
      <c r="WQM270" s="22"/>
      <c r="WQN270" s="22"/>
      <c r="WQO270" s="22"/>
      <c r="WQP270" s="22"/>
      <c r="WQQ270" s="22"/>
      <c r="WQR270" s="22"/>
      <c r="WQS270" s="22"/>
      <c r="WQT270" s="22"/>
      <c r="WQU270" s="22"/>
      <c r="WQV270" s="22"/>
      <c r="WQW270" s="22"/>
      <c r="WQX270" s="22"/>
      <c r="WQY270" s="22"/>
      <c r="WQZ270" s="22"/>
      <c r="WRA270" s="22"/>
      <c r="WRB270" s="22"/>
      <c r="WRC270" s="22"/>
      <c r="WRD270" s="22"/>
      <c r="WRE270" s="22"/>
      <c r="WRF270" s="22"/>
      <c r="WRG270" s="22"/>
      <c r="WRH270" s="22"/>
      <c r="WRI270" s="22"/>
      <c r="WRJ270" s="22"/>
      <c r="WRK270" s="22"/>
      <c r="WRL270" s="22"/>
      <c r="WRM270" s="22"/>
      <c r="WRN270" s="22"/>
      <c r="WRO270" s="22"/>
      <c r="WRP270" s="22"/>
      <c r="WRQ270" s="22"/>
      <c r="WRR270" s="22"/>
      <c r="WRS270" s="22"/>
      <c r="WRT270" s="22"/>
      <c r="WRU270" s="22"/>
      <c r="WRV270" s="22"/>
      <c r="WRW270" s="22"/>
      <c r="WRX270" s="22"/>
      <c r="WRY270" s="22"/>
      <c r="WRZ270" s="22"/>
      <c r="WSA270" s="22"/>
      <c r="WSB270" s="22"/>
      <c r="WSC270" s="22"/>
      <c r="WSD270" s="22"/>
      <c r="WSE270" s="22"/>
      <c r="WSF270" s="22"/>
      <c r="WSG270" s="22"/>
      <c r="WSH270" s="22"/>
      <c r="WSI270" s="22"/>
      <c r="WSJ270" s="22"/>
      <c r="WSK270" s="22"/>
      <c r="WSL270" s="22"/>
      <c r="WSM270" s="22"/>
      <c r="WSN270" s="22"/>
      <c r="WSO270" s="22"/>
      <c r="WSP270" s="22"/>
      <c r="WSQ270" s="22"/>
      <c r="WSR270" s="22"/>
      <c r="WSS270" s="22"/>
      <c r="WST270" s="22"/>
      <c r="WSU270" s="22"/>
      <c r="WSV270" s="22"/>
      <c r="WSW270" s="22"/>
      <c r="WSX270" s="22"/>
      <c r="WSY270" s="22"/>
      <c r="WSZ270" s="22"/>
      <c r="WTA270" s="22"/>
      <c r="WTB270" s="22"/>
      <c r="WTC270" s="22"/>
      <c r="WTD270" s="22"/>
      <c r="WTE270" s="22"/>
      <c r="WTF270" s="22"/>
      <c r="WTG270" s="22"/>
      <c r="WTH270" s="22"/>
      <c r="WTI270" s="22"/>
      <c r="WTJ270" s="22"/>
      <c r="WTK270" s="22"/>
      <c r="WTL270" s="22"/>
      <c r="WTM270" s="22"/>
      <c r="WTN270" s="22"/>
      <c r="WTO270" s="22"/>
      <c r="WTP270" s="22"/>
      <c r="WTQ270" s="22"/>
      <c r="WTR270" s="22"/>
      <c r="WTS270" s="22"/>
      <c r="WTT270" s="22"/>
      <c r="WTU270" s="22"/>
      <c r="WTV270" s="22"/>
      <c r="WTW270" s="22"/>
      <c r="WTX270" s="22"/>
      <c r="WTY270" s="22"/>
      <c r="WTZ270" s="22"/>
      <c r="WUA270" s="22"/>
      <c r="WUB270" s="22"/>
      <c r="WUC270" s="22"/>
      <c r="WUD270" s="22"/>
      <c r="WUE270" s="22"/>
      <c r="WUF270" s="22"/>
      <c r="WUG270" s="22"/>
      <c r="WUH270" s="22"/>
      <c r="WUI270" s="22"/>
      <c r="WUJ270" s="22"/>
      <c r="WUK270" s="22"/>
      <c r="WUL270" s="22"/>
      <c r="WUM270" s="22"/>
      <c r="WUN270" s="22"/>
      <c r="WUO270" s="22"/>
      <c r="WUP270" s="22"/>
      <c r="WUQ270" s="22"/>
      <c r="WUR270" s="22"/>
      <c r="WUS270" s="22"/>
      <c r="WUT270" s="22"/>
      <c r="WUU270" s="22"/>
      <c r="WUV270" s="22"/>
      <c r="WUW270" s="22"/>
      <c r="WUX270" s="22"/>
      <c r="WUY270" s="22"/>
      <c r="WUZ270" s="22"/>
      <c r="WVA270" s="22"/>
      <c r="WVB270" s="22"/>
      <c r="WVC270" s="22"/>
      <c r="WVD270" s="22"/>
      <c r="WVE270" s="22"/>
      <c r="WVF270" s="22"/>
      <c r="WVG270" s="22"/>
      <c r="WVH270" s="22"/>
      <c r="WVI270" s="22"/>
      <c r="WVJ270" s="22"/>
      <c r="WVK270" s="22"/>
      <c r="WVL270" s="22"/>
      <c r="WVM270" s="22"/>
      <c r="WVN270" s="22"/>
      <c r="WVO270" s="22"/>
      <c r="WVP270" s="22"/>
      <c r="WVQ270" s="22"/>
      <c r="WVR270" s="22"/>
      <c r="WVS270" s="22"/>
      <c r="WVT270" s="22"/>
      <c r="WVU270" s="22"/>
      <c r="WVV270" s="22"/>
      <c r="WVW270" s="22"/>
      <c r="WVX270" s="22"/>
      <c r="WVY270" s="22"/>
      <c r="WVZ270" s="22"/>
      <c r="WWA270" s="22"/>
      <c r="WWB270" s="22"/>
      <c r="WWC270" s="22"/>
      <c r="WWD270" s="22"/>
      <c r="WWE270" s="22"/>
      <c r="WWF270" s="22"/>
      <c r="WWG270" s="22"/>
      <c r="WWH270" s="22"/>
      <c r="WWI270" s="22"/>
      <c r="WWJ270" s="22"/>
      <c r="WWK270" s="22"/>
      <c r="WWL270" s="22"/>
      <c r="WWM270" s="22"/>
      <c r="WWN270" s="22"/>
      <c r="WWO270" s="22"/>
      <c r="WWP270" s="22"/>
      <c r="WWQ270" s="22"/>
      <c r="WWR270" s="22"/>
      <c r="WWS270" s="22"/>
      <c r="WWT270" s="22"/>
      <c r="WWU270" s="22"/>
      <c r="WWV270" s="22"/>
      <c r="WWW270" s="22"/>
      <c r="WWX270" s="22"/>
      <c r="WWY270" s="22"/>
      <c r="WWZ270" s="22"/>
      <c r="WXA270" s="22"/>
      <c r="WXB270" s="22"/>
      <c r="WXC270" s="22"/>
      <c r="WXD270" s="22"/>
      <c r="WXE270" s="22"/>
      <c r="WXF270" s="22"/>
      <c r="WXG270" s="22"/>
      <c r="WXH270" s="22"/>
      <c r="WXI270" s="22"/>
      <c r="WXJ270" s="22"/>
      <c r="WXK270" s="22"/>
      <c r="WXL270" s="22"/>
      <c r="WXM270" s="22"/>
      <c r="WXN270" s="22"/>
      <c r="WXO270" s="22"/>
      <c r="WXP270" s="22"/>
      <c r="WXQ270" s="22"/>
      <c r="WXR270" s="22"/>
      <c r="WXS270" s="22"/>
      <c r="WXT270" s="22"/>
      <c r="WXU270" s="22"/>
      <c r="WXV270" s="22"/>
      <c r="WXW270" s="22"/>
      <c r="WXX270" s="22"/>
      <c r="WXY270" s="22"/>
      <c r="WXZ270" s="22"/>
      <c r="WYA270" s="22"/>
      <c r="WYB270" s="22"/>
      <c r="WYC270" s="22"/>
      <c r="WYD270" s="22"/>
      <c r="WYE270" s="22"/>
      <c r="WYF270" s="22"/>
      <c r="WYG270" s="22"/>
      <c r="WYH270" s="22"/>
      <c r="WYI270" s="22"/>
      <c r="WYJ270" s="22"/>
      <c r="WYK270" s="22"/>
      <c r="WYL270" s="22"/>
      <c r="WYM270" s="22"/>
      <c r="WYN270" s="22"/>
      <c r="WYO270" s="22"/>
      <c r="WYP270" s="22"/>
      <c r="WYQ270" s="22"/>
      <c r="WYR270" s="22"/>
      <c r="WYS270" s="22"/>
      <c r="WYT270" s="22"/>
      <c r="WYU270" s="22"/>
      <c r="WYV270" s="22"/>
      <c r="WYW270" s="22"/>
      <c r="WYX270" s="22"/>
      <c r="WYY270" s="22"/>
      <c r="WYZ270" s="22"/>
      <c r="WZA270" s="22"/>
      <c r="WZB270" s="22"/>
      <c r="WZC270" s="22"/>
      <c r="WZD270" s="22"/>
      <c r="WZE270" s="22"/>
      <c r="WZF270" s="22"/>
      <c r="WZG270" s="22"/>
      <c r="WZH270" s="22"/>
      <c r="WZI270" s="22"/>
      <c r="WZJ270" s="22"/>
      <c r="WZK270" s="22"/>
      <c r="WZL270" s="22"/>
      <c r="WZM270" s="22"/>
      <c r="WZN270" s="22"/>
      <c r="WZO270" s="22"/>
      <c r="WZP270" s="22"/>
      <c r="WZQ270" s="22"/>
      <c r="WZR270" s="22"/>
      <c r="WZS270" s="22"/>
      <c r="WZT270" s="22"/>
      <c r="WZU270" s="22"/>
      <c r="WZV270" s="22"/>
      <c r="WZW270" s="22"/>
      <c r="WZX270" s="22"/>
      <c r="WZY270" s="22"/>
      <c r="WZZ270" s="22"/>
      <c r="XAA270" s="22"/>
      <c r="XAB270" s="22"/>
      <c r="XAC270" s="22"/>
      <c r="XAD270" s="22"/>
      <c r="XAE270" s="22"/>
      <c r="XAF270" s="22"/>
      <c r="XAG270" s="22"/>
      <c r="XAH270" s="22"/>
      <c r="XAI270" s="22"/>
      <c r="XAJ270" s="22"/>
      <c r="XAK270" s="22"/>
      <c r="XAL270" s="22"/>
      <c r="XAM270" s="22"/>
      <c r="XAN270" s="22"/>
      <c r="XAO270" s="22"/>
      <c r="XAP270" s="22"/>
      <c r="XAQ270" s="22"/>
      <c r="XAR270" s="22"/>
      <c r="XAS270" s="22"/>
      <c r="XAT270" s="22"/>
      <c r="XAU270" s="22"/>
      <c r="XAV270" s="22"/>
      <c r="XAW270" s="22"/>
      <c r="XAX270" s="22"/>
      <c r="XAY270" s="22"/>
      <c r="XAZ270" s="22"/>
      <c r="XBA270" s="22"/>
      <c r="XBB270" s="22"/>
      <c r="XBC270" s="22"/>
      <c r="XBD270" s="22"/>
      <c r="XBE270" s="22"/>
      <c r="XBF270" s="22"/>
      <c r="XBG270" s="22"/>
      <c r="XBH270" s="22"/>
      <c r="XBI270" s="22"/>
      <c r="XBJ270" s="22"/>
      <c r="XBK270" s="22"/>
      <c r="XBL270" s="22"/>
      <c r="XBM270" s="22"/>
      <c r="XBN270" s="22"/>
      <c r="XBO270" s="22"/>
      <c r="XBP270" s="22"/>
      <c r="XBQ270" s="22"/>
      <c r="XBR270" s="22"/>
      <c r="XBS270" s="22"/>
      <c r="XBT270" s="22"/>
      <c r="XBU270" s="22"/>
      <c r="XBV270" s="22"/>
      <c r="XBW270" s="22"/>
      <c r="XBX270" s="22"/>
      <c r="XBY270" s="22"/>
      <c r="XBZ270" s="22"/>
      <c r="XCA270" s="22"/>
      <c r="XCB270" s="22"/>
      <c r="XCC270" s="22"/>
      <c r="XCD270" s="22"/>
      <c r="XCE270" s="22"/>
      <c r="XCF270" s="22"/>
      <c r="XCG270" s="22"/>
      <c r="XCH270" s="22"/>
      <c r="XCI270" s="22"/>
      <c r="XCJ270" s="22"/>
      <c r="XCK270" s="22"/>
      <c r="XCL270" s="22"/>
      <c r="XCM270" s="22"/>
      <c r="XCN270" s="22"/>
      <c r="XCO270" s="22"/>
      <c r="XCP270" s="22"/>
      <c r="XCQ270" s="22"/>
      <c r="XCR270" s="22"/>
      <c r="XCS270" s="22"/>
      <c r="XCT270" s="22"/>
      <c r="XCU270" s="22"/>
      <c r="XCV270" s="22"/>
      <c r="XCW270" s="22"/>
      <c r="XCX270" s="22"/>
      <c r="XCY270" s="22"/>
      <c r="XCZ270" s="22"/>
      <c r="XDA270" s="22"/>
      <c r="XDB270" s="22"/>
      <c r="XDC270" s="22"/>
      <c r="XDD270" s="22"/>
      <c r="XDE270" s="22"/>
      <c r="XDF270" s="22"/>
      <c r="XDG270" s="22"/>
      <c r="XDH270" s="22"/>
      <c r="XDI270" s="22"/>
      <c r="XDJ270" s="22"/>
      <c r="XDK270" s="22"/>
      <c r="XDL270" s="22"/>
      <c r="XDM270" s="22"/>
      <c r="XDN270" s="22"/>
      <c r="XDO270" s="22"/>
      <c r="XDP270" s="22"/>
      <c r="XDQ270" s="22"/>
      <c r="XDR270" s="22"/>
      <c r="XDS270" s="22"/>
      <c r="XDT270" s="22"/>
      <c r="XDU270" s="22"/>
      <c r="XDV270" s="22"/>
      <c r="XDW270" s="22"/>
      <c r="XDX270" s="22"/>
      <c r="XDY270" s="22"/>
      <c r="XDZ270" s="22"/>
      <c r="XEA270" s="22"/>
      <c r="XEB270" s="22"/>
      <c r="XEC270" s="22"/>
      <c r="XED270" s="22"/>
      <c r="XEE270" s="22"/>
      <c r="XEF270" s="22"/>
      <c r="XEG270" s="22"/>
      <c r="XEH270" s="22"/>
      <c r="XEI270" s="22"/>
      <c r="XEJ270" s="22"/>
      <c r="XEK270" s="22"/>
      <c r="XEL270" s="22"/>
      <c r="XEM270" s="22"/>
      <c r="XEN270" s="22"/>
      <c r="XEO270" s="22"/>
      <c r="XEP270" s="22"/>
      <c r="XEQ270" s="22"/>
      <c r="XER270" s="22"/>
      <c r="XES270" s="22"/>
      <c r="XET270" s="22"/>
      <c r="XEU270" s="22"/>
      <c r="XEV270" s="22"/>
      <c r="XEW270" s="22"/>
      <c r="XEX270" s="22"/>
      <c r="XEY270" s="22"/>
      <c r="XEZ270" s="22"/>
      <c r="XFA270" s="22"/>
      <c r="XFB270" s="22"/>
      <c r="XFC270" s="22"/>
    </row>
    <row r="271" spans="1:16383" ht="15" x14ac:dyDescent="0.25">
      <c r="A271" s="22" t="s">
        <v>1825</v>
      </c>
      <c r="B271" s="22"/>
      <c r="C271" s="22"/>
      <c r="D271" s="22"/>
      <c r="E271" s="22"/>
      <c r="F271" s="22"/>
      <c r="G271" s="22"/>
      <c r="H271" s="22"/>
      <c r="I271" s="22"/>
      <c r="J271" s="22"/>
      <c r="K271" s="22"/>
      <c r="L271" s="203" t="s">
        <v>886</v>
      </c>
      <c r="M271" s="203" t="s">
        <v>887</v>
      </c>
      <c r="N271" s="203"/>
      <c r="O271" s="203"/>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c r="BI271" s="22"/>
      <c r="BJ271" s="22"/>
      <c r="BK271" s="22"/>
      <c r="BL271" s="22"/>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c r="DQ271" s="22"/>
      <c r="DR271" s="22"/>
      <c r="DS271" s="22"/>
      <c r="DT271" s="22"/>
      <c r="DU271" s="22"/>
      <c r="DV271" s="22"/>
      <c r="DW271" s="22"/>
      <c r="DX271" s="22"/>
      <c r="DY271" s="22"/>
      <c r="DZ271" s="22"/>
      <c r="EA271" s="22"/>
      <c r="EB271" s="22"/>
      <c r="EC271" s="22"/>
      <c r="ED271" s="22"/>
      <c r="EE271" s="22"/>
      <c r="EF271" s="22"/>
      <c r="EG271" s="22"/>
      <c r="EH271" s="22"/>
      <c r="EI271" s="22"/>
      <c r="EJ271" s="22"/>
      <c r="EK271" s="22"/>
      <c r="EL271" s="22"/>
      <c r="EM271" s="22"/>
      <c r="EN271" s="22"/>
      <c r="EO271" s="22"/>
      <c r="EP271" s="22"/>
      <c r="EQ271" s="22"/>
      <c r="ER271" s="22"/>
      <c r="ES271" s="22"/>
      <c r="ET271" s="22"/>
      <c r="EU271" s="22"/>
      <c r="EV271" s="22"/>
      <c r="EW271" s="22"/>
      <c r="EX271" s="22"/>
      <c r="EY271" s="22"/>
      <c r="EZ271" s="22"/>
      <c r="FA271" s="22"/>
      <c r="FB271" s="22"/>
      <c r="FC271" s="22"/>
      <c r="FD271" s="22"/>
      <c r="FE271" s="22"/>
      <c r="FF271" s="22"/>
      <c r="FG271" s="22"/>
      <c r="FH271" s="22"/>
      <c r="FI271" s="22"/>
      <c r="FJ271" s="22"/>
      <c r="FK271" s="22"/>
      <c r="FL271" s="22"/>
      <c r="FM271" s="22"/>
      <c r="FN271" s="22"/>
      <c r="FO271" s="22"/>
      <c r="FP271" s="22"/>
      <c r="FQ271" s="22"/>
      <c r="FR271" s="22"/>
      <c r="FS271" s="22"/>
      <c r="FT271" s="22"/>
      <c r="FU271" s="22"/>
      <c r="FV271" s="22"/>
      <c r="FW271" s="22"/>
      <c r="FX271" s="22"/>
      <c r="FY271" s="22"/>
      <c r="FZ271" s="22"/>
      <c r="GA271" s="22"/>
      <c r="GB271" s="22"/>
      <c r="GC271" s="22"/>
      <c r="GD271" s="22"/>
      <c r="GE271" s="22"/>
      <c r="GF271" s="22"/>
      <c r="GG271" s="22"/>
      <c r="GH271" s="22"/>
      <c r="GI271" s="22"/>
      <c r="GJ271" s="22"/>
      <c r="GK271" s="22"/>
      <c r="GL271" s="22"/>
      <c r="GM271" s="22"/>
      <c r="GN271" s="22"/>
      <c r="GO271" s="22"/>
      <c r="GP271" s="22"/>
      <c r="GQ271" s="22"/>
      <c r="GR271" s="22"/>
      <c r="GS271" s="22"/>
      <c r="GT271" s="22"/>
      <c r="GU271" s="22"/>
      <c r="GV271" s="22"/>
      <c r="GW271" s="22"/>
      <c r="GX271" s="22"/>
      <c r="GY271" s="22"/>
      <c r="GZ271" s="22"/>
      <c r="HA271" s="22"/>
      <c r="HB271" s="22"/>
      <c r="HC271" s="22"/>
      <c r="HD271" s="22"/>
      <c r="HE271" s="22"/>
      <c r="HF271" s="22"/>
      <c r="HG271" s="22"/>
      <c r="HH271" s="22"/>
      <c r="HI271" s="22"/>
      <c r="HJ271" s="22"/>
      <c r="HK271" s="22"/>
      <c r="HL271" s="22"/>
      <c r="HM271" s="22"/>
      <c r="HN271" s="22"/>
      <c r="HO271" s="22"/>
      <c r="HP271" s="22"/>
      <c r="HQ271" s="22"/>
      <c r="HR271" s="22"/>
      <c r="HS271" s="22"/>
      <c r="HT271" s="22"/>
      <c r="HU271" s="22"/>
      <c r="HV271" s="22"/>
      <c r="HW271" s="22"/>
      <c r="HX271" s="22"/>
      <c r="HY271" s="22"/>
      <c r="HZ271" s="22"/>
      <c r="IA271" s="22"/>
      <c r="IB271" s="22"/>
      <c r="IC271" s="22"/>
      <c r="ID271" s="22"/>
      <c r="IE271" s="22"/>
      <c r="IF271" s="22"/>
      <c r="IG271" s="22"/>
      <c r="IH271" s="22"/>
      <c r="II271" s="22"/>
      <c r="IJ271" s="22"/>
      <c r="IK271" s="22"/>
      <c r="IL271" s="22"/>
      <c r="IM271" s="22"/>
      <c r="IN271" s="22"/>
      <c r="IO271" s="22"/>
      <c r="IP271" s="22"/>
      <c r="IQ271" s="22"/>
      <c r="IR271" s="22"/>
      <c r="IS271" s="22"/>
      <c r="IT271" s="22"/>
      <c r="IU271" s="22"/>
      <c r="IV271" s="22"/>
      <c r="IW271" s="22"/>
      <c r="IX271" s="22"/>
      <c r="IY271" s="22"/>
      <c r="IZ271" s="22"/>
      <c r="JA271" s="22"/>
      <c r="JB271" s="22"/>
      <c r="JC271" s="22"/>
      <c r="JD271" s="22"/>
      <c r="JE271" s="22"/>
      <c r="JF271" s="22"/>
      <c r="JG271" s="22"/>
      <c r="JH271" s="22"/>
      <c r="JI271" s="22"/>
      <c r="JJ271" s="22"/>
      <c r="JK271" s="22"/>
      <c r="JL271" s="22"/>
      <c r="JM271" s="22"/>
      <c r="JN271" s="22"/>
      <c r="JO271" s="22"/>
      <c r="JP271" s="22"/>
      <c r="JQ271" s="22"/>
      <c r="JR271" s="22"/>
      <c r="JS271" s="22"/>
      <c r="JT271" s="22"/>
      <c r="JU271" s="22"/>
      <c r="JV271" s="22"/>
      <c r="JW271" s="22"/>
      <c r="JX271" s="22"/>
      <c r="JY271" s="22"/>
      <c r="JZ271" s="22"/>
      <c r="KA271" s="22"/>
      <c r="KB271" s="22"/>
      <c r="KC271" s="22"/>
      <c r="KD271" s="22"/>
      <c r="KE271" s="22"/>
      <c r="KF271" s="22"/>
      <c r="KG271" s="22"/>
      <c r="KH271" s="22"/>
      <c r="KI271" s="22"/>
      <c r="KJ271" s="22"/>
      <c r="KK271" s="22"/>
      <c r="KL271" s="22"/>
      <c r="KM271" s="22"/>
      <c r="KN271" s="22"/>
      <c r="KO271" s="22"/>
      <c r="KP271" s="22"/>
      <c r="KQ271" s="22"/>
      <c r="KR271" s="22"/>
      <c r="KS271" s="22"/>
      <c r="KT271" s="22"/>
      <c r="KU271" s="22"/>
      <c r="KV271" s="22"/>
      <c r="KW271" s="22"/>
      <c r="KX271" s="22"/>
      <c r="KY271" s="22"/>
      <c r="KZ271" s="22"/>
      <c r="LA271" s="22"/>
      <c r="LB271" s="22"/>
      <c r="LC271" s="22"/>
      <c r="LD271" s="22"/>
      <c r="LE271" s="22"/>
      <c r="LF271" s="22"/>
      <c r="LG271" s="22"/>
      <c r="LH271" s="22"/>
      <c r="LI271" s="22"/>
      <c r="LJ271" s="22"/>
      <c r="LK271" s="22"/>
      <c r="LL271" s="22"/>
      <c r="LM271" s="22"/>
      <c r="LN271" s="22"/>
      <c r="LO271" s="22"/>
      <c r="LP271" s="22"/>
      <c r="LQ271" s="22"/>
      <c r="LR271" s="22"/>
      <c r="LS271" s="22"/>
      <c r="LT271" s="22"/>
      <c r="LU271" s="22"/>
      <c r="LV271" s="22"/>
      <c r="LW271" s="22"/>
      <c r="LX271" s="22"/>
      <c r="LY271" s="22"/>
      <c r="LZ271" s="22"/>
      <c r="MA271" s="22"/>
      <c r="MB271" s="22"/>
      <c r="MC271" s="22"/>
      <c r="MD271" s="22"/>
      <c r="ME271" s="22"/>
      <c r="MF271" s="22"/>
      <c r="MG271" s="22"/>
      <c r="MH271" s="22"/>
      <c r="MI271" s="22"/>
      <c r="MJ271" s="22"/>
      <c r="MK271" s="22"/>
      <c r="ML271" s="22"/>
      <c r="MM271" s="22"/>
      <c r="MN271" s="22"/>
      <c r="MO271" s="22"/>
      <c r="MP271" s="22"/>
      <c r="MQ271" s="22"/>
      <c r="MR271" s="22"/>
      <c r="MS271" s="22"/>
      <c r="MT271" s="22"/>
      <c r="MU271" s="22"/>
      <c r="MV271" s="22"/>
      <c r="MW271" s="22"/>
      <c r="MX271" s="22"/>
      <c r="MY271" s="22"/>
      <c r="MZ271" s="22"/>
      <c r="NA271" s="22"/>
      <c r="NB271" s="22"/>
      <c r="NC271" s="22"/>
      <c r="ND271" s="22"/>
      <c r="NE271" s="22"/>
      <c r="NF271" s="22"/>
      <c r="NG271" s="22"/>
      <c r="NH271" s="22"/>
      <c r="NI271" s="22"/>
      <c r="NJ271" s="22"/>
      <c r="NK271" s="22"/>
      <c r="NL271" s="22"/>
      <c r="NM271" s="22"/>
      <c r="NN271" s="22"/>
      <c r="NO271" s="22"/>
      <c r="NP271" s="22"/>
      <c r="NQ271" s="22"/>
      <c r="NR271" s="22"/>
      <c r="NS271" s="22"/>
      <c r="NT271" s="22"/>
      <c r="NU271" s="22"/>
      <c r="NV271" s="22"/>
      <c r="NW271" s="22"/>
      <c r="NX271" s="22"/>
      <c r="NY271" s="22"/>
      <c r="NZ271" s="22"/>
      <c r="OA271" s="22"/>
      <c r="OB271" s="22"/>
      <c r="OC271" s="22"/>
      <c r="OD271" s="22"/>
      <c r="OE271" s="22"/>
      <c r="OF271" s="22"/>
      <c r="OG271" s="22"/>
      <c r="OH271" s="22"/>
      <c r="OI271" s="22"/>
      <c r="OJ271" s="22"/>
      <c r="OK271" s="22"/>
      <c r="OL271" s="22"/>
      <c r="OM271" s="22"/>
      <c r="ON271" s="22"/>
      <c r="OO271" s="22"/>
      <c r="OP271" s="22"/>
      <c r="OQ271" s="22"/>
      <c r="OR271" s="22"/>
      <c r="OS271" s="22"/>
      <c r="OT271" s="22"/>
      <c r="OU271" s="22"/>
      <c r="OV271" s="22"/>
      <c r="OW271" s="22"/>
      <c r="OX271" s="22"/>
      <c r="OY271" s="22"/>
      <c r="OZ271" s="22"/>
      <c r="PA271" s="22"/>
      <c r="PB271" s="22"/>
      <c r="PC271" s="22"/>
      <c r="PD271" s="22"/>
      <c r="PE271" s="22"/>
      <c r="PF271" s="22"/>
      <c r="PG271" s="22"/>
      <c r="PH271" s="22"/>
      <c r="PI271" s="22"/>
      <c r="PJ271" s="22"/>
      <c r="PK271" s="22"/>
      <c r="PL271" s="22"/>
      <c r="PM271" s="22"/>
      <c r="PN271" s="22"/>
      <c r="PO271" s="22"/>
      <c r="PP271" s="22"/>
      <c r="PQ271" s="22"/>
      <c r="PR271" s="22"/>
      <c r="PS271" s="22"/>
      <c r="PT271" s="22"/>
      <c r="PU271" s="22"/>
      <c r="PV271" s="22"/>
      <c r="PW271" s="22"/>
      <c r="PX271" s="22"/>
      <c r="PY271" s="22"/>
      <c r="PZ271" s="22"/>
      <c r="QA271" s="22"/>
      <c r="QB271" s="22"/>
      <c r="QC271" s="22"/>
      <c r="QD271" s="22"/>
      <c r="QE271" s="22"/>
      <c r="QF271" s="22"/>
      <c r="QG271" s="22"/>
      <c r="QH271" s="22"/>
      <c r="QI271" s="22"/>
      <c r="QJ271" s="22"/>
      <c r="QK271" s="22"/>
      <c r="QL271" s="22"/>
      <c r="QM271" s="22"/>
      <c r="QN271" s="22"/>
      <c r="QO271" s="22"/>
      <c r="QP271" s="22"/>
      <c r="QQ271" s="22"/>
      <c r="QR271" s="22"/>
      <c r="QS271" s="22"/>
      <c r="QT271" s="22"/>
      <c r="QU271" s="22"/>
      <c r="QV271" s="22"/>
      <c r="QW271" s="22"/>
      <c r="QX271" s="22"/>
      <c r="QY271" s="22"/>
      <c r="QZ271" s="22"/>
      <c r="RA271" s="22"/>
      <c r="RB271" s="22"/>
      <c r="RC271" s="22"/>
      <c r="RD271" s="22"/>
      <c r="RE271" s="22"/>
      <c r="RF271" s="22"/>
      <c r="RG271" s="22"/>
      <c r="RH271" s="22"/>
      <c r="RI271" s="22"/>
      <c r="RJ271" s="22"/>
      <c r="RK271" s="22"/>
      <c r="RL271" s="22"/>
      <c r="RM271" s="22"/>
      <c r="RN271" s="22"/>
      <c r="RO271" s="22"/>
      <c r="RP271" s="22"/>
      <c r="RQ271" s="22"/>
      <c r="RR271" s="22"/>
      <c r="RS271" s="22"/>
      <c r="RT271" s="22"/>
      <c r="RU271" s="22"/>
      <c r="RV271" s="22"/>
      <c r="RW271" s="22"/>
      <c r="RX271" s="22"/>
      <c r="RY271" s="22"/>
      <c r="RZ271" s="22"/>
      <c r="SA271" s="22"/>
      <c r="SB271" s="22"/>
      <c r="SC271" s="22"/>
      <c r="SD271" s="22"/>
      <c r="SE271" s="22"/>
      <c r="SF271" s="22"/>
      <c r="SG271" s="22"/>
      <c r="SH271" s="22"/>
      <c r="SI271" s="22"/>
      <c r="SJ271" s="22"/>
      <c r="SK271" s="22"/>
      <c r="SL271" s="22"/>
      <c r="SM271" s="22"/>
      <c r="SN271" s="22"/>
      <c r="SO271" s="22"/>
      <c r="SP271" s="22"/>
      <c r="SQ271" s="22"/>
      <c r="SR271" s="22"/>
      <c r="SS271" s="22"/>
      <c r="ST271" s="22"/>
      <c r="SU271" s="22"/>
      <c r="SV271" s="22"/>
      <c r="SW271" s="22"/>
      <c r="SX271" s="22"/>
      <c r="SY271" s="22"/>
      <c r="SZ271" s="22"/>
      <c r="TA271" s="22"/>
      <c r="TB271" s="22"/>
      <c r="TC271" s="22"/>
      <c r="TD271" s="22"/>
      <c r="TE271" s="22"/>
      <c r="TF271" s="22"/>
      <c r="TG271" s="22"/>
      <c r="TH271" s="22"/>
      <c r="TI271" s="22"/>
      <c r="TJ271" s="22"/>
      <c r="TK271" s="22"/>
      <c r="TL271" s="22"/>
      <c r="TM271" s="22"/>
      <c r="TN271" s="22"/>
      <c r="TO271" s="22"/>
      <c r="TP271" s="22"/>
      <c r="TQ271" s="22"/>
      <c r="TR271" s="22"/>
      <c r="TS271" s="22"/>
      <c r="TT271" s="22"/>
      <c r="TU271" s="22"/>
      <c r="TV271" s="22"/>
      <c r="TW271" s="22"/>
      <c r="TX271" s="22"/>
      <c r="TY271" s="22"/>
      <c r="TZ271" s="22"/>
      <c r="UA271" s="22"/>
      <c r="UB271" s="22"/>
      <c r="UC271" s="22"/>
      <c r="UD271" s="22"/>
      <c r="UE271" s="22"/>
      <c r="UF271" s="22"/>
      <c r="UG271" s="22"/>
      <c r="UH271" s="22"/>
      <c r="UI271" s="22"/>
      <c r="UJ271" s="22"/>
      <c r="UK271" s="22"/>
      <c r="UL271" s="22"/>
      <c r="UM271" s="22"/>
      <c r="UN271" s="22"/>
      <c r="UO271" s="22"/>
      <c r="UP271" s="22"/>
      <c r="UQ271" s="22"/>
      <c r="UR271" s="22"/>
      <c r="US271" s="22"/>
      <c r="UT271" s="22"/>
      <c r="UU271" s="22"/>
      <c r="UV271" s="22"/>
      <c r="UW271" s="22"/>
      <c r="UX271" s="22"/>
      <c r="UY271" s="22"/>
      <c r="UZ271" s="22"/>
      <c r="VA271" s="22"/>
      <c r="VB271" s="22"/>
      <c r="VC271" s="22"/>
      <c r="VD271" s="22"/>
      <c r="VE271" s="22"/>
      <c r="VF271" s="22"/>
      <c r="VG271" s="22"/>
      <c r="VH271" s="22"/>
      <c r="VI271" s="22"/>
      <c r="VJ271" s="22"/>
      <c r="VK271" s="22"/>
      <c r="VL271" s="22"/>
      <c r="VM271" s="22"/>
      <c r="VN271" s="22"/>
      <c r="VO271" s="22"/>
      <c r="VP271" s="22"/>
      <c r="VQ271" s="22"/>
      <c r="VR271" s="22"/>
      <c r="VS271" s="22"/>
      <c r="VT271" s="22"/>
      <c r="VU271" s="22"/>
      <c r="VV271" s="22"/>
      <c r="VW271" s="22"/>
      <c r="VX271" s="22"/>
      <c r="VY271" s="22"/>
      <c r="VZ271" s="22"/>
      <c r="WA271" s="22"/>
      <c r="WB271" s="22"/>
      <c r="WC271" s="22"/>
      <c r="WD271" s="22"/>
      <c r="WE271" s="22"/>
      <c r="WF271" s="22"/>
      <c r="WG271" s="22"/>
      <c r="WH271" s="22"/>
      <c r="WI271" s="22"/>
      <c r="WJ271" s="22"/>
      <c r="WK271" s="22"/>
      <c r="WL271" s="22"/>
      <c r="WM271" s="22"/>
      <c r="WN271" s="22"/>
      <c r="WO271" s="22"/>
      <c r="WP271" s="22"/>
      <c r="WQ271" s="22"/>
      <c r="WR271" s="22"/>
      <c r="WS271" s="22"/>
      <c r="WT271" s="22"/>
      <c r="WU271" s="22"/>
      <c r="WV271" s="22"/>
      <c r="WW271" s="22"/>
      <c r="WX271" s="22"/>
      <c r="WY271" s="22"/>
      <c r="WZ271" s="22"/>
      <c r="XA271" s="22"/>
      <c r="XB271" s="22"/>
      <c r="XC271" s="22"/>
      <c r="XD271" s="22"/>
      <c r="XE271" s="22"/>
      <c r="XF271" s="22"/>
      <c r="XG271" s="22"/>
      <c r="XH271" s="22"/>
      <c r="XI271" s="22"/>
      <c r="XJ271" s="22"/>
      <c r="XK271" s="22"/>
      <c r="XL271" s="22"/>
      <c r="XM271" s="22"/>
      <c r="XN271" s="22"/>
      <c r="XO271" s="22"/>
      <c r="XP271" s="22"/>
      <c r="XQ271" s="22"/>
      <c r="XR271" s="22"/>
      <c r="XS271" s="22"/>
      <c r="XT271" s="22"/>
      <c r="XU271" s="22"/>
      <c r="XV271" s="22"/>
      <c r="XW271" s="22"/>
      <c r="XX271" s="22"/>
      <c r="XY271" s="22"/>
      <c r="XZ271" s="22"/>
      <c r="YA271" s="22"/>
      <c r="YB271" s="22"/>
      <c r="YC271" s="22"/>
      <c r="YD271" s="22"/>
      <c r="YE271" s="22"/>
      <c r="YF271" s="22"/>
      <c r="YG271" s="22"/>
      <c r="YH271" s="22"/>
      <c r="YI271" s="22"/>
      <c r="YJ271" s="22"/>
      <c r="YK271" s="22"/>
      <c r="YL271" s="22"/>
      <c r="YM271" s="22"/>
      <c r="YN271" s="22"/>
      <c r="YO271" s="22"/>
      <c r="YP271" s="22"/>
      <c r="YQ271" s="22"/>
      <c r="YR271" s="22"/>
      <c r="YS271" s="22"/>
      <c r="YT271" s="22"/>
      <c r="YU271" s="22"/>
      <c r="YV271" s="22"/>
      <c r="YW271" s="22"/>
      <c r="YX271" s="22"/>
      <c r="YY271" s="22"/>
      <c r="YZ271" s="22"/>
      <c r="ZA271" s="22"/>
      <c r="ZB271" s="22"/>
      <c r="ZC271" s="22"/>
      <c r="ZD271" s="22"/>
      <c r="ZE271" s="22"/>
      <c r="ZF271" s="22"/>
      <c r="ZG271" s="22"/>
      <c r="ZH271" s="22"/>
      <c r="ZI271" s="22"/>
      <c r="ZJ271" s="22"/>
      <c r="ZK271" s="22"/>
      <c r="ZL271" s="22"/>
      <c r="ZM271" s="22"/>
      <c r="ZN271" s="22"/>
      <c r="ZO271" s="22"/>
      <c r="ZP271" s="22"/>
      <c r="ZQ271" s="22"/>
      <c r="ZR271" s="22"/>
      <c r="ZS271" s="22"/>
      <c r="ZT271" s="22"/>
      <c r="ZU271" s="22"/>
      <c r="ZV271" s="22"/>
      <c r="ZW271" s="22"/>
      <c r="ZX271" s="22"/>
      <c r="ZY271" s="22"/>
      <c r="ZZ271" s="22"/>
      <c r="AAA271" s="22"/>
      <c r="AAB271" s="22"/>
      <c r="AAC271" s="22"/>
      <c r="AAD271" s="22"/>
      <c r="AAE271" s="22"/>
      <c r="AAF271" s="22"/>
      <c r="AAG271" s="22"/>
      <c r="AAH271" s="22"/>
      <c r="AAI271" s="22"/>
      <c r="AAJ271" s="22"/>
      <c r="AAK271" s="22"/>
      <c r="AAL271" s="22"/>
      <c r="AAM271" s="22"/>
      <c r="AAN271" s="22"/>
      <c r="AAO271" s="22"/>
      <c r="AAP271" s="22"/>
      <c r="AAQ271" s="22"/>
      <c r="AAR271" s="22"/>
      <c r="AAS271" s="22"/>
      <c r="AAT271" s="22"/>
      <c r="AAU271" s="22"/>
      <c r="AAV271" s="22"/>
      <c r="AAW271" s="22"/>
      <c r="AAX271" s="22"/>
      <c r="AAY271" s="22"/>
      <c r="AAZ271" s="22"/>
      <c r="ABA271" s="22"/>
      <c r="ABB271" s="22"/>
      <c r="ABC271" s="22"/>
      <c r="ABD271" s="22"/>
      <c r="ABE271" s="22"/>
      <c r="ABF271" s="22"/>
      <c r="ABG271" s="22"/>
      <c r="ABH271" s="22"/>
      <c r="ABI271" s="22"/>
      <c r="ABJ271" s="22"/>
      <c r="ABK271" s="22"/>
      <c r="ABL271" s="22"/>
      <c r="ABM271" s="22"/>
      <c r="ABN271" s="22"/>
      <c r="ABO271" s="22"/>
      <c r="ABP271" s="22"/>
      <c r="ABQ271" s="22"/>
      <c r="ABR271" s="22"/>
      <c r="ABS271" s="22"/>
      <c r="ABT271" s="22"/>
      <c r="ABU271" s="22"/>
      <c r="ABV271" s="22"/>
      <c r="ABW271" s="22"/>
      <c r="ABX271" s="22"/>
      <c r="ABY271" s="22"/>
      <c r="ABZ271" s="22"/>
      <c r="ACA271" s="22"/>
      <c r="ACB271" s="22"/>
      <c r="ACC271" s="22"/>
      <c r="ACD271" s="22"/>
      <c r="ACE271" s="22"/>
      <c r="ACF271" s="22"/>
      <c r="ACG271" s="22"/>
      <c r="ACH271" s="22"/>
      <c r="ACI271" s="22"/>
      <c r="ACJ271" s="22"/>
      <c r="ACK271" s="22"/>
      <c r="ACL271" s="22"/>
      <c r="ACM271" s="22"/>
      <c r="ACN271" s="22"/>
      <c r="ACO271" s="22"/>
      <c r="ACP271" s="22"/>
      <c r="ACQ271" s="22"/>
      <c r="ACR271" s="22"/>
      <c r="ACS271" s="22"/>
      <c r="ACT271" s="22"/>
      <c r="ACU271" s="22"/>
      <c r="ACV271" s="22"/>
      <c r="ACW271" s="22"/>
      <c r="ACX271" s="22"/>
      <c r="ACY271" s="22"/>
      <c r="ACZ271" s="22"/>
      <c r="ADA271" s="22"/>
      <c r="ADB271" s="22"/>
      <c r="ADC271" s="22"/>
      <c r="ADD271" s="22"/>
      <c r="ADE271" s="22"/>
      <c r="ADF271" s="22"/>
      <c r="ADG271" s="22"/>
      <c r="ADH271" s="22"/>
      <c r="ADI271" s="22"/>
      <c r="ADJ271" s="22"/>
      <c r="ADK271" s="22"/>
      <c r="ADL271" s="22"/>
      <c r="ADM271" s="22"/>
      <c r="ADN271" s="22"/>
      <c r="ADO271" s="22"/>
      <c r="ADP271" s="22"/>
      <c r="ADQ271" s="22"/>
      <c r="ADR271" s="22"/>
      <c r="ADS271" s="22"/>
      <c r="ADT271" s="22"/>
      <c r="ADU271" s="22"/>
      <c r="ADV271" s="22"/>
      <c r="ADW271" s="22"/>
      <c r="ADX271" s="22"/>
      <c r="ADY271" s="22"/>
      <c r="ADZ271" s="22"/>
      <c r="AEA271" s="22"/>
      <c r="AEB271" s="22"/>
      <c r="AEC271" s="22"/>
      <c r="AED271" s="22"/>
      <c r="AEE271" s="22"/>
      <c r="AEF271" s="22"/>
      <c r="AEG271" s="22"/>
      <c r="AEH271" s="22"/>
      <c r="AEI271" s="22"/>
      <c r="AEJ271" s="22"/>
      <c r="AEK271" s="22"/>
      <c r="AEL271" s="22"/>
      <c r="AEM271" s="22"/>
      <c r="AEN271" s="22"/>
      <c r="AEO271" s="22"/>
      <c r="AEP271" s="22"/>
      <c r="AEQ271" s="22"/>
      <c r="AER271" s="22"/>
      <c r="AES271" s="22"/>
      <c r="AET271" s="22"/>
      <c r="AEU271" s="22"/>
      <c r="AEV271" s="22"/>
      <c r="AEW271" s="22"/>
      <c r="AEX271" s="22"/>
      <c r="AEY271" s="22"/>
      <c r="AEZ271" s="22"/>
      <c r="AFA271" s="22"/>
      <c r="AFB271" s="22"/>
      <c r="AFC271" s="22"/>
      <c r="AFD271" s="22"/>
      <c r="AFE271" s="22"/>
      <c r="AFF271" s="22"/>
      <c r="AFG271" s="22"/>
      <c r="AFH271" s="22"/>
      <c r="AFI271" s="22"/>
      <c r="AFJ271" s="22"/>
      <c r="AFK271" s="22"/>
      <c r="AFL271" s="22"/>
      <c r="AFM271" s="22"/>
      <c r="AFN271" s="22"/>
      <c r="AFO271" s="22"/>
      <c r="AFP271" s="22"/>
      <c r="AFQ271" s="22"/>
      <c r="AFR271" s="22"/>
      <c r="AFS271" s="22"/>
      <c r="AFT271" s="22"/>
      <c r="AFU271" s="22"/>
      <c r="AFV271" s="22"/>
      <c r="AFW271" s="22"/>
      <c r="AFX271" s="22"/>
      <c r="AFY271" s="22"/>
      <c r="AFZ271" s="22"/>
      <c r="AGA271" s="22"/>
      <c r="AGB271" s="22"/>
      <c r="AGC271" s="22"/>
      <c r="AGD271" s="22"/>
      <c r="AGE271" s="22"/>
      <c r="AGF271" s="22"/>
      <c r="AGG271" s="22"/>
      <c r="AGH271" s="22"/>
      <c r="AGI271" s="22"/>
      <c r="AGJ271" s="22"/>
      <c r="AGK271" s="22"/>
      <c r="AGL271" s="22"/>
      <c r="AGM271" s="22"/>
      <c r="AGN271" s="22"/>
      <c r="AGO271" s="22"/>
      <c r="AGP271" s="22"/>
      <c r="AGQ271" s="22"/>
      <c r="AGR271" s="22"/>
      <c r="AGS271" s="22"/>
      <c r="AGT271" s="22"/>
      <c r="AGU271" s="22"/>
      <c r="AGV271" s="22"/>
      <c r="AGW271" s="22"/>
      <c r="AGX271" s="22"/>
      <c r="AGY271" s="22"/>
      <c r="AGZ271" s="22"/>
      <c r="AHA271" s="22"/>
      <c r="AHB271" s="22"/>
      <c r="AHC271" s="22"/>
      <c r="AHD271" s="22"/>
      <c r="AHE271" s="22"/>
      <c r="AHF271" s="22"/>
      <c r="AHG271" s="22"/>
      <c r="AHH271" s="22"/>
      <c r="AHI271" s="22"/>
      <c r="AHJ271" s="22"/>
      <c r="AHK271" s="22"/>
      <c r="AHL271" s="22"/>
      <c r="AHM271" s="22"/>
      <c r="AHN271" s="22"/>
      <c r="AHO271" s="22"/>
      <c r="AHP271" s="22"/>
      <c r="AHQ271" s="22"/>
      <c r="AHR271" s="22"/>
      <c r="AHS271" s="22"/>
      <c r="AHT271" s="22"/>
      <c r="AHU271" s="22"/>
      <c r="AHV271" s="22"/>
      <c r="AHW271" s="22"/>
      <c r="AHX271" s="22"/>
      <c r="AHY271" s="22"/>
      <c r="AHZ271" s="22"/>
      <c r="AIA271" s="22"/>
      <c r="AIB271" s="22"/>
      <c r="AIC271" s="22"/>
      <c r="AID271" s="22"/>
      <c r="AIE271" s="22"/>
      <c r="AIF271" s="22"/>
      <c r="AIG271" s="22"/>
      <c r="AIH271" s="22"/>
      <c r="AII271" s="22"/>
      <c r="AIJ271" s="22"/>
      <c r="AIK271" s="22"/>
      <c r="AIL271" s="22"/>
      <c r="AIM271" s="22"/>
      <c r="AIN271" s="22"/>
      <c r="AIO271" s="22"/>
      <c r="AIP271" s="22"/>
      <c r="AIQ271" s="22"/>
      <c r="AIR271" s="22"/>
      <c r="AIS271" s="22"/>
      <c r="AIT271" s="22"/>
      <c r="AIU271" s="22"/>
      <c r="AIV271" s="22"/>
      <c r="AIW271" s="22"/>
      <c r="AIX271" s="22"/>
      <c r="AIY271" s="22"/>
      <c r="AIZ271" s="22"/>
      <c r="AJA271" s="22"/>
      <c r="AJB271" s="22"/>
      <c r="AJC271" s="22"/>
      <c r="AJD271" s="22"/>
      <c r="AJE271" s="22"/>
      <c r="AJF271" s="22"/>
      <c r="AJG271" s="22"/>
      <c r="AJH271" s="22"/>
      <c r="AJI271" s="22"/>
      <c r="AJJ271" s="22"/>
      <c r="AJK271" s="22"/>
      <c r="AJL271" s="22"/>
      <c r="AJM271" s="22"/>
      <c r="AJN271" s="22"/>
      <c r="AJO271" s="22"/>
      <c r="AJP271" s="22"/>
      <c r="AJQ271" s="22"/>
      <c r="AJR271" s="22"/>
      <c r="AJS271" s="22"/>
      <c r="AJT271" s="22"/>
      <c r="AJU271" s="22"/>
      <c r="AJV271" s="22"/>
      <c r="AJW271" s="22"/>
      <c r="AJX271" s="22"/>
      <c r="AJY271" s="22"/>
      <c r="AJZ271" s="22"/>
      <c r="AKA271" s="22"/>
      <c r="AKB271" s="22"/>
      <c r="AKC271" s="22"/>
      <c r="AKD271" s="22"/>
      <c r="AKE271" s="22"/>
      <c r="AKF271" s="22"/>
      <c r="AKG271" s="22"/>
      <c r="AKH271" s="22"/>
      <c r="AKI271" s="22"/>
      <c r="AKJ271" s="22"/>
      <c r="AKK271" s="22"/>
      <c r="AKL271" s="22"/>
      <c r="AKM271" s="22"/>
      <c r="AKN271" s="22"/>
      <c r="AKO271" s="22"/>
      <c r="AKP271" s="22"/>
      <c r="AKQ271" s="22"/>
      <c r="AKR271" s="22"/>
      <c r="AKS271" s="22"/>
      <c r="AKT271" s="22"/>
      <c r="AKU271" s="22"/>
      <c r="AKV271" s="22"/>
      <c r="AKW271" s="22"/>
      <c r="AKX271" s="22"/>
      <c r="AKY271" s="22"/>
      <c r="AKZ271" s="22"/>
      <c r="ALA271" s="22"/>
      <c r="ALB271" s="22"/>
      <c r="ALC271" s="22"/>
      <c r="ALD271" s="22"/>
      <c r="ALE271" s="22"/>
      <c r="ALF271" s="22"/>
      <c r="ALG271" s="22"/>
      <c r="ALH271" s="22"/>
      <c r="ALI271" s="22"/>
      <c r="ALJ271" s="22"/>
      <c r="ALK271" s="22"/>
      <c r="ALL271" s="22"/>
      <c r="ALM271" s="22"/>
      <c r="ALN271" s="22"/>
      <c r="ALO271" s="22"/>
      <c r="ALP271" s="22"/>
      <c r="ALQ271" s="22"/>
      <c r="ALR271" s="22"/>
      <c r="ALS271" s="22"/>
      <c r="ALT271" s="22"/>
      <c r="ALU271" s="22"/>
      <c r="ALV271" s="22"/>
      <c r="ALW271" s="22"/>
      <c r="ALX271" s="22"/>
      <c r="ALY271" s="22"/>
      <c r="ALZ271" s="22"/>
      <c r="AMA271" s="22"/>
      <c r="AMB271" s="22"/>
      <c r="AMC271" s="22"/>
      <c r="AMD271" s="22"/>
      <c r="AME271" s="22"/>
      <c r="AMF271" s="22"/>
      <c r="AMG271" s="22"/>
      <c r="AMH271" s="22"/>
      <c r="AMI271" s="22"/>
      <c r="AMJ271" s="22"/>
      <c r="AMK271" s="22"/>
      <c r="AML271" s="22"/>
      <c r="AMM271" s="22"/>
      <c r="AMN271" s="22"/>
      <c r="AMO271" s="22"/>
      <c r="AMP271" s="22"/>
      <c r="AMQ271" s="22"/>
      <c r="AMR271" s="22"/>
      <c r="AMS271" s="22"/>
      <c r="AMT271" s="22"/>
      <c r="AMU271" s="22"/>
      <c r="AMV271" s="22"/>
      <c r="AMW271" s="22"/>
      <c r="AMX271" s="22"/>
      <c r="AMY271" s="22"/>
      <c r="AMZ271" s="22"/>
      <c r="ANA271" s="22"/>
      <c r="ANB271" s="22"/>
      <c r="ANC271" s="22"/>
      <c r="AND271" s="22"/>
      <c r="ANE271" s="22"/>
      <c r="ANF271" s="22"/>
      <c r="ANG271" s="22"/>
      <c r="ANH271" s="22"/>
      <c r="ANI271" s="22"/>
      <c r="ANJ271" s="22"/>
      <c r="ANK271" s="22"/>
      <c r="ANL271" s="22"/>
      <c r="ANM271" s="22"/>
      <c r="ANN271" s="22"/>
      <c r="ANO271" s="22"/>
      <c r="ANP271" s="22"/>
      <c r="ANQ271" s="22"/>
      <c r="ANR271" s="22"/>
      <c r="ANS271" s="22"/>
      <c r="ANT271" s="22"/>
      <c r="ANU271" s="22"/>
      <c r="ANV271" s="22"/>
      <c r="ANW271" s="22"/>
      <c r="ANX271" s="22"/>
      <c r="ANY271" s="22"/>
      <c r="ANZ271" s="22"/>
      <c r="AOA271" s="22"/>
      <c r="AOB271" s="22"/>
      <c r="AOC271" s="22"/>
      <c r="AOD271" s="22"/>
      <c r="AOE271" s="22"/>
      <c r="AOF271" s="22"/>
      <c r="AOG271" s="22"/>
      <c r="AOH271" s="22"/>
      <c r="AOI271" s="22"/>
      <c r="AOJ271" s="22"/>
      <c r="AOK271" s="22"/>
      <c r="AOL271" s="22"/>
      <c r="AOM271" s="22"/>
      <c r="AON271" s="22"/>
      <c r="AOO271" s="22"/>
      <c r="AOP271" s="22"/>
      <c r="AOQ271" s="22"/>
      <c r="AOR271" s="22"/>
      <c r="AOS271" s="22"/>
      <c r="AOT271" s="22"/>
      <c r="AOU271" s="22"/>
      <c r="AOV271" s="22"/>
      <c r="AOW271" s="22"/>
      <c r="AOX271" s="22"/>
      <c r="AOY271" s="22"/>
      <c r="AOZ271" s="22"/>
      <c r="APA271" s="22"/>
      <c r="APB271" s="22"/>
      <c r="APC271" s="22"/>
      <c r="APD271" s="22"/>
      <c r="APE271" s="22"/>
      <c r="APF271" s="22"/>
      <c r="APG271" s="22"/>
      <c r="APH271" s="22"/>
      <c r="API271" s="22"/>
      <c r="APJ271" s="22"/>
      <c r="APK271" s="22"/>
      <c r="APL271" s="22"/>
      <c r="APM271" s="22"/>
      <c r="APN271" s="22"/>
      <c r="APO271" s="22"/>
      <c r="APP271" s="22"/>
      <c r="APQ271" s="22"/>
      <c r="APR271" s="22"/>
      <c r="APS271" s="22"/>
      <c r="APT271" s="22"/>
      <c r="APU271" s="22"/>
      <c r="APV271" s="22"/>
      <c r="APW271" s="22"/>
      <c r="APX271" s="22"/>
      <c r="APY271" s="22"/>
      <c r="APZ271" s="22"/>
      <c r="AQA271" s="22"/>
      <c r="AQB271" s="22"/>
      <c r="AQC271" s="22"/>
      <c r="AQD271" s="22"/>
      <c r="AQE271" s="22"/>
      <c r="AQF271" s="22"/>
      <c r="AQG271" s="22"/>
      <c r="AQH271" s="22"/>
      <c r="AQI271" s="22"/>
      <c r="AQJ271" s="22"/>
      <c r="AQK271" s="22"/>
      <c r="AQL271" s="22"/>
      <c r="AQM271" s="22"/>
      <c r="AQN271" s="22"/>
      <c r="AQO271" s="22"/>
      <c r="AQP271" s="22"/>
      <c r="AQQ271" s="22"/>
      <c r="AQR271" s="22"/>
      <c r="AQS271" s="22"/>
      <c r="AQT271" s="22"/>
      <c r="AQU271" s="22"/>
      <c r="AQV271" s="22"/>
      <c r="AQW271" s="22"/>
      <c r="AQX271" s="22"/>
      <c r="AQY271" s="22"/>
      <c r="AQZ271" s="22"/>
      <c r="ARA271" s="22"/>
      <c r="ARB271" s="22"/>
      <c r="ARC271" s="22"/>
      <c r="ARD271" s="22"/>
      <c r="ARE271" s="22"/>
      <c r="ARF271" s="22"/>
      <c r="ARG271" s="22"/>
      <c r="ARH271" s="22"/>
      <c r="ARI271" s="22"/>
      <c r="ARJ271" s="22"/>
      <c r="ARK271" s="22"/>
      <c r="ARL271" s="22"/>
      <c r="ARM271" s="22"/>
      <c r="ARN271" s="22"/>
      <c r="ARO271" s="22"/>
      <c r="ARP271" s="22"/>
      <c r="ARQ271" s="22"/>
      <c r="ARR271" s="22"/>
      <c r="ARS271" s="22"/>
      <c r="ART271" s="22"/>
      <c r="ARU271" s="22"/>
      <c r="ARV271" s="22"/>
      <c r="ARW271" s="22"/>
      <c r="ARX271" s="22"/>
      <c r="ARY271" s="22"/>
      <c r="ARZ271" s="22"/>
      <c r="ASA271" s="22"/>
      <c r="ASB271" s="22"/>
      <c r="ASC271" s="22"/>
      <c r="ASD271" s="22"/>
      <c r="ASE271" s="22"/>
      <c r="ASF271" s="22"/>
      <c r="ASG271" s="22"/>
      <c r="ASH271" s="22"/>
      <c r="ASI271" s="22"/>
      <c r="ASJ271" s="22"/>
      <c r="ASK271" s="22"/>
      <c r="ASL271" s="22"/>
      <c r="ASM271" s="22"/>
      <c r="ASN271" s="22"/>
      <c r="ASO271" s="22"/>
      <c r="ASP271" s="22"/>
      <c r="ASQ271" s="22"/>
      <c r="ASR271" s="22"/>
      <c r="ASS271" s="22"/>
      <c r="AST271" s="22"/>
      <c r="ASU271" s="22"/>
      <c r="ASV271" s="22"/>
      <c r="ASW271" s="22"/>
      <c r="ASX271" s="22"/>
      <c r="ASY271" s="22"/>
      <c r="ASZ271" s="22"/>
      <c r="ATA271" s="22"/>
      <c r="ATB271" s="22"/>
      <c r="ATC271" s="22"/>
      <c r="ATD271" s="22"/>
      <c r="ATE271" s="22"/>
      <c r="ATF271" s="22"/>
      <c r="ATG271" s="22"/>
      <c r="ATH271" s="22"/>
      <c r="ATI271" s="22"/>
      <c r="ATJ271" s="22"/>
      <c r="ATK271" s="22"/>
      <c r="ATL271" s="22"/>
      <c r="ATM271" s="22"/>
      <c r="ATN271" s="22"/>
      <c r="ATO271" s="22"/>
      <c r="ATP271" s="22"/>
      <c r="ATQ271" s="22"/>
      <c r="ATR271" s="22"/>
      <c r="ATS271" s="22"/>
      <c r="ATT271" s="22"/>
      <c r="ATU271" s="22"/>
      <c r="ATV271" s="22"/>
      <c r="ATW271" s="22"/>
      <c r="ATX271" s="22"/>
      <c r="ATY271" s="22"/>
      <c r="ATZ271" s="22"/>
      <c r="AUA271" s="22"/>
      <c r="AUB271" s="22"/>
      <c r="AUC271" s="22"/>
      <c r="AUD271" s="22"/>
      <c r="AUE271" s="22"/>
      <c r="AUF271" s="22"/>
      <c r="AUG271" s="22"/>
      <c r="AUH271" s="22"/>
      <c r="AUI271" s="22"/>
      <c r="AUJ271" s="22"/>
      <c r="AUK271" s="22"/>
      <c r="AUL271" s="22"/>
      <c r="AUM271" s="22"/>
      <c r="AUN271" s="22"/>
      <c r="AUO271" s="22"/>
      <c r="AUP271" s="22"/>
      <c r="AUQ271" s="22"/>
      <c r="AUR271" s="22"/>
      <c r="AUS271" s="22"/>
      <c r="AUT271" s="22"/>
      <c r="AUU271" s="22"/>
      <c r="AUV271" s="22"/>
      <c r="AUW271" s="22"/>
      <c r="AUX271" s="22"/>
      <c r="AUY271" s="22"/>
      <c r="AUZ271" s="22"/>
      <c r="AVA271" s="22"/>
      <c r="AVB271" s="22"/>
      <c r="AVC271" s="22"/>
      <c r="AVD271" s="22"/>
      <c r="AVE271" s="22"/>
      <c r="AVF271" s="22"/>
      <c r="AVG271" s="22"/>
      <c r="AVH271" s="22"/>
      <c r="AVI271" s="22"/>
      <c r="AVJ271" s="22"/>
      <c r="AVK271" s="22"/>
      <c r="AVL271" s="22"/>
      <c r="AVM271" s="22"/>
      <c r="AVN271" s="22"/>
      <c r="AVO271" s="22"/>
      <c r="AVP271" s="22"/>
      <c r="AVQ271" s="22"/>
      <c r="AVR271" s="22"/>
      <c r="AVS271" s="22"/>
      <c r="AVT271" s="22"/>
      <c r="AVU271" s="22"/>
      <c r="AVV271" s="22"/>
      <c r="AVW271" s="22"/>
      <c r="AVX271" s="22"/>
      <c r="AVY271" s="22"/>
      <c r="AVZ271" s="22"/>
      <c r="AWA271" s="22"/>
      <c r="AWB271" s="22"/>
      <c r="AWC271" s="22"/>
      <c r="AWD271" s="22"/>
      <c r="AWE271" s="22"/>
      <c r="AWF271" s="22"/>
      <c r="AWG271" s="22"/>
      <c r="AWH271" s="22"/>
      <c r="AWI271" s="22"/>
      <c r="AWJ271" s="22"/>
      <c r="AWK271" s="22"/>
      <c r="AWL271" s="22"/>
      <c r="AWM271" s="22"/>
      <c r="AWN271" s="22"/>
      <c r="AWO271" s="22"/>
      <c r="AWP271" s="22"/>
      <c r="AWQ271" s="22"/>
      <c r="AWR271" s="22"/>
      <c r="AWS271" s="22"/>
      <c r="AWT271" s="22"/>
      <c r="AWU271" s="22"/>
      <c r="AWV271" s="22"/>
      <c r="AWW271" s="22"/>
      <c r="AWX271" s="22"/>
      <c r="AWY271" s="22"/>
      <c r="AWZ271" s="22"/>
      <c r="AXA271" s="22"/>
      <c r="AXB271" s="22"/>
      <c r="AXC271" s="22"/>
      <c r="AXD271" s="22"/>
      <c r="AXE271" s="22"/>
      <c r="AXF271" s="22"/>
      <c r="AXG271" s="22"/>
      <c r="AXH271" s="22"/>
      <c r="AXI271" s="22"/>
      <c r="AXJ271" s="22"/>
      <c r="AXK271" s="22"/>
      <c r="AXL271" s="22"/>
      <c r="AXM271" s="22"/>
      <c r="AXN271" s="22"/>
      <c r="AXO271" s="22"/>
      <c r="AXP271" s="22"/>
      <c r="AXQ271" s="22"/>
      <c r="AXR271" s="22"/>
      <c r="AXS271" s="22"/>
      <c r="AXT271" s="22"/>
      <c r="AXU271" s="22"/>
      <c r="AXV271" s="22"/>
      <c r="AXW271" s="22"/>
      <c r="AXX271" s="22"/>
      <c r="AXY271" s="22"/>
      <c r="AXZ271" s="22"/>
      <c r="AYA271" s="22"/>
      <c r="AYB271" s="22"/>
      <c r="AYC271" s="22"/>
      <c r="AYD271" s="22"/>
      <c r="AYE271" s="22"/>
      <c r="AYF271" s="22"/>
      <c r="AYG271" s="22"/>
      <c r="AYH271" s="22"/>
      <c r="AYI271" s="22"/>
      <c r="AYJ271" s="22"/>
      <c r="AYK271" s="22"/>
      <c r="AYL271" s="22"/>
      <c r="AYM271" s="22"/>
      <c r="AYN271" s="22"/>
      <c r="AYO271" s="22"/>
      <c r="AYP271" s="22"/>
      <c r="AYQ271" s="22"/>
      <c r="AYR271" s="22"/>
      <c r="AYS271" s="22"/>
      <c r="AYT271" s="22"/>
      <c r="AYU271" s="22"/>
      <c r="AYV271" s="22"/>
      <c r="AYW271" s="22"/>
      <c r="AYX271" s="22"/>
      <c r="AYY271" s="22"/>
      <c r="AYZ271" s="22"/>
      <c r="AZA271" s="22"/>
      <c r="AZB271" s="22"/>
      <c r="AZC271" s="22"/>
      <c r="AZD271" s="22"/>
      <c r="AZE271" s="22"/>
      <c r="AZF271" s="22"/>
      <c r="AZG271" s="22"/>
      <c r="AZH271" s="22"/>
      <c r="AZI271" s="22"/>
      <c r="AZJ271" s="22"/>
      <c r="AZK271" s="22"/>
      <c r="AZL271" s="22"/>
      <c r="AZM271" s="22"/>
      <c r="AZN271" s="22"/>
      <c r="AZO271" s="22"/>
      <c r="AZP271" s="22"/>
      <c r="AZQ271" s="22"/>
      <c r="AZR271" s="22"/>
      <c r="AZS271" s="22"/>
      <c r="AZT271" s="22"/>
      <c r="AZU271" s="22"/>
      <c r="AZV271" s="22"/>
      <c r="AZW271" s="22"/>
      <c r="AZX271" s="22"/>
      <c r="AZY271" s="22"/>
      <c r="AZZ271" s="22"/>
      <c r="BAA271" s="22"/>
      <c r="BAB271" s="22"/>
      <c r="BAC271" s="22"/>
      <c r="BAD271" s="22"/>
      <c r="BAE271" s="22"/>
      <c r="BAF271" s="22"/>
      <c r="BAG271" s="22"/>
      <c r="BAH271" s="22"/>
      <c r="BAI271" s="22"/>
      <c r="BAJ271" s="22"/>
      <c r="BAK271" s="22"/>
      <c r="BAL271" s="22"/>
      <c r="BAM271" s="22"/>
      <c r="BAN271" s="22"/>
      <c r="BAO271" s="22"/>
      <c r="BAP271" s="22"/>
      <c r="BAQ271" s="22"/>
      <c r="BAR271" s="22"/>
      <c r="BAS271" s="22"/>
      <c r="BAT271" s="22"/>
      <c r="BAU271" s="22"/>
      <c r="BAV271" s="22"/>
      <c r="BAW271" s="22"/>
      <c r="BAX271" s="22"/>
      <c r="BAY271" s="22"/>
      <c r="BAZ271" s="22"/>
      <c r="BBA271" s="22"/>
      <c r="BBB271" s="22"/>
      <c r="BBC271" s="22"/>
      <c r="BBD271" s="22"/>
      <c r="BBE271" s="22"/>
      <c r="BBF271" s="22"/>
      <c r="BBG271" s="22"/>
      <c r="BBH271" s="22"/>
      <c r="BBI271" s="22"/>
      <c r="BBJ271" s="22"/>
      <c r="BBK271" s="22"/>
      <c r="BBL271" s="22"/>
      <c r="BBM271" s="22"/>
      <c r="BBN271" s="22"/>
      <c r="BBO271" s="22"/>
      <c r="BBP271" s="22"/>
      <c r="BBQ271" s="22"/>
      <c r="BBR271" s="22"/>
      <c r="BBS271" s="22"/>
      <c r="BBT271" s="22"/>
      <c r="BBU271" s="22"/>
      <c r="BBV271" s="22"/>
      <c r="BBW271" s="22"/>
      <c r="BBX271" s="22"/>
      <c r="BBY271" s="22"/>
      <c r="BBZ271" s="22"/>
      <c r="BCA271" s="22"/>
      <c r="BCB271" s="22"/>
      <c r="BCC271" s="22"/>
      <c r="BCD271" s="22"/>
      <c r="BCE271" s="22"/>
      <c r="BCF271" s="22"/>
      <c r="BCG271" s="22"/>
      <c r="BCH271" s="22"/>
      <c r="BCI271" s="22"/>
      <c r="BCJ271" s="22"/>
      <c r="BCK271" s="22"/>
      <c r="BCL271" s="22"/>
      <c r="BCM271" s="22"/>
      <c r="BCN271" s="22"/>
      <c r="BCO271" s="22"/>
      <c r="BCP271" s="22"/>
      <c r="BCQ271" s="22"/>
      <c r="BCR271" s="22"/>
      <c r="BCS271" s="22"/>
      <c r="BCT271" s="22"/>
      <c r="BCU271" s="22"/>
      <c r="BCV271" s="22"/>
      <c r="BCW271" s="22"/>
      <c r="BCX271" s="22"/>
      <c r="BCY271" s="22"/>
      <c r="BCZ271" s="22"/>
      <c r="BDA271" s="22"/>
      <c r="BDB271" s="22"/>
      <c r="BDC271" s="22"/>
      <c r="BDD271" s="22"/>
      <c r="BDE271" s="22"/>
      <c r="BDF271" s="22"/>
      <c r="BDG271" s="22"/>
      <c r="BDH271" s="22"/>
      <c r="BDI271" s="22"/>
      <c r="BDJ271" s="22"/>
      <c r="BDK271" s="22"/>
      <c r="BDL271" s="22"/>
      <c r="BDM271" s="22"/>
      <c r="BDN271" s="22"/>
      <c r="BDO271" s="22"/>
      <c r="BDP271" s="22"/>
      <c r="BDQ271" s="22"/>
      <c r="BDR271" s="22"/>
      <c r="BDS271" s="22"/>
      <c r="BDT271" s="22"/>
      <c r="BDU271" s="22"/>
      <c r="BDV271" s="22"/>
      <c r="BDW271" s="22"/>
      <c r="BDX271" s="22"/>
      <c r="BDY271" s="22"/>
      <c r="BDZ271" s="22"/>
      <c r="BEA271" s="22"/>
      <c r="BEB271" s="22"/>
      <c r="BEC271" s="22"/>
      <c r="BED271" s="22"/>
      <c r="BEE271" s="22"/>
      <c r="BEF271" s="22"/>
      <c r="BEG271" s="22"/>
      <c r="BEH271" s="22"/>
      <c r="BEI271" s="22"/>
      <c r="BEJ271" s="22"/>
      <c r="BEK271" s="22"/>
      <c r="BEL271" s="22"/>
      <c r="BEM271" s="22"/>
      <c r="BEN271" s="22"/>
      <c r="BEO271" s="22"/>
      <c r="BEP271" s="22"/>
      <c r="BEQ271" s="22"/>
      <c r="BER271" s="22"/>
      <c r="BES271" s="22"/>
      <c r="BET271" s="22"/>
      <c r="BEU271" s="22"/>
      <c r="BEV271" s="22"/>
      <c r="BEW271" s="22"/>
      <c r="BEX271" s="22"/>
      <c r="BEY271" s="22"/>
      <c r="BEZ271" s="22"/>
      <c r="BFA271" s="22"/>
      <c r="BFB271" s="22"/>
      <c r="BFC271" s="22"/>
      <c r="BFD271" s="22"/>
      <c r="BFE271" s="22"/>
      <c r="BFF271" s="22"/>
      <c r="BFG271" s="22"/>
      <c r="BFH271" s="22"/>
      <c r="BFI271" s="22"/>
      <c r="BFJ271" s="22"/>
      <c r="BFK271" s="22"/>
      <c r="BFL271" s="22"/>
      <c r="BFM271" s="22"/>
      <c r="BFN271" s="22"/>
      <c r="BFO271" s="22"/>
      <c r="BFP271" s="22"/>
      <c r="BFQ271" s="22"/>
      <c r="BFR271" s="22"/>
      <c r="BFS271" s="22"/>
      <c r="BFT271" s="22"/>
      <c r="BFU271" s="22"/>
      <c r="BFV271" s="22"/>
      <c r="BFW271" s="22"/>
      <c r="BFX271" s="22"/>
      <c r="BFY271" s="22"/>
      <c r="BFZ271" s="22"/>
      <c r="BGA271" s="22"/>
      <c r="BGB271" s="22"/>
      <c r="BGC271" s="22"/>
      <c r="BGD271" s="22"/>
      <c r="BGE271" s="22"/>
      <c r="BGF271" s="22"/>
      <c r="BGG271" s="22"/>
      <c r="BGH271" s="22"/>
      <c r="BGI271" s="22"/>
      <c r="BGJ271" s="22"/>
      <c r="BGK271" s="22"/>
      <c r="BGL271" s="22"/>
      <c r="BGM271" s="22"/>
      <c r="BGN271" s="22"/>
      <c r="BGO271" s="22"/>
      <c r="BGP271" s="22"/>
      <c r="BGQ271" s="22"/>
      <c r="BGR271" s="22"/>
      <c r="BGS271" s="22"/>
      <c r="BGT271" s="22"/>
      <c r="BGU271" s="22"/>
      <c r="BGV271" s="22"/>
      <c r="BGW271" s="22"/>
      <c r="BGX271" s="22"/>
      <c r="BGY271" s="22"/>
      <c r="BGZ271" s="22"/>
      <c r="BHA271" s="22"/>
      <c r="BHB271" s="22"/>
      <c r="BHC271" s="22"/>
      <c r="BHD271" s="22"/>
      <c r="BHE271" s="22"/>
      <c r="BHF271" s="22"/>
      <c r="BHG271" s="22"/>
      <c r="BHH271" s="22"/>
      <c r="BHI271" s="22"/>
      <c r="BHJ271" s="22"/>
      <c r="BHK271" s="22"/>
      <c r="BHL271" s="22"/>
      <c r="BHM271" s="22"/>
      <c r="BHN271" s="22"/>
      <c r="BHO271" s="22"/>
      <c r="BHP271" s="22"/>
      <c r="BHQ271" s="22"/>
      <c r="BHR271" s="22"/>
      <c r="BHS271" s="22"/>
      <c r="BHT271" s="22"/>
      <c r="BHU271" s="22"/>
      <c r="BHV271" s="22"/>
      <c r="BHW271" s="22"/>
      <c r="BHX271" s="22"/>
      <c r="BHY271" s="22"/>
      <c r="BHZ271" s="22"/>
      <c r="BIA271" s="22"/>
      <c r="BIB271" s="22"/>
      <c r="BIC271" s="22"/>
      <c r="BID271" s="22"/>
      <c r="BIE271" s="22"/>
      <c r="BIF271" s="22"/>
      <c r="BIG271" s="22"/>
      <c r="BIH271" s="22"/>
      <c r="BII271" s="22"/>
      <c r="BIJ271" s="22"/>
      <c r="BIK271" s="22"/>
      <c r="BIL271" s="22"/>
      <c r="BIM271" s="22"/>
      <c r="BIN271" s="22"/>
      <c r="BIO271" s="22"/>
      <c r="BIP271" s="22"/>
      <c r="BIQ271" s="22"/>
      <c r="BIR271" s="22"/>
      <c r="BIS271" s="22"/>
      <c r="BIT271" s="22"/>
      <c r="BIU271" s="22"/>
      <c r="BIV271" s="22"/>
      <c r="BIW271" s="22"/>
      <c r="BIX271" s="22"/>
      <c r="BIY271" s="22"/>
      <c r="BIZ271" s="22"/>
      <c r="BJA271" s="22"/>
      <c r="BJB271" s="22"/>
      <c r="BJC271" s="22"/>
      <c r="BJD271" s="22"/>
      <c r="BJE271" s="22"/>
      <c r="BJF271" s="22"/>
      <c r="BJG271" s="22"/>
      <c r="BJH271" s="22"/>
      <c r="BJI271" s="22"/>
      <c r="BJJ271" s="22"/>
      <c r="BJK271" s="22"/>
      <c r="BJL271" s="22"/>
      <c r="BJM271" s="22"/>
      <c r="BJN271" s="22"/>
      <c r="BJO271" s="22"/>
      <c r="BJP271" s="22"/>
      <c r="BJQ271" s="22"/>
      <c r="BJR271" s="22"/>
      <c r="BJS271" s="22"/>
      <c r="BJT271" s="22"/>
      <c r="BJU271" s="22"/>
      <c r="BJV271" s="22"/>
      <c r="BJW271" s="22"/>
      <c r="BJX271" s="22"/>
      <c r="BJY271" s="22"/>
      <c r="BJZ271" s="22"/>
      <c r="BKA271" s="22"/>
      <c r="BKB271" s="22"/>
      <c r="BKC271" s="22"/>
      <c r="BKD271" s="22"/>
      <c r="BKE271" s="22"/>
      <c r="BKF271" s="22"/>
      <c r="BKG271" s="22"/>
      <c r="BKH271" s="22"/>
      <c r="BKI271" s="22"/>
      <c r="BKJ271" s="22"/>
      <c r="BKK271" s="22"/>
      <c r="BKL271" s="22"/>
      <c r="BKM271" s="22"/>
      <c r="BKN271" s="22"/>
      <c r="BKO271" s="22"/>
      <c r="BKP271" s="22"/>
      <c r="BKQ271" s="22"/>
      <c r="BKR271" s="22"/>
      <c r="BKS271" s="22"/>
      <c r="BKT271" s="22"/>
      <c r="BKU271" s="22"/>
      <c r="BKV271" s="22"/>
      <c r="BKW271" s="22"/>
      <c r="BKX271" s="22"/>
      <c r="BKY271" s="22"/>
      <c r="BKZ271" s="22"/>
      <c r="BLA271" s="22"/>
      <c r="BLB271" s="22"/>
      <c r="BLC271" s="22"/>
      <c r="BLD271" s="22"/>
      <c r="BLE271" s="22"/>
      <c r="BLF271" s="22"/>
      <c r="BLG271" s="22"/>
      <c r="BLH271" s="22"/>
      <c r="BLI271" s="22"/>
      <c r="BLJ271" s="22"/>
      <c r="BLK271" s="22"/>
      <c r="BLL271" s="22"/>
      <c r="BLM271" s="22"/>
      <c r="BLN271" s="22"/>
      <c r="BLO271" s="22"/>
      <c r="BLP271" s="22"/>
      <c r="BLQ271" s="22"/>
      <c r="BLR271" s="22"/>
      <c r="BLS271" s="22"/>
      <c r="BLT271" s="22"/>
      <c r="BLU271" s="22"/>
      <c r="BLV271" s="22"/>
      <c r="BLW271" s="22"/>
      <c r="BLX271" s="22"/>
      <c r="BLY271" s="22"/>
      <c r="BLZ271" s="22"/>
      <c r="BMA271" s="22"/>
      <c r="BMB271" s="22"/>
      <c r="BMC271" s="22"/>
      <c r="BMD271" s="22"/>
      <c r="BME271" s="22"/>
      <c r="BMF271" s="22"/>
      <c r="BMG271" s="22"/>
      <c r="BMH271" s="22"/>
      <c r="BMI271" s="22"/>
      <c r="BMJ271" s="22"/>
      <c r="BMK271" s="22"/>
      <c r="BML271" s="22"/>
      <c r="BMM271" s="22"/>
      <c r="BMN271" s="22"/>
      <c r="BMO271" s="22"/>
      <c r="BMP271" s="22"/>
      <c r="BMQ271" s="22"/>
      <c r="BMR271" s="22"/>
      <c r="BMS271" s="22"/>
      <c r="BMT271" s="22"/>
      <c r="BMU271" s="22"/>
      <c r="BMV271" s="22"/>
      <c r="BMW271" s="22"/>
      <c r="BMX271" s="22"/>
      <c r="BMY271" s="22"/>
      <c r="BMZ271" s="22"/>
      <c r="BNA271" s="22"/>
      <c r="BNB271" s="22"/>
      <c r="BNC271" s="22"/>
      <c r="BND271" s="22"/>
      <c r="BNE271" s="22"/>
      <c r="BNF271" s="22"/>
      <c r="BNG271" s="22"/>
      <c r="BNH271" s="22"/>
      <c r="BNI271" s="22"/>
      <c r="BNJ271" s="22"/>
      <c r="BNK271" s="22"/>
      <c r="BNL271" s="22"/>
      <c r="BNM271" s="22"/>
      <c r="BNN271" s="22"/>
      <c r="BNO271" s="22"/>
      <c r="BNP271" s="22"/>
      <c r="BNQ271" s="22"/>
      <c r="BNR271" s="22"/>
      <c r="BNS271" s="22"/>
      <c r="BNT271" s="22"/>
      <c r="BNU271" s="22"/>
      <c r="BNV271" s="22"/>
      <c r="BNW271" s="22"/>
      <c r="BNX271" s="22"/>
      <c r="BNY271" s="22"/>
      <c r="BNZ271" s="22"/>
      <c r="BOA271" s="22"/>
      <c r="BOB271" s="22"/>
      <c r="BOC271" s="22"/>
      <c r="BOD271" s="22"/>
      <c r="BOE271" s="22"/>
      <c r="BOF271" s="22"/>
      <c r="BOG271" s="22"/>
      <c r="BOH271" s="22"/>
      <c r="BOI271" s="22"/>
      <c r="BOJ271" s="22"/>
      <c r="BOK271" s="22"/>
      <c r="BOL271" s="22"/>
      <c r="BOM271" s="22"/>
      <c r="BON271" s="22"/>
      <c r="BOO271" s="22"/>
      <c r="BOP271" s="22"/>
      <c r="BOQ271" s="22"/>
      <c r="BOR271" s="22"/>
      <c r="BOS271" s="22"/>
      <c r="BOT271" s="22"/>
      <c r="BOU271" s="22"/>
      <c r="BOV271" s="22"/>
      <c r="BOW271" s="22"/>
      <c r="BOX271" s="22"/>
      <c r="BOY271" s="22"/>
      <c r="BOZ271" s="22"/>
      <c r="BPA271" s="22"/>
      <c r="BPB271" s="22"/>
      <c r="BPC271" s="22"/>
      <c r="BPD271" s="22"/>
      <c r="BPE271" s="22"/>
      <c r="BPF271" s="22"/>
      <c r="BPG271" s="22"/>
      <c r="BPH271" s="22"/>
      <c r="BPI271" s="22"/>
      <c r="BPJ271" s="22"/>
      <c r="BPK271" s="22"/>
      <c r="BPL271" s="22"/>
      <c r="BPM271" s="22"/>
      <c r="BPN271" s="22"/>
      <c r="BPO271" s="22"/>
      <c r="BPP271" s="22"/>
      <c r="BPQ271" s="22"/>
      <c r="BPR271" s="22"/>
      <c r="BPS271" s="22"/>
      <c r="BPT271" s="22"/>
      <c r="BPU271" s="22"/>
      <c r="BPV271" s="22"/>
      <c r="BPW271" s="22"/>
      <c r="BPX271" s="22"/>
      <c r="BPY271" s="22"/>
      <c r="BPZ271" s="22"/>
      <c r="BQA271" s="22"/>
      <c r="BQB271" s="22"/>
      <c r="BQC271" s="22"/>
      <c r="BQD271" s="22"/>
      <c r="BQE271" s="22"/>
      <c r="BQF271" s="22"/>
      <c r="BQG271" s="22"/>
      <c r="BQH271" s="22"/>
      <c r="BQI271" s="22"/>
      <c r="BQJ271" s="22"/>
      <c r="BQK271" s="22"/>
      <c r="BQL271" s="22"/>
      <c r="BQM271" s="22"/>
      <c r="BQN271" s="22"/>
      <c r="BQO271" s="22"/>
      <c r="BQP271" s="22"/>
      <c r="BQQ271" s="22"/>
      <c r="BQR271" s="22"/>
      <c r="BQS271" s="22"/>
      <c r="BQT271" s="22"/>
      <c r="BQU271" s="22"/>
      <c r="BQV271" s="22"/>
      <c r="BQW271" s="22"/>
      <c r="BQX271" s="22"/>
      <c r="BQY271" s="22"/>
      <c r="BQZ271" s="22"/>
      <c r="BRA271" s="22"/>
      <c r="BRB271" s="22"/>
      <c r="BRC271" s="22"/>
      <c r="BRD271" s="22"/>
      <c r="BRE271" s="22"/>
      <c r="BRF271" s="22"/>
      <c r="BRG271" s="22"/>
      <c r="BRH271" s="22"/>
      <c r="BRI271" s="22"/>
      <c r="BRJ271" s="22"/>
      <c r="BRK271" s="22"/>
      <c r="BRL271" s="22"/>
      <c r="BRM271" s="22"/>
      <c r="BRN271" s="22"/>
      <c r="BRO271" s="22"/>
      <c r="BRP271" s="22"/>
      <c r="BRQ271" s="22"/>
      <c r="BRR271" s="22"/>
      <c r="BRS271" s="22"/>
      <c r="BRT271" s="22"/>
      <c r="BRU271" s="22"/>
      <c r="BRV271" s="22"/>
      <c r="BRW271" s="22"/>
      <c r="BRX271" s="22"/>
      <c r="BRY271" s="22"/>
      <c r="BRZ271" s="22"/>
      <c r="BSA271" s="22"/>
      <c r="BSB271" s="22"/>
      <c r="BSC271" s="22"/>
      <c r="BSD271" s="22"/>
      <c r="BSE271" s="22"/>
      <c r="BSF271" s="22"/>
      <c r="BSG271" s="22"/>
      <c r="BSH271" s="22"/>
      <c r="BSI271" s="22"/>
      <c r="BSJ271" s="22"/>
      <c r="BSK271" s="22"/>
      <c r="BSL271" s="22"/>
      <c r="BSM271" s="22"/>
      <c r="BSN271" s="22"/>
      <c r="BSO271" s="22"/>
      <c r="BSP271" s="22"/>
      <c r="BSQ271" s="22"/>
      <c r="BSR271" s="22"/>
      <c r="BSS271" s="22"/>
      <c r="BST271" s="22"/>
      <c r="BSU271" s="22"/>
      <c r="BSV271" s="22"/>
      <c r="BSW271" s="22"/>
      <c r="BSX271" s="22"/>
      <c r="BSY271" s="22"/>
      <c r="BSZ271" s="22"/>
      <c r="BTA271" s="22"/>
      <c r="BTB271" s="22"/>
      <c r="BTC271" s="22"/>
      <c r="BTD271" s="22"/>
      <c r="BTE271" s="22"/>
      <c r="BTF271" s="22"/>
      <c r="BTG271" s="22"/>
      <c r="BTH271" s="22"/>
      <c r="BTI271" s="22"/>
      <c r="BTJ271" s="22"/>
      <c r="BTK271" s="22"/>
      <c r="BTL271" s="22"/>
      <c r="BTM271" s="22"/>
      <c r="BTN271" s="22"/>
      <c r="BTO271" s="22"/>
      <c r="BTP271" s="22"/>
      <c r="BTQ271" s="22"/>
      <c r="BTR271" s="22"/>
      <c r="BTS271" s="22"/>
      <c r="BTT271" s="22"/>
      <c r="BTU271" s="22"/>
      <c r="BTV271" s="22"/>
      <c r="BTW271" s="22"/>
      <c r="BTX271" s="22"/>
      <c r="BTY271" s="22"/>
      <c r="BTZ271" s="22"/>
      <c r="BUA271" s="22"/>
      <c r="BUB271" s="22"/>
      <c r="BUC271" s="22"/>
      <c r="BUD271" s="22"/>
      <c r="BUE271" s="22"/>
      <c r="BUF271" s="22"/>
      <c r="BUG271" s="22"/>
      <c r="BUH271" s="22"/>
      <c r="BUI271" s="22"/>
      <c r="BUJ271" s="22"/>
      <c r="BUK271" s="22"/>
      <c r="BUL271" s="22"/>
      <c r="BUM271" s="22"/>
      <c r="BUN271" s="22"/>
      <c r="BUO271" s="22"/>
      <c r="BUP271" s="22"/>
      <c r="BUQ271" s="22"/>
      <c r="BUR271" s="22"/>
      <c r="BUS271" s="22"/>
      <c r="BUT271" s="22"/>
      <c r="BUU271" s="22"/>
      <c r="BUV271" s="22"/>
      <c r="BUW271" s="22"/>
      <c r="BUX271" s="22"/>
      <c r="BUY271" s="22"/>
      <c r="BUZ271" s="22"/>
      <c r="BVA271" s="22"/>
      <c r="BVB271" s="22"/>
      <c r="BVC271" s="22"/>
      <c r="BVD271" s="22"/>
      <c r="BVE271" s="22"/>
      <c r="BVF271" s="22"/>
      <c r="BVG271" s="22"/>
      <c r="BVH271" s="22"/>
      <c r="BVI271" s="22"/>
      <c r="BVJ271" s="22"/>
      <c r="BVK271" s="22"/>
      <c r="BVL271" s="22"/>
      <c r="BVM271" s="22"/>
      <c r="BVN271" s="22"/>
      <c r="BVO271" s="22"/>
      <c r="BVP271" s="22"/>
      <c r="BVQ271" s="22"/>
      <c r="BVR271" s="22"/>
      <c r="BVS271" s="22"/>
      <c r="BVT271" s="22"/>
      <c r="BVU271" s="22"/>
      <c r="BVV271" s="22"/>
      <c r="BVW271" s="22"/>
      <c r="BVX271" s="22"/>
      <c r="BVY271" s="22"/>
      <c r="BVZ271" s="22"/>
      <c r="BWA271" s="22"/>
      <c r="BWB271" s="22"/>
      <c r="BWC271" s="22"/>
      <c r="BWD271" s="22"/>
      <c r="BWE271" s="22"/>
      <c r="BWF271" s="22"/>
      <c r="BWG271" s="22"/>
      <c r="BWH271" s="22"/>
      <c r="BWI271" s="22"/>
      <c r="BWJ271" s="22"/>
      <c r="BWK271" s="22"/>
      <c r="BWL271" s="22"/>
      <c r="BWM271" s="22"/>
      <c r="BWN271" s="22"/>
      <c r="BWO271" s="22"/>
      <c r="BWP271" s="22"/>
      <c r="BWQ271" s="22"/>
      <c r="BWR271" s="22"/>
      <c r="BWS271" s="22"/>
      <c r="BWT271" s="22"/>
      <c r="BWU271" s="22"/>
      <c r="BWV271" s="22"/>
      <c r="BWW271" s="22"/>
      <c r="BWX271" s="22"/>
      <c r="BWY271" s="22"/>
      <c r="BWZ271" s="22"/>
      <c r="BXA271" s="22"/>
      <c r="BXB271" s="22"/>
      <c r="BXC271" s="22"/>
      <c r="BXD271" s="22"/>
      <c r="BXE271" s="22"/>
      <c r="BXF271" s="22"/>
      <c r="BXG271" s="22"/>
      <c r="BXH271" s="22"/>
      <c r="BXI271" s="22"/>
      <c r="BXJ271" s="22"/>
      <c r="BXK271" s="22"/>
      <c r="BXL271" s="22"/>
      <c r="BXM271" s="22"/>
      <c r="BXN271" s="22"/>
      <c r="BXO271" s="22"/>
      <c r="BXP271" s="22"/>
      <c r="BXQ271" s="22"/>
      <c r="BXR271" s="22"/>
      <c r="BXS271" s="22"/>
      <c r="BXT271" s="22"/>
      <c r="BXU271" s="22"/>
      <c r="BXV271" s="22"/>
      <c r="BXW271" s="22"/>
      <c r="BXX271" s="22"/>
      <c r="BXY271" s="22"/>
      <c r="BXZ271" s="22"/>
      <c r="BYA271" s="22"/>
      <c r="BYB271" s="22"/>
      <c r="BYC271" s="22"/>
      <c r="BYD271" s="22"/>
      <c r="BYE271" s="22"/>
      <c r="BYF271" s="22"/>
      <c r="BYG271" s="22"/>
      <c r="BYH271" s="22"/>
      <c r="BYI271" s="22"/>
      <c r="BYJ271" s="22"/>
      <c r="BYK271" s="22"/>
      <c r="BYL271" s="22"/>
      <c r="BYM271" s="22"/>
      <c r="BYN271" s="22"/>
      <c r="BYO271" s="22"/>
      <c r="BYP271" s="22"/>
      <c r="BYQ271" s="22"/>
      <c r="BYR271" s="22"/>
      <c r="BYS271" s="22"/>
      <c r="BYT271" s="22"/>
      <c r="BYU271" s="22"/>
      <c r="BYV271" s="22"/>
      <c r="BYW271" s="22"/>
      <c r="BYX271" s="22"/>
      <c r="BYY271" s="22"/>
      <c r="BYZ271" s="22"/>
      <c r="BZA271" s="22"/>
      <c r="BZB271" s="22"/>
      <c r="BZC271" s="22"/>
      <c r="BZD271" s="22"/>
      <c r="BZE271" s="22"/>
      <c r="BZF271" s="22"/>
      <c r="BZG271" s="22"/>
      <c r="BZH271" s="22"/>
      <c r="BZI271" s="22"/>
      <c r="BZJ271" s="22"/>
      <c r="BZK271" s="22"/>
      <c r="BZL271" s="22"/>
      <c r="BZM271" s="22"/>
      <c r="BZN271" s="22"/>
      <c r="BZO271" s="22"/>
      <c r="BZP271" s="22"/>
      <c r="BZQ271" s="22"/>
      <c r="BZR271" s="22"/>
      <c r="BZS271" s="22"/>
      <c r="BZT271" s="22"/>
      <c r="BZU271" s="22"/>
      <c r="BZV271" s="22"/>
      <c r="BZW271" s="22"/>
      <c r="BZX271" s="22"/>
      <c r="BZY271" s="22"/>
      <c r="BZZ271" s="22"/>
      <c r="CAA271" s="22"/>
      <c r="CAB271" s="22"/>
      <c r="CAC271" s="22"/>
      <c r="CAD271" s="22"/>
      <c r="CAE271" s="22"/>
      <c r="CAF271" s="22"/>
      <c r="CAG271" s="22"/>
      <c r="CAH271" s="22"/>
      <c r="CAI271" s="22"/>
      <c r="CAJ271" s="22"/>
      <c r="CAK271" s="22"/>
      <c r="CAL271" s="22"/>
      <c r="CAM271" s="22"/>
      <c r="CAN271" s="22"/>
      <c r="CAO271" s="22"/>
      <c r="CAP271" s="22"/>
      <c r="CAQ271" s="22"/>
      <c r="CAR271" s="22"/>
      <c r="CAS271" s="22"/>
      <c r="CAT271" s="22"/>
      <c r="CAU271" s="22"/>
      <c r="CAV271" s="22"/>
      <c r="CAW271" s="22"/>
      <c r="CAX271" s="22"/>
      <c r="CAY271" s="22"/>
      <c r="CAZ271" s="22"/>
      <c r="CBA271" s="22"/>
      <c r="CBB271" s="22"/>
      <c r="CBC271" s="22"/>
      <c r="CBD271" s="22"/>
      <c r="CBE271" s="22"/>
      <c r="CBF271" s="22"/>
      <c r="CBG271" s="22"/>
      <c r="CBH271" s="22"/>
      <c r="CBI271" s="22"/>
      <c r="CBJ271" s="22"/>
      <c r="CBK271" s="22"/>
      <c r="CBL271" s="22"/>
      <c r="CBM271" s="22"/>
      <c r="CBN271" s="22"/>
      <c r="CBO271" s="22"/>
      <c r="CBP271" s="22"/>
      <c r="CBQ271" s="22"/>
      <c r="CBR271" s="22"/>
      <c r="CBS271" s="22"/>
      <c r="CBT271" s="22"/>
      <c r="CBU271" s="22"/>
      <c r="CBV271" s="22"/>
      <c r="CBW271" s="22"/>
      <c r="CBX271" s="22"/>
      <c r="CBY271" s="22"/>
      <c r="CBZ271" s="22"/>
      <c r="CCA271" s="22"/>
      <c r="CCB271" s="22"/>
      <c r="CCC271" s="22"/>
      <c r="CCD271" s="22"/>
      <c r="CCE271" s="22"/>
      <c r="CCF271" s="22"/>
      <c r="CCG271" s="22"/>
      <c r="CCH271" s="22"/>
      <c r="CCI271" s="22"/>
      <c r="CCJ271" s="22"/>
      <c r="CCK271" s="22"/>
      <c r="CCL271" s="22"/>
      <c r="CCM271" s="22"/>
      <c r="CCN271" s="22"/>
      <c r="CCO271" s="22"/>
      <c r="CCP271" s="22"/>
      <c r="CCQ271" s="22"/>
      <c r="CCR271" s="22"/>
      <c r="CCS271" s="22"/>
      <c r="CCT271" s="22"/>
      <c r="CCU271" s="22"/>
      <c r="CCV271" s="22"/>
      <c r="CCW271" s="22"/>
      <c r="CCX271" s="22"/>
      <c r="CCY271" s="22"/>
      <c r="CCZ271" s="22"/>
      <c r="CDA271" s="22"/>
      <c r="CDB271" s="22"/>
      <c r="CDC271" s="22"/>
      <c r="CDD271" s="22"/>
      <c r="CDE271" s="22"/>
      <c r="CDF271" s="22"/>
      <c r="CDG271" s="22"/>
      <c r="CDH271" s="22"/>
      <c r="CDI271" s="22"/>
      <c r="CDJ271" s="22"/>
      <c r="CDK271" s="22"/>
      <c r="CDL271" s="22"/>
      <c r="CDM271" s="22"/>
      <c r="CDN271" s="22"/>
      <c r="CDO271" s="22"/>
      <c r="CDP271" s="22"/>
      <c r="CDQ271" s="22"/>
      <c r="CDR271" s="22"/>
      <c r="CDS271" s="22"/>
      <c r="CDT271" s="22"/>
      <c r="CDU271" s="22"/>
      <c r="CDV271" s="22"/>
      <c r="CDW271" s="22"/>
      <c r="CDX271" s="22"/>
      <c r="CDY271" s="22"/>
      <c r="CDZ271" s="22"/>
      <c r="CEA271" s="22"/>
      <c r="CEB271" s="22"/>
      <c r="CEC271" s="22"/>
      <c r="CED271" s="22"/>
      <c r="CEE271" s="22"/>
      <c r="CEF271" s="22"/>
      <c r="CEG271" s="22"/>
      <c r="CEH271" s="22"/>
      <c r="CEI271" s="22"/>
      <c r="CEJ271" s="22"/>
      <c r="CEK271" s="22"/>
      <c r="CEL271" s="22"/>
      <c r="CEM271" s="22"/>
      <c r="CEN271" s="22"/>
      <c r="CEO271" s="22"/>
      <c r="CEP271" s="22"/>
      <c r="CEQ271" s="22"/>
      <c r="CER271" s="22"/>
      <c r="CES271" s="22"/>
      <c r="CET271" s="22"/>
      <c r="CEU271" s="22"/>
      <c r="CEV271" s="22"/>
      <c r="CEW271" s="22"/>
      <c r="CEX271" s="22"/>
      <c r="CEY271" s="22"/>
      <c r="CEZ271" s="22"/>
      <c r="CFA271" s="22"/>
      <c r="CFB271" s="22"/>
      <c r="CFC271" s="22"/>
      <c r="CFD271" s="22"/>
      <c r="CFE271" s="22"/>
      <c r="CFF271" s="22"/>
      <c r="CFG271" s="22"/>
      <c r="CFH271" s="22"/>
      <c r="CFI271" s="22"/>
      <c r="CFJ271" s="22"/>
      <c r="CFK271" s="22"/>
      <c r="CFL271" s="22"/>
      <c r="CFM271" s="22"/>
      <c r="CFN271" s="22"/>
      <c r="CFO271" s="22"/>
      <c r="CFP271" s="22"/>
      <c r="CFQ271" s="22"/>
      <c r="CFR271" s="22"/>
      <c r="CFS271" s="22"/>
      <c r="CFT271" s="22"/>
      <c r="CFU271" s="22"/>
      <c r="CFV271" s="22"/>
      <c r="CFW271" s="22"/>
      <c r="CFX271" s="22"/>
      <c r="CFY271" s="22"/>
      <c r="CFZ271" s="22"/>
      <c r="CGA271" s="22"/>
      <c r="CGB271" s="22"/>
      <c r="CGC271" s="22"/>
      <c r="CGD271" s="22"/>
      <c r="CGE271" s="22"/>
      <c r="CGF271" s="22"/>
      <c r="CGG271" s="22"/>
      <c r="CGH271" s="22"/>
      <c r="CGI271" s="22"/>
      <c r="CGJ271" s="22"/>
      <c r="CGK271" s="22"/>
      <c r="CGL271" s="22"/>
      <c r="CGM271" s="22"/>
      <c r="CGN271" s="22"/>
      <c r="CGO271" s="22"/>
      <c r="CGP271" s="22"/>
      <c r="CGQ271" s="22"/>
      <c r="CGR271" s="22"/>
      <c r="CGS271" s="22"/>
      <c r="CGT271" s="22"/>
      <c r="CGU271" s="22"/>
      <c r="CGV271" s="22"/>
      <c r="CGW271" s="22"/>
      <c r="CGX271" s="22"/>
      <c r="CGY271" s="22"/>
      <c r="CGZ271" s="22"/>
      <c r="CHA271" s="22"/>
      <c r="CHB271" s="22"/>
      <c r="CHC271" s="22"/>
      <c r="CHD271" s="22"/>
      <c r="CHE271" s="22"/>
      <c r="CHF271" s="22"/>
      <c r="CHG271" s="22"/>
      <c r="CHH271" s="22"/>
      <c r="CHI271" s="22"/>
      <c r="CHJ271" s="22"/>
      <c r="CHK271" s="22"/>
      <c r="CHL271" s="22"/>
      <c r="CHM271" s="22"/>
      <c r="CHN271" s="22"/>
      <c r="CHO271" s="22"/>
      <c r="CHP271" s="22"/>
      <c r="CHQ271" s="22"/>
      <c r="CHR271" s="22"/>
      <c r="CHS271" s="22"/>
      <c r="CHT271" s="22"/>
      <c r="CHU271" s="22"/>
      <c r="CHV271" s="22"/>
      <c r="CHW271" s="22"/>
      <c r="CHX271" s="22"/>
      <c r="CHY271" s="22"/>
      <c r="CHZ271" s="22"/>
      <c r="CIA271" s="22"/>
      <c r="CIB271" s="22"/>
      <c r="CIC271" s="22"/>
      <c r="CID271" s="22"/>
      <c r="CIE271" s="22"/>
      <c r="CIF271" s="22"/>
      <c r="CIG271" s="22"/>
      <c r="CIH271" s="22"/>
      <c r="CII271" s="22"/>
      <c r="CIJ271" s="22"/>
      <c r="CIK271" s="22"/>
      <c r="CIL271" s="22"/>
      <c r="CIM271" s="22"/>
      <c r="CIN271" s="22"/>
      <c r="CIO271" s="22"/>
      <c r="CIP271" s="22"/>
      <c r="CIQ271" s="22"/>
      <c r="CIR271" s="22"/>
      <c r="CIS271" s="22"/>
      <c r="CIT271" s="22"/>
      <c r="CIU271" s="22"/>
      <c r="CIV271" s="22"/>
      <c r="CIW271" s="22"/>
      <c r="CIX271" s="22"/>
      <c r="CIY271" s="22"/>
      <c r="CIZ271" s="22"/>
      <c r="CJA271" s="22"/>
      <c r="CJB271" s="22"/>
      <c r="CJC271" s="22"/>
      <c r="CJD271" s="22"/>
      <c r="CJE271" s="22"/>
      <c r="CJF271" s="22"/>
      <c r="CJG271" s="22"/>
      <c r="CJH271" s="22"/>
      <c r="CJI271" s="22"/>
      <c r="CJJ271" s="22"/>
      <c r="CJK271" s="22"/>
      <c r="CJL271" s="22"/>
      <c r="CJM271" s="22"/>
      <c r="CJN271" s="22"/>
      <c r="CJO271" s="22"/>
      <c r="CJP271" s="22"/>
      <c r="CJQ271" s="22"/>
      <c r="CJR271" s="22"/>
      <c r="CJS271" s="22"/>
      <c r="CJT271" s="22"/>
      <c r="CJU271" s="22"/>
      <c r="CJV271" s="22"/>
      <c r="CJW271" s="22"/>
      <c r="CJX271" s="22"/>
      <c r="CJY271" s="22"/>
      <c r="CJZ271" s="22"/>
      <c r="CKA271" s="22"/>
      <c r="CKB271" s="22"/>
      <c r="CKC271" s="22"/>
      <c r="CKD271" s="22"/>
      <c r="CKE271" s="22"/>
      <c r="CKF271" s="22"/>
      <c r="CKG271" s="22"/>
      <c r="CKH271" s="22"/>
      <c r="CKI271" s="22"/>
      <c r="CKJ271" s="22"/>
      <c r="CKK271" s="22"/>
      <c r="CKL271" s="22"/>
      <c r="CKM271" s="22"/>
      <c r="CKN271" s="22"/>
      <c r="CKO271" s="22"/>
      <c r="CKP271" s="22"/>
      <c r="CKQ271" s="22"/>
      <c r="CKR271" s="22"/>
      <c r="CKS271" s="22"/>
      <c r="CKT271" s="22"/>
      <c r="CKU271" s="22"/>
      <c r="CKV271" s="22"/>
      <c r="CKW271" s="22"/>
      <c r="CKX271" s="22"/>
      <c r="CKY271" s="22"/>
      <c r="CKZ271" s="22"/>
      <c r="CLA271" s="22"/>
      <c r="CLB271" s="22"/>
      <c r="CLC271" s="22"/>
      <c r="CLD271" s="22"/>
      <c r="CLE271" s="22"/>
      <c r="CLF271" s="22"/>
      <c r="CLG271" s="22"/>
      <c r="CLH271" s="22"/>
      <c r="CLI271" s="22"/>
      <c r="CLJ271" s="22"/>
      <c r="CLK271" s="22"/>
      <c r="CLL271" s="22"/>
      <c r="CLM271" s="22"/>
      <c r="CLN271" s="22"/>
      <c r="CLO271" s="22"/>
      <c r="CLP271" s="22"/>
      <c r="CLQ271" s="22"/>
      <c r="CLR271" s="22"/>
      <c r="CLS271" s="22"/>
      <c r="CLT271" s="22"/>
      <c r="CLU271" s="22"/>
      <c r="CLV271" s="22"/>
      <c r="CLW271" s="22"/>
      <c r="CLX271" s="22"/>
      <c r="CLY271" s="22"/>
      <c r="CLZ271" s="22"/>
      <c r="CMA271" s="22"/>
      <c r="CMB271" s="22"/>
      <c r="CMC271" s="22"/>
      <c r="CMD271" s="22"/>
      <c r="CME271" s="22"/>
      <c r="CMF271" s="22"/>
      <c r="CMG271" s="22"/>
      <c r="CMH271" s="22"/>
      <c r="CMI271" s="22"/>
      <c r="CMJ271" s="22"/>
      <c r="CMK271" s="22"/>
      <c r="CML271" s="22"/>
      <c r="CMM271" s="22"/>
      <c r="CMN271" s="22"/>
      <c r="CMO271" s="22"/>
      <c r="CMP271" s="22"/>
      <c r="CMQ271" s="22"/>
      <c r="CMR271" s="22"/>
      <c r="CMS271" s="22"/>
      <c r="CMT271" s="22"/>
      <c r="CMU271" s="22"/>
      <c r="CMV271" s="22"/>
      <c r="CMW271" s="22"/>
      <c r="CMX271" s="22"/>
      <c r="CMY271" s="22"/>
      <c r="CMZ271" s="22"/>
      <c r="CNA271" s="22"/>
      <c r="CNB271" s="22"/>
      <c r="CNC271" s="22"/>
      <c r="CND271" s="22"/>
      <c r="CNE271" s="22"/>
      <c r="CNF271" s="22"/>
      <c r="CNG271" s="22"/>
      <c r="CNH271" s="22"/>
      <c r="CNI271" s="22"/>
      <c r="CNJ271" s="22"/>
      <c r="CNK271" s="22"/>
      <c r="CNL271" s="22"/>
      <c r="CNM271" s="22"/>
      <c r="CNN271" s="22"/>
      <c r="CNO271" s="22"/>
      <c r="CNP271" s="22"/>
      <c r="CNQ271" s="22"/>
      <c r="CNR271" s="22"/>
      <c r="CNS271" s="22"/>
      <c r="CNT271" s="22"/>
      <c r="CNU271" s="22"/>
      <c r="CNV271" s="22"/>
      <c r="CNW271" s="22"/>
      <c r="CNX271" s="22"/>
      <c r="CNY271" s="22"/>
      <c r="CNZ271" s="22"/>
      <c r="COA271" s="22"/>
      <c r="COB271" s="22"/>
      <c r="COC271" s="22"/>
      <c r="COD271" s="22"/>
      <c r="COE271" s="22"/>
      <c r="COF271" s="22"/>
      <c r="COG271" s="22"/>
      <c r="COH271" s="22"/>
      <c r="COI271" s="22"/>
      <c r="COJ271" s="22"/>
      <c r="COK271" s="22"/>
      <c r="COL271" s="22"/>
      <c r="COM271" s="22"/>
      <c r="CON271" s="22"/>
      <c r="COO271" s="22"/>
      <c r="COP271" s="22"/>
      <c r="COQ271" s="22"/>
      <c r="COR271" s="22"/>
      <c r="COS271" s="22"/>
      <c r="COT271" s="22"/>
      <c r="COU271" s="22"/>
      <c r="COV271" s="22"/>
      <c r="COW271" s="22"/>
      <c r="COX271" s="22"/>
      <c r="COY271" s="22"/>
      <c r="COZ271" s="22"/>
      <c r="CPA271" s="22"/>
      <c r="CPB271" s="22"/>
      <c r="CPC271" s="22"/>
      <c r="CPD271" s="22"/>
      <c r="CPE271" s="22"/>
      <c r="CPF271" s="22"/>
      <c r="CPG271" s="22"/>
      <c r="CPH271" s="22"/>
      <c r="CPI271" s="22"/>
      <c r="CPJ271" s="22"/>
      <c r="CPK271" s="22"/>
      <c r="CPL271" s="22"/>
      <c r="CPM271" s="22"/>
      <c r="CPN271" s="22"/>
      <c r="CPO271" s="22"/>
      <c r="CPP271" s="22"/>
      <c r="CPQ271" s="22"/>
      <c r="CPR271" s="22"/>
      <c r="CPS271" s="22"/>
      <c r="CPT271" s="22"/>
      <c r="CPU271" s="22"/>
      <c r="CPV271" s="22"/>
      <c r="CPW271" s="22"/>
      <c r="CPX271" s="22"/>
      <c r="CPY271" s="22"/>
      <c r="CPZ271" s="22"/>
      <c r="CQA271" s="22"/>
      <c r="CQB271" s="22"/>
      <c r="CQC271" s="22"/>
      <c r="CQD271" s="22"/>
      <c r="CQE271" s="22"/>
      <c r="CQF271" s="22"/>
      <c r="CQG271" s="22"/>
      <c r="CQH271" s="22"/>
      <c r="CQI271" s="22"/>
      <c r="CQJ271" s="22"/>
      <c r="CQK271" s="22"/>
      <c r="CQL271" s="22"/>
      <c r="CQM271" s="22"/>
      <c r="CQN271" s="22"/>
      <c r="CQO271" s="22"/>
      <c r="CQP271" s="22"/>
      <c r="CQQ271" s="22"/>
      <c r="CQR271" s="22"/>
      <c r="CQS271" s="22"/>
      <c r="CQT271" s="22"/>
      <c r="CQU271" s="22"/>
      <c r="CQV271" s="22"/>
      <c r="CQW271" s="22"/>
      <c r="CQX271" s="22"/>
      <c r="CQY271" s="22"/>
      <c r="CQZ271" s="22"/>
      <c r="CRA271" s="22"/>
      <c r="CRB271" s="22"/>
      <c r="CRC271" s="22"/>
      <c r="CRD271" s="22"/>
      <c r="CRE271" s="22"/>
      <c r="CRF271" s="22"/>
      <c r="CRG271" s="22"/>
      <c r="CRH271" s="22"/>
      <c r="CRI271" s="22"/>
      <c r="CRJ271" s="22"/>
      <c r="CRK271" s="22"/>
      <c r="CRL271" s="22"/>
      <c r="CRM271" s="22"/>
      <c r="CRN271" s="22"/>
      <c r="CRO271" s="22"/>
      <c r="CRP271" s="22"/>
      <c r="CRQ271" s="22"/>
      <c r="CRR271" s="22"/>
      <c r="CRS271" s="22"/>
      <c r="CRT271" s="22"/>
      <c r="CRU271" s="22"/>
      <c r="CRV271" s="22"/>
      <c r="CRW271" s="22"/>
      <c r="CRX271" s="22"/>
      <c r="CRY271" s="22"/>
      <c r="CRZ271" s="22"/>
      <c r="CSA271" s="22"/>
      <c r="CSB271" s="22"/>
      <c r="CSC271" s="22"/>
      <c r="CSD271" s="22"/>
      <c r="CSE271" s="22"/>
      <c r="CSF271" s="22"/>
      <c r="CSG271" s="22"/>
      <c r="CSH271" s="22"/>
      <c r="CSI271" s="22"/>
      <c r="CSJ271" s="22"/>
      <c r="CSK271" s="22"/>
      <c r="CSL271" s="22"/>
      <c r="CSM271" s="22"/>
      <c r="CSN271" s="22"/>
      <c r="CSO271" s="22"/>
      <c r="CSP271" s="22"/>
      <c r="CSQ271" s="22"/>
      <c r="CSR271" s="22"/>
      <c r="CSS271" s="22"/>
      <c r="CST271" s="22"/>
      <c r="CSU271" s="22"/>
      <c r="CSV271" s="22"/>
      <c r="CSW271" s="22"/>
      <c r="CSX271" s="22"/>
      <c r="CSY271" s="22"/>
      <c r="CSZ271" s="22"/>
      <c r="CTA271" s="22"/>
      <c r="CTB271" s="22"/>
      <c r="CTC271" s="22"/>
      <c r="CTD271" s="22"/>
      <c r="CTE271" s="22"/>
      <c r="CTF271" s="22"/>
      <c r="CTG271" s="22"/>
      <c r="CTH271" s="22"/>
      <c r="CTI271" s="22"/>
      <c r="CTJ271" s="22"/>
      <c r="CTK271" s="22"/>
      <c r="CTL271" s="22"/>
      <c r="CTM271" s="22"/>
      <c r="CTN271" s="22"/>
      <c r="CTO271" s="22"/>
      <c r="CTP271" s="22"/>
      <c r="CTQ271" s="22"/>
      <c r="CTR271" s="22"/>
      <c r="CTS271" s="22"/>
      <c r="CTT271" s="22"/>
      <c r="CTU271" s="22"/>
      <c r="CTV271" s="22"/>
      <c r="CTW271" s="22"/>
      <c r="CTX271" s="22"/>
      <c r="CTY271" s="22"/>
      <c r="CTZ271" s="22"/>
      <c r="CUA271" s="22"/>
      <c r="CUB271" s="22"/>
      <c r="CUC271" s="22"/>
      <c r="CUD271" s="22"/>
      <c r="CUE271" s="22"/>
      <c r="CUF271" s="22"/>
      <c r="CUG271" s="22"/>
      <c r="CUH271" s="22"/>
      <c r="CUI271" s="22"/>
      <c r="CUJ271" s="22"/>
      <c r="CUK271" s="22"/>
      <c r="CUL271" s="22"/>
      <c r="CUM271" s="22"/>
      <c r="CUN271" s="22"/>
      <c r="CUO271" s="22"/>
      <c r="CUP271" s="22"/>
      <c r="CUQ271" s="22"/>
      <c r="CUR271" s="22"/>
      <c r="CUS271" s="22"/>
      <c r="CUT271" s="22"/>
      <c r="CUU271" s="22"/>
      <c r="CUV271" s="22"/>
      <c r="CUW271" s="22"/>
      <c r="CUX271" s="22"/>
      <c r="CUY271" s="22"/>
      <c r="CUZ271" s="22"/>
      <c r="CVA271" s="22"/>
      <c r="CVB271" s="22"/>
      <c r="CVC271" s="22"/>
      <c r="CVD271" s="22"/>
      <c r="CVE271" s="22"/>
      <c r="CVF271" s="22"/>
      <c r="CVG271" s="22"/>
      <c r="CVH271" s="22"/>
      <c r="CVI271" s="22"/>
      <c r="CVJ271" s="22"/>
      <c r="CVK271" s="22"/>
      <c r="CVL271" s="22"/>
      <c r="CVM271" s="22"/>
      <c r="CVN271" s="22"/>
      <c r="CVO271" s="22"/>
      <c r="CVP271" s="22"/>
      <c r="CVQ271" s="22"/>
      <c r="CVR271" s="22"/>
      <c r="CVS271" s="22"/>
      <c r="CVT271" s="22"/>
      <c r="CVU271" s="22"/>
      <c r="CVV271" s="22"/>
      <c r="CVW271" s="22"/>
      <c r="CVX271" s="22"/>
      <c r="CVY271" s="22"/>
      <c r="CVZ271" s="22"/>
      <c r="CWA271" s="22"/>
      <c r="CWB271" s="22"/>
      <c r="CWC271" s="22"/>
      <c r="CWD271" s="22"/>
      <c r="CWE271" s="22"/>
      <c r="CWF271" s="22"/>
      <c r="CWG271" s="22"/>
      <c r="CWH271" s="22"/>
      <c r="CWI271" s="22"/>
      <c r="CWJ271" s="22"/>
      <c r="CWK271" s="22"/>
      <c r="CWL271" s="22"/>
      <c r="CWM271" s="22"/>
      <c r="CWN271" s="22"/>
      <c r="CWO271" s="22"/>
      <c r="CWP271" s="22"/>
      <c r="CWQ271" s="22"/>
      <c r="CWR271" s="22"/>
      <c r="CWS271" s="22"/>
      <c r="CWT271" s="22"/>
      <c r="CWU271" s="22"/>
      <c r="CWV271" s="22"/>
      <c r="CWW271" s="22"/>
      <c r="CWX271" s="22"/>
      <c r="CWY271" s="22"/>
      <c r="CWZ271" s="22"/>
      <c r="CXA271" s="22"/>
      <c r="CXB271" s="22"/>
      <c r="CXC271" s="22"/>
      <c r="CXD271" s="22"/>
      <c r="CXE271" s="22"/>
      <c r="CXF271" s="22"/>
      <c r="CXG271" s="22"/>
      <c r="CXH271" s="22"/>
      <c r="CXI271" s="22"/>
      <c r="CXJ271" s="22"/>
      <c r="CXK271" s="22"/>
      <c r="CXL271" s="22"/>
      <c r="CXM271" s="22"/>
      <c r="CXN271" s="22"/>
      <c r="CXO271" s="22"/>
      <c r="CXP271" s="22"/>
      <c r="CXQ271" s="22"/>
      <c r="CXR271" s="22"/>
      <c r="CXS271" s="22"/>
      <c r="CXT271" s="22"/>
      <c r="CXU271" s="22"/>
      <c r="CXV271" s="22"/>
      <c r="CXW271" s="22"/>
      <c r="CXX271" s="22"/>
      <c r="CXY271" s="22"/>
      <c r="CXZ271" s="22"/>
      <c r="CYA271" s="22"/>
      <c r="CYB271" s="22"/>
      <c r="CYC271" s="22"/>
      <c r="CYD271" s="22"/>
      <c r="CYE271" s="22"/>
      <c r="CYF271" s="22"/>
      <c r="CYG271" s="22"/>
      <c r="CYH271" s="22"/>
      <c r="CYI271" s="22"/>
      <c r="CYJ271" s="22"/>
      <c r="CYK271" s="22"/>
      <c r="CYL271" s="22"/>
      <c r="CYM271" s="22"/>
      <c r="CYN271" s="22"/>
      <c r="CYO271" s="22"/>
      <c r="CYP271" s="22"/>
      <c r="CYQ271" s="22"/>
      <c r="CYR271" s="22"/>
      <c r="CYS271" s="22"/>
      <c r="CYT271" s="22"/>
      <c r="CYU271" s="22"/>
      <c r="CYV271" s="22"/>
      <c r="CYW271" s="22"/>
      <c r="CYX271" s="22"/>
      <c r="CYY271" s="22"/>
      <c r="CYZ271" s="22"/>
      <c r="CZA271" s="22"/>
      <c r="CZB271" s="22"/>
      <c r="CZC271" s="22"/>
      <c r="CZD271" s="22"/>
      <c r="CZE271" s="22"/>
      <c r="CZF271" s="22"/>
      <c r="CZG271" s="22"/>
      <c r="CZH271" s="22"/>
      <c r="CZI271" s="22"/>
      <c r="CZJ271" s="22"/>
      <c r="CZK271" s="22"/>
      <c r="CZL271" s="22"/>
      <c r="CZM271" s="22"/>
      <c r="CZN271" s="22"/>
      <c r="CZO271" s="22"/>
      <c r="CZP271" s="22"/>
      <c r="CZQ271" s="22"/>
      <c r="CZR271" s="22"/>
      <c r="CZS271" s="22"/>
      <c r="CZT271" s="22"/>
      <c r="CZU271" s="22"/>
      <c r="CZV271" s="22"/>
      <c r="CZW271" s="22"/>
      <c r="CZX271" s="22"/>
      <c r="CZY271" s="22"/>
      <c r="CZZ271" s="22"/>
      <c r="DAA271" s="22"/>
      <c r="DAB271" s="22"/>
      <c r="DAC271" s="22"/>
      <c r="DAD271" s="22"/>
      <c r="DAE271" s="22"/>
      <c r="DAF271" s="22"/>
      <c r="DAG271" s="22"/>
      <c r="DAH271" s="22"/>
      <c r="DAI271" s="22"/>
      <c r="DAJ271" s="22"/>
      <c r="DAK271" s="22"/>
      <c r="DAL271" s="22"/>
      <c r="DAM271" s="22"/>
      <c r="DAN271" s="22"/>
      <c r="DAO271" s="22"/>
      <c r="DAP271" s="22"/>
      <c r="DAQ271" s="22"/>
      <c r="DAR271" s="22"/>
      <c r="DAS271" s="22"/>
      <c r="DAT271" s="22"/>
      <c r="DAU271" s="22"/>
      <c r="DAV271" s="22"/>
      <c r="DAW271" s="22"/>
      <c r="DAX271" s="22"/>
      <c r="DAY271" s="22"/>
      <c r="DAZ271" s="22"/>
      <c r="DBA271" s="22"/>
      <c r="DBB271" s="22"/>
      <c r="DBC271" s="22"/>
      <c r="DBD271" s="22"/>
      <c r="DBE271" s="22"/>
      <c r="DBF271" s="22"/>
      <c r="DBG271" s="22"/>
      <c r="DBH271" s="22"/>
      <c r="DBI271" s="22"/>
      <c r="DBJ271" s="22"/>
      <c r="DBK271" s="22"/>
      <c r="DBL271" s="22"/>
      <c r="DBM271" s="22"/>
      <c r="DBN271" s="22"/>
      <c r="DBO271" s="22"/>
      <c r="DBP271" s="22"/>
      <c r="DBQ271" s="22"/>
      <c r="DBR271" s="22"/>
      <c r="DBS271" s="22"/>
      <c r="DBT271" s="22"/>
      <c r="DBU271" s="22"/>
      <c r="DBV271" s="22"/>
      <c r="DBW271" s="22"/>
      <c r="DBX271" s="22"/>
      <c r="DBY271" s="22"/>
      <c r="DBZ271" s="22"/>
      <c r="DCA271" s="22"/>
      <c r="DCB271" s="22"/>
      <c r="DCC271" s="22"/>
      <c r="DCD271" s="22"/>
      <c r="DCE271" s="22"/>
      <c r="DCF271" s="22"/>
      <c r="DCG271" s="22"/>
      <c r="DCH271" s="22"/>
      <c r="DCI271" s="22"/>
      <c r="DCJ271" s="22"/>
      <c r="DCK271" s="22"/>
      <c r="DCL271" s="22"/>
      <c r="DCM271" s="22"/>
      <c r="DCN271" s="22"/>
      <c r="DCO271" s="22"/>
      <c r="DCP271" s="22"/>
      <c r="DCQ271" s="22"/>
      <c r="DCR271" s="22"/>
      <c r="DCS271" s="22"/>
      <c r="DCT271" s="22"/>
      <c r="DCU271" s="22"/>
      <c r="DCV271" s="22"/>
      <c r="DCW271" s="22"/>
      <c r="DCX271" s="22"/>
      <c r="DCY271" s="22"/>
      <c r="DCZ271" s="22"/>
      <c r="DDA271" s="22"/>
      <c r="DDB271" s="22"/>
      <c r="DDC271" s="22"/>
      <c r="DDD271" s="22"/>
      <c r="DDE271" s="22"/>
      <c r="DDF271" s="22"/>
      <c r="DDG271" s="22"/>
      <c r="DDH271" s="22"/>
      <c r="DDI271" s="22"/>
      <c r="DDJ271" s="22"/>
      <c r="DDK271" s="22"/>
      <c r="DDL271" s="22"/>
      <c r="DDM271" s="22"/>
      <c r="DDN271" s="22"/>
      <c r="DDO271" s="22"/>
      <c r="DDP271" s="22"/>
      <c r="DDQ271" s="22"/>
      <c r="DDR271" s="22"/>
      <c r="DDS271" s="22"/>
      <c r="DDT271" s="22"/>
      <c r="DDU271" s="22"/>
      <c r="DDV271" s="22"/>
      <c r="DDW271" s="22"/>
      <c r="DDX271" s="22"/>
      <c r="DDY271" s="22"/>
      <c r="DDZ271" s="22"/>
      <c r="DEA271" s="22"/>
      <c r="DEB271" s="22"/>
      <c r="DEC271" s="22"/>
      <c r="DED271" s="22"/>
      <c r="DEE271" s="22"/>
      <c r="DEF271" s="22"/>
      <c r="DEG271" s="22"/>
      <c r="DEH271" s="22"/>
      <c r="DEI271" s="22"/>
      <c r="DEJ271" s="22"/>
      <c r="DEK271" s="22"/>
      <c r="DEL271" s="22"/>
      <c r="DEM271" s="22"/>
      <c r="DEN271" s="22"/>
      <c r="DEO271" s="22"/>
      <c r="DEP271" s="22"/>
      <c r="DEQ271" s="22"/>
      <c r="DER271" s="22"/>
      <c r="DES271" s="22"/>
      <c r="DET271" s="22"/>
      <c r="DEU271" s="22"/>
      <c r="DEV271" s="22"/>
      <c r="DEW271" s="22"/>
      <c r="DEX271" s="22"/>
      <c r="DEY271" s="22"/>
      <c r="DEZ271" s="22"/>
      <c r="DFA271" s="22"/>
      <c r="DFB271" s="22"/>
      <c r="DFC271" s="22"/>
      <c r="DFD271" s="22"/>
      <c r="DFE271" s="22"/>
      <c r="DFF271" s="22"/>
      <c r="DFG271" s="22"/>
      <c r="DFH271" s="22"/>
      <c r="DFI271" s="22"/>
      <c r="DFJ271" s="22"/>
      <c r="DFK271" s="22"/>
      <c r="DFL271" s="22"/>
      <c r="DFM271" s="22"/>
      <c r="DFN271" s="22"/>
      <c r="DFO271" s="22"/>
      <c r="DFP271" s="22"/>
      <c r="DFQ271" s="22"/>
      <c r="DFR271" s="22"/>
      <c r="DFS271" s="22"/>
      <c r="DFT271" s="22"/>
      <c r="DFU271" s="22"/>
      <c r="DFV271" s="22"/>
      <c r="DFW271" s="22"/>
      <c r="DFX271" s="22"/>
      <c r="DFY271" s="22"/>
      <c r="DFZ271" s="22"/>
      <c r="DGA271" s="22"/>
      <c r="DGB271" s="22"/>
      <c r="DGC271" s="22"/>
      <c r="DGD271" s="22"/>
      <c r="DGE271" s="22"/>
      <c r="DGF271" s="22"/>
      <c r="DGG271" s="22"/>
      <c r="DGH271" s="22"/>
      <c r="DGI271" s="22"/>
      <c r="DGJ271" s="22"/>
      <c r="DGK271" s="22"/>
      <c r="DGL271" s="22"/>
      <c r="DGM271" s="22"/>
      <c r="DGN271" s="22"/>
      <c r="DGO271" s="22"/>
      <c r="DGP271" s="22"/>
      <c r="DGQ271" s="22"/>
      <c r="DGR271" s="22"/>
      <c r="DGS271" s="22"/>
      <c r="DGT271" s="22"/>
      <c r="DGU271" s="22"/>
      <c r="DGV271" s="22"/>
      <c r="DGW271" s="22"/>
      <c r="DGX271" s="22"/>
      <c r="DGY271" s="22"/>
      <c r="DGZ271" s="22"/>
      <c r="DHA271" s="22"/>
      <c r="DHB271" s="22"/>
      <c r="DHC271" s="22"/>
      <c r="DHD271" s="22"/>
      <c r="DHE271" s="22"/>
      <c r="DHF271" s="22"/>
      <c r="DHG271" s="22"/>
      <c r="DHH271" s="22"/>
      <c r="DHI271" s="22"/>
      <c r="DHJ271" s="22"/>
      <c r="DHK271" s="22"/>
      <c r="DHL271" s="22"/>
      <c r="DHM271" s="22"/>
      <c r="DHN271" s="22"/>
      <c r="DHO271" s="22"/>
      <c r="DHP271" s="22"/>
      <c r="DHQ271" s="22"/>
      <c r="DHR271" s="22"/>
      <c r="DHS271" s="22"/>
      <c r="DHT271" s="22"/>
      <c r="DHU271" s="22"/>
      <c r="DHV271" s="22"/>
      <c r="DHW271" s="22"/>
      <c r="DHX271" s="22"/>
      <c r="DHY271" s="22"/>
      <c r="DHZ271" s="22"/>
      <c r="DIA271" s="22"/>
      <c r="DIB271" s="22"/>
      <c r="DIC271" s="22"/>
      <c r="DID271" s="22"/>
      <c r="DIE271" s="22"/>
      <c r="DIF271" s="22"/>
      <c r="DIG271" s="22"/>
      <c r="DIH271" s="22"/>
      <c r="DII271" s="22"/>
      <c r="DIJ271" s="22"/>
      <c r="DIK271" s="22"/>
      <c r="DIL271" s="22"/>
      <c r="DIM271" s="22"/>
      <c r="DIN271" s="22"/>
      <c r="DIO271" s="22"/>
      <c r="DIP271" s="22"/>
      <c r="DIQ271" s="22"/>
      <c r="DIR271" s="22"/>
      <c r="DIS271" s="22"/>
      <c r="DIT271" s="22"/>
      <c r="DIU271" s="22"/>
      <c r="DIV271" s="22"/>
      <c r="DIW271" s="22"/>
      <c r="DIX271" s="22"/>
      <c r="DIY271" s="22"/>
      <c r="DIZ271" s="22"/>
      <c r="DJA271" s="22"/>
      <c r="DJB271" s="22"/>
      <c r="DJC271" s="22"/>
      <c r="DJD271" s="22"/>
      <c r="DJE271" s="22"/>
      <c r="DJF271" s="22"/>
      <c r="DJG271" s="22"/>
      <c r="DJH271" s="22"/>
      <c r="DJI271" s="22"/>
      <c r="DJJ271" s="22"/>
      <c r="DJK271" s="22"/>
      <c r="DJL271" s="22"/>
      <c r="DJM271" s="22"/>
      <c r="DJN271" s="22"/>
      <c r="DJO271" s="22"/>
      <c r="DJP271" s="22"/>
      <c r="DJQ271" s="22"/>
      <c r="DJR271" s="22"/>
      <c r="DJS271" s="22"/>
      <c r="DJT271" s="22"/>
      <c r="DJU271" s="22"/>
      <c r="DJV271" s="22"/>
      <c r="DJW271" s="22"/>
      <c r="DJX271" s="22"/>
      <c r="DJY271" s="22"/>
      <c r="DJZ271" s="22"/>
      <c r="DKA271" s="22"/>
      <c r="DKB271" s="22"/>
      <c r="DKC271" s="22"/>
      <c r="DKD271" s="22"/>
      <c r="DKE271" s="22"/>
      <c r="DKF271" s="22"/>
      <c r="DKG271" s="22"/>
      <c r="DKH271" s="22"/>
      <c r="DKI271" s="22"/>
      <c r="DKJ271" s="22"/>
      <c r="DKK271" s="22"/>
      <c r="DKL271" s="22"/>
      <c r="DKM271" s="22"/>
      <c r="DKN271" s="22"/>
      <c r="DKO271" s="22"/>
      <c r="DKP271" s="22"/>
      <c r="DKQ271" s="22"/>
      <c r="DKR271" s="22"/>
      <c r="DKS271" s="22"/>
      <c r="DKT271" s="22"/>
      <c r="DKU271" s="22"/>
      <c r="DKV271" s="22"/>
      <c r="DKW271" s="22"/>
      <c r="DKX271" s="22"/>
      <c r="DKY271" s="22"/>
      <c r="DKZ271" s="22"/>
      <c r="DLA271" s="22"/>
      <c r="DLB271" s="22"/>
      <c r="DLC271" s="22"/>
      <c r="DLD271" s="22"/>
      <c r="DLE271" s="22"/>
      <c r="DLF271" s="22"/>
      <c r="DLG271" s="22"/>
      <c r="DLH271" s="22"/>
      <c r="DLI271" s="22"/>
      <c r="DLJ271" s="22"/>
      <c r="DLK271" s="22"/>
      <c r="DLL271" s="22"/>
      <c r="DLM271" s="22"/>
      <c r="DLN271" s="22"/>
      <c r="DLO271" s="22"/>
      <c r="DLP271" s="22"/>
      <c r="DLQ271" s="22"/>
      <c r="DLR271" s="22"/>
      <c r="DLS271" s="22"/>
      <c r="DLT271" s="22"/>
      <c r="DLU271" s="22"/>
      <c r="DLV271" s="22"/>
      <c r="DLW271" s="22"/>
      <c r="DLX271" s="22"/>
      <c r="DLY271" s="22"/>
      <c r="DLZ271" s="22"/>
      <c r="DMA271" s="22"/>
      <c r="DMB271" s="22"/>
      <c r="DMC271" s="22"/>
      <c r="DMD271" s="22"/>
      <c r="DME271" s="22"/>
      <c r="DMF271" s="22"/>
      <c r="DMG271" s="22"/>
      <c r="DMH271" s="22"/>
      <c r="DMI271" s="22"/>
      <c r="DMJ271" s="22"/>
      <c r="DMK271" s="22"/>
      <c r="DML271" s="22"/>
      <c r="DMM271" s="22"/>
      <c r="DMN271" s="22"/>
      <c r="DMO271" s="22"/>
      <c r="DMP271" s="22"/>
      <c r="DMQ271" s="22"/>
      <c r="DMR271" s="22"/>
      <c r="DMS271" s="22"/>
      <c r="DMT271" s="22"/>
      <c r="DMU271" s="22"/>
      <c r="DMV271" s="22"/>
      <c r="DMW271" s="22"/>
      <c r="DMX271" s="22"/>
      <c r="DMY271" s="22"/>
      <c r="DMZ271" s="22"/>
      <c r="DNA271" s="22"/>
      <c r="DNB271" s="22"/>
      <c r="DNC271" s="22"/>
      <c r="DND271" s="22"/>
      <c r="DNE271" s="22"/>
      <c r="DNF271" s="22"/>
      <c r="DNG271" s="22"/>
      <c r="DNH271" s="22"/>
      <c r="DNI271" s="22"/>
      <c r="DNJ271" s="22"/>
      <c r="DNK271" s="22"/>
      <c r="DNL271" s="22"/>
      <c r="DNM271" s="22"/>
      <c r="DNN271" s="22"/>
      <c r="DNO271" s="22"/>
      <c r="DNP271" s="22"/>
      <c r="DNQ271" s="22"/>
      <c r="DNR271" s="22"/>
      <c r="DNS271" s="22"/>
      <c r="DNT271" s="22"/>
      <c r="DNU271" s="22"/>
      <c r="DNV271" s="22"/>
      <c r="DNW271" s="22"/>
      <c r="DNX271" s="22"/>
      <c r="DNY271" s="22"/>
      <c r="DNZ271" s="22"/>
      <c r="DOA271" s="22"/>
      <c r="DOB271" s="22"/>
      <c r="DOC271" s="22"/>
      <c r="DOD271" s="22"/>
      <c r="DOE271" s="22"/>
      <c r="DOF271" s="22"/>
      <c r="DOG271" s="22"/>
      <c r="DOH271" s="22"/>
      <c r="DOI271" s="22"/>
      <c r="DOJ271" s="22"/>
      <c r="DOK271" s="22"/>
      <c r="DOL271" s="22"/>
      <c r="DOM271" s="22"/>
      <c r="DON271" s="22"/>
      <c r="DOO271" s="22"/>
      <c r="DOP271" s="22"/>
      <c r="DOQ271" s="22"/>
      <c r="DOR271" s="22"/>
      <c r="DOS271" s="22"/>
      <c r="DOT271" s="22"/>
      <c r="DOU271" s="22"/>
      <c r="DOV271" s="22"/>
      <c r="DOW271" s="22"/>
      <c r="DOX271" s="22"/>
      <c r="DOY271" s="22"/>
      <c r="DOZ271" s="22"/>
      <c r="DPA271" s="22"/>
      <c r="DPB271" s="22"/>
      <c r="DPC271" s="22"/>
      <c r="DPD271" s="22"/>
      <c r="DPE271" s="22"/>
      <c r="DPF271" s="22"/>
      <c r="DPG271" s="22"/>
      <c r="DPH271" s="22"/>
      <c r="DPI271" s="22"/>
      <c r="DPJ271" s="22"/>
      <c r="DPK271" s="22"/>
      <c r="DPL271" s="22"/>
      <c r="DPM271" s="22"/>
      <c r="DPN271" s="22"/>
      <c r="DPO271" s="22"/>
      <c r="DPP271" s="22"/>
      <c r="DPQ271" s="22"/>
      <c r="DPR271" s="22"/>
      <c r="DPS271" s="22"/>
      <c r="DPT271" s="22"/>
      <c r="DPU271" s="22"/>
      <c r="DPV271" s="22"/>
      <c r="DPW271" s="22"/>
      <c r="DPX271" s="22"/>
      <c r="DPY271" s="22"/>
      <c r="DPZ271" s="22"/>
      <c r="DQA271" s="22"/>
      <c r="DQB271" s="22"/>
      <c r="DQC271" s="22"/>
      <c r="DQD271" s="22"/>
      <c r="DQE271" s="22"/>
      <c r="DQF271" s="22"/>
      <c r="DQG271" s="22"/>
      <c r="DQH271" s="22"/>
      <c r="DQI271" s="22"/>
      <c r="DQJ271" s="22"/>
      <c r="DQK271" s="22"/>
      <c r="DQL271" s="22"/>
      <c r="DQM271" s="22"/>
      <c r="DQN271" s="22"/>
      <c r="DQO271" s="22"/>
      <c r="DQP271" s="22"/>
      <c r="DQQ271" s="22"/>
      <c r="DQR271" s="22"/>
      <c r="DQS271" s="22"/>
      <c r="DQT271" s="22"/>
      <c r="DQU271" s="22"/>
      <c r="DQV271" s="22"/>
      <c r="DQW271" s="22"/>
      <c r="DQX271" s="22"/>
      <c r="DQY271" s="22"/>
      <c r="DQZ271" s="22"/>
      <c r="DRA271" s="22"/>
      <c r="DRB271" s="22"/>
      <c r="DRC271" s="22"/>
      <c r="DRD271" s="22"/>
      <c r="DRE271" s="22"/>
      <c r="DRF271" s="22"/>
      <c r="DRG271" s="22"/>
      <c r="DRH271" s="22"/>
      <c r="DRI271" s="22"/>
      <c r="DRJ271" s="22"/>
      <c r="DRK271" s="22"/>
      <c r="DRL271" s="22"/>
      <c r="DRM271" s="22"/>
      <c r="DRN271" s="22"/>
      <c r="DRO271" s="22"/>
      <c r="DRP271" s="22"/>
      <c r="DRQ271" s="22"/>
      <c r="DRR271" s="22"/>
      <c r="DRS271" s="22"/>
      <c r="DRT271" s="22"/>
      <c r="DRU271" s="22"/>
      <c r="DRV271" s="22"/>
      <c r="DRW271" s="22"/>
      <c r="DRX271" s="22"/>
      <c r="DRY271" s="22"/>
      <c r="DRZ271" s="22"/>
      <c r="DSA271" s="22"/>
      <c r="DSB271" s="22"/>
      <c r="DSC271" s="22"/>
      <c r="DSD271" s="22"/>
      <c r="DSE271" s="22"/>
      <c r="DSF271" s="22"/>
      <c r="DSG271" s="22"/>
      <c r="DSH271" s="22"/>
      <c r="DSI271" s="22"/>
      <c r="DSJ271" s="22"/>
      <c r="DSK271" s="22"/>
      <c r="DSL271" s="22"/>
      <c r="DSM271" s="22"/>
      <c r="DSN271" s="22"/>
      <c r="DSO271" s="22"/>
      <c r="DSP271" s="22"/>
      <c r="DSQ271" s="22"/>
      <c r="DSR271" s="22"/>
      <c r="DSS271" s="22"/>
      <c r="DST271" s="22"/>
      <c r="DSU271" s="22"/>
      <c r="DSV271" s="22"/>
      <c r="DSW271" s="22"/>
      <c r="DSX271" s="22"/>
      <c r="DSY271" s="22"/>
      <c r="DSZ271" s="22"/>
      <c r="DTA271" s="22"/>
      <c r="DTB271" s="22"/>
      <c r="DTC271" s="22"/>
      <c r="DTD271" s="22"/>
      <c r="DTE271" s="22"/>
      <c r="DTF271" s="22"/>
      <c r="DTG271" s="22"/>
      <c r="DTH271" s="22"/>
      <c r="DTI271" s="22"/>
      <c r="DTJ271" s="22"/>
      <c r="DTK271" s="22"/>
      <c r="DTL271" s="22"/>
      <c r="DTM271" s="22"/>
      <c r="DTN271" s="22"/>
      <c r="DTO271" s="22"/>
      <c r="DTP271" s="22"/>
      <c r="DTQ271" s="22"/>
      <c r="DTR271" s="22"/>
      <c r="DTS271" s="22"/>
      <c r="DTT271" s="22"/>
      <c r="DTU271" s="22"/>
      <c r="DTV271" s="22"/>
      <c r="DTW271" s="22"/>
      <c r="DTX271" s="22"/>
      <c r="DTY271" s="22"/>
      <c r="DTZ271" s="22"/>
      <c r="DUA271" s="22"/>
      <c r="DUB271" s="22"/>
      <c r="DUC271" s="22"/>
      <c r="DUD271" s="22"/>
      <c r="DUE271" s="22"/>
      <c r="DUF271" s="22"/>
      <c r="DUG271" s="22"/>
      <c r="DUH271" s="22"/>
      <c r="DUI271" s="22"/>
      <c r="DUJ271" s="22"/>
      <c r="DUK271" s="22"/>
      <c r="DUL271" s="22"/>
      <c r="DUM271" s="22"/>
      <c r="DUN271" s="22"/>
      <c r="DUO271" s="22"/>
      <c r="DUP271" s="22"/>
      <c r="DUQ271" s="22"/>
      <c r="DUR271" s="22"/>
      <c r="DUS271" s="22"/>
      <c r="DUT271" s="22"/>
      <c r="DUU271" s="22"/>
      <c r="DUV271" s="22"/>
      <c r="DUW271" s="22"/>
      <c r="DUX271" s="22"/>
      <c r="DUY271" s="22"/>
      <c r="DUZ271" s="22"/>
      <c r="DVA271" s="22"/>
      <c r="DVB271" s="22"/>
      <c r="DVC271" s="22"/>
      <c r="DVD271" s="22"/>
      <c r="DVE271" s="22"/>
      <c r="DVF271" s="22"/>
      <c r="DVG271" s="22"/>
      <c r="DVH271" s="22"/>
      <c r="DVI271" s="22"/>
      <c r="DVJ271" s="22"/>
      <c r="DVK271" s="22"/>
      <c r="DVL271" s="22"/>
      <c r="DVM271" s="22"/>
      <c r="DVN271" s="22"/>
      <c r="DVO271" s="22"/>
      <c r="DVP271" s="22"/>
      <c r="DVQ271" s="22"/>
      <c r="DVR271" s="22"/>
      <c r="DVS271" s="22"/>
      <c r="DVT271" s="22"/>
      <c r="DVU271" s="22"/>
      <c r="DVV271" s="22"/>
      <c r="DVW271" s="22"/>
      <c r="DVX271" s="22"/>
      <c r="DVY271" s="22"/>
      <c r="DVZ271" s="22"/>
      <c r="DWA271" s="22"/>
      <c r="DWB271" s="22"/>
      <c r="DWC271" s="22"/>
      <c r="DWD271" s="22"/>
      <c r="DWE271" s="22"/>
      <c r="DWF271" s="22"/>
      <c r="DWG271" s="22"/>
      <c r="DWH271" s="22"/>
      <c r="DWI271" s="22"/>
      <c r="DWJ271" s="22"/>
      <c r="DWK271" s="22"/>
      <c r="DWL271" s="22"/>
      <c r="DWM271" s="22"/>
      <c r="DWN271" s="22"/>
      <c r="DWO271" s="22"/>
      <c r="DWP271" s="22"/>
      <c r="DWQ271" s="22"/>
      <c r="DWR271" s="22"/>
      <c r="DWS271" s="22"/>
      <c r="DWT271" s="22"/>
      <c r="DWU271" s="22"/>
      <c r="DWV271" s="22"/>
      <c r="DWW271" s="22"/>
      <c r="DWX271" s="22"/>
      <c r="DWY271" s="22"/>
      <c r="DWZ271" s="22"/>
      <c r="DXA271" s="22"/>
      <c r="DXB271" s="22"/>
      <c r="DXC271" s="22"/>
      <c r="DXD271" s="22"/>
      <c r="DXE271" s="22"/>
      <c r="DXF271" s="22"/>
      <c r="DXG271" s="22"/>
      <c r="DXH271" s="22"/>
      <c r="DXI271" s="22"/>
      <c r="DXJ271" s="22"/>
      <c r="DXK271" s="22"/>
      <c r="DXL271" s="22"/>
      <c r="DXM271" s="22"/>
      <c r="DXN271" s="22"/>
      <c r="DXO271" s="22"/>
      <c r="DXP271" s="22"/>
      <c r="DXQ271" s="22"/>
      <c r="DXR271" s="22"/>
      <c r="DXS271" s="22"/>
      <c r="DXT271" s="22"/>
      <c r="DXU271" s="22"/>
      <c r="DXV271" s="22"/>
      <c r="DXW271" s="22"/>
      <c r="DXX271" s="22"/>
      <c r="DXY271" s="22"/>
      <c r="DXZ271" s="22"/>
      <c r="DYA271" s="22"/>
      <c r="DYB271" s="22"/>
      <c r="DYC271" s="22"/>
      <c r="DYD271" s="22"/>
      <c r="DYE271" s="22"/>
      <c r="DYF271" s="22"/>
      <c r="DYG271" s="22"/>
      <c r="DYH271" s="22"/>
      <c r="DYI271" s="22"/>
      <c r="DYJ271" s="22"/>
      <c r="DYK271" s="22"/>
      <c r="DYL271" s="22"/>
      <c r="DYM271" s="22"/>
      <c r="DYN271" s="22"/>
      <c r="DYO271" s="22"/>
      <c r="DYP271" s="22"/>
      <c r="DYQ271" s="22"/>
      <c r="DYR271" s="22"/>
      <c r="DYS271" s="22"/>
      <c r="DYT271" s="22"/>
      <c r="DYU271" s="22"/>
      <c r="DYV271" s="22"/>
      <c r="DYW271" s="22"/>
      <c r="DYX271" s="22"/>
      <c r="DYY271" s="22"/>
      <c r="DYZ271" s="22"/>
      <c r="DZA271" s="22"/>
      <c r="DZB271" s="22"/>
      <c r="DZC271" s="22"/>
      <c r="DZD271" s="22"/>
      <c r="DZE271" s="22"/>
      <c r="DZF271" s="22"/>
      <c r="DZG271" s="22"/>
      <c r="DZH271" s="22"/>
      <c r="DZI271" s="22"/>
      <c r="DZJ271" s="22"/>
      <c r="DZK271" s="22"/>
      <c r="DZL271" s="22"/>
      <c r="DZM271" s="22"/>
      <c r="DZN271" s="22"/>
      <c r="DZO271" s="22"/>
      <c r="DZP271" s="22"/>
      <c r="DZQ271" s="22"/>
      <c r="DZR271" s="22"/>
      <c r="DZS271" s="22"/>
      <c r="DZT271" s="22"/>
      <c r="DZU271" s="22"/>
      <c r="DZV271" s="22"/>
      <c r="DZW271" s="22"/>
      <c r="DZX271" s="22"/>
      <c r="DZY271" s="22"/>
      <c r="DZZ271" s="22"/>
      <c r="EAA271" s="22"/>
      <c r="EAB271" s="22"/>
      <c r="EAC271" s="22"/>
      <c r="EAD271" s="22"/>
      <c r="EAE271" s="22"/>
      <c r="EAF271" s="22"/>
      <c r="EAG271" s="22"/>
      <c r="EAH271" s="22"/>
      <c r="EAI271" s="22"/>
      <c r="EAJ271" s="22"/>
      <c r="EAK271" s="22"/>
      <c r="EAL271" s="22"/>
      <c r="EAM271" s="22"/>
      <c r="EAN271" s="22"/>
      <c r="EAO271" s="22"/>
      <c r="EAP271" s="22"/>
      <c r="EAQ271" s="22"/>
      <c r="EAR271" s="22"/>
      <c r="EAS271" s="22"/>
      <c r="EAT271" s="22"/>
      <c r="EAU271" s="22"/>
      <c r="EAV271" s="22"/>
      <c r="EAW271" s="22"/>
      <c r="EAX271" s="22"/>
      <c r="EAY271" s="22"/>
      <c r="EAZ271" s="22"/>
      <c r="EBA271" s="22"/>
      <c r="EBB271" s="22"/>
      <c r="EBC271" s="22"/>
      <c r="EBD271" s="22"/>
      <c r="EBE271" s="22"/>
      <c r="EBF271" s="22"/>
      <c r="EBG271" s="22"/>
      <c r="EBH271" s="22"/>
      <c r="EBI271" s="22"/>
      <c r="EBJ271" s="22"/>
      <c r="EBK271" s="22"/>
      <c r="EBL271" s="22"/>
      <c r="EBM271" s="22"/>
      <c r="EBN271" s="22"/>
      <c r="EBO271" s="22"/>
      <c r="EBP271" s="22"/>
      <c r="EBQ271" s="22"/>
      <c r="EBR271" s="22"/>
      <c r="EBS271" s="22"/>
      <c r="EBT271" s="22"/>
      <c r="EBU271" s="22"/>
      <c r="EBV271" s="22"/>
      <c r="EBW271" s="22"/>
      <c r="EBX271" s="22"/>
      <c r="EBY271" s="22"/>
      <c r="EBZ271" s="22"/>
      <c r="ECA271" s="22"/>
      <c r="ECB271" s="22"/>
      <c r="ECC271" s="22"/>
      <c r="ECD271" s="22"/>
      <c r="ECE271" s="22"/>
      <c r="ECF271" s="22"/>
      <c r="ECG271" s="22"/>
      <c r="ECH271" s="22"/>
      <c r="ECI271" s="22"/>
      <c r="ECJ271" s="22"/>
      <c r="ECK271" s="22"/>
      <c r="ECL271" s="22"/>
      <c r="ECM271" s="22"/>
      <c r="ECN271" s="22"/>
      <c r="ECO271" s="22"/>
      <c r="ECP271" s="22"/>
      <c r="ECQ271" s="22"/>
      <c r="ECR271" s="22"/>
      <c r="ECS271" s="22"/>
      <c r="ECT271" s="22"/>
      <c r="ECU271" s="22"/>
      <c r="ECV271" s="22"/>
      <c r="ECW271" s="22"/>
      <c r="ECX271" s="22"/>
      <c r="ECY271" s="22"/>
      <c r="ECZ271" s="22"/>
      <c r="EDA271" s="22"/>
      <c r="EDB271" s="22"/>
      <c r="EDC271" s="22"/>
      <c r="EDD271" s="22"/>
      <c r="EDE271" s="22"/>
      <c r="EDF271" s="22"/>
      <c r="EDG271" s="22"/>
      <c r="EDH271" s="22"/>
      <c r="EDI271" s="22"/>
      <c r="EDJ271" s="22"/>
      <c r="EDK271" s="22"/>
      <c r="EDL271" s="22"/>
      <c r="EDM271" s="22"/>
      <c r="EDN271" s="22"/>
      <c r="EDO271" s="22"/>
      <c r="EDP271" s="22"/>
      <c r="EDQ271" s="22"/>
      <c r="EDR271" s="22"/>
      <c r="EDS271" s="22"/>
      <c r="EDT271" s="22"/>
      <c r="EDU271" s="22"/>
      <c r="EDV271" s="22"/>
      <c r="EDW271" s="22"/>
      <c r="EDX271" s="22"/>
      <c r="EDY271" s="22"/>
      <c r="EDZ271" s="22"/>
      <c r="EEA271" s="22"/>
      <c r="EEB271" s="22"/>
      <c r="EEC271" s="22"/>
      <c r="EED271" s="22"/>
      <c r="EEE271" s="22"/>
      <c r="EEF271" s="22"/>
      <c r="EEG271" s="22"/>
      <c r="EEH271" s="22"/>
      <c r="EEI271" s="22"/>
      <c r="EEJ271" s="22"/>
      <c r="EEK271" s="22"/>
      <c r="EEL271" s="22"/>
      <c r="EEM271" s="22"/>
      <c r="EEN271" s="22"/>
      <c r="EEO271" s="22"/>
      <c r="EEP271" s="22"/>
      <c r="EEQ271" s="22"/>
      <c r="EER271" s="22"/>
      <c r="EES271" s="22"/>
      <c r="EET271" s="22"/>
      <c r="EEU271" s="22"/>
      <c r="EEV271" s="22"/>
      <c r="EEW271" s="22"/>
      <c r="EEX271" s="22"/>
      <c r="EEY271" s="22"/>
      <c r="EEZ271" s="22"/>
      <c r="EFA271" s="22"/>
      <c r="EFB271" s="22"/>
      <c r="EFC271" s="22"/>
      <c r="EFD271" s="22"/>
      <c r="EFE271" s="22"/>
      <c r="EFF271" s="22"/>
      <c r="EFG271" s="22"/>
      <c r="EFH271" s="22"/>
      <c r="EFI271" s="22"/>
      <c r="EFJ271" s="22"/>
      <c r="EFK271" s="22"/>
      <c r="EFL271" s="22"/>
      <c r="EFM271" s="22"/>
      <c r="EFN271" s="22"/>
      <c r="EFO271" s="22"/>
      <c r="EFP271" s="22"/>
      <c r="EFQ271" s="22"/>
      <c r="EFR271" s="22"/>
      <c r="EFS271" s="22"/>
      <c r="EFT271" s="22"/>
      <c r="EFU271" s="22"/>
      <c r="EFV271" s="22"/>
      <c r="EFW271" s="22"/>
      <c r="EFX271" s="22"/>
      <c r="EFY271" s="22"/>
      <c r="EFZ271" s="22"/>
      <c r="EGA271" s="22"/>
      <c r="EGB271" s="22"/>
      <c r="EGC271" s="22"/>
      <c r="EGD271" s="22"/>
      <c r="EGE271" s="22"/>
      <c r="EGF271" s="22"/>
      <c r="EGG271" s="22"/>
      <c r="EGH271" s="22"/>
      <c r="EGI271" s="22"/>
      <c r="EGJ271" s="22"/>
      <c r="EGK271" s="22"/>
      <c r="EGL271" s="22"/>
      <c r="EGM271" s="22"/>
      <c r="EGN271" s="22"/>
      <c r="EGO271" s="22"/>
      <c r="EGP271" s="22"/>
      <c r="EGQ271" s="22"/>
      <c r="EGR271" s="22"/>
      <c r="EGS271" s="22"/>
      <c r="EGT271" s="22"/>
      <c r="EGU271" s="22"/>
      <c r="EGV271" s="22"/>
      <c r="EGW271" s="22"/>
      <c r="EGX271" s="22"/>
      <c r="EGY271" s="22"/>
      <c r="EGZ271" s="22"/>
      <c r="EHA271" s="22"/>
      <c r="EHB271" s="22"/>
      <c r="EHC271" s="22"/>
      <c r="EHD271" s="22"/>
      <c r="EHE271" s="22"/>
      <c r="EHF271" s="22"/>
      <c r="EHG271" s="22"/>
      <c r="EHH271" s="22"/>
      <c r="EHI271" s="22"/>
      <c r="EHJ271" s="22"/>
      <c r="EHK271" s="22"/>
      <c r="EHL271" s="22"/>
      <c r="EHM271" s="22"/>
      <c r="EHN271" s="22"/>
      <c r="EHO271" s="22"/>
      <c r="EHP271" s="22"/>
      <c r="EHQ271" s="22"/>
      <c r="EHR271" s="22"/>
      <c r="EHS271" s="22"/>
      <c r="EHT271" s="22"/>
      <c r="EHU271" s="22"/>
      <c r="EHV271" s="22"/>
      <c r="EHW271" s="22"/>
      <c r="EHX271" s="22"/>
      <c r="EHY271" s="22"/>
      <c r="EHZ271" s="22"/>
      <c r="EIA271" s="22"/>
      <c r="EIB271" s="22"/>
      <c r="EIC271" s="22"/>
      <c r="EID271" s="22"/>
      <c r="EIE271" s="22"/>
      <c r="EIF271" s="22"/>
      <c r="EIG271" s="22"/>
      <c r="EIH271" s="22"/>
      <c r="EII271" s="22"/>
      <c r="EIJ271" s="22"/>
      <c r="EIK271" s="22"/>
      <c r="EIL271" s="22"/>
      <c r="EIM271" s="22"/>
      <c r="EIN271" s="22"/>
      <c r="EIO271" s="22"/>
      <c r="EIP271" s="22"/>
      <c r="EIQ271" s="22"/>
      <c r="EIR271" s="22"/>
      <c r="EIS271" s="22"/>
      <c r="EIT271" s="22"/>
      <c r="EIU271" s="22"/>
      <c r="EIV271" s="22"/>
      <c r="EIW271" s="22"/>
      <c r="EIX271" s="22"/>
      <c r="EIY271" s="22"/>
      <c r="EIZ271" s="22"/>
      <c r="EJA271" s="22"/>
      <c r="EJB271" s="22"/>
      <c r="EJC271" s="22"/>
      <c r="EJD271" s="22"/>
      <c r="EJE271" s="22"/>
      <c r="EJF271" s="22"/>
      <c r="EJG271" s="22"/>
      <c r="EJH271" s="22"/>
      <c r="EJI271" s="22"/>
      <c r="EJJ271" s="22"/>
      <c r="EJK271" s="22"/>
      <c r="EJL271" s="22"/>
      <c r="EJM271" s="22"/>
      <c r="EJN271" s="22"/>
      <c r="EJO271" s="22"/>
      <c r="EJP271" s="22"/>
      <c r="EJQ271" s="22"/>
      <c r="EJR271" s="22"/>
      <c r="EJS271" s="22"/>
      <c r="EJT271" s="22"/>
      <c r="EJU271" s="22"/>
      <c r="EJV271" s="22"/>
      <c r="EJW271" s="22"/>
      <c r="EJX271" s="22"/>
      <c r="EJY271" s="22"/>
      <c r="EJZ271" s="22"/>
      <c r="EKA271" s="22"/>
      <c r="EKB271" s="22"/>
      <c r="EKC271" s="22"/>
      <c r="EKD271" s="22"/>
      <c r="EKE271" s="22"/>
      <c r="EKF271" s="22"/>
      <c r="EKG271" s="22"/>
      <c r="EKH271" s="22"/>
      <c r="EKI271" s="22"/>
      <c r="EKJ271" s="22"/>
      <c r="EKK271" s="22"/>
      <c r="EKL271" s="22"/>
      <c r="EKM271" s="22"/>
      <c r="EKN271" s="22"/>
      <c r="EKO271" s="22"/>
      <c r="EKP271" s="22"/>
      <c r="EKQ271" s="22"/>
      <c r="EKR271" s="22"/>
      <c r="EKS271" s="22"/>
      <c r="EKT271" s="22"/>
      <c r="EKU271" s="22"/>
      <c r="EKV271" s="22"/>
      <c r="EKW271" s="22"/>
      <c r="EKX271" s="22"/>
      <c r="EKY271" s="22"/>
      <c r="EKZ271" s="22"/>
      <c r="ELA271" s="22"/>
      <c r="ELB271" s="22"/>
      <c r="ELC271" s="22"/>
      <c r="ELD271" s="22"/>
      <c r="ELE271" s="22"/>
      <c r="ELF271" s="22"/>
      <c r="ELG271" s="22"/>
      <c r="ELH271" s="22"/>
      <c r="ELI271" s="22"/>
      <c r="ELJ271" s="22"/>
      <c r="ELK271" s="22"/>
      <c r="ELL271" s="22"/>
      <c r="ELM271" s="22"/>
      <c r="ELN271" s="22"/>
      <c r="ELO271" s="22"/>
      <c r="ELP271" s="22"/>
      <c r="ELQ271" s="22"/>
      <c r="ELR271" s="22"/>
      <c r="ELS271" s="22"/>
      <c r="ELT271" s="22"/>
      <c r="ELU271" s="22"/>
      <c r="ELV271" s="22"/>
      <c r="ELW271" s="22"/>
      <c r="ELX271" s="22"/>
      <c r="ELY271" s="22"/>
      <c r="ELZ271" s="22"/>
      <c r="EMA271" s="22"/>
      <c r="EMB271" s="22"/>
      <c r="EMC271" s="22"/>
      <c r="EMD271" s="22"/>
      <c r="EME271" s="22"/>
      <c r="EMF271" s="22"/>
      <c r="EMG271" s="22"/>
      <c r="EMH271" s="22"/>
      <c r="EMI271" s="22"/>
      <c r="EMJ271" s="22"/>
      <c r="EMK271" s="22"/>
      <c r="EML271" s="22"/>
      <c r="EMM271" s="22"/>
      <c r="EMN271" s="22"/>
      <c r="EMO271" s="22"/>
      <c r="EMP271" s="22"/>
      <c r="EMQ271" s="22"/>
      <c r="EMR271" s="22"/>
      <c r="EMS271" s="22"/>
      <c r="EMT271" s="22"/>
      <c r="EMU271" s="22"/>
      <c r="EMV271" s="22"/>
      <c r="EMW271" s="22"/>
      <c r="EMX271" s="22"/>
      <c r="EMY271" s="22"/>
      <c r="EMZ271" s="22"/>
      <c r="ENA271" s="22"/>
      <c r="ENB271" s="22"/>
      <c r="ENC271" s="22"/>
      <c r="END271" s="22"/>
      <c r="ENE271" s="22"/>
      <c r="ENF271" s="22"/>
      <c r="ENG271" s="22"/>
      <c r="ENH271" s="22"/>
      <c r="ENI271" s="22"/>
      <c r="ENJ271" s="22"/>
      <c r="ENK271" s="22"/>
      <c r="ENL271" s="22"/>
      <c r="ENM271" s="22"/>
      <c r="ENN271" s="22"/>
      <c r="ENO271" s="22"/>
      <c r="ENP271" s="22"/>
      <c r="ENQ271" s="22"/>
      <c r="ENR271" s="22"/>
      <c r="ENS271" s="22"/>
      <c r="ENT271" s="22"/>
      <c r="ENU271" s="22"/>
      <c r="ENV271" s="22"/>
      <c r="ENW271" s="22"/>
      <c r="ENX271" s="22"/>
      <c r="ENY271" s="22"/>
      <c r="ENZ271" s="22"/>
      <c r="EOA271" s="22"/>
      <c r="EOB271" s="22"/>
      <c r="EOC271" s="22"/>
      <c r="EOD271" s="22"/>
      <c r="EOE271" s="22"/>
      <c r="EOF271" s="22"/>
      <c r="EOG271" s="22"/>
      <c r="EOH271" s="22"/>
      <c r="EOI271" s="22"/>
      <c r="EOJ271" s="22"/>
      <c r="EOK271" s="22"/>
      <c r="EOL271" s="22"/>
      <c r="EOM271" s="22"/>
      <c r="EON271" s="22"/>
      <c r="EOO271" s="22"/>
      <c r="EOP271" s="22"/>
      <c r="EOQ271" s="22"/>
      <c r="EOR271" s="22"/>
      <c r="EOS271" s="22"/>
      <c r="EOT271" s="22"/>
      <c r="EOU271" s="22"/>
      <c r="EOV271" s="22"/>
      <c r="EOW271" s="22"/>
      <c r="EOX271" s="22"/>
      <c r="EOY271" s="22"/>
      <c r="EOZ271" s="22"/>
      <c r="EPA271" s="22"/>
      <c r="EPB271" s="22"/>
      <c r="EPC271" s="22"/>
      <c r="EPD271" s="22"/>
      <c r="EPE271" s="22"/>
      <c r="EPF271" s="22"/>
      <c r="EPG271" s="22"/>
      <c r="EPH271" s="22"/>
      <c r="EPI271" s="22"/>
      <c r="EPJ271" s="22"/>
      <c r="EPK271" s="22"/>
      <c r="EPL271" s="22"/>
      <c r="EPM271" s="22"/>
      <c r="EPN271" s="22"/>
      <c r="EPO271" s="22"/>
      <c r="EPP271" s="22"/>
      <c r="EPQ271" s="22"/>
      <c r="EPR271" s="22"/>
      <c r="EPS271" s="22"/>
      <c r="EPT271" s="22"/>
      <c r="EPU271" s="22"/>
      <c r="EPV271" s="22"/>
      <c r="EPW271" s="22"/>
      <c r="EPX271" s="22"/>
      <c r="EPY271" s="22"/>
      <c r="EPZ271" s="22"/>
      <c r="EQA271" s="22"/>
      <c r="EQB271" s="22"/>
      <c r="EQC271" s="22"/>
      <c r="EQD271" s="22"/>
      <c r="EQE271" s="22"/>
      <c r="EQF271" s="22"/>
      <c r="EQG271" s="22"/>
      <c r="EQH271" s="22"/>
      <c r="EQI271" s="22"/>
      <c r="EQJ271" s="22"/>
      <c r="EQK271" s="22"/>
      <c r="EQL271" s="22"/>
      <c r="EQM271" s="22"/>
      <c r="EQN271" s="22"/>
      <c r="EQO271" s="22"/>
      <c r="EQP271" s="22"/>
      <c r="EQQ271" s="22"/>
      <c r="EQR271" s="22"/>
      <c r="EQS271" s="22"/>
      <c r="EQT271" s="22"/>
      <c r="EQU271" s="22"/>
      <c r="EQV271" s="22"/>
      <c r="EQW271" s="22"/>
      <c r="EQX271" s="22"/>
      <c r="EQY271" s="22"/>
      <c r="EQZ271" s="22"/>
      <c r="ERA271" s="22"/>
      <c r="ERB271" s="22"/>
      <c r="ERC271" s="22"/>
      <c r="ERD271" s="22"/>
      <c r="ERE271" s="22"/>
      <c r="ERF271" s="22"/>
      <c r="ERG271" s="22"/>
      <c r="ERH271" s="22"/>
      <c r="ERI271" s="22"/>
      <c r="ERJ271" s="22"/>
      <c r="ERK271" s="22"/>
      <c r="ERL271" s="22"/>
      <c r="ERM271" s="22"/>
      <c r="ERN271" s="22"/>
      <c r="ERO271" s="22"/>
      <c r="ERP271" s="22"/>
      <c r="ERQ271" s="22"/>
      <c r="ERR271" s="22"/>
      <c r="ERS271" s="22"/>
      <c r="ERT271" s="22"/>
      <c r="ERU271" s="22"/>
      <c r="ERV271" s="22"/>
      <c r="ERW271" s="22"/>
      <c r="ERX271" s="22"/>
      <c r="ERY271" s="22"/>
      <c r="ERZ271" s="22"/>
      <c r="ESA271" s="22"/>
      <c r="ESB271" s="22"/>
      <c r="ESC271" s="22"/>
      <c r="ESD271" s="22"/>
      <c r="ESE271" s="22"/>
      <c r="ESF271" s="22"/>
      <c r="ESG271" s="22"/>
      <c r="ESH271" s="22"/>
      <c r="ESI271" s="22"/>
      <c r="ESJ271" s="22"/>
      <c r="ESK271" s="22"/>
      <c r="ESL271" s="22"/>
      <c r="ESM271" s="22"/>
      <c r="ESN271" s="22"/>
      <c r="ESO271" s="22"/>
      <c r="ESP271" s="22"/>
      <c r="ESQ271" s="22"/>
      <c r="ESR271" s="22"/>
      <c r="ESS271" s="22"/>
      <c r="EST271" s="22"/>
      <c r="ESU271" s="22"/>
      <c r="ESV271" s="22"/>
      <c r="ESW271" s="22"/>
      <c r="ESX271" s="22"/>
      <c r="ESY271" s="22"/>
      <c r="ESZ271" s="22"/>
      <c r="ETA271" s="22"/>
      <c r="ETB271" s="22"/>
      <c r="ETC271" s="22"/>
      <c r="ETD271" s="22"/>
      <c r="ETE271" s="22"/>
      <c r="ETF271" s="22"/>
      <c r="ETG271" s="22"/>
      <c r="ETH271" s="22"/>
      <c r="ETI271" s="22"/>
      <c r="ETJ271" s="22"/>
      <c r="ETK271" s="22"/>
      <c r="ETL271" s="22"/>
      <c r="ETM271" s="22"/>
      <c r="ETN271" s="22"/>
      <c r="ETO271" s="22"/>
      <c r="ETP271" s="22"/>
      <c r="ETQ271" s="22"/>
      <c r="ETR271" s="22"/>
      <c r="ETS271" s="22"/>
      <c r="ETT271" s="22"/>
      <c r="ETU271" s="22"/>
      <c r="ETV271" s="22"/>
      <c r="ETW271" s="22"/>
      <c r="ETX271" s="22"/>
      <c r="ETY271" s="22"/>
      <c r="ETZ271" s="22"/>
      <c r="EUA271" s="22"/>
      <c r="EUB271" s="22"/>
      <c r="EUC271" s="22"/>
      <c r="EUD271" s="22"/>
      <c r="EUE271" s="22"/>
      <c r="EUF271" s="22"/>
      <c r="EUG271" s="22"/>
      <c r="EUH271" s="22"/>
      <c r="EUI271" s="22"/>
      <c r="EUJ271" s="22"/>
      <c r="EUK271" s="22"/>
      <c r="EUL271" s="22"/>
      <c r="EUM271" s="22"/>
      <c r="EUN271" s="22"/>
      <c r="EUO271" s="22"/>
      <c r="EUP271" s="22"/>
      <c r="EUQ271" s="22"/>
      <c r="EUR271" s="22"/>
      <c r="EUS271" s="22"/>
      <c r="EUT271" s="22"/>
      <c r="EUU271" s="22"/>
      <c r="EUV271" s="22"/>
      <c r="EUW271" s="22"/>
      <c r="EUX271" s="22"/>
      <c r="EUY271" s="22"/>
      <c r="EUZ271" s="22"/>
      <c r="EVA271" s="22"/>
      <c r="EVB271" s="22"/>
      <c r="EVC271" s="22"/>
      <c r="EVD271" s="22"/>
      <c r="EVE271" s="22"/>
      <c r="EVF271" s="22"/>
      <c r="EVG271" s="22"/>
      <c r="EVH271" s="22"/>
      <c r="EVI271" s="22"/>
      <c r="EVJ271" s="22"/>
      <c r="EVK271" s="22"/>
      <c r="EVL271" s="22"/>
      <c r="EVM271" s="22"/>
      <c r="EVN271" s="22"/>
      <c r="EVO271" s="22"/>
      <c r="EVP271" s="22"/>
      <c r="EVQ271" s="22"/>
      <c r="EVR271" s="22"/>
      <c r="EVS271" s="22"/>
      <c r="EVT271" s="22"/>
      <c r="EVU271" s="22"/>
      <c r="EVV271" s="22"/>
      <c r="EVW271" s="22"/>
      <c r="EVX271" s="22"/>
      <c r="EVY271" s="22"/>
      <c r="EVZ271" s="22"/>
      <c r="EWA271" s="22"/>
      <c r="EWB271" s="22"/>
      <c r="EWC271" s="22"/>
      <c r="EWD271" s="22"/>
      <c r="EWE271" s="22"/>
      <c r="EWF271" s="22"/>
      <c r="EWG271" s="22"/>
      <c r="EWH271" s="22"/>
      <c r="EWI271" s="22"/>
      <c r="EWJ271" s="22"/>
      <c r="EWK271" s="22"/>
      <c r="EWL271" s="22"/>
      <c r="EWM271" s="22"/>
      <c r="EWN271" s="22"/>
      <c r="EWO271" s="22"/>
      <c r="EWP271" s="22"/>
      <c r="EWQ271" s="22"/>
      <c r="EWR271" s="22"/>
      <c r="EWS271" s="22"/>
      <c r="EWT271" s="22"/>
      <c r="EWU271" s="22"/>
      <c r="EWV271" s="22"/>
      <c r="EWW271" s="22"/>
      <c r="EWX271" s="22"/>
      <c r="EWY271" s="22"/>
      <c r="EWZ271" s="22"/>
      <c r="EXA271" s="22"/>
      <c r="EXB271" s="22"/>
      <c r="EXC271" s="22"/>
      <c r="EXD271" s="22"/>
      <c r="EXE271" s="22"/>
      <c r="EXF271" s="22"/>
      <c r="EXG271" s="22"/>
      <c r="EXH271" s="22"/>
      <c r="EXI271" s="22"/>
      <c r="EXJ271" s="22"/>
      <c r="EXK271" s="22"/>
      <c r="EXL271" s="22"/>
      <c r="EXM271" s="22"/>
      <c r="EXN271" s="22"/>
      <c r="EXO271" s="22"/>
      <c r="EXP271" s="22"/>
      <c r="EXQ271" s="22"/>
      <c r="EXR271" s="22"/>
      <c r="EXS271" s="22"/>
      <c r="EXT271" s="22"/>
      <c r="EXU271" s="22"/>
      <c r="EXV271" s="22"/>
      <c r="EXW271" s="22"/>
      <c r="EXX271" s="22"/>
      <c r="EXY271" s="22"/>
      <c r="EXZ271" s="22"/>
      <c r="EYA271" s="22"/>
      <c r="EYB271" s="22"/>
      <c r="EYC271" s="22"/>
      <c r="EYD271" s="22"/>
      <c r="EYE271" s="22"/>
      <c r="EYF271" s="22"/>
      <c r="EYG271" s="22"/>
      <c r="EYH271" s="22"/>
      <c r="EYI271" s="22"/>
      <c r="EYJ271" s="22"/>
      <c r="EYK271" s="22"/>
      <c r="EYL271" s="22"/>
      <c r="EYM271" s="22"/>
      <c r="EYN271" s="22"/>
      <c r="EYO271" s="22"/>
      <c r="EYP271" s="22"/>
      <c r="EYQ271" s="22"/>
      <c r="EYR271" s="22"/>
      <c r="EYS271" s="22"/>
      <c r="EYT271" s="22"/>
      <c r="EYU271" s="22"/>
      <c r="EYV271" s="22"/>
      <c r="EYW271" s="22"/>
      <c r="EYX271" s="22"/>
      <c r="EYY271" s="22"/>
      <c r="EYZ271" s="22"/>
      <c r="EZA271" s="22"/>
      <c r="EZB271" s="22"/>
      <c r="EZC271" s="22"/>
      <c r="EZD271" s="22"/>
      <c r="EZE271" s="22"/>
      <c r="EZF271" s="22"/>
      <c r="EZG271" s="22"/>
      <c r="EZH271" s="22"/>
      <c r="EZI271" s="22"/>
      <c r="EZJ271" s="22"/>
      <c r="EZK271" s="22"/>
      <c r="EZL271" s="22"/>
      <c r="EZM271" s="22"/>
      <c r="EZN271" s="22"/>
      <c r="EZO271" s="22"/>
      <c r="EZP271" s="22"/>
      <c r="EZQ271" s="22"/>
      <c r="EZR271" s="22"/>
      <c r="EZS271" s="22"/>
      <c r="EZT271" s="22"/>
      <c r="EZU271" s="22"/>
      <c r="EZV271" s="22"/>
      <c r="EZW271" s="22"/>
      <c r="EZX271" s="22"/>
      <c r="EZY271" s="22"/>
      <c r="EZZ271" s="22"/>
      <c r="FAA271" s="22"/>
      <c r="FAB271" s="22"/>
      <c r="FAC271" s="22"/>
      <c r="FAD271" s="22"/>
      <c r="FAE271" s="22"/>
      <c r="FAF271" s="22"/>
      <c r="FAG271" s="22"/>
      <c r="FAH271" s="22"/>
      <c r="FAI271" s="22"/>
      <c r="FAJ271" s="22"/>
      <c r="FAK271" s="22"/>
      <c r="FAL271" s="22"/>
      <c r="FAM271" s="22"/>
      <c r="FAN271" s="22"/>
      <c r="FAO271" s="22"/>
      <c r="FAP271" s="22"/>
      <c r="FAQ271" s="22"/>
      <c r="FAR271" s="22"/>
      <c r="FAS271" s="22"/>
      <c r="FAT271" s="22"/>
      <c r="FAU271" s="22"/>
      <c r="FAV271" s="22"/>
      <c r="FAW271" s="22"/>
      <c r="FAX271" s="22"/>
      <c r="FAY271" s="22"/>
      <c r="FAZ271" s="22"/>
      <c r="FBA271" s="22"/>
      <c r="FBB271" s="22"/>
      <c r="FBC271" s="22"/>
      <c r="FBD271" s="22"/>
      <c r="FBE271" s="22"/>
      <c r="FBF271" s="22"/>
      <c r="FBG271" s="22"/>
      <c r="FBH271" s="22"/>
      <c r="FBI271" s="22"/>
      <c r="FBJ271" s="22"/>
      <c r="FBK271" s="22"/>
      <c r="FBL271" s="22"/>
      <c r="FBM271" s="22"/>
      <c r="FBN271" s="22"/>
      <c r="FBO271" s="22"/>
      <c r="FBP271" s="22"/>
      <c r="FBQ271" s="22"/>
      <c r="FBR271" s="22"/>
      <c r="FBS271" s="22"/>
      <c r="FBT271" s="22"/>
      <c r="FBU271" s="22"/>
      <c r="FBV271" s="22"/>
      <c r="FBW271" s="22"/>
      <c r="FBX271" s="22"/>
      <c r="FBY271" s="22"/>
      <c r="FBZ271" s="22"/>
      <c r="FCA271" s="22"/>
      <c r="FCB271" s="22"/>
      <c r="FCC271" s="22"/>
      <c r="FCD271" s="22"/>
      <c r="FCE271" s="22"/>
      <c r="FCF271" s="22"/>
      <c r="FCG271" s="22"/>
      <c r="FCH271" s="22"/>
      <c r="FCI271" s="22"/>
      <c r="FCJ271" s="22"/>
      <c r="FCK271" s="22"/>
      <c r="FCL271" s="22"/>
      <c r="FCM271" s="22"/>
      <c r="FCN271" s="22"/>
      <c r="FCO271" s="22"/>
      <c r="FCP271" s="22"/>
      <c r="FCQ271" s="22"/>
      <c r="FCR271" s="22"/>
      <c r="FCS271" s="22"/>
      <c r="FCT271" s="22"/>
      <c r="FCU271" s="22"/>
      <c r="FCV271" s="22"/>
      <c r="FCW271" s="22"/>
      <c r="FCX271" s="22"/>
      <c r="FCY271" s="22"/>
      <c r="FCZ271" s="22"/>
      <c r="FDA271" s="22"/>
      <c r="FDB271" s="22"/>
      <c r="FDC271" s="22"/>
      <c r="FDD271" s="22"/>
      <c r="FDE271" s="22"/>
      <c r="FDF271" s="22"/>
      <c r="FDG271" s="22"/>
      <c r="FDH271" s="22"/>
      <c r="FDI271" s="22"/>
      <c r="FDJ271" s="22"/>
      <c r="FDK271" s="22"/>
      <c r="FDL271" s="22"/>
      <c r="FDM271" s="22"/>
      <c r="FDN271" s="22"/>
      <c r="FDO271" s="22"/>
      <c r="FDP271" s="22"/>
      <c r="FDQ271" s="22"/>
      <c r="FDR271" s="22"/>
      <c r="FDS271" s="22"/>
      <c r="FDT271" s="22"/>
      <c r="FDU271" s="22"/>
      <c r="FDV271" s="22"/>
      <c r="FDW271" s="22"/>
      <c r="FDX271" s="22"/>
      <c r="FDY271" s="22"/>
      <c r="FDZ271" s="22"/>
      <c r="FEA271" s="22"/>
      <c r="FEB271" s="22"/>
      <c r="FEC271" s="22"/>
      <c r="FED271" s="22"/>
      <c r="FEE271" s="22"/>
      <c r="FEF271" s="22"/>
      <c r="FEG271" s="22"/>
      <c r="FEH271" s="22"/>
      <c r="FEI271" s="22"/>
      <c r="FEJ271" s="22"/>
      <c r="FEK271" s="22"/>
      <c r="FEL271" s="22"/>
      <c r="FEM271" s="22"/>
      <c r="FEN271" s="22"/>
      <c r="FEO271" s="22"/>
      <c r="FEP271" s="22"/>
      <c r="FEQ271" s="22"/>
      <c r="FER271" s="22"/>
      <c r="FES271" s="22"/>
      <c r="FET271" s="22"/>
      <c r="FEU271" s="22"/>
      <c r="FEV271" s="22"/>
      <c r="FEW271" s="22"/>
      <c r="FEX271" s="22"/>
      <c r="FEY271" s="22"/>
      <c r="FEZ271" s="22"/>
      <c r="FFA271" s="22"/>
      <c r="FFB271" s="22"/>
      <c r="FFC271" s="22"/>
      <c r="FFD271" s="22"/>
      <c r="FFE271" s="22"/>
      <c r="FFF271" s="22"/>
      <c r="FFG271" s="22"/>
      <c r="FFH271" s="22"/>
      <c r="FFI271" s="22"/>
      <c r="FFJ271" s="22"/>
      <c r="FFK271" s="22"/>
      <c r="FFL271" s="22"/>
      <c r="FFM271" s="22"/>
      <c r="FFN271" s="22"/>
      <c r="FFO271" s="22"/>
      <c r="FFP271" s="22"/>
      <c r="FFQ271" s="22"/>
      <c r="FFR271" s="22"/>
      <c r="FFS271" s="22"/>
      <c r="FFT271" s="22"/>
      <c r="FFU271" s="22"/>
      <c r="FFV271" s="22"/>
      <c r="FFW271" s="22"/>
      <c r="FFX271" s="22"/>
      <c r="FFY271" s="22"/>
      <c r="FFZ271" s="22"/>
      <c r="FGA271" s="22"/>
      <c r="FGB271" s="22"/>
      <c r="FGC271" s="22"/>
      <c r="FGD271" s="22"/>
      <c r="FGE271" s="22"/>
      <c r="FGF271" s="22"/>
      <c r="FGG271" s="22"/>
      <c r="FGH271" s="22"/>
      <c r="FGI271" s="22"/>
      <c r="FGJ271" s="22"/>
      <c r="FGK271" s="22"/>
      <c r="FGL271" s="22"/>
      <c r="FGM271" s="22"/>
      <c r="FGN271" s="22"/>
      <c r="FGO271" s="22"/>
      <c r="FGP271" s="22"/>
      <c r="FGQ271" s="22"/>
      <c r="FGR271" s="22"/>
      <c r="FGS271" s="22"/>
      <c r="FGT271" s="22"/>
      <c r="FGU271" s="22"/>
      <c r="FGV271" s="22"/>
      <c r="FGW271" s="22"/>
      <c r="FGX271" s="22"/>
      <c r="FGY271" s="22"/>
      <c r="FGZ271" s="22"/>
      <c r="FHA271" s="22"/>
      <c r="FHB271" s="22"/>
      <c r="FHC271" s="22"/>
      <c r="FHD271" s="22"/>
      <c r="FHE271" s="22"/>
      <c r="FHF271" s="22"/>
      <c r="FHG271" s="22"/>
      <c r="FHH271" s="22"/>
      <c r="FHI271" s="22"/>
      <c r="FHJ271" s="22"/>
      <c r="FHK271" s="22"/>
      <c r="FHL271" s="22"/>
      <c r="FHM271" s="22"/>
      <c r="FHN271" s="22"/>
      <c r="FHO271" s="22"/>
      <c r="FHP271" s="22"/>
      <c r="FHQ271" s="22"/>
      <c r="FHR271" s="22"/>
      <c r="FHS271" s="22"/>
      <c r="FHT271" s="22"/>
      <c r="FHU271" s="22"/>
      <c r="FHV271" s="22"/>
      <c r="FHW271" s="22"/>
      <c r="FHX271" s="22"/>
      <c r="FHY271" s="22"/>
      <c r="FHZ271" s="22"/>
      <c r="FIA271" s="22"/>
      <c r="FIB271" s="22"/>
      <c r="FIC271" s="22"/>
      <c r="FID271" s="22"/>
      <c r="FIE271" s="22"/>
      <c r="FIF271" s="22"/>
      <c r="FIG271" s="22"/>
      <c r="FIH271" s="22"/>
      <c r="FII271" s="22"/>
      <c r="FIJ271" s="22"/>
      <c r="FIK271" s="22"/>
      <c r="FIL271" s="22"/>
      <c r="FIM271" s="22"/>
      <c r="FIN271" s="22"/>
      <c r="FIO271" s="22"/>
      <c r="FIP271" s="22"/>
      <c r="FIQ271" s="22"/>
      <c r="FIR271" s="22"/>
      <c r="FIS271" s="22"/>
      <c r="FIT271" s="22"/>
      <c r="FIU271" s="22"/>
      <c r="FIV271" s="22"/>
      <c r="FIW271" s="22"/>
      <c r="FIX271" s="22"/>
      <c r="FIY271" s="22"/>
      <c r="FIZ271" s="22"/>
      <c r="FJA271" s="22"/>
      <c r="FJB271" s="22"/>
      <c r="FJC271" s="22"/>
      <c r="FJD271" s="22"/>
      <c r="FJE271" s="22"/>
      <c r="FJF271" s="22"/>
      <c r="FJG271" s="22"/>
      <c r="FJH271" s="22"/>
      <c r="FJI271" s="22"/>
      <c r="FJJ271" s="22"/>
      <c r="FJK271" s="22"/>
      <c r="FJL271" s="22"/>
      <c r="FJM271" s="22"/>
      <c r="FJN271" s="22"/>
      <c r="FJO271" s="22"/>
      <c r="FJP271" s="22"/>
      <c r="FJQ271" s="22"/>
      <c r="FJR271" s="22"/>
      <c r="FJS271" s="22"/>
      <c r="FJT271" s="22"/>
      <c r="FJU271" s="22"/>
      <c r="FJV271" s="22"/>
      <c r="FJW271" s="22"/>
      <c r="FJX271" s="22"/>
      <c r="FJY271" s="22"/>
      <c r="FJZ271" s="22"/>
      <c r="FKA271" s="22"/>
      <c r="FKB271" s="22"/>
      <c r="FKC271" s="22"/>
      <c r="FKD271" s="22"/>
      <c r="FKE271" s="22"/>
      <c r="FKF271" s="22"/>
      <c r="FKG271" s="22"/>
      <c r="FKH271" s="22"/>
      <c r="FKI271" s="22"/>
      <c r="FKJ271" s="22"/>
      <c r="FKK271" s="22"/>
      <c r="FKL271" s="22"/>
      <c r="FKM271" s="22"/>
      <c r="FKN271" s="22"/>
      <c r="FKO271" s="22"/>
      <c r="FKP271" s="22"/>
      <c r="FKQ271" s="22"/>
      <c r="FKR271" s="22"/>
      <c r="FKS271" s="22"/>
      <c r="FKT271" s="22"/>
      <c r="FKU271" s="22"/>
      <c r="FKV271" s="22"/>
      <c r="FKW271" s="22"/>
      <c r="FKX271" s="22"/>
      <c r="FKY271" s="22"/>
      <c r="FKZ271" s="22"/>
      <c r="FLA271" s="22"/>
      <c r="FLB271" s="22"/>
      <c r="FLC271" s="22"/>
      <c r="FLD271" s="22"/>
      <c r="FLE271" s="22"/>
      <c r="FLF271" s="22"/>
      <c r="FLG271" s="22"/>
      <c r="FLH271" s="22"/>
      <c r="FLI271" s="22"/>
      <c r="FLJ271" s="22"/>
      <c r="FLK271" s="22"/>
      <c r="FLL271" s="22"/>
      <c r="FLM271" s="22"/>
      <c r="FLN271" s="22"/>
      <c r="FLO271" s="22"/>
      <c r="FLP271" s="22"/>
      <c r="FLQ271" s="22"/>
      <c r="FLR271" s="22"/>
      <c r="FLS271" s="22"/>
      <c r="FLT271" s="22"/>
      <c r="FLU271" s="22"/>
      <c r="FLV271" s="22"/>
      <c r="FLW271" s="22"/>
      <c r="FLX271" s="22"/>
      <c r="FLY271" s="22"/>
      <c r="FLZ271" s="22"/>
      <c r="FMA271" s="22"/>
      <c r="FMB271" s="22"/>
      <c r="FMC271" s="22"/>
      <c r="FMD271" s="22"/>
      <c r="FME271" s="22"/>
      <c r="FMF271" s="22"/>
      <c r="FMG271" s="22"/>
      <c r="FMH271" s="22"/>
      <c r="FMI271" s="22"/>
      <c r="FMJ271" s="22"/>
      <c r="FMK271" s="22"/>
      <c r="FML271" s="22"/>
      <c r="FMM271" s="22"/>
      <c r="FMN271" s="22"/>
      <c r="FMO271" s="22"/>
      <c r="FMP271" s="22"/>
      <c r="FMQ271" s="22"/>
      <c r="FMR271" s="22"/>
      <c r="FMS271" s="22"/>
      <c r="FMT271" s="22"/>
      <c r="FMU271" s="22"/>
      <c r="FMV271" s="22"/>
      <c r="FMW271" s="22"/>
      <c r="FMX271" s="22"/>
      <c r="FMY271" s="22"/>
      <c r="FMZ271" s="22"/>
      <c r="FNA271" s="22"/>
      <c r="FNB271" s="22"/>
      <c r="FNC271" s="22"/>
      <c r="FND271" s="22"/>
      <c r="FNE271" s="22"/>
      <c r="FNF271" s="22"/>
      <c r="FNG271" s="22"/>
      <c r="FNH271" s="22"/>
      <c r="FNI271" s="22"/>
      <c r="FNJ271" s="22"/>
      <c r="FNK271" s="22"/>
      <c r="FNL271" s="22"/>
      <c r="FNM271" s="22"/>
      <c r="FNN271" s="22"/>
      <c r="FNO271" s="22"/>
      <c r="FNP271" s="22"/>
      <c r="FNQ271" s="22"/>
      <c r="FNR271" s="22"/>
      <c r="FNS271" s="22"/>
      <c r="FNT271" s="22"/>
      <c r="FNU271" s="22"/>
      <c r="FNV271" s="22"/>
      <c r="FNW271" s="22"/>
      <c r="FNX271" s="22"/>
      <c r="FNY271" s="22"/>
      <c r="FNZ271" s="22"/>
      <c r="FOA271" s="22"/>
      <c r="FOB271" s="22"/>
      <c r="FOC271" s="22"/>
      <c r="FOD271" s="22"/>
      <c r="FOE271" s="22"/>
      <c r="FOF271" s="22"/>
      <c r="FOG271" s="22"/>
      <c r="FOH271" s="22"/>
      <c r="FOI271" s="22"/>
      <c r="FOJ271" s="22"/>
      <c r="FOK271" s="22"/>
      <c r="FOL271" s="22"/>
      <c r="FOM271" s="22"/>
      <c r="FON271" s="22"/>
      <c r="FOO271" s="22"/>
      <c r="FOP271" s="22"/>
      <c r="FOQ271" s="22"/>
      <c r="FOR271" s="22"/>
      <c r="FOS271" s="22"/>
      <c r="FOT271" s="22"/>
      <c r="FOU271" s="22"/>
      <c r="FOV271" s="22"/>
      <c r="FOW271" s="22"/>
      <c r="FOX271" s="22"/>
      <c r="FOY271" s="22"/>
      <c r="FOZ271" s="22"/>
      <c r="FPA271" s="22"/>
      <c r="FPB271" s="22"/>
      <c r="FPC271" s="22"/>
      <c r="FPD271" s="22"/>
      <c r="FPE271" s="22"/>
      <c r="FPF271" s="22"/>
      <c r="FPG271" s="22"/>
      <c r="FPH271" s="22"/>
      <c r="FPI271" s="22"/>
      <c r="FPJ271" s="22"/>
      <c r="FPK271" s="22"/>
      <c r="FPL271" s="22"/>
      <c r="FPM271" s="22"/>
      <c r="FPN271" s="22"/>
      <c r="FPO271" s="22"/>
      <c r="FPP271" s="22"/>
      <c r="FPQ271" s="22"/>
      <c r="FPR271" s="22"/>
      <c r="FPS271" s="22"/>
      <c r="FPT271" s="22"/>
      <c r="FPU271" s="22"/>
      <c r="FPV271" s="22"/>
      <c r="FPW271" s="22"/>
      <c r="FPX271" s="22"/>
      <c r="FPY271" s="22"/>
      <c r="FPZ271" s="22"/>
      <c r="FQA271" s="22"/>
      <c r="FQB271" s="22"/>
      <c r="FQC271" s="22"/>
      <c r="FQD271" s="22"/>
      <c r="FQE271" s="22"/>
      <c r="FQF271" s="22"/>
      <c r="FQG271" s="22"/>
      <c r="FQH271" s="22"/>
      <c r="FQI271" s="22"/>
      <c r="FQJ271" s="22"/>
      <c r="FQK271" s="22"/>
      <c r="FQL271" s="22"/>
      <c r="FQM271" s="22"/>
      <c r="FQN271" s="22"/>
      <c r="FQO271" s="22"/>
      <c r="FQP271" s="22"/>
      <c r="FQQ271" s="22"/>
      <c r="FQR271" s="22"/>
      <c r="FQS271" s="22"/>
      <c r="FQT271" s="22"/>
      <c r="FQU271" s="22"/>
      <c r="FQV271" s="22"/>
      <c r="FQW271" s="22"/>
      <c r="FQX271" s="22"/>
      <c r="FQY271" s="22"/>
      <c r="FQZ271" s="22"/>
      <c r="FRA271" s="22"/>
      <c r="FRB271" s="22"/>
      <c r="FRC271" s="22"/>
      <c r="FRD271" s="22"/>
      <c r="FRE271" s="22"/>
      <c r="FRF271" s="22"/>
      <c r="FRG271" s="22"/>
      <c r="FRH271" s="22"/>
      <c r="FRI271" s="22"/>
      <c r="FRJ271" s="22"/>
      <c r="FRK271" s="22"/>
      <c r="FRL271" s="22"/>
      <c r="FRM271" s="22"/>
      <c r="FRN271" s="22"/>
      <c r="FRO271" s="22"/>
      <c r="FRP271" s="22"/>
      <c r="FRQ271" s="22"/>
      <c r="FRR271" s="22"/>
      <c r="FRS271" s="22"/>
      <c r="FRT271" s="22"/>
      <c r="FRU271" s="22"/>
      <c r="FRV271" s="22"/>
      <c r="FRW271" s="22"/>
      <c r="FRX271" s="22"/>
      <c r="FRY271" s="22"/>
      <c r="FRZ271" s="22"/>
      <c r="FSA271" s="22"/>
      <c r="FSB271" s="22"/>
      <c r="FSC271" s="22"/>
      <c r="FSD271" s="22"/>
      <c r="FSE271" s="22"/>
      <c r="FSF271" s="22"/>
      <c r="FSG271" s="22"/>
      <c r="FSH271" s="22"/>
      <c r="FSI271" s="22"/>
      <c r="FSJ271" s="22"/>
      <c r="FSK271" s="22"/>
      <c r="FSL271" s="22"/>
      <c r="FSM271" s="22"/>
      <c r="FSN271" s="22"/>
      <c r="FSO271" s="22"/>
      <c r="FSP271" s="22"/>
      <c r="FSQ271" s="22"/>
      <c r="FSR271" s="22"/>
      <c r="FSS271" s="22"/>
      <c r="FST271" s="22"/>
      <c r="FSU271" s="22"/>
      <c r="FSV271" s="22"/>
      <c r="FSW271" s="22"/>
      <c r="FSX271" s="22"/>
      <c r="FSY271" s="22"/>
      <c r="FSZ271" s="22"/>
      <c r="FTA271" s="22"/>
      <c r="FTB271" s="22"/>
      <c r="FTC271" s="22"/>
      <c r="FTD271" s="22"/>
      <c r="FTE271" s="22"/>
      <c r="FTF271" s="22"/>
      <c r="FTG271" s="22"/>
      <c r="FTH271" s="22"/>
      <c r="FTI271" s="22"/>
      <c r="FTJ271" s="22"/>
      <c r="FTK271" s="22"/>
      <c r="FTL271" s="22"/>
      <c r="FTM271" s="22"/>
      <c r="FTN271" s="22"/>
      <c r="FTO271" s="22"/>
      <c r="FTP271" s="22"/>
      <c r="FTQ271" s="22"/>
      <c r="FTR271" s="22"/>
      <c r="FTS271" s="22"/>
      <c r="FTT271" s="22"/>
      <c r="FTU271" s="22"/>
      <c r="FTV271" s="22"/>
      <c r="FTW271" s="22"/>
      <c r="FTX271" s="22"/>
      <c r="FTY271" s="22"/>
      <c r="FTZ271" s="22"/>
      <c r="FUA271" s="22"/>
      <c r="FUB271" s="22"/>
      <c r="FUC271" s="22"/>
      <c r="FUD271" s="22"/>
      <c r="FUE271" s="22"/>
      <c r="FUF271" s="22"/>
      <c r="FUG271" s="22"/>
      <c r="FUH271" s="22"/>
      <c r="FUI271" s="22"/>
      <c r="FUJ271" s="22"/>
      <c r="FUK271" s="22"/>
      <c r="FUL271" s="22"/>
      <c r="FUM271" s="22"/>
      <c r="FUN271" s="22"/>
      <c r="FUO271" s="22"/>
      <c r="FUP271" s="22"/>
      <c r="FUQ271" s="22"/>
      <c r="FUR271" s="22"/>
      <c r="FUS271" s="22"/>
      <c r="FUT271" s="22"/>
      <c r="FUU271" s="22"/>
      <c r="FUV271" s="22"/>
      <c r="FUW271" s="22"/>
      <c r="FUX271" s="22"/>
      <c r="FUY271" s="22"/>
      <c r="FUZ271" s="22"/>
      <c r="FVA271" s="22"/>
      <c r="FVB271" s="22"/>
      <c r="FVC271" s="22"/>
      <c r="FVD271" s="22"/>
      <c r="FVE271" s="22"/>
      <c r="FVF271" s="22"/>
      <c r="FVG271" s="22"/>
      <c r="FVH271" s="22"/>
      <c r="FVI271" s="22"/>
      <c r="FVJ271" s="22"/>
      <c r="FVK271" s="22"/>
      <c r="FVL271" s="22"/>
      <c r="FVM271" s="22"/>
      <c r="FVN271" s="22"/>
      <c r="FVO271" s="22"/>
      <c r="FVP271" s="22"/>
      <c r="FVQ271" s="22"/>
      <c r="FVR271" s="22"/>
      <c r="FVS271" s="22"/>
      <c r="FVT271" s="22"/>
      <c r="FVU271" s="22"/>
      <c r="FVV271" s="22"/>
      <c r="FVW271" s="22"/>
      <c r="FVX271" s="22"/>
      <c r="FVY271" s="22"/>
      <c r="FVZ271" s="22"/>
      <c r="FWA271" s="22"/>
      <c r="FWB271" s="22"/>
      <c r="FWC271" s="22"/>
      <c r="FWD271" s="22"/>
      <c r="FWE271" s="22"/>
      <c r="FWF271" s="22"/>
      <c r="FWG271" s="22"/>
      <c r="FWH271" s="22"/>
      <c r="FWI271" s="22"/>
      <c r="FWJ271" s="22"/>
      <c r="FWK271" s="22"/>
      <c r="FWL271" s="22"/>
      <c r="FWM271" s="22"/>
      <c r="FWN271" s="22"/>
      <c r="FWO271" s="22"/>
      <c r="FWP271" s="22"/>
      <c r="FWQ271" s="22"/>
      <c r="FWR271" s="22"/>
      <c r="FWS271" s="22"/>
      <c r="FWT271" s="22"/>
      <c r="FWU271" s="22"/>
      <c r="FWV271" s="22"/>
      <c r="FWW271" s="22"/>
      <c r="FWX271" s="22"/>
      <c r="FWY271" s="22"/>
      <c r="FWZ271" s="22"/>
      <c r="FXA271" s="22"/>
      <c r="FXB271" s="22"/>
      <c r="FXC271" s="22"/>
      <c r="FXD271" s="22"/>
      <c r="FXE271" s="22"/>
      <c r="FXF271" s="22"/>
      <c r="FXG271" s="22"/>
      <c r="FXH271" s="22"/>
      <c r="FXI271" s="22"/>
      <c r="FXJ271" s="22"/>
      <c r="FXK271" s="22"/>
      <c r="FXL271" s="22"/>
      <c r="FXM271" s="22"/>
      <c r="FXN271" s="22"/>
      <c r="FXO271" s="22"/>
      <c r="FXP271" s="22"/>
      <c r="FXQ271" s="22"/>
      <c r="FXR271" s="22"/>
      <c r="FXS271" s="22"/>
      <c r="FXT271" s="22"/>
      <c r="FXU271" s="22"/>
      <c r="FXV271" s="22"/>
      <c r="FXW271" s="22"/>
      <c r="FXX271" s="22"/>
      <c r="FXY271" s="22"/>
      <c r="FXZ271" s="22"/>
      <c r="FYA271" s="22"/>
      <c r="FYB271" s="22"/>
      <c r="FYC271" s="22"/>
      <c r="FYD271" s="22"/>
      <c r="FYE271" s="22"/>
      <c r="FYF271" s="22"/>
      <c r="FYG271" s="22"/>
      <c r="FYH271" s="22"/>
      <c r="FYI271" s="22"/>
      <c r="FYJ271" s="22"/>
      <c r="FYK271" s="22"/>
      <c r="FYL271" s="22"/>
      <c r="FYM271" s="22"/>
      <c r="FYN271" s="22"/>
      <c r="FYO271" s="22"/>
      <c r="FYP271" s="22"/>
      <c r="FYQ271" s="22"/>
      <c r="FYR271" s="22"/>
      <c r="FYS271" s="22"/>
      <c r="FYT271" s="22"/>
      <c r="FYU271" s="22"/>
      <c r="FYV271" s="22"/>
      <c r="FYW271" s="22"/>
      <c r="FYX271" s="22"/>
      <c r="FYY271" s="22"/>
      <c r="FYZ271" s="22"/>
      <c r="FZA271" s="22"/>
      <c r="FZB271" s="22"/>
      <c r="FZC271" s="22"/>
      <c r="FZD271" s="22"/>
      <c r="FZE271" s="22"/>
      <c r="FZF271" s="22"/>
      <c r="FZG271" s="22"/>
      <c r="FZH271" s="22"/>
      <c r="FZI271" s="22"/>
      <c r="FZJ271" s="22"/>
      <c r="FZK271" s="22"/>
      <c r="FZL271" s="22"/>
      <c r="FZM271" s="22"/>
      <c r="FZN271" s="22"/>
      <c r="FZO271" s="22"/>
      <c r="FZP271" s="22"/>
      <c r="FZQ271" s="22"/>
      <c r="FZR271" s="22"/>
      <c r="FZS271" s="22"/>
      <c r="FZT271" s="22"/>
      <c r="FZU271" s="22"/>
      <c r="FZV271" s="22"/>
      <c r="FZW271" s="22"/>
      <c r="FZX271" s="22"/>
      <c r="FZY271" s="22"/>
      <c r="FZZ271" s="22"/>
      <c r="GAA271" s="22"/>
      <c r="GAB271" s="22"/>
      <c r="GAC271" s="22"/>
      <c r="GAD271" s="22"/>
      <c r="GAE271" s="22"/>
      <c r="GAF271" s="22"/>
      <c r="GAG271" s="22"/>
      <c r="GAH271" s="22"/>
      <c r="GAI271" s="22"/>
      <c r="GAJ271" s="22"/>
      <c r="GAK271" s="22"/>
      <c r="GAL271" s="22"/>
      <c r="GAM271" s="22"/>
      <c r="GAN271" s="22"/>
      <c r="GAO271" s="22"/>
      <c r="GAP271" s="22"/>
      <c r="GAQ271" s="22"/>
      <c r="GAR271" s="22"/>
      <c r="GAS271" s="22"/>
      <c r="GAT271" s="22"/>
      <c r="GAU271" s="22"/>
      <c r="GAV271" s="22"/>
      <c r="GAW271" s="22"/>
      <c r="GAX271" s="22"/>
      <c r="GAY271" s="22"/>
      <c r="GAZ271" s="22"/>
      <c r="GBA271" s="22"/>
      <c r="GBB271" s="22"/>
      <c r="GBC271" s="22"/>
      <c r="GBD271" s="22"/>
      <c r="GBE271" s="22"/>
      <c r="GBF271" s="22"/>
      <c r="GBG271" s="22"/>
      <c r="GBH271" s="22"/>
      <c r="GBI271" s="22"/>
      <c r="GBJ271" s="22"/>
      <c r="GBK271" s="22"/>
      <c r="GBL271" s="22"/>
      <c r="GBM271" s="22"/>
      <c r="GBN271" s="22"/>
      <c r="GBO271" s="22"/>
      <c r="GBP271" s="22"/>
      <c r="GBQ271" s="22"/>
      <c r="GBR271" s="22"/>
      <c r="GBS271" s="22"/>
      <c r="GBT271" s="22"/>
      <c r="GBU271" s="22"/>
      <c r="GBV271" s="22"/>
      <c r="GBW271" s="22"/>
      <c r="GBX271" s="22"/>
      <c r="GBY271" s="22"/>
      <c r="GBZ271" s="22"/>
      <c r="GCA271" s="22"/>
      <c r="GCB271" s="22"/>
      <c r="GCC271" s="22"/>
      <c r="GCD271" s="22"/>
      <c r="GCE271" s="22"/>
      <c r="GCF271" s="22"/>
      <c r="GCG271" s="22"/>
      <c r="GCH271" s="22"/>
      <c r="GCI271" s="22"/>
      <c r="GCJ271" s="22"/>
      <c r="GCK271" s="22"/>
      <c r="GCL271" s="22"/>
      <c r="GCM271" s="22"/>
      <c r="GCN271" s="22"/>
      <c r="GCO271" s="22"/>
      <c r="GCP271" s="22"/>
      <c r="GCQ271" s="22"/>
      <c r="GCR271" s="22"/>
      <c r="GCS271" s="22"/>
      <c r="GCT271" s="22"/>
      <c r="GCU271" s="22"/>
      <c r="GCV271" s="22"/>
      <c r="GCW271" s="22"/>
      <c r="GCX271" s="22"/>
      <c r="GCY271" s="22"/>
      <c r="GCZ271" s="22"/>
      <c r="GDA271" s="22"/>
      <c r="GDB271" s="22"/>
      <c r="GDC271" s="22"/>
      <c r="GDD271" s="22"/>
      <c r="GDE271" s="22"/>
      <c r="GDF271" s="22"/>
      <c r="GDG271" s="22"/>
      <c r="GDH271" s="22"/>
      <c r="GDI271" s="22"/>
      <c r="GDJ271" s="22"/>
      <c r="GDK271" s="22"/>
      <c r="GDL271" s="22"/>
      <c r="GDM271" s="22"/>
      <c r="GDN271" s="22"/>
      <c r="GDO271" s="22"/>
      <c r="GDP271" s="22"/>
      <c r="GDQ271" s="22"/>
      <c r="GDR271" s="22"/>
      <c r="GDS271" s="22"/>
      <c r="GDT271" s="22"/>
      <c r="GDU271" s="22"/>
      <c r="GDV271" s="22"/>
      <c r="GDW271" s="22"/>
      <c r="GDX271" s="22"/>
      <c r="GDY271" s="22"/>
      <c r="GDZ271" s="22"/>
      <c r="GEA271" s="22"/>
      <c r="GEB271" s="22"/>
      <c r="GEC271" s="22"/>
      <c r="GED271" s="22"/>
      <c r="GEE271" s="22"/>
      <c r="GEF271" s="22"/>
      <c r="GEG271" s="22"/>
      <c r="GEH271" s="22"/>
      <c r="GEI271" s="22"/>
      <c r="GEJ271" s="22"/>
      <c r="GEK271" s="22"/>
      <c r="GEL271" s="22"/>
      <c r="GEM271" s="22"/>
      <c r="GEN271" s="22"/>
      <c r="GEO271" s="22"/>
      <c r="GEP271" s="22"/>
      <c r="GEQ271" s="22"/>
      <c r="GER271" s="22"/>
      <c r="GES271" s="22"/>
      <c r="GET271" s="22"/>
      <c r="GEU271" s="22"/>
      <c r="GEV271" s="22"/>
      <c r="GEW271" s="22"/>
      <c r="GEX271" s="22"/>
      <c r="GEY271" s="22"/>
      <c r="GEZ271" s="22"/>
      <c r="GFA271" s="22"/>
      <c r="GFB271" s="22"/>
      <c r="GFC271" s="22"/>
      <c r="GFD271" s="22"/>
      <c r="GFE271" s="22"/>
      <c r="GFF271" s="22"/>
      <c r="GFG271" s="22"/>
      <c r="GFH271" s="22"/>
      <c r="GFI271" s="22"/>
      <c r="GFJ271" s="22"/>
      <c r="GFK271" s="22"/>
      <c r="GFL271" s="22"/>
      <c r="GFM271" s="22"/>
      <c r="GFN271" s="22"/>
      <c r="GFO271" s="22"/>
      <c r="GFP271" s="22"/>
      <c r="GFQ271" s="22"/>
      <c r="GFR271" s="22"/>
      <c r="GFS271" s="22"/>
      <c r="GFT271" s="22"/>
      <c r="GFU271" s="22"/>
      <c r="GFV271" s="22"/>
      <c r="GFW271" s="22"/>
      <c r="GFX271" s="22"/>
      <c r="GFY271" s="22"/>
      <c r="GFZ271" s="22"/>
      <c r="GGA271" s="22"/>
      <c r="GGB271" s="22"/>
      <c r="GGC271" s="22"/>
      <c r="GGD271" s="22"/>
      <c r="GGE271" s="22"/>
      <c r="GGF271" s="22"/>
      <c r="GGG271" s="22"/>
      <c r="GGH271" s="22"/>
      <c r="GGI271" s="22"/>
      <c r="GGJ271" s="22"/>
      <c r="GGK271" s="22"/>
      <c r="GGL271" s="22"/>
      <c r="GGM271" s="22"/>
      <c r="GGN271" s="22"/>
      <c r="GGO271" s="22"/>
      <c r="GGP271" s="22"/>
      <c r="GGQ271" s="22"/>
      <c r="GGR271" s="22"/>
      <c r="GGS271" s="22"/>
      <c r="GGT271" s="22"/>
      <c r="GGU271" s="22"/>
      <c r="GGV271" s="22"/>
      <c r="GGW271" s="22"/>
      <c r="GGX271" s="22"/>
      <c r="GGY271" s="22"/>
      <c r="GGZ271" s="22"/>
      <c r="GHA271" s="22"/>
      <c r="GHB271" s="22"/>
      <c r="GHC271" s="22"/>
      <c r="GHD271" s="22"/>
      <c r="GHE271" s="22"/>
      <c r="GHF271" s="22"/>
      <c r="GHG271" s="22"/>
      <c r="GHH271" s="22"/>
      <c r="GHI271" s="22"/>
      <c r="GHJ271" s="22"/>
      <c r="GHK271" s="22"/>
      <c r="GHL271" s="22"/>
      <c r="GHM271" s="22"/>
      <c r="GHN271" s="22"/>
      <c r="GHO271" s="22"/>
      <c r="GHP271" s="22"/>
      <c r="GHQ271" s="22"/>
      <c r="GHR271" s="22"/>
      <c r="GHS271" s="22"/>
      <c r="GHT271" s="22"/>
      <c r="GHU271" s="22"/>
      <c r="GHV271" s="22"/>
      <c r="GHW271" s="22"/>
      <c r="GHX271" s="22"/>
      <c r="GHY271" s="22"/>
      <c r="GHZ271" s="22"/>
      <c r="GIA271" s="22"/>
      <c r="GIB271" s="22"/>
      <c r="GIC271" s="22"/>
      <c r="GID271" s="22"/>
      <c r="GIE271" s="22"/>
      <c r="GIF271" s="22"/>
      <c r="GIG271" s="22"/>
      <c r="GIH271" s="22"/>
      <c r="GII271" s="22"/>
      <c r="GIJ271" s="22"/>
      <c r="GIK271" s="22"/>
      <c r="GIL271" s="22"/>
      <c r="GIM271" s="22"/>
      <c r="GIN271" s="22"/>
      <c r="GIO271" s="22"/>
      <c r="GIP271" s="22"/>
      <c r="GIQ271" s="22"/>
      <c r="GIR271" s="22"/>
      <c r="GIS271" s="22"/>
      <c r="GIT271" s="22"/>
      <c r="GIU271" s="22"/>
      <c r="GIV271" s="22"/>
      <c r="GIW271" s="22"/>
      <c r="GIX271" s="22"/>
      <c r="GIY271" s="22"/>
      <c r="GIZ271" s="22"/>
      <c r="GJA271" s="22"/>
      <c r="GJB271" s="22"/>
      <c r="GJC271" s="22"/>
      <c r="GJD271" s="22"/>
      <c r="GJE271" s="22"/>
      <c r="GJF271" s="22"/>
      <c r="GJG271" s="22"/>
      <c r="GJH271" s="22"/>
      <c r="GJI271" s="22"/>
      <c r="GJJ271" s="22"/>
      <c r="GJK271" s="22"/>
      <c r="GJL271" s="22"/>
      <c r="GJM271" s="22"/>
      <c r="GJN271" s="22"/>
      <c r="GJO271" s="22"/>
      <c r="GJP271" s="22"/>
      <c r="GJQ271" s="22"/>
      <c r="GJR271" s="22"/>
      <c r="GJS271" s="22"/>
      <c r="GJT271" s="22"/>
      <c r="GJU271" s="22"/>
      <c r="GJV271" s="22"/>
      <c r="GJW271" s="22"/>
      <c r="GJX271" s="22"/>
      <c r="GJY271" s="22"/>
      <c r="GJZ271" s="22"/>
      <c r="GKA271" s="22"/>
      <c r="GKB271" s="22"/>
      <c r="GKC271" s="22"/>
      <c r="GKD271" s="22"/>
      <c r="GKE271" s="22"/>
      <c r="GKF271" s="22"/>
      <c r="GKG271" s="22"/>
      <c r="GKH271" s="22"/>
      <c r="GKI271" s="22"/>
      <c r="GKJ271" s="22"/>
      <c r="GKK271" s="22"/>
      <c r="GKL271" s="22"/>
      <c r="GKM271" s="22"/>
      <c r="GKN271" s="22"/>
      <c r="GKO271" s="22"/>
      <c r="GKP271" s="22"/>
      <c r="GKQ271" s="22"/>
      <c r="GKR271" s="22"/>
      <c r="GKS271" s="22"/>
      <c r="GKT271" s="22"/>
      <c r="GKU271" s="22"/>
      <c r="GKV271" s="22"/>
      <c r="GKW271" s="22"/>
      <c r="GKX271" s="22"/>
      <c r="GKY271" s="22"/>
      <c r="GKZ271" s="22"/>
      <c r="GLA271" s="22"/>
      <c r="GLB271" s="22"/>
      <c r="GLC271" s="22"/>
      <c r="GLD271" s="22"/>
      <c r="GLE271" s="22"/>
      <c r="GLF271" s="22"/>
      <c r="GLG271" s="22"/>
      <c r="GLH271" s="22"/>
      <c r="GLI271" s="22"/>
      <c r="GLJ271" s="22"/>
      <c r="GLK271" s="22"/>
      <c r="GLL271" s="22"/>
      <c r="GLM271" s="22"/>
      <c r="GLN271" s="22"/>
      <c r="GLO271" s="22"/>
      <c r="GLP271" s="22"/>
      <c r="GLQ271" s="22"/>
      <c r="GLR271" s="22"/>
      <c r="GLS271" s="22"/>
      <c r="GLT271" s="22"/>
      <c r="GLU271" s="22"/>
      <c r="GLV271" s="22"/>
      <c r="GLW271" s="22"/>
      <c r="GLX271" s="22"/>
      <c r="GLY271" s="22"/>
      <c r="GLZ271" s="22"/>
      <c r="GMA271" s="22"/>
      <c r="GMB271" s="22"/>
      <c r="GMC271" s="22"/>
      <c r="GMD271" s="22"/>
      <c r="GME271" s="22"/>
      <c r="GMF271" s="22"/>
      <c r="GMG271" s="22"/>
      <c r="GMH271" s="22"/>
      <c r="GMI271" s="22"/>
      <c r="GMJ271" s="22"/>
      <c r="GMK271" s="22"/>
      <c r="GML271" s="22"/>
      <c r="GMM271" s="22"/>
      <c r="GMN271" s="22"/>
      <c r="GMO271" s="22"/>
      <c r="GMP271" s="22"/>
      <c r="GMQ271" s="22"/>
      <c r="GMR271" s="22"/>
      <c r="GMS271" s="22"/>
      <c r="GMT271" s="22"/>
      <c r="GMU271" s="22"/>
      <c r="GMV271" s="22"/>
      <c r="GMW271" s="22"/>
      <c r="GMX271" s="22"/>
      <c r="GMY271" s="22"/>
      <c r="GMZ271" s="22"/>
      <c r="GNA271" s="22"/>
      <c r="GNB271" s="22"/>
      <c r="GNC271" s="22"/>
      <c r="GND271" s="22"/>
      <c r="GNE271" s="22"/>
      <c r="GNF271" s="22"/>
      <c r="GNG271" s="22"/>
      <c r="GNH271" s="22"/>
      <c r="GNI271" s="22"/>
      <c r="GNJ271" s="22"/>
      <c r="GNK271" s="22"/>
      <c r="GNL271" s="22"/>
      <c r="GNM271" s="22"/>
      <c r="GNN271" s="22"/>
      <c r="GNO271" s="22"/>
      <c r="GNP271" s="22"/>
      <c r="GNQ271" s="22"/>
      <c r="GNR271" s="22"/>
      <c r="GNS271" s="22"/>
      <c r="GNT271" s="22"/>
      <c r="GNU271" s="22"/>
      <c r="GNV271" s="22"/>
      <c r="GNW271" s="22"/>
      <c r="GNX271" s="22"/>
      <c r="GNY271" s="22"/>
      <c r="GNZ271" s="22"/>
      <c r="GOA271" s="22"/>
      <c r="GOB271" s="22"/>
      <c r="GOC271" s="22"/>
      <c r="GOD271" s="22"/>
      <c r="GOE271" s="22"/>
      <c r="GOF271" s="22"/>
      <c r="GOG271" s="22"/>
      <c r="GOH271" s="22"/>
      <c r="GOI271" s="22"/>
      <c r="GOJ271" s="22"/>
      <c r="GOK271" s="22"/>
      <c r="GOL271" s="22"/>
      <c r="GOM271" s="22"/>
      <c r="GON271" s="22"/>
      <c r="GOO271" s="22"/>
      <c r="GOP271" s="22"/>
      <c r="GOQ271" s="22"/>
      <c r="GOR271" s="22"/>
      <c r="GOS271" s="22"/>
      <c r="GOT271" s="22"/>
      <c r="GOU271" s="22"/>
      <c r="GOV271" s="22"/>
      <c r="GOW271" s="22"/>
      <c r="GOX271" s="22"/>
      <c r="GOY271" s="22"/>
      <c r="GOZ271" s="22"/>
      <c r="GPA271" s="22"/>
      <c r="GPB271" s="22"/>
      <c r="GPC271" s="22"/>
      <c r="GPD271" s="22"/>
      <c r="GPE271" s="22"/>
      <c r="GPF271" s="22"/>
      <c r="GPG271" s="22"/>
      <c r="GPH271" s="22"/>
      <c r="GPI271" s="22"/>
      <c r="GPJ271" s="22"/>
      <c r="GPK271" s="22"/>
      <c r="GPL271" s="22"/>
      <c r="GPM271" s="22"/>
      <c r="GPN271" s="22"/>
      <c r="GPO271" s="22"/>
      <c r="GPP271" s="22"/>
      <c r="GPQ271" s="22"/>
      <c r="GPR271" s="22"/>
      <c r="GPS271" s="22"/>
      <c r="GPT271" s="22"/>
      <c r="GPU271" s="22"/>
      <c r="GPV271" s="22"/>
      <c r="GPW271" s="22"/>
      <c r="GPX271" s="22"/>
      <c r="GPY271" s="22"/>
      <c r="GPZ271" s="22"/>
      <c r="GQA271" s="22"/>
      <c r="GQB271" s="22"/>
      <c r="GQC271" s="22"/>
      <c r="GQD271" s="22"/>
      <c r="GQE271" s="22"/>
      <c r="GQF271" s="22"/>
      <c r="GQG271" s="22"/>
      <c r="GQH271" s="22"/>
      <c r="GQI271" s="22"/>
      <c r="GQJ271" s="22"/>
      <c r="GQK271" s="22"/>
      <c r="GQL271" s="22"/>
      <c r="GQM271" s="22"/>
      <c r="GQN271" s="22"/>
      <c r="GQO271" s="22"/>
      <c r="GQP271" s="22"/>
      <c r="GQQ271" s="22"/>
      <c r="GQR271" s="22"/>
      <c r="GQS271" s="22"/>
      <c r="GQT271" s="22"/>
      <c r="GQU271" s="22"/>
      <c r="GQV271" s="22"/>
      <c r="GQW271" s="22"/>
      <c r="GQX271" s="22"/>
      <c r="GQY271" s="22"/>
      <c r="GQZ271" s="22"/>
      <c r="GRA271" s="22"/>
      <c r="GRB271" s="22"/>
      <c r="GRC271" s="22"/>
      <c r="GRD271" s="22"/>
      <c r="GRE271" s="22"/>
      <c r="GRF271" s="22"/>
      <c r="GRG271" s="22"/>
      <c r="GRH271" s="22"/>
      <c r="GRI271" s="22"/>
      <c r="GRJ271" s="22"/>
      <c r="GRK271" s="22"/>
      <c r="GRL271" s="22"/>
      <c r="GRM271" s="22"/>
      <c r="GRN271" s="22"/>
      <c r="GRO271" s="22"/>
      <c r="GRP271" s="22"/>
      <c r="GRQ271" s="22"/>
      <c r="GRR271" s="22"/>
      <c r="GRS271" s="22"/>
      <c r="GRT271" s="22"/>
      <c r="GRU271" s="22"/>
      <c r="GRV271" s="22"/>
      <c r="GRW271" s="22"/>
      <c r="GRX271" s="22"/>
      <c r="GRY271" s="22"/>
      <c r="GRZ271" s="22"/>
      <c r="GSA271" s="22"/>
      <c r="GSB271" s="22"/>
      <c r="GSC271" s="22"/>
      <c r="GSD271" s="22"/>
      <c r="GSE271" s="22"/>
      <c r="GSF271" s="22"/>
      <c r="GSG271" s="22"/>
      <c r="GSH271" s="22"/>
      <c r="GSI271" s="22"/>
      <c r="GSJ271" s="22"/>
      <c r="GSK271" s="22"/>
      <c r="GSL271" s="22"/>
      <c r="GSM271" s="22"/>
      <c r="GSN271" s="22"/>
      <c r="GSO271" s="22"/>
      <c r="GSP271" s="22"/>
      <c r="GSQ271" s="22"/>
      <c r="GSR271" s="22"/>
      <c r="GSS271" s="22"/>
      <c r="GST271" s="22"/>
      <c r="GSU271" s="22"/>
      <c r="GSV271" s="22"/>
      <c r="GSW271" s="22"/>
      <c r="GSX271" s="22"/>
      <c r="GSY271" s="22"/>
      <c r="GSZ271" s="22"/>
      <c r="GTA271" s="22"/>
      <c r="GTB271" s="22"/>
      <c r="GTC271" s="22"/>
      <c r="GTD271" s="22"/>
      <c r="GTE271" s="22"/>
      <c r="GTF271" s="22"/>
      <c r="GTG271" s="22"/>
      <c r="GTH271" s="22"/>
      <c r="GTI271" s="22"/>
      <c r="GTJ271" s="22"/>
      <c r="GTK271" s="22"/>
      <c r="GTL271" s="22"/>
      <c r="GTM271" s="22"/>
      <c r="GTN271" s="22"/>
      <c r="GTO271" s="22"/>
      <c r="GTP271" s="22"/>
      <c r="GTQ271" s="22"/>
      <c r="GTR271" s="22"/>
      <c r="GTS271" s="22"/>
      <c r="GTT271" s="22"/>
      <c r="GTU271" s="22"/>
      <c r="GTV271" s="22"/>
      <c r="GTW271" s="22"/>
      <c r="GTX271" s="22"/>
      <c r="GTY271" s="22"/>
      <c r="GTZ271" s="22"/>
      <c r="GUA271" s="22"/>
      <c r="GUB271" s="22"/>
      <c r="GUC271" s="22"/>
      <c r="GUD271" s="22"/>
      <c r="GUE271" s="22"/>
      <c r="GUF271" s="22"/>
      <c r="GUG271" s="22"/>
      <c r="GUH271" s="22"/>
      <c r="GUI271" s="22"/>
      <c r="GUJ271" s="22"/>
      <c r="GUK271" s="22"/>
      <c r="GUL271" s="22"/>
      <c r="GUM271" s="22"/>
      <c r="GUN271" s="22"/>
      <c r="GUO271" s="22"/>
      <c r="GUP271" s="22"/>
      <c r="GUQ271" s="22"/>
      <c r="GUR271" s="22"/>
      <c r="GUS271" s="22"/>
      <c r="GUT271" s="22"/>
      <c r="GUU271" s="22"/>
      <c r="GUV271" s="22"/>
      <c r="GUW271" s="22"/>
      <c r="GUX271" s="22"/>
      <c r="GUY271" s="22"/>
      <c r="GUZ271" s="22"/>
      <c r="GVA271" s="22"/>
      <c r="GVB271" s="22"/>
      <c r="GVC271" s="22"/>
      <c r="GVD271" s="22"/>
      <c r="GVE271" s="22"/>
      <c r="GVF271" s="22"/>
      <c r="GVG271" s="22"/>
      <c r="GVH271" s="22"/>
      <c r="GVI271" s="22"/>
      <c r="GVJ271" s="22"/>
      <c r="GVK271" s="22"/>
      <c r="GVL271" s="22"/>
      <c r="GVM271" s="22"/>
      <c r="GVN271" s="22"/>
      <c r="GVO271" s="22"/>
      <c r="GVP271" s="22"/>
      <c r="GVQ271" s="22"/>
      <c r="GVR271" s="22"/>
      <c r="GVS271" s="22"/>
      <c r="GVT271" s="22"/>
      <c r="GVU271" s="22"/>
      <c r="GVV271" s="22"/>
      <c r="GVW271" s="22"/>
      <c r="GVX271" s="22"/>
      <c r="GVY271" s="22"/>
      <c r="GVZ271" s="22"/>
      <c r="GWA271" s="22"/>
      <c r="GWB271" s="22"/>
      <c r="GWC271" s="22"/>
      <c r="GWD271" s="22"/>
      <c r="GWE271" s="22"/>
      <c r="GWF271" s="22"/>
      <c r="GWG271" s="22"/>
      <c r="GWH271" s="22"/>
      <c r="GWI271" s="22"/>
      <c r="GWJ271" s="22"/>
      <c r="GWK271" s="22"/>
      <c r="GWL271" s="22"/>
      <c r="GWM271" s="22"/>
      <c r="GWN271" s="22"/>
      <c r="GWO271" s="22"/>
      <c r="GWP271" s="22"/>
      <c r="GWQ271" s="22"/>
      <c r="GWR271" s="22"/>
      <c r="GWS271" s="22"/>
      <c r="GWT271" s="22"/>
      <c r="GWU271" s="22"/>
      <c r="GWV271" s="22"/>
      <c r="GWW271" s="22"/>
      <c r="GWX271" s="22"/>
      <c r="GWY271" s="22"/>
      <c r="GWZ271" s="22"/>
      <c r="GXA271" s="22"/>
      <c r="GXB271" s="22"/>
      <c r="GXC271" s="22"/>
      <c r="GXD271" s="22"/>
      <c r="GXE271" s="22"/>
      <c r="GXF271" s="22"/>
      <c r="GXG271" s="22"/>
      <c r="GXH271" s="22"/>
      <c r="GXI271" s="22"/>
      <c r="GXJ271" s="22"/>
      <c r="GXK271" s="22"/>
      <c r="GXL271" s="22"/>
      <c r="GXM271" s="22"/>
      <c r="GXN271" s="22"/>
      <c r="GXO271" s="22"/>
      <c r="GXP271" s="22"/>
      <c r="GXQ271" s="22"/>
      <c r="GXR271" s="22"/>
      <c r="GXS271" s="22"/>
      <c r="GXT271" s="22"/>
      <c r="GXU271" s="22"/>
      <c r="GXV271" s="22"/>
      <c r="GXW271" s="22"/>
      <c r="GXX271" s="22"/>
      <c r="GXY271" s="22"/>
      <c r="GXZ271" s="22"/>
      <c r="GYA271" s="22"/>
      <c r="GYB271" s="22"/>
      <c r="GYC271" s="22"/>
      <c r="GYD271" s="22"/>
      <c r="GYE271" s="22"/>
      <c r="GYF271" s="22"/>
      <c r="GYG271" s="22"/>
      <c r="GYH271" s="22"/>
      <c r="GYI271" s="22"/>
      <c r="GYJ271" s="22"/>
      <c r="GYK271" s="22"/>
      <c r="GYL271" s="22"/>
      <c r="GYM271" s="22"/>
      <c r="GYN271" s="22"/>
      <c r="GYO271" s="22"/>
      <c r="GYP271" s="22"/>
      <c r="GYQ271" s="22"/>
      <c r="GYR271" s="22"/>
      <c r="GYS271" s="22"/>
      <c r="GYT271" s="22"/>
      <c r="GYU271" s="22"/>
      <c r="GYV271" s="22"/>
      <c r="GYW271" s="22"/>
      <c r="GYX271" s="22"/>
      <c r="GYY271" s="22"/>
      <c r="GYZ271" s="22"/>
      <c r="GZA271" s="22"/>
      <c r="GZB271" s="22"/>
      <c r="GZC271" s="22"/>
      <c r="GZD271" s="22"/>
      <c r="GZE271" s="22"/>
      <c r="GZF271" s="22"/>
      <c r="GZG271" s="22"/>
      <c r="GZH271" s="22"/>
      <c r="GZI271" s="22"/>
      <c r="GZJ271" s="22"/>
      <c r="GZK271" s="22"/>
      <c r="GZL271" s="22"/>
      <c r="GZM271" s="22"/>
      <c r="GZN271" s="22"/>
      <c r="GZO271" s="22"/>
      <c r="GZP271" s="22"/>
      <c r="GZQ271" s="22"/>
      <c r="GZR271" s="22"/>
      <c r="GZS271" s="22"/>
      <c r="GZT271" s="22"/>
      <c r="GZU271" s="22"/>
      <c r="GZV271" s="22"/>
      <c r="GZW271" s="22"/>
      <c r="GZX271" s="22"/>
      <c r="GZY271" s="22"/>
      <c r="GZZ271" s="22"/>
      <c r="HAA271" s="22"/>
      <c r="HAB271" s="22"/>
      <c r="HAC271" s="22"/>
      <c r="HAD271" s="22"/>
      <c r="HAE271" s="22"/>
      <c r="HAF271" s="22"/>
      <c r="HAG271" s="22"/>
      <c r="HAH271" s="22"/>
      <c r="HAI271" s="22"/>
      <c r="HAJ271" s="22"/>
      <c r="HAK271" s="22"/>
      <c r="HAL271" s="22"/>
      <c r="HAM271" s="22"/>
      <c r="HAN271" s="22"/>
      <c r="HAO271" s="22"/>
      <c r="HAP271" s="22"/>
      <c r="HAQ271" s="22"/>
      <c r="HAR271" s="22"/>
      <c r="HAS271" s="22"/>
      <c r="HAT271" s="22"/>
      <c r="HAU271" s="22"/>
      <c r="HAV271" s="22"/>
      <c r="HAW271" s="22"/>
      <c r="HAX271" s="22"/>
      <c r="HAY271" s="22"/>
      <c r="HAZ271" s="22"/>
      <c r="HBA271" s="22"/>
      <c r="HBB271" s="22"/>
      <c r="HBC271" s="22"/>
      <c r="HBD271" s="22"/>
      <c r="HBE271" s="22"/>
      <c r="HBF271" s="22"/>
      <c r="HBG271" s="22"/>
      <c r="HBH271" s="22"/>
      <c r="HBI271" s="22"/>
      <c r="HBJ271" s="22"/>
      <c r="HBK271" s="22"/>
      <c r="HBL271" s="22"/>
      <c r="HBM271" s="22"/>
      <c r="HBN271" s="22"/>
      <c r="HBO271" s="22"/>
      <c r="HBP271" s="22"/>
      <c r="HBQ271" s="22"/>
      <c r="HBR271" s="22"/>
      <c r="HBS271" s="22"/>
      <c r="HBT271" s="22"/>
      <c r="HBU271" s="22"/>
      <c r="HBV271" s="22"/>
      <c r="HBW271" s="22"/>
      <c r="HBX271" s="22"/>
      <c r="HBY271" s="22"/>
      <c r="HBZ271" s="22"/>
      <c r="HCA271" s="22"/>
      <c r="HCB271" s="22"/>
      <c r="HCC271" s="22"/>
      <c r="HCD271" s="22"/>
      <c r="HCE271" s="22"/>
      <c r="HCF271" s="22"/>
      <c r="HCG271" s="22"/>
      <c r="HCH271" s="22"/>
      <c r="HCI271" s="22"/>
      <c r="HCJ271" s="22"/>
      <c r="HCK271" s="22"/>
      <c r="HCL271" s="22"/>
      <c r="HCM271" s="22"/>
      <c r="HCN271" s="22"/>
      <c r="HCO271" s="22"/>
      <c r="HCP271" s="22"/>
      <c r="HCQ271" s="22"/>
      <c r="HCR271" s="22"/>
      <c r="HCS271" s="22"/>
      <c r="HCT271" s="22"/>
      <c r="HCU271" s="22"/>
      <c r="HCV271" s="22"/>
      <c r="HCW271" s="22"/>
      <c r="HCX271" s="22"/>
      <c r="HCY271" s="22"/>
      <c r="HCZ271" s="22"/>
      <c r="HDA271" s="22"/>
      <c r="HDB271" s="22"/>
      <c r="HDC271" s="22"/>
      <c r="HDD271" s="22"/>
      <c r="HDE271" s="22"/>
      <c r="HDF271" s="22"/>
      <c r="HDG271" s="22"/>
      <c r="HDH271" s="22"/>
      <c r="HDI271" s="22"/>
      <c r="HDJ271" s="22"/>
      <c r="HDK271" s="22"/>
      <c r="HDL271" s="22"/>
      <c r="HDM271" s="22"/>
      <c r="HDN271" s="22"/>
      <c r="HDO271" s="22"/>
      <c r="HDP271" s="22"/>
      <c r="HDQ271" s="22"/>
      <c r="HDR271" s="22"/>
      <c r="HDS271" s="22"/>
      <c r="HDT271" s="22"/>
      <c r="HDU271" s="22"/>
      <c r="HDV271" s="22"/>
      <c r="HDW271" s="22"/>
      <c r="HDX271" s="22"/>
      <c r="HDY271" s="22"/>
      <c r="HDZ271" s="22"/>
      <c r="HEA271" s="22"/>
      <c r="HEB271" s="22"/>
      <c r="HEC271" s="22"/>
      <c r="HED271" s="22"/>
      <c r="HEE271" s="22"/>
      <c r="HEF271" s="22"/>
      <c r="HEG271" s="22"/>
      <c r="HEH271" s="22"/>
      <c r="HEI271" s="22"/>
      <c r="HEJ271" s="22"/>
      <c r="HEK271" s="22"/>
      <c r="HEL271" s="22"/>
      <c r="HEM271" s="22"/>
      <c r="HEN271" s="22"/>
      <c r="HEO271" s="22"/>
      <c r="HEP271" s="22"/>
      <c r="HEQ271" s="22"/>
      <c r="HER271" s="22"/>
      <c r="HES271" s="22"/>
      <c r="HET271" s="22"/>
      <c r="HEU271" s="22"/>
      <c r="HEV271" s="22"/>
      <c r="HEW271" s="22"/>
      <c r="HEX271" s="22"/>
      <c r="HEY271" s="22"/>
      <c r="HEZ271" s="22"/>
      <c r="HFA271" s="22"/>
      <c r="HFB271" s="22"/>
      <c r="HFC271" s="22"/>
      <c r="HFD271" s="22"/>
      <c r="HFE271" s="22"/>
      <c r="HFF271" s="22"/>
      <c r="HFG271" s="22"/>
      <c r="HFH271" s="22"/>
      <c r="HFI271" s="22"/>
      <c r="HFJ271" s="22"/>
      <c r="HFK271" s="22"/>
      <c r="HFL271" s="22"/>
      <c r="HFM271" s="22"/>
      <c r="HFN271" s="22"/>
      <c r="HFO271" s="22"/>
      <c r="HFP271" s="22"/>
      <c r="HFQ271" s="22"/>
      <c r="HFR271" s="22"/>
      <c r="HFS271" s="22"/>
      <c r="HFT271" s="22"/>
      <c r="HFU271" s="22"/>
      <c r="HFV271" s="22"/>
      <c r="HFW271" s="22"/>
      <c r="HFX271" s="22"/>
      <c r="HFY271" s="22"/>
      <c r="HFZ271" s="22"/>
      <c r="HGA271" s="22"/>
      <c r="HGB271" s="22"/>
      <c r="HGC271" s="22"/>
      <c r="HGD271" s="22"/>
      <c r="HGE271" s="22"/>
      <c r="HGF271" s="22"/>
      <c r="HGG271" s="22"/>
      <c r="HGH271" s="22"/>
      <c r="HGI271" s="22"/>
      <c r="HGJ271" s="22"/>
      <c r="HGK271" s="22"/>
      <c r="HGL271" s="22"/>
      <c r="HGM271" s="22"/>
      <c r="HGN271" s="22"/>
      <c r="HGO271" s="22"/>
      <c r="HGP271" s="22"/>
      <c r="HGQ271" s="22"/>
      <c r="HGR271" s="22"/>
      <c r="HGS271" s="22"/>
      <c r="HGT271" s="22"/>
      <c r="HGU271" s="22"/>
      <c r="HGV271" s="22"/>
      <c r="HGW271" s="22"/>
      <c r="HGX271" s="22"/>
      <c r="HGY271" s="22"/>
      <c r="HGZ271" s="22"/>
      <c r="HHA271" s="22"/>
      <c r="HHB271" s="22"/>
      <c r="HHC271" s="22"/>
      <c r="HHD271" s="22"/>
      <c r="HHE271" s="22"/>
      <c r="HHF271" s="22"/>
      <c r="HHG271" s="22"/>
      <c r="HHH271" s="22"/>
      <c r="HHI271" s="22"/>
      <c r="HHJ271" s="22"/>
      <c r="HHK271" s="22"/>
      <c r="HHL271" s="22"/>
      <c r="HHM271" s="22"/>
      <c r="HHN271" s="22"/>
      <c r="HHO271" s="22"/>
      <c r="HHP271" s="22"/>
      <c r="HHQ271" s="22"/>
      <c r="HHR271" s="22"/>
      <c r="HHS271" s="22"/>
      <c r="HHT271" s="22"/>
      <c r="HHU271" s="22"/>
      <c r="HHV271" s="22"/>
      <c r="HHW271" s="22"/>
      <c r="HHX271" s="22"/>
      <c r="HHY271" s="22"/>
      <c r="HHZ271" s="22"/>
      <c r="HIA271" s="22"/>
      <c r="HIB271" s="22"/>
      <c r="HIC271" s="22"/>
      <c r="HID271" s="22"/>
      <c r="HIE271" s="22"/>
      <c r="HIF271" s="22"/>
      <c r="HIG271" s="22"/>
      <c r="HIH271" s="22"/>
      <c r="HII271" s="22"/>
      <c r="HIJ271" s="22"/>
      <c r="HIK271" s="22"/>
      <c r="HIL271" s="22"/>
      <c r="HIM271" s="22"/>
      <c r="HIN271" s="22"/>
      <c r="HIO271" s="22"/>
      <c r="HIP271" s="22"/>
      <c r="HIQ271" s="22"/>
      <c r="HIR271" s="22"/>
      <c r="HIS271" s="22"/>
      <c r="HIT271" s="22"/>
      <c r="HIU271" s="22"/>
      <c r="HIV271" s="22"/>
      <c r="HIW271" s="22"/>
      <c r="HIX271" s="22"/>
      <c r="HIY271" s="22"/>
      <c r="HIZ271" s="22"/>
      <c r="HJA271" s="22"/>
      <c r="HJB271" s="22"/>
      <c r="HJC271" s="22"/>
      <c r="HJD271" s="22"/>
      <c r="HJE271" s="22"/>
      <c r="HJF271" s="22"/>
      <c r="HJG271" s="22"/>
      <c r="HJH271" s="22"/>
      <c r="HJI271" s="22"/>
      <c r="HJJ271" s="22"/>
      <c r="HJK271" s="22"/>
      <c r="HJL271" s="22"/>
      <c r="HJM271" s="22"/>
      <c r="HJN271" s="22"/>
      <c r="HJO271" s="22"/>
      <c r="HJP271" s="22"/>
      <c r="HJQ271" s="22"/>
      <c r="HJR271" s="22"/>
      <c r="HJS271" s="22"/>
      <c r="HJT271" s="22"/>
      <c r="HJU271" s="22"/>
      <c r="HJV271" s="22"/>
      <c r="HJW271" s="22"/>
      <c r="HJX271" s="22"/>
      <c r="HJY271" s="22"/>
      <c r="HJZ271" s="22"/>
      <c r="HKA271" s="22"/>
      <c r="HKB271" s="22"/>
      <c r="HKC271" s="22"/>
      <c r="HKD271" s="22"/>
      <c r="HKE271" s="22"/>
      <c r="HKF271" s="22"/>
      <c r="HKG271" s="22"/>
      <c r="HKH271" s="22"/>
      <c r="HKI271" s="22"/>
      <c r="HKJ271" s="22"/>
      <c r="HKK271" s="22"/>
      <c r="HKL271" s="22"/>
      <c r="HKM271" s="22"/>
      <c r="HKN271" s="22"/>
      <c r="HKO271" s="22"/>
      <c r="HKP271" s="22"/>
      <c r="HKQ271" s="22"/>
      <c r="HKR271" s="22"/>
      <c r="HKS271" s="22"/>
      <c r="HKT271" s="22"/>
      <c r="HKU271" s="22"/>
      <c r="HKV271" s="22"/>
      <c r="HKW271" s="22"/>
      <c r="HKX271" s="22"/>
      <c r="HKY271" s="22"/>
      <c r="HKZ271" s="22"/>
      <c r="HLA271" s="22"/>
      <c r="HLB271" s="22"/>
      <c r="HLC271" s="22"/>
      <c r="HLD271" s="22"/>
      <c r="HLE271" s="22"/>
      <c r="HLF271" s="22"/>
      <c r="HLG271" s="22"/>
      <c r="HLH271" s="22"/>
      <c r="HLI271" s="22"/>
      <c r="HLJ271" s="22"/>
      <c r="HLK271" s="22"/>
      <c r="HLL271" s="22"/>
      <c r="HLM271" s="22"/>
      <c r="HLN271" s="22"/>
      <c r="HLO271" s="22"/>
      <c r="HLP271" s="22"/>
      <c r="HLQ271" s="22"/>
      <c r="HLR271" s="22"/>
      <c r="HLS271" s="22"/>
      <c r="HLT271" s="22"/>
      <c r="HLU271" s="22"/>
      <c r="HLV271" s="22"/>
      <c r="HLW271" s="22"/>
      <c r="HLX271" s="22"/>
      <c r="HLY271" s="22"/>
      <c r="HLZ271" s="22"/>
      <c r="HMA271" s="22"/>
      <c r="HMB271" s="22"/>
      <c r="HMC271" s="22"/>
      <c r="HMD271" s="22"/>
      <c r="HME271" s="22"/>
      <c r="HMF271" s="22"/>
      <c r="HMG271" s="22"/>
      <c r="HMH271" s="22"/>
      <c r="HMI271" s="22"/>
      <c r="HMJ271" s="22"/>
      <c r="HMK271" s="22"/>
      <c r="HML271" s="22"/>
      <c r="HMM271" s="22"/>
      <c r="HMN271" s="22"/>
      <c r="HMO271" s="22"/>
      <c r="HMP271" s="22"/>
      <c r="HMQ271" s="22"/>
      <c r="HMR271" s="22"/>
      <c r="HMS271" s="22"/>
      <c r="HMT271" s="22"/>
      <c r="HMU271" s="22"/>
      <c r="HMV271" s="22"/>
      <c r="HMW271" s="22"/>
      <c r="HMX271" s="22"/>
      <c r="HMY271" s="22"/>
      <c r="HMZ271" s="22"/>
      <c r="HNA271" s="22"/>
      <c r="HNB271" s="22"/>
      <c r="HNC271" s="22"/>
      <c r="HND271" s="22"/>
      <c r="HNE271" s="22"/>
      <c r="HNF271" s="22"/>
      <c r="HNG271" s="22"/>
      <c r="HNH271" s="22"/>
      <c r="HNI271" s="22"/>
      <c r="HNJ271" s="22"/>
      <c r="HNK271" s="22"/>
      <c r="HNL271" s="22"/>
      <c r="HNM271" s="22"/>
      <c r="HNN271" s="22"/>
      <c r="HNO271" s="22"/>
      <c r="HNP271" s="22"/>
      <c r="HNQ271" s="22"/>
      <c r="HNR271" s="22"/>
      <c r="HNS271" s="22"/>
      <c r="HNT271" s="22"/>
      <c r="HNU271" s="22"/>
      <c r="HNV271" s="22"/>
      <c r="HNW271" s="22"/>
      <c r="HNX271" s="22"/>
      <c r="HNY271" s="22"/>
      <c r="HNZ271" s="22"/>
      <c r="HOA271" s="22"/>
      <c r="HOB271" s="22"/>
      <c r="HOC271" s="22"/>
      <c r="HOD271" s="22"/>
      <c r="HOE271" s="22"/>
      <c r="HOF271" s="22"/>
      <c r="HOG271" s="22"/>
      <c r="HOH271" s="22"/>
      <c r="HOI271" s="22"/>
      <c r="HOJ271" s="22"/>
      <c r="HOK271" s="22"/>
      <c r="HOL271" s="22"/>
      <c r="HOM271" s="22"/>
      <c r="HON271" s="22"/>
      <c r="HOO271" s="22"/>
      <c r="HOP271" s="22"/>
      <c r="HOQ271" s="22"/>
      <c r="HOR271" s="22"/>
      <c r="HOS271" s="22"/>
      <c r="HOT271" s="22"/>
      <c r="HOU271" s="22"/>
      <c r="HOV271" s="22"/>
      <c r="HOW271" s="22"/>
      <c r="HOX271" s="22"/>
      <c r="HOY271" s="22"/>
      <c r="HOZ271" s="22"/>
      <c r="HPA271" s="22"/>
      <c r="HPB271" s="22"/>
      <c r="HPC271" s="22"/>
      <c r="HPD271" s="22"/>
      <c r="HPE271" s="22"/>
      <c r="HPF271" s="22"/>
      <c r="HPG271" s="22"/>
      <c r="HPH271" s="22"/>
      <c r="HPI271" s="22"/>
      <c r="HPJ271" s="22"/>
      <c r="HPK271" s="22"/>
      <c r="HPL271" s="22"/>
      <c r="HPM271" s="22"/>
      <c r="HPN271" s="22"/>
      <c r="HPO271" s="22"/>
      <c r="HPP271" s="22"/>
      <c r="HPQ271" s="22"/>
      <c r="HPR271" s="22"/>
      <c r="HPS271" s="22"/>
      <c r="HPT271" s="22"/>
      <c r="HPU271" s="22"/>
      <c r="HPV271" s="22"/>
      <c r="HPW271" s="22"/>
      <c r="HPX271" s="22"/>
      <c r="HPY271" s="22"/>
      <c r="HPZ271" s="22"/>
      <c r="HQA271" s="22"/>
      <c r="HQB271" s="22"/>
      <c r="HQC271" s="22"/>
      <c r="HQD271" s="22"/>
      <c r="HQE271" s="22"/>
      <c r="HQF271" s="22"/>
      <c r="HQG271" s="22"/>
      <c r="HQH271" s="22"/>
      <c r="HQI271" s="22"/>
      <c r="HQJ271" s="22"/>
      <c r="HQK271" s="22"/>
      <c r="HQL271" s="22"/>
      <c r="HQM271" s="22"/>
      <c r="HQN271" s="22"/>
      <c r="HQO271" s="22"/>
      <c r="HQP271" s="22"/>
      <c r="HQQ271" s="22"/>
      <c r="HQR271" s="22"/>
      <c r="HQS271" s="22"/>
      <c r="HQT271" s="22"/>
      <c r="HQU271" s="22"/>
      <c r="HQV271" s="22"/>
      <c r="HQW271" s="22"/>
      <c r="HQX271" s="22"/>
      <c r="HQY271" s="22"/>
      <c r="HQZ271" s="22"/>
      <c r="HRA271" s="22"/>
      <c r="HRB271" s="22"/>
      <c r="HRC271" s="22"/>
      <c r="HRD271" s="22"/>
      <c r="HRE271" s="22"/>
      <c r="HRF271" s="22"/>
      <c r="HRG271" s="22"/>
      <c r="HRH271" s="22"/>
      <c r="HRI271" s="22"/>
      <c r="HRJ271" s="22"/>
      <c r="HRK271" s="22"/>
      <c r="HRL271" s="22"/>
      <c r="HRM271" s="22"/>
      <c r="HRN271" s="22"/>
      <c r="HRO271" s="22"/>
      <c r="HRP271" s="22"/>
      <c r="HRQ271" s="22"/>
      <c r="HRR271" s="22"/>
      <c r="HRS271" s="22"/>
      <c r="HRT271" s="22"/>
      <c r="HRU271" s="22"/>
      <c r="HRV271" s="22"/>
      <c r="HRW271" s="22"/>
      <c r="HRX271" s="22"/>
      <c r="HRY271" s="22"/>
      <c r="HRZ271" s="22"/>
      <c r="HSA271" s="22"/>
      <c r="HSB271" s="22"/>
      <c r="HSC271" s="22"/>
      <c r="HSD271" s="22"/>
      <c r="HSE271" s="22"/>
      <c r="HSF271" s="22"/>
      <c r="HSG271" s="22"/>
      <c r="HSH271" s="22"/>
      <c r="HSI271" s="22"/>
      <c r="HSJ271" s="22"/>
      <c r="HSK271" s="22"/>
      <c r="HSL271" s="22"/>
      <c r="HSM271" s="22"/>
      <c r="HSN271" s="22"/>
      <c r="HSO271" s="22"/>
      <c r="HSP271" s="22"/>
      <c r="HSQ271" s="22"/>
      <c r="HSR271" s="22"/>
      <c r="HSS271" s="22"/>
      <c r="HST271" s="22"/>
      <c r="HSU271" s="22"/>
      <c r="HSV271" s="22"/>
      <c r="HSW271" s="22"/>
      <c r="HSX271" s="22"/>
      <c r="HSY271" s="22"/>
      <c r="HSZ271" s="22"/>
      <c r="HTA271" s="22"/>
      <c r="HTB271" s="22"/>
      <c r="HTC271" s="22"/>
      <c r="HTD271" s="22"/>
      <c r="HTE271" s="22"/>
      <c r="HTF271" s="22"/>
      <c r="HTG271" s="22"/>
      <c r="HTH271" s="22"/>
      <c r="HTI271" s="22"/>
      <c r="HTJ271" s="22"/>
      <c r="HTK271" s="22"/>
      <c r="HTL271" s="22"/>
      <c r="HTM271" s="22"/>
      <c r="HTN271" s="22"/>
      <c r="HTO271" s="22"/>
      <c r="HTP271" s="22"/>
      <c r="HTQ271" s="22"/>
      <c r="HTR271" s="22"/>
      <c r="HTS271" s="22"/>
      <c r="HTT271" s="22"/>
      <c r="HTU271" s="22"/>
      <c r="HTV271" s="22"/>
      <c r="HTW271" s="22"/>
      <c r="HTX271" s="22"/>
      <c r="HTY271" s="22"/>
      <c r="HTZ271" s="22"/>
      <c r="HUA271" s="22"/>
      <c r="HUB271" s="22"/>
      <c r="HUC271" s="22"/>
      <c r="HUD271" s="22"/>
      <c r="HUE271" s="22"/>
      <c r="HUF271" s="22"/>
      <c r="HUG271" s="22"/>
      <c r="HUH271" s="22"/>
      <c r="HUI271" s="22"/>
      <c r="HUJ271" s="22"/>
      <c r="HUK271" s="22"/>
      <c r="HUL271" s="22"/>
      <c r="HUM271" s="22"/>
      <c r="HUN271" s="22"/>
      <c r="HUO271" s="22"/>
      <c r="HUP271" s="22"/>
      <c r="HUQ271" s="22"/>
      <c r="HUR271" s="22"/>
      <c r="HUS271" s="22"/>
      <c r="HUT271" s="22"/>
      <c r="HUU271" s="22"/>
      <c r="HUV271" s="22"/>
      <c r="HUW271" s="22"/>
      <c r="HUX271" s="22"/>
      <c r="HUY271" s="22"/>
      <c r="HUZ271" s="22"/>
      <c r="HVA271" s="22"/>
      <c r="HVB271" s="22"/>
      <c r="HVC271" s="22"/>
      <c r="HVD271" s="22"/>
      <c r="HVE271" s="22"/>
      <c r="HVF271" s="22"/>
      <c r="HVG271" s="22"/>
      <c r="HVH271" s="22"/>
      <c r="HVI271" s="22"/>
      <c r="HVJ271" s="22"/>
      <c r="HVK271" s="22"/>
      <c r="HVL271" s="22"/>
      <c r="HVM271" s="22"/>
      <c r="HVN271" s="22"/>
      <c r="HVO271" s="22"/>
      <c r="HVP271" s="22"/>
      <c r="HVQ271" s="22"/>
      <c r="HVR271" s="22"/>
      <c r="HVS271" s="22"/>
      <c r="HVT271" s="22"/>
      <c r="HVU271" s="22"/>
      <c r="HVV271" s="22"/>
      <c r="HVW271" s="22"/>
      <c r="HVX271" s="22"/>
      <c r="HVY271" s="22"/>
      <c r="HVZ271" s="22"/>
      <c r="HWA271" s="22"/>
      <c r="HWB271" s="22"/>
      <c r="HWC271" s="22"/>
      <c r="HWD271" s="22"/>
      <c r="HWE271" s="22"/>
      <c r="HWF271" s="22"/>
      <c r="HWG271" s="22"/>
      <c r="HWH271" s="22"/>
      <c r="HWI271" s="22"/>
      <c r="HWJ271" s="22"/>
      <c r="HWK271" s="22"/>
      <c r="HWL271" s="22"/>
      <c r="HWM271" s="22"/>
      <c r="HWN271" s="22"/>
      <c r="HWO271" s="22"/>
      <c r="HWP271" s="22"/>
      <c r="HWQ271" s="22"/>
      <c r="HWR271" s="22"/>
      <c r="HWS271" s="22"/>
      <c r="HWT271" s="22"/>
      <c r="HWU271" s="22"/>
      <c r="HWV271" s="22"/>
      <c r="HWW271" s="22"/>
      <c r="HWX271" s="22"/>
      <c r="HWY271" s="22"/>
      <c r="HWZ271" s="22"/>
      <c r="HXA271" s="22"/>
      <c r="HXB271" s="22"/>
      <c r="HXC271" s="22"/>
      <c r="HXD271" s="22"/>
      <c r="HXE271" s="22"/>
      <c r="HXF271" s="22"/>
      <c r="HXG271" s="22"/>
      <c r="HXH271" s="22"/>
      <c r="HXI271" s="22"/>
      <c r="HXJ271" s="22"/>
      <c r="HXK271" s="22"/>
      <c r="HXL271" s="22"/>
      <c r="HXM271" s="22"/>
      <c r="HXN271" s="22"/>
      <c r="HXO271" s="22"/>
      <c r="HXP271" s="22"/>
      <c r="HXQ271" s="22"/>
      <c r="HXR271" s="22"/>
      <c r="HXS271" s="22"/>
      <c r="HXT271" s="22"/>
      <c r="HXU271" s="22"/>
      <c r="HXV271" s="22"/>
      <c r="HXW271" s="22"/>
      <c r="HXX271" s="22"/>
      <c r="HXY271" s="22"/>
      <c r="HXZ271" s="22"/>
      <c r="HYA271" s="22"/>
      <c r="HYB271" s="22"/>
      <c r="HYC271" s="22"/>
      <c r="HYD271" s="22"/>
      <c r="HYE271" s="22"/>
      <c r="HYF271" s="22"/>
      <c r="HYG271" s="22"/>
      <c r="HYH271" s="22"/>
      <c r="HYI271" s="22"/>
      <c r="HYJ271" s="22"/>
      <c r="HYK271" s="22"/>
      <c r="HYL271" s="22"/>
      <c r="HYM271" s="22"/>
      <c r="HYN271" s="22"/>
      <c r="HYO271" s="22"/>
      <c r="HYP271" s="22"/>
      <c r="HYQ271" s="22"/>
      <c r="HYR271" s="22"/>
      <c r="HYS271" s="22"/>
      <c r="HYT271" s="22"/>
      <c r="HYU271" s="22"/>
      <c r="HYV271" s="22"/>
      <c r="HYW271" s="22"/>
      <c r="HYX271" s="22"/>
      <c r="HYY271" s="22"/>
      <c r="HYZ271" s="22"/>
      <c r="HZA271" s="22"/>
      <c r="HZB271" s="22"/>
      <c r="HZC271" s="22"/>
      <c r="HZD271" s="22"/>
      <c r="HZE271" s="22"/>
      <c r="HZF271" s="22"/>
      <c r="HZG271" s="22"/>
      <c r="HZH271" s="22"/>
      <c r="HZI271" s="22"/>
      <c r="HZJ271" s="22"/>
      <c r="HZK271" s="22"/>
      <c r="HZL271" s="22"/>
      <c r="HZM271" s="22"/>
      <c r="HZN271" s="22"/>
      <c r="HZO271" s="22"/>
      <c r="HZP271" s="22"/>
      <c r="HZQ271" s="22"/>
      <c r="HZR271" s="22"/>
      <c r="HZS271" s="22"/>
      <c r="HZT271" s="22"/>
      <c r="HZU271" s="22"/>
      <c r="HZV271" s="22"/>
      <c r="HZW271" s="22"/>
      <c r="HZX271" s="22"/>
      <c r="HZY271" s="22"/>
      <c r="HZZ271" s="22"/>
      <c r="IAA271" s="22"/>
      <c r="IAB271" s="22"/>
      <c r="IAC271" s="22"/>
      <c r="IAD271" s="22"/>
      <c r="IAE271" s="22"/>
      <c r="IAF271" s="22"/>
      <c r="IAG271" s="22"/>
      <c r="IAH271" s="22"/>
      <c r="IAI271" s="22"/>
      <c r="IAJ271" s="22"/>
      <c r="IAK271" s="22"/>
      <c r="IAL271" s="22"/>
      <c r="IAM271" s="22"/>
      <c r="IAN271" s="22"/>
      <c r="IAO271" s="22"/>
      <c r="IAP271" s="22"/>
      <c r="IAQ271" s="22"/>
      <c r="IAR271" s="22"/>
      <c r="IAS271" s="22"/>
      <c r="IAT271" s="22"/>
      <c r="IAU271" s="22"/>
      <c r="IAV271" s="22"/>
      <c r="IAW271" s="22"/>
      <c r="IAX271" s="22"/>
      <c r="IAY271" s="22"/>
      <c r="IAZ271" s="22"/>
      <c r="IBA271" s="22"/>
      <c r="IBB271" s="22"/>
      <c r="IBC271" s="22"/>
      <c r="IBD271" s="22"/>
      <c r="IBE271" s="22"/>
      <c r="IBF271" s="22"/>
      <c r="IBG271" s="22"/>
      <c r="IBH271" s="22"/>
      <c r="IBI271" s="22"/>
      <c r="IBJ271" s="22"/>
      <c r="IBK271" s="22"/>
      <c r="IBL271" s="22"/>
      <c r="IBM271" s="22"/>
      <c r="IBN271" s="22"/>
      <c r="IBO271" s="22"/>
      <c r="IBP271" s="22"/>
      <c r="IBQ271" s="22"/>
      <c r="IBR271" s="22"/>
      <c r="IBS271" s="22"/>
      <c r="IBT271" s="22"/>
      <c r="IBU271" s="22"/>
      <c r="IBV271" s="22"/>
      <c r="IBW271" s="22"/>
      <c r="IBX271" s="22"/>
      <c r="IBY271" s="22"/>
      <c r="IBZ271" s="22"/>
      <c r="ICA271" s="22"/>
      <c r="ICB271" s="22"/>
      <c r="ICC271" s="22"/>
      <c r="ICD271" s="22"/>
      <c r="ICE271" s="22"/>
      <c r="ICF271" s="22"/>
      <c r="ICG271" s="22"/>
      <c r="ICH271" s="22"/>
      <c r="ICI271" s="22"/>
      <c r="ICJ271" s="22"/>
      <c r="ICK271" s="22"/>
      <c r="ICL271" s="22"/>
      <c r="ICM271" s="22"/>
      <c r="ICN271" s="22"/>
      <c r="ICO271" s="22"/>
      <c r="ICP271" s="22"/>
      <c r="ICQ271" s="22"/>
      <c r="ICR271" s="22"/>
      <c r="ICS271" s="22"/>
      <c r="ICT271" s="22"/>
      <c r="ICU271" s="22"/>
      <c r="ICV271" s="22"/>
      <c r="ICW271" s="22"/>
      <c r="ICX271" s="22"/>
      <c r="ICY271" s="22"/>
      <c r="ICZ271" s="22"/>
      <c r="IDA271" s="22"/>
      <c r="IDB271" s="22"/>
      <c r="IDC271" s="22"/>
      <c r="IDD271" s="22"/>
      <c r="IDE271" s="22"/>
      <c r="IDF271" s="22"/>
      <c r="IDG271" s="22"/>
      <c r="IDH271" s="22"/>
      <c r="IDI271" s="22"/>
      <c r="IDJ271" s="22"/>
      <c r="IDK271" s="22"/>
      <c r="IDL271" s="22"/>
      <c r="IDM271" s="22"/>
      <c r="IDN271" s="22"/>
      <c r="IDO271" s="22"/>
      <c r="IDP271" s="22"/>
      <c r="IDQ271" s="22"/>
      <c r="IDR271" s="22"/>
      <c r="IDS271" s="22"/>
      <c r="IDT271" s="22"/>
      <c r="IDU271" s="22"/>
      <c r="IDV271" s="22"/>
      <c r="IDW271" s="22"/>
      <c r="IDX271" s="22"/>
      <c r="IDY271" s="22"/>
      <c r="IDZ271" s="22"/>
      <c r="IEA271" s="22"/>
      <c r="IEB271" s="22"/>
      <c r="IEC271" s="22"/>
      <c r="IED271" s="22"/>
      <c r="IEE271" s="22"/>
      <c r="IEF271" s="22"/>
      <c r="IEG271" s="22"/>
      <c r="IEH271" s="22"/>
      <c r="IEI271" s="22"/>
      <c r="IEJ271" s="22"/>
      <c r="IEK271" s="22"/>
      <c r="IEL271" s="22"/>
      <c r="IEM271" s="22"/>
      <c r="IEN271" s="22"/>
      <c r="IEO271" s="22"/>
      <c r="IEP271" s="22"/>
      <c r="IEQ271" s="22"/>
      <c r="IER271" s="22"/>
      <c r="IES271" s="22"/>
      <c r="IET271" s="22"/>
      <c r="IEU271" s="22"/>
      <c r="IEV271" s="22"/>
      <c r="IEW271" s="22"/>
      <c r="IEX271" s="22"/>
      <c r="IEY271" s="22"/>
      <c r="IEZ271" s="22"/>
      <c r="IFA271" s="22"/>
      <c r="IFB271" s="22"/>
      <c r="IFC271" s="22"/>
      <c r="IFD271" s="22"/>
      <c r="IFE271" s="22"/>
      <c r="IFF271" s="22"/>
      <c r="IFG271" s="22"/>
      <c r="IFH271" s="22"/>
      <c r="IFI271" s="22"/>
      <c r="IFJ271" s="22"/>
      <c r="IFK271" s="22"/>
      <c r="IFL271" s="22"/>
      <c r="IFM271" s="22"/>
      <c r="IFN271" s="22"/>
      <c r="IFO271" s="22"/>
      <c r="IFP271" s="22"/>
      <c r="IFQ271" s="22"/>
      <c r="IFR271" s="22"/>
      <c r="IFS271" s="22"/>
      <c r="IFT271" s="22"/>
      <c r="IFU271" s="22"/>
      <c r="IFV271" s="22"/>
      <c r="IFW271" s="22"/>
      <c r="IFX271" s="22"/>
      <c r="IFY271" s="22"/>
      <c r="IFZ271" s="22"/>
      <c r="IGA271" s="22"/>
      <c r="IGB271" s="22"/>
      <c r="IGC271" s="22"/>
      <c r="IGD271" s="22"/>
      <c r="IGE271" s="22"/>
      <c r="IGF271" s="22"/>
      <c r="IGG271" s="22"/>
      <c r="IGH271" s="22"/>
      <c r="IGI271" s="22"/>
      <c r="IGJ271" s="22"/>
      <c r="IGK271" s="22"/>
      <c r="IGL271" s="22"/>
      <c r="IGM271" s="22"/>
      <c r="IGN271" s="22"/>
      <c r="IGO271" s="22"/>
      <c r="IGP271" s="22"/>
      <c r="IGQ271" s="22"/>
      <c r="IGR271" s="22"/>
      <c r="IGS271" s="22"/>
      <c r="IGT271" s="22"/>
      <c r="IGU271" s="22"/>
      <c r="IGV271" s="22"/>
      <c r="IGW271" s="22"/>
      <c r="IGX271" s="22"/>
      <c r="IGY271" s="22"/>
      <c r="IGZ271" s="22"/>
      <c r="IHA271" s="22"/>
      <c r="IHB271" s="22"/>
      <c r="IHC271" s="22"/>
      <c r="IHD271" s="22"/>
      <c r="IHE271" s="22"/>
      <c r="IHF271" s="22"/>
      <c r="IHG271" s="22"/>
      <c r="IHH271" s="22"/>
      <c r="IHI271" s="22"/>
      <c r="IHJ271" s="22"/>
      <c r="IHK271" s="22"/>
      <c r="IHL271" s="22"/>
      <c r="IHM271" s="22"/>
      <c r="IHN271" s="22"/>
      <c r="IHO271" s="22"/>
      <c r="IHP271" s="22"/>
      <c r="IHQ271" s="22"/>
      <c r="IHR271" s="22"/>
      <c r="IHS271" s="22"/>
      <c r="IHT271" s="22"/>
      <c r="IHU271" s="22"/>
      <c r="IHV271" s="22"/>
      <c r="IHW271" s="22"/>
      <c r="IHX271" s="22"/>
      <c r="IHY271" s="22"/>
      <c r="IHZ271" s="22"/>
      <c r="IIA271" s="22"/>
      <c r="IIB271" s="22"/>
      <c r="IIC271" s="22"/>
      <c r="IID271" s="22"/>
      <c r="IIE271" s="22"/>
      <c r="IIF271" s="22"/>
      <c r="IIG271" s="22"/>
      <c r="IIH271" s="22"/>
      <c r="III271" s="22"/>
      <c r="IIJ271" s="22"/>
      <c r="IIK271" s="22"/>
      <c r="IIL271" s="22"/>
      <c r="IIM271" s="22"/>
      <c r="IIN271" s="22"/>
      <c r="IIO271" s="22"/>
      <c r="IIP271" s="22"/>
      <c r="IIQ271" s="22"/>
      <c r="IIR271" s="22"/>
      <c r="IIS271" s="22"/>
      <c r="IIT271" s="22"/>
      <c r="IIU271" s="22"/>
      <c r="IIV271" s="22"/>
      <c r="IIW271" s="22"/>
      <c r="IIX271" s="22"/>
      <c r="IIY271" s="22"/>
      <c r="IIZ271" s="22"/>
      <c r="IJA271" s="22"/>
      <c r="IJB271" s="22"/>
      <c r="IJC271" s="22"/>
      <c r="IJD271" s="22"/>
      <c r="IJE271" s="22"/>
      <c r="IJF271" s="22"/>
      <c r="IJG271" s="22"/>
      <c r="IJH271" s="22"/>
      <c r="IJI271" s="22"/>
      <c r="IJJ271" s="22"/>
      <c r="IJK271" s="22"/>
      <c r="IJL271" s="22"/>
      <c r="IJM271" s="22"/>
      <c r="IJN271" s="22"/>
      <c r="IJO271" s="22"/>
      <c r="IJP271" s="22"/>
      <c r="IJQ271" s="22"/>
      <c r="IJR271" s="22"/>
      <c r="IJS271" s="22"/>
      <c r="IJT271" s="22"/>
      <c r="IJU271" s="22"/>
      <c r="IJV271" s="22"/>
      <c r="IJW271" s="22"/>
      <c r="IJX271" s="22"/>
      <c r="IJY271" s="22"/>
      <c r="IJZ271" s="22"/>
      <c r="IKA271" s="22"/>
      <c r="IKB271" s="22"/>
      <c r="IKC271" s="22"/>
      <c r="IKD271" s="22"/>
      <c r="IKE271" s="22"/>
      <c r="IKF271" s="22"/>
      <c r="IKG271" s="22"/>
      <c r="IKH271" s="22"/>
      <c r="IKI271" s="22"/>
      <c r="IKJ271" s="22"/>
      <c r="IKK271" s="22"/>
      <c r="IKL271" s="22"/>
      <c r="IKM271" s="22"/>
      <c r="IKN271" s="22"/>
      <c r="IKO271" s="22"/>
      <c r="IKP271" s="22"/>
      <c r="IKQ271" s="22"/>
      <c r="IKR271" s="22"/>
      <c r="IKS271" s="22"/>
      <c r="IKT271" s="22"/>
      <c r="IKU271" s="22"/>
      <c r="IKV271" s="22"/>
      <c r="IKW271" s="22"/>
      <c r="IKX271" s="22"/>
      <c r="IKY271" s="22"/>
      <c r="IKZ271" s="22"/>
      <c r="ILA271" s="22"/>
      <c r="ILB271" s="22"/>
      <c r="ILC271" s="22"/>
      <c r="ILD271" s="22"/>
      <c r="ILE271" s="22"/>
      <c r="ILF271" s="22"/>
      <c r="ILG271" s="22"/>
      <c r="ILH271" s="22"/>
      <c r="ILI271" s="22"/>
      <c r="ILJ271" s="22"/>
      <c r="ILK271" s="22"/>
      <c r="ILL271" s="22"/>
      <c r="ILM271" s="22"/>
      <c r="ILN271" s="22"/>
      <c r="ILO271" s="22"/>
      <c r="ILP271" s="22"/>
      <c r="ILQ271" s="22"/>
      <c r="ILR271" s="22"/>
      <c r="ILS271" s="22"/>
      <c r="ILT271" s="22"/>
      <c r="ILU271" s="22"/>
      <c r="ILV271" s="22"/>
      <c r="ILW271" s="22"/>
      <c r="ILX271" s="22"/>
      <c r="ILY271" s="22"/>
      <c r="ILZ271" s="22"/>
      <c r="IMA271" s="22"/>
      <c r="IMB271" s="22"/>
      <c r="IMC271" s="22"/>
      <c r="IMD271" s="22"/>
      <c r="IME271" s="22"/>
      <c r="IMF271" s="22"/>
      <c r="IMG271" s="22"/>
      <c r="IMH271" s="22"/>
      <c r="IMI271" s="22"/>
      <c r="IMJ271" s="22"/>
      <c r="IMK271" s="22"/>
      <c r="IML271" s="22"/>
      <c r="IMM271" s="22"/>
      <c r="IMN271" s="22"/>
      <c r="IMO271" s="22"/>
      <c r="IMP271" s="22"/>
      <c r="IMQ271" s="22"/>
      <c r="IMR271" s="22"/>
      <c r="IMS271" s="22"/>
      <c r="IMT271" s="22"/>
      <c r="IMU271" s="22"/>
      <c r="IMV271" s="22"/>
      <c r="IMW271" s="22"/>
      <c r="IMX271" s="22"/>
      <c r="IMY271" s="22"/>
      <c r="IMZ271" s="22"/>
      <c r="INA271" s="22"/>
      <c r="INB271" s="22"/>
      <c r="INC271" s="22"/>
      <c r="IND271" s="22"/>
      <c r="INE271" s="22"/>
      <c r="INF271" s="22"/>
      <c r="ING271" s="22"/>
      <c r="INH271" s="22"/>
      <c r="INI271" s="22"/>
      <c r="INJ271" s="22"/>
      <c r="INK271" s="22"/>
      <c r="INL271" s="22"/>
      <c r="INM271" s="22"/>
      <c r="INN271" s="22"/>
      <c r="INO271" s="22"/>
      <c r="INP271" s="22"/>
      <c r="INQ271" s="22"/>
      <c r="INR271" s="22"/>
      <c r="INS271" s="22"/>
      <c r="INT271" s="22"/>
      <c r="INU271" s="22"/>
      <c r="INV271" s="22"/>
      <c r="INW271" s="22"/>
      <c r="INX271" s="22"/>
      <c r="INY271" s="22"/>
      <c r="INZ271" s="22"/>
      <c r="IOA271" s="22"/>
      <c r="IOB271" s="22"/>
      <c r="IOC271" s="22"/>
      <c r="IOD271" s="22"/>
      <c r="IOE271" s="22"/>
      <c r="IOF271" s="22"/>
      <c r="IOG271" s="22"/>
      <c r="IOH271" s="22"/>
      <c r="IOI271" s="22"/>
      <c r="IOJ271" s="22"/>
      <c r="IOK271" s="22"/>
      <c r="IOL271" s="22"/>
      <c r="IOM271" s="22"/>
      <c r="ION271" s="22"/>
      <c r="IOO271" s="22"/>
      <c r="IOP271" s="22"/>
      <c r="IOQ271" s="22"/>
      <c r="IOR271" s="22"/>
      <c r="IOS271" s="22"/>
      <c r="IOT271" s="22"/>
      <c r="IOU271" s="22"/>
      <c r="IOV271" s="22"/>
      <c r="IOW271" s="22"/>
      <c r="IOX271" s="22"/>
      <c r="IOY271" s="22"/>
      <c r="IOZ271" s="22"/>
      <c r="IPA271" s="22"/>
      <c r="IPB271" s="22"/>
      <c r="IPC271" s="22"/>
      <c r="IPD271" s="22"/>
      <c r="IPE271" s="22"/>
      <c r="IPF271" s="22"/>
      <c r="IPG271" s="22"/>
      <c r="IPH271" s="22"/>
      <c r="IPI271" s="22"/>
      <c r="IPJ271" s="22"/>
      <c r="IPK271" s="22"/>
      <c r="IPL271" s="22"/>
      <c r="IPM271" s="22"/>
      <c r="IPN271" s="22"/>
      <c r="IPO271" s="22"/>
      <c r="IPP271" s="22"/>
      <c r="IPQ271" s="22"/>
      <c r="IPR271" s="22"/>
      <c r="IPS271" s="22"/>
      <c r="IPT271" s="22"/>
      <c r="IPU271" s="22"/>
      <c r="IPV271" s="22"/>
      <c r="IPW271" s="22"/>
      <c r="IPX271" s="22"/>
      <c r="IPY271" s="22"/>
      <c r="IPZ271" s="22"/>
      <c r="IQA271" s="22"/>
      <c r="IQB271" s="22"/>
      <c r="IQC271" s="22"/>
      <c r="IQD271" s="22"/>
      <c r="IQE271" s="22"/>
      <c r="IQF271" s="22"/>
      <c r="IQG271" s="22"/>
      <c r="IQH271" s="22"/>
      <c r="IQI271" s="22"/>
      <c r="IQJ271" s="22"/>
      <c r="IQK271" s="22"/>
      <c r="IQL271" s="22"/>
      <c r="IQM271" s="22"/>
      <c r="IQN271" s="22"/>
      <c r="IQO271" s="22"/>
      <c r="IQP271" s="22"/>
      <c r="IQQ271" s="22"/>
      <c r="IQR271" s="22"/>
      <c r="IQS271" s="22"/>
      <c r="IQT271" s="22"/>
      <c r="IQU271" s="22"/>
      <c r="IQV271" s="22"/>
      <c r="IQW271" s="22"/>
      <c r="IQX271" s="22"/>
      <c r="IQY271" s="22"/>
      <c r="IQZ271" s="22"/>
      <c r="IRA271" s="22"/>
      <c r="IRB271" s="22"/>
      <c r="IRC271" s="22"/>
      <c r="IRD271" s="22"/>
      <c r="IRE271" s="22"/>
      <c r="IRF271" s="22"/>
      <c r="IRG271" s="22"/>
      <c r="IRH271" s="22"/>
      <c r="IRI271" s="22"/>
      <c r="IRJ271" s="22"/>
      <c r="IRK271" s="22"/>
      <c r="IRL271" s="22"/>
      <c r="IRM271" s="22"/>
      <c r="IRN271" s="22"/>
      <c r="IRO271" s="22"/>
      <c r="IRP271" s="22"/>
      <c r="IRQ271" s="22"/>
      <c r="IRR271" s="22"/>
      <c r="IRS271" s="22"/>
      <c r="IRT271" s="22"/>
      <c r="IRU271" s="22"/>
      <c r="IRV271" s="22"/>
      <c r="IRW271" s="22"/>
      <c r="IRX271" s="22"/>
      <c r="IRY271" s="22"/>
      <c r="IRZ271" s="22"/>
      <c r="ISA271" s="22"/>
      <c r="ISB271" s="22"/>
      <c r="ISC271" s="22"/>
      <c r="ISD271" s="22"/>
      <c r="ISE271" s="22"/>
      <c r="ISF271" s="22"/>
      <c r="ISG271" s="22"/>
      <c r="ISH271" s="22"/>
      <c r="ISI271" s="22"/>
      <c r="ISJ271" s="22"/>
      <c r="ISK271" s="22"/>
      <c r="ISL271" s="22"/>
      <c r="ISM271" s="22"/>
      <c r="ISN271" s="22"/>
      <c r="ISO271" s="22"/>
      <c r="ISP271" s="22"/>
      <c r="ISQ271" s="22"/>
      <c r="ISR271" s="22"/>
      <c r="ISS271" s="22"/>
      <c r="IST271" s="22"/>
      <c r="ISU271" s="22"/>
      <c r="ISV271" s="22"/>
      <c r="ISW271" s="22"/>
      <c r="ISX271" s="22"/>
      <c r="ISY271" s="22"/>
      <c r="ISZ271" s="22"/>
      <c r="ITA271" s="22"/>
      <c r="ITB271" s="22"/>
      <c r="ITC271" s="22"/>
      <c r="ITD271" s="22"/>
      <c r="ITE271" s="22"/>
      <c r="ITF271" s="22"/>
      <c r="ITG271" s="22"/>
      <c r="ITH271" s="22"/>
      <c r="ITI271" s="22"/>
      <c r="ITJ271" s="22"/>
      <c r="ITK271" s="22"/>
      <c r="ITL271" s="22"/>
      <c r="ITM271" s="22"/>
      <c r="ITN271" s="22"/>
      <c r="ITO271" s="22"/>
      <c r="ITP271" s="22"/>
      <c r="ITQ271" s="22"/>
      <c r="ITR271" s="22"/>
      <c r="ITS271" s="22"/>
      <c r="ITT271" s="22"/>
      <c r="ITU271" s="22"/>
      <c r="ITV271" s="22"/>
      <c r="ITW271" s="22"/>
      <c r="ITX271" s="22"/>
      <c r="ITY271" s="22"/>
      <c r="ITZ271" s="22"/>
      <c r="IUA271" s="22"/>
      <c r="IUB271" s="22"/>
      <c r="IUC271" s="22"/>
      <c r="IUD271" s="22"/>
      <c r="IUE271" s="22"/>
      <c r="IUF271" s="22"/>
      <c r="IUG271" s="22"/>
      <c r="IUH271" s="22"/>
      <c r="IUI271" s="22"/>
      <c r="IUJ271" s="22"/>
      <c r="IUK271" s="22"/>
      <c r="IUL271" s="22"/>
      <c r="IUM271" s="22"/>
      <c r="IUN271" s="22"/>
      <c r="IUO271" s="22"/>
      <c r="IUP271" s="22"/>
      <c r="IUQ271" s="22"/>
      <c r="IUR271" s="22"/>
      <c r="IUS271" s="22"/>
      <c r="IUT271" s="22"/>
      <c r="IUU271" s="22"/>
      <c r="IUV271" s="22"/>
      <c r="IUW271" s="22"/>
      <c r="IUX271" s="22"/>
      <c r="IUY271" s="22"/>
      <c r="IUZ271" s="22"/>
      <c r="IVA271" s="22"/>
      <c r="IVB271" s="22"/>
      <c r="IVC271" s="22"/>
      <c r="IVD271" s="22"/>
      <c r="IVE271" s="22"/>
      <c r="IVF271" s="22"/>
      <c r="IVG271" s="22"/>
      <c r="IVH271" s="22"/>
      <c r="IVI271" s="22"/>
      <c r="IVJ271" s="22"/>
      <c r="IVK271" s="22"/>
      <c r="IVL271" s="22"/>
      <c r="IVM271" s="22"/>
      <c r="IVN271" s="22"/>
      <c r="IVO271" s="22"/>
      <c r="IVP271" s="22"/>
      <c r="IVQ271" s="22"/>
      <c r="IVR271" s="22"/>
      <c r="IVS271" s="22"/>
      <c r="IVT271" s="22"/>
      <c r="IVU271" s="22"/>
      <c r="IVV271" s="22"/>
      <c r="IVW271" s="22"/>
      <c r="IVX271" s="22"/>
      <c r="IVY271" s="22"/>
      <c r="IVZ271" s="22"/>
      <c r="IWA271" s="22"/>
      <c r="IWB271" s="22"/>
      <c r="IWC271" s="22"/>
      <c r="IWD271" s="22"/>
      <c r="IWE271" s="22"/>
      <c r="IWF271" s="22"/>
      <c r="IWG271" s="22"/>
      <c r="IWH271" s="22"/>
      <c r="IWI271" s="22"/>
      <c r="IWJ271" s="22"/>
      <c r="IWK271" s="22"/>
      <c r="IWL271" s="22"/>
      <c r="IWM271" s="22"/>
      <c r="IWN271" s="22"/>
      <c r="IWO271" s="22"/>
      <c r="IWP271" s="22"/>
      <c r="IWQ271" s="22"/>
      <c r="IWR271" s="22"/>
      <c r="IWS271" s="22"/>
      <c r="IWT271" s="22"/>
      <c r="IWU271" s="22"/>
      <c r="IWV271" s="22"/>
      <c r="IWW271" s="22"/>
      <c r="IWX271" s="22"/>
      <c r="IWY271" s="22"/>
      <c r="IWZ271" s="22"/>
      <c r="IXA271" s="22"/>
      <c r="IXB271" s="22"/>
      <c r="IXC271" s="22"/>
      <c r="IXD271" s="22"/>
      <c r="IXE271" s="22"/>
      <c r="IXF271" s="22"/>
      <c r="IXG271" s="22"/>
      <c r="IXH271" s="22"/>
      <c r="IXI271" s="22"/>
      <c r="IXJ271" s="22"/>
      <c r="IXK271" s="22"/>
      <c r="IXL271" s="22"/>
      <c r="IXM271" s="22"/>
      <c r="IXN271" s="22"/>
      <c r="IXO271" s="22"/>
      <c r="IXP271" s="22"/>
      <c r="IXQ271" s="22"/>
      <c r="IXR271" s="22"/>
      <c r="IXS271" s="22"/>
      <c r="IXT271" s="22"/>
      <c r="IXU271" s="22"/>
      <c r="IXV271" s="22"/>
      <c r="IXW271" s="22"/>
      <c r="IXX271" s="22"/>
      <c r="IXY271" s="22"/>
      <c r="IXZ271" s="22"/>
      <c r="IYA271" s="22"/>
      <c r="IYB271" s="22"/>
      <c r="IYC271" s="22"/>
      <c r="IYD271" s="22"/>
      <c r="IYE271" s="22"/>
      <c r="IYF271" s="22"/>
      <c r="IYG271" s="22"/>
      <c r="IYH271" s="22"/>
      <c r="IYI271" s="22"/>
      <c r="IYJ271" s="22"/>
      <c r="IYK271" s="22"/>
      <c r="IYL271" s="22"/>
      <c r="IYM271" s="22"/>
      <c r="IYN271" s="22"/>
      <c r="IYO271" s="22"/>
      <c r="IYP271" s="22"/>
      <c r="IYQ271" s="22"/>
      <c r="IYR271" s="22"/>
      <c r="IYS271" s="22"/>
      <c r="IYT271" s="22"/>
      <c r="IYU271" s="22"/>
      <c r="IYV271" s="22"/>
      <c r="IYW271" s="22"/>
      <c r="IYX271" s="22"/>
      <c r="IYY271" s="22"/>
      <c r="IYZ271" s="22"/>
      <c r="IZA271" s="22"/>
      <c r="IZB271" s="22"/>
      <c r="IZC271" s="22"/>
      <c r="IZD271" s="22"/>
      <c r="IZE271" s="22"/>
      <c r="IZF271" s="22"/>
      <c r="IZG271" s="22"/>
      <c r="IZH271" s="22"/>
      <c r="IZI271" s="22"/>
      <c r="IZJ271" s="22"/>
      <c r="IZK271" s="22"/>
      <c r="IZL271" s="22"/>
      <c r="IZM271" s="22"/>
      <c r="IZN271" s="22"/>
      <c r="IZO271" s="22"/>
      <c r="IZP271" s="22"/>
      <c r="IZQ271" s="22"/>
      <c r="IZR271" s="22"/>
      <c r="IZS271" s="22"/>
      <c r="IZT271" s="22"/>
      <c r="IZU271" s="22"/>
      <c r="IZV271" s="22"/>
      <c r="IZW271" s="22"/>
      <c r="IZX271" s="22"/>
      <c r="IZY271" s="22"/>
      <c r="IZZ271" s="22"/>
      <c r="JAA271" s="22"/>
      <c r="JAB271" s="22"/>
      <c r="JAC271" s="22"/>
      <c r="JAD271" s="22"/>
      <c r="JAE271" s="22"/>
      <c r="JAF271" s="22"/>
      <c r="JAG271" s="22"/>
      <c r="JAH271" s="22"/>
      <c r="JAI271" s="22"/>
      <c r="JAJ271" s="22"/>
      <c r="JAK271" s="22"/>
      <c r="JAL271" s="22"/>
      <c r="JAM271" s="22"/>
      <c r="JAN271" s="22"/>
      <c r="JAO271" s="22"/>
      <c r="JAP271" s="22"/>
      <c r="JAQ271" s="22"/>
      <c r="JAR271" s="22"/>
      <c r="JAS271" s="22"/>
      <c r="JAT271" s="22"/>
      <c r="JAU271" s="22"/>
      <c r="JAV271" s="22"/>
      <c r="JAW271" s="22"/>
      <c r="JAX271" s="22"/>
      <c r="JAY271" s="22"/>
      <c r="JAZ271" s="22"/>
      <c r="JBA271" s="22"/>
      <c r="JBB271" s="22"/>
      <c r="JBC271" s="22"/>
      <c r="JBD271" s="22"/>
      <c r="JBE271" s="22"/>
      <c r="JBF271" s="22"/>
      <c r="JBG271" s="22"/>
      <c r="JBH271" s="22"/>
      <c r="JBI271" s="22"/>
      <c r="JBJ271" s="22"/>
      <c r="JBK271" s="22"/>
      <c r="JBL271" s="22"/>
      <c r="JBM271" s="22"/>
      <c r="JBN271" s="22"/>
      <c r="JBO271" s="22"/>
      <c r="JBP271" s="22"/>
      <c r="JBQ271" s="22"/>
      <c r="JBR271" s="22"/>
      <c r="JBS271" s="22"/>
      <c r="JBT271" s="22"/>
      <c r="JBU271" s="22"/>
      <c r="JBV271" s="22"/>
      <c r="JBW271" s="22"/>
      <c r="JBX271" s="22"/>
      <c r="JBY271" s="22"/>
      <c r="JBZ271" s="22"/>
      <c r="JCA271" s="22"/>
      <c r="JCB271" s="22"/>
      <c r="JCC271" s="22"/>
      <c r="JCD271" s="22"/>
      <c r="JCE271" s="22"/>
      <c r="JCF271" s="22"/>
      <c r="JCG271" s="22"/>
      <c r="JCH271" s="22"/>
      <c r="JCI271" s="22"/>
      <c r="JCJ271" s="22"/>
      <c r="JCK271" s="22"/>
      <c r="JCL271" s="22"/>
      <c r="JCM271" s="22"/>
      <c r="JCN271" s="22"/>
      <c r="JCO271" s="22"/>
      <c r="JCP271" s="22"/>
      <c r="JCQ271" s="22"/>
      <c r="JCR271" s="22"/>
      <c r="JCS271" s="22"/>
      <c r="JCT271" s="22"/>
      <c r="JCU271" s="22"/>
      <c r="JCV271" s="22"/>
      <c r="JCW271" s="22"/>
      <c r="JCX271" s="22"/>
      <c r="JCY271" s="22"/>
      <c r="JCZ271" s="22"/>
      <c r="JDA271" s="22"/>
      <c r="JDB271" s="22"/>
      <c r="JDC271" s="22"/>
      <c r="JDD271" s="22"/>
      <c r="JDE271" s="22"/>
      <c r="JDF271" s="22"/>
      <c r="JDG271" s="22"/>
      <c r="JDH271" s="22"/>
      <c r="JDI271" s="22"/>
      <c r="JDJ271" s="22"/>
      <c r="JDK271" s="22"/>
      <c r="JDL271" s="22"/>
      <c r="JDM271" s="22"/>
      <c r="JDN271" s="22"/>
      <c r="JDO271" s="22"/>
      <c r="JDP271" s="22"/>
      <c r="JDQ271" s="22"/>
      <c r="JDR271" s="22"/>
      <c r="JDS271" s="22"/>
      <c r="JDT271" s="22"/>
      <c r="JDU271" s="22"/>
      <c r="JDV271" s="22"/>
      <c r="JDW271" s="22"/>
      <c r="JDX271" s="22"/>
      <c r="JDY271" s="22"/>
      <c r="JDZ271" s="22"/>
      <c r="JEA271" s="22"/>
      <c r="JEB271" s="22"/>
      <c r="JEC271" s="22"/>
      <c r="JED271" s="22"/>
      <c r="JEE271" s="22"/>
      <c r="JEF271" s="22"/>
      <c r="JEG271" s="22"/>
      <c r="JEH271" s="22"/>
      <c r="JEI271" s="22"/>
      <c r="JEJ271" s="22"/>
      <c r="JEK271" s="22"/>
      <c r="JEL271" s="22"/>
      <c r="JEM271" s="22"/>
      <c r="JEN271" s="22"/>
      <c r="JEO271" s="22"/>
      <c r="JEP271" s="22"/>
      <c r="JEQ271" s="22"/>
      <c r="JER271" s="22"/>
      <c r="JES271" s="22"/>
      <c r="JET271" s="22"/>
      <c r="JEU271" s="22"/>
      <c r="JEV271" s="22"/>
      <c r="JEW271" s="22"/>
      <c r="JEX271" s="22"/>
      <c r="JEY271" s="22"/>
      <c r="JEZ271" s="22"/>
      <c r="JFA271" s="22"/>
      <c r="JFB271" s="22"/>
      <c r="JFC271" s="22"/>
      <c r="JFD271" s="22"/>
      <c r="JFE271" s="22"/>
      <c r="JFF271" s="22"/>
      <c r="JFG271" s="22"/>
      <c r="JFH271" s="22"/>
      <c r="JFI271" s="22"/>
      <c r="JFJ271" s="22"/>
      <c r="JFK271" s="22"/>
      <c r="JFL271" s="22"/>
      <c r="JFM271" s="22"/>
      <c r="JFN271" s="22"/>
      <c r="JFO271" s="22"/>
      <c r="JFP271" s="22"/>
      <c r="JFQ271" s="22"/>
      <c r="JFR271" s="22"/>
      <c r="JFS271" s="22"/>
      <c r="JFT271" s="22"/>
      <c r="JFU271" s="22"/>
      <c r="JFV271" s="22"/>
      <c r="JFW271" s="22"/>
      <c r="JFX271" s="22"/>
      <c r="JFY271" s="22"/>
      <c r="JFZ271" s="22"/>
      <c r="JGA271" s="22"/>
      <c r="JGB271" s="22"/>
      <c r="JGC271" s="22"/>
      <c r="JGD271" s="22"/>
      <c r="JGE271" s="22"/>
      <c r="JGF271" s="22"/>
      <c r="JGG271" s="22"/>
      <c r="JGH271" s="22"/>
      <c r="JGI271" s="22"/>
      <c r="JGJ271" s="22"/>
      <c r="JGK271" s="22"/>
      <c r="JGL271" s="22"/>
      <c r="JGM271" s="22"/>
      <c r="JGN271" s="22"/>
      <c r="JGO271" s="22"/>
      <c r="JGP271" s="22"/>
      <c r="JGQ271" s="22"/>
      <c r="JGR271" s="22"/>
      <c r="JGS271" s="22"/>
      <c r="JGT271" s="22"/>
      <c r="JGU271" s="22"/>
      <c r="JGV271" s="22"/>
      <c r="JGW271" s="22"/>
      <c r="JGX271" s="22"/>
      <c r="JGY271" s="22"/>
      <c r="JGZ271" s="22"/>
      <c r="JHA271" s="22"/>
      <c r="JHB271" s="22"/>
      <c r="JHC271" s="22"/>
      <c r="JHD271" s="22"/>
      <c r="JHE271" s="22"/>
      <c r="JHF271" s="22"/>
      <c r="JHG271" s="22"/>
      <c r="JHH271" s="22"/>
      <c r="JHI271" s="22"/>
      <c r="JHJ271" s="22"/>
      <c r="JHK271" s="22"/>
      <c r="JHL271" s="22"/>
      <c r="JHM271" s="22"/>
      <c r="JHN271" s="22"/>
      <c r="JHO271" s="22"/>
      <c r="JHP271" s="22"/>
      <c r="JHQ271" s="22"/>
      <c r="JHR271" s="22"/>
      <c r="JHS271" s="22"/>
      <c r="JHT271" s="22"/>
      <c r="JHU271" s="22"/>
      <c r="JHV271" s="22"/>
      <c r="JHW271" s="22"/>
      <c r="JHX271" s="22"/>
      <c r="JHY271" s="22"/>
      <c r="JHZ271" s="22"/>
      <c r="JIA271" s="22"/>
      <c r="JIB271" s="22"/>
      <c r="JIC271" s="22"/>
      <c r="JID271" s="22"/>
      <c r="JIE271" s="22"/>
      <c r="JIF271" s="22"/>
      <c r="JIG271" s="22"/>
      <c r="JIH271" s="22"/>
      <c r="JII271" s="22"/>
      <c r="JIJ271" s="22"/>
      <c r="JIK271" s="22"/>
      <c r="JIL271" s="22"/>
      <c r="JIM271" s="22"/>
      <c r="JIN271" s="22"/>
      <c r="JIO271" s="22"/>
      <c r="JIP271" s="22"/>
      <c r="JIQ271" s="22"/>
      <c r="JIR271" s="22"/>
      <c r="JIS271" s="22"/>
      <c r="JIT271" s="22"/>
      <c r="JIU271" s="22"/>
      <c r="JIV271" s="22"/>
      <c r="JIW271" s="22"/>
      <c r="JIX271" s="22"/>
      <c r="JIY271" s="22"/>
      <c r="JIZ271" s="22"/>
      <c r="JJA271" s="22"/>
      <c r="JJB271" s="22"/>
      <c r="JJC271" s="22"/>
      <c r="JJD271" s="22"/>
      <c r="JJE271" s="22"/>
      <c r="JJF271" s="22"/>
      <c r="JJG271" s="22"/>
      <c r="JJH271" s="22"/>
      <c r="JJI271" s="22"/>
      <c r="JJJ271" s="22"/>
      <c r="JJK271" s="22"/>
      <c r="JJL271" s="22"/>
      <c r="JJM271" s="22"/>
      <c r="JJN271" s="22"/>
      <c r="JJO271" s="22"/>
      <c r="JJP271" s="22"/>
      <c r="JJQ271" s="22"/>
      <c r="JJR271" s="22"/>
      <c r="JJS271" s="22"/>
      <c r="JJT271" s="22"/>
      <c r="JJU271" s="22"/>
      <c r="JJV271" s="22"/>
      <c r="JJW271" s="22"/>
      <c r="JJX271" s="22"/>
      <c r="JJY271" s="22"/>
      <c r="JJZ271" s="22"/>
      <c r="JKA271" s="22"/>
      <c r="JKB271" s="22"/>
      <c r="JKC271" s="22"/>
      <c r="JKD271" s="22"/>
      <c r="JKE271" s="22"/>
      <c r="JKF271" s="22"/>
      <c r="JKG271" s="22"/>
      <c r="JKH271" s="22"/>
      <c r="JKI271" s="22"/>
      <c r="JKJ271" s="22"/>
      <c r="JKK271" s="22"/>
      <c r="JKL271" s="22"/>
      <c r="JKM271" s="22"/>
      <c r="JKN271" s="22"/>
      <c r="JKO271" s="22"/>
      <c r="JKP271" s="22"/>
      <c r="JKQ271" s="22"/>
      <c r="JKR271" s="22"/>
      <c r="JKS271" s="22"/>
      <c r="JKT271" s="22"/>
      <c r="JKU271" s="22"/>
      <c r="JKV271" s="22"/>
      <c r="JKW271" s="22"/>
      <c r="JKX271" s="22"/>
      <c r="JKY271" s="22"/>
      <c r="JKZ271" s="22"/>
      <c r="JLA271" s="22"/>
      <c r="JLB271" s="22"/>
      <c r="JLC271" s="22"/>
      <c r="JLD271" s="22"/>
      <c r="JLE271" s="22"/>
      <c r="JLF271" s="22"/>
      <c r="JLG271" s="22"/>
      <c r="JLH271" s="22"/>
      <c r="JLI271" s="22"/>
      <c r="JLJ271" s="22"/>
      <c r="JLK271" s="22"/>
      <c r="JLL271" s="22"/>
      <c r="JLM271" s="22"/>
      <c r="JLN271" s="22"/>
      <c r="JLO271" s="22"/>
      <c r="JLP271" s="22"/>
      <c r="JLQ271" s="22"/>
      <c r="JLR271" s="22"/>
      <c r="JLS271" s="22"/>
      <c r="JLT271" s="22"/>
      <c r="JLU271" s="22"/>
      <c r="JLV271" s="22"/>
      <c r="JLW271" s="22"/>
      <c r="JLX271" s="22"/>
      <c r="JLY271" s="22"/>
      <c r="JLZ271" s="22"/>
      <c r="JMA271" s="22"/>
      <c r="JMB271" s="22"/>
      <c r="JMC271" s="22"/>
      <c r="JMD271" s="22"/>
      <c r="JME271" s="22"/>
      <c r="JMF271" s="22"/>
      <c r="JMG271" s="22"/>
      <c r="JMH271" s="22"/>
      <c r="JMI271" s="22"/>
      <c r="JMJ271" s="22"/>
      <c r="JMK271" s="22"/>
      <c r="JML271" s="22"/>
      <c r="JMM271" s="22"/>
      <c r="JMN271" s="22"/>
      <c r="JMO271" s="22"/>
      <c r="JMP271" s="22"/>
      <c r="JMQ271" s="22"/>
      <c r="JMR271" s="22"/>
      <c r="JMS271" s="22"/>
      <c r="JMT271" s="22"/>
      <c r="JMU271" s="22"/>
      <c r="JMV271" s="22"/>
      <c r="JMW271" s="22"/>
      <c r="JMX271" s="22"/>
      <c r="JMY271" s="22"/>
      <c r="JMZ271" s="22"/>
      <c r="JNA271" s="22"/>
      <c r="JNB271" s="22"/>
      <c r="JNC271" s="22"/>
      <c r="JND271" s="22"/>
      <c r="JNE271" s="22"/>
      <c r="JNF271" s="22"/>
      <c r="JNG271" s="22"/>
      <c r="JNH271" s="22"/>
      <c r="JNI271" s="22"/>
      <c r="JNJ271" s="22"/>
      <c r="JNK271" s="22"/>
      <c r="JNL271" s="22"/>
      <c r="JNM271" s="22"/>
      <c r="JNN271" s="22"/>
      <c r="JNO271" s="22"/>
      <c r="JNP271" s="22"/>
      <c r="JNQ271" s="22"/>
      <c r="JNR271" s="22"/>
      <c r="JNS271" s="22"/>
      <c r="JNT271" s="22"/>
      <c r="JNU271" s="22"/>
      <c r="JNV271" s="22"/>
      <c r="JNW271" s="22"/>
      <c r="JNX271" s="22"/>
      <c r="JNY271" s="22"/>
      <c r="JNZ271" s="22"/>
      <c r="JOA271" s="22"/>
      <c r="JOB271" s="22"/>
      <c r="JOC271" s="22"/>
      <c r="JOD271" s="22"/>
      <c r="JOE271" s="22"/>
      <c r="JOF271" s="22"/>
      <c r="JOG271" s="22"/>
      <c r="JOH271" s="22"/>
      <c r="JOI271" s="22"/>
      <c r="JOJ271" s="22"/>
      <c r="JOK271" s="22"/>
      <c r="JOL271" s="22"/>
      <c r="JOM271" s="22"/>
      <c r="JON271" s="22"/>
      <c r="JOO271" s="22"/>
      <c r="JOP271" s="22"/>
      <c r="JOQ271" s="22"/>
      <c r="JOR271" s="22"/>
      <c r="JOS271" s="22"/>
      <c r="JOT271" s="22"/>
      <c r="JOU271" s="22"/>
      <c r="JOV271" s="22"/>
      <c r="JOW271" s="22"/>
      <c r="JOX271" s="22"/>
      <c r="JOY271" s="22"/>
      <c r="JOZ271" s="22"/>
      <c r="JPA271" s="22"/>
      <c r="JPB271" s="22"/>
      <c r="JPC271" s="22"/>
      <c r="JPD271" s="22"/>
      <c r="JPE271" s="22"/>
      <c r="JPF271" s="22"/>
      <c r="JPG271" s="22"/>
      <c r="JPH271" s="22"/>
      <c r="JPI271" s="22"/>
      <c r="JPJ271" s="22"/>
      <c r="JPK271" s="22"/>
      <c r="JPL271" s="22"/>
      <c r="JPM271" s="22"/>
      <c r="JPN271" s="22"/>
      <c r="JPO271" s="22"/>
      <c r="JPP271" s="22"/>
      <c r="JPQ271" s="22"/>
      <c r="JPR271" s="22"/>
      <c r="JPS271" s="22"/>
      <c r="JPT271" s="22"/>
      <c r="JPU271" s="22"/>
      <c r="JPV271" s="22"/>
      <c r="JPW271" s="22"/>
      <c r="JPX271" s="22"/>
      <c r="JPY271" s="22"/>
      <c r="JPZ271" s="22"/>
      <c r="JQA271" s="22"/>
      <c r="JQB271" s="22"/>
      <c r="JQC271" s="22"/>
      <c r="JQD271" s="22"/>
      <c r="JQE271" s="22"/>
      <c r="JQF271" s="22"/>
      <c r="JQG271" s="22"/>
      <c r="JQH271" s="22"/>
      <c r="JQI271" s="22"/>
      <c r="JQJ271" s="22"/>
      <c r="JQK271" s="22"/>
      <c r="JQL271" s="22"/>
      <c r="JQM271" s="22"/>
      <c r="JQN271" s="22"/>
      <c r="JQO271" s="22"/>
      <c r="JQP271" s="22"/>
      <c r="JQQ271" s="22"/>
      <c r="JQR271" s="22"/>
      <c r="JQS271" s="22"/>
      <c r="JQT271" s="22"/>
      <c r="JQU271" s="22"/>
      <c r="JQV271" s="22"/>
      <c r="JQW271" s="22"/>
      <c r="JQX271" s="22"/>
      <c r="JQY271" s="22"/>
      <c r="JQZ271" s="22"/>
      <c r="JRA271" s="22"/>
      <c r="JRB271" s="22"/>
      <c r="JRC271" s="22"/>
      <c r="JRD271" s="22"/>
      <c r="JRE271" s="22"/>
      <c r="JRF271" s="22"/>
      <c r="JRG271" s="22"/>
      <c r="JRH271" s="22"/>
      <c r="JRI271" s="22"/>
      <c r="JRJ271" s="22"/>
      <c r="JRK271" s="22"/>
      <c r="JRL271" s="22"/>
      <c r="JRM271" s="22"/>
      <c r="JRN271" s="22"/>
      <c r="JRO271" s="22"/>
      <c r="JRP271" s="22"/>
      <c r="JRQ271" s="22"/>
      <c r="JRR271" s="22"/>
      <c r="JRS271" s="22"/>
      <c r="JRT271" s="22"/>
      <c r="JRU271" s="22"/>
      <c r="JRV271" s="22"/>
      <c r="JRW271" s="22"/>
      <c r="JRX271" s="22"/>
      <c r="JRY271" s="22"/>
      <c r="JRZ271" s="22"/>
      <c r="JSA271" s="22"/>
      <c r="JSB271" s="22"/>
      <c r="JSC271" s="22"/>
      <c r="JSD271" s="22"/>
      <c r="JSE271" s="22"/>
      <c r="JSF271" s="22"/>
      <c r="JSG271" s="22"/>
      <c r="JSH271" s="22"/>
      <c r="JSI271" s="22"/>
      <c r="JSJ271" s="22"/>
      <c r="JSK271" s="22"/>
      <c r="JSL271" s="22"/>
      <c r="JSM271" s="22"/>
      <c r="JSN271" s="22"/>
      <c r="JSO271" s="22"/>
      <c r="JSP271" s="22"/>
      <c r="JSQ271" s="22"/>
      <c r="JSR271" s="22"/>
      <c r="JSS271" s="22"/>
      <c r="JST271" s="22"/>
      <c r="JSU271" s="22"/>
      <c r="JSV271" s="22"/>
      <c r="JSW271" s="22"/>
      <c r="JSX271" s="22"/>
      <c r="JSY271" s="22"/>
      <c r="JSZ271" s="22"/>
      <c r="JTA271" s="22"/>
      <c r="JTB271" s="22"/>
      <c r="JTC271" s="22"/>
      <c r="JTD271" s="22"/>
      <c r="JTE271" s="22"/>
      <c r="JTF271" s="22"/>
      <c r="JTG271" s="22"/>
      <c r="JTH271" s="22"/>
      <c r="JTI271" s="22"/>
      <c r="JTJ271" s="22"/>
      <c r="JTK271" s="22"/>
      <c r="JTL271" s="22"/>
      <c r="JTM271" s="22"/>
      <c r="JTN271" s="22"/>
      <c r="JTO271" s="22"/>
      <c r="JTP271" s="22"/>
      <c r="JTQ271" s="22"/>
      <c r="JTR271" s="22"/>
      <c r="JTS271" s="22"/>
      <c r="JTT271" s="22"/>
      <c r="JTU271" s="22"/>
      <c r="JTV271" s="22"/>
      <c r="JTW271" s="22"/>
      <c r="JTX271" s="22"/>
      <c r="JTY271" s="22"/>
      <c r="JTZ271" s="22"/>
      <c r="JUA271" s="22"/>
      <c r="JUB271" s="22"/>
      <c r="JUC271" s="22"/>
      <c r="JUD271" s="22"/>
      <c r="JUE271" s="22"/>
      <c r="JUF271" s="22"/>
      <c r="JUG271" s="22"/>
      <c r="JUH271" s="22"/>
      <c r="JUI271" s="22"/>
      <c r="JUJ271" s="22"/>
      <c r="JUK271" s="22"/>
      <c r="JUL271" s="22"/>
      <c r="JUM271" s="22"/>
      <c r="JUN271" s="22"/>
      <c r="JUO271" s="22"/>
      <c r="JUP271" s="22"/>
      <c r="JUQ271" s="22"/>
      <c r="JUR271" s="22"/>
      <c r="JUS271" s="22"/>
      <c r="JUT271" s="22"/>
      <c r="JUU271" s="22"/>
      <c r="JUV271" s="22"/>
      <c r="JUW271" s="22"/>
      <c r="JUX271" s="22"/>
      <c r="JUY271" s="22"/>
      <c r="JUZ271" s="22"/>
      <c r="JVA271" s="22"/>
      <c r="JVB271" s="22"/>
      <c r="JVC271" s="22"/>
      <c r="JVD271" s="22"/>
      <c r="JVE271" s="22"/>
      <c r="JVF271" s="22"/>
      <c r="JVG271" s="22"/>
      <c r="JVH271" s="22"/>
      <c r="JVI271" s="22"/>
      <c r="JVJ271" s="22"/>
      <c r="JVK271" s="22"/>
      <c r="JVL271" s="22"/>
      <c r="JVM271" s="22"/>
      <c r="JVN271" s="22"/>
      <c r="JVO271" s="22"/>
      <c r="JVP271" s="22"/>
      <c r="JVQ271" s="22"/>
      <c r="JVR271" s="22"/>
      <c r="JVS271" s="22"/>
      <c r="JVT271" s="22"/>
      <c r="JVU271" s="22"/>
      <c r="JVV271" s="22"/>
      <c r="JVW271" s="22"/>
      <c r="JVX271" s="22"/>
      <c r="JVY271" s="22"/>
      <c r="JVZ271" s="22"/>
      <c r="JWA271" s="22"/>
      <c r="JWB271" s="22"/>
      <c r="JWC271" s="22"/>
      <c r="JWD271" s="22"/>
      <c r="JWE271" s="22"/>
      <c r="JWF271" s="22"/>
      <c r="JWG271" s="22"/>
      <c r="JWH271" s="22"/>
      <c r="JWI271" s="22"/>
      <c r="JWJ271" s="22"/>
      <c r="JWK271" s="22"/>
      <c r="JWL271" s="22"/>
      <c r="JWM271" s="22"/>
      <c r="JWN271" s="22"/>
      <c r="JWO271" s="22"/>
      <c r="JWP271" s="22"/>
      <c r="JWQ271" s="22"/>
      <c r="JWR271" s="22"/>
      <c r="JWS271" s="22"/>
      <c r="JWT271" s="22"/>
      <c r="JWU271" s="22"/>
      <c r="JWV271" s="22"/>
      <c r="JWW271" s="22"/>
      <c r="JWX271" s="22"/>
      <c r="JWY271" s="22"/>
      <c r="JWZ271" s="22"/>
      <c r="JXA271" s="22"/>
      <c r="JXB271" s="22"/>
      <c r="JXC271" s="22"/>
      <c r="JXD271" s="22"/>
      <c r="JXE271" s="22"/>
      <c r="JXF271" s="22"/>
      <c r="JXG271" s="22"/>
      <c r="JXH271" s="22"/>
      <c r="JXI271" s="22"/>
      <c r="JXJ271" s="22"/>
      <c r="JXK271" s="22"/>
      <c r="JXL271" s="22"/>
      <c r="JXM271" s="22"/>
      <c r="JXN271" s="22"/>
      <c r="JXO271" s="22"/>
      <c r="JXP271" s="22"/>
      <c r="JXQ271" s="22"/>
      <c r="JXR271" s="22"/>
      <c r="JXS271" s="22"/>
      <c r="JXT271" s="22"/>
      <c r="JXU271" s="22"/>
      <c r="JXV271" s="22"/>
      <c r="JXW271" s="22"/>
      <c r="JXX271" s="22"/>
      <c r="JXY271" s="22"/>
      <c r="JXZ271" s="22"/>
      <c r="JYA271" s="22"/>
      <c r="JYB271" s="22"/>
      <c r="JYC271" s="22"/>
      <c r="JYD271" s="22"/>
      <c r="JYE271" s="22"/>
      <c r="JYF271" s="22"/>
      <c r="JYG271" s="22"/>
      <c r="JYH271" s="22"/>
      <c r="JYI271" s="22"/>
      <c r="JYJ271" s="22"/>
      <c r="JYK271" s="22"/>
      <c r="JYL271" s="22"/>
      <c r="JYM271" s="22"/>
      <c r="JYN271" s="22"/>
      <c r="JYO271" s="22"/>
      <c r="JYP271" s="22"/>
      <c r="JYQ271" s="22"/>
      <c r="JYR271" s="22"/>
      <c r="JYS271" s="22"/>
      <c r="JYT271" s="22"/>
      <c r="JYU271" s="22"/>
      <c r="JYV271" s="22"/>
      <c r="JYW271" s="22"/>
      <c r="JYX271" s="22"/>
      <c r="JYY271" s="22"/>
      <c r="JYZ271" s="22"/>
      <c r="JZA271" s="22"/>
      <c r="JZB271" s="22"/>
      <c r="JZC271" s="22"/>
      <c r="JZD271" s="22"/>
      <c r="JZE271" s="22"/>
      <c r="JZF271" s="22"/>
      <c r="JZG271" s="22"/>
      <c r="JZH271" s="22"/>
      <c r="JZI271" s="22"/>
      <c r="JZJ271" s="22"/>
      <c r="JZK271" s="22"/>
      <c r="JZL271" s="22"/>
      <c r="JZM271" s="22"/>
      <c r="JZN271" s="22"/>
      <c r="JZO271" s="22"/>
      <c r="JZP271" s="22"/>
      <c r="JZQ271" s="22"/>
      <c r="JZR271" s="22"/>
      <c r="JZS271" s="22"/>
      <c r="JZT271" s="22"/>
      <c r="JZU271" s="22"/>
      <c r="JZV271" s="22"/>
      <c r="JZW271" s="22"/>
      <c r="JZX271" s="22"/>
      <c r="JZY271" s="22"/>
      <c r="JZZ271" s="22"/>
      <c r="KAA271" s="22"/>
      <c r="KAB271" s="22"/>
      <c r="KAC271" s="22"/>
      <c r="KAD271" s="22"/>
      <c r="KAE271" s="22"/>
      <c r="KAF271" s="22"/>
      <c r="KAG271" s="22"/>
      <c r="KAH271" s="22"/>
      <c r="KAI271" s="22"/>
      <c r="KAJ271" s="22"/>
      <c r="KAK271" s="22"/>
      <c r="KAL271" s="22"/>
      <c r="KAM271" s="22"/>
      <c r="KAN271" s="22"/>
      <c r="KAO271" s="22"/>
      <c r="KAP271" s="22"/>
      <c r="KAQ271" s="22"/>
      <c r="KAR271" s="22"/>
      <c r="KAS271" s="22"/>
      <c r="KAT271" s="22"/>
      <c r="KAU271" s="22"/>
      <c r="KAV271" s="22"/>
      <c r="KAW271" s="22"/>
      <c r="KAX271" s="22"/>
      <c r="KAY271" s="22"/>
      <c r="KAZ271" s="22"/>
      <c r="KBA271" s="22"/>
      <c r="KBB271" s="22"/>
      <c r="KBC271" s="22"/>
      <c r="KBD271" s="22"/>
      <c r="KBE271" s="22"/>
      <c r="KBF271" s="22"/>
      <c r="KBG271" s="22"/>
      <c r="KBH271" s="22"/>
      <c r="KBI271" s="22"/>
      <c r="KBJ271" s="22"/>
      <c r="KBK271" s="22"/>
      <c r="KBL271" s="22"/>
      <c r="KBM271" s="22"/>
      <c r="KBN271" s="22"/>
      <c r="KBO271" s="22"/>
      <c r="KBP271" s="22"/>
      <c r="KBQ271" s="22"/>
      <c r="KBR271" s="22"/>
      <c r="KBS271" s="22"/>
      <c r="KBT271" s="22"/>
      <c r="KBU271" s="22"/>
      <c r="KBV271" s="22"/>
      <c r="KBW271" s="22"/>
      <c r="KBX271" s="22"/>
      <c r="KBY271" s="22"/>
      <c r="KBZ271" s="22"/>
      <c r="KCA271" s="22"/>
      <c r="KCB271" s="22"/>
      <c r="KCC271" s="22"/>
      <c r="KCD271" s="22"/>
      <c r="KCE271" s="22"/>
      <c r="KCF271" s="22"/>
      <c r="KCG271" s="22"/>
      <c r="KCH271" s="22"/>
      <c r="KCI271" s="22"/>
      <c r="KCJ271" s="22"/>
      <c r="KCK271" s="22"/>
      <c r="KCL271" s="22"/>
      <c r="KCM271" s="22"/>
      <c r="KCN271" s="22"/>
      <c r="KCO271" s="22"/>
      <c r="KCP271" s="22"/>
      <c r="KCQ271" s="22"/>
      <c r="KCR271" s="22"/>
      <c r="KCS271" s="22"/>
      <c r="KCT271" s="22"/>
      <c r="KCU271" s="22"/>
      <c r="KCV271" s="22"/>
      <c r="KCW271" s="22"/>
      <c r="KCX271" s="22"/>
      <c r="KCY271" s="22"/>
      <c r="KCZ271" s="22"/>
      <c r="KDA271" s="22"/>
      <c r="KDB271" s="22"/>
      <c r="KDC271" s="22"/>
      <c r="KDD271" s="22"/>
      <c r="KDE271" s="22"/>
      <c r="KDF271" s="22"/>
      <c r="KDG271" s="22"/>
      <c r="KDH271" s="22"/>
      <c r="KDI271" s="22"/>
      <c r="KDJ271" s="22"/>
      <c r="KDK271" s="22"/>
      <c r="KDL271" s="22"/>
      <c r="KDM271" s="22"/>
      <c r="KDN271" s="22"/>
      <c r="KDO271" s="22"/>
      <c r="KDP271" s="22"/>
      <c r="KDQ271" s="22"/>
      <c r="KDR271" s="22"/>
      <c r="KDS271" s="22"/>
      <c r="KDT271" s="22"/>
      <c r="KDU271" s="22"/>
      <c r="KDV271" s="22"/>
      <c r="KDW271" s="22"/>
      <c r="KDX271" s="22"/>
      <c r="KDY271" s="22"/>
      <c r="KDZ271" s="22"/>
      <c r="KEA271" s="22"/>
      <c r="KEB271" s="22"/>
      <c r="KEC271" s="22"/>
      <c r="KED271" s="22"/>
      <c r="KEE271" s="22"/>
      <c r="KEF271" s="22"/>
      <c r="KEG271" s="22"/>
      <c r="KEH271" s="22"/>
      <c r="KEI271" s="22"/>
      <c r="KEJ271" s="22"/>
      <c r="KEK271" s="22"/>
      <c r="KEL271" s="22"/>
      <c r="KEM271" s="22"/>
      <c r="KEN271" s="22"/>
      <c r="KEO271" s="22"/>
      <c r="KEP271" s="22"/>
      <c r="KEQ271" s="22"/>
      <c r="KER271" s="22"/>
      <c r="KES271" s="22"/>
      <c r="KET271" s="22"/>
      <c r="KEU271" s="22"/>
      <c r="KEV271" s="22"/>
      <c r="KEW271" s="22"/>
      <c r="KEX271" s="22"/>
      <c r="KEY271" s="22"/>
      <c r="KEZ271" s="22"/>
      <c r="KFA271" s="22"/>
      <c r="KFB271" s="22"/>
      <c r="KFC271" s="22"/>
      <c r="KFD271" s="22"/>
      <c r="KFE271" s="22"/>
      <c r="KFF271" s="22"/>
      <c r="KFG271" s="22"/>
      <c r="KFH271" s="22"/>
      <c r="KFI271" s="22"/>
      <c r="KFJ271" s="22"/>
      <c r="KFK271" s="22"/>
      <c r="KFL271" s="22"/>
      <c r="KFM271" s="22"/>
      <c r="KFN271" s="22"/>
      <c r="KFO271" s="22"/>
      <c r="KFP271" s="22"/>
      <c r="KFQ271" s="22"/>
      <c r="KFR271" s="22"/>
      <c r="KFS271" s="22"/>
      <c r="KFT271" s="22"/>
      <c r="KFU271" s="22"/>
      <c r="KFV271" s="22"/>
      <c r="KFW271" s="22"/>
      <c r="KFX271" s="22"/>
      <c r="KFY271" s="22"/>
      <c r="KFZ271" s="22"/>
      <c r="KGA271" s="22"/>
      <c r="KGB271" s="22"/>
      <c r="KGC271" s="22"/>
      <c r="KGD271" s="22"/>
      <c r="KGE271" s="22"/>
      <c r="KGF271" s="22"/>
      <c r="KGG271" s="22"/>
      <c r="KGH271" s="22"/>
      <c r="KGI271" s="22"/>
      <c r="KGJ271" s="22"/>
      <c r="KGK271" s="22"/>
      <c r="KGL271" s="22"/>
      <c r="KGM271" s="22"/>
      <c r="KGN271" s="22"/>
      <c r="KGO271" s="22"/>
      <c r="KGP271" s="22"/>
      <c r="KGQ271" s="22"/>
      <c r="KGR271" s="22"/>
      <c r="KGS271" s="22"/>
      <c r="KGT271" s="22"/>
      <c r="KGU271" s="22"/>
      <c r="KGV271" s="22"/>
      <c r="KGW271" s="22"/>
      <c r="KGX271" s="22"/>
      <c r="KGY271" s="22"/>
      <c r="KGZ271" s="22"/>
      <c r="KHA271" s="22"/>
      <c r="KHB271" s="22"/>
      <c r="KHC271" s="22"/>
      <c r="KHD271" s="22"/>
      <c r="KHE271" s="22"/>
      <c r="KHF271" s="22"/>
      <c r="KHG271" s="22"/>
      <c r="KHH271" s="22"/>
      <c r="KHI271" s="22"/>
      <c r="KHJ271" s="22"/>
      <c r="KHK271" s="22"/>
      <c r="KHL271" s="22"/>
      <c r="KHM271" s="22"/>
      <c r="KHN271" s="22"/>
      <c r="KHO271" s="22"/>
      <c r="KHP271" s="22"/>
      <c r="KHQ271" s="22"/>
      <c r="KHR271" s="22"/>
      <c r="KHS271" s="22"/>
      <c r="KHT271" s="22"/>
      <c r="KHU271" s="22"/>
      <c r="KHV271" s="22"/>
      <c r="KHW271" s="22"/>
      <c r="KHX271" s="22"/>
      <c r="KHY271" s="22"/>
      <c r="KHZ271" s="22"/>
      <c r="KIA271" s="22"/>
      <c r="KIB271" s="22"/>
      <c r="KIC271" s="22"/>
      <c r="KID271" s="22"/>
      <c r="KIE271" s="22"/>
      <c r="KIF271" s="22"/>
      <c r="KIG271" s="22"/>
      <c r="KIH271" s="22"/>
      <c r="KII271" s="22"/>
      <c r="KIJ271" s="22"/>
      <c r="KIK271" s="22"/>
      <c r="KIL271" s="22"/>
      <c r="KIM271" s="22"/>
      <c r="KIN271" s="22"/>
      <c r="KIO271" s="22"/>
      <c r="KIP271" s="22"/>
      <c r="KIQ271" s="22"/>
      <c r="KIR271" s="22"/>
      <c r="KIS271" s="22"/>
      <c r="KIT271" s="22"/>
      <c r="KIU271" s="22"/>
      <c r="KIV271" s="22"/>
      <c r="KIW271" s="22"/>
      <c r="KIX271" s="22"/>
      <c r="KIY271" s="22"/>
      <c r="KIZ271" s="22"/>
      <c r="KJA271" s="22"/>
      <c r="KJB271" s="22"/>
      <c r="KJC271" s="22"/>
      <c r="KJD271" s="22"/>
      <c r="KJE271" s="22"/>
      <c r="KJF271" s="22"/>
      <c r="KJG271" s="22"/>
      <c r="KJH271" s="22"/>
      <c r="KJI271" s="22"/>
      <c r="KJJ271" s="22"/>
      <c r="KJK271" s="22"/>
      <c r="KJL271" s="22"/>
      <c r="KJM271" s="22"/>
      <c r="KJN271" s="22"/>
      <c r="KJO271" s="22"/>
      <c r="KJP271" s="22"/>
      <c r="KJQ271" s="22"/>
      <c r="KJR271" s="22"/>
      <c r="KJS271" s="22"/>
      <c r="KJT271" s="22"/>
      <c r="KJU271" s="22"/>
      <c r="KJV271" s="22"/>
      <c r="KJW271" s="22"/>
      <c r="KJX271" s="22"/>
      <c r="KJY271" s="22"/>
      <c r="KJZ271" s="22"/>
      <c r="KKA271" s="22"/>
      <c r="KKB271" s="22"/>
      <c r="KKC271" s="22"/>
      <c r="KKD271" s="22"/>
      <c r="KKE271" s="22"/>
      <c r="KKF271" s="22"/>
      <c r="KKG271" s="22"/>
      <c r="KKH271" s="22"/>
      <c r="KKI271" s="22"/>
      <c r="KKJ271" s="22"/>
      <c r="KKK271" s="22"/>
      <c r="KKL271" s="22"/>
      <c r="KKM271" s="22"/>
      <c r="KKN271" s="22"/>
      <c r="KKO271" s="22"/>
      <c r="KKP271" s="22"/>
      <c r="KKQ271" s="22"/>
      <c r="KKR271" s="22"/>
      <c r="KKS271" s="22"/>
      <c r="KKT271" s="22"/>
      <c r="KKU271" s="22"/>
      <c r="KKV271" s="22"/>
      <c r="KKW271" s="22"/>
      <c r="KKX271" s="22"/>
      <c r="KKY271" s="22"/>
      <c r="KKZ271" s="22"/>
      <c r="KLA271" s="22"/>
      <c r="KLB271" s="22"/>
      <c r="KLC271" s="22"/>
      <c r="KLD271" s="22"/>
      <c r="KLE271" s="22"/>
      <c r="KLF271" s="22"/>
      <c r="KLG271" s="22"/>
      <c r="KLH271" s="22"/>
      <c r="KLI271" s="22"/>
      <c r="KLJ271" s="22"/>
      <c r="KLK271" s="22"/>
      <c r="KLL271" s="22"/>
      <c r="KLM271" s="22"/>
      <c r="KLN271" s="22"/>
      <c r="KLO271" s="22"/>
      <c r="KLP271" s="22"/>
      <c r="KLQ271" s="22"/>
      <c r="KLR271" s="22"/>
      <c r="KLS271" s="22"/>
      <c r="KLT271" s="22"/>
      <c r="KLU271" s="22"/>
      <c r="KLV271" s="22"/>
      <c r="KLW271" s="22"/>
      <c r="KLX271" s="22"/>
      <c r="KLY271" s="22"/>
      <c r="KLZ271" s="22"/>
      <c r="KMA271" s="22"/>
      <c r="KMB271" s="22"/>
      <c r="KMC271" s="22"/>
      <c r="KMD271" s="22"/>
      <c r="KME271" s="22"/>
      <c r="KMF271" s="22"/>
      <c r="KMG271" s="22"/>
      <c r="KMH271" s="22"/>
      <c r="KMI271" s="22"/>
      <c r="KMJ271" s="22"/>
      <c r="KMK271" s="22"/>
      <c r="KML271" s="22"/>
      <c r="KMM271" s="22"/>
      <c r="KMN271" s="22"/>
      <c r="KMO271" s="22"/>
      <c r="KMP271" s="22"/>
      <c r="KMQ271" s="22"/>
      <c r="KMR271" s="22"/>
      <c r="KMS271" s="22"/>
      <c r="KMT271" s="22"/>
      <c r="KMU271" s="22"/>
      <c r="KMV271" s="22"/>
      <c r="KMW271" s="22"/>
      <c r="KMX271" s="22"/>
      <c r="KMY271" s="22"/>
      <c r="KMZ271" s="22"/>
      <c r="KNA271" s="22"/>
      <c r="KNB271" s="22"/>
      <c r="KNC271" s="22"/>
      <c r="KND271" s="22"/>
      <c r="KNE271" s="22"/>
      <c r="KNF271" s="22"/>
      <c r="KNG271" s="22"/>
      <c r="KNH271" s="22"/>
      <c r="KNI271" s="22"/>
      <c r="KNJ271" s="22"/>
      <c r="KNK271" s="22"/>
      <c r="KNL271" s="22"/>
      <c r="KNM271" s="22"/>
      <c r="KNN271" s="22"/>
      <c r="KNO271" s="22"/>
      <c r="KNP271" s="22"/>
      <c r="KNQ271" s="22"/>
      <c r="KNR271" s="22"/>
      <c r="KNS271" s="22"/>
      <c r="KNT271" s="22"/>
      <c r="KNU271" s="22"/>
      <c r="KNV271" s="22"/>
      <c r="KNW271" s="22"/>
      <c r="KNX271" s="22"/>
      <c r="KNY271" s="22"/>
      <c r="KNZ271" s="22"/>
      <c r="KOA271" s="22"/>
      <c r="KOB271" s="22"/>
      <c r="KOC271" s="22"/>
      <c r="KOD271" s="22"/>
      <c r="KOE271" s="22"/>
      <c r="KOF271" s="22"/>
      <c r="KOG271" s="22"/>
      <c r="KOH271" s="22"/>
      <c r="KOI271" s="22"/>
      <c r="KOJ271" s="22"/>
      <c r="KOK271" s="22"/>
      <c r="KOL271" s="22"/>
      <c r="KOM271" s="22"/>
      <c r="KON271" s="22"/>
      <c r="KOO271" s="22"/>
      <c r="KOP271" s="22"/>
      <c r="KOQ271" s="22"/>
      <c r="KOR271" s="22"/>
      <c r="KOS271" s="22"/>
      <c r="KOT271" s="22"/>
      <c r="KOU271" s="22"/>
      <c r="KOV271" s="22"/>
      <c r="KOW271" s="22"/>
      <c r="KOX271" s="22"/>
      <c r="KOY271" s="22"/>
      <c r="KOZ271" s="22"/>
      <c r="KPA271" s="22"/>
      <c r="KPB271" s="22"/>
      <c r="KPC271" s="22"/>
      <c r="KPD271" s="22"/>
      <c r="KPE271" s="22"/>
      <c r="KPF271" s="22"/>
      <c r="KPG271" s="22"/>
      <c r="KPH271" s="22"/>
      <c r="KPI271" s="22"/>
      <c r="KPJ271" s="22"/>
      <c r="KPK271" s="22"/>
      <c r="KPL271" s="22"/>
      <c r="KPM271" s="22"/>
      <c r="KPN271" s="22"/>
      <c r="KPO271" s="22"/>
      <c r="KPP271" s="22"/>
      <c r="KPQ271" s="22"/>
      <c r="KPR271" s="22"/>
      <c r="KPS271" s="22"/>
      <c r="KPT271" s="22"/>
      <c r="KPU271" s="22"/>
      <c r="KPV271" s="22"/>
      <c r="KPW271" s="22"/>
      <c r="KPX271" s="22"/>
      <c r="KPY271" s="22"/>
      <c r="KPZ271" s="22"/>
      <c r="KQA271" s="22"/>
      <c r="KQB271" s="22"/>
      <c r="KQC271" s="22"/>
      <c r="KQD271" s="22"/>
      <c r="KQE271" s="22"/>
      <c r="KQF271" s="22"/>
      <c r="KQG271" s="22"/>
      <c r="KQH271" s="22"/>
      <c r="KQI271" s="22"/>
      <c r="KQJ271" s="22"/>
      <c r="KQK271" s="22"/>
      <c r="KQL271" s="22"/>
      <c r="KQM271" s="22"/>
      <c r="KQN271" s="22"/>
      <c r="KQO271" s="22"/>
      <c r="KQP271" s="22"/>
      <c r="KQQ271" s="22"/>
      <c r="KQR271" s="22"/>
      <c r="KQS271" s="22"/>
      <c r="KQT271" s="22"/>
      <c r="KQU271" s="22"/>
      <c r="KQV271" s="22"/>
      <c r="KQW271" s="22"/>
      <c r="KQX271" s="22"/>
      <c r="KQY271" s="22"/>
      <c r="KQZ271" s="22"/>
      <c r="KRA271" s="22"/>
      <c r="KRB271" s="22"/>
      <c r="KRC271" s="22"/>
      <c r="KRD271" s="22"/>
      <c r="KRE271" s="22"/>
      <c r="KRF271" s="22"/>
      <c r="KRG271" s="22"/>
      <c r="KRH271" s="22"/>
      <c r="KRI271" s="22"/>
      <c r="KRJ271" s="22"/>
      <c r="KRK271" s="22"/>
      <c r="KRL271" s="22"/>
      <c r="KRM271" s="22"/>
      <c r="KRN271" s="22"/>
      <c r="KRO271" s="22"/>
      <c r="KRP271" s="22"/>
      <c r="KRQ271" s="22"/>
      <c r="KRR271" s="22"/>
      <c r="KRS271" s="22"/>
      <c r="KRT271" s="22"/>
      <c r="KRU271" s="22"/>
      <c r="KRV271" s="22"/>
      <c r="KRW271" s="22"/>
      <c r="KRX271" s="22"/>
      <c r="KRY271" s="22"/>
      <c r="KRZ271" s="22"/>
      <c r="KSA271" s="22"/>
      <c r="KSB271" s="22"/>
      <c r="KSC271" s="22"/>
      <c r="KSD271" s="22"/>
      <c r="KSE271" s="22"/>
      <c r="KSF271" s="22"/>
      <c r="KSG271" s="22"/>
      <c r="KSH271" s="22"/>
      <c r="KSI271" s="22"/>
      <c r="KSJ271" s="22"/>
      <c r="KSK271" s="22"/>
      <c r="KSL271" s="22"/>
      <c r="KSM271" s="22"/>
      <c r="KSN271" s="22"/>
      <c r="KSO271" s="22"/>
      <c r="KSP271" s="22"/>
      <c r="KSQ271" s="22"/>
      <c r="KSR271" s="22"/>
      <c r="KSS271" s="22"/>
      <c r="KST271" s="22"/>
      <c r="KSU271" s="22"/>
      <c r="KSV271" s="22"/>
      <c r="KSW271" s="22"/>
      <c r="KSX271" s="22"/>
      <c r="KSY271" s="22"/>
      <c r="KSZ271" s="22"/>
      <c r="KTA271" s="22"/>
      <c r="KTB271" s="22"/>
      <c r="KTC271" s="22"/>
      <c r="KTD271" s="22"/>
      <c r="KTE271" s="22"/>
      <c r="KTF271" s="22"/>
      <c r="KTG271" s="22"/>
      <c r="KTH271" s="22"/>
      <c r="KTI271" s="22"/>
      <c r="KTJ271" s="22"/>
      <c r="KTK271" s="22"/>
      <c r="KTL271" s="22"/>
      <c r="KTM271" s="22"/>
      <c r="KTN271" s="22"/>
      <c r="KTO271" s="22"/>
      <c r="KTP271" s="22"/>
      <c r="KTQ271" s="22"/>
      <c r="KTR271" s="22"/>
      <c r="KTS271" s="22"/>
      <c r="KTT271" s="22"/>
      <c r="KTU271" s="22"/>
      <c r="KTV271" s="22"/>
      <c r="KTW271" s="22"/>
      <c r="KTX271" s="22"/>
      <c r="KTY271" s="22"/>
      <c r="KTZ271" s="22"/>
      <c r="KUA271" s="22"/>
      <c r="KUB271" s="22"/>
      <c r="KUC271" s="22"/>
      <c r="KUD271" s="22"/>
      <c r="KUE271" s="22"/>
      <c r="KUF271" s="22"/>
      <c r="KUG271" s="22"/>
      <c r="KUH271" s="22"/>
      <c r="KUI271" s="22"/>
      <c r="KUJ271" s="22"/>
      <c r="KUK271" s="22"/>
      <c r="KUL271" s="22"/>
      <c r="KUM271" s="22"/>
      <c r="KUN271" s="22"/>
      <c r="KUO271" s="22"/>
      <c r="KUP271" s="22"/>
      <c r="KUQ271" s="22"/>
      <c r="KUR271" s="22"/>
      <c r="KUS271" s="22"/>
      <c r="KUT271" s="22"/>
      <c r="KUU271" s="22"/>
      <c r="KUV271" s="22"/>
      <c r="KUW271" s="22"/>
      <c r="KUX271" s="22"/>
      <c r="KUY271" s="22"/>
      <c r="KUZ271" s="22"/>
      <c r="KVA271" s="22"/>
      <c r="KVB271" s="22"/>
      <c r="KVC271" s="22"/>
      <c r="KVD271" s="22"/>
      <c r="KVE271" s="22"/>
      <c r="KVF271" s="22"/>
      <c r="KVG271" s="22"/>
      <c r="KVH271" s="22"/>
      <c r="KVI271" s="22"/>
      <c r="KVJ271" s="22"/>
      <c r="KVK271" s="22"/>
      <c r="KVL271" s="22"/>
      <c r="KVM271" s="22"/>
      <c r="KVN271" s="22"/>
      <c r="KVO271" s="22"/>
      <c r="KVP271" s="22"/>
      <c r="KVQ271" s="22"/>
      <c r="KVR271" s="22"/>
      <c r="KVS271" s="22"/>
      <c r="KVT271" s="22"/>
      <c r="KVU271" s="22"/>
      <c r="KVV271" s="22"/>
      <c r="KVW271" s="22"/>
      <c r="KVX271" s="22"/>
      <c r="KVY271" s="22"/>
      <c r="KVZ271" s="22"/>
      <c r="KWA271" s="22"/>
      <c r="KWB271" s="22"/>
      <c r="KWC271" s="22"/>
      <c r="KWD271" s="22"/>
      <c r="KWE271" s="22"/>
      <c r="KWF271" s="22"/>
      <c r="KWG271" s="22"/>
      <c r="KWH271" s="22"/>
      <c r="KWI271" s="22"/>
      <c r="KWJ271" s="22"/>
      <c r="KWK271" s="22"/>
      <c r="KWL271" s="22"/>
      <c r="KWM271" s="22"/>
      <c r="KWN271" s="22"/>
      <c r="KWO271" s="22"/>
      <c r="KWP271" s="22"/>
      <c r="KWQ271" s="22"/>
      <c r="KWR271" s="22"/>
      <c r="KWS271" s="22"/>
      <c r="KWT271" s="22"/>
      <c r="KWU271" s="22"/>
      <c r="KWV271" s="22"/>
      <c r="KWW271" s="22"/>
      <c r="KWX271" s="22"/>
      <c r="KWY271" s="22"/>
      <c r="KWZ271" s="22"/>
      <c r="KXA271" s="22"/>
      <c r="KXB271" s="22"/>
      <c r="KXC271" s="22"/>
      <c r="KXD271" s="22"/>
      <c r="KXE271" s="22"/>
      <c r="KXF271" s="22"/>
      <c r="KXG271" s="22"/>
      <c r="KXH271" s="22"/>
      <c r="KXI271" s="22"/>
      <c r="KXJ271" s="22"/>
      <c r="KXK271" s="22"/>
      <c r="KXL271" s="22"/>
      <c r="KXM271" s="22"/>
      <c r="KXN271" s="22"/>
      <c r="KXO271" s="22"/>
      <c r="KXP271" s="22"/>
      <c r="KXQ271" s="22"/>
      <c r="KXR271" s="22"/>
      <c r="KXS271" s="22"/>
      <c r="KXT271" s="22"/>
      <c r="KXU271" s="22"/>
      <c r="KXV271" s="22"/>
      <c r="KXW271" s="22"/>
      <c r="KXX271" s="22"/>
      <c r="KXY271" s="22"/>
      <c r="KXZ271" s="22"/>
      <c r="KYA271" s="22"/>
      <c r="KYB271" s="22"/>
      <c r="KYC271" s="22"/>
      <c r="KYD271" s="22"/>
      <c r="KYE271" s="22"/>
      <c r="KYF271" s="22"/>
      <c r="KYG271" s="22"/>
      <c r="KYH271" s="22"/>
      <c r="KYI271" s="22"/>
      <c r="KYJ271" s="22"/>
      <c r="KYK271" s="22"/>
      <c r="KYL271" s="22"/>
      <c r="KYM271" s="22"/>
      <c r="KYN271" s="22"/>
      <c r="KYO271" s="22"/>
      <c r="KYP271" s="22"/>
      <c r="KYQ271" s="22"/>
      <c r="KYR271" s="22"/>
      <c r="KYS271" s="22"/>
      <c r="KYT271" s="22"/>
      <c r="KYU271" s="22"/>
      <c r="KYV271" s="22"/>
      <c r="KYW271" s="22"/>
      <c r="KYX271" s="22"/>
      <c r="KYY271" s="22"/>
      <c r="KYZ271" s="22"/>
      <c r="KZA271" s="22"/>
      <c r="KZB271" s="22"/>
      <c r="KZC271" s="22"/>
      <c r="KZD271" s="22"/>
      <c r="KZE271" s="22"/>
      <c r="KZF271" s="22"/>
      <c r="KZG271" s="22"/>
      <c r="KZH271" s="22"/>
      <c r="KZI271" s="22"/>
      <c r="KZJ271" s="22"/>
      <c r="KZK271" s="22"/>
      <c r="KZL271" s="22"/>
      <c r="KZM271" s="22"/>
      <c r="KZN271" s="22"/>
      <c r="KZO271" s="22"/>
      <c r="KZP271" s="22"/>
      <c r="KZQ271" s="22"/>
      <c r="KZR271" s="22"/>
      <c r="KZS271" s="22"/>
      <c r="KZT271" s="22"/>
      <c r="KZU271" s="22"/>
      <c r="KZV271" s="22"/>
      <c r="KZW271" s="22"/>
      <c r="KZX271" s="22"/>
      <c r="KZY271" s="22"/>
      <c r="KZZ271" s="22"/>
      <c r="LAA271" s="22"/>
      <c r="LAB271" s="22"/>
      <c r="LAC271" s="22"/>
      <c r="LAD271" s="22"/>
      <c r="LAE271" s="22"/>
      <c r="LAF271" s="22"/>
      <c r="LAG271" s="22"/>
      <c r="LAH271" s="22"/>
      <c r="LAI271" s="22"/>
      <c r="LAJ271" s="22"/>
      <c r="LAK271" s="22"/>
      <c r="LAL271" s="22"/>
      <c r="LAM271" s="22"/>
      <c r="LAN271" s="22"/>
      <c r="LAO271" s="22"/>
      <c r="LAP271" s="22"/>
      <c r="LAQ271" s="22"/>
      <c r="LAR271" s="22"/>
      <c r="LAS271" s="22"/>
      <c r="LAT271" s="22"/>
      <c r="LAU271" s="22"/>
      <c r="LAV271" s="22"/>
      <c r="LAW271" s="22"/>
      <c r="LAX271" s="22"/>
      <c r="LAY271" s="22"/>
      <c r="LAZ271" s="22"/>
      <c r="LBA271" s="22"/>
      <c r="LBB271" s="22"/>
      <c r="LBC271" s="22"/>
      <c r="LBD271" s="22"/>
      <c r="LBE271" s="22"/>
      <c r="LBF271" s="22"/>
      <c r="LBG271" s="22"/>
      <c r="LBH271" s="22"/>
      <c r="LBI271" s="22"/>
      <c r="LBJ271" s="22"/>
      <c r="LBK271" s="22"/>
      <c r="LBL271" s="22"/>
      <c r="LBM271" s="22"/>
      <c r="LBN271" s="22"/>
      <c r="LBO271" s="22"/>
      <c r="LBP271" s="22"/>
      <c r="LBQ271" s="22"/>
      <c r="LBR271" s="22"/>
      <c r="LBS271" s="22"/>
      <c r="LBT271" s="22"/>
      <c r="LBU271" s="22"/>
      <c r="LBV271" s="22"/>
      <c r="LBW271" s="22"/>
      <c r="LBX271" s="22"/>
      <c r="LBY271" s="22"/>
      <c r="LBZ271" s="22"/>
      <c r="LCA271" s="22"/>
      <c r="LCB271" s="22"/>
      <c r="LCC271" s="22"/>
      <c r="LCD271" s="22"/>
      <c r="LCE271" s="22"/>
      <c r="LCF271" s="22"/>
      <c r="LCG271" s="22"/>
      <c r="LCH271" s="22"/>
      <c r="LCI271" s="22"/>
      <c r="LCJ271" s="22"/>
      <c r="LCK271" s="22"/>
      <c r="LCL271" s="22"/>
      <c r="LCM271" s="22"/>
      <c r="LCN271" s="22"/>
      <c r="LCO271" s="22"/>
      <c r="LCP271" s="22"/>
      <c r="LCQ271" s="22"/>
      <c r="LCR271" s="22"/>
      <c r="LCS271" s="22"/>
      <c r="LCT271" s="22"/>
      <c r="LCU271" s="22"/>
      <c r="LCV271" s="22"/>
      <c r="LCW271" s="22"/>
      <c r="LCX271" s="22"/>
      <c r="LCY271" s="22"/>
      <c r="LCZ271" s="22"/>
      <c r="LDA271" s="22"/>
      <c r="LDB271" s="22"/>
      <c r="LDC271" s="22"/>
      <c r="LDD271" s="22"/>
      <c r="LDE271" s="22"/>
      <c r="LDF271" s="22"/>
      <c r="LDG271" s="22"/>
      <c r="LDH271" s="22"/>
      <c r="LDI271" s="22"/>
      <c r="LDJ271" s="22"/>
      <c r="LDK271" s="22"/>
      <c r="LDL271" s="22"/>
      <c r="LDM271" s="22"/>
      <c r="LDN271" s="22"/>
      <c r="LDO271" s="22"/>
      <c r="LDP271" s="22"/>
      <c r="LDQ271" s="22"/>
      <c r="LDR271" s="22"/>
      <c r="LDS271" s="22"/>
      <c r="LDT271" s="22"/>
      <c r="LDU271" s="22"/>
      <c r="LDV271" s="22"/>
      <c r="LDW271" s="22"/>
      <c r="LDX271" s="22"/>
      <c r="LDY271" s="22"/>
      <c r="LDZ271" s="22"/>
      <c r="LEA271" s="22"/>
      <c r="LEB271" s="22"/>
      <c r="LEC271" s="22"/>
      <c r="LED271" s="22"/>
      <c r="LEE271" s="22"/>
      <c r="LEF271" s="22"/>
      <c r="LEG271" s="22"/>
      <c r="LEH271" s="22"/>
      <c r="LEI271" s="22"/>
      <c r="LEJ271" s="22"/>
      <c r="LEK271" s="22"/>
      <c r="LEL271" s="22"/>
      <c r="LEM271" s="22"/>
      <c r="LEN271" s="22"/>
      <c r="LEO271" s="22"/>
      <c r="LEP271" s="22"/>
      <c r="LEQ271" s="22"/>
      <c r="LER271" s="22"/>
      <c r="LES271" s="22"/>
      <c r="LET271" s="22"/>
      <c r="LEU271" s="22"/>
      <c r="LEV271" s="22"/>
      <c r="LEW271" s="22"/>
      <c r="LEX271" s="22"/>
      <c r="LEY271" s="22"/>
      <c r="LEZ271" s="22"/>
      <c r="LFA271" s="22"/>
      <c r="LFB271" s="22"/>
      <c r="LFC271" s="22"/>
      <c r="LFD271" s="22"/>
      <c r="LFE271" s="22"/>
      <c r="LFF271" s="22"/>
      <c r="LFG271" s="22"/>
      <c r="LFH271" s="22"/>
      <c r="LFI271" s="22"/>
      <c r="LFJ271" s="22"/>
      <c r="LFK271" s="22"/>
      <c r="LFL271" s="22"/>
      <c r="LFM271" s="22"/>
      <c r="LFN271" s="22"/>
      <c r="LFO271" s="22"/>
      <c r="LFP271" s="22"/>
      <c r="LFQ271" s="22"/>
      <c r="LFR271" s="22"/>
      <c r="LFS271" s="22"/>
      <c r="LFT271" s="22"/>
      <c r="LFU271" s="22"/>
      <c r="LFV271" s="22"/>
      <c r="LFW271" s="22"/>
      <c r="LFX271" s="22"/>
      <c r="LFY271" s="22"/>
      <c r="LFZ271" s="22"/>
      <c r="LGA271" s="22"/>
      <c r="LGB271" s="22"/>
      <c r="LGC271" s="22"/>
      <c r="LGD271" s="22"/>
      <c r="LGE271" s="22"/>
      <c r="LGF271" s="22"/>
      <c r="LGG271" s="22"/>
      <c r="LGH271" s="22"/>
      <c r="LGI271" s="22"/>
      <c r="LGJ271" s="22"/>
      <c r="LGK271" s="22"/>
      <c r="LGL271" s="22"/>
      <c r="LGM271" s="22"/>
      <c r="LGN271" s="22"/>
      <c r="LGO271" s="22"/>
      <c r="LGP271" s="22"/>
      <c r="LGQ271" s="22"/>
      <c r="LGR271" s="22"/>
      <c r="LGS271" s="22"/>
      <c r="LGT271" s="22"/>
      <c r="LGU271" s="22"/>
      <c r="LGV271" s="22"/>
      <c r="LGW271" s="22"/>
      <c r="LGX271" s="22"/>
      <c r="LGY271" s="22"/>
      <c r="LGZ271" s="22"/>
      <c r="LHA271" s="22"/>
      <c r="LHB271" s="22"/>
      <c r="LHC271" s="22"/>
      <c r="LHD271" s="22"/>
      <c r="LHE271" s="22"/>
      <c r="LHF271" s="22"/>
      <c r="LHG271" s="22"/>
      <c r="LHH271" s="22"/>
      <c r="LHI271" s="22"/>
      <c r="LHJ271" s="22"/>
      <c r="LHK271" s="22"/>
      <c r="LHL271" s="22"/>
      <c r="LHM271" s="22"/>
      <c r="LHN271" s="22"/>
      <c r="LHO271" s="22"/>
      <c r="LHP271" s="22"/>
      <c r="LHQ271" s="22"/>
      <c r="LHR271" s="22"/>
      <c r="LHS271" s="22"/>
      <c r="LHT271" s="22"/>
      <c r="LHU271" s="22"/>
      <c r="LHV271" s="22"/>
      <c r="LHW271" s="22"/>
      <c r="LHX271" s="22"/>
      <c r="LHY271" s="22"/>
      <c r="LHZ271" s="22"/>
      <c r="LIA271" s="22"/>
      <c r="LIB271" s="22"/>
      <c r="LIC271" s="22"/>
      <c r="LID271" s="22"/>
      <c r="LIE271" s="22"/>
      <c r="LIF271" s="22"/>
      <c r="LIG271" s="22"/>
      <c r="LIH271" s="22"/>
      <c r="LII271" s="22"/>
      <c r="LIJ271" s="22"/>
      <c r="LIK271" s="22"/>
      <c r="LIL271" s="22"/>
      <c r="LIM271" s="22"/>
      <c r="LIN271" s="22"/>
      <c r="LIO271" s="22"/>
      <c r="LIP271" s="22"/>
      <c r="LIQ271" s="22"/>
      <c r="LIR271" s="22"/>
      <c r="LIS271" s="22"/>
      <c r="LIT271" s="22"/>
      <c r="LIU271" s="22"/>
      <c r="LIV271" s="22"/>
      <c r="LIW271" s="22"/>
      <c r="LIX271" s="22"/>
      <c r="LIY271" s="22"/>
      <c r="LIZ271" s="22"/>
      <c r="LJA271" s="22"/>
      <c r="LJB271" s="22"/>
      <c r="LJC271" s="22"/>
      <c r="LJD271" s="22"/>
      <c r="LJE271" s="22"/>
      <c r="LJF271" s="22"/>
      <c r="LJG271" s="22"/>
      <c r="LJH271" s="22"/>
      <c r="LJI271" s="22"/>
      <c r="LJJ271" s="22"/>
      <c r="LJK271" s="22"/>
      <c r="LJL271" s="22"/>
      <c r="LJM271" s="22"/>
      <c r="LJN271" s="22"/>
      <c r="LJO271" s="22"/>
      <c r="LJP271" s="22"/>
      <c r="LJQ271" s="22"/>
      <c r="LJR271" s="22"/>
      <c r="LJS271" s="22"/>
      <c r="LJT271" s="22"/>
      <c r="LJU271" s="22"/>
      <c r="LJV271" s="22"/>
      <c r="LJW271" s="22"/>
      <c r="LJX271" s="22"/>
      <c r="LJY271" s="22"/>
      <c r="LJZ271" s="22"/>
      <c r="LKA271" s="22"/>
      <c r="LKB271" s="22"/>
      <c r="LKC271" s="22"/>
      <c r="LKD271" s="22"/>
      <c r="LKE271" s="22"/>
      <c r="LKF271" s="22"/>
      <c r="LKG271" s="22"/>
      <c r="LKH271" s="22"/>
      <c r="LKI271" s="22"/>
      <c r="LKJ271" s="22"/>
      <c r="LKK271" s="22"/>
      <c r="LKL271" s="22"/>
      <c r="LKM271" s="22"/>
      <c r="LKN271" s="22"/>
      <c r="LKO271" s="22"/>
      <c r="LKP271" s="22"/>
      <c r="LKQ271" s="22"/>
      <c r="LKR271" s="22"/>
      <c r="LKS271" s="22"/>
      <c r="LKT271" s="22"/>
      <c r="LKU271" s="22"/>
      <c r="LKV271" s="22"/>
      <c r="LKW271" s="22"/>
      <c r="LKX271" s="22"/>
      <c r="LKY271" s="22"/>
      <c r="LKZ271" s="22"/>
      <c r="LLA271" s="22"/>
      <c r="LLB271" s="22"/>
      <c r="LLC271" s="22"/>
      <c r="LLD271" s="22"/>
      <c r="LLE271" s="22"/>
      <c r="LLF271" s="22"/>
      <c r="LLG271" s="22"/>
      <c r="LLH271" s="22"/>
      <c r="LLI271" s="22"/>
      <c r="LLJ271" s="22"/>
      <c r="LLK271" s="22"/>
      <c r="LLL271" s="22"/>
      <c r="LLM271" s="22"/>
      <c r="LLN271" s="22"/>
      <c r="LLO271" s="22"/>
      <c r="LLP271" s="22"/>
      <c r="LLQ271" s="22"/>
      <c r="LLR271" s="22"/>
      <c r="LLS271" s="22"/>
      <c r="LLT271" s="22"/>
      <c r="LLU271" s="22"/>
      <c r="LLV271" s="22"/>
      <c r="LLW271" s="22"/>
      <c r="LLX271" s="22"/>
      <c r="LLY271" s="22"/>
      <c r="LLZ271" s="22"/>
      <c r="LMA271" s="22"/>
      <c r="LMB271" s="22"/>
      <c r="LMC271" s="22"/>
      <c r="LMD271" s="22"/>
      <c r="LME271" s="22"/>
      <c r="LMF271" s="22"/>
      <c r="LMG271" s="22"/>
      <c r="LMH271" s="22"/>
      <c r="LMI271" s="22"/>
      <c r="LMJ271" s="22"/>
      <c r="LMK271" s="22"/>
      <c r="LML271" s="22"/>
      <c r="LMM271" s="22"/>
      <c r="LMN271" s="22"/>
      <c r="LMO271" s="22"/>
      <c r="LMP271" s="22"/>
      <c r="LMQ271" s="22"/>
      <c r="LMR271" s="22"/>
      <c r="LMS271" s="22"/>
      <c r="LMT271" s="22"/>
      <c r="LMU271" s="22"/>
      <c r="LMV271" s="22"/>
      <c r="LMW271" s="22"/>
      <c r="LMX271" s="22"/>
      <c r="LMY271" s="22"/>
      <c r="LMZ271" s="22"/>
      <c r="LNA271" s="22"/>
      <c r="LNB271" s="22"/>
      <c r="LNC271" s="22"/>
      <c r="LND271" s="22"/>
      <c r="LNE271" s="22"/>
      <c r="LNF271" s="22"/>
      <c r="LNG271" s="22"/>
      <c r="LNH271" s="22"/>
      <c r="LNI271" s="22"/>
      <c r="LNJ271" s="22"/>
      <c r="LNK271" s="22"/>
      <c r="LNL271" s="22"/>
      <c r="LNM271" s="22"/>
      <c r="LNN271" s="22"/>
      <c r="LNO271" s="22"/>
      <c r="LNP271" s="22"/>
      <c r="LNQ271" s="22"/>
      <c r="LNR271" s="22"/>
      <c r="LNS271" s="22"/>
      <c r="LNT271" s="22"/>
      <c r="LNU271" s="22"/>
      <c r="LNV271" s="22"/>
      <c r="LNW271" s="22"/>
      <c r="LNX271" s="22"/>
      <c r="LNY271" s="22"/>
      <c r="LNZ271" s="22"/>
      <c r="LOA271" s="22"/>
      <c r="LOB271" s="22"/>
      <c r="LOC271" s="22"/>
      <c r="LOD271" s="22"/>
      <c r="LOE271" s="22"/>
      <c r="LOF271" s="22"/>
      <c r="LOG271" s="22"/>
      <c r="LOH271" s="22"/>
      <c r="LOI271" s="22"/>
      <c r="LOJ271" s="22"/>
      <c r="LOK271" s="22"/>
      <c r="LOL271" s="22"/>
      <c r="LOM271" s="22"/>
      <c r="LON271" s="22"/>
      <c r="LOO271" s="22"/>
      <c r="LOP271" s="22"/>
      <c r="LOQ271" s="22"/>
      <c r="LOR271" s="22"/>
      <c r="LOS271" s="22"/>
      <c r="LOT271" s="22"/>
      <c r="LOU271" s="22"/>
      <c r="LOV271" s="22"/>
      <c r="LOW271" s="22"/>
      <c r="LOX271" s="22"/>
      <c r="LOY271" s="22"/>
      <c r="LOZ271" s="22"/>
      <c r="LPA271" s="22"/>
      <c r="LPB271" s="22"/>
      <c r="LPC271" s="22"/>
      <c r="LPD271" s="22"/>
      <c r="LPE271" s="22"/>
      <c r="LPF271" s="22"/>
      <c r="LPG271" s="22"/>
      <c r="LPH271" s="22"/>
      <c r="LPI271" s="22"/>
      <c r="LPJ271" s="22"/>
      <c r="LPK271" s="22"/>
      <c r="LPL271" s="22"/>
      <c r="LPM271" s="22"/>
      <c r="LPN271" s="22"/>
      <c r="LPO271" s="22"/>
      <c r="LPP271" s="22"/>
      <c r="LPQ271" s="22"/>
      <c r="LPR271" s="22"/>
      <c r="LPS271" s="22"/>
      <c r="LPT271" s="22"/>
      <c r="LPU271" s="22"/>
      <c r="LPV271" s="22"/>
      <c r="LPW271" s="22"/>
      <c r="LPX271" s="22"/>
      <c r="LPY271" s="22"/>
      <c r="LPZ271" s="22"/>
      <c r="LQA271" s="22"/>
      <c r="LQB271" s="22"/>
      <c r="LQC271" s="22"/>
      <c r="LQD271" s="22"/>
      <c r="LQE271" s="22"/>
      <c r="LQF271" s="22"/>
      <c r="LQG271" s="22"/>
      <c r="LQH271" s="22"/>
      <c r="LQI271" s="22"/>
      <c r="LQJ271" s="22"/>
      <c r="LQK271" s="22"/>
      <c r="LQL271" s="22"/>
      <c r="LQM271" s="22"/>
      <c r="LQN271" s="22"/>
      <c r="LQO271" s="22"/>
      <c r="LQP271" s="22"/>
      <c r="LQQ271" s="22"/>
      <c r="LQR271" s="22"/>
      <c r="LQS271" s="22"/>
      <c r="LQT271" s="22"/>
      <c r="LQU271" s="22"/>
      <c r="LQV271" s="22"/>
      <c r="LQW271" s="22"/>
      <c r="LQX271" s="22"/>
      <c r="LQY271" s="22"/>
      <c r="LQZ271" s="22"/>
      <c r="LRA271" s="22"/>
      <c r="LRB271" s="22"/>
      <c r="LRC271" s="22"/>
      <c r="LRD271" s="22"/>
      <c r="LRE271" s="22"/>
      <c r="LRF271" s="22"/>
      <c r="LRG271" s="22"/>
      <c r="LRH271" s="22"/>
      <c r="LRI271" s="22"/>
      <c r="LRJ271" s="22"/>
      <c r="LRK271" s="22"/>
      <c r="LRL271" s="22"/>
      <c r="LRM271" s="22"/>
      <c r="LRN271" s="22"/>
      <c r="LRO271" s="22"/>
      <c r="LRP271" s="22"/>
      <c r="LRQ271" s="22"/>
      <c r="LRR271" s="22"/>
      <c r="LRS271" s="22"/>
      <c r="LRT271" s="22"/>
      <c r="LRU271" s="22"/>
      <c r="LRV271" s="22"/>
      <c r="LRW271" s="22"/>
      <c r="LRX271" s="22"/>
      <c r="LRY271" s="22"/>
      <c r="LRZ271" s="22"/>
      <c r="LSA271" s="22"/>
      <c r="LSB271" s="22"/>
      <c r="LSC271" s="22"/>
      <c r="LSD271" s="22"/>
      <c r="LSE271" s="22"/>
      <c r="LSF271" s="22"/>
      <c r="LSG271" s="22"/>
      <c r="LSH271" s="22"/>
      <c r="LSI271" s="22"/>
      <c r="LSJ271" s="22"/>
      <c r="LSK271" s="22"/>
      <c r="LSL271" s="22"/>
      <c r="LSM271" s="22"/>
      <c r="LSN271" s="22"/>
      <c r="LSO271" s="22"/>
      <c r="LSP271" s="22"/>
      <c r="LSQ271" s="22"/>
      <c r="LSR271" s="22"/>
      <c r="LSS271" s="22"/>
      <c r="LST271" s="22"/>
      <c r="LSU271" s="22"/>
      <c r="LSV271" s="22"/>
      <c r="LSW271" s="22"/>
      <c r="LSX271" s="22"/>
      <c r="LSY271" s="22"/>
      <c r="LSZ271" s="22"/>
      <c r="LTA271" s="22"/>
      <c r="LTB271" s="22"/>
      <c r="LTC271" s="22"/>
      <c r="LTD271" s="22"/>
      <c r="LTE271" s="22"/>
      <c r="LTF271" s="22"/>
      <c r="LTG271" s="22"/>
      <c r="LTH271" s="22"/>
      <c r="LTI271" s="22"/>
      <c r="LTJ271" s="22"/>
      <c r="LTK271" s="22"/>
      <c r="LTL271" s="22"/>
      <c r="LTM271" s="22"/>
      <c r="LTN271" s="22"/>
      <c r="LTO271" s="22"/>
      <c r="LTP271" s="22"/>
      <c r="LTQ271" s="22"/>
      <c r="LTR271" s="22"/>
      <c r="LTS271" s="22"/>
      <c r="LTT271" s="22"/>
      <c r="LTU271" s="22"/>
      <c r="LTV271" s="22"/>
      <c r="LTW271" s="22"/>
      <c r="LTX271" s="22"/>
      <c r="LTY271" s="22"/>
      <c r="LTZ271" s="22"/>
      <c r="LUA271" s="22"/>
      <c r="LUB271" s="22"/>
      <c r="LUC271" s="22"/>
      <c r="LUD271" s="22"/>
      <c r="LUE271" s="22"/>
      <c r="LUF271" s="22"/>
      <c r="LUG271" s="22"/>
      <c r="LUH271" s="22"/>
      <c r="LUI271" s="22"/>
      <c r="LUJ271" s="22"/>
      <c r="LUK271" s="22"/>
      <c r="LUL271" s="22"/>
      <c r="LUM271" s="22"/>
      <c r="LUN271" s="22"/>
      <c r="LUO271" s="22"/>
      <c r="LUP271" s="22"/>
      <c r="LUQ271" s="22"/>
      <c r="LUR271" s="22"/>
      <c r="LUS271" s="22"/>
      <c r="LUT271" s="22"/>
      <c r="LUU271" s="22"/>
      <c r="LUV271" s="22"/>
      <c r="LUW271" s="22"/>
      <c r="LUX271" s="22"/>
      <c r="LUY271" s="22"/>
      <c r="LUZ271" s="22"/>
      <c r="LVA271" s="22"/>
      <c r="LVB271" s="22"/>
      <c r="LVC271" s="22"/>
      <c r="LVD271" s="22"/>
      <c r="LVE271" s="22"/>
      <c r="LVF271" s="22"/>
      <c r="LVG271" s="22"/>
      <c r="LVH271" s="22"/>
      <c r="LVI271" s="22"/>
      <c r="LVJ271" s="22"/>
      <c r="LVK271" s="22"/>
      <c r="LVL271" s="22"/>
      <c r="LVM271" s="22"/>
      <c r="LVN271" s="22"/>
      <c r="LVO271" s="22"/>
      <c r="LVP271" s="22"/>
      <c r="LVQ271" s="22"/>
      <c r="LVR271" s="22"/>
      <c r="LVS271" s="22"/>
      <c r="LVT271" s="22"/>
      <c r="LVU271" s="22"/>
      <c r="LVV271" s="22"/>
      <c r="LVW271" s="22"/>
      <c r="LVX271" s="22"/>
      <c r="LVY271" s="22"/>
      <c r="LVZ271" s="22"/>
      <c r="LWA271" s="22"/>
      <c r="LWB271" s="22"/>
      <c r="LWC271" s="22"/>
      <c r="LWD271" s="22"/>
      <c r="LWE271" s="22"/>
      <c r="LWF271" s="22"/>
      <c r="LWG271" s="22"/>
      <c r="LWH271" s="22"/>
      <c r="LWI271" s="22"/>
      <c r="LWJ271" s="22"/>
      <c r="LWK271" s="22"/>
      <c r="LWL271" s="22"/>
      <c r="LWM271" s="22"/>
      <c r="LWN271" s="22"/>
      <c r="LWO271" s="22"/>
      <c r="LWP271" s="22"/>
      <c r="LWQ271" s="22"/>
      <c r="LWR271" s="22"/>
      <c r="LWS271" s="22"/>
      <c r="LWT271" s="22"/>
      <c r="LWU271" s="22"/>
      <c r="LWV271" s="22"/>
      <c r="LWW271" s="22"/>
      <c r="LWX271" s="22"/>
      <c r="LWY271" s="22"/>
      <c r="LWZ271" s="22"/>
      <c r="LXA271" s="22"/>
      <c r="LXB271" s="22"/>
      <c r="LXC271" s="22"/>
      <c r="LXD271" s="22"/>
      <c r="LXE271" s="22"/>
      <c r="LXF271" s="22"/>
      <c r="LXG271" s="22"/>
      <c r="LXH271" s="22"/>
      <c r="LXI271" s="22"/>
      <c r="LXJ271" s="22"/>
      <c r="LXK271" s="22"/>
      <c r="LXL271" s="22"/>
      <c r="LXM271" s="22"/>
      <c r="LXN271" s="22"/>
      <c r="LXO271" s="22"/>
      <c r="LXP271" s="22"/>
      <c r="LXQ271" s="22"/>
      <c r="LXR271" s="22"/>
      <c r="LXS271" s="22"/>
      <c r="LXT271" s="22"/>
      <c r="LXU271" s="22"/>
      <c r="LXV271" s="22"/>
      <c r="LXW271" s="22"/>
      <c r="LXX271" s="22"/>
      <c r="LXY271" s="22"/>
      <c r="LXZ271" s="22"/>
      <c r="LYA271" s="22"/>
      <c r="LYB271" s="22"/>
      <c r="LYC271" s="22"/>
      <c r="LYD271" s="22"/>
      <c r="LYE271" s="22"/>
      <c r="LYF271" s="22"/>
      <c r="LYG271" s="22"/>
      <c r="LYH271" s="22"/>
      <c r="LYI271" s="22"/>
      <c r="LYJ271" s="22"/>
      <c r="LYK271" s="22"/>
      <c r="LYL271" s="22"/>
      <c r="LYM271" s="22"/>
      <c r="LYN271" s="22"/>
      <c r="LYO271" s="22"/>
      <c r="LYP271" s="22"/>
      <c r="LYQ271" s="22"/>
      <c r="LYR271" s="22"/>
      <c r="LYS271" s="22"/>
      <c r="LYT271" s="22"/>
      <c r="LYU271" s="22"/>
      <c r="LYV271" s="22"/>
      <c r="LYW271" s="22"/>
      <c r="LYX271" s="22"/>
      <c r="LYY271" s="22"/>
      <c r="LYZ271" s="22"/>
      <c r="LZA271" s="22"/>
      <c r="LZB271" s="22"/>
      <c r="LZC271" s="22"/>
      <c r="LZD271" s="22"/>
      <c r="LZE271" s="22"/>
      <c r="LZF271" s="22"/>
      <c r="LZG271" s="22"/>
      <c r="LZH271" s="22"/>
      <c r="LZI271" s="22"/>
      <c r="LZJ271" s="22"/>
      <c r="LZK271" s="22"/>
      <c r="LZL271" s="22"/>
      <c r="LZM271" s="22"/>
      <c r="LZN271" s="22"/>
      <c r="LZO271" s="22"/>
      <c r="LZP271" s="22"/>
      <c r="LZQ271" s="22"/>
      <c r="LZR271" s="22"/>
      <c r="LZS271" s="22"/>
      <c r="LZT271" s="22"/>
      <c r="LZU271" s="22"/>
      <c r="LZV271" s="22"/>
      <c r="LZW271" s="22"/>
      <c r="LZX271" s="22"/>
      <c r="LZY271" s="22"/>
      <c r="LZZ271" s="22"/>
      <c r="MAA271" s="22"/>
      <c r="MAB271" s="22"/>
      <c r="MAC271" s="22"/>
      <c r="MAD271" s="22"/>
      <c r="MAE271" s="22"/>
      <c r="MAF271" s="22"/>
      <c r="MAG271" s="22"/>
      <c r="MAH271" s="22"/>
      <c r="MAI271" s="22"/>
      <c r="MAJ271" s="22"/>
      <c r="MAK271" s="22"/>
      <c r="MAL271" s="22"/>
      <c r="MAM271" s="22"/>
      <c r="MAN271" s="22"/>
      <c r="MAO271" s="22"/>
      <c r="MAP271" s="22"/>
      <c r="MAQ271" s="22"/>
      <c r="MAR271" s="22"/>
      <c r="MAS271" s="22"/>
      <c r="MAT271" s="22"/>
      <c r="MAU271" s="22"/>
      <c r="MAV271" s="22"/>
      <c r="MAW271" s="22"/>
      <c r="MAX271" s="22"/>
      <c r="MAY271" s="22"/>
      <c r="MAZ271" s="22"/>
      <c r="MBA271" s="22"/>
      <c r="MBB271" s="22"/>
      <c r="MBC271" s="22"/>
      <c r="MBD271" s="22"/>
      <c r="MBE271" s="22"/>
      <c r="MBF271" s="22"/>
      <c r="MBG271" s="22"/>
      <c r="MBH271" s="22"/>
      <c r="MBI271" s="22"/>
      <c r="MBJ271" s="22"/>
      <c r="MBK271" s="22"/>
      <c r="MBL271" s="22"/>
      <c r="MBM271" s="22"/>
      <c r="MBN271" s="22"/>
      <c r="MBO271" s="22"/>
      <c r="MBP271" s="22"/>
      <c r="MBQ271" s="22"/>
      <c r="MBR271" s="22"/>
      <c r="MBS271" s="22"/>
      <c r="MBT271" s="22"/>
      <c r="MBU271" s="22"/>
      <c r="MBV271" s="22"/>
      <c r="MBW271" s="22"/>
      <c r="MBX271" s="22"/>
      <c r="MBY271" s="22"/>
      <c r="MBZ271" s="22"/>
      <c r="MCA271" s="22"/>
      <c r="MCB271" s="22"/>
      <c r="MCC271" s="22"/>
      <c r="MCD271" s="22"/>
      <c r="MCE271" s="22"/>
      <c r="MCF271" s="22"/>
      <c r="MCG271" s="22"/>
      <c r="MCH271" s="22"/>
      <c r="MCI271" s="22"/>
      <c r="MCJ271" s="22"/>
      <c r="MCK271" s="22"/>
      <c r="MCL271" s="22"/>
      <c r="MCM271" s="22"/>
      <c r="MCN271" s="22"/>
      <c r="MCO271" s="22"/>
      <c r="MCP271" s="22"/>
      <c r="MCQ271" s="22"/>
      <c r="MCR271" s="22"/>
      <c r="MCS271" s="22"/>
      <c r="MCT271" s="22"/>
      <c r="MCU271" s="22"/>
      <c r="MCV271" s="22"/>
      <c r="MCW271" s="22"/>
      <c r="MCX271" s="22"/>
      <c r="MCY271" s="22"/>
      <c r="MCZ271" s="22"/>
      <c r="MDA271" s="22"/>
      <c r="MDB271" s="22"/>
      <c r="MDC271" s="22"/>
      <c r="MDD271" s="22"/>
      <c r="MDE271" s="22"/>
      <c r="MDF271" s="22"/>
      <c r="MDG271" s="22"/>
      <c r="MDH271" s="22"/>
      <c r="MDI271" s="22"/>
      <c r="MDJ271" s="22"/>
      <c r="MDK271" s="22"/>
      <c r="MDL271" s="22"/>
      <c r="MDM271" s="22"/>
      <c r="MDN271" s="22"/>
      <c r="MDO271" s="22"/>
      <c r="MDP271" s="22"/>
      <c r="MDQ271" s="22"/>
      <c r="MDR271" s="22"/>
      <c r="MDS271" s="22"/>
      <c r="MDT271" s="22"/>
      <c r="MDU271" s="22"/>
      <c r="MDV271" s="22"/>
      <c r="MDW271" s="22"/>
      <c r="MDX271" s="22"/>
      <c r="MDY271" s="22"/>
      <c r="MDZ271" s="22"/>
      <c r="MEA271" s="22"/>
      <c r="MEB271" s="22"/>
      <c r="MEC271" s="22"/>
      <c r="MED271" s="22"/>
      <c r="MEE271" s="22"/>
      <c r="MEF271" s="22"/>
      <c r="MEG271" s="22"/>
      <c r="MEH271" s="22"/>
      <c r="MEI271" s="22"/>
      <c r="MEJ271" s="22"/>
      <c r="MEK271" s="22"/>
      <c r="MEL271" s="22"/>
      <c r="MEM271" s="22"/>
      <c r="MEN271" s="22"/>
      <c r="MEO271" s="22"/>
      <c r="MEP271" s="22"/>
      <c r="MEQ271" s="22"/>
      <c r="MER271" s="22"/>
      <c r="MES271" s="22"/>
      <c r="MET271" s="22"/>
      <c r="MEU271" s="22"/>
      <c r="MEV271" s="22"/>
      <c r="MEW271" s="22"/>
      <c r="MEX271" s="22"/>
      <c r="MEY271" s="22"/>
      <c r="MEZ271" s="22"/>
      <c r="MFA271" s="22"/>
      <c r="MFB271" s="22"/>
      <c r="MFC271" s="22"/>
      <c r="MFD271" s="22"/>
      <c r="MFE271" s="22"/>
      <c r="MFF271" s="22"/>
      <c r="MFG271" s="22"/>
      <c r="MFH271" s="22"/>
      <c r="MFI271" s="22"/>
      <c r="MFJ271" s="22"/>
      <c r="MFK271" s="22"/>
      <c r="MFL271" s="22"/>
      <c r="MFM271" s="22"/>
      <c r="MFN271" s="22"/>
      <c r="MFO271" s="22"/>
      <c r="MFP271" s="22"/>
      <c r="MFQ271" s="22"/>
      <c r="MFR271" s="22"/>
      <c r="MFS271" s="22"/>
      <c r="MFT271" s="22"/>
      <c r="MFU271" s="22"/>
      <c r="MFV271" s="22"/>
      <c r="MFW271" s="22"/>
      <c r="MFX271" s="22"/>
      <c r="MFY271" s="22"/>
      <c r="MFZ271" s="22"/>
      <c r="MGA271" s="22"/>
      <c r="MGB271" s="22"/>
      <c r="MGC271" s="22"/>
      <c r="MGD271" s="22"/>
      <c r="MGE271" s="22"/>
      <c r="MGF271" s="22"/>
      <c r="MGG271" s="22"/>
      <c r="MGH271" s="22"/>
      <c r="MGI271" s="22"/>
      <c r="MGJ271" s="22"/>
      <c r="MGK271" s="22"/>
      <c r="MGL271" s="22"/>
      <c r="MGM271" s="22"/>
      <c r="MGN271" s="22"/>
      <c r="MGO271" s="22"/>
      <c r="MGP271" s="22"/>
      <c r="MGQ271" s="22"/>
      <c r="MGR271" s="22"/>
      <c r="MGS271" s="22"/>
      <c r="MGT271" s="22"/>
      <c r="MGU271" s="22"/>
      <c r="MGV271" s="22"/>
      <c r="MGW271" s="22"/>
      <c r="MGX271" s="22"/>
      <c r="MGY271" s="22"/>
      <c r="MGZ271" s="22"/>
      <c r="MHA271" s="22"/>
      <c r="MHB271" s="22"/>
      <c r="MHC271" s="22"/>
      <c r="MHD271" s="22"/>
      <c r="MHE271" s="22"/>
      <c r="MHF271" s="22"/>
      <c r="MHG271" s="22"/>
      <c r="MHH271" s="22"/>
      <c r="MHI271" s="22"/>
      <c r="MHJ271" s="22"/>
      <c r="MHK271" s="22"/>
      <c r="MHL271" s="22"/>
      <c r="MHM271" s="22"/>
      <c r="MHN271" s="22"/>
      <c r="MHO271" s="22"/>
      <c r="MHP271" s="22"/>
      <c r="MHQ271" s="22"/>
      <c r="MHR271" s="22"/>
      <c r="MHS271" s="22"/>
      <c r="MHT271" s="22"/>
      <c r="MHU271" s="22"/>
      <c r="MHV271" s="22"/>
      <c r="MHW271" s="22"/>
      <c r="MHX271" s="22"/>
      <c r="MHY271" s="22"/>
      <c r="MHZ271" s="22"/>
      <c r="MIA271" s="22"/>
      <c r="MIB271" s="22"/>
      <c r="MIC271" s="22"/>
      <c r="MID271" s="22"/>
      <c r="MIE271" s="22"/>
      <c r="MIF271" s="22"/>
      <c r="MIG271" s="22"/>
      <c r="MIH271" s="22"/>
      <c r="MII271" s="22"/>
      <c r="MIJ271" s="22"/>
      <c r="MIK271" s="22"/>
      <c r="MIL271" s="22"/>
      <c r="MIM271" s="22"/>
      <c r="MIN271" s="22"/>
      <c r="MIO271" s="22"/>
      <c r="MIP271" s="22"/>
      <c r="MIQ271" s="22"/>
      <c r="MIR271" s="22"/>
      <c r="MIS271" s="22"/>
      <c r="MIT271" s="22"/>
      <c r="MIU271" s="22"/>
      <c r="MIV271" s="22"/>
      <c r="MIW271" s="22"/>
      <c r="MIX271" s="22"/>
      <c r="MIY271" s="22"/>
      <c r="MIZ271" s="22"/>
      <c r="MJA271" s="22"/>
      <c r="MJB271" s="22"/>
      <c r="MJC271" s="22"/>
      <c r="MJD271" s="22"/>
      <c r="MJE271" s="22"/>
      <c r="MJF271" s="22"/>
      <c r="MJG271" s="22"/>
      <c r="MJH271" s="22"/>
      <c r="MJI271" s="22"/>
      <c r="MJJ271" s="22"/>
      <c r="MJK271" s="22"/>
      <c r="MJL271" s="22"/>
      <c r="MJM271" s="22"/>
      <c r="MJN271" s="22"/>
      <c r="MJO271" s="22"/>
      <c r="MJP271" s="22"/>
      <c r="MJQ271" s="22"/>
      <c r="MJR271" s="22"/>
      <c r="MJS271" s="22"/>
      <c r="MJT271" s="22"/>
      <c r="MJU271" s="22"/>
      <c r="MJV271" s="22"/>
      <c r="MJW271" s="22"/>
      <c r="MJX271" s="22"/>
      <c r="MJY271" s="22"/>
      <c r="MJZ271" s="22"/>
      <c r="MKA271" s="22"/>
      <c r="MKB271" s="22"/>
      <c r="MKC271" s="22"/>
      <c r="MKD271" s="22"/>
      <c r="MKE271" s="22"/>
      <c r="MKF271" s="22"/>
      <c r="MKG271" s="22"/>
      <c r="MKH271" s="22"/>
      <c r="MKI271" s="22"/>
      <c r="MKJ271" s="22"/>
      <c r="MKK271" s="22"/>
      <c r="MKL271" s="22"/>
      <c r="MKM271" s="22"/>
      <c r="MKN271" s="22"/>
      <c r="MKO271" s="22"/>
      <c r="MKP271" s="22"/>
      <c r="MKQ271" s="22"/>
      <c r="MKR271" s="22"/>
      <c r="MKS271" s="22"/>
      <c r="MKT271" s="22"/>
      <c r="MKU271" s="22"/>
      <c r="MKV271" s="22"/>
      <c r="MKW271" s="22"/>
      <c r="MKX271" s="22"/>
      <c r="MKY271" s="22"/>
      <c r="MKZ271" s="22"/>
      <c r="MLA271" s="22"/>
      <c r="MLB271" s="22"/>
      <c r="MLC271" s="22"/>
      <c r="MLD271" s="22"/>
      <c r="MLE271" s="22"/>
      <c r="MLF271" s="22"/>
      <c r="MLG271" s="22"/>
      <c r="MLH271" s="22"/>
      <c r="MLI271" s="22"/>
      <c r="MLJ271" s="22"/>
      <c r="MLK271" s="22"/>
      <c r="MLL271" s="22"/>
      <c r="MLM271" s="22"/>
      <c r="MLN271" s="22"/>
      <c r="MLO271" s="22"/>
      <c r="MLP271" s="22"/>
      <c r="MLQ271" s="22"/>
      <c r="MLR271" s="22"/>
      <c r="MLS271" s="22"/>
      <c r="MLT271" s="22"/>
      <c r="MLU271" s="22"/>
      <c r="MLV271" s="22"/>
      <c r="MLW271" s="22"/>
      <c r="MLX271" s="22"/>
      <c r="MLY271" s="22"/>
      <c r="MLZ271" s="22"/>
      <c r="MMA271" s="22"/>
      <c r="MMB271" s="22"/>
      <c r="MMC271" s="22"/>
      <c r="MMD271" s="22"/>
      <c r="MME271" s="22"/>
      <c r="MMF271" s="22"/>
      <c r="MMG271" s="22"/>
      <c r="MMH271" s="22"/>
      <c r="MMI271" s="22"/>
      <c r="MMJ271" s="22"/>
      <c r="MMK271" s="22"/>
      <c r="MML271" s="22"/>
      <c r="MMM271" s="22"/>
      <c r="MMN271" s="22"/>
      <c r="MMO271" s="22"/>
      <c r="MMP271" s="22"/>
      <c r="MMQ271" s="22"/>
      <c r="MMR271" s="22"/>
      <c r="MMS271" s="22"/>
      <c r="MMT271" s="22"/>
      <c r="MMU271" s="22"/>
      <c r="MMV271" s="22"/>
      <c r="MMW271" s="22"/>
      <c r="MMX271" s="22"/>
      <c r="MMY271" s="22"/>
      <c r="MMZ271" s="22"/>
      <c r="MNA271" s="22"/>
      <c r="MNB271" s="22"/>
      <c r="MNC271" s="22"/>
      <c r="MND271" s="22"/>
      <c r="MNE271" s="22"/>
      <c r="MNF271" s="22"/>
      <c r="MNG271" s="22"/>
      <c r="MNH271" s="22"/>
      <c r="MNI271" s="22"/>
      <c r="MNJ271" s="22"/>
      <c r="MNK271" s="22"/>
      <c r="MNL271" s="22"/>
      <c r="MNM271" s="22"/>
      <c r="MNN271" s="22"/>
      <c r="MNO271" s="22"/>
      <c r="MNP271" s="22"/>
      <c r="MNQ271" s="22"/>
      <c r="MNR271" s="22"/>
      <c r="MNS271" s="22"/>
      <c r="MNT271" s="22"/>
      <c r="MNU271" s="22"/>
      <c r="MNV271" s="22"/>
      <c r="MNW271" s="22"/>
      <c r="MNX271" s="22"/>
      <c r="MNY271" s="22"/>
      <c r="MNZ271" s="22"/>
      <c r="MOA271" s="22"/>
      <c r="MOB271" s="22"/>
      <c r="MOC271" s="22"/>
      <c r="MOD271" s="22"/>
      <c r="MOE271" s="22"/>
      <c r="MOF271" s="22"/>
      <c r="MOG271" s="22"/>
      <c r="MOH271" s="22"/>
      <c r="MOI271" s="22"/>
      <c r="MOJ271" s="22"/>
      <c r="MOK271" s="22"/>
      <c r="MOL271" s="22"/>
      <c r="MOM271" s="22"/>
      <c r="MON271" s="22"/>
      <c r="MOO271" s="22"/>
      <c r="MOP271" s="22"/>
      <c r="MOQ271" s="22"/>
      <c r="MOR271" s="22"/>
      <c r="MOS271" s="22"/>
      <c r="MOT271" s="22"/>
      <c r="MOU271" s="22"/>
      <c r="MOV271" s="22"/>
      <c r="MOW271" s="22"/>
      <c r="MOX271" s="22"/>
      <c r="MOY271" s="22"/>
      <c r="MOZ271" s="22"/>
      <c r="MPA271" s="22"/>
      <c r="MPB271" s="22"/>
      <c r="MPC271" s="22"/>
      <c r="MPD271" s="22"/>
      <c r="MPE271" s="22"/>
      <c r="MPF271" s="22"/>
      <c r="MPG271" s="22"/>
      <c r="MPH271" s="22"/>
      <c r="MPI271" s="22"/>
      <c r="MPJ271" s="22"/>
      <c r="MPK271" s="22"/>
      <c r="MPL271" s="22"/>
      <c r="MPM271" s="22"/>
      <c r="MPN271" s="22"/>
      <c r="MPO271" s="22"/>
      <c r="MPP271" s="22"/>
      <c r="MPQ271" s="22"/>
      <c r="MPR271" s="22"/>
      <c r="MPS271" s="22"/>
      <c r="MPT271" s="22"/>
      <c r="MPU271" s="22"/>
      <c r="MPV271" s="22"/>
      <c r="MPW271" s="22"/>
      <c r="MPX271" s="22"/>
      <c r="MPY271" s="22"/>
      <c r="MPZ271" s="22"/>
      <c r="MQA271" s="22"/>
      <c r="MQB271" s="22"/>
      <c r="MQC271" s="22"/>
      <c r="MQD271" s="22"/>
      <c r="MQE271" s="22"/>
      <c r="MQF271" s="22"/>
      <c r="MQG271" s="22"/>
      <c r="MQH271" s="22"/>
      <c r="MQI271" s="22"/>
      <c r="MQJ271" s="22"/>
      <c r="MQK271" s="22"/>
      <c r="MQL271" s="22"/>
      <c r="MQM271" s="22"/>
      <c r="MQN271" s="22"/>
      <c r="MQO271" s="22"/>
      <c r="MQP271" s="22"/>
      <c r="MQQ271" s="22"/>
      <c r="MQR271" s="22"/>
      <c r="MQS271" s="22"/>
      <c r="MQT271" s="22"/>
      <c r="MQU271" s="22"/>
      <c r="MQV271" s="22"/>
      <c r="MQW271" s="22"/>
      <c r="MQX271" s="22"/>
      <c r="MQY271" s="22"/>
      <c r="MQZ271" s="22"/>
      <c r="MRA271" s="22"/>
      <c r="MRB271" s="22"/>
      <c r="MRC271" s="22"/>
      <c r="MRD271" s="22"/>
      <c r="MRE271" s="22"/>
      <c r="MRF271" s="22"/>
      <c r="MRG271" s="22"/>
      <c r="MRH271" s="22"/>
      <c r="MRI271" s="22"/>
      <c r="MRJ271" s="22"/>
      <c r="MRK271" s="22"/>
      <c r="MRL271" s="22"/>
      <c r="MRM271" s="22"/>
      <c r="MRN271" s="22"/>
      <c r="MRO271" s="22"/>
      <c r="MRP271" s="22"/>
      <c r="MRQ271" s="22"/>
      <c r="MRR271" s="22"/>
      <c r="MRS271" s="22"/>
      <c r="MRT271" s="22"/>
      <c r="MRU271" s="22"/>
      <c r="MRV271" s="22"/>
      <c r="MRW271" s="22"/>
      <c r="MRX271" s="22"/>
      <c r="MRY271" s="22"/>
      <c r="MRZ271" s="22"/>
      <c r="MSA271" s="22"/>
      <c r="MSB271" s="22"/>
      <c r="MSC271" s="22"/>
      <c r="MSD271" s="22"/>
      <c r="MSE271" s="22"/>
      <c r="MSF271" s="22"/>
      <c r="MSG271" s="22"/>
      <c r="MSH271" s="22"/>
      <c r="MSI271" s="22"/>
      <c r="MSJ271" s="22"/>
      <c r="MSK271" s="22"/>
      <c r="MSL271" s="22"/>
      <c r="MSM271" s="22"/>
      <c r="MSN271" s="22"/>
      <c r="MSO271" s="22"/>
      <c r="MSP271" s="22"/>
      <c r="MSQ271" s="22"/>
      <c r="MSR271" s="22"/>
      <c r="MSS271" s="22"/>
      <c r="MST271" s="22"/>
      <c r="MSU271" s="22"/>
      <c r="MSV271" s="22"/>
      <c r="MSW271" s="22"/>
      <c r="MSX271" s="22"/>
      <c r="MSY271" s="22"/>
      <c r="MSZ271" s="22"/>
      <c r="MTA271" s="22"/>
      <c r="MTB271" s="22"/>
      <c r="MTC271" s="22"/>
      <c r="MTD271" s="22"/>
      <c r="MTE271" s="22"/>
      <c r="MTF271" s="22"/>
      <c r="MTG271" s="22"/>
      <c r="MTH271" s="22"/>
      <c r="MTI271" s="22"/>
      <c r="MTJ271" s="22"/>
      <c r="MTK271" s="22"/>
      <c r="MTL271" s="22"/>
      <c r="MTM271" s="22"/>
      <c r="MTN271" s="22"/>
      <c r="MTO271" s="22"/>
      <c r="MTP271" s="22"/>
      <c r="MTQ271" s="22"/>
      <c r="MTR271" s="22"/>
      <c r="MTS271" s="22"/>
      <c r="MTT271" s="22"/>
      <c r="MTU271" s="22"/>
      <c r="MTV271" s="22"/>
      <c r="MTW271" s="22"/>
      <c r="MTX271" s="22"/>
      <c r="MTY271" s="22"/>
      <c r="MTZ271" s="22"/>
      <c r="MUA271" s="22"/>
      <c r="MUB271" s="22"/>
      <c r="MUC271" s="22"/>
      <c r="MUD271" s="22"/>
      <c r="MUE271" s="22"/>
      <c r="MUF271" s="22"/>
      <c r="MUG271" s="22"/>
      <c r="MUH271" s="22"/>
      <c r="MUI271" s="22"/>
      <c r="MUJ271" s="22"/>
      <c r="MUK271" s="22"/>
      <c r="MUL271" s="22"/>
      <c r="MUM271" s="22"/>
      <c r="MUN271" s="22"/>
      <c r="MUO271" s="22"/>
      <c r="MUP271" s="22"/>
      <c r="MUQ271" s="22"/>
      <c r="MUR271" s="22"/>
      <c r="MUS271" s="22"/>
      <c r="MUT271" s="22"/>
      <c r="MUU271" s="22"/>
      <c r="MUV271" s="22"/>
      <c r="MUW271" s="22"/>
      <c r="MUX271" s="22"/>
      <c r="MUY271" s="22"/>
      <c r="MUZ271" s="22"/>
      <c r="MVA271" s="22"/>
      <c r="MVB271" s="22"/>
      <c r="MVC271" s="22"/>
      <c r="MVD271" s="22"/>
      <c r="MVE271" s="22"/>
      <c r="MVF271" s="22"/>
      <c r="MVG271" s="22"/>
      <c r="MVH271" s="22"/>
      <c r="MVI271" s="22"/>
      <c r="MVJ271" s="22"/>
      <c r="MVK271" s="22"/>
      <c r="MVL271" s="22"/>
      <c r="MVM271" s="22"/>
      <c r="MVN271" s="22"/>
      <c r="MVO271" s="22"/>
      <c r="MVP271" s="22"/>
      <c r="MVQ271" s="22"/>
      <c r="MVR271" s="22"/>
      <c r="MVS271" s="22"/>
      <c r="MVT271" s="22"/>
      <c r="MVU271" s="22"/>
      <c r="MVV271" s="22"/>
      <c r="MVW271" s="22"/>
      <c r="MVX271" s="22"/>
      <c r="MVY271" s="22"/>
      <c r="MVZ271" s="22"/>
      <c r="MWA271" s="22"/>
      <c r="MWB271" s="22"/>
      <c r="MWC271" s="22"/>
      <c r="MWD271" s="22"/>
      <c r="MWE271" s="22"/>
      <c r="MWF271" s="22"/>
      <c r="MWG271" s="22"/>
      <c r="MWH271" s="22"/>
      <c r="MWI271" s="22"/>
      <c r="MWJ271" s="22"/>
      <c r="MWK271" s="22"/>
      <c r="MWL271" s="22"/>
      <c r="MWM271" s="22"/>
      <c r="MWN271" s="22"/>
      <c r="MWO271" s="22"/>
      <c r="MWP271" s="22"/>
      <c r="MWQ271" s="22"/>
      <c r="MWR271" s="22"/>
      <c r="MWS271" s="22"/>
      <c r="MWT271" s="22"/>
      <c r="MWU271" s="22"/>
      <c r="MWV271" s="22"/>
      <c r="MWW271" s="22"/>
      <c r="MWX271" s="22"/>
      <c r="MWY271" s="22"/>
      <c r="MWZ271" s="22"/>
      <c r="MXA271" s="22"/>
      <c r="MXB271" s="22"/>
      <c r="MXC271" s="22"/>
      <c r="MXD271" s="22"/>
      <c r="MXE271" s="22"/>
      <c r="MXF271" s="22"/>
      <c r="MXG271" s="22"/>
      <c r="MXH271" s="22"/>
      <c r="MXI271" s="22"/>
      <c r="MXJ271" s="22"/>
      <c r="MXK271" s="22"/>
      <c r="MXL271" s="22"/>
      <c r="MXM271" s="22"/>
      <c r="MXN271" s="22"/>
      <c r="MXO271" s="22"/>
      <c r="MXP271" s="22"/>
      <c r="MXQ271" s="22"/>
      <c r="MXR271" s="22"/>
      <c r="MXS271" s="22"/>
      <c r="MXT271" s="22"/>
      <c r="MXU271" s="22"/>
      <c r="MXV271" s="22"/>
      <c r="MXW271" s="22"/>
      <c r="MXX271" s="22"/>
      <c r="MXY271" s="22"/>
      <c r="MXZ271" s="22"/>
      <c r="MYA271" s="22"/>
      <c r="MYB271" s="22"/>
      <c r="MYC271" s="22"/>
      <c r="MYD271" s="22"/>
      <c r="MYE271" s="22"/>
      <c r="MYF271" s="22"/>
      <c r="MYG271" s="22"/>
      <c r="MYH271" s="22"/>
      <c r="MYI271" s="22"/>
      <c r="MYJ271" s="22"/>
      <c r="MYK271" s="22"/>
      <c r="MYL271" s="22"/>
      <c r="MYM271" s="22"/>
      <c r="MYN271" s="22"/>
      <c r="MYO271" s="22"/>
      <c r="MYP271" s="22"/>
      <c r="MYQ271" s="22"/>
      <c r="MYR271" s="22"/>
      <c r="MYS271" s="22"/>
      <c r="MYT271" s="22"/>
      <c r="MYU271" s="22"/>
      <c r="MYV271" s="22"/>
      <c r="MYW271" s="22"/>
      <c r="MYX271" s="22"/>
      <c r="MYY271" s="22"/>
      <c r="MYZ271" s="22"/>
      <c r="MZA271" s="22"/>
      <c r="MZB271" s="22"/>
      <c r="MZC271" s="22"/>
      <c r="MZD271" s="22"/>
      <c r="MZE271" s="22"/>
      <c r="MZF271" s="22"/>
      <c r="MZG271" s="22"/>
      <c r="MZH271" s="22"/>
      <c r="MZI271" s="22"/>
      <c r="MZJ271" s="22"/>
      <c r="MZK271" s="22"/>
      <c r="MZL271" s="22"/>
      <c r="MZM271" s="22"/>
      <c r="MZN271" s="22"/>
      <c r="MZO271" s="22"/>
      <c r="MZP271" s="22"/>
      <c r="MZQ271" s="22"/>
      <c r="MZR271" s="22"/>
      <c r="MZS271" s="22"/>
      <c r="MZT271" s="22"/>
      <c r="MZU271" s="22"/>
      <c r="MZV271" s="22"/>
      <c r="MZW271" s="22"/>
      <c r="MZX271" s="22"/>
      <c r="MZY271" s="22"/>
      <c r="MZZ271" s="22"/>
      <c r="NAA271" s="22"/>
      <c r="NAB271" s="22"/>
      <c r="NAC271" s="22"/>
      <c r="NAD271" s="22"/>
      <c r="NAE271" s="22"/>
      <c r="NAF271" s="22"/>
      <c r="NAG271" s="22"/>
      <c r="NAH271" s="22"/>
      <c r="NAI271" s="22"/>
      <c r="NAJ271" s="22"/>
      <c r="NAK271" s="22"/>
      <c r="NAL271" s="22"/>
      <c r="NAM271" s="22"/>
      <c r="NAN271" s="22"/>
      <c r="NAO271" s="22"/>
      <c r="NAP271" s="22"/>
      <c r="NAQ271" s="22"/>
      <c r="NAR271" s="22"/>
      <c r="NAS271" s="22"/>
      <c r="NAT271" s="22"/>
      <c r="NAU271" s="22"/>
      <c r="NAV271" s="22"/>
      <c r="NAW271" s="22"/>
      <c r="NAX271" s="22"/>
      <c r="NAY271" s="22"/>
      <c r="NAZ271" s="22"/>
      <c r="NBA271" s="22"/>
      <c r="NBB271" s="22"/>
      <c r="NBC271" s="22"/>
      <c r="NBD271" s="22"/>
      <c r="NBE271" s="22"/>
      <c r="NBF271" s="22"/>
      <c r="NBG271" s="22"/>
      <c r="NBH271" s="22"/>
      <c r="NBI271" s="22"/>
      <c r="NBJ271" s="22"/>
      <c r="NBK271" s="22"/>
      <c r="NBL271" s="22"/>
      <c r="NBM271" s="22"/>
      <c r="NBN271" s="22"/>
      <c r="NBO271" s="22"/>
      <c r="NBP271" s="22"/>
      <c r="NBQ271" s="22"/>
      <c r="NBR271" s="22"/>
      <c r="NBS271" s="22"/>
      <c r="NBT271" s="22"/>
      <c r="NBU271" s="22"/>
      <c r="NBV271" s="22"/>
      <c r="NBW271" s="22"/>
      <c r="NBX271" s="22"/>
      <c r="NBY271" s="22"/>
      <c r="NBZ271" s="22"/>
      <c r="NCA271" s="22"/>
      <c r="NCB271" s="22"/>
      <c r="NCC271" s="22"/>
      <c r="NCD271" s="22"/>
      <c r="NCE271" s="22"/>
      <c r="NCF271" s="22"/>
      <c r="NCG271" s="22"/>
      <c r="NCH271" s="22"/>
      <c r="NCI271" s="22"/>
      <c r="NCJ271" s="22"/>
      <c r="NCK271" s="22"/>
      <c r="NCL271" s="22"/>
      <c r="NCM271" s="22"/>
      <c r="NCN271" s="22"/>
      <c r="NCO271" s="22"/>
      <c r="NCP271" s="22"/>
      <c r="NCQ271" s="22"/>
      <c r="NCR271" s="22"/>
      <c r="NCS271" s="22"/>
      <c r="NCT271" s="22"/>
      <c r="NCU271" s="22"/>
      <c r="NCV271" s="22"/>
      <c r="NCW271" s="22"/>
      <c r="NCX271" s="22"/>
      <c r="NCY271" s="22"/>
      <c r="NCZ271" s="22"/>
      <c r="NDA271" s="22"/>
      <c r="NDB271" s="22"/>
      <c r="NDC271" s="22"/>
      <c r="NDD271" s="22"/>
      <c r="NDE271" s="22"/>
      <c r="NDF271" s="22"/>
      <c r="NDG271" s="22"/>
      <c r="NDH271" s="22"/>
      <c r="NDI271" s="22"/>
      <c r="NDJ271" s="22"/>
      <c r="NDK271" s="22"/>
      <c r="NDL271" s="22"/>
      <c r="NDM271" s="22"/>
      <c r="NDN271" s="22"/>
      <c r="NDO271" s="22"/>
      <c r="NDP271" s="22"/>
      <c r="NDQ271" s="22"/>
      <c r="NDR271" s="22"/>
      <c r="NDS271" s="22"/>
      <c r="NDT271" s="22"/>
      <c r="NDU271" s="22"/>
      <c r="NDV271" s="22"/>
      <c r="NDW271" s="22"/>
      <c r="NDX271" s="22"/>
      <c r="NDY271" s="22"/>
      <c r="NDZ271" s="22"/>
      <c r="NEA271" s="22"/>
      <c r="NEB271" s="22"/>
      <c r="NEC271" s="22"/>
      <c r="NED271" s="22"/>
      <c r="NEE271" s="22"/>
      <c r="NEF271" s="22"/>
      <c r="NEG271" s="22"/>
      <c r="NEH271" s="22"/>
      <c r="NEI271" s="22"/>
      <c r="NEJ271" s="22"/>
      <c r="NEK271" s="22"/>
      <c r="NEL271" s="22"/>
      <c r="NEM271" s="22"/>
      <c r="NEN271" s="22"/>
      <c r="NEO271" s="22"/>
      <c r="NEP271" s="22"/>
      <c r="NEQ271" s="22"/>
      <c r="NER271" s="22"/>
      <c r="NES271" s="22"/>
      <c r="NET271" s="22"/>
      <c r="NEU271" s="22"/>
      <c r="NEV271" s="22"/>
      <c r="NEW271" s="22"/>
      <c r="NEX271" s="22"/>
      <c r="NEY271" s="22"/>
      <c r="NEZ271" s="22"/>
      <c r="NFA271" s="22"/>
      <c r="NFB271" s="22"/>
      <c r="NFC271" s="22"/>
      <c r="NFD271" s="22"/>
      <c r="NFE271" s="22"/>
      <c r="NFF271" s="22"/>
      <c r="NFG271" s="22"/>
      <c r="NFH271" s="22"/>
      <c r="NFI271" s="22"/>
      <c r="NFJ271" s="22"/>
      <c r="NFK271" s="22"/>
      <c r="NFL271" s="22"/>
      <c r="NFM271" s="22"/>
      <c r="NFN271" s="22"/>
      <c r="NFO271" s="22"/>
      <c r="NFP271" s="22"/>
      <c r="NFQ271" s="22"/>
      <c r="NFR271" s="22"/>
      <c r="NFS271" s="22"/>
      <c r="NFT271" s="22"/>
      <c r="NFU271" s="22"/>
      <c r="NFV271" s="22"/>
      <c r="NFW271" s="22"/>
      <c r="NFX271" s="22"/>
      <c r="NFY271" s="22"/>
      <c r="NFZ271" s="22"/>
      <c r="NGA271" s="22"/>
      <c r="NGB271" s="22"/>
      <c r="NGC271" s="22"/>
      <c r="NGD271" s="22"/>
      <c r="NGE271" s="22"/>
      <c r="NGF271" s="22"/>
      <c r="NGG271" s="22"/>
      <c r="NGH271" s="22"/>
      <c r="NGI271" s="22"/>
      <c r="NGJ271" s="22"/>
      <c r="NGK271" s="22"/>
      <c r="NGL271" s="22"/>
      <c r="NGM271" s="22"/>
      <c r="NGN271" s="22"/>
      <c r="NGO271" s="22"/>
      <c r="NGP271" s="22"/>
      <c r="NGQ271" s="22"/>
      <c r="NGR271" s="22"/>
      <c r="NGS271" s="22"/>
      <c r="NGT271" s="22"/>
      <c r="NGU271" s="22"/>
      <c r="NGV271" s="22"/>
      <c r="NGW271" s="22"/>
      <c r="NGX271" s="22"/>
      <c r="NGY271" s="22"/>
      <c r="NGZ271" s="22"/>
      <c r="NHA271" s="22"/>
      <c r="NHB271" s="22"/>
      <c r="NHC271" s="22"/>
      <c r="NHD271" s="22"/>
      <c r="NHE271" s="22"/>
      <c r="NHF271" s="22"/>
      <c r="NHG271" s="22"/>
      <c r="NHH271" s="22"/>
      <c r="NHI271" s="22"/>
      <c r="NHJ271" s="22"/>
      <c r="NHK271" s="22"/>
      <c r="NHL271" s="22"/>
      <c r="NHM271" s="22"/>
      <c r="NHN271" s="22"/>
      <c r="NHO271" s="22"/>
      <c r="NHP271" s="22"/>
      <c r="NHQ271" s="22"/>
      <c r="NHR271" s="22"/>
      <c r="NHS271" s="22"/>
      <c r="NHT271" s="22"/>
      <c r="NHU271" s="22"/>
      <c r="NHV271" s="22"/>
      <c r="NHW271" s="22"/>
      <c r="NHX271" s="22"/>
      <c r="NHY271" s="22"/>
      <c r="NHZ271" s="22"/>
      <c r="NIA271" s="22"/>
      <c r="NIB271" s="22"/>
      <c r="NIC271" s="22"/>
      <c r="NID271" s="22"/>
      <c r="NIE271" s="22"/>
      <c r="NIF271" s="22"/>
      <c r="NIG271" s="22"/>
      <c r="NIH271" s="22"/>
      <c r="NII271" s="22"/>
      <c r="NIJ271" s="22"/>
      <c r="NIK271" s="22"/>
      <c r="NIL271" s="22"/>
      <c r="NIM271" s="22"/>
      <c r="NIN271" s="22"/>
      <c r="NIO271" s="22"/>
      <c r="NIP271" s="22"/>
      <c r="NIQ271" s="22"/>
      <c r="NIR271" s="22"/>
      <c r="NIS271" s="22"/>
      <c r="NIT271" s="22"/>
      <c r="NIU271" s="22"/>
      <c r="NIV271" s="22"/>
      <c r="NIW271" s="22"/>
      <c r="NIX271" s="22"/>
      <c r="NIY271" s="22"/>
      <c r="NIZ271" s="22"/>
      <c r="NJA271" s="22"/>
      <c r="NJB271" s="22"/>
      <c r="NJC271" s="22"/>
      <c r="NJD271" s="22"/>
      <c r="NJE271" s="22"/>
      <c r="NJF271" s="22"/>
      <c r="NJG271" s="22"/>
      <c r="NJH271" s="22"/>
      <c r="NJI271" s="22"/>
      <c r="NJJ271" s="22"/>
      <c r="NJK271" s="22"/>
      <c r="NJL271" s="22"/>
      <c r="NJM271" s="22"/>
      <c r="NJN271" s="22"/>
      <c r="NJO271" s="22"/>
      <c r="NJP271" s="22"/>
      <c r="NJQ271" s="22"/>
      <c r="NJR271" s="22"/>
      <c r="NJS271" s="22"/>
      <c r="NJT271" s="22"/>
      <c r="NJU271" s="22"/>
      <c r="NJV271" s="22"/>
      <c r="NJW271" s="22"/>
      <c r="NJX271" s="22"/>
      <c r="NJY271" s="22"/>
      <c r="NJZ271" s="22"/>
      <c r="NKA271" s="22"/>
      <c r="NKB271" s="22"/>
      <c r="NKC271" s="22"/>
      <c r="NKD271" s="22"/>
      <c r="NKE271" s="22"/>
      <c r="NKF271" s="22"/>
      <c r="NKG271" s="22"/>
      <c r="NKH271" s="22"/>
      <c r="NKI271" s="22"/>
      <c r="NKJ271" s="22"/>
      <c r="NKK271" s="22"/>
      <c r="NKL271" s="22"/>
      <c r="NKM271" s="22"/>
      <c r="NKN271" s="22"/>
      <c r="NKO271" s="22"/>
      <c r="NKP271" s="22"/>
      <c r="NKQ271" s="22"/>
      <c r="NKR271" s="22"/>
      <c r="NKS271" s="22"/>
      <c r="NKT271" s="22"/>
      <c r="NKU271" s="22"/>
      <c r="NKV271" s="22"/>
      <c r="NKW271" s="22"/>
      <c r="NKX271" s="22"/>
      <c r="NKY271" s="22"/>
      <c r="NKZ271" s="22"/>
      <c r="NLA271" s="22"/>
      <c r="NLB271" s="22"/>
      <c r="NLC271" s="22"/>
      <c r="NLD271" s="22"/>
      <c r="NLE271" s="22"/>
      <c r="NLF271" s="22"/>
      <c r="NLG271" s="22"/>
      <c r="NLH271" s="22"/>
      <c r="NLI271" s="22"/>
      <c r="NLJ271" s="22"/>
      <c r="NLK271" s="22"/>
      <c r="NLL271" s="22"/>
      <c r="NLM271" s="22"/>
      <c r="NLN271" s="22"/>
      <c r="NLO271" s="22"/>
      <c r="NLP271" s="22"/>
      <c r="NLQ271" s="22"/>
      <c r="NLR271" s="22"/>
      <c r="NLS271" s="22"/>
      <c r="NLT271" s="22"/>
      <c r="NLU271" s="22"/>
      <c r="NLV271" s="22"/>
      <c r="NLW271" s="22"/>
      <c r="NLX271" s="22"/>
      <c r="NLY271" s="22"/>
      <c r="NLZ271" s="22"/>
      <c r="NMA271" s="22"/>
      <c r="NMB271" s="22"/>
      <c r="NMC271" s="22"/>
      <c r="NMD271" s="22"/>
      <c r="NME271" s="22"/>
      <c r="NMF271" s="22"/>
      <c r="NMG271" s="22"/>
      <c r="NMH271" s="22"/>
      <c r="NMI271" s="22"/>
      <c r="NMJ271" s="22"/>
      <c r="NMK271" s="22"/>
      <c r="NML271" s="22"/>
      <c r="NMM271" s="22"/>
      <c r="NMN271" s="22"/>
      <c r="NMO271" s="22"/>
      <c r="NMP271" s="22"/>
      <c r="NMQ271" s="22"/>
      <c r="NMR271" s="22"/>
      <c r="NMS271" s="22"/>
      <c r="NMT271" s="22"/>
      <c r="NMU271" s="22"/>
      <c r="NMV271" s="22"/>
      <c r="NMW271" s="22"/>
      <c r="NMX271" s="22"/>
      <c r="NMY271" s="22"/>
      <c r="NMZ271" s="22"/>
      <c r="NNA271" s="22"/>
      <c r="NNB271" s="22"/>
      <c r="NNC271" s="22"/>
      <c r="NND271" s="22"/>
      <c r="NNE271" s="22"/>
      <c r="NNF271" s="22"/>
      <c r="NNG271" s="22"/>
      <c r="NNH271" s="22"/>
      <c r="NNI271" s="22"/>
      <c r="NNJ271" s="22"/>
      <c r="NNK271" s="22"/>
      <c r="NNL271" s="22"/>
      <c r="NNM271" s="22"/>
      <c r="NNN271" s="22"/>
      <c r="NNO271" s="22"/>
      <c r="NNP271" s="22"/>
      <c r="NNQ271" s="22"/>
      <c r="NNR271" s="22"/>
      <c r="NNS271" s="22"/>
      <c r="NNT271" s="22"/>
      <c r="NNU271" s="22"/>
      <c r="NNV271" s="22"/>
      <c r="NNW271" s="22"/>
      <c r="NNX271" s="22"/>
      <c r="NNY271" s="22"/>
      <c r="NNZ271" s="22"/>
      <c r="NOA271" s="22"/>
      <c r="NOB271" s="22"/>
      <c r="NOC271" s="22"/>
      <c r="NOD271" s="22"/>
      <c r="NOE271" s="22"/>
      <c r="NOF271" s="22"/>
      <c r="NOG271" s="22"/>
      <c r="NOH271" s="22"/>
      <c r="NOI271" s="22"/>
      <c r="NOJ271" s="22"/>
      <c r="NOK271" s="22"/>
      <c r="NOL271" s="22"/>
      <c r="NOM271" s="22"/>
      <c r="NON271" s="22"/>
      <c r="NOO271" s="22"/>
      <c r="NOP271" s="22"/>
      <c r="NOQ271" s="22"/>
      <c r="NOR271" s="22"/>
      <c r="NOS271" s="22"/>
      <c r="NOT271" s="22"/>
      <c r="NOU271" s="22"/>
      <c r="NOV271" s="22"/>
      <c r="NOW271" s="22"/>
      <c r="NOX271" s="22"/>
      <c r="NOY271" s="22"/>
      <c r="NOZ271" s="22"/>
      <c r="NPA271" s="22"/>
      <c r="NPB271" s="22"/>
      <c r="NPC271" s="22"/>
      <c r="NPD271" s="22"/>
      <c r="NPE271" s="22"/>
      <c r="NPF271" s="22"/>
      <c r="NPG271" s="22"/>
      <c r="NPH271" s="22"/>
      <c r="NPI271" s="22"/>
      <c r="NPJ271" s="22"/>
      <c r="NPK271" s="22"/>
      <c r="NPL271" s="22"/>
      <c r="NPM271" s="22"/>
      <c r="NPN271" s="22"/>
      <c r="NPO271" s="22"/>
      <c r="NPP271" s="22"/>
      <c r="NPQ271" s="22"/>
      <c r="NPR271" s="22"/>
      <c r="NPS271" s="22"/>
      <c r="NPT271" s="22"/>
      <c r="NPU271" s="22"/>
      <c r="NPV271" s="22"/>
      <c r="NPW271" s="22"/>
      <c r="NPX271" s="22"/>
      <c r="NPY271" s="22"/>
      <c r="NPZ271" s="22"/>
      <c r="NQA271" s="22"/>
      <c r="NQB271" s="22"/>
      <c r="NQC271" s="22"/>
      <c r="NQD271" s="22"/>
      <c r="NQE271" s="22"/>
      <c r="NQF271" s="22"/>
      <c r="NQG271" s="22"/>
      <c r="NQH271" s="22"/>
      <c r="NQI271" s="22"/>
      <c r="NQJ271" s="22"/>
      <c r="NQK271" s="22"/>
      <c r="NQL271" s="22"/>
      <c r="NQM271" s="22"/>
      <c r="NQN271" s="22"/>
      <c r="NQO271" s="22"/>
      <c r="NQP271" s="22"/>
      <c r="NQQ271" s="22"/>
      <c r="NQR271" s="22"/>
      <c r="NQS271" s="22"/>
      <c r="NQT271" s="22"/>
      <c r="NQU271" s="22"/>
      <c r="NQV271" s="22"/>
      <c r="NQW271" s="22"/>
      <c r="NQX271" s="22"/>
      <c r="NQY271" s="22"/>
      <c r="NQZ271" s="22"/>
      <c r="NRA271" s="22"/>
      <c r="NRB271" s="22"/>
      <c r="NRC271" s="22"/>
      <c r="NRD271" s="22"/>
      <c r="NRE271" s="22"/>
      <c r="NRF271" s="22"/>
      <c r="NRG271" s="22"/>
      <c r="NRH271" s="22"/>
      <c r="NRI271" s="22"/>
      <c r="NRJ271" s="22"/>
      <c r="NRK271" s="22"/>
      <c r="NRL271" s="22"/>
      <c r="NRM271" s="22"/>
      <c r="NRN271" s="22"/>
      <c r="NRO271" s="22"/>
      <c r="NRP271" s="22"/>
      <c r="NRQ271" s="22"/>
      <c r="NRR271" s="22"/>
      <c r="NRS271" s="22"/>
      <c r="NRT271" s="22"/>
      <c r="NRU271" s="22"/>
      <c r="NRV271" s="22"/>
      <c r="NRW271" s="22"/>
      <c r="NRX271" s="22"/>
      <c r="NRY271" s="22"/>
      <c r="NRZ271" s="22"/>
      <c r="NSA271" s="22"/>
      <c r="NSB271" s="22"/>
      <c r="NSC271" s="22"/>
      <c r="NSD271" s="22"/>
      <c r="NSE271" s="22"/>
      <c r="NSF271" s="22"/>
      <c r="NSG271" s="22"/>
      <c r="NSH271" s="22"/>
      <c r="NSI271" s="22"/>
      <c r="NSJ271" s="22"/>
      <c r="NSK271" s="22"/>
      <c r="NSL271" s="22"/>
      <c r="NSM271" s="22"/>
      <c r="NSN271" s="22"/>
      <c r="NSO271" s="22"/>
      <c r="NSP271" s="22"/>
      <c r="NSQ271" s="22"/>
      <c r="NSR271" s="22"/>
      <c r="NSS271" s="22"/>
      <c r="NST271" s="22"/>
      <c r="NSU271" s="22"/>
      <c r="NSV271" s="22"/>
      <c r="NSW271" s="22"/>
      <c r="NSX271" s="22"/>
      <c r="NSY271" s="22"/>
      <c r="NSZ271" s="22"/>
      <c r="NTA271" s="22"/>
      <c r="NTB271" s="22"/>
      <c r="NTC271" s="22"/>
      <c r="NTD271" s="22"/>
      <c r="NTE271" s="22"/>
      <c r="NTF271" s="22"/>
      <c r="NTG271" s="22"/>
      <c r="NTH271" s="22"/>
      <c r="NTI271" s="22"/>
      <c r="NTJ271" s="22"/>
      <c r="NTK271" s="22"/>
      <c r="NTL271" s="22"/>
      <c r="NTM271" s="22"/>
      <c r="NTN271" s="22"/>
      <c r="NTO271" s="22"/>
      <c r="NTP271" s="22"/>
      <c r="NTQ271" s="22"/>
      <c r="NTR271" s="22"/>
      <c r="NTS271" s="22"/>
      <c r="NTT271" s="22"/>
      <c r="NTU271" s="22"/>
      <c r="NTV271" s="22"/>
      <c r="NTW271" s="22"/>
      <c r="NTX271" s="22"/>
      <c r="NTY271" s="22"/>
      <c r="NTZ271" s="22"/>
      <c r="NUA271" s="22"/>
      <c r="NUB271" s="22"/>
      <c r="NUC271" s="22"/>
      <c r="NUD271" s="22"/>
      <c r="NUE271" s="22"/>
      <c r="NUF271" s="22"/>
      <c r="NUG271" s="22"/>
      <c r="NUH271" s="22"/>
      <c r="NUI271" s="22"/>
      <c r="NUJ271" s="22"/>
      <c r="NUK271" s="22"/>
      <c r="NUL271" s="22"/>
      <c r="NUM271" s="22"/>
      <c r="NUN271" s="22"/>
      <c r="NUO271" s="22"/>
      <c r="NUP271" s="22"/>
      <c r="NUQ271" s="22"/>
      <c r="NUR271" s="22"/>
      <c r="NUS271" s="22"/>
      <c r="NUT271" s="22"/>
      <c r="NUU271" s="22"/>
      <c r="NUV271" s="22"/>
      <c r="NUW271" s="22"/>
      <c r="NUX271" s="22"/>
      <c r="NUY271" s="22"/>
      <c r="NUZ271" s="22"/>
      <c r="NVA271" s="22"/>
      <c r="NVB271" s="22"/>
      <c r="NVC271" s="22"/>
      <c r="NVD271" s="22"/>
      <c r="NVE271" s="22"/>
      <c r="NVF271" s="22"/>
      <c r="NVG271" s="22"/>
      <c r="NVH271" s="22"/>
      <c r="NVI271" s="22"/>
      <c r="NVJ271" s="22"/>
      <c r="NVK271" s="22"/>
      <c r="NVL271" s="22"/>
      <c r="NVM271" s="22"/>
      <c r="NVN271" s="22"/>
      <c r="NVO271" s="22"/>
      <c r="NVP271" s="22"/>
      <c r="NVQ271" s="22"/>
      <c r="NVR271" s="22"/>
      <c r="NVS271" s="22"/>
      <c r="NVT271" s="22"/>
      <c r="NVU271" s="22"/>
      <c r="NVV271" s="22"/>
      <c r="NVW271" s="22"/>
      <c r="NVX271" s="22"/>
      <c r="NVY271" s="22"/>
      <c r="NVZ271" s="22"/>
      <c r="NWA271" s="22"/>
      <c r="NWB271" s="22"/>
      <c r="NWC271" s="22"/>
      <c r="NWD271" s="22"/>
      <c r="NWE271" s="22"/>
      <c r="NWF271" s="22"/>
      <c r="NWG271" s="22"/>
      <c r="NWH271" s="22"/>
      <c r="NWI271" s="22"/>
      <c r="NWJ271" s="22"/>
      <c r="NWK271" s="22"/>
      <c r="NWL271" s="22"/>
      <c r="NWM271" s="22"/>
      <c r="NWN271" s="22"/>
      <c r="NWO271" s="22"/>
      <c r="NWP271" s="22"/>
      <c r="NWQ271" s="22"/>
      <c r="NWR271" s="22"/>
      <c r="NWS271" s="22"/>
      <c r="NWT271" s="22"/>
      <c r="NWU271" s="22"/>
      <c r="NWV271" s="22"/>
      <c r="NWW271" s="22"/>
      <c r="NWX271" s="22"/>
      <c r="NWY271" s="22"/>
      <c r="NWZ271" s="22"/>
      <c r="NXA271" s="22"/>
      <c r="NXB271" s="22"/>
      <c r="NXC271" s="22"/>
      <c r="NXD271" s="22"/>
      <c r="NXE271" s="22"/>
      <c r="NXF271" s="22"/>
      <c r="NXG271" s="22"/>
      <c r="NXH271" s="22"/>
      <c r="NXI271" s="22"/>
      <c r="NXJ271" s="22"/>
      <c r="NXK271" s="22"/>
      <c r="NXL271" s="22"/>
      <c r="NXM271" s="22"/>
      <c r="NXN271" s="22"/>
      <c r="NXO271" s="22"/>
      <c r="NXP271" s="22"/>
      <c r="NXQ271" s="22"/>
      <c r="NXR271" s="22"/>
      <c r="NXS271" s="22"/>
      <c r="NXT271" s="22"/>
      <c r="NXU271" s="22"/>
      <c r="NXV271" s="22"/>
      <c r="NXW271" s="22"/>
      <c r="NXX271" s="22"/>
      <c r="NXY271" s="22"/>
      <c r="NXZ271" s="22"/>
      <c r="NYA271" s="22"/>
      <c r="NYB271" s="22"/>
      <c r="NYC271" s="22"/>
      <c r="NYD271" s="22"/>
      <c r="NYE271" s="22"/>
      <c r="NYF271" s="22"/>
      <c r="NYG271" s="22"/>
      <c r="NYH271" s="22"/>
      <c r="NYI271" s="22"/>
      <c r="NYJ271" s="22"/>
      <c r="NYK271" s="22"/>
      <c r="NYL271" s="22"/>
      <c r="NYM271" s="22"/>
      <c r="NYN271" s="22"/>
      <c r="NYO271" s="22"/>
      <c r="NYP271" s="22"/>
      <c r="NYQ271" s="22"/>
      <c r="NYR271" s="22"/>
      <c r="NYS271" s="22"/>
      <c r="NYT271" s="22"/>
      <c r="NYU271" s="22"/>
      <c r="NYV271" s="22"/>
      <c r="NYW271" s="22"/>
      <c r="NYX271" s="22"/>
      <c r="NYY271" s="22"/>
      <c r="NYZ271" s="22"/>
      <c r="NZA271" s="22"/>
      <c r="NZB271" s="22"/>
      <c r="NZC271" s="22"/>
      <c r="NZD271" s="22"/>
      <c r="NZE271" s="22"/>
      <c r="NZF271" s="22"/>
      <c r="NZG271" s="22"/>
      <c r="NZH271" s="22"/>
      <c r="NZI271" s="22"/>
      <c r="NZJ271" s="22"/>
      <c r="NZK271" s="22"/>
      <c r="NZL271" s="22"/>
      <c r="NZM271" s="22"/>
      <c r="NZN271" s="22"/>
      <c r="NZO271" s="22"/>
      <c r="NZP271" s="22"/>
      <c r="NZQ271" s="22"/>
      <c r="NZR271" s="22"/>
      <c r="NZS271" s="22"/>
      <c r="NZT271" s="22"/>
      <c r="NZU271" s="22"/>
      <c r="NZV271" s="22"/>
      <c r="NZW271" s="22"/>
      <c r="NZX271" s="22"/>
      <c r="NZY271" s="22"/>
      <c r="NZZ271" s="22"/>
      <c r="OAA271" s="22"/>
      <c r="OAB271" s="22"/>
      <c r="OAC271" s="22"/>
      <c r="OAD271" s="22"/>
      <c r="OAE271" s="22"/>
      <c r="OAF271" s="22"/>
      <c r="OAG271" s="22"/>
      <c r="OAH271" s="22"/>
      <c r="OAI271" s="22"/>
      <c r="OAJ271" s="22"/>
      <c r="OAK271" s="22"/>
      <c r="OAL271" s="22"/>
      <c r="OAM271" s="22"/>
      <c r="OAN271" s="22"/>
      <c r="OAO271" s="22"/>
      <c r="OAP271" s="22"/>
      <c r="OAQ271" s="22"/>
      <c r="OAR271" s="22"/>
      <c r="OAS271" s="22"/>
      <c r="OAT271" s="22"/>
      <c r="OAU271" s="22"/>
      <c r="OAV271" s="22"/>
      <c r="OAW271" s="22"/>
      <c r="OAX271" s="22"/>
      <c r="OAY271" s="22"/>
      <c r="OAZ271" s="22"/>
      <c r="OBA271" s="22"/>
      <c r="OBB271" s="22"/>
      <c r="OBC271" s="22"/>
      <c r="OBD271" s="22"/>
      <c r="OBE271" s="22"/>
      <c r="OBF271" s="22"/>
      <c r="OBG271" s="22"/>
      <c r="OBH271" s="22"/>
      <c r="OBI271" s="22"/>
      <c r="OBJ271" s="22"/>
      <c r="OBK271" s="22"/>
      <c r="OBL271" s="22"/>
      <c r="OBM271" s="22"/>
      <c r="OBN271" s="22"/>
      <c r="OBO271" s="22"/>
      <c r="OBP271" s="22"/>
      <c r="OBQ271" s="22"/>
      <c r="OBR271" s="22"/>
      <c r="OBS271" s="22"/>
      <c r="OBT271" s="22"/>
      <c r="OBU271" s="22"/>
      <c r="OBV271" s="22"/>
      <c r="OBW271" s="22"/>
      <c r="OBX271" s="22"/>
      <c r="OBY271" s="22"/>
      <c r="OBZ271" s="22"/>
      <c r="OCA271" s="22"/>
      <c r="OCB271" s="22"/>
      <c r="OCC271" s="22"/>
      <c r="OCD271" s="22"/>
      <c r="OCE271" s="22"/>
      <c r="OCF271" s="22"/>
      <c r="OCG271" s="22"/>
      <c r="OCH271" s="22"/>
      <c r="OCI271" s="22"/>
      <c r="OCJ271" s="22"/>
      <c r="OCK271" s="22"/>
      <c r="OCL271" s="22"/>
      <c r="OCM271" s="22"/>
      <c r="OCN271" s="22"/>
      <c r="OCO271" s="22"/>
      <c r="OCP271" s="22"/>
      <c r="OCQ271" s="22"/>
      <c r="OCR271" s="22"/>
      <c r="OCS271" s="22"/>
      <c r="OCT271" s="22"/>
      <c r="OCU271" s="22"/>
      <c r="OCV271" s="22"/>
      <c r="OCW271" s="22"/>
      <c r="OCX271" s="22"/>
      <c r="OCY271" s="22"/>
      <c r="OCZ271" s="22"/>
      <c r="ODA271" s="22"/>
      <c r="ODB271" s="22"/>
      <c r="ODC271" s="22"/>
      <c r="ODD271" s="22"/>
      <c r="ODE271" s="22"/>
      <c r="ODF271" s="22"/>
      <c r="ODG271" s="22"/>
      <c r="ODH271" s="22"/>
      <c r="ODI271" s="22"/>
      <c r="ODJ271" s="22"/>
      <c r="ODK271" s="22"/>
      <c r="ODL271" s="22"/>
      <c r="ODM271" s="22"/>
      <c r="ODN271" s="22"/>
      <c r="ODO271" s="22"/>
      <c r="ODP271" s="22"/>
      <c r="ODQ271" s="22"/>
      <c r="ODR271" s="22"/>
      <c r="ODS271" s="22"/>
      <c r="ODT271" s="22"/>
      <c r="ODU271" s="22"/>
      <c r="ODV271" s="22"/>
      <c r="ODW271" s="22"/>
      <c r="ODX271" s="22"/>
      <c r="ODY271" s="22"/>
      <c r="ODZ271" s="22"/>
      <c r="OEA271" s="22"/>
      <c r="OEB271" s="22"/>
      <c r="OEC271" s="22"/>
      <c r="OED271" s="22"/>
      <c r="OEE271" s="22"/>
      <c r="OEF271" s="22"/>
      <c r="OEG271" s="22"/>
      <c r="OEH271" s="22"/>
      <c r="OEI271" s="22"/>
      <c r="OEJ271" s="22"/>
      <c r="OEK271" s="22"/>
      <c r="OEL271" s="22"/>
      <c r="OEM271" s="22"/>
      <c r="OEN271" s="22"/>
      <c r="OEO271" s="22"/>
      <c r="OEP271" s="22"/>
      <c r="OEQ271" s="22"/>
      <c r="OER271" s="22"/>
      <c r="OES271" s="22"/>
      <c r="OET271" s="22"/>
      <c r="OEU271" s="22"/>
      <c r="OEV271" s="22"/>
      <c r="OEW271" s="22"/>
      <c r="OEX271" s="22"/>
      <c r="OEY271" s="22"/>
      <c r="OEZ271" s="22"/>
      <c r="OFA271" s="22"/>
      <c r="OFB271" s="22"/>
      <c r="OFC271" s="22"/>
      <c r="OFD271" s="22"/>
      <c r="OFE271" s="22"/>
      <c r="OFF271" s="22"/>
      <c r="OFG271" s="22"/>
      <c r="OFH271" s="22"/>
      <c r="OFI271" s="22"/>
      <c r="OFJ271" s="22"/>
      <c r="OFK271" s="22"/>
      <c r="OFL271" s="22"/>
      <c r="OFM271" s="22"/>
      <c r="OFN271" s="22"/>
      <c r="OFO271" s="22"/>
      <c r="OFP271" s="22"/>
      <c r="OFQ271" s="22"/>
      <c r="OFR271" s="22"/>
      <c r="OFS271" s="22"/>
      <c r="OFT271" s="22"/>
      <c r="OFU271" s="22"/>
      <c r="OFV271" s="22"/>
      <c r="OFW271" s="22"/>
      <c r="OFX271" s="22"/>
      <c r="OFY271" s="22"/>
      <c r="OFZ271" s="22"/>
      <c r="OGA271" s="22"/>
      <c r="OGB271" s="22"/>
      <c r="OGC271" s="22"/>
      <c r="OGD271" s="22"/>
      <c r="OGE271" s="22"/>
      <c r="OGF271" s="22"/>
      <c r="OGG271" s="22"/>
      <c r="OGH271" s="22"/>
      <c r="OGI271" s="22"/>
      <c r="OGJ271" s="22"/>
      <c r="OGK271" s="22"/>
      <c r="OGL271" s="22"/>
      <c r="OGM271" s="22"/>
      <c r="OGN271" s="22"/>
      <c r="OGO271" s="22"/>
      <c r="OGP271" s="22"/>
      <c r="OGQ271" s="22"/>
      <c r="OGR271" s="22"/>
      <c r="OGS271" s="22"/>
      <c r="OGT271" s="22"/>
      <c r="OGU271" s="22"/>
      <c r="OGV271" s="22"/>
      <c r="OGW271" s="22"/>
      <c r="OGX271" s="22"/>
      <c r="OGY271" s="22"/>
      <c r="OGZ271" s="22"/>
      <c r="OHA271" s="22"/>
      <c r="OHB271" s="22"/>
      <c r="OHC271" s="22"/>
      <c r="OHD271" s="22"/>
      <c r="OHE271" s="22"/>
      <c r="OHF271" s="22"/>
      <c r="OHG271" s="22"/>
      <c r="OHH271" s="22"/>
      <c r="OHI271" s="22"/>
      <c r="OHJ271" s="22"/>
      <c r="OHK271" s="22"/>
      <c r="OHL271" s="22"/>
      <c r="OHM271" s="22"/>
      <c r="OHN271" s="22"/>
      <c r="OHO271" s="22"/>
      <c r="OHP271" s="22"/>
      <c r="OHQ271" s="22"/>
      <c r="OHR271" s="22"/>
      <c r="OHS271" s="22"/>
      <c r="OHT271" s="22"/>
      <c r="OHU271" s="22"/>
      <c r="OHV271" s="22"/>
      <c r="OHW271" s="22"/>
      <c r="OHX271" s="22"/>
      <c r="OHY271" s="22"/>
      <c r="OHZ271" s="22"/>
      <c r="OIA271" s="22"/>
      <c r="OIB271" s="22"/>
      <c r="OIC271" s="22"/>
      <c r="OID271" s="22"/>
      <c r="OIE271" s="22"/>
      <c r="OIF271" s="22"/>
      <c r="OIG271" s="22"/>
      <c r="OIH271" s="22"/>
      <c r="OII271" s="22"/>
      <c r="OIJ271" s="22"/>
      <c r="OIK271" s="22"/>
      <c r="OIL271" s="22"/>
      <c r="OIM271" s="22"/>
      <c r="OIN271" s="22"/>
      <c r="OIO271" s="22"/>
      <c r="OIP271" s="22"/>
      <c r="OIQ271" s="22"/>
      <c r="OIR271" s="22"/>
      <c r="OIS271" s="22"/>
      <c r="OIT271" s="22"/>
      <c r="OIU271" s="22"/>
      <c r="OIV271" s="22"/>
      <c r="OIW271" s="22"/>
      <c r="OIX271" s="22"/>
      <c r="OIY271" s="22"/>
      <c r="OIZ271" s="22"/>
      <c r="OJA271" s="22"/>
      <c r="OJB271" s="22"/>
      <c r="OJC271" s="22"/>
      <c r="OJD271" s="22"/>
      <c r="OJE271" s="22"/>
      <c r="OJF271" s="22"/>
      <c r="OJG271" s="22"/>
      <c r="OJH271" s="22"/>
      <c r="OJI271" s="22"/>
      <c r="OJJ271" s="22"/>
      <c r="OJK271" s="22"/>
      <c r="OJL271" s="22"/>
      <c r="OJM271" s="22"/>
      <c r="OJN271" s="22"/>
      <c r="OJO271" s="22"/>
      <c r="OJP271" s="22"/>
      <c r="OJQ271" s="22"/>
      <c r="OJR271" s="22"/>
      <c r="OJS271" s="22"/>
      <c r="OJT271" s="22"/>
      <c r="OJU271" s="22"/>
      <c r="OJV271" s="22"/>
      <c r="OJW271" s="22"/>
      <c r="OJX271" s="22"/>
      <c r="OJY271" s="22"/>
      <c r="OJZ271" s="22"/>
      <c r="OKA271" s="22"/>
      <c r="OKB271" s="22"/>
      <c r="OKC271" s="22"/>
      <c r="OKD271" s="22"/>
      <c r="OKE271" s="22"/>
      <c r="OKF271" s="22"/>
      <c r="OKG271" s="22"/>
      <c r="OKH271" s="22"/>
      <c r="OKI271" s="22"/>
      <c r="OKJ271" s="22"/>
      <c r="OKK271" s="22"/>
      <c r="OKL271" s="22"/>
      <c r="OKM271" s="22"/>
      <c r="OKN271" s="22"/>
      <c r="OKO271" s="22"/>
      <c r="OKP271" s="22"/>
      <c r="OKQ271" s="22"/>
      <c r="OKR271" s="22"/>
      <c r="OKS271" s="22"/>
      <c r="OKT271" s="22"/>
      <c r="OKU271" s="22"/>
      <c r="OKV271" s="22"/>
      <c r="OKW271" s="22"/>
      <c r="OKX271" s="22"/>
      <c r="OKY271" s="22"/>
      <c r="OKZ271" s="22"/>
      <c r="OLA271" s="22"/>
      <c r="OLB271" s="22"/>
      <c r="OLC271" s="22"/>
      <c r="OLD271" s="22"/>
      <c r="OLE271" s="22"/>
      <c r="OLF271" s="22"/>
      <c r="OLG271" s="22"/>
      <c r="OLH271" s="22"/>
      <c r="OLI271" s="22"/>
      <c r="OLJ271" s="22"/>
      <c r="OLK271" s="22"/>
      <c r="OLL271" s="22"/>
      <c r="OLM271" s="22"/>
      <c r="OLN271" s="22"/>
      <c r="OLO271" s="22"/>
      <c r="OLP271" s="22"/>
      <c r="OLQ271" s="22"/>
      <c r="OLR271" s="22"/>
      <c r="OLS271" s="22"/>
      <c r="OLT271" s="22"/>
      <c r="OLU271" s="22"/>
      <c r="OLV271" s="22"/>
      <c r="OLW271" s="22"/>
      <c r="OLX271" s="22"/>
      <c r="OLY271" s="22"/>
      <c r="OLZ271" s="22"/>
      <c r="OMA271" s="22"/>
      <c r="OMB271" s="22"/>
      <c r="OMC271" s="22"/>
      <c r="OMD271" s="22"/>
      <c r="OME271" s="22"/>
      <c r="OMF271" s="22"/>
      <c r="OMG271" s="22"/>
      <c r="OMH271" s="22"/>
      <c r="OMI271" s="22"/>
      <c r="OMJ271" s="22"/>
      <c r="OMK271" s="22"/>
      <c r="OML271" s="22"/>
      <c r="OMM271" s="22"/>
      <c r="OMN271" s="22"/>
      <c r="OMO271" s="22"/>
      <c r="OMP271" s="22"/>
      <c r="OMQ271" s="22"/>
      <c r="OMR271" s="22"/>
      <c r="OMS271" s="22"/>
      <c r="OMT271" s="22"/>
      <c r="OMU271" s="22"/>
      <c r="OMV271" s="22"/>
      <c r="OMW271" s="22"/>
      <c r="OMX271" s="22"/>
      <c r="OMY271" s="22"/>
      <c r="OMZ271" s="22"/>
      <c r="ONA271" s="22"/>
      <c r="ONB271" s="22"/>
      <c r="ONC271" s="22"/>
      <c r="OND271" s="22"/>
      <c r="ONE271" s="22"/>
      <c r="ONF271" s="22"/>
      <c r="ONG271" s="22"/>
      <c r="ONH271" s="22"/>
      <c r="ONI271" s="22"/>
      <c r="ONJ271" s="22"/>
      <c r="ONK271" s="22"/>
      <c r="ONL271" s="22"/>
      <c r="ONM271" s="22"/>
      <c r="ONN271" s="22"/>
      <c r="ONO271" s="22"/>
      <c r="ONP271" s="22"/>
      <c r="ONQ271" s="22"/>
      <c r="ONR271" s="22"/>
      <c r="ONS271" s="22"/>
      <c r="ONT271" s="22"/>
      <c r="ONU271" s="22"/>
      <c r="ONV271" s="22"/>
      <c r="ONW271" s="22"/>
      <c r="ONX271" s="22"/>
      <c r="ONY271" s="22"/>
      <c r="ONZ271" s="22"/>
      <c r="OOA271" s="22"/>
      <c r="OOB271" s="22"/>
      <c r="OOC271" s="22"/>
      <c r="OOD271" s="22"/>
      <c r="OOE271" s="22"/>
      <c r="OOF271" s="22"/>
      <c r="OOG271" s="22"/>
      <c r="OOH271" s="22"/>
      <c r="OOI271" s="22"/>
      <c r="OOJ271" s="22"/>
      <c r="OOK271" s="22"/>
      <c r="OOL271" s="22"/>
      <c r="OOM271" s="22"/>
      <c r="OON271" s="22"/>
      <c r="OOO271" s="22"/>
      <c r="OOP271" s="22"/>
      <c r="OOQ271" s="22"/>
      <c r="OOR271" s="22"/>
      <c r="OOS271" s="22"/>
      <c r="OOT271" s="22"/>
      <c r="OOU271" s="22"/>
      <c r="OOV271" s="22"/>
      <c r="OOW271" s="22"/>
      <c r="OOX271" s="22"/>
      <c r="OOY271" s="22"/>
      <c r="OOZ271" s="22"/>
      <c r="OPA271" s="22"/>
      <c r="OPB271" s="22"/>
      <c r="OPC271" s="22"/>
      <c r="OPD271" s="22"/>
      <c r="OPE271" s="22"/>
      <c r="OPF271" s="22"/>
      <c r="OPG271" s="22"/>
      <c r="OPH271" s="22"/>
      <c r="OPI271" s="22"/>
      <c r="OPJ271" s="22"/>
      <c r="OPK271" s="22"/>
      <c r="OPL271" s="22"/>
      <c r="OPM271" s="22"/>
      <c r="OPN271" s="22"/>
      <c r="OPO271" s="22"/>
      <c r="OPP271" s="22"/>
      <c r="OPQ271" s="22"/>
      <c r="OPR271" s="22"/>
      <c r="OPS271" s="22"/>
      <c r="OPT271" s="22"/>
      <c r="OPU271" s="22"/>
      <c r="OPV271" s="22"/>
      <c r="OPW271" s="22"/>
      <c r="OPX271" s="22"/>
      <c r="OPY271" s="22"/>
      <c r="OPZ271" s="22"/>
      <c r="OQA271" s="22"/>
      <c r="OQB271" s="22"/>
      <c r="OQC271" s="22"/>
      <c r="OQD271" s="22"/>
      <c r="OQE271" s="22"/>
      <c r="OQF271" s="22"/>
      <c r="OQG271" s="22"/>
      <c r="OQH271" s="22"/>
      <c r="OQI271" s="22"/>
      <c r="OQJ271" s="22"/>
      <c r="OQK271" s="22"/>
      <c r="OQL271" s="22"/>
      <c r="OQM271" s="22"/>
      <c r="OQN271" s="22"/>
      <c r="OQO271" s="22"/>
      <c r="OQP271" s="22"/>
      <c r="OQQ271" s="22"/>
      <c r="OQR271" s="22"/>
      <c r="OQS271" s="22"/>
      <c r="OQT271" s="22"/>
      <c r="OQU271" s="22"/>
      <c r="OQV271" s="22"/>
      <c r="OQW271" s="22"/>
      <c r="OQX271" s="22"/>
      <c r="OQY271" s="22"/>
      <c r="OQZ271" s="22"/>
      <c r="ORA271" s="22"/>
      <c r="ORB271" s="22"/>
      <c r="ORC271" s="22"/>
      <c r="ORD271" s="22"/>
      <c r="ORE271" s="22"/>
      <c r="ORF271" s="22"/>
      <c r="ORG271" s="22"/>
      <c r="ORH271" s="22"/>
      <c r="ORI271" s="22"/>
      <c r="ORJ271" s="22"/>
      <c r="ORK271" s="22"/>
      <c r="ORL271" s="22"/>
      <c r="ORM271" s="22"/>
      <c r="ORN271" s="22"/>
      <c r="ORO271" s="22"/>
      <c r="ORP271" s="22"/>
      <c r="ORQ271" s="22"/>
      <c r="ORR271" s="22"/>
      <c r="ORS271" s="22"/>
      <c r="ORT271" s="22"/>
      <c r="ORU271" s="22"/>
      <c r="ORV271" s="22"/>
      <c r="ORW271" s="22"/>
      <c r="ORX271" s="22"/>
      <c r="ORY271" s="22"/>
      <c r="ORZ271" s="22"/>
      <c r="OSA271" s="22"/>
      <c r="OSB271" s="22"/>
      <c r="OSC271" s="22"/>
      <c r="OSD271" s="22"/>
      <c r="OSE271" s="22"/>
      <c r="OSF271" s="22"/>
      <c r="OSG271" s="22"/>
      <c r="OSH271" s="22"/>
      <c r="OSI271" s="22"/>
      <c r="OSJ271" s="22"/>
      <c r="OSK271" s="22"/>
      <c r="OSL271" s="22"/>
      <c r="OSM271" s="22"/>
      <c r="OSN271" s="22"/>
      <c r="OSO271" s="22"/>
      <c r="OSP271" s="22"/>
      <c r="OSQ271" s="22"/>
      <c r="OSR271" s="22"/>
      <c r="OSS271" s="22"/>
      <c r="OST271" s="22"/>
      <c r="OSU271" s="22"/>
      <c r="OSV271" s="22"/>
      <c r="OSW271" s="22"/>
      <c r="OSX271" s="22"/>
      <c r="OSY271" s="22"/>
      <c r="OSZ271" s="22"/>
      <c r="OTA271" s="22"/>
      <c r="OTB271" s="22"/>
      <c r="OTC271" s="22"/>
      <c r="OTD271" s="22"/>
      <c r="OTE271" s="22"/>
      <c r="OTF271" s="22"/>
      <c r="OTG271" s="22"/>
      <c r="OTH271" s="22"/>
      <c r="OTI271" s="22"/>
      <c r="OTJ271" s="22"/>
      <c r="OTK271" s="22"/>
      <c r="OTL271" s="22"/>
      <c r="OTM271" s="22"/>
      <c r="OTN271" s="22"/>
      <c r="OTO271" s="22"/>
      <c r="OTP271" s="22"/>
      <c r="OTQ271" s="22"/>
      <c r="OTR271" s="22"/>
      <c r="OTS271" s="22"/>
      <c r="OTT271" s="22"/>
      <c r="OTU271" s="22"/>
      <c r="OTV271" s="22"/>
      <c r="OTW271" s="22"/>
      <c r="OTX271" s="22"/>
      <c r="OTY271" s="22"/>
      <c r="OTZ271" s="22"/>
      <c r="OUA271" s="22"/>
      <c r="OUB271" s="22"/>
      <c r="OUC271" s="22"/>
      <c r="OUD271" s="22"/>
      <c r="OUE271" s="22"/>
      <c r="OUF271" s="22"/>
      <c r="OUG271" s="22"/>
      <c r="OUH271" s="22"/>
      <c r="OUI271" s="22"/>
      <c r="OUJ271" s="22"/>
      <c r="OUK271" s="22"/>
      <c r="OUL271" s="22"/>
      <c r="OUM271" s="22"/>
      <c r="OUN271" s="22"/>
      <c r="OUO271" s="22"/>
      <c r="OUP271" s="22"/>
      <c r="OUQ271" s="22"/>
      <c r="OUR271" s="22"/>
      <c r="OUS271" s="22"/>
      <c r="OUT271" s="22"/>
      <c r="OUU271" s="22"/>
      <c r="OUV271" s="22"/>
      <c r="OUW271" s="22"/>
      <c r="OUX271" s="22"/>
      <c r="OUY271" s="22"/>
      <c r="OUZ271" s="22"/>
      <c r="OVA271" s="22"/>
      <c r="OVB271" s="22"/>
      <c r="OVC271" s="22"/>
      <c r="OVD271" s="22"/>
      <c r="OVE271" s="22"/>
      <c r="OVF271" s="22"/>
      <c r="OVG271" s="22"/>
      <c r="OVH271" s="22"/>
      <c r="OVI271" s="22"/>
      <c r="OVJ271" s="22"/>
      <c r="OVK271" s="22"/>
      <c r="OVL271" s="22"/>
      <c r="OVM271" s="22"/>
      <c r="OVN271" s="22"/>
      <c r="OVO271" s="22"/>
      <c r="OVP271" s="22"/>
      <c r="OVQ271" s="22"/>
      <c r="OVR271" s="22"/>
      <c r="OVS271" s="22"/>
      <c r="OVT271" s="22"/>
      <c r="OVU271" s="22"/>
      <c r="OVV271" s="22"/>
      <c r="OVW271" s="22"/>
      <c r="OVX271" s="22"/>
      <c r="OVY271" s="22"/>
      <c r="OVZ271" s="22"/>
      <c r="OWA271" s="22"/>
      <c r="OWB271" s="22"/>
      <c r="OWC271" s="22"/>
      <c r="OWD271" s="22"/>
      <c r="OWE271" s="22"/>
      <c r="OWF271" s="22"/>
      <c r="OWG271" s="22"/>
      <c r="OWH271" s="22"/>
      <c r="OWI271" s="22"/>
      <c r="OWJ271" s="22"/>
      <c r="OWK271" s="22"/>
      <c r="OWL271" s="22"/>
      <c r="OWM271" s="22"/>
      <c r="OWN271" s="22"/>
      <c r="OWO271" s="22"/>
      <c r="OWP271" s="22"/>
      <c r="OWQ271" s="22"/>
      <c r="OWR271" s="22"/>
      <c r="OWS271" s="22"/>
      <c r="OWT271" s="22"/>
      <c r="OWU271" s="22"/>
      <c r="OWV271" s="22"/>
      <c r="OWW271" s="22"/>
      <c r="OWX271" s="22"/>
      <c r="OWY271" s="22"/>
      <c r="OWZ271" s="22"/>
      <c r="OXA271" s="22"/>
      <c r="OXB271" s="22"/>
      <c r="OXC271" s="22"/>
      <c r="OXD271" s="22"/>
      <c r="OXE271" s="22"/>
      <c r="OXF271" s="22"/>
      <c r="OXG271" s="22"/>
      <c r="OXH271" s="22"/>
      <c r="OXI271" s="22"/>
      <c r="OXJ271" s="22"/>
      <c r="OXK271" s="22"/>
      <c r="OXL271" s="22"/>
      <c r="OXM271" s="22"/>
      <c r="OXN271" s="22"/>
      <c r="OXO271" s="22"/>
      <c r="OXP271" s="22"/>
      <c r="OXQ271" s="22"/>
      <c r="OXR271" s="22"/>
      <c r="OXS271" s="22"/>
      <c r="OXT271" s="22"/>
      <c r="OXU271" s="22"/>
      <c r="OXV271" s="22"/>
      <c r="OXW271" s="22"/>
      <c r="OXX271" s="22"/>
      <c r="OXY271" s="22"/>
      <c r="OXZ271" s="22"/>
      <c r="OYA271" s="22"/>
      <c r="OYB271" s="22"/>
      <c r="OYC271" s="22"/>
      <c r="OYD271" s="22"/>
      <c r="OYE271" s="22"/>
      <c r="OYF271" s="22"/>
      <c r="OYG271" s="22"/>
      <c r="OYH271" s="22"/>
      <c r="OYI271" s="22"/>
      <c r="OYJ271" s="22"/>
      <c r="OYK271" s="22"/>
      <c r="OYL271" s="22"/>
      <c r="OYM271" s="22"/>
      <c r="OYN271" s="22"/>
      <c r="OYO271" s="22"/>
      <c r="OYP271" s="22"/>
      <c r="OYQ271" s="22"/>
      <c r="OYR271" s="22"/>
      <c r="OYS271" s="22"/>
      <c r="OYT271" s="22"/>
      <c r="OYU271" s="22"/>
      <c r="OYV271" s="22"/>
      <c r="OYW271" s="22"/>
      <c r="OYX271" s="22"/>
      <c r="OYY271" s="22"/>
      <c r="OYZ271" s="22"/>
      <c r="OZA271" s="22"/>
      <c r="OZB271" s="22"/>
      <c r="OZC271" s="22"/>
      <c r="OZD271" s="22"/>
      <c r="OZE271" s="22"/>
      <c r="OZF271" s="22"/>
      <c r="OZG271" s="22"/>
      <c r="OZH271" s="22"/>
      <c r="OZI271" s="22"/>
      <c r="OZJ271" s="22"/>
      <c r="OZK271" s="22"/>
      <c r="OZL271" s="22"/>
      <c r="OZM271" s="22"/>
      <c r="OZN271" s="22"/>
      <c r="OZO271" s="22"/>
      <c r="OZP271" s="22"/>
      <c r="OZQ271" s="22"/>
      <c r="OZR271" s="22"/>
      <c r="OZS271" s="22"/>
      <c r="OZT271" s="22"/>
      <c r="OZU271" s="22"/>
      <c r="OZV271" s="22"/>
      <c r="OZW271" s="22"/>
      <c r="OZX271" s="22"/>
      <c r="OZY271" s="22"/>
      <c r="OZZ271" s="22"/>
      <c r="PAA271" s="22"/>
      <c r="PAB271" s="22"/>
      <c r="PAC271" s="22"/>
      <c r="PAD271" s="22"/>
      <c r="PAE271" s="22"/>
      <c r="PAF271" s="22"/>
      <c r="PAG271" s="22"/>
      <c r="PAH271" s="22"/>
      <c r="PAI271" s="22"/>
      <c r="PAJ271" s="22"/>
      <c r="PAK271" s="22"/>
      <c r="PAL271" s="22"/>
      <c r="PAM271" s="22"/>
      <c r="PAN271" s="22"/>
      <c r="PAO271" s="22"/>
      <c r="PAP271" s="22"/>
      <c r="PAQ271" s="22"/>
      <c r="PAR271" s="22"/>
      <c r="PAS271" s="22"/>
      <c r="PAT271" s="22"/>
      <c r="PAU271" s="22"/>
      <c r="PAV271" s="22"/>
      <c r="PAW271" s="22"/>
      <c r="PAX271" s="22"/>
      <c r="PAY271" s="22"/>
      <c r="PAZ271" s="22"/>
      <c r="PBA271" s="22"/>
      <c r="PBB271" s="22"/>
      <c r="PBC271" s="22"/>
      <c r="PBD271" s="22"/>
      <c r="PBE271" s="22"/>
      <c r="PBF271" s="22"/>
      <c r="PBG271" s="22"/>
      <c r="PBH271" s="22"/>
      <c r="PBI271" s="22"/>
      <c r="PBJ271" s="22"/>
      <c r="PBK271" s="22"/>
      <c r="PBL271" s="22"/>
      <c r="PBM271" s="22"/>
      <c r="PBN271" s="22"/>
      <c r="PBO271" s="22"/>
      <c r="PBP271" s="22"/>
      <c r="PBQ271" s="22"/>
      <c r="PBR271" s="22"/>
      <c r="PBS271" s="22"/>
      <c r="PBT271" s="22"/>
      <c r="PBU271" s="22"/>
      <c r="PBV271" s="22"/>
      <c r="PBW271" s="22"/>
      <c r="PBX271" s="22"/>
      <c r="PBY271" s="22"/>
      <c r="PBZ271" s="22"/>
      <c r="PCA271" s="22"/>
      <c r="PCB271" s="22"/>
      <c r="PCC271" s="22"/>
      <c r="PCD271" s="22"/>
      <c r="PCE271" s="22"/>
      <c r="PCF271" s="22"/>
      <c r="PCG271" s="22"/>
      <c r="PCH271" s="22"/>
      <c r="PCI271" s="22"/>
      <c r="PCJ271" s="22"/>
      <c r="PCK271" s="22"/>
      <c r="PCL271" s="22"/>
      <c r="PCM271" s="22"/>
      <c r="PCN271" s="22"/>
      <c r="PCO271" s="22"/>
      <c r="PCP271" s="22"/>
      <c r="PCQ271" s="22"/>
      <c r="PCR271" s="22"/>
      <c r="PCS271" s="22"/>
      <c r="PCT271" s="22"/>
      <c r="PCU271" s="22"/>
      <c r="PCV271" s="22"/>
      <c r="PCW271" s="22"/>
      <c r="PCX271" s="22"/>
      <c r="PCY271" s="22"/>
      <c r="PCZ271" s="22"/>
      <c r="PDA271" s="22"/>
      <c r="PDB271" s="22"/>
      <c r="PDC271" s="22"/>
      <c r="PDD271" s="22"/>
      <c r="PDE271" s="22"/>
      <c r="PDF271" s="22"/>
      <c r="PDG271" s="22"/>
      <c r="PDH271" s="22"/>
      <c r="PDI271" s="22"/>
      <c r="PDJ271" s="22"/>
      <c r="PDK271" s="22"/>
      <c r="PDL271" s="22"/>
      <c r="PDM271" s="22"/>
      <c r="PDN271" s="22"/>
      <c r="PDO271" s="22"/>
      <c r="PDP271" s="22"/>
      <c r="PDQ271" s="22"/>
      <c r="PDR271" s="22"/>
      <c r="PDS271" s="22"/>
      <c r="PDT271" s="22"/>
      <c r="PDU271" s="22"/>
      <c r="PDV271" s="22"/>
      <c r="PDW271" s="22"/>
      <c r="PDX271" s="22"/>
      <c r="PDY271" s="22"/>
      <c r="PDZ271" s="22"/>
      <c r="PEA271" s="22"/>
      <c r="PEB271" s="22"/>
      <c r="PEC271" s="22"/>
      <c r="PED271" s="22"/>
      <c r="PEE271" s="22"/>
      <c r="PEF271" s="22"/>
      <c r="PEG271" s="22"/>
      <c r="PEH271" s="22"/>
      <c r="PEI271" s="22"/>
      <c r="PEJ271" s="22"/>
      <c r="PEK271" s="22"/>
      <c r="PEL271" s="22"/>
      <c r="PEM271" s="22"/>
      <c r="PEN271" s="22"/>
      <c r="PEO271" s="22"/>
      <c r="PEP271" s="22"/>
      <c r="PEQ271" s="22"/>
      <c r="PER271" s="22"/>
      <c r="PES271" s="22"/>
      <c r="PET271" s="22"/>
      <c r="PEU271" s="22"/>
      <c r="PEV271" s="22"/>
      <c r="PEW271" s="22"/>
      <c r="PEX271" s="22"/>
      <c r="PEY271" s="22"/>
      <c r="PEZ271" s="22"/>
      <c r="PFA271" s="22"/>
      <c r="PFB271" s="22"/>
      <c r="PFC271" s="22"/>
      <c r="PFD271" s="22"/>
      <c r="PFE271" s="22"/>
      <c r="PFF271" s="22"/>
      <c r="PFG271" s="22"/>
      <c r="PFH271" s="22"/>
      <c r="PFI271" s="22"/>
      <c r="PFJ271" s="22"/>
      <c r="PFK271" s="22"/>
      <c r="PFL271" s="22"/>
      <c r="PFM271" s="22"/>
      <c r="PFN271" s="22"/>
      <c r="PFO271" s="22"/>
      <c r="PFP271" s="22"/>
      <c r="PFQ271" s="22"/>
      <c r="PFR271" s="22"/>
      <c r="PFS271" s="22"/>
      <c r="PFT271" s="22"/>
      <c r="PFU271" s="22"/>
      <c r="PFV271" s="22"/>
      <c r="PFW271" s="22"/>
      <c r="PFX271" s="22"/>
      <c r="PFY271" s="22"/>
      <c r="PFZ271" s="22"/>
      <c r="PGA271" s="22"/>
      <c r="PGB271" s="22"/>
      <c r="PGC271" s="22"/>
      <c r="PGD271" s="22"/>
      <c r="PGE271" s="22"/>
      <c r="PGF271" s="22"/>
      <c r="PGG271" s="22"/>
      <c r="PGH271" s="22"/>
      <c r="PGI271" s="22"/>
      <c r="PGJ271" s="22"/>
      <c r="PGK271" s="22"/>
      <c r="PGL271" s="22"/>
      <c r="PGM271" s="22"/>
      <c r="PGN271" s="22"/>
      <c r="PGO271" s="22"/>
      <c r="PGP271" s="22"/>
      <c r="PGQ271" s="22"/>
      <c r="PGR271" s="22"/>
      <c r="PGS271" s="22"/>
      <c r="PGT271" s="22"/>
      <c r="PGU271" s="22"/>
      <c r="PGV271" s="22"/>
      <c r="PGW271" s="22"/>
      <c r="PGX271" s="22"/>
      <c r="PGY271" s="22"/>
      <c r="PGZ271" s="22"/>
      <c r="PHA271" s="22"/>
      <c r="PHB271" s="22"/>
      <c r="PHC271" s="22"/>
      <c r="PHD271" s="22"/>
      <c r="PHE271" s="22"/>
      <c r="PHF271" s="22"/>
      <c r="PHG271" s="22"/>
      <c r="PHH271" s="22"/>
      <c r="PHI271" s="22"/>
      <c r="PHJ271" s="22"/>
      <c r="PHK271" s="22"/>
      <c r="PHL271" s="22"/>
      <c r="PHM271" s="22"/>
      <c r="PHN271" s="22"/>
      <c r="PHO271" s="22"/>
      <c r="PHP271" s="22"/>
      <c r="PHQ271" s="22"/>
      <c r="PHR271" s="22"/>
      <c r="PHS271" s="22"/>
      <c r="PHT271" s="22"/>
      <c r="PHU271" s="22"/>
      <c r="PHV271" s="22"/>
      <c r="PHW271" s="22"/>
      <c r="PHX271" s="22"/>
      <c r="PHY271" s="22"/>
      <c r="PHZ271" s="22"/>
      <c r="PIA271" s="22"/>
      <c r="PIB271" s="22"/>
      <c r="PIC271" s="22"/>
      <c r="PID271" s="22"/>
      <c r="PIE271" s="22"/>
      <c r="PIF271" s="22"/>
      <c r="PIG271" s="22"/>
      <c r="PIH271" s="22"/>
      <c r="PII271" s="22"/>
      <c r="PIJ271" s="22"/>
      <c r="PIK271" s="22"/>
      <c r="PIL271" s="22"/>
      <c r="PIM271" s="22"/>
      <c r="PIN271" s="22"/>
      <c r="PIO271" s="22"/>
      <c r="PIP271" s="22"/>
      <c r="PIQ271" s="22"/>
      <c r="PIR271" s="22"/>
      <c r="PIS271" s="22"/>
      <c r="PIT271" s="22"/>
      <c r="PIU271" s="22"/>
      <c r="PIV271" s="22"/>
      <c r="PIW271" s="22"/>
      <c r="PIX271" s="22"/>
      <c r="PIY271" s="22"/>
      <c r="PIZ271" s="22"/>
      <c r="PJA271" s="22"/>
      <c r="PJB271" s="22"/>
      <c r="PJC271" s="22"/>
      <c r="PJD271" s="22"/>
      <c r="PJE271" s="22"/>
      <c r="PJF271" s="22"/>
      <c r="PJG271" s="22"/>
      <c r="PJH271" s="22"/>
      <c r="PJI271" s="22"/>
      <c r="PJJ271" s="22"/>
      <c r="PJK271" s="22"/>
      <c r="PJL271" s="22"/>
      <c r="PJM271" s="22"/>
      <c r="PJN271" s="22"/>
      <c r="PJO271" s="22"/>
      <c r="PJP271" s="22"/>
      <c r="PJQ271" s="22"/>
      <c r="PJR271" s="22"/>
      <c r="PJS271" s="22"/>
      <c r="PJT271" s="22"/>
      <c r="PJU271" s="22"/>
      <c r="PJV271" s="22"/>
      <c r="PJW271" s="22"/>
      <c r="PJX271" s="22"/>
      <c r="PJY271" s="22"/>
      <c r="PJZ271" s="22"/>
      <c r="PKA271" s="22"/>
      <c r="PKB271" s="22"/>
      <c r="PKC271" s="22"/>
      <c r="PKD271" s="22"/>
      <c r="PKE271" s="22"/>
      <c r="PKF271" s="22"/>
      <c r="PKG271" s="22"/>
      <c r="PKH271" s="22"/>
      <c r="PKI271" s="22"/>
      <c r="PKJ271" s="22"/>
      <c r="PKK271" s="22"/>
      <c r="PKL271" s="22"/>
      <c r="PKM271" s="22"/>
      <c r="PKN271" s="22"/>
      <c r="PKO271" s="22"/>
      <c r="PKP271" s="22"/>
      <c r="PKQ271" s="22"/>
      <c r="PKR271" s="22"/>
      <c r="PKS271" s="22"/>
      <c r="PKT271" s="22"/>
      <c r="PKU271" s="22"/>
      <c r="PKV271" s="22"/>
      <c r="PKW271" s="22"/>
      <c r="PKX271" s="22"/>
      <c r="PKY271" s="22"/>
      <c r="PKZ271" s="22"/>
      <c r="PLA271" s="22"/>
      <c r="PLB271" s="22"/>
      <c r="PLC271" s="22"/>
      <c r="PLD271" s="22"/>
      <c r="PLE271" s="22"/>
      <c r="PLF271" s="22"/>
      <c r="PLG271" s="22"/>
      <c r="PLH271" s="22"/>
      <c r="PLI271" s="22"/>
      <c r="PLJ271" s="22"/>
      <c r="PLK271" s="22"/>
      <c r="PLL271" s="22"/>
      <c r="PLM271" s="22"/>
      <c r="PLN271" s="22"/>
      <c r="PLO271" s="22"/>
      <c r="PLP271" s="22"/>
      <c r="PLQ271" s="22"/>
      <c r="PLR271" s="22"/>
      <c r="PLS271" s="22"/>
      <c r="PLT271" s="22"/>
      <c r="PLU271" s="22"/>
      <c r="PLV271" s="22"/>
      <c r="PLW271" s="22"/>
      <c r="PLX271" s="22"/>
      <c r="PLY271" s="22"/>
      <c r="PLZ271" s="22"/>
      <c r="PMA271" s="22"/>
      <c r="PMB271" s="22"/>
      <c r="PMC271" s="22"/>
      <c r="PMD271" s="22"/>
      <c r="PME271" s="22"/>
      <c r="PMF271" s="22"/>
      <c r="PMG271" s="22"/>
      <c r="PMH271" s="22"/>
      <c r="PMI271" s="22"/>
      <c r="PMJ271" s="22"/>
      <c r="PMK271" s="22"/>
      <c r="PML271" s="22"/>
      <c r="PMM271" s="22"/>
      <c r="PMN271" s="22"/>
      <c r="PMO271" s="22"/>
      <c r="PMP271" s="22"/>
      <c r="PMQ271" s="22"/>
      <c r="PMR271" s="22"/>
      <c r="PMS271" s="22"/>
      <c r="PMT271" s="22"/>
      <c r="PMU271" s="22"/>
      <c r="PMV271" s="22"/>
      <c r="PMW271" s="22"/>
      <c r="PMX271" s="22"/>
      <c r="PMY271" s="22"/>
      <c r="PMZ271" s="22"/>
      <c r="PNA271" s="22"/>
      <c r="PNB271" s="22"/>
      <c r="PNC271" s="22"/>
      <c r="PND271" s="22"/>
      <c r="PNE271" s="22"/>
      <c r="PNF271" s="22"/>
      <c r="PNG271" s="22"/>
      <c r="PNH271" s="22"/>
      <c r="PNI271" s="22"/>
      <c r="PNJ271" s="22"/>
      <c r="PNK271" s="22"/>
      <c r="PNL271" s="22"/>
      <c r="PNM271" s="22"/>
      <c r="PNN271" s="22"/>
      <c r="PNO271" s="22"/>
      <c r="PNP271" s="22"/>
      <c r="PNQ271" s="22"/>
      <c r="PNR271" s="22"/>
      <c r="PNS271" s="22"/>
      <c r="PNT271" s="22"/>
      <c r="PNU271" s="22"/>
      <c r="PNV271" s="22"/>
      <c r="PNW271" s="22"/>
      <c r="PNX271" s="22"/>
      <c r="PNY271" s="22"/>
      <c r="PNZ271" s="22"/>
      <c r="POA271" s="22"/>
      <c r="POB271" s="22"/>
      <c r="POC271" s="22"/>
      <c r="POD271" s="22"/>
      <c r="POE271" s="22"/>
      <c r="POF271" s="22"/>
      <c r="POG271" s="22"/>
      <c r="POH271" s="22"/>
      <c r="POI271" s="22"/>
      <c r="POJ271" s="22"/>
      <c r="POK271" s="22"/>
      <c r="POL271" s="22"/>
      <c r="POM271" s="22"/>
      <c r="PON271" s="22"/>
      <c r="POO271" s="22"/>
      <c r="POP271" s="22"/>
      <c r="POQ271" s="22"/>
      <c r="POR271" s="22"/>
      <c r="POS271" s="22"/>
      <c r="POT271" s="22"/>
      <c r="POU271" s="22"/>
      <c r="POV271" s="22"/>
      <c r="POW271" s="22"/>
      <c r="POX271" s="22"/>
      <c r="POY271" s="22"/>
      <c r="POZ271" s="22"/>
      <c r="PPA271" s="22"/>
      <c r="PPB271" s="22"/>
      <c r="PPC271" s="22"/>
      <c r="PPD271" s="22"/>
      <c r="PPE271" s="22"/>
      <c r="PPF271" s="22"/>
      <c r="PPG271" s="22"/>
      <c r="PPH271" s="22"/>
      <c r="PPI271" s="22"/>
      <c r="PPJ271" s="22"/>
      <c r="PPK271" s="22"/>
      <c r="PPL271" s="22"/>
      <c r="PPM271" s="22"/>
      <c r="PPN271" s="22"/>
      <c r="PPO271" s="22"/>
      <c r="PPP271" s="22"/>
      <c r="PPQ271" s="22"/>
      <c r="PPR271" s="22"/>
      <c r="PPS271" s="22"/>
      <c r="PPT271" s="22"/>
      <c r="PPU271" s="22"/>
      <c r="PPV271" s="22"/>
      <c r="PPW271" s="22"/>
      <c r="PPX271" s="22"/>
      <c r="PPY271" s="22"/>
      <c r="PPZ271" s="22"/>
      <c r="PQA271" s="22"/>
      <c r="PQB271" s="22"/>
      <c r="PQC271" s="22"/>
      <c r="PQD271" s="22"/>
      <c r="PQE271" s="22"/>
      <c r="PQF271" s="22"/>
      <c r="PQG271" s="22"/>
      <c r="PQH271" s="22"/>
      <c r="PQI271" s="22"/>
      <c r="PQJ271" s="22"/>
      <c r="PQK271" s="22"/>
      <c r="PQL271" s="22"/>
      <c r="PQM271" s="22"/>
      <c r="PQN271" s="22"/>
      <c r="PQO271" s="22"/>
      <c r="PQP271" s="22"/>
      <c r="PQQ271" s="22"/>
      <c r="PQR271" s="22"/>
      <c r="PQS271" s="22"/>
      <c r="PQT271" s="22"/>
      <c r="PQU271" s="22"/>
      <c r="PQV271" s="22"/>
      <c r="PQW271" s="22"/>
      <c r="PQX271" s="22"/>
      <c r="PQY271" s="22"/>
      <c r="PQZ271" s="22"/>
      <c r="PRA271" s="22"/>
      <c r="PRB271" s="22"/>
      <c r="PRC271" s="22"/>
      <c r="PRD271" s="22"/>
      <c r="PRE271" s="22"/>
      <c r="PRF271" s="22"/>
      <c r="PRG271" s="22"/>
      <c r="PRH271" s="22"/>
      <c r="PRI271" s="22"/>
      <c r="PRJ271" s="22"/>
      <c r="PRK271" s="22"/>
      <c r="PRL271" s="22"/>
      <c r="PRM271" s="22"/>
      <c r="PRN271" s="22"/>
      <c r="PRO271" s="22"/>
      <c r="PRP271" s="22"/>
      <c r="PRQ271" s="22"/>
      <c r="PRR271" s="22"/>
      <c r="PRS271" s="22"/>
      <c r="PRT271" s="22"/>
      <c r="PRU271" s="22"/>
      <c r="PRV271" s="22"/>
      <c r="PRW271" s="22"/>
      <c r="PRX271" s="22"/>
      <c r="PRY271" s="22"/>
      <c r="PRZ271" s="22"/>
      <c r="PSA271" s="22"/>
      <c r="PSB271" s="22"/>
      <c r="PSC271" s="22"/>
      <c r="PSD271" s="22"/>
      <c r="PSE271" s="22"/>
      <c r="PSF271" s="22"/>
      <c r="PSG271" s="22"/>
      <c r="PSH271" s="22"/>
      <c r="PSI271" s="22"/>
      <c r="PSJ271" s="22"/>
      <c r="PSK271" s="22"/>
      <c r="PSL271" s="22"/>
      <c r="PSM271" s="22"/>
      <c r="PSN271" s="22"/>
      <c r="PSO271" s="22"/>
      <c r="PSP271" s="22"/>
      <c r="PSQ271" s="22"/>
      <c r="PSR271" s="22"/>
      <c r="PSS271" s="22"/>
      <c r="PST271" s="22"/>
      <c r="PSU271" s="22"/>
      <c r="PSV271" s="22"/>
      <c r="PSW271" s="22"/>
      <c r="PSX271" s="22"/>
      <c r="PSY271" s="22"/>
      <c r="PSZ271" s="22"/>
      <c r="PTA271" s="22"/>
      <c r="PTB271" s="22"/>
      <c r="PTC271" s="22"/>
      <c r="PTD271" s="22"/>
      <c r="PTE271" s="22"/>
      <c r="PTF271" s="22"/>
      <c r="PTG271" s="22"/>
      <c r="PTH271" s="22"/>
      <c r="PTI271" s="22"/>
      <c r="PTJ271" s="22"/>
      <c r="PTK271" s="22"/>
      <c r="PTL271" s="22"/>
      <c r="PTM271" s="22"/>
      <c r="PTN271" s="22"/>
      <c r="PTO271" s="22"/>
      <c r="PTP271" s="22"/>
      <c r="PTQ271" s="22"/>
      <c r="PTR271" s="22"/>
      <c r="PTS271" s="22"/>
      <c r="PTT271" s="22"/>
      <c r="PTU271" s="22"/>
      <c r="PTV271" s="22"/>
      <c r="PTW271" s="22"/>
      <c r="PTX271" s="22"/>
      <c r="PTY271" s="22"/>
      <c r="PTZ271" s="22"/>
      <c r="PUA271" s="22"/>
      <c r="PUB271" s="22"/>
      <c r="PUC271" s="22"/>
      <c r="PUD271" s="22"/>
      <c r="PUE271" s="22"/>
      <c r="PUF271" s="22"/>
      <c r="PUG271" s="22"/>
      <c r="PUH271" s="22"/>
      <c r="PUI271" s="22"/>
      <c r="PUJ271" s="22"/>
      <c r="PUK271" s="22"/>
      <c r="PUL271" s="22"/>
      <c r="PUM271" s="22"/>
      <c r="PUN271" s="22"/>
      <c r="PUO271" s="22"/>
      <c r="PUP271" s="22"/>
      <c r="PUQ271" s="22"/>
      <c r="PUR271" s="22"/>
      <c r="PUS271" s="22"/>
      <c r="PUT271" s="22"/>
      <c r="PUU271" s="22"/>
      <c r="PUV271" s="22"/>
      <c r="PUW271" s="22"/>
      <c r="PUX271" s="22"/>
      <c r="PUY271" s="22"/>
      <c r="PUZ271" s="22"/>
      <c r="PVA271" s="22"/>
      <c r="PVB271" s="22"/>
      <c r="PVC271" s="22"/>
      <c r="PVD271" s="22"/>
      <c r="PVE271" s="22"/>
      <c r="PVF271" s="22"/>
      <c r="PVG271" s="22"/>
      <c r="PVH271" s="22"/>
      <c r="PVI271" s="22"/>
      <c r="PVJ271" s="22"/>
      <c r="PVK271" s="22"/>
      <c r="PVL271" s="22"/>
      <c r="PVM271" s="22"/>
      <c r="PVN271" s="22"/>
      <c r="PVO271" s="22"/>
      <c r="PVP271" s="22"/>
      <c r="PVQ271" s="22"/>
      <c r="PVR271" s="22"/>
      <c r="PVS271" s="22"/>
      <c r="PVT271" s="22"/>
      <c r="PVU271" s="22"/>
      <c r="PVV271" s="22"/>
      <c r="PVW271" s="22"/>
      <c r="PVX271" s="22"/>
      <c r="PVY271" s="22"/>
      <c r="PVZ271" s="22"/>
      <c r="PWA271" s="22"/>
      <c r="PWB271" s="22"/>
      <c r="PWC271" s="22"/>
      <c r="PWD271" s="22"/>
      <c r="PWE271" s="22"/>
      <c r="PWF271" s="22"/>
      <c r="PWG271" s="22"/>
      <c r="PWH271" s="22"/>
      <c r="PWI271" s="22"/>
      <c r="PWJ271" s="22"/>
      <c r="PWK271" s="22"/>
      <c r="PWL271" s="22"/>
      <c r="PWM271" s="22"/>
      <c r="PWN271" s="22"/>
      <c r="PWO271" s="22"/>
      <c r="PWP271" s="22"/>
      <c r="PWQ271" s="22"/>
      <c r="PWR271" s="22"/>
      <c r="PWS271" s="22"/>
      <c r="PWT271" s="22"/>
      <c r="PWU271" s="22"/>
      <c r="PWV271" s="22"/>
      <c r="PWW271" s="22"/>
      <c r="PWX271" s="22"/>
      <c r="PWY271" s="22"/>
      <c r="PWZ271" s="22"/>
      <c r="PXA271" s="22"/>
      <c r="PXB271" s="22"/>
      <c r="PXC271" s="22"/>
      <c r="PXD271" s="22"/>
      <c r="PXE271" s="22"/>
      <c r="PXF271" s="22"/>
      <c r="PXG271" s="22"/>
      <c r="PXH271" s="22"/>
      <c r="PXI271" s="22"/>
      <c r="PXJ271" s="22"/>
      <c r="PXK271" s="22"/>
      <c r="PXL271" s="22"/>
      <c r="PXM271" s="22"/>
      <c r="PXN271" s="22"/>
      <c r="PXO271" s="22"/>
      <c r="PXP271" s="22"/>
      <c r="PXQ271" s="22"/>
      <c r="PXR271" s="22"/>
      <c r="PXS271" s="22"/>
      <c r="PXT271" s="22"/>
      <c r="PXU271" s="22"/>
      <c r="PXV271" s="22"/>
      <c r="PXW271" s="22"/>
      <c r="PXX271" s="22"/>
      <c r="PXY271" s="22"/>
      <c r="PXZ271" s="22"/>
      <c r="PYA271" s="22"/>
      <c r="PYB271" s="22"/>
      <c r="PYC271" s="22"/>
      <c r="PYD271" s="22"/>
      <c r="PYE271" s="22"/>
      <c r="PYF271" s="22"/>
      <c r="PYG271" s="22"/>
      <c r="PYH271" s="22"/>
      <c r="PYI271" s="22"/>
      <c r="PYJ271" s="22"/>
      <c r="PYK271" s="22"/>
      <c r="PYL271" s="22"/>
      <c r="PYM271" s="22"/>
      <c r="PYN271" s="22"/>
      <c r="PYO271" s="22"/>
      <c r="PYP271" s="22"/>
      <c r="PYQ271" s="22"/>
      <c r="PYR271" s="22"/>
      <c r="PYS271" s="22"/>
      <c r="PYT271" s="22"/>
      <c r="PYU271" s="22"/>
      <c r="PYV271" s="22"/>
      <c r="PYW271" s="22"/>
      <c r="PYX271" s="22"/>
      <c r="PYY271" s="22"/>
      <c r="PYZ271" s="22"/>
      <c r="PZA271" s="22"/>
      <c r="PZB271" s="22"/>
      <c r="PZC271" s="22"/>
      <c r="PZD271" s="22"/>
      <c r="PZE271" s="22"/>
      <c r="PZF271" s="22"/>
      <c r="PZG271" s="22"/>
      <c r="PZH271" s="22"/>
      <c r="PZI271" s="22"/>
      <c r="PZJ271" s="22"/>
      <c r="PZK271" s="22"/>
      <c r="PZL271" s="22"/>
      <c r="PZM271" s="22"/>
      <c r="PZN271" s="22"/>
      <c r="PZO271" s="22"/>
      <c r="PZP271" s="22"/>
      <c r="PZQ271" s="22"/>
      <c r="PZR271" s="22"/>
      <c r="PZS271" s="22"/>
      <c r="PZT271" s="22"/>
      <c r="PZU271" s="22"/>
      <c r="PZV271" s="22"/>
      <c r="PZW271" s="22"/>
      <c r="PZX271" s="22"/>
      <c r="PZY271" s="22"/>
      <c r="PZZ271" s="22"/>
      <c r="QAA271" s="22"/>
      <c r="QAB271" s="22"/>
      <c r="QAC271" s="22"/>
      <c r="QAD271" s="22"/>
      <c r="QAE271" s="22"/>
      <c r="QAF271" s="22"/>
      <c r="QAG271" s="22"/>
      <c r="QAH271" s="22"/>
      <c r="QAI271" s="22"/>
      <c r="QAJ271" s="22"/>
      <c r="QAK271" s="22"/>
      <c r="QAL271" s="22"/>
      <c r="QAM271" s="22"/>
      <c r="QAN271" s="22"/>
      <c r="QAO271" s="22"/>
      <c r="QAP271" s="22"/>
      <c r="QAQ271" s="22"/>
      <c r="QAR271" s="22"/>
      <c r="QAS271" s="22"/>
      <c r="QAT271" s="22"/>
      <c r="QAU271" s="22"/>
      <c r="QAV271" s="22"/>
      <c r="QAW271" s="22"/>
      <c r="QAX271" s="22"/>
      <c r="QAY271" s="22"/>
      <c r="QAZ271" s="22"/>
      <c r="QBA271" s="22"/>
      <c r="QBB271" s="22"/>
      <c r="QBC271" s="22"/>
      <c r="QBD271" s="22"/>
      <c r="QBE271" s="22"/>
      <c r="QBF271" s="22"/>
      <c r="QBG271" s="22"/>
      <c r="QBH271" s="22"/>
      <c r="QBI271" s="22"/>
      <c r="QBJ271" s="22"/>
      <c r="QBK271" s="22"/>
      <c r="QBL271" s="22"/>
      <c r="QBM271" s="22"/>
      <c r="QBN271" s="22"/>
      <c r="QBO271" s="22"/>
      <c r="QBP271" s="22"/>
      <c r="QBQ271" s="22"/>
      <c r="QBR271" s="22"/>
      <c r="QBS271" s="22"/>
      <c r="QBT271" s="22"/>
      <c r="QBU271" s="22"/>
      <c r="QBV271" s="22"/>
      <c r="QBW271" s="22"/>
      <c r="QBX271" s="22"/>
      <c r="QBY271" s="22"/>
      <c r="QBZ271" s="22"/>
      <c r="QCA271" s="22"/>
      <c r="QCB271" s="22"/>
      <c r="QCC271" s="22"/>
      <c r="QCD271" s="22"/>
      <c r="QCE271" s="22"/>
      <c r="QCF271" s="22"/>
      <c r="QCG271" s="22"/>
      <c r="QCH271" s="22"/>
      <c r="QCI271" s="22"/>
      <c r="QCJ271" s="22"/>
      <c r="QCK271" s="22"/>
      <c r="QCL271" s="22"/>
      <c r="QCM271" s="22"/>
      <c r="QCN271" s="22"/>
      <c r="QCO271" s="22"/>
      <c r="QCP271" s="22"/>
      <c r="QCQ271" s="22"/>
      <c r="QCR271" s="22"/>
      <c r="QCS271" s="22"/>
      <c r="QCT271" s="22"/>
      <c r="QCU271" s="22"/>
      <c r="QCV271" s="22"/>
      <c r="QCW271" s="22"/>
      <c r="QCX271" s="22"/>
      <c r="QCY271" s="22"/>
      <c r="QCZ271" s="22"/>
      <c r="QDA271" s="22"/>
      <c r="QDB271" s="22"/>
      <c r="QDC271" s="22"/>
      <c r="QDD271" s="22"/>
      <c r="QDE271" s="22"/>
      <c r="QDF271" s="22"/>
      <c r="QDG271" s="22"/>
      <c r="QDH271" s="22"/>
      <c r="QDI271" s="22"/>
      <c r="QDJ271" s="22"/>
      <c r="QDK271" s="22"/>
      <c r="QDL271" s="22"/>
      <c r="QDM271" s="22"/>
      <c r="QDN271" s="22"/>
      <c r="QDO271" s="22"/>
      <c r="QDP271" s="22"/>
      <c r="QDQ271" s="22"/>
      <c r="QDR271" s="22"/>
      <c r="QDS271" s="22"/>
      <c r="QDT271" s="22"/>
      <c r="QDU271" s="22"/>
      <c r="QDV271" s="22"/>
      <c r="QDW271" s="22"/>
      <c r="QDX271" s="22"/>
      <c r="QDY271" s="22"/>
      <c r="QDZ271" s="22"/>
      <c r="QEA271" s="22"/>
      <c r="QEB271" s="22"/>
      <c r="QEC271" s="22"/>
      <c r="QED271" s="22"/>
      <c r="QEE271" s="22"/>
      <c r="QEF271" s="22"/>
      <c r="QEG271" s="22"/>
      <c r="QEH271" s="22"/>
      <c r="QEI271" s="22"/>
      <c r="QEJ271" s="22"/>
      <c r="QEK271" s="22"/>
      <c r="QEL271" s="22"/>
      <c r="QEM271" s="22"/>
      <c r="QEN271" s="22"/>
      <c r="QEO271" s="22"/>
      <c r="QEP271" s="22"/>
      <c r="QEQ271" s="22"/>
      <c r="QER271" s="22"/>
      <c r="QES271" s="22"/>
      <c r="QET271" s="22"/>
      <c r="QEU271" s="22"/>
      <c r="QEV271" s="22"/>
      <c r="QEW271" s="22"/>
      <c r="QEX271" s="22"/>
      <c r="QEY271" s="22"/>
      <c r="QEZ271" s="22"/>
      <c r="QFA271" s="22"/>
      <c r="QFB271" s="22"/>
      <c r="QFC271" s="22"/>
      <c r="QFD271" s="22"/>
      <c r="QFE271" s="22"/>
      <c r="QFF271" s="22"/>
      <c r="QFG271" s="22"/>
      <c r="QFH271" s="22"/>
      <c r="QFI271" s="22"/>
      <c r="QFJ271" s="22"/>
      <c r="QFK271" s="22"/>
      <c r="QFL271" s="22"/>
      <c r="QFM271" s="22"/>
      <c r="QFN271" s="22"/>
      <c r="QFO271" s="22"/>
      <c r="QFP271" s="22"/>
      <c r="QFQ271" s="22"/>
      <c r="QFR271" s="22"/>
      <c r="QFS271" s="22"/>
      <c r="QFT271" s="22"/>
      <c r="QFU271" s="22"/>
      <c r="QFV271" s="22"/>
      <c r="QFW271" s="22"/>
      <c r="QFX271" s="22"/>
      <c r="QFY271" s="22"/>
      <c r="QFZ271" s="22"/>
      <c r="QGA271" s="22"/>
      <c r="QGB271" s="22"/>
      <c r="QGC271" s="22"/>
      <c r="QGD271" s="22"/>
      <c r="QGE271" s="22"/>
      <c r="QGF271" s="22"/>
      <c r="QGG271" s="22"/>
      <c r="QGH271" s="22"/>
      <c r="QGI271" s="22"/>
      <c r="QGJ271" s="22"/>
      <c r="QGK271" s="22"/>
      <c r="QGL271" s="22"/>
      <c r="QGM271" s="22"/>
      <c r="QGN271" s="22"/>
      <c r="QGO271" s="22"/>
      <c r="QGP271" s="22"/>
      <c r="QGQ271" s="22"/>
      <c r="QGR271" s="22"/>
      <c r="QGS271" s="22"/>
      <c r="QGT271" s="22"/>
      <c r="QGU271" s="22"/>
      <c r="QGV271" s="22"/>
      <c r="QGW271" s="22"/>
      <c r="QGX271" s="22"/>
      <c r="QGY271" s="22"/>
      <c r="QGZ271" s="22"/>
      <c r="QHA271" s="22"/>
      <c r="QHB271" s="22"/>
      <c r="QHC271" s="22"/>
      <c r="QHD271" s="22"/>
      <c r="QHE271" s="22"/>
      <c r="QHF271" s="22"/>
      <c r="QHG271" s="22"/>
      <c r="QHH271" s="22"/>
      <c r="QHI271" s="22"/>
      <c r="QHJ271" s="22"/>
      <c r="QHK271" s="22"/>
      <c r="QHL271" s="22"/>
      <c r="QHM271" s="22"/>
      <c r="QHN271" s="22"/>
      <c r="QHO271" s="22"/>
      <c r="QHP271" s="22"/>
      <c r="QHQ271" s="22"/>
      <c r="QHR271" s="22"/>
      <c r="QHS271" s="22"/>
      <c r="QHT271" s="22"/>
      <c r="QHU271" s="22"/>
      <c r="QHV271" s="22"/>
      <c r="QHW271" s="22"/>
      <c r="QHX271" s="22"/>
      <c r="QHY271" s="22"/>
      <c r="QHZ271" s="22"/>
      <c r="QIA271" s="22"/>
      <c r="QIB271" s="22"/>
      <c r="QIC271" s="22"/>
      <c r="QID271" s="22"/>
      <c r="QIE271" s="22"/>
      <c r="QIF271" s="22"/>
      <c r="QIG271" s="22"/>
      <c r="QIH271" s="22"/>
      <c r="QII271" s="22"/>
      <c r="QIJ271" s="22"/>
      <c r="QIK271" s="22"/>
      <c r="QIL271" s="22"/>
      <c r="QIM271" s="22"/>
      <c r="QIN271" s="22"/>
      <c r="QIO271" s="22"/>
      <c r="QIP271" s="22"/>
      <c r="QIQ271" s="22"/>
      <c r="QIR271" s="22"/>
      <c r="QIS271" s="22"/>
      <c r="QIT271" s="22"/>
      <c r="QIU271" s="22"/>
      <c r="QIV271" s="22"/>
      <c r="QIW271" s="22"/>
      <c r="QIX271" s="22"/>
      <c r="QIY271" s="22"/>
      <c r="QIZ271" s="22"/>
      <c r="QJA271" s="22"/>
      <c r="QJB271" s="22"/>
      <c r="QJC271" s="22"/>
      <c r="QJD271" s="22"/>
      <c r="QJE271" s="22"/>
      <c r="QJF271" s="22"/>
      <c r="QJG271" s="22"/>
      <c r="QJH271" s="22"/>
      <c r="QJI271" s="22"/>
      <c r="QJJ271" s="22"/>
      <c r="QJK271" s="22"/>
      <c r="QJL271" s="22"/>
      <c r="QJM271" s="22"/>
      <c r="QJN271" s="22"/>
      <c r="QJO271" s="22"/>
      <c r="QJP271" s="22"/>
      <c r="QJQ271" s="22"/>
      <c r="QJR271" s="22"/>
      <c r="QJS271" s="22"/>
      <c r="QJT271" s="22"/>
      <c r="QJU271" s="22"/>
      <c r="QJV271" s="22"/>
      <c r="QJW271" s="22"/>
      <c r="QJX271" s="22"/>
      <c r="QJY271" s="22"/>
      <c r="QJZ271" s="22"/>
      <c r="QKA271" s="22"/>
      <c r="QKB271" s="22"/>
      <c r="QKC271" s="22"/>
      <c r="QKD271" s="22"/>
      <c r="QKE271" s="22"/>
      <c r="QKF271" s="22"/>
      <c r="QKG271" s="22"/>
      <c r="QKH271" s="22"/>
      <c r="QKI271" s="22"/>
      <c r="QKJ271" s="22"/>
      <c r="QKK271" s="22"/>
      <c r="QKL271" s="22"/>
      <c r="QKM271" s="22"/>
      <c r="QKN271" s="22"/>
      <c r="QKO271" s="22"/>
      <c r="QKP271" s="22"/>
      <c r="QKQ271" s="22"/>
      <c r="QKR271" s="22"/>
      <c r="QKS271" s="22"/>
      <c r="QKT271" s="22"/>
      <c r="QKU271" s="22"/>
      <c r="QKV271" s="22"/>
      <c r="QKW271" s="22"/>
      <c r="QKX271" s="22"/>
      <c r="QKY271" s="22"/>
      <c r="QKZ271" s="22"/>
      <c r="QLA271" s="22"/>
      <c r="QLB271" s="22"/>
      <c r="QLC271" s="22"/>
      <c r="QLD271" s="22"/>
      <c r="QLE271" s="22"/>
      <c r="QLF271" s="22"/>
      <c r="QLG271" s="22"/>
      <c r="QLH271" s="22"/>
      <c r="QLI271" s="22"/>
      <c r="QLJ271" s="22"/>
      <c r="QLK271" s="22"/>
      <c r="QLL271" s="22"/>
      <c r="QLM271" s="22"/>
      <c r="QLN271" s="22"/>
      <c r="QLO271" s="22"/>
      <c r="QLP271" s="22"/>
      <c r="QLQ271" s="22"/>
      <c r="QLR271" s="22"/>
      <c r="QLS271" s="22"/>
      <c r="QLT271" s="22"/>
      <c r="QLU271" s="22"/>
      <c r="QLV271" s="22"/>
      <c r="QLW271" s="22"/>
      <c r="QLX271" s="22"/>
      <c r="QLY271" s="22"/>
      <c r="QLZ271" s="22"/>
      <c r="QMA271" s="22"/>
      <c r="QMB271" s="22"/>
      <c r="QMC271" s="22"/>
      <c r="QMD271" s="22"/>
      <c r="QME271" s="22"/>
      <c r="QMF271" s="22"/>
      <c r="QMG271" s="22"/>
      <c r="QMH271" s="22"/>
      <c r="QMI271" s="22"/>
      <c r="QMJ271" s="22"/>
      <c r="QMK271" s="22"/>
      <c r="QML271" s="22"/>
      <c r="QMM271" s="22"/>
      <c r="QMN271" s="22"/>
      <c r="QMO271" s="22"/>
      <c r="QMP271" s="22"/>
      <c r="QMQ271" s="22"/>
      <c r="QMR271" s="22"/>
      <c r="QMS271" s="22"/>
      <c r="QMT271" s="22"/>
      <c r="QMU271" s="22"/>
      <c r="QMV271" s="22"/>
      <c r="QMW271" s="22"/>
      <c r="QMX271" s="22"/>
      <c r="QMY271" s="22"/>
      <c r="QMZ271" s="22"/>
      <c r="QNA271" s="22"/>
      <c r="QNB271" s="22"/>
      <c r="QNC271" s="22"/>
      <c r="QND271" s="22"/>
      <c r="QNE271" s="22"/>
      <c r="QNF271" s="22"/>
      <c r="QNG271" s="22"/>
      <c r="QNH271" s="22"/>
      <c r="QNI271" s="22"/>
      <c r="QNJ271" s="22"/>
      <c r="QNK271" s="22"/>
      <c r="QNL271" s="22"/>
      <c r="QNM271" s="22"/>
      <c r="QNN271" s="22"/>
      <c r="QNO271" s="22"/>
      <c r="QNP271" s="22"/>
      <c r="QNQ271" s="22"/>
      <c r="QNR271" s="22"/>
      <c r="QNS271" s="22"/>
      <c r="QNT271" s="22"/>
      <c r="QNU271" s="22"/>
      <c r="QNV271" s="22"/>
      <c r="QNW271" s="22"/>
      <c r="QNX271" s="22"/>
      <c r="QNY271" s="22"/>
      <c r="QNZ271" s="22"/>
      <c r="QOA271" s="22"/>
      <c r="QOB271" s="22"/>
      <c r="QOC271" s="22"/>
      <c r="QOD271" s="22"/>
      <c r="QOE271" s="22"/>
      <c r="QOF271" s="22"/>
      <c r="QOG271" s="22"/>
      <c r="QOH271" s="22"/>
      <c r="QOI271" s="22"/>
      <c r="QOJ271" s="22"/>
      <c r="QOK271" s="22"/>
      <c r="QOL271" s="22"/>
      <c r="QOM271" s="22"/>
      <c r="QON271" s="22"/>
      <c r="QOO271" s="22"/>
      <c r="QOP271" s="22"/>
      <c r="QOQ271" s="22"/>
      <c r="QOR271" s="22"/>
      <c r="QOS271" s="22"/>
      <c r="QOT271" s="22"/>
      <c r="QOU271" s="22"/>
      <c r="QOV271" s="22"/>
      <c r="QOW271" s="22"/>
      <c r="QOX271" s="22"/>
      <c r="QOY271" s="22"/>
      <c r="QOZ271" s="22"/>
      <c r="QPA271" s="22"/>
      <c r="QPB271" s="22"/>
      <c r="QPC271" s="22"/>
      <c r="QPD271" s="22"/>
      <c r="QPE271" s="22"/>
      <c r="QPF271" s="22"/>
      <c r="QPG271" s="22"/>
      <c r="QPH271" s="22"/>
      <c r="QPI271" s="22"/>
      <c r="QPJ271" s="22"/>
      <c r="QPK271" s="22"/>
      <c r="QPL271" s="22"/>
      <c r="QPM271" s="22"/>
      <c r="QPN271" s="22"/>
      <c r="QPO271" s="22"/>
      <c r="QPP271" s="22"/>
      <c r="QPQ271" s="22"/>
      <c r="QPR271" s="22"/>
      <c r="QPS271" s="22"/>
      <c r="QPT271" s="22"/>
      <c r="QPU271" s="22"/>
      <c r="QPV271" s="22"/>
      <c r="QPW271" s="22"/>
      <c r="QPX271" s="22"/>
      <c r="QPY271" s="22"/>
      <c r="QPZ271" s="22"/>
      <c r="QQA271" s="22"/>
      <c r="QQB271" s="22"/>
      <c r="QQC271" s="22"/>
      <c r="QQD271" s="22"/>
      <c r="QQE271" s="22"/>
      <c r="QQF271" s="22"/>
      <c r="QQG271" s="22"/>
      <c r="QQH271" s="22"/>
      <c r="QQI271" s="22"/>
      <c r="QQJ271" s="22"/>
      <c r="QQK271" s="22"/>
      <c r="QQL271" s="22"/>
      <c r="QQM271" s="22"/>
      <c r="QQN271" s="22"/>
      <c r="QQO271" s="22"/>
      <c r="QQP271" s="22"/>
      <c r="QQQ271" s="22"/>
      <c r="QQR271" s="22"/>
      <c r="QQS271" s="22"/>
      <c r="QQT271" s="22"/>
      <c r="QQU271" s="22"/>
      <c r="QQV271" s="22"/>
      <c r="QQW271" s="22"/>
      <c r="QQX271" s="22"/>
      <c r="QQY271" s="22"/>
      <c r="QQZ271" s="22"/>
      <c r="QRA271" s="22"/>
      <c r="QRB271" s="22"/>
      <c r="QRC271" s="22"/>
      <c r="QRD271" s="22"/>
      <c r="QRE271" s="22"/>
      <c r="QRF271" s="22"/>
      <c r="QRG271" s="22"/>
      <c r="QRH271" s="22"/>
      <c r="QRI271" s="22"/>
      <c r="QRJ271" s="22"/>
      <c r="QRK271" s="22"/>
      <c r="QRL271" s="22"/>
      <c r="QRM271" s="22"/>
      <c r="QRN271" s="22"/>
      <c r="QRO271" s="22"/>
      <c r="QRP271" s="22"/>
      <c r="QRQ271" s="22"/>
      <c r="QRR271" s="22"/>
      <c r="QRS271" s="22"/>
      <c r="QRT271" s="22"/>
      <c r="QRU271" s="22"/>
      <c r="QRV271" s="22"/>
      <c r="QRW271" s="22"/>
      <c r="QRX271" s="22"/>
      <c r="QRY271" s="22"/>
      <c r="QRZ271" s="22"/>
      <c r="QSA271" s="22"/>
      <c r="QSB271" s="22"/>
      <c r="QSC271" s="22"/>
      <c r="QSD271" s="22"/>
      <c r="QSE271" s="22"/>
      <c r="QSF271" s="22"/>
      <c r="QSG271" s="22"/>
      <c r="QSH271" s="22"/>
      <c r="QSI271" s="22"/>
      <c r="QSJ271" s="22"/>
      <c r="QSK271" s="22"/>
      <c r="QSL271" s="22"/>
      <c r="QSM271" s="22"/>
      <c r="QSN271" s="22"/>
      <c r="QSO271" s="22"/>
      <c r="QSP271" s="22"/>
      <c r="QSQ271" s="22"/>
      <c r="QSR271" s="22"/>
      <c r="QSS271" s="22"/>
      <c r="QST271" s="22"/>
      <c r="QSU271" s="22"/>
      <c r="QSV271" s="22"/>
      <c r="QSW271" s="22"/>
      <c r="QSX271" s="22"/>
      <c r="QSY271" s="22"/>
      <c r="QSZ271" s="22"/>
      <c r="QTA271" s="22"/>
      <c r="QTB271" s="22"/>
      <c r="QTC271" s="22"/>
      <c r="QTD271" s="22"/>
      <c r="QTE271" s="22"/>
      <c r="QTF271" s="22"/>
      <c r="QTG271" s="22"/>
      <c r="QTH271" s="22"/>
      <c r="QTI271" s="22"/>
      <c r="QTJ271" s="22"/>
      <c r="QTK271" s="22"/>
      <c r="QTL271" s="22"/>
      <c r="QTM271" s="22"/>
      <c r="QTN271" s="22"/>
      <c r="QTO271" s="22"/>
      <c r="QTP271" s="22"/>
      <c r="QTQ271" s="22"/>
      <c r="QTR271" s="22"/>
      <c r="QTS271" s="22"/>
      <c r="QTT271" s="22"/>
      <c r="QTU271" s="22"/>
      <c r="QTV271" s="22"/>
      <c r="QTW271" s="22"/>
      <c r="QTX271" s="22"/>
      <c r="QTY271" s="22"/>
      <c r="QTZ271" s="22"/>
      <c r="QUA271" s="22"/>
      <c r="QUB271" s="22"/>
      <c r="QUC271" s="22"/>
      <c r="QUD271" s="22"/>
      <c r="QUE271" s="22"/>
      <c r="QUF271" s="22"/>
      <c r="QUG271" s="22"/>
      <c r="QUH271" s="22"/>
      <c r="QUI271" s="22"/>
      <c r="QUJ271" s="22"/>
      <c r="QUK271" s="22"/>
      <c r="QUL271" s="22"/>
      <c r="QUM271" s="22"/>
      <c r="QUN271" s="22"/>
      <c r="QUO271" s="22"/>
      <c r="QUP271" s="22"/>
      <c r="QUQ271" s="22"/>
      <c r="QUR271" s="22"/>
      <c r="QUS271" s="22"/>
      <c r="QUT271" s="22"/>
      <c r="QUU271" s="22"/>
      <c r="QUV271" s="22"/>
      <c r="QUW271" s="22"/>
      <c r="QUX271" s="22"/>
      <c r="QUY271" s="22"/>
      <c r="QUZ271" s="22"/>
      <c r="QVA271" s="22"/>
      <c r="QVB271" s="22"/>
      <c r="QVC271" s="22"/>
      <c r="QVD271" s="22"/>
      <c r="QVE271" s="22"/>
      <c r="QVF271" s="22"/>
      <c r="QVG271" s="22"/>
      <c r="QVH271" s="22"/>
      <c r="QVI271" s="22"/>
      <c r="QVJ271" s="22"/>
      <c r="QVK271" s="22"/>
      <c r="QVL271" s="22"/>
      <c r="QVM271" s="22"/>
      <c r="QVN271" s="22"/>
      <c r="QVO271" s="22"/>
      <c r="QVP271" s="22"/>
      <c r="QVQ271" s="22"/>
      <c r="QVR271" s="22"/>
      <c r="QVS271" s="22"/>
      <c r="QVT271" s="22"/>
      <c r="QVU271" s="22"/>
      <c r="QVV271" s="22"/>
      <c r="QVW271" s="22"/>
      <c r="QVX271" s="22"/>
      <c r="QVY271" s="22"/>
      <c r="QVZ271" s="22"/>
      <c r="QWA271" s="22"/>
      <c r="QWB271" s="22"/>
      <c r="QWC271" s="22"/>
      <c r="QWD271" s="22"/>
      <c r="QWE271" s="22"/>
      <c r="QWF271" s="22"/>
      <c r="QWG271" s="22"/>
      <c r="QWH271" s="22"/>
      <c r="QWI271" s="22"/>
      <c r="QWJ271" s="22"/>
      <c r="QWK271" s="22"/>
      <c r="QWL271" s="22"/>
      <c r="QWM271" s="22"/>
      <c r="QWN271" s="22"/>
      <c r="QWO271" s="22"/>
      <c r="QWP271" s="22"/>
      <c r="QWQ271" s="22"/>
      <c r="QWR271" s="22"/>
      <c r="QWS271" s="22"/>
      <c r="QWT271" s="22"/>
      <c r="QWU271" s="22"/>
      <c r="QWV271" s="22"/>
      <c r="QWW271" s="22"/>
      <c r="QWX271" s="22"/>
      <c r="QWY271" s="22"/>
      <c r="QWZ271" s="22"/>
      <c r="QXA271" s="22"/>
      <c r="QXB271" s="22"/>
      <c r="QXC271" s="22"/>
      <c r="QXD271" s="22"/>
      <c r="QXE271" s="22"/>
      <c r="QXF271" s="22"/>
      <c r="QXG271" s="22"/>
      <c r="QXH271" s="22"/>
      <c r="QXI271" s="22"/>
      <c r="QXJ271" s="22"/>
      <c r="QXK271" s="22"/>
      <c r="QXL271" s="22"/>
      <c r="QXM271" s="22"/>
      <c r="QXN271" s="22"/>
      <c r="QXO271" s="22"/>
      <c r="QXP271" s="22"/>
      <c r="QXQ271" s="22"/>
      <c r="QXR271" s="22"/>
      <c r="QXS271" s="22"/>
      <c r="QXT271" s="22"/>
      <c r="QXU271" s="22"/>
      <c r="QXV271" s="22"/>
      <c r="QXW271" s="22"/>
      <c r="QXX271" s="22"/>
      <c r="QXY271" s="22"/>
      <c r="QXZ271" s="22"/>
      <c r="QYA271" s="22"/>
      <c r="QYB271" s="22"/>
      <c r="QYC271" s="22"/>
      <c r="QYD271" s="22"/>
      <c r="QYE271" s="22"/>
      <c r="QYF271" s="22"/>
      <c r="QYG271" s="22"/>
      <c r="QYH271" s="22"/>
      <c r="QYI271" s="22"/>
      <c r="QYJ271" s="22"/>
      <c r="QYK271" s="22"/>
      <c r="QYL271" s="22"/>
      <c r="QYM271" s="22"/>
      <c r="QYN271" s="22"/>
      <c r="QYO271" s="22"/>
      <c r="QYP271" s="22"/>
      <c r="QYQ271" s="22"/>
      <c r="QYR271" s="22"/>
      <c r="QYS271" s="22"/>
      <c r="QYT271" s="22"/>
      <c r="QYU271" s="22"/>
      <c r="QYV271" s="22"/>
      <c r="QYW271" s="22"/>
      <c r="QYX271" s="22"/>
      <c r="QYY271" s="22"/>
      <c r="QYZ271" s="22"/>
      <c r="QZA271" s="22"/>
      <c r="QZB271" s="22"/>
      <c r="QZC271" s="22"/>
      <c r="QZD271" s="22"/>
      <c r="QZE271" s="22"/>
      <c r="QZF271" s="22"/>
      <c r="QZG271" s="22"/>
      <c r="QZH271" s="22"/>
      <c r="QZI271" s="22"/>
      <c r="QZJ271" s="22"/>
      <c r="QZK271" s="22"/>
      <c r="QZL271" s="22"/>
      <c r="QZM271" s="22"/>
      <c r="QZN271" s="22"/>
      <c r="QZO271" s="22"/>
      <c r="QZP271" s="22"/>
      <c r="QZQ271" s="22"/>
      <c r="QZR271" s="22"/>
      <c r="QZS271" s="22"/>
      <c r="QZT271" s="22"/>
      <c r="QZU271" s="22"/>
      <c r="QZV271" s="22"/>
      <c r="QZW271" s="22"/>
      <c r="QZX271" s="22"/>
      <c r="QZY271" s="22"/>
      <c r="QZZ271" s="22"/>
      <c r="RAA271" s="22"/>
      <c r="RAB271" s="22"/>
      <c r="RAC271" s="22"/>
      <c r="RAD271" s="22"/>
      <c r="RAE271" s="22"/>
      <c r="RAF271" s="22"/>
      <c r="RAG271" s="22"/>
      <c r="RAH271" s="22"/>
      <c r="RAI271" s="22"/>
      <c r="RAJ271" s="22"/>
      <c r="RAK271" s="22"/>
      <c r="RAL271" s="22"/>
      <c r="RAM271" s="22"/>
      <c r="RAN271" s="22"/>
      <c r="RAO271" s="22"/>
      <c r="RAP271" s="22"/>
      <c r="RAQ271" s="22"/>
      <c r="RAR271" s="22"/>
      <c r="RAS271" s="22"/>
      <c r="RAT271" s="22"/>
      <c r="RAU271" s="22"/>
      <c r="RAV271" s="22"/>
      <c r="RAW271" s="22"/>
      <c r="RAX271" s="22"/>
      <c r="RAY271" s="22"/>
      <c r="RAZ271" s="22"/>
      <c r="RBA271" s="22"/>
      <c r="RBB271" s="22"/>
      <c r="RBC271" s="22"/>
      <c r="RBD271" s="22"/>
      <c r="RBE271" s="22"/>
      <c r="RBF271" s="22"/>
      <c r="RBG271" s="22"/>
      <c r="RBH271" s="22"/>
      <c r="RBI271" s="22"/>
      <c r="RBJ271" s="22"/>
      <c r="RBK271" s="22"/>
      <c r="RBL271" s="22"/>
      <c r="RBM271" s="22"/>
      <c r="RBN271" s="22"/>
      <c r="RBO271" s="22"/>
      <c r="RBP271" s="22"/>
      <c r="RBQ271" s="22"/>
      <c r="RBR271" s="22"/>
      <c r="RBS271" s="22"/>
      <c r="RBT271" s="22"/>
      <c r="RBU271" s="22"/>
      <c r="RBV271" s="22"/>
      <c r="RBW271" s="22"/>
      <c r="RBX271" s="22"/>
      <c r="RBY271" s="22"/>
      <c r="RBZ271" s="22"/>
      <c r="RCA271" s="22"/>
      <c r="RCB271" s="22"/>
      <c r="RCC271" s="22"/>
      <c r="RCD271" s="22"/>
      <c r="RCE271" s="22"/>
      <c r="RCF271" s="22"/>
      <c r="RCG271" s="22"/>
      <c r="RCH271" s="22"/>
      <c r="RCI271" s="22"/>
      <c r="RCJ271" s="22"/>
      <c r="RCK271" s="22"/>
      <c r="RCL271" s="22"/>
      <c r="RCM271" s="22"/>
      <c r="RCN271" s="22"/>
      <c r="RCO271" s="22"/>
      <c r="RCP271" s="22"/>
      <c r="RCQ271" s="22"/>
      <c r="RCR271" s="22"/>
      <c r="RCS271" s="22"/>
      <c r="RCT271" s="22"/>
      <c r="RCU271" s="22"/>
      <c r="RCV271" s="22"/>
      <c r="RCW271" s="22"/>
      <c r="RCX271" s="22"/>
      <c r="RCY271" s="22"/>
      <c r="RCZ271" s="22"/>
      <c r="RDA271" s="22"/>
      <c r="RDB271" s="22"/>
      <c r="RDC271" s="22"/>
      <c r="RDD271" s="22"/>
      <c r="RDE271" s="22"/>
      <c r="RDF271" s="22"/>
      <c r="RDG271" s="22"/>
      <c r="RDH271" s="22"/>
      <c r="RDI271" s="22"/>
      <c r="RDJ271" s="22"/>
      <c r="RDK271" s="22"/>
      <c r="RDL271" s="22"/>
      <c r="RDM271" s="22"/>
      <c r="RDN271" s="22"/>
      <c r="RDO271" s="22"/>
      <c r="RDP271" s="22"/>
      <c r="RDQ271" s="22"/>
      <c r="RDR271" s="22"/>
      <c r="RDS271" s="22"/>
      <c r="RDT271" s="22"/>
      <c r="RDU271" s="22"/>
      <c r="RDV271" s="22"/>
      <c r="RDW271" s="22"/>
      <c r="RDX271" s="22"/>
      <c r="RDY271" s="22"/>
      <c r="RDZ271" s="22"/>
      <c r="REA271" s="22"/>
      <c r="REB271" s="22"/>
      <c r="REC271" s="22"/>
      <c r="RED271" s="22"/>
      <c r="REE271" s="22"/>
      <c r="REF271" s="22"/>
      <c r="REG271" s="22"/>
      <c r="REH271" s="22"/>
      <c r="REI271" s="22"/>
      <c r="REJ271" s="22"/>
      <c r="REK271" s="22"/>
      <c r="REL271" s="22"/>
      <c r="REM271" s="22"/>
      <c r="REN271" s="22"/>
      <c r="REO271" s="22"/>
      <c r="REP271" s="22"/>
      <c r="REQ271" s="22"/>
      <c r="RER271" s="22"/>
      <c r="RES271" s="22"/>
      <c r="RET271" s="22"/>
      <c r="REU271" s="22"/>
      <c r="REV271" s="22"/>
      <c r="REW271" s="22"/>
      <c r="REX271" s="22"/>
      <c r="REY271" s="22"/>
      <c r="REZ271" s="22"/>
      <c r="RFA271" s="22"/>
      <c r="RFB271" s="22"/>
      <c r="RFC271" s="22"/>
      <c r="RFD271" s="22"/>
      <c r="RFE271" s="22"/>
      <c r="RFF271" s="22"/>
      <c r="RFG271" s="22"/>
      <c r="RFH271" s="22"/>
      <c r="RFI271" s="22"/>
      <c r="RFJ271" s="22"/>
      <c r="RFK271" s="22"/>
      <c r="RFL271" s="22"/>
      <c r="RFM271" s="22"/>
      <c r="RFN271" s="22"/>
      <c r="RFO271" s="22"/>
      <c r="RFP271" s="22"/>
      <c r="RFQ271" s="22"/>
      <c r="RFR271" s="22"/>
      <c r="RFS271" s="22"/>
      <c r="RFT271" s="22"/>
      <c r="RFU271" s="22"/>
      <c r="RFV271" s="22"/>
      <c r="RFW271" s="22"/>
      <c r="RFX271" s="22"/>
      <c r="RFY271" s="22"/>
      <c r="RFZ271" s="22"/>
      <c r="RGA271" s="22"/>
      <c r="RGB271" s="22"/>
      <c r="RGC271" s="22"/>
      <c r="RGD271" s="22"/>
      <c r="RGE271" s="22"/>
      <c r="RGF271" s="22"/>
      <c r="RGG271" s="22"/>
      <c r="RGH271" s="22"/>
      <c r="RGI271" s="22"/>
      <c r="RGJ271" s="22"/>
      <c r="RGK271" s="22"/>
      <c r="RGL271" s="22"/>
      <c r="RGM271" s="22"/>
      <c r="RGN271" s="22"/>
      <c r="RGO271" s="22"/>
      <c r="RGP271" s="22"/>
      <c r="RGQ271" s="22"/>
      <c r="RGR271" s="22"/>
      <c r="RGS271" s="22"/>
      <c r="RGT271" s="22"/>
      <c r="RGU271" s="22"/>
      <c r="RGV271" s="22"/>
      <c r="RGW271" s="22"/>
      <c r="RGX271" s="22"/>
      <c r="RGY271" s="22"/>
      <c r="RGZ271" s="22"/>
      <c r="RHA271" s="22"/>
      <c r="RHB271" s="22"/>
      <c r="RHC271" s="22"/>
      <c r="RHD271" s="22"/>
      <c r="RHE271" s="22"/>
      <c r="RHF271" s="22"/>
      <c r="RHG271" s="22"/>
      <c r="RHH271" s="22"/>
      <c r="RHI271" s="22"/>
      <c r="RHJ271" s="22"/>
      <c r="RHK271" s="22"/>
      <c r="RHL271" s="22"/>
      <c r="RHM271" s="22"/>
      <c r="RHN271" s="22"/>
      <c r="RHO271" s="22"/>
      <c r="RHP271" s="22"/>
      <c r="RHQ271" s="22"/>
      <c r="RHR271" s="22"/>
      <c r="RHS271" s="22"/>
      <c r="RHT271" s="22"/>
      <c r="RHU271" s="22"/>
      <c r="RHV271" s="22"/>
      <c r="RHW271" s="22"/>
      <c r="RHX271" s="22"/>
      <c r="RHY271" s="22"/>
      <c r="RHZ271" s="22"/>
      <c r="RIA271" s="22"/>
      <c r="RIB271" s="22"/>
      <c r="RIC271" s="22"/>
      <c r="RID271" s="22"/>
      <c r="RIE271" s="22"/>
      <c r="RIF271" s="22"/>
      <c r="RIG271" s="22"/>
      <c r="RIH271" s="22"/>
      <c r="RII271" s="22"/>
      <c r="RIJ271" s="22"/>
      <c r="RIK271" s="22"/>
      <c r="RIL271" s="22"/>
      <c r="RIM271" s="22"/>
      <c r="RIN271" s="22"/>
      <c r="RIO271" s="22"/>
      <c r="RIP271" s="22"/>
      <c r="RIQ271" s="22"/>
      <c r="RIR271" s="22"/>
      <c r="RIS271" s="22"/>
      <c r="RIT271" s="22"/>
      <c r="RIU271" s="22"/>
      <c r="RIV271" s="22"/>
      <c r="RIW271" s="22"/>
      <c r="RIX271" s="22"/>
      <c r="RIY271" s="22"/>
      <c r="RIZ271" s="22"/>
      <c r="RJA271" s="22"/>
      <c r="RJB271" s="22"/>
      <c r="RJC271" s="22"/>
      <c r="RJD271" s="22"/>
      <c r="RJE271" s="22"/>
      <c r="RJF271" s="22"/>
      <c r="RJG271" s="22"/>
      <c r="RJH271" s="22"/>
      <c r="RJI271" s="22"/>
      <c r="RJJ271" s="22"/>
      <c r="RJK271" s="22"/>
      <c r="RJL271" s="22"/>
      <c r="RJM271" s="22"/>
      <c r="RJN271" s="22"/>
      <c r="RJO271" s="22"/>
      <c r="RJP271" s="22"/>
      <c r="RJQ271" s="22"/>
      <c r="RJR271" s="22"/>
      <c r="RJS271" s="22"/>
      <c r="RJT271" s="22"/>
      <c r="RJU271" s="22"/>
      <c r="RJV271" s="22"/>
      <c r="RJW271" s="22"/>
      <c r="RJX271" s="22"/>
      <c r="RJY271" s="22"/>
      <c r="RJZ271" s="22"/>
      <c r="RKA271" s="22"/>
      <c r="RKB271" s="22"/>
      <c r="RKC271" s="22"/>
      <c r="RKD271" s="22"/>
      <c r="RKE271" s="22"/>
      <c r="RKF271" s="22"/>
      <c r="RKG271" s="22"/>
      <c r="RKH271" s="22"/>
      <c r="RKI271" s="22"/>
      <c r="RKJ271" s="22"/>
      <c r="RKK271" s="22"/>
      <c r="RKL271" s="22"/>
      <c r="RKM271" s="22"/>
      <c r="RKN271" s="22"/>
      <c r="RKO271" s="22"/>
      <c r="RKP271" s="22"/>
      <c r="RKQ271" s="22"/>
      <c r="RKR271" s="22"/>
      <c r="RKS271" s="22"/>
      <c r="RKT271" s="22"/>
      <c r="RKU271" s="22"/>
      <c r="RKV271" s="22"/>
      <c r="RKW271" s="22"/>
      <c r="RKX271" s="22"/>
      <c r="RKY271" s="22"/>
      <c r="RKZ271" s="22"/>
      <c r="RLA271" s="22"/>
      <c r="RLB271" s="22"/>
      <c r="RLC271" s="22"/>
      <c r="RLD271" s="22"/>
      <c r="RLE271" s="22"/>
      <c r="RLF271" s="22"/>
      <c r="RLG271" s="22"/>
      <c r="RLH271" s="22"/>
      <c r="RLI271" s="22"/>
      <c r="RLJ271" s="22"/>
      <c r="RLK271" s="22"/>
      <c r="RLL271" s="22"/>
      <c r="RLM271" s="22"/>
      <c r="RLN271" s="22"/>
      <c r="RLO271" s="22"/>
      <c r="RLP271" s="22"/>
      <c r="RLQ271" s="22"/>
      <c r="RLR271" s="22"/>
      <c r="RLS271" s="22"/>
      <c r="RLT271" s="22"/>
      <c r="RLU271" s="22"/>
      <c r="RLV271" s="22"/>
      <c r="RLW271" s="22"/>
      <c r="RLX271" s="22"/>
      <c r="RLY271" s="22"/>
      <c r="RLZ271" s="22"/>
      <c r="RMA271" s="22"/>
      <c r="RMB271" s="22"/>
      <c r="RMC271" s="22"/>
      <c r="RMD271" s="22"/>
      <c r="RME271" s="22"/>
      <c r="RMF271" s="22"/>
      <c r="RMG271" s="22"/>
      <c r="RMH271" s="22"/>
      <c r="RMI271" s="22"/>
      <c r="RMJ271" s="22"/>
      <c r="RMK271" s="22"/>
      <c r="RML271" s="22"/>
      <c r="RMM271" s="22"/>
      <c r="RMN271" s="22"/>
      <c r="RMO271" s="22"/>
      <c r="RMP271" s="22"/>
      <c r="RMQ271" s="22"/>
      <c r="RMR271" s="22"/>
      <c r="RMS271" s="22"/>
      <c r="RMT271" s="22"/>
      <c r="RMU271" s="22"/>
      <c r="RMV271" s="22"/>
      <c r="RMW271" s="22"/>
      <c r="RMX271" s="22"/>
      <c r="RMY271" s="22"/>
      <c r="RMZ271" s="22"/>
      <c r="RNA271" s="22"/>
      <c r="RNB271" s="22"/>
      <c r="RNC271" s="22"/>
      <c r="RND271" s="22"/>
      <c r="RNE271" s="22"/>
      <c r="RNF271" s="22"/>
      <c r="RNG271" s="22"/>
      <c r="RNH271" s="22"/>
      <c r="RNI271" s="22"/>
      <c r="RNJ271" s="22"/>
      <c r="RNK271" s="22"/>
      <c r="RNL271" s="22"/>
      <c r="RNM271" s="22"/>
      <c r="RNN271" s="22"/>
      <c r="RNO271" s="22"/>
      <c r="RNP271" s="22"/>
      <c r="RNQ271" s="22"/>
      <c r="RNR271" s="22"/>
      <c r="RNS271" s="22"/>
      <c r="RNT271" s="22"/>
      <c r="RNU271" s="22"/>
      <c r="RNV271" s="22"/>
      <c r="RNW271" s="22"/>
      <c r="RNX271" s="22"/>
      <c r="RNY271" s="22"/>
      <c r="RNZ271" s="22"/>
      <c r="ROA271" s="22"/>
      <c r="ROB271" s="22"/>
      <c r="ROC271" s="22"/>
      <c r="ROD271" s="22"/>
      <c r="ROE271" s="22"/>
      <c r="ROF271" s="22"/>
      <c r="ROG271" s="22"/>
      <c r="ROH271" s="22"/>
      <c r="ROI271" s="22"/>
      <c r="ROJ271" s="22"/>
      <c r="ROK271" s="22"/>
      <c r="ROL271" s="22"/>
      <c r="ROM271" s="22"/>
      <c r="RON271" s="22"/>
      <c r="ROO271" s="22"/>
      <c r="ROP271" s="22"/>
      <c r="ROQ271" s="22"/>
      <c r="ROR271" s="22"/>
      <c r="ROS271" s="22"/>
      <c r="ROT271" s="22"/>
      <c r="ROU271" s="22"/>
      <c r="ROV271" s="22"/>
      <c r="ROW271" s="22"/>
      <c r="ROX271" s="22"/>
      <c r="ROY271" s="22"/>
      <c r="ROZ271" s="22"/>
      <c r="RPA271" s="22"/>
      <c r="RPB271" s="22"/>
      <c r="RPC271" s="22"/>
      <c r="RPD271" s="22"/>
      <c r="RPE271" s="22"/>
      <c r="RPF271" s="22"/>
      <c r="RPG271" s="22"/>
      <c r="RPH271" s="22"/>
      <c r="RPI271" s="22"/>
      <c r="RPJ271" s="22"/>
      <c r="RPK271" s="22"/>
      <c r="RPL271" s="22"/>
      <c r="RPM271" s="22"/>
      <c r="RPN271" s="22"/>
      <c r="RPO271" s="22"/>
      <c r="RPP271" s="22"/>
      <c r="RPQ271" s="22"/>
      <c r="RPR271" s="22"/>
      <c r="RPS271" s="22"/>
      <c r="RPT271" s="22"/>
      <c r="RPU271" s="22"/>
      <c r="RPV271" s="22"/>
      <c r="RPW271" s="22"/>
      <c r="RPX271" s="22"/>
      <c r="RPY271" s="22"/>
      <c r="RPZ271" s="22"/>
      <c r="RQA271" s="22"/>
      <c r="RQB271" s="22"/>
      <c r="RQC271" s="22"/>
      <c r="RQD271" s="22"/>
      <c r="RQE271" s="22"/>
      <c r="RQF271" s="22"/>
      <c r="RQG271" s="22"/>
      <c r="RQH271" s="22"/>
      <c r="RQI271" s="22"/>
      <c r="RQJ271" s="22"/>
      <c r="RQK271" s="22"/>
      <c r="RQL271" s="22"/>
      <c r="RQM271" s="22"/>
      <c r="RQN271" s="22"/>
      <c r="RQO271" s="22"/>
      <c r="RQP271" s="22"/>
      <c r="RQQ271" s="22"/>
      <c r="RQR271" s="22"/>
      <c r="RQS271" s="22"/>
      <c r="RQT271" s="22"/>
      <c r="RQU271" s="22"/>
      <c r="RQV271" s="22"/>
      <c r="RQW271" s="22"/>
      <c r="RQX271" s="22"/>
      <c r="RQY271" s="22"/>
      <c r="RQZ271" s="22"/>
      <c r="RRA271" s="22"/>
      <c r="RRB271" s="22"/>
      <c r="RRC271" s="22"/>
      <c r="RRD271" s="22"/>
      <c r="RRE271" s="22"/>
      <c r="RRF271" s="22"/>
      <c r="RRG271" s="22"/>
      <c r="RRH271" s="22"/>
      <c r="RRI271" s="22"/>
      <c r="RRJ271" s="22"/>
      <c r="RRK271" s="22"/>
      <c r="RRL271" s="22"/>
      <c r="RRM271" s="22"/>
      <c r="RRN271" s="22"/>
      <c r="RRO271" s="22"/>
      <c r="RRP271" s="22"/>
      <c r="RRQ271" s="22"/>
      <c r="RRR271" s="22"/>
      <c r="RRS271" s="22"/>
      <c r="RRT271" s="22"/>
      <c r="RRU271" s="22"/>
      <c r="RRV271" s="22"/>
      <c r="RRW271" s="22"/>
      <c r="RRX271" s="22"/>
      <c r="RRY271" s="22"/>
      <c r="RRZ271" s="22"/>
      <c r="RSA271" s="22"/>
      <c r="RSB271" s="22"/>
      <c r="RSC271" s="22"/>
      <c r="RSD271" s="22"/>
      <c r="RSE271" s="22"/>
      <c r="RSF271" s="22"/>
      <c r="RSG271" s="22"/>
      <c r="RSH271" s="22"/>
      <c r="RSI271" s="22"/>
      <c r="RSJ271" s="22"/>
      <c r="RSK271" s="22"/>
      <c r="RSL271" s="22"/>
      <c r="RSM271" s="22"/>
      <c r="RSN271" s="22"/>
      <c r="RSO271" s="22"/>
      <c r="RSP271" s="22"/>
      <c r="RSQ271" s="22"/>
      <c r="RSR271" s="22"/>
      <c r="RSS271" s="22"/>
      <c r="RST271" s="22"/>
      <c r="RSU271" s="22"/>
      <c r="RSV271" s="22"/>
      <c r="RSW271" s="22"/>
      <c r="RSX271" s="22"/>
      <c r="RSY271" s="22"/>
      <c r="RSZ271" s="22"/>
      <c r="RTA271" s="22"/>
      <c r="RTB271" s="22"/>
      <c r="RTC271" s="22"/>
      <c r="RTD271" s="22"/>
      <c r="RTE271" s="22"/>
      <c r="RTF271" s="22"/>
      <c r="RTG271" s="22"/>
      <c r="RTH271" s="22"/>
      <c r="RTI271" s="22"/>
      <c r="RTJ271" s="22"/>
      <c r="RTK271" s="22"/>
      <c r="RTL271" s="22"/>
      <c r="RTM271" s="22"/>
      <c r="RTN271" s="22"/>
      <c r="RTO271" s="22"/>
      <c r="RTP271" s="22"/>
      <c r="RTQ271" s="22"/>
      <c r="RTR271" s="22"/>
      <c r="RTS271" s="22"/>
      <c r="RTT271" s="22"/>
      <c r="RTU271" s="22"/>
      <c r="RTV271" s="22"/>
      <c r="RTW271" s="22"/>
      <c r="RTX271" s="22"/>
      <c r="RTY271" s="22"/>
      <c r="RTZ271" s="22"/>
      <c r="RUA271" s="22"/>
      <c r="RUB271" s="22"/>
      <c r="RUC271" s="22"/>
      <c r="RUD271" s="22"/>
      <c r="RUE271" s="22"/>
      <c r="RUF271" s="22"/>
      <c r="RUG271" s="22"/>
      <c r="RUH271" s="22"/>
      <c r="RUI271" s="22"/>
      <c r="RUJ271" s="22"/>
      <c r="RUK271" s="22"/>
      <c r="RUL271" s="22"/>
      <c r="RUM271" s="22"/>
      <c r="RUN271" s="22"/>
      <c r="RUO271" s="22"/>
      <c r="RUP271" s="22"/>
      <c r="RUQ271" s="22"/>
      <c r="RUR271" s="22"/>
      <c r="RUS271" s="22"/>
      <c r="RUT271" s="22"/>
      <c r="RUU271" s="22"/>
      <c r="RUV271" s="22"/>
      <c r="RUW271" s="22"/>
      <c r="RUX271" s="22"/>
      <c r="RUY271" s="22"/>
      <c r="RUZ271" s="22"/>
      <c r="RVA271" s="22"/>
      <c r="RVB271" s="22"/>
      <c r="RVC271" s="22"/>
      <c r="RVD271" s="22"/>
      <c r="RVE271" s="22"/>
      <c r="RVF271" s="22"/>
      <c r="RVG271" s="22"/>
      <c r="RVH271" s="22"/>
      <c r="RVI271" s="22"/>
      <c r="RVJ271" s="22"/>
      <c r="RVK271" s="22"/>
      <c r="RVL271" s="22"/>
      <c r="RVM271" s="22"/>
      <c r="RVN271" s="22"/>
      <c r="RVO271" s="22"/>
      <c r="RVP271" s="22"/>
      <c r="RVQ271" s="22"/>
      <c r="RVR271" s="22"/>
      <c r="RVS271" s="22"/>
      <c r="RVT271" s="22"/>
      <c r="RVU271" s="22"/>
      <c r="RVV271" s="22"/>
      <c r="RVW271" s="22"/>
      <c r="RVX271" s="22"/>
      <c r="RVY271" s="22"/>
      <c r="RVZ271" s="22"/>
      <c r="RWA271" s="22"/>
      <c r="RWB271" s="22"/>
      <c r="RWC271" s="22"/>
      <c r="RWD271" s="22"/>
      <c r="RWE271" s="22"/>
      <c r="RWF271" s="22"/>
      <c r="RWG271" s="22"/>
      <c r="RWH271" s="22"/>
      <c r="RWI271" s="22"/>
      <c r="RWJ271" s="22"/>
      <c r="RWK271" s="22"/>
      <c r="RWL271" s="22"/>
      <c r="RWM271" s="22"/>
      <c r="RWN271" s="22"/>
      <c r="RWO271" s="22"/>
      <c r="RWP271" s="22"/>
      <c r="RWQ271" s="22"/>
      <c r="RWR271" s="22"/>
      <c r="RWS271" s="22"/>
      <c r="RWT271" s="22"/>
      <c r="RWU271" s="22"/>
      <c r="RWV271" s="22"/>
      <c r="RWW271" s="22"/>
      <c r="RWX271" s="22"/>
      <c r="RWY271" s="22"/>
      <c r="RWZ271" s="22"/>
      <c r="RXA271" s="22"/>
      <c r="RXB271" s="22"/>
      <c r="RXC271" s="22"/>
      <c r="RXD271" s="22"/>
      <c r="RXE271" s="22"/>
      <c r="RXF271" s="22"/>
      <c r="RXG271" s="22"/>
      <c r="RXH271" s="22"/>
      <c r="RXI271" s="22"/>
      <c r="RXJ271" s="22"/>
      <c r="RXK271" s="22"/>
      <c r="RXL271" s="22"/>
      <c r="RXM271" s="22"/>
      <c r="RXN271" s="22"/>
      <c r="RXO271" s="22"/>
      <c r="RXP271" s="22"/>
      <c r="RXQ271" s="22"/>
      <c r="RXR271" s="22"/>
      <c r="RXS271" s="22"/>
      <c r="RXT271" s="22"/>
      <c r="RXU271" s="22"/>
      <c r="RXV271" s="22"/>
      <c r="RXW271" s="22"/>
      <c r="RXX271" s="22"/>
      <c r="RXY271" s="22"/>
      <c r="RXZ271" s="22"/>
      <c r="RYA271" s="22"/>
      <c r="RYB271" s="22"/>
      <c r="RYC271" s="22"/>
      <c r="RYD271" s="22"/>
      <c r="RYE271" s="22"/>
      <c r="RYF271" s="22"/>
      <c r="RYG271" s="22"/>
      <c r="RYH271" s="22"/>
      <c r="RYI271" s="22"/>
      <c r="RYJ271" s="22"/>
      <c r="RYK271" s="22"/>
      <c r="RYL271" s="22"/>
      <c r="RYM271" s="22"/>
      <c r="RYN271" s="22"/>
      <c r="RYO271" s="22"/>
      <c r="RYP271" s="22"/>
      <c r="RYQ271" s="22"/>
      <c r="RYR271" s="22"/>
      <c r="RYS271" s="22"/>
      <c r="RYT271" s="22"/>
      <c r="RYU271" s="22"/>
      <c r="RYV271" s="22"/>
      <c r="RYW271" s="22"/>
      <c r="RYX271" s="22"/>
      <c r="RYY271" s="22"/>
      <c r="RYZ271" s="22"/>
      <c r="RZA271" s="22"/>
      <c r="RZB271" s="22"/>
      <c r="RZC271" s="22"/>
      <c r="RZD271" s="22"/>
      <c r="RZE271" s="22"/>
      <c r="RZF271" s="22"/>
      <c r="RZG271" s="22"/>
      <c r="RZH271" s="22"/>
      <c r="RZI271" s="22"/>
      <c r="RZJ271" s="22"/>
      <c r="RZK271" s="22"/>
      <c r="RZL271" s="22"/>
      <c r="RZM271" s="22"/>
      <c r="RZN271" s="22"/>
      <c r="RZO271" s="22"/>
      <c r="RZP271" s="22"/>
      <c r="RZQ271" s="22"/>
      <c r="RZR271" s="22"/>
      <c r="RZS271" s="22"/>
      <c r="RZT271" s="22"/>
      <c r="RZU271" s="22"/>
      <c r="RZV271" s="22"/>
      <c r="RZW271" s="22"/>
      <c r="RZX271" s="22"/>
      <c r="RZY271" s="22"/>
      <c r="RZZ271" s="22"/>
      <c r="SAA271" s="22"/>
      <c r="SAB271" s="22"/>
      <c r="SAC271" s="22"/>
      <c r="SAD271" s="22"/>
      <c r="SAE271" s="22"/>
      <c r="SAF271" s="22"/>
      <c r="SAG271" s="22"/>
      <c r="SAH271" s="22"/>
      <c r="SAI271" s="22"/>
      <c r="SAJ271" s="22"/>
      <c r="SAK271" s="22"/>
      <c r="SAL271" s="22"/>
      <c r="SAM271" s="22"/>
      <c r="SAN271" s="22"/>
      <c r="SAO271" s="22"/>
      <c r="SAP271" s="22"/>
      <c r="SAQ271" s="22"/>
      <c r="SAR271" s="22"/>
      <c r="SAS271" s="22"/>
      <c r="SAT271" s="22"/>
      <c r="SAU271" s="22"/>
      <c r="SAV271" s="22"/>
      <c r="SAW271" s="22"/>
      <c r="SAX271" s="22"/>
      <c r="SAY271" s="22"/>
      <c r="SAZ271" s="22"/>
      <c r="SBA271" s="22"/>
      <c r="SBB271" s="22"/>
      <c r="SBC271" s="22"/>
      <c r="SBD271" s="22"/>
      <c r="SBE271" s="22"/>
      <c r="SBF271" s="22"/>
      <c r="SBG271" s="22"/>
      <c r="SBH271" s="22"/>
      <c r="SBI271" s="22"/>
      <c r="SBJ271" s="22"/>
      <c r="SBK271" s="22"/>
      <c r="SBL271" s="22"/>
      <c r="SBM271" s="22"/>
      <c r="SBN271" s="22"/>
      <c r="SBO271" s="22"/>
      <c r="SBP271" s="22"/>
      <c r="SBQ271" s="22"/>
      <c r="SBR271" s="22"/>
      <c r="SBS271" s="22"/>
      <c r="SBT271" s="22"/>
      <c r="SBU271" s="22"/>
      <c r="SBV271" s="22"/>
      <c r="SBW271" s="22"/>
      <c r="SBX271" s="22"/>
      <c r="SBY271" s="22"/>
      <c r="SBZ271" s="22"/>
      <c r="SCA271" s="22"/>
      <c r="SCB271" s="22"/>
      <c r="SCC271" s="22"/>
      <c r="SCD271" s="22"/>
      <c r="SCE271" s="22"/>
      <c r="SCF271" s="22"/>
      <c r="SCG271" s="22"/>
      <c r="SCH271" s="22"/>
      <c r="SCI271" s="22"/>
      <c r="SCJ271" s="22"/>
      <c r="SCK271" s="22"/>
      <c r="SCL271" s="22"/>
      <c r="SCM271" s="22"/>
      <c r="SCN271" s="22"/>
      <c r="SCO271" s="22"/>
      <c r="SCP271" s="22"/>
      <c r="SCQ271" s="22"/>
      <c r="SCR271" s="22"/>
      <c r="SCS271" s="22"/>
      <c r="SCT271" s="22"/>
      <c r="SCU271" s="22"/>
      <c r="SCV271" s="22"/>
      <c r="SCW271" s="22"/>
      <c r="SCX271" s="22"/>
      <c r="SCY271" s="22"/>
      <c r="SCZ271" s="22"/>
      <c r="SDA271" s="22"/>
      <c r="SDB271" s="22"/>
      <c r="SDC271" s="22"/>
      <c r="SDD271" s="22"/>
      <c r="SDE271" s="22"/>
      <c r="SDF271" s="22"/>
      <c r="SDG271" s="22"/>
      <c r="SDH271" s="22"/>
      <c r="SDI271" s="22"/>
      <c r="SDJ271" s="22"/>
      <c r="SDK271" s="22"/>
      <c r="SDL271" s="22"/>
      <c r="SDM271" s="22"/>
      <c r="SDN271" s="22"/>
      <c r="SDO271" s="22"/>
      <c r="SDP271" s="22"/>
      <c r="SDQ271" s="22"/>
      <c r="SDR271" s="22"/>
      <c r="SDS271" s="22"/>
      <c r="SDT271" s="22"/>
      <c r="SDU271" s="22"/>
      <c r="SDV271" s="22"/>
      <c r="SDW271" s="22"/>
      <c r="SDX271" s="22"/>
      <c r="SDY271" s="22"/>
      <c r="SDZ271" s="22"/>
      <c r="SEA271" s="22"/>
      <c r="SEB271" s="22"/>
      <c r="SEC271" s="22"/>
      <c r="SED271" s="22"/>
      <c r="SEE271" s="22"/>
      <c r="SEF271" s="22"/>
      <c r="SEG271" s="22"/>
      <c r="SEH271" s="22"/>
      <c r="SEI271" s="22"/>
      <c r="SEJ271" s="22"/>
      <c r="SEK271" s="22"/>
      <c r="SEL271" s="22"/>
      <c r="SEM271" s="22"/>
      <c r="SEN271" s="22"/>
      <c r="SEO271" s="22"/>
      <c r="SEP271" s="22"/>
      <c r="SEQ271" s="22"/>
      <c r="SER271" s="22"/>
      <c r="SES271" s="22"/>
      <c r="SET271" s="22"/>
      <c r="SEU271" s="22"/>
      <c r="SEV271" s="22"/>
      <c r="SEW271" s="22"/>
      <c r="SEX271" s="22"/>
      <c r="SEY271" s="22"/>
      <c r="SEZ271" s="22"/>
      <c r="SFA271" s="22"/>
      <c r="SFB271" s="22"/>
      <c r="SFC271" s="22"/>
      <c r="SFD271" s="22"/>
      <c r="SFE271" s="22"/>
      <c r="SFF271" s="22"/>
      <c r="SFG271" s="22"/>
      <c r="SFH271" s="22"/>
      <c r="SFI271" s="22"/>
      <c r="SFJ271" s="22"/>
      <c r="SFK271" s="22"/>
      <c r="SFL271" s="22"/>
      <c r="SFM271" s="22"/>
      <c r="SFN271" s="22"/>
      <c r="SFO271" s="22"/>
      <c r="SFP271" s="22"/>
      <c r="SFQ271" s="22"/>
      <c r="SFR271" s="22"/>
      <c r="SFS271" s="22"/>
      <c r="SFT271" s="22"/>
      <c r="SFU271" s="22"/>
      <c r="SFV271" s="22"/>
      <c r="SFW271" s="22"/>
      <c r="SFX271" s="22"/>
      <c r="SFY271" s="22"/>
      <c r="SFZ271" s="22"/>
      <c r="SGA271" s="22"/>
      <c r="SGB271" s="22"/>
      <c r="SGC271" s="22"/>
      <c r="SGD271" s="22"/>
      <c r="SGE271" s="22"/>
      <c r="SGF271" s="22"/>
      <c r="SGG271" s="22"/>
      <c r="SGH271" s="22"/>
      <c r="SGI271" s="22"/>
      <c r="SGJ271" s="22"/>
      <c r="SGK271" s="22"/>
      <c r="SGL271" s="22"/>
      <c r="SGM271" s="22"/>
      <c r="SGN271" s="22"/>
      <c r="SGO271" s="22"/>
      <c r="SGP271" s="22"/>
      <c r="SGQ271" s="22"/>
      <c r="SGR271" s="22"/>
      <c r="SGS271" s="22"/>
      <c r="SGT271" s="22"/>
      <c r="SGU271" s="22"/>
      <c r="SGV271" s="22"/>
      <c r="SGW271" s="22"/>
      <c r="SGX271" s="22"/>
      <c r="SGY271" s="22"/>
      <c r="SGZ271" s="22"/>
      <c r="SHA271" s="22"/>
      <c r="SHB271" s="22"/>
      <c r="SHC271" s="22"/>
      <c r="SHD271" s="22"/>
      <c r="SHE271" s="22"/>
      <c r="SHF271" s="22"/>
      <c r="SHG271" s="22"/>
      <c r="SHH271" s="22"/>
      <c r="SHI271" s="22"/>
      <c r="SHJ271" s="22"/>
      <c r="SHK271" s="22"/>
      <c r="SHL271" s="22"/>
      <c r="SHM271" s="22"/>
      <c r="SHN271" s="22"/>
      <c r="SHO271" s="22"/>
      <c r="SHP271" s="22"/>
      <c r="SHQ271" s="22"/>
      <c r="SHR271" s="22"/>
      <c r="SHS271" s="22"/>
      <c r="SHT271" s="22"/>
      <c r="SHU271" s="22"/>
      <c r="SHV271" s="22"/>
      <c r="SHW271" s="22"/>
      <c r="SHX271" s="22"/>
      <c r="SHY271" s="22"/>
      <c r="SHZ271" s="22"/>
      <c r="SIA271" s="22"/>
      <c r="SIB271" s="22"/>
      <c r="SIC271" s="22"/>
      <c r="SID271" s="22"/>
      <c r="SIE271" s="22"/>
      <c r="SIF271" s="22"/>
      <c r="SIG271" s="22"/>
      <c r="SIH271" s="22"/>
      <c r="SII271" s="22"/>
      <c r="SIJ271" s="22"/>
      <c r="SIK271" s="22"/>
      <c r="SIL271" s="22"/>
      <c r="SIM271" s="22"/>
      <c r="SIN271" s="22"/>
      <c r="SIO271" s="22"/>
      <c r="SIP271" s="22"/>
      <c r="SIQ271" s="22"/>
      <c r="SIR271" s="22"/>
      <c r="SIS271" s="22"/>
      <c r="SIT271" s="22"/>
      <c r="SIU271" s="22"/>
      <c r="SIV271" s="22"/>
      <c r="SIW271" s="22"/>
      <c r="SIX271" s="22"/>
      <c r="SIY271" s="22"/>
      <c r="SIZ271" s="22"/>
      <c r="SJA271" s="22"/>
      <c r="SJB271" s="22"/>
      <c r="SJC271" s="22"/>
      <c r="SJD271" s="22"/>
      <c r="SJE271" s="22"/>
      <c r="SJF271" s="22"/>
      <c r="SJG271" s="22"/>
      <c r="SJH271" s="22"/>
      <c r="SJI271" s="22"/>
      <c r="SJJ271" s="22"/>
      <c r="SJK271" s="22"/>
      <c r="SJL271" s="22"/>
      <c r="SJM271" s="22"/>
      <c r="SJN271" s="22"/>
      <c r="SJO271" s="22"/>
      <c r="SJP271" s="22"/>
      <c r="SJQ271" s="22"/>
      <c r="SJR271" s="22"/>
      <c r="SJS271" s="22"/>
      <c r="SJT271" s="22"/>
      <c r="SJU271" s="22"/>
      <c r="SJV271" s="22"/>
      <c r="SJW271" s="22"/>
      <c r="SJX271" s="22"/>
      <c r="SJY271" s="22"/>
      <c r="SJZ271" s="22"/>
      <c r="SKA271" s="22"/>
      <c r="SKB271" s="22"/>
      <c r="SKC271" s="22"/>
      <c r="SKD271" s="22"/>
      <c r="SKE271" s="22"/>
      <c r="SKF271" s="22"/>
      <c r="SKG271" s="22"/>
      <c r="SKH271" s="22"/>
      <c r="SKI271" s="22"/>
      <c r="SKJ271" s="22"/>
      <c r="SKK271" s="22"/>
      <c r="SKL271" s="22"/>
      <c r="SKM271" s="22"/>
      <c r="SKN271" s="22"/>
      <c r="SKO271" s="22"/>
      <c r="SKP271" s="22"/>
      <c r="SKQ271" s="22"/>
      <c r="SKR271" s="22"/>
      <c r="SKS271" s="22"/>
      <c r="SKT271" s="22"/>
      <c r="SKU271" s="22"/>
      <c r="SKV271" s="22"/>
      <c r="SKW271" s="22"/>
      <c r="SKX271" s="22"/>
      <c r="SKY271" s="22"/>
      <c r="SKZ271" s="22"/>
      <c r="SLA271" s="22"/>
      <c r="SLB271" s="22"/>
      <c r="SLC271" s="22"/>
      <c r="SLD271" s="22"/>
      <c r="SLE271" s="22"/>
      <c r="SLF271" s="22"/>
      <c r="SLG271" s="22"/>
      <c r="SLH271" s="22"/>
      <c r="SLI271" s="22"/>
      <c r="SLJ271" s="22"/>
      <c r="SLK271" s="22"/>
      <c r="SLL271" s="22"/>
      <c r="SLM271" s="22"/>
      <c r="SLN271" s="22"/>
      <c r="SLO271" s="22"/>
      <c r="SLP271" s="22"/>
      <c r="SLQ271" s="22"/>
      <c r="SLR271" s="22"/>
      <c r="SLS271" s="22"/>
      <c r="SLT271" s="22"/>
      <c r="SLU271" s="22"/>
      <c r="SLV271" s="22"/>
      <c r="SLW271" s="22"/>
      <c r="SLX271" s="22"/>
      <c r="SLY271" s="22"/>
      <c r="SLZ271" s="22"/>
      <c r="SMA271" s="22"/>
      <c r="SMB271" s="22"/>
      <c r="SMC271" s="22"/>
      <c r="SMD271" s="22"/>
      <c r="SME271" s="22"/>
      <c r="SMF271" s="22"/>
      <c r="SMG271" s="22"/>
      <c r="SMH271" s="22"/>
      <c r="SMI271" s="22"/>
      <c r="SMJ271" s="22"/>
      <c r="SMK271" s="22"/>
      <c r="SML271" s="22"/>
      <c r="SMM271" s="22"/>
      <c r="SMN271" s="22"/>
      <c r="SMO271" s="22"/>
      <c r="SMP271" s="22"/>
      <c r="SMQ271" s="22"/>
      <c r="SMR271" s="22"/>
      <c r="SMS271" s="22"/>
      <c r="SMT271" s="22"/>
      <c r="SMU271" s="22"/>
      <c r="SMV271" s="22"/>
      <c r="SMW271" s="22"/>
      <c r="SMX271" s="22"/>
      <c r="SMY271" s="22"/>
      <c r="SMZ271" s="22"/>
      <c r="SNA271" s="22"/>
      <c r="SNB271" s="22"/>
      <c r="SNC271" s="22"/>
      <c r="SND271" s="22"/>
      <c r="SNE271" s="22"/>
      <c r="SNF271" s="22"/>
      <c r="SNG271" s="22"/>
      <c r="SNH271" s="22"/>
      <c r="SNI271" s="22"/>
      <c r="SNJ271" s="22"/>
      <c r="SNK271" s="22"/>
      <c r="SNL271" s="22"/>
      <c r="SNM271" s="22"/>
      <c r="SNN271" s="22"/>
      <c r="SNO271" s="22"/>
      <c r="SNP271" s="22"/>
      <c r="SNQ271" s="22"/>
      <c r="SNR271" s="22"/>
      <c r="SNS271" s="22"/>
      <c r="SNT271" s="22"/>
      <c r="SNU271" s="22"/>
      <c r="SNV271" s="22"/>
      <c r="SNW271" s="22"/>
      <c r="SNX271" s="22"/>
      <c r="SNY271" s="22"/>
      <c r="SNZ271" s="22"/>
      <c r="SOA271" s="22"/>
      <c r="SOB271" s="22"/>
      <c r="SOC271" s="22"/>
      <c r="SOD271" s="22"/>
      <c r="SOE271" s="22"/>
      <c r="SOF271" s="22"/>
      <c r="SOG271" s="22"/>
      <c r="SOH271" s="22"/>
      <c r="SOI271" s="22"/>
      <c r="SOJ271" s="22"/>
      <c r="SOK271" s="22"/>
      <c r="SOL271" s="22"/>
      <c r="SOM271" s="22"/>
      <c r="SON271" s="22"/>
      <c r="SOO271" s="22"/>
      <c r="SOP271" s="22"/>
      <c r="SOQ271" s="22"/>
      <c r="SOR271" s="22"/>
      <c r="SOS271" s="22"/>
      <c r="SOT271" s="22"/>
      <c r="SOU271" s="22"/>
      <c r="SOV271" s="22"/>
      <c r="SOW271" s="22"/>
      <c r="SOX271" s="22"/>
      <c r="SOY271" s="22"/>
      <c r="SOZ271" s="22"/>
      <c r="SPA271" s="22"/>
      <c r="SPB271" s="22"/>
      <c r="SPC271" s="22"/>
      <c r="SPD271" s="22"/>
      <c r="SPE271" s="22"/>
      <c r="SPF271" s="22"/>
      <c r="SPG271" s="22"/>
      <c r="SPH271" s="22"/>
      <c r="SPI271" s="22"/>
      <c r="SPJ271" s="22"/>
      <c r="SPK271" s="22"/>
      <c r="SPL271" s="22"/>
      <c r="SPM271" s="22"/>
      <c r="SPN271" s="22"/>
      <c r="SPO271" s="22"/>
      <c r="SPP271" s="22"/>
      <c r="SPQ271" s="22"/>
      <c r="SPR271" s="22"/>
      <c r="SPS271" s="22"/>
      <c r="SPT271" s="22"/>
      <c r="SPU271" s="22"/>
      <c r="SPV271" s="22"/>
      <c r="SPW271" s="22"/>
      <c r="SPX271" s="22"/>
      <c r="SPY271" s="22"/>
      <c r="SPZ271" s="22"/>
      <c r="SQA271" s="22"/>
      <c r="SQB271" s="22"/>
      <c r="SQC271" s="22"/>
      <c r="SQD271" s="22"/>
      <c r="SQE271" s="22"/>
      <c r="SQF271" s="22"/>
      <c r="SQG271" s="22"/>
      <c r="SQH271" s="22"/>
      <c r="SQI271" s="22"/>
      <c r="SQJ271" s="22"/>
      <c r="SQK271" s="22"/>
      <c r="SQL271" s="22"/>
      <c r="SQM271" s="22"/>
      <c r="SQN271" s="22"/>
      <c r="SQO271" s="22"/>
      <c r="SQP271" s="22"/>
      <c r="SQQ271" s="22"/>
      <c r="SQR271" s="22"/>
      <c r="SQS271" s="22"/>
      <c r="SQT271" s="22"/>
      <c r="SQU271" s="22"/>
      <c r="SQV271" s="22"/>
      <c r="SQW271" s="22"/>
      <c r="SQX271" s="22"/>
      <c r="SQY271" s="22"/>
      <c r="SQZ271" s="22"/>
      <c r="SRA271" s="22"/>
      <c r="SRB271" s="22"/>
      <c r="SRC271" s="22"/>
      <c r="SRD271" s="22"/>
      <c r="SRE271" s="22"/>
      <c r="SRF271" s="22"/>
      <c r="SRG271" s="22"/>
      <c r="SRH271" s="22"/>
      <c r="SRI271" s="22"/>
      <c r="SRJ271" s="22"/>
      <c r="SRK271" s="22"/>
      <c r="SRL271" s="22"/>
      <c r="SRM271" s="22"/>
      <c r="SRN271" s="22"/>
      <c r="SRO271" s="22"/>
      <c r="SRP271" s="22"/>
      <c r="SRQ271" s="22"/>
      <c r="SRR271" s="22"/>
      <c r="SRS271" s="22"/>
      <c r="SRT271" s="22"/>
      <c r="SRU271" s="22"/>
      <c r="SRV271" s="22"/>
      <c r="SRW271" s="22"/>
      <c r="SRX271" s="22"/>
      <c r="SRY271" s="22"/>
      <c r="SRZ271" s="22"/>
      <c r="SSA271" s="22"/>
      <c r="SSB271" s="22"/>
      <c r="SSC271" s="22"/>
      <c r="SSD271" s="22"/>
      <c r="SSE271" s="22"/>
      <c r="SSF271" s="22"/>
      <c r="SSG271" s="22"/>
      <c r="SSH271" s="22"/>
      <c r="SSI271" s="22"/>
      <c r="SSJ271" s="22"/>
      <c r="SSK271" s="22"/>
      <c r="SSL271" s="22"/>
      <c r="SSM271" s="22"/>
      <c r="SSN271" s="22"/>
      <c r="SSO271" s="22"/>
      <c r="SSP271" s="22"/>
      <c r="SSQ271" s="22"/>
      <c r="SSR271" s="22"/>
      <c r="SSS271" s="22"/>
      <c r="SST271" s="22"/>
      <c r="SSU271" s="22"/>
      <c r="SSV271" s="22"/>
      <c r="SSW271" s="22"/>
      <c r="SSX271" s="22"/>
      <c r="SSY271" s="22"/>
      <c r="SSZ271" s="22"/>
      <c r="STA271" s="22"/>
      <c r="STB271" s="22"/>
      <c r="STC271" s="22"/>
      <c r="STD271" s="22"/>
      <c r="STE271" s="22"/>
      <c r="STF271" s="22"/>
      <c r="STG271" s="22"/>
      <c r="STH271" s="22"/>
      <c r="STI271" s="22"/>
      <c r="STJ271" s="22"/>
      <c r="STK271" s="22"/>
      <c r="STL271" s="22"/>
      <c r="STM271" s="22"/>
      <c r="STN271" s="22"/>
      <c r="STO271" s="22"/>
      <c r="STP271" s="22"/>
      <c r="STQ271" s="22"/>
      <c r="STR271" s="22"/>
      <c r="STS271" s="22"/>
      <c r="STT271" s="22"/>
      <c r="STU271" s="22"/>
      <c r="STV271" s="22"/>
      <c r="STW271" s="22"/>
      <c r="STX271" s="22"/>
      <c r="STY271" s="22"/>
      <c r="STZ271" s="22"/>
      <c r="SUA271" s="22"/>
      <c r="SUB271" s="22"/>
      <c r="SUC271" s="22"/>
      <c r="SUD271" s="22"/>
      <c r="SUE271" s="22"/>
      <c r="SUF271" s="22"/>
      <c r="SUG271" s="22"/>
      <c r="SUH271" s="22"/>
      <c r="SUI271" s="22"/>
      <c r="SUJ271" s="22"/>
      <c r="SUK271" s="22"/>
      <c r="SUL271" s="22"/>
      <c r="SUM271" s="22"/>
      <c r="SUN271" s="22"/>
      <c r="SUO271" s="22"/>
      <c r="SUP271" s="22"/>
      <c r="SUQ271" s="22"/>
      <c r="SUR271" s="22"/>
      <c r="SUS271" s="22"/>
      <c r="SUT271" s="22"/>
      <c r="SUU271" s="22"/>
      <c r="SUV271" s="22"/>
      <c r="SUW271" s="22"/>
      <c r="SUX271" s="22"/>
      <c r="SUY271" s="22"/>
      <c r="SUZ271" s="22"/>
      <c r="SVA271" s="22"/>
      <c r="SVB271" s="22"/>
      <c r="SVC271" s="22"/>
      <c r="SVD271" s="22"/>
      <c r="SVE271" s="22"/>
      <c r="SVF271" s="22"/>
      <c r="SVG271" s="22"/>
      <c r="SVH271" s="22"/>
      <c r="SVI271" s="22"/>
      <c r="SVJ271" s="22"/>
      <c r="SVK271" s="22"/>
      <c r="SVL271" s="22"/>
      <c r="SVM271" s="22"/>
      <c r="SVN271" s="22"/>
      <c r="SVO271" s="22"/>
      <c r="SVP271" s="22"/>
      <c r="SVQ271" s="22"/>
      <c r="SVR271" s="22"/>
      <c r="SVS271" s="22"/>
      <c r="SVT271" s="22"/>
      <c r="SVU271" s="22"/>
      <c r="SVV271" s="22"/>
      <c r="SVW271" s="22"/>
      <c r="SVX271" s="22"/>
      <c r="SVY271" s="22"/>
      <c r="SVZ271" s="22"/>
      <c r="SWA271" s="22"/>
      <c r="SWB271" s="22"/>
      <c r="SWC271" s="22"/>
      <c r="SWD271" s="22"/>
      <c r="SWE271" s="22"/>
      <c r="SWF271" s="22"/>
      <c r="SWG271" s="22"/>
      <c r="SWH271" s="22"/>
      <c r="SWI271" s="22"/>
      <c r="SWJ271" s="22"/>
      <c r="SWK271" s="22"/>
      <c r="SWL271" s="22"/>
      <c r="SWM271" s="22"/>
      <c r="SWN271" s="22"/>
      <c r="SWO271" s="22"/>
      <c r="SWP271" s="22"/>
      <c r="SWQ271" s="22"/>
      <c r="SWR271" s="22"/>
      <c r="SWS271" s="22"/>
      <c r="SWT271" s="22"/>
      <c r="SWU271" s="22"/>
      <c r="SWV271" s="22"/>
      <c r="SWW271" s="22"/>
      <c r="SWX271" s="22"/>
      <c r="SWY271" s="22"/>
      <c r="SWZ271" s="22"/>
      <c r="SXA271" s="22"/>
      <c r="SXB271" s="22"/>
      <c r="SXC271" s="22"/>
      <c r="SXD271" s="22"/>
      <c r="SXE271" s="22"/>
      <c r="SXF271" s="22"/>
      <c r="SXG271" s="22"/>
      <c r="SXH271" s="22"/>
      <c r="SXI271" s="22"/>
      <c r="SXJ271" s="22"/>
      <c r="SXK271" s="22"/>
      <c r="SXL271" s="22"/>
      <c r="SXM271" s="22"/>
      <c r="SXN271" s="22"/>
      <c r="SXO271" s="22"/>
      <c r="SXP271" s="22"/>
      <c r="SXQ271" s="22"/>
      <c r="SXR271" s="22"/>
      <c r="SXS271" s="22"/>
      <c r="SXT271" s="22"/>
      <c r="SXU271" s="22"/>
      <c r="SXV271" s="22"/>
      <c r="SXW271" s="22"/>
      <c r="SXX271" s="22"/>
      <c r="SXY271" s="22"/>
      <c r="SXZ271" s="22"/>
      <c r="SYA271" s="22"/>
      <c r="SYB271" s="22"/>
      <c r="SYC271" s="22"/>
      <c r="SYD271" s="22"/>
      <c r="SYE271" s="22"/>
      <c r="SYF271" s="22"/>
      <c r="SYG271" s="22"/>
      <c r="SYH271" s="22"/>
      <c r="SYI271" s="22"/>
      <c r="SYJ271" s="22"/>
      <c r="SYK271" s="22"/>
      <c r="SYL271" s="22"/>
      <c r="SYM271" s="22"/>
      <c r="SYN271" s="22"/>
      <c r="SYO271" s="22"/>
      <c r="SYP271" s="22"/>
      <c r="SYQ271" s="22"/>
      <c r="SYR271" s="22"/>
      <c r="SYS271" s="22"/>
      <c r="SYT271" s="22"/>
      <c r="SYU271" s="22"/>
      <c r="SYV271" s="22"/>
      <c r="SYW271" s="22"/>
      <c r="SYX271" s="22"/>
      <c r="SYY271" s="22"/>
      <c r="SYZ271" s="22"/>
      <c r="SZA271" s="22"/>
      <c r="SZB271" s="22"/>
      <c r="SZC271" s="22"/>
      <c r="SZD271" s="22"/>
      <c r="SZE271" s="22"/>
      <c r="SZF271" s="22"/>
      <c r="SZG271" s="22"/>
      <c r="SZH271" s="22"/>
      <c r="SZI271" s="22"/>
      <c r="SZJ271" s="22"/>
      <c r="SZK271" s="22"/>
      <c r="SZL271" s="22"/>
      <c r="SZM271" s="22"/>
      <c r="SZN271" s="22"/>
      <c r="SZO271" s="22"/>
      <c r="SZP271" s="22"/>
      <c r="SZQ271" s="22"/>
      <c r="SZR271" s="22"/>
      <c r="SZS271" s="22"/>
      <c r="SZT271" s="22"/>
      <c r="SZU271" s="22"/>
      <c r="SZV271" s="22"/>
      <c r="SZW271" s="22"/>
      <c r="SZX271" s="22"/>
      <c r="SZY271" s="22"/>
      <c r="SZZ271" s="22"/>
      <c r="TAA271" s="22"/>
      <c r="TAB271" s="22"/>
      <c r="TAC271" s="22"/>
      <c r="TAD271" s="22"/>
      <c r="TAE271" s="22"/>
      <c r="TAF271" s="22"/>
      <c r="TAG271" s="22"/>
      <c r="TAH271" s="22"/>
      <c r="TAI271" s="22"/>
      <c r="TAJ271" s="22"/>
      <c r="TAK271" s="22"/>
      <c r="TAL271" s="22"/>
      <c r="TAM271" s="22"/>
      <c r="TAN271" s="22"/>
      <c r="TAO271" s="22"/>
      <c r="TAP271" s="22"/>
      <c r="TAQ271" s="22"/>
      <c r="TAR271" s="22"/>
      <c r="TAS271" s="22"/>
      <c r="TAT271" s="22"/>
      <c r="TAU271" s="22"/>
      <c r="TAV271" s="22"/>
      <c r="TAW271" s="22"/>
      <c r="TAX271" s="22"/>
      <c r="TAY271" s="22"/>
      <c r="TAZ271" s="22"/>
      <c r="TBA271" s="22"/>
      <c r="TBB271" s="22"/>
      <c r="TBC271" s="22"/>
      <c r="TBD271" s="22"/>
      <c r="TBE271" s="22"/>
      <c r="TBF271" s="22"/>
      <c r="TBG271" s="22"/>
      <c r="TBH271" s="22"/>
      <c r="TBI271" s="22"/>
      <c r="TBJ271" s="22"/>
      <c r="TBK271" s="22"/>
      <c r="TBL271" s="22"/>
      <c r="TBM271" s="22"/>
      <c r="TBN271" s="22"/>
      <c r="TBO271" s="22"/>
      <c r="TBP271" s="22"/>
      <c r="TBQ271" s="22"/>
      <c r="TBR271" s="22"/>
      <c r="TBS271" s="22"/>
      <c r="TBT271" s="22"/>
      <c r="TBU271" s="22"/>
      <c r="TBV271" s="22"/>
      <c r="TBW271" s="22"/>
      <c r="TBX271" s="22"/>
      <c r="TBY271" s="22"/>
      <c r="TBZ271" s="22"/>
      <c r="TCA271" s="22"/>
      <c r="TCB271" s="22"/>
      <c r="TCC271" s="22"/>
      <c r="TCD271" s="22"/>
      <c r="TCE271" s="22"/>
      <c r="TCF271" s="22"/>
      <c r="TCG271" s="22"/>
      <c r="TCH271" s="22"/>
      <c r="TCI271" s="22"/>
      <c r="TCJ271" s="22"/>
      <c r="TCK271" s="22"/>
      <c r="TCL271" s="22"/>
      <c r="TCM271" s="22"/>
      <c r="TCN271" s="22"/>
      <c r="TCO271" s="22"/>
      <c r="TCP271" s="22"/>
      <c r="TCQ271" s="22"/>
      <c r="TCR271" s="22"/>
      <c r="TCS271" s="22"/>
      <c r="TCT271" s="22"/>
      <c r="TCU271" s="22"/>
      <c r="TCV271" s="22"/>
      <c r="TCW271" s="22"/>
      <c r="TCX271" s="22"/>
      <c r="TCY271" s="22"/>
      <c r="TCZ271" s="22"/>
      <c r="TDA271" s="22"/>
      <c r="TDB271" s="22"/>
      <c r="TDC271" s="22"/>
      <c r="TDD271" s="22"/>
      <c r="TDE271" s="22"/>
      <c r="TDF271" s="22"/>
      <c r="TDG271" s="22"/>
      <c r="TDH271" s="22"/>
      <c r="TDI271" s="22"/>
      <c r="TDJ271" s="22"/>
      <c r="TDK271" s="22"/>
      <c r="TDL271" s="22"/>
      <c r="TDM271" s="22"/>
      <c r="TDN271" s="22"/>
      <c r="TDO271" s="22"/>
      <c r="TDP271" s="22"/>
      <c r="TDQ271" s="22"/>
      <c r="TDR271" s="22"/>
      <c r="TDS271" s="22"/>
      <c r="TDT271" s="22"/>
      <c r="TDU271" s="22"/>
      <c r="TDV271" s="22"/>
      <c r="TDW271" s="22"/>
      <c r="TDX271" s="22"/>
      <c r="TDY271" s="22"/>
      <c r="TDZ271" s="22"/>
      <c r="TEA271" s="22"/>
      <c r="TEB271" s="22"/>
      <c r="TEC271" s="22"/>
      <c r="TED271" s="22"/>
      <c r="TEE271" s="22"/>
      <c r="TEF271" s="22"/>
      <c r="TEG271" s="22"/>
      <c r="TEH271" s="22"/>
      <c r="TEI271" s="22"/>
      <c r="TEJ271" s="22"/>
      <c r="TEK271" s="22"/>
      <c r="TEL271" s="22"/>
      <c r="TEM271" s="22"/>
      <c r="TEN271" s="22"/>
      <c r="TEO271" s="22"/>
      <c r="TEP271" s="22"/>
      <c r="TEQ271" s="22"/>
      <c r="TER271" s="22"/>
      <c r="TES271" s="22"/>
      <c r="TET271" s="22"/>
      <c r="TEU271" s="22"/>
      <c r="TEV271" s="22"/>
      <c r="TEW271" s="22"/>
      <c r="TEX271" s="22"/>
      <c r="TEY271" s="22"/>
      <c r="TEZ271" s="22"/>
      <c r="TFA271" s="22"/>
      <c r="TFB271" s="22"/>
      <c r="TFC271" s="22"/>
      <c r="TFD271" s="22"/>
      <c r="TFE271" s="22"/>
      <c r="TFF271" s="22"/>
      <c r="TFG271" s="22"/>
      <c r="TFH271" s="22"/>
      <c r="TFI271" s="22"/>
      <c r="TFJ271" s="22"/>
      <c r="TFK271" s="22"/>
      <c r="TFL271" s="22"/>
      <c r="TFM271" s="22"/>
      <c r="TFN271" s="22"/>
      <c r="TFO271" s="22"/>
      <c r="TFP271" s="22"/>
      <c r="TFQ271" s="22"/>
      <c r="TFR271" s="22"/>
      <c r="TFS271" s="22"/>
      <c r="TFT271" s="22"/>
      <c r="TFU271" s="22"/>
      <c r="TFV271" s="22"/>
      <c r="TFW271" s="22"/>
      <c r="TFX271" s="22"/>
      <c r="TFY271" s="22"/>
      <c r="TFZ271" s="22"/>
      <c r="TGA271" s="22"/>
      <c r="TGB271" s="22"/>
      <c r="TGC271" s="22"/>
      <c r="TGD271" s="22"/>
      <c r="TGE271" s="22"/>
      <c r="TGF271" s="22"/>
      <c r="TGG271" s="22"/>
      <c r="TGH271" s="22"/>
      <c r="TGI271" s="22"/>
      <c r="TGJ271" s="22"/>
      <c r="TGK271" s="22"/>
      <c r="TGL271" s="22"/>
      <c r="TGM271" s="22"/>
      <c r="TGN271" s="22"/>
      <c r="TGO271" s="22"/>
      <c r="TGP271" s="22"/>
      <c r="TGQ271" s="22"/>
      <c r="TGR271" s="22"/>
      <c r="TGS271" s="22"/>
      <c r="TGT271" s="22"/>
      <c r="TGU271" s="22"/>
      <c r="TGV271" s="22"/>
      <c r="TGW271" s="22"/>
      <c r="TGX271" s="22"/>
      <c r="TGY271" s="22"/>
      <c r="TGZ271" s="22"/>
      <c r="THA271" s="22"/>
      <c r="THB271" s="22"/>
      <c r="THC271" s="22"/>
      <c r="THD271" s="22"/>
      <c r="THE271" s="22"/>
      <c r="THF271" s="22"/>
      <c r="THG271" s="22"/>
      <c r="THH271" s="22"/>
      <c r="THI271" s="22"/>
      <c r="THJ271" s="22"/>
      <c r="THK271" s="22"/>
      <c r="THL271" s="22"/>
      <c r="THM271" s="22"/>
      <c r="THN271" s="22"/>
      <c r="THO271" s="22"/>
      <c r="THP271" s="22"/>
      <c r="THQ271" s="22"/>
      <c r="THR271" s="22"/>
      <c r="THS271" s="22"/>
      <c r="THT271" s="22"/>
      <c r="THU271" s="22"/>
      <c r="THV271" s="22"/>
      <c r="THW271" s="22"/>
      <c r="THX271" s="22"/>
      <c r="THY271" s="22"/>
      <c r="THZ271" s="22"/>
      <c r="TIA271" s="22"/>
      <c r="TIB271" s="22"/>
      <c r="TIC271" s="22"/>
      <c r="TID271" s="22"/>
      <c r="TIE271" s="22"/>
      <c r="TIF271" s="22"/>
      <c r="TIG271" s="22"/>
      <c r="TIH271" s="22"/>
      <c r="TII271" s="22"/>
      <c r="TIJ271" s="22"/>
      <c r="TIK271" s="22"/>
      <c r="TIL271" s="22"/>
      <c r="TIM271" s="22"/>
      <c r="TIN271" s="22"/>
      <c r="TIO271" s="22"/>
      <c r="TIP271" s="22"/>
      <c r="TIQ271" s="22"/>
      <c r="TIR271" s="22"/>
      <c r="TIS271" s="22"/>
      <c r="TIT271" s="22"/>
      <c r="TIU271" s="22"/>
      <c r="TIV271" s="22"/>
      <c r="TIW271" s="22"/>
      <c r="TIX271" s="22"/>
      <c r="TIY271" s="22"/>
      <c r="TIZ271" s="22"/>
      <c r="TJA271" s="22"/>
      <c r="TJB271" s="22"/>
      <c r="TJC271" s="22"/>
      <c r="TJD271" s="22"/>
      <c r="TJE271" s="22"/>
      <c r="TJF271" s="22"/>
      <c r="TJG271" s="22"/>
      <c r="TJH271" s="22"/>
      <c r="TJI271" s="22"/>
      <c r="TJJ271" s="22"/>
      <c r="TJK271" s="22"/>
      <c r="TJL271" s="22"/>
      <c r="TJM271" s="22"/>
      <c r="TJN271" s="22"/>
      <c r="TJO271" s="22"/>
      <c r="TJP271" s="22"/>
      <c r="TJQ271" s="22"/>
      <c r="TJR271" s="22"/>
      <c r="TJS271" s="22"/>
      <c r="TJT271" s="22"/>
      <c r="TJU271" s="22"/>
      <c r="TJV271" s="22"/>
      <c r="TJW271" s="22"/>
      <c r="TJX271" s="22"/>
      <c r="TJY271" s="22"/>
      <c r="TJZ271" s="22"/>
      <c r="TKA271" s="22"/>
      <c r="TKB271" s="22"/>
      <c r="TKC271" s="22"/>
      <c r="TKD271" s="22"/>
      <c r="TKE271" s="22"/>
      <c r="TKF271" s="22"/>
      <c r="TKG271" s="22"/>
      <c r="TKH271" s="22"/>
      <c r="TKI271" s="22"/>
      <c r="TKJ271" s="22"/>
      <c r="TKK271" s="22"/>
      <c r="TKL271" s="22"/>
      <c r="TKM271" s="22"/>
      <c r="TKN271" s="22"/>
      <c r="TKO271" s="22"/>
      <c r="TKP271" s="22"/>
      <c r="TKQ271" s="22"/>
      <c r="TKR271" s="22"/>
      <c r="TKS271" s="22"/>
      <c r="TKT271" s="22"/>
      <c r="TKU271" s="22"/>
      <c r="TKV271" s="22"/>
      <c r="TKW271" s="22"/>
      <c r="TKX271" s="22"/>
      <c r="TKY271" s="22"/>
      <c r="TKZ271" s="22"/>
      <c r="TLA271" s="22"/>
      <c r="TLB271" s="22"/>
      <c r="TLC271" s="22"/>
      <c r="TLD271" s="22"/>
      <c r="TLE271" s="22"/>
      <c r="TLF271" s="22"/>
      <c r="TLG271" s="22"/>
      <c r="TLH271" s="22"/>
      <c r="TLI271" s="22"/>
      <c r="TLJ271" s="22"/>
      <c r="TLK271" s="22"/>
      <c r="TLL271" s="22"/>
      <c r="TLM271" s="22"/>
      <c r="TLN271" s="22"/>
      <c r="TLO271" s="22"/>
      <c r="TLP271" s="22"/>
      <c r="TLQ271" s="22"/>
      <c r="TLR271" s="22"/>
      <c r="TLS271" s="22"/>
      <c r="TLT271" s="22"/>
      <c r="TLU271" s="22"/>
      <c r="TLV271" s="22"/>
      <c r="TLW271" s="22"/>
      <c r="TLX271" s="22"/>
      <c r="TLY271" s="22"/>
      <c r="TLZ271" s="22"/>
      <c r="TMA271" s="22"/>
      <c r="TMB271" s="22"/>
      <c r="TMC271" s="22"/>
      <c r="TMD271" s="22"/>
      <c r="TME271" s="22"/>
      <c r="TMF271" s="22"/>
      <c r="TMG271" s="22"/>
      <c r="TMH271" s="22"/>
      <c r="TMI271" s="22"/>
      <c r="TMJ271" s="22"/>
      <c r="TMK271" s="22"/>
      <c r="TML271" s="22"/>
      <c r="TMM271" s="22"/>
      <c r="TMN271" s="22"/>
      <c r="TMO271" s="22"/>
      <c r="TMP271" s="22"/>
      <c r="TMQ271" s="22"/>
      <c r="TMR271" s="22"/>
      <c r="TMS271" s="22"/>
      <c r="TMT271" s="22"/>
      <c r="TMU271" s="22"/>
      <c r="TMV271" s="22"/>
      <c r="TMW271" s="22"/>
      <c r="TMX271" s="22"/>
      <c r="TMY271" s="22"/>
      <c r="TMZ271" s="22"/>
      <c r="TNA271" s="22"/>
      <c r="TNB271" s="22"/>
      <c r="TNC271" s="22"/>
      <c r="TND271" s="22"/>
      <c r="TNE271" s="22"/>
      <c r="TNF271" s="22"/>
      <c r="TNG271" s="22"/>
      <c r="TNH271" s="22"/>
      <c r="TNI271" s="22"/>
      <c r="TNJ271" s="22"/>
      <c r="TNK271" s="22"/>
      <c r="TNL271" s="22"/>
      <c r="TNM271" s="22"/>
      <c r="TNN271" s="22"/>
      <c r="TNO271" s="22"/>
      <c r="TNP271" s="22"/>
      <c r="TNQ271" s="22"/>
      <c r="TNR271" s="22"/>
      <c r="TNS271" s="22"/>
      <c r="TNT271" s="22"/>
      <c r="TNU271" s="22"/>
      <c r="TNV271" s="22"/>
      <c r="TNW271" s="22"/>
      <c r="TNX271" s="22"/>
      <c r="TNY271" s="22"/>
      <c r="TNZ271" s="22"/>
      <c r="TOA271" s="22"/>
      <c r="TOB271" s="22"/>
      <c r="TOC271" s="22"/>
      <c r="TOD271" s="22"/>
      <c r="TOE271" s="22"/>
      <c r="TOF271" s="22"/>
      <c r="TOG271" s="22"/>
      <c r="TOH271" s="22"/>
      <c r="TOI271" s="22"/>
      <c r="TOJ271" s="22"/>
      <c r="TOK271" s="22"/>
      <c r="TOL271" s="22"/>
      <c r="TOM271" s="22"/>
      <c r="TON271" s="22"/>
      <c r="TOO271" s="22"/>
      <c r="TOP271" s="22"/>
      <c r="TOQ271" s="22"/>
      <c r="TOR271" s="22"/>
      <c r="TOS271" s="22"/>
      <c r="TOT271" s="22"/>
      <c r="TOU271" s="22"/>
      <c r="TOV271" s="22"/>
      <c r="TOW271" s="22"/>
      <c r="TOX271" s="22"/>
      <c r="TOY271" s="22"/>
      <c r="TOZ271" s="22"/>
      <c r="TPA271" s="22"/>
      <c r="TPB271" s="22"/>
      <c r="TPC271" s="22"/>
      <c r="TPD271" s="22"/>
      <c r="TPE271" s="22"/>
      <c r="TPF271" s="22"/>
      <c r="TPG271" s="22"/>
      <c r="TPH271" s="22"/>
      <c r="TPI271" s="22"/>
      <c r="TPJ271" s="22"/>
      <c r="TPK271" s="22"/>
      <c r="TPL271" s="22"/>
      <c r="TPM271" s="22"/>
      <c r="TPN271" s="22"/>
      <c r="TPO271" s="22"/>
      <c r="TPP271" s="22"/>
      <c r="TPQ271" s="22"/>
      <c r="TPR271" s="22"/>
      <c r="TPS271" s="22"/>
      <c r="TPT271" s="22"/>
      <c r="TPU271" s="22"/>
      <c r="TPV271" s="22"/>
      <c r="TPW271" s="22"/>
      <c r="TPX271" s="22"/>
      <c r="TPY271" s="22"/>
      <c r="TPZ271" s="22"/>
      <c r="TQA271" s="22"/>
      <c r="TQB271" s="22"/>
      <c r="TQC271" s="22"/>
      <c r="TQD271" s="22"/>
      <c r="TQE271" s="22"/>
      <c r="TQF271" s="22"/>
      <c r="TQG271" s="22"/>
      <c r="TQH271" s="22"/>
      <c r="TQI271" s="22"/>
      <c r="TQJ271" s="22"/>
      <c r="TQK271" s="22"/>
      <c r="TQL271" s="22"/>
      <c r="TQM271" s="22"/>
      <c r="TQN271" s="22"/>
      <c r="TQO271" s="22"/>
      <c r="TQP271" s="22"/>
      <c r="TQQ271" s="22"/>
      <c r="TQR271" s="22"/>
      <c r="TQS271" s="22"/>
      <c r="TQT271" s="22"/>
      <c r="TQU271" s="22"/>
      <c r="TQV271" s="22"/>
      <c r="TQW271" s="22"/>
      <c r="TQX271" s="22"/>
      <c r="TQY271" s="22"/>
      <c r="TQZ271" s="22"/>
      <c r="TRA271" s="22"/>
      <c r="TRB271" s="22"/>
      <c r="TRC271" s="22"/>
      <c r="TRD271" s="22"/>
      <c r="TRE271" s="22"/>
      <c r="TRF271" s="22"/>
      <c r="TRG271" s="22"/>
      <c r="TRH271" s="22"/>
      <c r="TRI271" s="22"/>
      <c r="TRJ271" s="22"/>
      <c r="TRK271" s="22"/>
      <c r="TRL271" s="22"/>
      <c r="TRM271" s="22"/>
      <c r="TRN271" s="22"/>
      <c r="TRO271" s="22"/>
      <c r="TRP271" s="22"/>
      <c r="TRQ271" s="22"/>
      <c r="TRR271" s="22"/>
      <c r="TRS271" s="22"/>
      <c r="TRT271" s="22"/>
      <c r="TRU271" s="22"/>
      <c r="TRV271" s="22"/>
      <c r="TRW271" s="22"/>
      <c r="TRX271" s="22"/>
      <c r="TRY271" s="22"/>
      <c r="TRZ271" s="22"/>
      <c r="TSA271" s="22"/>
      <c r="TSB271" s="22"/>
      <c r="TSC271" s="22"/>
      <c r="TSD271" s="22"/>
      <c r="TSE271" s="22"/>
      <c r="TSF271" s="22"/>
      <c r="TSG271" s="22"/>
      <c r="TSH271" s="22"/>
      <c r="TSI271" s="22"/>
      <c r="TSJ271" s="22"/>
      <c r="TSK271" s="22"/>
      <c r="TSL271" s="22"/>
      <c r="TSM271" s="22"/>
      <c r="TSN271" s="22"/>
      <c r="TSO271" s="22"/>
      <c r="TSP271" s="22"/>
      <c r="TSQ271" s="22"/>
      <c r="TSR271" s="22"/>
      <c r="TSS271" s="22"/>
      <c r="TST271" s="22"/>
      <c r="TSU271" s="22"/>
      <c r="TSV271" s="22"/>
      <c r="TSW271" s="22"/>
      <c r="TSX271" s="22"/>
      <c r="TSY271" s="22"/>
      <c r="TSZ271" s="22"/>
      <c r="TTA271" s="22"/>
      <c r="TTB271" s="22"/>
      <c r="TTC271" s="22"/>
      <c r="TTD271" s="22"/>
      <c r="TTE271" s="22"/>
      <c r="TTF271" s="22"/>
      <c r="TTG271" s="22"/>
      <c r="TTH271" s="22"/>
      <c r="TTI271" s="22"/>
      <c r="TTJ271" s="22"/>
      <c r="TTK271" s="22"/>
      <c r="TTL271" s="22"/>
      <c r="TTM271" s="22"/>
      <c r="TTN271" s="22"/>
      <c r="TTO271" s="22"/>
      <c r="TTP271" s="22"/>
      <c r="TTQ271" s="22"/>
      <c r="TTR271" s="22"/>
      <c r="TTS271" s="22"/>
      <c r="TTT271" s="22"/>
      <c r="TTU271" s="22"/>
      <c r="TTV271" s="22"/>
      <c r="TTW271" s="22"/>
      <c r="TTX271" s="22"/>
      <c r="TTY271" s="22"/>
      <c r="TTZ271" s="22"/>
      <c r="TUA271" s="22"/>
      <c r="TUB271" s="22"/>
      <c r="TUC271" s="22"/>
      <c r="TUD271" s="22"/>
      <c r="TUE271" s="22"/>
      <c r="TUF271" s="22"/>
      <c r="TUG271" s="22"/>
      <c r="TUH271" s="22"/>
      <c r="TUI271" s="22"/>
      <c r="TUJ271" s="22"/>
      <c r="TUK271" s="22"/>
      <c r="TUL271" s="22"/>
      <c r="TUM271" s="22"/>
      <c r="TUN271" s="22"/>
      <c r="TUO271" s="22"/>
      <c r="TUP271" s="22"/>
      <c r="TUQ271" s="22"/>
      <c r="TUR271" s="22"/>
      <c r="TUS271" s="22"/>
      <c r="TUT271" s="22"/>
      <c r="TUU271" s="22"/>
      <c r="TUV271" s="22"/>
      <c r="TUW271" s="22"/>
      <c r="TUX271" s="22"/>
      <c r="TUY271" s="22"/>
      <c r="TUZ271" s="22"/>
      <c r="TVA271" s="22"/>
      <c r="TVB271" s="22"/>
      <c r="TVC271" s="22"/>
      <c r="TVD271" s="22"/>
      <c r="TVE271" s="22"/>
      <c r="TVF271" s="22"/>
      <c r="TVG271" s="22"/>
      <c r="TVH271" s="22"/>
      <c r="TVI271" s="22"/>
      <c r="TVJ271" s="22"/>
      <c r="TVK271" s="22"/>
      <c r="TVL271" s="22"/>
      <c r="TVM271" s="22"/>
      <c r="TVN271" s="22"/>
      <c r="TVO271" s="22"/>
      <c r="TVP271" s="22"/>
      <c r="TVQ271" s="22"/>
      <c r="TVR271" s="22"/>
      <c r="TVS271" s="22"/>
      <c r="TVT271" s="22"/>
      <c r="TVU271" s="22"/>
      <c r="TVV271" s="22"/>
      <c r="TVW271" s="22"/>
      <c r="TVX271" s="22"/>
      <c r="TVY271" s="22"/>
      <c r="TVZ271" s="22"/>
      <c r="TWA271" s="22"/>
      <c r="TWB271" s="22"/>
      <c r="TWC271" s="22"/>
      <c r="TWD271" s="22"/>
      <c r="TWE271" s="22"/>
      <c r="TWF271" s="22"/>
      <c r="TWG271" s="22"/>
      <c r="TWH271" s="22"/>
      <c r="TWI271" s="22"/>
      <c r="TWJ271" s="22"/>
      <c r="TWK271" s="22"/>
      <c r="TWL271" s="22"/>
      <c r="TWM271" s="22"/>
      <c r="TWN271" s="22"/>
      <c r="TWO271" s="22"/>
      <c r="TWP271" s="22"/>
      <c r="TWQ271" s="22"/>
      <c r="TWR271" s="22"/>
      <c r="TWS271" s="22"/>
      <c r="TWT271" s="22"/>
      <c r="TWU271" s="22"/>
      <c r="TWV271" s="22"/>
      <c r="TWW271" s="22"/>
      <c r="TWX271" s="22"/>
      <c r="TWY271" s="22"/>
      <c r="TWZ271" s="22"/>
      <c r="TXA271" s="22"/>
      <c r="TXB271" s="22"/>
      <c r="TXC271" s="22"/>
      <c r="TXD271" s="22"/>
      <c r="TXE271" s="22"/>
      <c r="TXF271" s="22"/>
      <c r="TXG271" s="22"/>
      <c r="TXH271" s="22"/>
      <c r="TXI271" s="22"/>
      <c r="TXJ271" s="22"/>
      <c r="TXK271" s="22"/>
      <c r="TXL271" s="22"/>
      <c r="TXM271" s="22"/>
      <c r="TXN271" s="22"/>
      <c r="TXO271" s="22"/>
      <c r="TXP271" s="22"/>
      <c r="TXQ271" s="22"/>
      <c r="TXR271" s="22"/>
      <c r="TXS271" s="22"/>
      <c r="TXT271" s="22"/>
      <c r="TXU271" s="22"/>
      <c r="TXV271" s="22"/>
      <c r="TXW271" s="22"/>
      <c r="TXX271" s="22"/>
      <c r="TXY271" s="22"/>
      <c r="TXZ271" s="22"/>
      <c r="TYA271" s="22"/>
      <c r="TYB271" s="22"/>
      <c r="TYC271" s="22"/>
      <c r="TYD271" s="22"/>
      <c r="TYE271" s="22"/>
      <c r="TYF271" s="22"/>
      <c r="TYG271" s="22"/>
      <c r="TYH271" s="22"/>
      <c r="TYI271" s="22"/>
      <c r="TYJ271" s="22"/>
      <c r="TYK271" s="22"/>
      <c r="TYL271" s="22"/>
      <c r="TYM271" s="22"/>
      <c r="TYN271" s="22"/>
      <c r="TYO271" s="22"/>
      <c r="TYP271" s="22"/>
      <c r="TYQ271" s="22"/>
      <c r="TYR271" s="22"/>
      <c r="TYS271" s="22"/>
      <c r="TYT271" s="22"/>
      <c r="TYU271" s="22"/>
      <c r="TYV271" s="22"/>
      <c r="TYW271" s="22"/>
      <c r="TYX271" s="22"/>
      <c r="TYY271" s="22"/>
      <c r="TYZ271" s="22"/>
      <c r="TZA271" s="22"/>
      <c r="TZB271" s="22"/>
      <c r="TZC271" s="22"/>
      <c r="TZD271" s="22"/>
      <c r="TZE271" s="22"/>
      <c r="TZF271" s="22"/>
      <c r="TZG271" s="22"/>
      <c r="TZH271" s="22"/>
      <c r="TZI271" s="22"/>
      <c r="TZJ271" s="22"/>
      <c r="TZK271" s="22"/>
      <c r="TZL271" s="22"/>
      <c r="TZM271" s="22"/>
      <c r="TZN271" s="22"/>
      <c r="TZO271" s="22"/>
      <c r="TZP271" s="22"/>
      <c r="TZQ271" s="22"/>
      <c r="TZR271" s="22"/>
      <c r="TZS271" s="22"/>
      <c r="TZT271" s="22"/>
      <c r="TZU271" s="22"/>
      <c r="TZV271" s="22"/>
      <c r="TZW271" s="22"/>
      <c r="TZX271" s="22"/>
      <c r="TZY271" s="22"/>
      <c r="TZZ271" s="22"/>
      <c r="UAA271" s="22"/>
      <c r="UAB271" s="22"/>
      <c r="UAC271" s="22"/>
      <c r="UAD271" s="22"/>
      <c r="UAE271" s="22"/>
      <c r="UAF271" s="22"/>
      <c r="UAG271" s="22"/>
      <c r="UAH271" s="22"/>
      <c r="UAI271" s="22"/>
      <c r="UAJ271" s="22"/>
      <c r="UAK271" s="22"/>
      <c r="UAL271" s="22"/>
      <c r="UAM271" s="22"/>
      <c r="UAN271" s="22"/>
      <c r="UAO271" s="22"/>
      <c r="UAP271" s="22"/>
      <c r="UAQ271" s="22"/>
      <c r="UAR271" s="22"/>
      <c r="UAS271" s="22"/>
      <c r="UAT271" s="22"/>
      <c r="UAU271" s="22"/>
      <c r="UAV271" s="22"/>
      <c r="UAW271" s="22"/>
      <c r="UAX271" s="22"/>
      <c r="UAY271" s="22"/>
      <c r="UAZ271" s="22"/>
      <c r="UBA271" s="22"/>
      <c r="UBB271" s="22"/>
      <c r="UBC271" s="22"/>
      <c r="UBD271" s="22"/>
      <c r="UBE271" s="22"/>
      <c r="UBF271" s="22"/>
      <c r="UBG271" s="22"/>
      <c r="UBH271" s="22"/>
      <c r="UBI271" s="22"/>
      <c r="UBJ271" s="22"/>
      <c r="UBK271" s="22"/>
      <c r="UBL271" s="22"/>
      <c r="UBM271" s="22"/>
      <c r="UBN271" s="22"/>
      <c r="UBO271" s="22"/>
      <c r="UBP271" s="22"/>
      <c r="UBQ271" s="22"/>
      <c r="UBR271" s="22"/>
      <c r="UBS271" s="22"/>
      <c r="UBT271" s="22"/>
      <c r="UBU271" s="22"/>
      <c r="UBV271" s="22"/>
      <c r="UBW271" s="22"/>
      <c r="UBX271" s="22"/>
      <c r="UBY271" s="22"/>
      <c r="UBZ271" s="22"/>
      <c r="UCA271" s="22"/>
      <c r="UCB271" s="22"/>
      <c r="UCC271" s="22"/>
      <c r="UCD271" s="22"/>
      <c r="UCE271" s="22"/>
      <c r="UCF271" s="22"/>
      <c r="UCG271" s="22"/>
      <c r="UCH271" s="22"/>
      <c r="UCI271" s="22"/>
      <c r="UCJ271" s="22"/>
      <c r="UCK271" s="22"/>
      <c r="UCL271" s="22"/>
      <c r="UCM271" s="22"/>
      <c r="UCN271" s="22"/>
      <c r="UCO271" s="22"/>
      <c r="UCP271" s="22"/>
      <c r="UCQ271" s="22"/>
      <c r="UCR271" s="22"/>
      <c r="UCS271" s="22"/>
      <c r="UCT271" s="22"/>
      <c r="UCU271" s="22"/>
      <c r="UCV271" s="22"/>
      <c r="UCW271" s="22"/>
      <c r="UCX271" s="22"/>
      <c r="UCY271" s="22"/>
      <c r="UCZ271" s="22"/>
      <c r="UDA271" s="22"/>
      <c r="UDB271" s="22"/>
      <c r="UDC271" s="22"/>
      <c r="UDD271" s="22"/>
      <c r="UDE271" s="22"/>
      <c r="UDF271" s="22"/>
      <c r="UDG271" s="22"/>
      <c r="UDH271" s="22"/>
      <c r="UDI271" s="22"/>
      <c r="UDJ271" s="22"/>
      <c r="UDK271" s="22"/>
      <c r="UDL271" s="22"/>
      <c r="UDM271" s="22"/>
      <c r="UDN271" s="22"/>
      <c r="UDO271" s="22"/>
      <c r="UDP271" s="22"/>
      <c r="UDQ271" s="22"/>
      <c r="UDR271" s="22"/>
      <c r="UDS271" s="22"/>
      <c r="UDT271" s="22"/>
      <c r="UDU271" s="22"/>
      <c r="UDV271" s="22"/>
      <c r="UDW271" s="22"/>
      <c r="UDX271" s="22"/>
      <c r="UDY271" s="22"/>
      <c r="UDZ271" s="22"/>
      <c r="UEA271" s="22"/>
      <c r="UEB271" s="22"/>
      <c r="UEC271" s="22"/>
      <c r="UED271" s="22"/>
      <c r="UEE271" s="22"/>
      <c r="UEF271" s="22"/>
      <c r="UEG271" s="22"/>
      <c r="UEH271" s="22"/>
      <c r="UEI271" s="22"/>
      <c r="UEJ271" s="22"/>
      <c r="UEK271" s="22"/>
      <c r="UEL271" s="22"/>
      <c r="UEM271" s="22"/>
      <c r="UEN271" s="22"/>
      <c r="UEO271" s="22"/>
      <c r="UEP271" s="22"/>
      <c r="UEQ271" s="22"/>
      <c r="UER271" s="22"/>
      <c r="UES271" s="22"/>
      <c r="UET271" s="22"/>
      <c r="UEU271" s="22"/>
      <c r="UEV271" s="22"/>
      <c r="UEW271" s="22"/>
      <c r="UEX271" s="22"/>
      <c r="UEY271" s="22"/>
      <c r="UEZ271" s="22"/>
      <c r="UFA271" s="22"/>
      <c r="UFB271" s="22"/>
      <c r="UFC271" s="22"/>
      <c r="UFD271" s="22"/>
      <c r="UFE271" s="22"/>
      <c r="UFF271" s="22"/>
      <c r="UFG271" s="22"/>
      <c r="UFH271" s="22"/>
      <c r="UFI271" s="22"/>
      <c r="UFJ271" s="22"/>
      <c r="UFK271" s="22"/>
      <c r="UFL271" s="22"/>
      <c r="UFM271" s="22"/>
      <c r="UFN271" s="22"/>
      <c r="UFO271" s="22"/>
      <c r="UFP271" s="22"/>
      <c r="UFQ271" s="22"/>
      <c r="UFR271" s="22"/>
      <c r="UFS271" s="22"/>
      <c r="UFT271" s="22"/>
      <c r="UFU271" s="22"/>
      <c r="UFV271" s="22"/>
      <c r="UFW271" s="22"/>
      <c r="UFX271" s="22"/>
      <c r="UFY271" s="22"/>
      <c r="UFZ271" s="22"/>
      <c r="UGA271" s="22"/>
      <c r="UGB271" s="22"/>
      <c r="UGC271" s="22"/>
      <c r="UGD271" s="22"/>
      <c r="UGE271" s="22"/>
      <c r="UGF271" s="22"/>
      <c r="UGG271" s="22"/>
      <c r="UGH271" s="22"/>
      <c r="UGI271" s="22"/>
      <c r="UGJ271" s="22"/>
      <c r="UGK271" s="22"/>
      <c r="UGL271" s="22"/>
      <c r="UGM271" s="22"/>
      <c r="UGN271" s="22"/>
      <c r="UGO271" s="22"/>
      <c r="UGP271" s="22"/>
      <c r="UGQ271" s="22"/>
      <c r="UGR271" s="22"/>
      <c r="UGS271" s="22"/>
      <c r="UGT271" s="22"/>
      <c r="UGU271" s="22"/>
      <c r="UGV271" s="22"/>
      <c r="UGW271" s="22"/>
      <c r="UGX271" s="22"/>
      <c r="UGY271" s="22"/>
      <c r="UGZ271" s="22"/>
      <c r="UHA271" s="22"/>
      <c r="UHB271" s="22"/>
      <c r="UHC271" s="22"/>
      <c r="UHD271" s="22"/>
      <c r="UHE271" s="22"/>
      <c r="UHF271" s="22"/>
      <c r="UHG271" s="22"/>
      <c r="UHH271" s="22"/>
      <c r="UHI271" s="22"/>
      <c r="UHJ271" s="22"/>
      <c r="UHK271" s="22"/>
      <c r="UHL271" s="22"/>
      <c r="UHM271" s="22"/>
      <c r="UHN271" s="22"/>
      <c r="UHO271" s="22"/>
      <c r="UHP271" s="22"/>
      <c r="UHQ271" s="22"/>
      <c r="UHR271" s="22"/>
      <c r="UHS271" s="22"/>
      <c r="UHT271" s="22"/>
      <c r="UHU271" s="22"/>
      <c r="UHV271" s="22"/>
      <c r="UHW271" s="22"/>
      <c r="UHX271" s="22"/>
      <c r="UHY271" s="22"/>
      <c r="UHZ271" s="22"/>
      <c r="UIA271" s="22"/>
      <c r="UIB271" s="22"/>
      <c r="UIC271" s="22"/>
      <c r="UID271" s="22"/>
      <c r="UIE271" s="22"/>
      <c r="UIF271" s="22"/>
      <c r="UIG271" s="22"/>
      <c r="UIH271" s="22"/>
      <c r="UII271" s="22"/>
      <c r="UIJ271" s="22"/>
      <c r="UIK271" s="22"/>
      <c r="UIL271" s="22"/>
      <c r="UIM271" s="22"/>
      <c r="UIN271" s="22"/>
      <c r="UIO271" s="22"/>
      <c r="UIP271" s="22"/>
      <c r="UIQ271" s="22"/>
      <c r="UIR271" s="22"/>
      <c r="UIS271" s="22"/>
      <c r="UIT271" s="22"/>
      <c r="UIU271" s="22"/>
      <c r="UIV271" s="22"/>
      <c r="UIW271" s="22"/>
      <c r="UIX271" s="22"/>
      <c r="UIY271" s="22"/>
      <c r="UIZ271" s="22"/>
      <c r="UJA271" s="22"/>
      <c r="UJB271" s="22"/>
      <c r="UJC271" s="22"/>
      <c r="UJD271" s="22"/>
      <c r="UJE271" s="22"/>
      <c r="UJF271" s="22"/>
      <c r="UJG271" s="22"/>
      <c r="UJH271" s="22"/>
      <c r="UJI271" s="22"/>
      <c r="UJJ271" s="22"/>
      <c r="UJK271" s="22"/>
      <c r="UJL271" s="22"/>
      <c r="UJM271" s="22"/>
      <c r="UJN271" s="22"/>
      <c r="UJO271" s="22"/>
      <c r="UJP271" s="22"/>
      <c r="UJQ271" s="22"/>
      <c r="UJR271" s="22"/>
      <c r="UJS271" s="22"/>
      <c r="UJT271" s="22"/>
      <c r="UJU271" s="22"/>
      <c r="UJV271" s="22"/>
      <c r="UJW271" s="22"/>
      <c r="UJX271" s="22"/>
      <c r="UJY271" s="22"/>
      <c r="UJZ271" s="22"/>
      <c r="UKA271" s="22"/>
      <c r="UKB271" s="22"/>
      <c r="UKC271" s="22"/>
      <c r="UKD271" s="22"/>
      <c r="UKE271" s="22"/>
      <c r="UKF271" s="22"/>
      <c r="UKG271" s="22"/>
      <c r="UKH271" s="22"/>
      <c r="UKI271" s="22"/>
      <c r="UKJ271" s="22"/>
      <c r="UKK271" s="22"/>
      <c r="UKL271" s="22"/>
      <c r="UKM271" s="22"/>
      <c r="UKN271" s="22"/>
      <c r="UKO271" s="22"/>
      <c r="UKP271" s="22"/>
      <c r="UKQ271" s="22"/>
      <c r="UKR271" s="22"/>
      <c r="UKS271" s="22"/>
      <c r="UKT271" s="22"/>
      <c r="UKU271" s="22"/>
      <c r="UKV271" s="22"/>
      <c r="UKW271" s="22"/>
      <c r="UKX271" s="22"/>
      <c r="UKY271" s="22"/>
      <c r="UKZ271" s="22"/>
      <c r="ULA271" s="22"/>
      <c r="ULB271" s="22"/>
      <c r="ULC271" s="22"/>
      <c r="ULD271" s="22"/>
      <c r="ULE271" s="22"/>
      <c r="ULF271" s="22"/>
      <c r="ULG271" s="22"/>
      <c r="ULH271" s="22"/>
      <c r="ULI271" s="22"/>
      <c r="ULJ271" s="22"/>
      <c r="ULK271" s="22"/>
      <c r="ULL271" s="22"/>
      <c r="ULM271" s="22"/>
      <c r="ULN271" s="22"/>
      <c r="ULO271" s="22"/>
      <c r="ULP271" s="22"/>
      <c r="ULQ271" s="22"/>
      <c r="ULR271" s="22"/>
      <c r="ULS271" s="22"/>
      <c r="ULT271" s="22"/>
      <c r="ULU271" s="22"/>
      <c r="ULV271" s="22"/>
      <c r="ULW271" s="22"/>
      <c r="ULX271" s="22"/>
      <c r="ULY271" s="22"/>
      <c r="ULZ271" s="22"/>
      <c r="UMA271" s="22"/>
      <c r="UMB271" s="22"/>
      <c r="UMC271" s="22"/>
      <c r="UMD271" s="22"/>
      <c r="UME271" s="22"/>
      <c r="UMF271" s="22"/>
      <c r="UMG271" s="22"/>
      <c r="UMH271" s="22"/>
      <c r="UMI271" s="22"/>
      <c r="UMJ271" s="22"/>
      <c r="UMK271" s="22"/>
      <c r="UML271" s="22"/>
      <c r="UMM271" s="22"/>
      <c r="UMN271" s="22"/>
      <c r="UMO271" s="22"/>
      <c r="UMP271" s="22"/>
      <c r="UMQ271" s="22"/>
      <c r="UMR271" s="22"/>
      <c r="UMS271" s="22"/>
      <c r="UMT271" s="22"/>
      <c r="UMU271" s="22"/>
      <c r="UMV271" s="22"/>
      <c r="UMW271" s="22"/>
      <c r="UMX271" s="22"/>
      <c r="UMY271" s="22"/>
      <c r="UMZ271" s="22"/>
      <c r="UNA271" s="22"/>
      <c r="UNB271" s="22"/>
      <c r="UNC271" s="22"/>
      <c r="UND271" s="22"/>
      <c r="UNE271" s="22"/>
      <c r="UNF271" s="22"/>
      <c r="UNG271" s="22"/>
      <c r="UNH271" s="22"/>
      <c r="UNI271" s="22"/>
      <c r="UNJ271" s="22"/>
      <c r="UNK271" s="22"/>
      <c r="UNL271" s="22"/>
      <c r="UNM271" s="22"/>
      <c r="UNN271" s="22"/>
      <c r="UNO271" s="22"/>
      <c r="UNP271" s="22"/>
      <c r="UNQ271" s="22"/>
      <c r="UNR271" s="22"/>
      <c r="UNS271" s="22"/>
      <c r="UNT271" s="22"/>
      <c r="UNU271" s="22"/>
      <c r="UNV271" s="22"/>
      <c r="UNW271" s="22"/>
      <c r="UNX271" s="22"/>
      <c r="UNY271" s="22"/>
      <c r="UNZ271" s="22"/>
      <c r="UOA271" s="22"/>
      <c r="UOB271" s="22"/>
      <c r="UOC271" s="22"/>
      <c r="UOD271" s="22"/>
      <c r="UOE271" s="22"/>
      <c r="UOF271" s="22"/>
      <c r="UOG271" s="22"/>
      <c r="UOH271" s="22"/>
      <c r="UOI271" s="22"/>
      <c r="UOJ271" s="22"/>
      <c r="UOK271" s="22"/>
      <c r="UOL271" s="22"/>
      <c r="UOM271" s="22"/>
      <c r="UON271" s="22"/>
      <c r="UOO271" s="22"/>
      <c r="UOP271" s="22"/>
      <c r="UOQ271" s="22"/>
      <c r="UOR271" s="22"/>
      <c r="UOS271" s="22"/>
      <c r="UOT271" s="22"/>
      <c r="UOU271" s="22"/>
      <c r="UOV271" s="22"/>
      <c r="UOW271" s="22"/>
      <c r="UOX271" s="22"/>
      <c r="UOY271" s="22"/>
      <c r="UOZ271" s="22"/>
      <c r="UPA271" s="22"/>
      <c r="UPB271" s="22"/>
      <c r="UPC271" s="22"/>
      <c r="UPD271" s="22"/>
      <c r="UPE271" s="22"/>
      <c r="UPF271" s="22"/>
      <c r="UPG271" s="22"/>
      <c r="UPH271" s="22"/>
      <c r="UPI271" s="22"/>
      <c r="UPJ271" s="22"/>
      <c r="UPK271" s="22"/>
      <c r="UPL271" s="22"/>
      <c r="UPM271" s="22"/>
      <c r="UPN271" s="22"/>
      <c r="UPO271" s="22"/>
      <c r="UPP271" s="22"/>
      <c r="UPQ271" s="22"/>
      <c r="UPR271" s="22"/>
      <c r="UPS271" s="22"/>
      <c r="UPT271" s="22"/>
      <c r="UPU271" s="22"/>
      <c r="UPV271" s="22"/>
      <c r="UPW271" s="22"/>
      <c r="UPX271" s="22"/>
      <c r="UPY271" s="22"/>
      <c r="UPZ271" s="22"/>
      <c r="UQA271" s="22"/>
      <c r="UQB271" s="22"/>
      <c r="UQC271" s="22"/>
      <c r="UQD271" s="22"/>
      <c r="UQE271" s="22"/>
      <c r="UQF271" s="22"/>
      <c r="UQG271" s="22"/>
      <c r="UQH271" s="22"/>
      <c r="UQI271" s="22"/>
      <c r="UQJ271" s="22"/>
      <c r="UQK271" s="22"/>
      <c r="UQL271" s="22"/>
      <c r="UQM271" s="22"/>
      <c r="UQN271" s="22"/>
      <c r="UQO271" s="22"/>
      <c r="UQP271" s="22"/>
      <c r="UQQ271" s="22"/>
      <c r="UQR271" s="22"/>
      <c r="UQS271" s="22"/>
      <c r="UQT271" s="22"/>
      <c r="UQU271" s="22"/>
      <c r="UQV271" s="22"/>
      <c r="UQW271" s="22"/>
      <c r="UQX271" s="22"/>
      <c r="UQY271" s="22"/>
      <c r="UQZ271" s="22"/>
      <c r="URA271" s="22"/>
      <c r="URB271" s="22"/>
      <c r="URC271" s="22"/>
      <c r="URD271" s="22"/>
      <c r="URE271" s="22"/>
      <c r="URF271" s="22"/>
      <c r="URG271" s="22"/>
      <c r="URH271" s="22"/>
      <c r="URI271" s="22"/>
      <c r="URJ271" s="22"/>
      <c r="URK271" s="22"/>
      <c r="URL271" s="22"/>
      <c r="URM271" s="22"/>
      <c r="URN271" s="22"/>
      <c r="URO271" s="22"/>
      <c r="URP271" s="22"/>
      <c r="URQ271" s="22"/>
      <c r="URR271" s="22"/>
      <c r="URS271" s="22"/>
      <c r="URT271" s="22"/>
      <c r="URU271" s="22"/>
      <c r="URV271" s="22"/>
      <c r="URW271" s="22"/>
      <c r="URX271" s="22"/>
      <c r="URY271" s="22"/>
      <c r="URZ271" s="22"/>
      <c r="USA271" s="22"/>
      <c r="USB271" s="22"/>
      <c r="USC271" s="22"/>
      <c r="USD271" s="22"/>
      <c r="USE271" s="22"/>
      <c r="USF271" s="22"/>
      <c r="USG271" s="22"/>
      <c r="USH271" s="22"/>
      <c r="USI271" s="22"/>
      <c r="USJ271" s="22"/>
      <c r="USK271" s="22"/>
      <c r="USL271" s="22"/>
      <c r="USM271" s="22"/>
      <c r="USN271" s="22"/>
      <c r="USO271" s="22"/>
      <c r="USP271" s="22"/>
      <c r="USQ271" s="22"/>
      <c r="USR271" s="22"/>
      <c r="USS271" s="22"/>
      <c r="UST271" s="22"/>
      <c r="USU271" s="22"/>
      <c r="USV271" s="22"/>
      <c r="USW271" s="22"/>
      <c r="USX271" s="22"/>
      <c r="USY271" s="22"/>
      <c r="USZ271" s="22"/>
      <c r="UTA271" s="22"/>
      <c r="UTB271" s="22"/>
      <c r="UTC271" s="22"/>
      <c r="UTD271" s="22"/>
      <c r="UTE271" s="22"/>
      <c r="UTF271" s="22"/>
      <c r="UTG271" s="22"/>
      <c r="UTH271" s="22"/>
      <c r="UTI271" s="22"/>
      <c r="UTJ271" s="22"/>
      <c r="UTK271" s="22"/>
      <c r="UTL271" s="22"/>
      <c r="UTM271" s="22"/>
      <c r="UTN271" s="22"/>
      <c r="UTO271" s="22"/>
      <c r="UTP271" s="22"/>
      <c r="UTQ271" s="22"/>
      <c r="UTR271" s="22"/>
      <c r="UTS271" s="22"/>
      <c r="UTT271" s="22"/>
      <c r="UTU271" s="22"/>
      <c r="UTV271" s="22"/>
      <c r="UTW271" s="22"/>
      <c r="UTX271" s="22"/>
      <c r="UTY271" s="22"/>
      <c r="UTZ271" s="22"/>
      <c r="UUA271" s="22"/>
      <c r="UUB271" s="22"/>
      <c r="UUC271" s="22"/>
      <c r="UUD271" s="22"/>
      <c r="UUE271" s="22"/>
      <c r="UUF271" s="22"/>
      <c r="UUG271" s="22"/>
      <c r="UUH271" s="22"/>
      <c r="UUI271" s="22"/>
      <c r="UUJ271" s="22"/>
      <c r="UUK271" s="22"/>
      <c r="UUL271" s="22"/>
      <c r="UUM271" s="22"/>
      <c r="UUN271" s="22"/>
      <c r="UUO271" s="22"/>
      <c r="UUP271" s="22"/>
      <c r="UUQ271" s="22"/>
      <c r="UUR271" s="22"/>
      <c r="UUS271" s="22"/>
      <c r="UUT271" s="22"/>
      <c r="UUU271" s="22"/>
      <c r="UUV271" s="22"/>
      <c r="UUW271" s="22"/>
      <c r="UUX271" s="22"/>
      <c r="UUY271" s="22"/>
      <c r="UUZ271" s="22"/>
      <c r="UVA271" s="22"/>
      <c r="UVB271" s="22"/>
      <c r="UVC271" s="22"/>
      <c r="UVD271" s="22"/>
      <c r="UVE271" s="22"/>
      <c r="UVF271" s="22"/>
      <c r="UVG271" s="22"/>
      <c r="UVH271" s="22"/>
      <c r="UVI271" s="22"/>
      <c r="UVJ271" s="22"/>
      <c r="UVK271" s="22"/>
      <c r="UVL271" s="22"/>
      <c r="UVM271" s="22"/>
      <c r="UVN271" s="22"/>
      <c r="UVO271" s="22"/>
      <c r="UVP271" s="22"/>
      <c r="UVQ271" s="22"/>
      <c r="UVR271" s="22"/>
      <c r="UVS271" s="22"/>
      <c r="UVT271" s="22"/>
      <c r="UVU271" s="22"/>
      <c r="UVV271" s="22"/>
      <c r="UVW271" s="22"/>
      <c r="UVX271" s="22"/>
      <c r="UVY271" s="22"/>
      <c r="UVZ271" s="22"/>
      <c r="UWA271" s="22"/>
      <c r="UWB271" s="22"/>
      <c r="UWC271" s="22"/>
      <c r="UWD271" s="22"/>
      <c r="UWE271" s="22"/>
      <c r="UWF271" s="22"/>
      <c r="UWG271" s="22"/>
      <c r="UWH271" s="22"/>
      <c r="UWI271" s="22"/>
      <c r="UWJ271" s="22"/>
      <c r="UWK271" s="22"/>
      <c r="UWL271" s="22"/>
      <c r="UWM271" s="22"/>
      <c r="UWN271" s="22"/>
      <c r="UWO271" s="22"/>
      <c r="UWP271" s="22"/>
      <c r="UWQ271" s="22"/>
      <c r="UWR271" s="22"/>
      <c r="UWS271" s="22"/>
      <c r="UWT271" s="22"/>
      <c r="UWU271" s="22"/>
      <c r="UWV271" s="22"/>
      <c r="UWW271" s="22"/>
      <c r="UWX271" s="22"/>
      <c r="UWY271" s="22"/>
      <c r="UWZ271" s="22"/>
      <c r="UXA271" s="22"/>
      <c r="UXB271" s="22"/>
      <c r="UXC271" s="22"/>
      <c r="UXD271" s="22"/>
      <c r="UXE271" s="22"/>
      <c r="UXF271" s="22"/>
      <c r="UXG271" s="22"/>
      <c r="UXH271" s="22"/>
      <c r="UXI271" s="22"/>
      <c r="UXJ271" s="22"/>
      <c r="UXK271" s="22"/>
      <c r="UXL271" s="22"/>
      <c r="UXM271" s="22"/>
      <c r="UXN271" s="22"/>
      <c r="UXO271" s="22"/>
      <c r="UXP271" s="22"/>
      <c r="UXQ271" s="22"/>
      <c r="UXR271" s="22"/>
      <c r="UXS271" s="22"/>
      <c r="UXT271" s="22"/>
      <c r="UXU271" s="22"/>
      <c r="UXV271" s="22"/>
      <c r="UXW271" s="22"/>
      <c r="UXX271" s="22"/>
      <c r="UXY271" s="22"/>
      <c r="UXZ271" s="22"/>
      <c r="UYA271" s="22"/>
      <c r="UYB271" s="22"/>
      <c r="UYC271" s="22"/>
      <c r="UYD271" s="22"/>
      <c r="UYE271" s="22"/>
      <c r="UYF271" s="22"/>
      <c r="UYG271" s="22"/>
      <c r="UYH271" s="22"/>
      <c r="UYI271" s="22"/>
      <c r="UYJ271" s="22"/>
      <c r="UYK271" s="22"/>
      <c r="UYL271" s="22"/>
      <c r="UYM271" s="22"/>
      <c r="UYN271" s="22"/>
      <c r="UYO271" s="22"/>
      <c r="UYP271" s="22"/>
      <c r="UYQ271" s="22"/>
      <c r="UYR271" s="22"/>
      <c r="UYS271" s="22"/>
      <c r="UYT271" s="22"/>
      <c r="UYU271" s="22"/>
      <c r="UYV271" s="22"/>
      <c r="UYW271" s="22"/>
      <c r="UYX271" s="22"/>
      <c r="UYY271" s="22"/>
      <c r="UYZ271" s="22"/>
      <c r="UZA271" s="22"/>
      <c r="UZB271" s="22"/>
      <c r="UZC271" s="22"/>
      <c r="UZD271" s="22"/>
      <c r="UZE271" s="22"/>
      <c r="UZF271" s="22"/>
      <c r="UZG271" s="22"/>
      <c r="UZH271" s="22"/>
      <c r="UZI271" s="22"/>
      <c r="UZJ271" s="22"/>
      <c r="UZK271" s="22"/>
      <c r="UZL271" s="22"/>
      <c r="UZM271" s="22"/>
      <c r="UZN271" s="22"/>
      <c r="UZO271" s="22"/>
      <c r="UZP271" s="22"/>
      <c r="UZQ271" s="22"/>
      <c r="UZR271" s="22"/>
      <c r="UZS271" s="22"/>
      <c r="UZT271" s="22"/>
      <c r="UZU271" s="22"/>
      <c r="UZV271" s="22"/>
      <c r="UZW271" s="22"/>
      <c r="UZX271" s="22"/>
      <c r="UZY271" s="22"/>
      <c r="UZZ271" s="22"/>
      <c r="VAA271" s="22"/>
      <c r="VAB271" s="22"/>
      <c r="VAC271" s="22"/>
      <c r="VAD271" s="22"/>
      <c r="VAE271" s="22"/>
      <c r="VAF271" s="22"/>
      <c r="VAG271" s="22"/>
      <c r="VAH271" s="22"/>
      <c r="VAI271" s="22"/>
      <c r="VAJ271" s="22"/>
      <c r="VAK271" s="22"/>
      <c r="VAL271" s="22"/>
      <c r="VAM271" s="22"/>
      <c r="VAN271" s="22"/>
      <c r="VAO271" s="22"/>
      <c r="VAP271" s="22"/>
      <c r="VAQ271" s="22"/>
      <c r="VAR271" s="22"/>
      <c r="VAS271" s="22"/>
      <c r="VAT271" s="22"/>
      <c r="VAU271" s="22"/>
      <c r="VAV271" s="22"/>
      <c r="VAW271" s="22"/>
      <c r="VAX271" s="22"/>
      <c r="VAY271" s="22"/>
      <c r="VAZ271" s="22"/>
      <c r="VBA271" s="22"/>
      <c r="VBB271" s="22"/>
      <c r="VBC271" s="22"/>
      <c r="VBD271" s="22"/>
      <c r="VBE271" s="22"/>
      <c r="VBF271" s="22"/>
      <c r="VBG271" s="22"/>
      <c r="VBH271" s="22"/>
      <c r="VBI271" s="22"/>
      <c r="VBJ271" s="22"/>
      <c r="VBK271" s="22"/>
      <c r="VBL271" s="22"/>
      <c r="VBM271" s="22"/>
      <c r="VBN271" s="22"/>
      <c r="VBO271" s="22"/>
      <c r="VBP271" s="22"/>
      <c r="VBQ271" s="22"/>
      <c r="VBR271" s="22"/>
      <c r="VBS271" s="22"/>
      <c r="VBT271" s="22"/>
      <c r="VBU271" s="22"/>
      <c r="VBV271" s="22"/>
      <c r="VBW271" s="22"/>
      <c r="VBX271" s="22"/>
      <c r="VBY271" s="22"/>
      <c r="VBZ271" s="22"/>
      <c r="VCA271" s="22"/>
      <c r="VCB271" s="22"/>
      <c r="VCC271" s="22"/>
      <c r="VCD271" s="22"/>
      <c r="VCE271" s="22"/>
      <c r="VCF271" s="22"/>
      <c r="VCG271" s="22"/>
      <c r="VCH271" s="22"/>
      <c r="VCI271" s="22"/>
      <c r="VCJ271" s="22"/>
      <c r="VCK271" s="22"/>
      <c r="VCL271" s="22"/>
      <c r="VCM271" s="22"/>
      <c r="VCN271" s="22"/>
      <c r="VCO271" s="22"/>
      <c r="VCP271" s="22"/>
      <c r="VCQ271" s="22"/>
      <c r="VCR271" s="22"/>
      <c r="VCS271" s="22"/>
      <c r="VCT271" s="22"/>
      <c r="VCU271" s="22"/>
      <c r="VCV271" s="22"/>
      <c r="VCW271" s="22"/>
      <c r="VCX271" s="22"/>
      <c r="VCY271" s="22"/>
      <c r="VCZ271" s="22"/>
      <c r="VDA271" s="22"/>
      <c r="VDB271" s="22"/>
      <c r="VDC271" s="22"/>
      <c r="VDD271" s="22"/>
      <c r="VDE271" s="22"/>
      <c r="VDF271" s="22"/>
      <c r="VDG271" s="22"/>
      <c r="VDH271" s="22"/>
      <c r="VDI271" s="22"/>
      <c r="VDJ271" s="22"/>
      <c r="VDK271" s="22"/>
      <c r="VDL271" s="22"/>
      <c r="VDM271" s="22"/>
      <c r="VDN271" s="22"/>
      <c r="VDO271" s="22"/>
      <c r="VDP271" s="22"/>
      <c r="VDQ271" s="22"/>
      <c r="VDR271" s="22"/>
      <c r="VDS271" s="22"/>
      <c r="VDT271" s="22"/>
      <c r="VDU271" s="22"/>
      <c r="VDV271" s="22"/>
      <c r="VDW271" s="22"/>
      <c r="VDX271" s="22"/>
      <c r="VDY271" s="22"/>
      <c r="VDZ271" s="22"/>
      <c r="VEA271" s="22"/>
      <c r="VEB271" s="22"/>
      <c r="VEC271" s="22"/>
      <c r="VED271" s="22"/>
      <c r="VEE271" s="22"/>
      <c r="VEF271" s="22"/>
      <c r="VEG271" s="22"/>
      <c r="VEH271" s="22"/>
      <c r="VEI271" s="22"/>
      <c r="VEJ271" s="22"/>
      <c r="VEK271" s="22"/>
      <c r="VEL271" s="22"/>
      <c r="VEM271" s="22"/>
      <c r="VEN271" s="22"/>
      <c r="VEO271" s="22"/>
      <c r="VEP271" s="22"/>
      <c r="VEQ271" s="22"/>
      <c r="VER271" s="22"/>
      <c r="VES271" s="22"/>
      <c r="VET271" s="22"/>
      <c r="VEU271" s="22"/>
      <c r="VEV271" s="22"/>
      <c r="VEW271" s="22"/>
      <c r="VEX271" s="22"/>
      <c r="VEY271" s="22"/>
      <c r="VEZ271" s="22"/>
      <c r="VFA271" s="22"/>
      <c r="VFB271" s="22"/>
      <c r="VFC271" s="22"/>
      <c r="VFD271" s="22"/>
      <c r="VFE271" s="22"/>
      <c r="VFF271" s="22"/>
      <c r="VFG271" s="22"/>
      <c r="VFH271" s="22"/>
      <c r="VFI271" s="22"/>
      <c r="VFJ271" s="22"/>
      <c r="VFK271" s="22"/>
      <c r="VFL271" s="22"/>
      <c r="VFM271" s="22"/>
      <c r="VFN271" s="22"/>
      <c r="VFO271" s="22"/>
      <c r="VFP271" s="22"/>
      <c r="VFQ271" s="22"/>
      <c r="VFR271" s="22"/>
      <c r="VFS271" s="22"/>
      <c r="VFT271" s="22"/>
      <c r="VFU271" s="22"/>
      <c r="VFV271" s="22"/>
      <c r="VFW271" s="22"/>
      <c r="VFX271" s="22"/>
      <c r="VFY271" s="22"/>
      <c r="VFZ271" s="22"/>
      <c r="VGA271" s="22"/>
      <c r="VGB271" s="22"/>
      <c r="VGC271" s="22"/>
      <c r="VGD271" s="22"/>
      <c r="VGE271" s="22"/>
      <c r="VGF271" s="22"/>
      <c r="VGG271" s="22"/>
      <c r="VGH271" s="22"/>
      <c r="VGI271" s="22"/>
      <c r="VGJ271" s="22"/>
      <c r="VGK271" s="22"/>
      <c r="VGL271" s="22"/>
      <c r="VGM271" s="22"/>
      <c r="VGN271" s="22"/>
      <c r="VGO271" s="22"/>
      <c r="VGP271" s="22"/>
      <c r="VGQ271" s="22"/>
      <c r="VGR271" s="22"/>
      <c r="VGS271" s="22"/>
      <c r="VGT271" s="22"/>
      <c r="VGU271" s="22"/>
      <c r="VGV271" s="22"/>
      <c r="VGW271" s="22"/>
      <c r="VGX271" s="22"/>
      <c r="VGY271" s="22"/>
      <c r="VGZ271" s="22"/>
      <c r="VHA271" s="22"/>
      <c r="VHB271" s="22"/>
      <c r="VHC271" s="22"/>
      <c r="VHD271" s="22"/>
      <c r="VHE271" s="22"/>
      <c r="VHF271" s="22"/>
      <c r="VHG271" s="22"/>
      <c r="VHH271" s="22"/>
      <c r="VHI271" s="22"/>
      <c r="VHJ271" s="22"/>
      <c r="VHK271" s="22"/>
      <c r="VHL271" s="22"/>
      <c r="VHM271" s="22"/>
      <c r="VHN271" s="22"/>
      <c r="VHO271" s="22"/>
      <c r="VHP271" s="22"/>
      <c r="VHQ271" s="22"/>
      <c r="VHR271" s="22"/>
      <c r="VHS271" s="22"/>
      <c r="VHT271" s="22"/>
      <c r="VHU271" s="22"/>
      <c r="VHV271" s="22"/>
      <c r="VHW271" s="22"/>
      <c r="VHX271" s="22"/>
      <c r="VHY271" s="22"/>
      <c r="VHZ271" s="22"/>
      <c r="VIA271" s="22"/>
      <c r="VIB271" s="22"/>
      <c r="VIC271" s="22"/>
      <c r="VID271" s="22"/>
      <c r="VIE271" s="22"/>
      <c r="VIF271" s="22"/>
      <c r="VIG271" s="22"/>
      <c r="VIH271" s="22"/>
      <c r="VII271" s="22"/>
      <c r="VIJ271" s="22"/>
      <c r="VIK271" s="22"/>
      <c r="VIL271" s="22"/>
      <c r="VIM271" s="22"/>
      <c r="VIN271" s="22"/>
      <c r="VIO271" s="22"/>
      <c r="VIP271" s="22"/>
      <c r="VIQ271" s="22"/>
      <c r="VIR271" s="22"/>
      <c r="VIS271" s="22"/>
      <c r="VIT271" s="22"/>
      <c r="VIU271" s="22"/>
      <c r="VIV271" s="22"/>
      <c r="VIW271" s="22"/>
      <c r="VIX271" s="22"/>
      <c r="VIY271" s="22"/>
      <c r="VIZ271" s="22"/>
      <c r="VJA271" s="22"/>
      <c r="VJB271" s="22"/>
      <c r="VJC271" s="22"/>
      <c r="VJD271" s="22"/>
      <c r="VJE271" s="22"/>
      <c r="VJF271" s="22"/>
      <c r="VJG271" s="22"/>
      <c r="VJH271" s="22"/>
      <c r="VJI271" s="22"/>
      <c r="VJJ271" s="22"/>
      <c r="VJK271" s="22"/>
      <c r="VJL271" s="22"/>
      <c r="VJM271" s="22"/>
      <c r="VJN271" s="22"/>
      <c r="VJO271" s="22"/>
      <c r="VJP271" s="22"/>
      <c r="VJQ271" s="22"/>
      <c r="VJR271" s="22"/>
      <c r="VJS271" s="22"/>
      <c r="VJT271" s="22"/>
      <c r="VJU271" s="22"/>
      <c r="VJV271" s="22"/>
      <c r="VJW271" s="22"/>
      <c r="VJX271" s="22"/>
      <c r="VJY271" s="22"/>
      <c r="VJZ271" s="22"/>
      <c r="VKA271" s="22"/>
      <c r="VKB271" s="22"/>
      <c r="VKC271" s="22"/>
      <c r="VKD271" s="22"/>
      <c r="VKE271" s="22"/>
      <c r="VKF271" s="22"/>
      <c r="VKG271" s="22"/>
      <c r="VKH271" s="22"/>
      <c r="VKI271" s="22"/>
      <c r="VKJ271" s="22"/>
      <c r="VKK271" s="22"/>
      <c r="VKL271" s="22"/>
      <c r="VKM271" s="22"/>
      <c r="VKN271" s="22"/>
      <c r="VKO271" s="22"/>
      <c r="VKP271" s="22"/>
      <c r="VKQ271" s="22"/>
      <c r="VKR271" s="22"/>
      <c r="VKS271" s="22"/>
      <c r="VKT271" s="22"/>
      <c r="VKU271" s="22"/>
      <c r="VKV271" s="22"/>
      <c r="VKW271" s="22"/>
      <c r="VKX271" s="22"/>
      <c r="VKY271" s="22"/>
      <c r="VKZ271" s="22"/>
      <c r="VLA271" s="22"/>
      <c r="VLB271" s="22"/>
      <c r="VLC271" s="22"/>
      <c r="VLD271" s="22"/>
      <c r="VLE271" s="22"/>
      <c r="VLF271" s="22"/>
      <c r="VLG271" s="22"/>
      <c r="VLH271" s="22"/>
      <c r="VLI271" s="22"/>
      <c r="VLJ271" s="22"/>
      <c r="VLK271" s="22"/>
      <c r="VLL271" s="22"/>
      <c r="VLM271" s="22"/>
      <c r="VLN271" s="22"/>
      <c r="VLO271" s="22"/>
      <c r="VLP271" s="22"/>
      <c r="VLQ271" s="22"/>
      <c r="VLR271" s="22"/>
      <c r="VLS271" s="22"/>
      <c r="VLT271" s="22"/>
      <c r="VLU271" s="22"/>
      <c r="VLV271" s="22"/>
      <c r="VLW271" s="22"/>
      <c r="VLX271" s="22"/>
      <c r="VLY271" s="22"/>
      <c r="VLZ271" s="22"/>
      <c r="VMA271" s="22"/>
      <c r="VMB271" s="22"/>
      <c r="VMC271" s="22"/>
      <c r="VMD271" s="22"/>
      <c r="VME271" s="22"/>
      <c r="VMF271" s="22"/>
      <c r="VMG271" s="22"/>
      <c r="VMH271" s="22"/>
      <c r="VMI271" s="22"/>
      <c r="VMJ271" s="22"/>
      <c r="VMK271" s="22"/>
      <c r="VML271" s="22"/>
      <c r="VMM271" s="22"/>
      <c r="VMN271" s="22"/>
      <c r="VMO271" s="22"/>
      <c r="VMP271" s="22"/>
      <c r="VMQ271" s="22"/>
      <c r="VMR271" s="22"/>
      <c r="VMS271" s="22"/>
      <c r="VMT271" s="22"/>
      <c r="VMU271" s="22"/>
      <c r="VMV271" s="22"/>
      <c r="VMW271" s="22"/>
      <c r="VMX271" s="22"/>
      <c r="VMY271" s="22"/>
      <c r="VMZ271" s="22"/>
      <c r="VNA271" s="22"/>
      <c r="VNB271" s="22"/>
      <c r="VNC271" s="22"/>
      <c r="VND271" s="22"/>
      <c r="VNE271" s="22"/>
      <c r="VNF271" s="22"/>
      <c r="VNG271" s="22"/>
      <c r="VNH271" s="22"/>
      <c r="VNI271" s="22"/>
      <c r="VNJ271" s="22"/>
      <c r="VNK271" s="22"/>
      <c r="VNL271" s="22"/>
      <c r="VNM271" s="22"/>
      <c r="VNN271" s="22"/>
      <c r="VNO271" s="22"/>
      <c r="VNP271" s="22"/>
      <c r="VNQ271" s="22"/>
      <c r="VNR271" s="22"/>
      <c r="VNS271" s="22"/>
      <c r="VNT271" s="22"/>
      <c r="VNU271" s="22"/>
      <c r="VNV271" s="22"/>
      <c r="VNW271" s="22"/>
      <c r="VNX271" s="22"/>
      <c r="VNY271" s="22"/>
      <c r="VNZ271" s="22"/>
      <c r="VOA271" s="22"/>
      <c r="VOB271" s="22"/>
      <c r="VOC271" s="22"/>
      <c r="VOD271" s="22"/>
      <c r="VOE271" s="22"/>
      <c r="VOF271" s="22"/>
      <c r="VOG271" s="22"/>
      <c r="VOH271" s="22"/>
      <c r="VOI271" s="22"/>
      <c r="VOJ271" s="22"/>
      <c r="VOK271" s="22"/>
      <c r="VOL271" s="22"/>
      <c r="VOM271" s="22"/>
      <c r="VON271" s="22"/>
      <c r="VOO271" s="22"/>
      <c r="VOP271" s="22"/>
      <c r="VOQ271" s="22"/>
      <c r="VOR271" s="22"/>
      <c r="VOS271" s="22"/>
      <c r="VOT271" s="22"/>
      <c r="VOU271" s="22"/>
      <c r="VOV271" s="22"/>
      <c r="VOW271" s="22"/>
      <c r="VOX271" s="22"/>
      <c r="VOY271" s="22"/>
      <c r="VOZ271" s="22"/>
      <c r="VPA271" s="22"/>
      <c r="VPB271" s="22"/>
      <c r="VPC271" s="22"/>
      <c r="VPD271" s="22"/>
      <c r="VPE271" s="22"/>
      <c r="VPF271" s="22"/>
      <c r="VPG271" s="22"/>
      <c r="VPH271" s="22"/>
      <c r="VPI271" s="22"/>
      <c r="VPJ271" s="22"/>
      <c r="VPK271" s="22"/>
      <c r="VPL271" s="22"/>
      <c r="VPM271" s="22"/>
      <c r="VPN271" s="22"/>
      <c r="VPO271" s="22"/>
      <c r="VPP271" s="22"/>
      <c r="VPQ271" s="22"/>
      <c r="VPR271" s="22"/>
      <c r="VPS271" s="22"/>
      <c r="VPT271" s="22"/>
      <c r="VPU271" s="22"/>
      <c r="VPV271" s="22"/>
      <c r="VPW271" s="22"/>
      <c r="VPX271" s="22"/>
      <c r="VPY271" s="22"/>
      <c r="VPZ271" s="22"/>
      <c r="VQA271" s="22"/>
      <c r="VQB271" s="22"/>
      <c r="VQC271" s="22"/>
      <c r="VQD271" s="22"/>
      <c r="VQE271" s="22"/>
      <c r="VQF271" s="22"/>
      <c r="VQG271" s="22"/>
      <c r="VQH271" s="22"/>
      <c r="VQI271" s="22"/>
      <c r="VQJ271" s="22"/>
      <c r="VQK271" s="22"/>
      <c r="VQL271" s="22"/>
      <c r="VQM271" s="22"/>
      <c r="VQN271" s="22"/>
      <c r="VQO271" s="22"/>
      <c r="VQP271" s="22"/>
      <c r="VQQ271" s="22"/>
      <c r="VQR271" s="22"/>
      <c r="VQS271" s="22"/>
      <c r="VQT271" s="22"/>
      <c r="VQU271" s="22"/>
      <c r="VQV271" s="22"/>
      <c r="VQW271" s="22"/>
      <c r="VQX271" s="22"/>
      <c r="VQY271" s="22"/>
      <c r="VQZ271" s="22"/>
      <c r="VRA271" s="22"/>
      <c r="VRB271" s="22"/>
      <c r="VRC271" s="22"/>
      <c r="VRD271" s="22"/>
      <c r="VRE271" s="22"/>
      <c r="VRF271" s="22"/>
      <c r="VRG271" s="22"/>
      <c r="VRH271" s="22"/>
      <c r="VRI271" s="22"/>
      <c r="VRJ271" s="22"/>
      <c r="VRK271" s="22"/>
      <c r="VRL271" s="22"/>
      <c r="VRM271" s="22"/>
      <c r="VRN271" s="22"/>
      <c r="VRO271" s="22"/>
      <c r="VRP271" s="22"/>
      <c r="VRQ271" s="22"/>
      <c r="VRR271" s="22"/>
      <c r="VRS271" s="22"/>
      <c r="VRT271" s="22"/>
      <c r="VRU271" s="22"/>
      <c r="VRV271" s="22"/>
      <c r="VRW271" s="22"/>
      <c r="VRX271" s="22"/>
      <c r="VRY271" s="22"/>
      <c r="VRZ271" s="22"/>
      <c r="VSA271" s="22"/>
      <c r="VSB271" s="22"/>
      <c r="VSC271" s="22"/>
      <c r="VSD271" s="22"/>
      <c r="VSE271" s="22"/>
      <c r="VSF271" s="22"/>
      <c r="VSG271" s="22"/>
      <c r="VSH271" s="22"/>
      <c r="VSI271" s="22"/>
      <c r="VSJ271" s="22"/>
      <c r="VSK271" s="22"/>
      <c r="VSL271" s="22"/>
      <c r="VSM271" s="22"/>
      <c r="VSN271" s="22"/>
      <c r="VSO271" s="22"/>
      <c r="VSP271" s="22"/>
      <c r="VSQ271" s="22"/>
      <c r="VSR271" s="22"/>
      <c r="VSS271" s="22"/>
      <c r="VST271" s="22"/>
      <c r="VSU271" s="22"/>
      <c r="VSV271" s="22"/>
      <c r="VSW271" s="22"/>
      <c r="VSX271" s="22"/>
      <c r="VSY271" s="22"/>
      <c r="VSZ271" s="22"/>
      <c r="VTA271" s="22"/>
      <c r="VTB271" s="22"/>
      <c r="VTC271" s="22"/>
      <c r="VTD271" s="22"/>
      <c r="VTE271" s="22"/>
      <c r="VTF271" s="22"/>
      <c r="VTG271" s="22"/>
      <c r="VTH271" s="22"/>
      <c r="VTI271" s="22"/>
      <c r="VTJ271" s="22"/>
      <c r="VTK271" s="22"/>
      <c r="VTL271" s="22"/>
      <c r="VTM271" s="22"/>
      <c r="VTN271" s="22"/>
      <c r="VTO271" s="22"/>
      <c r="VTP271" s="22"/>
      <c r="VTQ271" s="22"/>
      <c r="VTR271" s="22"/>
      <c r="VTS271" s="22"/>
      <c r="VTT271" s="22"/>
      <c r="VTU271" s="22"/>
      <c r="VTV271" s="22"/>
      <c r="VTW271" s="22"/>
      <c r="VTX271" s="22"/>
      <c r="VTY271" s="22"/>
      <c r="VTZ271" s="22"/>
      <c r="VUA271" s="22"/>
      <c r="VUB271" s="22"/>
      <c r="VUC271" s="22"/>
      <c r="VUD271" s="22"/>
      <c r="VUE271" s="22"/>
      <c r="VUF271" s="22"/>
      <c r="VUG271" s="22"/>
      <c r="VUH271" s="22"/>
      <c r="VUI271" s="22"/>
      <c r="VUJ271" s="22"/>
      <c r="VUK271" s="22"/>
      <c r="VUL271" s="22"/>
      <c r="VUM271" s="22"/>
      <c r="VUN271" s="22"/>
      <c r="VUO271" s="22"/>
      <c r="VUP271" s="22"/>
      <c r="VUQ271" s="22"/>
      <c r="VUR271" s="22"/>
      <c r="VUS271" s="22"/>
      <c r="VUT271" s="22"/>
      <c r="VUU271" s="22"/>
      <c r="VUV271" s="22"/>
      <c r="VUW271" s="22"/>
      <c r="VUX271" s="22"/>
      <c r="VUY271" s="22"/>
      <c r="VUZ271" s="22"/>
      <c r="VVA271" s="22"/>
      <c r="VVB271" s="22"/>
      <c r="VVC271" s="22"/>
      <c r="VVD271" s="22"/>
      <c r="VVE271" s="22"/>
      <c r="VVF271" s="22"/>
      <c r="VVG271" s="22"/>
      <c r="VVH271" s="22"/>
      <c r="VVI271" s="22"/>
      <c r="VVJ271" s="22"/>
      <c r="VVK271" s="22"/>
      <c r="VVL271" s="22"/>
      <c r="VVM271" s="22"/>
      <c r="VVN271" s="22"/>
      <c r="VVO271" s="22"/>
      <c r="VVP271" s="22"/>
      <c r="VVQ271" s="22"/>
      <c r="VVR271" s="22"/>
      <c r="VVS271" s="22"/>
      <c r="VVT271" s="22"/>
      <c r="VVU271" s="22"/>
      <c r="VVV271" s="22"/>
      <c r="VVW271" s="22"/>
      <c r="VVX271" s="22"/>
      <c r="VVY271" s="22"/>
      <c r="VVZ271" s="22"/>
      <c r="VWA271" s="22"/>
      <c r="VWB271" s="22"/>
      <c r="VWC271" s="22"/>
      <c r="VWD271" s="22"/>
      <c r="VWE271" s="22"/>
      <c r="VWF271" s="22"/>
      <c r="VWG271" s="22"/>
      <c r="VWH271" s="22"/>
      <c r="VWI271" s="22"/>
      <c r="VWJ271" s="22"/>
      <c r="VWK271" s="22"/>
      <c r="VWL271" s="22"/>
      <c r="VWM271" s="22"/>
      <c r="VWN271" s="22"/>
      <c r="VWO271" s="22"/>
      <c r="VWP271" s="22"/>
      <c r="VWQ271" s="22"/>
      <c r="VWR271" s="22"/>
      <c r="VWS271" s="22"/>
      <c r="VWT271" s="22"/>
      <c r="VWU271" s="22"/>
      <c r="VWV271" s="22"/>
      <c r="VWW271" s="22"/>
      <c r="VWX271" s="22"/>
      <c r="VWY271" s="22"/>
      <c r="VWZ271" s="22"/>
      <c r="VXA271" s="22"/>
      <c r="VXB271" s="22"/>
      <c r="VXC271" s="22"/>
      <c r="VXD271" s="22"/>
      <c r="VXE271" s="22"/>
      <c r="VXF271" s="22"/>
      <c r="VXG271" s="22"/>
      <c r="VXH271" s="22"/>
      <c r="VXI271" s="22"/>
      <c r="VXJ271" s="22"/>
      <c r="VXK271" s="22"/>
      <c r="VXL271" s="22"/>
      <c r="VXM271" s="22"/>
      <c r="VXN271" s="22"/>
      <c r="VXO271" s="22"/>
      <c r="VXP271" s="22"/>
      <c r="VXQ271" s="22"/>
      <c r="VXR271" s="22"/>
      <c r="VXS271" s="22"/>
      <c r="VXT271" s="22"/>
      <c r="VXU271" s="22"/>
      <c r="VXV271" s="22"/>
      <c r="VXW271" s="22"/>
      <c r="VXX271" s="22"/>
      <c r="VXY271" s="22"/>
      <c r="VXZ271" s="22"/>
      <c r="VYA271" s="22"/>
      <c r="VYB271" s="22"/>
      <c r="VYC271" s="22"/>
      <c r="VYD271" s="22"/>
      <c r="VYE271" s="22"/>
      <c r="VYF271" s="22"/>
      <c r="VYG271" s="22"/>
      <c r="VYH271" s="22"/>
      <c r="VYI271" s="22"/>
      <c r="VYJ271" s="22"/>
      <c r="VYK271" s="22"/>
      <c r="VYL271" s="22"/>
      <c r="VYM271" s="22"/>
      <c r="VYN271" s="22"/>
      <c r="VYO271" s="22"/>
      <c r="VYP271" s="22"/>
      <c r="VYQ271" s="22"/>
      <c r="VYR271" s="22"/>
      <c r="VYS271" s="22"/>
      <c r="VYT271" s="22"/>
      <c r="VYU271" s="22"/>
      <c r="VYV271" s="22"/>
      <c r="VYW271" s="22"/>
      <c r="VYX271" s="22"/>
      <c r="VYY271" s="22"/>
      <c r="VYZ271" s="22"/>
      <c r="VZA271" s="22"/>
      <c r="VZB271" s="22"/>
      <c r="VZC271" s="22"/>
      <c r="VZD271" s="22"/>
      <c r="VZE271" s="22"/>
      <c r="VZF271" s="22"/>
      <c r="VZG271" s="22"/>
      <c r="VZH271" s="22"/>
      <c r="VZI271" s="22"/>
      <c r="VZJ271" s="22"/>
      <c r="VZK271" s="22"/>
      <c r="VZL271" s="22"/>
      <c r="VZM271" s="22"/>
      <c r="VZN271" s="22"/>
      <c r="VZO271" s="22"/>
      <c r="VZP271" s="22"/>
      <c r="VZQ271" s="22"/>
      <c r="VZR271" s="22"/>
      <c r="VZS271" s="22"/>
      <c r="VZT271" s="22"/>
      <c r="VZU271" s="22"/>
      <c r="VZV271" s="22"/>
      <c r="VZW271" s="22"/>
      <c r="VZX271" s="22"/>
      <c r="VZY271" s="22"/>
      <c r="VZZ271" s="22"/>
      <c r="WAA271" s="22"/>
      <c r="WAB271" s="22"/>
      <c r="WAC271" s="22"/>
      <c r="WAD271" s="22"/>
      <c r="WAE271" s="22"/>
      <c r="WAF271" s="22"/>
      <c r="WAG271" s="22"/>
      <c r="WAH271" s="22"/>
      <c r="WAI271" s="22"/>
      <c r="WAJ271" s="22"/>
      <c r="WAK271" s="22"/>
      <c r="WAL271" s="22"/>
      <c r="WAM271" s="22"/>
      <c r="WAN271" s="22"/>
      <c r="WAO271" s="22"/>
      <c r="WAP271" s="22"/>
      <c r="WAQ271" s="22"/>
      <c r="WAR271" s="22"/>
      <c r="WAS271" s="22"/>
      <c r="WAT271" s="22"/>
      <c r="WAU271" s="22"/>
      <c r="WAV271" s="22"/>
      <c r="WAW271" s="22"/>
      <c r="WAX271" s="22"/>
      <c r="WAY271" s="22"/>
      <c r="WAZ271" s="22"/>
      <c r="WBA271" s="22"/>
      <c r="WBB271" s="22"/>
      <c r="WBC271" s="22"/>
      <c r="WBD271" s="22"/>
      <c r="WBE271" s="22"/>
      <c r="WBF271" s="22"/>
      <c r="WBG271" s="22"/>
      <c r="WBH271" s="22"/>
      <c r="WBI271" s="22"/>
      <c r="WBJ271" s="22"/>
      <c r="WBK271" s="22"/>
      <c r="WBL271" s="22"/>
      <c r="WBM271" s="22"/>
      <c r="WBN271" s="22"/>
      <c r="WBO271" s="22"/>
      <c r="WBP271" s="22"/>
      <c r="WBQ271" s="22"/>
      <c r="WBR271" s="22"/>
      <c r="WBS271" s="22"/>
      <c r="WBT271" s="22"/>
      <c r="WBU271" s="22"/>
      <c r="WBV271" s="22"/>
      <c r="WBW271" s="22"/>
      <c r="WBX271" s="22"/>
      <c r="WBY271" s="22"/>
      <c r="WBZ271" s="22"/>
      <c r="WCA271" s="22"/>
      <c r="WCB271" s="22"/>
      <c r="WCC271" s="22"/>
      <c r="WCD271" s="22"/>
      <c r="WCE271" s="22"/>
      <c r="WCF271" s="22"/>
      <c r="WCG271" s="22"/>
      <c r="WCH271" s="22"/>
      <c r="WCI271" s="22"/>
      <c r="WCJ271" s="22"/>
      <c r="WCK271" s="22"/>
      <c r="WCL271" s="22"/>
      <c r="WCM271" s="22"/>
      <c r="WCN271" s="22"/>
      <c r="WCO271" s="22"/>
      <c r="WCP271" s="22"/>
      <c r="WCQ271" s="22"/>
      <c r="WCR271" s="22"/>
      <c r="WCS271" s="22"/>
      <c r="WCT271" s="22"/>
      <c r="WCU271" s="22"/>
      <c r="WCV271" s="22"/>
      <c r="WCW271" s="22"/>
      <c r="WCX271" s="22"/>
      <c r="WCY271" s="22"/>
      <c r="WCZ271" s="22"/>
      <c r="WDA271" s="22"/>
      <c r="WDB271" s="22"/>
      <c r="WDC271" s="22"/>
      <c r="WDD271" s="22"/>
      <c r="WDE271" s="22"/>
      <c r="WDF271" s="22"/>
      <c r="WDG271" s="22"/>
      <c r="WDH271" s="22"/>
      <c r="WDI271" s="22"/>
      <c r="WDJ271" s="22"/>
      <c r="WDK271" s="22"/>
      <c r="WDL271" s="22"/>
      <c r="WDM271" s="22"/>
      <c r="WDN271" s="22"/>
      <c r="WDO271" s="22"/>
      <c r="WDP271" s="22"/>
      <c r="WDQ271" s="22"/>
      <c r="WDR271" s="22"/>
      <c r="WDS271" s="22"/>
      <c r="WDT271" s="22"/>
      <c r="WDU271" s="22"/>
      <c r="WDV271" s="22"/>
      <c r="WDW271" s="22"/>
      <c r="WDX271" s="22"/>
      <c r="WDY271" s="22"/>
      <c r="WDZ271" s="22"/>
      <c r="WEA271" s="22"/>
      <c r="WEB271" s="22"/>
      <c r="WEC271" s="22"/>
      <c r="WED271" s="22"/>
      <c r="WEE271" s="22"/>
      <c r="WEF271" s="22"/>
      <c r="WEG271" s="22"/>
      <c r="WEH271" s="22"/>
      <c r="WEI271" s="22"/>
      <c r="WEJ271" s="22"/>
      <c r="WEK271" s="22"/>
      <c r="WEL271" s="22"/>
      <c r="WEM271" s="22"/>
      <c r="WEN271" s="22"/>
      <c r="WEO271" s="22"/>
      <c r="WEP271" s="22"/>
      <c r="WEQ271" s="22"/>
      <c r="WER271" s="22"/>
      <c r="WES271" s="22"/>
      <c r="WET271" s="22"/>
      <c r="WEU271" s="22"/>
      <c r="WEV271" s="22"/>
      <c r="WEW271" s="22"/>
      <c r="WEX271" s="22"/>
      <c r="WEY271" s="22"/>
      <c r="WEZ271" s="22"/>
      <c r="WFA271" s="22"/>
      <c r="WFB271" s="22"/>
      <c r="WFC271" s="22"/>
      <c r="WFD271" s="22"/>
      <c r="WFE271" s="22"/>
      <c r="WFF271" s="22"/>
      <c r="WFG271" s="22"/>
      <c r="WFH271" s="22"/>
      <c r="WFI271" s="22"/>
      <c r="WFJ271" s="22"/>
      <c r="WFK271" s="22"/>
      <c r="WFL271" s="22"/>
      <c r="WFM271" s="22"/>
      <c r="WFN271" s="22"/>
      <c r="WFO271" s="22"/>
      <c r="WFP271" s="22"/>
      <c r="WFQ271" s="22"/>
      <c r="WFR271" s="22"/>
      <c r="WFS271" s="22"/>
      <c r="WFT271" s="22"/>
      <c r="WFU271" s="22"/>
      <c r="WFV271" s="22"/>
      <c r="WFW271" s="22"/>
      <c r="WFX271" s="22"/>
      <c r="WFY271" s="22"/>
      <c r="WFZ271" s="22"/>
      <c r="WGA271" s="22"/>
      <c r="WGB271" s="22"/>
      <c r="WGC271" s="22"/>
      <c r="WGD271" s="22"/>
      <c r="WGE271" s="22"/>
      <c r="WGF271" s="22"/>
      <c r="WGG271" s="22"/>
      <c r="WGH271" s="22"/>
      <c r="WGI271" s="22"/>
      <c r="WGJ271" s="22"/>
      <c r="WGK271" s="22"/>
      <c r="WGL271" s="22"/>
      <c r="WGM271" s="22"/>
      <c r="WGN271" s="22"/>
      <c r="WGO271" s="22"/>
      <c r="WGP271" s="22"/>
      <c r="WGQ271" s="22"/>
      <c r="WGR271" s="22"/>
      <c r="WGS271" s="22"/>
      <c r="WGT271" s="22"/>
      <c r="WGU271" s="22"/>
      <c r="WGV271" s="22"/>
      <c r="WGW271" s="22"/>
      <c r="WGX271" s="22"/>
      <c r="WGY271" s="22"/>
      <c r="WGZ271" s="22"/>
      <c r="WHA271" s="22"/>
      <c r="WHB271" s="22"/>
      <c r="WHC271" s="22"/>
      <c r="WHD271" s="22"/>
      <c r="WHE271" s="22"/>
      <c r="WHF271" s="22"/>
      <c r="WHG271" s="22"/>
      <c r="WHH271" s="22"/>
      <c r="WHI271" s="22"/>
      <c r="WHJ271" s="22"/>
      <c r="WHK271" s="22"/>
      <c r="WHL271" s="22"/>
      <c r="WHM271" s="22"/>
      <c r="WHN271" s="22"/>
      <c r="WHO271" s="22"/>
      <c r="WHP271" s="22"/>
      <c r="WHQ271" s="22"/>
      <c r="WHR271" s="22"/>
      <c r="WHS271" s="22"/>
      <c r="WHT271" s="22"/>
      <c r="WHU271" s="22"/>
      <c r="WHV271" s="22"/>
      <c r="WHW271" s="22"/>
      <c r="WHX271" s="22"/>
      <c r="WHY271" s="22"/>
      <c r="WHZ271" s="22"/>
      <c r="WIA271" s="22"/>
      <c r="WIB271" s="22"/>
      <c r="WIC271" s="22"/>
      <c r="WID271" s="22"/>
      <c r="WIE271" s="22"/>
      <c r="WIF271" s="22"/>
      <c r="WIG271" s="22"/>
      <c r="WIH271" s="22"/>
      <c r="WII271" s="22"/>
      <c r="WIJ271" s="22"/>
      <c r="WIK271" s="22"/>
      <c r="WIL271" s="22"/>
      <c r="WIM271" s="22"/>
      <c r="WIN271" s="22"/>
      <c r="WIO271" s="22"/>
      <c r="WIP271" s="22"/>
      <c r="WIQ271" s="22"/>
      <c r="WIR271" s="22"/>
      <c r="WIS271" s="22"/>
      <c r="WIT271" s="22"/>
      <c r="WIU271" s="22"/>
      <c r="WIV271" s="22"/>
      <c r="WIW271" s="22"/>
      <c r="WIX271" s="22"/>
      <c r="WIY271" s="22"/>
      <c r="WIZ271" s="22"/>
      <c r="WJA271" s="22"/>
      <c r="WJB271" s="22"/>
      <c r="WJC271" s="22"/>
      <c r="WJD271" s="22"/>
      <c r="WJE271" s="22"/>
      <c r="WJF271" s="22"/>
      <c r="WJG271" s="22"/>
      <c r="WJH271" s="22"/>
      <c r="WJI271" s="22"/>
      <c r="WJJ271" s="22"/>
      <c r="WJK271" s="22"/>
      <c r="WJL271" s="22"/>
      <c r="WJM271" s="22"/>
      <c r="WJN271" s="22"/>
      <c r="WJO271" s="22"/>
      <c r="WJP271" s="22"/>
      <c r="WJQ271" s="22"/>
      <c r="WJR271" s="22"/>
      <c r="WJS271" s="22"/>
      <c r="WJT271" s="22"/>
      <c r="WJU271" s="22"/>
      <c r="WJV271" s="22"/>
      <c r="WJW271" s="22"/>
      <c r="WJX271" s="22"/>
      <c r="WJY271" s="22"/>
      <c r="WJZ271" s="22"/>
      <c r="WKA271" s="22"/>
      <c r="WKB271" s="22"/>
      <c r="WKC271" s="22"/>
      <c r="WKD271" s="22"/>
      <c r="WKE271" s="22"/>
      <c r="WKF271" s="22"/>
      <c r="WKG271" s="22"/>
      <c r="WKH271" s="22"/>
      <c r="WKI271" s="22"/>
      <c r="WKJ271" s="22"/>
      <c r="WKK271" s="22"/>
      <c r="WKL271" s="22"/>
      <c r="WKM271" s="22"/>
      <c r="WKN271" s="22"/>
      <c r="WKO271" s="22"/>
      <c r="WKP271" s="22"/>
      <c r="WKQ271" s="22"/>
      <c r="WKR271" s="22"/>
      <c r="WKS271" s="22"/>
      <c r="WKT271" s="22"/>
      <c r="WKU271" s="22"/>
      <c r="WKV271" s="22"/>
      <c r="WKW271" s="22"/>
      <c r="WKX271" s="22"/>
      <c r="WKY271" s="22"/>
      <c r="WKZ271" s="22"/>
      <c r="WLA271" s="22"/>
      <c r="WLB271" s="22"/>
      <c r="WLC271" s="22"/>
      <c r="WLD271" s="22"/>
      <c r="WLE271" s="22"/>
      <c r="WLF271" s="22"/>
      <c r="WLG271" s="22"/>
      <c r="WLH271" s="22"/>
      <c r="WLI271" s="22"/>
      <c r="WLJ271" s="22"/>
      <c r="WLK271" s="22"/>
      <c r="WLL271" s="22"/>
      <c r="WLM271" s="22"/>
      <c r="WLN271" s="22"/>
      <c r="WLO271" s="22"/>
      <c r="WLP271" s="22"/>
      <c r="WLQ271" s="22"/>
      <c r="WLR271" s="22"/>
      <c r="WLS271" s="22"/>
      <c r="WLT271" s="22"/>
      <c r="WLU271" s="22"/>
      <c r="WLV271" s="22"/>
      <c r="WLW271" s="22"/>
      <c r="WLX271" s="22"/>
      <c r="WLY271" s="22"/>
      <c r="WLZ271" s="22"/>
      <c r="WMA271" s="22"/>
      <c r="WMB271" s="22"/>
      <c r="WMC271" s="22"/>
      <c r="WMD271" s="22"/>
      <c r="WME271" s="22"/>
      <c r="WMF271" s="22"/>
      <c r="WMG271" s="22"/>
      <c r="WMH271" s="22"/>
      <c r="WMI271" s="22"/>
      <c r="WMJ271" s="22"/>
      <c r="WMK271" s="22"/>
      <c r="WML271" s="22"/>
      <c r="WMM271" s="22"/>
      <c r="WMN271" s="22"/>
      <c r="WMO271" s="22"/>
      <c r="WMP271" s="22"/>
      <c r="WMQ271" s="22"/>
      <c r="WMR271" s="22"/>
      <c r="WMS271" s="22"/>
      <c r="WMT271" s="22"/>
      <c r="WMU271" s="22"/>
      <c r="WMV271" s="22"/>
      <c r="WMW271" s="22"/>
      <c r="WMX271" s="22"/>
      <c r="WMY271" s="22"/>
      <c r="WMZ271" s="22"/>
      <c r="WNA271" s="22"/>
      <c r="WNB271" s="22"/>
      <c r="WNC271" s="22"/>
      <c r="WND271" s="22"/>
      <c r="WNE271" s="22"/>
      <c r="WNF271" s="22"/>
      <c r="WNG271" s="22"/>
      <c r="WNH271" s="22"/>
      <c r="WNI271" s="22"/>
      <c r="WNJ271" s="22"/>
      <c r="WNK271" s="22"/>
      <c r="WNL271" s="22"/>
      <c r="WNM271" s="22"/>
      <c r="WNN271" s="22"/>
      <c r="WNO271" s="22"/>
      <c r="WNP271" s="22"/>
      <c r="WNQ271" s="22"/>
      <c r="WNR271" s="22"/>
      <c r="WNS271" s="22"/>
      <c r="WNT271" s="22"/>
      <c r="WNU271" s="22"/>
      <c r="WNV271" s="22"/>
      <c r="WNW271" s="22"/>
      <c r="WNX271" s="22"/>
      <c r="WNY271" s="22"/>
      <c r="WNZ271" s="22"/>
      <c r="WOA271" s="22"/>
      <c r="WOB271" s="22"/>
      <c r="WOC271" s="22"/>
      <c r="WOD271" s="22"/>
      <c r="WOE271" s="22"/>
      <c r="WOF271" s="22"/>
      <c r="WOG271" s="22"/>
      <c r="WOH271" s="22"/>
      <c r="WOI271" s="22"/>
      <c r="WOJ271" s="22"/>
      <c r="WOK271" s="22"/>
      <c r="WOL271" s="22"/>
      <c r="WOM271" s="22"/>
      <c r="WON271" s="22"/>
      <c r="WOO271" s="22"/>
      <c r="WOP271" s="22"/>
      <c r="WOQ271" s="22"/>
      <c r="WOR271" s="22"/>
      <c r="WOS271" s="22"/>
      <c r="WOT271" s="22"/>
      <c r="WOU271" s="22"/>
      <c r="WOV271" s="22"/>
      <c r="WOW271" s="22"/>
      <c r="WOX271" s="22"/>
      <c r="WOY271" s="22"/>
      <c r="WOZ271" s="22"/>
      <c r="WPA271" s="22"/>
      <c r="WPB271" s="22"/>
      <c r="WPC271" s="22"/>
      <c r="WPD271" s="22"/>
      <c r="WPE271" s="22"/>
      <c r="WPF271" s="22"/>
      <c r="WPG271" s="22"/>
      <c r="WPH271" s="22"/>
      <c r="WPI271" s="22"/>
      <c r="WPJ271" s="22"/>
      <c r="WPK271" s="22"/>
      <c r="WPL271" s="22"/>
      <c r="WPM271" s="22"/>
      <c r="WPN271" s="22"/>
      <c r="WPO271" s="22"/>
      <c r="WPP271" s="22"/>
      <c r="WPQ271" s="22"/>
      <c r="WPR271" s="22"/>
      <c r="WPS271" s="22"/>
      <c r="WPT271" s="22"/>
      <c r="WPU271" s="22"/>
      <c r="WPV271" s="22"/>
      <c r="WPW271" s="22"/>
      <c r="WPX271" s="22"/>
      <c r="WPY271" s="22"/>
      <c r="WPZ271" s="22"/>
      <c r="WQA271" s="22"/>
      <c r="WQB271" s="22"/>
      <c r="WQC271" s="22"/>
      <c r="WQD271" s="22"/>
      <c r="WQE271" s="22"/>
      <c r="WQF271" s="22"/>
      <c r="WQG271" s="22"/>
      <c r="WQH271" s="22"/>
      <c r="WQI271" s="22"/>
      <c r="WQJ271" s="22"/>
      <c r="WQK271" s="22"/>
      <c r="WQL271" s="22"/>
      <c r="WQM271" s="22"/>
      <c r="WQN271" s="22"/>
      <c r="WQO271" s="22"/>
      <c r="WQP271" s="22"/>
      <c r="WQQ271" s="22"/>
      <c r="WQR271" s="22"/>
      <c r="WQS271" s="22"/>
      <c r="WQT271" s="22"/>
      <c r="WQU271" s="22"/>
      <c r="WQV271" s="22"/>
      <c r="WQW271" s="22"/>
      <c r="WQX271" s="22"/>
      <c r="WQY271" s="22"/>
      <c r="WQZ271" s="22"/>
      <c r="WRA271" s="22"/>
      <c r="WRB271" s="22"/>
      <c r="WRC271" s="22"/>
      <c r="WRD271" s="22"/>
      <c r="WRE271" s="22"/>
      <c r="WRF271" s="22"/>
      <c r="WRG271" s="22"/>
      <c r="WRH271" s="22"/>
      <c r="WRI271" s="22"/>
      <c r="WRJ271" s="22"/>
      <c r="WRK271" s="22"/>
      <c r="WRL271" s="22"/>
      <c r="WRM271" s="22"/>
      <c r="WRN271" s="22"/>
      <c r="WRO271" s="22"/>
      <c r="WRP271" s="22"/>
      <c r="WRQ271" s="22"/>
      <c r="WRR271" s="22"/>
      <c r="WRS271" s="22"/>
      <c r="WRT271" s="22"/>
      <c r="WRU271" s="22"/>
      <c r="WRV271" s="22"/>
      <c r="WRW271" s="22"/>
      <c r="WRX271" s="22"/>
      <c r="WRY271" s="22"/>
      <c r="WRZ271" s="22"/>
      <c r="WSA271" s="22"/>
      <c r="WSB271" s="22"/>
      <c r="WSC271" s="22"/>
      <c r="WSD271" s="22"/>
      <c r="WSE271" s="22"/>
      <c r="WSF271" s="22"/>
      <c r="WSG271" s="22"/>
      <c r="WSH271" s="22"/>
      <c r="WSI271" s="22"/>
      <c r="WSJ271" s="22"/>
      <c r="WSK271" s="22"/>
      <c r="WSL271" s="22"/>
      <c r="WSM271" s="22"/>
      <c r="WSN271" s="22"/>
      <c r="WSO271" s="22"/>
      <c r="WSP271" s="22"/>
      <c r="WSQ271" s="22"/>
      <c r="WSR271" s="22"/>
      <c r="WSS271" s="22"/>
      <c r="WST271" s="22"/>
      <c r="WSU271" s="22"/>
      <c r="WSV271" s="22"/>
      <c r="WSW271" s="22"/>
      <c r="WSX271" s="22"/>
      <c r="WSY271" s="22"/>
      <c r="WSZ271" s="22"/>
      <c r="WTA271" s="22"/>
      <c r="WTB271" s="22"/>
      <c r="WTC271" s="22"/>
      <c r="WTD271" s="22"/>
      <c r="WTE271" s="22"/>
      <c r="WTF271" s="22"/>
      <c r="WTG271" s="22"/>
      <c r="WTH271" s="22"/>
      <c r="WTI271" s="22"/>
      <c r="WTJ271" s="22"/>
      <c r="WTK271" s="22"/>
      <c r="WTL271" s="22"/>
      <c r="WTM271" s="22"/>
      <c r="WTN271" s="22"/>
      <c r="WTO271" s="22"/>
      <c r="WTP271" s="22"/>
      <c r="WTQ271" s="22"/>
      <c r="WTR271" s="22"/>
      <c r="WTS271" s="22"/>
      <c r="WTT271" s="22"/>
      <c r="WTU271" s="22"/>
      <c r="WTV271" s="22"/>
      <c r="WTW271" s="22"/>
      <c r="WTX271" s="22"/>
      <c r="WTY271" s="22"/>
      <c r="WTZ271" s="22"/>
      <c r="WUA271" s="22"/>
      <c r="WUB271" s="22"/>
      <c r="WUC271" s="22"/>
      <c r="WUD271" s="22"/>
      <c r="WUE271" s="22"/>
      <c r="WUF271" s="22"/>
      <c r="WUG271" s="22"/>
      <c r="WUH271" s="22"/>
      <c r="WUI271" s="22"/>
      <c r="WUJ271" s="22"/>
      <c r="WUK271" s="22"/>
      <c r="WUL271" s="22"/>
      <c r="WUM271" s="22"/>
      <c r="WUN271" s="22"/>
      <c r="WUO271" s="22"/>
      <c r="WUP271" s="22"/>
      <c r="WUQ271" s="22"/>
      <c r="WUR271" s="22"/>
      <c r="WUS271" s="22"/>
      <c r="WUT271" s="22"/>
      <c r="WUU271" s="22"/>
      <c r="WUV271" s="22"/>
      <c r="WUW271" s="22"/>
      <c r="WUX271" s="22"/>
      <c r="WUY271" s="22"/>
      <c r="WUZ271" s="22"/>
      <c r="WVA271" s="22"/>
      <c r="WVB271" s="22"/>
      <c r="WVC271" s="22"/>
      <c r="WVD271" s="22"/>
      <c r="WVE271" s="22"/>
      <c r="WVF271" s="22"/>
      <c r="WVG271" s="22"/>
      <c r="WVH271" s="22"/>
      <c r="WVI271" s="22"/>
      <c r="WVJ271" s="22"/>
      <c r="WVK271" s="22"/>
      <c r="WVL271" s="22"/>
      <c r="WVM271" s="22"/>
      <c r="WVN271" s="22"/>
      <c r="WVO271" s="22"/>
      <c r="WVP271" s="22"/>
      <c r="WVQ271" s="22"/>
      <c r="WVR271" s="22"/>
      <c r="WVS271" s="22"/>
      <c r="WVT271" s="22"/>
      <c r="WVU271" s="22"/>
      <c r="WVV271" s="22"/>
      <c r="WVW271" s="22"/>
      <c r="WVX271" s="22"/>
      <c r="WVY271" s="22"/>
      <c r="WVZ271" s="22"/>
      <c r="WWA271" s="22"/>
      <c r="WWB271" s="22"/>
      <c r="WWC271" s="22"/>
      <c r="WWD271" s="22"/>
      <c r="WWE271" s="22"/>
      <c r="WWF271" s="22"/>
      <c r="WWG271" s="22"/>
      <c r="WWH271" s="22"/>
      <c r="WWI271" s="22"/>
      <c r="WWJ271" s="22"/>
      <c r="WWK271" s="22"/>
      <c r="WWL271" s="22"/>
      <c r="WWM271" s="22"/>
      <c r="WWN271" s="22"/>
      <c r="WWO271" s="22"/>
      <c r="WWP271" s="22"/>
      <c r="WWQ271" s="22"/>
      <c r="WWR271" s="22"/>
      <c r="WWS271" s="22"/>
      <c r="WWT271" s="22"/>
      <c r="WWU271" s="22"/>
      <c r="WWV271" s="22"/>
      <c r="WWW271" s="22"/>
      <c r="WWX271" s="22"/>
      <c r="WWY271" s="22"/>
      <c r="WWZ271" s="22"/>
      <c r="WXA271" s="22"/>
      <c r="WXB271" s="22"/>
      <c r="WXC271" s="22"/>
      <c r="WXD271" s="22"/>
      <c r="WXE271" s="22"/>
      <c r="WXF271" s="22"/>
      <c r="WXG271" s="22"/>
      <c r="WXH271" s="22"/>
      <c r="WXI271" s="22"/>
      <c r="WXJ271" s="22"/>
      <c r="WXK271" s="22"/>
      <c r="WXL271" s="22"/>
      <c r="WXM271" s="22"/>
      <c r="WXN271" s="22"/>
      <c r="WXO271" s="22"/>
      <c r="WXP271" s="22"/>
      <c r="WXQ271" s="22"/>
      <c r="WXR271" s="22"/>
      <c r="WXS271" s="22"/>
      <c r="WXT271" s="22"/>
      <c r="WXU271" s="22"/>
      <c r="WXV271" s="22"/>
      <c r="WXW271" s="22"/>
      <c r="WXX271" s="22"/>
      <c r="WXY271" s="22"/>
      <c r="WXZ271" s="22"/>
      <c r="WYA271" s="22"/>
      <c r="WYB271" s="22"/>
      <c r="WYC271" s="22"/>
      <c r="WYD271" s="22"/>
      <c r="WYE271" s="22"/>
      <c r="WYF271" s="22"/>
      <c r="WYG271" s="22"/>
      <c r="WYH271" s="22"/>
      <c r="WYI271" s="22"/>
      <c r="WYJ271" s="22"/>
      <c r="WYK271" s="22"/>
      <c r="WYL271" s="22"/>
      <c r="WYM271" s="22"/>
      <c r="WYN271" s="22"/>
      <c r="WYO271" s="22"/>
      <c r="WYP271" s="22"/>
      <c r="WYQ271" s="22"/>
      <c r="WYR271" s="22"/>
      <c r="WYS271" s="22"/>
      <c r="WYT271" s="22"/>
      <c r="WYU271" s="22"/>
      <c r="WYV271" s="22"/>
      <c r="WYW271" s="22"/>
      <c r="WYX271" s="22"/>
      <c r="WYY271" s="22"/>
      <c r="WYZ271" s="22"/>
      <c r="WZA271" s="22"/>
      <c r="WZB271" s="22"/>
      <c r="WZC271" s="22"/>
      <c r="WZD271" s="22"/>
      <c r="WZE271" s="22"/>
      <c r="WZF271" s="22"/>
      <c r="WZG271" s="22"/>
      <c r="WZH271" s="22"/>
      <c r="WZI271" s="22"/>
      <c r="WZJ271" s="22"/>
      <c r="WZK271" s="22"/>
      <c r="WZL271" s="22"/>
      <c r="WZM271" s="22"/>
      <c r="WZN271" s="22"/>
      <c r="WZO271" s="22"/>
      <c r="WZP271" s="22"/>
      <c r="WZQ271" s="22"/>
      <c r="WZR271" s="22"/>
      <c r="WZS271" s="22"/>
      <c r="WZT271" s="22"/>
      <c r="WZU271" s="22"/>
      <c r="WZV271" s="22"/>
      <c r="WZW271" s="22"/>
      <c r="WZX271" s="22"/>
      <c r="WZY271" s="22"/>
      <c r="WZZ271" s="22"/>
      <c r="XAA271" s="22"/>
      <c r="XAB271" s="22"/>
      <c r="XAC271" s="22"/>
      <c r="XAD271" s="22"/>
      <c r="XAE271" s="22"/>
      <c r="XAF271" s="22"/>
      <c r="XAG271" s="22"/>
      <c r="XAH271" s="22"/>
      <c r="XAI271" s="22"/>
      <c r="XAJ271" s="22"/>
      <c r="XAK271" s="22"/>
      <c r="XAL271" s="22"/>
      <c r="XAM271" s="22"/>
      <c r="XAN271" s="22"/>
      <c r="XAO271" s="22"/>
      <c r="XAP271" s="22"/>
      <c r="XAQ271" s="22"/>
      <c r="XAR271" s="22"/>
      <c r="XAS271" s="22"/>
      <c r="XAT271" s="22"/>
      <c r="XAU271" s="22"/>
      <c r="XAV271" s="22"/>
      <c r="XAW271" s="22"/>
      <c r="XAX271" s="22"/>
      <c r="XAY271" s="22"/>
      <c r="XAZ271" s="22"/>
      <c r="XBA271" s="22"/>
      <c r="XBB271" s="22"/>
      <c r="XBC271" s="22"/>
      <c r="XBD271" s="22"/>
      <c r="XBE271" s="22"/>
      <c r="XBF271" s="22"/>
      <c r="XBG271" s="22"/>
      <c r="XBH271" s="22"/>
      <c r="XBI271" s="22"/>
      <c r="XBJ271" s="22"/>
      <c r="XBK271" s="22"/>
      <c r="XBL271" s="22"/>
      <c r="XBM271" s="22"/>
      <c r="XBN271" s="22"/>
      <c r="XBO271" s="22"/>
      <c r="XBP271" s="22"/>
      <c r="XBQ271" s="22"/>
      <c r="XBR271" s="22"/>
      <c r="XBS271" s="22"/>
      <c r="XBT271" s="22"/>
      <c r="XBU271" s="22"/>
      <c r="XBV271" s="22"/>
      <c r="XBW271" s="22"/>
      <c r="XBX271" s="22"/>
      <c r="XBY271" s="22"/>
      <c r="XBZ271" s="22"/>
      <c r="XCA271" s="22"/>
      <c r="XCB271" s="22"/>
      <c r="XCC271" s="22"/>
      <c r="XCD271" s="22"/>
      <c r="XCE271" s="22"/>
      <c r="XCF271" s="22"/>
      <c r="XCG271" s="22"/>
      <c r="XCH271" s="22"/>
      <c r="XCI271" s="22"/>
      <c r="XCJ271" s="22"/>
      <c r="XCK271" s="22"/>
      <c r="XCL271" s="22"/>
      <c r="XCM271" s="22"/>
      <c r="XCN271" s="22"/>
      <c r="XCO271" s="22"/>
      <c r="XCP271" s="22"/>
      <c r="XCQ271" s="22"/>
      <c r="XCR271" s="22"/>
      <c r="XCS271" s="22"/>
      <c r="XCT271" s="22"/>
      <c r="XCU271" s="22"/>
      <c r="XCV271" s="22"/>
      <c r="XCW271" s="22"/>
      <c r="XCX271" s="22"/>
      <c r="XCY271" s="22"/>
      <c r="XCZ271" s="22"/>
      <c r="XDA271" s="22"/>
      <c r="XDB271" s="22"/>
      <c r="XDC271" s="22"/>
      <c r="XDD271" s="22"/>
      <c r="XDE271" s="22"/>
      <c r="XDF271" s="22"/>
      <c r="XDG271" s="22"/>
      <c r="XDH271" s="22"/>
      <c r="XDI271" s="22"/>
      <c r="XDJ271" s="22"/>
      <c r="XDK271" s="22"/>
      <c r="XDL271" s="22"/>
      <c r="XDM271" s="22"/>
      <c r="XDN271" s="22"/>
      <c r="XDO271" s="22"/>
      <c r="XDP271" s="22"/>
      <c r="XDQ271" s="22"/>
      <c r="XDR271" s="22"/>
      <c r="XDS271" s="22"/>
      <c r="XDT271" s="22"/>
      <c r="XDU271" s="22"/>
      <c r="XDV271" s="22"/>
      <c r="XDW271" s="22"/>
      <c r="XDX271" s="22"/>
      <c r="XDY271" s="22"/>
      <c r="XDZ271" s="22"/>
      <c r="XEA271" s="22"/>
      <c r="XEB271" s="22"/>
      <c r="XEC271" s="22"/>
      <c r="XED271" s="22"/>
      <c r="XEE271" s="22"/>
      <c r="XEF271" s="22"/>
      <c r="XEG271" s="22"/>
      <c r="XEH271" s="22"/>
      <c r="XEI271" s="22"/>
      <c r="XEJ271" s="22"/>
      <c r="XEK271" s="22"/>
      <c r="XEL271" s="22"/>
      <c r="XEM271" s="22"/>
      <c r="XEN271" s="22"/>
      <c r="XEO271" s="22"/>
      <c r="XEP271" s="22"/>
      <c r="XEQ271" s="22"/>
      <c r="XER271" s="22"/>
      <c r="XES271" s="22"/>
      <c r="XET271" s="22"/>
      <c r="XEU271" s="22"/>
      <c r="XEV271" s="22"/>
      <c r="XEW271" s="22"/>
      <c r="XEX271" s="22"/>
      <c r="XEY271" s="22"/>
      <c r="XEZ271" s="22"/>
      <c r="XFA271" s="22"/>
      <c r="XFB271" s="22"/>
      <c r="XFC271" s="22"/>
    </row>
    <row r="272" spans="1:16383" ht="15" x14ac:dyDescent="0.25">
      <c r="A272" s="203"/>
      <c r="B272" s="147"/>
      <c r="C272" s="208" t="s">
        <v>867</v>
      </c>
      <c r="D272" s="201">
        <v>1</v>
      </c>
      <c r="E272" s="203" t="s">
        <v>868</v>
      </c>
      <c r="F272" s="203"/>
      <c r="G272" s="203"/>
      <c r="H272" s="203"/>
      <c r="I272" s="203"/>
      <c r="J272" s="203"/>
      <c r="L272" s="204"/>
      <c r="M272" s="203" t="s">
        <v>889</v>
      </c>
      <c r="T272" s="204"/>
      <c r="U272" s="204"/>
      <c r="V272" s="204"/>
      <c r="W272" s="204"/>
      <c r="X272" s="203"/>
      <c r="Y272" s="203"/>
    </row>
    <row r="273" spans="1:25" ht="15" x14ac:dyDescent="0.25">
      <c r="A273" s="203"/>
      <c r="B273" s="147"/>
      <c r="C273" s="208" t="s">
        <v>1841</v>
      </c>
      <c r="D273" s="705" t="s">
        <v>863</v>
      </c>
      <c r="E273" s="61" t="s">
        <v>859</v>
      </c>
      <c r="F273" s="1103"/>
      <c r="G273" s="1104"/>
      <c r="H273" s="203"/>
      <c r="L273" s="204"/>
      <c r="M273" s="203" t="s">
        <v>890</v>
      </c>
      <c r="T273" s="204"/>
      <c r="U273" s="204"/>
      <c r="V273" s="204"/>
      <c r="W273" s="204"/>
    </row>
    <row r="274" spans="1:25" ht="15" x14ac:dyDescent="0.25">
      <c r="A274" s="203"/>
      <c r="B274" s="203"/>
      <c r="C274" s="208" t="s">
        <v>1842</v>
      </c>
      <c r="D274" s="202">
        <v>2000</v>
      </c>
      <c r="E274" s="203"/>
      <c r="I274" s="203"/>
      <c r="J274" s="203"/>
      <c r="L274" s="204"/>
      <c r="M274" s="203" t="s">
        <v>888</v>
      </c>
      <c r="T274" s="204"/>
      <c r="U274" s="204"/>
      <c r="V274" s="204"/>
      <c r="W274" s="204"/>
      <c r="X274" s="203"/>
      <c r="Y274" s="203"/>
    </row>
    <row r="275" spans="1:25" ht="15" x14ac:dyDescent="0.25">
      <c r="A275" s="22" t="s">
        <v>1824</v>
      </c>
      <c r="B275" s="203"/>
      <c r="C275" s="203"/>
      <c r="D275" s="203"/>
      <c r="I275" s="203"/>
      <c r="J275" s="203"/>
      <c r="L275" s="204"/>
      <c r="T275" s="204"/>
      <c r="U275" s="204"/>
      <c r="V275" s="204"/>
      <c r="W275" s="204"/>
      <c r="X275" s="203"/>
      <c r="Y275" s="203"/>
    </row>
    <row r="276" spans="1:25" x14ac:dyDescent="0.2">
      <c r="A276" s="543" t="s">
        <v>1912</v>
      </c>
      <c r="B276" s="177"/>
      <c r="C276" s="177"/>
      <c r="D276" s="177"/>
      <c r="E276" s="177"/>
      <c r="F276" s="169"/>
      <c r="I276" s="203"/>
      <c r="J276" s="203"/>
      <c r="L276" s="204"/>
      <c r="T276" s="204"/>
      <c r="U276" s="204"/>
      <c r="V276" s="204"/>
      <c r="W276" s="204"/>
      <c r="X276" s="203"/>
      <c r="Y276" s="203"/>
    </row>
    <row r="277" spans="1:25" ht="15" x14ac:dyDescent="0.25">
      <c r="A277" s="22"/>
      <c r="B277" s="203"/>
      <c r="C277" s="208" t="s">
        <v>1354</v>
      </c>
      <c r="D277" s="237" t="s">
        <v>884</v>
      </c>
      <c r="F277" s="773" t="s">
        <v>1843</v>
      </c>
      <c r="G277" s="177"/>
      <c r="H277" s="545"/>
      <c r="J277" s="203"/>
      <c r="L277" s="204"/>
      <c r="T277" s="204"/>
      <c r="U277" s="204"/>
      <c r="V277" s="204"/>
      <c r="W277" s="204"/>
      <c r="X277" s="203"/>
      <c r="Y277" s="203"/>
    </row>
    <row r="278" spans="1:25" ht="15" x14ac:dyDescent="0.25">
      <c r="A278" s="22"/>
      <c r="B278" s="203"/>
      <c r="C278" s="208" t="s">
        <v>1355</v>
      </c>
      <c r="D278" s="237" t="s">
        <v>884</v>
      </c>
      <c r="H278" s="203"/>
      <c r="J278" s="203"/>
      <c r="L278" s="204"/>
      <c r="T278" s="204"/>
      <c r="U278" s="204"/>
      <c r="V278" s="204"/>
      <c r="W278" s="204"/>
      <c r="X278" s="203"/>
      <c r="Y278" s="203"/>
    </row>
    <row r="279" spans="1:25" ht="15" x14ac:dyDescent="0.25">
      <c r="A279" s="22"/>
      <c r="B279" s="203"/>
      <c r="C279" s="208" t="s">
        <v>1356</v>
      </c>
      <c r="D279" s="237" t="s">
        <v>884</v>
      </c>
      <c r="H279" s="203"/>
      <c r="J279" s="203"/>
      <c r="L279" s="204"/>
      <c r="T279" s="204"/>
      <c r="U279" s="204"/>
      <c r="V279" s="204"/>
      <c r="W279" s="204"/>
      <c r="X279" s="203"/>
      <c r="Y279" s="203"/>
    </row>
    <row r="280" spans="1:25" ht="15" x14ac:dyDescent="0.25">
      <c r="A280" s="22"/>
      <c r="B280" s="203"/>
      <c r="C280" s="208" t="s">
        <v>1357</v>
      </c>
      <c r="D280" s="237" t="s">
        <v>884</v>
      </c>
      <c r="H280" s="203"/>
      <c r="J280" s="203"/>
      <c r="L280" s="204"/>
      <c r="T280" s="204"/>
      <c r="U280" s="204"/>
      <c r="V280" s="204"/>
      <c r="W280" s="204"/>
      <c r="X280" s="203"/>
      <c r="Y280" s="203"/>
    </row>
    <row r="281" spans="1:25" ht="15" x14ac:dyDescent="0.25">
      <c r="A281" s="203"/>
      <c r="B281" s="203"/>
      <c r="C281" s="208" t="s">
        <v>1358</v>
      </c>
      <c r="D281" s="237" t="s">
        <v>884</v>
      </c>
      <c r="E281" s="205"/>
      <c r="F281" s="205"/>
      <c r="G281" s="203"/>
      <c r="H281" s="203"/>
      <c r="J281" s="203"/>
      <c r="L281" s="203"/>
      <c r="T281" s="203"/>
      <c r="U281" s="203"/>
      <c r="V281" s="203"/>
      <c r="W281" s="203"/>
      <c r="X281" s="203"/>
      <c r="Y281" s="203"/>
    </row>
    <row r="282" spans="1:25" ht="15" x14ac:dyDescent="0.25">
      <c r="A282" s="22" t="s">
        <v>1826</v>
      </c>
      <c r="B282" s="203"/>
      <c r="C282" s="203"/>
      <c r="D282" s="203"/>
      <c r="E282" s="207"/>
      <c r="F282" s="203"/>
      <c r="G282" s="203"/>
      <c r="H282" s="203"/>
      <c r="I282" s="203"/>
      <c r="J282" s="203"/>
      <c r="L282" s="204"/>
      <c r="T282" s="204"/>
      <c r="U282" s="204"/>
      <c r="V282" s="204"/>
      <c r="W282" s="204"/>
      <c r="X282" s="203"/>
      <c r="Y282" s="203"/>
    </row>
    <row r="283" spans="1:25" x14ac:dyDescent="0.2">
      <c r="A283" s="547" t="s">
        <v>1547</v>
      </c>
      <c r="B283" s="547"/>
      <c r="C283" s="547"/>
      <c r="D283" s="547"/>
      <c r="E283" s="234" t="s">
        <v>907</v>
      </c>
      <c r="F283" s="203"/>
      <c r="G283" s="203" t="s">
        <v>908</v>
      </c>
      <c r="H283" s="203"/>
      <c r="I283" s="203" t="s">
        <v>859</v>
      </c>
      <c r="J283" s="203"/>
      <c r="L283" s="203"/>
      <c r="T283" s="203"/>
      <c r="U283" s="203"/>
      <c r="V283" s="203"/>
      <c r="W283" s="203"/>
      <c r="X283" s="203"/>
      <c r="Y283" s="203"/>
    </row>
    <row r="284" spans="1:25" ht="15" x14ac:dyDescent="0.25">
      <c r="A284" s="203"/>
      <c r="B284" s="147"/>
      <c r="C284" s="208" t="s">
        <v>909</v>
      </c>
      <c r="D284" s="725" t="s">
        <v>861</v>
      </c>
      <c r="E284" s="202">
        <v>99</v>
      </c>
      <c r="F284" s="203" t="s">
        <v>910</v>
      </c>
      <c r="G284" s="202">
        <v>999</v>
      </c>
      <c r="H284" s="203" t="s">
        <v>911</v>
      </c>
      <c r="I284" s="1103"/>
      <c r="J284" s="1104"/>
      <c r="L284" s="203"/>
      <c r="T284" s="203"/>
      <c r="U284" s="203"/>
      <c r="V284" s="203"/>
      <c r="W284" s="203"/>
      <c r="X284" s="203"/>
      <c r="Y284" s="203"/>
    </row>
    <row r="285" spans="1:25" ht="15" x14ac:dyDescent="0.25">
      <c r="A285" s="203"/>
      <c r="B285" s="147"/>
      <c r="C285" s="208" t="s">
        <v>912</v>
      </c>
      <c r="D285" s="725" t="s">
        <v>863</v>
      </c>
      <c r="E285" s="202"/>
      <c r="F285" s="203" t="s">
        <v>910</v>
      </c>
      <c r="G285" s="202"/>
      <c r="H285" s="203" t="s">
        <v>911</v>
      </c>
      <c r="I285" s="1103"/>
      <c r="J285" s="1104"/>
      <c r="L285" s="203"/>
      <c r="T285" s="203"/>
      <c r="U285" s="203"/>
      <c r="V285" s="203"/>
      <c r="W285" s="203"/>
      <c r="X285" s="203"/>
      <c r="Y285" s="203"/>
    </row>
    <row r="286" spans="1:25" ht="15" x14ac:dyDescent="0.25">
      <c r="A286" s="203"/>
      <c r="B286" s="147"/>
      <c r="C286" s="208" t="s">
        <v>913</v>
      </c>
      <c r="D286" s="725" t="s">
        <v>863</v>
      </c>
      <c r="E286" s="202"/>
      <c r="F286" s="203" t="s">
        <v>910</v>
      </c>
      <c r="G286" s="202"/>
      <c r="H286" s="203" t="s">
        <v>911</v>
      </c>
      <c r="I286" s="1103"/>
      <c r="J286" s="1104"/>
      <c r="L286" s="203"/>
      <c r="T286" s="203"/>
      <c r="U286" s="203"/>
      <c r="V286" s="203"/>
      <c r="W286" s="203"/>
      <c r="X286" s="203"/>
      <c r="Y286" s="203"/>
    </row>
    <row r="287" spans="1:25" ht="15" x14ac:dyDescent="0.25">
      <c r="A287" s="203"/>
      <c r="B287" s="147"/>
      <c r="C287" s="208" t="s">
        <v>914</v>
      </c>
      <c r="D287" s="725" t="s">
        <v>863</v>
      </c>
      <c r="E287" s="202"/>
      <c r="F287" s="203" t="s">
        <v>910</v>
      </c>
      <c r="G287" s="202"/>
      <c r="H287" s="203" t="s">
        <v>911</v>
      </c>
      <c r="I287" s="1103"/>
      <c r="J287" s="1104"/>
      <c r="L287" s="203"/>
      <c r="T287" s="203"/>
      <c r="U287" s="203"/>
      <c r="V287" s="203"/>
      <c r="W287" s="203"/>
      <c r="X287" s="203"/>
      <c r="Y287" s="203"/>
    </row>
    <row r="288" spans="1:25" ht="15" x14ac:dyDescent="0.25">
      <c r="A288" s="203"/>
      <c r="B288" s="147"/>
      <c r="C288" s="208" t="s">
        <v>915</v>
      </c>
      <c r="D288" s="725" t="s">
        <v>863</v>
      </c>
      <c r="E288" s="202"/>
      <c r="F288" s="203" t="s">
        <v>910</v>
      </c>
      <c r="G288" s="202"/>
      <c r="H288" s="203" t="s">
        <v>911</v>
      </c>
      <c r="I288" s="1103"/>
      <c r="J288" s="1104"/>
      <c r="L288" s="203"/>
      <c r="T288" s="203"/>
      <c r="U288" s="203"/>
      <c r="V288" s="203"/>
      <c r="W288" s="203"/>
      <c r="X288" s="203"/>
      <c r="Y288" s="203"/>
    </row>
    <row r="289" spans="1:25" ht="15" x14ac:dyDescent="0.25">
      <c r="A289" s="203"/>
      <c r="B289" s="147"/>
      <c r="C289" s="208" t="s">
        <v>898</v>
      </c>
      <c r="D289" s="725" t="s">
        <v>863</v>
      </c>
      <c r="E289" s="202"/>
      <c r="F289" s="203" t="s">
        <v>910</v>
      </c>
      <c r="G289" s="202"/>
      <c r="H289" s="203" t="s">
        <v>911</v>
      </c>
      <c r="I289" s="1103"/>
      <c r="J289" s="1104"/>
      <c r="L289" s="203"/>
      <c r="T289" s="203"/>
      <c r="U289" s="203"/>
      <c r="V289" s="203"/>
      <c r="W289" s="203"/>
      <c r="X289" s="203"/>
      <c r="Y289" s="203"/>
    </row>
    <row r="290" spans="1:25" ht="15" x14ac:dyDescent="0.25">
      <c r="A290" s="203"/>
      <c r="B290" s="203"/>
      <c r="C290" s="203"/>
      <c r="D290" s="203"/>
      <c r="E290" s="205"/>
      <c r="F290" s="203"/>
      <c r="G290" s="203"/>
      <c r="H290" s="203"/>
      <c r="I290" s="203"/>
      <c r="J290" s="203"/>
      <c r="L290" s="203"/>
      <c r="T290" s="203"/>
      <c r="U290" s="203"/>
      <c r="V290" s="203"/>
      <c r="W290" s="203"/>
      <c r="X290" s="203"/>
      <c r="Y290" s="203"/>
    </row>
    <row r="291" spans="1:25" x14ac:dyDescent="0.2">
      <c r="A291" s="543" t="s">
        <v>1549</v>
      </c>
      <c r="B291" s="544"/>
      <c r="C291" s="544"/>
      <c r="D291" s="544"/>
      <c r="E291" s="545"/>
      <c r="F291" s="203"/>
      <c r="G291" s="203"/>
      <c r="H291" s="203"/>
      <c r="I291" s="203" t="s">
        <v>859</v>
      </c>
      <c r="J291" s="203"/>
      <c r="L291" s="203"/>
      <c r="T291" s="203"/>
      <c r="U291" s="203"/>
      <c r="V291" s="203"/>
      <c r="W291" s="203"/>
      <c r="X291" s="203"/>
      <c r="Y291" s="203"/>
    </row>
    <row r="292" spans="1:25" ht="15" x14ac:dyDescent="0.25">
      <c r="A292" s="203"/>
      <c r="B292" s="203" t="s">
        <v>928</v>
      </c>
      <c r="C292" s="203"/>
      <c r="D292" s="237" t="s">
        <v>863</v>
      </c>
      <c r="E292" s="203"/>
      <c r="F292" s="203"/>
      <c r="G292" s="203"/>
      <c r="H292" s="203"/>
      <c r="I292" s="1103"/>
      <c r="J292" s="1104"/>
      <c r="L292" s="203"/>
      <c r="T292" s="203"/>
      <c r="U292" s="203"/>
      <c r="V292" s="203"/>
      <c r="W292" s="203"/>
      <c r="X292" s="203"/>
      <c r="Y292" s="203"/>
    </row>
    <row r="293" spans="1:25" ht="15" x14ac:dyDescent="0.25">
      <c r="A293" s="203"/>
      <c r="B293" s="203" t="s">
        <v>929</v>
      </c>
      <c r="C293" s="203"/>
      <c r="D293" s="237" t="s">
        <v>863</v>
      </c>
      <c r="E293" s="203"/>
      <c r="F293" s="203"/>
      <c r="G293" s="203"/>
      <c r="H293" s="203"/>
      <c r="I293" s="1103"/>
      <c r="J293" s="1104"/>
      <c r="L293" s="203"/>
      <c r="T293" s="203"/>
      <c r="U293" s="203"/>
      <c r="V293" s="203"/>
      <c r="W293" s="203"/>
      <c r="X293" s="203"/>
      <c r="Y293" s="203"/>
    </row>
    <row r="294" spans="1:25" ht="15" x14ac:dyDescent="0.25">
      <c r="A294" s="203"/>
      <c r="B294" s="203" t="s">
        <v>930</v>
      </c>
      <c r="C294" s="203"/>
      <c r="D294" s="237" t="s">
        <v>863</v>
      </c>
      <c r="E294" s="203"/>
      <c r="F294" s="203"/>
      <c r="G294" s="203"/>
      <c r="H294" s="203"/>
      <c r="I294" s="1103"/>
      <c r="J294" s="1104"/>
      <c r="L294" s="203"/>
      <c r="T294" s="203"/>
      <c r="U294" s="203"/>
      <c r="V294" s="203"/>
      <c r="W294" s="203"/>
      <c r="X294" s="203"/>
      <c r="Y294" s="203"/>
    </row>
    <row r="295" spans="1:25" ht="15" x14ac:dyDescent="0.25">
      <c r="A295" s="203"/>
      <c r="B295" s="203" t="s">
        <v>931</v>
      </c>
      <c r="C295" s="203"/>
      <c r="D295" s="237" t="s">
        <v>863</v>
      </c>
      <c r="E295" s="203"/>
      <c r="F295" s="203"/>
      <c r="G295" s="203"/>
      <c r="H295" s="203"/>
      <c r="I295" s="1103"/>
      <c r="J295" s="1104"/>
      <c r="L295" s="203"/>
      <c r="T295" s="203"/>
      <c r="U295" s="203"/>
      <c r="V295" s="203"/>
      <c r="W295" s="203"/>
      <c r="X295" s="203"/>
      <c r="Y295" s="203"/>
    </row>
    <row r="296" spans="1:25" ht="15" x14ac:dyDescent="0.25">
      <c r="A296" s="203"/>
      <c r="B296" s="203" t="s">
        <v>932</v>
      </c>
      <c r="C296" s="203"/>
      <c r="D296" s="237" t="s">
        <v>863</v>
      </c>
      <c r="E296" s="203"/>
      <c r="F296" s="203"/>
      <c r="G296" s="203"/>
      <c r="H296" s="203"/>
      <c r="I296" s="1103"/>
      <c r="J296" s="1104"/>
      <c r="L296" s="203"/>
      <c r="T296" s="203"/>
      <c r="U296" s="203"/>
      <c r="V296" s="203"/>
      <c r="W296" s="203"/>
      <c r="X296" s="203"/>
      <c r="Y296" s="203"/>
    </row>
    <row r="297" spans="1:25" ht="15" x14ac:dyDescent="0.25">
      <c r="A297" s="203"/>
      <c r="B297" s="203" t="s">
        <v>901</v>
      </c>
      <c r="C297" s="203"/>
      <c r="D297" s="237" t="s">
        <v>863</v>
      </c>
      <c r="E297" s="203"/>
      <c r="F297" s="203"/>
      <c r="G297" s="203"/>
      <c r="H297" s="203"/>
      <c r="I297" s="1103"/>
      <c r="J297" s="1104"/>
      <c r="L297" s="203"/>
      <c r="T297" s="203"/>
      <c r="U297" s="203"/>
      <c r="V297" s="203"/>
      <c r="W297" s="203"/>
      <c r="X297" s="203"/>
      <c r="Y297" s="203"/>
    </row>
    <row r="298" spans="1:25" ht="15" x14ac:dyDescent="0.25">
      <c r="A298" s="22" t="s">
        <v>1827</v>
      </c>
      <c r="B298" s="203"/>
      <c r="C298" s="203"/>
      <c r="D298" s="203"/>
      <c r="E298" s="203"/>
      <c r="F298" s="203"/>
      <c r="G298" s="203"/>
      <c r="H298" s="203"/>
      <c r="I298" s="203"/>
      <c r="J298" s="203"/>
      <c r="L298" s="203"/>
      <c r="T298" s="203"/>
      <c r="U298" s="203"/>
      <c r="V298" s="203"/>
      <c r="W298" s="203"/>
      <c r="X298" s="203"/>
      <c r="Y298" s="203"/>
    </row>
    <row r="299" spans="1:25" x14ac:dyDescent="0.2">
      <c r="A299" s="543" t="s">
        <v>1550</v>
      </c>
      <c r="B299" s="544"/>
      <c r="C299" s="544"/>
      <c r="D299" s="544"/>
      <c r="E299" s="545"/>
      <c r="F299" s="203"/>
      <c r="G299" s="203"/>
      <c r="H299" s="203"/>
      <c r="I299" s="203" t="s">
        <v>859</v>
      </c>
      <c r="J299" s="203"/>
      <c r="L299" s="203"/>
      <c r="T299" s="203"/>
      <c r="U299" s="203"/>
      <c r="V299" s="203"/>
      <c r="W299" s="203"/>
      <c r="X299" s="203"/>
      <c r="Y299" s="203"/>
    </row>
    <row r="300" spans="1:25" ht="15" x14ac:dyDescent="0.25">
      <c r="A300" s="203"/>
      <c r="C300" s="208" t="s">
        <v>1125</v>
      </c>
      <c r="D300" s="202">
        <v>99</v>
      </c>
      <c r="E300" s="203" t="s">
        <v>1360</v>
      </c>
      <c r="F300" s="203"/>
      <c r="G300" s="203"/>
      <c r="H300" s="203"/>
      <c r="I300" s="1103"/>
      <c r="J300" s="1104"/>
      <c r="L300" s="203"/>
      <c r="T300" s="203"/>
      <c r="U300" s="203"/>
      <c r="V300" s="203"/>
      <c r="W300" s="203"/>
      <c r="X300" s="203"/>
      <c r="Y300" s="203"/>
    </row>
    <row r="301" spans="1:25" ht="15" x14ac:dyDescent="0.25">
      <c r="A301" s="203"/>
      <c r="B301" s="147"/>
      <c r="C301" s="208" t="s">
        <v>1126</v>
      </c>
      <c r="D301" s="202">
        <v>99</v>
      </c>
      <c r="E301" s="203" t="s">
        <v>1361</v>
      </c>
      <c r="F301" s="203"/>
      <c r="G301" s="203"/>
      <c r="H301" s="203"/>
      <c r="I301" s="1103"/>
      <c r="J301" s="1104"/>
      <c r="L301" s="203"/>
      <c r="T301" s="203"/>
      <c r="U301" s="203"/>
      <c r="V301" s="203"/>
      <c r="W301" s="203"/>
      <c r="X301" s="203"/>
      <c r="Y301" s="203"/>
    </row>
    <row r="302" spans="1:25" ht="15" x14ac:dyDescent="0.25">
      <c r="A302" s="203"/>
      <c r="B302" s="203"/>
      <c r="C302" s="208" t="s">
        <v>1127</v>
      </c>
      <c r="D302" s="202">
        <v>99</v>
      </c>
      <c r="E302" s="203" t="s">
        <v>1130</v>
      </c>
      <c r="F302" s="203"/>
      <c r="G302" s="203"/>
      <c r="H302" s="203"/>
      <c r="I302" s="1103"/>
      <c r="J302" s="1104"/>
      <c r="L302" s="203"/>
      <c r="T302" s="203"/>
      <c r="U302" s="203"/>
      <c r="V302" s="203"/>
      <c r="W302" s="203"/>
      <c r="X302" s="203"/>
      <c r="Y302" s="203"/>
    </row>
    <row r="303" spans="1:25" x14ac:dyDescent="0.2">
      <c r="A303" s="203"/>
      <c r="B303" s="203"/>
      <c r="C303" s="208"/>
      <c r="D303" s="208"/>
      <c r="E303" s="203"/>
      <c r="F303" s="203"/>
      <c r="G303" s="203"/>
      <c r="H303" s="203"/>
      <c r="I303" s="203"/>
      <c r="J303" s="203"/>
      <c r="L303" s="203"/>
      <c r="T303" s="203"/>
      <c r="U303" s="203"/>
      <c r="V303" s="203"/>
      <c r="W303" s="203"/>
      <c r="X303" s="203"/>
      <c r="Y303" s="203"/>
    </row>
    <row r="304" spans="1:25" ht="15" x14ac:dyDescent="0.25">
      <c r="A304" s="203"/>
      <c r="C304" s="208" t="s">
        <v>1128</v>
      </c>
      <c r="D304" s="202">
        <v>99</v>
      </c>
      <c r="E304" s="203" t="s">
        <v>1360</v>
      </c>
      <c r="F304" s="203"/>
      <c r="G304" s="203"/>
      <c r="H304" s="203"/>
      <c r="I304" s="1103"/>
      <c r="J304" s="1104"/>
      <c r="L304" s="203"/>
      <c r="T304" s="203"/>
      <c r="U304" s="203"/>
      <c r="V304" s="203"/>
      <c r="W304" s="203"/>
      <c r="X304" s="203"/>
      <c r="Y304" s="203"/>
    </row>
    <row r="305" spans="1:25" ht="15" x14ac:dyDescent="0.25">
      <c r="A305" s="203"/>
      <c r="B305" s="147"/>
      <c r="C305" s="208" t="s">
        <v>1126</v>
      </c>
      <c r="D305" s="202">
        <v>99</v>
      </c>
      <c r="E305" s="203" t="s">
        <v>1129</v>
      </c>
      <c r="F305" s="203"/>
      <c r="G305" s="203"/>
      <c r="H305" s="203"/>
      <c r="I305" s="1103"/>
      <c r="J305" s="1104"/>
      <c r="L305" s="203"/>
      <c r="T305" s="203"/>
      <c r="U305" s="203"/>
      <c r="V305" s="203"/>
      <c r="W305" s="203"/>
      <c r="X305" s="203"/>
      <c r="Y305" s="203"/>
    </row>
    <row r="306" spans="1:25" ht="15" x14ac:dyDescent="0.25">
      <c r="A306" s="203"/>
      <c r="B306" s="203"/>
      <c r="C306" s="208" t="s">
        <v>1127</v>
      </c>
      <c r="D306" s="202">
        <v>99</v>
      </c>
      <c r="E306" s="203" t="s">
        <v>1130</v>
      </c>
      <c r="F306" s="203"/>
      <c r="G306" s="203"/>
      <c r="H306" s="203"/>
      <c r="I306" s="1103"/>
      <c r="J306" s="1104"/>
      <c r="L306" s="203"/>
      <c r="T306" s="203"/>
      <c r="U306" s="203"/>
      <c r="V306" s="203"/>
      <c r="W306" s="203"/>
      <c r="X306" s="203"/>
      <c r="Y306" s="203"/>
    </row>
    <row r="307" spans="1:25" ht="15" x14ac:dyDescent="0.25">
      <c r="A307" s="203"/>
      <c r="B307" s="203"/>
      <c r="C307" s="208" t="s">
        <v>1131</v>
      </c>
      <c r="D307" s="202">
        <v>99</v>
      </c>
      <c r="E307" s="203" t="s">
        <v>1133</v>
      </c>
      <c r="F307" s="203"/>
      <c r="G307" s="203"/>
      <c r="H307" s="203"/>
      <c r="I307" s="1103"/>
      <c r="J307" s="1104"/>
      <c r="L307" s="203"/>
      <c r="T307" s="203"/>
      <c r="U307" s="203"/>
      <c r="V307" s="203"/>
      <c r="W307" s="203"/>
      <c r="X307" s="203"/>
      <c r="Y307" s="203"/>
    </row>
    <row r="308" spans="1:25" ht="15" x14ac:dyDescent="0.25">
      <c r="A308" s="203"/>
      <c r="B308" s="203"/>
      <c r="C308" s="208" t="s">
        <v>1132</v>
      </c>
      <c r="D308" s="202">
        <v>99</v>
      </c>
      <c r="E308" s="203" t="s">
        <v>1134</v>
      </c>
      <c r="F308" s="203"/>
      <c r="G308" s="203"/>
      <c r="H308" s="203"/>
      <c r="I308" s="1103"/>
      <c r="J308" s="1104"/>
      <c r="L308" s="203"/>
      <c r="T308" s="203"/>
      <c r="U308" s="203"/>
      <c r="V308" s="203"/>
      <c r="W308" s="203"/>
      <c r="X308" s="203"/>
      <c r="Y308" s="203"/>
    </row>
    <row r="309" spans="1:25" x14ac:dyDescent="0.2">
      <c r="A309" s="203"/>
      <c r="B309" s="203"/>
      <c r="C309" s="203"/>
      <c r="D309" s="203"/>
      <c r="E309" s="203"/>
      <c r="F309" s="203"/>
      <c r="G309" s="203"/>
      <c r="H309" s="203"/>
      <c r="I309" s="203"/>
      <c r="J309" s="203"/>
      <c r="L309" s="203"/>
      <c r="T309" s="203"/>
      <c r="U309" s="203"/>
      <c r="V309" s="203"/>
      <c r="W309" s="203"/>
      <c r="X309" s="203"/>
      <c r="Y309" s="203"/>
    </row>
    <row r="310" spans="1:25" x14ac:dyDescent="0.2">
      <c r="A310" s="203"/>
      <c r="B310" s="203"/>
      <c r="C310" s="203"/>
      <c r="D310" s="203"/>
      <c r="E310" s="203"/>
      <c r="F310" s="203"/>
      <c r="G310" s="203"/>
      <c r="H310" s="203"/>
      <c r="I310" s="185" t="s">
        <v>1067</v>
      </c>
      <c r="J310" s="186"/>
      <c r="K310" s="187"/>
      <c r="L310" s="203"/>
      <c r="M310" s="203"/>
      <c r="N310" s="203"/>
      <c r="O310" s="203"/>
      <c r="P310" s="203"/>
      <c r="Q310" s="203"/>
      <c r="R310" s="203"/>
      <c r="S310" s="203"/>
      <c r="T310" s="203"/>
      <c r="U310" s="203"/>
      <c r="V310" s="203"/>
      <c r="W310" s="203"/>
      <c r="X310" s="203"/>
      <c r="Y310" s="203"/>
    </row>
    <row r="311" spans="1:25" ht="20.25" x14ac:dyDescent="0.3">
      <c r="A311" s="1102" t="s">
        <v>1149</v>
      </c>
      <c r="B311" s="1102"/>
      <c r="C311" s="1102"/>
      <c r="D311" s="1102"/>
      <c r="E311" s="1102"/>
      <c r="F311" s="1102"/>
      <c r="G311" s="1102"/>
      <c r="H311" s="1102"/>
      <c r="I311" s="1102"/>
      <c r="J311" s="1102"/>
      <c r="K311" s="1102"/>
      <c r="L311" s="1102"/>
      <c r="M311" s="1102"/>
      <c r="N311" s="1102"/>
      <c r="O311" s="1102"/>
      <c r="P311" s="1102"/>
      <c r="Q311" s="203"/>
      <c r="R311" s="203"/>
      <c r="S311" s="203"/>
      <c r="T311" s="203"/>
      <c r="U311" s="203"/>
      <c r="V311" s="203"/>
      <c r="W311" s="203"/>
      <c r="X311" s="203"/>
      <c r="Y311" s="203"/>
    </row>
    <row r="312" spans="1:25" x14ac:dyDescent="0.2">
      <c r="A312" s="203"/>
      <c r="B312" s="203"/>
      <c r="C312" s="203"/>
      <c r="D312" s="203"/>
      <c r="E312" s="203"/>
      <c r="F312" s="203"/>
      <c r="G312" s="203"/>
      <c r="H312" s="203"/>
      <c r="I312" s="203"/>
      <c r="J312" s="203"/>
      <c r="K312" s="203"/>
      <c r="L312" s="203"/>
      <c r="M312" s="203"/>
      <c r="N312" s="203"/>
      <c r="O312" s="203"/>
      <c r="P312" s="203"/>
      <c r="Q312" s="203"/>
      <c r="R312" s="203"/>
      <c r="S312" s="203"/>
      <c r="T312" s="203"/>
      <c r="U312" s="203"/>
      <c r="V312" s="203"/>
      <c r="W312" s="203"/>
      <c r="X312" s="203"/>
      <c r="Y312" s="203"/>
    </row>
    <row r="313" spans="1:25" x14ac:dyDescent="0.2">
      <c r="A313" s="251"/>
      <c r="B313" s="251"/>
      <c r="C313" s="251"/>
      <c r="D313" s="251"/>
      <c r="E313" s="251"/>
      <c r="F313" s="251"/>
      <c r="G313" s="251"/>
      <c r="H313" s="251"/>
      <c r="I313" s="251"/>
      <c r="J313" s="251"/>
      <c r="K313" s="251"/>
      <c r="L313" s="251"/>
      <c r="M313" s="251"/>
      <c r="N313" s="251"/>
      <c r="O313" s="251"/>
      <c r="P313" s="251"/>
      <c r="Q313" s="203"/>
      <c r="R313" s="203"/>
      <c r="S313" s="203"/>
      <c r="T313" s="203"/>
      <c r="U313" s="203"/>
      <c r="V313" s="203"/>
      <c r="W313" s="203"/>
      <c r="X313" s="203"/>
      <c r="Y313" s="203"/>
    </row>
  </sheetData>
  <sheetProtection password="CA83" sheet="1" objects="1" scenarios="1"/>
  <protectedRanges>
    <protectedRange sqref="H190:H193 E197 E224 D264:E265 G263 G185 G215:G216 I218:I221 F213:F214 E209 F261 F253 E263 F223 D184 D179:D180 D177 F217:F221 G229:G231 G251:G252" name="Goundside vehicle"/>
    <protectedRange sqref="E186:E187" name="ADAF"/>
    <protectedRange sqref="F81 F167 F96:F98 F107:F109 F78 F90:F94" name="Fire training"/>
    <protectedRange sqref="E86:E87 H88 B53:B55 B61:B64 E97:E98 E167 E77:E78 H73:J73 E69:E71 F79 D73:E73 D75 H75:I75 E81:E84 D86:D88 F87 F95 E90:E94 F99:F101 E108:E109 F169" name="Building"/>
    <protectedRange sqref="F82 F69 D44:E45 G61:G64 G175 D31:E36 E61:E64 C61:C64 E52:E55 G52:G55 D27 F84 E40 C53:C55 F71 F73 F75 F88 F86 E211:E212 E226:E227 G211:H212 G226:I227" name="Airside"/>
    <protectedRange sqref="H4 E196 F5 C4:C5 E181:E182 E190:E193 J14 G17 F8 G218:G221 E218:E221 C7:C8 J5:J7" name="Introduction"/>
    <protectedRange sqref="E16:E17 E95 E169" name="Introduction_1"/>
    <protectedRange sqref="D273 D277:D281 D284:D289 D292:D297" name="Introduction_1_1"/>
    <protectedRange sqref="C112:C145 E112:E145 G112:G145 I112:I136 I138:I146" name="Airside_6"/>
    <protectedRange sqref="J9:J11" name="Introduction_3_1"/>
    <protectedRange sqref="D99:D107" name="Airside_1"/>
    <protectedRange sqref="C11:C13" name="Introduction_1_2"/>
    <protectedRange sqref="D24:D26" name="Airside_1_1"/>
    <protectedRange sqref="B52" name="Building_1"/>
    <protectedRange sqref="C52" name="Airside_2"/>
    <protectedRange sqref="D40" name="Airside_5"/>
    <protectedRange sqref="E24:E27" name="Airside_9"/>
    <protectedRange sqref="D162:D164" name="Airside_10"/>
    <protectedRange sqref="E201:E205 J226:J227 D254:G258" name="Introduction_5"/>
    <protectedRange sqref="F201:F205" name="Introduction_2"/>
  </protectedRanges>
  <dataConsolidate/>
  <mergeCells count="107">
    <mergeCell ref="A311:P311"/>
    <mergeCell ref="I306:J306"/>
    <mergeCell ref="I307:J307"/>
    <mergeCell ref="I308:J308"/>
    <mergeCell ref="I297:J297"/>
    <mergeCell ref="I300:J300"/>
    <mergeCell ref="F273:G273"/>
    <mergeCell ref="G261:J261"/>
    <mergeCell ref="I287:J287"/>
    <mergeCell ref="I288:J288"/>
    <mergeCell ref="I289:J289"/>
    <mergeCell ref="I284:J284"/>
    <mergeCell ref="I285:J285"/>
    <mergeCell ref="I286:J286"/>
    <mergeCell ref="I301:J301"/>
    <mergeCell ref="I302:J302"/>
    <mergeCell ref="I304:J304"/>
    <mergeCell ref="I305:J305"/>
    <mergeCell ref="I292:J292"/>
    <mergeCell ref="I293:J293"/>
    <mergeCell ref="I294:J294"/>
    <mergeCell ref="I295:J295"/>
    <mergeCell ref="I296:J296"/>
    <mergeCell ref="C244:C250"/>
    <mergeCell ref="D244:E244"/>
    <mergeCell ref="D245:E245"/>
    <mergeCell ref="D246:E246"/>
    <mergeCell ref="D247:E247"/>
    <mergeCell ref="D248:E248"/>
    <mergeCell ref="D249:E249"/>
    <mergeCell ref="D250:E250"/>
    <mergeCell ref="C238:C240"/>
    <mergeCell ref="D238:E238"/>
    <mergeCell ref="D239:E239"/>
    <mergeCell ref="D240:E240"/>
    <mergeCell ref="C241:C243"/>
    <mergeCell ref="D241:E241"/>
    <mergeCell ref="D242:E242"/>
    <mergeCell ref="D243:E243"/>
    <mergeCell ref="E106:F106"/>
    <mergeCell ref="E107:F107"/>
    <mergeCell ref="E100:F100"/>
    <mergeCell ref="E101:F101"/>
    <mergeCell ref="E102:F102"/>
    <mergeCell ref="E103:F103"/>
    <mergeCell ref="E104:F104"/>
    <mergeCell ref="E169:G169"/>
    <mergeCell ref="C211:D211"/>
    <mergeCell ref="G178:I178"/>
    <mergeCell ref="G194:J194"/>
    <mergeCell ref="G104:I104"/>
    <mergeCell ref="G106:I106"/>
    <mergeCell ref="H150:J150"/>
    <mergeCell ref="H152:J152"/>
    <mergeCell ref="B107:C107"/>
    <mergeCell ref="B106:C106"/>
    <mergeCell ref="B161:C161"/>
    <mergeCell ref="B162:C162"/>
    <mergeCell ref="B163:C163"/>
    <mergeCell ref="B164:C164"/>
    <mergeCell ref="E162:G162"/>
    <mergeCell ref="E163:G163"/>
    <mergeCell ref="E164:G164"/>
    <mergeCell ref="C235:C237"/>
    <mergeCell ref="D235:E235"/>
    <mergeCell ref="D236:E236"/>
    <mergeCell ref="D237:E237"/>
    <mergeCell ref="G228:J228"/>
    <mergeCell ref="F196:J196"/>
    <mergeCell ref="E225:F225"/>
    <mergeCell ref="E226:F226"/>
    <mergeCell ref="E227:F227"/>
    <mergeCell ref="E210:F210"/>
    <mergeCell ref="E211:F211"/>
    <mergeCell ref="E212:F212"/>
    <mergeCell ref="C225:D225"/>
    <mergeCell ref="C226:D226"/>
    <mergeCell ref="C227:D227"/>
    <mergeCell ref="H222:K222"/>
    <mergeCell ref="C210:D210"/>
    <mergeCell ref="C212:D212"/>
    <mergeCell ref="D234:E234"/>
    <mergeCell ref="H4:J4"/>
    <mergeCell ref="C7:F7"/>
    <mergeCell ref="C8:D8"/>
    <mergeCell ref="C11:F11"/>
    <mergeCell ref="B98:C98"/>
    <mergeCell ref="C12:F12"/>
    <mergeCell ref="C13:F13"/>
    <mergeCell ref="E15:G15"/>
    <mergeCell ref="E95:G95"/>
    <mergeCell ref="H23:J24"/>
    <mergeCell ref="B50:H50"/>
    <mergeCell ref="B59:H59"/>
    <mergeCell ref="H79:I79"/>
    <mergeCell ref="E98:F98"/>
    <mergeCell ref="A1:D1"/>
    <mergeCell ref="C4:F4"/>
    <mergeCell ref="B99:C99"/>
    <mergeCell ref="B100:C100"/>
    <mergeCell ref="B101:C101"/>
    <mergeCell ref="B102:C102"/>
    <mergeCell ref="B103:C103"/>
    <mergeCell ref="B104:C104"/>
    <mergeCell ref="B105:C105"/>
    <mergeCell ref="E99:F99"/>
    <mergeCell ref="E105:F105"/>
  </mergeCells>
  <dataValidations xWindow="393" yWindow="341" count="40">
    <dataValidation type="list" allowBlank="1" showInputMessage="1" showErrorMessage="1" sqref="G228">
      <formula1>distance_train</formula1>
    </dataValidation>
    <dataValidation type="list" allowBlank="1" showInputMessage="1" showErrorMessage="1" sqref="G178:I178">
      <formula1>access_distances</formula1>
    </dataValidation>
    <dataValidation type="list" allowBlank="1" showInputMessage="1" showErrorMessage="1" sqref="C8:D8">
      <formula1>Country</formula1>
    </dataValidation>
    <dataValidation type="list" allowBlank="1" showInputMessage="1" showErrorMessage="1" sqref="F8">
      <formula1>"Select One,North America,Latin Am Crrbn,Europe,Africa,AsiaPacific"</formula1>
    </dataValidation>
    <dataValidation type="list" allowBlank="1" showInputMessage="1" showErrorMessage="1" sqref="D284:D289 D273 D292:D297">
      <formula1>$L$269:$L$271</formula1>
    </dataValidation>
    <dataValidation type="whole" operator="greaterThanOrEqual" showInputMessage="1" showErrorMessage="1" error="Input whole number with no decimals" sqref="F82 F84 F88 F86">
      <formula1>0</formula1>
    </dataValidation>
    <dataValidation type="decimal" allowBlank="1" showInputMessage="1" showErrorMessage="1" sqref="D272">
      <formula1>0</formula1>
      <formula2>100</formula2>
    </dataValidation>
    <dataValidation type="whole" allowBlank="1" showInputMessage="1" showErrorMessage="1" sqref="D274">
      <formula1>1920</formula1>
      <formula2>2030</formula2>
    </dataValidation>
    <dataValidation type="whole" operator="greaterThanOrEqual" showInputMessage="1" showErrorMessage="1" error="Please enter a whole number (no decimals)" sqref="J11">
      <formula1>0</formula1>
    </dataValidation>
    <dataValidation type="whole" operator="greaterThanOrEqual" showErrorMessage="1" error="Please enter a whole number (no decimals)" prompt="Total aircraft landings + total aircraft take offs" sqref="J9">
      <formula1>0</formula1>
    </dataValidation>
    <dataValidation type="list" allowBlank="1" showInputMessage="1" showErrorMessage="1" sqref="E16:E17">
      <formula1>"Yes,No"</formula1>
    </dataValidation>
    <dataValidation type="list" allowBlank="1" showInputMessage="1" showErrorMessage="1" sqref="E15:G15">
      <formula1>" unconditionally,only for inclusion in aggregated data,and can only be quoted without identifying the airport,and can be freely quoted."</formula1>
    </dataValidation>
    <dataValidation type="decimal" allowBlank="1" showInputMessage="1" showErrorMessage="1" error="% between 0 and 100% required" prompt="0%-100% Total of 3 must = 100%" sqref="E220:E221 G220:G221 E203:F205">
      <formula1>0</formula1>
      <formula2>1</formula2>
    </dataValidation>
    <dataValidation type="whole" operator="greaterThanOrEqual" allowBlank="1" showInputMessage="1" showErrorMessage="1" error="Input whole number without decimels." sqref="C52:C55 E52:E55 G52:G55 E61:E64 G61:G64 D40:E40 D163:D164 D31:E36 D44:E45 C61:C64 D24:E27">
      <formula1>0</formula1>
    </dataValidation>
    <dataValidation type="decimal" allowBlank="1" showInputMessage="1" showErrorMessage="1" error="% between 0 and 100% required" prompt="0%-100%" sqref="E181:E182 G218:G219 E218:E219 E190:E193 E201:F202 J226:J227 D254:G258">
      <formula1>0</formula1>
      <formula2>1</formula2>
    </dataValidation>
    <dataValidation type="whole" operator="greaterThanOrEqual" allowBlank="1" showInputMessage="1" showErrorMessage="1" sqref="F235:F250">
      <formula1>0</formula1>
    </dataValidation>
    <dataValidation type="decimal" showInputMessage="1" showErrorMessage="1" sqref="F78">
      <formula1>0</formula1>
      <formula2>1000</formula2>
    </dataValidation>
    <dataValidation type="date" operator="greaterThan" allowBlank="1" showErrorMessage="1" error="Please enter today's date DD/MM/YYYY" prompt="Date of report preparation" sqref="J5">
      <formula1>41050</formula1>
    </dataValidation>
    <dataValidation type="whole" operator="greaterThan" showInputMessage="1" showErrorMessage="1" error="Year 1980 or later" sqref="G17 J6">
      <formula1>1980</formula1>
    </dataValidation>
    <dataValidation type="textLength" allowBlank="1" showErrorMessage="1" prompt="4 letter code (optional)" sqref="F5">
      <formula1>3</formula1>
      <formula2>5</formula2>
    </dataValidation>
    <dataValidation type="textLength" operator="equal" allowBlank="1" showErrorMessage="1" prompt="3 letter code" sqref="C5">
      <formula1>3</formula1>
    </dataValidation>
    <dataValidation type="textLength" operator="greaterThan" allowBlank="1" showInputMessage="1" showErrorMessage="1" sqref="C7 C4 C11:C13">
      <formula1>2</formula1>
    </dataValidation>
    <dataValidation type="list" allowBlank="1" showInputMessage="1" showErrorMessage="1" sqref="G82">
      <formula1>"kWh, GJ"</formula1>
    </dataValidation>
    <dataValidation allowBlank="1" showInputMessage="1" showErrorMessage="1" error="Use pull down menu to select answer." sqref="I169"/>
    <dataValidation type="list" allowBlank="1" showInputMessage="1" sqref="F90">
      <formula1>"Coal, Fuel Oil, Natural Gas"</formula1>
    </dataValidation>
    <dataValidation type="list" allowBlank="1" showInputMessage="1" showErrorMessage="1" sqref="D52 D61">
      <formula1>"kg, m3, GJ"</formula1>
    </dataValidation>
    <dataValidation type="decimal" operator="greaterThanOrEqual" allowBlank="1" showInputMessage="1" showErrorMessage="1" sqref="D264:E265 F261">
      <formula1>0</formula1>
    </dataValidation>
    <dataValidation type="list" allowBlank="1" showErrorMessage="1" prompt="Select Canadian Province (if applicable)" sqref="C9">
      <formula1>IF($C$8="Canada",Canada,N_A)</formula1>
    </dataValidation>
    <dataValidation type="whole" operator="greaterThanOrEqual" showErrorMessage="1" error="Please enter a whole number (no decimals)" prompt="Total passengers landing + total passengers taking off" sqref="J10">
      <formula1>0</formula1>
    </dataValidation>
    <dataValidation type="list" allowBlank="1" showInputMessage="1" showErrorMessage="1" sqref="E169:G169">
      <formula1>"No Ground Taffic data. Emissions will not be counted, Approxmiate data for estimation (Recommended),Detailed traffic survey data is available (Best)"</formula1>
    </dataValidation>
    <dataValidation type="list" allowBlank="1" showInputMessage="1" showErrorMessage="1" sqref="D277:D281">
      <formula1>$M$269:$M$274</formula1>
    </dataValidation>
    <dataValidation type="list" allowBlank="1" showInputMessage="1" showErrorMessage="1" sqref="E95:G95">
      <formula1>"No aircraft data,Generic aircraft data (Good),Detailed aircraft data (Best)"</formula1>
    </dataValidation>
    <dataValidation type="list" operator="greaterThan" showInputMessage="1" showErrorMessage="1" error="Year 1980 or later" sqref="J7">
      <formula1>$O$5:$O$16</formula1>
    </dataValidation>
    <dataValidation type="whole" operator="greaterThanOrEqual" allowBlank="1" showInputMessage="1" showErrorMessage="1" error="Input whole number without decimals." sqref="F69 F71 F73 F75 D162 G175">
      <formula1>0</formula1>
    </dataValidation>
    <dataValidation type="whole" operator="greaterThanOrEqual" allowBlank="1" showErrorMessage="1" error="Input whole number with no decimals" prompt="count 1 LTO as 2 movements" sqref="D99:D107 C112:C145 E112:E145 G112:G145 I112:I136 I138:I146">
      <formula1>0</formula1>
    </dataValidation>
    <dataValidation type="whole" showInputMessage="1" showErrorMessage="1" error="Input whole number - no decimals - between 5 and 120 minutes" promptTitle="Taxi Time" prompt="5 - 120 minutes permitted" sqref="C154">
      <formula1>5</formula1>
      <formula2>120</formula2>
    </dataValidation>
    <dataValidation type="whole" showInputMessage="1" showErrorMessage="1" error="Input whole number - no decimals - between 5 and 120 minutes" promptTitle="APU Usage" prompt="5 - 120 minutes permitted" sqref="C157:C158">
      <formula1>5</formula1>
      <formula2>120</formula2>
    </dataValidation>
    <dataValidation type="whole" operator="greaterThan" allowBlank="1" showInputMessage="1" showErrorMessage="1" error="Input whole number without decimals" sqref="E196:E197">
      <formula1>0</formula1>
    </dataValidation>
    <dataValidation type="whole" operator="greaterThanOrEqual" allowBlank="1" showInputMessage="1" showErrorMessage="1" error="Input whole number without decimals" sqref="E211:F212 E226:F227 D304:D308 E284:E289 D300:D302 G284:G289">
      <formula1>0</formula1>
    </dataValidation>
    <dataValidation type="whole" operator="greaterThanOrEqual" showInputMessage="1" showErrorMessage="1" error="Input whole number without decimals" sqref="G211:H212 G226:I227">
      <formula1>0</formula1>
    </dataValidation>
  </dataValidations>
  <hyperlinks>
    <hyperlink ref="A311" location="Output!A1" display="Check Calculation Results!"/>
    <hyperlink ref="H79" location="Output!A1" display="Check Calculation Results!"/>
    <hyperlink ref="H79:I79" location="EF!Print_Titles" display="To see US data click here"/>
  </hyperlinks>
  <printOptions horizontalCentered="1"/>
  <pageMargins left="0.25" right="0.25" top="0.75" bottom="0.75" header="0.3" footer="0.3"/>
  <pageSetup scale="79" fitToHeight="0" orientation="landscape" r:id="rId1"/>
  <headerFooter alignWithMargins="0"/>
  <rowBreaks count="1" manualBreakCount="1">
    <brk id="267" max="10" man="1"/>
  </rowBreaks>
  <drawing r:id="rId2"/>
  <extLst>
    <ext xmlns:x14="http://schemas.microsoft.com/office/spreadsheetml/2009/9/main" uri="{CCE6A557-97BC-4b89-ADB6-D9C93CAAB3DF}">
      <x14:dataValidations xmlns:xm="http://schemas.microsoft.com/office/excel/2006/main" xWindow="393" yWindow="341" count="3">
        <x14:dataValidation type="list" showInputMessage="1" showErrorMessage="1">
          <x14:formula1>
            <xm:f>Stat!$B$63:$B$67</xm:f>
          </x14:formula1>
          <xm:sqref>G228</xm:sqref>
        </x14:dataValidation>
        <x14:dataValidation type="list" showInputMessage="1" showErrorMessage="1">
          <x14:formula1>
            <xm:f>Stat!$B$55:$B$59</xm:f>
          </x14:formula1>
          <xm:sqref>G178</xm:sqref>
        </x14:dataValidation>
        <x14:dataValidation type="list" allowBlank="1" showInputMessage="1" showErrorMessage="1" prompt="Select country from pull down menu">
          <x14:formula1>
            <xm:f>EF!$A$3:$A$158</xm:f>
          </x14:formula1>
          <xm:sqref>C8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enableFormatConditionsCalculation="0">
    <tabColor indexed="17"/>
  </sheetPr>
  <dimension ref="A1:R203"/>
  <sheetViews>
    <sheetView view="pageBreakPreview" zoomScaleNormal="100" zoomScaleSheetLayoutView="100" workbookViewId="0">
      <selection activeCell="C2" sqref="C2"/>
    </sheetView>
  </sheetViews>
  <sheetFormatPr defaultColWidth="9.140625" defaultRowHeight="12.75" x14ac:dyDescent="0.2"/>
  <cols>
    <col min="1" max="1" width="5.85546875" style="14" customWidth="1"/>
    <col min="2" max="2" width="14.140625" style="29" customWidth="1"/>
    <col min="3" max="3" width="10.140625" style="14" customWidth="1"/>
    <col min="4" max="5" width="11.5703125" style="14" customWidth="1"/>
    <col min="6" max="6" width="9.5703125" style="14" customWidth="1"/>
    <col min="7" max="9" width="10.28515625" style="14" customWidth="1"/>
    <col min="10" max="10" width="14" style="14" customWidth="1"/>
    <col min="11" max="11" width="10.28515625" style="14" customWidth="1"/>
    <col min="12" max="12" width="15" style="14" customWidth="1"/>
    <col min="13" max="13" width="9.28515625" style="14" bestFit="1" customWidth="1"/>
    <col min="14" max="16384" width="9.140625" style="14"/>
  </cols>
  <sheetData>
    <row r="1" spans="1:18" ht="62.25" customHeight="1" x14ac:dyDescent="0.2">
      <c r="B1" s="1109" t="s">
        <v>1948</v>
      </c>
      <c r="C1" s="1109"/>
      <c r="D1" s="1109"/>
      <c r="E1" s="1109"/>
      <c r="F1" s="1109"/>
      <c r="G1" s="665" t="str">
        <f>+Calc1!C6</f>
        <v>XYZ</v>
      </c>
      <c r="H1" s="666">
        <f>Calc1!J8</f>
        <v>2011</v>
      </c>
      <c r="J1" s="161"/>
      <c r="K1" s="161"/>
      <c r="L1" s="161"/>
    </row>
    <row r="2" spans="1:18" ht="15" customHeight="1" x14ac:dyDescent="0.2">
      <c r="A2" s="96"/>
      <c r="B2" s="684" t="s">
        <v>656</v>
      </c>
      <c r="C2" s="1039">
        <f>Calc1!C4</f>
        <v>0</v>
      </c>
      <c r="D2" s="96"/>
      <c r="E2" s="96"/>
      <c r="F2" s="96"/>
      <c r="G2" s="292" t="s">
        <v>187</v>
      </c>
      <c r="H2" s="188" t="str">
        <f>+Calc1!C10</f>
        <v xml:space="preserve">Albania </v>
      </c>
      <c r="I2" s="683"/>
      <c r="J2" s="96"/>
      <c r="K2" s="685" t="s">
        <v>1086</v>
      </c>
      <c r="L2" s="210">
        <f>+Calc1!J10</f>
        <v>100</v>
      </c>
    </row>
    <row r="3" spans="1:18" x14ac:dyDescent="0.2">
      <c r="A3" s="96"/>
      <c r="B3" s="289" t="s">
        <v>1714</v>
      </c>
      <c r="C3" s="62">
        <f>Calc1!J6</f>
        <v>41153</v>
      </c>
      <c r="D3" s="96"/>
      <c r="E3" s="96"/>
      <c r="F3" s="96"/>
      <c r="G3" s="686" t="s">
        <v>1729</v>
      </c>
      <c r="H3" s="687">
        <f>+Calc1!F95</f>
        <v>34.439500000000002</v>
      </c>
      <c r="I3" s="189" t="s">
        <v>1730</v>
      </c>
      <c r="J3" s="96"/>
      <c r="K3" s="685" t="s">
        <v>1412</v>
      </c>
      <c r="L3" s="210">
        <f>+Calc1!J11</f>
        <v>100</v>
      </c>
    </row>
    <row r="4" spans="1:18" x14ac:dyDescent="0.2">
      <c r="A4" s="96"/>
      <c r="B4" s="96" t="s">
        <v>1068</v>
      </c>
      <c r="C4" s="96">
        <f>+Calc1!H4</f>
        <v>0</v>
      </c>
      <c r="D4" s="96"/>
      <c r="E4" s="96"/>
      <c r="F4" s="96"/>
      <c r="G4" s="686" t="s">
        <v>1728</v>
      </c>
      <c r="H4" s="687">
        <f>+Calc2!E143</f>
        <v>34.439500000000002</v>
      </c>
      <c r="I4" s="189" t="s">
        <v>1730</v>
      </c>
      <c r="J4" s="96"/>
      <c r="K4" s="685" t="s">
        <v>1929</v>
      </c>
      <c r="L4" s="210">
        <f>Calc1!J11+(Calc1!J12*10)</f>
        <v>200</v>
      </c>
    </row>
    <row r="5" spans="1:18" ht="15" customHeight="1" x14ac:dyDescent="0.2">
      <c r="B5" s="14"/>
      <c r="G5" s="1113" t="s">
        <v>1081</v>
      </c>
      <c r="H5" s="1114"/>
      <c r="I5" s="1114"/>
      <c r="J5" s="1115"/>
      <c r="K5" s="16"/>
      <c r="L5" s="16"/>
    </row>
    <row r="6" spans="1:18" s="31" customFormat="1" ht="14.25" x14ac:dyDescent="0.2">
      <c r="B6" s="531" t="s">
        <v>1083</v>
      </c>
      <c r="C6" s="1124" t="s">
        <v>133</v>
      </c>
      <c r="D6" s="1125"/>
      <c r="E6" s="1126"/>
      <c r="F6" s="643" t="s">
        <v>132</v>
      </c>
      <c r="G6" s="261" t="s">
        <v>135</v>
      </c>
      <c r="H6" s="261" t="s">
        <v>136</v>
      </c>
      <c r="I6" s="261" t="s">
        <v>137</v>
      </c>
      <c r="J6" s="532" t="s">
        <v>1069</v>
      </c>
      <c r="K6" s="646" t="s">
        <v>1080</v>
      </c>
      <c r="M6" s="14"/>
      <c r="N6" s="14"/>
      <c r="O6" s="14"/>
      <c r="P6" s="14"/>
      <c r="Q6" s="14"/>
      <c r="R6" s="14"/>
    </row>
    <row r="7" spans="1:18" x14ac:dyDescent="0.2">
      <c r="B7" s="1110" t="s">
        <v>134</v>
      </c>
      <c r="C7" s="656" t="s">
        <v>1475</v>
      </c>
      <c r="D7" s="657" t="s">
        <v>1700</v>
      </c>
      <c r="E7" s="657"/>
      <c r="F7" s="653">
        <v>1</v>
      </c>
      <c r="G7" s="548">
        <f>Calc2!E41</f>
        <v>1.1445E-2</v>
      </c>
      <c r="H7" s="262">
        <f>Calc2!F41</f>
        <v>2.5099999999999997E-6</v>
      </c>
      <c r="I7" s="262">
        <f>Calc2!G41</f>
        <v>9.9999999999999995E-7</v>
      </c>
      <c r="J7" s="534">
        <f t="shared" ref="J7:J13" si="0">G7+H7*21+I7*310</f>
        <v>1.1807709999999999E-2</v>
      </c>
      <c r="K7" s="194">
        <f>J7/$J$33</f>
        <v>2.1727370549993637E-6</v>
      </c>
    </row>
    <row r="8" spans="1:18" x14ac:dyDescent="0.2">
      <c r="B8" s="1111"/>
      <c r="C8" s="656" t="s">
        <v>1475</v>
      </c>
      <c r="D8" s="657" t="s">
        <v>1701</v>
      </c>
      <c r="E8" s="657"/>
      <c r="F8" s="653">
        <v>1</v>
      </c>
      <c r="G8" s="548">
        <f>+Calc2!C80</f>
        <v>1.8677934E-2</v>
      </c>
      <c r="H8" s="262">
        <f>+Calc2!D80</f>
        <v>3.3294000000000002E-7</v>
      </c>
      <c r="I8" s="262">
        <f>+Calc2!E80</f>
        <v>3.3294E-8</v>
      </c>
      <c r="J8" s="534">
        <f t="shared" si="0"/>
        <v>1.8695246879999999E-2</v>
      </c>
      <c r="K8" s="194">
        <f>J8/$J$33</f>
        <v>3.4401129133877141E-6</v>
      </c>
    </row>
    <row r="9" spans="1:18" x14ac:dyDescent="0.2">
      <c r="B9" s="1111"/>
      <c r="C9" s="656" t="s">
        <v>1475</v>
      </c>
      <c r="D9" s="1122" t="s">
        <v>1702</v>
      </c>
      <c r="E9" s="1123"/>
      <c r="F9" s="653">
        <v>1</v>
      </c>
      <c r="G9" s="548">
        <f>Calc2!E99</f>
        <v>0</v>
      </c>
      <c r="H9" s="262">
        <f>Calc2!F99</f>
        <v>0</v>
      </c>
      <c r="I9" s="262">
        <f>Calc2!G99</f>
        <v>0</v>
      </c>
      <c r="J9" s="534">
        <f t="shared" si="0"/>
        <v>0</v>
      </c>
      <c r="K9" s="194">
        <f>J9/$J$33</f>
        <v>0</v>
      </c>
    </row>
    <row r="10" spans="1:18" x14ac:dyDescent="0.2">
      <c r="B10" s="1111"/>
      <c r="C10" s="656" t="s">
        <v>1475</v>
      </c>
      <c r="D10" s="657" t="s">
        <v>681</v>
      </c>
      <c r="E10" s="657"/>
      <c r="F10" s="653">
        <v>1</v>
      </c>
      <c r="G10" s="548">
        <f>Calc2!D117</f>
        <v>0</v>
      </c>
      <c r="H10" s="262">
        <f>Calc2!E117</f>
        <v>0</v>
      </c>
      <c r="I10" s="262">
        <f>Calc2!F117</f>
        <v>0</v>
      </c>
      <c r="J10" s="534">
        <f t="shared" si="0"/>
        <v>0</v>
      </c>
      <c r="K10" s="194">
        <f>J10/$J$33</f>
        <v>0</v>
      </c>
    </row>
    <row r="11" spans="1:18" x14ac:dyDescent="0.2">
      <c r="B11" s="1111"/>
      <c r="C11" s="656" t="s">
        <v>1475</v>
      </c>
      <c r="D11" s="1122" t="s">
        <v>1703</v>
      </c>
      <c r="E11" s="1123"/>
      <c r="F11" s="653">
        <v>1</v>
      </c>
      <c r="G11" s="548">
        <f>Calc2!D129</f>
        <v>0</v>
      </c>
      <c r="J11" s="534">
        <f t="shared" si="0"/>
        <v>0</v>
      </c>
      <c r="K11" s="194">
        <f>J11/$J$33</f>
        <v>0</v>
      </c>
    </row>
    <row r="12" spans="1:18" x14ac:dyDescent="0.2">
      <c r="B12" s="1111"/>
      <c r="C12" s="656" t="s">
        <v>1475</v>
      </c>
      <c r="D12" s="657" t="s">
        <v>1084</v>
      </c>
      <c r="E12" s="657"/>
      <c r="F12" s="654">
        <v>2</v>
      </c>
      <c r="G12" s="648">
        <f>Calc2!C142</f>
        <v>1.721975E-4</v>
      </c>
      <c r="J12" s="649">
        <f t="shared" si="0"/>
        <v>1.721975E-4</v>
      </c>
      <c r="K12" s="650">
        <f>G12/$J$33</f>
        <v>3.1686066902748542E-8</v>
      </c>
      <c r="L12" s="14" t="str">
        <f>+IF(Input!F71&gt;Input!F69,"Error Step 4","")</f>
        <v/>
      </c>
    </row>
    <row r="13" spans="1:18" x14ac:dyDescent="0.2">
      <c r="B13" s="1112"/>
      <c r="C13" s="656" t="s">
        <v>1475</v>
      </c>
      <c r="D13" s="657" t="s">
        <v>1704</v>
      </c>
      <c r="E13" s="657"/>
      <c r="F13" s="654">
        <v>2</v>
      </c>
      <c r="G13" s="651">
        <f>Calc2!C173</f>
        <v>0</v>
      </c>
      <c r="H13" s="652">
        <f>Calc2!D173</f>
        <v>0</v>
      </c>
      <c r="I13" s="652">
        <f>Calc2!E173</f>
        <v>0</v>
      </c>
      <c r="J13" s="649">
        <f t="shared" si="0"/>
        <v>0</v>
      </c>
      <c r="K13" s="650">
        <f t="shared" ref="K13:K28" si="1">J13/$J$33</f>
        <v>0</v>
      </c>
      <c r="L13" s="14" t="str">
        <f>+IF(Input!F84&gt;Input!F82,"Error Step 5","")</f>
        <v/>
      </c>
    </row>
    <row r="14" spans="1:18" ht="12.75" customHeight="1" x14ac:dyDescent="0.2">
      <c r="B14" s="635"/>
      <c r="C14" s="658"/>
      <c r="D14" s="658"/>
      <c r="E14" s="658"/>
      <c r="F14" s="645"/>
      <c r="G14" s="634"/>
      <c r="H14" s="634"/>
      <c r="I14" s="641" t="s">
        <v>141</v>
      </c>
      <c r="J14" s="533">
        <f>+SUM(J7:J13)</f>
        <v>3.0675154379999996E-2</v>
      </c>
      <c r="K14" s="644">
        <f t="shared" si="1"/>
        <v>5.6445360352898262E-6</v>
      </c>
    </row>
    <row r="15" spans="1:18" x14ac:dyDescent="0.2">
      <c r="B15" s="1110" t="s">
        <v>1715</v>
      </c>
      <c r="C15" s="656" t="s">
        <v>1705</v>
      </c>
      <c r="D15" s="657" t="s">
        <v>1706</v>
      </c>
      <c r="E15" s="657"/>
      <c r="F15" s="653">
        <v>3</v>
      </c>
      <c r="G15" s="263">
        <f>Calc2!O324</f>
        <v>297.97173000000004</v>
      </c>
      <c r="H15" s="262">
        <f>Calc2!G334</f>
        <v>9.3648257999999988E-3</v>
      </c>
      <c r="I15" s="262">
        <f>Calc2!G335</f>
        <v>2.6959346999999998E-2</v>
      </c>
      <c r="J15" s="534">
        <f t="shared" ref="J15:J26" si="2">G15+H15*21+I15*310</f>
        <v>306.52578891180002</v>
      </c>
      <c r="K15" s="194">
        <f t="shared" si="1"/>
        <v>5.6403819189460198E-2</v>
      </c>
    </row>
    <row r="16" spans="1:18" x14ac:dyDescent="0.2">
      <c r="B16" s="1111"/>
      <c r="C16" s="656" t="s">
        <v>1705</v>
      </c>
      <c r="D16" s="1122" t="s">
        <v>1707</v>
      </c>
      <c r="E16" s="1123"/>
      <c r="F16" s="653">
        <v>3</v>
      </c>
      <c r="G16" s="263">
        <f>+Calc2!W324</f>
        <v>28.35</v>
      </c>
      <c r="H16" s="262">
        <f>+Calc2!G345</f>
        <v>8.9099999999999987E-4</v>
      </c>
      <c r="I16" s="262">
        <f>+Calc2!G346</f>
        <v>2.565E-3</v>
      </c>
      <c r="J16" s="534">
        <f t="shared" si="2"/>
        <v>29.163861000000001</v>
      </c>
      <c r="K16" s="194">
        <f t="shared" si="1"/>
        <v>5.3664428971875837E-3</v>
      </c>
    </row>
    <row r="17" spans="2:12" x14ac:dyDescent="0.2">
      <c r="B17" s="1111"/>
      <c r="C17" s="656" t="s">
        <v>1705</v>
      </c>
      <c r="D17" s="657" t="s">
        <v>1708</v>
      </c>
      <c r="E17" s="657"/>
      <c r="F17" s="653">
        <v>3</v>
      </c>
      <c r="G17" s="681">
        <f>Calc2!C513</f>
        <v>4.7099999999999998E-3</v>
      </c>
      <c r="H17" s="551">
        <f>Calc2!D513</f>
        <v>4.437E-6</v>
      </c>
      <c r="I17" s="551">
        <f>Calc2!E513</f>
        <v>4.1324999999999997E-7</v>
      </c>
      <c r="J17" s="682">
        <f t="shared" si="2"/>
        <v>4.9312844999999999E-3</v>
      </c>
      <c r="K17" s="194">
        <f t="shared" si="1"/>
        <v>9.0740580196278621E-7</v>
      </c>
    </row>
    <row r="18" spans="2:12" x14ac:dyDescent="0.2">
      <c r="B18" s="1111"/>
      <c r="C18" s="656" t="s">
        <v>1705</v>
      </c>
      <c r="D18" s="657" t="s">
        <v>1709</v>
      </c>
      <c r="E18" s="657"/>
      <c r="F18" s="653">
        <v>3</v>
      </c>
      <c r="G18" s="681">
        <f>Calc2!D526</f>
        <v>0</v>
      </c>
      <c r="H18" s="96"/>
      <c r="I18" s="96"/>
      <c r="J18" s="682">
        <f t="shared" si="2"/>
        <v>0</v>
      </c>
      <c r="K18" s="194">
        <f t="shared" si="1"/>
        <v>0</v>
      </c>
    </row>
    <row r="19" spans="2:12" x14ac:dyDescent="0.2">
      <c r="B19" s="1111"/>
      <c r="C19" s="656" t="s">
        <v>1705</v>
      </c>
      <c r="D19" s="657" t="s">
        <v>1700</v>
      </c>
      <c r="E19" s="657"/>
      <c r="F19" s="653">
        <v>3</v>
      </c>
      <c r="G19" s="263">
        <f>Calc2!E384</f>
        <v>0</v>
      </c>
      <c r="H19" s="262">
        <f>Calc2!F384</f>
        <v>0</v>
      </c>
      <c r="I19" s="262">
        <f>Calc2!G384</f>
        <v>0</v>
      </c>
      <c r="J19" s="534">
        <f t="shared" si="2"/>
        <v>0</v>
      </c>
      <c r="K19" s="194">
        <f t="shared" si="1"/>
        <v>0</v>
      </c>
    </row>
    <row r="20" spans="2:12" x14ac:dyDescent="0.2">
      <c r="B20" s="1111"/>
      <c r="C20" s="656" t="s">
        <v>1705</v>
      </c>
      <c r="D20" s="657" t="s">
        <v>1701</v>
      </c>
      <c r="E20" s="657"/>
      <c r="F20" s="653">
        <v>3</v>
      </c>
      <c r="G20" s="263">
        <f>+Calc2!C430</f>
        <v>0</v>
      </c>
      <c r="H20" s="262">
        <f>+Calc2!D430</f>
        <v>0</v>
      </c>
      <c r="I20" s="262">
        <f>+Calc2!E430</f>
        <v>0</v>
      </c>
      <c r="J20" s="534">
        <f t="shared" si="2"/>
        <v>0</v>
      </c>
      <c r="K20" s="194">
        <f t="shared" si="1"/>
        <v>0</v>
      </c>
    </row>
    <row r="21" spans="2:12" x14ac:dyDescent="0.2">
      <c r="B21" s="1111"/>
      <c r="C21" s="656" t="s">
        <v>1705</v>
      </c>
      <c r="D21" s="657" t="s">
        <v>1084</v>
      </c>
      <c r="E21" s="657"/>
      <c r="F21" s="653">
        <v>3</v>
      </c>
      <c r="G21" s="670">
        <f>Calc2!C435</f>
        <v>0</v>
      </c>
      <c r="J21" s="534">
        <f t="shared" si="2"/>
        <v>0</v>
      </c>
      <c r="K21" s="194">
        <f t="shared" si="1"/>
        <v>0</v>
      </c>
    </row>
    <row r="22" spans="2:12" x14ac:dyDescent="0.2">
      <c r="B22" s="1111"/>
      <c r="C22" s="656" t="s">
        <v>1705</v>
      </c>
      <c r="D22" s="657" t="s">
        <v>1704</v>
      </c>
      <c r="E22" s="657"/>
      <c r="F22" s="653">
        <v>3</v>
      </c>
      <c r="G22" s="549">
        <f>Calc2!C460</f>
        <v>0</v>
      </c>
      <c r="H22" s="551">
        <f>Calc2!D460</f>
        <v>0</v>
      </c>
      <c r="I22" s="551">
        <f>Calc2!E460</f>
        <v>0</v>
      </c>
      <c r="J22" s="534">
        <f t="shared" si="2"/>
        <v>0</v>
      </c>
      <c r="K22" s="194">
        <f t="shared" si="1"/>
        <v>0</v>
      </c>
    </row>
    <row r="23" spans="2:12" x14ac:dyDescent="0.2">
      <c r="B23" s="1111"/>
      <c r="C23" s="656" t="s">
        <v>1705</v>
      </c>
      <c r="D23" s="1122" t="s">
        <v>1702</v>
      </c>
      <c r="E23" s="1123"/>
      <c r="F23" s="653">
        <v>3</v>
      </c>
      <c r="G23" s="263">
        <f>Calc2!E478</f>
        <v>0</v>
      </c>
      <c r="H23" s="262">
        <f>Calc2!F478</f>
        <v>0</v>
      </c>
      <c r="I23" s="262">
        <f>Calc2!G478</f>
        <v>0</v>
      </c>
      <c r="J23" s="534">
        <f t="shared" si="2"/>
        <v>0</v>
      </c>
      <c r="K23" s="194">
        <f t="shared" si="1"/>
        <v>0</v>
      </c>
    </row>
    <row r="24" spans="2:12" x14ac:dyDescent="0.2">
      <c r="B24" s="1111"/>
      <c r="C24" s="656" t="s">
        <v>1705</v>
      </c>
      <c r="D24" s="657" t="s">
        <v>681</v>
      </c>
      <c r="E24" s="657"/>
      <c r="F24" s="653">
        <v>3</v>
      </c>
      <c r="G24" s="263">
        <f>Calc2!D495</f>
        <v>0</v>
      </c>
      <c r="H24" s="262">
        <f>Calc2!E495</f>
        <v>0</v>
      </c>
      <c r="I24" s="262">
        <f>Calc2!F495</f>
        <v>0</v>
      </c>
      <c r="J24" s="534">
        <f t="shared" si="2"/>
        <v>0</v>
      </c>
      <c r="K24" s="194">
        <f t="shared" si="1"/>
        <v>0</v>
      </c>
    </row>
    <row r="25" spans="2:12" x14ac:dyDescent="0.2">
      <c r="B25" s="1111"/>
      <c r="C25" s="656" t="s">
        <v>1705</v>
      </c>
      <c r="D25" s="657" t="s">
        <v>1710</v>
      </c>
      <c r="E25" s="657"/>
      <c r="F25" s="653">
        <v>3</v>
      </c>
      <c r="G25" s="263">
        <f>Calc2!C922</f>
        <v>4467.6149174168304</v>
      </c>
      <c r="H25" s="262">
        <f>Calc2!D922</f>
        <v>0.91997033268101758</v>
      </c>
      <c r="I25" s="262">
        <f>Calc2!E922</f>
        <v>0.38634493150684934</v>
      </c>
      <c r="J25" s="534">
        <f t="shared" si="2"/>
        <v>4606.7012231702547</v>
      </c>
      <c r="K25" s="194">
        <f t="shared" si="1"/>
        <v>0.84767922390479666</v>
      </c>
    </row>
    <row r="26" spans="2:12" x14ac:dyDescent="0.2">
      <c r="B26" s="1111"/>
      <c r="C26" s="656" t="s">
        <v>1475</v>
      </c>
      <c r="D26" s="657" t="s">
        <v>1711</v>
      </c>
      <c r="E26" s="657"/>
      <c r="F26" s="653">
        <v>3</v>
      </c>
      <c r="G26" s="263">
        <f>Calc2!C908</f>
        <v>436.60656000000006</v>
      </c>
      <c r="H26" s="262">
        <f>Calc2!D908</f>
        <v>9.0361953816046961E-2</v>
      </c>
      <c r="I26" s="262">
        <f>Calc2!E908</f>
        <v>3.7370465753424661E-2</v>
      </c>
      <c r="J26" s="534">
        <f t="shared" si="2"/>
        <v>450.08900541369866</v>
      </c>
      <c r="K26" s="194">
        <f t="shared" si="1"/>
        <v>8.2820890766300365E-2</v>
      </c>
    </row>
    <row r="27" spans="2:12" ht="12.75" customHeight="1" x14ac:dyDescent="0.2">
      <c r="B27" s="635"/>
      <c r="C27" s="655"/>
      <c r="D27" s="655"/>
      <c r="E27" s="655"/>
      <c r="F27" s="192"/>
      <c r="G27" s="634"/>
      <c r="H27" s="634"/>
      <c r="I27" s="641" t="s">
        <v>143</v>
      </c>
      <c r="J27" s="533">
        <f>SUM(J15:J26)</f>
        <v>5392.4848097802533</v>
      </c>
      <c r="K27" s="644">
        <f t="shared" si="1"/>
        <v>0.99227128416354682</v>
      </c>
    </row>
    <row r="28" spans="2:12" s="16" customFormat="1" x14ac:dyDescent="0.2">
      <c r="B28" s="1116" t="s">
        <v>1716</v>
      </c>
      <c r="C28" s="1119" t="s">
        <v>145</v>
      </c>
      <c r="D28" s="1127" t="s">
        <v>1712</v>
      </c>
      <c r="E28" s="1123"/>
      <c r="F28" s="190">
        <v>3</v>
      </c>
      <c r="G28" s="263">
        <f>Calc2!C928</f>
        <v>0.42985870164383566</v>
      </c>
      <c r="H28" s="264">
        <f>Calc2!D928</f>
        <v>8.0237081643835624E-5</v>
      </c>
      <c r="I28" s="264">
        <f>Calc2!E928</f>
        <v>3.6823126027397275E-5</v>
      </c>
      <c r="J28" s="534">
        <f>G28+H28*21+I28*310</f>
        <v>0.44295884942684938</v>
      </c>
      <c r="K28" s="194">
        <f t="shared" si="1"/>
        <v>8.1508870559117679E-5</v>
      </c>
    </row>
    <row r="29" spans="2:12" s="16" customFormat="1" x14ac:dyDescent="0.2">
      <c r="B29" s="1117"/>
      <c r="C29" s="1120"/>
      <c r="D29" s="1127" t="s">
        <v>1713</v>
      </c>
      <c r="E29" s="1123"/>
      <c r="F29" s="190">
        <v>3</v>
      </c>
      <c r="G29" s="263">
        <f>Calc2!C929</f>
        <v>38.317443809523802</v>
      </c>
      <c r="H29" s="264">
        <f>Calc2!D929</f>
        <v>1.209215238095238E-3</v>
      </c>
      <c r="I29" s="264">
        <f>Calc2!E929</f>
        <v>3.0314000000000001E-3</v>
      </c>
      <c r="J29" s="534">
        <f t="shared" ref="J29:J30" si="3">G29+H29*21+I29*310</f>
        <v>39.282571329523805</v>
      </c>
      <c r="K29" s="194">
        <f t="shared" ref="K29:K30" si="4">J29/$J$33</f>
        <v>7.2283870744887877E-3</v>
      </c>
    </row>
    <row r="30" spans="2:12" s="16" customFormat="1" x14ac:dyDescent="0.2">
      <c r="B30" s="1118"/>
      <c r="C30" s="1121"/>
      <c r="D30" s="1128" t="s">
        <v>654</v>
      </c>
      <c r="E30" s="1129"/>
      <c r="F30" s="190">
        <v>3</v>
      </c>
      <c r="G30" s="263">
        <f>Calc2!C930</f>
        <v>2.2453958541045003</v>
      </c>
      <c r="H30" s="264">
        <f>Calc2!D930</f>
        <v>0</v>
      </c>
      <c r="I30" s="264">
        <f>Calc2!E930</f>
        <v>0</v>
      </c>
      <c r="J30" s="534">
        <f t="shared" si="3"/>
        <v>2.2453958541045003</v>
      </c>
      <c r="K30" s="194">
        <f t="shared" si="4"/>
        <v>4.1317535536990603E-4</v>
      </c>
    </row>
    <row r="31" spans="2:12" ht="12.75" customHeight="1" x14ac:dyDescent="0.2">
      <c r="B31" s="635"/>
      <c r="C31" s="634"/>
      <c r="D31" s="634"/>
      <c r="E31" s="634"/>
      <c r="F31" s="645"/>
      <c r="G31" s="634"/>
      <c r="H31" s="634"/>
      <c r="I31" s="642" t="s">
        <v>146</v>
      </c>
      <c r="J31" s="533">
        <f>SUM(J28:J30)</f>
        <v>41.970926033055157</v>
      </c>
      <c r="K31" s="644">
        <f>J31/$J$33</f>
        <v>7.7230713004178119E-3</v>
      </c>
      <c r="L31" s="16"/>
    </row>
    <row r="32" spans="2:12" x14ac:dyDescent="0.2">
      <c r="B32" s="284" t="s">
        <v>583</v>
      </c>
      <c r="C32" s="661" t="s">
        <v>1070</v>
      </c>
      <c r="D32" s="662"/>
      <c r="E32" s="662"/>
      <c r="F32" s="662"/>
      <c r="G32" s="663">
        <f>SUM(G7:G31)</f>
        <v>5271.5709109136033</v>
      </c>
      <c r="H32" s="664">
        <f>SUM(H7:H31)</f>
        <v>1.0218848445568034</v>
      </c>
      <c r="I32" s="664">
        <f>SUM(I7:I31)</f>
        <v>0.45630941393030139</v>
      </c>
      <c r="J32" s="105">
        <f>G32+H32*21+I32*310</f>
        <v>5434.4864109676901</v>
      </c>
      <c r="K32" s="231"/>
    </row>
    <row r="33" spans="2:12" ht="18.75" x14ac:dyDescent="0.35">
      <c r="B33" s="193" t="s">
        <v>1090</v>
      </c>
      <c r="C33" s="659" t="s">
        <v>1717</v>
      </c>
      <c r="D33" s="680" t="s">
        <v>1723</v>
      </c>
      <c r="E33" s="221"/>
      <c r="F33" s="222"/>
      <c r="G33" s="223"/>
      <c r="H33" s="640" t="s">
        <v>1302</v>
      </c>
      <c r="I33" s="209"/>
      <c r="J33" s="774">
        <f>J14+J27+J31</f>
        <v>5434.4864109676892</v>
      </c>
      <c r="K33" s="775">
        <f>K14+K27+K31</f>
        <v>0.99999999999999989</v>
      </c>
    </row>
    <row r="34" spans="2:12" ht="15" customHeight="1" x14ac:dyDescent="0.2">
      <c r="B34" s="228" t="s">
        <v>1091</v>
      </c>
      <c r="C34" s="252">
        <f>+SUM(J7:J11)</f>
        <v>3.0502956879999998E-2</v>
      </c>
      <c r="D34" s="667">
        <f>+SUM(K7:K11)</f>
        <v>5.6128499683870778E-6</v>
      </c>
      <c r="F34" s="226"/>
      <c r="I34" s="285" t="s">
        <v>1849</v>
      </c>
      <c r="J34" s="1108" t="str">
        <f>IF(Input!H95=0,"not included in this calculation.",+IF(Input!H95=1, "based on generic aircraft data.", "based on detailed aircraft data."))</f>
        <v>based on generic aircraft data.</v>
      </c>
      <c r="K34" s="1108"/>
      <c r="L34" s="1108"/>
    </row>
    <row r="35" spans="2:12" ht="15" customHeight="1" x14ac:dyDescent="0.2">
      <c r="B35" s="229" t="s">
        <v>1092</v>
      </c>
      <c r="C35" s="266">
        <f>+SUM(J12:J13)</f>
        <v>1.721975E-4</v>
      </c>
      <c r="D35" s="668">
        <f>+SUM(K12:K13)</f>
        <v>3.1686066902748542E-8</v>
      </c>
      <c r="F35" s="196"/>
      <c r="G35" s="35"/>
      <c r="I35" s="285" t="s">
        <v>1838</v>
      </c>
      <c r="J35" s="1105" t="str">
        <f>IF(Calc1!E279="None","not included in this calculation.",+IF(Calc1!E279="No.", "based on estimated traffic data.", "based on a detailed traffic survey."))</f>
        <v>based on estimated traffic data.</v>
      </c>
      <c r="K35" s="1106"/>
      <c r="L35" s="1107"/>
    </row>
    <row r="36" spans="2:12" ht="15" customHeight="1" x14ac:dyDescent="0.2">
      <c r="B36" s="230" t="s">
        <v>1093</v>
      </c>
      <c r="C36" s="267">
        <f>+J27+J31</f>
        <v>5434.4557358133088</v>
      </c>
      <c r="D36" s="669">
        <f>+K27+K31</f>
        <v>0.99999435546396465</v>
      </c>
      <c r="F36" s="647"/>
      <c r="G36" s="647"/>
      <c r="H36" s="647"/>
      <c r="I36" s="35"/>
      <c r="J36" s="285" t="s">
        <v>1303</v>
      </c>
      <c r="K36" s="758" t="str">
        <f>+IF(AND(Calc1!E19="Yes",Calc1!E18="Yes"),Calc1!G19,"N/A")</f>
        <v>N/A</v>
      </c>
      <c r="L36" s="287"/>
    </row>
    <row r="37" spans="2:12" ht="15" customHeight="1" x14ac:dyDescent="0.2"/>
    <row r="38" spans="2:12" ht="15" customHeight="1" x14ac:dyDescent="0.2"/>
    <row r="39" spans="2:12" ht="15" customHeight="1" x14ac:dyDescent="0.2">
      <c r="G39" s="35"/>
      <c r="H39" s="35"/>
      <c r="I39" s="196"/>
      <c r="J39" s="196"/>
      <c r="K39" s="196"/>
      <c r="L39" s="285"/>
    </row>
    <row r="40" spans="2:12" ht="15" customHeight="1" x14ac:dyDescent="0.2">
      <c r="G40" s="35"/>
      <c r="H40" s="35"/>
      <c r="I40" s="196"/>
      <c r="J40" s="196"/>
      <c r="K40" s="196"/>
      <c r="L40" s="285"/>
    </row>
    <row r="41" spans="2:12" ht="15" customHeight="1" x14ac:dyDescent="0.2">
      <c r="G41" s="35"/>
      <c r="H41" s="35"/>
      <c r="I41" s="196"/>
      <c r="J41" s="196"/>
      <c r="K41" s="196"/>
      <c r="L41" s="285"/>
    </row>
    <row r="42" spans="2:12" ht="15" customHeight="1" x14ac:dyDescent="0.2">
      <c r="G42" s="35"/>
      <c r="H42" s="35"/>
      <c r="I42" s="196"/>
      <c r="J42" s="196"/>
      <c r="K42" s="196"/>
      <c r="L42" s="285"/>
    </row>
    <row r="43" spans="2:12" ht="15" customHeight="1" x14ac:dyDescent="0.2">
      <c r="G43" s="35"/>
      <c r="H43" s="35"/>
      <c r="I43" s="196"/>
      <c r="J43" s="196"/>
      <c r="K43" s="196"/>
      <c r="L43" s="285"/>
    </row>
    <row r="44" spans="2:12" ht="15" customHeight="1" x14ac:dyDescent="0.2">
      <c r="G44" s="35"/>
      <c r="H44" s="35"/>
      <c r="I44" s="196"/>
      <c r="J44" s="196"/>
      <c r="K44" s="196"/>
      <c r="L44" s="285"/>
    </row>
    <row r="45" spans="2:12" ht="15" customHeight="1" x14ac:dyDescent="0.2">
      <c r="G45" s="35"/>
      <c r="H45" s="35"/>
      <c r="I45" s="196"/>
      <c r="J45" s="196"/>
      <c r="K45" s="196"/>
      <c r="L45" s="285"/>
    </row>
    <row r="46" spans="2:12" ht="15" customHeight="1" x14ac:dyDescent="0.2">
      <c r="G46" s="35"/>
      <c r="H46" s="35"/>
      <c r="I46" s="196"/>
      <c r="J46" s="196"/>
      <c r="K46" s="196"/>
      <c r="L46" s="285"/>
    </row>
    <row r="47" spans="2:12" ht="15" customHeight="1" x14ac:dyDescent="0.2">
      <c r="G47" s="35"/>
      <c r="H47" s="35"/>
      <c r="I47" s="196"/>
      <c r="J47" s="196"/>
      <c r="K47" s="196"/>
      <c r="L47" s="285"/>
    </row>
    <row r="48" spans="2:12" ht="15" customHeight="1" x14ac:dyDescent="0.2">
      <c r="G48" s="35"/>
      <c r="H48" s="35"/>
      <c r="I48" s="196"/>
      <c r="J48" s="196"/>
      <c r="K48" s="196"/>
      <c r="L48" s="285"/>
    </row>
    <row r="49" spans="2:12" ht="15" customHeight="1" x14ac:dyDescent="0.2">
      <c r="G49" s="35"/>
      <c r="H49" s="35"/>
      <c r="I49" s="196"/>
      <c r="J49" s="196"/>
      <c r="K49" s="196"/>
      <c r="L49" s="285"/>
    </row>
    <row r="50" spans="2:12" ht="15" customHeight="1" x14ac:dyDescent="0.2">
      <c r="B50" s="14"/>
      <c r="G50" s="35"/>
      <c r="H50" s="35"/>
      <c r="I50" s="196"/>
      <c r="J50" s="196"/>
      <c r="K50" s="196"/>
      <c r="L50" s="285"/>
    </row>
    <row r="51" spans="2:12" ht="15" customHeight="1" x14ac:dyDescent="0.2">
      <c r="B51" s="14"/>
      <c r="G51" s="35"/>
      <c r="H51" s="35"/>
      <c r="I51" s="196"/>
      <c r="J51" s="196"/>
      <c r="K51" s="196"/>
      <c r="L51" s="285"/>
    </row>
    <row r="52" spans="2:12" ht="15" customHeight="1" x14ac:dyDescent="0.2">
      <c r="B52" s="14"/>
      <c r="G52" s="35"/>
      <c r="H52" s="35"/>
      <c r="I52" s="196"/>
      <c r="J52" s="196"/>
      <c r="K52" s="196"/>
      <c r="L52" s="285"/>
    </row>
    <row r="53" spans="2:12" ht="15" customHeight="1" x14ac:dyDescent="0.2">
      <c r="B53" s="14"/>
      <c r="G53" s="35"/>
      <c r="H53" s="35"/>
      <c r="I53" s="196"/>
      <c r="J53" s="196"/>
      <c r="K53" s="196"/>
      <c r="L53" s="285"/>
    </row>
    <row r="54" spans="2:12" ht="15" customHeight="1" x14ac:dyDescent="0.2">
      <c r="B54" s="14"/>
      <c r="G54" s="35"/>
      <c r="H54" s="35"/>
      <c r="I54" s="196"/>
      <c r="J54" s="196"/>
      <c r="K54" s="196"/>
      <c r="L54" s="285"/>
    </row>
    <row r="55" spans="2:12" ht="15" customHeight="1" x14ac:dyDescent="0.2">
      <c r="B55" s="14"/>
      <c r="G55" s="35"/>
      <c r="H55" s="35"/>
      <c r="I55" s="196"/>
      <c r="J55" s="196"/>
      <c r="K55" s="196"/>
      <c r="L55" s="285"/>
    </row>
    <row r="56" spans="2:12" ht="15" customHeight="1" x14ac:dyDescent="0.2">
      <c r="B56" s="14"/>
      <c r="G56" s="35"/>
      <c r="H56" s="35"/>
      <c r="I56" s="196"/>
      <c r="J56" s="196"/>
      <c r="K56" s="196"/>
      <c r="L56" s="285"/>
    </row>
    <row r="57" spans="2:12" ht="15" customHeight="1" x14ac:dyDescent="0.2">
      <c r="B57" s="14"/>
      <c r="G57" s="35"/>
      <c r="H57" s="35"/>
      <c r="I57" s="196"/>
      <c r="J57" s="196"/>
      <c r="K57" s="196"/>
      <c r="L57" s="285"/>
    </row>
    <row r="58" spans="2:12" ht="15" customHeight="1" x14ac:dyDescent="0.2">
      <c r="B58" s="14"/>
      <c r="G58" s="35"/>
      <c r="H58" s="35"/>
      <c r="I58" s="196"/>
      <c r="J58" s="196"/>
      <c r="K58" s="196"/>
      <c r="L58" s="285"/>
    </row>
    <row r="59" spans="2:12" ht="15" customHeight="1" x14ac:dyDescent="0.2">
      <c r="B59" s="14"/>
      <c r="G59" s="35"/>
      <c r="H59" s="35"/>
      <c r="I59" s="196"/>
      <c r="J59" s="196"/>
      <c r="K59" s="196"/>
      <c r="L59" s="285"/>
    </row>
    <row r="60" spans="2:12" ht="15" customHeight="1" x14ac:dyDescent="0.2">
      <c r="B60" s="14"/>
      <c r="G60" s="35"/>
      <c r="H60" s="35"/>
      <c r="I60" s="196"/>
      <c r="J60" s="196"/>
      <c r="K60" s="196"/>
      <c r="L60" s="285"/>
    </row>
    <row r="61" spans="2:12" ht="15" customHeight="1" x14ac:dyDescent="0.2">
      <c r="B61" s="14"/>
      <c r="G61" s="35"/>
      <c r="H61" s="35"/>
      <c r="I61" s="196"/>
      <c r="J61" s="196"/>
      <c r="K61" s="196"/>
      <c r="L61" s="285"/>
    </row>
    <row r="62" spans="2:12" ht="15" customHeight="1" x14ac:dyDescent="0.2">
      <c r="B62" s="14"/>
      <c r="G62" s="35"/>
      <c r="H62" s="35"/>
      <c r="I62" s="196"/>
      <c r="J62" s="196"/>
      <c r="K62" s="196"/>
      <c r="L62" s="285"/>
    </row>
    <row r="63" spans="2:12" ht="15" customHeight="1" x14ac:dyDescent="0.2">
      <c r="B63" s="14"/>
      <c r="G63" s="35"/>
      <c r="H63" s="35"/>
      <c r="I63" s="196"/>
      <c r="J63" s="196"/>
      <c r="K63" s="196"/>
      <c r="L63" s="285"/>
    </row>
    <row r="64" spans="2:12" ht="15" customHeight="1" x14ac:dyDescent="0.2">
      <c r="B64" s="14"/>
      <c r="G64" s="35"/>
      <c r="H64" s="35"/>
      <c r="I64" s="196"/>
      <c r="J64" s="196"/>
      <c r="K64" s="196"/>
      <c r="L64" s="285"/>
    </row>
    <row r="65" spans="1:12" ht="15" customHeight="1" x14ac:dyDescent="0.2">
      <c r="B65" s="14"/>
      <c r="G65" s="35"/>
      <c r="H65" s="35"/>
      <c r="I65" s="196"/>
      <c r="J65" s="196"/>
      <c r="K65" s="196"/>
      <c r="L65" s="285"/>
    </row>
    <row r="66" spans="1:12" ht="15" customHeight="1" x14ac:dyDescent="0.2">
      <c r="B66" s="14"/>
      <c r="G66" s="35"/>
      <c r="H66" s="35"/>
      <c r="I66" s="196"/>
      <c r="J66" s="196"/>
      <c r="K66" s="196"/>
      <c r="L66" s="285"/>
    </row>
    <row r="67" spans="1:12" ht="15" customHeight="1" x14ac:dyDescent="0.2">
      <c r="B67" s="14"/>
      <c r="G67" s="35"/>
      <c r="H67" s="35"/>
      <c r="I67" s="196"/>
      <c r="J67" s="196"/>
      <c r="K67" s="196"/>
      <c r="L67" s="285"/>
    </row>
    <row r="68" spans="1:12" ht="15" customHeight="1" x14ac:dyDescent="0.2">
      <c r="G68" s="35"/>
      <c r="H68" s="35"/>
      <c r="I68" s="196"/>
      <c r="J68" s="196"/>
      <c r="K68" s="196"/>
      <c r="L68" s="285"/>
    </row>
    <row r="69" spans="1:12" ht="15" customHeight="1" x14ac:dyDescent="0.2">
      <c r="A69" s="793"/>
      <c r="B69" s="288"/>
      <c r="C69" s="288"/>
      <c r="D69" s="288"/>
      <c r="E69" s="288"/>
      <c r="F69" s="793"/>
      <c r="G69" s="797"/>
      <c r="H69" s="797"/>
      <c r="I69" s="196"/>
      <c r="J69" s="196"/>
      <c r="K69" s="196"/>
      <c r="L69" s="798"/>
    </row>
    <row r="70" spans="1:12" ht="15" customHeight="1" x14ac:dyDescent="0.2">
      <c r="A70" s="793"/>
      <c r="B70" s="508" t="s">
        <v>1839</v>
      </c>
      <c r="C70" s="508"/>
      <c r="D70" s="508"/>
      <c r="E70" s="508"/>
      <c r="F70" s="794"/>
      <c r="G70" s="796"/>
      <c r="H70" s="796"/>
      <c r="I70" s="291"/>
      <c r="J70" s="291"/>
      <c r="K70" s="291"/>
      <c r="L70" s="798"/>
    </row>
    <row r="71" spans="1:12" ht="15" customHeight="1" x14ac:dyDescent="0.2">
      <c r="A71" s="793"/>
      <c r="B71" s="791"/>
      <c r="C71" s="791"/>
      <c r="D71" s="791"/>
      <c r="E71" s="791"/>
      <c r="F71" s="794"/>
      <c r="G71" s="796"/>
      <c r="H71" s="796"/>
      <c r="I71" s="291"/>
      <c r="J71" s="291"/>
      <c r="K71" s="291"/>
      <c r="L71" s="798"/>
    </row>
    <row r="72" spans="1:12" ht="15" customHeight="1" x14ac:dyDescent="0.2">
      <c r="A72" s="793">
        <v>1</v>
      </c>
      <c r="B72" s="791" t="s">
        <v>1852</v>
      </c>
      <c r="C72" s="791"/>
      <c r="D72" s="791"/>
      <c r="E72" s="791"/>
      <c r="F72" s="794"/>
      <c r="G72" s="799" t="s">
        <v>1475</v>
      </c>
      <c r="H72" s="806">
        <f>+SUM(Calc1!C28:C31)</f>
        <v>5</v>
      </c>
      <c r="I72" s="291" t="s">
        <v>1853</v>
      </c>
      <c r="J72" s="291"/>
      <c r="K72" s="291"/>
      <c r="L72" s="798"/>
    </row>
    <row r="73" spans="1:12" ht="15" customHeight="1" x14ac:dyDescent="0.2">
      <c r="A73" s="793"/>
      <c r="B73" s="791"/>
      <c r="C73" s="791"/>
      <c r="D73" s="791"/>
      <c r="E73" s="791"/>
      <c r="F73" s="794"/>
      <c r="G73" s="800" t="s">
        <v>1476</v>
      </c>
      <c r="H73" s="807">
        <f>+SUM(Calc1!C179:C182)</f>
        <v>0</v>
      </c>
      <c r="I73" s="291" t="s">
        <v>1853</v>
      </c>
      <c r="J73" s="291"/>
      <c r="K73" s="291"/>
      <c r="L73" s="798"/>
    </row>
    <row r="74" spans="1:12" ht="15" customHeight="1" x14ac:dyDescent="0.2">
      <c r="A74" s="793"/>
      <c r="B74" s="792"/>
      <c r="C74" s="795"/>
      <c r="D74" s="794"/>
      <c r="E74" s="794"/>
      <c r="F74" s="796"/>
      <c r="G74" s="291"/>
      <c r="H74" s="291"/>
      <c r="I74" s="291"/>
      <c r="J74" s="291"/>
      <c r="K74" s="291"/>
      <c r="L74" s="798"/>
    </row>
    <row r="75" spans="1:12" ht="15" customHeight="1" x14ac:dyDescent="0.2">
      <c r="A75" s="793">
        <v>2</v>
      </c>
      <c r="B75" s="289" t="s">
        <v>1859</v>
      </c>
      <c r="C75" s="795"/>
      <c r="D75" s="794"/>
      <c r="E75" s="794"/>
      <c r="F75" s="796"/>
      <c r="G75" s="794" t="s">
        <v>1854</v>
      </c>
      <c r="H75" s="807">
        <f>+Input!C56+Input!C65</f>
        <v>10</v>
      </c>
      <c r="I75" s="864" t="str">
        <f>+Input!D52</f>
        <v>m3</v>
      </c>
      <c r="J75" s="291"/>
      <c r="K75" s="291"/>
      <c r="L75" s="798"/>
    </row>
    <row r="76" spans="1:12" ht="15" customHeight="1" x14ac:dyDescent="0.2">
      <c r="A76" s="793"/>
      <c r="B76" s="791"/>
      <c r="C76" s="791"/>
      <c r="D76" s="791"/>
      <c r="E76" s="791"/>
      <c r="F76" s="794"/>
      <c r="G76" s="796" t="s">
        <v>123</v>
      </c>
      <c r="H76" s="807">
        <f>+Input!E56+Input!E65</f>
        <v>0</v>
      </c>
      <c r="I76" s="291" t="s">
        <v>857</v>
      </c>
      <c r="J76" s="291"/>
      <c r="K76" s="291"/>
      <c r="L76" s="798"/>
    </row>
    <row r="77" spans="1:12" ht="15" customHeight="1" x14ac:dyDescent="0.2">
      <c r="A77" s="793"/>
      <c r="B77" s="791"/>
      <c r="C77" s="791"/>
      <c r="D77" s="791"/>
      <c r="E77" s="791"/>
      <c r="F77" s="794"/>
      <c r="G77" s="796" t="s">
        <v>191</v>
      </c>
      <c r="H77" s="807">
        <f>+Input!G56+Input!G65</f>
        <v>0</v>
      </c>
      <c r="I77" s="291" t="s">
        <v>13</v>
      </c>
      <c r="J77" s="291"/>
      <c r="K77" s="291"/>
      <c r="L77" s="798"/>
    </row>
    <row r="78" spans="1:12" ht="15" customHeight="1" x14ac:dyDescent="0.2">
      <c r="A78" s="793"/>
      <c r="B78" s="791"/>
      <c r="C78" s="791"/>
      <c r="D78" s="791"/>
      <c r="E78" s="791"/>
      <c r="F78" s="794"/>
      <c r="G78" s="796"/>
      <c r="H78" s="291"/>
      <c r="I78" s="291"/>
      <c r="J78" s="291"/>
      <c r="K78" s="291"/>
      <c r="L78" s="798"/>
    </row>
    <row r="79" spans="1:12" ht="15" customHeight="1" x14ac:dyDescent="0.2">
      <c r="A79" s="793">
        <v>3</v>
      </c>
      <c r="B79" s="791" t="s">
        <v>1858</v>
      </c>
      <c r="C79" s="791"/>
      <c r="D79" s="791"/>
      <c r="E79" s="791"/>
      <c r="F79" s="794"/>
      <c r="G79" s="796" t="s">
        <v>1855</v>
      </c>
      <c r="H79" s="808">
        <f>+Input!F69/1000</f>
        <v>5.0000000000000001E-3</v>
      </c>
      <c r="I79" s="291" t="s">
        <v>1857</v>
      </c>
      <c r="J79" s="291"/>
      <c r="K79" s="291"/>
      <c r="L79" s="798"/>
    </row>
    <row r="80" spans="1:12" ht="15" customHeight="1" x14ac:dyDescent="0.2">
      <c r="A80" s="793"/>
      <c r="B80" s="791"/>
      <c r="C80" s="791"/>
      <c r="D80" s="791"/>
      <c r="E80" s="791"/>
      <c r="F80" s="794"/>
      <c r="G80" s="796" t="s">
        <v>1856</v>
      </c>
      <c r="H80" s="808">
        <f>+(Input!F71+Input!F73+Input!F75)/1000</f>
        <v>0</v>
      </c>
      <c r="I80" s="291" t="s">
        <v>1857</v>
      </c>
      <c r="J80" s="291"/>
      <c r="K80" s="291"/>
      <c r="L80" s="798"/>
    </row>
    <row r="81" spans="1:12" ht="15" customHeight="1" x14ac:dyDescent="0.2">
      <c r="A81" s="793">
        <v>4</v>
      </c>
      <c r="B81" s="791" t="s">
        <v>1909</v>
      </c>
      <c r="C81" s="791"/>
      <c r="D81" s="791"/>
      <c r="E81" s="791"/>
      <c r="F81" s="794"/>
      <c r="G81" s="796"/>
      <c r="H81" s="1038" t="str">
        <f>+IF(Input!F71&lt;=Input!F69,"OK","Not OK")</f>
        <v>OK</v>
      </c>
      <c r="I81" s="291"/>
      <c r="J81" s="291"/>
      <c r="K81" s="291"/>
      <c r="L81" s="798"/>
    </row>
    <row r="82" spans="1:12" ht="15" customHeight="1" x14ac:dyDescent="0.2">
      <c r="A82" s="793"/>
      <c r="B82" s="791"/>
      <c r="C82" s="791"/>
      <c r="D82" s="791"/>
      <c r="E82" s="791"/>
      <c r="F82" s="794"/>
      <c r="G82" s="796"/>
      <c r="H82" s="291"/>
      <c r="I82" s="291"/>
      <c r="J82" s="291"/>
      <c r="K82" s="291"/>
      <c r="L82" s="798"/>
    </row>
    <row r="83" spans="1:12" ht="15" customHeight="1" x14ac:dyDescent="0.2">
      <c r="A83" s="793">
        <v>5</v>
      </c>
      <c r="B83" s="791" t="s">
        <v>1898</v>
      </c>
      <c r="C83" s="791"/>
      <c r="D83" s="791"/>
      <c r="E83" s="791"/>
      <c r="F83" s="794"/>
      <c r="H83" s="291"/>
      <c r="J83" s="291"/>
      <c r="K83" s="291"/>
      <c r="L83" s="798"/>
    </row>
    <row r="84" spans="1:12" ht="15" customHeight="1" x14ac:dyDescent="0.2">
      <c r="A84" s="793"/>
      <c r="B84" s="791"/>
      <c r="C84" s="791"/>
      <c r="D84" s="791"/>
      <c r="E84" s="792"/>
      <c r="F84" s="794"/>
      <c r="G84" s="800" t="s">
        <v>1920</v>
      </c>
      <c r="H84" s="809" t="str">
        <f>+IF(Input!H95=0," no aircraft data.",+IF(Input!H95=1," generic aircraft data."," detailed aircraft data."))</f>
        <v xml:space="preserve"> generic aircraft data.</v>
      </c>
      <c r="I84" s="811"/>
      <c r="J84" s="291"/>
      <c r="K84" s="291"/>
      <c r="L84" s="798"/>
    </row>
    <row r="85" spans="1:12" ht="15" customHeight="1" x14ac:dyDescent="0.2">
      <c r="A85" s="793"/>
      <c r="B85" s="791"/>
      <c r="C85" s="791"/>
      <c r="D85" s="791"/>
      <c r="E85" s="792"/>
      <c r="F85" s="794"/>
      <c r="G85" s="795" t="s">
        <v>1860</v>
      </c>
      <c r="H85" s="806">
        <f>+L2</f>
        <v>100</v>
      </c>
      <c r="I85" s="796" t="s">
        <v>1477</v>
      </c>
      <c r="J85" s="291"/>
      <c r="K85" s="291"/>
      <c r="L85" s="798"/>
    </row>
    <row r="86" spans="1:12" ht="15" customHeight="1" x14ac:dyDescent="0.2">
      <c r="A86" s="793"/>
      <c r="B86" s="791"/>
      <c r="C86" s="791"/>
      <c r="D86" s="791"/>
      <c r="E86" s="791"/>
      <c r="F86" s="794"/>
      <c r="G86" s="795" t="s">
        <v>1718</v>
      </c>
      <c r="H86" s="810">
        <f>+Calc1!I153</f>
        <v>100</v>
      </c>
      <c r="I86" s="796" t="s">
        <v>1477</v>
      </c>
      <c r="J86" s="291"/>
      <c r="K86" s="291"/>
      <c r="L86" s="798"/>
    </row>
    <row r="87" spans="1:12" ht="15" customHeight="1" x14ac:dyDescent="0.2">
      <c r="A87" s="793"/>
      <c r="B87" s="791"/>
      <c r="C87" s="791"/>
      <c r="D87" s="791"/>
      <c r="E87" s="791"/>
      <c r="F87" s="794"/>
      <c r="G87" s="796"/>
      <c r="H87" s="809" t="str">
        <f>+IF(Input!H95=0,"OK. No aircraft data required.",+IF(K193&lt;90%,"Too few aircraft movements entered.",+IF(K193&gt;110%,"Too many aircraft movements entered.","OK - number entered is within in 10%")))</f>
        <v>OK - number entered is within in 10%</v>
      </c>
      <c r="I87" s="812"/>
      <c r="J87" s="812"/>
      <c r="K87" s="811"/>
      <c r="L87" s="798"/>
    </row>
    <row r="88" spans="1:12" ht="15" customHeight="1" x14ac:dyDescent="0.2">
      <c r="A88" s="793"/>
      <c r="G88" s="794"/>
      <c r="H88" s="291"/>
      <c r="I88" s="291"/>
      <c r="J88" s="291"/>
      <c r="K88" s="800"/>
      <c r="L88" s="798"/>
    </row>
    <row r="89" spans="1:12" ht="15" customHeight="1" x14ac:dyDescent="0.2">
      <c r="A89" s="793">
        <v>6</v>
      </c>
      <c r="B89" s="288" t="s">
        <v>1861</v>
      </c>
      <c r="G89" s="848" t="s">
        <v>62</v>
      </c>
      <c r="H89" s="807">
        <f>IF(Input!$I$169="No.",+Input!E186,"Not required")</f>
        <v>100</v>
      </c>
      <c r="I89" s="291"/>
      <c r="J89" s="291"/>
      <c r="K89" s="800"/>
      <c r="L89" s="798"/>
    </row>
    <row r="90" spans="1:12" ht="15" customHeight="1" x14ac:dyDescent="0.2">
      <c r="A90" s="793"/>
      <c r="B90" s="792"/>
      <c r="C90" s="792"/>
      <c r="D90" s="792"/>
      <c r="E90" s="792"/>
      <c r="F90" s="792"/>
      <c r="G90" s="795" t="s">
        <v>1905</v>
      </c>
      <c r="H90" s="807">
        <f>IF(Input!$I$169="No.",+Input!E187,"Not required")</f>
        <v>1000</v>
      </c>
      <c r="I90" s="291"/>
      <c r="J90" s="291"/>
      <c r="K90" s="800"/>
      <c r="L90" s="798"/>
    </row>
    <row r="91" spans="1:12" ht="15" customHeight="1" x14ac:dyDescent="0.2">
      <c r="A91" s="793"/>
      <c r="B91" s="792"/>
      <c r="C91" s="792"/>
      <c r="D91" s="792"/>
      <c r="E91" s="792"/>
      <c r="F91" s="792"/>
      <c r="G91" s="795"/>
      <c r="H91" s="795"/>
      <c r="I91" s="291"/>
      <c r="J91" s="291"/>
      <c r="K91" s="800"/>
      <c r="L91" s="798"/>
    </row>
    <row r="92" spans="1:12" ht="15" customHeight="1" x14ac:dyDescent="0.2">
      <c r="A92" s="793">
        <v>7</v>
      </c>
      <c r="B92" s="289" t="s">
        <v>1862</v>
      </c>
      <c r="C92" s="792"/>
      <c r="D92" s="792"/>
      <c r="E92" s="792"/>
      <c r="F92" s="792"/>
      <c r="G92" s="794"/>
      <c r="H92" s="807">
        <f>IF(Input!$I$169="No.",+Input!E196*Input!E197,"Not required")</f>
        <v>40</v>
      </c>
      <c r="I92" s="291"/>
      <c r="J92" s="291"/>
      <c r="K92" s="800"/>
      <c r="L92" s="798"/>
    </row>
    <row r="93" spans="1:12" ht="15" customHeight="1" x14ac:dyDescent="0.2">
      <c r="A93" s="793"/>
      <c r="B93" s="792"/>
      <c r="C93" s="792"/>
      <c r="D93" s="792"/>
      <c r="E93" s="792"/>
      <c r="F93" s="792"/>
      <c r="G93" s="794"/>
      <c r="H93" s="291"/>
      <c r="I93" s="794"/>
      <c r="J93" s="291"/>
      <c r="K93" s="800"/>
      <c r="L93" s="798"/>
    </row>
    <row r="94" spans="1:12" ht="15" customHeight="1" x14ac:dyDescent="0.2">
      <c r="A94" s="793">
        <v>8</v>
      </c>
      <c r="B94" s="288" t="s">
        <v>1906</v>
      </c>
      <c r="C94" s="795"/>
      <c r="D94" s="793"/>
      <c r="E94" s="796"/>
      <c r="F94" s="807">
        <f>IF(Input!$I$169="No.",Input!G175,"Not required")</f>
        <v>30</v>
      </c>
      <c r="G94" s="796" t="s">
        <v>803</v>
      </c>
      <c r="H94" s="801"/>
      <c r="I94" s="291"/>
      <c r="J94" s="800"/>
      <c r="K94" s="793"/>
      <c r="L94" s="798"/>
    </row>
    <row r="95" spans="1:12" ht="15" customHeight="1" x14ac:dyDescent="0.2">
      <c r="A95" s="793"/>
      <c r="B95" s="288" t="s">
        <v>1907</v>
      </c>
      <c r="C95" s="795"/>
      <c r="F95" s="807" t="str">
        <f>IF(Input!$I$169="No.",Input!G178,"Not required")</f>
        <v>How I chose the vehicle travel distance?</v>
      </c>
      <c r="G95" s="812"/>
      <c r="H95" s="812"/>
      <c r="I95" s="812"/>
      <c r="J95" s="851"/>
      <c r="K95" s="793"/>
      <c r="L95" s="798"/>
    </row>
    <row r="96" spans="1:12" ht="15" customHeight="1" x14ac:dyDescent="0.2">
      <c r="A96" s="793"/>
      <c r="B96" s="289"/>
      <c r="C96" s="289"/>
      <c r="D96" s="794"/>
      <c r="E96" s="794"/>
      <c r="F96" s="796"/>
      <c r="G96" s="796"/>
      <c r="H96" s="291"/>
      <c r="I96" s="291"/>
      <c r="J96" s="291"/>
      <c r="K96" s="800"/>
      <c r="L96" s="798"/>
    </row>
    <row r="97" spans="1:12" ht="15" customHeight="1" x14ac:dyDescent="0.2">
      <c r="A97" s="793">
        <v>9</v>
      </c>
      <c r="B97" s="289" t="s">
        <v>1487</v>
      </c>
      <c r="C97" s="289"/>
      <c r="D97" s="793"/>
      <c r="E97" s="793"/>
      <c r="F97" s="796"/>
      <c r="G97" s="796"/>
      <c r="H97" s="291"/>
      <c r="I97" s="794"/>
      <c r="J97" s="794"/>
      <c r="K97" s="794"/>
      <c r="L97" s="798"/>
    </row>
    <row r="98" spans="1:12" ht="15" customHeight="1" x14ac:dyDescent="0.2">
      <c r="A98" s="793"/>
      <c r="B98" s="849"/>
      <c r="C98" s="849"/>
      <c r="D98" s="850"/>
      <c r="E98" s="849" t="s">
        <v>1138</v>
      </c>
      <c r="F98" s="802" t="str">
        <f>+Calc1!E17</f>
        <v>unconditionally</v>
      </c>
      <c r="G98" s="803"/>
      <c r="H98" s="803"/>
      <c r="I98" s="803"/>
      <c r="J98" s="803"/>
      <c r="K98" s="804"/>
      <c r="L98" s="798"/>
    </row>
    <row r="99" spans="1:12" ht="15.75" x14ac:dyDescent="0.25">
      <c r="C99" s="18"/>
      <c r="L99" s="19"/>
    </row>
    <row r="100" spans="1:12" ht="15.75" x14ac:dyDescent="0.25">
      <c r="C100" s="18"/>
      <c r="L100" s="35"/>
    </row>
    <row r="101" spans="1:12" ht="15.75" x14ac:dyDescent="0.25">
      <c r="C101" s="18"/>
      <c r="L101" s="35"/>
    </row>
    <row r="102" spans="1:12" ht="15.75" x14ac:dyDescent="0.25">
      <c r="C102" s="18"/>
      <c r="L102" s="35"/>
    </row>
    <row r="103" spans="1:12" x14ac:dyDescent="0.2">
      <c r="L103" s="35"/>
    </row>
    <row r="104" spans="1:12" x14ac:dyDescent="0.2">
      <c r="L104" s="35"/>
    </row>
    <row r="105" spans="1:12" x14ac:dyDescent="0.2">
      <c r="L105" s="35"/>
    </row>
    <row r="131" spans="2:5" x14ac:dyDescent="0.2">
      <c r="B131" s="14"/>
      <c r="D131" s="235"/>
      <c r="E131" s="235"/>
    </row>
    <row r="175" spans="1:12" x14ac:dyDescent="0.2">
      <c r="A175" s="737"/>
      <c r="B175" s="737"/>
      <c r="C175" s="737" t="s">
        <v>1672</v>
      </c>
      <c r="D175" s="737"/>
      <c r="E175" s="737"/>
      <c r="F175" s="737"/>
      <c r="G175" s="737"/>
      <c r="H175" s="737"/>
      <c r="I175" s="737"/>
      <c r="J175" s="737"/>
      <c r="K175" s="737"/>
      <c r="L175" s="737"/>
    </row>
    <row r="176" spans="1:12" x14ac:dyDescent="0.2">
      <c r="A176" s="737"/>
      <c r="B176" s="737"/>
      <c r="C176" s="737"/>
      <c r="D176" s="738"/>
      <c r="E176" s="738"/>
      <c r="F176" s="737"/>
      <c r="G176" s="737"/>
      <c r="H176" s="737"/>
      <c r="I176" s="737"/>
      <c r="J176" s="737"/>
      <c r="K176" s="737"/>
      <c r="L176" s="737"/>
    </row>
    <row r="177" spans="1:12" x14ac:dyDescent="0.2">
      <c r="A177" s="737"/>
      <c r="B177" s="737"/>
      <c r="C177" s="739" t="s">
        <v>1367</v>
      </c>
      <c r="D177" s="740"/>
      <c r="E177" s="740"/>
      <c r="F177" s="741"/>
      <c r="G177" s="739" t="s">
        <v>1369</v>
      </c>
      <c r="H177" s="741"/>
      <c r="I177" s="741"/>
      <c r="J177" s="742"/>
      <c r="K177" s="737"/>
      <c r="L177" s="737"/>
    </row>
    <row r="178" spans="1:12" x14ac:dyDescent="0.2">
      <c r="A178" s="737"/>
      <c r="B178" s="737"/>
      <c r="C178" s="743"/>
      <c r="D178" s="744" t="s">
        <v>1368</v>
      </c>
      <c r="E178" s="744"/>
      <c r="F178" s="745"/>
      <c r="G178" s="743"/>
      <c r="H178" s="745"/>
      <c r="I178" s="745"/>
      <c r="J178" s="746" t="s">
        <v>1368</v>
      </c>
      <c r="K178" s="737"/>
      <c r="L178" s="737"/>
    </row>
    <row r="179" spans="1:12" x14ac:dyDescent="0.2">
      <c r="A179" s="737"/>
      <c r="B179" s="737"/>
      <c r="C179" s="747" t="s">
        <v>138</v>
      </c>
      <c r="D179" s="748">
        <f t="shared" ref="D179:D185" si="5">+J7</f>
        <v>1.1807709999999999E-2</v>
      </c>
      <c r="E179" s="748"/>
      <c r="F179" s="745"/>
      <c r="G179" s="743"/>
      <c r="H179" s="745"/>
      <c r="I179" s="747" t="s">
        <v>1673</v>
      </c>
      <c r="J179" s="749">
        <f>+SUM(D179:D183)</f>
        <v>3.0502956879999998E-2</v>
      </c>
      <c r="K179" s="737"/>
      <c r="L179" s="737"/>
    </row>
    <row r="180" spans="1:12" x14ac:dyDescent="0.2">
      <c r="A180" s="737"/>
      <c r="B180" s="737"/>
      <c r="C180" s="747" t="s">
        <v>1719</v>
      </c>
      <c r="D180" s="748">
        <f t="shared" si="5"/>
        <v>1.8695246879999999E-2</v>
      </c>
      <c r="E180" s="748"/>
      <c r="F180" s="745"/>
      <c r="G180" s="743"/>
      <c r="H180" s="745"/>
      <c r="I180" s="747" t="s">
        <v>1674</v>
      </c>
      <c r="J180" s="749">
        <f>+SUM(D184:D185)</f>
        <v>1.721975E-4</v>
      </c>
      <c r="K180" s="737" t="s">
        <v>1741</v>
      </c>
      <c r="L180" s="750">
        <f>+SUM(J179:J180)</f>
        <v>3.0675154379999996E-2</v>
      </c>
    </row>
    <row r="181" spans="1:12" x14ac:dyDescent="0.2">
      <c r="A181" s="737"/>
      <c r="B181" s="737"/>
      <c r="C181" s="747" t="s">
        <v>139</v>
      </c>
      <c r="D181" s="748">
        <f t="shared" si="5"/>
        <v>0</v>
      </c>
      <c r="E181" s="748"/>
      <c r="F181" s="745"/>
      <c r="G181" s="743"/>
      <c r="H181" s="745"/>
      <c r="I181" s="747" t="s">
        <v>1706</v>
      </c>
      <c r="J181" s="749">
        <f>+D189</f>
        <v>306.52578891180002</v>
      </c>
      <c r="K181" s="737"/>
      <c r="L181" s="737"/>
    </row>
    <row r="182" spans="1:12" x14ac:dyDescent="0.2">
      <c r="A182" s="737"/>
      <c r="B182" s="737"/>
      <c r="C182" s="747" t="s">
        <v>140</v>
      </c>
      <c r="D182" s="748">
        <f t="shared" si="5"/>
        <v>0</v>
      </c>
      <c r="E182" s="748"/>
      <c r="F182" s="745"/>
      <c r="G182" s="743"/>
      <c r="H182" s="745"/>
      <c r="I182" s="747" t="s">
        <v>1720</v>
      </c>
      <c r="J182" s="749">
        <f>SUM(D190:D192)</f>
        <v>29.1687922845</v>
      </c>
      <c r="K182" s="737"/>
      <c r="L182" s="737"/>
    </row>
    <row r="183" spans="1:12" x14ac:dyDescent="0.2">
      <c r="A183" s="737"/>
      <c r="B183" s="737"/>
      <c r="C183" s="747" t="s">
        <v>1016</v>
      </c>
      <c r="D183" s="748">
        <f t="shared" si="5"/>
        <v>0</v>
      </c>
      <c r="E183" s="748"/>
      <c r="F183" s="745"/>
      <c r="G183" s="743"/>
      <c r="H183" s="745"/>
      <c r="I183" s="747" t="s">
        <v>142</v>
      </c>
      <c r="J183" s="749">
        <f>+D193</f>
        <v>0</v>
      </c>
      <c r="K183" s="737"/>
      <c r="L183" s="737"/>
    </row>
    <row r="184" spans="1:12" x14ac:dyDescent="0.2">
      <c r="A184" s="737"/>
      <c r="B184" s="737"/>
      <c r="C184" s="747" t="s">
        <v>1721</v>
      </c>
      <c r="D184" s="748">
        <f t="shared" si="5"/>
        <v>1.721975E-4</v>
      </c>
      <c r="E184" s="748"/>
      <c r="F184" s="745"/>
      <c r="G184" s="743"/>
      <c r="H184" s="745"/>
      <c r="I184" s="747" t="s">
        <v>1557</v>
      </c>
      <c r="J184" s="749">
        <f>+SUM(D194:D196)</f>
        <v>0</v>
      </c>
      <c r="K184" s="737"/>
      <c r="L184" s="737"/>
    </row>
    <row r="185" spans="1:12" x14ac:dyDescent="0.2">
      <c r="A185" s="737"/>
      <c r="B185" s="737"/>
      <c r="C185" s="747" t="s">
        <v>1722</v>
      </c>
      <c r="D185" s="748">
        <f t="shared" si="5"/>
        <v>0</v>
      </c>
      <c r="E185" s="748"/>
      <c r="F185" s="748"/>
      <c r="G185" s="743"/>
      <c r="H185" s="745"/>
      <c r="I185" s="747" t="s">
        <v>776</v>
      </c>
      <c r="J185" s="749">
        <f>+D199</f>
        <v>4606.7012231702547</v>
      </c>
      <c r="K185" s="737"/>
      <c r="L185" s="737"/>
    </row>
    <row r="186" spans="1:12" x14ac:dyDescent="0.2">
      <c r="A186" s="737"/>
      <c r="B186" s="737"/>
      <c r="C186" s="751"/>
      <c r="D186" s="752"/>
      <c r="E186" s="752"/>
      <c r="F186" s="752"/>
      <c r="G186" s="743"/>
      <c r="H186" s="745"/>
      <c r="I186" s="747" t="s">
        <v>1711</v>
      </c>
      <c r="J186" s="749">
        <f>+D200</f>
        <v>450.08900541369866</v>
      </c>
      <c r="K186" s="737"/>
      <c r="L186" s="737"/>
    </row>
    <row r="187" spans="1:12" x14ac:dyDescent="0.2">
      <c r="A187" s="737"/>
      <c r="B187" s="737"/>
      <c r="C187" s="737"/>
      <c r="D187" s="737"/>
      <c r="E187" s="737"/>
      <c r="F187" s="737"/>
      <c r="G187" s="751"/>
      <c r="H187" s="752"/>
      <c r="I187" s="753" t="s">
        <v>1488</v>
      </c>
      <c r="J187" s="754">
        <f>+SUM(D201:D203)</f>
        <v>41.970926033055157</v>
      </c>
      <c r="K187" s="737" t="s">
        <v>1742</v>
      </c>
      <c r="L187" s="750">
        <f>+SUM(J179:J187)</f>
        <v>5434.4864109676892</v>
      </c>
    </row>
    <row r="188" spans="1:12" x14ac:dyDescent="0.2">
      <c r="A188" s="737"/>
      <c r="B188" s="737"/>
      <c r="C188" s="737" t="s">
        <v>1370</v>
      </c>
      <c r="D188" s="737"/>
      <c r="E188" s="737"/>
      <c r="F188" s="737"/>
      <c r="G188" s="737"/>
      <c r="H188" s="737"/>
      <c r="I188" s="737"/>
      <c r="J188" s="737"/>
      <c r="K188" s="737"/>
      <c r="L188" s="737"/>
    </row>
    <row r="189" spans="1:12" x14ac:dyDescent="0.2">
      <c r="A189" s="737"/>
      <c r="B189" s="737"/>
      <c r="C189" s="755" t="str">
        <f t="shared" ref="C189:C200" si="6">+D15</f>
        <v>Aircraft (LTO &amp; taxi)</v>
      </c>
      <c r="D189" s="750">
        <f t="shared" ref="D189:D200" si="7">+J15</f>
        <v>306.52578891180002</v>
      </c>
      <c r="E189" s="750"/>
      <c r="F189" s="737"/>
      <c r="G189" s="737"/>
      <c r="H189" s="737"/>
      <c r="I189" s="737"/>
      <c r="J189" s="737"/>
      <c r="K189" s="737"/>
      <c r="L189" s="737"/>
    </row>
    <row r="190" spans="1:12" x14ac:dyDescent="0.2">
      <c r="A190" s="737"/>
      <c r="B190" s="737"/>
      <c r="C190" s="755" t="str">
        <f t="shared" si="6"/>
        <v>Aircraft APU</v>
      </c>
      <c r="D190" s="750">
        <f t="shared" si="7"/>
        <v>29.163861000000001</v>
      </c>
      <c r="E190" s="750"/>
      <c r="F190" s="737"/>
      <c r="G190" s="737"/>
      <c r="H190" s="737"/>
      <c r="I190" s="737"/>
      <c r="J190" s="737"/>
      <c r="K190" s="737"/>
      <c r="L190" s="737"/>
    </row>
    <row r="191" spans="1:12" x14ac:dyDescent="0.2">
      <c r="A191" s="737"/>
      <c r="B191" s="737"/>
      <c r="C191" s="755" t="str">
        <f t="shared" si="6"/>
        <v>Aircraft Engine Run-ups</v>
      </c>
      <c r="D191" s="750">
        <f t="shared" si="7"/>
        <v>4.9312844999999999E-3</v>
      </c>
      <c r="E191" s="750"/>
      <c r="F191" s="737"/>
      <c r="G191" s="737"/>
      <c r="H191" s="737"/>
      <c r="I191" s="737"/>
      <c r="J191" s="750"/>
      <c r="K191" s="737"/>
      <c r="L191" s="737"/>
    </row>
    <row r="192" spans="1:12" x14ac:dyDescent="0.2">
      <c r="A192" s="737"/>
      <c r="B192" s="737"/>
      <c r="C192" s="755" t="str">
        <f t="shared" si="6"/>
        <v>Aircraft De-icing</v>
      </c>
      <c r="D192" s="750">
        <f t="shared" si="7"/>
        <v>0</v>
      </c>
      <c r="E192" s="750"/>
      <c r="F192" s="737"/>
      <c r="G192" s="737"/>
      <c r="H192" s="737"/>
      <c r="I192" s="737"/>
      <c r="J192" s="737"/>
      <c r="K192" s="737"/>
      <c r="L192" s="737"/>
    </row>
    <row r="193" spans="1:12" x14ac:dyDescent="0.2">
      <c r="A193" s="737"/>
      <c r="B193" s="737"/>
      <c r="C193" s="755" t="str">
        <f t="shared" si="6"/>
        <v>Airside Vehicles</v>
      </c>
      <c r="D193" s="750">
        <f t="shared" si="7"/>
        <v>0</v>
      </c>
      <c r="E193" s="750"/>
      <c r="F193" s="737"/>
      <c r="G193" s="737"/>
      <c r="H193" s="737"/>
      <c r="I193" s="737"/>
      <c r="J193" s="737" t="s">
        <v>1908</v>
      </c>
      <c r="K193" s="805">
        <f>H86/H85</f>
        <v>1</v>
      </c>
      <c r="L193" s="737"/>
    </row>
    <row r="194" spans="1:12" x14ac:dyDescent="0.2">
      <c r="A194" s="737"/>
      <c r="B194" s="737"/>
      <c r="C194" s="755" t="str">
        <f t="shared" si="6"/>
        <v>Buildings (gas/oil/coal)</v>
      </c>
      <c r="D194" s="750">
        <f t="shared" si="7"/>
        <v>0</v>
      </c>
      <c r="E194" s="750"/>
      <c r="F194" s="737"/>
      <c r="G194" s="737"/>
      <c r="H194" s="737"/>
      <c r="I194" s="737"/>
      <c r="J194" s="737"/>
      <c r="K194" s="737"/>
      <c r="L194" s="737"/>
    </row>
    <row r="195" spans="1:12" x14ac:dyDescent="0.2">
      <c r="A195" s="737"/>
      <c r="B195" s="737"/>
      <c r="C195" s="755" t="str">
        <f t="shared" si="6"/>
        <v>Electricity Purchase</v>
      </c>
      <c r="D195" s="750">
        <f t="shared" si="7"/>
        <v>0</v>
      </c>
      <c r="E195" s="750"/>
      <c r="F195" s="737"/>
      <c r="G195" s="737"/>
      <c r="H195" s="737"/>
      <c r="I195" s="737"/>
      <c r="J195" s="737"/>
      <c r="K195" s="737"/>
      <c r="L195" s="737"/>
    </row>
    <row r="196" spans="1:12" x14ac:dyDescent="0.2">
      <c r="A196" s="737"/>
      <c r="B196" s="737"/>
      <c r="C196" s="755" t="str">
        <f t="shared" si="6"/>
        <v>Heat Purchase</v>
      </c>
      <c r="D196" s="750">
        <f t="shared" si="7"/>
        <v>0</v>
      </c>
      <c r="E196" s="750"/>
      <c r="F196" s="737"/>
      <c r="G196" s="737"/>
      <c r="H196" s="737"/>
      <c r="I196" s="737"/>
      <c r="J196" s="737"/>
      <c r="K196" s="737"/>
      <c r="L196" s="737"/>
    </row>
    <row r="197" spans="1:12" x14ac:dyDescent="0.2">
      <c r="A197" s="737"/>
      <c r="B197" s="737"/>
      <c r="C197" s="755" t="str">
        <f t="shared" si="6"/>
        <v>Fire Training</v>
      </c>
      <c r="D197" s="750">
        <f t="shared" si="7"/>
        <v>0</v>
      </c>
      <c r="E197" s="750"/>
      <c r="F197" s="737"/>
      <c r="G197" s="737"/>
      <c r="H197" s="737"/>
      <c r="I197" s="737"/>
      <c r="J197" s="737"/>
      <c r="K197" s="737"/>
      <c r="L197" s="737"/>
    </row>
    <row r="198" spans="1:12" x14ac:dyDescent="0.2">
      <c r="A198" s="737"/>
      <c r="B198" s="737"/>
      <c r="C198" s="755" t="str">
        <f t="shared" si="6"/>
        <v>Emergency Generator</v>
      </c>
      <c r="D198" s="750">
        <f t="shared" si="7"/>
        <v>0</v>
      </c>
      <c r="E198" s="750"/>
      <c r="F198" s="737"/>
      <c r="G198" s="737"/>
      <c r="H198" s="737"/>
      <c r="I198" s="737"/>
      <c r="J198" s="737"/>
      <c r="K198" s="737"/>
      <c r="L198" s="737"/>
    </row>
    <row r="199" spans="1:12" x14ac:dyDescent="0.2">
      <c r="A199" s="737"/>
      <c r="B199" s="737"/>
      <c r="C199" s="755" t="str">
        <f t="shared" si="6"/>
        <v>Landside Vehicles</v>
      </c>
      <c r="D199" s="750">
        <f t="shared" si="7"/>
        <v>4606.7012231702547</v>
      </c>
      <c r="E199" s="750"/>
      <c r="F199" s="737"/>
      <c r="G199" s="737"/>
      <c r="H199" s="737"/>
      <c r="I199" s="737"/>
      <c r="J199" s="737"/>
      <c r="K199" s="737"/>
      <c r="L199" s="737"/>
    </row>
    <row r="200" spans="1:12" x14ac:dyDescent="0.2">
      <c r="A200" s="737"/>
      <c r="B200" s="737"/>
      <c r="C200" s="755" t="str">
        <f t="shared" si="6"/>
        <v>Employee Vehicles</v>
      </c>
      <c r="D200" s="750">
        <f t="shared" si="7"/>
        <v>450.08900541369866</v>
      </c>
      <c r="E200" s="750"/>
      <c r="F200" s="737"/>
      <c r="G200" s="737"/>
      <c r="H200" s="737"/>
      <c r="I200" s="737"/>
      <c r="J200" s="737"/>
      <c r="K200" s="737"/>
      <c r="L200" s="737"/>
    </row>
    <row r="201" spans="1:12" x14ac:dyDescent="0.2">
      <c r="A201" s="737"/>
      <c r="B201" s="737"/>
      <c r="C201" s="755" t="s">
        <v>1488</v>
      </c>
      <c r="D201" s="750">
        <f>+J28</f>
        <v>0.44295884942684938</v>
      </c>
      <c r="E201" s="750"/>
      <c r="F201" s="737"/>
      <c r="G201" s="737"/>
      <c r="H201" s="737"/>
      <c r="I201" s="737"/>
      <c r="J201" s="737"/>
      <c r="K201" s="737"/>
      <c r="L201" s="737"/>
    </row>
    <row r="202" spans="1:12" x14ac:dyDescent="0.2">
      <c r="A202" s="737"/>
      <c r="B202" s="756"/>
      <c r="C202" s="755" t="s">
        <v>183</v>
      </c>
      <c r="D202" s="750">
        <f t="shared" ref="D202:D203" si="8">+J29</f>
        <v>39.282571329523805</v>
      </c>
      <c r="E202" s="737"/>
      <c r="F202" s="737"/>
      <c r="G202" s="737"/>
      <c r="H202" s="737"/>
      <c r="I202" s="737"/>
      <c r="J202" s="737"/>
      <c r="K202" s="737"/>
      <c r="L202" s="737"/>
    </row>
    <row r="203" spans="1:12" x14ac:dyDescent="0.2">
      <c r="A203" s="737"/>
      <c r="B203" s="756"/>
      <c r="C203" s="755" t="s">
        <v>1588</v>
      </c>
      <c r="D203" s="750">
        <f t="shared" si="8"/>
        <v>2.2453958541045003</v>
      </c>
      <c r="E203" s="737"/>
      <c r="F203" s="737"/>
      <c r="G203" s="737"/>
      <c r="H203" s="737"/>
      <c r="I203" s="737"/>
      <c r="J203" s="737"/>
      <c r="K203" s="737"/>
      <c r="L203" s="737"/>
    </row>
  </sheetData>
  <sheetProtection formatCells="0"/>
  <mergeCells count="16">
    <mergeCell ref="J35:L35"/>
    <mergeCell ref="J34:L34"/>
    <mergeCell ref="B1:F1"/>
    <mergeCell ref="B7:B13"/>
    <mergeCell ref="B15:B26"/>
    <mergeCell ref="G5:J5"/>
    <mergeCell ref="B28:B30"/>
    <mergeCell ref="C28:C30"/>
    <mergeCell ref="D9:E9"/>
    <mergeCell ref="D11:E11"/>
    <mergeCell ref="D16:E16"/>
    <mergeCell ref="D23:E23"/>
    <mergeCell ref="C6:E6"/>
    <mergeCell ref="D28:E28"/>
    <mergeCell ref="D29:E29"/>
    <mergeCell ref="D30:E30"/>
  </mergeCells>
  <phoneticPr fontId="5" type="noConversion"/>
  <printOptions horizontalCentered="1"/>
  <pageMargins left="0.23622047244094491" right="0.23622047244094491" top="0.43307086614173229" bottom="0.59055118110236227" header="0.31496062992125984" footer="0.31496062992125984"/>
  <pageSetup paperSize="9" fitToHeight="0" orientation="landscape" r:id="rId1"/>
  <headerFooter alignWithMargins="0">
    <oddFooter>&amp;L&amp;"Gill Sans MT,Regular"&amp;9Printed &amp;D&amp;C&amp;"Gill Sans MT,Regular"&amp;P of &amp;N&amp;R&amp;"Gill Sans MT,Regular"&amp;9Spreadsheet designed by EBA on behalf of Transport Canada</oddFooter>
  </headerFooter>
  <rowBreaks count="1" manualBreakCount="1">
    <brk id="98" max="11"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85"/>
  <sheetViews>
    <sheetView zoomScale="90" zoomScaleNormal="90" workbookViewId="0">
      <selection activeCell="A2" sqref="A2"/>
    </sheetView>
  </sheetViews>
  <sheetFormatPr defaultColWidth="9.140625" defaultRowHeight="12.75" x14ac:dyDescent="0.2"/>
  <cols>
    <col min="1" max="1" width="15.140625" style="300" customWidth="1"/>
    <col min="2" max="2" width="57.5703125" style="300" customWidth="1"/>
  </cols>
  <sheetData>
    <row r="1" spans="1:2" ht="18" x14ac:dyDescent="0.2">
      <c r="A1" s="297" t="s">
        <v>1430</v>
      </c>
      <c r="B1" s="298"/>
    </row>
    <row r="2" spans="1:2" s="300" customFormat="1" ht="15" customHeight="1" x14ac:dyDescent="0.2">
      <c r="A2" s="299" t="s">
        <v>1485</v>
      </c>
      <c r="B2" s="298" t="s">
        <v>1486</v>
      </c>
    </row>
    <row r="3" spans="1:2" s="300" customFormat="1" ht="15" customHeight="1" x14ac:dyDescent="0.2">
      <c r="A3" s="528" t="s">
        <v>814</v>
      </c>
      <c r="B3" s="528" t="s">
        <v>1435</v>
      </c>
    </row>
    <row r="4" spans="1:2" s="300" customFormat="1" ht="15" customHeight="1" x14ac:dyDescent="0.2">
      <c r="A4" s="528" t="s">
        <v>1433</v>
      </c>
      <c r="B4" s="528" t="s">
        <v>1434</v>
      </c>
    </row>
    <row r="5" spans="1:2" s="300" customFormat="1" ht="15" customHeight="1" x14ac:dyDescent="0.2">
      <c r="A5" s="528" t="s">
        <v>1431</v>
      </c>
      <c r="B5" s="528" t="s">
        <v>1432</v>
      </c>
    </row>
    <row r="6" spans="1:2" s="300" customFormat="1" ht="15" customHeight="1" x14ac:dyDescent="0.2">
      <c r="A6" s="528" t="s">
        <v>99</v>
      </c>
      <c r="B6" s="528" t="s">
        <v>1436</v>
      </c>
    </row>
    <row r="7" spans="1:2" s="300" customFormat="1" ht="15" customHeight="1" x14ac:dyDescent="0.2">
      <c r="A7" s="528" t="s">
        <v>1437</v>
      </c>
      <c r="B7" s="528" t="s">
        <v>1438</v>
      </c>
    </row>
    <row r="8" spans="1:2" s="300" customFormat="1" ht="15" customHeight="1" x14ac:dyDescent="0.2">
      <c r="A8" s="528" t="s">
        <v>17</v>
      </c>
      <c r="B8" s="528" t="s">
        <v>1439</v>
      </c>
    </row>
    <row r="9" spans="1:2" s="300" customFormat="1" ht="15" customHeight="1" x14ac:dyDescent="0.2">
      <c r="A9" s="528" t="s">
        <v>698</v>
      </c>
      <c r="B9" s="528" t="s">
        <v>1440</v>
      </c>
    </row>
    <row r="10" spans="1:2" s="300" customFormat="1" ht="15" customHeight="1" x14ac:dyDescent="0.2">
      <c r="A10" s="528" t="s">
        <v>194</v>
      </c>
      <c r="B10" s="528" t="s">
        <v>1441</v>
      </c>
    </row>
    <row r="11" spans="1:2" s="300" customFormat="1" ht="15" customHeight="1" x14ac:dyDescent="0.2">
      <c r="A11" s="528" t="s">
        <v>16</v>
      </c>
      <c r="B11" s="528" t="s">
        <v>1442</v>
      </c>
    </row>
    <row r="12" spans="1:2" s="300" customFormat="1" ht="15" customHeight="1" x14ac:dyDescent="0.2">
      <c r="A12" s="528" t="s">
        <v>1515</v>
      </c>
      <c r="B12" s="528" t="s">
        <v>1686</v>
      </c>
    </row>
    <row r="13" spans="1:2" s="300" customFormat="1" ht="15" customHeight="1" x14ac:dyDescent="0.2">
      <c r="A13" s="528" t="s">
        <v>1662</v>
      </c>
      <c r="B13" s="528" t="s">
        <v>1663</v>
      </c>
    </row>
    <row r="14" spans="1:2" s="300" customFormat="1" ht="15" customHeight="1" x14ac:dyDescent="0.2">
      <c r="A14" s="528" t="s">
        <v>1445</v>
      </c>
      <c r="B14" s="528" t="s">
        <v>1446</v>
      </c>
    </row>
    <row r="15" spans="1:2" s="300" customFormat="1" ht="15" customHeight="1" x14ac:dyDescent="0.2">
      <c r="A15" s="528" t="s">
        <v>1443</v>
      </c>
      <c r="B15" s="528" t="s">
        <v>1444</v>
      </c>
    </row>
    <row r="16" spans="1:2" s="300" customFormat="1" ht="15" customHeight="1" x14ac:dyDescent="0.2">
      <c r="A16" s="528" t="s">
        <v>1447</v>
      </c>
      <c r="B16" s="528" t="s">
        <v>1448</v>
      </c>
    </row>
    <row r="17" spans="1:2" s="300" customFormat="1" ht="15" customHeight="1" x14ac:dyDescent="0.2">
      <c r="A17" s="528" t="s">
        <v>1471</v>
      </c>
      <c r="B17" s="528" t="s">
        <v>1472</v>
      </c>
    </row>
    <row r="18" spans="1:2" s="300" customFormat="1" ht="15" customHeight="1" x14ac:dyDescent="0.2">
      <c r="A18" s="528" t="s">
        <v>1449</v>
      </c>
      <c r="B18" s="528" t="s">
        <v>1450</v>
      </c>
    </row>
    <row r="19" spans="1:2" s="300" customFormat="1" ht="15" customHeight="1" x14ac:dyDescent="0.2">
      <c r="A19" s="528" t="s">
        <v>1451</v>
      </c>
      <c r="B19" s="528" t="s">
        <v>1452</v>
      </c>
    </row>
    <row r="20" spans="1:2" s="300" customFormat="1" ht="15" customHeight="1" x14ac:dyDescent="0.2">
      <c r="A20" s="528" t="s">
        <v>120</v>
      </c>
      <c r="B20" s="528" t="s">
        <v>1453</v>
      </c>
    </row>
    <row r="21" spans="1:2" s="300" customFormat="1" ht="15" customHeight="1" x14ac:dyDescent="0.2">
      <c r="A21" s="528" t="s">
        <v>815</v>
      </c>
      <c r="B21" s="528" t="s">
        <v>1454</v>
      </c>
    </row>
    <row r="22" spans="1:2" s="300" customFormat="1" ht="15" customHeight="1" x14ac:dyDescent="0.2">
      <c r="A22" s="528" t="s">
        <v>1455</v>
      </c>
      <c r="B22" s="528" t="s">
        <v>1456</v>
      </c>
    </row>
    <row r="23" spans="1:2" s="300" customFormat="1" ht="15" customHeight="1" x14ac:dyDescent="0.2">
      <c r="A23" s="528" t="s">
        <v>697</v>
      </c>
      <c r="B23" s="528" t="s">
        <v>1489</v>
      </c>
    </row>
    <row r="24" spans="1:2" s="300" customFormat="1" ht="15" customHeight="1" x14ac:dyDescent="0.2">
      <c r="A24" s="528" t="s">
        <v>1694</v>
      </c>
      <c r="B24" s="528" t="s">
        <v>1695</v>
      </c>
    </row>
    <row r="25" spans="1:2" s="300" customFormat="1" ht="15" customHeight="1" x14ac:dyDescent="0.2">
      <c r="A25" s="528" t="s">
        <v>696</v>
      </c>
      <c r="B25" s="528" t="s">
        <v>1469</v>
      </c>
    </row>
    <row r="26" spans="1:2" s="300" customFormat="1" ht="15" customHeight="1" x14ac:dyDescent="0.2">
      <c r="A26" s="528" t="s">
        <v>1457</v>
      </c>
      <c r="B26" s="528" t="s">
        <v>1458</v>
      </c>
    </row>
    <row r="27" spans="1:2" s="300" customFormat="1" ht="15" customHeight="1" x14ac:dyDescent="0.2">
      <c r="A27" s="528" t="s">
        <v>1460</v>
      </c>
      <c r="B27" s="528" t="s">
        <v>1461</v>
      </c>
    </row>
    <row r="28" spans="1:2" s="300" customFormat="1" ht="15" customHeight="1" x14ac:dyDescent="0.2">
      <c r="A28" s="528" t="s">
        <v>695</v>
      </c>
      <c r="B28" s="528" t="s">
        <v>1459</v>
      </c>
    </row>
    <row r="29" spans="1:2" s="300" customFormat="1" ht="15" customHeight="1" x14ac:dyDescent="0.2">
      <c r="A29" s="528" t="s">
        <v>1462</v>
      </c>
      <c r="B29" s="528" t="s">
        <v>1463</v>
      </c>
    </row>
    <row r="30" spans="1:2" s="300" customFormat="1" ht="15" customHeight="1" x14ac:dyDescent="0.2">
      <c r="A30" s="528" t="s">
        <v>1670</v>
      </c>
      <c r="B30" s="528" t="s">
        <v>1671</v>
      </c>
    </row>
    <row r="31" spans="1:2" s="300" customFormat="1" ht="15" customHeight="1" x14ac:dyDescent="0.2">
      <c r="A31" s="528" t="s">
        <v>789</v>
      </c>
      <c r="B31" s="528" t="s">
        <v>1464</v>
      </c>
    </row>
    <row r="32" spans="1:2" s="300" customFormat="1" ht="15" customHeight="1" x14ac:dyDescent="0.2">
      <c r="A32" s="528" t="s">
        <v>1516</v>
      </c>
      <c r="B32" s="528" t="s">
        <v>1517</v>
      </c>
    </row>
    <row r="33" spans="1:2" s="300" customFormat="1" ht="15" customHeight="1" x14ac:dyDescent="0.2">
      <c r="A33" s="528" t="s">
        <v>1490</v>
      </c>
      <c r="B33" s="528" t="s">
        <v>1491</v>
      </c>
    </row>
    <row r="34" spans="1:2" s="300" customFormat="1" ht="15" customHeight="1" x14ac:dyDescent="0.2">
      <c r="A34" s="528" t="s">
        <v>195</v>
      </c>
      <c r="B34" s="528" t="s">
        <v>1690</v>
      </c>
    </row>
    <row r="35" spans="1:2" s="300" customFormat="1" ht="15" customHeight="1" x14ac:dyDescent="0.2">
      <c r="A35" s="528" t="s">
        <v>1518</v>
      </c>
      <c r="B35" s="528" t="s">
        <v>1687</v>
      </c>
    </row>
    <row r="36" spans="1:2" s="300" customFormat="1" ht="15" customHeight="1" x14ac:dyDescent="0.2">
      <c r="A36" s="528" t="s">
        <v>1689</v>
      </c>
      <c r="B36" s="528" t="s">
        <v>1688</v>
      </c>
    </row>
    <row r="37" spans="1:2" s="300" customFormat="1" ht="15" customHeight="1" x14ac:dyDescent="0.2">
      <c r="A37" s="528" t="s">
        <v>1660</v>
      </c>
      <c r="B37" s="528" t="s">
        <v>1661</v>
      </c>
    </row>
    <row r="38" spans="1:2" s="300" customFormat="1" ht="15" customHeight="1" x14ac:dyDescent="0.2">
      <c r="A38" s="528" t="s">
        <v>1519</v>
      </c>
      <c r="B38" s="528" t="s">
        <v>1465</v>
      </c>
    </row>
    <row r="39" spans="1:2" s="300" customFormat="1" ht="15" customHeight="1" x14ac:dyDescent="0.2">
      <c r="A39" s="528" t="s">
        <v>1473</v>
      </c>
      <c r="B39" s="528" t="s">
        <v>1474</v>
      </c>
    </row>
    <row r="40" spans="1:2" s="300" customFormat="1" ht="15" customHeight="1" x14ac:dyDescent="0.2">
      <c r="A40" s="528" t="s">
        <v>1466</v>
      </c>
      <c r="B40" s="528" t="s">
        <v>1467</v>
      </c>
    </row>
    <row r="41" spans="1:2" s="300" customFormat="1" ht="15" customHeight="1" x14ac:dyDescent="0.2">
      <c r="A41" s="528" t="s">
        <v>1492</v>
      </c>
      <c r="B41" s="528" t="s">
        <v>1493</v>
      </c>
    </row>
    <row r="42" spans="1:2" s="300" customFormat="1" ht="15" customHeight="1" x14ac:dyDescent="0.2">
      <c r="A42" s="528" t="s">
        <v>180</v>
      </c>
      <c r="B42" s="528" t="s">
        <v>1468</v>
      </c>
    </row>
    <row r="43" spans="1:2" s="300" customFormat="1" x14ac:dyDescent="0.2">
      <c r="A43" s="631" t="s">
        <v>1945</v>
      </c>
      <c r="B43" s="632" t="s">
        <v>1946</v>
      </c>
    </row>
    <row r="44" spans="1:2" x14ac:dyDescent="0.2">
      <c r="A44" s="632"/>
      <c r="B44" s="632"/>
    </row>
    <row r="45" spans="1:2" x14ac:dyDescent="0.2">
      <c r="A45" s="632"/>
      <c r="B45" s="632"/>
    </row>
    <row r="46" spans="1:2" x14ac:dyDescent="0.2">
      <c r="A46" s="632"/>
      <c r="B46" s="632"/>
    </row>
    <row r="47" spans="1:2" x14ac:dyDescent="0.2">
      <c r="A47" s="632"/>
      <c r="B47" s="632"/>
    </row>
    <row r="48" spans="1:2" x14ac:dyDescent="0.2">
      <c r="A48" s="632"/>
      <c r="B48" s="632"/>
    </row>
    <row r="49" spans="1:2" x14ac:dyDescent="0.2">
      <c r="A49" s="632"/>
      <c r="B49" s="632"/>
    </row>
    <row r="50" spans="1:2" x14ac:dyDescent="0.2">
      <c r="A50" s="632"/>
      <c r="B50" s="632"/>
    </row>
    <row r="51" spans="1:2" x14ac:dyDescent="0.2">
      <c r="A51" s="632"/>
      <c r="B51" s="632"/>
    </row>
    <row r="52" spans="1:2" x14ac:dyDescent="0.2">
      <c r="A52" s="632"/>
      <c r="B52" s="632"/>
    </row>
    <row r="53" spans="1:2" x14ac:dyDescent="0.2">
      <c r="A53" s="632"/>
      <c r="B53" s="632"/>
    </row>
    <row r="54" spans="1:2" x14ac:dyDescent="0.2">
      <c r="A54" s="632"/>
      <c r="B54" s="632"/>
    </row>
    <row r="55" spans="1:2" x14ac:dyDescent="0.2">
      <c r="A55" s="632"/>
      <c r="B55" s="632"/>
    </row>
    <row r="56" spans="1:2" x14ac:dyDescent="0.2">
      <c r="A56" s="632"/>
      <c r="B56" s="632"/>
    </row>
    <row r="57" spans="1:2" x14ac:dyDescent="0.2">
      <c r="A57" s="632"/>
      <c r="B57" s="632"/>
    </row>
    <row r="58" spans="1:2" x14ac:dyDescent="0.2">
      <c r="A58" s="632"/>
      <c r="B58" s="632"/>
    </row>
    <row r="59" spans="1:2" x14ac:dyDescent="0.2">
      <c r="A59" s="632"/>
      <c r="B59" s="632"/>
    </row>
    <row r="60" spans="1:2" x14ac:dyDescent="0.2">
      <c r="A60" s="632"/>
      <c r="B60" s="632"/>
    </row>
    <row r="61" spans="1:2" x14ac:dyDescent="0.2">
      <c r="A61" s="632"/>
      <c r="B61" s="632"/>
    </row>
    <row r="62" spans="1:2" x14ac:dyDescent="0.2">
      <c r="A62" s="632"/>
      <c r="B62" s="632"/>
    </row>
    <row r="63" spans="1:2" x14ac:dyDescent="0.2">
      <c r="A63" s="632"/>
      <c r="B63" s="632"/>
    </row>
    <row r="64" spans="1:2" x14ac:dyDescent="0.2">
      <c r="A64" s="632"/>
      <c r="B64" s="632"/>
    </row>
    <row r="65" spans="1:2" x14ac:dyDescent="0.2">
      <c r="A65" s="632"/>
      <c r="B65" s="632"/>
    </row>
    <row r="66" spans="1:2" x14ac:dyDescent="0.2">
      <c r="A66" s="632"/>
      <c r="B66" s="632"/>
    </row>
    <row r="67" spans="1:2" x14ac:dyDescent="0.2">
      <c r="A67" s="632"/>
      <c r="B67" s="632"/>
    </row>
    <row r="68" spans="1:2" x14ac:dyDescent="0.2">
      <c r="A68" s="632"/>
      <c r="B68" s="632"/>
    </row>
    <row r="69" spans="1:2" x14ac:dyDescent="0.2">
      <c r="A69" s="632"/>
      <c r="B69" s="632"/>
    </row>
    <row r="70" spans="1:2" x14ac:dyDescent="0.2">
      <c r="A70" s="632"/>
      <c r="B70" s="632"/>
    </row>
    <row r="71" spans="1:2" x14ac:dyDescent="0.2">
      <c r="A71" s="632"/>
      <c r="B71" s="632"/>
    </row>
    <row r="72" spans="1:2" x14ac:dyDescent="0.2">
      <c r="A72" s="632"/>
      <c r="B72" s="632"/>
    </row>
    <row r="73" spans="1:2" x14ac:dyDescent="0.2">
      <c r="A73" s="632"/>
      <c r="B73" s="632"/>
    </row>
    <row r="74" spans="1:2" x14ac:dyDescent="0.2">
      <c r="A74" s="632"/>
      <c r="B74" s="632"/>
    </row>
    <row r="75" spans="1:2" x14ac:dyDescent="0.2">
      <c r="A75" s="632"/>
      <c r="B75" s="632"/>
    </row>
    <row r="76" spans="1:2" x14ac:dyDescent="0.2">
      <c r="A76" s="632"/>
      <c r="B76" s="632"/>
    </row>
    <row r="77" spans="1:2" x14ac:dyDescent="0.2">
      <c r="A77" s="632"/>
      <c r="B77" s="632"/>
    </row>
    <row r="78" spans="1:2" x14ac:dyDescent="0.2">
      <c r="A78" s="632"/>
      <c r="B78" s="632"/>
    </row>
    <row r="79" spans="1:2" x14ac:dyDescent="0.2">
      <c r="A79" s="632"/>
      <c r="B79" s="632"/>
    </row>
    <row r="80" spans="1:2" x14ac:dyDescent="0.2">
      <c r="A80" s="632"/>
      <c r="B80" s="632"/>
    </row>
    <row r="81" spans="1:2" x14ac:dyDescent="0.2">
      <c r="A81" s="632"/>
      <c r="B81" s="632"/>
    </row>
    <row r="82" spans="1:2" x14ac:dyDescent="0.2">
      <c r="A82" s="632"/>
      <c r="B82" s="632"/>
    </row>
    <row r="83" spans="1:2" x14ac:dyDescent="0.2">
      <c r="A83" s="632"/>
      <c r="B83" s="632"/>
    </row>
    <row r="84" spans="1:2" x14ac:dyDescent="0.2">
      <c r="A84" s="632"/>
      <c r="B84" s="632"/>
    </row>
    <row r="85" spans="1:2" x14ac:dyDescent="0.2">
      <c r="A85" s="632"/>
      <c r="B85" s="632"/>
    </row>
  </sheetData>
  <sheetProtection sheet="1" objects="1" scenarios="1"/>
  <sortState ref="A4:B37">
    <sortCondition ref="A3"/>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pageSetUpPr fitToPage="1"/>
  </sheetPr>
  <dimension ref="A1:V159"/>
  <sheetViews>
    <sheetView zoomScale="90" zoomScaleNormal="90" workbookViewId="0">
      <selection activeCell="A2" sqref="A2"/>
    </sheetView>
  </sheetViews>
  <sheetFormatPr defaultColWidth="11.42578125" defaultRowHeight="12" x14ac:dyDescent="0.2"/>
  <cols>
    <col min="1" max="1" width="29.28515625" style="37" customWidth="1"/>
    <col min="2" max="3" width="18" style="38" customWidth="1"/>
    <col min="4" max="4" width="13.5703125" style="39" customWidth="1"/>
    <col min="5" max="6" width="11.42578125" style="37"/>
    <col min="7" max="7" width="28" style="238" customWidth="1"/>
    <col min="8" max="8" width="10.42578125" style="238" customWidth="1"/>
    <col min="9" max="22" width="11.42578125" style="238"/>
    <col min="23" max="16384" width="11.42578125" style="37"/>
  </cols>
  <sheetData>
    <row r="1" spans="1:9" ht="20.25" customHeight="1" x14ac:dyDescent="0.45">
      <c r="A1" s="1130" t="s">
        <v>1470</v>
      </c>
      <c r="B1" s="1131"/>
      <c r="C1" s="1131"/>
      <c r="D1" s="1131"/>
      <c r="E1" s="1131"/>
      <c r="F1" s="1131"/>
      <c r="I1" s="37"/>
    </row>
    <row r="2" spans="1:9" ht="13.5" x14ac:dyDescent="0.25">
      <c r="A2" s="268" t="s">
        <v>151</v>
      </c>
      <c r="B2" s="269" t="s">
        <v>152</v>
      </c>
      <c r="C2" s="269" t="s">
        <v>1374</v>
      </c>
      <c r="D2" s="270" t="s">
        <v>11</v>
      </c>
      <c r="F2" s="281" t="s">
        <v>1399</v>
      </c>
      <c r="G2" s="282"/>
      <c r="H2" s="241" t="s">
        <v>847</v>
      </c>
      <c r="I2" s="37"/>
    </row>
    <row r="3" spans="1:9" ht="12.75" x14ac:dyDescent="0.2">
      <c r="A3" s="81" t="s">
        <v>96</v>
      </c>
      <c r="B3" s="79"/>
      <c r="C3" s="79"/>
      <c r="D3" s="80"/>
      <c r="F3" s="242" t="s">
        <v>1378</v>
      </c>
      <c r="G3" s="243"/>
      <c r="H3" s="248">
        <v>466</v>
      </c>
      <c r="I3" s="37"/>
    </row>
    <row r="4" spans="1:9" ht="13.5" x14ac:dyDescent="0.25">
      <c r="A4" s="83" t="s">
        <v>153</v>
      </c>
      <c r="B4" s="101">
        <v>34.439500000000002</v>
      </c>
      <c r="C4" s="101"/>
      <c r="D4" s="82" t="s">
        <v>847</v>
      </c>
      <c r="F4" s="244" t="s">
        <v>1394</v>
      </c>
      <c r="G4" s="245"/>
      <c r="H4" s="249">
        <v>782</v>
      </c>
      <c r="I4" s="37"/>
    </row>
    <row r="5" spans="1:9" ht="13.5" x14ac:dyDescent="0.25">
      <c r="A5" s="83" t="s">
        <v>154</v>
      </c>
      <c r="B5" s="101">
        <v>670.94479999999999</v>
      </c>
      <c r="C5" s="101"/>
      <c r="D5" s="82" t="s">
        <v>847</v>
      </c>
      <c r="F5" s="244" t="s">
        <v>1379</v>
      </c>
      <c r="G5" s="245"/>
      <c r="H5" s="249">
        <v>638</v>
      </c>
      <c r="I5" s="37"/>
    </row>
    <row r="6" spans="1:9" ht="13.5" x14ac:dyDescent="0.25">
      <c r="A6" s="83" t="s">
        <v>155</v>
      </c>
      <c r="B6" s="101">
        <v>342.74669999999998</v>
      </c>
      <c r="C6" s="101"/>
      <c r="D6" s="82" t="s">
        <v>847</v>
      </c>
      <c r="F6" s="244" t="s">
        <v>1380</v>
      </c>
      <c r="G6" s="245"/>
      <c r="H6" s="249">
        <v>690</v>
      </c>
      <c r="I6" s="37"/>
    </row>
    <row r="7" spans="1:9" ht="13.5" x14ac:dyDescent="0.25">
      <c r="A7" s="83" t="s">
        <v>156</v>
      </c>
      <c r="B7" s="101">
        <v>306.4495</v>
      </c>
      <c r="C7" s="101"/>
      <c r="D7" s="82" t="s">
        <v>847</v>
      </c>
      <c r="F7" s="244" t="s">
        <v>1381</v>
      </c>
      <c r="G7" s="245"/>
      <c r="H7" s="249">
        <v>678</v>
      </c>
      <c r="I7" s="37"/>
    </row>
    <row r="8" spans="1:9" ht="13.5" x14ac:dyDescent="0.25">
      <c r="A8" s="83" t="s">
        <v>157</v>
      </c>
      <c r="B8" s="101">
        <v>138.32900000000001</v>
      </c>
      <c r="C8" s="101"/>
      <c r="D8" s="82" t="s">
        <v>847</v>
      </c>
      <c r="F8" s="244" t="s">
        <v>1382</v>
      </c>
      <c r="G8" s="245"/>
      <c r="H8" s="249">
        <v>730</v>
      </c>
      <c r="I8" s="37"/>
    </row>
    <row r="9" spans="1:9" ht="13.5" x14ac:dyDescent="0.25">
      <c r="A9" s="83" t="s">
        <v>158</v>
      </c>
      <c r="B9" s="101">
        <v>873.31</v>
      </c>
      <c r="C9" s="101">
        <v>924</v>
      </c>
      <c r="D9" s="82" t="s">
        <v>847</v>
      </c>
      <c r="F9" s="244" t="s">
        <v>1383</v>
      </c>
      <c r="G9" s="245"/>
      <c r="H9" s="249">
        <v>867</v>
      </c>
      <c r="I9" s="37"/>
    </row>
    <row r="10" spans="1:9" ht="13.5" x14ac:dyDescent="0.25">
      <c r="A10" s="83" t="s">
        <v>159</v>
      </c>
      <c r="B10" s="101">
        <v>224.87</v>
      </c>
      <c r="C10" s="101"/>
      <c r="D10" s="82" t="s">
        <v>847</v>
      </c>
      <c r="F10" s="244" t="s">
        <v>1384</v>
      </c>
      <c r="G10" s="245"/>
      <c r="H10" s="249">
        <v>875</v>
      </c>
      <c r="I10" s="37"/>
    </row>
    <row r="11" spans="1:9" ht="13.5" x14ac:dyDescent="0.25">
      <c r="A11" s="83" t="s">
        <v>160</v>
      </c>
      <c r="B11" s="101">
        <v>504.85219999999998</v>
      </c>
      <c r="C11" s="101"/>
      <c r="D11" s="82" t="s">
        <v>847</v>
      </c>
      <c r="F11" s="244" t="s">
        <v>1395</v>
      </c>
      <c r="G11" s="245"/>
      <c r="H11" s="249">
        <v>909</v>
      </c>
      <c r="I11" s="37"/>
    </row>
    <row r="12" spans="1:9" ht="13.5" x14ac:dyDescent="0.25">
      <c r="A12" s="83" t="s">
        <v>1174</v>
      </c>
      <c r="B12" s="102">
        <v>890.10220000000004</v>
      </c>
      <c r="C12" s="102"/>
      <c r="D12" s="82" t="s">
        <v>847</v>
      </c>
      <c r="F12" s="244" t="s">
        <v>1385</v>
      </c>
      <c r="G12" s="245"/>
      <c r="H12" s="249">
        <v>658</v>
      </c>
      <c r="I12" s="37"/>
    </row>
    <row r="13" spans="1:9" ht="13.5" x14ac:dyDescent="0.25">
      <c r="A13" s="83" t="s">
        <v>1175</v>
      </c>
      <c r="B13" s="102">
        <v>556.8777</v>
      </c>
      <c r="C13" s="102"/>
      <c r="D13" s="82" t="s">
        <v>847</v>
      </c>
      <c r="F13" s="244" t="s">
        <v>1386</v>
      </c>
      <c r="G13" s="245"/>
      <c r="H13" s="249">
        <v>147</v>
      </c>
      <c r="I13" s="37"/>
    </row>
    <row r="14" spans="1:9" ht="13.5" x14ac:dyDescent="0.25">
      <c r="A14" s="83" t="s">
        <v>1176</v>
      </c>
      <c r="B14" s="102">
        <v>298.834</v>
      </c>
      <c r="C14" s="102"/>
      <c r="D14" s="82" t="s">
        <v>847</v>
      </c>
      <c r="F14" s="244" t="s">
        <v>1387</v>
      </c>
      <c r="G14" s="245"/>
      <c r="H14" s="249">
        <v>350</v>
      </c>
      <c r="I14" s="37"/>
    </row>
    <row r="15" spans="1:9" ht="13.5" x14ac:dyDescent="0.25">
      <c r="A15" s="83" t="s">
        <v>1177</v>
      </c>
      <c r="B15" s="102">
        <v>267.959</v>
      </c>
      <c r="C15" s="102"/>
      <c r="D15" s="82" t="s">
        <v>847</v>
      </c>
      <c r="F15" s="244" t="s">
        <v>1388</v>
      </c>
      <c r="G15" s="245"/>
      <c r="H15" s="249">
        <v>858</v>
      </c>
      <c r="I15" s="37"/>
    </row>
    <row r="16" spans="1:9" ht="13.5" x14ac:dyDescent="0.25">
      <c r="A16" s="83" t="s">
        <v>1178</v>
      </c>
      <c r="B16" s="102">
        <v>709.93460000000005</v>
      </c>
      <c r="C16" s="102"/>
      <c r="D16" s="82" t="s">
        <v>847</v>
      </c>
      <c r="F16" s="244" t="s">
        <v>1389</v>
      </c>
      <c r="G16" s="245"/>
      <c r="H16" s="249">
        <v>749</v>
      </c>
      <c r="I16" s="37"/>
    </row>
    <row r="17" spans="1:9" ht="13.5" x14ac:dyDescent="0.25">
      <c r="A17" s="83" t="s">
        <v>1179</v>
      </c>
      <c r="B17" s="102">
        <v>481.35199999999998</v>
      </c>
      <c r="C17" s="102"/>
      <c r="D17" s="82" t="s">
        <v>847</v>
      </c>
      <c r="F17" s="244" t="s">
        <v>1390</v>
      </c>
      <c r="G17" s="245"/>
      <c r="H17" s="249">
        <v>858</v>
      </c>
      <c r="I17" s="37"/>
    </row>
    <row r="18" spans="1:9" ht="13.5" x14ac:dyDescent="0.25">
      <c r="A18" s="83" t="s">
        <v>1180</v>
      </c>
      <c r="B18" s="102">
        <v>618.65060000000005</v>
      </c>
      <c r="C18" s="102"/>
      <c r="D18" s="82" t="s">
        <v>847</v>
      </c>
      <c r="F18" s="246" t="s">
        <v>1391</v>
      </c>
      <c r="G18" s="247"/>
      <c r="H18" s="250">
        <v>676</v>
      </c>
      <c r="I18" s="37"/>
    </row>
    <row r="19" spans="1:9" ht="13.5" x14ac:dyDescent="0.25">
      <c r="A19" s="83" t="s">
        <v>1181</v>
      </c>
      <c r="B19" s="102">
        <v>1847.6940999999999</v>
      </c>
      <c r="C19" s="102"/>
      <c r="D19" s="82" t="s">
        <v>847</v>
      </c>
      <c r="F19" s="240"/>
      <c r="G19" s="240"/>
      <c r="H19" s="37"/>
      <c r="I19" s="37"/>
    </row>
    <row r="20" spans="1:9" ht="13.5" x14ac:dyDescent="0.25">
      <c r="A20" s="83" t="s">
        <v>1182</v>
      </c>
      <c r="B20" s="102">
        <v>84.219200000000001</v>
      </c>
      <c r="C20" s="102">
        <v>93</v>
      </c>
      <c r="D20" s="82" t="s">
        <v>847</v>
      </c>
      <c r="F20" s="240" t="s">
        <v>1392</v>
      </c>
      <c r="G20" s="240"/>
      <c r="H20" s="37"/>
      <c r="I20" s="37"/>
    </row>
    <row r="21" spans="1:9" ht="13.5" x14ac:dyDescent="0.25">
      <c r="A21" s="83" t="s">
        <v>1183</v>
      </c>
      <c r="B21" s="102">
        <v>788.82839999999999</v>
      </c>
      <c r="C21" s="102"/>
      <c r="D21" s="82" t="s">
        <v>847</v>
      </c>
      <c r="F21" s="240" t="s">
        <v>1393</v>
      </c>
      <c r="G21" s="240"/>
      <c r="H21" s="37"/>
      <c r="I21" s="37"/>
    </row>
    <row r="22" spans="1:9" ht="13.5" x14ac:dyDescent="0.25">
      <c r="A22" s="83" t="s">
        <v>1184</v>
      </c>
      <c r="B22" s="102">
        <v>448.00349999999997</v>
      </c>
      <c r="C22" s="102"/>
      <c r="D22" s="82" t="s">
        <v>847</v>
      </c>
      <c r="G22" s="37"/>
      <c r="H22" s="37"/>
      <c r="I22" s="37"/>
    </row>
    <row r="23" spans="1:9" ht="13.5" x14ac:dyDescent="0.25">
      <c r="A23" s="83" t="s">
        <v>849</v>
      </c>
      <c r="B23" s="102">
        <v>1205.9306999999999</v>
      </c>
      <c r="C23" s="102"/>
      <c r="D23" s="82" t="s">
        <v>847</v>
      </c>
      <c r="G23" s="37"/>
      <c r="H23" s="37"/>
      <c r="I23" s="37"/>
    </row>
    <row r="24" spans="1:9" ht="13.5" x14ac:dyDescent="0.25">
      <c r="A24" s="83" t="s">
        <v>1185</v>
      </c>
      <c r="B24" s="102">
        <v>39.098199999999999</v>
      </c>
      <c r="C24" s="102">
        <v>16</v>
      </c>
      <c r="D24" s="82" t="s">
        <v>847</v>
      </c>
      <c r="G24" s="37"/>
      <c r="H24" s="37"/>
      <c r="I24" s="37"/>
    </row>
    <row r="25" spans="1:9" ht="13.5" x14ac:dyDescent="0.25">
      <c r="A25" s="83" t="s">
        <v>203</v>
      </c>
      <c r="B25" s="102">
        <v>198.66399999999999</v>
      </c>
      <c r="C25" s="102">
        <v>223</v>
      </c>
      <c r="D25" s="82" t="s">
        <v>847</v>
      </c>
      <c r="G25" s="37"/>
      <c r="H25" s="37"/>
      <c r="I25" s="37"/>
    </row>
    <row r="26" spans="1:9" ht="13.5" x14ac:dyDescent="0.25">
      <c r="A26" s="83" t="s">
        <v>1186</v>
      </c>
      <c r="B26" s="102">
        <v>357.47570000000002</v>
      </c>
      <c r="C26" s="102"/>
      <c r="D26" s="82" t="s">
        <v>847</v>
      </c>
      <c r="G26" s="37"/>
      <c r="H26" s="37"/>
      <c r="I26" s="37"/>
    </row>
    <row r="27" spans="1:9" ht="13.5" x14ac:dyDescent="0.25">
      <c r="A27" s="83" t="s">
        <v>1187</v>
      </c>
      <c r="B27" s="102">
        <v>787.86779999999999</v>
      </c>
      <c r="C27" s="102"/>
      <c r="D27" s="82" t="s">
        <v>847</v>
      </c>
      <c r="G27" s="37"/>
      <c r="H27" s="37"/>
      <c r="I27" s="37"/>
    </row>
    <row r="28" spans="1:9" ht="13.5" x14ac:dyDescent="0.25">
      <c r="A28" s="83" t="s">
        <v>1188</v>
      </c>
      <c r="B28" s="102">
        <v>788.13340000000005</v>
      </c>
      <c r="C28" s="102"/>
      <c r="D28" s="82" t="s">
        <v>847</v>
      </c>
      <c r="G28" s="37"/>
      <c r="H28" s="37"/>
      <c r="I28" s="37"/>
    </row>
    <row r="29" spans="1:9" ht="13.5" x14ac:dyDescent="0.25">
      <c r="A29" s="83" t="s">
        <v>1189</v>
      </c>
      <c r="B29" s="102">
        <v>631.68219999999997</v>
      </c>
      <c r="C29" s="102"/>
      <c r="D29" s="82" t="s">
        <v>847</v>
      </c>
      <c r="G29" s="37"/>
      <c r="H29" s="37"/>
      <c r="I29" s="37"/>
    </row>
    <row r="30" spans="1:9" ht="13.5" x14ac:dyDescent="0.25">
      <c r="A30" s="83" t="s">
        <v>1190</v>
      </c>
      <c r="B30" s="102">
        <v>163.1909</v>
      </c>
      <c r="C30" s="102"/>
      <c r="D30" s="82" t="s">
        <v>847</v>
      </c>
      <c r="G30" s="37"/>
      <c r="H30" s="37"/>
      <c r="I30" s="37"/>
    </row>
    <row r="31" spans="1:9" ht="13.5" x14ac:dyDescent="0.25">
      <c r="A31" s="83" t="s">
        <v>1191</v>
      </c>
      <c r="B31" s="102">
        <v>643</v>
      </c>
      <c r="C31" s="102">
        <v>683</v>
      </c>
      <c r="D31" s="82" t="s">
        <v>847</v>
      </c>
      <c r="G31" s="37"/>
      <c r="H31" s="37"/>
      <c r="I31" s="37"/>
    </row>
    <row r="32" spans="1:9" ht="13.5" x14ac:dyDescent="0.25">
      <c r="A32" s="83" t="s">
        <v>1192</v>
      </c>
      <c r="B32" s="102">
        <v>2.9579</v>
      </c>
      <c r="C32" s="102">
        <v>4</v>
      </c>
      <c r="D32" s="82" t="s">
        <v>847</v>
      </c>
      <c r="G32" s="37"/>
      <c r="H32" s="37"/>
      <c r="I32" s="37"/>
    </row>
    <row r="33" spans="1:9" ht="13.5" x14ac:dyDescent="0.25">
      <c r="A33" s="83" t="s">
        <v>1193</v>
      </c>
      <c r="B33" s="102">
        <v>26.893799999999999</v>
      </c>
      <c r="C33" s="102">
        <v>15</v>
      </c>
      <c r="D33" s="82" t="s">
        <v>847</v>
      </c>
      <c r="G33" s="37"/>
      <c r="H33" s="37"/>
      <c r="I33" s="37"/>
    </row>
    <row r="34" spans="1:9" ht="13.5" x14ac:dyDescent="0.25">
      <c r="A34" s="83" t="s">
        <v>1194</v>
      </c>
      <c r="B34" s="102">
        <v>518.1223</v>
      </c>
      <c r="C34" s="102"/>
      <c r="D34" s="82" t="s">
        <v>847</v>
      </c>
      <c r="G34" s="37"/>
      <c r="H34" s="37"/>
      <c r="I34" s="37"/>
    </row>
    <row r="35" spans="1:9" ht="13.5" x14ac:dyDescent="0.25">
      <c r="A35" s="83" t="s">
        <v>1195</v>
      </c>
      <c r="B35" s="102">
        <v>311.32639999999998</v>
      </c>
      <c r="C35" s="102"/>
      <c r="D35" s="82" t="s">
        <v>847</v>
      </c>
      <c r="G35" s="37"/>
      <c r="H35" s="37"/>
      <c r="I35" s="37"/>
    </row>
    <row r="36" spans="1:9" ht="13.5" x14ac:dyDescent="0.25">
      <c r="A36" s="83" t="s">
        <v>1196</v>
      </c>
      <c r="B36" s="102">
        <v>987.4434</v>
      </c>
      <c r="C36" s="102"/>
      <c r="D36" s="82" t="s">
        <v>847</v>
      </c>
      <c r="G36" s="37"/>
      <c r="H36" s="37"/>
      <c r="I36" s="37"/>
    </row>
    <row r="37" spans="1:9" ht="13.5" x14ac:dyDescent="0.25">
      <c r="A37" s="83" t="s">
        <v>1197</v>
      </c>
      <c r="B37" s="102">
        <v>792.32370000000003</v>
      </c>
      <c r="C37" s="102"/>
      <c r="D37" s="82" t="s">
        <v>847</v>
      </c>
      <c r="G37" s="37"/>
      <c r="H37" s="37"/>
      <c r="I37" s="37"/>
    </row>
    <row r="38" spans="1:9" ht="13.5" x14ac:dyDescent="0.25">
      <c r="A38" s="83" t="s">
        <v>1198</v>
      </c>
      <c r="B38" s="102">
        <v>515.57299999999998</v>
      </c>
      <c r="C38" s="102"/>
      <c r="D38" s="82" t="s">
        <v>847</v>
      </c>
      <c r="G38" s="37"/>
      <c r="H38" s="37"/>
      <c r="I38" s="37"/>
    </row>
    <row r="39" spans="1:9" ht="13.5" x14ac:dyDescent="0.25">
      <c r="A39" s="83" t="s">
        <v>1199</v>
      </c>
      <c r="B39" s="102">
        <v>283.58199999999999</v>
      </c>
      <c r="C39" s="102"/>
      <c r="D39" s="82" t="s">
        <v>847</v>
      </c>
      <c r="G39" s="37"/>
      <c r="H39" s="37"/>
      <c r="I39" s="37"/>
    </row>
    <row r="40" spans="1:9" ht="13.5" x14ac:dyDescent="0.25">
      <c r="A40" s="83" t="s">
        <v>1200</v>
      </c>
      <c r="B40" s="102">
        <v>573.99289999999996</v>
      </c>
      <c r="C40" s="102"/>
      <c r="D40" s="82" t="s">
        <v>847</v>
      </c>
      <c r="G40" s="37"/>
      <c r="H40" s="37"/>
      <c r="I40" s="37"/>
    </row>
    <row r="41" spans="1:9" ht="13.5" x14ac:dyDescent="0.25">
      <c r="A41" s="83" t="s">
        <v>1201</v>
      </c>
      <c r="B41" s="102">
        <v>369.09440000000001</v>
      </c>
      <c r="C41" s="102"/>
      <c r="D41" s="82" t="s">
        <v>847</v>
      </c>
      <c r="G41" s="37"/>
      <c r="H41" s="37"/>
      <c r="I41" s="37"/>
    </row>
    <row r="42" spans="1:9" ht="13.5" x14ac:dyDescent="0.25">
      <c r="A42" s="83" t="s">
        <v>1202</v>
      </c>
      <c r="B42" s="102">
        <v>471.44380000000001</v>
      </c>
      <c r="C42" s="102"/>
      <c r="D42" s="82" t="s">
        <v>847</v>
      </c>
      <c r="G42" s="37"/>
      <c r="H42" s="37"/>
      <c r="I42" s="37"/>
    </row>
    <row r="43" spans="1:9" ht="13.5" x14ac:dyDescent="0.25">
      <c r="A43" s="83" t="s">
        <v>1203</v>
      </c>
      <c r="B43" s="102">
        <v>263.40969999999999</v>
      </c>
      <c r="C43" s="102"/>
      <c r="D43" s="82" t="s">
        <v>847</v>
      </c>
      <c r="G43" s="37"/>
      <c r="H43" s="37"/>
      <c r="I43" s="37"/>
    </row>
    <row r="44" spans="1:9" ht="13.5" x14ac:dyDescent="0.25">
      <c r="A44" s="83" t="s">
        <v>1204</v>
      </c>
      <c r="B44" s="102">
        <v>696.16610000000003</v>
      </c>
      <c r="C44" s="102"/>
      <c r="D44" s="82" t="s">
        <v>847</v>
      </c>
      <c r="G44" s="37"/>
      <c r="H44" s="37"/>
      <c r="I44" s="37"/>
    </row>
    <row r="45" spans="1:9" ht="13.5" x14ac:dyDescent="0.25">
      <c r="A45" s="83" t="s">
        <v>1205</v>
      </c>
      <c r="B45" s="102">
        <v>664.90890000000002</v>
      </c>
      <c r="C45" s="102"/>
      <c r="D45" s="82" t="s">
        <v>847</v>
      </c>
      <c r="G45" s="37"/>
      <c r="H45" s="37"/>
      <c r="I45" s="37"/>
    </row>
    <row r="46" spans="1:9" ht="13.5" x14ac:dyDescent="0.25">
      <c r="A46" s="83" t="s">
        <v>1206</v>
      </c>
      <c r="B46" s="102">
        <v>6.6382000000000003</v>
      </c>
      <c r="C46" s="102">
        <v>11</v>
      </c>
      <c r="D46" s="82" t="s">
        <v>847</v>
      </c>
      <c r="G46" s="37"/>
      <c r="H46" s="37"/>
      <c r="I46" s="37"/>
    </row>
    <row r="47" spans="1:9" ht="13.5" x14ac:dyDescent="0.25">
      <c r="A47" s="83" t="s">
        <v>1207</v>
      </c>
      <c r="B47" s="102">
        <v>193.55099999999999</v>
      </c>
      <c r="C47" s="102"/>
      <c r="D47" s="82" t="s">
        <v>847</v>
      </c>
      <c r="G47" s="37"/>
      <c r="H47" s="37"/>
      <c r="I47" s="37"/>
    </row>
    <row r="48" spans="1:9" ht="13.5" x14ac:dyDescent="0.25">
      <c r="A48" s="83" t="s">
        <v>1208</v>
      </c>
      <c r="B48" s="102">
        <v>90.858999999999995</v>
      </c>
      <c r="C48" s="102">
        <v>83</v>
      </c>
      <c r="D48" s="82" t="s">
        <v>847</v>
      </c>
      <c r="G48" s="37"/>
      <c r="H48" s="37"/>
      <c r="I48" s="37"/>
    </row>
    <row r="49" spans="1:9" ht="13.5" x14ac:dyDescent="0.25">
      <c r="A49" s="83" t="s">
        <v>1209</v>
      </c>
      <c r="B49" s="102">
        <v>368.33519999999999</v>
      </c>
      <c r="C49" s="102"/>
      <c r="D49" s="82" t="s">
        <v>847</v>
      </c>
      <c r="G49" s="37"/>
      <c r="H49" s="37"/>
      <c r="I49" s="37"/>
    </row>
    <row r="50" spans="1:9" ht="13.5" x14ac:dyDescent="0.25">
      <c r="A50" s="83" t="s">
        <v>1210</v>
      </c>
      <c r="B50" s="102">
        <v>89.231099999999998</v>
      </c>
      <c r="C50" s="102"/>
      <c r="D50" s="82" t="s">
        <v>847</v>
      </c>
      <c r="G50" s="37"/>
      <c r="H50" s="37"/>
      <c r="I50" s="37"/>
    </row>
    <row r="51" spans="1:9" ht="13.5" x14ac:dyDescent="0.25">
      <c r="A51" s="83" t="s">
        <v>1211</v>
      </c>
      <c r="B51" s="102">
        <v>349.23200000000003</v>
      </c>
      <c r="C51" s="102"/>
      <c r="D51" s="82" t="s">
        <v>847</v>
      </c>
      <c r="G51" s="37"/>
      <c r="H51" s="37"/>
      <c r="I51" s="37"/>
    </row>
    <row r="52" spans="1:9" ht="13.5" x14ac:dyDescent="0.25">
      <c r="A52" s="83" t="s">
        <v>1212</v>
      </c>
      <c r="B52" s="102">
        <v>203.7662</v>
      </c>
      <c r="C52" s="102"/>
      <c r="D52" s="82" t="s">
        <v>847</v>
      </c>
      <c r="G52" s="37"/>
      <c r="H52" s="37"/>
      <c r="I52" s="37"/>
    </row>
    <row r="53" spans="1:9" ht="13.5" x14ac:dyDescent="0.25">
      <c r="A53" s="83" t="s">
        <v>1213</v>
      </c>
      <c r="B53" s="102">
        <v>743.08969999999999</v>
      </c>
      <c r="C53" s="102"/>
      <c r="D53" s="82" t="s">
        <v>847</v>
      </c>
      <c r="G53" s="37"/>
      <c r="H53" s="37"/>
      <c r="I53" s="37"/>
    </row>
    <row r="54" spans="1:9" ht="13.5" x14ac:dyDescent="0.25">
      <c r="A54" s="83" t="s">
        <v>1214</v>
      </c>
      <c r="B54" s="102">
        <v>776.49300000000005</v>
      </c>
      <c r="C54" s="102"/>
      <c r="D54" s="82" t="s">
        <v>847</v>
      </c>
      <c r="G54" s="37"/>
      <c r="H54" s="37"/>
      <c r="I54" s="37"/>
    </row>
    <row r="55" spans="1:9" ht="13.5" x14ac:dyDescent="0.25">
      <c r="A55" s="83" t="s">
        <v>1215</v>
      </c>
      <c r="B55" s="102">
        <v>383.75880000000001</v>
      </c>
      <c r="C55" s="102"/>
      <c r="D55" s="82" t="s">
        <v>847</v>
      </c>
      <c r="G55" s="37"/>
      <c r="H55" s="37"/>
      <c r="I55" s="37"/>
    </row>
    <row r="56" spans="1:9" ht="13.5" x14ac:dyDescent="0.25">
      <c r="A56" s="83" t="s">
        <v>1216</v>
      </c>
      <c r="B56" s="102">
        <v>307.35610000000003</v>
      </c>
      <c r="C56" s="102"/>
      <c r="D56" s="82" t="s">
        <v>847</v>
      </c>
      <c r="G56" s="37"/>
      <c r="H56" s="37"/>
      <c r="I56" s="37"/>
    </row>
    <row r="57" spans="1:9" ht="13.5" x14ac:dyDescent="0.25">
      <c r="A57" s="83" t="s">
        <v>1217</v>
      </c>
      <c r="B57" s="102">
        <v>410.71269999999998</v>
      </c>
      <c r="C57" s="102"/>
      <c r="D57" s="82" t="s">
        <v>847</v>
      </c>
      <c r="G57" s="37"/>
      <c r="H57" s="37"/>
      <c r="I57" s="37"/>
    </row>
    <row r="58" spans="1:9" ht="13.5" x14ac:dyDescent="0.25">
      <c r="A58" s="83" t="s">
        <v>1218</v>
      </c>
      <c r="B58" s="102">
        <v>809.78089999999997</v>
      </c>
      <c r="C58" s="102"/>
      <c r="D58" s="82" t="s">
        <v>847</v>
      </c>
      <c r="G58" s="37"/>
      <c r="H58" s="37"/>
      <c r="I58" s="37"/>
    </row>
    <row r="59" spans="1:9" ht="13.5" x14ac:dyDescent="0.25">
      <c r="A59" s="83" t="s">
        <v>1219</v>
      </c>
      <c r="B59" s="102">
        <v>338.70299999999997</v>
      </c>
      <c r="C59" s="102"/>
      <c r="D59" s="82" t="s">
        <v>847</v>
      </c>
      <c r="G59" s="37"/>
      <c r="H59" s="37"/>
      <c r="I59" s="37"/>
    </row>
    <row r="60" spans="1:9" ht="13.5" x14ac:dyDescent="0.25">
      <c r="A60" s="83" t="s">
        <v>1220</v>
      </c>
      <c r="B60" s="102">
        <v>0.61899999999999999</v>
      </c>
      <c r="C60" s="102"/>
      <c r="D60" s="82" t="s">
        <v>847</v>
      </c>
      <c r="G60" s="37"/>
      <c r="H60" s="37"/>
      <c r="I60" s="37"/>
    </row>
    <row r="61" spans="1:9" ht="13.5" x14ac:dyDescent="0.25">
      <c r="A61" s="83" t="s">
        <v>1221</v>
      </c>
      <c r="B61" s="102">
        <v>943.36149999999998</v>
      </c>
      <c r="C61" s="102"/>
      <c r="D61" s="82" t="s">
        <v>847</v>
      </c>
      <c r="G61" s="37"/>
      <c r="H61" s="37"/>
      <c r="I61" s="37"/>
    </row>
    <row r="62" spans="1:9" ht="13.5" x14ac:dyDescent="0.25">
      <c r="A62" s="83" t="s">
        <v>1222</v>
      </c>
      <c r="B62" s="102">
        <v>770.73699999999997</v>
      </c>
      <c r="C62" s="102"/>
      <c r="D62" s="82" t="s">
        <v>847</v>
      </c>
      <c r="G62" s="37"/>
      <c r="H62" s="37"/>
      <c r="I62" s="37"/>
    </row>
    <row r="63" spans="1:9" ht="13.5" x14ac:dyDescent="0.25">
      <c r="A63" s="83" t="s">
        <v>1223</v>
      </c>
      <c r="B63" s="102">
        <v>533.76639999999998</v>
      </c>
      <c r="C63" s="102"/>
      <c r="D63" s="82" t="s">
        <v>847</v>
      </c>
      <c r="G63" s="37"/>
      <c r="H63" s="37"/>
      <c r="I63" s="37"/>
    </row>
    <row r="64" spans="1:9" ht="13.5" x14ac:dyDescent="0.25">
      <c r="A64" s="83" t="s">
        <v>1224</v>
      </c>
      <c r="B64" s="102">
        <v>700.7056</v>
      </c>
      <c r="C64" s="102"/>
      <c r="D64" s="82" t="s">
        <v>847</v>
      </c>
      <c r="G64" s="37"/>
      <c r="H64" s="37"/>
      <c r="I64" s="37"/>
    </row>
    <row r="65" spans="1:9" ht="13.5" x14ac:dyDescent="0.25">
      <c r="A65" s="83" t="s">
        <v>1225</v>
      </c>
      <c r="B65" s="102">
        <v>584.173</v>
      </c>
      <c r="C65" s="102"/>
      <c r="D65" s="82" t="s">
        <v>847</v>
      </c>
      <c r="G65" s="37"/>
      <c r="H65" s="37"/>
      <c r="I65" s="37"/>
    </row>
    <row r="66" spans="1:9" ht="13.5" x14ac:dyDescent="0.25">
      <c r="A66" s="83" t="s">
        <v>1226</v>
      </c>
      <c r="B66" s="102">
        <v>767.48050000000001</v>
      </c>
      <c r="C66" s="102"/>
      <c r="D66" s="82" t="s">
        <v>847</v>
      </c>
      <c r="G66" s="37"/>
      <c r="H66" s="37"/>
      <c r="I66" s="37"/>
    </row>
    <row r="67" spans="1:9" ht="13.5" x14ac:dyDescent="0.25">
      <c r="A67" s="83" t="s">
        <v>1227</v>
      </c>
      <c r="B67" s="102">
        <v>405.39299999999997</v>
      </c>
      <c r="C67" s="102"/>
      <c r="D67" s="82" t="s">
        <v>847</v>
      </c>
      <c r="G67" s="37"/>
      <c r="H67" s="37"/>
      <c r="I67" s="37"/>
    </row>
    <row r="68" spans="1:9" ht="13.5" x14ac:dyDescent="0.25">
      <c r="A68" s="83" t="s">
        <v>1228</v>
      </c>
      <c r="B68" s="102">
        <v>713.34879999999998</v>
      </c>
      <c r="C68" s="102"/>
      <c r="D68" s="82" t="s">
        <v>847</v>
      </c>
      <c r="G68" s="37"/>
      <c r="H68" s="37"/>
      <c r="I68" s="37"/>
    </row>
    <row r="69" spans="1:9" ht="13.5" x14ac:dyDescent="0.25">
      <c r="A69" s="83" t="s">
        <v>1229</v>
      </c>
      <c r="B69" s="102">
        <v>428.54</v>
      </c>
      <c r="C69" s="102"/>
      <c r="D69" s="82" t="s">
        <v>847</v>
      </c>
      <c r="G69" s="37"/>
      <c r="H69" s="37"/>
      <c r="I69" s="37"/>
    </row>
    <row r="70" spans="1:9" ht="13.5" x14ac:dyDescent="0.25">
      <c r="A70" s="83" t="s">
        <v>1230</v>
      </c>
      <c r="B70" s="102">
        <v>659.88819999999998</v>
      </c>
      <c r="C70" s="102"/>
      <c r="D70" s="82" t="s">
        <v>847</v>
      </c>
      <c r="G70" s="37"/>
      <c r="H70" s="37"/>
      <c r="I70" s="37"/>
    </row>
    <row r="71" spans="1:9" ht="13.5" x14ac:dyDescent="0.25">
      <c r="A71" s="83" t="s">
        <v>1231</v>
      </c>
      <c r="B71" s="102">
        <v>1136.8468</v>
      </c>
      <c r="C71" s="102"/>
      <c r="D71" s="82" t="s">
        <v>847</v>
      </c>
      <c r="G71" s="37"/>
      <c r="H71" s="37"/>
      <c r="I71" s="37"/>
    </row>
    <row r="72" spans="1:9" ht="13.5" x14ac:dyDescent="0.25">
      <c r="A72" s="83" t="s">
        <v>1232</v>
      </c>
      <c r="B72" s="102">
        <v>306.76990000000001</v>
      </c>
      <c r="C72" s="102"/>
      <c r="D72" s="82" t="s">
        <v>847</v>
      </c>
      <c r="G72" s="37"/>
      <c r="H72" s="37"/>
      <c r="I72" s="37"/>
    </row>
    <row r="73" spans="1:9" ht="13.5" x14ac:dyDescent="0.25">
      <c r="A73" s="83" t="s">
        <v>1233</v>
      </c>
      <c r="B73" s="102">
        <v>520.95460000000003</v>
      </c>
      <c r="C73" s="102"/>
      <c r="D73" s="82" t="s">
        <v>847</v>
      </c>
      <c r="G73" s="37"/>
      <c r="H73" s="37"/>
      <c r="I73" s="37"/>
    </row>
    <row r="74" spans="1:9" ht="13.5" x14ac:dyDescent="0.25">
      <c r="A74" s="83" t="s">
        <v>1234</v>
      </c>
      <c r="B74" s="102">
        <v>418.18799999999999</v>
      </c>
      <c r="C74" s="102"/>
      <c r="D74" s="82" t="s">
        <v>847</v>
      </c>
      <c r="G74" s="37"/>
      <c r="H74" s="37"/>
      <c r="I74" s="37"/>
    </row>
    <row r="75" spans="1:9" ht="13.5" x14ac:dyDescent="0.25">
      <c r="A75" s="83" t="s">
        <v>1235</v>
      </c>
      <c r="B75" s="102">
        <v>807.48680000000002</v>
      </c>
      <c r="C75" s="102"/>
      <c r="D75" s="82" t="s">
        <v>847</v>
      </c>
      <c r="G75" s="37"/>
      <c r="H75" s="37"/>
      <c r="I75" s="37"/>
    </row>
    <row r="76" spans="1:9" ht="13.5" x14ac:dyDescent="0.25">
      <c r="A76" s="83" t="s">
        <v>1236</v>
      </c>
      <c r="B76" s="102">
        <v>81.626199999999997</v>
      </c>
      <c r="C76" s="102"/>
      <c r="D76" s="82" t="s">
        <v>847</v>
      </c>
      <c r="G76" s="37"/>
      <c r="H76" s="37"/>
      <c r="I76" s="37"/>
    </row>
    <row r="77" spans="1:9" ht="13.5" x14ac:dyDescent="0.25">
      <c r="A77" s="83" t="s">
        <v>1237</v>
      </c>
      <c r="B77" s="102">
        <v>162.03380000000001</v>
      </c>
      <c r="C77" s="102"/>
      <c r="D77" s="82" t="s">
        <v>847</v>
      </c>
      <c r="G77" s="37"/>
      <c r="H77" s="37"/>
      <c r="I77" s="37"/>
    </row>
    <row r="78" spans="1:9" ht="13.5" x14ac:dyDescent="0.25">
      <c r="A78" s="83" t="s">
        <v>1238</v>
      </c>
      <c r="B78" s="102">
        <v>667.34169999999995</v>
      </c>
      <c r="C78" s="102"/>
      <c r="D78" s="82" t="s">
        <v>847</v>
      </c>
      <c r="G78" s="37"/>
      <c r="H78" s="37"/>
      <c r="I78" s="37"/>
    </row>
    <row r="79" spans="1:9" ht="13.5" x14ac:dyDescent="0.25">
      <c r="A79" s="83" t="s">
        <v>1239</v>
      </c>
      <c r="B79" s="102">
        <v>899.37480000000005</v>
      </c>
      <c r="C79" s="102"/>
      <c r="D79" s="82" t="s">
        <v>847</v>
      </c>
      <c r="G79" s="37"/>
      <c r="H79" s="37"/>
      <c r="I79" s="37"/>
    </row>
    <row r="80" spans="1:9" ht="13.5" x14ac:dyDescent="0.25">
      <c r="A80" s="83" t="s">
        <v>1240</v>
      </c>
      <c r="B80" s="102">
        <v>129.6019</v>
      </c>
      <c r="C80" s="102"/>
      <c r="D80" s="82" t="s">
        <v>847</v>
      </c>
      <c r="G80" s="37"/>
      <c r="H80" s="37"/>
      <c r="I80" s="37"/>
    </row>
    <row r="81" spans="1:9" ht="13.5" x14ac:dyDescent="0.25">
      <c r="A81" s="83" t="s">
        <v>1241</v>
      </c>
      <c r="B81" s="102">
        <v>327.75599999999997</v>
      </c>
      <c r="C81" s="102"/>
      <c r="D81" s="82" t="s">
        <v>847</v>
      </c>
      <c r="G81" s="37"/>
      <c r="H81" s="37"/>
      <c r="I81" s="37"/>
    </row>
    <row r="82" spans="1:9" ht="13.5" x14ac:dyDescent="0.25">
      <c r="A82" s="83" t="s">
        <v>1242</v>
      </c>
      <c r="B82" s="102">
        <v>644.79049999999995</v>
      </c>
      <c r="C82" s="102"/>
      <c r="D82" s="82" t="s">
        <v>847</v>
      </c>
      <c r="G82" s="37"/>
      <c r="H82" s="37"/>
      <c r="I82" s="37"/>
    </row>
    <row r="83" spans="1:9" ht="13.5" x14ac:dyDescent="0.25">
      <c r="A83" s="83" t="s">
        <v>1243</v>
      </c>
      <c r="B83" s="102">
        <v>557.00990000000002</v>
      </c>
      <c r="C83" s="102"/>
      <c r="D83" s="82" t="s">
        <v>847</v>
      </c>
      <c r="G83" s="37"/>
      <c r="H83" s="37"/>
      <c r="I83" s="37"/>
    </row>
    <row r="84" spans="1:9" ht="13.5" x14ac:dyDescent="0.25">
      <c r="A84" s="83" t="s">
        <v>1244</v>
      </c>
      <c r="B84" s="102">
        <v>891.89290000000005</v>
      </c>
      <c r="C84" s="102"/>
      <c r="D84" s="82" t="s">
        <v>847</v>
      </c>
      <c r="G84" s="37"/>
      <c r="H84" s="37"/>
      <c r="I84" s="37"/>
    </row>
    <row r="85" spans="1:9" ht="13.5" x14ac:dyDescent="0.25">
      <c r="A85" s="83" t="s">
        <v>1245</v>
      </c>
      <c r="B85" s="102">
        <v>515.47</v>
      </c>
      <c r="C85" s="102"/>
      <c r="D85" s="82" t="s">
        <v>847</v>
      </c>
      <c r="G85" s="37"/>
      <c r="H85" s="37"/>
      <c r="I85" s="37"/>
    </row>
    <row r="86" spans="1:9" ht="13.5" x14ac:dyDescent="0.25">
      <c r="A86" s="83" t="s">
        <v>1246</v>
      </c>
      <c r="B86" s="102">
        <v>515.72329999999999</v>
      </c>
      <c r="C86" s="102"/>
      <c r="D86" s="82" t="s">
        <v>847</v>
      </c>
      <c r="G86" s="37"/>
      <c r="H86" s="37"/>
      <c r="I86" s="37"/>
    </row>
    <row r="87" spans="1:9" ht="13.5" x14ac:dyDescent="0.25">
      <c r="A87" s="83" t="s">
        <v>1247</v>
      </c>
      <c r="B87" s="102">
        <v>533.21540000000005</v>
      </c>
      <c r="C87" s="102"/>
      <c r="D87" s="82" t="s">
        <v>847</v>
      </c>
      <c r="G87" s="37"/>
      <c r="H87" s="37"/>
      <c r="I87" s="37"/>
    </row>
    <row r="88" spans="1:9" ht="13.5" x14ac:dyDescent="0.25">
      <c r="A88" s="83" t="s">
        <v>1248</v>
      </c>
      <c r="B88" s="102">
        <v>777.50210000000004</v>
      </c>
      <c r="C88" s="102"/>
      <c r="D88" s="82" t="s">
        <v>847</v>
      </c>
      <c r="G88" s="37"/>
      <c r="H88" s="37"/>
      <c r="I88" s="37"/>
    </row>
    <row r="89" spans="1:9" ht="13.5" x14ac:dyDescent="0.25">
      <c r="A89" s="83" t="s">
        <v>1249</v>
      </c>
      <c r="B89" s="106">
        <v>683</v>
      </c>
      <c r="C89" s="102" t="s">
        <v>1396</v>
      </c>
      <c r="D89" s="82" t="s">
        <v>847</v>
      </c>
      <c r="G89" s="37"/>
      <c r="H89" s="37"/>
      <c r="I89" s="37"/>
    </row>
    <row r="90" spans="1:9" ht="13.5" x14ac:dyDescent="0.25">
      <c r="A90" s="83" t="s">
        <v>1250</v>
      </c>
      <c r="B90" s="102">
        <v>364.80270000000002</v>
      </c>
      <c r="C90" s="102"/>
      <c r="D90" s="82" t="s">
        <v>847</v>
      </c>
      <c r="G90" s="37"/>
      <c r="H90" s="37"/>
      <c r="I90" s="37"/>
    </row>
    <row r="91" spans="1:9" ht="13.5" x14ac:dyDescent="0.25">
      <c r="A91" s="83" t="s">
        <v>1251</v>
      </c>
      <c r="B91" s="106">
        <v>683</v>
      </c>
      <c r="C91" s="102" t="s">
        <v>1397</v>
      </c>
      <c r="D91" s="82" t="s">
        <v>847</v>
      </c>
      <c r="G91" s="37"/>
      <c r="H91" s="37"/>
      <c r="I91" s="37"/>
    </row>
    <row r="92" spans="1:9" ht="13.5" x14ac:dyDescent="0.25">
      <c r="A92" s="83" t="s">
        <v>1252</v>
      </c>
      <c r="B92" s="106">
        <v>13</v>
      </c>
      <c r="C92" s="102" t="s">
        <v>1398</v>
      </c>
      <c r="D92" s="82" t="s">
        <v>847</v>
      </c>
      <c r="G92" s="37"/>
      <c r="H92" s="37"/>
      <c r="I92" s="37"/>
    </row>
    <row r="93" spans="1:9" ht="13.5" x14ac:dyDescent="0.25">
      <c r="A93" s="83" t="s">
        <v>1253</v>
      </c>
      <c r="B93" s="102">
        <v>386.66699999999997</v>
      </c>
      <c r="C93" s="102"/>
      <c r="D93" s="82" t="s">
        <v>847</v>
      </c>
      <c r="G93" s="37"/>
      <c r="H93" s="37"/>
      <c r="I93" s="37"/>
    </row>
    <row r="94" spans="1:9" ht="13.5" x14ac:dyDescent="0.25">
      <c r="A94" s="83" t="s">
        <v>1254</v>
      </c>
      <c r="B94" s="102">
        <v>717.82929999999999</v>
      </c>
      <c r="C94" s="102"/>
      <c r="D94" s="82" t="s">
        <v>847</v>
      </c>
      <c r="G94" s="37"/>
      <c r="H94" s="37"/>
      <c r="I94" s="37"/>
    </row>
    <row r="95" spans="1:9" ht="13.5" x14ac:dyDescent="0.25">
      <c r="A95" s="83" t="s">
        <v>1255</v>
      </c>
      <c r="B95" s="102">
        <v>275.42200000000003</v>
      </c>
      <c r="C95" s="102"/>
      <c r="D95" s="82" t="s">
        <v>847</v>
      </c>
      <c r="G95" s="37"/>
      <c r="H95" s="37"/>
      <c r="I95" s="37"/>
    </row>
    <row r="96" spans="1:9" ht="13.5" x14ac:dyDescent="0.25">
      <c r="A96" s="83" t="s">
        <v>1256</v>
      </c>
      <c r="B96" s="102">
        <v>538.76940000000002</v>
      </c>
      <c r="C96" s="102"/>
      <c r="D96" s="82" t="s">
        <v>847</v>
      </c>
      <c r="G96" s="37"/>
      <c r="H96" s="37"/>
      <c r="I96" s="37"/>
    </row>
    <row r="97" spans="1:9" ht="13.5" x14ac:dyDescent="0.25">
      <c r="A97" s="83" t="s">
        <v>1257</v>
      </c>
      <c r="B97" s="102">
        <v>402.96300000000002</v>
      </c>
      <c r="C97" s="102"/>
      <c r="D97" s="82" t="s">
        <v>847</v>
      </c>
      <c r="G97" s="37"/>
      <c r="H97" s="37"/>
      <c r="I97" s="37"/>
    </row>
    <row r="98" spans="1:9" ht="13.5" x14ac:dyDescent="0.25">
      <c r="A98" s="83" t="s">
        <v>1258</v>
      </c>
      <c r="B98" s="102">
        <v>5.5019999999999998</v>
      </c>
      <c r="C98" s="102">
        <v>5</v>
      </c>
      <c r="D98" s="82" t="s">
        <v>847</v>
      </c>
      <c r="G98" s="37"/>
      <c r="H98" s="37"/>
      <c r="I98" s="37"/>
    </row>
    <row r="99" spans="1:9" ht="13.5" x14ac:dyDescent="0.25">
      <c r="A99" s="83" t="s">
        <v>1259</v>
      </c>
      <c r="B99" s="102">
        <v>854.53830000000005</v>
      </c>
      <c r="C99" s="102"/>
      <c r="D99" s="82" t="s">
        <v>847</v>
      </c>
      <c r="G99" s="37"/>
      <c r="H99" s="37"/>
      <c r="I99" s="37"/>
    </row>
    <row r="100" spans="1:9" ht="13.5" x14ac:dyDescent="0.25">
      <c r="A100" s="83" t="s">
        <v>1260</v>
      </c>
      <c r="B100" s="102">
        <v>379.56760000000003</v>
      </c>
      <c r="C100" s="102"/>
      <c r="D100" s="82" t="s">
        <v>847</v>
      </c>
      <c r="G100" s="37"/>
      <c r="H100" s="37"/>
      <c r="I100" s="37"/>
    </row>
    <row r="101" spans="1:9" ht="13.5" x14ac:dyDescent="0.25">
      <c r="A101" s="83" t="s">
        <v>1261</v>
      </c>
      <c r="B101" s="102">
        <v>276.83609999999999</v>
      </c>
      <c r="C101" s="102"/>
      <c r="D101" s="82" t="s">
        <v>847</v>
      </c>
      <c r="G101" s="37"/>
      <c r="H101" s="37"/>
      <c r="I101" s="37"/>
    </row>
    <row r="102" spans="1:9" ht="13.5" x14ac:dyDescent="0.25">
      <c r="A102" s="83" t="s">
        <v>1262</v>
      </c>
      <c r="B102" s="102">
        <v>0</v>
      </c>
      <c r="C102" s="102"/>
      <c r="D102" s="82" t="s">
        <v>847</v>
      </c>
      <c r="G102" s="37"/>
      <c r="H102" s="37"/>
      <c r="I102" s="37"/>
    </row>
    <row r="103" spans="1:9" ht="13.5" x14ac:dyDescent="0.25">
      <c r="A103" s="83" t="s">
        <v>1263</v>
      </c>
      <c r="B103" s="102">
        <v>197.83840000000001</v>
      </c>
      <c r="C103" s="102"/>
      <c r="D103" s="82" t="s">
        <v>847</v>
      </c>
      <c r="G103" s="37"/>
      <c r="H103" s="37"/>
      <c r="I103" s="37"/>
    </row>
    <row r="104" spans="1:9" ht="13.5" x14ac:dyDescent="0.25">
      <c r="A104" s="83" t="s">
        <v>1264</v>
      </c>
      <c r="B104" s="102">
        <v>495.14940000000001</v>
      </c>
      <c r="C104" s="102"/>
      <c r="D104" s="82" t="s">
        <v>847</v>
      </c>
      <c r="G104" s="37"/>
      <c r="H104" s="37"/>
      <c r="I104" s="37"/>
    </row>
    <row r="105" spans="1:9" ht="13.5" x14ac:dyDescent="0.25">
      <c r="A105" s="83" t="s">
        <v>1265</v>
      </c>
      <c r="B105" s="102">
        <v>658.899</v>
      </c>
      <c r="C105" s="102"/>
      <c r="D105" s="82" t="s">
        <v>847</v>
      </c>
      <c r="G105" s="37"/>
      <c r="H105" s="37"/>
      <c r="I105" s="37"/>
    </row>
    <row r="106" spans="1:9" ht="13.5" x14ac:dyDescent="0.25">
      <c r="A106" s="83" t="s">
        <v>1266</v>
      </c>
      <c r="B106" s="102">
        <v>498.22300000000001</v>
      </c>
      <c r="C106" s="102"/>
      <c r="D106" s="82" t="s">
        <v>847</v>
      </c>
      <c r="G106" s="37"/>
      <c r="H106" s="37"/>
      <c r="I106" s="37"/>
    </row>
    <row r="107" spans="1:9" ht="13.5" x14ac:dyDescent="0.25">
      <c r="A107" s="83" t="s">
        <v>1267</v>
      </c>
      <c r="B107" s="102">
        <v>617.96960000000001</v>
      </c>
      <c r="C107" s="102"/>
      <c r="D107" s="82" t="s">
        <v>847</v>
      </c>
      <c r="G107" s="37"/>
      <c r="H107" s="37"/>
      <c r="I107" s="37"/>
    </row>
    <row r="108" spans="1:9" ht="13.5" x14ac:dyDescent="0.25">
      <c r="A108" s="83" t="s">
        <v>1268</v>
      </c>
      <c r="B108" s="102">
        <v>394.13580000000002</v>
      </c>
      <c r="C108" s="102"/>
      <c r="D108" s="82" t="s">
        <v>847</v>
      </c>
      <c r="G108" s="37"/>
      <c r="H108" s="37"/>
      <c r="I108" s="37"/>
    </row>
    <row r="109" spans="1:9" ht="13.5" x14ac:dyDescent="0.25">
      <c r="A109" s="83" t="s">
        <v>1269</v>
      </c>
      <c r="B109" s="102">
        <v>337.9606</v>
      </c>
      <c r="C109" s="102"/>
      <c r="D109" s="82" t="s">
        <v>847</v>
      </c>
      <c r="G109" s="37"/>
      <c r="H109" s="37"/>
      <c r="I109" s="37"/>
    </row>
    <row r="110" spans="1:9" ht="13.5" x14ac:dyDescent="0.25">
      <c r="A110" s="83" t="s">
        <v>1270</v>
      </c>
      <c r="B110" s="102">
        <v>747.61149999999998</v>
      </c>
      <c r="C110" s="102"/>
      <c r="D110" s="82" t="s">
        <v>847</v>
      </c>
      <c r="G110" s="37"/>
      <c r="H110" s="37"/>
      <c r="I110" s="37"/>
    </row>
    <row r="111" spans="1:9" ht="13.5" x14ac:dyDescent="0.25">
      <c r="A111" s="83" t="s">
        <v>1271</v>
      </c>
      <c r="B111" s="102">
        <v>634.12519999999995</v>
      </c>
      <c r="C111" s="102"/>
      <c r="D111" s="82" t="s">
        <v>847</v>
      </c>
      <c r="G111" s="37"/>
      <c r="H111" s="37"/>
      <c r="I111" s="37"/>
    </row>
    <row r="112" spans="1:9" ht="13.5" x14ac:dyDescent="0.25">
      <c r="A112" s="83" t="s">
        <v>1272</v>
      </c>
      <c r="B112" s="102">
        <v>747.92290000000003</v>
      </c>
      <c r="C112" s="102"/>
      <c r="D112" s="82" t="s">
        <v>847</v>
      </c>
      <c r="G112" s="37"/>
      <c r="H112" s="37"/>
      <c r="I112" s="37"/>
    </row>
    <row r="113" spans="1:9" ht="13.5" x14ac:dyDescent="0.25">
      <c r="A113" s="83" t="s">
        <v>1273</v>
      </c>
      <c r="B113" s="102">
        <v>543.92960000000005</v>
      </c>
      <c r="C113" s="102"/>
      <c r="D113" s="82" t="s">
        <v>847</v>
      </c>
      <c r="G113" s="37"/>
      <c r="H113" s="37"/>
      <c r="I113" s="37"/>
    </row>
    <row r="114" spans="1:9" ht="13.5" x14ac:dyDescent="0.25">
      <c r="A114" s="83" t="s">
        <v>1274</v>
      </c>
      <c r="B114" s="102">
        <v>232.06299999999999</v>
      </c>
      <c r="C114" s="102"/>
      <c r="D114" s="82" t="s">
        <v>847</v>
      </c>
      <c r="G114" s="37"/>
      <c r="H114" s="37"/>
      <c r="I114" s="37"/>
    </row>
    <row r="115" spans="1:9" ht="13.5" x14ac:dyDescent="0.25">
      <c r="A115" s="83" t="s">
        <v>1275</v>
      </c>
      <c r="B115" s="102">
        <v>328.29079999999999</v>
      </c>
      <c r="C115" s="102"/>
      <c r="D115" s="82" t="s">
        <v>847</v>
      </c>
      <c r="G115" s="37"/>
      <c r="H115" s="37"/>
      <c r="I115" s="37"/>
    </row>
    <row r="116" spans="1:9" ht="13.5" x14ac:dyDescent="0.25">
      <c r="A116" s="83" t="s">
        <v>1276</v>
      </c>
      <c r="B116" s="102">
        <v>848.35749999999996</v>
      </c>
      <c r="C116" s="102"/>
      <c r="D116" s="82" t="s">
        <v>847</v>
      </c>
      <c r="G116" s="37"/>
      <c r="H116" s="37"/>
      <c r="I116" s="37"/>
    </row>
    <row r="117" spans="1:9" ht="13.5" x14ac:dyDescent="0.25">
      <c r="A117" s="83" t="s">
        <v>1277</v>
      </c>
      <c r="B117" s="102">
        <v>394.298</v>
      </c>
      <c r="C117" s="102"/>
      <c r="D117" s="82" t="s">
        <v>847</v>
      </c>
      <c r="G117" s="37"/>
      <c r="H117" s="37"/>
      <c r="I117" s="37"/>
    </row>
    <row r="118" spans="1:9" ht="13.5" x14ac:dyDescent="0.25">
      <c r="A118" s="83" t="s">
        <v>1278</v>
      </c>
      <c r="B118" s="102">
        <v>397.63279999999997</v>
      </c>
      <c r="C118" s="102"/>
      <c r="D118" s="82" t="s">
        <v>847</v>
      </c>
      <c r="G118" s="37"/>
      <c r="H118" s="37"/>
      <c r="I118" s="37"/>
    </row>
    <row r="119" spans="1:9" ht="13.5" x14ac:dyDescent="0.25">
      <c r="A119" s="83" t="s">
        <v>1279</v>
      </c>
      <c r="B119" s="102">
        <v>848.03470000000004</v>
      </c>
      <c r="C119" s="102"/>
      <c r="D119" s="82" t="s">
        <v>847</v>
      </c>
      <c r="G119" s="37"/>
      <c r="H119" s="37"/>
      <c r="I119" s="37"/>
    </row>
    <row r="120" spans="1:9" ht="13.5" x14ac:dyDescent="0.25">
      <c r="A120" s="83" t="s">
        <v>1280</v>
      </c>
      <c r="B120" s="102">
        <v>44.536999999999999</v>
      </c>
      <c r="C120" s="102"/>
      <c r="D120" s="82" t="s">
        <v>847</v>
      </c>
      <c r="G120" s="37"/>
      <c r="H120" s="37"/>
      <c r="I120" s="37"/>
    </row>
    <row r="121" spans="1:9" ht="13.5" x14ac:dyDescent="0.25">
      <c r="A121" s="83" t="s">
        <v>1281</v>
      </c>
      <c r="B121" s="102">
        <v>26.231000000000002</v>
      </c>
      <c r="C121" s="102"/>
      <c r="D121" s="82" t="s">
        <v>847</v>
      </c>
      <c r="G121" s="37"/>
      <c r="H121" s="37"/>
      <c r="I121" s="37"/>
    </row>
    <row r="122" spans="1:9" ht="13.5" x14ac:dyDescent="0.25">
      <c r="A122" s="83" t="s">
        <v>1282</v>
      </c>
      <c r="B122" s="102">
        <v>587.4982</v>
      </c>
      <c r="C122" s="102"/>
      <c r="D122" s="82" t="s">
        <v>847</v>
      </c>
      <c r="G122" s="37"/>
      <c r="H122" s="37"/>
      <c r="I122" s="37"/>
    </row>
    <row r="123" spans="1:9" ht="13.5" x14ac:dyDescent="0.25">
      <c r="A123" s="83" t="s">
        <v>1283</v>
      </c>
      <c r="B123" s="102">
        <v>27.411999999999999</v>
      </c>
      <c r="C123" s="102"/>
      <c r="D123" s="82" t="s">
        <v>847</v>
      </c>
      <c r="G123" s="37"/>
      <c r="H123" s="37"/>
      <c r="I123" s="37"/>
    </row>
    <row r="124" spans="1:9" ht="13.5" x14ac:dyDescent="0.25">
      <c r="A124" s="83" t="s">
        <v>1284</v>
      </c>
      <c r="B124" s="102">
        <v>606.56320000000005</v>
      </c>
      <c r="C124" s="102"/>
      <c r="D124" s="82" t="s">
        <v>847</v>
      </c>
      <c r="G124" s="37"/>
      <c r="H124" s="37"/>
      <c r="I124" s="37"/>
    </row>
    <row r="125" spans="1:9" ht="13.5" x14ac:dyDescent="0.25">
      <c r="A125" s="83" t="s">
        <v>1285</v>
      </c>
      <c r="B125" s="102">
        <v>531.33969999999999</v>
      </c>
      <c r="C125" s="102"/>
      <c r="D125" s="82" t="s">
        <v>847</v>
      </c>
      <c r="G125" s="37"/>
      <c r="H125" s="37"/>
      <c r="I125" s="37"/>
    </row>
    <row r="126" spans="1:9" ht="13.5" x14ac:dyDescent="0.25">
      <c r="A126" s="83" t="s">
        <v>1286</v>
      </c>
      <c r="B126" s="102">
        <v>474.06950000000001</v>
      </c>
      <c r="C126" s="102"/>
      <c r="D126" s="82" t="s">
        <v>847</v>
      </c>
      <c r="G126" s="37"/>
      <c r="H126" s="37"/>
      <c r="I126" s="37"/>
    </row>
    <row r="127" spans="1:9" ht="13.5" x14ac:dyDescent="0.25">
      <c r="A127" s="83" t="s">
        <v>1287</v>
      </c>
      <c r="B127" s="102">
        <v>709.02959999999996</v>
      </c>
      <c r="C127" s="102"/>
      <c r="D127" s="82" t="s">
        <v>847</v>
      </c>
      <c r="G127" s="37"/>
      <c r="H127" s="37"/>
      <c r="I127" s="37"/>
    </row>
    <row r="128" spans="1:9" ht="13.5" x14ac:dyDescent="0.25">
      <c r="A128" s="83" t="s">
        <v>1288</v>
      </c>
      <c r="B128" s="102">
        <v>481.59210000000002</v>
      </c>
      <c r="C128" s="102"/>
      <c r="D128" s="82" t="s">
        <v>847</v>
      </c>
      <c r="G128" s="37"/>
      <c r="H128" s="37"/>
      <c r="I128" s="37"/>
    </row>
    <row r="129" spans="1:9" ht="13.5" x14ac:dyDescent="0.25">
      <c r="A129" s="83" t="s">
        <v>1289</v>
      </c>
      <c r="B129" s="102">
        <v>432.84199999999998</v>
      </c>
      <c r="C129" s="102"/>
      <c r="D129" s="82" t="s">
        <v>847</v>
      </c>
      <c r="G129" s="37"/>
      <c r="H129" s="37"/>
      <c r="I129" s="37"/>
    </row>
    <row r="130" spans="1:9" ht="13.5" x14ac:dyDescent="0.25">
      <c r="A130" s="83" t="s">
        <v>1290</v>
      </c>
      <c r="B130" s="102">
        <v>795.12339999999995</v>
      </c>
      <c r="C130" s="102"/>
      <c r="D130" s="82" t="s">
        <v>847</v>
      </c>
      <c r="G130" s="37"/>
      <c r="H130" s="37"/>
      <c r="I130" s="37"/>
    </row>
    <row r="131" spans="1:9" ht="13.5" x14ac:dyDescent="0.25">
      <c r="A131" s="83" t="s">
        <v>1291</v>
      </c>
      <c r="B131" s="102">
        <v>314.31599999999997</v>
      </c>
      <c r="C131" s="102"/>
      <c r="D131" s="82" t="s">
        <v>847</v>
      </c>
      <c r="G131" s="37"/>
      <c r="H131" s="37"/>
      <c r="I131" s="37"/>
    </row>
    <row r="132" spans="1:9" ht="13.5" x14ac:dyDescent="0.25">
      <c r="A132" s="83" t="s">
        <v>1292</v>
      </c>
      <c r="B132" s="102">
        <v>843.61649999999997</v>
      </c>
      <c r="C132" s="102"/>
      <c r="D132" s="82" t="s">
        <v>847</v>
      </c>
      <c r="G132" s="37"/>
      <c r="H132" s="37"/>
      <c r="I132" s="37"/>
    </row>
    <row r="133" spans="1:9" ht="13.5" x14ac:dyDescent="0.25">
      <c r="A133" s="83" t="s">
        <v>1293</v>
      </c>
      <c r="B133" s="102">
        <v>472.51400000000001</v>
      </c>
      <c r="C133" s="102"/>
      <c r="D133" s="82" t="s">
        <v>847</v>
      </c>
      <c r="G133" s="37"/>
      <c r="H133" s="37"/>
      <c r="I133" s="37"/>
    </row>
    <row r="134" spans="1:9" ht="13.5" x14ac:dyDescent="0.25">
      <c r="A134" s="83" t="s">
        <v>1294</v>
      </c>
      <c r="B134" s="102">
        <v>572.93399999999997</v>
      </c>
      <c r="C134" s="102">
        <v>676</v>
      </c>
      <c r="D134" s="82" t="s">
        <v>847</v>
      </c>
      <c r="G134" s="37"/>
      <c r="H134" s="37"/>
      <c r="I134" s="37"/>
    </row>
    <row r="135" spans="1:9" ht="13.5" x14ac:dyDescent="0.25">
      <c r="A135" s="83" t="s">
        <v>1295</v>
      </c>
      <c r="B135" s="102">
        <v>102.7396</v>
      </c>
      <c r="C135" s="102"/>
      <c r="D135" s="82" t="s">
        <v>847</v>
      </c>
      <c r="G135" s="37"/>
      <c r="H135" s="37"/>
      <c r="I135" s="37"/>
    </row>
    <row r="136" spans="1:9" ht="13.5" x14ac:dyDescent="0.25">
      <c r="A136" s="83" t="s">
        <v>1296</v>
      </c>
      <c r="B136" s="102">
        <v>443.03730000000002</v>
      </c>
      <c r="C136" s="102"/>
      <c r="D136" s="82" t="s">
        <v>847</v>
      </c>
      <c r="G136" s="37"/>
      <c r="H136" s="37"/>
      <c r="I136" s="37"/>
    </row>
    <row r="137" spans="1:9" ht="13.5" x14ac:dyDescent="0.25">
      <c r="A137" s="83" t="s">
        <v>1297</v>
      </c>
      <c r="B137" s="102">
        <v>225.22319999999999</v>
      </c>
      <c r="C137" s="102"/>
      <c r="D137" s="82" t="s">
        <v>847</v>
      </c>
      <c r="G137" s="37"/>
      <c r="H137" s="37"/>
      <c r="I137" s="37"/>
    </row>
    <row r="138" spans="1:9" ht="13.5" x14ac:dyDescent="0.25">
      <c r="A138" s="83" t="s">
        <v>1298</v>
      </c>
      <c r="B138" s="102">
        <v>405.59640000000002</v>
      </c>
      <c r="C138" s="102"/>
      <c r="D138" s="82" t="s">
        <v>847</v>
      </c>
      <c r="G138" s="37"/>
      <c r="H138" s="37"/>
      <c r="I138" s="37"/>
    </row>
    <row r="139" spans="1:9" ht="13.5" x14ac:dyDescent="0.25">
      <c r="A139" s="83" t="s">
        <v>1299</v>
      </c>
      <c r="B139" s="102">
        <v>845.47289999999998</v>
      </c>
      <c r="C139" s="102"/>
      <c r="D139" s="82" t="s">
        <v>847</v>
      </c>
      <c r="G139" s="37"/>
      <c r="H139" s="37"/>
      <c r="I139" s="37"/>
    </row>
    <row r="140" spans="1:9" ht="13.5" x14ac:dyDescent="0.25">
      <c r="A140" s="83" t="s">
        <v>1300</v>
      </c>
      <c r="B140" s="102">
        <v>6.8391000000000002</v>
      </c>
      <c r="C140" s="102"/>
      <c r="D140" s="82" t="s">
        <v>847</v>
      </c>
      <c r="G140" s="37"/>
      <c r="H140" s="37"/>
      <c r="I140" s="37"/>
    </row>
    <row r="141" spans="1:9" ht="13.5" x14ac:dyDescent="0.25">
      <c r="A141" s="83" t="s">
        <v>1301</v>
      </c>
      <c r="B141" s="102">
        <v>572.33749999999998</v>
      </c>
      <c r="C141" s="102"/>
      <c r="D141" s="82" t="s">
        <v>847</v>
      </c>
      <c r="G141" s="37"/>
      <c r="H141" s="37"/>
      <c r="I141" s="37"/>
    </row>
    <row r="142" spans="1:9" ht="13.5" x14ac:dyDescent="0.25">
      <c r="A142" s="220" t="s">
        <v>585</v>
      </c>
      <c r="B142" s="103">
        <v>420.14249999999998</v>
      </c>
      <c r="C142" s="103"/>
      <c r="D142" s="82" t="s">
        <v>847</v>
      </c>
      <c r="G142" s="37"/>
      <c r="H142" s="37"/>
      <c r="I142" s="37"/>
    </row>
    <row r="143" spans="1:9" ht="13.5" x14ac:dyDescent="0.25">
      <c r="A143" s="220" t="s">
        <v>586</v>
      </c>
      <c r="B143" s="103">
        <v>518.26610000000005</v>
      </c>
      <c r="C143" s="103"/>
      <c r="D143" s="82" t="s">
        <v>847</v>
      </c>
      <c r="G143" s="37"/>
      <c r="H143" s="37"/>
      <c r="I143" s="37"/>
    </row>
    <row r="144" spans="1:9" ht="13.5" x14ac:dyDescent="0.25">
      <c r="A144" s="220" t="s">
        <v>587</v>
      </c>
      <c r="B144" s="103">
        <v>360.85070000000002</v>
      </c>
      <c r="C144" s="103"/>
      <c r="D144" s="82" t="s">
        <v>847</v>
      </c>
      <c r="G144" s="37"/>
      <c r="H144" s="37"/>
      <c r="I144" s="37"/>
    </row>
    <row r="145" spans="1:9" ht="13.5" x14ac:dyDescent="0.25">
      <c r="A145" s="220" t="s">
        <v>1375</v>
      </c>
      <c r="B145" s="103">
        <v>340.86099999999999</v>
      </c>
      <c r="C145" s="103"/>
      <c r="D145" s="82" t="s">
        <v>847</v>
      </c>
      <c r="G145" s="37"/>
      <c r="H145" s="37"/>
      <c r="I145" s="37"/>
    </row>
    <row r="146" spans="1:9" ht="13.5" x14ac:dyDescent="0.25">
      <c r="A146" s="220" t="s">
        <v>1376</v>
      </c>
      <c r="B146" s="103">
        <v>576.5181</v>
      </c>
      <c r="C146" s="103"/>
      <c r="D146" s="82" t="s">
        <v>847</v>
      </c>
      <c r="G146" s="37"/>
      <c r="H146" s="37"/>
      <c r="I146" s="37"/>
    </row>
    <row r="147" spans="1:9" ht="13.5" x14ac:dyDescent="0.25">
      <c r="A147" s="220" t="s">
        <v>1377</v>
      </c>
      <c r="B147" s="103">
        <v>362.2593</v>
      </c>
      <c r="C147" s="103"/>
      <c r="D147" s="82" t="s">
        <v>847</v>
      </c>
      <c r="G147" s="37"/>
      <c r="H147" s="37"/>
      <c r="I147" s="37"/>
    </row>
    <row r="148" spans="1:9" ht="13.5" x14ac:dyDescent="0.25">
      <c r="A148" s="220" t="s">
        <v>588</v>
      </c>
      <c r="B148" s="103">
        <v>501.74349999999998</v>
      </c>
      <c r="C148" s="103"/>
      <c r="D148" s="82" t="s">
        <v>847</v>
      </c>
      <c r="G148" s="37"/>
      <c r="H148" s="37"/>
      <c r="I148" s="37"/>
    </row>
    <row r="149" spans="1:9" ht="13.5" x14ac:dyDescent="0.25">
      <c r="A149" s="220" t="s">
        <v>589</v>
      </c>
      <c r="B149" s="103">
        <v>524.53700000000003</v>
      </c>
      <c r="C149" s="103"/>
      <c r="D149" s="82" t="s">
        <v>847</v>
      </c>
      <c r="G149" s="37"/>
      <c r="H149" s="37"/>
      <c r="I149" s="37"/>
    </row>
    <row r="150" spans="1:9" ht="13.5" x14ac:dyDescent="0.25">
      <c r="A150" s="220" t="s">
        <v>590</v>
      </c>
      <c r="B150" s="103">
        <v>483.21</v>
      </c>
      <c r="C150" s="103"/>
      <c r="D150" s="82" t="s">
        <v>847</v>
      </c>
      <c r="G150" s="37"/>
      <c r="H150" s="37"/>
      <c r="I150" s="37"/>
    </row>
    <row r="151" spans="1:9" ht="13.5" x14ac:dyDescent="0.25">
      <c r="A151" s="220" t="s">
        <v>591</v>
      </c>
      <c r="B151" s="103">
        <v>325.55900000000003</v>
      </c>
      <c r="C151" s="103"/>
      <c r="D151" s="82" t="s">
        <v>847</v>
      </c>
      <c r="G151" s="37"/>
      <c r="H151" s="37"/>
      <c r="I151" s="37"/>
    </row>
    <row r="152" spans="1:9" ht="13.5" x14ac:dyDescent="0.25">
      <c r="A152" s="220" t="s">
        <v>592</v>
      </c>
      <c r="B152" s="103">
        <v>642.73659999999995</v>
      </c>
      <c r="C152" s="103"/>
      <c r="D152" s="82" t="s">
        <v>847</v>
      </c>
      <c r="G152" s="37"/>
      <c r="H152" s="37"/>
      <c r="I152" s="37"/>
    </row>
    <row r="153" spans="1:9" ht="13.5" x14ac:dyDescent="0.25">
      <c r="A153" s="220" t="s">
        <v>593</v>
      </c>
      <c r="B153" s="103">
        <v>196.96719999999999</v>
      </c>
      <c r="C153" s="103"/>
      <c r="D153" s="82" t="s">
        <v>847</v>
      </c>
      <c r="G153" s="37"/>
      <c r="H153" s="37"/>
      <c r="I153" s="37"/>
    </row>
    <row r="154" spans="1:9" ht="13.5" x14ac:dyDescent="0.25">
      <c r="A154" s="78" t="s">
        <v>594</v>
      </c>
      <c r="B154" s="104">
        <v>690.11379999999997</v>
      </c>
      <c r="C154" s="104"/>
      <c r="D154" s="82" t="s">
        <v>847</v>
      </c>
      <c r="G154" s="37"/>
      <c r="H154" s="37"/>
      <c r="I154" s="37"/>
    </row>
    <row r="155" spans="1:9" ht="13.5" x14ac:dyDescent="0.25">
      <c r="A155" s="220" t="s">
        <v>595</v>
      </c>
      <c r="B155" s="103">
        <v>478.59019999999998</v>
      </c>
      <c r="C155" s="103"/>
      <c r="D155" s="82" t="s">
        <v>847</v>
      </c>
      <c r="G155" s="37"/>
      <c r="H155" s="37"/>
      <c r="I155" s="37"/>
    </row>
    <row r="156" spans="1:9" ht="13.5" x14ac:dyDescent="0.25">
      <c r="A156" s="220" t="s">
        <v>596</v>
      </c>
      <c r="B156" s="103">
        <v>351.47149999999999</v>
      </c>
      <c r="C156" s="103"/>
      <c r="D156" s="82" t="s">
        <v>847</v>
      </c>
      <c r="G156" s="37"/>
      <c r="H156" s="37"/>
      <c r="I156" s="37"/>
    </row>
    <row r="157" spans="1:9" ht="13.5" x14ac:dyDescent="0.25">
      <c r="A157" s="220" t="s">
        <v>597</v>
      </c>
      <c r="B157" s="103">
        <v>728.30179999999996</v>
      </c>
      <c r="C157" s="103"/>
      <c r="D157" s="82" t="s">
        <v>847</v>
      </c>
      <c r="G157" s="37"/>
      <c r="H157" s="37"/>
      <c r="I157" s="37"/>
    </row>
    <row r="158" spans="1:9" x14ac:dyDescent="0.2">
      <c r="A158" s="220"/>
      <c r="B158" s="103" t="s">
        <v>1921</v>
      </c>
      <c r="C158" s="103"/>
      <c r="D158" s="82"/>
    </row>
    <row r="159" spans="1:9" ht="36" x14ac:dyDescent="0.2">
      <c r="B159" s="866" t="s">
        <v>1922</v>
      </c>
      <c r="C159" s="239" t="s">
        <v>1373</v>
      </c>
      <c r="D159" s="37"/>
    </row>
  </sheetData>
  <mergeCells count="1">
    <mergeCell ref="A1:F1"/>
  </mergeCells>
  <printOptions horizontalCentered="1"/>
  <pageMargins left="0.7" right="0.7" top="1.1499999999999999" bottom="0.78740157499999996" header="0.25" footer="0.3"/>
  <pageSetup paperSize="9" scale="90" fitToHeight="3" orientation="portrait" r:id="rId1"/>
  <headerFooter>
    <oddFooter>&amp;C&amp;"Gill Sans MT,Regular"&amp;9&amp;P of &amp;N&amp;R&amp;"Gill Sans MT,Regular"&amp;8Spreadsheet designed by EBA on behalf of Transport Canada</oddFooter>
  </headerFooter>
  <rowBreaks count="1" manualBreakCount="1">
    <brk id="104" max="2"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W180"/>
  <sheetViews>
    <sheetView view="pageBreakPreview" zoomScaleNormal="100" zoomScaleSheetLayoutView="100" workbookViewId="0">
      <selection activeCell="C2" sqref="C2"/>
    </sheetView>
  </sheetViews>
  <sheetFormatPr defaultColWidth="9.140625" defaultRowHeight="12.75" x14ac:dyDescent="0.2"/>
  <cols>
    <col min="1" max="1" width="9.140625" style="14"/>
    <col min="2" max="2" width="9.5703125" style="29" customWidth="1"/>
    <col min="3" max="3" width="11.42578125" style="14" customWidth="1"/>
    <col min="4" max="4" width="12.28515625" style="14" customWidth="1"/>
    <col min="5" max="5" width="9.5703125" style="14" customWidth="1"/>
    <col min="6" max="10" width="11.5703125" style="14" customWidth="1"/>
    <col min="11" max="11" width="8.85546875" style="14" customWidth="1"/>
    <col min="12" max="12" width="13.5703125" style="14" customWidth="1"/>
    <col min="13" max="13" width="7.7109375" style="30" customWidth="1"/>
    <col min="14" max="14" width="4.140625" style="30" customWidth="1"/>
    <col min="15" max="15" width="11.28515625" style="14" bestFit="1" customWidth="1"/>
    <col min="16" max="16" width="9.140625" style="14"/>
    <col min="17" max="18" width="9.28515625" style="14" bestFit="1" customWidth="1"/>
    <col min="19" max="16384" width="9.140625" style="14"/>
  </cols>
  <sheetData>
    <row r="1" spans="1:23" ht="48" customHeight="1" x14ac:dyDescent="0.25">
      <c r="A1" s="1109" t="s">
        <v>1926</v>
      </c>
      <c r="B1" s="1109"/>
      <c r="C1" s="1109"/>
      <c r="D1" s="1109"/>
      <c r="E1" s="1109"/>
      <c r="F1" s="1109"/>
      <c r="G1" s="665" t="str">
        <f>+Calc1!C6</f>
        <v>XYZ</v>
      </c>
      <c r="H1" s="666">
        <f>Calc1!J8</f>
        <v>2011</v>
      </c>
      <c r="I1" s="161"/>
      <c r="J1" s="161"/>
      <c r="K1" s="161"/>
      <c r="L1" s="161"/>
      <c r="M1" s="161"/>
      <c r="N1" s="161"/>
      <c r="O1" s="20"/>
    </row>
    <row r="2" spans="1:23" ht="15" customHeight="1" x14ac:dyDescent="0.25">
      <c r="B2" s="258" t="s">
        <v>656</v>
      </c>
      <c r="C2" s="1039">
        <f>Calc1!C4</f>
        <v>0</v>
      </c>
      <c r="F2" s="255" t="s">
        <v>187</v>
      </c>
      <c r="G2" s="188" t="str">
        <f>+Calc1!C10</f>
        <v xml:space="preserve">Albania </v>
      </c>
      <c r="H2" s="15"/>
      <c r="I2" s="257" t="s">
        <v>1086</v>
      </c>
      <c r="J2" s="210">
        <f>+Calc1!I153</f>
        <v>100</v>
      </c>
      <c r="M2" s="15"/>
      <c r="O2" s="224"/>
    </row>
    <row r="3" spans="1:23" x14ac:dyDescent="0.2">
      <c r="B3" s="259" t="s">
        <v>1088</v>
      </c>
      <c r="C3" s="62">
        <f>Calc1!J6</f>
        <v>41153</v>
      </c>
      <c r="F3" s="256"/>
      <c r="G3" s="149"/>
      <c r="H3" s="189"/>
      <c r="I3" s="257" t="s">
        <v>1412</v>
      </c>
      <c r="J3" s="210">
        <f>+Calc1!J11</f>
        <v>100</v>
      </c>
    </row>
    <row r="4" spans="1:23" ht="12.75" customHeight="1" x14ac:dyDescent="0.2">
      <c r="B4" s="260" t="s">
        <v>1068</v>
      </c>
      <c r="C4" s="14">
        <f>+Calc1!H4</f>
        <v>0</v>
      </c>
      <c r="F4" s="256"/>
      <c r="G4" s="149"/>
      <c r="H4" s="189"/>
      <c r="I4" s="257" t="s">
        <v>1139</v>
      </c>
      <c r="J4" s="210">
        <f>Calc1!J11+(Calc1!J12*10)</f>
        <v>200</v>
      </c>
    </row>
    <row r="5" spans="1:23" ht="15" customHeight="1" x14ac:dyDescent="0.2">
      <c r="B5" s="14"/>
      <c r="F5" s="1137" t="s">
        <v>1082</v>
      </c>
      <c r="G5" s="1138"/>
      <c r="H5" s="1138"/>
      <c r="I5" s="1138"/>
      <c r="J5" s="1139"/>
      <c r="L5" s="16"/>
      <c r="M5" s="32"/>
    </row>
    <row r="6" spans="1:23" s="31" customFormat="1" x14ac:dyDescent="0.2">
      <c r="B6" s="531" t="s">
        <v>1083</v>
      </c>
      <c r="C6" s="1124" t="s">
        <v>133</v>
      </c>
      <c r="D6" s="1125"/>
      <c r="E6" s="1126"/>
      <c r="F6" s="265" t="s">
        <v>197</v>
      </c>
      <c r="G6" s="265" t="s">
        <v>180</v>
      </c>
      <c r="H6" s="265" t="s">
        <v>194</v>
      </c>
      <c r="I6" s="265" t="s">
        <v>195</v>
      </c>
      <c r="J6" s="265" t="s">
        <v>196</v>
      </c>
      <c r="L6" s="30"/>
      <c r="M6" s="30"/>
      <c r="N6" s="30"/>
      <c r="O6" s="14"/>
      <c r="P6" s="14"/>
      <c r="Q6" s="14"/>
      <c r="R6" s="14"/>
      <c r="S6" s="14"/>
      <c r="T6" s="14"/>
      <c r="U6" s="14"/>
      <c r="V6" s="14"/>
      <c r="W6" s="14"/>
    </row>
    <row r="7" spans="1:23" x14ac:dyDescent="0.2">
      <c r="B7" s="1132" t="s">
        <v>134</v>
      </c>
      <c r="C7" s="656" t="s">
        <v>1475</v>
      </c>
      <c r="D7" s="657" t="s">
        <v>1700</v>
      </c>
      <c r="E7" s="657"/>
      <c r="F7" s="839">
        <f>Calc2!H41</f>
        <v>5.9860000000000006E-5</v>
      </c>
      <c r="G7" s="839">
        <f>Calc2!I41</f>
        <v>5.1100000000000002E-5</v>
      </c>
      <c r="H7" s="839">
        <f>Calc2!J41</f>
        <v>4.9858999999999993E-4</v>
      </c>
      <c r="I7" s="839">
        <f>Calc2!K41</f>
        <v>1.2993999999999998E-7</v>
      </c>
      <c r="J7" s="839">
        <f>Calc2!L41</f>
        <v>1.4600000000000001E-7</v>
      </c>
      <c r="L7" s="30"/>
    </row>
    <row r="8" spans="1:23" x14ac:dyDescent="0.2">
      <c r="B8" s="1133"/>
      <c r="C8" s="656" t="s">
        <v>1475</v>
      </c>
      <c r="D8" s="657" t="s">
        <v>1701</v>
      </c>
      <c r="E8" s="657"/>
      <c r="F8" s="839">
        <f>+Calc2!F80</f>
        <v>2.3305800000000003E-5</v>
      </c>
      <c r="G8" s="839">
        <f>+Calc2!G80</f>
        <v>9.9881999999999999E-7</v>
      </c>
      <c r="H8" s="839">
        <f>+Calc2!H80</f>
        <v>9.9882000000000004E-6</v>
      </c>
      <c r="I8" s="839">
        <f>+Calc2!I80</f>
        <v>1.6647000000000001E-7</v>
      </c>
      <c r="J8" s="839">
        <f>+Calc2!J80</f>
        <v>1.6647000000000001E-7</v>
      </c>
      <c r="L8" s="30"/>
    </row>
    <row r="9" spans="1:23" x14ac:dyDescent="0.2">
      <c r="B9" s="1133"/>
      <c r="C9" s="656" t="s">
        <v>1475</v>
      </c>
      <c r="D9" s="1122" t="s">
        <v>1702</v>
      </c>
      <c r="E9" s="1123"/>
      <c r="F9" s="839">
        <f>Calc2!H99</f>
        <v>0</v>
      </c>
      <c r="G9" s="839">
        <f>Calc2!I99</f>
        <v>0</v>
      </c>
      <c r="H9" s="839">
        <f>Calc2!J99</f>
        <v>0</v>
      </c>
      <c r="I9" s="839">
        <f>Calc2!K99</f>
        <v>0</v>
      </c>
      <c r="J9" s="839">
        <f>Calc2!L99</f>
        <v>0</v>
      </c>
      <c r="L9" s="30"/>
    </row>
    <row r="10" spans="1:23" x14ac:dyDescent="0.2">
      <c r="B10" s="1133"/>
      <c r="C10" s="656" t="s">
        <v>1475</v>
      </c>
      <c r="D10" s="657" t="s">
        <v>681</v>
      </c>
      <c r="E10" s="657"/>
      <c r="F10" s="839">
        <f>Calc2!G117</f>
        <v>0</v>
      </c>
      <c r="G10" s="839">
        <f>Calc2!H117</f>
        <v>0</v>
      </c>
      <c r="H10" s="839">
        <f>Calc2!I117</f>
        <v>0</v>
      </c>
      <c r="I10" s="839">
        <f>Calc2!J117</f>
        <v>0</v>
      </c>
      <c r="J10" s="839">
        <f>Calc2!K117</f>
        <v>0</v>
      </c>
      <c r="L10" s="30"/>
    </row>
    <row r="11" spans="1:23" x14ac:dyDescent="0.2">
      <c r="B11" s="1133"/>
      <c r="C11" s="656" t="s">
        <v>1475</v>
      </c>
      <c r="D11" s="1122" t="s">
        <v>1703</v>
      </c>
      <c r="E11" s="1123"/>
      <c r="F11" s="839"/>
      <c r="G11" s="839">
        <f>Calc2!H129</f>
        <v>0</v>
      </c>
      <c r="H11" s="839"/>
      <c r="I11" s="839"/>
      <c r="J11" s="839"/>
      <c r="L11" s="30"/>
    </row>
    <row r="12" spans="1:23" x14ac:dyDescent="0.2">
      <c r="B12" s="1133"/>
      <c r="C12" s="656" t="s">
        <v>1475</v>
      </c>
      <c r="D12" s="657" t="s">
        <v>1084</v>
      </c>
      <c r="E12" s="657"/>
      <c r="F12" s="858"/>
      <c r="G12" s="858"/>
      <c r="H12" s="858"/>
      <c r="I12" s="858"/>
      <c r="J12" s="858"/>
      <c r="K12" s="14" t="s">
        <v>1724</v>
      </c>
      <c r="L12" s="30"/>
      <c r="O12" s="17"/>
    </row>
    <row r="13" spans="1:23" x14ac:dyDescent="0.2">
      <c r="B13" s="1140"/>
      <c r="C13" s="656" t="s">
        <v>1475</v>
      </c>
      <c r="D13" s="657" t="s">
        <v>1704</v>
      </c>
      <c r="E13" s="657"/>
      <c r="F13" s="839">
        <f>Calc2!F173</f>
        <v>0</v>
      </c>
      <c r="G13" s="839">
        <f>Calc2!G173</f>
        <v>0</v>
      </c>
      <c r="H13" s="839">
        <f>Calc2!H173</f>
        <v>0</v>
      </c>
      <c r="I13" s="839">
        <f>Calc2!I173</f>
        <v>0</v>
      </c>
      <c r="J13" s="839">
        <f>Calc2!J173</f>
        <v>0</v>
      </c>
      <c r="L13" s="30"/>
      <c r="O13" s="17"/>
    </row>
    <row r="14" spans="1:23" ht="12.75" customHeight="1" x14ac:dyDescent="0.2">
      <c r="B14" s="674" t="s">
        <v>141</v>
      </c>
      <c r="C14" s="658"/>
      <c r="D14" s="658"/>
      <c r="E14" s="658"/>
      <c r="F14" s="855">
        <f>SUM(F7:F13)</f>
        <v>8.3165800000000009E-5</v>
      </c>
      <c r="G14" s="855">
        <f t="shared" ref="G14:J14" si="0">SUM(G7:G13)</f>
        <v>5.2098820000000005E-5</v>
      </c>
      <c r="H14" s="855">
        <f t="shared" si="0"/>
        <v>5.0857819999999994E-4</v>
      </c>
      <c r="I14" s="855">
        <f t="shared" si="0"/>
        <v>2.9640999999999999E-7</v>
      </c>
      <c r="J14" s="855">
        <f t="shared" si="0"/>
        <v>3.1246999999999999E-7</v>
      </c>
      <c r="L14" s="30"/>
      <c r="O14" s="17"/>
      <c r="Q14" s="33"/>
    </row>
    <row r="15" spans="1:23" x14ac:dyDescent="0.2">
      <c r="B15" s="1132" t="s">
        <v>1089</v>
      </c>
      <c r="C15" s="656" t="s">
        <v>1705</v>
      </c>
      <c r="D15" s="657" t="s">
        <v>1706</v>
      </c>
      <c r="E15" s="657"/>
      <c r="F15" s="839">
        <f>Calc2!E324</f>
        <v>1.3223155800000002</v>
      </c>
      <c r="G15" s="839">
        <f>Calc2!G324</f>
        <v>4.7620365000000005E-2</v>
      </c>
      <c r="H15" s="839">
        <f>Calc2!I324</f>
        <v>0.65646467400000008</v>
      </c>
      <c r="I15" s="839">
        <f>Calc2!K324</f>
        <v>4.1718604095599843E-3</v>
      </c>
      <c r="J15" s="839">
        <f>Calc2!M324</f>
        <v>4.7297100000000009E-2</v>
      </c>
      <c r="L15" s="30"/>
      <c r="O15" s="55"/>
    </row>
    <row r="16" spans="1:23" x14ac:dyDescent="0.2">
      <c r="B16" s="1133"/>
      <c r="C16" s="656" t="s">
        <v>1705</v>
      </c>
      <c r="D16" s="1122" t="s">
        <v>1707</v>
      </c>
      <c r="E16" s="1123"/>
      <c r="F16" s="839">
        <f>+Calc2!R324</f>
        <v>7.1999999999999995E-2</v>
      </c>
      <c r="G16" s="839">
        <f>Calc2!S324</f>
        <v>4.7999999999999996E-3</v>
      </c>
      <c r="H16" s="839">
        <f>+Calc2!T324</f>
        <v>6.2999999999999992E-3</v>
      </c>
      <c r="I16" s="839">
        <f>+Calc2!U324</f>
        <v>1.1999999999999999E-3</v>
      </c>
      <c r="J16" s="839">
        <f>+Calc2!V324</f>
        <v>4.4999999999999997E-3</v>
      </c>
      <c r="L16" s="30"/>
      <c r="O16" s="55"/>
    </row>
    <row r="17" spans="2:15" x14ac:dyDescent="0.2">
      <c r="B17" s="1133"/>
      <c r="C17" s="656" t="s">
        <v>1705</v>
      </c>
      <c r="D17" s="657" t="s">
        <v>1708</v>
      </c>
      <c r="E17" s="657"/>
      <c r="F17" s="839">
        <f>Calc2!F513</f>
        <v>1.5E-6</v>
      </c>
      <c r="G17" s="839">
        <f>Calc2!G513</f>
        <v>6.8400000000000009E-5</v>
      </c>
      <c r="H17" s="839">
        <f>Calc2!H513</f>
        <v>1.5E-3</v>
      </c>
      <c r="I17" s="839">
        <f>Calc2!I513</f>
        <v>7.4999999999999997E-8</v>
      </c>
      <c r="J17" s="839">
        <f>Calc2!J513</f>
        <v>7.5000000000000002E-7</v>
      </c>
      <c r="L17" s="30"/>
      <c r="O17" s="55"/>
    </row>
    <row r="18" spans="2:15" x14ac:dyDescent="0.2">
      <c r="B18" s="1133"/>
      <c r="C18" s="656" t="s">
        <v>1705</v>
      </c>
      <c r="D18" s="657" t="s">
        <v>1709</v>
      </c>
      <c r="E18" s="657"/>
      <c r="F18" s="839"/>
      <c r="G18" s="859">
        <f>Calc2!H526</f>
        <v>0</v>
      </c>
      <c r="H18" s="839"/>
      <c r="I18" s="839"/>
      <c r="J18" s="839"/>
      <c r="L18" s="30"/>
      <c r="O18" s="55"/>
    </row>
    <row r="19" spans="2:15" x14ac:dyDescent="0.2">
      <c r="B19" s="1133"/>
      <c r="C19" s="656" t="s">
        <v>1705</v>
      </c>
      <c r="D19" s="657" t="s">
        <v>1700</v>
      </c>
      <c r="E19" s="657"/>
      <c r="F19" s="839">
        <f>Calc2!H384</f>
        <v>0</v>
      </c>
      <c r="G19" s="839">
        <f>Calc2!I384</f>
        <v>0</v>
      </c>
      <c r="H19" s="839">
        <f>Calc2!J384</f>
        <v>0</v>
      </c>
      <c r="I19" s="839">
        <f>Calc2!K384</f>
        <v>0</v>
      </c>
      <c r="J19" s="839">
        <f>Calc2!L384</f>
        <v>0</v>
      </c>
      <c r="L19" s="30"/>
    </row>
    <row r="20" spans="2:15" x14ac:dyDescent="0.2">
      <c r="B20" s="1133"/>
      <c r="C20" s="656" t="s">
        <v>1705</v>
      </c>
      <c r="D20" s="657" t="s">
        <v>1701</v>
      </c>
      <c r="E20" s="657"/>
      <c r="F20" s="839">
        <f>+Calc2!F430</f>
        <v>0</v>
      </c>
      <c r="G20" s="839">
        <f>+Calc2!G430</f>
        <v>0</v>
      </c>
      <c r="H20" s="839">
        <f>+Calc2!H430</f>
        <v>0</v>
      </c>
      <c r="I20" s="839">
        <f>+Calc2!I430</f>
        <v>0</v>
      </c>
      <c r="J20" s="839">
        <f>+Calc2!J430</f>
        <v>0</v>
      </c>
      <c r="L20" s="30"/>
    </row>
    <row r="21" spans="2:15" x14ac:dyDescent="0.2">
      <c r="B21" s="1133"/>
      <c r="C21" s="656" t="s">
        <v>1705</v>
      </c>
      <c r="D21" s="657" t="s">
        <v>1084</v>
      </c>
      <c r="E21" s="657"/>
      <c r="F21" s="860"/>
      <c r="G21" s="860"/>
      <c r="H21" s="860"/>
      <c r="I21" s="860"/>
      <c r="J21" s="860"/>
      <c r="K21" s="14" t="s">
        <v>1724</v>
      </c>
      <c r="L21" s="30"/>
      <c r="O21" s="17"/>
    </row>
    <row r="22" spans="2:15" x14ac:dyDescent="0.2">
      <c r="B22" s="1133"/>
      <c r="C22" s="656" t="s">
        <v>1705</v>
      </c>
      <c r="D22" s="657" t="s">
        <v>1704</v>
      </c>
      <c r="E22" s="657"/>
      <c r="F22" s="859">
        <f>Calc2!F460</f>
        <v>0</v>
      </c>
      <c r="G22" s="859">
        <f>Calc2!G460</f>
        <v>0</v>
      </c>
      <c r="H22" s="859">
        <f>Calc2!H460</f>
        <v>0</v>
      </c>
      <c r="I22" s="859">
        <f>Calc2!I460</f>
        <v>0</v>
      </c>
      <c r="J22" s="859">
        <f>Calc2!J460</f>
        <v>0</v>
      </c>
      <c r="L22" s="30"/>
      <c r="O22" s="17"/>
    </row>
    <row r="23" spans="2:15" x14ac:dyDescent="0.2">
      <c r="B23" s="1133"/>
      <c r="C23" s="656" t="s">
        <v>1705</v>
      </c>
      <c r="D23" s="1122" t="s">
        <v>1702</v>
      </c>
      <c r="E23" s="1123"/>
      <c r="F23" s="839">
        <f>Calc2!H478</f>
        <v>0</v>
      </c>
      <c r="G23" s="839">
        <f>Calc2!I478</f>
        <v>0</v>
      </c>
      <c r="H23" s="839">
        <f>Calc2!J478</f>
        <v>0</v>
      </c>
      <c r="I23" s="839">
        <f>Calc2!K478</f>
        <v>0</v>
      </c>
      <c r="J23" s="839">
        <f>Calc2!L478</f>
        <v>0</v>
      </c>
      <c r="L23" s="30"/>
      <c r="O23" s="17"/>
    </row>
    <row r="24" spans="2:15" x14ac:dyDescent="0.2">
      <c r="B24" s="1133"/>
      <c r="C24" s="656" t="s">
        <v>1705</v>
      </c>
      <c r="D24" s="657" t="s">
        <v>681</v>
      </c>
      <c r="E24" s="657"/>
      <c r="F24" s="839">
        <f>Calc2!G495</f>
        <v>0</v>
      </c>
      <c r="G24" s="839">
        <f>Calc2!H495</f>
        <v>0</v>
      </c>
      <c r="H24" s="839">
        <f>Calc2!I495</f>
        <v>0</v>
      </c>
      <c r="I24" s="839">
        <f>Calc2!J495</f>
        <v>0</v>
      </c>
      <c r="J24" s="839">
        <f>Calc2!K495</f>
        <v>0</v>
      </c>
      <c r="L24" s="30"/>
      <c r="O24" s="17"/>
    </row>
    <row r="25" spans="2:15" x14ac:dyDescent="0.2">
      <c r="B25" s="1133"/>
      <c r="C25" s="656" t="s">
        <v>1705</v>
      </c>
      <c r="D25" s="657" t="s">
        <v>1710</v>
      </c>
      <c r="E25" s="657"/>
      <c r="F25" s="839">
        <f>Calc2!F922</f>
        <v>20.266524</v>
      </c>
      <c r="G25" s="839">
        <f>Calc2!G922</f>
        <v>18.1004592</v>
      </c>
      <c r="H25" s="839">
        <f>Calc2!H922</f>
        <v>170.00670239999999</v>
      </c>
      <c r="I25" s="839">
        <f>Calc2!I922</f>
        <v>0.30962479199999998</v>
      </c>
      <c r="J25" s="839">
        <f>Calc2!J922</f>
        <v>5.2365119999999994E-2</v>
      </c>
      <c r="L25" s="30"/>
      <c r="O25" s="236"/>
    </row>
    <row r="26" spans="2:15" x14ac:dyDescent="0.2">
      <c r="B26" s="1133"/>
      <c r="C26" s="656" t="s">
        <v>1475</v>
      </c>
      <c r="D26" s="657" t="s">
        <v>1711</v>
      </c>
      <c r="E26" s="657"/>
      <c r="F26" s="839">
        <f>Calc2!F908</f>
        <v>1.9511640000000001</v>
      </c>
      <c r="G26" s="839">
        <f>Calc2!G908</f>
        <v>1.7700912</v>
      </c>
      <c r="H26" s="839">
        <f>Calc2!H908</f>
        <v>16.621646400000003</v>
      </c>
      <c r="I26" s="839">
        <f>Calc2!I908</f>
        <v>2.4961751999999997E-2</v>
      </c>
      <c r="J26" s="839">
        <f>Calc2!J908</f>
        <v>5.115456E-3</v>
      </c>
      <c r="L26" s="30"/>
      <c r="O26" s="55"/>
    </row>
    <row r="27" spans="2:15" ht="12.75" customHeight="1" x14ac:dyDescent="0.2">
      <c r="B27" s="674" t="s">
        <v>143</v>
      </c>
      <c r="C27" s="655"/>
      <c r="D27" s="655"/>
      <c r="E27" s="655"/>
      <c r="F27" s="855">
        <f>SUM(F15:F26)</f>
        <v>23.612005079999999</v>
      </c>
      <c r="G27" s="855">
        <f t="shared" ref="G27:J27" si="1">SUM(G15:G26)</f>
        <v>19.923039164999999</v>
      </c>
      <c r="H27" s="855">
        <f t="shared" si="1"/>
        <v>187.29261347400001</v>
      </c>
      <c r="I27" s="855">
        <f t="shared" si="1"/>
        <v>0.33995847940955998</v>
      </c>
      <c r="J27" s="855">
        <f t="shared" si="1"/>
        <v>0.109278426</v>
      </c>
      <c r="L27" s="30"/>
    </row>
    <row r="28" spans="2:15" s="16" customFormat="1" x14ac:dyDescent="0.2">
      <c r="B28" s="1134" t="s">
        <v>144</v>
      </c>
      <c r="C28" s="1119" t="s">
        <v>145</v>
      </c>
      <c r="D28" s="1127" t="s">
        <v>1712</v>
      </c>
      <c r="E28" s="1123"/>
      <c r="F28" s="839">
        <f>Calc2!F928</f>
        <v>1.9813626000000002E-3</v>
      </c>
      <c r="G28" s="839">
        <f>Calc2!G928</f>
        <v>1.6208320800000003E-3</v>
      </c>
      <c r="H28" s="839">
        <f>Calc2!H928</f>
        <v>1.5243827760000004E-2</v>
      </c>
      <c r="I28" s="839">
        <f>Calc2!I928</f>
        <v>5.6526262800000017E-5</v>
      </c>
      <c r="J28" s="839">
        <f>Calc2!J928</f>
        <v>4.718716800000001E-6</v>
      </c>
      <c r="L28" s="30"/>
      <c r="M28" s="30"/>
      <c r="N28" s="30"/>
    </row>
    <row r="29" spans="2:15" ht="12.75" customHeight="1" x14ac:dyDescent="0.2">
      <c r="B29" s="1135"/>
      <c r="C29" s="1120"/>
      <c r="D29" s="1127" t="s">
        <v>1713</v>
      </c>
      <c r="E29" s="1123"/>
      <c r="F29" s="839">
        <f>Calc2!F929</f>
        <v>0.38736720000000002</v>
      </c>
      <c r="G29" s="839">
        <f>Calc2!G929</f>
        <v>5.5868359999999999E-2</v>
      </c>
      <c r="H29" s="839">
        <f>Calc2!H929</f>
        <v>0.53440379999999998</v>
      </c>
      <c r="I29" s="839">
        <f>Calc2!I929</f>
        <v>1.0998910000000001E-2</v>
      </c>
      <c r="J29" s="839">
        <f>Calc2!J929</f>
        <v>1.8933280000000001E-4</v>
      </c>
      <c r="L29" s="30"/>
    </row>
    <row r="30" spans="2:15" x14ac:dyDescent="0.2">
      <c r="B30" s="1136"/>
      <c r="C30" s="1121"/>
      <c r="D30" s="1128" t="s">
        <v>654</v>
      </c>
      <c r="E30" s="1129"/>
      <c r="F30" s="839">
        <f>Calc2!F930</f>
        <v>0</v>
      </c>
      <c r="G30" s="839">
        <f>Calc2!G930</f>
        <v>0</v>
      </c>
      <c r="H30" s="839">
        <f>Calc2!H930</f>
        <v>0</v>
      </c>
      <c r="I30" s="839">
        <f>Calc2!I930</f>
        <v>0</v>
      </c>
      <c r="J30" s="839">
        <f>Calc2!J930</f>
        <v>0</v>
      </c>
      <c r="L30" s="30"/>
      <c r="O30" s="41"/>
    </row>
    <row r="31" spans="2:15" x14ac:dyDescent="0.2">
      <c r="B31" s="674" t="s">
        <v>146</v>
      </c>
      <c r="C31" s="675"/>
      <c r="D31" s="676"/>
      <c r="E31" s="676"/>
      <c r="F31" s="855">
        <f>SUM(F28:F30)</f>
        <v>0.3893485626</v>
      </c>
      <c r="G31" s="855">
        <f t="shared" ref="G31:J31" si="2">SUM(G28:G30)</f>
        <v>5.7489192080000001E-2</v>
      </c>
      <c r="H31" s="855">
        <f t="shared" si="2"/>
        <v>0.54964762775999998</v>
      </c>
      <c r="I31" s="855">
        <f t="shared" si="2"/>
        <v>1.1055436262800001E-2</v>
      </c>
      <c r="J31" s="856">
        <f t="shared" si="2"/>
        <v>1.940515168E-4</v>
      </c>
      <c r="O31" s="21"/>
    </row>
    <row r="32" spans="2:15" ht="15" customHeight="1" x14ac:dyDescent="0.2">
      <c r="C32" s="195"/>
      <c r="E32" s="96"/>
      <c r="F32" s="96"/>
      <c r="G32" s="96"/>
      <c r="H32" s="96"/>
      <c r="I32" s="96"/>
      <c r="J32" s="96"/>
      <c r="O32" s="21"/>
    </row>
    <row r="33" spans="2:15" ht="15" customHeight="1" x14ac:dyDescent="0.25">
      <c r="B33" s="677" t="s">
        <v>1911</v>
      </c>
      <c r="C33" s="678"/>
      <c r="D33" s="673"/>
      <c r="E33" s="679"/>
      <c r="F33" s="857">
        <f>+F14+F27+F31</f>
        <v>24.001436808399998</v>
      </c>
      <c r="G33" s="857">
        <f>+G14+G27+G31</f>
        <v>19.980580455899997</v>
      </c>
      <c r="H33" s="857">
        <f>+H14+H27+H31</f>
        <v>187.84276967996001</v>
      </c>
      <c r="I33" s="857">
        <f>+I14+I27+I31</f>
        <v>0.35101421208235994</v>
      </c>
      <c r="J33" s="857">
        <f>+J14+J27+J31</f>
        <v>0.1094727899868</v>
      </c>
      <c r="K33" s="854" t="s">
        <v>1150</v>
      </c>
      <c r="L33" s="96"/>
      <c r="M33" s="96"/>
      <c r="N33" s="227"/>
      <c r="O33" s="21"/>
    </row>
    <row r="34" spans="2:15" ht="15" customHeight="1" x14ac:dyDescent="0.2">
      <c r="B34" s="195"/>
      <c r="C34" s="195"/>
      <c r="E34" s="196"/>
      <c r="M34" s="14"/>
      <c r="N34" s="225"/>
      <c r="O34" s="21"/>
    </row>
    <row r="35" spans="2:15" ht="15" customHeight="1" x14ac:dyDescent="0.2">
      <c r="B35" s="195"/>
      <c r="C35" s="195"/>
      <c r="E35" s="671" t="s">
        <v>1096</v>
      </c>
      <c r="F35" s="672"/>
      <c r="G35" s="672"/>
      <c r="H35" s="672"/>
      <c r="I35" s="673"/>
      <c r="J35" s="865" t="str">
        <f>IF(Calc1!E279="No.", "estimated traffic data", "a detailed traffic survey")</f>
        <v>estimated traffic data</v>
      </c>
      <c r="K35" s="673"/>
      <c r="L35" s="660"/>
      <c r="N35" s="225"/>
      <c r="O35" s="17"/>
    </row>
    <row r="36" spans="2:15" ht="15" customHeight="1" x14ac:dyDescent="0.2">
      <c r="C36" s="195"/>
      <c r="F36" s="35"/>
      <c r="G36" s="35"/>
      <c r="H36" s="35"/>
      <c r="I36" s="35"/>
      <c r="J36" s="35"/>
      <c r="K36" s="35"/>
      <c r="L36" s="35"/>
      <c r="M36" s="35"/>
      <c r="N36" s="35"/>
      <c r="O36" s="17"/>
    </row>
    <row r="37" spans="2:15" ht="15" customHeight="1" x14ac:dyDescent="0.2">
      <c r="F37" s="35"/>
      <c r="G37" s="35"/>
      <c r="H37" s="35"/>
      <c r="I37" s="35"/>
      <c r="J37" s="35"/>
      <c r="K37" s="35"/>
      <c r="L37" s="35"/>
      <c r="M37" s="35"/>
      <c r="N37" s="35"/>
      <c r="O37" s="17"/>
    </row>
    <row r="38" spans="2:15" ht="15" customHeight="1" x14ac:dyDescent="0.2">
      <c r="F38" s="35"/>
      <c r="G38" s="35"/>
      <c r="H38" s="196"/>
      <c r="I38" s="196"/>
      <c r="J38" s="196"/>
      <c r="K38" s="285"/>
      <c r="L38" s="286"/>
      <c r="M38" s="287"/>
      <c r="N38" s="34"/>
      <c r="O38" s="17"/>
    </row>
    <row r="39" spans="2:15" ht="15" customHeight="1" x14ac:dyDescent="0.2">
      <c r="F39" s="35"/>
      <c r="G39" s="35"/>
      <c r="H39" s="196"/>
      <c r="I39" s="196"/>
      <c r="J39" s="196"/>
      <c r="K39" s="285"/>
      <c r="L39" s="286"/>
      <c r="M39" s="287"/>
      <c r="N39" s="34"/>
      <c r="O39" s="17"/>
    </row>
    <row r="40" spans="2:15" ht="15" customHeight="1" x14ac:dyDescent="0.2">
      <c r="F40" s="35"/>
      <c r="G40" s="35"/>
      <c r="H40" s="196"/>
      <c r="I40" s="196"/>
      <c r="J40" s="196"/>
      <c r="K40" s="285"/>
      <c r="L40" s="286"/>
      <c r="M40" s="287"/>
      <c r="N40" s="34"/>
      <c r="O40" s="17"/>
    </row>
    <row r="41" spans="2:15" ht="15" customHeight="1" x14ac:dyDescent="0.2">
      <c r="F41" s="35"/>
      <c r="G41" s="35"/>
      <c r="H41" s="196"/>
      <c r="I41" s="196"/>
      <c r="J41" s="196"/>
      <c r="K41" s="285"/>
      <c r="L41" s="286"/>
      <c r="M41" s="287"/>
      <c r="N41" s="34"/>
      <c r="O41" s="17"/>
    </row>
    <row r="42" spans="2:15" ht="15" customHeight="1" x14ac:dyDescent="0.2">
      <c r="F42" s="35"/>
      <c r="G42" s="35"/>
      <c r="H42" s="196"/>
      <c r="I42" s="196"/>
      <c r="J42" s="196"/>
      <c r="K42" s="285"/>
      <c r="L42" s="286"/>
      <c r="M42" s="287"/>
      <c r="N42" s="34"/>
      <c r="O42" s="17"/>
    </row>
    <row r="43" spans="2:15" ht="15" customHeight="1" x14ac:dyDescent="0.2">
      <c r="F43" s="35"/>
      <c r="G43" s="35"/>
      <c r="H43" s="196"/>
      <c r="I43" s="196"/>
      <c r="J43" s="196"/>
      <c r="K43" s="285"/>
      <c r="L43" s="286"/>
      <c r="M43" s="287"/>
      <c r="N43" s="34"/>
      <c r="O43" s="17"/>
    </row>
    <row r="44" spans="2:15" ht="15" customHeight="1" x14ac:dyDescent="0.2">
      <c r="F44" s="35"/>
      <c r="G44" s="35"/>
      <c r="H44" s="196"/>
      <c r="I44" s="196"/>
      <c r="J44" s="196"/>
      <c r="K44" s="285"/>
      <c r="L44" s="286"/>
      <c r="M44" s="287"/>
      <c r="N44" s="34"/>
      <c r="O44" s="17"/>
    </row>
    <row r="45" spans="2:15" ht="15" customHeight="1" x14ac:dyDescent="0.2">
      <c r="F45" s="35"/>
      <c r="G45" s="35"/>
      <c r="H45" s="196"/>
      <c r="I45" s="196"/>
      <c r="J45" s="196"/>
      <c r="K45" s="285"/>
      <c r="L45" s="286"/>
      <c r="M45" s="287"/>
      <c r="N45" s="34"/>
      <c r="O45" s="17"/>
    </row>
    <row r="46" spans="2:15" ht="15" customHeight="1" x14ac:dyDescent="0.2">
      <c r="F46" s="35"/>
      <c r="G46" s="35"/>
      <c r="H46" s="196"/>
      <c r="I46" s="196"/>
      <c r="J46" s="196"/>
      <c r="K46" s="285"/>
      <c r="L46" s="286"/>
      <c r="M46" s="287"/>
      <c r="N46" s="34"/>
      <c r="O46" s="17"/>
    </row>
    <row r="47" spans="2:15" ht="15" customHeight="1" x14ac:dyDescent="0.2">
      <c r="F47" s="35"/>
      <c r="G47" s="35"/>
      <c r="H47" s="196"/>
      <c r="I47" s="196"/>
      <c r="J47" s="196"/>
      <c r="K47" s="285"/>
      <c r="L47" s="286"/>
      <c r="M47" s="287"/>
      <c r="N47" s="34"/>
      <c r="O47" s="17"/>
    </row>
    <row r="48" spans="2:15" ht="15" customHeight="1" x14ac:dyDescent="0.2">
      <c r="F48" s="35"/>
      <c r="G48" s="35"/>
      <c r="H48" s="196"/>
      <c r="I48" s="196"/>
      <c r="J48" s="196"/>
      <c r="K48" s="285"/>
      <c r="L48" s="286"/>
      <c r="M48" s="287"/>
      <c r="N48" s="34"/>
      <c r="O48" s="17"/>
    </row>
    <row r="49" spans="2:15" ht="15" customHeight="1" x14ac:dyDescent="0.2">
      <c r="B49" s="14"/>
      <c r="F49" s="35"/>
      <c r="G49" s="35"/>
      <c r="H49" s="196"/>
      <c r="I49" s="196"/>
      <c r="J49" s="196"/>
      <c r="K49" s="285"/>
      <c r="L49" s="286"/>
      <c r="M49" s="287"/>
      <c r="N49" s="34"/>
      <c r="O49" s="17"/>
    </row>
    <row r="50" spans="2:15" ht="15" customHeight="1" x14ac:dyDescent="0.2">
      <c r="B50" s="14"/>
      <c r="F50" s="35"/>
      <c r="G50" s="35"/>
      <c r="H50" s="196"/>
      <c r="I50" s="196"/>
      <c r="J50" s="196"/>
      <c r="K50" s="285"/>
      <c r="L50" s="286"/>
      <c r="M50" s="287"/>
      <c r="N50" s="34"/>
      <c r="O50" s="17"/>
    </row>
    <row r="51" spans="2:15" ht="15" customHeight="1" x14ac:dyDescent="0.2">
      <c r="B51" s="14"/>
      <c r="F51" s="35"/>
      <c r="G51" s="35"/>
      <c r="H51" s="196"/>
      <c r="I51" s="196"/>
      <c r="J51" s="196"/>
      <c r="K51" s="285"/>
      <c r="L51" s="286"/>
      <c r="M51" s="287"/>
      <c r="N51" s="34"/>
      <c r="O51" s="17"/>
    </row>
    <row r="52" spans="2:15" ht="15" customHeight="1" x14ac:dyDescent="0.2">
      <c r="B52" s="14"/>
      <c r="F52" s="35"/>
      <c r="G52" s="35"/>
      <c r="H52" s="196"/>
      <c r="I52" s="196"/>
      <c r="J52" s="196"/>
      <c r="K52" s="285"/>
      <c r="L52" s="286"/>
      <c r="M52" s="287"/>
      <c r="N52" s="34"/>
      <c r="O52" s="17"/>
    </row>
    <row r="53" spans="2:15" ht="15" customHeight="1" x14ac:dyDescent="0.2">
      <c r="B53" s="14"/>
      <c r="F53" s="35"/>
      <c r="G53" s="35"/>
      <c r="H53" s="196"/>
      <c r="I53" s="196"/>
      <c r="J53" s="196"/>
      <c r="K53" s="285"/>
      <c r="L53" s="286"/>
      <c r="M53" s="287"/>
      <c r="N53" s="34"/>
      <c r="O53" s="17"/>
    </row>
    <row r="54" spans="2:15" ht="15" customHeight="1" x14ac:dyDescent="0.2">
      <c r="B54" s="14"/>
      <c r="F54" s="35"/>
      <c r="G54" s="35"/>
      <c r="H54" s="196"/>
      <c r="I54" s="196"/>
      <c r="J54" s="196"/>
      <c r="K54" s="285"/>
      <c r="L54" s="286"/>
      <c r="M54" s="287"/>
      <c r="N54" s="34"/>
      <c r="O54" s="17"/>
    </row>
    <row r="55" spans="2:15" ht="15" customHeight="1" x14ac:dyDescent="0.2">
      <c r="B55" s="14"/>
      <c r="F55" s="35"/>
      <c r="G55" s="35"/>
      <c r="H55" s="196"/>
      <c r="I55" s="196"/>
      <c r="J55" s="196"/>
      <c r="K55" s="285"/>
      <c r="L55" s="286"/>
      <c r="M55" s="287"/>
      <c r="N55" s="34"/>
      <c r="O55" s="17"/>
    </row>
    <row r="56" spans="2:15" ht="15" customHeight="1" x14ac:dyDescent="0.2">
      <c r="B56" s="14"/>
      <c r="F56" s="35"/>
      <c r="G56" s="35"/>
      <c r="H56" s="196"/>
      <c r="I56" s="196"/>
      <c r="J56" s="196"/>
      <c r="K56" s="285"/>
      <c r="L56" s="286"/>
      <c r="M56" s="287"/>
      <c r="N56" s="34"/>
      <c r="O56" s="17"/>
    </row>
    <row r="57" spans="2:15" ht="15" customHeight="1" x14ac:dyDescent="0.2">
      <c r="B57" s="14"/>
      <c r="F57" s="35"/>
      <c r="G57" s="35"/>
      <c r="H57" s="196"/>
      <c r="I57" s="196"/>
      <c r="J57" s="196"/>
      <c r="K57" s="285"/>
      <c r="L57" s="286"/>
      <c r="M57" s="287"/>
      <c r="N57" s="34"/>
      <c r="O57" s="17"/>
    </row>
    <row r="58" spans="2:15" ht="15" customHeight="1" x14ac:dyDescent="0.2">
      <c r="B58" s="14"/>
      <c r="F58" s="35"/>
      <c r="G58" s="35"/>
      <c r="H58" s="196"/>
      <c r="I58" s="196"/>
      <c r="J58" s="196"/>
      <c r="K58" s="285"/>
      <c r="L58" s="286"/>
      <c r="M58" s="287"/>
      <c r="N58" s="34"/>
      <c r="O58" s="17"/>
    </row>
    <row r="59" spans="2:15" ht="15" customHeight="1" x14ac:dyDescent="0.2">
      <c r="B59" s="14"/>
      <c r="F59" s="35"/>
      <c r="G59" s="35"/>
      <c r="H59" s="196"/>
      <c r="I59" s="196"/>
      <c r="J59" s="196"/>
      <c r="K59" s="285"/>
      <c r="L59" s="286"/>
      <c r="M59" s="287"/>
      <c r="N59" s="34"/>
      <c r="O59" s="17"/>
    </row>
    <row r="60" spans="2:15" ht="15" customHeight="1" x14ac:dyDescent="0.2">
      <c r="B60" s="14"/>
      <c r="F60" s="35"/>
      <c r="G60" s="35"/>
      <c r="H60" s="196"/>
      <c r="I60" s="196"/>
      <c r="J60" s="196"/>
      <c r="K60" s="285"/>
      <c r="L60" s="286"/>
      <c r="M60" s="287"/>
      <c r="N60" s="34"/>
      <c r="O60" s="17"/>
    </row>
    <row r="61" spans="2:15" ht="15" customHeight="1" x14ac:dyDescent="0.2">
      <c r="B61" s="14"/>
      <c r="F61" s="35"/>
      <c r="G61" s="35"/>
      <c r="H61" s="196"/>
      <c r="I61" s="196"/>
      <c r="J61" s="196"/>
      <c r="K61" s="285"/>
      <c r="L61" s="286"/>
      <c r="M61" s="287"/>
      <c r="N61" s="34"/>
      <c r="O61" s="17"/>
    </row>
    <row r="62" spans="2:15" ht="15" customHeight="1" x14ac:dyDescent="0.2">
      <c r="B62" s="14"/>
      <c r="F62" s="35"/>
      <c r="G62" s="35"/>
      <c r="H62" s="196"/>
      <c r="I62" s="196"/>
      <c r="J62" s="196"/>
      <c r="K62" s="285"/>
      <c r="L62" s="286"/>
      <c r="M62" s="287"/>
      <c r="N62" s="34"/>
      <c r="O62" s="17"/>
    </row>
    <row r="63" spans="2:15" ht="15" customHeight="1" x14ac:dyDescent="0.2">
      <c r="B63" s="14"/>
      <c r="F63" s="35"/>
      <c r="G63" s="35"/>
      <c r="H63" s="196"/>
      <c r="I63" s="196"/>
      <c r="J63" s="196"/>
      <c r="K63" s="285"/>
      <c r="L63" s="286"/>
      <c r="M63" s="287"/>
      <c r="N63" s="34"/>
      <c r="O63" s="17"/>
    </row>
    <row r="64" spans="2:15" ht="15" customHeight="1" x14ac:dyDescent="0.2">
      <c r="B64" s="14"/>
      <c r="F64" s="35"/>
      <c r="G64" s="35"/>
      <c r="H64" s="196"/>
      <c r="I64" s="196"/>
      <c r="J64" s="196"/>
      <c r="K64" s="285"/>
      <c r="L64" s="286"/>
      <c r="M64" s="287"/>
      <c r="N64" s="34"/>
      <c r="O64" s="17"/>
    </row>
    <row r="65" spans="2:15" ht="15" customHeight="1" x14ac:dyDescent="0.2">
      <c r="F65" s="35"/>
      <c r="G65" s="35"/>
      <c r="H65" s="196"/>
      <c r="I65" s="196"/>
      <c r="J65" s="196"/>
      <c r="K65" s="285"/>
      <c r="L65" s="286"/>
      <c r="M65" s="287"/>
      <c r="N65" s="34"/>
      <c r="O65" s="17"/>
    </row>
    <row r="66" spans="2:15" ht="15" customHeight="1" x14ac:dyDescent="0.2">
      <c r="F66" s="35"/>
      <c r="G66" s="35"/>
      <c r="H66" s="196"/>
      <c r="I66" s="196"/>
      <c r="J66" s="196"/>
      <c r="K66" s="285"/>
      <c r="L66" s="286"/>
      <c r="M66" s="287"/>
      <c r="N66" s="34"/>
      <c r="O66" s="17"/>
    </row>
    <row r="67" spans="2:15" ht="15" customHeight="1" x14ac:dyDescent="0.2">
      <c r="F67" s="35"/>
      <c r="G67" s="35"/>
      <c r="H67" s="196"/>
      <c r="I67" s="196"/>
      <c r="J67" s="196"/>
      <c r="K67" s="285"/>
      <c r="L67" s="286"/>
      <c r="M67" s="287"/>
      <c r="N67" s="34"/>
      <c r="O67" s="17"/>
    </row>
    <row r="68" spans="2:15" ht="15" customHeight="1" x14ac:dyDescent="0.2">
      <c r="F68" s="35"/>
      <c r="G68" s="35"/>
      <c r="H68" s="196"/>
      <c r="I68" s="196"/>
      <c r="J68" s="196"/>
      <c r="K68" s="285"/>
      <c r="L68" s="286"/>
      <c r="M68" s="287"/>
      <c r="N68" s="34"/>
      <c r="O68" s="17"/>
    </row>
    <row r="69" spans="2:15" ht="15" customHeight="1" x14ac:dyDescent="0.2">
      <c r="F69" s="35"/>
      <c r="G69" s="35"/>
      <c r="H69" s="196"/>
      <c r="I69" s="196"/>
      <c r="J69" s="196"/>
      <c r="K69" s="285"/>
      <c r="L69" s="286"/>
      <c r="M69" s="287"/>
      <c r="N69" s="34"/>
      <c r="O69" s="17"/>
    </row>
    <row r="70" spans="2:15" ht="15" customHeight="1" x14ac:dyDescent="0.2">
      <c r="B70" s="289"/>
      <c r="M70" s="14"/>
      <c r="N70" s="295"/>
      <c r="O70" s="17"/>
    </row>
    <row r="71" spans="2:15" ht="15" customHeight="1" x14ac:dyDescent="0.2">
      <c r="B71" s="289"/>
      <c r="C71" s="188"/>
      <c r="D71" s="188"/>
      <c r="E71" s="293"/>
      <c r="M71" s="287"/>
      <c r="N71" s="295"/>
      <c r="O71" s="17"/>
    </row>
    <row r="72" spans="2:15" ht="15" customHeight="1" x14ac:dyDescent="0.2">
      <c r="B72" s="289"/>
      <c r="N72" s="295"/>
      <c r="O72" s="17"/>
    </row>
    <row r="73" spans="2:15" ht="15" customHeight="1" x14ac:dyDescent="0.2">
      <c r="B73" s="289"/>
      <c r="N73" s="295"/>
      <c r="O73" s="17"/>
    </row>
    <row r="74" spans="2:15" ht="15" customHeight="1" x14ac:dyDescent="0.2">
      <c r="B74" s="289"/>
      <c r="D74" s="292"/>
      <c r="E74" s="296"/>
      <c r="F74" s="294"/>
      <c r="G74" s="294"/>
      <c r="H74" s="291"/>
      <c r="I74" s="291"/>
      <c r="J74" s="291"/>
      <c r="K74" s="225"/>
      <c r="L74" s="290"/>
      <c r="M74" s="287"/>
      <c r="N74" s="295"/>
      <c r="O74" s="17"/>
    </row>
    <row r="75" spans="2:15" ht="15" customHeight="1" x14ac:dyDescent="0.2">
      <c r="B75" s="289"/>
      <c r="C75" s="188"/>
      <c r="D75" s="188"/>
      <c r="E75" s="293"/>
      <c r="F75" s="294"/>
      <c r="G75" s="294"/>
      <c r="H75" s="291"/>
      <c r="I75" s="291"/>
      <c r="J75" s="291"/>
      <c r="K75" s="225"/>
      <c r="L75" s="290"/>
      <c r="M75" s="287"/>
      <c r="N75" s="295"/>
      <c r="O75" s="17"/>
    </row>
    <row r="76" spans="2:15" ht="15.75" x14ac:dyDescent="0.25">
      <c r="C76" s="18"/>
      <c r="K76" s="19"/>
      <c r="O76" s="17"/>
    </row>
    <row r="77" spans="2:15" ht="15.75" x14ac:dyDescent="0.25">
      <c r="C77" s="18"/>
      <c r="K77" s="35"/>
      <c r="L77" s="36"/>
      <c r="M77" s="14"/>
      <c r="O77" s="17"/>
    </row>
    <row r="78" spans="2:15" ht="15.75" x14ac:dyDescent="0.25">
      <c r="C78" s="18"/>
      <c r="K78" s="35"/>
      <c r="L78" s="36"/>
      <c r="M78" s="14"/>
      <c r="O78" s="17"/>
    </row>
    <row r="79" spans="2:15" ht="15.75" x14ac:dyDescent="0.25">
      <c r="C79" s="18"/>
      <c r="K79" s="35"/>
      <c r="L79" s="36"/>
      <c r="M79" s="14"/>
      <c r="O79" s="17"/>
    </row>
    <row r="80" spans="2:15" x14ac:dyDescent="0.2">
      <c r="K80" s="35"/>
      <c r="L80" s="36"/>
      <c r="M80" s="14"/>
    </row>
    <row r="81" spans="11:13" x14ac:dyDescent="0.2">
      <c r="K81" s="35"/>
      <c r="L81" s="36"/>
      <c r="M81" s="14"/>
    </row>
    <row r="82" spans="11:13" x14ac:dyDescent="0.2">
      <c r="K82" s="35"/>
      <c r="L82" s="36"/>
      <c r="M82" s="14"/>
    </row>
    <row r="83" spans="11:13" x14ac:dyDescent="0.2">
      <c r="M83" s="14"/>
    </row>
    <row r="108" spans="2:14" x14ac:dyDescent="0.2">
      <c r="B108" s="14"/>
      <c r="D108" s="235"/>
      <c r="M108" s="14"/>
      <c r="N108" s="14"/>
    </row>
    <row r="113" spans="2:14" x14ac:dyDescent="0.2">
      <c r="B113" s="14"/>
      <c r="D113" s="33"/>
      <c r="M113" s="14"/>
      <c r="N113" s="14"/>
    </row>
    <row r="154" spans="13:14" x14ac:dyDescent="0.2">
      <c r="M154" s="14"/>
      <c r="N154" s="14"/>
    </row>
    <row r="155" spans="13:14" x14ac:dyDescent="0.2">
      <c r="M155" s="14"/>
      <c r="N155" s="14"/>
    </row>
    <row r="156" spans="13:14" x14ac:dyDescent="0.2">
      <c r="M156" s="14"/>
      <c r="N156" s="14"/>
    </row>
    <row r="157" spans="13:14" x14ac:dyDescent="0.2">
      <c r="M157" s="14"/>
      <c r="N157" s="14"/>
    </row>
    <row r="158" spans="13:14" x14ac:dyDescent="0.2">
      <c r="M158" s="14"/>
      <c r="N158" s="14"/>
    </row>
    <row r="159" spans="13:14" x14ac:dyDescent="0.2">
      <c r="M159" s="14"/>
      <c r="N159" s="14"/>
    </row>
    <row r="160" spans="13:14" x14ac:dyDescent="0.2">
      <c r="M160" s="14"/>
      <c r="N160" s="14"/>
    </row>
    <row r="161" spans="13:14" x14ac:dyDescent="0.2">
      <c r="M161" s="14"/>
      <c r="N161" s="14"/>
    </row>
    <row r="162" spans="13:14" x14ac:dyDescent="0.2">
      <c r="M162" s="14"/>
      <c r="N162" s="14"/>
    </row>
    <row r="163" spans="13:14" x14ac:dyDescent="0.2">
      <c r="M163" s="14"/>
      <c r="N163" s="14"/>
    </row>
    <row r="164" spans="13:14" x14ac:dyDescent="0.2">
      <c r="M164" s="14"/>
      <c r="N164" s="14"/>
    </row>
    <row r="165" spans="13:14" x14ac:dyDescent="0.2">
      <c r="M165" s="14"/>
      <c r="N165" s="14"/>
    </row>
    <row r="166" spans="13:14" x14ac:dyDescent="0.2">
      <c r="M166" s="14"/>
      <c r="N166" s="14"/>
    </row>
    <row r="167" spans="13:14" x14ac:dyDescent="0.2">
      <c r="M167" s="14"/>
      <c r="N167" s="14"/>
    </row>
    <row r="168" spans="13:14" x14ac:dyDescent="0.2">
      <c r="M168" s="14"/>
      <c r="N168" s="14"/>
    </row>
    <row r="169" spans="13:14" x14ac:dyDescent="0.2">
      <c r="M169" s="14"/>
      <c r="N169" s="14"/>
    </row>
    <row r="170" spans="13:14" x14ac:dyDescent="0.2">
      <c r="M170" s="14"/>
      <c r="N170" s="14"/>
    </row>
    <row r="171" spans="13:14" x14ac:dyDescent="0.2">
      <c r="M171" s="14"/>
      <c r="N171" s="14"/>
    </row>
    <row r="172" spans="13:14" x14ac:dyDescent="0.2">
      <c r="M172" s="14"/>
      <c r="N172" s="14"/>
    </row>
    <row r="173" spans="13:14" x14ac:dyDescent="0.2">
      <c r="M173" s="14"/>
      <c r="N173" s="14"/>
    </row>
    <row r="174" spans="13:14" x14ac:dyDescent="0.2">
      <c r="M174" s="14"/>
      <c r="N174" s="14"/>
    </row>
    <row r="175" spans="13:14" x14ac:dyDescent="0.2">
      <c r="M175" s="14"/>
      <c r="N175" s="14"/>
    </row>
    <row r="176" spans="13:14" x14ac:dyDescent="0.2">
      <c r="M176" s="14"/>
      <c r="N176" s="14"/>
    </row>
    <row r="177" spans="13:14" x14ac:dyDescent="0.2">
      <c r="M177" s="14"/>
      <c r="N177" s="14"/>
    </row>
    <row r="178" spans="13:14" x14ac:dyDescent="0.2">
      <c r="M178" s="14"/>
      <c r="N178" s="14"/>
    </row>
    <row r="179" spans="13:14" x14ac:dyDescent="0.2">
      <c r="M179" s="14"/>
      <c r="N179" s="14"/>
    </row>
    <row r="180" spans="13:14" x14ac:dyDescent="0.2">
      <c r="M180" s="14"/>
      <c r="N180" s="14"/>
    </row>
  </sheetData>
  <sheetProtection sheet="1" objects="1" scenarios="1"/>
  <mergeCells count="14">
    <mergeCell ref="F5:J5"/>
    <mergeCell ref="A1:F1"/>
    <mergeCell ref="B7:B13"/>
    <mergeCell ref="C6:E6"/>
    <mergeCell ref="D9:E9"/>
    <mergeCell ref="D11:E11"/>
    <mergeCell ref="B15:B26"/>
    <mergeCell ref="D16:E16"/>
    <mergeCell ref="D23:E23"/>
    <mergeCell ref="C28:C30"/>
    <mergeCell ref="D28:E28"/>
    <mergeCell ref="D29:E29"/>
    <mergeCell ref="D30:E30"/>
    <mergeCell ref="B28:B30"/>
  </mergeCells>
  <printOptions horizontalCentered="1"/>
  <pageMargins left="0.25" right="0.25" top="0.43" bottom="0.61" header="0.3" footer="0.3"/>
  <pageSetup paperSize="9" fitToHeight="0" orientation="landscape" r:id="rId1"/>
  <headerFooter alignWithMargins="0">
    <oddFooter>&amp;L&amp;"Gill Sans MT,Regular"&amp;9Printed &amp;D&amp;C&amp;"Gill Sans MT,Regular"&amp;P of &amp;N&amp;R&amp;"Gill Sans MT,Regular"&amp;9Spreadsheet designed by EBA on behalf of Transport Canada</oddFooter>
  </headerFooter>
  <rowBreaks count="1" manualBreakCount="1">
    <brk id="75" min="1" max="1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ES9"/>
  <sheetViews>
    <sheetView zoomScale="70" zoomScaleNormal="70" workbookViewId="0">
      <selection activeCell="A3" sqref="A3"/>
    </sheetView>
  </sheetViews>
  <sheetFormatPr defaultRowHeight="12.75" x14ac:dyDescent="0.2"/>
  <cols>
    <col min="1" max="11" width="2.85546875" style="614" customWidth="1"/>
    <col min="12" max="12" width="2.7109375" style="614" customWidth="1"/>
    <col min="13" max="35" width="2.85546875" style="614" customWidth="1"/>
    <col min="36" max="46" width="2.5703125" style="614" customWidth="1"/>
    <col min="47" max="124" width="2.42578125" style="614" customWidth="1"/>
    <col min="125" max="149" width="2.85546875" style="614" customWidth="1"/>
    <col min="150" max="159" width="9.140625" style="614"/>
    <col min="160" max="160" width="9.140625" style="614" customWidth="1"/>
    <col min="161" max="164" width="9.140625" style="614"/>
    <col min="165" max="165" width="9.140625" style="614" customWidth="1"/>
    <col min="166" max="16384" width="9.140625" style="614"/>
  </cols>
  <sheetData>
    <row r="1" spans="1:149" s="611" customFormat="1" ht="15" customHeight="1" x14ac:dyDescent="0.2">
      <c r="A1" s="558" t="s">
        <v>1654</v>
      </c>
      <c r="B1" s="558"/>
      <c r="C1" s="558"/>
      <c r="D1" s="558"/>
      <c r="E1" s="558"/>
      <c r="F1" s="558"/>
      <c r="G1" s="558"/>
      <c r="H1" s="558"/>
      <c r="I1" s="558"/>
      <c r="J1" s="558"/>
      <c r="K1" s="558"/>
      <c r="L1" s="558"/>
      <c r="M1" s="558"/>
      <c r="N1" s="558"/>
      <c r="O1" s="558"/>
      <c r="P1" s="558"/>
      <c r="Q1" s="558"/>
      <c r="R1" s="558"/>
      <c r="S1" s="558"/>
      <c r="T1" s="558"/>
      <c r="U1" s="558"/>
      <c r="V1" s="558"/>
      <c r="W1" s="558"/>
      <c r="X1" s="558"/>
      <c r="Y1" s="558"/>
      <c r="Z1" s="558"/>
      <c r="AA1" s="558"/>
      <c r="AB1" s="558"/>
      <c r="AC1" s="558"/>
      <c r="AD1" s="558"/>
      <c r="AE1" s="558"/>
      <c r="AF1" s="558"/>
      <c r="AG1" s="558"/>
      <c r="AH1" s="558"/>
      <c r="AI1" s="558"/>
      <c r="AJ1" s="558"/>
      <c r="AK1" s="558"/>
      <c r="AL1" s="558"/>
      <c r="AM1" s="558"/>
      <c r="AN1" s="558"/>
      <c r="AO1" s="558"/>
      <c r="AP1" s="558"/>
      <c r="AQ1" s="558"/>
      <c r="AR1" s="558"/>
      <c r="AS1" s="558"/>
      <c r="AT1" s="558"/>
      <c r="AU1" s="557" t="s">
        <v>1631</v>
      </c>
      <c r="AV1" s="558"/>
      <c r="AW1" s="558"/>
      <c r="AX1" s="558"/>
      <c r="AY1" s="558"/>
      <c r="AZ1" s="558"/>
      <c r="BA1" s="558"/>
      <c r="BB1" s="558"/>
      <c r="BC1" s="558"/>
      <c r="BD1" s="558"/>
      <c r="BE1" s="558"/>
      <c r="BF1" s="558"/>
      <c r="BG1" s="558"/>
      <c r="BH1" s="558"/>
      <c r="BI1" s="558"/>
      <c r="BJ1" s="558"/>
      <c r="BK1" s="558"/>
      <c r="BL1" s="558"/>
      <c r="BM1" s="558"/>
      <c r="BN1" s="558"/>
      <c r="BO1" s="558"/>
      <c r="BP1" s="558"/>
      <c r="BQ1" s="558"/>
      <c r="BR1" s="558"/>
      <c r="BS1" s="558" t="s">
        <v>1635</v>
      </c>
      <c r="BT1" s="558"/>
      <c r="BU1" s="558"/>
      <c r="BV1" s="558"/>
      <c r="BW1" s="558"/>
      <c r="BX1" s="558"/>
      <c r="BY1" s="558"/>
      <c r="BZ1" s="558"/>
      <c r="CA1" s="558"/>
      <c r="CB1" s="558"/>
      <c r="CC1" s="558"/>
      <c r="CD1" s="558"/>
      <c r="CE1" s="558" t="s">
        <v>1647</v>
      </c>
      <c r="CF1" s="558"/>
      <c r="CG1" s="558"/>
      <c r="CH1" s="558"/>
      <c r="CI1" s="558"/>
      <c r="CJ1" s="558"/>
      <c r="CK1" s="558"/>
      <c r="CL1" s="558"/>
      <c r="CM1" s="558"/>
      <c r="CN1" s="558"/>
      <c r="CO1" s="558"/>
      <c r="CP1" s="558"/>
      <c r="CQ1" s="558"/>
      <c r="CR1" s="558"/>
      <c r="CS1" s="558"/>
      <c r="CT1" s="558"/>
      <c r="CU1" s="557" t="s">
        <v>1648</v>
      </c>
      <c r="CV1" s="558"/>
      <c r="CW1" s="558"/>
      <c r="CX1" s="558"/>
      <c r="CY1" s="558"/>
      <c r="CZ1" s="558"/>
      <c r="DA1" s="558"/>
      <c r="DB1" s="558"/>
      <c r="DC1" s="558"/>
      <c r="DD1" s="558"/>
      <c r="DE1" s="558"/>
      <c r="DF1" s="558"/>
      <c r="DG1" s="558"/>
      <c r="DH1" s="558"/>
      <c r="DI1" s="558"/>
      <c r="DJ1" s="558"/>
      <c r="DK1" s="558"/>
      <c r="DL1" s="558"/>
      <c r="DM1" s="558"/>
      <c r="DN1" s="558"/>
      <c r="DO1" s="558"/>
      <c r="DP1" s="558"/>
      <c r="DQ1" s="558"/>
      <c r="DR1" s="560"/>
      <c r="DS1" s="561"/>
      <c r="DT1" s="561"/>
      <c r="DU1" s="561"/>
      <c r="DV1" s="562"/>
      <c r="DW1" s="558"/>
      <c r="DX1" s="558"/>
      <c r="DY1" s="558"/>
      <c r="DZ1" s="558"/>
      <c r="EA1" s="558"/>
      <c r="EB1" s="558"/>
      <c r="EC1" s="558"/>
      <c r="ED1" s="558"/>
      <c r="EE1" s="558"/>
      <c r="EF1" s="558"/>
      <c r="EG1" s="558"/>
      <c r="EH1" s="558"/>
      <c r="EI1" s="558"/>
      <c r="EJ1" s="558"/>
      <c r="EK1" s="558"/>
    </row>
    <row r="2" spans="1:149" s="611" customFormat="1" x14ac:dyDescent="0.2">
      <c r="A2" s="558"/>
      <c r="B2" s="558"/>
      <c r="C2" s="558"/>
      <c r="D2" s="558"/>
      <c r="E2" s="558"/>
      <c r="F2" s="558"/>
      <c r="G2" s="558"/>
      <c r="H2" s="558"/>
      <c r="I2" s="558"/>
      <c r="J2" s="558"/>
      <c r="K2" s="558"/>
      <c r="L2" s="558"/>
      <c r="M2" s="558"/>
      <c r="N2" s="558"/>
      <c r="O2" s="558"/>
      <c r="P2" s="558"/>
      <c r="Q2" s="558"/>
      <c r="R2" s="558"/>
      <c r="S2" s="558"/>
      <c r="T2" s="558"/>
      <c r="U2" s="558"/>
      <c r="V2" s="558"/>
      <c r="W2" s="558"/>
      <c r="X2" s="558"/>
      <c r="Y2" s="558"/>
      <c r="Z2" s="558"/>
      <c r="AA2" s="558"/>
      <c r="AB2" s="558"/>
      <c r="AC2" s="558"/>
      <c r="AD2" s="558"/>
      <c r="AE2" s="558"/>
      <c r="AF2" s="558"/>
      <c r="AG2" s="558"/>
      <c r="AH2" s="558"/>
      <c r="AI2" s="558"/>
      <c r="AJ2" s="558"/>
      <c r="AK2" s="558"/>
      <c r="AL2" s="558"/>
      <c r="AM2" s="558"/>
      <c r="AN2" s="558"/>
      <c r="AO2" s="558"/>
      <c r="AP2" s="558"/>
      <c r="AQ2" s="558"/>
      <c r="AR2" s="558"/>
      <c r="AS2" s="558"/>
      <c r="AT2" s="558"/>
      <c r="AU2" s="557"/>
      <c r="AV2" s="558"/>
      <c r="AW2" s="558"/>
      <c r="AX2" s="558"/>
      <c r="AY2" s="558"/>
      <c r="AZ2" s="558"/>
      <c r="BA2" s="558"/>
      <c r="BB2" s="558"/>
      <c r="BC2" s="558"/>
      <c r="BD2" s="558"/>
      <c r="BE2" s="558"/>
      <c r="BF2" s="558"/>
      <c r="BG2" s="558"/>
      <c r="BH2" s="558"/>
      <c r="BI2" s="558"/>
      <c r="BJ2" s="558"/>
      <c r="BK2" s="558"/>
      <c r="BL2" s="558"/>
      <c r="BM2" s="558"/>
      <c r="BN2" s="558"/>
      <c r="BO2" s="558"/>
      <c r="BP2" s="558"/>
      <c r="BQ2" s="558"/>
      <c r="BR2" s="558"/>
      <c r="BS2" s="558"/>
      <c r="BT2" s="558"/>
      <c r="BU2" s="558"/>
      <c r="BV2" s="558"/>
      <c r="BW2" s="558"/>
      <c r="BX2" s="558"/>
      <c r="BY2" s="558"/>
      <c r="BZ2" s="558"/>
      <c r="CA2" s="558"/>
      <c r="CB2" s="558"/>
      <c r="CC2" s="558"/>
      <c r="CD2" s="558"/>
      <c r="CE2" s="558"/>
      <c r="CF2" s="558"/>
      <c r="CG2" s="558"/>
      <c r="CH2" s="558"/>
      <c r="CI2" s="558"/>
      <c r="CJ2" s="558"/>
      <c r="CK2" s="558"/>
      <c r="CL2" s="558"/>
      <c r="CM2" s="558"/>
      <c r="CN2" s="558"/>
      <c r="CO2" s="558"/>
      <c r="CP2" s="558"/>
      <c r="CQ2" s="558"/>
      <c r="CR2" s="558"/>
      <c r="CS2" s="558"/>
      <c r="CT2" s="558"/>
      <c r="CU2" s="558" t="s">
        <v>1649</v>
      </c>
      <c r="CV2" s="558"/>
      <c r="CW2" s="558"/>
      <c r="CX2" s="558"/>
      <c r="CY2" s="558"/>
      <c r="CZ2" s="558"/>
      <c r="DA2" s="558"/>
      <c r="DB2" s="558" t="s">
        <v>1650</v>
      </c>
      <c r="DC2" s="558"/>
      <c r="DD2" s="558"/>
      <c r="DE2" s="558"/>
      <c r="DF2" s="558"/>
      <c r="DG2" s="558"/>
      <c r="DH2" s="558"/>
      <c r="DI2" s="558"/>
      <c r="DJ2" s="558"/>
      <c r="DK2" s="558"/>
      <c r="DL2" s="558"/>
      <c r="DM2" s="558"/>
      <c r="DN2" s="558"/>
      <c r="DO2" s="558"/>
      <c r="DP2" s="558"/>
      <c r="DQ2" s="558"/>
      <c r="DR2" s="563"/>
      <c r="DS2" s="564"/>
      <c r="DT2" s="564"/>
      <c r="DU2" s="564"/>
      <c r="DV2" s="565"/>
      <c r="DW2" s="558" t="s">
        <v>1651</v>
      </c>
      <c r="DX2" s="558"/>
      <c r="DY2" s="558"/>
      <c r="DZ2" s="558"/>
      <c r="EA2" s="558"/>
      <c r="EB2" s="558" t="s">
        <v>1652</v>
      </c>
      <c r="EC2" s="558"/>
      <c r="ED2" s="558"/>
      <c r="EE2" s="558"/>
      <c r="EF2" s="558"/>
      <c r="EG2" s="558" t="s">
        <v>1653</v>
      </c>
      <c r="EH2" s="558"/>
      <c r="EI2" s="558"/>
      <c r="EJ2" s="558"/>
      <c r="EK2" s="558"/>
    </row>
    <row r="3" spans="1:149" s="612" customFormat="1" ht="135.75" customHeight="1" x14ac:dyDescent="0.2">
      <c r="A3" s="555" t="s">
        <v>1927</v>
      </c>
      <c r="B3" s="555" t="s">
        <v>8</v>
      </c>
      <c r="C3" s="555" t="s">
        <v>48</v>
      </c>
      <c r="D3" s="555" t="s">
        <v>49</v>
      </c>
      <c r="E3" s="555" t="s">
        <v>9</v>
      </c>
      <c r="F3" s="555" t="s">
        <v>187</v>
      </c>
      <c r="G3" s="555" t="s">
        <v>1562</v>
      </c>
      <c r="H3" s="555" t="s">
        <v>1098</v>
      </c>
      <c r="I3" s="555" t="s">
        <v>1099</v>
      </c>
      <c r="J3" s="555" t="s">
        <v>1563</v>
      </c>
      <c r="K3" s="555" t="s">
        <v>1564</v>
      </c>
      <c r="L3" s="555" t="s">
        <v>1569</v>
      </c>
      <c r="M3" s="555" t="s">
        <v>1570</v>
      </c>
      <c r="N3" s="555" t="s">
        <v>1571</v>
      </c>
      <c r="O3" s="555" t="s">
        <v>1565</v>
      </c>
      <c r="P3" s="555" t="s">
        <v>1566</v>
      </c>
      <c r="Q3" s="555" t="s">
        <v>1567</v>
      </c>
      <c r="R3" s="555" t="s">
        <v>1568</v>
      </c>
      <c r="S3" s="555" t="s">
        <v>1084</v>
      </c>
      <c r="T3" s="589" t="s">
        <v>1572</v>
      </c>
      <c r="U3" s="555" t="s">
        <v>1573</v>
      </c>
      <c r="V3" s="555" t="s">
        <v>1574</v>
      </c>
      <c r="W3" s="555" t="s">
        <v>1575</v>
      </c>
      <c r="X3" s="555" t="s">
        <v>1618</v>
      </c>
      <c r="Y3" s="555" t="s">
        <v>1576</v>
      </c>
      <c r="Z3" s="555" t="s">
        <v>1577</v>
      </c>
      <c r="AA3" s="555" t="s">
        <v>1630</v>
      </c>
      <c r="AB3" s="555" t="s">
        <v>573</v>
      </c>
      <c r="AC3" s="555" t="s">
        <v>1578</v>
      </c>
      <c r="AD3" s="555" t="s">
        <v>1622</v>
      </c>
      <c r="AE3" s="556" t="s">
        <v>1579</v>
      </c>
      <c r="AF3" s="555" t="s">
        <v>1580</v>
      </c>
      <c r="AG3" s="555" t="s">
        <v>1619</v>
      </c>
      <c r="AH3" s="555" t="s">
        <v>1625</v>
      </c>
      <c r="AI3" s="589" t="s">
        <v>1626</v>
      </c>
      <c r="AJ3" s="555" t="s">
        <v>1623</v>
      </c>
      <c r="AK3" s="555" t="s">
        <v>1581</v>
      </c>
      <c r="AL3" s="555" t="s">
        <v>1624</v>
      </c>
      <c r="AM3" s="555" t="s">
        <v>1581</v>
      </c>
      <c r="AN3" s="555" t="s">
        <v>1627</v>
      </c>
      <c r="AO3" s="555" t="s">
        <v>1628</v>
      </c>
      <c r="AP3" s="555" t="s">
        <v>1629</v>
      </c>
      <c r="AQ3" s="555" t="s">
        <v>1621</v>
      </c>
      <c r="AR3" s="555" t="s">
        <v>872</v>
      </c>
      <c r="AS3" s="555"/>
      <c r="AT3" s="555"/>
      <c r="AU3" s="556" t="s">
        <v>1632</v>
      </c>
      <c r="AV3" s="556" t="s">
        <v>910</v>
      </c>
      <c r="AW3" s="556" t="s">
        <v>1582</v>
      </c>
      <c r="AX3" s="556" t="s">
        <v>1620</v>
      </c>
      <c r="AY3" s="556" t="s">
        <v>912</v>
      </c>
      <c r="AZ3" s="556" t="s">
        <v>910</v>
      </c>
      <c r="BA3" s="556" t="s">
        <v>1582</v>
      </c>
      <c r="BB3" s="556" t="s">
        <v>1620</v>
      </c>
      <c r="BC3" s="556" t="s">
        <v>1633</v>
      </c>
      <c r="BD3" s="556" t="s">
        <v>910</v>
      </c>
      <c r="BE3" s="556" t="s">
        <v>1582</v>
      </c>
      <c r="BF3" s="556" t="s">
        <v>1620</v>
      </c>
      <c r="BG3" s="556" t="s">
        <v>914</v>
      </c>
      <c r="BH3" s="556" t="s">
        <v>910</v>
      </c>
      <c r="BI3" s="556" t="s">
        <v>1582</v>
      </c>
      <c r="BJ3" s="556" t="s">
        <v>1620</v>
      </c>
      <c r="BK3" s="556" t="s">
        <v>1634</v>
      </c>
      <c r="BL3" s="556" t="s">
        <v>910</v>
      </c>
      <c r="BM3" s="556" t="s">
        <v>1582</v>
      </c>
      <c r="BN3" s="556" t="s">
        <v>1620</v>
      </c>
      <c r="BO3" s="556" t="s">
        <v>901</v>
      </c>
      <c r="BP3" s="556" t="s">
        <v>910</v>
      </c>
      <c r="BQ3" s="556" t="s">
        <v>1582</v>
      </c>
      <c r="BR3" s="556" t="s">
        <v>1620</v>
      </c>
      <c r="BS3" s="1036" t="s">
        <v>1636</v>
      </c>
      <c r="BT3" s="1036"/>
      <c r="BU3" s="1036" t="s">
        <v>1637</v>
      </c>
      <c r="BV3" s="1036"/>
      <c r="BW3" s="1036" t="s">
        <v>1638</v>
      </c>
      <c r="BX3" s="1036"/>
      <c r="BY3" s="1036" t="s">
        <v>1639</v>
      </c>
      <c r="BZ3" s="1036"/>
      <c r="CA3" s="1036" t="s">
        <v>1640</v>
      </c>
      <c r="CB3" s="1036"/>
      <c r="CC3" s="1036" t="s">
        <v>898</v>
      </c>
      <c r="CD3" s="1036"/>
      <c r="CE3" s="555" t="s">
        <v>1641</v>
      </c>
      <c r="CF3" s="555"/>
      <c r="CG3" s="555" t="s">
        <v>1642</v>
      </c>
      <c r="CH3" s="555"/>
      <c r="CI3" s="555" t="s">
        <v>1643</v>
      </c>
      <c r="CJ3" s="555"/>
      <c r="CK3" s="555" t="s">
        <v>1644</v>
      </c>
      <c r="CL3" s="555"/>
      <c r="CM3" s="555" t="s">
        <v>1642</v>
      </c>
      <c r="CN3" s="555"/>
      <c r="CO3" s="555" t="s">
        <v>1643</v>
      </c>
      <c r="CP3" s="555"/>
      <c r="CQ3" s="555" t="s">
        <v>1645</v>
      </c>
      <c r="CR3" s="555"/>
      <c r="CS3" s="555" t="s">
        <v>1646</v>
      </c>
      <c r="CT3" s="555"/>
      <c r="CU3" s="552" t="s">
        <v>1594</v>
      </c>
      <c r="CV3" s="552" t="s">
        <v>1595</v>
      </c>
      <c r="CW3" s="552" t="s">
        <v>1596</v>
      </c>
      <c r="CX3" s="552" t="s">
        <v>1597</v>
      </c>
      <c r="CY3" s="552" t="s">
        <v>1598</v>
      </c>
      <c r="CZ3" s="552" t="s">
        <v>1599</v>
      </c>
      <c r="DA3" s="552" t="s">
        <v>1600</v>
      </c>
      <c r="DB3" s="553" t="s">
        <v>1601</v>
      </c>
      <c r="DC3" s="552" t="s">
        <v>99</v>
      </c>
      <c r="DD3" s="552" t="s">
        <v>1602</v>
      </c>
      <c r="DE3" s="552" t="s">
        <v>1603</v>
      </c>
      <c r="DF3" s="552" t="s">
        <v>1604</v>
      </c>
      <c r="DG3" s="552" t="s">
        <v>1605</v>
      </c>
      <c r="DH3" s="552" t="s">
        <v>1606</v>
      </c>
      <c r="DI3" s="552" t="s">
        <v>1600</v>
      </c>
      <c r="DJ3" s="552" t="s">
        <v>1607</v>
      </c>
      <c r="DK3" s="552" t="s">
        <v>1608</v>
      </c>
      <c r="DL3" s="552" t="s">
        <v>1609</v>
      </c>
      <c r="DM3" s="552" t="s">
        <v>1610</v>
      </c>
      <c r="DN3" s="552" t="s">
        <v>1725</v>
      </c>
      <c r="DO3" s="552" t="s">
        <v>1726</v>
      </c>
      <c r="DP3" s="552" t="s">
        <v>1727</v>
      </c>
      <c r="DQ3" s="552" t="s">
        <v>1593</v>
      </c>
      <c r="DR3" s="566" t="s">
        <v>1611</v>
      </c>
      <c r="DS3" s="559" t="s">
        <v>1612</v>
      </c>
      <c r="DT3" s="559" t="s">
        <v>1613</v>
      </c>
      <c r="DU3" s="559" t="s">
        <v>1614</v>
      </c>
      <c r="DV3" s="567" t="s">
        <v>1665</v>
      </c>
      <c r="DW3" s="554" t="s">
        <v>1615</v>
      </c>
      <c r="DX3" s="554" t="s">
        <v>180</v>
      </c>
      <c r="DY3" s="554" t="s">
        <v>194</v>
      </c>
      <c r="DZ3" s="554" t="s">
        <v>195</v>
      </c>
      <c r="EA3" s="554" t="s">
        <v>196</v>
      </c>
      <c r="EB3" s="554" t="s">
        <v>1616</v>
      </c>
      <c r="EC3" s="554" t="s">
        <v>180</v>
      </c>
      <c r="ED3" s="554" t="s">
        <v>194</v>
      </c>
      <c r="EE3" s="554" t="s">
        <v>195</v>
      </c>
      <c r="EF3" s="554" t="s">
        <v>196</v>
      </c>
      <c r="EG3" s="554" t="s">
        <v>1617</v>
      </c>
      <c r="EH3" s="554" t="s">
        <v>180</v>
      </c>
      <c r="EI3" s="554" t="s">
        <v>194</v>
      </c>
      <c r="EJ3" s="554" t="s">
        <v>195</v>
      </c>
      <c r="EK3" s="554" t="s">
        <v>196</v>
      </c>
    </row>
    <row r="4" spans="1:149" s="613" customFormat="1" ht="93" customHeight="1" x14ac:dyDescent="0.2">
      <c r="A4" s="615" t="str">
        <f>Calc1!C6</f>
        <v>XYZ</v>
      </c>
      <c r="B4" s="615">
        <f>Calc1!C4</f>
        <v>0</v>
      </c>
      <c r="C4" s="615">
        <f>Calc1!C8</f>
        <v>0</v>
      </c>
      <c r="D4" s="615">
        <f>Calc1!H4</f>
        <v>0</v>
      </c>
      <c r="E4" s="615" t="str">
        <f>Calc1!F6</f>
        <v>WXYZ</v>
      </c>
      <c r="F4" s="615" t="str">
        <f>Calc1!C10</f>
        <v xml:space="preserve">Albania </v>
      </c>
      <c r="G4" s="615" t="str">
        <f>Calc1!C13</f>
        <v>name</v>
      </c>
      <c r="H4" s="615">
        <f>Calc1!C14</f>
        <v>0</v>
      </c>
      <c r="I4" s="615">
        <f>Calc1!C15</f>
        <v>0</v>
      </c>
      <c r="J4" s="615">
        <f>Calc1!J6</f>
        <v>41153</v>
      </c>
      <c r="K4" s="615">
        <f>Calc1!J8</f>
        <v>2011</v>
      </c>
      <c r="L4" s="616">
        <f>Calc1!J10</f>
        <v>100</v>
      </c>
      <c r="M4" s="616">
        <f>Calc1!J11</f>
        <v>100</v>
      </c>
      <c r="N4" s="616">
        <f>Calc1!J12</f>
        <v>10</v>
      </c>
      <c r="O4" s="617" t="str">
        <f>Calc1!E17</f>
        <v>unconditionally</v>
      </c>
      <c r="P4" s="615" t="str">
        <f>Calc1!E18</f>
        <v>No</v>
      </c>
      <c r="Q4" s="615" t="str">
        <f>Calc1!E19</f>
        <v>No</v>
      </c>
      <c r="R4" s="615">
        <f>Calc1!G19</f>
        <v>0</v>
      </c>
      <c r="S4" s="616">
        <f>Calc1!F91</f>
        <v>5</v>
      </c>
      <c r="T4" s="616">
        <f>Calc1!F93</f>
        <v>0</v>
      </c>
      <c r="U4" s="618">
        <f>Calc1!F95</f>
        <v>34.439500000000002</v>
      </c>
      <c r="V4" s="615">
        <f>Calc1!W6</f>
        <v>0</v>
      </c>
      <c r="W4" s="575">
        <f>+Calc1!F101</f>
        <v>0</v>
      </c>
      <c r="X4" s="576" t="str">
        <f>+Calc1!G101</f>
        <v>kWh</v>
      </c>
      <c r="Y4" s="577" t="str">
        <f>+Calc1!F103</f>
        <v>Natural Gas</v>
      </c>
      <c r="Z4" s="578" t="str">
        <f>+Calc1!F105</f>
        <v>not used</v>
      </c>
      <c r="AA4" s="575">
        <f>Calc1!I153</f>
        <v>100</v>
      </c>
      <c r="AB4" s="577">
        <f>Calc1!C168</f>
        <v>26</v>
      </c>
      <c r="AC4" s="577">
        <f>Calc1!C172</f>
        <v>15</v>
      </c>
      <c r="AD4" s="577">
        <f>Calc1!C173</f>
        <v>45</v>
      </c>
      <c r="AE4" s="579" t="str">
        <f>+Calc1!E279</f>
        <v>No.</v>
      </c>
      <c r="AF4" s="575">
        <f>Calc1!G285</f>
        <v>30</v>
      </c>
      <c r="AG4" s="574" t="str">
        <f>+Calc1!G288</f>
        <v>How I chose the vehicle travel distance?</v>
      </c>
      <c r="AH4" s="578">
        <f>Calc1!F292</f>
        <v>0.3</v>
      </c>
      <c r="AI4" s="580">
        <f>Calc1!E296</f>
        <v>0.2</v>
      </c>
      <c r="AJ4" s="581">
        <f>+Calc1!F345</f>
        <v>1</v>
      </c>
      <c r="AK4" s="581">
        <f>+Calc1!G345</f>
        <v>5</v>
      </c>
      <c r="AL4" s="581">
        <f>+Calc1!F346</f>
        <v>1</v>
      </c>
      <c r="AM4" s="581">
        <f>+Calc1!G346</f>
        <v>5</v>
      </c>
      <c r="AN4" s="581">
        <f>+Calc1!E361</f>
        <v>100</v>
      </c>
      <c r="AO4" s="581">
        <f>+Calc1!E380</f>
        <v>1000</v>
      </c>
      <c r="AP4" s="581">
        <f>+Calc1!I400</f>
        <v>40</v>
      </c>
      <c r="AQ4" s="574">
        <f>+Calc1!D468</f>
        <v>1</v>
      </c>
      <c r="AR4" s="574" t="str">
        <f>+Calc1!D472</f>
        <v>no</v>
      </c>
      <c r="AS4" s="574">
        <f>+Calc1!E472</f>
        <v>2000</v>
      </c>
      <c r="AT4" s="574">
        <f>+Calc1!I472</f>
        <v>0</v>
      </c>
      <c r="AU4" s="582" t="str">
        <f>+Calc1!D517</f>
        <v>yes</v>
      </c>
      <c r="AV4" s="584">
        <f>+Calc1!I517</f>
        <v>0</v>
      </c>
      <c r="AW4" s="584">
        <v>0</v>
      </c>
      <c r="AX4" s="574">
        <f>+Calc1!I517</f>
        <v>0</v>
      </c>
      <c r="AY4" s="582" t="str">
        <f>+Calc1!D518</f>
        <v>no</v>
      </c>
      <c r="AZ4" s="584">
        <f>+Calc1!E518</f>
        <v>0</v>
      </c>
      <c r="BA4" s="584">
        <v>0</v>
      </c>
      <c r="BB4" s="574">
        <f>+Calc1!I518</f>
        <v>0</v>
      </c>
      <c r="BC4" s="582" t="str">
        <f>+Calc1!D519</f>
        <v>no</v>
      </c>
      <c r="BD4" s="584">
        <f>+Calc1!E519</f>
        <v>0</v>
      </c>
      <c r="BE4" s="584">
        <v>0</v>
      </c>
      <c r="BF4" s="574">
        <f>+Calc1!I519</f>
        <v>0</v>
      </c>
      <c r="BG4" s="582" t="str">
        <f>+Calc1!D520</f>
        <v>no</v>
      </c>
      <c r="BH4" s="584">
        <f>+Calc1!E520</f>
        <v>0</v>
      </c>
      <c r="BI4" s="584">
        <v>0</v>
      </c>
      <c r="BJ4" s="574">
        <f>+Calc1!I520</f>
        <v>0</v>
      </c>
      <c r="BK4" s="582" t="str">
        <f>+Calc1!D521</f>
        <v>no</v>
      </c>
      <c r="BL4" s="584">
        <f>+Calc1!E521</f>
        <v>0</v>
      </c>
      <c r="BM4" s="584">
        <v>0</v>
      </c>
      <c r="BN4" s="574">
        <f>+Calc1!I521</f>
        <v>0</v>
      </c>
      <c r="BO4" s="582" t="str">
        <f>+Calc1!D522</f>
        <v>no</v>
      </c>
      <c r="BP4" s="584">
        <f>+Calc1!E522</f>
        <v>0</v>
      </c>
      <c r="BQ4" s="584">
        <v>0</v>
      </c>
      <c r="BR4" s="574">
        <f>+Calc1!I522</f>
        <v>0</v>
      </c>
      <c r="BS4" s="583" t="str">
        <f>+Calc1!D539</f>
        <v>no</v>
      </c>
      <c r="BT4" s="574">
        <f>+Calc1!I539</f>
        <v>0</v>
      </c>
      <c r="BU4" s="583" t="str">
        <f>+Calc1!D540</f>
        <v>no</v>
      </c>
      <c r="BV4" s="574">
        <f>+Calc1!I540</f>
        <v>0</v>
      </c>
      <c r="BW4" s="583" t="str">
        <f>+Calc1!D541</f>
        <v>no</v>
      </c>
      <c r="BX4" s="574">
        <f>+Calc1!I541</f>
        <v>0</v>
      </c>
      <c r="BY4" s="583" t="str">
        <f>+Calc1!D542</f>
        <v>no</v>
      </c>
      <c r="BZ4" s="574">
        <f>+Calc1!I542</f>
        <v>0</v>
      </c>
      <c r="CA4" s="583" t="str">
        <f>+Calc1!D543</f>
        <v>no</v>
      </c>
      <c r="CB4" s="574">
        <f>+Calc1!I543</f>
        <v>0</v>
      </c>
      <c r="CC4" s="583" t="str">
        <f>+Calc1!D544</f>
        <v>no</v>
      </c>
      <c r="CD4" s="574">
        <f>+Calc1!I544</f>
        <v>0</v>
      </c>
      <c r="CE4" s="585">
        <f>+Calc1!D547</f>
        <v>99</v>
      </c>
      <c r="CF4" s="574">
        <f>+Calc1!I547</f>
        <v>0</v>
      </c>
      <c r="CG4" s="585">
        <f>+Calc1!D548</f>
        <v>99</v>
      </c>
      <c r="CH4" s="574">
        <f>+Calc1!I548</f>
        <v>0</v>
      </c>
      <c r="CI4" s="585">
        <f>+Calc1!D549</f>
        <v>99</v>
      </c>
      <c r="CJ4" s="574">
        <f>+Calc1!I549</f>
        <v>0</v>
      </c>
      <c r="CK4" s="585">
        <f>+Calc1!D551</f>
        <v>99</v>
      </c>
      <c r="CL4" s="574">
        <f>+Calc1!I551</f>
        <v>0</v>
      </c>
      <c r="CM4" s="585">
        <f>+Calc1!D552</f>
        <v>99</v>
      </c>
      <c r="CN4" s="574">
        <f>+Calc1!I552</f>
        <v>0</v>
      </c>
      <c r="CO4" s="585">
        <f>+Calc1!D553</f>
        <v>99</v>
      </c>
      <c r="CP4" s="574">
        <f>+Calc1!I553</f>
        <v>0</v>
      </c>
      <c r="CQ4" s="585">
        <f>+Calc1!D554</f>
        <v>99</v>
      </c>
      <c r="CR4" s="574">
        <f>+Calc1!I554</f>
        <v>0</v>
      </c>
      <c r="CS4" s="585">
        <f>+Calc1!D555</f>
        <v>99</v>
      </c>
      <c r="CT4" s="574">
        <f>+Calc1!I555</f>
        <v>0</v>
      </c>
      <c r="CU4" s="586">
        <f>+Output!J7</f>
        <v>1.1807709999999999E-2</v>
      </c>
      <c r="CV4" s="586">
        <f>+Output!J8</f>
        <v>1.8695246879999999E-2</v>
      </c>
      <c r="CW4" s="586">
        <f>+Output!J9</f>
        <v>0</v>
      </c>
      <c r="CX4" s="586">
        <f>+Output!J10</f>
        <v>0</v>
      </c>
      <c r="CY4" s="586">
        <f>+Output!J11</f>
        <v>0</v>
      </c>
      <c r="CZ4" s="586">
        <f>+Output!J12</f>
        <v>1.721975E-4</v>
      </c>
      <c r="DA4" s="586">
        <f>+Output!J13</f>
        <v>0</v>
      </c>
      <c r="DB4" s="587">
        <f>+Output!J15</f>
        <v>306.52578891180002</v>
      </c>
      <c r="DC4" s="587">
        <f>+Output!J16</f>
        <v>29.163861000000001</v>
      </c>
      <c r="DD4" s="587">
        <f>+Output!J17</f>
        <v>4.9312844999999999E-3</v>
      </c>
      <c r="DE4" s="587">
        <f>+Output!J18</f>
        <v>0</v>
      </c>
      <c r="DF4" s="587">
        <f>+Output!J19</f>
        <v>0</v>
      </c>
      <c r="DG4" s="587">
        <f>+Output!J20</f>
        <v>0</v>
      </c>
      <c r="DH4" s="587">
        <f>+Output!J21</f>
        <v>0</v>
      </c>
      <c r="DI4" s="587">
        <f>+Output!J22</f>
        <v>0</v>
      </c>
      <c r="DJ4" s="587">
        <f>+Output!J23</f>
        <v>0</v>
      </c>
      <c r="DK4" s="587">
        <f>+Output!J24</f>
        <v>0</v>
      </c>
      <c r="DL4" s="587">
        <f>+Output!J25</f>
        <v>4606.7012231702547</v>
      </c>
      <c r="DM4" s="587">
        <f>+Output!J26</f>
        <v>450.08900541369866</v>
      </c>
      <c r="DN4" s="586">
        <f>+Output!J25</f>
        <v>4606.7012231702547</v>
      </c>
      <c r="DO4" s="586">
        <f>+Output!J26</f>
        <v>450.08900541369866</v>
      </c>
      <c r="DP4" s="586">
        <f>+Output!J27</f>
        <v>5392.4848097802533</v>
      </c>
      <c r="DQ4" s="586">
        <f>+Output!J28</f>
        <v>0.44295884942684938</v>
      </c>
      <c r="DR4" s="588">
        <f>+Output!J32</f>
        <v>5434.4864109676901</v>
      </c>
      <c r="DS4" s="569">
        <f>+Output!C34</f>
        <v>3.0502956879999998E-2</v>
      </c>
      <c r="DT4" s="569">
        <f>+Output!C35</f>
        <v>1.721975E-4</v>
      </c>
      <c r="DU4" s="569">
        <f>+Output!C36</f>
        <v>5434.4557358133088</v>
      </c>
      <c r="DV4" s="570">
        <f>+Output!J38</f>
        <v>0</v>
      </c>
      <c r="DW4" s="571">
        <f>+LAQ!F14</f>
        <v>8.3165800000000009E-5</v>
      </c>
      <c r="DX4" s="571">
        <f>+LAQ!G14</f>
        <v>5.2098820000000005E-5</v>
      </c>
      <c r="DY4" s="571">
        <f>+LAQ!H14</f>
        <v>5.0857819999999994E-4</v>
      </c>
      <c r="DZ4" s="571">
        <f>+LAQ!I14</f>
        <v>2.9640999999999999E-7</v>
      </c>
      <c r="EA4" s="571">
        <f>+LAQ!J14</f>
        <v>3.1246999999999999E-7</v>
      </c>
      <c r="EB4" s="572">
        <f>+LAQ!F27</f>
        <v>23.612005079999999</v>
      </c>
      <c r="EC4" s="572">
        <f>+LAQ!G27</f>
        <v>19.923039164999999</v>
      </c>
      <c r="ED4" s="572">
        <f>+LAQ!H27</f>
        <v>187.29261347400001</v>
      </c>
      <c r="EE4" s="572">
        <f>+LAQ!I27</f>
        <v>0.33995847940955998</v>
      </c>
      <c r="EF4" s="572">
        <f>+LAQ!J27</f>
        <v>0.109278426</v>
      </c>
      <c r="EG4" s="573">
        <f>+LAQ!F31</f>
        <v>0.3893485626</v>
      </c>
      <c r="EH4" s="573">
        <f>+LAQ!G31</f>
        <v>5.7489192080000001E-2</v>
      </c>
      <c r="EI4" s="573">
        <f>+LAQ!H31</f>
        <v>0.54964762775999998</v>
      </c>
      <c r="EJ4" s="573">
        <f>+LAQ!I31</f>
        <v>1.1055436262800001E-2</v>
      </c>
      <c r="EK4" s="573">
        <f>+LAQ!J31</f>
        <v>1.940515168E-4</v>
      </c>
    </row>
    <row r="5" spans="1:149" s="613" customFormat="1" ht="12" customHeight="1" x14ac:dyDescent="0.2">
      <c r="A5" s="615"/>
      <c r="B5" s="615"/>
      <c r="C5" s="615"/>
      <c r="D5" s="615"/>
      <c r="E5" s="615"/>
      <c r="F5" s="615"/>
      <c r="G5" s="615"/>
      <c r="H5" s="615"/>
      <c r="I5" s="615"/>
      <c r="J5" s="615"/>
      <c r="K5" s="615"/>
      <c r="L5" s="616"/>
      <c r="M5" s="616"/>
      <c r="N5" s="616"/>
      <c r="O5" s="617"/>
      <c r="P5" s="615"/>
      <c r="Q5" s="615"/>
      <c r="R5" s="615"/>
      <c r="S5" s="616"/>
      <c r="T5" s="616"/>
      <c r="U5" s="618"/>
      <c r="V5" s="615"/>
      <c r="W5" s="575"/>
      <c r="X5" s="576"/>
      <c r="Y5" s="577"/>
      <c r="Z5" s="578"/>
      <c r="AA5" s="575"/>
      <c r="AB5" s="577"/>
      <c r="AC5" s="577"/>
      <c r="AD5" s="577"/>
      <c r="AE5" s="579"/>
      <c r="AF5" s="575"/>
      <c r="AG5" s="574"/>
      <c r="AH5" s="578"/>
      <c r="AI5" s="580"/>
      <c r="AJ5" s="581"/>
      <c r="AK5" s="581"/>
      <c r="AL5" s="581"/>
      <c r="AM5" s="581"/>
      <c r="AN5" s="581"/>
      <c r="AO5" s="581"/>
      <c r="AP5" s="581"/>
      <c r="AQ5" s="574"/>
      <c r="AR5" s="574"/>
      <c r="AS5" s="574"/>
      <c r="AT5" s="574"/>
      <c r="AU5" s="582"/>
      <c r="AV5" s="584"/>
      <c r="AW5" s="584"/>
      <c r="AX5" s="574"/>
      <c r="AY5" s="582"/>
      <c r="AZ5" s="584"/>
      <c r="BA5" s="584"/>
      <c r="BB5" s="574"/>
      <c r="BC5" s="582"/>
      <c r="BD5" s="584"/>
      <c r="BE5" s="584"/>
      <c r="BF5" s="574"/>
      <c r="BG5" s="582"/>
      <c r="BH5" s="584"/>
      <c r="BI5" s="584"/>
      <c r="BJ5" s="574"/>
      <c r="BK5" s="582"/>
      <c r="BL5" s="584"/>
      <c r="BM5" s="584"/>
      <c r="BN5" s="574"/>
      <c r="BO5" s="582"/>
      <c r="BP5" s="584"/>
      <c r="BQ5" s="584"/>
      <c r="BR5" s="574"/>
      <c r="BS5" s="583"/>
      <c r="BT5" s="574"/>
      <c r="BU5" s="583"/>
      <c r="BV5" s="574"/>
      <c r="BW5" s="583"/>
      <c r="BX5" s="574"/>
      <c r="BY5" s="583"/>
      <c r="BZ5" s="574"/>
      <c r="CA5" s="583"/>
      <c r="CB5" s="574"/>
      <c r="CC5" s="583"/>
      <c r="CD5" s="574"/>
      <c r="CE5" s="585"/>
      <c r="CF5" s="574"/>
      <c r="CG5" s="585"/>
      <c r="CH5" s="574"/>
      <c r="CI5" s="585"/>
      <c r="CJ5" s="574"/>
      <c r="CK5" s="585"/>
      <c r="CL5" s="574"/>
      <c r="CM5" s="585"/>
      <c r="CN5" s="574"/>
      <c r="CO5" s="585"/>
      <c r="CP5" s="574"/>
      <c r="CQ5" s="585"/>
      <c r="CR5" s="574"/>
      <c r="CS5" s="585"/>
      <c r="CT5" s="574"/>
      <c r="CU5" s="574"/>
      <c r="CV5" s="574"/>
      <c r="CW5" s="574"/>
      <c r="CX5" s="574"/>
      <c r="CY5" s="574"/>
      <c r="CZ5" s="574"/>
      <c r="DA5" s="574"/>
      <c r="DB5" s="574"/>
      <c r="DC5" s="574"/>
      <c r="DD5" s="574"/>
      <c r="DE5" s="574"/>
      <c r="DF5" s="574"/>
      <c r="DG5" s="574"/>
      <c r="DH5" s="574"/>
      <c r="DI5" s="574"/>
      <c r="DJ5" s="574"/>
      <c r="DK5" s="574"/>
      <c r="DL5" s="574"/>
      <c r="DM5" s="574"/>
      <c r="DN5" s="574"/>
      <c r="DO5" s="574"/>
      <c r="DP5" s="574"/>
      <c r="DQ5" s="574"/>
      <c r="DR5" s="574"/>
      <c r="DS5" s="574"/>
      <c r="DT5" s="574"/>
      <c r="DU5" s="574"/>
      <c r="DV5" s="574"/>
      <c r="DW5" s="574"/>
      <c r="DX5" s="574"/>
      <c r="DY5" s="574"/>
      <c r="DZ5" s="574"/>
      <c r="EA5" s="574"/>
      <c r="EB5" s="574"/>
      <c r="EC5" s="574"/>
      <c r="ED5" s="574"/>
      <c r="EE5" s="574"/>
      <c r="EF5" s="574"/>
      <c r="EG5" s="574"/>
      <c r="EH5" s="574"/>
      <c r="EI5" s="574"/>
      <c r="EJ5" s="574"/>
      <c r="EK5" s="574"/>
      <c r="EL5" s="574"/>
      <c r="EM5" s="574"/>
      <c r="EN5" s="574"/>
      <c r="EO5" s="574"/>
      <c r="EP5" s="574"/>
      <c r="EQ5" s="574"/>
      <c r="ER5" s="574"/>
      <c r="ES5" s="574"/>
    </row>
    <row r="6" spans="1:149" x14ac:dyDescent="0.2">
      <c r="CT6" s="574"/>
    </row>
    <row r="7" spans="1:149" x14ac:dyDescent="0.2">
      <c r="A7" s="614" t="s">
        <v>1731</v>
      </c>
    </row>
    <row r="8" spans="1:149" ht="65.25" x14ac:dyDescent="0.2">
      <c r="A8" s="555"/>
      <c r="B8" s="555" t="s">
        <v>8</v>
      </c>
      <c r="C8" s="688" t="str">
        <f>+L3</f>
        <v>AC mvt</v>
      </c>
      <c r="D8" s="689" t="s">
        <v>1735</v>
      </c>
      <c r="E8" s="689" t="s">
        <v>1736</v>
      </c>
      <c r="F8" s="693" t="str">
        <f>+K3</f>
        <v>inventory yr</v>
      </c>
      <c r="G8" s="689" t="s">
        <v>1732</v>
      </c>
      <c r="H8" s="689" t="s">
        <v>1733</v>
      </c>
      <c r="I8" s="689" t="s">
        <v>1734</v>
      </c>
      <c r="J8" s="690" t="s">
        <v>7</v>
      </c>
      <c r="K8" s="700" t="s">
        <v>1737</v>
      </c>
      <c r="L8" s="688" t="s">
        <v>1738</v>
      </c>
      <c r="M8" s="698" t="s">
        <v>1739</v>
      </c>
      <c r="N8" s="698" t="s">
        <v>1740</v>
      </c>
    </row>
    <row r="9" spans="1:149" ht="86.25" customHeight="1" x14ac:dyDescent="0.2">
      <c r="A9" s="615" t="str">
        <f>+A4</f>
        <v>XYZ</v>
      </c>
      <c r="B9" s="615">
        <f>+B4</f>
        <v>0</v>
      </c>
      <c r="C9" s="688">
        <f>+Output!L2</f>
        <v>100</v>
      </c>
      <c r="D9" s="688">
        <f>+Output!L3</f>
        <v>100</v>
      </c>
      <c r="E9" s="688">
        <f>+Output!L4</f>
        <v>200</v>
      </c>
      <c r="F9" s="693">
        <f>+K4</f>
        <v>2011</v>
      </c>
      <c r="G9" s="691">
        <f>+Output!C34</f>
        <v>3.0502956879999998E-2</v>
      </c>
      <c r="H9" s="691">
        <f>+Output!C35</f>
        <v>1.721975E-4</v>
      </c>
      <c r="I9" s="691">
        <f>+Output!C36</f>
        <v>5434.4557358133088</v>
      </c>
      <c r="J9" s="692">
        <f>+Output!J33</f>
        <v>5434.4864109676892</v>
      </c>
      <c r="K9" s="697">
        <f>+J9/E9*1000</f>
        <v>27172.432054838446</v>
      </c>
      <c r="L9" s="696">
        <f>+(G9+H9)/E9*1000</f>
        <v>0.15337577189999999</v>
      </c>
      <c r="M9" s="699">
        <f>+Output!H3</f>
        <v>34.439500000000002</v>
      </c>
      <c r="N9" s="699">
        <f>+Output!H4</f>
        <v>34.439500000000002</v>
      </c>
    </row>
  </sheetData>
  <sheetProtection password="CA83" sheet="1" objects="1" scenarios="1"/>
  <protectedRanges>
    <protectedRange sqref="Y4:Y5" name="Fire training"/>
    <protectedRange sqref="W4:W5" name="Airside"/>
    <protectedRange sqref="Z4:Z5" name="Introduction_2"/>
    <protectedRange sqref="AF4:AF5" name="Airside_1"/>
    <protectedRange sqref="AH4:AI5" name="Introduction_3"/>
    <protectedRange sqref="AJ4:AM5" name="Airside_2"/>
    <protectedRange sqref="AN4:AP5" name="ADAF"/>
    <protectedRange sqref="AY4:AY5 AU4:AU5 BC4:BC5 BK4:BK5 BG4:BG5 BO4:BO5" name="Introduction_1_1_5"/>
  </protectedRanges>
  <dataConsolidate/>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enableFormatConditionsCalculation="0">
    <tabColor rgb="FF0070C0"/>
  </sheetPr>
  <dimension ref="A1:XFC616"/>
  <sheetViews>
    <sheetView zoomScale="90" zoomScaleNormal="90" workbookViewId="0">
      <selection activeCell="A8" sqref="A8"/>
    </sheetView>
  </sheetViews>
  <sheetFormatPr defaultColWidth="9.140625" defaultRowHeight="14.25" x14ac:dyDescent="0.2"/>
  <cols>
    <col min="1" max="1" width="8.7109375" style="137" customWidth="1"/>
    <col min="2" max="10" width="16.42578125" style="137" customWidth="1"/>
    <col min="11" max="11" width="15.85546875" style="137" customWidth="1"/>
    <col min="12" max="16" width="9.140625" style="137"/>
    <col min="17" max="16384" width="9.140625" style="1"/>
  </cols>
  <sheetData>
    <row r="1" spans="1:11" ht="24.75" customHeight="1" thickBot="1" x14ac:dyDescent="0.25">
      <c r="A1" s="1037" t="s">
        <v>1936</v>
      </c>
      <c r="B1" s="867"/>
      <c r="C1" s="867"/>
      <c r="D1" s="867"/>
      <c r="E1" s="868"/>
      <c r="F1" s="868"/>
      <c r="G1" s="868"/>
      <c r="H1" s="869"/>
      <c r="I1" s="869"/>
      <c r="J1" s="870">
        <f>C4</f>
        <v>0</v>
      </c>
      <c r="K1" s="695">
        <f>J8</f>
        <v>2011</v>
      </c>
    </row>
    <row r="2" spans="1:11" ht="18" x14ac:dyDescent="0.25">
      <c r="A2" s="871" t="s">
        <v>1484</v>
      </c>
      <c r="B2" s="592"/>
      <c r="C2" s="592"/>
      <c r="D2" s="592"/>
      <c r="E2" s="592"/>
      <c r="F2" s="592"/>
      <c r="G2" s="592"/>
      <c r="H2" s="592"/>
      <c r="I2" s="592"/>
      <c r="J2" s="592"/>
      <c r="K2" s="592"/>
    </row>
    <row r="3" spans="1:11" x14ac:dyDescent="0.2">
      <c r="A3" s="140"/>
      <c r="B3" s="140"/>
      <c r="C3" s="140"/>
      <c r="D3" s="140"/>
      <c r="E3" s="140"/>
      <c r="F3" s="140"/>
      <c r="G3" s="140"/>
      <c r="H3" s="140"/>
      <c r="I3" s="140"/>
      <c r="J3" s="140"/>
      <c r="K3" s="140"/>
    </row>
    <row r="4" spans="1:11" ht="15" x14ac:dyDescent="0.25">
      <c r="A4" s="872" t="s">
        <v>1747</v>
      </c>
      <c r="B4" s="279" t="s">
        <v>8</v>
      </c>
      <c r="C4" s="1157">
        <f>+Input!C4</f>
        <v>0</v>
      </c>
      <c r="D4" s="1158"/>
      <c r="E4" s="1158"/>
      <c r="F4" s="1159"/>
      <c r="G4" s="279" t="s">
        <v>49</v>
      </c>
      <c r="H4" s="1164">
        <f>+Input!H4</f>
        <v>0</v>
      </c>
      <c r="I4" s="1165"/>
      <c r="J4" s="1166"/>
      <c r="K4" s="140"/>
    </row>
    <row r="5" spans="1:11" ht="15" x14ac:dyDescent="0.25">
      <c r="A5" s="872" t="s">
        <v>1745</v>
      </c>
      <c r="B5" s="279"/>
      <c r="C5" s="594"/>
      <c r="D5" s="873"/>
      <c r="E5" s="874"/>
      <c r="F5" s="140"/>
      <c r="G5" s="140"/>
      <c r="H5" s="140"/>
      <c r="I5" s="140"/>
      <c r="J5" s="138"/>
      <c r="K5" s="138"/>
    </row>
    <row r="6" spans="1:11" ht="15" x14ac:dyDescent="0.25">
      <c r="A6" s="872" t="s">
        <v>1746</v>
      </c>
      <c r="B6" s="279" t="s">
        <v>645</v>
      </c>
      <c r="C6" s="875" t="str">
        <f>+Input!C5</f>
        <v>XYZ</v>
      </c>
      <c r="D6" s="137" t="s">
        <v>1560</v>
      </c>
      <c r="E6" s="279" t="s">
        <v>9</v>
      </c>
      <c r="F6" s="875" t="str">
        <f>+Input!F5</f>
        <v>WXYZ</v>
      </c>
      <c r="G6" s="137" t="s">
        <v>1561</v>
      </c>
      <c r="H6" s="140"/>
      <c r="I6" s="279" t="s">
        <v>1010</v>
      </c>
      <c r="J6" s="876">
        <f>+Input!J5</f>
        <v>41153</v>
      </c>
      <c r="K6" s="140"/>
    </row>
    <row r="7" spans="1:11" ht="15" x14ac:dyDescent="0.25">
      <c r="A7" s="872"/>
      <c r="B7" s="279"/>
      <c r="C7" s="279"/>
      <c r="D7" s="279"/>
      <c r="E7" s="140"/>
      <c r="F7" s="140"/>
      <c r="G7" s="140"/>
      <c r="H7" s="140"/>
      <c r="I7" s="279"/>
      <c r="J7" s="591"/>
      <c r="K7" s="591"/>
    </row>
    <row r="8" spans="1:11" ht="15" x14ac:dyDescent="0.25">
      <c r="A8" s="872"/>
      <c r="B8" s="279" t="s">
        <v>48</v>
      </c>
      <c r="C8" s="1157">
        <f>+Input!C7</f>
        <v>0</v>
      </c>
      <c r="D8" s="1158">
        <f>+Input!D7</f>
        <v>0</v>
      </c>
      <c r="E8" s="1158">
        <f>+Input!E7</f>
        <v>0</v>
      </c>
      <c r="F8" s="1159">
        <f>+Input!F7</f>
        <v>0</v>
      </c>
      <c r="G8" s="140"/>
      <c r="H8" s="140"/>
      <c r="I8" s="279" t="s">
        <v>10</v>
      </c>
      <c r="J8" s="877">
        <f>+Input!J6</f>
        <v>2011</v>
      </c>
    </row>
    <row r="9" spans="1:11" ht="15" x14ac:dyDescent="0.25">
      <c r="A9" s="872"/>
      <c r="B9" s="279"/>
      <c r="C9" s="594"/>
      <c r="D9" s="874"/>
      <c r="E9" s="874"/>
      <c r="F9" s="140"/>
      <c r="G9" s="140"/>
      <c r="K9" s="138"/>
    </row>
    <row r="10" spans="1:11" ht="15" x14ac:dyDescent="0.25">
      <c r="A10" s="872"/>
      <c r="B10" s="279" t="s">
        <v>187</v>
      </c>
      <c r="C10" s="1157" t="str">
        <f>+Input!C8</f>
        <v xml:space="preserve">Albania </v>
      </c>
      <c r="D10" s="1176"/>
      <c r="E10" s="144" t="s">
        <v>1372</v>
      </c>
      <c r="F10" s="875" t="str">
        <f>+Input!F8</f>
        <v>Select One</v>
      </c>
      <c r="G10" s="140"/>
      <c r="I10" s="144" t="s">
        <v>1558</v>
      </c>
      <c r="J10" s="878">
        <f>+Input!J9</f>
        <v>100</v>
      </c>
      <c r="K10" s="137" t="s">
        <v>1668</v>
      </c>
    </row>
    <row r="11" spans="1:11" ht="15" x14ac:dyDescent="0.25">
      <c r="A11" s="872"/>
      <c r="B11" s="279" t="s">
        <v>1371</v>
      </c>
      <c r="C11" s="879" t="str">
        <f>+Input!C9</f>
        <v>n/a</v>
      </c>
      <c r="D11" s="880" t="s">
        <v>1666</v>
      </c>
      <c r="E11" s="595"/>
      <c r="F11" s="594"/>
      <c r="G11" s="594"/>
      <c r="H11" s="594"/>
      <c r="I11" s="279" t="s">
        <v>1667</v>
      </c>
      <c r="J11" s="878">
        <f>+Input!J10</f>
        <v>100</v>
      </c>
      <c r="K11" s="137" t="s">
        <v>1668</v>
      </c>
    </row>
    <row r="12" spans="1:11" ht="15" x14ac:dyDescent="0.25">
      <c r="A12" s="872"/>
      <c r="B12" s="279"/>
      <c r="C12" s="279"/>
      <c r="D12" s="138"/>
      <c r="E12" s="594"/>
      <c r="F12" s="594"/>
      <c r="G12" s="594"/>
      <c r="H12" s="140"/>
      <c r="I12" s="279" t="s">
        <v>1559</v>
      </c>
      <c r="J12" s="878">
        <f>+Input!J11</f>
        <v>10</v>
      </c>
      <c r="K12" s="593" t="s">
        <v>1150</v>
      </c>
    </row>
    <row r="13" spans="1:11" ht="15" x14ac:dyDescent="0.25">
      <c r="A13" s="872"/>
      <c r="B13" s="144" t="s">
        <v>1097</v>
      </c>
      <c r="C13" s="1157" t="str">
        <f>+Input!C11</f>
        <v>name</v>
      </c>
      <c r="D13" s="1158"/>
      <c r="E13" s="1158"/>
      <c r="F13" s="1159"/>
      <c r="G13" s="594"/>
    </row>
    <row r="14" spans="1:11" ht="15" x14ac:dyDescent="0.25">
      <c r="A14" s="872"/>
      <c r="B14" s="144" t="s">
        <v>1098</v>
      </c>
      <c r="C14" s="1157">
        <f>+Input!C12</f>
        <v>0</v>
      </c>
      <c r="D14" s="1158"/>
      <c r="E14" s="1158"/>
      <c r="F14" s="1159"/>
    </row>
    <row r="15" spans="1:11" ht="15" x14ac:dyDescent="0.25">
      <c r="A15" s="872"/>
      <c r="B15" s="144" t="s">
        <v>1099</v>
      </c>
      <c r="C15" s="1157">
        <f>+Input!C13</f>
        <v>0</v>
      </c>
      <c r="D15" s="1158"/>
      <c r="E15" s="1158"/>
      <c r="F15" s="1159"/>
    </row>
    <row r="16" spans="1:11" ht="15" x14ac:dyDescent="0.25">
      <c r="A16" s="872"/>
      <c r="B16" s="279"/>
      <c r="C16" s="279"/>
      <c r="D16" s="874"/>
      <c r="F16" s="140"/>
      <c r="G16" s="140"/>
      <c r="H16" s="140"/>
      <c r="I16" s="594"/>
      <c r="J16" s="881"/>
      <c r="K16" s="594"/>
    </row>
    <row r="17" spans="1:11" ht="15" x14ac:dyDescent="0.25">
      <c r="A17" s="872"/>
      <c r="D17" s="144" t="s">
        <v>1138</v>
      </c>
      <c r="E17" s="1154" t="str">
        <f>+Input!E15</f>
        <v>unconditionally</v>
      </c>
      <c r="F17" s="1155"/>
      <c r="G17" s="1156"/>
      <c r="I17" s="882" t="s">
        <v>25</v>
      </c>
      <c r="J17" s="590" t="s">
        <v>856</v>
      </c>
      <c r="K17" s="595"/>
    </row>
    <row r="18" spans="1:11" ht="15" x14ac:dyDescent="0.25">
      <c r="A18" s="872"/>
      <c r="D18" s="144" t="s">
        <v>1655</v>
      </c>
      <c r="E18" s="883" t="str">
        <f>+Input!E16</f>
        <v>No</v>
      </c>
      <c r="H18" s="140"/>
      <c r="I18" s="279"/>
      <c r="J18" s="279"/>
      <c r="K18" s="594"/>
    </row>
    <row r="19" spans="1:11" ht="15" x14ac:dyDescent="0.25">
      <c r="A19" s="872"/>
      <c r="D19" s="144" t="s">
        <v>1135</v>
      </c>
      <c r="E19" s="883" t="str">
        <f>+Input!E17</f>
        <v>No</v>
      </c>
      <c r="F19" s="140" t="s">
        <v>1137</v>
      </c>
      <c r="G19" s="877">
        <f>+Input!G17</f>
        <v>0</v>
      </c>
      <c r="I19" s="884" t="s">
        <v>1656</v>
      </c>
      <c r="J19" s="885"/>
      <c r="K19" s="596"/>
    </row>
    <row r="20" spans="1:11" ht="15" x14ac:dyDescent="0.25">
      <c r="A20" s="140"/>
      <c r="B20" s="198" t="s">
        <v>1699</v>
      </c>
      <c r="C20" s="603"/>
      <c r="D20" s="607"/>
      <c r="F20" s="140"/>
      <c r="G20" s="140"/>
      <c r="H20" s="140"/>
      <c r="I20" s="140"/>
      <c r="J20" s="140"/>
      <c r="K20" s="594"/>
    </row>
    <row r="21" spans="1:11" ht="15" x14ac:dyDescent="0.25">
      <c r="A21" s="140"/>
      <c r="B21" s="140"/>
      <c r="C21" s="140"/>
      <c r="D21" s="140"/>
      <c r="E21" s="140"/>
      <c r="F21" s="140"/>
      <c r="G21" s="140"/>
      <c r="H21" s="140"/>
      <c r="I21" s="140"/>
      <c r="J21" s="140"/>
      <c r="K21" s="594"/>
    </row>
    <row r="22" spans="1:11" ht="18" x14ac:dyDescent="0.25">
      <c r="A22" s="871" t="s">
        <v>129</v>
      </c>
      <c r="B22" s="592"/>
      <c r="C22" s="592"/>
      <c r="D22" s="592"/>
      <c r="E22" s="592"/>
      <c r="F22" s="592"/>
      <c r="G22" s="592"/>
      <c r="H22" s="592"/>
      <c r="I22" s="592"/>
      <c r="J22" s="592"/>
      <c r="K22" s="592"/>
    </row>
    <row r="23" spans="1:11" x14ac:dyDescent="0.2">
      <c r="A23" s="140"/>
      <c r="B23" s="140"/>
      <c r="C23" s="140"/>
      <c r="D23" s="140"/>
      <c r="E23" s="140"/>
      <c r="F23" s="140"/>
      <c r="G23" s="140"/>
      <c r="H23" s="140"/>
      <c r="I23" s="140"/>
      <c r="J23" s="140"/>
      <c r="K23" s="140"/>
    </row>
    <row r="24" spans="1:11" ht="15" x14ac:dyDescent="0.25">
      <c r="A24" s="141" t="s">
        <v>966</v>
      </c>
      <c r="B24" s="140"/>
      <c r="C24" s="140"/>
      <c r="D24" s="140"/>
      <c r="E24" s="140"/>
      <c r="F24" s="140"/>
      <c r="G24" s="140"/>
      <c r="H24" s="140"/>
      <c r="I24" s="140"/>
      <c r="J24" s="140"/>
      <c r="K24" s="140"/>
    </row>
    <row r="25" spans="1:11" ht="15" x14ac:dyDescent="0.25">
      <c r="A25" s="141"/>
      <c r="B25" s="140"/>
      <c r="C25" s="140"/>
      <c r="D25" s="140"/>
      <c r="E25" s="140"/>
      <c r="F25" s="140"/>
      <c r="G25" s="140"/>
      <c r="H25" s="140"/>
      <c r="I25" s="140"/>
      <c r="J25" s="140"/>
      <c r="K25" s="140"/>
    </row>
    <row r="26" spans="1:11" ht="15" x14ac:dyDescent="0.25">
      <c r="A26" s="872" t="s">
        <v>1747</v>
      </c>
      <c r="B26" s="140" t="s">
        <v>1012</v>
      </c>
      <c r="C26" s="140"/>
      <c r="D26" s="140"/>
      <c r="H26" s="204"/>
      <c r="I26" s="886"/>
      <c r="J26" s="887"/>
      <c r="K26" s="597" t="s">
        <v>1109</v>
      </c>
    </row>
    <row r="27" spans="1:11" x14ac:dyDescent="0.2">
      <c r="A27" s="872" t="s">
        <v>1745</v>
      </c>
      <c r="B27" s="888" t="s">
        <v>23</v>
      </c>
      <c r="C27" s="888" t="s">
        <v>24</v>
      </c>
      <c r="D27" s="889" t="s">
        <v>11</v>
      </c>
      <c r="E27" s="181" t="s">
        <v>1048</v>
      </c>
      <c r="F27" s="181"/>
      <c r="G27" s="181"/>
      <c r="H27" s="204"/>
      <c r="I27" s="204"/>
      <c r="J27" s="204"/>
      <c r="K27" s="140"/>
    </row>
    <row r="28" spans="1:11" ht="15" x14ac:dyDescent="0.25">
      <c r="A28" s="872" t="s">
        <v>1746</v>
      </c>
      <c r="B28" s="888" t="s">
        <v>14</v>
      </c>
      <c r="C28" s="890">
        <f>Input!D24</f>
        <v>5</v>
      </c>
      <c r="D28" s="888" t="s">
        <v>857</v>
      </c>
      <c r="E28" s="891" t="s">
        <v>1039</v>
      </c>
      <c r="F28" s="892"/>
      <c r="G28" s="181"/>
      <c r="H28" s="140"/>
      <c r="I28" s="140"/>
      <c r="J28" s="140"/>
      <c r="K28" s="140"/>
    </row>
    <row r="29" spans="1:11" ht="15" x14ac:dyDescent="0.25">
      <c r="A29" s="872"/>
      <c r="B29" s="888" t="s">
        <v>12</v>
      </c>
      <c r="C29" s="890">
        <f>Input!D25</f>
        <v>0</v>
      </c>
      <c r="D29" s="888" t="s">
        <v>857</v>
      </c>
      <c r="E29" s="140"/>
      <c r="F29" s="140"/>
      <c r="G29" s="140"/>
      <c r="H29" s="140"/>
      <c r="I29" s="140"/>
      <c r="J29" s="140"/>
      <c r="K29" s="140"/>
    </row>
    <row r="30" spans="1:11" ht="15" x14ac:dyDescent="0.25">
      <c r="A30" s="872"/>
      <c r="B30" s="888" t="s">
        <v>50</v>
      </c>
      <c r="C30" s="890">
        <f>Input!D26</f>
        <v>0</v>
      </c>
      <c r="D30" s="888" t="s">
        <v>13</v>
      </c>
      <c r="E30" s="893"/>
      <c r="F30" s="140"/>
      <c r="G30" s="140"/>
      <c r="H30" s="140"/>
      <c r="I30" s="140"/>
      <c r="J30" s="140"/>
      <c r="K30" s="140"/>
    </row>
    <row r="31" spans="1:11" ht="15" x14ac:dyDescent="0.25">
      <c r="A31" s="872"/>
      <c r="B31" s="888" t="s">
        <v>114</v>
      </c>
      <c r="C31" s="890">
        <f>Input!D27</f>
        <v>0</v>
      </c>
      <c r="D31" s="888" t="s">
        <v>857</v>
      </c>
      <c r="E31" s="893"/>
      <c r="F31" s="140"/>
      <c r="G31" s="140"/>
      <c r="H31" s="140"/>
      <c r="I31" s="140"/>
      <c r="J31" s="140"/>
      <c r="K31" s="140"/>
    </row>
    <row r="32" spans="1:11" ht="15" x14ac:dyDescent="0.25">
      <c r="A32" s="592"/>
      <c r="B32" s="140"/>
      <c r="C32" s="140"/>
      <c r="D32" s="140"/>
      <c r="E32" s="140"/>
      <c r="F32" s="181" t="s">
        <v>1657</v>
      </c>
      <c r="G32" s="181"/>
      <c r="H32" s="181"/>
      <c r="I32" s="181"/>
      <c r="J32" s="181"/>
      <c r="K32" s="198"/>
    </row>
    <row r="33" spans="1:11" x14ac:dyDescent="0.2">
      <c r="A33" s="592"/>
      <c r="B33" s="140" t="s">
        <v>980</v>
      </c>
      <c r="C33" s="140"/>
      <c r="D33" s="140"/>
      <c r="E33" s="143"/>
      <c r="F33" s="894" t="s">
        <v>991</v>
      </c>
      <c r="G33" s="181"/>
      <c r="H33" s="181"/>
      <c r="I33" s="181"/>
      <c r="J33" s="140"/>
      <c r="K33" s="140"/>
    </row>
    <row r="34" spans="1:11" x14ac:dyDescent="0.2">
      <c r="A34" s="592"/>
      <c r="B34" s="140"/>
      <c r="C34" s="140"/>
      <c r="D34" s="888" t="s">
        <v>14</v>
      </c>
      <c r="E34" s="888" t="s">
        <v>12</v>
      </c>
      <c r="F34" s="895" t="s">
        <v>1170</v>
      </c>
      <c r="G34" s="601"/>
      <c r="H34" s="601"/>
      <c r="I34" s="606"/>
      <c r="J34" s="279" t="s">
        <v>1143</v>
      </c>
      <c r="K34" s="279" t="s">
        <v>1144</v>
      </c>
    </row>
    <row r="35" spans="1:11" ht="15" x14ac:dyDescent="0.25">
      <c r="A35" s="592" t="s">
        <v>1743</v>
      </c>
      <c r="B35" s="1147" t="s">
        <v>1675</v>
      </c>
      <c r="C35" s="1148"/>
      <c r="D35" s="896">
        <v>0.8</v>
      </c>
      <c r="E35" s="897">
        <v>0.1</v>
      </c>
      <c r="F35" s="898" t="s">
        <v>979</v>
      </c>
      <c r="G35" s="599"/>
      <c r="H35" s="599"/>
      <c r="I35" s="605"/>
      <c r="J35" s="899">
        <f>$C$28*D35</f>
        <v>4</v>
      </c>
      <c r="K35" s="598">
        <f>$C$29*E35</f>
        <v>0</v>
      </c>
    </row>
    <row r="36" spans="1:11" ht="15" x14ac:dyDescent="0.25">
      <c r="A36" s="592" t="s">
        <v>1744</v>
      </c>
      <c r="B36" s="1147" t="s">
        <v>974</v>
      </c>
      <c r="C36" s="1148"/>
      <c r="D36" s="896">
        <v>0.2</v>
      </c>
      <c r="E36" s="897">
        <v>0.4</v>
      </c>
      <c r="F36" s="900" t="s">
        <v>973</v>
      </c>
      <c r="G36" s="600"/>
      <c r="H36" s="600"/>
      <c r="I36" s="901"/>
      <c r="J36" s="899">
        <f>$C$28*D36</f>
        <v>1</v>
      </c>
      <c r="K36" s="598">
        <f>$C$29*E36</f>
        <v>0</v>
      </c>
    </row>
    <row r="37" spans="1:11" ht="15" x14ac:dyDescent="0.25">
      <c r="A37" s="592"/>
      <c r="B37" s="1147" t="s">
        <v>975</v>
      </c>
      <c r="C37" s="1148"/>
      <c r="D37" s="896">
        <v>0</v>
      </c>
      <c r="E37" s="897">
        <v>0.5</v>
      </c>
      <c r="F37" s="902" t="s">
        <v>976</v>
      </c>
      <c r="G37" s="601"/>
      <c r="H37" s="601"/>
      <c r="I37" s="606"/>
      <c r="J37" s="899">
        <f>$C$28*D37</f>
        <v>0</v>
      </c>
      <c r="K37" s="598">
        <f>$C$29*E37</f>
        <v>0</v>
      </c>
    </row>
    <row r="38" spans="1:11" x14ac:dyDescent="0.2">
      <c r="A38" s="592"/>
      <c r="B38" s="140"/>
      <c r="D38" s="903">
        <f>+SUM(D35:D37)</f>
        <v>1</v>
      </c>
      <c r="E38" s="903">
        <f>+SUM(E35:E37)</f>
        <v>1</v>
      </c>
      <c r="F38" s="717"/>
      <c r="G38" s="140"/>
      <c r="H38" s="140"/>
      <c r="I38" s="140"/>
      <c r="J38" s="140"/>
      <c r="K38" s="140"/>
    </row>
    <row r="39" spans="1:11" x14ac:dyDescent="0.2">
      <c r="A39" s="592"/>
      <c r="B39" s="140"/>
      <c r="C39" s="140"/>
      <c r="D39" s="904" t="str">
        <f>IF(SUM(D35:D37)&gt;1, "&gt; 100%, revise!", IF(SUM(D35:D37)&lt;1, "&lt; 100%, revise!", "Total % is OK."))</f>
        <v>Total % is OK.</v>
      </c>
      <c r="E39" s="904" t="str">
        <f>IF(SUM(E35:E37)&gt;1, "&gt; 100%, revise!", IF(SUM(E35:E37)&lt;1, "&lt; 100%, revise!", "Total % is OK."))</f>
        <v>Total % is OK.</v>
      </c>
      <c r="F39" s="198" t="s">
        <v>1052</v>
      </c>
      <c r="G39" s="603"/>
      <c r="H39" s="603"/>
      <c r="I39" s="603"/>
      <c r="J39" s="607"/>
      <c r="K39" s="140"/>
    </row>
    <row r="40" spans="1:11" x14ac:dyDescent="0.2">
      <c r="A40" s="140"/>
      <c r="B40" s="279"/>
      <c r="F40" s="717"/>
      <c r="G40" s="166"/>
      <c r="H40" s="204"/>
      <c r="I40" s="204"/>
      <c r="J40" s="204"/>
      <c r="K40" s="204"/>
    </row>
    <row r="41" spans="1:11" ht="15" x14ac:dyDescent="0.25">
      <c r="A41" s="140"/>
      <c r="B41" s="140" t="s">
        <v>1011</v>
      </c>
      <c r="C41" s="140"/>
      <c r="D41" s="140"/>
      <c r="E41" s="140"/>
      <c r="F41" s="140"/>
      <c r="G41" s="140"/>
      <c r="H41" s="140"/>
      <c r="I41" s="140"/>
      <c r="J41" s="140"/>
      <c r="K41" s="140"/>
    </row>
    <row r="42" spans="1:11" x14ac:dyDescent="0.2">
      <c r="A42" s="140"/>
      <c r="D42" s="140"/>
      <c r="E42" s="888" t="s">
        <v>14</v>
      </c>
      <c r="F42" s="888" t="s">
        <v>12</v>
      </c>
      <c r="G42" s="888" t="s">
        <v>11</v>
      </c>
      <c r="H42" s="140"/>
      <c r="I42" s="140"/>
      <c r="J42" s="140"/>
      <c r="K42" s="140"/>
    </row>
    <row r="43" spans="1:11" ht="15" x14ac:dyDescent="0.25">
      <c r="A43" s="140"/>
      <c r="B43" s="905" t="s">
        <v>977</v>
      </c>
      <c r="C43" s="906"/>
      <c r="D43" s="907"/>
      <c r="E43" s="890">
        <v>0</v>
      </c>
      <c r="F43" s="890"/>
      <c r="G43" s="888" t="s">
        <v>857</v>
      </c>
      <c r="H43" s="592" t="s">
        <v>1801</v>
      </c>
      <c r="I43" s="592"/>
      <c r="J43" s="140"/>
      <c r="K43" s="140"/>
    </row>
    <row r="44" spans="1:11" ht="15" x14ac:dyDescent="0.25">
      <c r="A44" s="140"/>
      <c r="B44" s="908" t="s">
        <v>978</v>
      </c>
      <c r="C44" s="909"/>
      <c r="D44" s="910"/>
      <c r="E44" s="890">
        <v>0</v>
      </c>
      <c r="F44" s="890"/>
      <c r="G44" s="888" t="s">
        <v>857</v>
      </c>
      <c r="J44" s="140"/>
      <c r="K44" s="140"/>
    </row>
    <row r="45" spans="1:11" x14ac:dyDescent="0.2">
      <c r="A45" s="140"/>
      <c r="B45" s="140"/>
      <c r="C45" s="140"/>
      <c r="D45" s="140"/>
      <c r="E45" s="717"/>
      <c r="F45" s="166"/>
      <c r="G45" s="140"/>
      <c r="H45" s="140"/>
      <c r="I45" s="140"/>
      <c r="J45" s="140"/>
      <c r="K45" s="140"/>
    </row>
    <row r="46" spans="1:11" ht="15" x14ac:dyDescent="0.25">
      <c r="A46" s="141" t="s">
        <v>1013</v>
      </c>
      <c r="B46" s="140"/>
      <c r="C46" s="140"/>
      <c r="D46" s="140"/>
      <c r="E46" s="140"/>
      <c r="F46" s="140"/>
      <c r="G46" s="140"/>
      <c r="H46" s="140"/>
      <c r="I46" s="140"/>
      <c r="J46" s="140"/>
      <c r="K46" s="140"/>
    </row>
    <row r="47" spans="1:11" ht="15" x14ac:dyDescent="0.25">
      <c r="A47" s="141"/>
      <c r="B47" s="140"/>
      <c r="C47" s="140"/>
      <c r="D47" s="140"/>
      <c r="E47" s="140"/>
      <c r="F47" s="140"/>
      <c r="G47" s="140"/>
      <c r="H47" s="140"/>
      <c r="I47" s="140"/>
      <c r="J47" s="140"/>
      <c r="K47" s="140"/>
    </row>
    <row r="48" spans="1:11" ht="15" x14ac:dyDescent="0.25">
      <c r="A48" s="141"/>
      <c r="B48" s="140" t="s">
        <v>161</v>
      </c>
      <c r="C48" s="140"/>
      <c r="D48" s="140"/>
      <c r="E48" s="143"/>
      <c r="F48" s="198" t="s">
        <v>1049</v>
      </c>
      <c r="G48" s="603"/>
      <c r="H48" s="607"/>
      <c r="I48" s="140"/>
      <c r="J48" s="140"/>
      <c r="K48" s="140"/>
    </row>
    <row r="49" spans="1:11" ht="29.25" x14ac:dyDescent="0.25">
      <c r="A49" s="141"/>
      <c r="B49" s="889" t="s">
        <v>97</v>
      </c>
      <c r="C49" s="911" t="s">
        <v>50</v>
      </c>
      <c r="D49" s="912" t="s">
        <v>1014</v>
      </c>
      <c r="E49" s="913" t="s">
        <v>1002</v>
      </c>
      <c r="F49" s="889" t="s">
        <v>11</v>
      </c>
      <c r="G49" s="914" t="s">
        <v>191</v>
      </c>
      <c r="H49" s="888" t="s">
        <v>11</v>
      </c>
      <c r="K49" s="140"/>
    </row>
    <row r="50" spans="1:11" x14ac:dyDescent="0.2">
      <c r="A50" s="872" t="s">
        <v>1747</v>
      </c>
      <c r="B50" s="915" t="str">
        <f>+Input!B52</f>
        <v>eg Heating plant</v>
      </c>
      <c r="C50" s="915">
        <f>+Input!C52</f>
        <v>10</v>
      </c>
      <c r="D50" s="915" t="str">
        <f>+Input!D52</f>
        <v>m3</v>
      </c>
      <c r="E50" s="915">
        <f>+Input!E52</f>
        <v>0</v>
      </c>
      <c r="F50" s="889" t="s">
        <v>857</v>
      </c>
      <c r="G50" s="915">
        <f>+Input!G52</f>
        <v>0</v>
      </c>
      <c r="H50" s="888" t="s">
        <v>13</v>
      </c>
    </row>
    <row r="51" spans="1:11" x14ac:dyDescent="0.2">
      <c r="A51" s="872" t="s">
        <v>1745</v>
      </c>
      <c r="B51" s="915" t="str">
        <f>+Input!B53</f>
        <v>Power plant</v>
      </c>
      <c r="C51" s="915">
        <f>+Input!C53</f>
        <v>0</v>
      </c>
      <c r="D51" s="916" t="str">
        <f>D$50</f>
        <v>m3</v>
      </c>
      <c r="E51" s="915">
        <f>+Input!E53</f>
        <v>0</v>
      </c>
      <c r="F51" s="889" t="s">
        <v>857</v>
      </c>
      <c r="G51" s="915">
        <f>+Input!G53</f>
        <v>0</v>
      </c>
      <c r="H51" s="888" t="s">
        <v>13</v>
      </c>
    </row>
    <row r="52" spans="1:11" x14ac:dyDescent="0.2">
      <c r="A52" s="872" t="s">
        <v>1746</v>
      </c>
      <c r="B52" s="915">
        <f>+Input!B54</f>
        <v>0</v>
      </c>
      <c r="C52" s="915">
        <f>+Input!C54</f>
        <v>0</v>
      </c>
      <c r="D52" s="916" t="str">
        <f t="shared" ref="D52:D58" si="0">D$50</f>
        <v>m3</v>
      </c>
      <c r="E52" s="915">
        <f>+Input!E54</f>
        <v>0</v>
      </c>
      <c r="F52" s="889" t="s">
        <v>857</v>
      </c>
      <c r="G52" s="915">
        <f>+Input!G54</f>
        <v>0</v>
      </c>
      <c r="H52" s="888" t="s">
        <v>13</v>
      </c>
    </row>
    <row r="53" spans="1:11" x14ac:dyDescent="0.2">
      <c r="A53" s="872"/>
      <c r="B53" s="915">
        <f>+Input!B55</f>
        <v>0</v>
      </c>
      <c r="C53" s="915">
        <f>+Input!C55</f>
        <v>0</v>
      </c>
      <c r="D53" s="916" t="str">
        <f t="shared" si="0"/>
        <v>m3</v>
      </c>
      <c r="E53" s="915">
        <f>+Input!E55</f>
        <v>0</v>
      </c>
      <c r="F53" s="889" t="s">
        <v>857</v>
      </c>
      <c r="G53" s="915">
        <f>+Input!G55</f>
        <v>0</v>
      </c>
      <c r="H53" s="888" t="s">
        <v>13</v>
      </c>
      <c r="K53" s="140"/>
    </row>
    <row r="54" spans="1:11" ht="15" x14ac:dyDescent="0.25">
      <c r="A54" s="872"/>
      <c r="B54" s="915"/>
      <c r="C54" s="890"/>
      <c r="D54" s="916" t="str">
        <f t="shared" si="0"/>
        <v>m3</v>
      </c>
      <c r="E54" s="917"/>
      <c r="F54" s="889" t="s">
        <v>857</v>
      </c>
      <c r="G54" s="917"/>
      <c r="H54" s="888" t="s">
        <v>13</v>
      </c>
      <c r="K54" s="140"/>
    </row>
    <row r="55" spans="1:11" ht="15" x14ac:dyDescent="0.25">
      <c r="A55" s="872"/>
      <c r="B55" s="915"/>
      <c r="C55" s="890"/>
      <c r="D55" s="916" t="str">
        <f t="shared" si="0"/>
        <v>m3</v>
      </c>
      <c r="E55" s="917"/>
      <c r="F55" s="889" t="s">
        <v>857</v>
      </c>
      <c r="G55" s="917"/>
      <c r="H55" s="888" t="s">
        <v>13</v>
      </c>
      <c r="K55" s="140"/>
    </row>
    <row r="56" spans="1:11" ht="15" x14ac:dyDescent="0.25">
      <c r="A56" s="141"/>
      <c r="B56" s="915"/>
      <c r="C56" s="890"/>
      <c r="D56" s="916" t="str">
        <f t="shared" si="0"/>
        <v>m3</v>
      </c>
      <c r="E56" s="917"/>
      <c r="F56" s="889" t="s">
        <v>857</v>
      </c>
      <c r="G56" s="917"/>
      <c r="H56" s="888" t="s">
        <v>13</v>
      </c>
      <c r="I56" s="918" t="s">
        <v>1041</v>
      </c>
      <c r="J56" s="599"/>
      <c r="K56" s="599"/>
    </row>
    <row r="57" spans="1:11" ht="15" x14ac:dyDescent="0.25">
      <c r="A57" s="141"/>
      <c r="B57" s="915"/>
      <c r="C57" s="890"/>
      <c r="D57" s="916" t="str">
        <f t="shared" si="0"/>
        <v>m3</v>
      </c>
      <c r="E57" s="917"/>
      <c r="F57" s="889" t="s">
        <v>857</v>
      </c>
      <c r="G57" s="917"/>
      <c r="H57" s="888" t="s">
        <v>13</v>
      </c>
      <c r="I57" s="919" t="s">
        <v>111</v>
      </c>
      <c r="J57" s="600"/>
      <c r="K57" s="600"/>
    </row>
    <row r="58" spans="1:11" ht="15" x14ac:dyDescent="0.25">
      <c r="A58" s="141"/>
      <c r="B58" s="915"/>
      <c r="C58" s="890"/>
      <c r="D58" s="916" t="str">
        <f t="shared" si="0"/>
        <v>m3</v>
      </c>
      <c r="E58" s="917"/>
      <c r="F58" s="889" t="s">
        <v>857</v>
      </c>
      <c r="G58" s="917"/>
      <c r="H58" s="888" t="s">
        <v>13</v>
      </c>
      <c r="I58" s="920" t="s">
        <v>128</v>
      </c>
      <c r="J58" s="601"/>
      <c r="K58" s="601"/>
    </row>
    <row r="59" spans="1:11" ht="15" x14ac:dyDescent="0.25">
      <c r="A59" s="141"/>
      <c r="B59" s="921" t="s">
        <v>7</v>
      </c>
      <c r="C59" s="922">
        <f>SUM(C50:C58)</f>
        <v>10</v>
      </c>
      <c r="D59" s="916" t="str">
        <f>D$50</f>
        <v>m3</v>
      </c>
      <c r="E59" s="923">
        <f>SUM(E50:E58)</f>
        <v>0</v>
      </c>
      <c r="F59" s="889" t="s">
        <v>857</v>
      </c>
      <c r="G59" s="923">
        <f>SUM(G50:G58)</f>
        <v>0</v>
      </c>
      <c r="H59" s="888" t="s">
        <v>13</v>
      </c>
      <c r="K59" s="140"/>
    </row>
    <row r="60" spans="1:11" ht="15" x14ac:dyDescent="0.25">
      <c r="A60" s="141"/>
      <c r="B60" s="140"/>
      <c r="C60" s="140"/>
      <c r="D60" s="140"/>
      <c r="E60" s="143"/>
      <c r="G60" s="140"/>
      <c r="H60" s="140"/>
      <c r="I60" s="140"/>
      <c r="J60" s="140"/>
      <c r="K60" s="140"/>
    </row>
    <row r="61" spans="1:11" ht="15" x14ac:dyDescent="0.25">
      <c r="A61" s="141" t="s">
        <v>1071</v>
      </c>
      <c r="B61" s="140"/>
      <c r="C61" s="140"/>
      <c r="D61" s="140"/>
      <c r="E61" s="140"/>
      <c r="F61" s="140"/>
      <c r="G61" s="140"/>
      <c r="H61" s="140"/>
      <c r="I61" s="140"/>
      <c r="J61" s="140"/>
      <c r="K61" s="140"/>
    </row>
    <row r="62" spans="1:11" x14ac:dyDescent="0.2">
      <c r="A62" s="140"/>
      <c r="B62" s="140"/>
      <c r="C62" s="140"/>
      <c r="D62" s="140"/>
      <c r="E62" s="140"/>
      <c r="F62" s="140"/>
      <c r="G62" s="140"/>
      <c r="H62" s="140"/>
      <c r="I62" s="140"/>
      <c r="J62" s="140"/>
      <c r="K62" s="140"/>
    </row>
    <row r="63" spans="1:11" x14ac:dyDescent="0.2">
      <c r="A63" s="140"/>
      <c r="B63" s="888" t="s">
        <v>23</v>
      </c>
      <c r="C63" s="888" t="s">
        <v>24</v>
      </c>
      <c r="D63" s="888" t="s">
        <v>11</v>
      </c>
      <c r="E63" s="140"/>
      <c r="F63" s="140"/>
      <c r="G63" s="140"/>
      <c r="H63" s="140"/>
      <c r="I63" s="140"/>
      <c r="J63" s="140"/>
      <c r="K63" s="140"/>
    </row>
    <row r="64" spans="1:11" ht="15" x14ac:dyDescent="0.25">
      <c r="A64" s="872" t="s">
        <v>1747</v>
      </c>
      <c r="B64" s="888" t="s">
        <v>162</v>
      </c>
      <c r="C64" s="890">
        <f>+Input!D31</f>
        <v>0</v>
      </c>
      <c r="D64" s="888" t="s">
        <v>857</v>
      </c>
      <c r="E64" s="140"/>
      <c r="F64" s="143"/>
      <c r="G64" s="140"/>
      <c r="H64" s="140"/>
      <c r="I64" s="140"/>
      <c r="J64" s="140"/>
      <c r="K64" s="140"/>
    </row>
    <row r="65" spans="1:11" ht="15" x14ac:dyDescent="0.25">
      <c r="A65" s="872" t="s">
        <v>1745</v>
      </c>
      <c r="B65" s="888" t="s">
        <v>163</v>
      </c>
      <c r="C65" s="890">
        <f>+Input!D32</f>
        <v>0</v>
      </c>
      <c r="D65" s="888" t="s">
        <v>857</v>
      </c>
      <c r="E65" s="140"/>
      <c r="F65" s="140"/>
      <c r="G65" s="140"/>
      <c r="H65" s="140"/>
      <c r="I65" s="140"/>
      <c r="J65" s="140"/>
      <c r="K65" s="140"/>
    </row>
    <row r="66" spans="1:11" ht="15" x14ac:dyDescent="0.25">
      <c r="A66" s="872" t="s">
        <v>1746</v>
      </c>
      <c r="B66" s="888" t="s">
        <v>114</v>
      </c>
      <c r="C66" s="890">
        <f>+Input!D33</f>
        <v>0</v>
      </c>
      <c r="D66" s="888" t="s">
        <v>13</v>
      </c>
      <c r="E66" s="140"/>
      <c r="F66" s="140"/>
      <c r="G66" s="140"/>
      <c r="H66" s="140"/>
      <c r="I66" s="140"/>
      <c r="J66" s="140"/>
      <c r="K66" s="140"/>
    </row>
    <row r="67" spans="1:11" ht="15" x14ac:dyDescent="0.25">
      <c r="A67" s="872"/>
      <c r="B67" s="888" t="s">
        <v>184</v>
      </c>
      <c r="C67" s="890">
        <f>+Input!D34</f>
        <v>0</v>
      </c>
      <c r="D67" s="888" t="s">
        <v>857</v>
      </c>
      <c r="E67" s="143"/>
      <c r="F67" s="140"/>
      <c r="G67" s="140"/>
      <c r="H67" s="140"/>
      <c r="I67" s="140"/>
      <c r="J67" s="140"/>
      <c r="K67" s="140"/>
    </row>
    <row r="68" spans="1:11" ht="15" x14ac:dyDescent="0.25">
      <c r="A68" s="872"/>
      <c r="B68" s="888" t="s">
        <v>185</v>
      </c>
      <c r="C68" s="890">
        <f>+Input!D35</f>
        <v>0</v>
      </c>
      <c r="D68" s="888" t="s">
        <v>857</v>
      </c>
      <c r="E68" s="143"/>
      <c r="F68" s="140"/>
      <c r="G68" s="140"/>
      <c r="H68" s="140"/>
      <c r="I68" s="140"/>
      <c r="J68" s="140"/>
      <c r="K68" s="140"/>
    </row>
    <row r="69" spans="1:11" ht="15" x14ac:dyDescent="0.25">
      <c r="A69" s="872"/>
      <c r="B69" s="888" t="s">
        <v>164</v>
      </c>
      <c r="C69" s="890">
        <f>+Input!D36</f>
        <v>0</v>
      </c>
      <c r="D69" s="888" t="s">
        <v>13</v>
      </c>
      <c r="E69" s="140"/>
      <c r="F69" s="140"/>
      <c r="G69" s="140"/>
      <c r="I69" s="884" t="s">
        <v>1067</v>
      </c>
      <c r="J69" s="885"/>
      <c r="K69" s="602"/>
    </row>
    <row r="70" spans="1:11" ht="15" x14ac:dyDescent="0.25">
      <c r="A70" s="140"/>
      <c r="B70" s="166"/>
      <c r="C70" s="167"/>
      <c r="D70" s="166"/>
      <c r="E70" s="140"/>
      <c r="F70" s="140"/>
      <c r="G70" s="140"/>
      <c r="H70" s="140"/>
      <c r="I70" s="886"/>
      <c r="J70" s="887"/>
      <c r="K70" s="597" t="s">
        <v>1109</v>
      </c>
    </row>
    <row r="71" spans="1:11" ht="15" x14ac:dyDescent="0.25">
      <c r="A71" s="141" t="s">
        <v>813</v>
      </c>
      <c r="B71" s="140"/>
      <c r="C71" s="140"/>
      <c r="D71" s="140"/>
      <c r="E71" s="140"/>
      <c r="F71" s="140"/>
      <c r="G71" s="140"/>
      <c r="H71" s="140"/>
      <c r="I71" s="140"/>
      <c r="J71" s="140"/>
      <c r="K71" s="140"/>
    </row>
    <row r="72" spans="1:11" ht="15" x14ac:dyDescent="0.25">
      <c r="A72" s="141"/>
      <c r="B72" s="140"/>
      <c r="C72" s="140"/>
      <c r="D72" s="140"/>
      <c r="E72" s="140"/>
      <c r="F72" s="140"/>
      <c r="G72" s="140"/>
      <c r="H72" s="140"/>
      <c r="I72" s="140"/>
      <c r="J72" s="140"/>
      <c r="K72" s="140"/>
    </row>
    <row r="73" spans="1:11" x14ac:dyDescent="0.2">
      <c r="A73" s="140"/>
      <c r="B73" s="888" t="s">
        <v>981</v>
      </c>
      <c r="C73" s="888" t="s">
        <v>12</v>
      </c>
      <c r="D73" s="888" t="s">
        <v>184</v>
      </c>
      <c r="E73" s="888" t="s">
        <v>11</v>
      </c>
      <c r="F73" s="140"/>
      <c r="G73" s="140"/>
      <c r="H73" s="140"/>
      <c r="I73" s="140"/>
      <c r="J73" s="140"/>
      <c r="K73" s="140"/>
    </row>
    <row r="74" spans="1:11" ht="15" x14ac:dyDescent="0.25">
      <c r="A74" s="140"/>
      <c r="B74" s="924"/>
      <c r="C74" s="890"/>
      <c r="D74" s="890"/>
      <c r="E74" s="888" t="s">
        <v>857</v>
      </c>
      <c r="F74" s="140"/>
      <c r="G74" s="140"/>
      <c r="H74" s="140"/>
      <c r="I74" s="140"/>
      <c r="J74" s="140"/>
      <c r="K74" s="140"/>
    </row>
    <row r="75" spans="1:11" ht="15" x14ac:dyDescent="0.25">
      <c r="A75" s="140"/>
      <c r="B75" s="924"/>
      <c r="C75" s="890"/>
      <c r="D75" s="890"/>
      <c r="E75" s="888" t="s">
        <v>857</v>
      </c>
      <c r="F75" s="140"/>
      <c r="G75" s="140"/>
      <c r="H75" s="140"/>
      <c r="I75" s="140"/>
      <c r="J75" s="140"/>
      <c r="K75" s="140"/>
    </row>
    <row r="76" spans="1:11" ht="15" x14ac:dyDescent="0.25">
      <c r="A76" s="140"/>
      <c r="B76" s="924"/>
      <c r="C76" s="890"/>
      <c r="D76" s="890"/>
      <c r="E76" s="888" t="s">
        <v>857</v>
      </c>
      <c r="F76" s="140"/>
      <c r="G76" s="140"/>
      <c r="H76" s="140"/>
      <c r="I76" s="140"/>
      <c r="J76" s="140"/>
      <c r="K76" s="140"/>
    </row>
    <row r="77" spans="1:11" ht="15" x14ac:dyDescent="0.25">
      <c r="A77" s="140"/>
      <c r="B77" s="924"/>
      <c r="C77" s="890"/>
      <c r="D77" s="890"/>
      <c r="E77" s="888" t="s">
        <v>857</v>
      </c>
      <c r="F77" s="140"/>
      <c r="G77" s="140"/>
      <c r="H77" s="140"/>
      <c r="I77" s="140"/>
      <c r="J77" s="140"/>
      <c r="K77" s="140"/>
    </row>
    <row r="78" spans="1:11" ht="15" x14ac:dyDescent="0.25">
      <c r="A78" s="140"/>
      <c r="B78" s="888" t="s">
        <v>7</v>
      </c>
      <c r="C78" s="922">
        <f>+Input!D40</f>
        <v>0</v>
      </c>
      <c r="D78" s="922"/>
      <c r="E78" s="888" t="s">
        <v>857</v>
      </c>
      <c r="F78" s="592" t="s">
        <v>1802</v>
      </c>
      <c r="G78" s="592"/>
      <c r="H78" s="140"/>
      <c r="I78" s="140"/>
      <c r="J78" s="140"/>
      <c r="K78" s="140"/>
    </row>
    <row r="79" spans="1:11" ht="15" x14ac:dyDescent="0.25">
      <c r="A79" s="140"/>
      <c r="B79" s="166"/>
      <c r="C79" s="925"/>
      <c r="D79" s="925"/>
      <c r="E79" s="166"/>
      <c r="F79" s="140"/>
      <c r="G79" s="140"/>
      <c r="H79" s="140"/>
      <c r="I79" s="140"/>
      <c r="J79" s="140"/>
      <c r="K79" s="140"/>
    </row>
    <row r="80" spans="1:11" ht="15" x14ac:dyDescent="0.25">
      <c r="A80" s="141" t="s">
        <v>1043</v>
      </c>
      <c r="B80" s="166"/>
      <c r="C80" s="167"/>
      <c r="D80" s="166"/>
      <c r="E80" s="143"/>
      <c r="F80" s="140"/>
      <c r="G80" s="140"/>
      <c r="H80" s="140"/>
      <c r="I80" s="140"/>
      <c r="J80" s="140"/>
      <c r="K80" s="140"/>
    </row>
    <row r="81" spans="1:11" x14ac:dyDescent="0.2">
      <c r="A81" s="140"/>
      <c r="B81" s="140"/>
      <c r="C81" s="140"/>
      <c r="D81" s="140"/>
      <c r="E81" s="140"/>
      <c r="F81" s="140"/>
      <c r="G81" s="140"/>
      <c r="H81" s="140"/>
      <c r="I81" s="140"/>
      <c r="J81" s="140"/>
      <c r="K81" s="140"/>
    </row>
    <row r="82" spans="1:11" x14ac:dyDescent="0.2">
      <c r="A82" s="140"/>
      <c r="B82" s="888" t="s">
        <v>176</v>
      </c>
      <c r="C82" s="888" t="s">
        <v>24</v>
      </c>
      <c r="D82" s="888" t="s">
        <v>11</v>
      </c>
      <c r="E82" s="143"/>
      <c r="G82" s="140"/>
      <c r="H82" s="140"/>
      <c r="I82" s="140"/>
      <c r="J82" s="140"/>
      <c r="K82" s="140"/>
    </row>
    <row r="83" spans="1:11" ht="15" x14ac:dyDescent="0.25">
      <c r="A83" s="140"/>
      <c r="B83" s="926" t="s">
        <v>174</v>
      </c>
      <c r="C83" s="890">
        <f>+Input!D44</f>
        <v>0</v>
      </c>
      <c r="D83" s="888" t="s">
        <v>857</v>
      </c>
      <c r="E83" s="140"/>
      <c r="F83" s="140"/>
      <c r="G83" s="140"/>
      <c r="H83" s="140"/>
      <c r="I83" s="140"/>
      <c r="K83" s="140"/>
    </row>
    <row r="84" spans="1:11" ht="15" x14ac:dyDescent="0.25">
      <c r="A84" s="140"/>
      <c r="B84" s="927" t="s">
        <v>898</v>
      </c>
      <c r="C84" s="890">
        <f>+Input!D45</f>
        <v>0</v>
      </c>
      <c r="D84" s="888" t="s">
        <v>857</v>
      </c>
      <c r="E84" s="140"/>
      <c r="F84" s="198" t="s">
        <v>1042</v>
      </c>
      <c r="G84" s="603"/>
      <c r="H84" s="607"/>
      <c r="I84" s="140"/>
      <c r="J84" s="140"/>
      <c r="K84" s="140"/>
    </row>
    <row r="85" spans="1:11" ht="15" x14ac:dyDescent="0.25">
      <c r="A85" s="140"/>
      <c r="B85" s="166"/>
      <c r="C85" s="139"/>
      <c r="D85" s="166"/>
      <c r="E85" s="140"/>
      <c r="F85" s="140"/>
      <c r="G85" s="140"/>
      <c r="I85" s="884" t="s">
        <v>1067</v>
      </c>
      <c r="J85" s="885"/>
      <c r="K85" s="602"/>
    </row>
    <row r="86" spans="1:11" ht="15" x14ac:dyDescent="0.25">
      <c r="A86" s="140"/>
      <c r="B86" s="928"/>
      <c r="C86" s="139"/>
      <c r="D86" s="166"/>
      <c r="E86" s="140"/>
      <c r="F86" s="140"/>
      <c r="G86" s="140"/>
      <c r="H86" s="140"/>
      <c r="I86" s="140"/>
      <c r="J86" s="140"/>
      <c r="K86" s="140"/>
    </row>
    <row r="87" spans="1:11" ht="18" x14ac:dyDescent="0.25">
      <c r="A87" s="871" t="s">
        <v>762</v>
      </c>
      <c r="B87" s="929"/>
      <c r="C87" s="930"/>
      <c r="D87" s="929"/>
      <c r="E87" s="592"/>
      <c r="F87" s="592"/>
      <c r="G87" s="592"/>
      <c r="H87" s="592"/>
      <c r="I87" s="592"/>
      <c r="J87" s="592"/>
      <c r="K87" s="592"/>
    </row>
    <row r="88" spans="1:11" ht="15" x14ac:dyDescent="0.25">
      <c r="A88" s="872" t="s">
        <v>1747</v>
      </c>
      <c r="B88" s="166"/>
      <c r="C88" s="167"/>
      <c r="D88" s="166"/>
      <c r="E88" s="140"/>
      <c r="F88" s="140"/>
      <c r="G88" s="140"/>
      <c r="H88" s="140"/>
      <c r="I88" s="140"/>
      <c r="J88" s="140"/>
      <c r="K88" s="140"/>
    </row>
    <row r="89" spans="1:11" ht="15" x14ac:dyDescent="0.25">
      <c r="A89" s="872" t="s">
        <v>1745</v>
      </c>
      <c r="B89" s="931" t="s">
        <v>1084</v>
      </c>
      <c r="C89" s="139"/>
      <c r="D89" s="166"/>
      <c r="E89" s="166"/>
      <c r="F89" s="140"/>
      <c r="G89" s="140"/>
      <c r="H89" s="140"/>
      <c r="I89" s="140"/>
      <c r="J89" s="140"/>
      <c r="K89" s="140"/>
    </row>
    <row r="90" spans="1:11" ht="15" x14ac:dyDescent="0.25">
      <c r="A90" s="872" t="s">
        <v>1746</v>
      </c>
      <c r="B90" s="931"/>
      <c r="C90" s="139"/>
      <c r="D90" s="166"/>
      <c r="E90" s="166"/>
      <c r="F90" s="140"/>
      <c r="G90" s="140"/>
      <c r="H90" s="140"/>
      <c r="I90" s="140"/>
      <c r="J90" s="140"/>
      <c r="K90" s="140"/>
    </row>
    <row r="91" spans="1:11" ht="15" x14ac:dyDescent="0.25">
      <c r="A91" s="141" t="s">
        <v>130</v>
      </c>
      <c r="B91" s="138" t="s">
        <v>1310</v>
      </c>
      <c r="C91" s="139"/>
      <c r="D91" s="140"/>
      <c r="E91" s="140"/>
      <c r="F91" s="932">
        <f>+Input!F69</f>
        <v>5</v>
      </c>
      <c r="G91" s="140" t="s">
        <v>74</v>
      </c>
      <c r="H91" s="198" t="s">
        <v>1171</v>
      </c>
      <c r="I91" s="603"/>
      <c r="J91" s="607"/>
      <c r="K91" s="140"/>
    </row>
    <row r="92" spans="1:11" ht="15" x14ac:dyDescent="0.25">
      <c r="B92" s="138"/>
      <c r="C92" s="139"/>
      <c r="D92" s="140"/>
      <c r="E92" s="140"/>
      <c r="F92" s="140"/>
      <c r="G92" s="140"/>
      <c r="H92" s="140"/>
      <c r="I92" s="140"/>
      <c r="J92" s="140"/>
      <c r="K92" s="140"/>
    </row>
    <row r="93" spans="1:11" ht="15" x14ac:dyDescent="0.25">
      <c r="A93" s="141" t="s">
        <v>168</v>
      </c>
      <c r="B93" s="138" t="s">
        <v>1044</v>
      </c>
      <c r="C93" s="139"/>
      <c r="D93" s="140"/>
      <c r="E93" s="140"/>
      <c r="F93" s="932">
        <f>+Input!F71</f>
        <v>0</v>
      </c>
      <c r="G93" s="140" t="s">
        <v>74</v>
      </c>
      <c r="H93" s="933" t="str">
        <f>IF(F91&lt;F93,"Warning: Sold amount higher than bought amount!"," ")</f>
        <v xml:space="preserve"> </v>
      </c>
      <c r="I93" s="140"/>
      <c r="J93" s="140"/>
      <c r="K93" s="140"/>
    </row>
    <row r="94" spans="1:11" s="137" customFormat="1" ht="15" x14ac:dyDescent="0.25">
      <c r="B94" s="138"/>
      <c r="C94" s="139"/>
      <c r="D94" s="140"/>
      <c r="E94" s="140"/>
      <c r="F94" s="140"/>
      <c r="G94" s="140"/>
      <c r="H94" s="140"/>
      <c r="I94" s="140"/>
      <c r="J94" s="140"/>
      <c r="K94" s="140"/>
    </row>
    <row r="95" spans="1:11" s="137" customFormat="1" ht="15" x14ac:dyDescent="0.25">
      <c r="A95" s="141" t="s">
        <v>169</v>
      </c>
      <c r="B95" s="144" t="s">
        <v>950</v>
      </c>
      <c r="C95" s="191" t="str">
        <f>+IF(C10="(Select One)","You must select one at Line 9", C10)</f>
        <v xml:space="preserve">Albania </v>
      </c>
      <c r="D95" s="280"/>
      <c r="E95" s="279" t="s">
        <v>1415</v>
      </c>
      <c r="F95" s="278">
        <f>VLOOKUP(C95,EF!$A$4:$B$158,2)</f>
        <v>34.439500000000002</v>
      </c>
      <c r="G95" s="140" t="s">
        <v>1416</v>
      </c>
      <c r="H95" s="143"/>
      <c r="I95" s="140"/>
      <c r="J95" s="140"/>
      <c r="K95" s="140"/>
    </row>
    <row r="96" spans="1:11" s="137" customFormat="1" ht="15" x14ac:dyDescent="0.25">
      <c r="A96" s="141"/>
      <c r="B96" s="138"/>
      <c r="C96" s="139"/>
      <c r="D96" s="140"/>
      <c r="E96" s="140"/>
      <c r="G96" s="140"/>
      <c r="H96" s="143"/>
      <c r="I96" s="140"/>
      <c r="J96" s="140"/>
      <c r="K96" s="140"/>
    </row>
    <row r="97" spans="1:11" ht="15" x14ac:dyDescent="0.25">
      <c r="A97" s="141"/>
      <c r="B97" s="138" t="s">
        <v>1045</v>
      </c>
      <c r="C97" s="139"/>
      <c r="D97" s="140"/>
      <c r="E97" s="140"/>
      <c r="F97" s="890">
        <f>+Input!F78</f>
        <v>0</v>
      </c>
      <c r="G97" s="140" t="s">
        <v>170</v>
      </c>
      <c r="H97" s="198" t="s">
        <v>1124</v>
      </c>
      <c r="I97" s="603"/>
      <c r="J97" s="603"/>
      <c r="K97" s="603"/>
    </row>
    <row r="98" spans="1:11" ht="15" x14ac:dyDescent="0.25">
      <c r="A98" s="872" t="s">
        <v>1747</v>
      </c>
      <c r="B98" s="138"/>
      <c r="C98" s="139"/>
      <c r="D98" s="140"/>
      <c r="E98" s="140"/>
      <c r="F98" s="140"/>
      <c r="G98" s="140"/>
      <c r="H98" s="1078" t="s">
        <v>1414</v>
      </c>
      <c r="I98" s="1078"/>
      <c r="J98" s="140"/>
      <c r="K98" s="140"/>
    </row>
    <row r="99" spans="1:11" ht="15" x14ac:dyDescent="0.25">
      <c r="A99" s="872" t="s">
        <v>1745</v>
      </c>
      <c r="B99" s="934" t="s">
        <v>1308</v>
      </c>
      <c r="C99" s="139"/>
      <c r="D99" s="140"/>
      <c r="E99" s="140"/>
      <c r="F99" s="140"/>
      <c r="G99" s="140"/>
      <c r="H99" s="140"/>
      <c r="I99" s="140"/>
      <c r="J99" s="140"/>
      <c r="K99" s="140"/>
    </row>
    <row r="100" spans="1:11" ht="15" x14ac:dyDescent="0.25">
      <c r="A100" s="872" t="s">
        <v>1746</v>
      </c>
      <c r="B100" s="934"/>
      <c r="C100" s="139"/>
      <c r="D100" s="140"/>
      <c r="E100" s="140"/>
      <c r="F100" s="140"/>
      <c r="G100" s="140"/>
      <c r="H100" s="140"/>
      <c r="I100" s="140"/>
      <c r="J100" s="140"/>
      <c r="K100" s="140"/>
    </row>
    <row r="101" spans="1:11" ht="15" x14ac:dyDescent="0.25">
      <c r="A101" s="141" t="s">
        <v>761</v>
      </c>
      <c r="B101" s="138" t="s">
        <v>1309</v>
      </c>
      <c r="C101" s="139"/>
      <c r="D101" s="140"/>
      <c r="E101" s="140"/>
      <c r="F101" s="932">
        <f>+Input!F82</f>
        <v>0</v>
      </c>
      <c r="G101" s="932" t="str">
        <f>+Input!G82</f>
        <v>kWh</v>
      </c>
      <c r="H101" s="140" t="s">
        <v>969</v>
      </c>
      <c r="I101" s="140"/>
      <c r="J101" s="140"/>
      <c r="K101" s="140"/>
    </row>
    <row r="102" spans="1:11" ht="15" x14ac:dyDescent="0.25">
      <c r="A102" s="141"/>
      <c r="B102" s="138"/>
      <c r="C102" s="139"/>
      <c r="D102" s="140"/>
      <c r="E102" s="140"/>
      <c r="F102" s="140"/>
      <c r="G102" s="140"/>
      <c r="H102" s="198" t="s">
        <v>1172</v>
      </c>
      <c r="I102" s="603"/>
      <c r="J102" s="607"/>
      <c r="K102" s="140"/>
    </row>
    <row r="103" spans="1:11" ht="15" x14ac:dyDescent="0.25">
      <c r="A103" s="141" t="s">
        <v>763</v>
      </c>
      <c r="B103" s="138" t="s">
        <v>967</v>
      </c>
      <c r="C103" s="139"/>
      <c r="D103" s="140"/>
      <c r="E103" s="140"/>
      <c r="F103" s="935" t="str">
        <f>+Input!F90</f>
        <v>Natural Gas</v>
      </c>
      <c r="G103" s="140"/>
      <c r="H103" s="140"/>
      <c r="I103" s="140"/>
      <c r="J103" s="140"/>
      <c r="K103" s="140"/>
    </row>
    <row r="104" spans="1:11" ht="15" x14ac:dyDescent="0.25">
      <c r="A104" s="141"/>
      <c r="B104" s="138"/>
      <c r="C104" s="139"/>
      <c r="D104" s="140"/>
      <c r="E104" s="140"/>
      <c r="F104" s="140"/>
      <c r="G104" s="140"/>
      <c r="H104" s="140" t="s">
        <v>1046</v>
      </c>
      <c r="I104" s="140"/>
      <c r="J104" s="140"/>
      <c r="K104" s="140"/>
    </row>
    <row r="105" spans="1:11" ht="15" x14ac:dyDescent="0.25">
      <c r="A105" s="141" t="s">
        <v>764</v>
      </c>
      <c r="B105" s="138" t="s">
        <v>968</v>
      </c>
      <c r="C105" s="139"/>
      <c r="D105" s="140"/>
      <c r="E105" s="140"/>
      <c r="F105" s="896" t="s">
        <v>1803</v>
      </c>
      <c r="G105" s="140"/>
      <c r="H105" s="936" t="s">
        <v>946</v>
      </c>
      <c r="I105" s="937">
        <f>+Input!F82-Input!F84</f>
        <v>0</v>
      </c>
      <c r="J105" s="140" t="str">
        <f>G101</f>
        <v>kWh</v>
      </c>
      <c r="K105" s="140"/>
    </row>
    <row r="106" spans="1:11" ht="15" x14ac:dyDescent="0.25">
      <c r="A106" s="141"/>
      <c r="B106" s="138"/>
      <c r="C106" s="139"/>
      <c r="D106" s="140"/>
      <c r="E106" s="140"/>
      <c r="F106" s="140"/>
      <c r="G106" s="140"/>
      <c r="H106" s="936" t="s">
        <v>947</v>
      </c>
      <c r="I106" s="937">
        <f>+Input!F84</f>
        <v>0</v>
      </c>
      <c r="J106" s="140" t="str">
        <f>G101</f>
        <v>kWh</v>
      </c>
      <c r="K106" s="140"/>
    </row>
    <row r="107" spans="1:11" ht="15" x14ac:dyDescent="0.25">
      <c r="A107" s="141"/>
      <c r="B107" s="138"/>
      <c r="C107" s="139"/>
      <c r="D107" s="140"/>
      <c r="E107" s="140"/>
      <c r="F107" s="140"/>
      <c r="G107" s="140"/>
      <c r="H107" s="198" t="s">
        <v>959</v>
      </c>
      <c r="I107" s="607"/>
      <c r="J107" s="140"/>
      <c r="K107" s="140"/>
    </row>
    <row r="108" spans="1:11" ht="15" x14ac:dyDescent="0.25">
      <c r="A108" s="141"/>
      <c r="B108" s="138"/>
      <c r="C108" s="139"/>
      <c r="D108" s="140"/>
      <c r="E108" s="140"/>
      <c r="F108" s="140"/>
      <c r="G108" s="140"/>
      <c r="H108" s="140"/>
      <c r="I108" s="140"/>
      <c r="J108" s="140"/>
      <c r="K108" s="140"/>
    </row>
    <row r="109" spans="1:11" ht="18" x14ac:dyDescent="0.25">
      <c r="A109" s="871" t="s">
        <v>948</v>
      </c>
      <c r="B109" s="938"/>
      <c r="C109" s="939"/>
      <c r="D109" s="592"/>
      <c r="E109" s="592"/>
      <c r="F109" s="592"/>
      <c r="G109" s="592"/>
      <c r="H109" s="592"/>
      <c r="I109" s="592"/>
      <c r="J109" s="592"/>
      <c r="K109" s="592"/>
    </row>
    <row r="110" spans="1:11" ht="15" x14ac:dyDescent="0.25">
      <c r="A110" s="141"/>
      <c r="B110" s="940" t="s">
        <v>131</v>
      </c>
      <c r="C110" s="139"/>
      <c r="D110" s="140"/>
      <c r="E110" s="140"/>
      <c r="F110" s="140"/>
      <c r="G110" s="140"/>
      <c r="H110" s="140"/>
      <c r="I110" s="140"/>
      <c r="J110" s="140"/>
      <c r="K110" s="140"/>
    </row>
    <row r="111" spans="1:11" ht="15" x14ac:dyDescent="0.25">
      <c r="A111" s="141"/>
      <c r="B111" s="138"/>
      <c r="C111" s="139"/>
      <c r="D111" s="140"/>
      <c r="E111" s="140"/>
      <c r="F111" s="140"/>
      <c r="G111" s="140"/>
      <c r="H111" s="198" t="s">
        <v>1050</v>
      </c>
      <c r="I111" s="603"/>
      <c r="J111" s="607"/>
    </row>
    <row r="112" spans="1:11" ht="15" x14ac:dyDescent="0.25">
      <c r="A112" s="141" t="s">
        <v>1051</v>
      </c>
      <c r="B112" s="140"/>
      <c r="C112" s="140"/>
      <c r="D112" s="140"/>
      <c r="H112" s="181" t="s">
        <v>1047</v>
      </c>
      <c r="I112" s="181"/>
      <c r="J112" s="181"/>
      <c r="K112" s="198"/>
    </row>
    <row r="113" spans="1:11" x14ac:dyDescent="0.2">
      <c r="A113" s="140"/>
      <c r="B113" s="140"/>
      <c r="C113" s="140"/>
      <c r="D113" s="140"/>
      <c r="E113" s="140"/>
      <c r="F113" s="140"/>
      <c r="G113" s="140"/>
      <c r="H113" s="181" t="s">
        <v>965</v>
      </c>
      <c r="I113" s="181"/>
      <c r="J113" s="181"/>
      <c r="K113" s="198"/>
    </row>
    <row r="114" spans="1:11" x14ac:dyDescent="0.2">
      <c r="A114" s="166"/>
      <c r="B114" s="909" t="s">
        <v>2</v>
      </c>
      <c r="C114" s="909" t="s">
        <v>572</v>
      </c>
      <c r="D114" s="166"/>
      <c r="E114" s="909" t="s">
        <v>2</v>
      </c>
      <c r="F114" s="909" t="s">
        <v>572</v>
      </c>
      <c r="G114" s="166"/>
      <c r="H114" s="909" t="s">
        <v>2</v>
      </c>
      <c r="I114" s="909" t="s">
        <v>572</v>
      </c>
      <c r="J114" s="140"/>
      <c r="K114" s="140"/>
    </row>
    <row r="115" spans="1:11" ht="15" x14ac:dyDescent="0.25">
      <c r="A115" s="872" t="s">
        <v>1747</v>
      </c>
      <c r="B115" s="941" t="s">
        <v>240</v>
      </c>
      <c r="C115" s="890">
        <f>+IF(Input!$H$95=2,Input!C112,+IF(Input!$H$95=0,0,0))</f>
        <v>0</v>
      </c>
      <c r="D115" s="166"/>
      <c r="E115" s="941" t="s">
        <v>386</v>
      </c>
      <c r="F115" s="890">
        <f>+IF(Input!$H$95=2,Input!E128,+IF(Input!$H$95=0,0,0))</f>
        <v>0</v>
      </c>
      <c r="G115" s="166"/>
      <c r="H115" s="941" t="s">
        <v>502</v>
      </c>
      <c r="I115" s="890">
        <f>+IF(Input!$H$95=2,Input!G144,+IF(Input!$H$95=0,0,0))</f>
        <v>0</v>
      </c>
      <c r="J115" s="140"/>
      <c r="K115" s="140"/>
    </row>
    <row r="116" spans="1:11" ht="15" x14ac:dyDescent="0.25">
      <c r="A116" s="872" t="s">
        <v>1745</v>
      </c>
      <c r="B116" s="942" t="s">
        <v>244</v>
      </c>
      <c r="C116" s="890">
        <f>+IF(Input!$H$95=2,Input!C113,+IF(Input!$H$95=0,0,0))</f>
        <v>0</v>
      </c>
      <c r="D116" s="166"/>
      <c r="E116" s="942" t="s">
        <v>389</v>
      </c>
      <c r="F116" s="890">
        <f>+IF(Input!$H$95=2,Input!E129,+IF(Input!$H$95=0,0,0))</f>
        <v>0</v>
      </c>
      <c r="G116" s="166"/>
      <c r="H116" s="942" t="s">
        <v>505</v>
      </c>
      <c r="I116" s="890">
        <f>+IF(Input!$H$95=2,Input!G145,+IF(Input!$H$95=0,0,0))</f>
        <v>0</v>
      </c>
      <c r="J116" s="140"/>
      <c r="K116" s="140"/>
    </row>
    <row r="117" spans="1:11" ht="15" x14ac:dyDescent="0.25">
      <c r="A117" s="872" t="s">
        <v>1746</v>
      </c>
      <c r="B117" s="942" t="s">
        <v>247</v>
      </c>
      <c r="C117" s="890">
        <f>+IF(Input!$H$95=2,Input!C114,+IF(Input!$H$95=0,0,0))</f>
        <v>0</v>
      </c>
      <c r="D117" s="166"/>
      <c r="E117" s="942" t="s">
        <v>392</v>
      </c>
      <c r="F117" s="890">
        <f>+IF(Input!$H$95=2,Input!E130,+IF(Input!$H$95=0,0,0))</f>
        <v>0</v>
      </c>
      <c r="G117" s="166"/>
      <c r="H117" s="942" t="s">
        <v>508</v>
      </c>
      <c r="I117" s="890">
        <f>+IF(Input!$H$95=2,Input!I112,+IF(Input!$H$95=0,0,0))</f>
        <v>0</v>
      </c>
      <c r="J117" s="140"/>
      <c r="K117" s="140"/>
    </row>
    <row r="118" spans="1:11" ht="15" x14ac:dyDescent="0.25">
      <c r="A118" s="166"/>
      <c r="B118" s="942" t="s">
        <v>251</v>
      </c>
      <c r="C118" s="890">
        <f>+IF(Input!$H$95=2,Input!C115,+IF(Input!$H$95=0,0,0))</f>
        <v>0</v>
      </c>
      <c r="D118" s="166"/>
      <c r="E118" s="942" t="s">
        <v>394</v>
      </c>
      <c r="F118" s="890">
        <f>+IF(Input!$H$95=2,Input!E131,+IF(Input!$H$95=0,0,0))</f>
        <v>0</v>
      </c>
      <c r="G118" s="166"/>
      <c r="H118" s="942" t="s">
        <v>510</v>
      </c>
      <c r="I118" s="890">
        <f>+IF(Input!$H$95=2,Input!I113,+IF(Input!$H$95=0,0,0))</f>
        <v>0</v>
      </c>
      <c r="J118" s="140"/>
      <c r="K118" s="140"/>
    </row>
    <row r="119" spans="1:11" ht="15" x14ac:dyDescent="0.25">
      <c r="A119" s="166"/>
      <c r="B119" s="942" t="s">
        <v>254</v>
      </c>
      <c r="C119" s="890">
        <f>+IF(Input!$H$95=2,Input!C116,+IF(Input!$H$95=0,0,0))</f>
        <v>0</v>
      </c>
      <c r="D119" s="166"/>
      <c r="E119" s="942" t="s">
        <v>396</v>
      </c>
      <c r="F119" s="890">
        <f>+IF(Input!$H$95=2,Input!E132,+IF(Input!$H$95=0,0,0))</f>
        <v>0</v>
      </c>
      <c r="G119" s="166"/>
      <c r="H119" s="942" t="s">
        <v>512</v>
      </c>
      <c r="I119" s="890">
        <f>+IF(Input!$H$95=2,Input!I114,+IF(Input!$H$95=0,0,0))</f>
        <v>0</v>
      </c>
      <c r="J119" s="140"/>
      <c r="K119" s="140"/>
    </row>
    <row r="120" spans="1:11" ht="15" x14ac:dyDescent="0.25">
      <c r="A120" s="166"/>
      <c r="B120" s="942" t="s">
        <v>257</v>
      </c>
      <c r="C120" s="890">
        <f>+IF(Input!$H$95=2,Input!C117,+IF(Input!$H$95=0,0,Input!D101/2))</f>
        <v>0</v>
      </c>
      <c r="D120" s="166"/>
      <c r="E120" s="942" t="s">
        <v>399</v>
      </c>
      <c r="F120" s="890">
        <f>+IF(Input!$H$95=2,Input!E133,+IF(Input!$H$95=0,0,0))</f>
        <v>0</v>
      </c>
      <c r="G120" s="166"/>
      <c r="H120" s="942" t="s">
        <v>514</v>
      </c>
      <c r="I120" s="890">
        <f>+IF(Input!$H$95=2,Input!I115,+IF(Input!$H$95=0,0,0))</f>
        <v>0</v>
      </c>
      <c r="J120" s="140"/>
      <c r="K120" s="140"/>
    </row>
    <row r="121" spans="1:11" ht="15" x14ac:dyDescent="0.25">
      <c r="A121" s="166"/>
      <c r="B121" s="942" t="s">
        <v>260</v>
      </c>
      <c r="C121" s="890">
        <f>+IF(Input!$H$95=2,Input!C118,+IF(Input!$H$95=0,0,0))</f>
        <v>0</v>
      </c>
      <c r="D121" s="166"/>
      <c r="E121" s="942" t="s">
        <v>400</v>
      </c>
      <c r="F121" s="890">
        <f>+IF(Input!$H$95=2,Input!E134,+IF(Input!$H$95=0,0,0))</f>
        <v>0</v>
      </c>
      <c r="G121" s="166"/>
      <c r="H121" s="943" t="s">
        <v>516</v>
      </c>
      <c r="I121" s="890">
        <f>+IF(Input!$H$95=2,Input!I116,+IF(Input!$H$95=0,0,0))</f>
        <v>0</v>
      </c>
      <c r="J121" s="140"/>
      <c r="K121" s="140"/>
    </row>
    <row r="122" spans="1:11" ht="15" x14ac:dyDescent="0.25">
      <c r="A122" s="166"/>
      <c r="B122" s="942" t="s">
        <v>263</v>
      </c>
      <c r="C122" s="890">
        <f>+IF(Input!$H$95=2,Input!C119,+IF(Input!$H$95=0,0,Input!D100/2))</f>
        <v>50</v>
      </c>
      <c r="D122" s="166"/>
      <c r="E122" s="942" t="s">
        <v>403</v>
      </c>
      <c r="F122" s="890">
        <f>+IF(Input!$H$95=2,Input!E135,+IF(Input!$H$95=0,0,Input!D102/2))</f>
        <v>0</v>
      </c>
      <c r="G122" s="166"/>
      <c r="H122" s="943" t="s">
        <v>518</v>
      </c>
      <c r="I122" s="890">
        <f>+IF(Input!$H$95=2,Input!I117,+IF(Input!$H$95=0,0,0))</f>
        <v>0</v>
      </c>
      <c r="J122" s="140"/>
      <c r="K122" s="140"/>
    </row>
    <row r="123" spans="1:11" ht="15" x14ac:dyDescent="0.25">
      <c r="A123" s="166"/>
      <c r="B123" s="942" t="s">
        <v>266</v>
      </c>
      <c r="C123" s="890">
        <f>+IF(Input!$H$95=2,Input!C120,+IF(Input!$H$95=0,0,Input!D99/2))</f>
        <v>0</v>
      </c>
      <c r="D123" s="166"/>
      <c r="E123" s="942" t="s">
        <v>406</v>
      </c>
      <c r="F123" s="890">
        <f>+IF(Input!$H$95=2,Input!E136,+IF(Input!$H$95=0,0,0))</f>
        <v>0</v>
      </c>
      <c r="G123" s="166"/>
      <c r="H123" s="943" t="s">
        <v>520</v>
      </c>
      <c r="I123" s="890">
        <f>+IF(Input!$H$95=2,Input!I118,+IF(Input!$H$95=0,0,0))</f>
        <v>0</v>
      </c>
      <c r="J123" s="140"/>
      <c r="K123" s="140"/>
    </row>
    <row r="124" spans="1:11" ht="15" x14ac:dyDescent="0.25">
      <c r="A124" s="166"/>
      <c r="B124" s="942" t="s">
        <v>270</v>
      </c>
      <c r="C124" s="890">
        <f>+IF(Input!$H$95=2,Input!C121,+IF(Input!$H$95=0,0,0))</f>
        <v>0</v>
      </c>
      <c r="D124" s="166"/>
      <c r="E124" s="942" t="s">
        <v>408</v>
      </c>
      <c r="F124" s="890">
        <f>+IF(Input!$H$95=2,Input!E137,+IF(Input!$H$95=0,0,0))</f>
        <v>0</v>
      </c>
      <c r="G124" s="166"/>
      <c r="H124" s="943" t="s">
        <v>523</v>
      </c>
      <c r="I124" s="890">
        <f>+IF(Input!$H$95=2,Input!I119,+IF(Input!$H$95=0,0,0))</f>
        <v>0</v>
      </c>
      <c r="J124" s="140"/>
      <c r="K124" s="140"/>
    </row>
    <row r="125" spans="1:11" ht="15" x14ac:dyDescent="0.25">
      <c r="A125" s="166"/>
      <c r="B125" s="942" t="s">
        <v>273</v>
      </c>
      <c r="C125" s="890">
        <f>+IF(Input!$H$95=2,Input!C122,+IF(Input!$H$95=0,0,0))</f>
        <v>0</v>
      </c>
      <c r="D125" s="166"/>
      <c r="E125" s="942" t="s">
        <v>410</v>
      </c>
      <c r="F125" s="890">
        <f>+IF(Input!$H$95=2,Input!E138,+IF(Input!$H$95=0,0,0))</f>
        <v>0</v>
      </c>
      <c r="G125" s="166"/>
      <c r="H125" s="943" t="s">
        <v>524</v>
      </c>
      <c r="I125" s="890">
        <f>+IF(Input!$H$95=2,Input!I120,+IF(Input!$H$95=0,0,0))</f>
        <v>0</v>
      </c>
      <c r="J125" s="140"/>
      <c r="K125" s="140"/>
    </row>
    <row r="126" spans="1:11" ht="15" x14ac:dyDescent="0.25">
      <c r="A126" s="166"/>
      <c r="B126" s="942" t="s">
        <v>276</v>
      </c>
      <c r="C126" s="890">
        <f>+IF(Input!$H$95=2,Input!C123,+IF(Input!$H$95=0,0,0))</f>
        <v>0</v>
      </c>
      <c r="D126" s="166"/>
      <c r="E126" s="942" t="s">
        <v>412</v>
      </c>
      <c r="F126" s="890">
        <f>+IF(Input!$H$95=2,Input!E139,+IF(Input!$H$95=0,0,0))</f>
        <v>0</v>
      </c>
      <c r="G126" s="166"/>
      <c r="H126" s="942" t="s">
        <v>526</v>
      </c>
      <c r="I126" s="890">
        <f>+IF(Input!$H$95=2,Input!I121,+IF(Input!$H$95=0,0,0))</f>
        <v>0</v>
      </c>
      <c r="J126" s="140"/>
      <c r="K126" s="140"/>
    </row>
    <row r="127" spans="1:11" ht="15" x14ac:dyDescent="0.25">
      <c r="A127" s="166"/>
      <c r="B127" s="942" t="s">
        <v>280</v>
      </c>
      <c r="C127" s="890">
        <f>+IF(Input!$H$95=2,Input!C124,+IF(Input!$H$95=0,0,0))</f>
        <v>0</v>
      </c>
      <c r="D127" s="166"/>
      <c r="E127" s="942" t="s">
        <v>415</v>
      </c>
      <c r="F127" s="890">
        <f>+IF(Input!$H$95=2,Input!E140,+IF(Input!$H$95=0,0,0))</f>
        <v>0</v>
      </c>
      <c r="G127" s="166"/>
      <c r="H127" s="942" t="s">
        <v>527</v>
      </c>
      <c r="I127" s="890">
        <f>+IF(Input!$H$95=2,Input!I122,+IF(Input!$H$95=0,0,0))</f>
        <v>0</v>
      </c>
      <c r="J127" s="140"/>
      <c r="K127" s="140"/>
    </row>
    <row r="128" spans="1:11" ht="15" x14ac:dyDescent="0.25">
      <c r="A128" s="166"/>
      <c r="B128" s="942" t="s">
        <v>283</v>
      </c>
      <c r="C128" s="890">
        <f>+IF(Input!$H$95=2,Input!C125,+IF(Input!$H$95=0,0,0))</f>
        <v>0</v>
      </c>
      <c r="D128" s="166"/>
      <c r="E128" s="942" t="s">
        <v>417</v>
      </c>
      <c r="F128" s="890">
        <f>+IF(Input!$H$95=2,Input!E141,+IF(Input!$H$95=0,0,0))</f>
        <v>0</v>
      </c>
      <c r="G128" s="166"/>
      <c r="H128" s="942" t="s">
        <v>530</v>
      </c>
      <c r="I128" s="890">
        <f>+IF(Input!$H$95=2,Input!I123,+IF(Input!$H$95=0,0,0))</f>
        <v>0</v>
      </c>
      <c r="J128" s="140"/>
      <c r="K128" s="140"/>
    </row>
    <row r="129" spans="1:11" ht="15" x14ac:dyDescent="0.25">
      <c r="A129" s="166"/>
      <c r="B129" s="942" t="s">
        <v>287</v>
      </c>
      <c r="C129" s="890">
        <f>+IF(Input!$H$95=2,Input!C126,+IF(Input!$H$95=0,0,0))</f>
        <v>0</v>
      </c>
      <c r="D129" s="166"/>
      <c r="E129" s="942" t="s">
        <v>419</v>
      </c>
      <c r="F129" s="890">
        <f>+IF(Input!$H$95=2,Input!E142,+IF(Input!$H$95=0,0,0))</f>
        <v>0</v>
      </c>
      <c r="G129" s="166"/>
      <c r="H129" s="942" t="s">
        <v>532</v>
      </c>
      <c r="I129" s="890">
        <f>+IF(Input!$H$95=2,Input!I124,+IF(Input!$H$95=0,0,0))</f>
        <v>0</v>
      </c>
      <c r="J129" s="140"/>
      <c r="K129" s="140"/>
    </row>
    <row r="130" spans="1:11" ht="15" x14ac:dyDescent="0.25">
      <c r="A130" s="166"/>
      <c r="B130" s="942" t="s">
        <v>289</v>
      </c>
      <c r="C130" s="890">
        <f>+IF(Input!$H$95=2,Input!C127,+IF(Input!$H$95=0,0,0))</f>
        <v>0</v>
      </c>
      <c r="D130" s="166"/>
      <c r="E130" s="942" t="s">
        <v>422</v>
      </c>
      <c r="F130" s="890">
        <f>+IF(Input!$H$95=2,Input!E143,+IF(Input!$H$95=0,0,0))</f>
        <v>0</v>
      </c>
      <c r="G130" s="166"/>
      <c r="H130" s="942" t="s">
        <v>534</v>
      </c>
      <c r="I130" s="890">
        <f>+IF(Input!$H$95=2,Input!I125,+IF(Input!$H$95=0,0,0))</f>
        <v>0</v>
      </c>
      <c r="J130" s="140"/>
      <c r="K130" s="140"/>
    </row>
    <row r="131" spans="1:11" ht="15" x14ac:dyDescent="0.25">
      <c r="A131" s="166"/>
      <c r="B131" s="942" t="s">
        <v>292</v>
      </c>
      <c r="C131" s="890">
        <f>+IF(Input!$H$95=2,Input!C128,+IF(Input!$H$95=0,0,0))</f>
        <v>0</v>
      </c>
      <c r="D131" s="166"/>
      <c r="E131" s="942" t="s">
        <v>424</v>
      </c>
      <c r="F131" s="890">
        <f>+IF(Input!$H$95=2,Input!E144,+IF(Input!$H$95=0,0,0))</f>
        <v>0</v>
      </c>
      <c r="G131" s="166"/>
      <c r="H131" s="942" t="s">
        <v>536</v>
      </c>
      <c r="I131" s="890">
        <f>+IF(Input!$H$95=2,Input!I126,+IF(Input!$H$95=0,0,0))</f>
        <v>0</v>
      </c>
      <c r="J131" s="140"/>
      <c r="K131" s="140"/>
    </row>
    <row r="132" spans="1:11" ht="15" x14ac:dyDescent="0.25">
      <c r="A132" s="166"/>
      <c r="B132" s="942" t="s">
        <v>294</v>
      </c>
      <c r="C132" s="890">
        <f>+IF(Input!$H$95=2,Input!C129,+IF(Input!$H$95=0,0,0))</f>
        <v>0</v>
      </c>
      <c r="D132" s="166"/>
      <c r="E132" s="942" t="s">
        <v>427</v>
      </c>
      <c r="F132" s="890">
        <f>+IF(Input!$H$95=2,Input!E145,+IF(Input!$H$95=0,0,0))</f>
        <v>0</v>
      </c>
      <c r="G132" s="166"/>
      <c r="H132" s="942" t="s">
        <v>538</v>
      </c>
      <c r="I132" s="890">
        <f>+IF(Input!$H$95=2,Input!I127,+IF(Input!$H$95=0,0,0))</f>
        <v>0</v>
      </c>
      <c r="J132" s="140"/>
      <c r="K132" s="140"/>
    </row>
    <row r="133" spans="1:11" ht="15" x14ac:dyDescent="0.25">
      <c r="A133" s="166"/>
      <c r="B133" s="942" t="s">
        <v>297</v>
      </c>
      <c r="C133" s="890">
        <f>+IF(Input!$H$95=2,Input!C130,+IF(Input!$H$95=0,0,0))</f>
        <v>0</v>
      </c>
      <c r="D133" s="166"/>
      <c r="E133" s="942" t="s">
        <v>429</v>
      </c>
      <c r="F133" s="890">
        <f>+IF(Input!$H$95=2,Input!G112,+IF(Input!$H$95=0,0,0))</f>
        <v>0</v>
      </c>
      <c r="G133" s="166"/>
      <c r="H133" s="942" t="s">
        <v>540</v>
      </c>
      <c r="I133" s="890">
        <f>+IF(Input!$H$95=2,Input!I128,+IF(Input!$H$95=0,0,0))</f>
        <v>0</v>
      </c>
      <c r="J133" s="140"/>
      <c r="K133" s="140"/>
    </row>
    <row r="134" spans="1:11" ht="15" x14ac:dyDescent="0.25">
      <c r="A134" s="166"/>
      <c r="B134" s="942" t="s">
        <v>300</v>
      </c>
      <c r="C134" s="890">
        <f>+IF(Input!$H$95=2,Input!C131,+IF(Input!$H$95=0,0,0))</f>
        <v>0</v>
      </c>
      <c r="D134" s="166"/>
      <c r="E134" s="942" t="s">
        <v>432</v>
      </c>
      <c r="F134" s="890">
        <f>+IF(Input!$H$95=2,Input!G113,+IF(Input!$H$95=0,0,Input!D102/2))</f>
        <v>0</v>
      </c>
      <c r="G134" s="166"/>
      <c r="H134" s="942" t="s">
        <v>542</v>
      </c>
      <c r="I134" s="890">
        <f>+IF(Input!$H$95=2,Input!I129,+IF(Input!$H$95=0,0,0))</f>
        <v>0</v>
      </c>
      <c r="J134" s="140"/>
      <c r="K134" s="140"/>
    </row>
    <row r="135" spans="1:11" ht="15" x14ac:dyDescent="0.25">
      <c r="A135" s="166"/>
      <c r="B135" s="943" t="s">
        <v>303</v>
      </c>
      <c r="C135" s="890">
        <f>+IF(Input!$H$95=2,Input!C132,+IF(Input!$H$95=0,0,0))</f>
        <v>0</v>
      </c>
      <c r="D135" s="166"/>
      <c r="E135" s="942" t="s">
        <v>435</v>
      </c>
      <c r="F135" s="890">
        <f>+IF(Input!$H$95=2,Input!G114,+IF(Input!$H$95=0,0,0))</f>
        <v>0</v>
      </c>
      <c r="G135" s="166"/>
      <c r="H135" s="942" t="s">
        <v>544</v>
      </c>
      <c r="I135" s="890">
        <f>+IF(Input!$H$95=2,Input!I130,+IF(Input!$H$95=0,0,0))</f>
        <v>0</v>
      </c>
      <c r="J135" s="140"/>
      <c r="K135" s="140"/>
    </row>
    <row r="136" spans="1:11" ht="15" x14ac:dyDescent="0.25">
      <c r="A136" s="166"/>
      <c r="B136" s="943" t="s">
        <v>306</v>
      </c>
      <c r="C136" s="890">
        <f>+IF(Input!$H$95=2,Input!C133,+IF(Input!$H$95=0,0,0))</f>
        <v>0</v>
      </c>
      <c r="D136" s="166"/>
      <c r="E136" s="942" t="s">
        <v>438</v>
      </c>
      <c r="F136" s="890">
        <f>+IF(Input!$H$95=2,Input!G115,+IF(Input!$H$95=0,0,0))</f>
        <v>0</v>
      </c>
      <c r="G136" s="166"/>
      <c r="H136" s="942" t="s">
        <v>546</v>
      </c>
      <c r="I136" s="890">
        <f>+IF(Input!$H$95=2,Input!I131,+IF(Input!$H$95=0,0,0))</f>
        <v>0</v>
      </c>
      <c r="J136" s="140"/>
      <c r="K136" s="140"/>
    </row>
    <row r="137" spans="1:11" ht="15" x14ac:dyDescent="0.25">
      <c r="A137" s="166"/>
      <c r="B137" s="942" t="s">
        <v>308</v>
      </c>
      <c r="C137" s="890">
        <f>+IF(Input!$H$95=2,Input!C134,+IF(Input!$H$95=0,0,0))</f>
        <v>0</v>
      </c>
      <c r="D137" s="166"/>
      <c r="E137" s="942" t="s">
        <v>439</v>
      </c>
      <c r="F137" s="890">
        <f>+IF(Input!$H$95=2,Input!G116,+IF(Input!$H$95=0,0,0))</f>
        <v>0</v>
      </c>
      <c r="G137" s="166"/>
      <c r="H137" s="942" t="s">
        <v>549</v>
      </c>
      <c r="I137" s="890">
        <f>+IF(Input!$H$95=2,Input!I132,+IF(Input!$H$95=0,0,0))</f>
        <v>0</v>
      </c>
      <c r="J137" s="140"/>
      <c r="K137" s="140"/>
    </row>
    <row r="138" spans="1:11" ht="15" x14ac:dyDescent="0.25">
      <c r="A138" s="166"/>
      <c r="B138" s="942" t="s">
        <v>311</v>
      </c>
      <c r="C138" s="890">
        <f>+IF(Input!$H$95=2,Input!C135,+IF(Input!$H$95=0,0,0))</f>
        <v>0</v>
      </c>
      <c r="D138" s="166"/>
      <c r="E138" s="944" t="s">
        <v>442</v>
      </c>
      <c r="F138" s="890">
        <f>+IF(Input!$H$95=2,Input!G117,+IF(Input!$H$95=0,0,0))</f>
        <v>0</v>
      </c>
      <c r="G138" s="166"/>
      <c r="H138" s="942" t="s">
        <v>551</v>
      </c>
      <c r="I138" s="890">
        <f>+IF(Input!$H$95=2,Input!I133,+IF(Input!$H$95=0,0,0))</f>
        <v>0</v>
      </c>
    </row>
    <row r="139" spans="1:11" ht="15" x14ac:dyDescent="0.25">
      <c r="A139" s="166"/>
      <c r="B139" s="942" t="s">
        <v>314</v>
      </c>
      <c r="C139" s="890">
        <f>+IF(Input!$H$95=2,Input!C136,+IF(Input!$H$95=0,0,0))</f>
        <v>0</v>
      </c>
      <c r="D139" s="166"/>
      <c r="E139" s="944" t="s">
        <v>444</v>
      </c>
      <c r="F139" s="890">
        <f>+IF(Input!$H$95=2,Input!G118,+IF(Input!$H$95=0,0,0))</f>
        <v>0</v>
      </c>
      <c r="G139" s="166"/>
      <c r="H139" s="942" t="s">
        <v>554</v>
      </c>
      <c r="I139" s="890">
        <f>+IF(Input!$H$95=2,Input!I134,+IF(Input!$H$95=0,0,0))</f>
        <v>0</v>
      </c>
      <c r="J139" s="140"/>
      <c r="K139" s="140"/>
    </row>
    <row r="140" spans="1:11" ht="15" x14ac:dyDescent="0.25">
      <c r="A140" s="166"/>
      <c r="B140" s="942" t="s">
        <v>316</v>
      </c>
      <c r="C140" s="890">
        <f>+IF(Input!$H$95=2,Input!C137,+IF(Input!$H$95=0,0,0))</f>
        <v>0</v>
      </c>
      <c r="D140" s="166"/>
      <c r="E140" s="944" t="s">
        <v>446</v>
      </c>
      <c r="F140" s="890">
        <f>+IF(Input!$H$95=2,Input!G119,+IF(Input!$H$95=0,0,0))</f>
        <v>0</v>
      </c>
      <c r="G140" s="166"/>
      <c r="H140" s="942" t="s">
        <v>556</v>
      </c>
      <c r="I140" s="890">
        <f>+IF(Input!$H$95=2,Input!I135,+IF(Input!$H$95=0,0,0))</f>
        <v>0</v>
      </c>
      <c r="J140" s="140"/>
      <c r="K140" s="140"/>
    </row>
    <row r="141" spans="1:11" ht="15" x14ac:dyDescent="0.25">
      <c r="A141" s="166"/>
      <c r="B141" s="942" t="s">
        <v>318</v>
      </c>
      <c r="C141" s="890">
        <f>+IF(Input!$H$95=2,Input!C138,+IF(Input!$H$95=0,0,0))</f>
        <v>0</v>
      </c>
      <c r="D141" s="166"/>
      <c r="E141" s="943" t="s">
        <v>448</v>
      </c>
      <c r="F141" s="890">
        <f>+IF(Input!$H$95=2,Input!G120,+IF(Input!$H$95=0,0,0))</f>
        <v>0</v>
      </c>
      <c r="G141" s="166"/>
      <c r="H141" s="942" t="s">
        <v>559</v>
      </c>
      <c r="I141" s="890">
        <f>+IF(Input!$H$95=2,Input!I136,+IF(Input!$H$95=0,0,0))</f>
        <v>0</v>
      </c>
      <c r="J141" s="140"/>
      <c r="K141" s="140"/>
    </row>
    <row r="142" spans="1:11" ht="15" x14ac:dyDescent="0.25">
      <c r="A142" s="166"/>
      <c r="B142" s="942" t="s">
        <v>320</v>
      </c>
      <c r="C142" s="890">
        <f>+IF(Input!$H$95=2,Input!C139,+IF(Input!$H$95=0,0,0))</f>
        <v>0</v>
      </c>
      <c r="D142" s="166"/>
      <c r="E142" s="943" t="s">
        <v>450</v>
      </c>
      <c r="F142" s="890">
        <f>+IF(Input!$H$95=2,Input!G121,+IF(Input!$H$95=0,0,0))</f>
        <v>0</v>
      </c>
      <c r="H142" s="507" t="s">
        <v>951</v>
      </c>
      <c r="I142" s="945"/>
    </row>
    <row r="143" spans="1:11" ht="15" x14ac:dyDescent="0.25">
      <c r="A143" s="166"/>
      <c r="B143" s="942" t="s">
        <v>322</v>
      </c>
      <c r="C143" s="890">
        <f>+IF(Input!$H$95=2,Input!C140,+IF(Input!$H$95=0,0,0))</f>
        <v>0</v>
      </c>
      <c r="D143" s="166"/>
      <c r="E143" s="944" t="s">
        <v>100</v>
      </c>
      <c r="F143" s="890">
        <f>+IF(Input!$H$95=2,Input!G122,+IF(Input!$H$95=0,0,0))</f>
        <v>0</v>
      </c>
      <c r="G143" s="166"/>
      <c r="H143" s="942" t="s">
        <v>952</v>
      </c>
      <c r="I143" s="890">
        <f>+IF(Input!$H$95=2,Input!I138,+IF(Input!$H$95=0,0,Input!D106))</f>
        <v>0</v>
      </c>
      <c r="J143" s="140"/>
      <c r="K143" s="140"/>
    </row>
    <row r="144" spans="1:11" ht="15" x14ac:dyDescent="0.25">
      <c r="A144" s="166"/>
      <c r="B144" s="942" t="s">
        <v>325</v>
      </c>
      <c r="C144" s="890">
        <f>+IF(Input!$H$95=2,Input!C141,+IF(Input!$H$95=0,0,0))</f>
        <v>0</v>
      </c>
      <c r="D144" s="166"/>
      <c r="E144" s="944" t="s">
        <v>454</v>
      </c>
      <c r="F144" s="890">
        <f>+IF(Input!$H$95=2,Input!G123,+IF(Input!$H$95=0,0,0))</f>
        <v>0</v>
      </c>
      <c r="G144" s="166"/>
      <c r="H144" s="942" t="s">
        <v>955</v>
      </c>
      <c r="I144" s="890">
        <f>+IF(Input!$H$95=2,Input!I139,+IF(Input!$H$95=0,0,Input!D107))</f>
        <v>0</v>
      </c>
      <c r="J144" s="140"/>
      <c r="K144" s="140"/>
    </row>
    <row r="145" spans="1:11" ht="15" x14ac:dyDescent="0.25">
      <c r="A145" s="166"/>
      <c r="B145" s="942" t="s">
        <v>328</v>
      </c>
      <c r="C145" s="890">
        <f>+IF(Input!$H$95=2,Input!C142,+IF(Input!$H$95=0,0,Input!D101/2))</f>
        <v>0</v>
      </c>
      <c r="D145" s="166"/>
      <c r="E145" s="944" t="s">
        <v>456</v>
      </c>
      <c r="F145" s="890">
        <f>+IF(Input!$H$95=2,Input!G124,+IF(Input!$H$95=0,0,Input!D103/2))</f>
        <v>0</v>
      </c>
      <c r="G145" s="166"/>
      <c r="H145" s="942" t="s">
        <v>953</v>
      </c>
      <c r="I145" s="890">
        <f>+IF(Input!$H$95=2,Input!I140,+IF(Input!$H$95=0,0,0))</f>
        <v>0</v>
      </c>
      <c r="J145" s="140"/>
      <c r="K145" s="140"/>
    </row>
    <row r="146" spans="1:11" ht="15" x14ac:dyDescent="0.25">
      <c r="A146" s="166"/>
      <c r="B146" s="942" t="s">
        <v>331</v>
      </c>
      <c r="C146" s="946">
        <f>+IF(Input!$H$95=2,Input!C143,+IF(Input!$H$95=0,0,Input!D99/2))</f>
        <v>0</v>
      </c>
      <c r="D146" s="166"/>
      <c r="E146" s="944" t="s">
        <v>459</v>
      </c>
      <c r="F146" s="890">
        <f>+IF(Input!$H$95=2,Input!G125,+IF(Input!$H$95=0,0,0))</f>
        <v>0</v>
      </c>
      <c r="G146" s="166"/>
      <c r="H146" s="942" t="s">
        <v>956</v>
      </c>
      <c r="I146" s="890">
        <f>+IF(Input!$H$95=2,Input!I141,+IF(Input!$H$95=0,0,Input!D105))</f>
        <v>0</v>
      </c>
      <c r="J146" s="140"/>
      <c r="K146" s="140"/>
    </row>
    <row r="147" spans="1:11" ht="15" x14ac:dyDescent="0.25">
      <c r="A147" s="166"/>
      <c r="B147" s="942" t="s">
        <v>334</v>
      </c>
      <c r="C147" s="890">
        <f>+IF(Input!$H$95=2,Input!C144,+IF(Input!$H$95=0,0,0))</f>
        <v>0</v>
      </c>
      <c r="D147" s="166"/>
      <c r="E147" s="944" t="s">
        <v>462</v>
      </c>
      <c r="F147" s="890">
        <f>+IF(Input!$H$95=2,Input!G126,+IF(Input!$H$95=0,0,0))</f>
        <v>0</v>
      </c>
      <c r="G147" s="166"/>
      <c r="H147" s="942" t="s">
        <v>954</v>
      </c>
      <c r="I147" s="890">
        <f>+IF(Input!$H$95=2,Input!I142,+IF(Input!$H$95=0,0,0))</f>
        <v>0</v>
      </c>
      <c r="J147" s="140"/>
      <c r="K147" s="140"/>
    </row>
    <row r="148" spans="1:11" ht="15" x14ac:dyDescent="0.25">
      <c r="A148" s="166"/>
      <c r="B148" s="942" t="s">
        <v>101</v>
      </c>
      <c r="C148" s="890">
        <f>+IF(Input!$H$95=2,Input!C145,+IF(Input!$H$95=0,0,Input!D100/2))</f>
        <v>50</v>
      </c>
      <c r="D148" s="166"/>
      <c r="E148" s="944" t="s">
        <v>465</v>
      </c>
      <c r="F148" s="890">
        <f>+IF(Input!$H$95=2,Input!G127,+IF(Input!$H$95=0,0,0))</f>
        <v>0</v>
      </c>
      <c r="G148" s="166"/>
      <c r="H148" s="942" t="s">
        <v>985</v>
      </c>
      <c r="I148" s="890">
        <f>+IF(Input!$H$95=2,Input!I143,+IF(Input!$H$95=0,0,0))</f>
        <v>0</v>
      </c>
    </row>
    <row r="149" spans="1:11" ht="15" x14ac:dyDescent="0.25">
      <c r="A149" s="166"/>
      <c r="B149" s="942" t="s">
        <v>339</v>
      </c>
      <c r="C149" s="890">
        <f>+IF(Input!$H$95=2,Input!E112,+IF(Input!$H$95=0,0,0))</f>
        <v>0</v>
      </c>
      <c r="D149" s="166"/>
      <c r="E149" s="944" t="s">
        <v>468</v>
      </c>
      <c r="F149" s="890">
        <f>+IF(Input!$H$95=2,Input!G128,+IF(Input!$H$95=0,0,0))</f>
        <v>0</v>
      </c>
      <c r="G149" s="166"/>
      <c r="H149" s="942" t="s">
        <v>982</v>
      </c>
      <c r="I149" s="890">
        <f>+IF(Input!$H$95=2,Input!I144,+IF(Input!$H$95=0,0,Input!D104))</f>
        <v>0</v>
      </c>
      <c r="J149" s="140"/>
      <c r="K149" s="140"/>
    </row>
    <row r="150" spans="1:11" ht="15" x14ac:dyDescent="0.25">
      <c r="A150" s="166"/>
      <c r="B150" s="942" t="s">
        <v>342</v>
      </c>
      <c r="C150" s="890">
        <f>+IF(Input!$H$95=2,Input!E113,+IF(Input!$H$95=0,0,0))</f>
        <v>0</v>
      </c>
      <c r="D150" s="166"/>
      <c r="E150" s="944" t="s">
        <v>470</v>
      </c>
      <c r="F150" s="890">
        <f>+IF(Input!$H$95=2,Input!G129,+IF(Input!$H$95=0,0,0))</f>
        <v>0</v>
      </c>
      <c r="G150" s="166"/>
      <c r="H150" s="942" t="s">
        <v>983</v>
      </c>
      <c r="I150" s="890">
        <f>+IF(Input!$H$95=2,Input!I145,+IF(Input!$H$95=0,0,0))</f>
        <v>0</v>
      </c>
      <c r="J150" s="140"/>
      <c r="K150" s="140"/>
    </row>
    <row r="151" spans="1:11" ht="15" x14ac:dyDescent="0.25">
      <c r="A151" s="166"/>
      <c r="B151" s="942" t="s">
        <v>345</v>
      </c>
      <c r="C151" s="890">
        <f>+IF(Input!$H$95=2,Input!E114,+IF(Input!$H$95=0,0,0))</f>
        <v>0</v>
      </c>
      <c r="D151" s="166"/>
      <c r="E151" s="942" t="s">
        <v>471</v>
      </c>
      <c r="F151" s="890">
        <f>+IF(Input!$H$95=2,Input!G130,+IF(Input!$H$95=0,0,0))</f>
        <v>0</v>
      </c>
      <c r="G151" s="166"/>
      <c r="H151" s="942" t="s">
        <v>984</v>
      </c>
      <c r="I151" s="890">
        <f>+IF(Input!$H$95=2,Input!I146,+IF(Input!$H$95=0,0,0))</f>
        <v>0</v>
      </c>
      <c r="J151" s="140"/>
      <c r="K151" s="140"/>
    </row>
    <row r="152" spans="1:11" ht="15" x14ac:dyDescent="0.25">
      <c r="A152" s="166"/>
      <c r="B152" s="942" t="s">
        <v>348</v>
      </c>
      <c r="C152" s="890">
        <f>+IF(Input!$H$95=2,Input!E115,+IF(Input!$H$95=0,0,0))</f>
        <v>0</v>
      </c>
      <c r="D152" s="166"/>
      <c r="E152" s="942" t="s">
        <v>474</v>
      </c>
      <c r="F152" s="890">
        <f>+IF(Input!$H$95=2,Input!G131,+IF(Input!$H$95=0,0,0))</f>
        <v>0</v>
      </c>
      <c r="G152" s="166"/>
      <c r="H152" s="140"/>
      <c r="I152" s="947"/>
      <c r="J152" s="140"/>
      <c r="K152" s="140"/>
    </row>
    <row r="153" spans="1:11" ht="15" x14ac:dyDescent="0.25">
      <c r="A153" s="166"/>
      <c r="B153" s="942" t="s">
        <v>349</v>
      </c>
      <c r="C153" s="890">
        <f>+IF(Input!$H$95=2,Input!E116,+IF(Input!$H$95=0,0,0))</f>
        <v>0</v>
      </c>
      <c r="D153" s="166"/>
      <c r="E153" s="942" t="s">
        <v>477</v>
      </c>
      <c r="F153" s="890">
        <f>+IF(Input!$H$95=2,Input!G132,+IF(Input!$H$95=0,0,0))</f>
        <v>0</v>
      </c>
      <c r="H153" s="279" t="s">
        <v>1140</v>
      </c>
      <c r="I153" s="948">
        <f>SUM(C115:C164)+SUM(F115:F164)+SUM(I115:I151)</f>
        <v>100</v>
      </c>
      <c r="J153" s="140"/>
      <c r="K153" s="140"/>
    </row>
    <row r="154" spans="1:11" ht="15" x14ac:dyDescent="0.25">
      <c r="A154" s="166"/>
      <c r="B154" s="942" t="s">
        <v>352</v>
      </c>
      <c r="C154" s="890">
        <f>+IF(Input!$H$95=2,Input!E117,+IF(Input!$H$95=0,0,0))</f>
        <v>0</v>
      </c>
      <c r="D154" s="166"/>
      <c r="E154" s="942" t="s">
        <v>479</v>
      </c>
      <c r="F154" s="890">
        <f>+IF(Input!$H$95=2,Input!G133,+IF(Input!$H$95=0,0,0))</f>
        <v>0</v>
      </c>
      <c r="H154" s="144" t="s">
        <v>1141</v>
      </c>
      <c r="I154" s="948">
        <f>J10</f>
        <v>100</v>
      </c>
      <c r="J154" s="140" t="s">
        <v>1698</v>
      </c>
      <c r="K154" s="140"/>
    </row>
    <row r="155" spans="1:11" ht="15" x14ac:dyDescent="0.25">
      <c r="A155" s="166"/>
      <c r="B155" s="942" t="s">
        <v>354</v>
      </c>
      <c r="C155" s="890">
        <f>+IF(Input!$H$95=2,Input!E118,+IF(Input!$H$95=0,0,0))</f>
        <v>0</v>
      </c>
      <c r="D155" s="166"/>
      <c r="E155" s="942" t="s">
        <v>480</v>
      </c>
      <c r="F155" s="890">
        <f>+IF(Input!$H$95=2,Input!G134,+IF(Input!$H$95=0,0,0))</f>
        <v>0</v>
      </c>
      <c r="G155" s="140"/>
      <c r="H155" s="198" t="s">
        <v>1142</v>
      </c>
      <c r="I155" s="603"/>
      <c r="J155" s="607"/>
      <c r="K155" s="140"/>
    </row>
    <row r="156" spans="1:11" ht="15" x14ac:dyDescent="0.25">
      <c r="A156" s="166"/>
      <c r="B156" s="942" t="s">
        <v>357</v>
      </c>
      <c r="C156" s="890">
        <f>+IF(Input!$H$95=2,Input!E119,+IF(Input!$H$95=0,0,0))</f>
        <v>0</v>
      </c>
      <c r="D156" s="166"/>
      <c r="E156" s="942" t="s">
        <v>481</v>
      </c>
      <c r="F156" s="890">
        <f>+IF(Input!$H$95=2,Input!G135,+IF(Input!$H$95=0,0,0))</f>
        <v>0</v>
      </c>
      <c r="G156" s="140"/>
      <c r="H156" s="279" t="s">
        <v>1696</v>
      </c>
      <c r="I156" s="949">
        <f>+I153/I154</f>
        <v>1</v>
      </c>
      <c r="J156" s="140" t="s">
        <v>1697</v>
      </c>
      <c r="K156" s="140"/>
    </row>
    <row r="157" spans="1:11" ht="15" x14ac:dyDescent="0.25">
      <c r="A157" s="166"/>
      <c r="B157" s="942" t="s">
        <v>361</v>
      </c>
      <c r="C157" s="890">
        <f>+IF(Input!$H$95=2,Input!E120,+IF(Input!$H$95=0,0,0))</f>
        <v>0</v>
      </c>
      <c r="D157" s="166"/>
      <c r="E157" s="942" t="s">
        <v>483</v>
      </c>
      <c r="F157" s="890">
        <f>+IF(Input!$H$95=2,Input!G136,+IF(Input!$H$95=0,0,0))</f>
        <v>0</v>
      </c>
      <c r="G157" s="140"/>
      <c r="H157" s="198"/>
      <c r="I157" s="950" t="str">
        <f>+IF(I156&lt;90%,"Continue to input more aircraft movements",IF(I156&gt;110%,"Too many movements input, reduce or review CellJ10","Acceptable. Input movements within 10% of declared"))</f>
        <v>Acceptable. Input movements within 10% of declared</v>
      </c>
      <c r="J157" s="607"/>
      <c r="K157" s="140"/>
    </row>
    <row r="158" spans="1:11" ht="15" x14ac:dyDescent="0.25">
      <c r="A158" s="166"/>
      <c r="B158" s="942" t="s">
        <v>364</v>
      </c>
      <c r="C158" s="890">
        <f>+IF(Input!$H$95=2,Input!E121,+IF(Input!$H$95=0,0,0))</f>
        <v>0</v>
      </c>
      <c r="D158" s="166"/>
      <c r="E158" s="942" t="s">
        <v>486</v>
      </c>
      <c r="F158" s="890">
        <f>+IF(Input!$H$95=2,Input!G137,+IF(Input!$H$95=0,0,0))</f>
        <v>0</v>
      </c>
      <c r="G158" s="140"/>
      <c r="K158" s="140"/>
    </row>
    <row r="159" spans="1:11" ht="15" x14ac:dyDescent="0.25">
      <c r="A159" s="166"/>
      <c r="B159" s="942" t="s">
        <v>367</v>
      </c>
      <c r="C159" s="890">
        <f>+IF(Input!$H$95=2,Input!E122,+IF(Input!$H$95=0,0,0))</f>
        <v>0</v>
      </c>
      <c r="D159" s="166"/>
      <c r="E159" s="942" t="s">
        <v>488</v>
      </c>
      <c r="F159" s="890">
        <f>+IF(Input!$H$95=2,Input!G138,+IF(Input!$H$95=0,0,0))</f>
        <v>0</v>
      </c>
      <c r="G159" s="140"/>
      <c r="H159" s="140"/>
      <c r="I159" s="140"/>
      <c r="J159" s="140"/>
      <c r="K159" s="140"/>
    </row>
    <row r="160" spans="1:11" ht="15" x14ac:dyDescent="0.25">
      <c r="A160" s="166"/>
      <c r="B160" s="942" t="s">
        <v>371</v>
      </c>
      <c r="C160" s="890">
        <f>+IF(Input!$H$95=2,Input!E123,+IF(Input!$H$95=0,0,Input!D103/2))</f>
        <v>0</v>
      </c>
      <c r="D160" s="166"/>
      <c r="E160" s="942" t="s">
        <v>3</v>
      </c>
      <c r="F160" s="890">
        <f>+IF(Input!$H$95=2,Input!G139,+IF(Input!$H$95=0,0,0))</f>
        <v>0</v>
      </c>
      <c r="G160" s="140"/>
      <c r="H160" s="140"/>
      <c r="I160" s="140"/>
      <c r="J160" s="140"/>
      <c r="K160" s="140"/>
    </row>
    <row r="161" spans="1:11" ht="15" x14ac:dyDescent="0.25">
      <c r="A161" s="166"/>
      <c r="B161" s="942" t="s">
        <v>374</v>
      </c>
      <c r="C161" s="890">
        <f>+IF(Input!$H$95=2,Input!E124,+IF(Input!$H$95=0,0,0))</f>
        <v>0</v>
      </c>
      <c r="D161" s="166"/>
      <c r="E161" s="942" t="s">
        <v>4</v>
      </c>
      <c r="F161" s="890">
        <f>+IF(Input!$H$95=2,Input!G140,+IF(Input!$H$95=0,0,0))</f>
        <v>0</v>
      </c>
      <c r="G161" s="140"/>
      <c r="H161" s="140"/>
      <c r="I161" s="140"/>
      <c r="J161" s="140"/>
      <c r="K161" s="140"/>
    </row>
    <row r="162" spans="1:11" ht="15" x14ac:dyDescent="0.25">
      <c r="A162" s="166"/>
      <c r="B162" s="942" t="s">
        <v>377</v>
      </c>
      <c r="C162" s="890">
        <f>+IF(Input!$H$95=2,Input!E125,+IF(Input!$H$95=0,0,0))</f>
        <v>0</v>
      </c>
      <c r="D162" s="166"/>
      <c r="E162" s="942" t="s">
        <v>495</v>
      </c>
      <c r="F162" s="890">
        <f>+IF(Input!$H$95=2,Input!G141,+IF(Input!$H$95=0,0,0))</f>
        <v>0</v>
      </c>
      <c r="G162" s="140"/>
      <c r="H162" s="140"/>
      <c r="I162" s="140"/>
      <c r="J162" s="140"/>
      <c r="K162" s="140"/>
    </row>
    <row r="163" spans="1:11" ht="15" x14ac:dyDescent="0.25">
      <c r="A163" s="166"/>
      <c r="B163" s="942" t="s">
        <v>380</v>
      </c>
      <c r="C163" s="890">
        <f>+IF(Input!$H$95=2,Input!E126,+IF(Input!$H$95=0,0,0))</f>
        <v>0</v>
      </c>
      <c r="D163" s="166"/>
      <c r="E163" s="942" t="s">
        <v>497</v>
      </c>
      <c r="F163" s="890">
        <f>+IF(Input!$H$95=2,Input!G142,+IF(Input!$H$95=0,0,0))</f>
        <v>0</v>
      </c>
      <c r="G163" s="140"/>
      <c r="H163" s="140"/>
      <c r="I163" s="140"/>
      <c r="J163" s="140"/>
      <c r="K163" s="140"/>
    </row>
    <row r="164" spans="1:11" ht="15" x14ac:dyDescent="0.25">
      <c r="A164" s="166"/>
      <c r="B164" s="942" t="s">
        <v>383</v>
      </c>
      <c r="C164" s="890">
        <f>+IF(Input!$H$95=2,Input!E127,+IF(Input!$H$95=0,0,0))</f>
        <v>0</v>
      </c>
      <c r="D164" s="166"/>
      <c r="E164" s="942" t="s">
        <v>499</v>
      </c>
      <c r="F164" s="890">
        <f>+IF(Input!$H$95=2,Input!G143,+IF(Input!$H$95=0,0,0))</f>
        <v>0</v>
      </c>
      <c r="G164" s="140"/>
      <c r="I164" s="884" t="s">
        <v>1067</v>
      </c>
      <c r="J164" s="885"/>
      <c r="K164" s="602"/>
    </row>
    <row r="165" spans="1:11" x14ac:dyDescent="0.2">
      <c r="G165" s="140"/>
      <c r="H165" s="140"/>
      <c r="I165" s="886"/>
      <c r="J165" s="887"/>
      <c r="K165" s="597" t="s">
        <v>1109</v>
      </c>
    </row>
    <row r="166" spans="1:11" ht="15" x14ac:dyDescent="0.25">
      <c r="A166" s="141" t="s">
        <v>598</v>
      </c>
      <c r="C166" s="140"/>
      <c r="D166" s="140"/>
      <c r="F166" s="140"/>
      <c r="G166" s="140"/>
      <c r="H166" s="140"/>
      <c r="I166" s="140"/>
      <c r="J166" s="140"/>
      <c r="K166" s="140"/>
    </row>
    <row r="167" spans="1:11" x14ac:dyDescent="0.2">
      <c r="A167" s="872" t="s">
        <v>1747</v>
      </c>
      <c r="C167" s="140"/>
      <c r="D167" s="140"/>
      <c r="F167" s="140"/>
      <c r="G167" s="140"/>
      <c r="H167" s="140"/>
      <c r="I167" s="140"/>
      <c r="J167" s="140"/>
      <c r="K167" s="140"/>
    </row>
    <row r="168" spans="1:11" ht="15" x14ac:dyDescent="0.25">
      <c r="A168" s="872" t="s">
        <v>1745</v>
      </c>
      <c r="B168" s="385" t="s">
        <v>573</v>
      </c>
      <c r="C168" s="935">
        <f>+Input!C154</f>
        <v>26</v>
      </c>
      <c r="D168" s="140" t="s">
        <v>574</v>
      </c>
      <c r="E168" s="198" t="s">
        <v>961</v>
      </c>
      <c r="F168" s="603"/>
      <c r="G168" s="603"/>
      <c r="H168" s="603"/>
      <c r="I168" s="607"/>
      <c r="J168" s="140"/>
      <c r="K168" s="140"/>
    </row>
    <row r="169" spans="1:11" x14ac:dyDescent="0.2">
      <c r="A169" s="872" t="s">
        <v>1746</v>
      </c>
      <c r="B169" s="951"/>
      <c r="C169" s="140"/>
      <c r="D169" s="140"/>
      <c r="E169" s="140"/>
      <c r="F169" s="140"/>
      <c r="G169" s="140"/>
      <c r="H169" s="140"/>
      <c r="I169" s="140"/>
      <c r="J169" s="140"/>
      <c r="K169" s="140"/>
    </row>
    <row r="170" spans="1:11" ht="15" x14ac:dyDescent="0.25">
      <c r="A170" s="141" t="s">
        <v>1101</v>
      </c>
      <c r="B170" s="951"/>
      <c r="C170" s="140"/>
      <c r="D170" s="140"/>
      <c r="E170" s="140"/>
      <c r="F170" s="140"/>
      <c r="G170" s="140"/>
      <c r="H170" s="140"/>
      <c r="I170" s="140"/>
      <c r="J170" s="140"/>
      <c r="K170" s="140"/>
    </row>
    <row r="171" spans="1:11" x14ac:dyDescent="0.2">
      <c r="A171" s="872" t="s">
        <v>1747</v>
      </c>
      <c r="B171" s="951"/>
      <c r="C171" s="140"/>
      <c r="D171" s="140"/>
      <c r="E171" s="140"/>
      <c r="F171" s="140"/>
      <c r="G171" s="140"/>
      <c r="H171" s="140"/>
      <c r="I171" s="140"/>
      <c r="J171" s="140"/>
      <c r="K171" s="140"/>
    </row>
    <row r="172" spans="1:11" ht="15" x14ac:dyDescent="0.25">
      <c r="A172" s="872" t="s">
        <v>1745</v>
      </c>
      <c r="B172" s="952" t="s">
        <v>1692</v>
      </c>
      <c r="C172" s="935">
        <f>+Input!C157</f>
        <v>15</v>
      </c>
      <c r="D172" s="140" t="s">
        <v>602</v>
      </c>
      <c r="E172" s="953" t="s">
        <v>986</v>
      </c>
      <c r="F172" s="599"/>
      <c r="G172" s="599"/>
      <c r="H172" s="605"/>
      <c r="I172" s="140"/>
      <c r="J172" s="140"/>
      <c r="K172" s="140"/>
    </row>
    <row r="173" spans="1:11" ht="15" x14ac:dyDescent="0.25">
      <c r="A173" s="872" t="s">
        <v>1746</v>
      </c>
      <c r="B173" s="952" t="s">
        <v>1691</v>
      </c>
      <c r="C173" s="935">
        <f>+Input!C158</f>
        <v>45</v>
      </c>
      <c r="D173" s="140" t="s">
        <v>602</v>
      </c>
      <c r="E173" s="902" t="s">
        <v>987</v>
      </c>
      <c r="F173" s="601"/>
      <c r="G173" s="601"/>
      <c r="H173" s="606"/>
      <c r="I173" s="140"/>
      <c r="J173" s="140"/>
      <c r="K173" s="140"/>
    </row>
    <row r="174" spans="1:11" x14ac:dyDescent="0.2">
      <c r="A174" s="140"/>
      <c r="B174" s="951"/>
      <c r="C174" s="140"/>
      <c r="D174" s="140"/>
      <c r="E174" s="954"/>
      <c r="F174" s="140"/>
      <c r="G174" s="140"/>
      <c r="H174" s="140"/>
      <c r="I174" s="140"/>
      <c r="J174" s="140"/>
      <c r="K174" s="140"/>
    </row>
    <row r="175" spans="1:11" ht="15" x14ac:dyDescent="0.25">
      <c r="A175" s="141" t="s">
        <v>949</v>
      </c>
      <c r="C175" s="140"/>
      <c r="D175" s="140"/>
      <c r="E175" s="140"/>
      <c r="F175" s="140"/>
      <c r="G175" s="140"/>
      <c r="H175" s="140"/>
      <c r="I175" s="140"/>
      <c r="J175" s="140"/>
      <c r="K175" s="140"/>
    </row>
    <row r="176" spans="1:11" x14ac:dyDescent="0.2">
      <c r="A176" s="872" t="s">
        <v>1747</v>
      </c>
      <c r="B176" s="140"/>
      <c r="C176" s="140"/>
      <c r="D176" s="140"/>
      <c r="E176" s="140"/>
      <c r="F176" s="140"/>
      <c r="G176" s="140"/>
      <c r="H176" s="140"/>
      <c r="I176" s="140"/>
      <c r="J176" s="140"/>
      <c r="K176" s="140"/>
    </row>
    <row r="177" spans="1:11" x14ac:dyDescent="0.2">
      <c r="A177" s="872" t="s">
        <v>1745</v>
      </c>
      <c r="B177" s="140" t="s">
        <v>957</v>
      </c>
      <c r="C177" s="140"/>
      <c r="D177" s="140"/>
      <c r="E177" s="143"/>
      <c r="G177" s="140"/>
      <c r="H177" s="140"/>
      <c r="I177" s="140"/>
      <c r="J177" s="140"/>
      <c r="K177" s="140"/>
    </row>
    <row r="178" spans="1:11" x14ac:dyDescent="0.2">
      <c r="A178" s="872" t="s">
        <v>1746</v>
      </c>
      <c r="B178" s="888" t="s">
        <v>23</v>
      </c>
      <c r="C178" s="888" t="s">
        <v>24</v>
      </c>
      <c r="D178" s="888" t="s">
        <v>11</v>
      </c>
      <c r="E178" s="140"/>
      <c r="F178" s="140"/>
      <c r="G178" s="140"/>
      <c r="H178" s="140"/>
      <c r="I178" s="140"/>
      <c r="J178" s="140"/>
      <c r="K178" s="140"/>
    </row>
    <row r="179" spans="1:11" ht="15" x14ac:dyDescent="0.25">
      <c r="A179" s="140"/>
      <c r="B179" s="888" t="s">
        <v>14</v>
      </c>
      <c r="C179" s="890">
        <f>+Input!E24</f>
        <v>0</v>
      </c>
      <c r="D179" s="888" t="s">
        <v>857</v>
      </c>
      <c r="E179" s="140"/>
      <c r="F179" s="140"/>
      <c r="G179" s="140"/>
      <c r="H179" s="140"/>
      <c r="I179" s="140"/>
      <c r="J179" s="140"/>
      <c r="K179" s="140"/>
    </row>
    <row r="180" spans="1:11" ht="15" x14ac:dyDescent="0.25">
      <c r="A180" s="140"/>
      <c r="B180" s="888" t="s">
        <v>12</v>
      </c>
      <c r="C180" s="890">
        <f>+Input!E25</f>
        <v>0</v>
      </c>
      <c r="D180" s="888" t="s">
        <v>857</v>
      </c>
      <c r="E180" s="140"/>
      <c r="F180" s="140"/>
      <c r="G180" s="140"/>
      <c r="H180" s="140"/>
      <c r="I180" s="140"/>
      <c r="J180" s="140"/>
      <c r="K180" s="140"/>
    </row>
    <row r="181" spans="1:11" ht="15" x14ac:dyDescent="0.25">
      <c r="A181" s="140"/>
      <c r="B181" s="888" t="s">
        <v>50</v>
      </c>
      <c r="C181" s="890">
        <f>+Input!E26</f>
        <v>0</v>
      </c>
      <c r="D181" s="888" t="s">
        <v>13</v>
      </c>
      <c r="E181" s="893"/>
      <c r="F181" s="140"/>
      <c r="G181" s="140"/>
      <c r="H181" s="140"/>
      <c r="I181" s="140"/>
      <c r="J181" s="140"/>
      <c r="K181" s="140"/>
    </row>
    <row r="182" spans="1:11" ht="15" x14ac:dyDescent="0.25">
      <c r="A182" s="140"/>
      <c r="B182" s="888" t="s">
        <v>114</v>
      </c>
      <c r="C182" s="890">
        <f>+Input!E27</f>
        <v>0</v>
      </c>
      <c r="D182" s="888" t="s">
        <v>857</v>
      </c>
      <c r="E182" s="143"/>
      <c r="F182" s="140"/>
      <c r="G182" s="140"/>
      <c r="H182" s="140"/>
      <c r="I182" s="140"/>
      <c r="J182" s="140"/>
      <c r="K182" s="140"/>
    </row>
    <row r="183" spans="1:11" x14ac:dyDescent="0.2">
      <c r="A183" s="592"/>
      <c r="B183" s="140"/>
      <c r="C183" s="140"/>
      <c r="D183" s="140"/>
      <c r="E183" s="140"/>
      <c r="F183" s="181" t="s">
        <v>1100</v>
      </c>
      <c r="G183" s="181"/>
      <c r="H183" s="181"/>
      <c r="I183" s="181"/>
      <c r="J183" s="181"/>
      <c r="K183" s="198"/>
    </row>
    <row r="184" spans="1:11" x14ac:dyDescent="0.2">
      <c r="A184" s="592" t="s">
        <v>1844</v>
      </c>
      <c r="B184" s="140" t="s">
        <v>980</v>
      </c>
      <c r="C184" s="140"/>
      <c r="D184" s="140"/>
      <c r="E184" s="143"/>
      <c r="F184" s="894" t="s">
        <v>991</v>
      </c>
      <c r="G184" s="181"/>
      <c r="H184" s="181"/>
      <c r="I184" s="181"/>
      <c r="J184" s="140"/>
      <c r="K184" s="140"/>
    </row>
    <row r="185" spans="1:11" x14ac:dyDescent="0.2">
      <c r="A185" s="592" t="s">
        <v>1845</v>
      </c>
      <c r="B185" s="140"/>
      <c r="C185" s="140"/>
      <c r="D185" s="888" t="s">
        <v>14</v>
      </c>
      <c r="E185" s="888" t="s">
        <v>12</v>
      </c>
      <c r="F185" s="895" t="s">
        <v>1095</v>
      </c>
      <c r="G185" s="601"/>
      <c r="H185" s="601"/>
      <c r="I185" s="606"/>
      <c r="J185" s="279" t="s">
        <v>1143</v>
      </c>
      <c r="K185" s="279" t="s">
        <v>1144</v>
      </c>
    </row>
    <row r="186" spans="1:11" ht="15" x14ac:dyDescent="0.25">
      <c r="A186" s="592" t="s">
        <v>1846</v>
      </c>
      <c r="B186" s="1147" t="s">
        <v>1675</v>
      </c>
      <c r="C186" s="1148"/>
      <c r="D186" s="955">
        <v>0.5</v>
      </c>
      <c r="E186" s="955">
        <v>0.2</v>
      </c>
      <c r="F186" s="898" t="s">
        <v>979</v>
      </c>
      <c r="G186" s="599"/>
      <c r="H186" s="599"/>
      <c r="I186" s="605"/>
      <c r="J186" s="598">
        <f>$C$179*D186</f>
        <v>0</v>
      </c>
      <c r="K186" s="598">
        <f>$C$180*E186</f>
        <v>0</v>
      </c>
    </row>
    <row r="187" spans="1:11" ht="15" x14ac:dyDescent="0.25">
      <c r="A187" s="592"/>
      <c r="B187" s="1147" t="s">
        <v>974</v>
      </c>
      <c r="C187" s="1148"/>
      <c r="D187" s="955">
        <v>0.2</v>
      </c>
      <c r="E187" s="955">
        <v>0.5</v>
      </c>
      <c r="F187" s="900" t="s">
        <v>973</v>
      </c>
      <c r="G187" s="600"/>
      <c r="H187" s="600"/>
      <c r="I187" s="901"/>
      <c r="J187" s="598">
        <f>$C$179*D187</f>
        <v>0</v>
      </c>
      <c r="K187" s="598">
        <f>$C$180*E187</f>
        <v>0</v>
      </c>
    </row>
    <row r="188" spans="1:11" ht="15" x14ac:dyDescent="0.25">
      <c r="A188" s="592"/>
      <c r="B188" s="1147" t="s">
        <v>975</v>
      </c>
      <c r="C188" s="1148"/>
      <c r="D188" s="955">
        <v>0.3</v>
      </c>
      <c r="E188" s="955">
        <v>0.3</v>
      </c>
      <c r="F188" s="902" t="s">
        <v>976</v>
      </c>
      <c r="G188" s="601"/>
      <c r="H188" s="601"/>
      <c r="I188" s="606"/>
      <c r="J188" s="598">
        <f>$C$179*D188</f>
        <v>0</v>
      </c>
      <c r="K188" s="598">
        <f>$C$180*E188</f>
        <v>0</v>
      </c>
    </row>
    <row r="189" spans="1:11" x14ac:dyDescent="0.2">
      <c r="A189" s="592"/>
      <c r="B189" s="140"/>
      <c r="D189" s="956">
        <f>+SUM(D186:D188)</f>
        <v>1</v>
      </c>
      <c r="E189" s="956">
        <f>+SUM(E186:E188)</f>
        <v>1</v>
      </c>
      <c r="G189" s="140"/>
      <c r="H189" s="140"/>
      <c r="I189" s="140"/>
      <c r="J189" s="140"/>
      <c r="K189" s="140"/>
    </row>
    <row r="190" spans="1:11" x14ac:dyDescent="0.2">
      <c r="A190" s="592"/>
      <c r="B190" s="140"/>
      <c r="C190" s="140"/>
      <c r="D190" s="904" t="str">
        <f>IF(SUM(D186:D188)&gt;1, "&gt; 100%, revise!", IF(SUM(D186:D188)&lt;1, "&lt; 100%, revise!", "Total % is OK."))</f>
        <v>Total % is OK.</v>
      </c>
      <c r="E190" s="904" t="str">
        <f>IF(SUM(E186:E188)&gt;1, "&gt; 100%, revise!", IF(SUM(E186:E188)&lt;1, "&lt; 100%, revise!", "Total % is OK."))</f>
        <v>Total % is OK.</v>
      </c>
      <c r="F190" s="198" t="s">
        <v>1052</v>
      </c>
      <c r="G190" s="603"/>
      <c r="H190" s="603"/>
      <c r="I190" s="603"/>
      <c r="J190" s="607"/>
      <c r="K190" s="140"/>
    </row>
    <row r="191" spans="1:11" x14ac:dyDescent="0.2">
      <c r="A191" s="592"/>
      <c r="B191" s="140"/>
      <c r="F191" s="140"/>
      <c r="G191" s="140"/>
      <c r="H191" s="140"/>
      <c r="I191" s="140"/>
      <c r="J191" s="140"/>
      <c r="K191" s="140"/>
    </row>
    <row r="192" spans="1:11" x14ac:dyDescent="0.2">
      <c r="A192" s="140"/>
      <c r="B192" s="140" t="s">
        <v>988</v>
      </c>
      <c r="C192" s="140"/>
      <c r="D192" s="140"/>
      <c r="E192" s="140"/>
      <c r="F192" s="140"/>
      <c r="G192" s="140"/>
      <c r="H192" s="140"/>
      <c r="I192" s="140"/>
      <c r="J192" s="140"/>
      <c r="K192" s="140"/>
    </row>
    <row r="193" spans="1:11" x14ac:dyDescent="0.2">
      <c r="A193" s="592"/>
      <c r="E193" s="888" t="s">
        <v>14</v>
      </c>
      <c r="F193" s="888" t="s">
        <v>12</v>
      </c>
      <c r="G193" s="888" t="s">
        <v>11</v>
      </c>
      <c r="H193" s="140"/>
      <c r="I193" s="140"/>
      <c r="J193" s="140"/>
      <c r="K193" s="140"/>
    </row>
    <row r="194" spans="1:11" ht="15" x14ac:dyDescent="0.25">
      <c r="A194" s="592" t="s">
        <v>1844</v>
      </c>
      <c r="B194" s="905" t="s">
        <v>989</v>
      </c>
      <c r="C194" s="906"/>
      <c r="D194" s="907"/>
      <c r="E194" s="890"/>
      <c r="F194" s="890"/>
      <c r="G194" s="888" t="s">
        <v>857</v>
      </c>
      <c r="H194" s="140"/>
      <c r="I194" s="140"/>
      <c r="J194" s="140"/>
      <c r="K194" s="140"/>
    </row>
    <row r="195" spans="1:11" ht="15" x14ac:dyDescent="0.25">
      <c r="A195" s="592" t="s">
        <v>1845</v>
      </c>
      <c r="B195" s="908" t="s">
        <v>990</v>
      </c>
      <c r="C195" s="909"/>
      <c r="D195" s="910"/>
      <c r="E195" s="890"/>
      <c r="F195" s="890"/>
      <c r="G195" s="888" t="s">
        <v>857</v>
      </c>
      <c r="H195" s="140"/>
      <c r="I195" s="140"/>
      <c r="J195" s="140"/>
      <c r="K195" s="140"/>
    </row>
    <row r="196" spans="1:11" x14ac:dyDescent="0.2">
      <c r="A196" s="140"/>
      <c r="B196" s="140"/>
      <c r="C196" s="140"/>
      <c r="D196" s="140"/>
      <c r="E196" s="140"/>
      <c r="F196" s="140"/>
      <c r="G196" s="140"/>
      <c r="I196" s="884" t="s">
        <v>1067</v>
      </c>
      <c r="J196" s="885"/>
      <c r="K196" s="602"/>
    </row>
    <row r="197" spans="1:11" ht="15" x14ac:dyDescent="0.25">
      <c r="A197" s="141" t="s">
        <v>638</v>
      </c>
      <c r="B197" s="140"/>
      <c r="C197" s="140"/>
      <c r="D197" s="140"/>
      <c r="E197" s="140"/>
      <c r="F197" s="140"/>
      <c r="G197" s="140"/>
      <c r="H197" s="140"/>
      <c r="I197" s="140"/>
      <c r="J197" s="140"/>
      <c r="K197" s="140"/>
    </row>
    <row r="198" spans="1:11" ht="15" x14ac:dyDescent="0.25">
      <c r="A198" s="141"/>
      <c r="B198" s="140"/>
      <c r="C198" s="140"/>
      <c r="D198" s="140"/>
      <c r="E198" s="140"/>
      <c r="F198" s="140"/>
      <c r="J198" s="140"/>
    </row>
    <row r="199" spans="1:11" ht="15" x14ac:dyDescent="0.25">
      <c r="A199" s="141"/>
      <c r="B199" s="140" t="s">
        <v>161</v>
      </c>
      <c r="C199" s="140"/>
      <c r="D199" s="140"/>
      <c r="E199" s="140"/>
      <c r="F199" s="143"/>
      <c r="G199" s="140"/>
      <c r="H199" s="140"/>
      <c r="I199" s="140"/>
      <c r="J199" s="140"/>
      <c r="K199" s="140"/>
    </row>
    <row r="200" spans="1:11" ht="29.25" x14ac:dyDescent="0.25">
      <c r="A200" s="141"/>
      <c r="B200" s="889" t="s">
        <v>97</v>
      </c>
      <c r="C200" s="911" t="s">
        <v>943</v>
      </c>
      <c r="D200" s="912" t="s">
        <v>964</v>
      </c>
      <c r="E200" s="914" t="s">
        <v>944</v>
      </c>
      <c r="F200" s="889" t="s">
        <v>11</v>
      </c>
      <c r="G200" s="914" t="s">
        <v>945</v>
      </c>
      <c r="H200" s="888" t="s">
        <v>11</v>
      </c>
      <c r="J200" s="140"/>
    </row>
    <row r="201" spans="1:11" x14ac:dyDescent="0.2">
      <c r="A201" s="872" t="s">
        <v>1747</v>
      </c>
      <c r="B201" s="915" t="str">
        <f>+Input!B61</f>
        <v>eg Airline office</v>
      </c>
      <c r="C201" s="915">
        <f>+Input!C61</f>
        <v>0</v>
      </c>
      <c r="D201" s="915" t="str">
        <f>+Input!D61</f>
        <v>m3</v>
      </c>
      <c r="E201" s="915">
        <f>+Input!E61</f>
        <v>0</v>
      </c>
      <c r="F201" s="889" t="s">
        <v>857</v>
      </c>
      <c r="G201" s="915">
        <f>+Input!G61</f>
        <v>0</v>
      </c>
      <c r="H201" s="888" t="s">
        <v>13</v>
      </c>
    </row>
    <row r="202" spans="1:11" ht="15" customHeight="1" x14ac:dyDescent="0.2">
      <c r="A202" s="872" t="s">
        <v>1745</v>
      </c>
      <c r="B202" s="915" t="str">
        <f>+Input!B62</f>
        <v>Airline Mtce Bldg</v>
      </c>
      <c r="C202" s="915">
        <f>+Input!C62</f>
        <v>0</v>
      </c>
      <c r="D202" s="916" t="str">
        <f>D$201</f>
        <v>m3</v>
      </c>
      <c r="E202" s="915">
        <f>+Input!E62</f>
        <v>0</v>
      </c>
      <c r="F202" s="889" t="s">
        <v>857</v>
      </c>
      <c r="G202" s="915">
        <f>+Input!G62</f>
        <v>0</v>
      </c>
      <c r="H202" s="888" t="s">
        <v>13</v>
      </c>
    </row>
    <row r="203" spans="1:11" x14ac:dyDescent="0.2">
      <c r="A203" s="872" t="s">
        <v>1746</v>
      </c>
      <c r="B203" s="915" t="str">
        <f>+Input!B63</f>
        <v>Airline Hangar</v>
      </c>
      <c r="C203" s="915">
        <f>+Input!C63</f>
        <v>0</v>
      </c>
      <c r="D203" s="916" t="str">
        <f t="shared" ref="D203:D209" si="1">D$201</f>
        <v>m3</v>
      </c>
      <c r="E203" s="915">
        <f>+Input!E63</f>
        <v>0</v>
      </c>
      <c r="F203" s="889" t="s">
        <v>857</v>
      </c>
      <c r="G203" s="915">
        <f>+Input!G63</f>
        <v>0</v>
      </c>
      <c r="H203" s="888" t="s">
        <v>13</v>
      </c>
    </row>
    <row r="204" spans="1:11" ht="15" customHeight="1" x14ac:dyDescent="0.25">
      <c r="A204" s="957"/>
      <c r="B204" s="915" t="str">
        <f>+Input!B64</f>
        <v>Caterer</v>
      </c>
      <c r="C204" s="915">
        <f>+Input!C64</f>
        <v>0</v>
      </c>
      <c r="D204" s="916" t="str">
        <f t="shared" si="1"/>
        <v>m3</v>
      </c>
      <c r="E204" s="915">
        <f>+Input!E64</f>
        <v>0</v>
      </c>
      <c r="F204" s="889" t="s">
        <v>857</v>
      </c>
      <c r="G204" s="915">
        <f>+Input!G64</f>
        <v>0</v>
      </c>
      <c r="H204" s="888" t="s">
        <v>13</v>
      </c>
    </row>
    <row r="205" spans="1:11" ht="15" x14ac:dyDescent="0.25">
      <c r="A205" s="141"/>
      <c r="B205" s="958"/>
      <c r="C205" s="890"/>
      <c r="D205" s="916" t="str">
        <f t="shared" si="1"/>
        <v>m3</v>
      </c>
      <c r="E205" s="917"/>
      <c r="F205" s="889" t="s">
        <v>857</v>
      </c>
      <c r="G205" s="917"/>
      <c r="H205" s="888" t="s">
        <v>13</v>
      </c>
    </row>
    <row r="206" spans="1:11" ht="15" x14ac:dyDescent="0.25">
      <c r="A206" s="141"/>
      <c r="B206" s="958"/>
      <c r="C206" s="890"/>
      <c r="D206" s="916" t="str">
        <f t="shared" si="1"/>
        <v>m3</v>
      </c>
      <c r="E206" s="917"/>
      <c r="F206" s="889" t="s">
        <v>857</v>
      </c>
      <c r="G206" s="917"/>
      <c r="H206" s="888" t="s">
        <v>13</v>
      </c>
      <c r="I206" s="918" t="s">
        <v>1041</v>
      </c>
      <c r="J206" s="599"/>
      <c r="K206" s="599"/>
    </row>
    <row r="207" spans="1:11" ht="15" x14ac:dyDescent="0.25">
      <c r="A207" s="141"/>
      <c r="B207" s="958"/>
      <c r="C207" s="890"/>
      <c r="D207" s="916" t="str">
        <f t="shared" si="1"/>
        <v>m3</v>
      </c>
      <c r="E207" s="917"/>
      <c r="F207" s="889" t="s">
        <v>857</v>
      </c>
      <c r="G207" s="917"/>
      <c r="H207" s="888" t="s">
        <v>13</v>
      </c>
      <c r="I207" s="919" t="s">
        <v>111</v>
      </c>
      <c r="J207" s="600"/>
      <c r="K207" s="600"/>
    </row>
    <row r="208" spans="1:11" ht="15" x14ac:dyDescent="0.25">
      <c r="A208" s="141"/>
      <c r="B208" s="958"/>
      <c r="C208" s="890"/>
      <c r="D208" s="916" t="str">
        <f t="shared" si="1"/>
        <v>m3</v>
      </c>
      <c r="E208" s="917"/>
      <c r="F208" s="889" t="s">
        <v>857</v>
      </c>
      <c r="G208" s="917"/>
      <c r="H208" s="888" t="s">
        <v>13</v>
      </c>
      <c r="I208" s="920" t="s">
        <v>128</v>
      </c>
      <c r="J208" s="601"/>
      <c r="K208" s="601"/>
    </row>
    <row r="209" spans="1:16" ht="15" x14ac:dyDescent="0.25">
      <c r="A209" s="141"/>
      <c r="B209" s="959" t="s">
        <v>7</v>
      </c>
      <c r="C209" s="922">
        <f>SUM(C201:C208)</f>
        <v>0</v>
      </c>
      <c r="D209" s="916" t="str">
        <f t="shared" si="1"/>
        <v>m3</v>
      </c>
      <c r="E209" s="923">
        <f>SUM(E201:E208)</f>
        <v>0</v>
      </c>
      <c r="F209" s="889" t="s">
        <v>857</v>
      </c>
      <c r="G209" s="923">
        <f>SUM(G201:G208)</f>
        <v>0</v>
      </c>
      <c r="H209" s="960" t="s">
        <v>13</v>
      </c>
    </row>
    <row r="210" spans="1:16" ht="15" x14ac:dyDescent="0.25">
      <c r="A210" s="141"/>
      <c r="B210" s="140"/>
      <c r="C210" s="140"/>
      <c r="D210" s="140"/>
      <c r="E210" s="140"/>
      <c r="F210" s="143"/>
      <c r="G210" s="140"/>
      <c r="H210" s="140"/>
      <c r="I210" s="140"/>
      <c r="J210" s="140"/>
      <c r="K210" s="140"/>
    </row>
    <row r="211" spans="1:16" ht="15" x14ac:dyDescent="0.25">
      <c r="A211" s="961" t="s">
        <v>1901</v>
      </c>
      <c r="B211" s="140" t="s">
        <v>958</v>
      </c>
      <c r="C211" s="140"/>
      <c r="D211" s="140"/>
      <c r="E211" s="140"/>
      <c r="F211" s="140"/>
      <c r="G211" s="140"/>
      <c r="H211" s="140"/>
    </row>
    <row r="212" spans="1:16" ht="15" x14ac:dyDescent="0.25">
      <c r="A212" s="961" t="s">
        <v>1902</v>
      </c>
      <c r="B212" s="1144" t="s">
        <v>98</v>
      </c>
      <c r="C212" s="1145" t="s">
        <v>50</v>
      </c>
      <c r="D212" s="1146"/>
      <c r="E212" s="1145" t="s">
        <v>123</v>
      </c>
      <c r="F212" s="1146"/>
      <c r="G212" s="1145" t="s">
        <v>191</v>
      </c>
      <c r="H212" s="1146"/>
    </row>
    <row r="213" spans="1:16" x14ac:dyDescent="0.2">
      <c r="A213" s="592" t="s">
        <v>1903</v>
      </c>
      <c r="B213" s="1144"/>
      <c r="C213" s="1144" t="s">
        <v>820</v>
      </c>
      <c r="D213" s="1144"/>
      <c r="E213" s="1144" t="s">
        <v>820</v>
      </c>
      <c r="F213" s="1144"/>
      <c r="G213" s="1144" t="s">
        <v>820</v>
      </c>
      <c r="H213" s="1144"/>
      <c r="J213" s="140"/>
      <c r="K213" s="140"/>
    </row>
    <row r="214" spans="1:16" ht="28.5" x14ac:dyDescent="0.2">
      <c r="A214" s="592"/>
      <c r="B214" s="1144"/>
      <c r="C214" s="911" t="s">
        <v>818</v>
      </c>
      <c r="D214" s="911" t="s">
        <v>819</v>
      </c>
      <c r="E214" s="911" t="s">
        <v>818</v>
      </c>
      <c r="F214" s="911" t="s">
        <v>819</v>
      </c>
      <c r="G214" s="911" t="s">
        <v>818</v>
      </c>
      <c r="H214" s="911" t="s">
        <v>819</v>
      </c>
      <c r="J214" s="140"/>
      <c r="K214" s="140"/>
    </row>
    <row r="215" spans="1:16" x14ac:dyDescent="0.2">
      <c r="A215" s="592" t="s">
        <v>1904</v>
      </c>
      <c r="B215" s="962"/>
      <c r="C215" s="962"/>
      <c r="D215" s="962"/>
      <c r="E215" s="962"/>
      <c r="F215" s="962"/>
      <c r="G215" s="962"/>
      <c r="H215" s="962"/>
      <c r="I215" s="953" t="s">
        <v>992</v>
      </c>
      <c r="J215" s="599"/>
      <c r="K215" s="599"/>
    </row>
    <row r="216" spans="1:16" s="2" customFormat="1" ht="15" customHeight="1" x14ac:dyDescent="0.2">
      <c r="A216" s="592"/>
      <c r="B216" s="962"/>
      <c r="C216" s="962"/>
      <c r="D216" s="962"/>
      <c r="E216" s="962"/>
      <c r="F216" s="962"/>
      <c r="G216" s="962"/>
      <c r="H216" s="962"/>
      <c r="I216" s="963" t="s">
        <v>1145</v>
      </c>
      <c r="J216" s="600"/>
      <c r="K216" s="600"/>
      <c r="L216" s="306"/>
      <c r="M216" s="306"/>
      <c r="N216" s="306"/>
      <c r="O216" s="306"/>
      <c r="P216" s="306"/>
    </row>
    <row r="217" spans="1:16" s="2" customFormat="1" x14ac:dyDescent="0.2">
      <c r="A217" s="592"/>
      <c r="B217" s="962"/>
      <c r="C217" s="962"/>
      <c r="D217" s="962"/>
      <c r="E217" s="962"/>
      <c r="F217" s="962"/>
      <c r="G217" s="962"/>
      <c r="H217" s="962"/>
      <c r="I217" s="963" t="s">
        <v>1146</v>
      </c>
      <c r="J217" s="604"/>
      <c r="K217" s="604"/>
      <c r="L217" s="306"/>
      <c r="M217" s="306"/>
      <c r="N217" s="306"/>
      <c r="O217" s="306"/>
      <c r="P217" s="306"/>
    </row>
    <row r="218" spans="1:16" s="2" customFormat="1" x14ac:dyDescent="0.2">
      <c r="A218" s="592"/>
      <c r="B218" s="962"/>
      <c r="C218" s="962"/>
      <c r="D218" s="962"/>
      <c r="E218" s="962"/>
      <c r="F218" s="962"/>
      <c r="G218" s="962"/>
      <c r="H218" s="962"/>
      <c r="I218" s="963" t="s">
        <v>1102</v>
      </c>
      <c r="J218" s="604"/>
      <c r="K218" s="604"/>
      <c r="L218" s="306"/>
      <c r="M218" s="306"/>
      <c r="N218" s="306"/>
      <c r="O218" s="306"/>
      <c r="P218" s="306"/>
    </row>
    <row r="219" spans="1:16" s="2" customFormat="1" ht="15" x14ac:dyDescent="0.25">
      <c r="A219" s="592"/>
      <c r="B219" s="958"/>
      <c r="C219" s="890"/>
      <c r="D219" s="890"/>
      <c r="E219" s="890"/>
      <c r="F219" s="890"/>
      <c r="G219" s="890"/>
      <c r="H219" s="964"/>
      <c r="I219" s="963" t="s">
        <v>1073</v>
      </c>
      <c r="J219" s="604"/>
      <c r="K219" s="604"/>
      <c r="L219" s="306"/>
      <c r="M219" s="306"/>
      <c r="N219" s="306"/>
      <c r="O219" s="306"/>
      <c r="P219" s="306"/>
    </row>
    <row r="220" spans="1:16" ht="15" x14ac:dyDescent="0.25">
      <c r="A220" s="592"/>
      <c r="B220" s="924"/>
      <c r="C220" s="890"/>
      <c r="D220" s="890"/>
      <c r="E220" s="890"/>
      <c r="F220" s="890"/>
      <c r="G220" s="890"/>
      <c r="H220" s="964"/>
      <c r="I220" s="963" t="s">
        <v>1103</v>
      </c>
      <c r="J220" s="600"/>
      <c r="K220" s="600"/>
    </row>
    <row r="221" spans="1:16" ht="15" x14ac:dyDescent="0.25">
      <c r="A221" s="592"/>
      <c r="B221" s="924"/>
      <c r="C221" s="890"/>
      <c r="D221" s="890"/>
      <c r="E221" s="890"/>
      <c r="F221" s="890"/>
      <c r="G221" s="890"/>
      <c r="H221" s="964"/>
      <c r="I221" s="902" t="s">
        <v>1072</v>
      </c>
      <c r="J221" s="601"/>
      <c r="K221" s="601"/>
    </row>
    <row r="222" spans="1:16" ht="15" x14ac:dyDescent="0.25">
      <c r="A222" s="592"/>
      <c r="B222" s="959" t="s">
        <v>7</v>
      </c>
      <c r="C222" s="922"/>
      <c r="D222" s="922"/>
      <c r="E222" s="922"/>
      <c r="F222" s="922"/>
      <c r="G222" s="922"/>
      <c r="H222" s="922"/>
      <c r="I222" s="140"/>
      <c r="J222" s="140"/>
      <c r="K222" s="140"/>
    </row>
    <row r="223" spans="1:16" ht="15" x14ac:dyDescent="0.25">
      <c r="A223" s="592"/>
      <c r="B223" s="610" t="s">
        <v>19</v>
      </c>
      <c r="C223" s="139"/>
      <c r="D223" s="139"/>
      <c r="E223" s="874"/>
      <c r="F223" s="140"/>
      <c r="G223" s="140"/>
      <c r="H223" s="140"/>
      <c r="I223" s="140"/>
      <c r="J223" s="140"/>
      <c r="K223" s="140"/>
    </row>
    <row r="224" spans="1:16" ht="15" x14ac:dyDescent="0.25">
      <c r="A224" s="592"/>
      <c r="B224" s="965" t="s">
        <v>821</v>
      </c>
      <c r="C224" s="139"/>
      <c r="D224" s="139"/>
      <c r="E224" s="966"/>
      <c r="F224" s="965" t="s">
        <v>650</v>
      </c>
      <c r="G224" s="143"/>
      <c r="H224" s="140"/>
      <c r="I224" s="140"/>
      <c r="J224" s="140"/>
      <c r="K224" s="140"/>
    </row>
    <row r="225" spans="1:11" ht="15" x14ac:dyDescent="0.25">
      <c r="A225" s="592"/>
      <c r="B225" s="965" t="s">
        <v>822</v>
      </c>
      <c r="C225" s="139"/>
      <c r="D225" s="139"/>
      <c r="E225" s="966"/>
      <c r="F225" s="965" t="s">
        <v>650</v>
      </c>
      <c r="G225" s="143"/>
      <c r="H225" s="140"/>
      <c r="I225" s="140"/>
      <c r="J225" s="140"/>
      <c r="K225" s="140"/>
    </row>
    <row r="226" spans="1:11" ht="15" x14ac:dyDescent="0.25">
      <c r="A226" s="592"/>
      <c r="B226" s="965" t="s">
        <v>845</v>
      </c>
      <c r="C226" s="139"/>
      <c r="D226" s="139"/>
      <c r="E226" s="966"/>
      <c r="F226" s="965" t="s">
        <v>825</v>
      </c>
      <c r="G226" s="143"/>
      <c r="H226" s="140"/>
      <c r="I226" s="140"/>
      <c r="J226" s="140"/>
      <c r="K226" s="140"/>
    </row>
    <row r="227" spans="1:11" ht="15" x14ac:dyDescent="0.25">
      <c r="A227" s="592"/>
      <c r="B227" s="965" t="s">
        <v>846</v>
      </c>
      <c r="C227" s="139"/>
      <c r="D227" s="139"/>
      <c r="E227" s="966"/>
      <c r="F227" s="965" t="s">
        <v>825</v>
      </c>
      <c r="G227" s="143"/>
      <c r="H227" s="140"/>
      <c r="I227" s="953" t="s">
        <v>1074</v>
      </c>
      <c r="J227" s="599"/>
      <c r="K227" s="605"/>
    </row>
    <row r="228" spans="1:11" ht="15" x14ac:dyDescent="0.25">
      <c r="A228" s="592"/>
      <c r="B228" s="965" t="s">
        <v>823</v>
      </c>
      <c r="C228" s="139"/>
      <c r="D228" s="139"/>
      <c r="E228" s="966"/>
      <c r="F228" s="965" t="s">
        <v>826</v>
      </c>
      <c r="G228" s="143"/>
      <c r="H228" s="140"/>
      <c r="I228" s="902" t="s">
        <v>1075</v>
      </c>
      <c r="J228" s="601"/>
      <c r="K228" s="606"/>
    </row>
    <row r="229" spans="1:11" ht="15" x14ac:dyDescent="0.25">
      <c r="A229" s="592"/>
      <c r="B229" s="965" t="s">
        <v>824</v>
      </c>
      <c r="C229" s="139"/>
      <c r="D229" s="139"/>
      <c r="E229" s="966"/>
      <c r="F229" s="965" t="s">
        <v>826</v>
      </c>
      <c r="G229" s="143"/>
      <c r="H229" s="140"/>
      <c r="I229" s="140"/>
      <c r="J229" s="140"/>
      <c r="K229" s="140"/>
    </row>
    <row r="230" spans="1:11" ht="15" x14ac:dyDescent="0.25">
      <c r="A230" s="140"/>
      <c r="B230" s="166"/>
      <c r="C230" s="139"/>
      <c r="D230" s="166"/>
      <c r="E230" s="166"/>
      <c r="F230" s="140"/>
      <c r="G230" s="140"/>
      <c r="H230" s="140"/>
      <c r="I230" s="140"/>
      <c r="J230" s="140"/>
      <c r="K230" s="140"/>
    </row>
    <row r="231" spans="1:11" ht="15" x14ac:dyDescent="0.25">
      <c r="A231" s="872" t="s">
        <v>1747</v>
      </c>
      <c r="B231" s="138" t="s">
        <v>1304</v>
      </c>
      <c r="C231" s="167"/>
      <c r="D231" s="166"/>
      <c r="E231" s="140"/>
      <c r="H231" s="140"/>
      <c r="I231" s="140"/>
      <c r="J231" s="140"/>
      <c r="K231" s="140"/>
    </row>
    <row r="232" spans="1:11" x14ac:dyDescent="0.2">
      <c r="A232" s="872" t="s">
        <v>1745</v>
      </c>
      <c r="B232" s="138"/>
      <c r="C232" s="138" t="s">
        <v>1018</v>
      </c>
      <c r="D232" s="140"/>
      <c r="E232" s="140"/>
      <c r="F232" s="140"/>
      <c r="G232" s="184">
        <f>+F93</f>
        <v>0</v>
      </c>
      <c r="H232" s="140" t="s">
        <v>1019</v>
      </c>
      <c r="I232" s="140"/>
      <c r="J232" s="140"/>
      <c r="K232" s="140"/>
    </row>
    <row r="233" spans="1:11" ht="15" x14ac:dyDescent="0.25">
      <c r="A233" s="872" t="s">
        <v>1746</v>
      </c>
      <c r="B233" s="138"/>
      <c r="C233" s="138" t="s">
        <v>1020</v>
      </c>
      <c r="D233" s="140"/>
      <c r="E233" s="140"/>
      <c r="F233" s="140"/>
      <c r="G233" s="935">
        <f>+Input!F73</f>
        <v>0</v>
      </c>
      <c r="H233" s="181" t="s">
        <v>1033</v>
      </c>
      <c r="I233" s="181"/>
      <c r="J233" s="181"/>
      <c r="K233" s="198"/>
    </row>
    <row r="234" spans="1:11" ht="15" x14ac:dyDescent="0.25">
      <c r="A234" s="140"/>
      <c r="B234" s="138"/>
      <c r="C234" s="138" t="s">
        <v>1021</v>
      </c>
      <c r="D234" s="140"/>
      <c r="E234" s="140"/>
      <c r="G234" s="935">
        <f>+Input!F75</f>
        <v>0</v>
      </c>
      <c r="H234" s="181" t="s">
        <v>1034</v>
      </c>
      <c r="I234" s="181"/>
      <c r="J234" s="181"/>
      <c r="K234" s="140"/>
    </row>
    <row r="235" spans="1:11" ht="15" x14ac:dyDescent="0.25">
      <c r="A235" s="140"/>
      <c r="B235" s="138"/>
      <c r="C235" s="142" t="s">
        <v>1022</v>
      </c>
      <c r="D235" s="140"/>
      <c r="E235" s="140"/>
      <c r="F235" s="140"/>
      <c r="G235" s="184">
        <f>+G232+G234</f>
        <v>0</v>
      </c>
      <c r="H235" s="140" t="s">
        <v>74</v>
      </c>
      <c r="I235" s="140"/>
      <c r="J235" s="140"/>
      <c r="K235" s="140"/>
    </row>
    <row r="236" spans="1:11" x14ac:dyDescent="0.2">
      <c r="A236" s="140"/>
      <c r="D236" s="138" t="s">
        <v>1023</v>
      </c>
      <c r="E236" s="140"/>
      <c r="F236" s="140"/>
      <c r="G236" s="184">
        <f>+F95</f>
        <v>34.439500000000002</v>
      </c>
      <c r="H236" s="140" t="s">
        <v>1025</v>
      </c>
      <c r="I236" s="140"/>
      <c r="J236" s="140"/>
      <c r="K236" s="140"/>
    </row>
    <row r="237" spans="1:11" x14ac:dyDescent="0.2">
      <c r="A237" s="140"/>
      <c r="D237" s="138" t="s">
        <v>1024</v>
      </c>
      <c r="E237" s="140"/>
      <c r="F237" s="140"/>
      <c r="G237" s="184">
        <f>+F97</f>
        <v>0</v>
      </c>
      <c r="H237" s="140" t="s">
        <v>170</v>
      </c>
      <c r="I237" s="140"/>
      <c r="J237" s="140"/>
      <c r="K237" s="140"/>
    </row>
    <row r="238" spans="1:11" ht="15" x14ac:dyDescent="0.25">
      <c r="A238" s="140"/>
      <c r="C238" s="138"/>
      <c r="D238" s="139"/>
      <c r="E238" s="140"/>
      <c r="F238" s="140"/>
      <c r="G238" s="140"/>
      <c r="H238" s="140"/>
      <c r="I238" s="140"/>
      <c r="J238" s="140"/>
      <c r="K238" s="140"/>
    </row>
    <row r="239" spans="1:11" ht="15" x14ac:dyDescent="0.25">
      <c r="A239" s="872" t="s">
        <v>1747</v>
      </c>
      <c r="B239" s="138" t="s">
        <v>1307</v>
      </c>
      <c r="C239" s="139"/>
      <c r="D239" s="140"/>
      <c r="E239" s="140"/>
      <c r="J239" s="140"/>
      <c r="K239" s="140"/>
    </row>
    <row r="240" spans="1:11" x14ac:dyDescent="0.2">
      <c r="A240" s="872" t="s">
        <v>1745</v>
      </c>
      <c r="B240" s="166"/>
      <c r="C240" s="138" t="s">
        <v>1026</v>
      </c>
      <c r="D240" s="140"/>
      <c r="E240" s="140"/>
      <c r="F240" s="140"/>
      <c r="G240" s="184">
        <f>+I106</f>
        <v>0</v>
      </c>
      <c r="H240" s="140" t="str">
        <f>+J106</f>
        <v>kWh</v>
      </c>
      <c r="I240" s="181" t="s">
        <v>960</v>
      </c>
      <c r="J240" s="181"/>
      <c r="K240" s="140"/>
    </row>
    <row r="241" spans="1:11" ht="15" x14ac:dyDescent="0.25">
      <c r="A241" s="872" t="s">
        <v>1746</v>
      </c>
      <c r="B241" s="166"/>
      <c r="C241" s="138" t="s">
        <v>1305</v>
      </c>
      <c r="D241" s="140"/>
      <c r="E241" s="140"/>
      <c r="F241" s="140"/>
      <c r="G241" s="935">
        <f>+Input!F86</f>
        <v>0</v>
      </c>
      <c r="H241" s="140" t="str">
        <f>+H240</f>
        <v>kWh</v>
      </c>
      <c r="I241" s="181" t="s">
        <v>1058</v>
      </c>
      <c r="J241" s="181"/>
      <c r="K241" s="198"/>
    </row>
    <row r="242" spans="1:11" ht="15" x14ac:dyDescent="0.25">
      <c r="A242" s="140"/>
      <c r="B242" s="166"/>
      <c r="C242" s="138" t="s">
        <v>1306</v>
      </c>
      <c r="D242" s="140"/>
      <c r="E242" s="140"/>
      <c r="G242" s="935">
        <f>+Input!F88</f>
        <v>0</v>
      </c>
      <c r="H242" s="140" t="str">
        <f>+H241</f>
        <v>kWh</v>
      </c>
      <c r="I242" s="181" t="s">
        <v>1035</v>
      </c>
      <c r="J242" s="181"/>
      <c r="K242" s="140"/>
    </row>
    <row r="243" spans="1:11" ht="15" x14ac:dyDescent="0.25">
      <c r="A243" s="140"/>
      <c r="B243" s="166"/>
      <c r="C243" s="142" t="s">
        <v>1027</v>
      </c>
      <c r="D243" s="140"/>
      <c r="E243" s="140"/>
      <c r="F243" s="140"/>
      <c r="G243" s="184">
        <f>+G240+G242</f>
        <v>0</v>
      </c>
      <c r="H243" s="140" t="str">
        <f>J106</f>
        <v>kWh</v>
      </c>
      <c r="I243" s="140"/>
      <c r="J243" s="140"/>
      <c r="K243" s="140"/>
    </row>
    <row r="244" spans="1:11" ht="15" x14ac:dyDescent="0.25">
      <c r="A244" s="140"/>
      <c r="B244" s="166"/>
      <c r="C244" s="167"/>
      <c r="D244" s="166"/>
      <c r="E244" s="140"/>
      <c r="G244" s="140"/>
      <c r="H244" s="143"/>
      <c r="I244" s="140"/>
      <c r="J244" s="140"/>
      <c r="K244" s="140"/>
    </row>
    <row r="245" spans="1:11" ht="15" x14ac:dyDescent="0.25">
      <c r="A245" s="141" t="s">
        <v>795</v>
      </c>
      <c r="B245" s="140"/>
      <c r="C245" s="140"/>
      <c r="D245" s="140"/>
      <c r="E245" s="140"/>
      <c r="F245" s="140"/>
      <c r="G245" s="140"/>
      <c r="I245" s="884" t="s">
        <v>1067</v>
      </c>
      <c r="J245" s="885"/>
      <c r="K245" s="602"/>
    </row>
    <row r="246" spans="1:11" x14ac:dyDescent="0.2">
      <c r="A246" s="140"/>
      <c r="B246" s="140"/>
      <c r="C246" s="140"/>
      <c r="D246" s="140"/>
      <c r="E246" s="140"/>
      <c r="F246" s="140"/>
      <c r="G246" s="140"/>
      <c r="H246" s="140"/>
      <c r="I246" s="886"/>
      <c r="J246" s="887"/>
      <c r="K246" s="597" t="s">
        <v>1109</v>
      </c>
    </row>
    <row r="247" spans="1:11" x14ac:dyDescent="0.2">
      <c r="A247" s="872" t="s">
        <v>1747</v>
      </c>
      <c r="B247" s="888" t="s">
        <v>23</v>
      </c>
      <c r="C247" s="888" t="s">
        <v>24</v>
      </c>
      <c r="D247" s="888" t="s">
        <v>11</v>
      </c>
      <c r="E247" s="140"/>
      <c r="F247" s="140"/>
      <c r="G247" s="140"/>
      <c r="H247" s="140"/>
      <c r="I247" s="140"/>
      <c r="J247" s="140"/>
      <c r="K247" s="140"/>
    </row>
    <row r="248" spans="1:11" ht="15" x14ac:dyDescent="0.25">
      <c r="A248" s="872" t="s">
        <v>1745</v>
      </c>
      <c r="B248" s="888" t="s">
        <v>162</v>
      </c>
      <c r="C248" s="890">
        <f>+Input!E31</f>
        <v>0</v>
      </c>
      <c r="D248" s="888" t="s">
        <v>857</v>
      </c>
      <c r="E248" s="140"/>
      <c r="F248" s="143"/>
      <c r="G248" s="140"/>
      <c r="H248" s="140"/>
      <c r="I248" s="140"/>
      <c r="J248" s="140"/>
      <c r="K248" s="140"/>
    </row>
    <row r="249" spans="1:11" ht="15" x14ac:dyDescent="0.25">
      <c r="A249" s="872" t="s">
        <v>1746</v>
      </c>
      <c r="B249" s="888" t="s">
        <v>163</v>
      </c>
      <c r="C249" s="890">
        <f>+Input!E32</f>
        <v>0</v>
      </c>
      <c r="D249" s="888" t="s">
        <v>857</v>
      </c>
      <c r="E249" s="140"/>
      <c r="F249" s="140"/>
      <c r="G249" s="140"/>
      <c r="H249" s="140"/>
      <c r="I249" s="140"/>
      <c r="J249" s="140"/>
      <c r="K249" s="140"/>
    </row>
    <row r="250" spans="1:11" ht="15" x14ac:dyDescent="0.25">
      <c r="A250" s="140"/>
      <c r="B250" s="888" t="s">
        <v>114</v>
      </c>
      <c r="C250" s="890">
        <f>+Input!E33</f>
        <v>0</v>
      </c>
      <c r="D250" s="888" t="s">
        <v>13</v>
      </c>
      <c r="E250" s="140"/>
      <c r="F250" s="140"/>
      <c r="G250" s="140"/>
      <c r="H250" s="140"/>
      <c r="I250" s="140"/>
      <c r="J250" s="140"/>
      <c r="K250" s="140"/>
    </row>
    <row r="251" spans="1:11" ht="15" x14ac:dyDescent="0.25">
      <c r="A251" s="140"/>
      <c r="B251" s="888" t="s">
        <v>184</v>
      </c>
      <c r="C251" s="890">
        <f>+Input!E34</f>
        <v>0</v>
      </c>
      <c r="D251" s="888" t="s">
        <v>857</v>
      </c>
      <c r="E251" s="140"/>
      <c r="F251" s="140"/>
      <c r="G251" s="140"/>
      <c r="H251" s="140"/>
      <c r="I251" s="140"/>
      <c r="J251" s="140"/>
      <c r="K251" s="140"/>
    </row>
    <row r="252" spans="1:11" ht="15" x14ac:dyDescent="0.25">
      <c r="A252" s="140"/>
      <c r="B252" s="888" t="s">
        <v>185</v>
      </c>
      <c r="C252" s="890">
        <f>+Input!E35</f>
        <v>0</v>
      </c>
      <c r="D252" s="888" t="s">
        <v>857</v>
      </c>
      <c r="E252" s="140"/>
      <c r="F252" s="140"/>
      <c r="G252" s="140"/>
      <c r="H252" s="140"/>
      <c r="I252" s="140"/>
      <c r="J252" s="140"/>
      <c r="K252" s="140"/>
    </row>
    <row r="253" spans="1:11" ht="15" x14ac:dyDescent="0.25">
      <c r="A253" s="140"/>
      <c r="B253" s="888" t="s">
        <v>164</v>
      </c>
      <c r="C253" s="890">
        <f>+Input!E36</f>
        <v>0</v>
      </c>
      <c r="D253" s="888" t="s">
        <v>13</v>
      </c>
      <c r="E253" s="198" t="s">
        <v>1087</v>
      </c>
      <c r="F253" s="603"/>
      <c r="G253" s="603"/>
      <c r="H253" s="603"/>
      <c r="I253" s="607"/>
      <c r="J253" s="140"/>
      <c r="K253" s="140"/>
    </row>
    <row r="254" spans="1:11" x14ac:dyDescent="0.2">
      <c r="A254" s="140"/>
      <c r="B254" s="166"/>
      <c r="C254" s="166"/>
      <c r="D254" s="166"/>
      <c r="E254" s="140"/>
      <c r="F254" s="140"/>
      <c r="G254" s="140"/>
      <c r="H254" s="140"/>
      <c r="I254" s="140"/>
      <c r="J254" s="140"/>
      <c r="K254" s="140"/>
    </row>
    <row r="255" spans="1:11" ht="15" x14ac:dyDescent="0.25">
      <c r="A255" s="141" t="s">
        <v>1059</v>
      </c>
      <c r="B255" s="140"/>
      <c r="C255" s="140"/>
      <c r="D255" s="140"/>
      <c r="E255" s="140"/>
      <c r="F255" s="140"/>
      <c r="G255" s="140"/>
      <c r="H255" s="140"/>
      <c r="I255" s="140"/>
      <c r="J255" s="140"/>
      <c r="K255" s="140"/>
    </row>
    <row r="256" spans="1:11" ht="15" x14ac:dyDescent="0.25">
      <c r="A256" s="141"/>
      <c r="B256" s="140"/>
      <c r="C256" s="140"/>
      <c r="D256" s="140"/>
      <c r="E256" s="140"/>
      <c r="F256" s="140"/>
      <c r="G256" s="140"/>
      <c r="H256" s="140"/>
      <c r="I256" s="140"/>
      <c r="J256" s="140"/>
      <c r="K256" s="140"/>
    </row>
    <row r="257" spans="1:11" x14ac:dyDescent="0.2">
      <c r="A257" s="140"/>
      <c r="B257" s="888" t="s">
        <v>981</v>
      </c>
      <c r="C257" s="888" t="s">
        <v>12</v>
      </c>
      <c r="D257" s="888" t="s">
        <v>184</v>
      </c>
      <c r="E257" s="888" t="s">
        <v>11</v>
      </c>
      <c r="F257" s="140"/>
      <c r="G257" s="140"/>
      <c r="H257" s="140"/>
      <c r="I257" s="140"/>
      <c r="J257" s="140"/>
      <c r="K257" s="140"/>
    </row>
    <row r="258" spans="1:11" ht="15" x14ac:dyDescent="0.25">
      <c r="A258" s="872" t="s">
        <v>1747</v>
      </c>
      <c r="B258" s="924"/>
      <c r="C258" s="890"/>
      <c r="D258" s="890"/>
      <c r="E258" s="888" t="s">
        <v>857</v>
      </c>
      <c r="F258" s="140"/>
      <c r="G258" s="140"/>
      <c r="H258" s="140"/>
      <c r="I258" s="140"/>
      <c r="J258" s="140"/>
      <c r="K258" s="140"/>
    </row>
    <row r="259" spans="1:11" ht="15" x14ac:dyDescent="0.25">
      <c r="A259" s="872" t="s">
        <v>1745</v>
      </c>
      <c r="B259" s="924"/>
      <c r="C259" s="890"/>
      <c r="D259" s="890"/>
      <c r="E259" s="888" t="s">
        <v>857</v>
      </c>
      <c r="F259" s="140"/>
      <c r="G259" s="140"/>
      <c r="H259" s="140"/>
      <c r="I259" s="140"/>
      <c r="J259" s="140"/>
      <c r="K259" s="140"/>
    </row>
    <row r="260" spans="1:11" ht="15" x14ac:dyDescent="0.25">
      <c r="A260" s="872" t="s">
        <v>1746</v>
      </c>
      <c r="B260" s="924"/>
      <c r="C260" s="890"/>
      <c r="D260" s="890"/>
      <c r="E260" s="888" t="s">
        <v>857</v>
      </c>
      <c r="F260" s="140"/>
      <c r="G260" s="140"/>
      <c r="H260" s="140"/>
      <c r="I260" s="140"/>
      <c r="J260" s="140"/>
      <c r="K260" s="140"/>
    </row>
    <row r="261" spans="1:11" ht="15" x14ac:dyDescent="0.25">
      <c r="A261" s="140"/>
      <c r="B261" s="924"/>
      <c r="C261" s="890"/>
      <c r="D261" s="890"/>
      <c r="E261" s="888" t="s">
        <v>857</v>
      </c>
      <c r="F261" s="140"/>
      <c r="G261" s="140"/>
      <c r="H261" s="140"/>
      <c r="I261" s="140"/>
      <c r="J261" s="140"/>
      <c r="K261" s="140"/>
    </row>
    <row r="262" spans="1:11" ht="15" x14ac:dyDescent="0.25">
      <c r="A262" s="140"/>
      <c r="B262" s="888" t="s">
        <v>7</v>
      </c>
      <c r="C262" s="922">
        <f>+Input!E40</f>
        <v>0</v>
      </c>
      <c r="D262" s="922"/>
      <c r="E262" s="888" t="s">
        <v>857</v>
      </c>
      <c r="F262" s="592" t="s">
        <v>1804</v>
      </c>
      <c r="G262" s="140"/>
      <c r="H262" s="140"/>
      <c r="I262" s="140"/>
      <c r="J262" s="140"/>
      <c r="K262" s="140"/>
    </row>
    <row r="263" spans="1:11" ht="15" x14ac:dyDescent="0.25">
      <c r="A263" s="140"/>
      <c r="B263" s="166"/>
      <c r="C263" s="167"/>
      <c r="D263" s="166"/>
      <c r="E263" s="140"/>
      <c r="F263" s="140"/>
      <c r="G263" s="140"/>
      <c r="H263" s="140"/>
      <c r="I263" s="140"/>
      <c r="J263" s="140"/>
      <c r="K263" s="140"/>
    </row>
    <row r="264" spans="1:11" ht="15" x14ac:dyDescent="0.25">
      <c r="A264" s="141" t="s">
        <v>786</v>
      </c>
      <c r="B264" s="166"/>
      <c r="C264" s="167"/>
      <c r="D264" s="166"/>
      <c r="E264" s="140"/>
      <c r="F264" s="140"/>
      <c r="G264" s="140"/>
      <c r="H264" s="140"/>
      <c r="I264" s="140"/>
      <c r="J264" s="140"/>
      <c r="K264" s="140"/>
    </row>
    <row r="265" spans="1:11" ht="15" x14ac:dyDescent="0.25">
      <c r="A265" s="141"/>
      <c r="B265" s="140"/>
      <c r="C265" s="167"/>
      <c r="D265" s="166"/>
      <c r="E265" s="140"/>
      <c r="F265" s="198" t="s">
        <v>1104</v>
      </c>
      <c r="G265" s="603"/>
      <c r="H265" s="603"/>
      <c r="I265" s="607"/>
      <c r="J265" s="140"/>
      <c r="K265" s="140"/>
    </row>
    <row r="266" spans="1:11" ht="28.5" x14ac:dyDescent="0.2">
      <c r="A266" s="140"/>
      <c r="B266" s="888" t="s">
        <v>23</v>
      </c>
      <c r="C266" s="888" t="s">
        <v>748</v>
      </c>
      <c r="D266" s="911" t="s">
        <v>747</v>
      </c>
      <c r="E266" s="888" t="s">
        <v>11</v>
      </c>
      <c r="F266" s="140"/>
      <c r="G266" s="140"/>
      <c r="H266" s="140"/>
      <c r="I266" s="140"/>
      <c r="J266" s="140"/>
      <c r="K266" s="140"/>
    </row>
    <row r="267" spans="1:11" ht="15" x14ac:dyDescent="0.25">
      <c r="A267" s="872" t="s">
        <v>1747</v>
      </c>
      <c r="B267" s="888" t="s">
        <v>44</v>
      </c>
      <c r="C267" s="890">
        <f>+Input!D162</f>
        <v>1</v>
      </c>
      <c r="D267" s="967">
        <v>1.45</v>
      </c>
      <c r="E267" s="888" t="s">
        <v>746</v>
      </c>
      <c r="F267" s="181" t="s">
        <v>1411</v>
      </c>
      <c r="G267" s="181"/>
      <c r="H267" s="181"/>
      <c r="I267" s="181"/>
      <c r="J267" s="181"/>
      <c r="K267" s="140"/>
    </row>
    <row r="268" spans="1:11" ht="15" x14ac:dyDescent="0.25">
      <c r="A268" s="872" t="s">
        <v>1745</v>
      </c>
      <c r="B268" s="888" t="s">
        <v>1409</v>
      </c>
      <c r="C268" s="890">
        <f>+Input!D163</f>
        <v>0</v>
      </c>
      <c r="D268" s="967">
        <v>393.91</v>
      </c>
      <c r="E268" s="888" t="s">
        <v>746</v>
      </c>
      <c r="F268" s="181" t="s">
        <v>1658</v>
      </c>
      <c r="G268" s="181"/>
      <c r="H268" s="181"/>
      <c r="I268" s="181"/>
      <c r="J268" s="181"/>
      <c r="K268" s="140"/>
    </row>
    <row r="269" spans="1:11" ht="15" x14ac:dyDescent="0.25">
      <c r="A269" s="872" t="s">
        <v>1746</v>
      </c>
      <c r="B269" s="888" t="s">
        <v>1410</v>
      </c>
      <c r="C269" s="890">
        <f>+Input!D164</f>
        <v>0</v>
      </c>
      <c r="D269" s="967">
        <v>500</v>
      </c>
      <c r="E269" s="888" t="s">
        <v>746</v>
      </c>
      <c r="F269" s="1149" t="s">
        <v>1659</v>
      </c>
      <c r="G269" s="1150"/>
      <c r="H269" s="1150"/>
      <c r="I269" s="1150"/>
      <c r="J269" s="1151"/>
      <c r="K269" s="140"/>
    </row>
    <row r="270" spans="1:11" ht="15" x14ac:dyDescent="0.25">
      <c r="A270" s="141"/>
      <c r="B270" s="166"/>
      <c r="C270" s="167"/>
      <c r="D270" s="166"/>
      <c r="E270" s="140"/>
      <c r="F270" s="140"/>
      <c r="G270" s="140"/>
      <c r="H270" s="140"/>
      <c r="I270" s="140"/>
      <c r="J270" s="140"/>
      <c r="K270" s="140"/>
    </row>
    <row r="271" spans="1:11" ht="15" x14ac:dyDescent="0.25">
      <c r="A271" s="141" t="s">
        <v>972</v>
      </c>
      <c r="B271" s="166"/>
      <c r="C271" s="167"/>
      <c r="D271" s="166"/>
      <c r="E271" s="143"/>
      <c r="F271" s="140"/>
      <c r="G271" s="140"/>
      <c r="H271" s="140"/>
      <c r="I271" s="140"/>
      <c r="J271" s="140"/>
      <c r="K271" s="140"/>
    </row>
    <row r="272" spans="1:11" x14ac:dyDescent="0.2">
      <c r="A272" s="140"/>
      <c r="B272" s="140"/>
      <c r="C272" s="140"/>
      <c r="D272" s="140"/>
      <c r="E272" s="140"/>
      <c r="F272" s="140"/>
      <c r="G272" s="140"/>
      <c r="H272" s="140"/>
      <c r="I272" s="140"/>
      <c r="J272" s="140"/>
      <c r="K272" s="140"/>
    </row>
    <row r="273" spans="1:16" x14ac:dyDescent="0.2">
      <c r="A273" s="872" t="s">
        <v>1747</v>
      </c>
      <c r="B273" s="888" t="s">
        <v>176</v>
      </c>
      <c r="C273" s="888" t="s">
        <v>24</v>
      </c>
      <c r="D273" s="888" t="s">
        <v>11</v>
      </c>
      <c r="E273" s="143"/>
      <c r="G273" s="140"/>
      <c r="H273" s="140"/>
      <c r="I273" s="140"/>
      <c r="J273" s="140"/>
      <c r="K273" s="140"/>
    </row>
    <row r="274" spans="1:16" ht="15" x14ac:dyDescent="0.25">
      <c r="A274" s="872" t="s">
        <v>1745</v>
      </c>
      <c r="B274" s="888" t="s">
        <v>124</v>
      </c>
      <c r="C274" s="890">
        <f>+Input!E45</f>
        <v>0</v>
      </c>
      <c r="D274" s="888" t="s">
        <v>857</v>
      </c>
      <c r="E274" s="968" t="s">
        <v>1015</v>
      </c>
      <c r="F274" s="968"/>
      <c r="G274" s="140"/>
      <c r="H274" s="140"/>
      <c r="I274" s="140"/>
      <c r="J274" s="140"/>
      <c r="K274" s="140"/>
    </row>
    <row r="275" spans="1:16" ht="15" x14ac:dyDescent="0.25">
      <c r="A275" s="872" t="s">
        <v>1746</v>
      </c>
      <c r="B275" s="926" t="s">
        <v>174</v>
      </c>
      <c r="C275" s="890">
        <f>+Input!E44</f>
        <v>0</v>
      </c>
      <c r="D275" s="888" t="s">
        <v>857</v>
      </c>
      <c r="E275" s="181" t="s">
        <v>1004</v>
      </c>
      <c r="F275" s="181"/>
      <c r="G275" s="181"/>
      <c r="H275" s="140"/>
      <c r="I275" s="140"/>
      <c r="J275" s="140"/>
      <c r="K275" s="140"/>
    </row>
    <row r="276" spans="1:16" ht="15" x14ac:dyDescent="0.25">
      <c r="A276" s="140"/>
      <c r="B276" s="166"/>
      <c r="C276" s="139"/>
      <c r="D276" s="166"/>
      <c r="E276" s="140"/>
      <c r="F276" s="140"/>
      <c r="G276" s="140"/>
      <c r="I276" s="884" t="s">
        <v>1067</v>
      </c>
      <c r="J276" s="885"/>
      <c r="K276" s="602"/>
    </row>
    <row r="277" spans="1:16" s="734" customFormat="1" ht="15" x14ac:dyDescent="0.25">
      <c r="A277" s="961" t="s">
        <v>796</v>
      </c>
      <c r="B277" s="929"/>
      <c r="C277" s="939"/>
      <c r="D277" s="929"/>
      <c r="E277" s="969"/>
      <c r="F277" s="592"/>
      <c r="G277" s="592"/>
      <c r="H277" s="592"/>
      <c r="I277" s="592"/>
      <c r="J277" s="592"/>
      <c r="K277" s="592"/>
      <c r="L277" s="789"/>
      <c r="M277" s="789"/>
      <c r="N277" s="789"/>
      <c r="O277" s="789"/>
      <c r="P277" s="789"/>
    </row>
    <row r="278" spans="1:16" ht="15" x14ac:dyDescent="0.25">
      <c r="A278" s="141"/>
      <c r="B278" s="166"/>
      <c r="C278" s="139"/>
      <c r="D278" s="166"/>
      <c r="E278" s="140"/>
      <c r="F278" s="140"/>
      <c r="G278" s="140"/>
      <c r="H278" s="140"/>
      <c r="I278" s="140"/>
      <c r="J278" s="140"/>
      <c r="K278" s="140"/>
    </row>
    <row r="279" spans="1:16" ht="15" x14ac:dyDescent="0.25">
      <c r="A279" s="141"/>
      <c r="B279" s="138" t="s">
        <v>797</v>
      </c>
      <c r="C279" s="139"/>
      <c r="D279" s="166"/>
      <c r="E279" s="970" t="str">
        <f>+Input!I169</f>
        <v>No.</v>
      </c>
      <c r="F279" s="953" t="s">
        <v>1060</v>
      </c>
      <c r="G279" s="599"/>
      <c r="H279" s="599"/>
      <c r="I279" s="599"/>
      <c r="J279" s="599"/>
      <c r="K279" s="599"/>
    </row>
    <row r="280" spans="1:16" ht="13.9" customHeight="1" x14ac:dyDescent="0.25">
      <c r="A280" s="141"/>
      <c r="B280" s="594"/>
      <c r="C280" s="139"/>
      <c r="D280" s="166"/>
      <c r="E280" s="140"/>
      <c r="F280" s="902" t="s">
        <v>1311</v>
      </c>
      <c r="G280" s="601"/>
      <c r="H280" s="601"/>
      <c r="I280" s="601"/>
      <c r="J280" s="601"/>
      <c r="K280" s="601"/>
    </row>
    <row r="281" spans="1:16" ht="15" x14ac:dyDescent="0.25">
      <c r="A281" s="141"/>
      <c r="B281" s="971" t="str">
        <f>IF(E279="No.","No traffic survey is available.  Please Complete Step 3-11","Please Use Detailed Traffic Survey to Complete Step 3-12")</f>
        <v>No traffic survey is available.  Please Complete Step 3-11</v>
      </c>
      <c r="D281" s="166"/>
      <c r="E281" s="140"/>
      <c r="F281" s="140"/>
      <c r="G281" s="140"/>
      <c r="H281" s="140"/>
      <c r="J281" s="140"/>
      <c r="K281" s="140"/>
    </row>
    <row r="282" spans="1:16" ht="15" x14ac:dyDescent="0.25">
      <c r="A282" s="141"/>
      <c r="B282" s="166"/>
      <c r="C282" s="139"/>
      <c r="D282" s="166"/>
      <c r="E282" s="140"/>
    </row>
    <row r="283" spans="1:16" ht="15" x14ac:dyDescent="0.25">
      <c r="A283" s="141" t="s">
        <v>1000</v>
      </c>
      <c r="B283" s="594"/>
      <c r="C283" s="972" t="str">
        <f>IF(E279="No.", " No Traffic Survey is available.  Input Data Here to Estimate Ground Transport Activity", "This Step 3-11 is not used. Go to Step 3-12")</f>
        <v xml:space="preserve"> No Traffic Survey is available.  Input Data Here to Estimate Ground Transport Activity</v>
      </c>
      <c r="D283" s="166"/>
    </row>
    <row r="284" spans="1:16" ht="15" x14ac:dyDescent="0.25">
      <c r="A284" s="872" t="s">
        <v>1747</v>
      </c>
      <c r="B284" s="140"/>
      <c r="C284" s="138"/>
      <c r="D284" s="139"/>
      <c r="E284" s="166"/>
      <c r="F284" s="198" t="s">
        <v>1163</v>
      </c>
      <c r="G284" s="603"/>
      <c r="H284" s="603"/>
      <c r="I284" s="603"/>
      <c r="J284" s="607"/>
      <c r="K284" s="607"/>
    </row>
    <row r="285" spans="1:16" ht="15" x14ac:dyDescent="0.25">
      <c r="A285" s="872" t="s">
        <v>1745</v>
      </c>
      <c r="B285" s="973" t="s">
        <v>1054</v>
      </c>
      <c r="D285" s="974"/>
      <c r="G285" s="975">
        <f>+IF($E$279="None",0,Input!G175)</f>
        <v>30</v>
      </c>
      <c r="H285" s="138" t="s">
        <v>803</v>
      </c>
      <c r="I285" s="789" t="s">
        <v>1851</v>
      </c>
      <c r="J285" s="976"/>
      <c r="K285" s="789"/>
    </row>
    <row r="286" spans="1:16" x14ac:dyDescent="0.2">
      <c r="A286" s="872" t="s">
        <v>1746</v>
      </c>
      <c r="B286" s="166"/>
      <c r="C286" s="953" t="s">
        <v>1151</v>
      </c>
      <c r="D286" s="599"/>
      <c r="E286" s="599"/>
      <c r="F286" s="599"/>
      <c r="G286" s="605"/>
      <c r="H286" s="140"/>
      <c r="I286" s="140"/>
      <c r="J286" s="279"/>
      <c r="K286" s="608"/>
    </row>
    <row r="287" spans="1:16" ht="15" x14ac:dyDescent="0.25">
      <c r="A287" s="140"/>
      <c r="B287" s="166"/>
      <c r="C287" s="977" t="s">
        <v>1152</v>
      </c>
      <c r="D287" s="978"/>
      <c r="E287" s="601"/>
      <c r="F287" s="601"/>
      <c r="G287" s="901"/>
      <c r="H287" s="140"/>
      <c r="I287" s="140"/>
      <c r="J287" s="279"/>
      <c r="K287" s="279"/>
    </row>
    <row r="288" spans="1:16" x14ac:dyDescent="0.2">
      <c r="A288" s="140"/>
      <c r="B288" s="166"/>
      <c r="C288" s="138" t="s">
        <v>1417</v>
      </c>
      <c r="D288" s="166"/>
      <c r="E288" s="166"/>
      <c r="F288" s="166"/>
      <c r="G288" s="1162" t="str">
        <f>+Input!G178</f>
        <v>How I chose the vehicle travel distance?</v>
      </c>
      <c r="H288" s="1162"/>
      <c r="I288" s="1162"/>
      <c r="J288" s="279"/>
      <c r="K288" s="279"/>
    </row>
    <row r="289" spans="1:11" ht="15" x14ac:dyDescent="0.25">
      <c r="A289" s="140"/>
      <c r="B289" s="166"/>
      <c r="C289" s="979"/>
      <c r="D289" s="980"/>
      <c r="E289" s="140"/>
      <c r="F289" s="140"/>
      <c r="G289" s="140"/>
      <c r="H289" s="140"/>
      <c r="I289" s="140"/>
      <c r="K289" s="140"/>
    </row>
    <row r="290" spans="1:11" ht="15" x14ac:dyDescent="0.25">
      <c r="A290" s="872" t="s">
        <v>1747</v>
      </c>
      <c r="B290" s="973" t="s">
        <v>1107</v>
      </c>
      <c r="C290" s="979"/>
      <c r="D290" s="980"/>
      <c r="E290" s="140"/>
      <c r="F290" s="198" t="s">
        <v>1312</v>
      </c>
      <c r="G290" s="603"/>
      <c r="H290" s="603"/>
      <c r="I290" s="603"/>
      <c r="J290" s="607"/>
      <c r="K290" s="607"/>
    </row>
    <row r="291" spans="1:11" ht="15" x14ac:dyDescent="0.25">
      <c r="A291" s="872" t="s">
        <v>1745</v>
      </c>
      <c r="B291" s="166"/>
      <c r="C291" s="981" t="s">
        <v>1164</v>
      </c>
      <c r="D291" s="980"/>
      <c r="E291" s="140"/>
      <c r="F291" s="140"/>
      <c r="G291" s="140"/>
      <c r="H291" s="140"/>
      <c r="J291" s="140"/>
    </row>
    <row r="292" spans="1:11" ht="15" x14ac:dyDescent="0.25">
      <c r="A292" s="872" t="s">
        <v>1746</v>
      </c>
      <c r="B292" s="166"/>
      <c r="C292" s="979"/>
      <c r="D292" s="594"/>
      <c r="E292" s="144" t="s">
        <v>963</v>
      </c>
      <c r="F292" s="982">
        <f>+Input!E181</f>
        <v>0.3</v>
      </c>
      <c r="G292" s="198" t="s">
        <v>1166</v>
      </c>
      <c r="H292" s="603"/>
      <c r="I292" s="603"/>
      <c r="J292" s="607"/>
      <c r="K292" s="140"/>
    </row>
    <row r="293" spans="1:11" x14ac:dyDescent="0.2">
      <c r="A293" s="140"/>
      <c r="B293" s="166"/>
      <c r="C293" s="140"/>
      <c r="D293" s="140"/>
      <c r="E293" s="279" t="s">
        <v>1108</v>
      </c>
      <c r="F293" s="983">
        <f>ROUND(J11-(J11*F292),0)</f>
        <v>70</v>
      </c>
      <c r="G293" s="198" t="s">
        <v>1167</v>
      </c>
      <c r="H293" s="603"/>
      <c r="I293" s="607"/>
      <c r="K293" s="140"/>
    </row>
    <row r="294" spans="1:11" ht="15" x14ac:dyDescent="0.25">
      <c r="A294" s="140"/>
      <c r="B294" s="166"/>
      <c r="C294" s="140"/>
      <c r="G294" s="594"/>
      <c r="H294" s="140"/>
      <c r="I294" s="140"/>
      <c r="K294" s="140"/>
    </row>
    <row r="295" spans="1:11" ht="15" x14ac:dyDescent="0.25">
      <c r="A295" s="140"/>
      <c r="B295" s="166"/>
      <c r="C295" s="981" t="s">
        <v>1153</v>
      </c>
      <c r="D295" s="980"/>
      <c r="E295" s="140"/>
      <c r="F295" s="140"/>
      <c r="G295" s="140"/>
      <c r="H295" s="140"/>
      <c r="J295" s="140"/>
      <c r="K295" s="144" t="s">
        <v>1403</v>
      </c>
    </row>
    <row r="296" spans="1:11" ht="15" x14ac:dyDescent="0.25">
      <c r="A296" s="872" t="s">
        <v>1747</v>
      </c>
      <c r="C296" s="166"/>
      <c r="D296" s="979" t="s">
        <v>1106</v>
      </c>
      <c r="E296" s="955">
        <f>+Input!E182</f>
        <v>0.2</v>
      </c>
      <c r="F296" s="181" t="s">
        <v>1525</v>
      </c>
      <c r="G296" s="181"/>
      <c r="H296" s="181"/>
      <c r="I296" s="181"/>
      <c r="K296" s="609">
        <f>ROUND(F293*E296,0)</f>
        <v>14</v>
      </c>
    </row>
    <row r="297" spans="1:11" x14ac:dyDescent="0.2">
      <c r="A297" s="872" t="s">
        <v>1745</v>
      </c>
      <c r="C297" s="166"/>
      <c r="D297" s="979"/>
      <c r="E297" s="979"/>
      <c r="I297" s="140"/>
    </row>
    <row r="298" spans="1:11" x14ac:dyDescent="0.2">
      <c r="A298" s="872" t="s">
        <v>1746</v>
      </c>
      <c r="C298" s="166"/>
      <c r="D298" s="279" t="s">
        <v>1165</v>
      </c>
      <c r="E298" s="984">
        <f>1-E296</f>
        <v>0.8</v>
      </c>
      <c r="F298" s="181" t="s">
        <v>1105</v>
      </c>
      <c r="G298" s="181"/>
      <c r="H298" s="181"/>
      <c r="I298" s="140"/>
      <c r="K298" s="609">
        <f>ROUND(F293*E298,0)</f>
        <v>56</v>
      </c>
    </row>
    <row r="299" spans="1:11" ht="15" x14ac:dyDescent="0.25">
      <c r="A299" s="140"/>
      <c r="B299" s="166"/>
      <c r="C299" s="979"/>
      <c r="D299" s="980"/>
      <c r="E299" s="140"/>
      <c r="F299" s="140"/>
      <c r="G299" s="140"/>
      <c r="H299" s="140"/>
      <c r="I299" s="140"/>
      <c r="J299" s="140"/>
      <c r="K299" s="140"/>
    </row>
    <row r="300" spans="1:11" ht="15" x14ac:dyDescent="0.25">
      <c r="A300" s="592" t="s">
        <v>1830</v>
      </c>
      <c r="B300" s="929"/>
      <c r="C300" s="981" t="s">
        <v>1154</v>
      </c>
      <c r="D300" s="980"/>
      <c r="E300" s="140"/>
      <c r="F300" s="140"/>
      <c r="G300" s="140"/>
      <c r="H300" s="140"/>
      <c r="I300" s="140"/>
      <c r="J300" s="140"/>
      <c r="K300" s="140"/>
    </row>
    <row r="301" spans="1:11" ht="15" x14ac:dyDescent="0.25">
      <c r="A301" s="592" t="s">
        <v>1831</v>
      </c>
      <c r="B301" s="789"/>
      <c r="D301" s="138" t="s">
        <v>1401</v>
      </c>
      <c r="E301" s="139"/>
      <c r="F301" s="166"/>
      <c r="G301" s="140"/>
      <c r="H301" s="140"/>
      <c r="I301" s="140"/>
      <c r="J301" s="140"/>
      <c r="K301" s="140"/>
    </row>
    <row r="302" spans="1:11" ht="15" x14ac:dyDescent="0.25">
      <c r="A302" s="592"/>
      <c r="B302" s="592"/>
      <c r="E302" s="279" t="s">
        <v>69</v>
      </c>
      <c r="F302" s="985">
        <v>0.5</v>
      </c>
      <c r="G302" s="279" t="s">
        <v>70</v>
      </c>
      <c r="H302" s="949">
        <f>1-F302</f>
        <v>0.5</v>
      </c>
      <c r="I302" s="140"/>
      <c r="J302" s="140"/>
      <c r="K302" s="140"/>
    </row>
    <row r="303" spans="1:11" x14ac:dyDescent="0.2">
      <c r="A303" s="592"/>
      <c r="B303" s="592"/>
      <c r="D303" s="279"/>
      <c r="E303" s="986" t="s">
        <v>1402</v>
      </c>
      <c r="F303" s="950"/>
      <c r="G303" s="987"/>
      <c r="H303" s="988"/>
      <c r="I303" s="607"/>
      <c r="J303" s="140"/>
      <c r="K303" s="610"/>
    </row>
    <row r="304" spans="1:11" ht="15" x14ac:dyDescent="0.25">
      <c r="A304" s="592"/>
      <c r="B304" s="592"/>
      <c r="D304" s="166"/>
      <c r="E304" s="139"/>
      <c r="F304" s="166"/>
      <c r="G304" s="140"/>
      <c r="H304" s="140"/>
      <c r="I304" s="140"/>
      <c r="J304" s="140"/>
      <c r="K304" s="140"/>
    </row>
    <row r="305" spans="1:11" ht="15" x14ac:dyDescent="0.25">
      <c r="A305" s="592"/>
      <c r="B305" s="592"/>
      <c r="D305" s="138" t="s">
        <v>1155</v>
      </c>
      <c r="E305" s="139"/>
      <c r="F305" s="166"/>
      <c r="G305" s="140"/>
      <c r="H305" s="140"/>
      <c r="I305" s="140"/>
      <c r="J305" s="140"/>
      <c r="K305" s="140"/>
    </row>
    <row r="306" spans="1:11" ht="15" x14ac:dyDescent="0.25">
      <c r="A306" s="592"/>
      <c r="B306" s="592"/>
      <c r="E306" s="279" t="s">
        <v>1055</v>
      </c>
      <c r="F306" s="955">
        <v>0.5</v>
      </c>
      <c r="G306" s="279" t="s">
        <v>71</v>
      </c>
      <c r="H306" s="984">
        <f>1-F306</f>
        <v>0.5</v>
      </c>
      <c r="I306" s="140"/>
      <c r="J306" s="140"/>
      <c r="K306" s="140"/>
    </row>
    <row r="307" spans="1:11" ht="15" x14ac:dyDescent="0.25">
      <c r="A307" s="592"/>
      <c r="B307" s="592"/>
      <c r="D307" s="279"/>
      <c r="E307" s="974"/>
      <c r="F307" s="166"/>
      <c r="G307" s="279"/>
      <c r="H307" s="974"/>
      <c r="I307" s="140"/>
      <c r="J307" s="140"/>
      <c r="K307" s="140"/>
    </row>
    <row r="308" spans="1:11" ht="15" x14ac:dyDescent="0.25">
      <c r="A308" s="592"/>
      <c r="B308" s="592"/>
      <c r="D308" s="138" t="s">
        <v>1156</v>
      </c>
      <c r="E308" s="139"/>
      <c r="F308" s="166"/>
      <c r="G308" s="140"/>
      <c r="H308" s="140"/>
      <c r="I308" s="140"/>
      <c r="J308" s="140"/>
      <c r="K308" s="140"/>
    </row>
    <row r="309" spans="1:11" ht="15" x14ac:dyDescent="0.25">
      <c r="A309" s="592"/>
      <c r="B309" s="592"/>
      <c r="E309" s="279" t="s">
        <v>1055</v>
      </c>
      <c r="F309" s="955">
        <v>0.2</v>
      </c>
      <c r="G309" s="279" t="s">
        <v>71</v>
      </c>
      <c r="H309" s="984">
        <f>1-F309</f>
        <v>0.8</v>
      </c>
      <c r="I309" s="140"/>
      <c r="J309" s="140"/>
      <c r="K309" s="140"/>
    </row>
    <row r="310" spans="1:11" ht="15" x14ac:dyDescent="0.25">
      <c r="A310" s="592"/>
      <c r="B310" s="592"/>
      <c r="C310" s="138"/>
      <c r="D310" s="139"/>
      <c r="E310" s="166"/>
      <c r="F310" s="140"/>
      <c r="G310" s="989"/>
      <c r="H310" s="140"/>
      <c r="I310" s="140"/>
      <c r="J310" s="140"/>
      <c r="K310" s="140"/>
    </row>
    <row r="311" spans="1:11" ht="15" x14ac:dyDescent="0.25">
      <c r="A311" s="592"/>
      <c r="B311" s="592"/>
      <c r="D311" s="138" t="s">
        <v>1157</v>
      </c>
      <c r="E311" s="140"/>
      <c r="F311" s="140"/>
      <c r="G311" s="989"/>
      <c r="H311" s="140"/>
      <c r="I311" s="140"/>
      <c r="J311" s="140"/>
      <c r="K311" s="140"/>
    </row>
    <row r="312" spans="1:11" ht="15" x14ac:dyDescent="0.25">
      <c r="A312" s="592"/>
      <c r="B312" s="592"/>
      <c r="E312" s="279" t="s">
        <v>1115</v>
      </c>
      <c r="F312" s="955">
        <v>0.9</v>
      </c>
      <c r="G312" s="181" t="s">
        <v>979</v>
      </c>
      <c r="H312" s="198"/>
      <c r="I312" s="603"/>
      <c r="J312" s="607"/>
      <c r="K312" s="140"/>
    </row>
    <row r="313" spans="1:11" ht="15" x14ac:dyDescent="0.25">
      <c r="A313" s="592"/>
      <c r="B313" s="592"/>
      <c r="D313" s="138"/>
      <c r="E313" s="279" t="s">
        <v>1677</v>
      </c>
      <c r="F313" s="955">
        <v>0.1</v>
      </c>
      <c r="G313" s="181" t="s">
        <v>1110</v>
      </c>
      <c r="H313" s="181"/>
      <c r="I313" s="894"/>
      <c r="J313" s="181"/>
      <c r="K313" s="140"/>
    </row>
    <row r="314" spans="1:11" ht="15" x14ac:dyDescent="0.25">
      <c r="A314" s="592"/>
      <c r="B314" s="592"/>
      <c r="D314" s="138"/>
      <c r="E314" s="990" t="s">
        <v>817</v>
      </c>
      <c r="F314" s="955">
        <v>0</v>
      </c>
      <c r="G314" s="989"/>
      <c r="H314" s="140"/>
      <c r="J314" s="140"/>
      <c r="K314" s="140"/>
    </row>
    <row r="315" spans="1:11" ht="15" x14ac:dyDescent="0.25">
      <c r="A315" s="592"/>
      <c r="B315" s="592"/>
      <c r="D315" s="138"/>
      <c r="E315" s="139"/>
      <c r="F315" s="991">
        <f>+SUM(F312:F314)</f>
        <v>1</v>
      </c>
      <c r="G315" s="904" t="str">
        <f>IF(SUM(F312:F314)&gt;1, "&gt; 100%, revise!", IF(SUM(F312:F314)&lt;1, "&lt; 100%, revise!", "Total % is OK."))</f>
        <v>Total % is OK.</v>
      </c>
      <c r="H315" s="1149" t="s">
        <v>1056</v>
      </c>
      <c r="I315" s="1150"/>
      <c r="J315" s="1150"/>
      <c r="K315" s="1151"/>
    </row>
    <row r="316" spans="1:11" ht="15" x14ac:dyDescent="0.25">
      <c r="A316" s="140"/>
      <c r="B316" s="140"/>
      <c r="D316" s="981" t="s">
        <v>1158</v>
      </c>
      <c r="E316" s="166"/>
      <c r="F316" s="166"/>
      <c r="G316" s="989"/>
      <c r="H316" s="140"/>
      <c r="J316" s="140"/>
      <c r="K316" s="140"/>
    </row>
    <row r="317" spans="1:11" ht="15" x14ac:dyDescent="0.25">
      <c r="A317" s="592" t="s">
        <v>1847</v>
      </c>
      <c r="B317" s="592"/>
      <c r="D317" s="981"/>
      <c r="E317" s="166"/>
      <c r="F317" s="166" t="s">
        <v>1116</v>
      </c>
      <c r="G317" s="989"/>
      <c r="H317" s="992" t="s">
        <v>1676</v>
      </c>
      <c r="J317" s="140"/>
      <c r="K317" s="140"/>
    </row>
    <row r="318" spans="1:11" ht="15" x14ac:dyDescent="0.25">
      <c r="A318" s="592"/>
      <c r="B318" s="592"/>
      <c r="E318" s="979" t="s">
        <v>200</v>
      </c>
      <c r="F318" s="955">
        <f>+E371</f>
        <v>0.9</v>
      </c>
      <c r="G318" s="989"/>
      <c r="H318" s="955">
        <f>+G371</f>
        <v>0.2</v>
      </c>
      <c r="J318" s="140"/>
      <c r="K318" s="140"/>
    </row>
    <row r="319" spans="1:11" ht="15" x14ac:dyDescent="0.25">
      <c r="A319" s="592"/>
      <c r="B319" s="592"/>
      <c r="E319" s="979" t="s">
        <v>201</v>
      </c>
      <c r="F319" s="955">
        <f t="shared" ref="F319:F322" si="2">+E372</f>
        <v>0.1</v>
      </c>
      <c r="G319" s="989"/>
      <c r="H319" s="955">
        <f t="shared" ref="H319:H322" si="3">+G372</f>
        <v>0.8</v>
      </c>
      <c r="J319" s="140"/>
      <c r="K319" s="140"/>
    </row>
    <row r="320" spans="1:11" ht="15" x14ac:dyDescent="0.25">
      <c r="A320" s="592"/>
      <c r="B320" s="592"/>
      <c r="E320" s="979" t="s">
        <v>202</v>
      </c>
      <c r="F320" s="955">
        <f t="shared" si="2"/>
        <v>0</v>
      </c>
      <c r="G320" s="989"/>
      <c r="H320" s="955">
        <f t="shared" si="3"/>
        <v>0</v>
      </c>
      <c r="J320" s="140"/>
      <c r="K320" s="140"/>
    </row>
    <row r="321" spans="1:11" ht="15" x14ac:dyDescent="0.25">
      <c r="A321" s="592"/>
      <c r="B321" s="592"/>
      <c r="E321" s="979" t="s">
        <v>1036</v>
      </c>
      <c r="F321" s="955">
        <f t="shared" si="2"/>
        <v>0</v>
      </c>
      <c r="G321" s="989"/>
      <c r="H321" s="955">
        <f t="shared" si="3"/>
        <v>0</v>
      </c>
      <c r="J321" s="140"/>
      <c r="K321" s="140"/>
    </row>
    <row r="322" spans="1:11" ht="15" x14ac:dyDescent="0.25">
      <c r="A322" s="592"/>
      <c r="B322" s="592"/>
      <c r="E322" s="979" t="s">
        <v>1038</v>
      </c>
      <c r="F322" s="955">
        <f t="shared" si="2"/>
        <v>0</v>
      </c>
      <c r="G322" s="989"/>
      <c r="H322" s="955">
        <f t="shared" si="3"/>
        <v>0</v>
      </c>
      <c r="J322" s="140"/>
      <c r="K322" s="140"/>
    </row>
    <row r="323" spans="1:11" ht="15" x14ac:dyDescent="0.25">
      <c r="A323" s="592"/>
      <c r="B323" s="592"/>
      <c r="D323" s="139"/>
      <c r="E323" s="166"/>
      <c r="F323" s="993">
        <f>+SUM(F318:F322)</f>
        <v>1</v>
      </c>
      <c r="H323" s="993">
        <f>+SUM(H318:H322)</f>
        <v>1</v>
      </c>
      <c r="J323" s="140"/>
      <c r="K323" s="140"/>
    </row>
    <row r="324" spans="1:11" ht="15" x14ac:dyDescent="0.25">
      <c r="A324" s="592"/>
      <c r="B324" s="592"/>
      <c r="D324" s="981"/>
      <c r="E324" s="166"/>
      <c r="F324" s="904" t="str">
        <f>IF(F323&gt;1, "&gt; 100%, revise!", IF(F323&lt;1, "&lt; 100%, revise!", "Total % is OK."))</f>
        <v>Total % is OK.</v>
      </c>
      <c r="G324" s="989"/>
      <c r="H324" s="904" t="str">
        <f>IF(H323&gt;1, "&gt; 100%, revise!", IF(H323&lt;1, "&lt; 100%, revise!", "Total % is OK."))</f>
        <v>Total % is OK.</v>
      </c>
      <c r="I324" s="994"/>
      <c r="J324" s="994"/>
      <c r="K324" s="140"/>
    </row>
    <row r="325" spans="1:11" ht="15" x14ac:dyDescent="0.25">
      <c r="A325" s="592"/>
      <c r="B325" s="592"/>
      <c r="E325" s="979"/>
      <c r="G325" s="989"/>
      <c r="H325" s="140"/>
      <c r="I325" s="994"/>
      <c r="J325" s="994"/>
      <c r="K325" s="140"/>
    </row>
    <row r="326" spans="1:11" ht="15" x14ac:dyDescent="0.25">
      <c r="A326" s="872" t="s">
        <v>1747</v>
      </c>
      <c r="B326" s="140"/>
      <c r="C326" s="137" t="s">
        <v>1159</v>
      </c>
      <c r="D326" s="279"/>
      <c r="E326" s="166"/>
      <c r="G326" s="279"/>
      <c r="H326" s="974"/>
      <c r="I326" s="140"/>
      <c r="J326" s="140"/>
      <c r="K326" s="140"/>
    </row>
    <row r="327" spans="1:11" ht="42.75" x14ac:dyDescent="0.2">
      <c r="A327" s="872" t="s">
        <v>1745</v>
      </c>
      <c r="B327" s="140"/>
      <c r="D327" s="1147" t="s">
        <v>613</v>
      </c>
      <c r="E327" s="1148"/>
      <c r="F327" s="911" t="s">
        <v>614</v>
      </c>
      <c r="G327" s="911" t="s">
        <v>1529</v>
      </c>
      <c r="H327" s="911" t="s">
        <v>1664</v>
      </c>
      <c r="I327" s="911" t="s">
        <v>1076</v>
      </c>
      <c r="K327" s="140"/>
    </row>
    <row r="328" spans="1:11" ht="15" x14ac:dyDescent="0.25">
      <c r="A328" s="872" t="s">
        <v>1746</v>
      </c>
      <c r="B328" s="140"/>
      <c r="D328" s="1147" t="s">
        <v>996</v>
      </c>
      <c r="E328" s="1148"/>
      <c r="F328" s="995">
        <v>1</v>
      </c>
      <c r="G328" s="996">
        <f>+Input!E211</f>
        <v>1</v>
      </c>
      <c r="H328" s="996">
        <f>+Input!G211</f>
        <v>5</v>
      </c>
      <c r="I328" s="996">
        <f>+Input!H211</f>
        <v>365</v>
      </c>
      <c r="K328" s="140"/>
    </row>
    <row r="329" spans="1:11" ht="15" x14ac:dyDescent="0.25">
      <c r="A329" s="140"/>
      <c r="B329" s="140"/>
      <c r="D329" s="1147" t="s">
        <v>995</v>
      </c>
      <c r="E329" s="1148"/>
      <c r="F329" s="995">
        <v>1</v>
      </c>
      <c r="G329" s="996">
        <f>+Input!E212</f>
        <v>1</v>
      </c>
      <c r="H329" s="996">
        <f>+Input!G212</f>
        <v>30</v>
      </c>
      <c r="I329" s="996">
        <f>+Input!H212</f>
        <v>365</v>
      </c>
      <c r="K329" s="140"/>
    </row>
    <row r="330" spans="1:11" x14ac:dyDescent="0.2">
      <c r="A330" s="140"/>
      <c r="B330" s="140"/>
      <c r="D330" s="138"/>
      <c r="E330" s="198" t="s">
        <v>1526</v>
      </c>
      <c r="F330" s="198"/>
      <c r="G330" s="198"/>
      <c r="H330" s="198"/>
      <c r="I330" s="181"/>
      <c r="J330" s="140"/>
      <c r="K330" s="140"/>
    </row>
    <row r="331" spans="1:11" x14ac:dyDescent="0.2">
      <c r="A331" s="140"/>
      <c r="B331" s="140"/>
      <c r="D331" s="138"/>
      <c r="E331" s="198" t="s">
        <v>1527</v>
      </c>
      <c r="F331" s="198"/>
      <c r="G331" s="198"/>
      <c r="H331" s="198"/>
      <c r="I331" s="181"/>
      <c r="J331" s="140"/>
      <c r="K331" s="140"/>
    </row>
    <row r="332" spans="1:11" x14ac:dyDescent="0.2">
      <c r="A332" s="140"/>
      <c r="B332" s="140"/>
      <c r="D332" s="138"/>
      <c r="E332" s="198" t="s">
        <v>1528</v>
      </c>
      <c r="F332" s="198"/>
      <c r="G332" s="198"/>
      <c r="H332" s="198"/>
      <c r="I332" s="181"/>
      <c r="J332" s="140"/>
      <c r="K332" s="140"/>
    </row>
    <row r="333" spans="1:11" ht="15" x14ac:dyDescent="0.25">
      <c r="A333" s="140"/>
      <c r="B333" s="140"/>
      <c r="D333" s="138"/>
      <c r="E333" s="139"/>
      <c r="F333" s="166"/>
      <c r="G333" s="989"/>
      <c r="H333" s="974"/>
      <c r="I333" s="140"/>
      <c r="J333" s="140"/>
      <c r="K333" s="140"/>
    </row>
    <row r="334" spans="1:11" ht="15" x14ac:dyDescent="0.25">
      <c r="A334" s="872" t="s">
        <v>1747</v>
      </c>
      <c r="B334" s="140"/>
      <c r="D334" s="981" t="s">
        <v>1524</v>
      </c>
      <c r="E334" s="166"/>
      <c r="F334" s="140"/>
      <c r="G334" s="989"/>
      <c r="H334" s="140"/>
      <c r="I334" s="140"/>
      <c r="J334" s="140"/>
      <c r="K334" s="140"/>
    </row>
    <row r="335" spans="1:11" ht="15" x14ac:dyDescent="0.25">
      <c r="A335" s="872" t="s">
        <v>1745</v>
      </c>
      <c r="B335" s="140"/>
      <c r="D335" s="981"/>
      <c r="E335" s="166"/>
      <c r="F335" s="140" t="s">
        <v>1522</v>
      </c>
      <c r="G335" s="989"/>
      <c r="H335" s="166" t="s">
        <v>1523</v>
      </c>
      <c r="I335" s="140"/>
      <c r="J335" s="140"/>
      <c r="K335" s="140"/>
    </row>
    <row r="336" spans="1:11" ht="15" x14ac:dyDescent="0.25">
      <c r="A336" s="872" t="s">
        <v>1746</v>
      </c>
      <c r="B336" s="140"/>
      <c r="E336" s="979" t="s">
        <v>200</v>
      </c>
      <c r="F336" s="955">
        <f>+Input!E218</f>
        <v>0.5</v>
      </c>
      <c r="G336" s="989"/>
      <c r="H336" s="955">
        <f>+Input!G218</f>
        <v>0.2</v>
      </c>
      <c r="I336" s="989"/>
      <c r="J336" s="140"/>
      <c r="K336" s="140"/>
    </row>
    <row r="337" spans="1:11" ht="15" x14ac:dyDescent="0.25">
      <c r="A337" s="140"/>
      <c r="B337" s="140"/>
      <c r="E337" s="979" t="s">
        <v>201</v>
      </c>
      <c r="F337" s="955">
        <f>+Input!E219</f>
        <v>0.5</v>
      </c>
      <c r="G337" s="989"/>
      <c r="H337" s="955">
        <f>+Input!G219</f>
        <v>0.8</v>
      </c>
      <c r="I337" s="989"/>
      <c r="J337" s="140"/>
      <c r="K337" s="140"/>
    </row>
    <row r="338" spans="1:11" ht="15" x14ac:dyDescent="0.25">
      <c r="A338" s="140"/>
      <c r="B338" s="140"/>
      <c r="E338" s="979" t="s">
        <v>202</v>
      </c>
      <c r="F338" s="955">
        <f>+Input!E220</f>
        <v>0</v>
      </c>
      <c r="G338" s="989"/>
      <c r="H338" s="955">
        <f>+Input!G220</f>
        <v>0</v>
      </c>
      <c r="I338" s="989"/>
      <c r="J338" s="140"/>
      <c r="K338" s="140"/>
    </row>
    <row r="339" spans="1:11" ht="15" x14ac:dyDescent="0.25">
      <c r="A339" s="140"/>
      <c r="B339" s="140"/>
      <c r="E339" s="979" t="s">
        <v>1313</v>
      </c>
      <c r="F339" s="955">
        <f>+Input!E221</f>
        <v>0</v>
      </c>
      <c r="G339" s="989"/>
      <c r="H339" s="955">
        <f>+Input!G221</f>
        <v>0</v>
      </c>
      <c r="I339" s="989"/>
      <c r="J339" s="140"/>
      <c r="K339" s="140"/>
    </row>
    <row r="340" spans="1:11" ht="15" x14ac:dyDescent="0.25">
      <c r="A340" s="140"/>
      <c r="B340" s="140"/>
      <c r="D340" s="139"/>
      <c r="E340" s="166"/>
      <c r="F340" s="991">
        <f>+SUM(F336:F339)</f>
        <v>1</v>
      </c>
      <c r="H340" s="991">
        <f>+SUM(H336:H339)</f>
        <v>1</v>
      </c>
    </row>
    <row r="341" spans="1:11" ht="15" x14ac:dyDescent="0.25">
      <c r="A341" s="140"/>
      <c r="B341" s="140"/>
      <c r="D341" s="981"/>
      <c r="E341" s="166"/>
      <c r="F341" s="904" t="str">
        <f>IF(F340&gt;1, "&gt; 100%, revise!", IF(F340&lt;1, "&lt; 100%, revise!", "Total % is OK."))</f>
        <v>Total % is OK.</v>
      </c>
      <c r="G341" s="989"/>
      <c r="H341" s="904" t="str">
        <f>IF(H340&gt;1, "&gt; 100%, revise!", IF(H340&lt;1, "&lt; 100%, revise!", "Total % is OK."))</f>
        <v>Total % is OK.</v>
      </c>
    </row>
    <row r="342" spans="1:11" x14ac:dyDescent="0.2">
      <c r="A342" s="140"/>
      <c r="B342" s="140"/>
      <c r="E342" s="979"/>
      <c r="H342" s="1149" t="s">
        <v>1056</v>
      </c>
      <c r="I342" s="1150"/>
      <c r="J342" s="1150"/>
      <c r="K342" s="1151"/>
    </row>
    <row r="343" spans="1:11" x14ac:dyDescent="0.2">
      <c r="A343" s="140"/>
      <c r="B343" s="140"/>
      <c r="C343" s="137" t="s">
        <v>1160</v>
      </c>
      <c r="D343" s="279"/>
      <c r="E343" s="166"/>
      <c r="F343" s="166"/>
    </row>
    <row r="344" spans="1:11" ht="27" customHeight="1" x14ac:dyDescent="0.2">
      <c r="A344" s="872" t="s">
        <v>1747</v>
      </c>
      <c r="B344" s="140"/>
      <c r="C344" s="140"/>
      <c r="D344" s="1144" t="s">
        <v>647</v>
      </c>
      <c r="E344" s="1144"/>
      <c r="F344" s="911" t="s">
        <v>997</v>
      </c>
      <c r="G344" s="911" t="s">
        <v>1496</v>
      </c>
      <c r="H344" s="911" t="s">
        <v>1494</v>
      </c>
      <c r="I344" s="888" t="s">
        <v>615</v>
      </c>
      <c r="J344" s="911" t="s">
        <v>1495</v>
      </c>
    </row>
    <row r="345" spans="1:11" ht="15" x14ac:dyDescent="0.25">
      <c r="A345" s="872" t="s">
        <v>1745</v>
      </c>
      <c r="B345" s="140"/>
      <c r="C345" s="140"/>
      <c r="D345" s="1160" t="s">
        <v>998</v>
      </c>
      <c r="E345" s="1161"/>
      <c r="F345" s="996">
        <f>+Input!E226</f>
        <v>1</v>
      </c>
      <c r="G345" s="996">
        <f>+Input!G226</f>
        <v>5</v>
      </c>
      <c r="H345" s="996">
        <f>+Input!H226</f>
        <v>60</v>
      </c>
      <c r="I345" s="996">
        <f>+Input!I226</f>
        <v>365</v>
      </c>
      <c r="J345" s="619">
        <f>IF(H345=0,0,2*G345/H345)</f>
        <v>0.16666666666666666</v>
      </c>
    </row>
    <row r="346" spans="1:11" ht="15" x14ac:dyDescent="0.25">
      <c r="A346" s="872" t="s">
        <v>1746</v>
      </c>
      <c r="B346" s="140"/>
      <c r="C346" s="140"/>
      <c r="D346" s="1144" t="s">
        <v>999</v>
      </c>
      <c r="E346" s="1144"/>
      <c r="F346" s="996">
        <f>+Input!E227</f>
        <v>1</v>
      </c>
      <c r="G346" s="996">
        <f>+Input!G227</f>
        <v>5</v>
      </c>
      <c r="H346" s="996">
        <f>+Input!H227</f>
        <v>45</v>
      </c>
      <c r="I346" s="996">
        <f>+Input!I227</f>
        <v>365</v>
      </c>
      <c r="J346" s="619">
        <f>IF(H346=0,0,2*G346/H346)</f>
        <v>0.22222222222222221</v>
      </c>
    </row>
    <row r="347" spans="1:11" x14ac:dyDescent="0.2">
      <c r="A347" s="140"/>
      <c r="B347" s="140"/>
      <c r="C347" s="140"/>
      <c r="D347" s="138" t="s">
        <v>1428</v>
      </c>
      <c r="E347" s="166"/>
      <c r="F347" s="166"/>
      <c r="G347" s="166"/>
      <c r="H347" s="1173" t="str">
        <f>+Input!G228</f>
        <v>Distance from airport to next train stations (recommended)</v>
      </c>
      <c r="I347" s="1174"/>
      <c r="J347" s="1174"/>
      <c r="K347" s="1175"/>
    </row>
    <row r="348" spans="1:11" x14ac:dyDescent="0.2">
      <c r="A348" s="140"/>
      <c r="B348" s="166"/>
      <c r="E348" s="198" t="s">
        <v>1539</v>
      </c>
      <c r="F348" s="198"/>
      <c r="G348" s="198"/>
      <c r="H348" s="198"/>
      <c r="I348" s="181"/>
      <c r="J348" s="279"/>
      <c r="K348" s="279"/>
    </row>
    <row r="349" spans="1:11" x14ac:dyDescent="0.2">
      <c r="A349" s="140"/>
      <c r="B349" s="166"/>
      <c r="E349" s="198" t="s">
        <v>1538</v>
      </c>
      <c r="F349" s="198"/>
      <c r="G349" s="198"/>
      <c r="H349" s="198"/>
      <c r="I349" s="181"/>
      <c r="J349" s="279"/>
      <c r="K349" s="279"/>
    </row>
    <row r="350" spans="1:11" x14ac:dyDescent="0.2">
      <c r="A350" s="140"/>
      <c r="B350" s="166"/>
      <c r="J350" s="279"/>
      <c r="K350" s="279"/>
    </row>
    <row r="351" spans="1:11" ht="15" x14ac:dyDescent="0.25">
      <c r="A351" s="872" t="s">
        <v>1747</v>
      </c>
      <c r="B351" s="140"/>
      <c r="D351" s="981" t="s">
        <v>1161</v>
      </c>
      <c r="E351" s="166"/>
      <c r="F351" s="140"/>
      <c r="G351" s="989"/>
      <c r="H351" s="140"/>
    </row>
    <row r="352" spans="1:11" ht="15" x14ac:dyDescent="0.25">
      <c r="A352" s="872" t="s">
        <v>1745</v>
      </c>
      <c r="B352" s="140"/>
      <c r="E352" s="979" t="s">
        <v>201</v>
      </c>
      <c r="F352" s="955">
        <f>1-F353</f>
        <v>0</v>
      </c>
      <c r="G352" s="989"/>
      <c r="H352" s="140"/>
      <c r="I352" s="140"/>
      <c r="J352" s="140"/>
      <c r="K352" s="140"/>
    </row>
    <row r="353" spans="1:11" ht="15" x14ac:dyDescent="0.25">
      <c r="A353" s="872" t="s">
        <v>1746</v>
      </c>
      <c r="B353" s="140"/>
      <c r="E353" s="979" t="s">
        <v>648</v>
      </c>
      <c r="F353" s="984">
        <f>+Input!J226</f>
        <v>1</v>
      </c>
      <c r="G353" s="989"/>
      <c r="H353" s="140"/>
      <c r="I353" s="140"/>
      <c r="J353" s="140"/>
    </row>
    <row r="354" spans="1:11" ht="15" x14ac:dyDescent="0.25">
      <c r="A354" s="140"/>
      <c r="B354" s="140"/>
      <c r="D354" s="139"/>
      <c r="E354" s="166"/>
      <c r="F354" s="140"/>
      <c r="G354" s="989"/>
      <c r="H354" s="140"/>
      <c r="I354" s="140"/>
      <c r="J354" s="140"/>
      <c r="K354" s="140"/>
    </row>
    <row r="355" spans="1:11" ht="15" x14ac:dyDescent="0.25">
      <c r="A355" s="140"/>
      <c r="B355" s="140"/>
      <c r="D355" s="981" t="s">
        <v>1162</v>
      </c>
      <c r="E355" s="166"/>
      <c r="F355" s="140"/>
      <c r="G355" s="989"/>
      <c r="H355" s="140"/>
      <c r="I355" s="140"/>
      <c r="J355" s="140"/>
      <c r="K355" s="140"/>
    </row>
    <row r="356" spans="1:11" ht="15" x14ac:dyDescent="0.25">
      <c r="A356" s="140"/>
      <c r="B356" s="140"/>
      <c r="E356" s="979" t="s">
        <v>201</v>
      </c>
      <c r="F356" s="955">
        <f>1-F357</f>
        <v>0</v>
      </c>
      <c r="G356" s="989"/>
      <c r="H356" s="140"/>
      <c r="I356" s="140"/>
      <c r="J356" s="140"/>
      <c r="K356" s="140"/>
    </row>
    <row r="357" spans="1:11" ht="15" x14ac:dyDescent="0.25">
      <c r="A357" s="140"/>
      <c r="B357" s="140"/>
      <c r="E357" s="979" t="s">
        <v>648</v>
      </c>
      <c r="F357" s="984">
        <f>+Input!J227</f>
        <v>1</v>
      </c>
      <c r="G357" s="989"/>
      <c r="H357" s="140"/>
      <c r="I357" s="140"/>
      <c r="J357" s="140"/>
      <c r="K357" s="140"/>
    </row>
    <row r="358" spans="1:11" ht="15" x14ac:dyDescent="0.25">
      <c r="A358" s="140"/>
      <c r="B358" s="140"/>
      <c r="D358" s="139"/>
      <c r="E358" s="166"/>
      <c r="F358" s="140"/>
      <c r="G358" s="989"/>
      <c r="H358" s="140"/>
      <c r="I358" s="140"/>
      <c r="J358" s="140"/>
      <c r="K358" s="140"/>
    </row>
    <row r="359" spans="1:11" ht="15" x14ac:dyDescent="0.25">
      <c r="A359" s="872" t="s">
        <v>1747</v>
      </c>
      <c r="B359" s="973" t="s">
        <v>1112</v>
      </c>
      <c r="G359" s="989"/>
      <c r="H359" s="140"/>
      <c r="I359" s="140"/>
      <c r="K359" s="140"/>
    </row>
    <row r="360" spans="1:11" ht="15" x14ac:dyDescent="0.25">
      <c r="A360" s="872" t="s">
        <v>1745</v>
      </c>
      <c r="B360" s="973"/>
      <c r="C360" s="166"/>
      <c r="D360" s="139"/>
      <c r="E360" s="166"/>
      <c r="F360" s="140"/>
      <c r="G360" s="140"/>
      <c r="I360" s="140"/>
      <c r="J360" s="140"/>
      <c r="K360" s="140"/>
    </row>
    <row r="361" spans="1:11" ht="15" x14ac:dyDescent="0.25">
      <c r="A361" s="872" t="s">
        <v>1746</v>
      </c>
      <c r="B361" s="140"/>
      <c r="D361" s="279" t="s">
        <v>150</v>
      </c>
      <c r="E361" s="996">
        <f>+Input!E186</f>
        <v>100</v>
      </c>
      <c r="F361" s="137" t="s">
        <v>1314</v>
      </c>
      <c r="H361" s="143"/>
      <c r="I361" s="140"/>
      <c r="J361" s="140"/>
      <c r="K361" s="140"/>
    </row>
    <row r="362" spans="1:11" ht="15" x14ac:dyDescent="0.25">
      <c r="B362" s="140"/>
      <c r="C362" s="139"/>
      <c r="D362" s="166"/>
      <c r="E362" s="140"/>
      <c r="H362" s="140"/>
      <c r="I362" s="140"/>
      <c r="J362" s="140"/>
      <c r="K362" s="140"/>
    </row>
    <row r="363" spans="1:11" x14ac:dyDescent="0.2">
      <c r="B363" s="140"/>
      <c r="C363" s="138" t="s">
        <v>1111</v>
      </c>
      <c r="D363" s="140"/>
      <c r="E363" s="140"/>
      <c r="G363" s="140"/>
      <c r="H363" s="143"/>
      <c r="I363" s="140"/>
      <c r="J363" s="140"/>
      <c r="K363" s="140"/>
    </row>
    <row r="364" spans="1:11" ht="15" x14ac:dyDescent="0.25">
      <c r="B364" s="140"/>
      <c r="D364" s="279" t="s">
        <v>199</v>
      </c>
      <c r="E364" s="955">
        <f>+Input!E190</f>
        <v>1</v>
      </c>
      <c r="F364" s="936" t="s">
        <v>979</v>
      </c>
      <c r="G364" s="279"/>
      <c r="H364" s="980"/>
      <c r="I364" s="140"/>
      <c r="J364" s="140"/>
      <c r="K364" s="140"/>
    </row>
    <row r="365" spans="1:11" ht="15" x14ac:dyDescent="0.25">
      <c r="B365" s="140"/>
      <c r="D365" s="279" t="s">
        <v>1678</v>
      </c>
      <c r="E365" s="955">
        <f>+Input!E191</f>
        <v>0</v>
      </c>
      <c r="F365" s="936" t="s">
        <v>973</v>
      </c>
      <c r="G365" s="279"/>
      <c r="H365" s="980"/>
      <c r="I365" s="140"/>
      <c r="J365" s="140"/>
      <c r="K365" s="140"/>
    </row>
    <row r="366" spans="1:11" ht="15" x14ac:dyDescent="0.25">
      <c r="B366" s="140"/>
      <c r="D366" s="279" t="s">
        <v>817</v>
      </c>
      <c r="E366" s="955">
        <f>+Input!E192</f>
        <v>0</v>
      </c>
      <c r="G366" s="279"/>
      <c r="H366" s="980"/>
      <c r="I366" s="140"/>
      <c r="J366" s="140"/>
      <c r="K366" s="140"/>
    </row>
    <row r="367" spans="1:11" ht="15" x14ac:dyDescent="0.25">
      <c r="B367" s="140"/>
      <c r="D367" s="279" t="s">
        <v>1077</v>
      </c>
      <c r="E367" s="955">
        <f>+Input!E193</f>
        <v>0</v>
      </c>
      <c r="F367" s="137" t="s">
        <v>1315</v>
      </c>
      <c r="G367" s="279"/>
      <c r="H367" s="980"/>
      <c r="I367" s="140"/>
      <c r="J367" s="140"/>
      <c r="K367" s="140"/>
    </row>
    <row r="368" spans="1:11" ht="15" x14ac:dyDescent="0.25">
      <c r="B368" s="140"/>
      <c r="C368" s="139"/>
      <c r="D368" s="166"/>
      <c r="E368" s="993">
        <f>+SUM(E364:E367)</f>
        <v>1</v>
      </c>
      <c r="F368" s="904" t="str">
        <f>IF(E368&gt;1, "&gt; 100%, revise!", IF(E368&lt;1, "&lt; 100%, revise!", "Total % is OK."))</f>
        <v>Total % is OK.</v>
      </c>
      <c r="H368" s="1149" t="s">
        <v>1056</v>
      </c>
      <c r="I368" s="1150"/>
      <c r="J368" s="1150"/>
      <c r="K368" s="1151"/>
    </row>
    <row r="369" spans="1:11" x14ac:dyDescent="0.2">
      <c r="B369" s="140"/>
      <c r="C369" s="981" t="s">
        <v>1693</v>
      </c>
      <c r="D369" s="166"/>
      <c r="E369" s="140"/>
      <c r="G369" s="140"/>
      <c r="H369" s="143"/>
      <c r="I369" s="140"/>
      <c r="J369" s="140"/>
      <c r="K369" s="140"/>
    </row>
    <row r="370" spans="1:11" x14ac:dyDescent="0.2">
      <c r="A370" s="789" t="s">
        <v>1834</v>
      </c>
      <c r="B370" s="592"/>
      <c r="C370" s="997"/>
      <c r="D370" s="166"/>
      <c r="E370" s="166" t="s">
        <v>902</v>
      </c>
      <c r="G370" s="992" t="s">
        <v>1679</v>
      </c>
      <c r="H370" s="143"/>
      <c r="I370" s="140"/>
      <c r="J370" s="140"/>
      <c r="K370" s="140"/>
    </row>
    <row r="371" spans="1:11" ht="15" x14ac:dyDescent="0.25">
      <c r="A371" s="789" t="s">
        <v>1835</v>
      </c>
      <c r="B371" s="592"/>
      <c r="C371" s="789"/>
      <c r="D371" s="979" t="s">
        <v>200</v>
      </c>
      <c r="E371" s="955">
        <f>+Input!E201</f>
        <v>0.9</v>
      </c>
      <c r="G371" s="955">
        <f>+Input!F201</f>
        <v>0.2</v>
      </c>
      <c r="H371" s="143"/>
      <c r="I371" s="140"/>
      <c r="J371" s="140"/>
      <c r="K371" s="140"/>
    </row>
    <row r="372" spans="1:11" ht="15" x14ac:dyDescent="0.25">
      <c r="A372" s="789"/>
      <c r="B372" s="592"/>
      <c r="C372" s="789"/>
      <c r="D372" s="979" t="s">
        <v>201</v>
      </c>
      <c r="E372" s="955">
        <f>+Input!E202</f>
        <v>0.1</v>
      </c>
      <c r="G372" s="955">
        <f>+Input!F202</f>
        <v>0.8</v>
      </c>
      <c r="H372" s="140"/>
      <c r="I372" s="140"/>
      <c r="J372" s="140"/>
      <c r="K372" s="140"/>
    </row>
    <row r="373" spans="1:11" ht="15" x14ac:dyDescent="0.25">
      <c r="A373" s="789"/>
      <c r="B373" s="592"/>
      <c r="C373" s="789"/>
      <c r="D373" s="979" t="s">
        <v>202</v>
      </c>
      <c r="E373" s="955">
        <f>+Input!E203</f>
        <v>0</v>
      </c>
      <c r="G373" s="955">
        <f>+Input!F203</f>
        <v>0</v>
      </c>
      <c r="H373" s="140"/>
      <c r="I373" s="140"/>
      <c r="J373" s="140"/>
      <c r="K373" s="140"/>
    </row>
    <row r="374" spans="1:11" ht="15" x14ac:dyDescent="0.25">
      <c r="A374" s="789"/>
      <c r="B374" s="592"/>
      <c r="C374" s="789"/>
      <c r="D374" s="979" t="s">
        <v>1036</v>
      </c>
      <c r="E374" s="955">
        <f>+Input!E204</f>
        <v>0</v>
      </c>
      <c r="G374" s="955">
        <f>+Input!F204</f>
        <v>0</v>
      </c>
      <c r="H374" s="140"/>
      <c r="I374" s="140"/>
      <c r="J374" s="140"/>
      <c r="K374" s="140"/>
    </row>
    <row r="375" spans="1:11" ht="15" x14ac:dyDescent="0.25">
      <c r="A375" s="789"/>
      <c r="B375" s="592"/>
      <c r="C375" s="789"/>
      <c r="D375" s="979" t="s">
        <v>1038</v>
      </c>
      <c r="E375" s="955">
        <f>+Input!E205</f>
        <v>0</v>
      </c>
      <c r="G375" s="955">
        <f>+Input!F205</f>
        <v>0</v>
      </c>
      <c r="H375" s="140"/>
      <c r="I375" s="140"/>
      <c r="J375" s="140"/>
      <c r="K375" s="140"/>
    </row>
    <row r="376" spans="1:11" ht="15" x14ac:dyDescent="0.25">
      <c r="A376" s="789"/>
      <c r="B376" s="592"/>
      <c r="C376" s="939"/>
      <c r="D376" s="166"/>
      <c r="E376" s="993">
        <f>+SUM(E371:E375)</f>
        <v>1</v>
      </c>
      <c r="G376" s="993">
        <f>+SUM(G371:G375)</f>
        <v>1</v>
      </c>
      <c r="H376" s="140"/>
      <c r="I376" s="140"/>
      <c r="J376" s="140"/>
      <c r="K376" s="140"/>
    </row>
    <row r="377" spans="1:11" x14ac:dyDescent="0.2">
      <c r="A377" s="789"/>
      <c r="B377" s="592"/>
      <c r="C377" s="997"/>
      <c r="D377" s="166"/>
      <c r="E377" s="904" t="str">
        <f>IF(E376&gt;1, "&gt; 100%, revise!", IF(E376&lt;1, "&lt; 100%, revise!", "Total % is OK."))</f>
        <v>Total % is OK.</v>
      </c>
      <c r="G377" s="904" t="str">
        <f>IF(G376&gt;1, "&gt; 100%, revise!", IF(G376&lt;1, "&lt; 100%, revise!", "Total % is OK."))</f>
        <v>Total % is OK.</v>
      </c>
      <c r="H377" s="140"/>
      <c r="I377" s="140"/>
      <c r="J377" s="140"/>
    </row>
    <row r="378" spans="1:11" x14ac:dyDescent="0.2">
      <c r="B378" s="140"/>
      <c r="D378" s="979"/>
      <c r="G378" s="140"/>
      <c r="I378" s="884" t="s">
        <v>1067</v>
      </c>
      <c r="J378" s="885"/>
      <c r="K378" s="602"/>
    </row>
    <row r="379" spans="1:11" ht="15" x14ac:dyDescent="0.25">
      <c r="A379" s="140"/>
      <c r="B379" s="973" t="s">
        <v>1113</v>
      </c>
      <c r="C379" s="139"/>
      <c r="D379" s="166"/>
      <c r="E379" s="140"/>
      <c r="F379" s="140"/>
      <c r="G379" s="143"/>
      <c r="H379" s="140"/>
      <c r="I379" s="886"/>
      <c r="J379" s="887"/>
      <c r="K379" s="597" t="s">
        <v>1109</v>
      </c>
    </row>
    <row r="380" spans="1:11" ht="15" x14ac:dyDescent="0.25">
      <c r="A380" s="140"/>
      <c r="C380" s="138" t="s">
        <v>198</v>
      </c>
      <c r="E380" s="996">
        <f>+Input!E187</f>
        <v>1000</v>
      </c>
      <c r="F380" s="137" t="s">
        <v>1314</v>
      </c>
      <c r="G380" s="143"/>
      <c r="H380" s="140"/>
      <c r="I380" s="140"/>
      <c r="J380" s="140"/>
      <c r="K380" s="140"/>
    </row>
    <row r="381" spans="1:11" ht="15" x14ac:dyDescent="0.25">
      <c r="A381" s="140"/>
      <c r="B381" s="166"/>
      <c r="C381" s="139"/>
      <c r="D381" s="166"/>
      <c r="E381" s="140"/>
      <c r="F381" s="140"/>
      <c r="G381" s="140"/>
      <c r="H381" s="140"/>
      <c r="I381" s="140"/>
      <c r="J381" s="140"/>
      <c r="K381" s="140"/>
    </row>
    <row r="382" spans="1:11" x14ac:dyDescent="0.2">
      <c r="A382" s="140"/>
      <c r="B382" s="874"/>
      <c r="C382" s="138" t="s">
        <v>798</v>
      </c>
      <c r="D382" s="140"/>
      <c r="E382" s="140"/>
      <c r="F382" s="140"/>
      <c r="G382" s="143"/>
      <c r="H382" s="140"/>
      <c r="I382" s="140"/>
      <c r="J382" s="140"/>
    </row>
    <row r="383" spans="1:11" ht="15" x14ac:dyDescent="0.25">
      <c r="A383" s="140"/>
      <c r="B383" s="166"/>
      <c r="D383" s="279" t="s">
        <v>199</v>
      </c>
      <c r="E383" s="955">
        <f>+E364</f>
        <v>1</v>
      </c>
      <c r="F383" s="936" t="s">
        <v>979</v>
      </c>
      <c r="H383" s="140"/>
      <c r="I383" s="140"/>
      <c r="J383" s="140"/>
      <c r="K383" s="140"/>
    </row>
    <row r="384" spans="1:11" ht="15" x14ac:dyDescent="0.25">
      <c r="A384" s="140"/>
      <c r="B384" s="166"/>
      <c r="D384" s="279" t="s">
        <v>1678</v>
      </c>
      <c r="E384" s="955">
        <f t="shared" ref="E384:E386" si="4">+E365</f>
        <v>0</v>
      </c>
      <c r="F384" s="936" t="s">
        <v>973</v>
      </c>
      <c r="G384" s="980"/>
      <c r="H384" s="140"/>
      <c r="I384" s="140"/>
      <c r="J384" s="140"/>
      <c r="K384" s="140"/>
    </row>
    <row r="385" spans="1:11" ht="15" x14ac:dyDescent="0.25">
      <c r="A385" s="140"/>
      <c r="B385" s="166"/>
      <c r="D385" s="279" t="s">
        <v>817</v>
      </c>
      <c r="E385" s="955">
        <f t="shared" si="4"/>
        <v>0</v>
      </c>
      <c r="F385" s="279"/>
      <c r="G385" s="980"/>
      <c r="H385" s="140"/>
      <c r="I385" s="140"/>
      <c r="J385" s="140"/>
      <c r="K385" s="140"/>
    </row>
    <row r="386" spans="1:11" ht="15" x14ac:dyDescent="0.25">
      <c r="A386" s="140"/>
      <c r="B386" s="166"/>
      <c r="D386" s="279" t="s">
        <v>1077</v>
      </c>
      <c r="E386" s="955">
        <f t="shared" si="4"/>
        <v>0</v>
      </c>
      <c r="F386" s="137" t="s">
        <v>1315</v>
      </c>
      <c r="G386" s="980"/>
      <c r="H386" s="140"/>
      <c r="I386" s="140"/>
      <c r="J386" s="140"/>
      <c r="K386" s="140"/>
    </row>
    <row r="387" spans="1:11" ht="15" x14ac:dyDescent="0.25">
      <c r="A387" s="140"/>
      <c r="B387" s="166"/>
      <c r="C387" s="139"/>
      <c r="D387" s="166"/>
      <c r="E387" s="993">
        <f>+SUM(E383:E386)</f>
        <v>1</v>
      </c>
      <c r="F387" s="904" t="str">
        <f>IF(E387&gt;1, "&gt; 100%, revise!", IF(E387&lt;1, "&lt; 100%, revise!", "Total % is OK."))</f>
        <v>Total % is OK.</v>
      </c>
      <c r="G387" s="140"/>
      <c r="H387" s="1149" t="s">
        <v>1056</v>
      </c>
      <c r="I387" s="1150"/>
      <c r="J387" s="1150"/>
      <c r="K387" s="1151"/>
    </row>
    <row r="388" spans="1:11" x14ac:dyDescent="0.2">
      <c r="A388" s="140"/>
      <c r="B388" s="166"/>
      <c r="C388" s="981" t="s">
        <v>1037</v>
      </c>
      <c r="D388" s="166"/>
      <c r="E388" s="140"/>
      <c r="G388" s="140"/>
      <c r="H388" s="143"/>
      <c r="I388" s="140"/>
      <c r="J388" s="140"/>
      <c r="K388" s="140"/>
    </row>
    <row r="389" spans="1:11" x14ac:dyDescent="0.2">
      <c r="A389" s="140"/>
      <c r="B389" s="166"/>
      <c r="C389" s="981"/>
      <c r="D389" s="166"/>
      <c r="E389" s="166" t="s">
        <v>902</v>
      </c>
      <c r="G389" s="992" t="s">
        <v>1679</v>
      </c>
      <c r="H389" s="143"/>
      <c r="I389" s="140"/>
      <c r="J389" s="140"/>
      <c r="K389" s="140"/>
    </row>
    <row r="390" spans="1:11" ht="15" x14ac:dyDescent="0.25">
      <c r="A390" s="140"/>
      <c r="B390" s="166"/>
      <c r="D390" s="979" t="s">
        <v>200</v>
      </c>
      <c r="E390" s="998">
        <f t="shared" ref="E390:G394" si="5">+E371</f>
        <v>0.9</v>
      </c>
      <c r="F390" s="140"/>
      <c r="G390" s="955">
        <f t="shared" si="5"/>
        <v>0.2</v>
      </c>
      <c r="H390" s="140"/>
      <c r="I390" s="140"/>
      <c r="J390" s="140"/>
    </row>
    <row r="391" spans="1:11" ht="15" x14ac:dyDescent="0.25">
      <c r="A391" s="140"/>
      <c r="B391" s="166"/>
      <c r="D391" s="979" t="s">
        <v>201</v>
      </c>
      <c r="E391" s="955">
        <f t="shared" si="5"/>
        <v>0.1</v>
      </c>
      <c r="F391" s="140"/>
      <c r="G391" s="955">
        <f t="shared" si="5"/>
        <v>0.8</v>
      </c>
      <c r="H391" s="140"/>
      <c r="I391" s="140"/>
      <c r="J391" s="140"/>
    </row>
    <row r="392" spans="1:11" ht="15" x14ac:dyDescent="0.25">
      <c r="A392" s="140"/>
      <c r="B392" s="166"/>
      <c r="D392" s="979" t="s">
        <v>202</v>
      </c>
      <c r="E392" s="955">
        <f t="shared" si="5"/>
        <v>0</v>
      </c>
      <c r="F392" s="140"/>
      <c r="G392" s="955">
        <f t="shared" si="5"/>
        <v>0</v>
      </c>
      <c r="H392" s="140"/>
      <c r="I392" s="140"/>
      <c r="J392" s="140"/>
    </row>
    <row r="393" spans="1:11" ht="15" x14ac:dyDescent="0.25">
      <c r="A393" s="140"/>
      <c r="B393" s="166"/>
      <c r="D393" s="979" t="s">
        <v>1036</v>
      </c>
      <c r="E393" s="955">
        <f t="shared" si="5"/>
        <v>0</v>
      </c>
      <c r="G393" s="955">
        <f t="shared" si="5"/>
        <v>0</v>
      </c>
      <c r="H393" s="140"/>
      <c r="I393" s="140"/>
      <c r="J393" s="140"/>
    </row>
    <row r="394" spans="1:11" ht="15" x14ac:dyDescent="0.25">
      <c r="A394" s="140"/>
      <c r="B394" s="166"/>
      <c r="D394" s="979" t="s">
        <v>1038</v>
      </c>
      <c r="E394" s="955">
        <f t="shared" si="5"/>
        <v>0</v>
      </c>
      <c r="G394" s="955">
        <f t="shared" si="5"/>
        <v>0</v>
      </c>
      <c r="H394" s="140"/>
      <c r="I394" s="140"/>
      <c r="J394" s="140"/>
    </row>
    <row r="395" spans="1:11" ht="15" x14ac:dyDescent="0.25">
      <c r="A395" s="140"/>
      <c r="B395" s="166"/>
      <c r="C395" s="139"/>
      <c r="D395" s="166"/>
      <c r="E395" s="993">
        <f>+SUM(E390:E394)</f>
        <v>1</v>
      </c>
      <c r="G395" s="993">
        <f>+SUM(G390:G394)</f>
        <v>1</v>
      </c>
      <c r="H395" s="140"/>
      <c r="I395" s="140"/>
      <c r="J395" s="140"/>
    </row>
    <row r="396" spans="1:11" x14ac:dyDescent="0.2">
      <c r="A396" s="140"/>
      <c r="B396" s="166"/>
      <c r="C396" s="981"/>
      <c r="D396" s="166"/>
      <c r="E396" s="904" t="str">
        <f>IF(E395&gt;1, "&gt; 100%, revise!", IF(E395&lt;1, "&lt; 100%, revise!", "Total % is OK."))</f>
        <v>Total % is OK.</v>
      </c>
      <c r="F396" s="140"/>
      <c r="G396" s="904" t="str">
        <f>IF(G395&gt;1, "&gt; 100%, revise!", IF(G395&lt;1, "&lt; 100%, revise!", "Total % is OK."))</f>
        <v>Total % is OK.</v>
      </c>
      <c r="H396" s="140"/>
      <c r="I396" s="140"/>
      <c r="J396" s="140"/>
    </row>
    <row r="397" spans="1:11" x14ac:dyDescent="0.2">
      <c r="A397" s="140"/>
      <c r="B397" s="166"/>
      <c r="D397" s="979"/>
      <c r="F397" s="140"/>
      <c r="G397" s="140"/>
      <c r="H397" s="140"/>
      <c r="I397" s="140"/>
      <c r="J397" s="140"/>
    </row>
    <row r="398" spans="1:11" ht="15" x14ac:dyDescent="0.25">
      <c r="A398" s="140"/>
      <c r="B398" s="973" t="s">
        <v>1480</v>
      </c>
      <c r="C398" s="279"/>
      <c r="D398" s="974"/>
      <c r="E398" s="166"/>
      <c r="F398" s="279"/>
      <c r="G398" s="974"/>
      <c r="H398" s="140"/>
      <c r="I398" s="140"/>
      <c r="J398" s="140"/>
      <c r="K398" s="140"/>
    </row>
    <row r="399" spans="1:11" ht="15" x14ac:dyDescent="0.25">
      <c r="A399" s="140"/>
      <c r="B399" s="973"/>
      <c r="C399" s="140"/>
      <c r="D399" s="279" t="s">
        <v>1316</v>
      </c>
      <c r="E399" s="999">
        <f>+Input!E196</f>
        <v>20</v>
      </c>
      <c r="G399" s="974"/>
      <c r="H399" s="140"/>
      <c r="I399" s="140"/>
      <c r="J399" s="140"/>
      <c r="K399" s="140"/>
    </row>
    <row r="400" spans="1:11" ht="15" x14ac:dyDescent="0.25">
      <c r="A400" s="140"/>
      <c r="B400" s="140"/>
      <c r="D400" s="279" t="s">
        <v>1478</v>
      </c>
      <c r="E400" s="999">
        <f>+Input!E197</f>
        <v>2</v>
      </c>
      <c r="H400" s="279" t="s">
        <v>1479</v>
      </c>
      <c r="I400" s="1000">
        <f>+E400*E399</f>
        <v>40</v>
      </c>
      <c r="J400" s="140"/>
      <c r="K400" s="140"/>
    </row>
    <row r="401" spans="1:11" ht="15" x14ac:dyDescent="0.25">
      <c r="A401" s="140"/>
      <c r="B401" s="140"/>
      <c r="C401" s="138"/>
      <c r="D401" s="139"/>
      <c r="E401" s="166"/>
      <c r="F401" s="140"/>
      <c r="G401" s="989"/>
      <c r="H401" s="140"/>
      <c r="I401" s="140"/>
      <c r="J401" s="140"/>
      <c r="K401" s="140"/>
    </row>
    <row r="402" spans="1:11" ht="15" x14ac:dyDescent="0.25">
      <c r="A402" s="140"/>
      <c r="B402" s="140"/>
      <c r="C402" s="138" t="s">
        <v>226</v>
      </c>
      <c r="D402" s="140"/>
      <c r="E402" s="140"/>
      <c r="F402" s="140"/>
      <c r="G402" s="989"/>
      <c r="H402" s="140"/>
      <c r="I402" s="140"/>
      <c r="J402" s="140"/>
      <c r="K402" s="140"/>
    </row>
    <row r="403" spans="1:11" ht="15" x14ac:dyDescent="0.25">
      <c r="A403" s="592" t="s">
        <v>1918</v>
      </c>
      <c r="B403" s="592"/>
      <c r="D403" s="279" t="s">
        <v>199</v>
      </c>
      <c r="E403" s="955">
        <v>0.5</v>
      </c>
      <c r="F403" s="936" t="s">
        <v>979</v>
      </c>
      <c r="H403" s="140"/>
      <c r="I403" s="140"/>
      <c r="J403" s="140"/>
      <c r="K403" s="140"/>
    </row>
    <row r="404" spans="1:11" ht="15" x14ac:dyDescent="0.25">
      <c r="A404" s="592" t="s">
        <v>1919</v>
      </c>
      <c r="B404" s="592"/>
      <c r="C404" s="138"/>
      <c r="D404" s="279" t="s">
        <v>227</v>
      </c>
      <c r="E404" s="955">
        <v>0.5</v>
      </c>
      <c r="F404" s="936" t="s">
        <v>1114</v>
      </c>
      <c r="G404" s="989"/>
      <c r="H404" s="140"/>
      <c r="I404" s="140"/>
      <c r="J404" s="140"/>
      <c r="K404" s="140"/>
    </row>
    <row r="405" spans="1:11" ht="15" x14ac:dyDescent="0.25">
      <c r="A405" s="140"/>
      <c r="B405" s="140"/>
      <c r="C405" s="138"/>
      <c r="D405" s="279" t="s">
        <v>817</v>
      </c>
      <c r="E405" s="955"/>
      <c r="F405" s="140"/>
      <c r="G405" s="989"/>
      <c r="H405" s="140"/>
      <c r="I405" s="140"/>
      <c r="J405" s="140"/>
      <c r="K405" s="140"/>
    </row>
    <row r="406" spans="1:11" ht="15" x14ac:dyDescent="0.25">
      <c r="A406" s="140"/>
      <c r="B406" s="140"/>
      <c r="C406" s="138"/>
      <c r="D406" s="279" t="s">
        <v>1077</v>
      </c>
      <c r="E406" s="955"/>
      <c r="F406" s="137" t="s">
        <v>1315</v>
      </c>
      <c r="G406" s="989"/>
      <c r="H406" s="140"/>
      <c r="I406" s="140"/>
      <c r="J406" s="140"/>
      <c r="K406" s="140"/>
    </row>
    <row r="407" spans="1:11" ht="15" x14ac:dyDescent="0.25">
      <c r="A407" s="140"/>
      <c r="B407" s="140"/>
      <c r="C407" s="138"/>
      <c r="D407" s="166"/>
      <c r="E407" s="993">
        <f>+SUM(E403:E406)</f>
        <v>1</v>
      </c>
      <c r="F407" s="904" t="str">
        <f>IF(E407&gt;1, "&gt; 100%, revise!", IF(E407&lt;1, "&lt; 100%, revise!", "Total % is OK."))</f>
        <v>Total % is OK.</v>
      </c>
      <c r="G407" s="989"/>
      <c r="H407" s="1149" t="s">
        <v>1056</v>
      </c>
      <c r="I407" s="1150"/>
      <c r="J407" s="1150"/>
      <c r="K407" s="1151"/>
    </row>
    <row r="408" spans="1:11" x14ac:dyDescent="0.2">
      <c r="A408" s="140"/>
      <c r="B408" s="166"/>
      <c r="C408" s="981" t="s">
        <v>1037</v>
      </c>
      <c r="D408" s="166"/>
      <c r="E408" s="140"/>
      <c r="G408" s="140"/>
      <c r="H408" s="143"/>
      <c r="I408" s="140"/>
      <c r="J408" s="140"/>
      <c r="K408" s="140"/>
    </row>
    <row r="409" spans="1:11" x14ac:dyDescent="0.2">
      <c r="A409" s="140"/>
      <c r="B409" s="166"/>
      <c r="C409" s="981"/>
      <c r="D409" s="166"/>
      <c r="E409" s="166" t="s">
        <v>902</v>
      </c>
      <c r="G409" s="137" t="s">
        <v>1680</v>
      </c>
      <c r="H409" s="143"/>
      <c r="I409" s="140"/>
      <c r="J409" s="140"/>
      <c r="K409" s="140"/>
    </row>
    <row r="410" spans="1:11" ht="15" x14ac:dyDescent="0.25">
      <c r="A410" s="140"/>
      <c r="B410" s="140"/>
      <c r="D410" s="979" t="s">
        <v>200</v>
      </c>
      <c r="E410" s="955">
        <f>+E371</f>
        <v>0.9</v>
      </c>
      <c r="F410" s="140"/>
      <c r="G410" s="955">
        <f>+G371</f>
        <v>0.2</v>
      </c>
      <c r="H410" s="140"/>
      <c r="I410" s="140"/>
      <c r="J410" s="140"/>
      <c r="K410" s="140"/>
    </row>
    <row r="411" spans="1:11" ht="15" x14ac:dyDescent="0.25">
      <c r="A411" s="140"/>
      <c r="B411" s="140"/>
      <c r="D411" s="979" t="s">
        <v>201</v>
      </c>
      <c r="E411" s="955">
        <f t="shared" ref="E411:G414" si="6">+E372</f>
        <v>0.1</v>
      </c>
      <c r="F411" s="140"/>
      <c r="G411" s="955">
        <f t="shared" si="6"/>
        <v>0.8</v>
      </c>
      <c r="H411" s="140"/>
      <c r="I411" s="140"/>
      <c r="J411" s="140"/>
      <c r="K411" s="140"/>
    </row>
    <row r="412" spans="1:11" ht="15" x14ac:dyDescent="0.25">
      <c r="A412" s="140"/>
      <c r="B412" s="140"/>
      <c r="D412" s="979" t="s">
        <v>202</v>
      </c>
      <c r="E412" s="955">
        <f t="shared" si="6"/>
        <v>0</v>
      </c>
      <c r="F412" s="140"/>
      <c r="G412" s="955">
        <f t="shared" si="6"/>
        <v>0</v>
      </c>
      <c r="H412" s="140"/>
      <c r="I412" s="140"/>
      <c r="J412" s="140"/>
      <c r="K412" s="140"/>
    </row>
    <row r="413" spans="1:11" ht="15" x14ac:dyDescent="0.25">
      <c r="A413" s="140"/>
      <c r="B413" s="140"/>
      <c r="D413" s="979" t="s">
        <v>1036</v>
      </c>
      <c r="E413" s="955">
        <f t="shared" si="6"/>
        <v>0</v>
      </c>
      <c r="G413" s="955">
        <f t="shared" si="6"/>
        <v>0</v>
      </c>
      <c r="H413" s="140"/>
      <c r="I413" s="140"/>
      <c r="J413" s="140"/>
      <c r="K413" s="140"/>
    </row>
    <row r="414" spans="1:11" ht="15" x14ac:dyDescent="0.25">
      <c r="A414" s="140"/>
      <c r="B414" s="140"/>
      <c r="D414" s="979" t="s">
        <v>1038</v>
      </c>
      <c r="E414" s="955">
        <f t="shared" si="6"/>
        <v>0</v>
      </c>
      <c r="G414" s="955">
        <f t="shared" si="6"/>
        <v>0</v>
      </c>
      <c r="H414" s="140"/>
      <c r="I414" s="140"/>
      <c r="J414" s="140"/>
      <c r="K414" s="140"/>
    </row>
    <row r="415" spans="1:11" ht="15" x14ac:dyDescent="0.25">
      <c r="A415" s="140"/>
      <c r="B415" s="140"/>
      <c r="C415" s="139"/>
      <c r="D415" s="166"/>
      <c r="E415" s="993">
        <f>+SUM(E410:E414)</f>
        <v>1</v>
      </c>
      <c r="G415" s="993">
        <f>+SUM(G410:G414)</f>
        <v>1</v>
      </c>
      <c r="I415" s="140"/>
      <c r="J415" s="140"/>
      <c r="K415" s="140"/>
    </row>
    <row r="416" spans="1:11" x14ac:dyDescent="0.2">
      <c r="A416" s="140"/>
      <c r="B416" s="140"/>
      <c r="C416" s="981"/>
      <c r="D416" s="166"/>
      <c r="E416" s="904" t="str">
        <f t="shared" ref="E416" si="7">IF(E415&gt;1, "&gt; 100%, revise!", IF(E415&lt;1, "&lt; 100%, revise!", "Total % is OK."))</f>
        <v>Total % is OK.</v>
      </c>
      <c r="F416" s="140"/>
      <c r="G416" s="904" t="str">
        <f>IF(G415&gt;1, "&gt; 100%, revise!", IF(G415&lt;1, "&lt; 100%, revise!", "Total % is OK."))</f>
        <v>Total % is OK.</v>
      </c>
      <c r="H416" s="140"/>
      <c r="I416" s="140"/>
      <c r="J416" s="140"/>
      <c r="K416" s="140"/>
    </row>
    <row r="417" spans="1:11" ht="15" x14ac:dyDescent="0.25">
      <c r="A417" s="140"/>
      <c r="B417" s="140"/>
      <c r="D417" s="979"/>
      <c r="F417" s="140"/>
      <c r="G417" s="989"/>
      <c r="I417" s="884" t="s">
        <v>1067</v>
      </c>
      <c r="J417" s="885"/>
      <c r="K417" s="602"/>
    </row>
    <row r="418" spans="1:11" ht="15" x14ac:dyDescent="0.25">
      <c r="A418" s="594" t="s">
        <v>1001</v>
      </c>
      <c r="B418" s="594"/>
      <c r="C418" s="972" t="str">
        <f>IF(E279="Yes.", "Input Data From Traffic Study Here.", "Detailed Traffic Survey data is not available.  This Step 3-12 is not used.  Goto Step 3-11 above. ")</f>
        <v xml:space="preserve">Detailed Traffic Survey data is not available.  This Step 3-12 is not used.  Goto Step 3-11 above. </v>
      </c>
      <c r="D418" s="166"/>
      <c r="F418" s="974"/>
      <c r="G418" s="140"/>
      <c r="H418" s="140"/>
      <c r="I418" s="886"/>
      <c r="J418" s="887"/>
      <c r="K418" s="597" t="s">
        <v>1109</v>
      </c>
    </row>
    <row r="419" spans="1:11" ht="15" x14ac:dyDescent="0.25">
      <c r="A419" s="140"/>
      <c r="B419" s="594"/>
      <c r="C419" s="974"/>
      <c r="D419" s="166"/>
      <c r="E419" s="279"/>
      <c r="F419" s="974"/>
      <c r="G419" s="140"/>
      <c r="H419" s="140"/>
      <c r="I419" s="140"/>
      <c r="J419" s="140"/>
      <c r="K419" s="140"/>
    </row>
    <row r="420" spans="1:11" ht="15" x14ac:dyDescent="0.25">
      <c r="A420" s="140"/>
      <c r="B420" s="594" t="s">
        <v>804</v>
      </c>
      <c r="C420" s="974"/>
      <c r="D420" s="166"/>
      <c r="E420" s="279"/>
      <c r="F420" s="974"/>
      <c r="G420" s="140"/>
      <c r="H420" s="140"/>
      <c r="I420" s="140"/>
      <c r="J420" s="140"/>
      <c r="K420" s="140"/>
    </row>
    <row r="421" spans="1:11" ht="57" x14ac:dyDescent="0.2">
      <c r="A421" s="140"/>
      <c r="B421" s="140"/>
      <c r="C421" s="888" t="s">
        <v>805</v>
      </c>
      <c r="D421" s="1144" t="s">
        <v>102</v>
      </c>
      <c r="E421" s="1144"/>
      <c r="F421" s="1001" t="s">
        <v>1117</v>
      </c>
      <c r="G421" s="888" t="s">
        <v>11</v>
      </c>
      <c r="H421" s="140"/>
      <c r="J421" s="140"/>
      <c r="K421" s="140"/>
    </row>
    <row r="422" spans="1:11" ht="14.45" customHeight="1" x14ac:dyDescent="0.25">
      <c r="A422" s="872" t="s">
        <v>1747</v>
      </c>
      <c r="B422" s="140"/>
      <c r="C422" s="1170" t="s">
        <v>841</v>
      </c>
      <c r="D422" s="1144" t="s">
        <v>204</v>
      </c>
      <c r="E422" s="1144"/>
      <c r="F422" s="1002">
        <f>+Input!F235</f>
        <v>0</v>
      </c>
      <c r="G422" s="888" t="s">
        <v>803</v>
      </c>
      <c r="H422" s="140"/>
      <c r="J422" s="140"/>
      <c r="K422" s="140"/>
    </row>
    <row r="423" spans="1:11" ht="15" x14ac:dyDescent="0.25">
      <c r="A423" s="872" t="s">
        <v>1745</v>
      </c>
      <c r="B423" s="140"/>
      <c r="C423" s="1171"/>
      <c r="D423" s="1144" t="s">
        <v>1118</v>
      </c>
      <c r="E423" s="1144"/>
      <c r="F423" s="1002">
        <f>+Input!F236</f>
        <v>0</v>
      </c>
      <c r="G423" s="888" t="s">
        <v>803</v>
      </c>
      <c r="H423" s="140"/>
      <c r="J423" s="140"/>
      <c r="K423" s="140"/>
    </row>
    <row r="424" spans="1:11" ht="15" x14ac:dyDescent="0.25">
      <c r="A424" s="872" t="s">
        <v>1746</v>
      </c>
      <c r="B424" s="140"/>
      <c r="C424" s="1172"/>
      <c r="D424" s="1144" t="s">
        <v>834</v>
      </c>
      <c r="E424" s="1144"/>
      <c r="F424" s="1002">
        <f>+Input!F237</f>
        <v>0</v>
      </c>
      <c r="G424" s="888" t="s">
        <v>803</v>
      </c>
      <c r="H424" s="140"/>
      <c r="J424" s="140"/>
      <c r="K424" s="140"/>
    </row>
    <row r="425" spans="1:11" ht="14.45" customHeight="1" x14ac:dyDescent="0.25">
      <c r="A425" s="140"/>
      <c r="B425" s="140"/>
      <c r="C425" s="1170" t="s">
        <v>842</v>
      </c>
      <c r="D425" s="1144" t="s">
        <v>204</v>
      </c>
      <c r="E425" s="1144"/>
      <c r="F425" s="1002">
        <f>+Input!F238</f>
        <v>0</v>
      </c>
      <c r="G425" s="888" t="s">
        <v>803</v>
      </c>
      <c r="H425" s="140"/>
      <c r="J425" s="140"/>
      <c r="K425" s="140"/>
    </row>
    <row r="426" spans="1:11" ht="15" x14ac:dyDescent="0.25">
      <c r="A426" s="140"/>
      <c r="B426" s="140"/>
      <c r="C426" s="1171"/>
      <c r="D426" s="1144" t="s">
        <v>1118</v>
      </c>
      <c r="E426" s="1144"/>
      <c r="F426" s="1002">
        <f>+Input!F239</f>
        <v>0</v>
      </c>
      <c r="G426" s="888" t="s">
        <v>803</v>
      </c>
      <c r="H426" s="140"/>
      <c r="J426" s="140"/>
      <c r="K426" s="140"/>
    </row>
    <row r="427" spans="1:11" ht="15" x14ac:dyDescent="0.25">
      <c r="A427" s="140"/>
      <c r="B427" s="140"/>
      <c r="C427" s="1172"/>
      <c r="D427" s="1144" t="s">
        <v>834</v>
      </c>
      <c r="E427" s="1144"/>
      <c r="F427" s="1002">
        <f>+Input!F240</f>
        <v>0</v>
      </c>
      <c r="G427" s="888" t="s">
        <v>803</v>
      </c>
      <c r="H427" s="140"/>
      <c r="J427" s="140"/>
      <c r="K427" s="140"/>
    </row>
    <row r="428" spans="1:11" ht="15" x14ac:dyDescent="0.25">
      <c r="A428" s="140"/>
      <c r="B428" s="140"/>
      <c r="C428" s="1170" t="s">
        <v>628</v>
      </c>
      <c r="D428" s="1144" t="s">
        <v>204</v>
      </c>
      <c r="E428" s="1144"/>
      <c r="F428" s="1002">
        <f>+Input!F241</f>
        <v>0</v>
      </c>
      <c r="G428" s="888" t="s">
        <v>803</v>
      </c>
      <c r="H428" s="140"/>
      <c r="J428" s="140"/>
      <c r="K428" s="140"/>
    </row>
    <row r="429" spans="1:11" ht="15" x14ac:dyDescent="0.25">
      <c r="A429" s="140"/>
      <c r="B429" s="140"/>
      <c r="C429" s="1171"/>
      <c r="D429" s="1144" t="s">
        <v>802</v>
      </c>
      <c r="E429" s="1144"/>
      <c r="F429" s="1002">
        <f>+Input!F242</f>
        <v>0</v>
      </c>
      <c r="G429" s="888" t="s">
        <v>803</v>
      </c>
      <c r="H429" s="140"/>
      <c r="I429" s="140"/>
      <c r="J429" s="140"/>
      <c r="K429" s="140"/>
    </row>
    <row r="430" spans="1:11" ht="15" x14ac:dyDescent="0.25">
      <c r="A430" s="140"/>
      <c r="B430" s="140"/>
      <c r="C430" s="1172"/>
      <c r="D430" s="1144" t="s">
        <v>834</v>
      </c>
      <c r="E430" s="1144"/>
      <c r="F430" s="1002">
        <f>+Input!F243</f>
        <v>0</v>
      </c>
      <c r="G430" s="888" t="s">
        <v>803</v>
      </c>
      <c r="H430" s="140"/>
      <c r="I430" s="140"/>
      <c r="J430" s="140"/>
      <c r="K430" s="140"/>
    </row>
    <row r="431" spans="1:11" ht="15" x14ac:dyDescent="0.25">
      <c r="A431" s="140"/>
      <c r="B431" s="140"/>
      <c r="C431" s="1169" t="s">
        <v>144</v>
      </c>
      <c r="D431" s="1144" t="s">
        <v>1123</v>
      </c>
      <c r="E431" s="1144"/>
      <c r="F431" s="1002">
        <f>+Input!F244</f>
        <v>0</v>
      </c>
      <c r="G431" s="888" t="s">
        <v>803</v>
      </c>
      <c r="H431" s="140"/>
      <c r="I431" s="140"/>
      <c r="J431" s="140"/>
      <c r="K431" s="140"/>
    </row>
    <row r="432" spans="1:11" ht="15" customHeight="1" x14ac:dyDescent="0.25">
      <c r="A432" s="140"/>
      <c r="B432" s="140"/>
      <c r="C432" s="1169"/>
      <c r="D432" s="1163" t="s">
        <v>848</v>
      </c>
      <c r="E432" s="1163"/>
      <c r="F432" s="1002">
        <f>+Input!F245</f>
        <v>0</v>
      </c>
      <c r="G432" s="888" t="s">
        <v>803</v>
      </c>
      <c r="H432" s="140"/>
      <c r="I432" s="140"/>
      <c r="J432" s="140"/>
      <c r="K432" s="140"/>
    </row>
    <row r="433" spans="1:11" ht="15" x14ac:dyDescent="0.25">
      <c r="A433" s="140"/>
      <c r="B433" s="140"/>
      <c r="C433" s="1169"/>
      <c r="D433" s="1144" t="s">
        <v>840</v>
      </c>
      <c r="E433" s="1144"/>
      <c r="F433" s="1002">
        <f>+Input!F246</f>
        <v>0</v>
      </c>
      <c r="G433" s="888" t="s">
        <v>803</v>
      </c>
      <c r="H433" s="140"/>
      <c r="I433" s="140"/>
      <c r="J433" s="140"/>
      <c r="K433" s="140"/>
    </row>
    <row r="434" spans="1:11" ht="15" x14ac:dyDescent="0.25">
      <c r="A434" s="140"/>
      <c r="B434" s="140"/>
      <c r="C434" s="1169"/>
      <c r="D434" s="1144" t="s">
        <v>1119</v>
      </c>
      <c r="E434" s="1144"/>
      <c r="F434" s="1002">
        <f>+Input!F247</f>
        <v>0</v>
      </c>
      <c r="G434" s="888" t="s">
        <v>803</v>
      </c>
      <c r="H434" s="140"/>
      <c r="I434" s="140"/>
      <c r="J434" s="140"/>
      <c r="K434" s="140"/>
    </row>
    <row r="435" spans="1:11" ht="15" x14ac:dyDescent="0.25">
      <c r="A435" s="140"/>
      <c r="B435" s="140"/>
      <c r="C435" s="1169"/>
      <c r="D435" s="1144" t="s">
        <v>1120</v>
      </c>
      <c r="E435" s="1144"/>
      <c r="F435" s="1002">
        <f>+Input!F248</f>
        <v>0</v>
      </c>
      <c r="G435" s="888" t="s">
        <v>803</v>
      </c>
      <c r="J435" s="1003" t="s">
        <v>1121</v>
      </c>
      <c r="K435" s="1003" t="s">
        <v>1122</v>
      </c>
    </row>
    <row r="436" spans="1:11" ht="15" x14ac:dyDescent="0.25">
      <c r="A436" s="140"/>
      <c r="B436" s="594"/>
      <c r="C436" s="1169"/>
      <c r="D436" s="1160" t="s">
        <v>998</v>
      </c>
      <c r="E436" s="1161"/>
      <c r="F436" s="1002">
        <f>+Input!F249</f>
        <v>0</v>
      </c>
      <c r="G436" s="888" t="s">
        <v>803</v>
      </c>
      <c r="J436" s="1003">
        <v>60</v>
      </c>
      <c r="K436" s="1004">
        <f>+F436/J436</f>
        <v>0</v>
      </c>
    </row>
    <row r="437" spans="1:11" ht="15" x14ac:dyDescent="0.25">
      <c r="A437" s="140"/>
      <c r="B437" s="594"/>
      <c r="C437" s="1169"/>
      <c r="D437" s="1144" t="s">
        <v>999</v>
      </c>
      <c r="E437" s="1144"/>
      <c r="F437" s="1002">
        <f>+Input!F250</f>
        <v>0</v>
      </c>
      <c r="G437" s="888" t="s">
        <v>803</v>
      </c>
      <c r="J437" s="1003">
        <v>35</v>
      </c>
      <c r="K437" s="1004">
        <f>+F437/J437</f>
        <v>0</v>
      </c>
    </row>
    <row r="438" spans="1:11" ht="15" x14ac:dyDescent="0.25">
      <c r="A438" s="140"/>
      <c r="B438" s="140"/>
      <c r="C438" s="138"/>
      <c r="D438" s="139"/>
      <c r="E438" s="166"/>
      <c r="F438" s="140"/>
      <c r="G438" s="989"/>
      <c r="H438" s="140"/>
      <c r="I438" s="140"/>
      <c r="J438" s="140"/>
      <c r="K438" s="140"/>
    </row>
    <row r="439" spans="1:11" ht="15" x14ac:dyDescent="0.25">
      <c r="A439" s="140"/>
      <c r="B439" s="140"/>
      <c r="C439" s="981" t="s">
        <v>1537</v>
      </c>
      <c r="D439" s="166"/>
      <c r="E439" s="140"/>
      <c r="F439" s="140"/>
      <c r="G439" s="989"/>
      <c r="H439" s="140"/>
      <c r="I439" s="140"/>
      <c r="J439" s="140"/>
      <c r="K439" s="140"/>
    </row>
    <row r="440" spans="1:11" ht="28.5" x14ac:dyDescent="0.2">
      <c r="A440" s="140"/>
      <c r="B440" s="140"/>
      <c r="C440" s="981"/>
      <c r="D440" s="166"/>
      <c r="E440" s="911" t="s">
        <v>902</v>
      </c>
      <c r="F440" s="911" t="s">
        <v>1005</v>
      </c>
      <c r="G440" s="911" t="s">
        <v>1006</v>
      </c>
      <c r="H440" s="911" t="s">
        <v>616</v>
      </c>
      <c r="I440" s="140"/>
      <c r="J440" s="140"/>
      <c r="K440" s="140"/>
    </row>
    <row r="441" spans="1:11" ht="15" x14ac:dyDescent="0.25">
      <c r="A441" s="872" t="s">
        <v>1747</v>
      </c>
      <c r="B441" s="140"/>
      <c r="D441" s="979" t="s">
        <v>200</v>
      </c>
      <c r="E441" s="955">
        <f>+Input!D254</f>
        <v>0.9</v>
      </c>
      <c r="F441" s="955">
        <f>+Input!E254</f>
        <v>0.2</v>
      </c>
      <c r="G441" s="955">
        <f>+Input!F254</f>
        <v>0</v>
      </c>
      <c r="H441" s="955">
        <f>+Input!G254</f>
        <v>0</v>
      </c>
      <c r="I441" s="140"/>
      <c r="J441" s="140"/>
      <c r="K441" s="140"/>
    </row>
    <row r="442" spans="1:11" ht="15" x14ac:dyDescent="0.25">
      <c r="A442" s="872" t="s">
        <v>1745</v>
      </c>
      <c r="B442" s="140"/>
      <c r="D442" s="979" t="s">
        <v>201</v>
      </c>
      <c r="E442" s="955">
        <f>+Input!D255</f>
        <v>0.1</v>
      </c>
      <c r="F442" s="955">
        <f>+Input!E255</f>
        <v>0.8</v>
      </c>
      <c r="G442" s="955">
        <f>+Input!F255</f>
        <v>1</v>
      </c>
      <c r="H442" s="955">
        <f>+Input!G255</f>
        <v>1</v>
      </c>
      <c r="I442" s="140"/>
      <c r="J442" s="140"/>
      <c r="K442" s="140"/>
    </row>
    <row r="443" spans="1:11" ht="15" x14ac:dyDescent="0.25">
      <c r="A443" s="872" t="s">
        <v>1746</v>
      </c>
      <c r="B443" s="140"/>
      <c r="D443" s="979" t="s">
        <v>202</v>
      </c>
      <c r="E443" s="955">
        <f>+Input!D256</f>
        <v>0</v>
      </c>
      <c r="F443" s="955">
        <f>+Input!E256</f>
        <v>0</v>
      </c>
      <c r="G443" s="955">
        <f>+Input!F256</f>
        <v>0</v>
      </c>
      <c r="H443" s="955">
        <f>+Input!G256</f>
        <v>0</v>
      </c>
      <c r="I443" s="140"/>
      <c r="J443" s="140"/>
      <c r="K443" s="140"/>
    </row>
    <row r="444" spans="1:11" ht="15" x14ac:dyDescent="0.25">
      <c r="A444" s="140"/>
      <c r="B444" s="140"/>
      <c r="D444" s="144" t="s">
        <v>1008</v>
      </c>
      <c r="E444" s="955">
        <f>+Input!D257</f>
        <v>0</v>
      </c>
      <c r="F444" s="955">
        <f>+Input!E257</f>
        <v>0</v>
      </c>
      <c r="G444" s="955">
        <f>+Input!F257</f>
        <v>0</v>
      </c>
      <c r="H444" s="955">
        <f>+Input!G257</f>
        <v>0</v>
      </c>
      <c r="I444" s="140"/>
      <c r="J444" s="140"/>
      <c r="K444" s="140"/>
    </row>
    <row r="445" spans="1:11" ht="15" x14ac:dyDescent="0.25">
      <c r="A445" s="140"/>
      <c r="B445" s="140"/>
      <c r="D445" s="144" t="s">
        <v>1009</v>
      </c>
      <c r="E445" s="955">
        <f>+Input!D258</f>
        <v>0</v>
      </c>
      <c r="F445" s="955">
        <f>+Input!E258</f>
        <v>0</v>
      </c>
      <c r="G445" s="955">
        <f>+Input!F258</f>
        <v>0</v>
      </c>
      <c r="H445" s="955">
        <f>+Input!G258</f>
        <v>0</v>
      </c>
      <c r="I445" s="140"/>
      <c r="J445" s="140"/>
      <c r="K445" s="140"/>
    </row>
    <row r="446" spans="1:11" ht="15" x14ac:dyDescent="0.25">
      <c r="A446" s="140"/>
      <c r="B446" s="140"/>
      <c r="C446" s="139"/>
      <c r="D446" s="166"/>
      <c r="E446" s="993">
        <f>+SUM(E441:E445)</f>
        <v>1</v>
      </c>
      <c r="F446" s="993">
        <f t="shared" ref="F446:H446" si="8">+SUM(F441:F445)</f>
        <v>1</v>
      </c>
      <c r="G446" s="993">
        <f t="shared" si="8"/>
        <v>1</v>
      </c>
      <c r="H446" s="993">
        <f t="shared" si="8"/>
        <v>1</v>
      </c>
      <c r="I446" s="140"/>
      <c r="J446" s="140"/>
      <c r="K446" s="140"/>
    </row>
    <row r="447" spans="1:11" x14ac:dyDescent="0.2">
      <c r="A447" s="140"/>
      <c r="B447" s="140"/>
      <c r="C447" s="981"/>
      <c r="D447" s="166"/>
      <c r="E447" s="904" t="str">
        <f t="shared" ref="E447:G447" si="9">IF(E446&gt;1, "&gt; 100%, revise!", IF(E446&lt;1, "&lt; 100%, revise!", "Total % is OK."))</f>
        <v>Total % is OK.</v>
      </c>
      <c r="F447" s="904" t="str">
        <f t="shared" si="9"/>
        <v>Total % is OK.</v>
      </c>
      <c r="G447" s="904" t="str">
        <f t="shared" si="9"/>
        <v>Total % is OK.</v>
      </c>
      <c r="H447" s="904" t="str">
        <f>IF(H446&gt;1, "&gt; 100%, revise!", IF(H446&lt;1, "&lt; 100%, revise!", "Total % is OK."))</f>
        <v>Total % is OK.</v>
      </c>
      <c r="I447" s="140"/>
      <c r="J447" s="140"/>
      <c r="K447" s="140"/>
    </row>
    <row r="448" spans="1:11" ht="15" x14ac:dyDescent="0.25">
      <c r="A448" s="140"/>
      <c r="B448" s="140"/>
      <c r="D448" s="979"/>
      <c r="F448" s="989"/>
      <c r="H448" s="1149" t="s">
        <v>1056</v>
      </c>
      <c r="I448" s="1150"/>
      <c r="J448" s="1150"/>
      <c r="K448" s="1151"/>
    </row>
    <row r="449" spans="1:16383" x14ac:dyDescent="0.2">
      <c r="A449" s="140"/>
      <c r="B449" s="140"/>
      <c r="C449" s="981" t="s">
        <v>1007</v>
      </c>
      <c r="D449" s="166"/>
      <c r="F449" s="140"/>
      <c r="K449" s="140"/>
    </row>
    <row r="450" spans="1:16383" ht="15" customHeight="1" x14ac:dyDescent="0.25">
      <c r="A450" s="140"/>
      <c r="B450" s="140"/>
      <c r="C450" s="981"/>
      <c r="D450" s="166"/>
      <c r="E450" s="911" t="s">
        <v>1078</v>
      </c>
      <c r="F450" s="911" t="s">
        <v>1079</v>
      </c>
      <c r="G450" s="989"/>
      <c r="H450" s="140"/>
      <c r="I450" s="140"/>
      <c r="J450" s="140"/>
      <c r="K450" s="140"/>
    </row>
    <row r="451" spans="1:16383" ht="15" x14ac:dyDescent="0.25">
      <c r="A451" s="872" t="s">
        <v>1747</v>
      </c>
      <c r="B451" s="166"/>
      <c r="D451" s="979" t="s">
        <v>201</v>
      </c>
      <c r="E451" s="955">
        <f>+Input!D264</f>
        <v>0</v>
      </c>
      <c r="F451" s="955">
        <f>+Input!E264</f>
        <v>0</v>
      </c>
      <c r="G451" s="140"/>
      <c r="H451" s="140"/>
      <c r="I451" s="140"/>
      <c r="J451" s="140"/>
      <c r="K451" s="140"/>
    </row>
    <row r="452" spans="1:16383" x14ac:dyDescent="0.2">
      <c r="A452" s="872" t="s">
        <v>1745</v>
      </c>
      <c r="B452" s="166"/>
      <c r="D452" s="979" t="s">
        <v>648</v>
      </c>
      <c r="E452" s="1005">
        <f>1-E451</f>
        <v>1</v>
      </c>
      <c r="F452" s="1005">
        <f>1-F451</f>
        <v>1</v>
      </c>
      <c r="G452" s="140"/>
      <c r="H452" s="140"/>
      <c r="I452" s="140"/>
      <c r="J452" s="140"/>
      <c r="K452" s="140"/>
    </row>
    <row r="453" spans="1:16383" ht="15" x14ac:dyDescent="0.25">
      <c r="A453" s="872" t="s">
        <v>1746</v>
      </c>
      <c r="B453" s="166"/>
      <c r="C453" s="139"/>
      <c r="D453" s="166"/>
      <c r="E453" s="140"/>
      <c r="F453" s="140"/>
      <c r="G453" s="140"/>
      <c r="I453" s="884" t="s">
        <v>1067</v>
      </c>
      <c r="J453" s="885"/>
      <c r="K453" s="596"/>
    </row>
    <row r="454" spans="1:16383" ht="15" x14ac:dyDescent="0.25">
      <c r="A454" s="140"/>
      <c r="B454" s="166"/>
      <c r="D454" s="138"/>
      <c r="E454" s="139"/>
      <c r="F454" s="140"/>
      <c r="G454" s="140"/>
      <c r="I454" s="886"/>
      <c r="J454" s="887"/>
      <c r="K454" s="597" t="s">
        <v>1109</v>
      </c>
    </row>
    <row r="455" spans="1:16383" ht="24.75" customHeight="1" x14ac:dyDescent="0.25">
      <c r="A455" s="140"/>
      <c r="B455" s="166"/>
      <c r="D455" s="138"/>
      <c r="E455" s="139"/>
      <c r="F455" s="140"/>
      <c r="G455" s="140"/>
    </row>
    <row r="456" spans="1:16383" ht="15.75" x14ac:dyDescent="0.25">
      <c r="A456" s="140"/>
      <c r="B456" s="140"/>
      <c r="C456" s="140"/>
      <c r="D456" s="140"/>
      <c r="E456" s="140"/>
      <c r="F456" s="1006" t="s">
        <v>1366</v>
      </c>
      <c r="G456" s="139"/>
      <c r="H456" s="139"/>
      <c r="I456" s="139"/>
      <c r="J456" s="139"/>
      <c r="K456" s="139"/>
    </row>
    <row r="457" spans="1:16383" ht="28.5" customHeight="1" x14ac:dyDescent="0.2">
      <c r="A457" s="140"/>
      <c r="B457" s="140"/>
      <c r="C457" s="140"/>
      <c r="D457" s="140"/>
      <c r="E457" s="140"/>
      <c r="F457" s="140"/>
      <c r="G457" s="140"/>
      <c r="H457" s="140"/>
      <c r="I457" s="140"/>
      <c r="J457" s="140"/>
      <c r="K457" s="140"/>
    </row>
    <row r="458" spans="1:16383" ht="18" x14ac:dyDescent="0.25">
      <c r="A458" s="871" t="s">
        <v>1148</v>
      </c>
      <c r="B458" s="871"/>
      <c r="C458" s="871"/>
      <c r="D458" s="871"/>
      <c r="E458" s="871"/>
      <c r="F458" s="871"/>
      <c r="G458" s="871"/>
      <c r="H458" s="871"/>
      <c r="I458" s="871"/>
      <c r="J458" s="871"/>
      <c r="K458" s="871"/>
      <c r="L458" s="203" t="s">
        <v>861</v>
      </c>
      <c r="M458" s="203" t="s">
        <v>884</v>
      </c>
      <c r="N458" s="203" t="s">
        <v>871</v>
      </c>
      <c r="O458" s="203"/>
      <c r="P458" s="1007"/>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c r="BD458" s="28"/>
      <c r="BE458" s="28"/>
      <c r="BF458" s="28"/>
      <c r="BG458" s="28"/>
      <c r="BH458" s="28"/>
      <c r="BI458" s="28"/>
      <c r="BJ458" s="28"/>
      <c r="BK458" s="28"/>
      <c r="BL458" s="28"/>
      <c r="BM458" s="28"/>
      <c r="BN458" s="28"/>
      <c r="BO458" s="28"/>
      <c r="BP458" s="28"/>
      <c r="BQ458" s="28"/>
      <c r="BR458" s="28"/>
      <c r="BS458" s="28"/>
      <c r="BT458" s="28"/>
      <c r="BU458" s="28"/>
      <c r="BV458" s="28"/>
      <c r="BW458" s="28"/>
      <c r="BX458" s="28"/>
      <c r="BY458" s="28"/>
      <c r="BZ458" s="28"/>
      <c r="CA458" s="28"/>
      <c r="CB458" s="28"/>
      <c r="CC458" s="28"/>
      <c r="CD458" s="28"/>
      <c r="CE458" s="28"/>
      <c r="CF458" s="28"/>
      <c r="CG458" s="28"/>
      <c r="CH458" s="28"/>
      <c r="CI458" s="28"/>
      <c r="CJ458" s="28"/>
      <c r="CK458" s="28"/>
      <c r="CL458" s="28"/>
      <c r="CM458" s="28"/>
      <c r="CN458" s="28"/>
      <c r="CO458" s="28"/>
      <c r="CP458" s="28"/>
      <c r="CQ458" s="28"/>
      <c r="CR458" s="28"/>
      <c r="CS458" s="28"/>
      <c r="CT458" s="28"/>
      <c r="CU458" s="28"/>
      <c r="CV458" s="28"/>
      <c r="CW458" s="28"/>
      <c r="CX458" s="28"/>
      <c r="CY458" s="28"/>
      <c r="CZ458" s="28"/>
      <c r="DA458" s="28"/>
      <c r="DB458" s="28"/>
      <c r="DC458" s="28"/>
      <c r="DD458" s="28"/>
      <c r="DE458" s="28"/>
      <c r="DF458" s="28"/>
      <c r="DG458" s="28"/>
      <c r="DH458" s="28"/>
      <c r="DI458" s="28"/>
      <c r="DJ458" s="28"/>
      <c r="DK458" s="28"/>
      <c r="DL458" s="28"/>
      <c r="DM458" s="28"/>
      <c r="DN458" s="28"/>
      <c r="DO458" s="28"/>
      <c r="DP458" s="28"/>
      <c r="DQ458" s="28"/>
      <c r="DR458" s="28"/>
      <c r="DS458" s="28"/>
      <c r="DT458" s="28"/>
      <c r="DU458" s="28"/>
      <c r="DV458" s="28"/>
      <c r="DW458" s="28"/>
      <c r="DX458" s="28"/>
      <c r="DY458" s="28"/>
      <c r="DZ458" s="28"/>
      <c r="EA458" s="28"/>
      <c r="EB458" s="28"/>
      <c r="EC458" s="28"/>
      <c r="ED458" s="28"/>
      <c r="EE458" s="28"/>
      <c r="EF458" s="28"/>
      <c r="EG458" s="28"/>
      <c r="EH458" s="28"/>
      <c r="EI458" s="28"/>
      <c r="EJ458" s="28"/>
      <c r="EK458" s="28"/>
      <c r="EL458" s="28"/>
      <c r="EM458" s="28"/>
      <c r="EN458" s="28"/>
      <c r="EO458" s="28"/>
      <c r="EP458" s="28"/>
      <c r="EQ458" s="28"/>
      <c r="ER458" s="28"/>
      <c r="ES458" s="28"/>
      <c r="ET458" s="28"/>
      <c r="EU458" s="28"/>
      <c r="EV458" s="28"/>
      <c r="EW458" s="28"/>
      <c r="EX458" s="28"/>
      <c r="EY458" s="28"/>
      <c r="EZ458" s="28"/>
      <c r="FA458" s="28"/>
      <c r="FB458" s="28"/>
      <c r="FC458" s="28"/>
      <c r="FD458" s="28"/>
      <c r="FE458" s="28"/>
      <c r="FF458" s="28"/>
      <c r="FG458" s="28"/>
      <c r="FH458" s="28"/>
      <c r="FI458" s="28"/>
      <c r="FJ458" s="28"/>
      <c r="FK458" s="28"/>
      <c r="FL458" s="28"/>
      <c r="FM458" s="28"/>
      <c r="FN458" s="28"/>
      <c r="FO458" s="28"/>
      <c r="FP458" s="28"/>
      <c r="FQ458" s="28"/>
      <c r="FR458" s="28"/>
      <c r="FS458" s="28"/>
      <c r="FT458" s="28"/>
      <c r="FU458" s="28"/>
      <c r="FV458" s="28"/>
      <c r="FW458" s="28"/>
      <c r="FX458" s="28"/>
      <c r="FY458" s="28"/>
      <c r="FZ458" s="28"/>
      <c r="GA458" s="28"/>
      <c r="GB458" s="28"/>
      <c r="GC458" s="28"/>
      <c r="GD458" s="28"/>
      <c r="GE458" s="28"/>
      <c r="GF458" s="28"/>
      <c r="GG458" s="28"/>
      <c r="GH458" s="28"/>
      <c r="GI458" s="28"/>
      <c r="GJ458" s="28"/>
      <c r="GK458" s="28"/>
      <c r="GL458" s="28"/>
      <c r="GM458" s="28"/>
      <c r="GN458" s="28"/>
      <c r="GO458" s="28"/>
      <c r="GP458" s="28"/>
      <c r="GQ458" s="28"/>
      <c r="GR458" s="28"/>
      <c r="GS458" s="28"/>
      <c r="GT458" s="28"/>
      <c r="GU458" s="28"/>
      <c r="GV458" s="28"/>
      <c r="GW458" s="28"/>
      <c r="GX458" s="28"/>
      <c r="GY458" s="28"/>
      <c r="GZ458" s="28"/>
      <c r="HA458" s="28"/>
      <c r="HB458" s="28"/>
      <c r="HC458" s="28"/>
      <c r="HD458" s="28"/>
      <c r="HE458" s="28"/>
      <c r="HF458" s="28"/>
      <c r="HG458" s="28"/>
      <c r="HH458" s="28"/>
      <c r="HI458" s="28"/>
      <c r="HJ458" s="28"/>
      <c r="HK458" s="28"/>
      <c r="HL458" s="28"/>
      <c r="HM458" s="28"/>
      <c r="HN458" s="28"/>
      <c r="HO458" s="28"/>
      <c r="HP458" s="28"/>
      <c r="HQ458" s="28"/>
      <c r="HR458" s="28"/>
      <c r="HS458" s="28"/>
      <c r="HT458" s="28"/>
      <c r="HU458" s="28"/>
      <c r="HV458" s="28"/>
      <c r="HW458" s="28"/>
      <c r="HX458" s="28"/>
      <c r="HY458" s="28"/>
      <c r="HZ458" s="28"/>
      <c r="IA458" s="28"/>
      <c r="IB458" s="28"/>
      <c r="IC458" s="28"/>
      <c r="ID458" s="28"/>
      <c r="IE458" s="28"/>
      <c r="IF458" s="28"/>
      <c r="IG458" s="28"/>
      <c r="IH458" s="28"/>
      <c r="II458" s="28"/>
      <c r="IJ458" s="28"/>
      <c r="IK458" s="28"/>
      <c r="IL458" s="28"/>
      <c r="IM458" s="28"/>
      <c r="IN458" s="28"/>
      <c r="IO458" s="28"/>
      <c r="IP458" s="28"/>
      <c r="IQ458" s="28"/>
      <c r="IR458" s="28"/>
      <c r="IS458" s="28"/>
      <c r="IT458" s="28"/>
      <c r="IU458" s="28"/>
      <c r="IV458" s="28"/>
      <c r="IW458" s="28"/>
      <c r="IX458" s="28"/>
      <c r="IY458" s="28"/>
      <c r="IZ458" s="28"/>
      <c r="JA458" s="28"/>
      <c r="JB458" s="28"/>
      <c r="JC458" s="28"/>
      <c r="JD458" s="28"/>
      <c r="JE458" s="28"/>
      <c r="JF458" s="28"/>
      <c r="JG458" s="28"/>
      <c r="JH458" s="28"/>
      <c r="JI458" s="28"/>
      <c r="JJ458" s="28"/>
      <c r="JK458" s="28"/>
      <c r="JL458" s="28"/>
      <c r="JM458" s="28"/>
      <c r="JN458" s="28"/>
      <c r="JO458" s="28"/>
      <c r="JP458" s="28"/>
      <c r="JQ458" s="28"/>
      <c r="JR458" s="28"/>
      <c r="JS458" s="28"/>
      <c r="JT458" s="28"/>
      <c r="JU458" s="28"/>
      <c r="JV458" s="28"/>
      <c r="JW458" s="28"/>
      <c r="JX458" s="28"/>
      <c r="JY458" s="28"/>
      <c r="JZ458" s="28"/>
      <c r="KA458" s="28"/>
      <c r="KB458" s="28"/>
      <c r="KC458" s="28"/>
      <c r="KD458" s="28"/>
      <c r="KE458" s="28"/>
      <c r="KF458" s="28"/>
      <c r="KG458" s="28"/>
      <c r="KH458" s="28"/>
      <c r="KI458" s="28"/>
      <c r="KJ458" s="28"/>
      <c r="KK458" s="28"/>
      <c r="KL458" s="28"/>
      <c r="KM458" s="28"/>
      <c r="KN458" s="28"/>
      <c r="KO458" s="28"/>
      <c r="KP458" s="28"/>
      <c r="KQ458" s="28"/>
      <c r="KR458" s="28"/>
      <c r="KS458" s="28"/>
      <c r="KT458" s="28"/>
      <c r="KU458" s="28"/>
      <c r="KV458" s="28"/>
      <c r="KW458" s="28"/>
      <c r="KX458" s="28"/>
      <c r="KY458" s="28"/>
      <c r="KZ458" s="28"/>
      <c r="LA458" s="28"/>
      <c r="LB458" s="28"/>
      <c r="LC458" s="28"/>
      <c r="LD458" s="28"/>
      <c r="LE458" s="28"/>
      <c r="LF458" s="28"/>
      <c r="LG458" s="28"/>
      <c r="LH458" s="28"/>
      <c r="LI458" s="28"/>
      <c r="LJ458" s="28"/>
      <c r="LK458" s="28"/>
      <c r="LL458" s="28"/>
      <c r="LM458" s="28"/>
      <c r="LN458" s="28"/>
      <c r="LO458" s="28"/>
      <c r="LP458" s="28"/>
      <c r="LQ458" s="28"/>
      <c r="LR458" s="28"/>
      <c r="LS458" s="28"/>
      <c r="LT458" s="28"/>
      <c r="LU458" s="28"/>
      <c r="LV458" s="28"/>
      <c r="LW458" s="28"/>
      <c r="LX458" s="28"/>
      <c r="LY458" s="28"/>
      <c r="LZ458" s="28"/>
      <c r="MA458" s="28"/>
      <c r="MB458" s="28"/>
      <c r="MC458" s="28"/>
      <c r="MD458" s="28"/>
      <c r="ME458" s="28"/>
      <c r="MF458" s="28"/>
      <c r="MG458" s="28"/>
      <c r="MH458" s="28"/>
      <c r="MI458" s="28"/>
      <c r="MJ458" s="28"/>
      <c r="MK458" s="28"/>
      <c r="ML458" s="28"/>
      <c r="MM458" s="28"/>
      <c r="MN458" s="28"/>
      <c r="MO458" s="28"/>
      <c r="MP458" s="28"/>
      <c r="MQ458" s="28"/>
      <c r="MR458" s="28"/>
      <c r="MS458" s="28"/>
      <c r="MT458" s="28"/>
      <c r="MU458" s="28"/>
      <c r="MV458" s="28"/>
      <c r="MW458" s="28"/>
      <c r="MX458" s="28"/>
      <c r="MY458" s="28"/>
      <c r="MZ458" s="28"/>
      <c r="NA458" s="28"/>
      <c r="NB458" s="28"/>
      <c r="NC458" s="28"/>
      <c r="ND458" s="28"/>
      <c r="NE458" s="28"/>
      <c r="NF458" s="28"/>
      <c r="NG458" s="28"/>
      <c r="NH458" s="28"/>
      <c r="NI458" s="28"/>
      <c r="NJ458" s="28"/>
      <c r="NK458" s="28"/>
      <c r="NL458" s="28"/>
      <c r="NM458" s="28"/>
      <c r="NN458" s="28"/>
      <c r="NO458" s="28"/>
      <c r="NP458" s="28"/>
      <c r="NQ458" s="28"/>
      <c r="NR458" s="28"/>
      <c r="NS458" s="28"/>
      <c r="NT458" s="28"/>
      <c r="NU458" s="28"/>
      <c r="NV458" s="28"/>
      <c r="NW458" s="28"/>
      <c r="NX458" s="28"/>
      <c r="NY458" s="28"/>
      <c r="NZ458" s="28"/>
      <c r="OA458" s="28"/>
      <c r="OB458" s="28"/>
      <c r="OC458" s="28"/>
      <c r="OD458" s="28"/>
      <c r="OE458" s="28"/>
      <c r="OF458" s="28"/>
      <c r="OG458" s="28"/>
      <c r="OH458" s="28"/>
      <c r="OI458" s="28"/>
      <c r="OJ458" s="28"/>
      <c r="OK458" s="28"/>
      <c r="OL458" s="28"/>
      <c r="OM458" s="28"/>
      <c r="ON458" s="28"/>
      <c r="OO458" s="28"/>
      <c r="OP458" s="28"/>
      <c r="OQ458" s="28"/>
      <c r="OR458" s="28"/>
      <c r="OS458" s="28"/>
      <c r="OT458" s="28"/>
      <c r="OU458" s="28"/>
      <c r="OV458" s="28"/>
      <c r="OW458" s="28"/>
      <c r="OX458" s="28"/>
      <c r="OY458" s="28"/>
      <c r="OZ458" s="28"/>
      <c r="PA458" s="28"/>
      <c r="PB458" s="28"/>
      <c r="PC458" s="28"/>
      <c r="PD458" s="28"/>
      <c r="PE458" s="28"/>
      <c r="PF458" s="28"/>
      <c r="PG458" s="28"/>
      <c r="PH458" s="28"/>
      <c r="PI458" s="28"/>
      <c r="PJ458" s="28"/>
      <c r="PK458" s="28"/>
      <c r="PL458" s="28"/>
      <c r="PM458" s="28"/>
      <c r="PN458" s="28"/>
      <c r="PO458" s="28"/>
      <c r="PP458" s="28"/>
      <c r="PQ458" s="28"/>
      <c r="PR458" s="28"/>
      <c r="PS458" s="28"/>
      <c r="PT458" s="28"/>
      <c r="PU458" s="28"/>
      <c r="PV458" s="28"/>
      <c r="PW458" s="28"/>
      <c r="PX458" s="28"/>
      <c r="PY458" s="28"/>
      <c r="PZ458" s="28"/>
      <c r="QA458" s="28"/>
      <c r="QB458" s="28"/>
      <c r="QC458" s="28"/>
      <c r="QD458" s="28"/>
      <c r="QE458" s="28"/>
      <c r="QF458" s="28"/>
      <c r="QG458" s="28"/>
      <c r="QH458" s="28"/>
      <c r="QI458" s="28"/>
      <c r="QJ458" s="28"/>
      <c r="QK458" s="28"/>
      <c r="QL458" s="28"/>
      <c r="QM458" s="28"/>
      <c r="QN458" s="28"/>
      <c r="QO458" s="28"/>
      <c r="QP458" s="28"/>
      <c r="QQ458" s="28"/>
      <c r="QR458" s="28"/>
      <c r="QS458" s="28"/>
      <c r="QT458" s="28"/>
      <c r="QU458" s="28"/>
      <c r="QV458" s="28"/>
      <c r="QW458" s="28"/>
      <c r="QX458" s="28"/>
      <c r="QY458" s="28"/>
      <c r="QZ458" s="28"/>
      <c r="RA458" s="28"/>
      <c r="RB458" s="28"/>
      <c r="RC458" s="28"/>
      <c r="RD458" s="28"/>
      <c r="RE458" s="28"/>
      <c r="RF458" s="28"/>
      <c r="RG458" s="28"/>
      <c r="RH458" s="28"/>
      <c r="RI458" s="28"/>
      <c r="RJ458" s="28"/>
      <c r="RK458" s="28"/>
      <c r="RL458" s="28"/>
      <c r="RM458" s="28"/>
      <c r="RN458" s="28"/>
      <c r="RO458" s="28"/>
      <c r="RP458" s="28"/>
      <c r="RQ458" s="28"/>
      <c r="RR458" s="28"/>
      <c r="RS458" s="28"/>
      <c r="RT458" s="28"/>
      <c r="RU458" s="28"/>
      <c r="RV458" s="28"/>
      <c r="RW458" s="28"/>
      <c r="RX458" s="28"/>
      <c r="RY458" s="28"/>
      <c r="RZ458" s="28"/>
      <c r="SA458" s="28"/>
      <c r="SB458" s="28"/>
      <c r="SC458" s="28"/>
      <c r="SD458" s="28"/>
      <c r="SE458" s="28"/>
      <c r="SF458" s="28"/>
      <c r="SG458" s="28"/>
      <c r="SH458" s="28"/>
      <c r="SI458" s="28"/>
      <c r="SJ458" s="28"/>
      <c r="SK458" s="28"/>
      <c r="SL458" s="28"/>
      <c r="SM458" s="28"/>
      <c r="SN458" s="28"/>
      <c r="SO458" s="28"/>
      <c r="SP458" s="28"/>
      <c r="SQ458" s="28"/>
      <c r="SR458" s="28"/>
      <c r="SS458" s="28"/>
      <c r="ST458" s="28"/>
      <c r="SU458" s="28"/>
      <c r="SV458" s="28"/>
      <c r="SW458" s="28"/>
      <c r="SX458" s="28"/>
      <c r="SY458" s="28"/>
      <c r="SZ458" s="28"/>
      <c r="TA458" s="28"/>
      <c r="TB458" s="28"/>
      <c r="TC458" s="28"/>
      <c r="TD458" s="28"/>
      <c r="TE458" s="28"/>
      <c r="TF458" s="28"/>
      <c r="TG458" s="28"/>
      <c r="TH458" s="28"/>
      <c r="TI458" s="28"/>
      <c r="TJ458" s="28"/>
      <c r="TK458" s="28"/>
      <c r="TL458" s="28"/>
      <c r="TM458" s="28"/>
      <c r="TN458" s="28"/>
      <c r="TO458" s="28"/>
      <c r="TP458" s="28"/>
      <c r="TQ458" s="28"/>
      <c r="TR458" s="28"/>
      <c r="TS458" s="28"/>
      <c r="TT458" s="28"/>
      <c r="TU458" s="28"/>
      <c r="TV458" s="28"/>
      <c r="TW458" s="28"/>
      <c r="TX458" s="28"/>
      <c r="TY458" s="28"/>
      <c r="TZ458" s="28"/>
      <c r="UA458" s="28"/>
      <c r="UB458" s="28"/>
      <c r="UC458" s="28"/>
      <c r="UD458" s="28"/>
      <c r="UE458" s="28"/>
      <c r="UF458" s="28"/>
      <c r="UG458" s="28"/>
      <c r="UH458" s="28"/>
      <c r="UI458" s="28"/>
      <c r="UJ458" s="28"/>
      <c r="UK458" s="28"/>
      <c r="UL458" s="28"/>
      <c r="UM458" s="28"/>
      <c r="UN458" s="28"/>
      <c r="UO458" s="28"/>
      <c r="UP458" s="28"/>
      <c r="UQ458" s="28"/>
      <c r="UR458" s="28"/>
      <c r="US458" s="28"/>
      <c r="UT458" s="28"/>
      <c r="UU458" s="28"/>
      <c r="UV458" s="28"/>
      <c r="UW458" s="28"/>
      <c r="UX458" s="28"/>
      <c r="UY458" s="28"/>
      <c r="UZ458" s="28"/>
      <c r="VA458" s="28"/>
      <c r="VB458" s="28"/>
      <c r="VC458" s="28"/>
      <c r="VD458" s="28"/>
      <c r="VE458" s="28"/>
      <c r="VF458" s="28"/>
      <c r="VG458" s="28"/>
      <c r="VH458" s="28"/>
      <c r="VI458" s="28"/>
      <c r="VJ458" s="28"/>
      <c r="VK458" s="28"/>
      <c r="VL458" s="28"/>
      <c r="VM458" s="28"/>
      <c r="VN458" s="28"/>
      <c r="VO458" s="28"/>
      <c r="VP458" s="28"/>
      <c r="VQ458" s="28"/>
      <c r="VR458" s="28"/>
      <c r="VS458" s="28"/>
      <c r="VT458" s="28"/>
      <c r="VU458" s="28"/>
      <c r="VV458" s="28"/>
      <c r="VW458" s="28"/>
      <c r="VX458" s="28"/>
      <c r="VY458" s="28"/>
      <c r="VZ458" s="28"/>
      <c r="WA458" s="28"/>
      <c r="WB458" s="28"/>
      <c r="WC458" s="28"/>
      <c r="WD458" s="28"/>
      <c r="WE458" s="28"/>
      <c r="WF458" s="28"/>
      <c r="WG458" s="28"/>
      <c r="WH458" s="28"/>
      <c r="WI458" s="28"/>
      <c r="WJ458" s="28"/>
      <c r="WK458" s="28"/>
      <c r="WL458" s="28"/>
      <c r="WM458" s="28"/>
      <c r="WN458" s="28"/>
      <c r="WO458" s="28"/>
      <c r="WP458" s="28"/>
      <c r="WQ458" s="28"/>
      <c r="WR458" s="28"/>
      <c r="WS458" s="28"/>
      <c r="WT458" s="28"/>
      <c r="WU458" s="28"/>
      <c r="WV458" s="28"/>
      <c r="WW458" s="28"/>
      <c r="WX458" s="28"/>
      <c r="WY458" s="28"/>
      <c r="WZ458" s="28"/>
      <c r="XA458" s="28"/>
      <c r="XB458" s="28"/>
      <c r="XC458" s="28"/>
      <c r="XD458" s="28"/>
      <c r="XE458" s="28"/>
      <c r="XF458" s="28"/>
      <c r="XG458" s="28"/>
      <c r="XH458" s="28"/>
      <c r="XI458" s="28"/>
      <c r="XJ458" s="28"/>
      <c r="XK458" s="28"/>
      <c r="XL458" s="28"/>
      <c r="XM458" s="28"/>
      <c r="XN458" s="28"/>
      <c r="XO458" s="28"/>
      <c r="XP458" s="28"/>
      <c r="XQ458" s="28"/>
      <c r="XR458" s="28"/>
      <c r="XS458" s="28"/>
      <c r="XT458" s="28"/>
      <c r="XU458" s="28"/>
      <c r="XV458" s="28"/>
      <c r="XW458" s="28"/>
      <c r="XX458" s="28"/>
      <c r="XY458" s="28"/>
      <c r="XZ458" s="28"/>
      <c r="YA458" s="28"/>
      <c r="YB458" s="28"/>
      <c r="YC458" s="28"/>
      <c r="YD458" s="28"/>
      <c r="YE458" s="28"/>
      <c r="YF458" s="28"/>
      <c r="YG458" s="28"/>
      <c r="YH458" s="28"/>
      <c r="YI458" s="28"/>
      <c r="YJ458" s="28"/>
      <c r="YK458" s="28"/>
      <c r="YL458" s="28"/>
      <c r="YM458" s="28"/>
      <c r="YN458" s="28"/>
      <c r="YO458" s="28"/>
      <c r="YP458" s="28"/>
      <c r="YQ458" s="28"/>
      <c r="YR458" s="28"/>
      <c r="YS458" s="28"/>
      <c r="YT458" s="28"/>
      <c r="YU458" s="28"/>
      <c r="YV458" s="28"/>
      <c r="YW458" s="28"/>
      <c r="YX458" s="28"/>
      <c r="YY458" s="28"/>
      <c r="YZ458" s="28"/>
      <c r="ZA458" s="28"/>
      <c r="ZB458" s="28"/>
      <c r="ZC458" s="28"/>
      <c r="ZD458" s="28"/>
      <c r="ZE458" s="28"/>
      <c r="ZF458" s="28"/>
      <c r="ZG458" s="28"/>
      <c r="ZH458" s="28"/>
      <c r="ZI458" s="28"/>
      <c r="ZJ458" s="28"/>
      <c r="ZK458" s="28"/>
      <c r="ZL458" s="28"/>
      <c r="ZM458" s="28"/>
      <c r="ZN458" s="28"/>
      <c r="ZO458" s="28"/>
      <c r="ZP458" s="28"/>
      <c r="ZQ458" s="28"/>
      <c r="ZR458" s="28"/>
      <c r="ZS458" s="28"/>
      <c r="ZT458" s="28"/>
      <c r="ZU458" s="28"/>
      <c r="ZV458" s="28"/>
      <c r="ZW458" s="28"/>
      <c r="ZX458" s="28"/>
      <c r="ZY458" s="28"/>
      <c r="ZZ458" s="28"/>
      <c r="AAA458" s="28"/>
      <c r="AAB458" s="28"/>
      <c r="AAC458" s="28"/>
      <c r="AAD458" s="28"/>
      <c r="AAE458" s="28"/>
      <c r="AAF458" s="28"/>
      <c r="AAG458" s="28"/>
      <c r="AAH458" s="28"/>
      <c r="AAI458" s="28"/>
      <c r="AAJ458" s="28"/>
      <c r="AAK458" s="28"/>
      <c r="AAL458" s="28"/>
      <c r="AAM458" s="28"/>
      <c r="AAN458" s="28"/>
      <c r="AAO458" s="28"/>
      <c r="AAP458" s="28"/>
      <c r="AAQ458" s="28"/>
      <c r="AAR458" s="28"/>
      <c r="AAS458" s="28"/>
      <c r="AAT458" s="28"/>
      <c r="AAU458" s="28"/>
      <c r="AAV458" s="28"/>
      <c r="AAW458" s="28"/>
      <c r="AAX458" s="28"/>
      <c r="AAY458" s="28"/>
      <c r="AAZ458" s="28"/>
      <c r="ABA458" s="28"/>
      <c r="ABB458" s="28"/>
      <c r="ABC458" s="28"/>
      <c r="ABD458" s="28"/>
      <c r="ABE458" s="28"/>
      <c r="ABF458" s="28"/>
      <c r="ABG458" s="28"/>
      <c r="ABH458" s="28"/>
      <c r="ABI458" s="28"/>
      <c r="ABJ458" s="28"/>
      <c r="ABK458" s="28"/>
      <c r="ABL458" s="28"/>
      <c r="ABM458" s="28"/>
      <c r="ABN458" s="28"/>
      <c r="ABO458" s="28"/>
      <c r="ABP458" s="28"/>
      <c r="ABQ458" s="28"/>
      <c r="ABR458" s="28"/>
      <c r="ABS458" s="28"/>
      <c r="ABT458" s="28"/>
      <c r="ABU458" s="28"/>
      <c r="ABV458" s="28"/>
      <c r="ABW458" s="28"/>
      <c r="ABX458" s="28"/>
      <c r="ABY458" s="28"/>
      <c r="ABZ458" s="28"/>
      <c r="ACA458" s="28"/>
      <c r="ACB458" s="28"/>
      <c r="ACC458" s="28"/>
      <c r="ACD458" s="28"/>
      <c r="ACE458" s="28"/>
      <c r="ACF458" s="28"/>
      <c r="ACG458" s="28"/>
      <c r="ACH458" s="28"/>
      <c r="ACI458" s="28"/>
      <c r="ACJ458" s="28"/>
      <c r="ACK458" s="28"/>
      <c r="ACL458" s="28"/>
      <c r="ACM458" s="28"/>
      <c r="ACN458" s="28"/>
      <c r="ACO458" s="28"/>
      <c r="ACP458" s="28"/>
      <c r="ACQ458" s="28"/>
      <c r="ACR458" s="28"/>
      <c r="ACS458" s="28"/>
      <c r="ACT458" s="28"/>
      <c r="ACU458" s="28"/>
      <c r="ACV458" s="28"/>
      <c r="ACW458" s="28"/>
      <c r="ACX458" s="28"/>
      <c r="ACY458" s="28"/>
      <c r="ACZ458" s="28"/>
      <c r="ADA458" s="28"/>
      <c r="ADB458" s="28"/>
      <c r="ADC458" s="28"/>
      <c r="ADD458" s="28"/>
      <c r="ADE458" s="28"/>
      <c r="ADF458" s="28"/>
      <c r="ADG458" s="28"/>
      <c r="ADH458" s="28"/>
      <c r="ADI458" s="28"/>
      <c r="ADJ458" s="28"/>
      <c r="ADK458" s="28"/>
      <c r="ADL458" s="28"/>
      <c r="ADM458" s="28"/>
      <c r="ADN458" s="28"/>
      <c r="ADO458" s="28"/>
      <c r="ADP458" s="28"/>
      <c r="ADQ458" s="28"/>
      <c r="ADR458" s="28"/>
      <c r="ADS458" s="28"/>
      <c r="ADT458" s="28"/>
      <c r="ADU458" s="28"/>
      <c r="ADV458" s="28"/>
      <c r="ADW458" s="28"/>
      <c r="ADX458" s="28"/>
      <c r="ADY458" s="28"/>
      <c r="ADZ458" s="28"/>
      <c r="AEA458" s="28"/>
      <c r="AEB458" s="28"/>
      <c r="AEC458" s="28"/>
      <c r="AED458" s="28"/>
      <c r="AEE458" s="28"/>
      <c r="AEF458" s="28"/>
      <c r="AEG458" s="28"/>
      <c r="AEH458" s="28"/>
      <c r="AEI458" s="28"/>
      <c r="AEJ458" s="28"/>
      <c r="AEK458" s="28"/>
      <c r="AEL458" s="28"/>
      <c r="AEM458" s="28"/>
      <c r="AEN458" s="28"/>
      <c r="AEO458" s="28"/>
      <c r="AEP458" s="28"/>
      <c r="AEQ458" s="28"/>
      <c r="AER458" s="28"/>
      <c r="AES458" s="28"/>
      <c r="AET458" s="28"/>
      <c r="AEU458" s="28"/>
      <c r="AEV458" s="28"/>
      <c r="AEW458" s="28"/>
      <c r="AEX458" s="28"/>
      <c r="AEY458" s="28"/>
      <c r="AEZ458" s="28"/>
      <c r="AFA458" s="28"/>
      <c r="AFB458" s="28"/>
      <c r="AFC458" s="28"/>
      <c r="AFD458" s="28"/>
      <c r="AFE458" s="28"/>
      <c r="AFF458" s="28"/>
      <c r="AFG458" s="28"/>
      <c r="AFH458" s="28"/>
      <c r="AFI458" s="28"/>
      <c r="AFJ458" s="28"/>
      <c r="AFK458" s="28"/>
      <c r="AFL458" s="28"/>
      <c r="AFM458" s="28"/>
      <c r="AFN458" s="28"/>
      <c r="AFO458" s="28"/>
      <c r="AFP458" s="28"/>
      <c r="AFQ458" s="28"/>
      <c r="AFR458" s="28"/>
      <c r="AFS458" s="28"/>
      <c r="AFT458" s="28"/>
      <c r="AFU458" s="28"/>
      <c r="AFV458" s="28"/>
      <c r="AFW458" s="28"/>
      <c r="AFX458" s="28"/>
      <c r="AFY458" s="28"/>
      <c r="AFZ458" s="28"/>
      <c r="AGA458" s="28"/>
      <c r="AGB458" s="28"/>
      <c r="AGC458" s="28"/>
      <c r="AGD458" s="28"/>
      <c r="AGE458" s="28"/>
      <c r="AGF458" s="28"/>
      <c r="AGG458" s="28"/>
      <c r="AGH458" s="28"/>
      <c r="AGI458" s="28"/>
      <c r="AGJ458" s="28"/>
      <c r="AGK458" s="28"/>
      <c r="AGL458" s="28"/>
      <c r="AGM458" s="28"/>
      <c r="AGN458" s="28"/>
      <c r="AGO458" s="28"/>
      <c r="AGP458" s="28"/>
      <c r="AGQ458" s="28"/>
      <c r="AGR458" s="28"/>
      <c r="AGS458" s="28"/>
      <c r="AGT458" s="28"/>
      <c r="AGU458" s="28"/>
      <c r="AGV458" s="28"/>
      <c r="AGW458" s="28"/>
      <c r="AGX458" s="28"/>
      <c r="AGY458" s="28"/>
      <c r="AGZ458" s="28"/>
      <c r="AHA458" s="28"/>
      <c r="AHB458" s="28"/>
      <c r="AHC458" s="28"/>
      <c r="AHD458" s="28"/>
      <c r="AHE458" s="28"/>
      <c r="AHF458" s="28"/>
      <c r="AHG458" s="28"/>
      <c r="AHH458" s="28"/>
      <c r="AHI458" s="28"/>
      <c r="AHJ458" s="28"/>
      <c r="AHK458" s="28"/>
      <c r="AHL458" s="28"/>
      <c r="AHM458" s="28"/>
      <c r="AHN458" s="28"/>
      <c r="AHO458" s="28"/>
      <c r="AHP458" s="28"/>
      <c r="AHQ458" s="28"/>
      <c r="AHR458" s="28"/>
      <c r="AHS458" s="28"/>
      <c r="AHT458" s="28"/>
      <c r="AHU458" s="28"/>
      <c r="AHV458" s="28"/>
      <c r="AHW458" s="28"/>
      <c r="AHX458" s="28"/>
      <c r="AHY458" s="28"/>
      <c r="AHZ458" s="28"/>
      <c r="AIA458" s="28"/>
      <c r="AIB458" s="28"/>
      <c r="AIC458" s="28"/>
      <c r="AID458" s="28"/>
      <c r="AIE458" s="28"/>
      <c r="AIF458" s="28"/>
      <c r="AIG458" s="28"/>
      <c r="AIH458" s="28"/>
      <c r="AII458" s="28"/>
      <c r="AIJ458" s="28"/>
      <c r="AIK458" s="28"/>
      <c r="AIL458" s="28"/>
      <c r="AIM458" s="28"/>
      <c r="AIN458" s="28"/>
      <c r="AIO458" s="28"/>
      <c r="AIP458" s="28"/>
      <c r="AIQ458" s="28"/>
      <c r="AIR458" s="28"/>
      <c r="AIS458" s="28"/>
      <c r="AIT458" s="28"/>
      <c r="AIU458" s="28"/>
      <c r="AIV458" s="28"/>
      <c r="AIW458" s="28"/>
      <c r="AIX458" s="28"/>
      <c r="AIY458" s="28"/>
      <c r="AIZ458" s="28"/>
      <c r="AJA458" s="28"/>
      <c r="AJB458" s="28"/>
      <c r="AJC458" s="28"/>
      <c r="AJD458" s="28"/>
      <c r="AJE458" s="28"/>
      <c r="AJF458" s="28"/>
      <c r="AJG458" s="28"/>
      <c r="AJH458" s="28"/>
      <c r="AJI458" s="28"/>
      <c r="AJJ458" s="28"/>
      <c r="AJK458" s="28"/>
      <c r="AJL458" s="28"/>
      <c r="AJM458" s="28"/>
      <c r="AJN458" s="28"/>
      <c r="AJO458" s="28"/>
      <c r="AJP458" s="28"/>
      <c r="AJQ458" s="28"/>
      <c r="AJR458" s="28"/>
      <c r="AJS458" s="28"/>
      <c r="AJT458" s="28"/>
      <c r="AJU458" s="28"/>
      <c r="AJV458" s="28"/>
      <c r="AJW458" s="28"/>
      <c r="AJX458" s="28"/>
      <c r="AJY458" s="28"/>
      <c r="AJZ458" s="28"/>
      <c r="AKA458" s="28"/>
      <c r="AKB458" s="28"/>
      <c r="AKC458" s="28"/>
      <c r="AKD458" s="28"/>
      <c r="AKE458" s="28"/>
      <c r="AKF458" s="28"/>
      <c r="AKG458" s="28"/>
      <c r="AKH458" s="28"/>
      <c r="AKI458" s="28"/>
      <c r="AKJ458" s="28"/>
      <c r="AKK458" s="28"/>
      <c r="AKL458" s="28"/>
      <c r="AKM458" s="28"/>
      <c r="AKN458" s="28"/>
      <c r="AKO458" s="28"/>
      <c r="AKP458" s="28"/>
      <c r="AKQ458" s="28"/>
      <c r="AKR458" s="28"/>
      <c r="AKS458" s="28"/>
      <c r="AKT458" s="28"/>
      <c r="AKU458" s="28"/>
      <c r="AKV458" s="28"/>
      <c r="AKW458" s="28"/>
      <c r="AKX458" s="28"/>
      <c r="AKY458" s="28"/>
      <c r="AKZ458" s="28"/>
      <c r="ALA458" s="28"/>
      <c r="ALB458" s="28"/>
      <c r="ALC458" s="28"/>
      <c r="ALD458" s="28"/>
      <c r="ALE458" s="28"/>
      <c r="ALF458" s="28"/>
      <c r="ALG458" s="28"/>
      <c r="ALH458" s="28"/>
      <c r="ALI458" s="28"/>
      <c r="ALJ458" s="28"/>
      <c r="ALK458" s="28"/>
      <c r="ALL458" s="28"/>
      <c r="ALM458" s="28"/>
      <c r="ALN458" s="28"/>
      <c r="ALO458" s="28"/>
      <c r="ALP458" s="28"/>
      <c r="ALQ458" s="28"/>
      <c r="ALR458" s="28"/>
      <c r="ALS458" s="28"/>
      <c r="ALT458" s="28"/>
      <c r="ALU458" s="28"/>
      <c r="ALV458" s="28"/>
      <c r="ALW458" s="28"/>
      <c r="ALX458" s="28"/>
      <c r="ALY458" s="28"/>
      <c r="ALZ458" s="28"/>
      <c r="AMA458" s="28"/>
      <c r="AMB458" s="28"/>
      <c r="AMC458" s="28"/>
      <c r="AMD458" s="28"/>
      <c r="AME458" s="28"/>
      <c r="AMF458" s="28"/>
      <c r="AMG458" s="28"/>
      <c r="AMH458" s="28"/>
      <c r="AMI458" s="28"/>
      <c r="AMJ458" s="28"/>
      <c r="AMK458" s="28"/>
      <c r="AML458" s="28"/>
      <c r="AMM458" s="28"/>
      <c r="AMN458" s="28"/>
      <c r="AMO458" s="28"/>
      <c r="AMP458" s="28"/>
      <c r="AMQ458" s="28"/>
      <c r="AMR458" s="28"/>
      <c r="AMS458" s="28"/>
      <c r="AMT458" s="28"/>
      <c r="AMU458" s="28"/>
      <c r="AMV458" s="28"/>
      <c r="AMW458" s="28"/>
      <c r="AMX458" s="28"/>
      <c r="AMY458" s="28"/>
      <c r="AMZ458" s="28"/>
      <c r="ANA458" s="28"/>
      <c r="ANB458" s="28"/>
      <c r="ANC458" s="28"/>
      <c r="AND458" s="28"/>
      <c r="ANE458" s="28"/>
      <c r="ANF458" s="28"/>
      <c r="ANG458" s="28"/>
      <c r="ANH458" s="28"/>
      <c r="ANI458" s="28"/>
      <c r="ANJ458" s="28"/>
      <c r="ANK458" s="28"/>
      <c r="ANL458" s="28"/>
      <c r="ANM458" s="28"/>
      <c r="ANN458" s="28"/>
      <c r="ANO458" s="28"/>
      <c r="ANP458" s="28"/>
      <c r="ANQ458" s="28"/>
      <c r="ANR458" s="28"/>
      <c r="ANS458" s="28"/>
      <c r="ANT458" s="28"/>
      <c r="ANU458" s="28"/>
      <c r="ANV458" s="28"/>
      <c r="ANW458" s="28"/>
      <c r="ANX458" s="28"/>
      <c r="ANY458" s="28"/>
      <c r="ANZ458" s="28"/>
      <c r="AOA458" s="28"/>
      <c r="AOB458" s="28"/>
      <c r="AOC458" s="28"/>
      <c r="AOD458" s="28"/>
      <c r="AOE458" s="28"/>
      <c r="AOF458" s="28"/>
      <c r="AOG458" s="28"/>
      <c r="AOH458" s="28"/>
      <c r="AOI458" s="28"/>
      <c r="AOJ458" s="28"/>
      <c r="AOK458" s="28"/>
      <c r="AOL458" s="28"/>
      <c r="AOM458" s="28"/>
      <c r="AON458" s="28"/>
      <c r="AOO458" s="28"/>
      <c r="AOP458" s="28"/>
      <c r="AOQ458" s="28"/>
      <c r="AOR458" s="28"/>
      <c r="AOS458" s="28"/>
      <c r="AOT458" s="28"/>
      <c r="AOU458" s="28"/>
      <c r="AOV458" s="28"/>
      <c r="AOW458" s="28"/>
      <c r="AOX458" s="28"/>
      <c r="AOY458" s="28"/>
      <c r="AOZ458" s="28"/>
      <c r="APA458" s="28"/>
      <c r="APB458" s="28"/>
      <c r="APC458" s="28"/>
      <c r="APD458" s="28"/>
      <c r="APE458" s="28"/>
      <c r="APF458" s="28"/>
      <c r="APG458" s="28"/>
      <c r="APH458" s="28"/>
      <c r="API458" s="28"/>
      <c r="APJ458" s="28"/>
      <c r="APK458" s="28"/>
      <c r="APL458" s="28"/>
      <c r="APM458" s="28"/>
      <c r="APN458" s="28"/>
      <c r="APO458" s="28"/>
      <c r="APP458" s="28"/>
      <c r="APQ458" s="28"/>
      <c r="APR458" s="28"/>
      <c r="APS458" s="28"/>
      <c r="APT458" s="28"/>
      <c r="APU458" s="28"/>
      <c r="APV458" s="28"/>
      <c r="APW458" s="28"/>
      <c r="APX458" s="28"/>
      <c r="APY458" s="28"/>
      <c r="APZ458" s="28"/>
      <c r="AQA458" s="28"/>
      <c r="AQB458" s="28"/>
      <c r="AQC458" s="28"/>
      <c r="AQD458" s="28"/>
      <c r="AQE458" s="28"/>
      <c r="AQF458" s="28"/>
      <c r="AQG458" s="28"/>
      <c r="AQH458" s="28"/>
      <c r="AQI458" s="28"/>
      <c r="AQJ458" s="28"/>
      <c r="AQK458" s="28"/>
      <c r="AQL458" s="28"/>
      <c r="AQM458" s="28"/>
      <c r="AQN458" s="28"/>
      <c r="AQO458" s="28"/>
      <c r="AQP458" s="28"/>
      <c r="AQQ458" s="28"/>
      <c r="AQR458" s="28"/>
      <c r="AQS458" s="28"/>
      <c r="AQT458" s="28"/>
      <c r="AQU458" s="28"/>
      <c r="AQV458" s="28"/>
      <c r="AQW458" s="28"/>
      <c r="AQX458" s="28"/>
      <c r="AQY458" s="28"/>
      <c r="AQZ458" s="28"/>
      <c r="ARA458" s="28"/>
      <c r="ARB458" s="28"/>
      <c r="ARC458" s="28"/>
      <c r="ARD458" s="28"/>
      <c r="ARE458" s="28"/>
      <c r="ARF458" s="28"/>
      <c r="ARG458" s="28"/>
      <c r="ARH458" s="28"/>
      <c r="ARI458" s="28"/>
      <c r="ARJ458" s="28"/>
      <c r="ARK458" s="28"/>
      <c r="ARL458" s="28"/>
      <c r="ARM458" s="28"/>
      <c r="ARN458" s="28"/>
      <c r="ARO458" s="28"/>
      <c r="ARP458" s="28"/>
      <c r="ARQ458" s="28"/>
      <c r="ARR458" s="28"/>
      <c r="ARS458" s="28"/>
      <c r="ART458" s="28"/>
      <c r="ARU458" s="28"/>
      <c r="ARV458" s="28"/>
      <c r="ARW458" s="28"/>
      <c r="ARX458" s="28"/>
      <c r="ARY458" s="28"/>
      <c r="ARZ458" s="28"/>
      <c r="ASA458" s="28"/>
      <c r="ASB458" s="28"/>
      <c r="ASC458" s="28"/>
      <c r="ASD458" s="28"/>
      <c r="ASE458" s="28"/>
      <c r="ASF458" s="28"/>
      <c r="ASG458" s="28"/>
      <c r="ASH458" s="28"/>
      <c r="ASI458" s="28"/>
      <c r="ASJ458" s="28"/>
      <c r="ASK458" s="28"/>
      <c r="ASL458" s="28"/>
      <c r="ASM458" s="28"/>
      <c r="ASN458" s="28"/>
      <c r="ASO458" s="28"/>
      <c r="ASP458" s="28"/>
      <c r="ASQ458" s="28"/>
      <c r="ASR458" s="28"/>
      <c r="ASS458" s="28"/>
      <c r="AST458" s="28"/>
      <c r="ASU458" s="28"/>
      <c r="ASV458" s="28"/>
      <c r="ASW458" s="28"/>
      <c r="ASX458" s="28"/>
      <c r="ASY458" s="28"/>
      <c r="ASZ458" s="28"/>
      <c r="ATA458" s="28"/>
      <c r="ATB458" s="28"/>
      <c r="ATC458" s="28"/>
      <c r="ATD458" s="28"/>
      <c r="ATE458" s="28"/>
      <c r="ATF458" s="28"/>
      <c r="ATG458" s="28"/>
      <c r="ATH458" s="28"/>
      <c r="ATI458" s="28"/>
      <c r="ATJ458" s="28"/>
      <c r="ATK458" s="28"/>
      <c r="ATL458" s="28"/>
      <c r="ATM458" s="28"/>
      <c r="ATN458" s="28"/>
      <c r="ATO458" s="28"/>
      <c r="ATP458" s="28"/>
      <c r="ATQ458" s="28"/>
      <c r="ATR458" s="28"/>
      <c r="ATS458" s="28"/>
      <c r="ATT458" s="28"/>
      <c r="ATU458" s="28"/>
      <c r="ATV458" s="28"/>
      <c r="ATW458" s="28"/>
      <c r="ATX458" s="28"/>
      <c r="ATY458" s="28"/>
      <c r="ATZ458" s="28"/>
      <c r="AUA458" s="28"/>
      <c r="AUB458" s="28"/>
      <c r="AUC458" s="28"/>
      <c r="AUD458" s="28"/>
      <c r="AUE458" s="28"/>
      <c r="AUF458" s="28"/>
      <c r="AUG458" s="28"/>
      <c r="AUH458" s="28"/>
      <c r="AUI458" s="28"/>
      <c r="AUJ458" s="28"/>
      <c r="AUK458" s="28"/>
      <c r="AUL458" s="28"/>
      <c r="AUM458" s="28"/>
      <c r="AUN458" s="28"/>
      <c r="AUO458" s="28"/>
      <c r="AUP458" s="28"/>
      <c r="AUQ458" s="28"/>
      <c r="AUR458" s="28"/>
      <c r="AUS458" s="28"/>
      <c r="AUT458" s="28"/>
      <c r="AUU458" s="28"/>
      <c r="AUV458" s="28"/>
      <c r="AUW458" s="28"/>
      <c r="AUX458" s="28"/>
      <c r="AUY458" s="28"/>
      <c r="AUZ458" s="28"/>
      <c r="AVA458" s="28"/>
      <c r="AVB458" s="28"/>
      <c r="AVC458" s="28"/>
      <c r="AVD458" s="28"/>
      <c r="AVE458" s="28"/>
      <c r="AVF458" s="28"/>
      <c r="AVG458" s="28"/>
      <c r="AVH458" s="28"/>
      <c r="AVI458" s="28"/>
      <c r="AVJ458" s="28"/>
      <c r="AVK458" s="28"/>
      <c r="AVL458" s="28"/>
      <c r="AVM458" s="28"/>
      <c r="AVN458" s="28"/>
      <c r="AVO458" s="28"/>
      <c r="AVP458" s="28"/>
      <c r="AVQ458" s="28"/>
      <c r="AVR458" s="28"/>
      <c r="AVS458" s="28"/>
      <c r="AVT458" s="28"/>
      <c r="AVU458" s="28"/>
      <c r="AVV458" s="28"/>
      <c r="AVW458" s="28"/>
      <c r="AVX458" s="28"/>
      <c r="AVY458" s="28"/>
      <c r="AVZ458" s="28"/>
      <c r="AWA458" s="28"/>
      <c r="AWB458" s="28"/>
      <c r="AWC458" s="28"/>
      <c r="AWD458" s="28"/>
      <c r="AWE458" s="28"/>
      <c r="AWF458" s="28"/>
      <c r="AWG458" s="28"/>
      <c r="AWH458" s="28"/>
      <c r="AWI458" s="28"/>
      <c r="AWJ458" s="28"/>
      <c r="AWK458" s="28"/>
      <c r="AWL458" s="28"/>
      <c r="AWM458" s="28"/>
      <c r="AWN458" s="28"/>
      <c r="AWO458" s="28"/>
      <c r="AWP458" s="28"/>
      <c r="AWQ458" s="28"/>
      <c r="AWR458" s="28"/>
      <c r="AWS458" s="28"/>
      <c r="AWT458" s="28"/>
      <c r="AWU458" s="28"/>
      <c r="AWV458" s="28"/>
      <c r="AWW458" s="28"/>
      <c r="AWX458" s="28"/>
      <c r="AWY458" s="28"/>
      <c r="AWZ458" s="28"/>
      <c r="AXA458" s="28"/>
      <c r="AXB458" s="28"/>
      <c r="AXC458" s="28"/>
      <c r="AXD458" s="28"/>
      <c r="AXE458" s="28"/>
      <c r="AXF458" s="28"/>
      <c r="AXG458" s="28"/>
      <c r="AXH458" s="28"/>
      <c r="AXI458" s="28"/>
      <c r="AXJ458" s="28"/>
      <c r="AXK458" s="28"/>
      <c r="AXL458" s="28"/>
      <c r="AXM458" s="28"/>
      <c r="AXN458" s="28"/>
      <c r="AXO458" s="28"/>
      <c r="AXP458" s="28"/>
      <c r="AXQ458" s="28"/>
      <c r="AXR458" s="28"/>
      <c r="AXS458" s="28"/>
      <c r="AXT458" s="28"/>
      <c r="AXU458" s="28"/>
      <c r="AXV458" s="28"/>
      <c r="AXW458" s="28"/>
      <c r="AXX458" s="28"/>
      <c r="AXY458" s="28"/>
      <c r="AXZ458" s="28"/>
      <c r="AYA458" s="28"/>
      <c r="AYB458" s="28"/>
      <c r="AYC458" s="28"/>
      <c r="AYD458" s="28"/>
      <c r="AYE458" s="28"/>
      <c r="AYF458" s="28"/>
      <c r="AYG458" s="28"/>
      <c r="AYH458" s="28"/>
      <c r="AYI458" s="28"/>
      <c r="AYJ458" s="28"/>
      <c r="AYK458" s="28"/>
      <c r="AYL458" s="28"/>
      <c r="AYM458" s="28"/>
      <c r="AYN458" s="28"/>
      <c r="AYO458" s="28"/>
      <c r="AYP458" s="28"/>
      <c r="AYQ458" s="28"/>
      <c r="AYR458" s="28"/>
      <c r="AYS458" s="28"/>
      <c r="AYT458" s="28"/>
      <c r="AYU458" s="28"/>
      <c r="AYV458" s="28"/>
      <c r="AYW458" s="28"/>
      <c r="AYX458" s="28"/>
      <c r="AYY458" s="28"/>
      <c r="AYZ458" s="28"/>
      <c r="AZA458" s="28"/>
      <c r="AZB458" s="28"/>
      <c r="AZC458" s="28"/>
      <c r="AZD458" s="28"/>
      <c r="AZE458" s="28"/>
      <c r="AZF458" s="28"/>
      <c r="AZG458" s="28"/>
      <c r="AZH458" s="28"/>
      <c r="AZI458" s="28"/>
      <c r="AZJ458" s="28"/>
      <c r="AZK458" s="28"/>
      <c r="AZL458" s="28"/>
      <c r="AZM458" s="28"/>
      <c r="AZN458" s="28"/>
      <c r="AZO458" s="28"/>
      <c r="AZP458" s="28"/>
      <c r="AZQ458" s="28"/>
      <c r="AZR458" s="28"/>
      <c r="AZS458" s="28"/>
      <c r="AZT458" s="28"/>
      <c r="AZU458" s="28"/>
      <c r="AZV458" s="28"/>
      <c r="AZW458" s="28"/>
      <c r="AZX458" s="28"/>
      <c r="AZY458" s="28"/>
      <c r="AZZ458" s="28"/>
      <c r="BAA458" s="28"/>
      <c r="BAB458" s="28"/>
      <c r="BAC458" s="28"/>
      <c r="BAD458" s="28"/>
      <c r="BAE458" s="28"/>
      <c r="BAF458" s="28"/>
      <c r="BAG458" s="28"/>
      <c r="BAH458" s="28"/>
      <c r="BAI458" s="28"/>
      <c r="BAJ458" s="28"/>
      <c r="BAK458" s="28"/>
      <c r="BAL458" s="28"/>
      <c r="BAM458" s="28"/>
      <c r="BAN458" s="28"/>
      <c r="BAO458" s="28"/>
      <c r="BAP458" s="28"/>
      <c r="BAQ458" s="28"/>
      <c r="BAR458" s="28"/>
      <c r="BAS458" s="28"/>
      <c r="BAT458" s="28"/>
      <c r="BAU458" s="28"/>
      <c r="BAV458" s="28"/>
      <c r="BAW458" s="28"/>
      <c r="BAX458" s="28"/>
      <c r="BAY458" s="28"/>
      <c r="BAZ458" s="28"/>
      <c r="BBA458" s="28"/>
      <c r="BBB458" s="28"/>
      <c r="BBC458" s="28"/>
      <c r="BBD458" s="28"/>
      <c r="BBE458" s="28"/>
      <c r="BBF458" s="28"/>
      <c r="BBG458" s="28"/>
      <c r="BBH458" s="28"/>
      <c r="BBI458" s="28"/>
      <c r="BBJ458" s="28"/>
      <c r="BBK458" s="28"/>
      <c r="BBL458" s="28"/>
      <c r="BBM458" s="28"/>
      <c r="BBN458" s="28"/>
      <c r="BBO458" s="28"/>
      <c r="BBP458" s="28"/>
      <c r="BBQ458" s="28"/>
      <c r="BBR458" s="28"/>
      <c r="BBS458" s="28"/>
      <c r="BBT458" s="28"/>
      <c r="BBU458" s="28"/>
      <c r="BBV458" s="28"/>
      <c r="BBW458" s="28"/>
      <c r="BBX458" s="28"/>
      <c r="BBY458" s="28"/>
      <c r="BBZ458" s="28"/>
      <c r="BCA458" s="28"/>
      <c r="BCB458" s="28"/>
      <c r="BCC458" s="28"/>
      <c r="BCD458" s="28"/>
      <c r="BCE458" s="28"/>
      <c r="BCF458" s="28"/>
      <c r="BCG458" s="28"/>
      <c r="BCH458" s="28"/>
      <c r="BCI458" s="28"/>
      <c r="BCJ458" s="28"/>
      <c r="BCK458" s="28"/>
      <c r="BCL458" s="28"/>
      <c r="BCM458" s="28"/>
      <c r="BCN458" s="28"/>
      <c r="BCO458" s="28"/>
      <c r="BCP458" s="28"/>
      <c r="BCQ458" s="28"/>
      <c r="BCR458" s="28"/>
      <c r="BCS458" s="28"/>
      <c r="BCT458" s="28"/>
      <c r="BCU458" s="28"/>
      <c r="BCV458" s="28"/>
      <c r="BCW458" s="28"/>
      <c r="BCX458" s="28"/>
      <c r="BCY458" s="28"/>
      <c r="BCZ458" s="28"/>
      <c r="BDA458" s="28"/>
      <c r="BDB458" s="28"/>
      <c r="BDC458" s="28"/>
      <c r="BDD458" s="28"/>
      <c r="BDE458" s="28"/>
      <c r="BDF458" s="28"/>
      <c r="BDG458" s="28"/>
      <c r="BDH458" s="28"/>
      <c r="BDI458" s="28"/>
      <c r="BDJ458" s="28"/>
      <c r="BDK458" s="28"/>
      <c r="BDL458" s="28"/>
      <c r="BDM458" s="28"/>
      <c r="BDN458" s="28"/>
      <c r="BDO458" s="28"/>
      <c r="BDP458" s="28"/>
      <c r="BDQ458" s="28"/>
      <c r="BDR458" s="28"/>
      <c r="BDS458" s="28"/>
      <c r="BDT458" s="28"/>
      <c r="BDU458" s="28"/>
      <c r="BDV458" s="28"/>
      <c r="BDW458" s="28"/>
      <c r="BDX458" s="28"/>
      <c r="BDY458" s="28"/>
      <c r="BDZ458" s="28"/>
      <c r="BEA458" s="28"/>
      <c r="BEB458" s="28"/>
      <c r="BEC458" s="28"/>
      <c r="BED458" s="28"/>
      <c r="BEE458" s="28"/>
      <c r="BEF458" s="28"/>
      <c r="BEG458" s="28"/>
      <c r="BEH458" s="28"/>
      <c r="BEI458" s="28"/>
      <c r="BEJ458" s="28"/>
      <c r="BEK458" s="28"/>
      <c r="BEL458" s="28"/>
      <c r="BEM458" s="28"/>
      <c r="BEN458" s="28"/>
      <c r="BEO458" s="28"/>
      <c r="BEP458" s="28"/>
      <c r="BEQ458" s="28"/>
      <c r="BER458" s="28"/>
      <c r="BES458" s="28"/>
      <c r="BET458" s="28"/>
      <c r="BEU458" s="28"/>
      <c r="BEV458" s="28"/>
      <c r="BEW458" s="28"/>
      <c r="BEX458" s="28"/>
      <c r="BEY458" s="28"/>
      <c r="BEZ458" s="28"/>
      <c r="BFA458" s="28"/>
      <c r="BFB458" s="28"/>
      <c r="BFC458" s="28"/>
      <c r="BFD458" s="28"/>
      <c r="BFE458" s="28"/>
      <c r="BFF458" s="28"/>
      <c r="BFG458" s="28"/>
      <c r="BFH458" s="28"/>
      <c r="BFI458" s="28"/>
      <c r="BFJ458" s="28"/>
      <c r="BFK458" s="28"/>
      <c r="BFL458" s="28"/>
      <c r="BFM458" s="28"/>
      <c r="BFN458" s="28"/>
      <c r="BFO458" s="28"/>
      <c r="BFP458" s="28"/>
      <c r="BFQ458" s="28"/>
      <c r="BFR458" s="28"/>
      <c r="BFS458" s="28"/>
      <c r="BFT458" s="28"/>
      <c r="BFU458" s="28"/>
      <c r="BFV458" s="28"/>
      <c r="BFW458" s="28"/>
      <c r="BFX458" s="28"/>
      <c r="BFY458" s="28"/>
      <c r="BFZ458" s="28"/>
      <c r="BGA458" s="28"/>
      <c r="BGB458" s="28"/>
      <c r="BGC458" s="28"/>
      <c r="BGD458" s="28"/>
      <c r="BGE458" s="28"/>
      <c r="BGF458" s="28"/>
      <c r="BGG458" s="28"/>
      <c r="BGH458" s="28"/>
      <c r="BGI458" s="28"/>
      <c r="BGJ458" s="28"/>
      <c r="BGK458" s="28"/>
      <c r="BGL458" s="28"/>
      <c r="BGM458" s="28"/>
      <c r="BGN458" s="28"/>
      <c r="BGO458" s="28"/>
      <c r="BGP458" s="28"/>
      <c r="BGQ458" s="28"/>
      <c r="BGR458" s="28"/>
      <c r="BGS458" s="28"/>
      <c r="BGT458" s="28"/>
      <c r="BGU458" s="28"/>
      <c r="BGV458" s="28"/>
      <c r="BGW458" s="28"/>
      <c r="BGX458" s="28"/>
      <c r="BGY458" s="28"/>
      <c r="BGZ458" s="28"/>
      <c r="BHA458" s="28"/>
      <c r="BHB458" s="28"/>
      <c r="BHC458" s="28"/>
      <c r="BHD458" s="28"/>
      <c r="BHE458" s="28"/>
      <c r="BHF458" s="28"/>
      <c r="BHG458" s="28"/>
      <c r="BHH458" s="28"/>
      <c r="BHI458" s="28"/>
      <c r="BHJ458" s="28"/>
      <c r="BHK458" s="28"/>
      <c r="BHL458" s="28"/>
      <c r="BHM458" s="28"/>
      <c r="BHN458" s="28"/>
      <c r="BHO458" s="28"/>
      <c r="BHP458" s="28"/>
      <c r="BHQ458" s="28"/>
      <c r="BHR458" s="28"/>
      <c r="BHS458" s="28"/>
      <c r="BHT458" s="28"/>
      <c r="BHU458" s="28"/>
      <c r="BHV458" s="28"/>
      <c r="BHW458" s="28"/>
      <c r="BHX458" s="28"/>
      <c r="BHY458" s="28"/>
      <c r="BHZ458" s="28"/>
      <c r="BIA458" s="28"/>
      <c r="BIB458" s="28"/>
      <c r="BIC458" s="28"/>
      <c r="BID458" s="28"/>
      <c r="BIE458" s="28"/>
      <c r="BIF458" s="28"/>
      <c r="BIG458" s="28"/>
      <c r="BIH458" s="28"/>
      <c r="BII458" s="28"/>
      <c r="BIJ458" s="28"/>
      <c r="BIK458" s="28"/>
      <c r="BIL458" s="28"/>
      <c r="BIM458" s="28"/>
      <c r="BIN458" s="28"/>
      <c r="BIO458" s="28"/>
      <c r="BIP458" s="28"/>
      <c r="BIQ458" s="28"/>
      <c r="BIR458" s="28"/>
      <c r="BIS458" s="28"/>
      <c r="BIT458" s="28"/>
      <c r="BIU458" s="28"/>
      <c r="BIV458" s="28"/>
      <c r="BIW458" s="28"/>
      <c r="BIX458" s="28"/>
      <c r="BIY458" s="28"/>
      <c r="BIZ458" s="28"/>
      <c r="BJA458" s="28"/>
      <c r="BJB458" s="28"/>
      <c r="BJC458" s="28"/>
      <c r="BJD458" s="28"/>
      <c r="BJE458" s="28"/>
      <c r="BJF458" s="28"/>
      <c r="BJG458" s="28"/>
      <c r="BJH458" s="28"/>
      <c r="BJI458" s="28"/>
      <c r="BJJ458" s="28"/>
      <c r="BJK458" s="28"/>
      <c r="BJL458" s="28"/>
      <c r="BJM458" s="28"/>
      <c r="BJN458" s="28"/>
      <c r="BJO458" s="28"/>
      <c r="BJP458" s="28"/>
      <c r="BJQ458" s="28"/>
      <c r="BJR458" s="28"/>
      <c r="BJS458" s="28"/>
      <c r="BJT458" s="28"/>
      <c r="BJU458" s="28"/>
      <c r="BJV458" s="28"/>
      <c r="BJW458" s="28"/>
      <c r="BJX458" s="28"/>
      <c r="BJY458" s="28"/>
      <c r="BJZ458" s="28"/>
      <c r="BKA458" s="28"/>
      <c r="BKB458" s="28"/>
      <c r="BKC458" s="28"/>
      <c r="BKD458" s="28"/>
      <c r="BKE458" s="28"/>
      <c r="BKF458" s="28"/>
      <c r="BKG458" s="28"/>
      <c r="BKH458" s="28"/>
      <c r="BKI458" s="28"/>
      <c r="BKJ458" s="28"/>
      <c r="BKK458" s="28"/>
      <c r="BKL458" s="28"/>
      <c r="BKM458" s="28"/>
      <c r="BKN458" s="28"/>
      <c r="BKO458" s="28"/>
      <c r="BKP458" s="28"/>
      <c r="BKQ458" s="28"/>
      <c r="BKR458" s="28"/>
      <c r="BKS458" s="28"/>
      <c r="BKT458" s="28"/>
      <c r="BKU458" s="28"/>
      <c r="BKV458" s="28"/>
      <c r="BKW458" s="28"/>
      <c r="BKX458" s="28"/>
      <c r="BKY458" s="28"/>
      <c r="BKZ458" s="28"/>
      <c r="BLA458" s="28"/>
      <c r="BLB458" s="28"/>
      <c r="BLC458" s="28"/>
      <c r="BLD458" s="28"/>
      <c r="BLE458" s="28"/>
      <c r="BLF458" s="28"/>
      <c r="BLG458" s="28"/>
      <c r="BLH458" s="28"/>
      <c r="BLI458" s="28"/>
      <c r="BLJ458" s="28"/>
      <c r="BLK458" s="28"/>
      <c r="BLL458" s="28"/>
      <c r="BLM458" s="28"/>
      <c r="BLN458" s="28"/>
      <c r="BLO458" s="28"/>
      <c r="BLP458" s="28"/>
      <c r="BLQ458" s="28"/>
      <c r="BLR458" s="28"/>
      <c r="BLS458" s="28"/>
      <c r="BLT458" s="28"/>
      <c r="BLU458" s="28"/>
      <c r="BLV458" s="28"/>
      <c r="BLW458" s="28"/>
      <c r="BLX458" s="28"/>
      <c r="BLY458" s="28"/>
      <c r="BLZ458" s="28"/>
      <c r="BMA458" s="28"/>
      <c r="BMB458" s="28"/>
      <c r="BMC458" s="28"/>
      <c r="BMD458" s="28"/>
      <c r="BME458" s="28"/>
      <c r="BMF458" s="28"/>
      <c r="BMG458" s="28"/>
      <c r="BMH458" s="28"/>
      <c r="BMI458" s="28"/>
      <c r="BMJ458" s="28"/>
      <c r="BMK458" s="28"/>
      <c r="BML458" s="28"/>
      <c r="BMM458" s="28"/>
      <c r="BMN458" s="28"/>
      <c r="BMO458" s="28"/>
      <c r="BMP458" s="28"/>
      <c r="BMQ458" s="28"/>
      <c r="BMR458" s="28"/>
      <c r="BMS458" s="28"/>
      <c r="BMT458" s="28"/>
      <c r="BMU458" s="28"/>
      <c r="BMV458" s="28"/>
      <c r="BMW458" s="28"/>
      <c r="BMX458" s="28"/>
      <c r="BMY458" s="28"/>
      <c r="BMZ458" s="28"/>
      <c r="BNA458" s="28"/>
      <c r="BNB458" s="28"/>
      <c r="BNC458" s="28"/>
      <c r="BND458" s="28"/>
      <c r="BNE458" s="28"/>
      <c r="BNF458" s="28"/>
      <c r="BNG458" s="28"/>
      <c r="BNH458" s="28"/>
      <c r="BNI458" s="28"/>
      <c r="BNJ458" s="28"/>
      <c r="BNK458" s="28"/>
      <c r="BNL458" s="28"/>
      <c r="BNM458" s="28"/>
      <c r="BNN458" s="28"/>
      <c r="BNO458" s="28"/>
      <c r="BNP458" s="28"/>
      <c r="BNQ458" s="28"/>
      <c r="BNR458" s="28"/>
      <c r="BNS458" s="28"/>
      <c r="BNT458" s="28"/>
      <c r="BNU458" s="28"/>
      <c r="BNV458" s="28"/>
      <c r="BNW458" s="28"/>
      <c r="BNX458" s="28"/>
      <c r="BNY458" s="28"/>
      <c r="BNZ458" s="28"/>
      <c r="BOA458" s="28"/>
      <c r="BOB458" s="28"/>
      <c r="BOC458" s="28"/>
      <c r="BOD458" s="28"/>
      <c r="BOE458" s="28"/>
      <c r="BOF458" s="28"/>
      <c r="BOG458" s="28"/>
      <c r="BOH458" s="28"/>
      <c r="BOI458" s="28"/>
      <c r="BOJ458" s="28"/>
      <c r="BOK458" s="28"/>
      <c r="BOL458" s="28"/>
      <c r="BOM458" s="28"/>
      <c r="BON458" s="28"/>
      <c r="BOO458" s="28"/>
      <c r="BOP458" s="28"/>
      <c r="BOQ458" s="28"/>
      <c r="BOR458" s="28"/>
      <c r="BOS458" s="28"/>
      <c r="BOT458" s="28"/>
      <c r="BOU458" s="28"/>
      <c r="BOV458" s="28"/>
      <c r="BOW458" s="28"/>
      <c r="BOX458" s="28"/>
      <c r="BOY458" s="28"/>
      <c r="BOZ458" s="28"/>
      <c r="BPA458" s="28"/>
      <c r="BPB458" s="28"/>
      <c r="BPC458" s="28"/>
      <c r="BPD458" s="28"/>
      <c r="BPE458" s="28"/>
      <c r="BPF458" s="28"/>
      <c r="BPG458" s="28"/>
      <c r="BPH458" s="28"/>
      <c r="BPI458" s="28"/>
      <c r="BPJ458" s="28"/>
      <c r="BPK458" s="28"/>
      <c r="BPL458" s="28"/>
      <c r="BPM458" s="28"/>
      <c r="BPN458" s="28"/>
      <c r="BPO458" s="28"/>
      <c r="BPP458" s="28"/>
      <c r="BPQ458" s="28"/>
      <c r="BPR458" s="28"/>
      <c r="BPS458" s="28"/>
      <c r="BPT458" s="28"/>
      <c r="BPU458" s="28"/>
      <c r="BPV458" s="28"/>
      <c r="BPW458" s="28"/>
      <c r="BPX458" s="28"/>
      <c r="BPY458" s="28"/>
      <c r="BPZ458" s="28"/>
      <c r="BQA458" s="28"/>
      <c r="BQB458" s="28"/>
      <c r="BQC458" s="28"/>
      <c r="BQD458" s="28"/>
      <c r="BQE458" s="28"/>
      <c r="BQF458" s="28"/>
      <c r="BQG458" s="28"/>
      <c r="BQH458" s="28"/>
      <c r="BQI458" s="28"/>
      <c r="BQJ458" s="28"/>
      <c r="BQK458" s="28"/>
      <c r="BQL458" s="28"/>
      <c r="BQM458" s="28"/>
      <c r="BQN458" s="28"/>
      <c r="BQO458" s="28"/>
      <c r="BQP458" s="28"/>
      <c r="BQQ458" s="28"/>
      <c r="BQR458" s="28"/>
      <c r="BQS458" s="28"/>
      <c r="BQT458" s="28"/>
      <c r="BQU458" s="28"/>
      <c r="BQV458" s="28"/>
      <c r="BQW458" s="28"/>
      <c r="BQX458" s="28"/>
      <c r="BQY458" s="28"/>
      <c r="BQZ458" s="28"/>
      <c r="BRA458" s="28"/>
      <c r="BRB458" s="28"/>
      <c r="BRC458" s="28"/>
      <c r="BRD458" s="28"/>
      <c r="BRE458" s="28"/>
      <c r="BRF458" s="28"/>
      <c r="BRG458" s="28"/>
      <c r="BRH458" s="28"/>
      <c r="BRI458" s="28"/>
      <c r="BRJ458" s="28"/>
      <c r="BRK458" s="28"/>
      <c r="BRL458" s="28"/>
      <c r="BRM458" s="28"/>
      <c r="BRN458" s="28"/>
      <c r="BRO458" s="28"/>
      <c r="BRP458" s="28"/>
      <c r="BRQ458" s="28"/>
      <c r="BRR458" s="28"/>
      <c r="BRS458" s="28"/>
      <c r="BRT458" s="28"/>
      <c r="BRU458" s="28"/>
      <c r="BRV458" s="28"/>
      <c r="BRW458" s="28"/>
      <c r="BRX458" s="28"/>
      <c r="BRY458" s="28"/>
      <c r="BRZ458" s="28"/>
      <c r="BSA458" s="28"/>
      <c r="BSB458" s="28"/>
      <c r="BSC458" s="28"/>
      <c r="BSD458" s="28"/>
      <c r="BSE458" s="28"/>
      <c r="BSF458" s="28"/>
      <c r="BSG458" s="28"/>
      <c r="BSH458" s="28"/>
      <c r="BSI458" s="28"/>
      <c r="BSJ458" s="28"/>
      <c r="BSK458" s="28"/>
      <c r="BSL458" s="28"/>
      <c r="BSM458" s="28"/>
      <c r="BSN458" s="28"/>
      <c r="BSO458" s="28"/>
      <c r="BSP458" s="28"/>
      <c r="BSQ458" s="28"/>
      <c r="BSR458" s="28"/>
      <c r="BSS458" s="28"/>
      <c r="BST458" s="28"/>
      <c r="BSU458" s="28"/>
      <c r="BSV458" s="28"/>
      <c r="BSW458" s="28"/>
      <c r="BSX458" s="28"/>
      <c r="BSY458" s="28"/>
      <c r="BSZ458" s="28"/>
      <c r="BTA458" s="28"/>
      <c r="BTB458" s="28"/>
      <c r="BTC458" s="28"/>
      <c r="BTD458" s="28"/>
      <c r="BTE458" s="28"/>
      <c r="BTF458" s="28"/>
      <c r="BTG458" s="28"/>
      <c r="BTH458" s="28"/>
      <c r="BTI458" s="28"/>
      <c r="BTJ458" s="28"/>
      <c r="BTK458" s="28"/>
      <c r="BTL458" s="28"/>
      <c r="BTM458" s="28"/>
      <c r="BTN458" s="28"/>
      <c r="BTO458" s="28"/>
      <c r="BTP458" s="28"/>
      <c r="BTQ458" s="28"/>
      <c r="BTR458" s="28"/>
      <c r="BTS458" s="28"/>
      <c r="BTT458" s="28"/>
      <c r="BTU458" s="28"/>
      <c r="BTV458" s="28"/>
      <c r="BTW458" s="28"/>
      <c r="BTX458" s="28"/>
      <c r="BTY458" s="28"/>
      <c r="BTZ458" s="28"/>
      <c r="BUA458" s="28"/>
      <c r="BUB458" s="28"/>
      <c r="BUC458" s="28"/>
      <c r="BUD458" s="28"/>
      <c r="BUE458" s="28"/>
      <c r="BUF458" s="28"/>
      <c r="BUG458" s="28"/>
      <c r="BUH458" s="28"/>
      <c r="BUI458" s="28"/>
      <c r="BUJ458" s="28"/>
      <c r="BUK458" s="28"/>
      <c r="BUL458" s="28"/>
      <c r="BUM458" s="28"/>
      <c r="BUN458" s="28"/>
      <c r="BUO458" s="28"/>
      <c r="BUP458" s="28"/>
      <c r="BUQ458" s="28"/>
      <c r="BUR458" s="28"/>
      <c r="BUS458" s="28"/>
      <c r="BUT458" s="28"/>
      <c r="BUU458" s="28"/>
      <c r="BUV458" s="28"/>
      <c r="BUW458" s="28"/>
      <c r="BUX458" s="28"/>
      <c r="BUY458" s="28"/>
      <c r="BUZ458" s="28"/>
      <c r="BVA458" s="28"/>
      <c r="BVB458" s="28"/>
      <c r="BVC458" s="28"/>
      <c r="BVD458" s="28"/>
      <c r="BVE458" s="28"/>
      <c r="BVF458" s="28"/>
      <c r="BVG458" s="28"/>
      <c r="BVH458" s="28"/>
      <c r="BVI458" s="28"/>
      <c r="BVJ458" s="28"/>
      <c r="BVK458" s="28"/>
      <c r="BVL458" s="28"/>
      <c r="BVM458" s="28"/>
      <c r="BVN458" s="28"/>
      <c r="BVO458" s="28"/>
      <c r="BVP458" s="28"/>
      <c r="BVQ458" s="28"/>
      <c r="BVR458" s="28"/>
      <c r="BVS458" s="28"/>
      <c r="BVT458" s="28"/>
      <c r="BVU458" s="28"/>
      <c r="BVV458" s="28"/>
      <c r="BVW458" s="28"/>
      <c r="BVX458" s="28"/>
      <c r="BVY458" s="28"/>
      <c r="BVZ458" s="28"/>
      <c r="BWA458" s="28"/>
      <c r="BWB458" s="28"/>
      <c r="BWC458" s="28"/>
      <c r="BWD458" s="28"/>
      <c r="BWE458" s="28"/>
      <c r="BWF458" s="28"/>
      <c r="BWG458" s="28"/>
      <c r="BWH458" s="28"/>
      <c r="BWI458" s="28"/>
      <c r="BWJ458" s="28"/>
      <c r="BWK458" s="28"/>
      <c r="BWL458" s="28"/>
      <c r="BWM458" s="28"/>
      <c r="BWN458" s="28"/>
      <c r="BWO458" s="28"/>
      <c r="BWP458" s="28"/>
      <c r="BWQ458" s="28"/>
      <c r="BWR458" s="28"/>
      <c r="BWS458" s="28"/>
      <c r="BWT458" s="28"/>
      <c r="BWU458" s="28"/>
      <c r="BWV458" s="28"/>
      <c r="BWW458" s="28"/>
      <c r="BWX458" s="28"/>
      <c r="BWY458" s="28"/>
      <c r="BWZ458" s="28"/>
      <c r="BXA458" s="28"/>
      <c r="BXB458" s="28"/>
      <c r="BXC458" s="28"/>
      <c r="BXD458" s="28"/>
      <c r="BXE458" s="28"/>
      <c r="BXF458" s="28"/>
      <c r="BXG458" s="28"/>
      <c r="BXH458" s="28"/>
      <c r="BXI458" s="28"/>
      <c r="BXJ458" s="28"/>
      <c r="BXK458" s="28"/>
      <c r="BXL458" s="28"/>
      <c r="BXM458" s="28"/>
      <c r="BXN458" s="28"/>
      <c r="BXO458" s="28"/>
      <c r="BXP458" s="28"/>
      <c r="BXQ458" s="28"/>
      <c r="BXR458" s="28"/>
      <c r="BXS458" s="28"/>
      <c r="BXT458" s="28"/>
      <c r="BXU458" s="28"/>
      <c r="BXV458" s="28"/>
      <c r="BXW458" s="28"/>
      <c r="BXX458" s="28"/>
      <c r="BXY458" s="28"/>
      <c r="BXZ458" s="28"/>
      <c r="BYA458" s="28"/>
      <c r="BYB458" s="28"/>
      <c r="BYC458" s="28"/>
      <c r="BYD458" s="28"/>
      <c r="BYE458" s="28"/>
      <c r="BYF458" s="28"/>
      <c r="BYG458" s="28"/>
      <c r="BYH458" s="28"/>
      <c r="BYI458" s="28"/>
      <c r="BYJ458" s="28"/>
      <c r="BYK458" s="28"/>
      <c r="BYL458" s="28"/>
      <c r="BYM458" s="28"/>
      <c r="BYN458" s="28"/>
      <c r="BYO458" s="28"/>
      <c r="BYP458" s="28"/>
      <c r="BYQ458" s="28"/>
      <c r="BYR458" s="28"/>
      <c r="BYS458" s="28"/>
      <c r="BYT458" s="28"/>
      <c r="BYU458" s="28"/>
      <c r="BYV458" s="28"/>
      <c r="BYW458" s="28"/>
      <c r="BYX458" s="28"/>
      <c r="BYY458" s="28"/>
      <c r="BYZ458" s="28"/>
      <c r="BZA458" s="28"/>
      <c r="BZB458" s="28"/>
      <c r="BZC458" s="28"/>
      <c r="BZD458" s="28"/>
      <c r="BZE458" s="28"/>
      <c r="BZF458" s="28"/>
      <c r="BZG458" s="28"/>
      <c r="BZH458" s="28"/>
      <c r="BZI458" s="28"/>
      <c r="BZJ458" s="28"/>
      <c r="BZK458" s="28"/>
      <c r="BZL458" s="28"/>
      <c r="BZM458" s="28"/>
      <c r="BZN458" s="28"/>
      <c r="BZO458" s="28"/>
      <c r="BZP458" s="28"/>
      <c r="BZQ458" s="28"/>
      <c r="BZR458" s="28"/>
      <c r="BZS458" s="28"/>
      <c r="BZT458" s="28"/>
      <c r="BZU458" s="28"/>
      <c r="BZV458" s="28"/>
      <c r="BZW458" s="28"/>
      <c r="BZX458" s="28"/>
      <c r="BZY458" s="28"/>
      <c r="BZZ458" s="28"/>
      <c r="CAA458" s="28"/>
      <c r="CAB458" s="28"/>
      <c r="CAC458" s="28"/>
      <c r="CAD458" s="28"/>
      <c r="CAE458" s="28"/>
      <c r="CAF458" s="28"/>
      <c r="CAG458" s="28"/>
      <c r="CAH458" s="28"/>
      <c r="CAI458" s="28"/>
      <c r="CAJ458" s="28"/>
      <c r="CAK458" s="28"/>
      <c r="CAL458" s="28"/>
      <c r="CAM458" s="28"/>
      <c r="CAN458" s="28"/>
      <c r="CAO458" s="28"/>
      <c r="CAP458" s="28"/>
      <c r="CAQ458" s="28"/>
      <c r="CAR458" s="28"/>
      <c r="CAS458" s="28"/>
      <c r="CAT458" s="28"/>
      <c r="CAU458" s="28"/>
      <c r="CAV458" s="28"/>
      <c r="CAW458" s="28"/>
      <c r="CAX458" s="28"/>
      <c r="CAY458" s="28"/>
      <c r="CAZ458" s="28"/>
      <c r="CBA458" s="28"/>
      <c r="CBB458" s="28"/>
      <c r="CBC458" s="28"/>
      <c r="CBD458" s="28"/>
      <c r="CBE458" s="28"/>
      <c r="CBF458" s="28"/>
      <c r="CBG458" s="28"/>
      <c r="CBH458" s="28"/>
      <c r="CBI458" s="28"/>
      <c r="CBJ458" s="28"/>
      <c r="CBK458" s="28"/>
      <c r="CBL458" s="28"/>
      <c r="CBM458" s="28"/>
      <c r="CBN458" s="28"/>
      <c r="CBO458" s="28"/>
      <c r="CBP458" s="28"/>
      <c r="CBQ458" s="28"/>
      <c r="CBR458" s="28"/>
      <c r="CBS458" s="28"/>
      <c r="CBT458" s="28"/>
      <c r="CBU458" s="28"/>
      <c r="CBV458" s="28"/>
      <c r="CBW458" s="28"/>
      <c r="CBX458" s="28"/>
      <c r="CBY458" s="28"/>
      <c r="CBZ458" s="28"/>
      <c r="CCA458" s="28"/>
      <c r="CCB458" s="28"/>
      <c r="CCC458" s="28"/>
      <c r="CCD458" s="28"/>
      <c r="CCE458" s="28"/>
      <c r="CCF458" s="28"/>
      <c r="CCG458" s="28"/>
      <c r="CCH458" s="28"/>
      <c r="CCI458" s="28"/>
      <c r="CCJ458" s="28"/>
      <c r="CCK458" s="28"/>
      <c r="CCL458" s="28"/>
      <c r="CCM458" s="28"/>
      <c r="CCN458" s="28"/>
      <c r="CCO458" s="28"/>
      <c r="CCP458" s="28"/>
      <c r="CCQ458" s="28"/>
      <c r="CCR458" s="28"/>
      <c r="CCS458" s="28"/>
      <c r="CCT458" s="28"/>
      <c r="CCU458" s="28"/>
      <c r="CCV458" s="28"/>
      <c r="CCW458" s="28"/>
      <c r="CCX458" s="28"/>
      <c r="CCY458" s="28"/>
      <c r="CCZ458" s="28"/>
      <c r="CDA458" s="28"/>
      <c r="CDB458" s="28"/>
      <c r="CDC458" s="28"/>
      <c r="CDD458" s="28"/>
      <c r="CDE458" s="28"/>
      <c r="CDF458" s="28"/>
      <c r="CDG458" s="28"/>
      <c r="CDH458" s="28"/>
      <c r="CDI458" s="28"/>
      <c r="CDJ458" s="28"/>
      <c r="CDK458" s="28"/>
      <c r="CDL458" s="28"/>
      <c r="CDM458" s="28"/>
      <c r="CDN458" s="28"/>
      <c r="CDO458" s="28"/>
      <c r="CDP458" s="28"/>
      <c r="CDQ458" s="28"/>
      <c r="CDR458" s="28"/>
      <c r="CDS458" s="28"/>
      <c r="CDT458" s="28"/>
      <c r="CDU458" s="28"/>
      <c r="CDV458" s="28"/>
      <c r="CDW458" s="28"/>
      <c r="CDX458" s="28"/>
      <c r="CDY458" s="28"/>
      <c r="CDZ458" s="28"/>
      <c r="CEA458" s="28"/>
      <c r="CEB458" s="28"/>
      <c r="CEC458" s="28"/>
      <c r="CED458" s="28"/>
      <c r="CEE458" s="28"/>
      <c r="CEF458" s="28"/>
      <c r="CEG458" s="28"/>
      <c r="CEH458" s="28"/>
      <c r="CEI458" s="28"/>
      <c r="CEJ458" s="28"/>
      <c r="CEK458" s="28"/>
      <c r="CEL458" s="28"/>
      <c r="CEM458" s="28"/>
      <c r="CEN458" s="28"/>
      <c r="CEO458" s="28"/>
      <c r="CEP458" s="28"/>
      <c r="CEQ458" s="28"/>
      <c r="CER458" s="28"/>
      <c r="CES458" s="28"/>
      <c r="CET458" s="28"/>
      <c r="CEU458" s="28"/>
      <c r="CEV458" s="28"/>
      <c r="CEW458" s="28"/>
      <c r="CEX458" s="28"/>
      <c r="CEY458" s="28"/>
      <c r="CEZ458" s="28"/>
      <c r="CFA458" s="28"/>
      <c r="CFB458" s="28"/>
      <c r="CFC458" s="28"/>
      <c r="CFD458" s="28"/>
      <c r="CFE458" s="28"/>
      <c r="CFF458" s="28"/>
      <c r="CFG458" s="28"/>
      <c r="CFH458" s="28"/>
      <c r="CFI458" s="28"/>
      <c r="CFJ458" s="28"/>
      <c r="CFK458" s="28"/>
      <c r="CFL458" s="28"/>
      <c r="CFM458" s="28"/>
      <c r="CFN458" s="28"/>
      <c r="CFO458" s="28"/>
      <c r="CFP458" s="28"/>
      <c r="CFQ458" s="28"/>
      <c r="CFR458" s="28"/>
      <c r="CFS458" s="28"/>
      <c r="CFT458" s="28"/>
      <c r="CFU458" s="28"/>
      <c r="CFV458" s="28"/>
      <c r="CFW458" s="28"/>
      <c r="CFX458" s="28"/>
      <c r="CFY458" s="28"/>
      <c r="CFZ458" s="28"/>
      <c r="CGA458" s="28"/>
      <c r="CGB458" s="28"/>
      <c r="CGC458" s="28"/>
      <c r="CGD458" s="28"/>
      <c r="CGE458" s="28"/>
      <c r="CGF458" s="28"/>
      <c r="CGG458" s="28"/>
      <c r="CGH458" s="28"/>
      <c r="CGI458" s="28"/>
      <c r="CGJ458" s="28"/>
      <c r="CGK458" s="28"/>
      <c r="CGL458" s="28"/>
      <c r="CGM458" s="28"/>
      <c r="CGN458" s="28"/>
      <c r="CGO458" s="28"/>
      <c r="CGP458" s="28"/>
      <c r="CGQ458" s="28"/>
      <c r="CGR458" s="28"/>
      <c r="CGS458" s="28"/>
      <c r="CGT458" s="28"/>
      <c r="CGU458" s="28"/>
      <c r="CGV458" s="28"/>
      <c r="CGW458" s="28"/>
      <c r="CGX458" s="28"/>
      <c r="CGY458" s="28"/>
      <c r="CGZ458" s="28"/>
      <c r="CHA458" s="28"/>
      <c r="CHB458" s="28"/>
      <c r="CHC458" s="28"/>
      <c r="CHD458" s="28"/>
      <c r="CHE458" s="28"/>
      <c r="CHF458" s="28"/>
      <c r="CHG458" s="28"/>
      <c r="CHH458" s="28"/>
      <c r="CHI458" s="28"/>
      <c r="CHJ458" s="28"/>
      <c r="CHK458" s="28"/>
      <c r="CHL458" s="28"/>
      <c r="CHM458" s="28"/>
      <c r="CHN458" s="28"/>
      <c r="CHO458" s="28"/>
      <c r="CHP458" s="28"/>
      <c r="CHQ458" s="28"/>
      <c r="CHR458" s="28"/>
      <c r="CHS458" s="28"/>
      <c r="CHT458" s="28"/>
      <c r="CHU458" s="28"/>
      <c r="CHV458" s="28"/>
      <c r="CHW458" s="28"/>
      <c r="CHX458" s="28"/>
      <c r="CHY458" s="28"/>
      <c r="CHZ458" s="28"/>
      <c r="CIA458" s="28"/>
      <c r="CIB458" s="28"/>
      <c r="CIC458" s="28"/>
      <c r="CID458" s="28"/>
      <c r="CIE458" s="28"/>
      <c r="CIF458" s="28"/>
      <c r="CIG458" s="28"/>
      <c r="CIH458" s="28"/>
      <c r="CII458" s="28"/>
      <c r="CIJ458" s="28"/>
      <c r="CIK458" s="28"/>
      <c r="CIL458" s="28"/>
      <c r="CIM458" s="28"/>
      <c r="CIN458" s="28"/>
      <c r="CIO458" s="28"/>
      <c r="CIP458" s="28"/>
      <c r="CIQ458" s="28"/>
      <c r="CIR458" s="28"/>
      <c r="CIS458" s="28"/>
      <c r="CIT458" s="28"/>
      <c r="CIU458" s="28"/>
      <c r="CIV458" s="28"/>
      <c r="CIW458" s="28"/>
      <c r="CIX458" s="28"/>
      <c r="CIY458" s="28"/>
      <c r="CIZ458" s="28"/>
      <c r="CJA458" s="28"/>
      <c r="CJB458" s="28"/>
      <c r="CJC458" s="28"/>
      <c r="CJD458" s="28"/>
      <c r="CJE458" s="28"/>
      <c r="CJF458" s="28"/>
      <c r="CJG458" s="28"/>
      <c r="CJH458" s="28"/>
      <c r="CJI458" s="28"/>
      <c r="CJJ458" s="28"/>
      <c r="CJK458" s="28"/>
      <c r="CJL458" s="28"/>
      <c r="CJM458" s="28"/>
      <c r="CJN458" s="28"/>
      <c r="CJO458" s="28"/>
      <c r="CJP458" s="28"/>
      <c r="CJQ458" s="28"/>
      <c r="CJR458" s="28"/>
      <c r="CJS458" s="28"/>
      <c r="CJT458" s="28"/>
      <c r="CJU458" s="28"/>
      <c r="CJV458" s="28"/>
      <c r="CJW458" s="28"/>
      <c r="CJX458" s="28"/>
      <c r="CJY458" s="28"/>
      <c r="CJZ458" s="28"/>
      <c r="CKA458" s="28"/>
      <c r="CKB458" s="28"/>
      <c r="CKC458" s="28"/>
      <c r="CKD458" s="28"/>
      <c r="CKE458" s="28"/>
      <c r="CKF458" s="28"/>
      <c r="CKG458" s="28"/>
      <c r="CKH458" s="28"/>
      <c r="CKI458" s="28"/>
      <c r="CKJ458" s="28"/>
      <c r="CKK458" s="28"/>
      <c r="CKL458" s="28"/>
      <c r="CKM458" s="28"/>
      <c r="CKN458" s="28"/>
      <c r="CKO458" s="28"/>
      <c r="CKP458" s="28"/>
      <c r="CKQ458" s="28"/>
      <c r="CKR458" s="28"/>
      <c r="CKS458" s="28"/>
      <c r="CKT458" s="28"/>
      <c r="CKU458" s="28"/>
      <c r="CKV458" s="28"/>
      <c r="CKW458" s="28"/>
      <c r="CKX458" s="28"/>
      <c r="CKY458" s="28"/>
      <c r="CKZ458" s="28"/>
      <c r="CLA458" s="28"/>
      <c r="CLB458" s="28"/>
      <c r="CLC458" s="28"/>
      <c r="CLD458" s="28"/>
      <c r="CLE458" s="28"/>
      <c r="CLF458" s="28"/>
      <c r="CLG458" s="28"/>
      <c r="CLH458" s="28"/>
      <c r="CLI458" s="28"/>
      <c r="CLJ458" s="28"/>
      <c r="CLK458" s="28"/>
      <c r="CLL458" s="28"/>
      <c r="CLM458" s="28"/>
      <c r="CLN458" s="28"/>
      <c r="CLO458" s="28"/>
      <c r="CLP458" s="28"/>
      <c r="CLQ458" s="28"/>
      <c r="CLR458" s="28"/>
      <c r="CLS458" s="28"/>
      <c r="CLT458" s="28"/>
      <c r="CLU458" s="28"/>
      <c r="CLV458" s="28"/>
      <c r="CLW458" s="28"/>
      <c r="CLX458" s="28"/>
      <c r="CLY458" s="28"/>
      <c r="CLZ458" s="28"/>
      <c r="CMA458" s="28"/>
      <c r="CMB458" s="28"/>
      <c r="CMC458" s="28"/>
      <c r="CMD458" s="28"/>
      <c r="CME458" s="28"/>
      <c r="CMF458" s="28"/>
      <c r="CMG458" s="28"/>
      <c r="CMH458" s="28"/>
      <c r="CMI458" s="28"/>
      <c r="CMJ458" s="28"/>
      <c r="CMK458" s="28"/>
      <c r="CML458" s="28"/>
      <c r="CMM458" s="28"/>
      <c r="CMN458" s="28"/>
      <c r="CMO458" s="28"/>
      <c r="CMP458" s="28"/>
      <c r="CMQ458" s="28"/>
      <c r="CMR458" s="28"/>
      <c r="CMS458" s="28"/>
      <c r="CMT458" s="28"/>
      <c r="CMU458" s="28"/>
      <c r="CMV458" s="28"/>
      <c r="CMW458" s="28"/>
      <c r="CMX458" s="28"/>
      <c r="CMY458" s="28"/>
      <c r="CMZ458" s="28"/>
      <c r="CNA458" s="28"/>
      <c r="CNB458" s="28"/>
      <c r="CNC458" s="28"/>
      <c r="CND458" s="28"/>
      <c r="CNE458" s="28"/>
      <c r="CNF458" s="28"/>
      <c r="CNG458" s="28"/>
      <c r="CNH458" s="28"/>
      <c r="CNI458" s="28"/>
      <c r="CNJ458" s="28"/>
      <c r="CNK458" s="28"/>
      <c r="CNL458" s="28"/>
      <c r="CNM458" s="28"/>
      <c r="CNN458" s="28"/>
      <c r="CNO458" s="28"/>
      <c r="CNP458" s="28"/>
      <c r="CNQ458" s="28"/>
      <c r="CNR458" s="28"/>
      <c r="CNS458" s="28"/>
      <c r="CNT458" s="28"/>
      <c r="CNU458" s="28"/>
      <c r="CNV458" s="28"/>
      <c r="CNW458" s="28"/>
      <c r="CNX458" s="28"/>
      <c r="CNY458" s="28"/>
      <c r="CNZ458" s="28"/>
      <c r="COA458" s="28"/>
      <c r="COB458" s="28"/>
      <c r="COC458" s="28"/>
      <c r="COD458" s="28"/>
      <c r="COE458" s="28"/>
      <c r="COF458" s="28"/>
      <c r="COG458" s="28"/>
      <c r="COH458" s="28"/>
      <c r="COI458" s="28"/>
      <c r="COJ458" s="28"/>
      <c r="COK458" s="28"/>
      <c r="COL458" s="28"/>
      <c r="COM458" s="28"/>
      <c r="CON458" s="28"/>
      <c r="COO458" s="28"/>
      <c r="COP458" s="28"/>
      <c r="COQ458" s="28"/>
      <c r="COR458" s="28"/>
      <c r="COS458" s="28"/>
      <c r="COT458" s="28"/>
      <c r="COU458" s="28"/>
      <c r="COV458" s="28"/>
      <c r="COW458" s="28"/>
      <c r="COX458" s="28"/>
      <c r="COY458" s="28"/>
      <c r="COZ458" s="28"/>
      <c r="CPA458" s="28"/>
      <c r="CPB458" s="28"/>
      <c r="CPC458" s="28"/>
      <c r="CPD458" s="28"/>
      <c r="CPE458" s="28"/>
      <c r="CPF458" s="28"/>
      <c r="CPG458" s="28"/>
      <c r="CPH458" s="28"/>
      <c r="CPI458" s="28"/>
      <c r="CPJ458" s="28"/>
      <c r="CPK458" s="28"/>
      <c r="CPL458" s="28"/>
      <c r="CPM458" s="28"/>
      <c r="CPN458" s="28"/>
      <c r="CPO458" s="28"/>
      <c r="CPP458" s="28"/>
      <c r="CPQ458" s="28"/>
      <c r="CPR458" s="28"/>
      <c r="CPS458" s="28"/>
      <c r="CPT458" s="28"/>
      <c r="CPU458" s="28"/>
      <c r="CPV458" s="28"/>
      <c r="CPW458" s="28"/>
      <c r="CPX458" s="28"/>
      <c r="CPY458" s="28"/>
      <c r="CPZ458" s="28"/>
      <c r="CQA458" s="28"/>
      <c r="CQB458" s="28"/>
      <c r="CQC458" s="28"/>
      <c r="CQD458" s="28"/>
      <c r="CQE458" s="28"/>
      <c r="CQF458" s="28"/>
      <c r="CQG458" s="28"/>
      <c r="CQH458" s="28"/>
      <c r="CQI458" s="28"/>
      <c r="CQJ458" s="28"/>
      <c r="CQK458" s="28"/>
      <c r="CQL458" s="28"/>
      <c r="CQM458" s="28"/>
      <c r="CQN458" s="28"/>
      <c r="CQO458" s="28"/>
      <c r="CQP458" s="28"/>
      <c r="CQQ458" s="28"/>
      <c r="CQR458" s="28"/>
      <c r="CQS458" s="28"/>
      <c r="CQT458" s="28"/>
      <c r="CQU458" s="28"/>
      <c r="CQV458" s="28"/>
      <c r="CQW458" s="28"/>
      <c r="CQX458" s="28"/>
      <c r="CQY458" s="28"/>
      <c r="CQZ458" s="28"/>
      <c r="CRA458" s="28"/>
      <c r="CRB458" s="28"/>
      <c r="CRC458" s="28"/>
      <c r="CRD458" s="28"/>
      <c r="CRE458" s="28"/>
      <c r="CRF458" s="28"/>
      <c r="CRG458" s="28"/>
      <c r="CRH458" s="28"/>
      <c r="CRI458" s="28"/>
      <c r="CRJ458" s="28"/>
      <c r="CRK458" s="28"/>
      <c r="CRL458" s="28"/>
      <c r="CRM458" s="28"/>
      <c r="CRN458" s="28"/>
      <c r="CRO458" s="28"/>
      <c r="CRP458" s="28"/>
      <c r="CRQ458" s="28"/>
      <c r="CRR458" s="28"/>
      <c r="CRS458" s="28"/>
      <c r="CRT458" s="28"/>
      <c r="CRU458" s="28"/>
      <c r="CRV458" s="28"/>
      <c r="CRW458" s="28"/>
      <c r="CRX458" s="28"/>
      <c r="CRY458" s="28"/>
      <c r="CRZ458" s="28"/>
      <c r="CSA458" s="28"/>
      <c r="CSB458" s="28"/>
      <c r="CSC458" s="28"/>
      <c r="CSD458" s="28"/>
      <c r="CSE458" s="28"/>
      <c r="CSF458" s="28"/>
      <c r="CSG458" s="28"/>
      <c r="CSH458" s="28"/>
      <c r="CSI458" s="28"/>
      <c r="CSJ458" s="28"/>
      <c r="CSK458" s="28"/>
      <c r="CSL458" s="28"/>
      <c r="CSM458" s="28"/>
      <c r="CSN458" s="28"/>
      <c r="CSO458" s="28"/>
      <c r="CSP458" s="28"/>
      <c r="CSQ458" s="28"/>
      <c r="CSR458" s="28"/>
      <c r="CSS458" s="28"/>
      <c r="CST458" s="28"/>
      <c r="CSU458" s="28"/>
      <c r="CSV458" s="28"/>
      <c r="CSW458" s="28"/>
      <c r="CSX458" s="28"/>
      <c r="CSY458" s="28"/>
      <c r="CSZ458" s="28"/>
      <c r="CTA458" s="28"/>
      <c r="CTB458" s="28"/>
      <c r="CTC458" s="28"/>
      <c r="CTD458" s="28"/>
      <c r="CTE458" s="28"/>
      <c r="CTF458" s="28"/>
      <c r="CTG458" s="28"/>
      <c r="CTH458" s="28"/>
      <c r="CTI458" s="28"/>
      <c r="CTJ458" s="28"/>
      <c r="CTK458" s="28"/>
      <c r="CTL458" s="28"/>
      <c r="CTM458" s="28"/>
      <c r="CTN458" s="28"/>
      <c r="CTO458" s="28"/>
      <c r="CTP458" s="28"/>
      <c r="CTQ458" s="28"/>
      <c r="CTR458" s="28"/>
      <c r="CTS458" s="28"/>
      <c r="CTT458" s="28"/>
      <c r="CTU458" s="28"/>
      <c r="CTV458" s="28"/>
      <c r="CTW458" s="28"/>
      <c r="CTX458" s="28"/>
      <c r="CTY458" s="28"/>
      <c r="CTZ458" s="28"/>
      <c r="CUA458" s="28"/>
      <c r="CUB458" s="28"/>
      <c r="CUC458" s="28"/>
      <c r="CUD458" s="28"/>
      <c r="CUE458" s="28"/>
      <c r="CUF458" s="28"/>
      <c r="CUG458" s="28"/>
      <c r="CUH458" s="28"/>
      <c r="CUI458" s="28"/>
      <c r="CUJ458" s="28"/>
      <c r="CUK458" s="28"/>
      <c r="CUL458" s="28"/>
      <c r="CUM458" s="28"/>
      <c r="CUN458" s="28"/>
      <c r="CUO458" s="28"/>
      <c r="CUP458" s="28"/>
      <c r="CUQ458" s="28"/>
      <c r="CUR458" s="28"/>
      <c r="CUS458" s="28"/>
      <c r="CUT458" s="28"/>
      <c r="CUU458" s="28"/>
      <c r="CUV458" s="28"/>
      <c r="CUW458" s="28"/>
      <c r="CUX458" s="28"/>
      <c r="CUY458" s="28"/>
      <c r="CUZ458" s="28"/>
      <c r="CVA458" s="28"/>
      <c r="CVB458" s="28"/>
      <c r="CVC458" s="28"/>
      <c r="CVD458" s="28"/>
      <c r="CVE458" s="28"/>
      <c r="CVF458" s="28"/>
      <c r="CVG458" s="28"/>
      <c r="CVH458" s="28"/>
      <c r="CVI458" s="28"/>
      <c r="CVJ458" s="28"/>
      <c r="CVK458" s="28"/>
      <c r="CVL458" s="28"/>
      <c r="CVM458" s="28"/>
      <c r="CVN458" s="28"/>
      <c r="CVO458" s="28"/>
      <c r="CVP458" s="28"/>
      <c r="CVQ458" s="28"/>
      <c r="CVR458" s="28"/>
      <c r="CVS458" s="28"/>
      <c r="CVT458" s="28"/>
      <c r="CVU458" s="28"/>
      <c r="CVV458" s="28"/>
      <c r="CVW458" s="28"/>
      <c r="CVX458" s="28"/>
      <c r="CVY458" s="28"/>
      <c r="CVZ458" s="28"/>
      <c r="CWA458" s="28"/>
      <c r="CWB458" s="28"/>
      <c r="CWC458" s="28"/>
      <c r="CWD458" s="28"/>
      <c r="CWE458" s="28"/>
      <c r="CWF458" s="28"/>
      <c r="CWG458" s="28"/>
      <c r="CWH458" s="28"/>
      <c r="CWI458" s="28"/>
      <c r="CWJ458" s="28"/>
      <c r="CWK458" s="28"/>
      <c r="CWL458" s="28"/>
      <c r="CWM458" s="28"/>
      <c r="CWN458" s="28"/>
      <c r="CWO458" s="28"/>
      <c r="CWP458" s="28"/>
      <c r="CWQ458" s="28"/>
      <c r="CWR458" s="28"/>
      <c r="CWS458" s="28"/>
      <c r="CWT458" s="28"/>
      <c r="CWU458" s="28"/>
      <c r="CWV458" s="28"/>
      <c r="CWW458" s="28"/>
      <c r="CWX458" s="28"/>
      <c r="CWY458" s="28"/>
      <c r="CWZ458" s="28"/>
      <c r="CXA458" s="28"/>
      <c r="CXB458" s="28"/>
      <c r="CXC458" s="28"/>
      <c r="CXD458" s="28"/>
      <c r="CXE458" s="28"/>
      <c r="CXF458" s="28"/>
      <c r="CXG458" s="28"/>
      <c r="CXH458" s="28"/>
      <c r="CXI458" s="28"/>
      <c r="CXJ458" s="28"/>
      <c r="CXK458" s="28"/>
      <c r="CXL458" s="28"/>
      <c r="CXM458" s="28"/>
      <c r="CXN458" s="28"/>
      <c r="CXO458" s="28"/>
      <c r="CXP458" s="28"/>
      <c r="CXQ458" s="28"/>
      <c r="CXR458" s="28"/>
      <c r="CXS458" s="28"/>
      <c r="CXT458" s="28"/>
      <c r="CXU458" s="28"/>
      <c r="CXV458" s="28"/>
      <c r="CXW458" s="28"/>
      <c r="CXX458" s="28"/>
      <c r="CXY458" s="28"/>
      <c r="CXZ458" s="28"/>
      <c r="CYA458" s="28"/>
      <c r="CYB458" s="28"/>
      <c r="CYC458" s="28"/>
      <c r="CYD458" s="28"/>
      <c r="CYE458" s="28"/>
      <c r="CYF458" s="28"/>
      <c r="CYG458" s="28"/>
      <c r="CYH458" s="28"/>
      <c r="CYI458" s="28"/>
      <c r="CYJ458" s="28"/>
      <c r="CYK458" s="28"/>
      <c r="CYL458" s="28"/>
      <c r="CYM458" s="28"/>
      <c r="CYN458" s="28"/>
      <c r="CYO458" s="28"/>
      <c r="CYP458" s="28"/>
      <c r="CYQ458" s="28"/>
      <c r="CYR458" s="28"/>
      <c r="CYS458" s="28"/>
      <c r="CYT458" s="28"/>
      <c r="CYU458" s="28"/>
      <c r="CYV458" s="28"/>
      <c r="CYW458" s="28"/>
      <c r="CYX458" s="28"/>
      <c r="CYY458" s="28"/>
      <c r="CYZ458" s="28"/>
      <c r="CZA458" s="28"/>
      <c r="CZB458" s="28"/>
      <c r="CZC458" s="28"/>
      <c r="CZD458" s="28"/>
      <c r="CZE458" s="28"/>
      <c r="CZF458" s="28"/>
      <c r="CZG458" s="28"/>
      <c r="CZH458" s="28"/>
      <c r="CZI458" s="28"/>
      <c r="CZJ458" s="28"/>
      <c r="CZK458" s="28"/>
      <c r="CZL458" s="28"/>
      <c r="CZM458" s="28"/>
      <c r="CZN458" s="28"/>
      <c r="CZO458" s="28"/>
      <c r="CZP458" s="28"/>
      <c r="CZQ458" s="28"/>
      <c r="CZR458" s="28"/>
      <c r="CZS458" s="28"/>
      <c r="CZT458" s="28"/>
      <c r="CZU458" s="28"/>
      <c r="CZV458" s="28"/>
      <c r="CZW458" s="28"/>
      <c r="CZX458" s="28"/>
      <c r="CZY458" s="28"/>
      <c r="CZZ458" s="28"/>
      <c r="DAA458" s="28"/>
      <c r="DAB458" s="28"/>
      <c r="DAC458" s="28"/>
      <c r="DAD458" s="28"/>
      <c r="DAE458" s="28"/>
      <c r="DAF458" s="28"/>
      <c r="DAG458" s="28"/>
      <c r="DAH458" s="28"/>
      <c r="DAI458" s="28"/>
      <c r="DAJ458" s="28"/>
      <c r="DAK458" s="28"/>
      <c r="DAL458" s="28"/>
      <c r="DAM458" s="28"/>
      <c r="DAN458" s="28"/>
      <c r="DAO458" s="28"/>
      <c r="DAP458" s="28"/>
      <c r="DAQ458" s="28"/>
      <c r="DAR458" s="28"/>
      <c r="DAS458" s="28"/>
      <c r="DAT458" s="28"/>
      <c r="DAU458" s="28"/>
      <c r="DAV458" s="28"/>
      <c r="DAW458" s="28"/>
      <c r="DAX458" s="28"/>
      <c r="DAY458" s="28"/>
      <c r="DAZ458" s="28"/>
      <c r="DBA458" s="28"/>
      <c r="DBB458" s="28"/>
      <c r="DBC458" s="28"/>
      <c r="DBD458" s="28"/>
      <c r="DBE458" s="28"/>
      <c r="DBF458" s="28"/>
      <c r="DBG458" s="28"/>
      <c r="DBH458" s="28"/>
      <c r="DBI458" s="28"/>
      <c r="DBJ458" s="28"/>
      <c r="DBK458" s="28"/>
      <c r="DBL458" s="28"/>
      <c r="DBM458" s="28"/>
      <c r="DBN458" s="28"/>
      <c r="DBO458" s="28"/>
      <c r="DBP458" s="28"/>
      <c r="DBQ458" s="28"/>
      <c r="DBR458" s="28"/>
      <c r="DBS458" s="28"/>
      <c r="DBT458" s="28"/>
      <c r="DBU458" s="28"/>
      <c r="DBV458" s="28"/>
      <c r="DBW458" s="28"/>
      <c r="DBX458" s="28"/>
      <c r="DBY458" s="28"/>
      <c r="DBZ458" s="28"/>
      <c r="DCA458" s="28"/>
      <c r="DCB458" s="28"/>
      <c r="DCC458" s="28"/>
      <c r="DCD458" s="28"/>
      <c r="DCE458" s="28"/>
      <c r="DCF458" s="28"/>
      <c r="DCG458" s="28"/>
      <c r="DCH458" s="28"/>
      <c r="DCI458" s="28"/>
      <c r="DCJ458" s="28"/>
      <c r="DCK458" s="28"/>
      <c r="DCL458" s="28"/>
      <c r="DCM458" s="28"/>
      <c r="DCN458" s="28"/>
      <c r="DCO458" s="28"/>
      <c r="DCP458" s="28"/>
      <c r="DCQ458" s="28"/>
      <c r="DCR458" s="28"/>
      <c r="DCS458" s="28"/>
      <c r="DCT458" s="28"/>
      <c r="DCU458" s="28"/>
      <c r="DCV458" s="28"/>
      <c r="DCW458" s="28"/>
      <c r="DCX458" s="28"/>
      <c r="DCY458" s="28"/>
      <c r="DCZ458" s="28"/>
      <c r="DDA458" s="28"/>
      <c r="DDB458" s="28"/>
      <c r="DDC458" s="28"/>
      <c r="DDD458" s="28"/>
      <c r="DDE458" s="28"/>
      <c r="DDF458" s="28"/>
      <c r="DDG458" s="28"/>
      <c r="DDH458" s="28"/>
      <c r="DDI458" s="28"/>
      <c r="DDJ458" s="28"/>
      <c r="DDK458" s="28"/>
      <c r="DDL458" s="28"/>
      <c r="DDM458" s="28"/>
      <c r="DDN458" s="28"/>
      <c r="DDO458" s="28"/>
      <c r="DDP458" s="28"/>
      <c r="DDQ458" s="28"/>
      <c r="DDR458" s="28"/>
      <c r="DDS458" s="28"/>
      <c r="DDT458" s="28"/>
      <c r="DDU458" s="28"/>
      <c r="DDV458" s="28"/>
      <c r="DDW458" s="28"/>
      <c r="DDX458" s="28"/>
      <c r="DDY458" s="28"/>
      <c r="DDZ458" s="28"/>
      <c r="DEA458" s="28"/>
      <c r="DEB458" s="28"/>
      <c r="DEC458" s="28"/>
      <c r="DED458" s="28"/>
      <c r="DEE458" s="28"/>
      <c r="DEF458" s="28"/>
      <c r="DEG458" s="28"/>
      <c r="DEH458" s="28"/>
      <c r="DEI458" s="28"/>
      <c r="DEJ458" s="28"/>
      <c r="DEK458" s="28"/>
      <c r="DEL458" s="28"/>
      <c r="DEM458" s="28"/>
      <c r="DEN458" s="28"/>
      <c r="DEO458" s="28"/>
      <c r="DEP458" s="28"/>
      <c r="DEQ458" s="28"/>
      <c r="DER458" s="28"/>
      <c r="DES458" s="28"/>
      <c r="DET458" s="28"/>
      <c r="DEU458" s="28"/>
      <c r="DEV458" s="28"/>
      <c r="DEW458" s="28"/>
      <c r="DEX458" s="28"/>
      <c r="DEY458" s="28"/>
      <c r="DEZ458" s="28"/>
      <c r="DFA458" s="28"/>
      <c r="DFB458" s="28"/>
      <c r="DFC458" s="28"/>
      <c r="DFD458" s="28"/>
      <c r="DFE458" s="28"/>
      <c r="DFF458" s="28"/>
      <c r="DFG458" s="28"/>
      <c r="DFH458" s="28"/>
      <c r="DFI458" s="28"/>
      <c r="DFJ458" s="28"/>
      <c r="DFK458" s="28"/>
      <c r="DFL458" s="28"/>
      <c r="DFM458" s="28"/>
      <c r="DFN458" s="28"/>
      <c r="DFO458" s="28"/>
      <c r="DFP458" s="28"/>
      <c r="DFQ458" s="28"/>
      <c r="DFR458" s="28"/>
      <c r="DFS458" s="28"/>
      <c r="DFT458" s="28"/>
      <c r="DFU458" s="28"/>
      <c r="DFV458" s="28"/>
      <c r="DFW458" s="28"/>
      <c r="DFX458" s="28"/>
      <c r="DFY458" s="28"/>
      <c r="DFZ458" s="28"/>
      <c r="DGA458" s="28"/>
      <c r="DGB458" s="28"/>
      <c r="DGC458" s="28"/>
      <c r="DGD458" s="28"/>
      <c r="DGE458" s="28"/>
      <c r="DGF458" s="28"/>
      <c r="DGG458" s="28"/>
      <c r="DGH458" s="28"/>
      <c r="DGI458" s="28"/>
      <c r="DGJ458" s="28"/>
      <c r="DGK458" s="28"/>
      <c r="DGL458" s="28"/>
      <c r="DGM458" s="28"/>
      <c r="DGN458" s="28"/>
      <c r="DGO458" s="28"/>
      <c r="DGP458" s="28"/>
      <c r="DGQ458" s="28"/>
      <c r="DGR458" s="28"/>
      <c r="DGS458" s="28"/>
      <c r="DGT458" s="28"/>
      <c r="DGU458" s="28"/>
      <c r="DGV458" s="28"/>
      <c r="DGW458" s="28"/>
      <c r="DGX458" s="28"/>
      <c r="DGY458" s="28"/>
      <c r="DGZ458" s="28"/>
      <c r="DHA458" s="28"/>
      <c r="DHB458" s="28"/>
      <c r="DHC458" s="28"/>
      <c r="DHD458" s="28"/>
      <c r="DHE458" s="28"/>
      <c r="DHF458" s="28"/>
      <c r="DHG458" s="28"/>
      <c r="DHH458" s="28"/>
      <c r="DHI458" s="28"/>
      <c r="DHJ458" s="28"/>
      <c r="DHK458" s="28"/>
      <c r="DHL458" s="28"/>
      <c r="DHM458" s="28"/>
      <c r="DHN458" s="28"/>
      <c r="DHO458" s="28"/>
      <c r="DHP458" s="28"/>
      <c r="DHQ458" s="28"/>
      <c r="DHR458" s="28"/>
      <c r="DHS458" s="28"/>
      <c r="DHT458" s="28"/>
      <c r="DHU458" s="28"/>
      <c r="DHV458" s="28"/>
      <c r="DHW458" s="28"/>
      <c r="DHX458" s="28"/>
      <c r="DHY458" s="28"/>
      <c r="DHZ458" s="28"/>
      <c r="DIA458" s="28"/>
      <c r="DIB458" s="28"/>
      <c r="DIC458" s="28"/>
      <c r="DID458" s="28"/>
      <c r="DIE458" s="28"/>
      <c r="DIF458" s="28"/>
      <c r="DIG458" s="28"/>
      <c r="DIH458" s="28"/>
      <c r="DII458" s="28"/>
      <c r="DIJ458" s="28"/>
      <c r="DIK458" s="28"/>
      <c r="DIL458" s="28"/>
      <c r="DIM458" s="28"/>
      <c r="DIN458" s="28"/>
      <c r="DIO458" s="28"/>
      <c r="DIP458" s="28"/>
      <c r="DIQ458" s="28"/>
      <c r="DIR458" s="28"/>
      <c r="DIS458" s="28"/>
      <c r="DIT458" s="28"/>
      <c r="DIU458" s="28"/>
      <c r="DIV458" s="28"/>
      <c r="DIW458" s="28"/>
      <c r="DIX458" s="28"/>
      <c r="DIY458" s="28"/>
      <c r="DIZ458" s="28"/>
      <c r="DJA458" s="28"/>
      <c r="DJB458" s="28"/>
      <c r="DJC458" s="28"/>
      <c r="DJD458" s="28"/>
      <c r="DJE458" s="28"/>
      <c r="DJF458" s="28"/>
      <c r="DJG458" s="28"/>
      <c r="DJH458" s="28"/>
      <c r="DJI458" s="28"/>
      <c r="DJJ458" s="28"/>
      <c r="DJK458" s="28"/>
      <c r="DJL458" s="28"/>
      <c r="DJM458" s="28"/>
      <c r="DJN458" s="28"/>
      <c r="DJO458" s="28"/>
      <c r="DJP458" s="28"/>
      <c r="DJQ458" s="28"/>
      <c r="DJR458" s="28"/>
      <c r="DJS458" s="28"/>
      <c r="DJT458" s="28"/>
      <c r="DJU458" s="28"/>
      <c r="DJV458" s="28"/>
      <c r="DJW458" s="28"/>
      <c r="DJX458" s="28"/>
      <c r="DJY458" s="28"/>
      <c r="DJZ458" s="28"/>
      <c r="DKA458" s="28"/>
      <c r="DKB458" s="28"/>
      <c r="DKC458" s="28"/>
      <c r="DKD458" s="28"/>
      <c r="DKE458" s="28"/>
      <c r="DKF458" s="28"/>
      <c r="DKG458" s="28"/>
      <c r="DKH458" s="28"/>
      <c r="DKI458" s="28"/>
      <c r="DKJ458" s="28"/>
      <c r="DKK458" s="28"/>
      <c r="DKL458" s="28"/>
      <c r="DKM458" s="28"/>
      <c r="DKN458" s="28"/>
      <c r="DKO458" s="28"/>
      <c r="DKP458" s="28"/>
      <c r="DKQ458" s="28"/>
      <c r="DKR458" s="28"/>
      <c r="DKS458" s="28"/>
      <c r="DKT458" s="28"/>
      <c r="DKU458" s="28"/>
      <c r="DKV458" s="28"/>
      <c r="DKW458" s="28"/>
      <c r="DKX458" s="28"/>
      <c r="DKY458" s="28"/>
      <c r="DKZ458" s="28"/>
      <c r="DLA458" s="28"/>
      <c r="DLB458" s="28"/>
      <c r="DLC458" s="28"/>
      <c r="DLD458" s="28"/>
      <c r="DLE458" s="28"/>
      <c r="DLF458" s="28"/>
      <c r="DLG458" s="28"/>
      <c r="DLH458" s="28"/>
      <c r="DLI458" s="28"/>
      <c r="DLJ458" s="28"/>
      <c r="DLK458" s="28"/>
      <c r="DLL458" s="28"/>
      <c r="DLM458" s="28"/>
      <c r="DLN458" s="28"/>
      <c r="DLO458" s="28"/>
      <c r="DLP458" s="28"/>
      <c r="DLQ458" s="28"/>
      <c r="DLR458" s="28"/>
      <c r="DLS458" s="28"/>
      <c r="DLT458" s="28"/>
      <c r="DLU458" s="28"/>
      <c r="DLV458" s="28"/>
      <c r="DLW458" s="28"/>
      <c r="DLX458" s="28"/>
      <c r="DLY458" s="28"/>
      <c r="DLZ458" s="28"/>
      <c r="DMA458" s="28"/>
      <c r="DMB458" s="28"/>
      <c r="DMC458" s="28"/>
      <c r="DMD458" s="28"/>
      <c r="DME458" s="28"/>
      <c r="DMF458" s="28"/>
      <c r="DMG458" s="28"/>
      <c r="DMH458" s="28"/>
      <c r="DMI458" s="28"/>
      <c r="DMJ458" s="28"/>
      <c r="DMK458" s="28"/>
      <c r="DML458" s="28"/>
      <c r="DMM458" s="28"/>
      <c r="DMN458" s="28"/>
      <c r="DMO458" s="28"/>
      <c r="DMP458" s="28"/>
      <c r="DMQ458" s="28"/>
      <c r="DMR458" s="28"/>
      <c r="DMS458" s="28"/>
      <c r="DMT458" s="28"/>
      <c r="DMU458" s="28"/>
      <c r="DMV458" s="28"/>
      <c r="DMW458" s="28"/>
      <c r="DMX458" s="28"/>
      <c r="DMY458" s="28"/>
      <c r="DMZ458" s="28"/>
      <c r="DNA458" s="28"/>
      <c r="DNB458" s="28"/>
      <c r="DNC458" s="28"/>
      <c r="DND458" s="28"/>
      <c r="DNE458" s="28"/>
      <c r="DNF458" s="28"/>
      <c r="DNG458" s="28"/>
      <c r="DNH458" s="28"/>
      <c r="DNI458" s="28"/>
      <c r="DNJ458" s="28"/>
      <c r="DNK458" s="28"/>
      <c r="DNL458" s="28"/>
      <c r="DNM458" s="28"/>
      <c r="DNN458" s="28"/>
      <c r="DNO458" s="28"/>
      <c r="DNP458" s="28"/>
      <c r="DNQ458" s="28"/>
      <c r="DNR458" s="28"/>
      <c r="DNS458" s="28"/>
      <c r="DNT458" s="28"/>
      <c r="DNU458" s="28"/>
      <c r="DNV458" s="28"/>
      <c r="DNW458" s="28"/>
      <c r="DNX458" s="28"/>
      <c r="DNY458" s="28"/>
      <c r="DNZ458" s="28"/>
      <c r="DOA458" s="28"/>
      <c r="DOB458" s="28"/>
      <c r="DOC458" s="28"/>
      <c r="DOD458" s="28"/>
      <c r="DOE458" s="28"/>
      <c r="DOF458" s="28"/>
      <c r="DOG458" s="28"/>
      <c r="DOH458" s="28"/>
      <c r="DOI458" s="28"/>
      <c r="DOJ458" s="28"/>
      <c r="DOK458" s="28"/>
      <c r="DOL458" s="28"/>
      <c r="DOM458" s="28"/>
      <c r="DON458" s="28"/>
      <c r="DOO458" s="28"/>
      <c r="DOP458" s="28"/>
      <c r="DOQ458" s="28"/>
      <c r="DOR458" s="28"/>
      <c r="DOS458" s="28"/>
      <c r="DOT458" s="28"/>
      <c r="DOU458" s="28"/>
      <c r="DOV458" s="28"/>
      <c r="DOW458" s="28"/>
      <c r="DOX458" s="28"/>
      <c r="DOY458" s="28"/>
      <c r="DOZ458" s="28"/>
      <c r="DPA458" s="28"/>
      <c r="DPB458" s="28"/>
      <c r="DPC458" s="28"/>
      <c r="DPD458" s="28"/>
      <c r="DPE458" s="28"/>
      <c r="DPF458" s="28"/>
      <c r="DPG458" s="28"/>
      <c r="DPH458" s="28"/>
      <c r="DPI458" s="28"/>
      <c r="DPJ458" s="28"/>
      <c r="DPK458" s="28"/>
      <c r="DPL458" s="28"/>
      <c r="DPM458" s="28"/>
      <c r="DPN458" s="28"/>
      <c r="DPO458" s="28"/>
      <c r="DPP458" s="28"/>
      <c r="DPQ458" s="28"/>
      <c r="DPR458" s="28"/>
      <c r="DPS458" s="28"/>
      <c r="DPT458" s="28"/>
      <c r="DPU458" s="28"/>
      <c r="DPV458" s="28"/>
      <c r="DPW458" s="28"/>
      <c r="DPX458" s="28"/>
      <c r="DPY458" s="28"/>
      <c r="DPZ458" s="28"/>
      <c r="DQA458" s="28"/>
      <c r="DQB458" s="28"/>
      <c r="DQC458" s="28"/>
      <c r="DQD458" s="28"/>
      <c r="DQE458" s="28"/>
      <c r="DQF458" s="28"/>
      <c r="DQG458" s="28"/>
      <c r="DQH458" s="28"/>
      <c r="DQI458" s="28"/>
      <c r="DQJ458" s="28"/>
      <c r="DQK458" s="28"/>
      <c r="DQL458" s="28"/>
      <c r="DQM458" s="28"/>
      <c r="DQN458" s="28"/>
      <c r="DQO458" s="28"/>
      <c r="DQP458" s="28"/>
      <c r="DQQ458" s="28"/>
      <c r="DQR458" s="28"/>
      <c r="DQS458" s="28"/>
      <c r="DQT458" s="28"/>
      <c r="DQU458" s="28"/>
      <c r="DQV458" s="28"/>
      <c r="DQW458" s="28"/>
      <c r="DQX458" s="28"/>
      <c r="DQY458" s="28"/>
      <c r="DQZ458" s="28"/>
      <c r="DRA458" s="28"/>
      <c r="DRB458" s="28"/>
      <c r="DRC458" s="28"/>
      <c r="DRD458" s="28"/>
      <c r="DRE458" s="28"/>
      <c r="DRF458" s="28"/>
      <c r="DRG458" s="28"/>
      <c r="DRH458" s="28"/>
      <c r="DRI458" s="28"/>
      <c r="DRJ458" s="28"/>
      <c r="DRK458" s="28"/>
      <c r="DRL458" s="28"/>
      <c r="DRM458" s="28"/>
      <c r="DRN458" s="28"/>
      <c r="DRO458" s="28"/>
      <c r="DRP458" s="28"/>
      <c r="DRQ458" s="28"/>
      <c r="DRR458" s="28"/>
      <c r="DRS458" s="28"/>
      <c r="DRT458" s="28"/>
      <c r="DRU458" s="28"/>
      <c r="DRV458" s="28"/>
      <c r="DRW458" s="28"/>
      <c r="DRX458" s="28"/>
      <c r="DRY458" s="28"/>
      <c r="DRZ458" s="28"/>
      <c r="DSA458" s="28"/>
      <c r="DSB458" s="28"/>
      <c r="DSC458" s="28"/>
      <c r="DSD458" s="28"/>
      <c r="DSE458" s="28"/>
      <c r="DSF458" s="28"/>
      <c r="DSG458" s="28"/>
      <c r="DSH458" s="28"/>
      <c r="DSI458" s="28"/>
      <c r="DSJ458" s="28"/>
      <c r="DSK458" s="28"/>
      <c r="DSL458" s="28"/>
      <c r="DSM458" s="28"/>
      <c r="DSN458" s="28"/>
      <c r="DSO458" s="28"/>
      <c r="DSP458" s="28"/>
      <c r="DSQ458" s="28"/>
      <c r="DSR458" s="28"/>
      <c r="DSS458" s="28"/>
      <c r="DST458" s="28"/>
      <c r="DSU458" s="28"/>
      <c r="DSV458" s="28"/>
      <c r="DSW458" s="28"/>
      <c r="DSX458" s="28"/>
      <c r="DSY458" s="28"/>
      <c r="DSZ458" s="28"/>
      <c r="DTA458" s="28"/>
      <c r="DTB458" s="28"/>
      <c r="DTC458" s="28"/>
      <c r="DTD458" s="28"/>
      <c r="DTE458" s="28"/>
      <c r="DTF458" s="28"/>
      <c r="DTG458" s="28"/>
      <c r="DTH458" s="28"/>
      <c r="DTI458" s="28"/>
      <c r="DTJ458" s="28"/>
      <c r="DTK458" s="28"/>
      <c r="DTL458" s="28"/>
      <c r="DTM458" s="28"/>
      <c r="DTN458" s="28"/>
      <c r="DTO458" s="28"/>
      <c r="DTP458" s="28"/>
      <c r="DTQ458" s="28"/>
      <c r="DTR458" s="28"/>
      <c r="DTS458" s="28"/>
      <c r="DTT458" s="28"/>
      <c r="DTU458" s="28"/>
      <c r="DTV458" s="28"/>
      <c r="DTW458" s="28"/>
      <c r="DTX458" s="28"/>
      <c r="DTY458" s="28"/>
      <c r="DTZ458" s="28"/>
      <c r="DUA458" s="28"/>
      <c r="DUB458" s="28"/>
      <c r="DUC458" s="28"/>
      <c r="DUD458" s="28"/>
      <c r="DUE458" s="28"/>
      <c r="DUF458" s="28"/>
      <c r="DUG458" s="28"/>
      <c r="DUH458" s="28"/>
      <c r="DUI458" s="28"/>
      <c r="DUJ458" s="28"/>
      <c r="DUK458" s="28"/>
      <c r="DUL458" s="28"/>
      <c r="DUM458" s="28"/>
      <c r="DUN458" s="28"/>
      <c r="DUO458" s="28"/>
      <c r="DUP458" s="28"/>
      <c r="DUQ458" s="28"/>
      <c r="DUR458" s="28"/>
      <c r="DUS458" s="28"/>
      <c r="DUT458" s="28"/>
      <c r="DUU458" s="28"/>
      <c r="DUV458" s="28"/>
      <c r="DUW458" s="28"/>
      <c r="DUX458" s="28"/>
      <c r="DUY458" s="28"/>
      <c r="DUZ458" s="28"/>
      <c r="DVA458" s="28"/>
      <c r="DVB458" s="28"/>
      <c r="DVC458" s="28"/>
      <c r="DVD458" s="28"/>
      <c r="DVE458" s="28"/>
      <c r="DVF458" s="28"/>
      <c r="DVG458" s="28"/>
      <c r="DVH458" s="28"/>
      <c r="DVI458" s="28"/>
      <c r="DVJ458" s="28"/>
      <c r="DVK458" s="28"/>
      <c r="DVL458" s="28"/>
      <c r="DVM458" s="28"/>
      <c r="DVN458" s="28"/>
      <c r="DVO458" s="28"/>
      <c r="DVP458" s="28"/>
      <c r="DVQ458" s="28"/>
      <c r="DVR458" s="28"/>
      <c r="DVS458" s="28"/>
      <c r="DVT458" s="28"/>
      <c r="DVU458" s="28"/>
      <c r="DVV458" s="28"/>
      <c r="DVW458" s="28"/>
      <c r="DVX458" s="28"/>
      <c r="DVY458" s="28"/>
      <c r="DVZ458" s="28"/>
      <c r="DWA458" s="28"/>
      <c r="DWB458" s="28"/>
      <c r="DWC458" s="28"/>
      <c r="DWD458" s="28"/>
      <c r="DWE458" s="28"/>
      <c r="DWF458" s="28"/>
      <c r="DWG458" s="28"/>
      <c r="DWH458" s="28"/>
      <c r="DWI458" s="28"/>
      <c r="DWJ458" s="28"/>
      <c r="DWK458" s="28"/>
      <c r="DWL458" s="28"/>
      <c r="DWM458" s="28"/>
      <c r="DWN458" s="28"/>
      <c r="DWO458" s="28"/>
      <c r="DWP458" s="28"/>
      <c r="DWQ458" s="28"/>
      <c r="DWR458" s="28"/>
      <c r="DWS458" s="28"/>
      <c r="DWT458" s="28"/>
      <c r="DWU458" s="28"/>
      <c r="DWV458" s="28"/>
      <c r="DWW458" s="28"/>
      <c r="DWX458" s="28"/>
      <c r="DWY458" s="28"/>
      <c r="DWZ458" s="28"/>
      <c r="DXA458" s="28"/>
      <c r="DXB458" s="28"/>
      <c r="DXC458" s="28"/>
      <c r="DXD458" s="28"/>
      <c r="DXE458" s="28"/>
      <c r="DXF458" s="28"/>
      <c r="DXG458" s="28"/>
      <c r="DXH458" s="28"/>
      <c r="DXI458" s="28"/>
      <c r="DXJ458" s="28"/>
      <c r="DXK458" s="28"/>
      <c r="DXL458" s="28"/>
      <c r="DXM458" s="28"/>
      <c r="DXN458" s="28"/>
      <c r="DXO458" s="28"/>
      <c r="DXP458" s="28"/>
      <c r="DXQ458" s="28"/>
      <c r="DXR458" s="28"/>
      <c r="DXS458" s="28"/>
      <c r="DXT458" s="28"/>
      <c r="DXU458" s="28"/>
      <c r="DXV458" s="28"/>
      <c r="DXW458" s="28"/>
      <c r="DXX458" s="28"/>
      <c r="DXY458" s="28"/>
      <c r="DXZ458" s="28"/>
      <c r="DYA458" s="28"/>
      <c r="DYB458" s="28"/>
      <c r="DYC458" s="28"/>
      <c r="DYD458" s="28"/>
      <c r="DYE458" s="28"/>
      <c r="DYF458" s="28"/>
      <c r="DYG458" s="28"/>
      <c r="DYH458" s="28"/>
      <c r="DYI458" s="28"/>
      <c r="DYJ458" s="28"/>
      <c r="DYK458" s="28"/>
      <c r="DYL458" s="28"/>
      <c r="DYM458" s="28"/>
      <c r="DYN458" s="28"/>
      <c r="DYO458" s="28"/>
      <c r="DYP458" s="28"/>
      <c r="DYQ458" s="28"/>
      <c r="DYR458" s="28"/>
      <c r="DYS458" s="28"/>
      <c r="DYT458" s="28"/>
      <c r="DYU458" s="28"/>
      <c r="DYV458" s="28"/>
      <c r="DYW458" s="28"/>
      <c r="DYX458" s="28"/>
      <c r="DYY458" s="28"/>
      <c r="DYZ458" s="28"/>
      <c r="DZA458" s="28"/>
      <c r="DZB458" s="28"/>
      <c r="DZC458" s="28"/>
      <c r="DZD458" s="28"/>
      <c r="DZE458" s="28"/>
      <c r="DZF458" s="28"/>
      <c r="DZG458" s="28"/>
      <c r="DZH458" s="28"/>
      <c r="DZI458" s="28"/>
      <c r="DZJ458" s="28"/>
      <c r="DZK458" s="28"/>
      <c r="DZL458" s="28"/>
      <c r="DZM458" s="28"/>
      <c r="DZN458" s="28"/>
      <c r="DZO458" s="28"/>
      <c r="DZP458" s="28"/>
      <c r="DZQ458" s="28"/>
      <c r="DZR458" s="28"/>
      <c r="DZS458" s="28"/>
      <c r="DZT458" s="28"/>
      <c r="DZU458" s="28"/>
      <c r="DZV458" s="28"/>
      <c r="DZW458" s="28"/>
      <c r="DZX458" s="28"/>
      <c r="DZY458" s="28"/>
      <c r="DZZ458" s="28"/>
      <c r="EAA458" s="28"/>
      <c r="EAB458" s="28"/>
      <c r="EAC458" s="28"/>
      <c r="EAD458" s="28"/>
      <c r="EAE458" s="28"/>
      <c r="EAF458" s="28"/>
      <c r="EAG458" s="28"/>
      <c r="EAH458" s="28"/>
      <c r="EAI458" s="28"/>
      <c r="EAJ458" s="28"/>
      <c r="EAK458" s="28"/>
      <c r="EAL458" s="28"/>
      <c r="EAM458" s="28"/>
      <c r="EAN458" s="28"/>
      <c r="EAO458" s="28"/>
      <c r="EAP458" s="28"/>
      <c r="EAQ458" s="28"/>
      <c r="EAR458" s="28"/>
      <c r="EAS458" s="28"/>
      <c r="EAT458" s="28"/>
      <c r="EAU458" s="28"/>
      <c r="EAV458" s="28"/>
      <c r="EAW458" s="28"/>
      <c r="EAX458" s="28"/>
      <c r="EAY458" s="28"/>
      <c r="EAZ458" s="28"/>
      <c r="EBA458" s="28"/>
      <c r="EBB458" s="28"/>
      <c r="EBC458" s="28"/>
      <c r="EBD458" s="28"/>
      <c r="EBE458" s="28"/>
      <c r="EBF458" s="28"/>
      <c r="EBG458" s="28"/>
      <c r="EBH458" s="28"/>
      <c r="EBI458" s="28"/>
      <c r="EBJ458" s="28"/>
      <c r="EBK458" s="28"/>
      <c r="EBL458" s="28"/>
      <c r="EBM458" s="28"/>
      <c r="EBN458" s="28"/>
      <c r="EBO458" s="28"/>
      <c r="EBP458" s="28"/>
      <c r="EBQ458" s="28"/>
      <c r="EBR458" s="28"/>
      <c r="EBS458" s="28"/>
      <c r="EBT458" s="28"/>
      <c r="EBU458" s="28"/>
      <c r="EBV458" s="28"/>
      <c r="EBW458" s="28"/>
      <c r="EBX458" s="28"/>
      <c r="EBY458" s="28"/>
      <c r="EBZ458" s="28"/>
      <c r="ECA458" s="28"/>
      <c r="ECB458" s="28"/>
      <c r="ECC458" s="28"/>
      <c r="ECD458" s="28"/>
      <c r="ECE458" s="28"/>
      <c r="ECF458" s="28"/>
      <c r="ECG458" s="28"/>
      <c r="ECH458" s="28"/>
      <c r="ECI458" s="28"/>
      <c r="ECJ458" s="28"/>
      <c r="ECK458" s="28"/>
      <c r="ECL458" s="28"/>
      <c r="ECM458" s="28"/>
      <c r="ECN458" s="28"/>
      <c r="ECO458" s="28"/>
      <c r="ECP458" s="28"/>
      <c r="ECQ458" s="28"/>
      <c r="ECR458" s="28"/>
      <c r="ECS458" s="28"/>
      <c r="ECT458" s="28"/>
      <c r="ECU458" s="28"/>
      <c r="ECV458" s="28"/>
      <c r="ECW458" s="28"/>
      <c r="ECX458" s="28"/>
      <c r="ECY458" s="28"/>
      <c r="ECZ458" s="28"/>
      <c r="EDA458" s="28"/>
      <c r="EDB458" s="28"/>
      <c r="EDC458" s="28"/>
      <c r="EDD458" s="28"/>
      <c r="EDE458" s="28"/>
      <c r="EDF458" s="28"/>
      <c r="EDG458" s="28"/>
      <c r="EDH458" s="28"/>
      <c r="EDI458" s="28"/>
      <c r="EDJ458" s="28"/>
      <c r="EDK458" s="28"/>
      <c r="EDL458" s="28"/>
      <c r="EDM458" s="28"/>
      <c r="EDN458" s="28"/>
      <c r="EDO458" s="28"/>
      <c r="EDP458" s="28"/>
      <c r="EDQ458" s="28"/>
      <c r="EDR458" s="28"/>
      <c r="EDS458" s="28"/>
      <c r="EDT458" s="28"/>
      <c r="EDU458" s="28"/>
      <c r="EDV458" s="28"/>
      <c r="EDW458" s="28"/>
      <c r="EDX458" s="28"/>
      <c r="EDY458" s="28"/>
      <c r="EDZ458" s="28"/>
      <c r="EEA458" s="28"/>
      <c r="EEB458" s="28"/>
      <c r="EEC458" s="28"/>
      <c r="EED458" s="28"/>
      <c r="EEE458" s="28"/>
      <c r="EEF458" s="28"/>
      <c r="EEG458" s="28"/>
      <c r="EEH458" s="28"/>
      <c r="EEI458" s="28"/>
      <c r="EEJ458" s="28"/>
      <c r="EEK458" s="28"/>
      <c r="EEL458" s="28"/>
      <c r="EEM458" s="28"/>
      <c r="EEN458" s="28"/>
      <c r="EEO458" s="28"/>
      <c r="EEP458" s="28"/>
      <c r="EEQ458" s="28"/>
      <c r="EER458" s="28"/>
      <c r="EES458" s="28"/>
      <c r="EET458" s="28"/>
      <c r="EEU458" s="28"/>
      <c r="EEV458" s="28"/>
      <c r="EEW458" s="28"/>
      <c r="EEX458" s="28"/>
      <c r="EEY458" s="28"/>
      <c r="EEZ458" s="28"/>
      <c r="EFA458" s="28"/>
      <c r="EFB458" s="28"/>
      <c r="EFC458" s="28"/>
      <c r="EFD458" s="28"/>
      <c r="EFE458" s="28"/>
      <c r="EFF458" s="28"/>
      <c r="EFG458" s="28"/>
      <c r="EFH458" s="28"/>
      <c r="EFI458" s="28"/>
      <c r="EFJ458" s="28"/>
      <c r="EFK458" s="28"/>
      <c r="EFL458" s="28"/>
      <c r="EFM458" s="28"/>
      <c r="EFN458" s="28"/>
      <c r="EFO458" s="28"/>
      <c r="EFP458" s="28"/>
      <c r="EFQ458" s="28"/>
      <c r="EFR458" s="28"/>
      <c r="EFS458" s="28"/>
      <c r="EFT458" s="28"/>
      <c r="EFU458" s="28"/>
      <c r="EFV458" s="28"/>
      <c r="EFW458" s="28"/>
      <c r="EFX458" s="28"/>
      <c r="EFY458" s="28"/>
      <c r="EFZ458" s="28"/>
      <c r="EGA458" s="28"/>
      <c r="EGB458" s="28"/>
      <c r="EGC458" s="28"/>
      <c r="EGD458" s="28"/>
      <c r="EGE458" s="28"/>
      <c r="EGF458" s="28"/>
      <c r="EGG458" s="28"/>
      <c r="EGH458" s="28"/>
      <c r="EGI458" s="28"/>
      <c r="EGJ458" s="28"/>
      <c r="EGK458" s="28"/>
      <c r="EGL458" s="28"/>
      <c r="EGM458" s="28"/>
      <c r="EGN458" s="28"/>
      <c r="EGO458" s="28"/>
      <c r="EGP458" s="28"/>
      <c r="EGQ458" s="28"/>
      <c r="EGR458" s="28"/>
      <c r="EGS458" s="28"/>
      <c r="EGT458" s="28"/>
      <c r="EGU458" s="28"/>
      <c r="EGV458" s="28"/>
      <c r="EGW458" s="28"/>
      <c r="EGX458" s="28"/>
      <c r="EGY458" s="28"/>
      <c r="EGZ458" s="28"/>
      <c r="EHA458" s="28"/>
      <c r="EHB458" s="28"/>
      <c r="EHC458" s="28"/>
      <c r="EHD458" s="28"/>
      <c r="EHE458" s="28"/>
      <c r="EHF458" s="28"/>
      <c r="EHG458" s="28"/>
      <c r="EHH458" s="28"/>
      <c r="EHI458" s="28"/>
      <c r="EHJ458" s="28"/>
      <c r="EHK458" s="28"/>
      <c r="EHL458" s="28"/>
      <c r="EHM458" s="28"/>
      <c r="EHN458" s="28"/>
      <c r="EHO458" s="28"/>
      <c r="EHP458" s="28"/>
      <c r="EHQ458" s="28"/>
      <c r="EHR458" s="28"/>
      <c r="EHS458" s="28"/>
      <c r="EHT458" s="28"/>
      <c r="EHU458" s="28"/>
      <c r="EHV458" s="28"/>
      <c r="EHW458" s="28"/>
      <c r="EHX458" s="28"/>
      <c r="EHY458" s="28"/>
      <c r="EHZ458" s="28"/>
      <c r="EIA458" s="28"/>
      <c r="EIB458" s="28"/>
      <c r="EIC458" s="28"/>
      <c r="EID458" s="28"/>
      <c r="EIE458" s="28"/>
      <c r="EIF458" s="28"/>
      <c r="EIG458" s="28"/>
      <c r="EIH458" s="28"/>
      <c r="EII458" s="28"/>
      <c r="EIJ458" s="28"/>
      <c r="EIK458" s="28"/>
      <c r="EIL458" s="28"/>
      <c r="EIM458" s="28"/>
      <c r="EIN458" s="28"/>
      <c r="EIO458" s="28"/>
      <c r="EIP458" s="28"/>
      <c r="EIQ458" s="28"/>
      <c r="EIR458" s="28"/>
      <c r="EIS458" s="28"/>
      <c r="EIT458" s="28"/>
      <c r="EIU458" s="28"/>
      <c r="EIV458" s="28"/>
      <c r="EIW458" s="28"/>
      <c r="EIX458" s="28"/>
      <c r="EIY458" s="28"/>
      <c r="EIZ458" s="28"/>
      <c r="EJA458" s="28"/>
      <c r="EJB458" s="28"/>
      <c r="EJC458" s="28"/>
      <c r="EJD458" s="28"/>
      <c r="EJE458" s="28"/>
      <c r="EJF458" s="28"/>
      <c r="EJG458" s="28"/>
      <c r="EJH458" s="28"/>
      <c r="EJI458" s="28"/>
      <c r="EJJ458" s="28"/>
      <c r="EJK458" s="28"/>
      <c r="EJL458" s="28"/>
      <c r="EJM458" s="28"/>
      <c r="EJN458" s="28"/>
      <c r="EJO458" s="28"/>
      <c r="EJP458" s="28"/>
      <c r="EJQ458" s="28"/>
      <c r="EJR458" s="28"/>
      <c r="EJS458" s="28"/>
      <c r="EJT458" s="28"/>
      <c r="EJU458" s="28"/>
      <c r="EJV458" s="28"/>
      <c r="EJW458" s="28"/>
      <c r="EJX458" s="28"/>
      <c r="EJY458" s="28"/>
      <c r="EJZ458" s="28"/>
      <c r="EKA458" s="28"/>
      <c r="EKB458" s="28"/>
      <c r="EKC458" s="28"/>
      <c r="EKD458" s="28"/>
      <c r="EKE458" s="28"/>
      <c r="EKF458" s="28"/>
      <c r="EKG458" s="28"/>
      <c r="EKH458" s="28"/>
      <c r="EKI458" s="28"/>
      <c r="EKJ458" s="28"/>
      <c r="EKK458" s="28"/>
      <c r="EKL458" s="28"/>
      <c r="EKM458" s="28"/>
      <c r="EKN458" s="28"/>
      <c r="EKO458" s="28"/>
      <c r="EKP458" s="28"/>
      <c r="EKQ458" s="28"/>
      <c r="EKR458" s="28"/>
      <c r="EKS458" s="28"/>
      <c r="EKT458" s="28"/>
      <c r="EKU458" s="28"/>
      <c r="EKV458" s="28"/>
      <c r="EKW458" s="28"/>
      <c r="EKX458" s="28"/>
      <c r="EKY458" s="28"/>
      <c r="EKZ458" s="28"/>
      <c r="ELA458" s="28"/>
      <c r="ELB458" s="28"/>
      <c r="ELC458" s="28"/>
      <c r="ELD458" s="28"/>
      <c r="ELE458" s="28"/>
      <c r="ELF458" s="28"/>
      <c r="ELG458" s="28"/>
      <c r="ELH458" s="28"/>
      <c r="ELI458" s="28"/>
      <c r="ELJ458" s="28"/>
      <c r="ELK458" s="28"/>
      <c r="ELL458" s="28"/>
      <c r="ELM458" s="28"/>
      <c r="ELN458" s="28"/>
      <c r="ELO458" s="28"/>
      <c r="ELP458" s="28"/>
      <c r="ELQ458" s="28"/>
      <c r="ELR458" s="28"/>
      <c r="ELS458" s="28"/>
      <c r="ELT458" s="28"/>
      <c r="ELU458" s="28"/>
      <c r="ELV458" s="28"/>
      <c r="ELW458" s="28"/>
      <c r="ELX458" s="28"/>
      <c r="ELY458" s="28"/>
      <c r="ELZ458" s="28"/>
      <c r="EMA458" s="28"/>
      <c r="EMB458" s="28"/>
      <c r="EMC458" s="28"/>
      <c r="EMD458" s="28"/>
      <c r="EME458" s="28"/>
      <c r="EMF458" s="28"/>
      <c r="EMG458" s="28"/>
      <c r="EMH458" s="28"/>
      <c r="EMI458" s="28"/>
      <c r="EMJ458" s="28"/>
      <c r="EMK458" s="28"/>
      <c r="EML458" s="28"/>
      <c r="EMM458" s="28"/>
      <c r="EMN458" s="28"/>
      <c r="EMO458" s="28"/>
      <c r="EMP458" s="28"/>
      <c r="EMQ458" s="28"/>
      <c r="EMR458" s="28"/>
      <c r="EMS458" s="28"/>
      <c r="EMT458" s="28"/>
      <c r="EMU458" s="28"/>
      <c r="EMV458" s="28"/>
      <c r="EMW458" s="28"/>
      <c r="EMX458" s="28"/>
      <c r="EMY458" s="28"/>
      <c r="EMZ458" s="28"/>
      <c r="ENA458" s="28"/>
      <c r="ENB458" s="28"/>
      <c r="ENC458" s="28"/>
      <c r="END458" s="28"/>
      <c r="ENE458" s="28"/>
      <c r="ENF458" s="28"/>
      <c r="ENG458" s="28"/>
      <c r="ENH458" s="28"/>
      <c r="ENI458" s="28"/>
      <c r="ENJ458" s="28"/>
      <c r="ENK458" s="28"/>
      <c r="ENL458" s="28"/>
      <c r="ENM458" s="28"/>
      <c r="ENN458" s="28"/>
      <c r="ENO458" s="28"/>
      <c r="ENP458" s="28"/>
      <c r="ENQ458" s="28"/>
      <c r="ENR458" s="28"/>
      <c r="ENS458" s="28"/>
      <c r="ENT458" s="28"/>
      <c r="ENU458" s="28"/>
      <c r="ENV458" s="28"/>
      <c r="ENW458" s="28"/>
      <c r="ENX458" s="28"/>
      <c r="ENY458" s="28"/>
      <c r="ENZ458" s="28"/>
      <c r="EOA458" s="28"/>
      <c r="EOB458" s="28"/>
      <c r="EOC458" s="28"/>
      <c r="EOD458" s="28"/>
      <c r="EOE458" s="28"/>
      <c r="EOF458" s="28"/>
      <c r="EOG458" s="28"/>
      <c r="EOH458" s="28"/>
      <c r="EOI458" s="28"/>
      <c r="EOJ458" s="28"/>
      <c r="EOK458" s="28"/>
      <c r="EOL458" s="28"/>
      <c r="EOM458" s="28"/>
      <c r="EON458" s="28"/>
      <c r="EOO458" s="28"/>
      <c r="EOP458" s="28"/>
      <c r="EOQ458" s="28"/>
      <c r="EOR458" s="28"/>
      <c r="EOS458" s="28"/>
      <c r="EOT458" s="28"/>
      <c r="EOU458" s="28"/>
      <c r="EOV458" s="28"/>
      <c r="EOW458" s="28"/>
      <c r="EOX458" s="28"/>
      <c r="EOY458" s="28"/>
      <c r="EOZ458" s="28"/>
      <c r="EPA458" s="28"/>
      <c r="EPB458" s="28"/>
      <c r="EPC458" s="28"/>
      <c r="EPD458" s="28"/>
      <c r="EPE458" s="28"/>
      <c r="EPF458" s="28"/>
      <c r="EPG458" s="28"/>
      <c r="EPH458" s="28"/>
      <c r="EPI458" s="28"/>
      <c r="EPJ458" s="28"/>
      <c r="EPK458" s="28"/>
      <c r="EPL458" s="28"/>
      <c r="EPM458" s="28"/>
      <c r="EPN458" s="28"/>
      <c r="EPO458" s="28"/>
      <c r="EPP458" s="28"/>
      <c r="EPQ458" s="28"/>
      <c r="EPR458" s="28"/>
      <c r="EPS458" s="28"/>
      <c r="EPT458" s="28"/>
      <c r="EPU458" s="28"/>
      <c r="EPV458" s="28"/>
      <c r="EPW458" s="28"/>
      <c r="EPX458" s="28"/>
      <c r="EPY458" s="28"/>
      <c r="EPZ458" s="28"/>
      <c r="EQA458" s="28"/>
      <c r="EQB458" s="28"/>
      <c r="EQC458" s="28"/>
      <c r="EQD458" s="28"/>
      <c r="EQE458" s="28"/>
      <c r="EQF458" s="28"/>
      <c r="EQG458" s="28"/>
      <c r="EQH458" s="28"/>
      <c r="EQI458" s="28"/>
      <c r="EQJ458" s="28"/>
      <c r="EQK458" s="28"/>
      <c r="EQL458" s="28"/>
      <c r="EQM458" s="28"/>
      <c r="EQN458" s="28"/>
      <c r="EQO458" s="28"/>
      <c r="EQP458" s="28"/>
      <c r="EQQ458" s="28"/>
      <c r="EQR458" s="28"/>
      <c r="EQS458" s="28"/>
      <c r="EQT458" s="28"/>
      <c r="EQU458" s="28"/>
      <c r="EQV458" s="28"/>
      <c r="EQW458" s="28"/>
      <c r="EQX458" s="28"/>
      <c r="EQY458" s="28"/>
      <c r="EQZ458" s="28"/>
      <c r="ERA458" s="28"/>
      <c r="ERB458" s="28"/>
      <c r="ERC458" s="28"/>
      <c r="ERD458" s="28"/>
      <c r="ERE458" s="28"/>
      <c r="ERF458" s="28"/>
      <c r="ERG458" s="28"/>
      <c r="ERH458" s="28"/>
      <c r="ERI458" s="28"/>
      <c r="ERJ458" s="28"/>
      <c r="ERK458" s="28"/>
      <c r="ERL458" s="28"/>
      <c r="ERM458" s="28"/>
      <c r="ERN458" s="28"/>
      <c r="ERO458" s="28"/>
      <c r="ERP458" s="28"/>
      <c r="ERQ458" s="28"/>
      <c r="ERR458" s="28"/>
      <c r="ERS458" s="28"/>
      <c r="ERT458" s="28"/>
      <c r="ERU458" s="28"/>
      <c r="ERV458" s="28"/>
      <c r="ERW458" s="28"/>
      <c r="ERX458" s="28"/>
      <c r="ERY458" s="28"/>
      <c r="ERZ458" s="28"/>
      <c r="ESA458" s="28"/>
      <c r="ESB458" s="28"/>
      <c r="ESC458" s="28"/>
      <c r="ESD458" s="28"/>
      <c r="ESE458" s="28"/>
      <c r="ESF458" s="28"/>
      <c r="ESG458" s="28"/>
      <c r="ESH458" s="28"/>
      <c r="ESI458" s="28"/>
      <c r="ESJ458" s="28"/>
      <c r="ESK458" s="28"/>
      <c r="ESL458" s="28"/>
      <c r="ESM458" s="28"/>
      <c r="ESN458" s="28"/>
      <c r="ESO458" s="28"/>
      <c r="ESP458" s="28"/>
      <c r="ESQ458" s="28"/>
      <c r="ESR458" s="28"/>
      <c r="ESS458" s="28"/>
      <c r="EST458" s="28"/>
      <c r="ESU458" s="28"/>
      <c r="ESV458" s="28"/>
      <c r="ESW458" s="28"/>
      <c r="ESX458" s="28"/>
      <c r="ESY458" s="28"/>
      <c r="ESZ458" s="28"/>
      <c r="ETA458" s="28"/>
      <c r="ETB458" s="28"/>
      <c r="ETC458" s="28"/>
      <c r="ETD458" s="28"/>
      <c r="ETE458" s="28"/>
      <c r="ETF458" s="28"/>
      <c r="ETG458" s="28"/>
      <c r="ETH458" s="28"/>
      <c r="ETI458" s="28"/>
      <c r="ETJ458" s="28"/>
      <c r="ETK458" s="28"/>
      <c r="ETL458" s="28"/>
      <c r="ETM458" s="28"/>
      <c r="ETN458" s="28"/>
      <c r="ETO458" s="28"/>
      <c r="ETP458" s="28"/>
      <c r="ETQ458" s="28"/>
      <c r="ETR458" s="28"/>
      <c r="ETS458" s="28"/>
      <c r="ETT458" s="28"/>
      <c r="ETU458" s="28"/>
      <c r="ETV458" s="28"/>
      <c r="ETW458" s="28"/>
      <c r="ETX458" s="28"/>
      <c r="ETY458" s="28"/>
      <c r="ETZ458" s="28"/>
      <c r="EUA458" s="28"/>
      <c r="EUB458" s="28"/>
      <c r="EUC458" s="28"/>
      <c r="EUD458" s="28"/>
      <c r="EUE458" s="28"/>
      <c r="EUF458" s="28"/>
      <c r="EUG458" s="28"/>
      <c r="EUH458" s="28"/>
      <c r="EUI458" s="28"/>
      <c r="EUJ458" s="28"/>
      <c r="EUK458" s="28"/>
      <c r="EUL458" s="28"/>
      <c r="EUM458" s="28"/>
      <c r="EUN458" s="28"/>
      <c r="EUO458" s="28"/>
      <c r="EUP458" s="28"/>
      <c r="EUQ458" s="28"/>
      <c r="EUR458" s="28"/>
      <c r="EUS458" s="28"/>
      <c r="EUT458" s="28"/>
      <c r="EUU458" s="28"/>
      <c r="EUV458" s="28"/>
      <c r="EUW458" s="28"/>
      <c r="EUX458" s="28"/>
      <c r="EUY458" s="28"/>
      <c r="EUZ458" s="28"/>
      <c r="EVA458" s="28"/>
      <c r="EVB458" s="28"/>
      <c r="EVC458" s="28"/>
      <c r="EVD458" s="28"/>
      <c r="EVE458" s="28"/>
      <c r="EVF458" s="28"/>
      <c r="EVG458" s="28"/>
      <c r="EVH458" s="28"/>
      <c r="EVI458" s="28"/>
      <c r="EVJ458" s="28"/>
      <c r="EVK458" s="28"/>
      <c r="EVL458" s="28"/>
      <c r="EVM458" s="28"/>
      <c r="EVN458" s="28"/>
      <c r="EVO458" s="28"/>
      <c r="EVP458" s="28"/>
      <c r="EVQ458" s="28"/>
      <c r="EVR458" s="28"/>
      <c r="EVS458" s="28"/>
      <c r="EVT458" s="28"/>
      <c r="EVU458" s="28"/>
      <c r="EVV458" s="28"/>
      <c r="EVW458" s="28"/>
      <c r="EVX458" s="28"/>
      <c r="EVY458" s="28"/>
      <c r="EVZ458" s="28"/>
      <c r="EWA458" s="28"/>
      <c r="EWB458" s="28"/>
      <c r="EWC458" s="28"/>
      <c r="EWD458" s="28"/>
      <c r="EWE458" s="28"/>
      <c r="EWF458" s="28"/>
      <c r="EWG458" s="28"/>
      <c r="EWH458" s="28"/>
      <c r="EWI458" s="28"/>
      <c r="EWJ458" s="28"/>
      <c r="EWK458" s="28"/>
      <c r="EWL458" s="28"/>
      <c r="EWM458" s="28"/>
      <c r="EWN458" s="28"/>
      <c r="EWO458" s="28"/>
      <c r="EWP458" s="28"/>
      <c r="EWQ458" s="28"/>
      <c r="EWR458" s="28"/>
      <c r="EWS458" s="28"/>
      <c r="EWT458" s="28"/>
      <c r="EWU458" s="28"/>
      <c r="EWV458" s="28"/>
      <c r="EWW458" s="28"/>
      <c r="EWX458" s="28"/>
      <c r="EWY458" s="28"/>
      <c r="EWZ458" s="28"/>
      <c r="EXA458" s="28"/>
      <c r="EXB458" s="28"/>
      <c r="EXC458" s="28"/>
      <c r="EXD458" s="28"/>
      <c r="EXE458" s="28"/>
      <c r="EXF458" s="28"/>
      <c r="EXG458" s="28"/>
      <c r="EXH458" s="28"/>
      <c r="EXI458" s="28"/>
      <c r="EXJ458" s="28"/>
      <c r="EXK458" s="28"/>
      <c r="EXL458" s="28"/>
      <c r="EXM458" s="28"/>
      <c r="EXN458" s="28"/>
      <c r="EXO458" s="28"/>
      <c r="EXP458" s="28"/>
      <c r="EXQ458" s="28"/>
      <c r="EXR458" s="28"/>
      <c r="EXS458" s="28"/>
      <c r="EXT458" s="28"/>
      <c r="EXU458" s="28"/>
      <c r="EXV458" s="28"/>
      <c r="EXW458" s="28"/>
      <c r="EXX458" s="28"/>
      <c r="EXY458" s="28"/>
      <c r="EXZ458" s="28"/>
      <c r="EYA458" s="28"/>
      <c r="EYB458" s="28"/>
      <c r="EYC458" s="28"/>
      <c r="EYD458" s="28"/>
      <c r="EYE458" s="28"/>
      <c r="EYF458" s="28"/>
      <c r="EYG458" s="28"/>
      <c r="EYH458" s="28"/>
      <c r="EYI458" s="28"/>
      <c r="EYJ458" s="28"/>
      <c r="EYK458" s="28"/>
      <c r="EYL458" s="28"/>
      <c r="EYM458" s="28"/>
      <c r="EYN458" s="28"/>
      <c r="EYO458" s="28"/>
      <c r="EYP458" s="28"/>
      <c r="EYQ458" s="28"/>
      <c r="EYR458" s="28"/>
      <c r="EYS458" s="28"/>
      <c r="EYT458" s="28"/>
      <c r="EYU458" s="28"/>
      <c r="EYV458" s="28"/>
      <c r="EYW458" s="28"/>
      <c r="EYX458" s="28"/>
      <c r="EYY458" s="28"/>
      <c r="EYZ458" s="28"/>
      <c r="EZA458" s="28"/>
      <c r="EZB458" s="28"/>
      <c r="EZC458" s="28"/>
      <c r="EZD458" s="28"/>
      <c r="EZE458" s="28"/>
      <c r="EZF458" s="28"/>
      <c r="EZG458" s="28"/>
      <c r="EZH458" s="28"/>
      <c r="EZI458" s="28"/>
      <c r="EZJ458" s="28"/>
      <c r="EZK458" s="28"/>
      <c r="EZL458" s="28"/>
      <c r="EZM458" s="28"/>
      <c r="EZN458" s="28"/>
      <c r="EZO458" s="28"/>
      <c r="EZP458" s="28"/>
      <c r="EZQ458" s="28"/>
      <c r="EZR458" s="28"/>
      <c r="EZS458" s="28"/>
      <c r="EZT458" s="28"/>
      <c r="EZU458" s="28"/>
      <c r="EZV458" s="28"/>
      <c r="EZW458" s="28"/>
      <c r="EZX458" s="28"/>
      <c r="EZY458" s="28"/>
      <c r="EZZ458" s="28"/>
      <c r="FAA458" s="28"/>
      <c r="FAB458" s="28"/>
      <c r="FAC458" s="28"/>
      <c r="FAD458" s="28"/>
      <c r="FAE458" s="28"/>
      <c r="FAF458" s="28"/>
      <c r="FAG458" s="28"/>
      <c r="FAH458" s="28"/>
      <c r="FAI458" s="28"/>
      <c r="FAJ458" s="28"/>
      <c r="FAK458" s="28"/>
      <c r="FAL458" s="28"/>
      <c r="FAM458" s="28"/>
      <c r="FAN458" s="28"/>
      <c r="FAO458" s="28"/>
      <c r="FAP458" s="28"/>
      <c r="FAQ458" s="28"/>
      <c r="FAR458" s="28"/>
      <c r="FAS458" s="28"/>
      <c r="FAT458" s="28"/>
      <c r="FAU458" s="28"/>
      <c r="FAV458" s="28"/>
      <c r="FAW458" s="28"/>
      <c r="FAX458" s="28"/>
      <c r="FAY458" s="28"/>
      <c r="FAZ458" s="28"/>
      <c r="FBA458" s="28"/>
      <c r="FBB458" s="28"/>
      <c r="FBC458" s="28"/>
      <c r="FBD458" s="28"/>
      <c r="FBE458" s="28"/>
      <c r="FBF458" s="28"/>
      <c r="FBG458" s="28"/>
      <c r="FBH458" s="28"/>
      <c r="FBI458" s="28"/>
      <c r="FBJ458" s="28"/>
      <c r="FBK458" s="28"/>
      <c r="FBL458" s="28"/>
      <c r="FBM458" s="28"/>
      <c r="FBN458" s="28"/>
      <c r="FBO458" s="28"/>
      <c r="FBP458" s="28"/>
      <c r="FBQ458" s="28"/>
      <c r="FBR458" s="28"/>
      <c r="FBS458" s="28"/>
      <c r="FBT458" s="28"/>
      <c r="FBU458" s="28"/>
      <c r="FBV458" s="28"/>
      <c r="FBW458" s="28"/>
      <c r="FBX458" s="28"/>
      <c r="FBY458" s="28"/>
      <c r="FBZ458" s="28"/>
      <c r="FCA458" s="28"/>
      <c r="FCB458" s="28"/>
      <c r="FCC458" s="28"/>
      <c r="FCD458" s="28"/>
      <c r="FCE458" s="28"/>
      <c r="FCF458" s="28"/>
      <c r="FCG458" s="28"/>
      <c r="FCH458" s="28"/>
      <c r="FCI458" s="28"/>
      <c r="FCJ458" s="28"/>
      <c r="FCK458" s="28"/>
      <c r="FCL458" s="28"/>
      <c r="FCM458" s="28"/>
      <c r="FCN458" s="28"/>
      <c r="FCO458" s="28"/>
      <c r="FCP458" s="28"/>
      <c r="FCQ458" s="28"/>
      <c r="FCR458" s="28"/>
      <c r="FCS458" s="28"/>
      <c r="FCT458" s="28"/>
      <c r="FCU458" s="28"/>
      <c r="FCV458" s="28"/>
      <c r="FCW458" s="28"/>
      <c r="FCX458" s="28"/>
      <c r="FCY458" s="28"/>
      <c r="FCZ458" s="28"/>
      <c r="FDA458" s="28"/>
      <c r="FDB458" s="28"/>
      <c r="FDC458" s="28"/>
      <c r="FDD458" s="28"/>
      <c r="FDE458" s="28"/>
      <c r="FDF458" s="28"/>
      <c r="FDG458" s="28"/>
      <c r="FDH458" s="28"/>
      <c r="FDI458" s="28"/>
      <c r="FDJ458" s="28"/>
      <c r="FDK458" s="28"/>
      <c r="FDL458" s="28"/>
      <c r="FDM458" s="28"/>
      <c r="FDN458" s="28"/>
      <c r="FDO458" s="28"/>
      <c r="FDP458" s="28"/>
      <c r="FDQ458" s="28"/>
      <c r="FDR458" s="28"/>
      <c r="FDS458" s="28"/>
      <c r="FDT458" s="28"/>
      <c r="FDU458" s="28"/>
      <c r="FDV458" s="28"/>
      <c r="FDW458" s="28"/>
      <c r="FDX458" s="28"/>
      <c r="FDY458" s="28"/>
      <c r="FDZ458" s="28"/>
      <c r="FEA458" s="28"/>
      <c r="FEB458" s="28"/>
      <c r="FEC458" s="28"/>
      <c r="FED458" s="28"/>
      <c r="FEE458" s="28"/>
      <c r="FEF458" s="28"/>
      <c r="FEG458" s="28"/>
      <c r="FEH458" s="28"/>
      <c r="FEI458" s="28"/>
      <c r="FEJ458" s="28"/>
      <c r="FEK458" s="28"/>
      <c r="FEL458" s="28"/>
      <c r="FEM458" s="28"/>
      <c r="FEN458" s="28"/>
      <c r="FEO458" s="28"/>
      <c r="FEP458" s="28"/>
      <c r="FEQ458" s="28"/>
      <c r="FER458" s="28"/>
      <c r="FES458" s="28"/>
      <c r="FET458" s="28"/>
      <c r="FEU458" s="28"/>
      <c r="FEV458" s="28"/>
      <c r="FEW458" s="28"/>
      <c r="FEX458" s="28"/>
      <c r="FEY458" s="28"/>
      <c r="FEZ458" s="28"/>
      <c r="FFA458" s="28"/>
      <c r="FFB458" s="28"/>
      <c r="FFC458" s="28"/>
      <c r="FFD458" s="28"/>
      <c r="FFE458" s="28"/>
      <c r="FFF458" s="28"/>
      <c r="FFG458" s="28"/>
      <c r="FFH458" s="28"/>
      <c r="FFI458" s="28"/>
      <c r="FFJ458" s="28"/>
      <c r="FFK458" s="28"/>
      <c r="FFL458" s="28"/>
      <c r="FFM458" s="28"/>
      <c r="FFN458" s="28"/>
      <c r="FFO458" s="28"/>
      <c r="FFP458" s="28"/>
      <c r="FFQ458" s="28"/>
      <c r="FFR458" s="28"/>
      <c r="FFS458" s="28"/>
      <c r="FFT458" s="28"/>
      <c r="FFU458" s="28"/>
      <c r="FFV458" s="28"/>
      <c r="FFW458" s="28"/>
      <c r="FFX458" s="28"/>
      <c r="FFY458" s="28"/>
      <c r="FFZ458" s="28"/>
      <c r="FGA458" s="28"/>
      <c r="FGB458" s="28"/>
      <c r="FGC458" s="28"/>
      <c r="FGD458" s="28"/>
      <c r="FGE458" s="28"/>
      <c r="FGF458" s="28"/>
      <c r="FGG458" s="28"/>
      <c r="FGH458" s="28"/>
      <c r="FGI458" s="28"/>
      <c r="FGJ458" s="28"/>
      <c r="FGK458" s="28"/>
      <c r="FGL458" s="28"/>
      <c r="FGM458" s="28"/>
      <c r="FGN458" s="28"/>
      <c r="FGO458" s="28"/>
      <c r="FGP458" s="28"/>
      <c r="FGQ458" s="28"/>
      <c r="FGR458" s="28"/>
      <c r="FGS458" s="28"/>
      <c r="FGT458" s="28"/>
      <c r="FGU458" s="28"/>
      <c r="FGV458" s="28"/>
      <c r="FGW458" s="28"/>
      <c r="FGX458" s="28"/>
      <c r="FGY458" s="28"/>
      <c r="FGZ458" s="28"/>
      <c r="FHA458" s="28"/>
      <c r="FHB458" s="28"/>
      <c r="FHC458" s="28"/>
      <c r="FHD458" s="28"/>
      <c r="FHE458" s="28"/>
      <c r="FHF458" s="28"/>
      <c r="FHG458" s="28"/>
      <c r="FHH458" s="28"/>
      <c r="FHI458" s="28"/>
      <c r="FHJ458" s="28"/>
      <c r="FHK458" s="28"/>
      <c r="FHL458" s="28"/>
      <c r="FHM458" s="28"/>
      <c r="FHN458" s="28"/>
      <c r="FHO458" s="28"/>
      <c r="FHP458" s="28"/>
      <c r="FHQ458" s="28"/>
      <c r="FHR458" s="28"/>
      <c r="FHS458" s="28"/>
      <c r="FHT458" s="28"/>
      <c r="FHU458" s="28"/>
      <c r="FHV458" s="28"/>
      <c r="FHW458" s="28"/>
      <c r="FHX458" s="28"/>
      <c r="FHY458" s="28"/>
      <c r="FHZ458" s="28"/>
      <c r="FIA458" s="28"/>
      <c r="FIB458" s="28"/>
      <c r="FIC458" s="28"/>
      <c r="FID458" s="28"/>
      <c r="FIE458" s="28"/>
      <c r="FIF458" s="28"/>
      <c r="FIG458" s="28"/>
      <c r="FIH458" s="28"/>
      <c r="FII458" s="28"/>
      <c r="FIJ458" s="28"/>
      <c r="FIK458" s="28"/>
      <c r="FIL458" s="28"/>
      <c r="FIM458" s="28"/>
      <c r="FIN458" s="28"/>
      <c r="FIO458" s="28"/>
      <c r="FIP458" s="28"/>
      <c r="FIQ458" s="28"/>
      <c r="FIR458" s="28"/>
      <c r="FIS458" s="28"/>
      <c r="FIT458" s="28"/>
      <c r="FIU458" s="28"/>
      <c r="FIV458" s="28"/>
      <c r="FIW458" s="28"/>
      <c r="FIX458" s="28"/>
      <c r="FIY458" s="28"/>
      <c r="FIZ458" s="28"/>
      <c r="FJA458" s="28"/>
      <c r="FJB458" s="28"/>
      <c r="FJC458" s="28"/>
      <c r="FJD458" s="28"/>
      <c r="FJE458" s="28"/>
      <c r="FJF458" s="28"/>
      <c r="FJG458" s="28"/>
      <c r="FJH458" s="28"/>
      <c r="FJI458" s="28"/>
      <c r="FJJ458" s="28"/>
      <c r="FJK458" s="28"/>
      <c r="FJL458" s="28"/>
      <c r="FJM458" s="28"/>
      <c r="FJN458" s="28"/>
      <c r="FJO458" s="28"/>
      <c r="FJP458" s="28"/>
      <c r="FJQ458" s="28"/>
      <c r="FJR458" s="28"/>
      <c r="FJS458" s="28"/>
      <c r="FJT458" s="28"/>
      <c r="FJU458" s="28"/>
      <c r="FJV458" s="28"/>
      <c r="FJW458" s="28"/>
      <c r="FJX458" s="28"/>
      <c r="FJY458" s="28"/>
      <c r="FJZ458" s="28"/>
      <c r="FKA458" s="28"/>
      <c r="FKB458" s="28"/>
      <c r="FKC458" s="28"/>
      <c r="FKD458" s="28"/>
      <c r="FKE458" s="28"/>
      <c r="FKF458" s="28"/>
      <c r="FKG458" s="28"/>
      <c r="FKH458" s="28"/>
      <c r="FKI458" s="28"/>
      <c r="FKJ458" s="28"/>
      <c r="FKK458" s="28"/>
      <c r="FKL458" s="28"/>
      <c r="FKM458" s="28"/>
      <c r="FKN458" s="28"/>
      <c r="FKO458" s="28"/>
      <c r="FKP458" s="28"/>
      <c r="FKQ458" s="28"/>
      <c r="FKR458" s="28"/>
      <c r="FKS458" s="28"/>
      <c r="FKT458" s="28"/>
      <c r="FKU458" s="28"/>
      <c r="FKV458" s="28"/>
      <c r="FKW458" s="28"/>
      <c r="FKX458" s="28"/>
      <c r="FKY458" s="28"/>
      <c r="FKZ458" s="28"/>
      <c r="FLA458" s="28"/>
      <c r="FLB458" s="28"/>
      <c r="FLC458" s="28"/>
      <c r="FLD458" s="28"/>
      <c r="FLE458" s="28"/>
      <c r="FLF458" s="28"/>
      <c r="FLG458" s="28"/>
      <c r="FLH458" s="28"/>
      <c r="FLI458" s="28"/>
      <c r="FLJ458" s="28"/>
      <c r="FLK458" s="28"/>
      <c r="FLL458" s="28"/>
      <c r="FLM458" s="28"/>
      <c r="FLN458" s="28"/>
      <c r="FLO458" s="28"/>
      <c r="FLP458" s="28"/>
      <c r="FLQ458" s="28"/>
      <c r="FLR458" s="28"/>
      <c r="FLS458" s="28"/>
      <c r="FLT458" s="28"/>
      <c r="FLU458" s="28"/>
      <c r="FLV458" s="28"/>
      <c r="FLW458" s="28"/>
      <c r="FLX458" s="28"/>
      <c r="FLY458" s="28"/>
      <c r="FLZ458" s="28"/>
      <c r="FMA458" s="28"/>
      <c r="FMB458" s="28"/>
      <c r="FMC458" s="28"/>
      <c r="FMD458" s="28"/>
      <c r="FME458" s="28"/>
      <c r="FMF458" s="28"/>
      <c r="FMG458" s="28"/>
      <c r="FMH458" s="28"/>
      <c r="FMI458" s="28"/>
      <c r="FMJ458" s="28"/>
      <c r="FMK458" s="28"/>
      <c r="FML458" s="28"/>
      <c r="FMM458" s="28"/>
      <c r="FMN458" s="28"/>
      <c r="FMO458" s="28"/>
      <c r="FMP458" s="28"/>
      <c r="FMQ458" s="28"/>
      <c r="FMR458" s="28"/>
      <c r="FMS458" s="28"/>
      <c r="FMT458" s="28"/>
      <c r="FMU458" s="28"/>
      <c r="FMV458" s="28"/>
      <c r="FMW458" s="28"/>
      <c r="FMX458" s="28"/>
      <c r="FMY458" s="28"/>
      <c r="FMZ458" s="28"/>
      <c r="FNA458" s="28"/>
      <c r="FNB458" s="28"/>
      <c r="FNC458" s="28"/>
      <c r="FND458" s="28"/>
      <c r="FNE458" s="28"/>
      <c r="FNF458" s="28"/>
      <c r="FNG458" s="28"/>
      <c r="FNH458" s="28"/>
      <c r="FNI458" s="28"/>
      <c r="FNJ458" s="28"/>
      <c r="FNK458" s="28"/>
      <c r="FNL458" s="28"/>
      <c r="FNM458" s="28"/>
      <c r="FNN458" s="28"/>
      <c r="FNO458" s="28"/>
      <c r="FNP458" s="28"/>
      <c r="FNQ458" s="28"/>
      <c r="FNR458" s="28"/>
      <c r="FNS458" s="28"/>
      <c r="FNT458" s="28"/>
      <c r="FNU458" s="28"/>
      <c r="FNV458" s="28"/>
      <c r="FNW458" s="28"/>
      <c r="FNX458" s="28"/>
      <c r="FNY458" s="28"/>
      <c r="FNZ458" s="28"/>
      <c r="FOA458" s="28"/>
      <c r="FOB458" s="28"/>
      <c r="FOC458" s="28"/>
      <c r="FOD458" s="28"/>
      <c r="FOE458" s="28"/>
      <c r="FOF458" s="28"/>
      <c r="FOG458" s="28"/>
      <c r="FOH458" s="28"/>
      <c r="FOI458" s="28"/>
      <c r="FOJ458" s="28"/>
      <c r="FOK458" s="28"/>
      <c r="FOL458" s="28"/>
      <c r="FOM458" s="28"/>
      <c r="FON458" s="28"/>
      <c r="FOO458" s="28"/>
      <c r="FOP458" s="28"/>
      <c r="FOQ458" s="28"/>
      <c r="FOR458" s="28"/>
      <c r="FOS458" s="28"/>
      <c r="FOT458" s="28"/>
      <c r="FOU458" s="28"/>
      <c r="FOV458" s="28"/>
      <c r="FOW458" s="28"/>
      <c r="FOX458" s="28"/>
      <c r="FOY458" s="28"/>
      <c r="FOZ458" s="28"/>
      <c r="FPA458" s="28"/>
      <c r="FPB458" s="28"/>
      <c r="FPC458" s="28"/>
      <c r="FPD458" s="28"/>
      <c r="FPE458" s="28"/>
      <c r="FPF458" s="28"/>
      <c r="FPG458" s="28"/>
      <c r="FPH458" s="28"/>
      <c r="FPI458" s="28"/>
      <c r="FPJ458" s="28"/>
      <c r="FPK458" s="28"/>
      <c r="FPL458" s="28"/>
      <c r="FPM458" s="28"/>
      <c r="FPN458" s="28"/>
      <c r="FPO458" s="28"/>
      <c r="FPP458" s="28"/>
      <c r="FPQ458" s="28"/>
      <c r="FPR458" s="28"/>
      <c r="FPS458" s="28"/>
      <c r="FPT458" s="28"/>
      <c r="FPU458" s="28"/>
      <c r="FPV458" s="28"/>
      <c r="FPW458" s="28"/>
      <c r="FPX458" s="28"/>
      <c r="FPY458" s="28"/>
      <c r="FPZ458" s="28"/>
      <c r="FQA458" s="28"/>
      <c r="FQB458" s="28"/>
      <c r="FQC458" s="28"/>
      <c r="FQD458" s="28"/>
      <c r="FQE458" s="28"/>
      <c r="FQF458" s="28"/>
      <c r="FQG458" s="28"/>
      <c r="FQH458" s="28"/>
      <c r="FQI458" s="28"/>
      <c r="FQJ458" s="28"/>
      <c r="FQK458" s="28"/>
      <c r="FQL458" s="28"/>
      <c r="FQM458" s="28"/>
      <c r="FQN458" s="28"/>
      <c r="FQO458" s="28"/>
      <c r="FQP458" s="28"/>
      <c r="FQQ458" s="28"/>
      <c r="FQR458" s="28"/>
      <c r="FQS458" s="28"/>
      <c r="FQT458" s="28"/>
      <c r="FQU458" s="28"/>
      <c r="FQV458" s="28"/>
      <c r="FQW458" s="28"/>
      <c r="FQX458" s="28"/>
      <c r="FQY458" s="28"/>
      <c r="FQZ458" s="28"/>
      <c r="FRA458" s="28"/>
      <c r="FRB458" s="28"/>
      <c r="FRC458" s="28"/>
      <c r="FRD458" s="28"/>
      <c r="FRE458" s="28"/>
      <c r="FRF458" s="28"/>
      <c r="FRG458" s="28"/>
      <c r="FRH458" s="28"/>
      <c r="FRI458" s="28"/>
      <c r="FRJ458" s="28"/>
      <c r="FRK458" s="28"/>
      <c r="FRL458" s="28"/>
      <c r="FRM458" s="28"/>
      <c r="FRN458" s="28"/>
      <c r="FRO458" s="28"/>
      <c r="FRP458" s="28"/>
      <c r="FRQ458" s="28"/>
      <c r="FRR458" s="28"/>
      <c r="FRS458" s="28"/>
      <c r="FRT458" s="28"/>
      <c r="FRU458" s="28"/>
      <c r="FRV458" s="28"/>
      <c r="FRW458" s="28"/>
      <c r="FRX458" s="28"/>
      <c r="FRY458" s="28"/>
      <c r="FRZ458" s="28"/>
      <c r="FSA458" s="28"/>
      <c r="FSB458" s="28"/>
      <c r="FSC458" s="28"/>
      <c r="FSD458" s="28"/>
      <c r="FSE458" s="28"/>
      <c r="FSF458" s="28"/>
      <c r="FSG458" s="28"/>
      <c r="FSH458" s="28"/>
      <c r="FSI458" s="28"/>
      <c r="FSJ458" s="28"/>
      <c r="FSK458" s="28"/>
      <c r="FSL458" s="28"/>
      <c r="FSM458" s="28"/>
      <c r="FSN458" s="28"/>
      <c r="FSO458" s="28"/>
      <c r="FSP458" s="28"/>
      <c r="FSQ458" s="28"/>
      <c r="FSR458" s="28"/>
      <c r="FSS458" s="28"/>
      <c r="FST458" s="28"/>
      <c r="FSU458" s="28"/>
      <c r="FSV458" s="28"/>
      <c r="FSW458" s="28"/>
      <c r="FSX458" s="28"/>
      <c r="FSY458" s="28"/>
      <c r="FSZ458" s="28"/>
      <c r="FTA458" s="28"/>
      <c r="FTB458" s="28"/>
      <c r="FTC458" s="28"/>
      <c r="FTD458" s="28"/>
      <c r="FTE458" s="28"/>
      <c r="FTF458" s="28"/>
      <c r="FTG458" s="28"/>
      <c r="FTH458" s="28"/>
      <c r="FTI458" s="28"/>
      <c r="FTJ458" s="28"/>
      <c r="FTK458" s="28"/>
      <c r="FTL458" s="28"/>
      <c r="FTM458" s="28"/>
      <c r="FTN458" s="28"/>
      <c r="FTO458" s="28"/>
      <c r="FTP458" s="28"/>
      <c r="FTQ458" s="28"/>
      <c r="FTR458" s="28"/>
      <c r="FTS458" s="28"/>
      <c r="FTT458" s="28"/>
      <c r="FTU458" s="28"/>
      <c r="FTV458" s="28"/>
      <c r="FTW458" s="28"/>
      <c r="FTX458" s="28"/>
      <c r="FTY458" s="28"/>
      <c r="FTZ458" s="28"/>
      <c r="FUA458" s="28"/>
      <c r="FUB458" s="28"/>
      <c r="FUC458" s="28"/>
      <c r="FUD458" s="28"/>
      <c r="FUE458" s="28"/>
      <c r="FUF458" s="28"/>
      <c r="FUG458" s="28"/>
      <c r="FUH458" s="28"/>
      <c r="FUI458" s="28"/>
      <c r="FUJ458" s="28"/>
      <c r="FUK458" s="28"/>
      <c r="FUL458" s="28"/>
      <c r="FUM458" s="28"/>
      <c r="FUN458" s="28"/>
      <c r="FUO458" s="28"/>
      <c r="FUP458" s="28"/>
      <c r="FUQ458" s="28"/>
      <c r="FUR458" s="28"/>
      <c r="FUS458" s="28"/>
      <c r="FUT458" s="28"/>
      <c r="FUU458" s="28"/>
      <c r="FUV458" s="28"/>
      <c r="FUW458" s="28"/>
      <c r="FUX458" s="28"/>
      <c r="FUY458" s="28"/>
      <c r="FUZ458" s="28"/>
      <c r="FVA458" s="28"/>
      <c r="FVB458" s="28"/>
      <c r="FVC458" s="28"/>
      <c r="FVD458" s="28"/>
      <c r="FVE458" s="28"/>
      <c r="FVF458" s="28"/>
      <c r="FVG458" s="28"/>
      <c r="FVH458" s="28"/>
      <c r="FVI458" s="28"/>
      <c r="FVJ458" s="28"/>
      <c r="FVK458" s="28"/>
      <c r="FVL458" s="28"/>
      <c r="FVM458" s="28"/>
      <c r="FVN458" s="28"/>
      <c r="FVO458" s="28"/>
      <c r="FVP458" s="28"/>
      <c r="FVQ458" s="28"/>
      <c r="FVR458" s="28"/>
      <c r="FVS458" s="28"/>
      <c r="FVT458" s="28"/>
      <c r="FVU458" s="28"/>
      <c r="FVV458" s="28"/>
      <c r="FVW458" s="28"/>
      <c r="FVX458" s="28"/>
      <c r="FVY458" s="28"/>
      <c r="FVZ458" s="28"/>
      <c r="FWA458" s="28"/>
      <c r="FWB458" s="28"/>
      <c r="FWC458" s="28"/>
      <c r="FWD458" s="28"/>
      <c r="FWE458" s="28"/>
      <c r="FWF458" s="28"/>
      <c r="FWG458" s="28"/>
      <c r="FWH458" s="28"/>
      <c r="FWI458" s="28"/>
      <c r="FWJ458" s="28"/>
      <c r="FWK458" s="28"/>
      <c r="FWL458" s="28"/>
      <c r="FWM458" s="28"/>
      <c r="FWN458" s="28"/>
      <c r="FWO458" s="28"/>
      <c r="FWP458" s="28"/>
      <c r="FWQ458" s="28"/>
      <c r="FWR458" s="28"/>
      <c r="FWS458" s="28"/>
      <c r="FWT458" s="28"/>
      <c r="FWU458" s="28"/>
      <c r="FWV458" s="28"/>
      <c r="FWW458" s="28"/>
      <c r="FWX458" s="28"/>
      <c r="FWY458" s="28"/>
      <c r="FWZ458" s="28"/>
      <c r="FXA458" s="28"/>
      <c r="FXB458" s="28"/>
      <c r="FXC458" s="28"/>
      <c r="FXD458" s="28"/>
      <c r="FXE458" s="28"/>
      <c r="FXF458" s="28"/>
      <c r="FXG458" s="28"/>
      <c r="FXH458" s="28"/>
      <c r="FXI458" s="28"/>
      <c r="FXJ458" s="28"/>
      <c r="FXK458" s="28"/>
      <c r="FXL458" s="28"/>
      <c r="FXM458" s="28"/>
      <c r="FXN458" s="28"/>
      <c r="FXO458" s="28"/>
      <c r="FXP458" s="28"/>
      <c r="FXQ458" s="28"/>
      <c r="FXR458" s="28"/>
      <c r="FXS458" s="28"/>
      <c r="FXT458" s="28"/>
      <c r="FXU458" s="28"/>
      <c r="FXV458" s="28"/>
      <c r="FXW458" s="28"/>
      <c r="FXX458" s="28"/>
      <c r="FXY458" s="28"/>
      <c r="FXZ458" s="28"/>
      <c r="FYA458" s="28"/>
      <c r="FYB458" s="28"/>
      <c r="FYC458" s="28"/>
      <c r="FYD458" s="28"/>
      <c r="FYE458" s="28"/>
      <c r="FYF458" s="28"/>
      <c r="FYG458" s="28"/>
      <c r="FYH458" s="28"/>
      <c r="FYI458" s="28"/>
      <c r="FYJ458" s="28"/>
      <c r="FYK458" s="28"/>
      <c r="FYL458" s="28"/>
      <c r="FYM458" s="28"/>
      <c r="FYN458" s="28"/>
      <c r="FYO458" s="28"/>
      <c r="FYP458" s="28"/>
      <c r="FYQ458" s="28"/>
      <c r="FYR458" s="28"/>
      <c r="FYS458" s="28"/>
      <c r="FYT458" s="28"/>
      <c r="FYU458" s="28"/>
      <c r="FYV458" s="28"/>
      <c r="FYW458" s="28"/>
      <c r="FYX458" s="28"/>
      <c r="FYY458" s="28"/>
      <c r="FYZ458" s="28"/>
      <c r="FZA458" s="28"/>
      <c r="FZB458" s="28"/>
      <c r="FZC458" s="28"/>
      <c r="FZD458" s="28"/>
      <c r="FZE458" s="28"/>
      <c r="FZF458" s="28"/>
      <c r="FZG458" s="28"/>
      <c r="FZH458" s="28"/>
      <c r="FZI458" s="28"/>
      <c r="FZJ458" s="28"/>
      <c r="FZK458" s="28"/>
      <c r="FZL458" s="28"/>
      <c r="FZM458" s="28"/>
      <c r="FZN458" s="28"/>
      <c r="FZO458" s="28"/>
      <c r="FZP458" s="28"/>
      <c r="FZQ458" s="28"/>
      <c r="FZR458" s="28"/>
      <c r="FZS458" s="28"/>
      <c r="FZT458" s="28"/>
      <c r="FZU458" s="28"/>
      <c r="FZV458" s="28"/>
      <c r="FZW458" s="28"/>
      <c r="FZX458" s="28"/>
      <c r="FZY458" s="28"/>
      <c r="FZZ458" s="28"/>
      <c r="GAA458" s="28"/>
      <c r="GAB458" s="28"/>
      <c r="GAC458" s="28"/>
      <c r="GAD458" s="28"/>
      <c r="GAE458" s="28"/>
      <c r="GAF458" s="28"/>
      <c r="GAG458" s="28"/>
      <c r="GAH458" s="28"/>
      <c r="GAI458" s="28"/>
      <c r="GAJ458" s="28"/>
      <c r="GAK458" s="28"/>
      <c r="GAL458" s="28"/>
      <c r="GAM458" s="28"/>
      <c r="GAN458" s="28"/>
      <c r="GAO458" s="28"/>
      <c r="GAP458" s="28"/>
      <c r="GAQ458" s="28"/>
      <c r="GAR458" s="28"/>
      <c r="GAS458" s="28"/>
      <c r="GAT458" s="28"/>
      <c r="GAU458" s="28"/>
      <c r="GAV458" s="28"/>
      <c r="GAW458" s="28"/>
      <c r="GAX458" s="28"/>
      <c r="GAY458" s="28"/>
      <c r="GAZ458" s="28"/>
      <c r="GBA458" s="28"/>
      <c r="GBB458" s="28"/>
      <c r="GBC458" s="28"/>
      <c r="GBD458" s="28"/>
      <c r="GBE458" s="28"/>
      <c r="GBF458" s="28"/>
      <c r="GBG458" s="28"/>
      <c r="GBH458" s="28"/>
      <c r="GBI458" s="28"/>
      <c r="GBJ458" s="28"/>
      <c r="GBK458" s="28"/>
      <c r="GBL458" s="28"/>
      <c r="GBM458" s="28"/>
      <c r="GBN458" s="28"/>
      <c r="GBO458" s="28"/>
      <c r="GBP458" s="28"/>
      <c r="GBQ458" s="28"/>
      <c r="GBR458" s="28"/>
      <c r="GBS458" s="28"/>
      <c r="GBT458" s="28"/>
      <c r="GBU458" s="28"/>
      <c r="GBV458" s="28"/>
      <c r="GBW458" s="28"/>
      <c r="GBX458" s="28"/>
      <c r="GBY458" s="28"/>
      <c r="GBZ458" s="28"/>
      <c r="GCA458" s="28"/>
      <c r="GCB458" s="28"/>
      <c r="GCC458" s="28"/>
      <c r="GCD458" s="28"/>
      <c r="GCE458" s="28"/>
      <c r="GCF458" s="28"/>
      <c r="GCG458" s="28"/>
      <c r="GCH458" s="28"/>
      <c r="GCI458" s="28"/>
      <c r="GCJ458" s="28"/>
      <c r="GCK458" s="28"/>
      <c r="GCL458" s="28"/>
      <c r="GCM458" s="28"/>
      <c r="GCN458" s="28"/>
      <c r="GCO458" s="28"/>
      <c r="GCP458" s="28"/>
      <c r="GCQ458" s="28"/>
      <c r="GCR458" s="28"/>
      <c r="GCS458" s="28"/>
      <c r="GCT458" s="28"/>
      <c r="GCU458" s="28"/>
      <c r="GCV458" s="28"/>
      <c r="GCW458" s="28"/>
      <c r="GCX458" s="28"/>
      <c r="GCY458" s="28"/>
      <c r="GCZ458" s="28"/>
      <c r="GDA458" s="28"/>
      <c r="GDB458" s="28"/>
      <c r="GDC458" s="28"/>
      <c r="GDD458" s="28"/>
      <c r="GDE458" s="28"/>
      <c r="GDF458" s="28"/>
      <c r="GDG458" s="28"/>
      <c r="GDH458" s="28"/>
      <c r="GDI458" s="28"/>
      <c r="GDJ458" s="28"/>
      <c r="GDK458" s="28"/>
      <c r="GDL458" s="28"/>
      <c r="GDM458" s="28"/>
      <c r="GDN458" s="28"/>
      <c r="GDO458" s="28"/>
      <c r="GDP458" s="28"/>
      <c r="GDQ458" s="28"/>
      <c r="GDR458" s="28"/>
      <c r="GDS458" s="28"/>
      <c r="GDT458" s="28"/>
      <c r="GDU458" s="28"/>
      <c r="GDV458" s="28"/>
      <c r="GDW458" s="28"/>
      <c r="GDX458" s="28"/>
      <c r="GDY458" s="28"/>
      <c r="GDZ458" s="28"/>
      <c r="GEA458" s="28"/>
      <c r="GEB458" s="28"/>
      <c r="GEC458" s="28"/>
      <c r="GED458" s="28"/>
      <c r="GEE458" s="28"/>
      <c r="GEF458" s="28"/>
      <c r="GEG458" s="28"/>
      <c r="GEH458" s="28"/>
      <c r="GEI458" s="28"/>
      <c r="GEJ458" s="28"/>
      <c r="GEK458" s="28"/>
      <c r="GEL458" s="28"/>
      <c r="GEM458" s="28"/>
      <c r="GEN458" s="28"/>
      <c r="GEO458" s="28"/>
      <c r="GEP458" s="28"/>
      <c r="GEQ458" s="28"/>
      <c r="GER458" s="28"/>
      <c r="GES458" s="28"/>
      <c r="GET458" s="28"/>
      <c r="GEU458" s="28"/>
      <c r="GEV458" s="28"/>
      <c r="GEW458" s="28"/>
      <c r="GEX458" s="28"/>
      <c r="GEY458" s="28"/>
      <c r="GEZ458" s="28"/>
      <c r="GFA458" s="28"/>
      <c r="GFB458" s="28"/>
      <c r="GFC458" s="28"/>
      <c r="GFD458" s="28"/>
      <c r="GFE458" s="28"/>
      <c r="GFF458" s="28"/>
      <c r="GFG458" s="28"/>
      <c r="GFH458" s="28"/>
      <c r="GFI458" s="28"/>
      <c r="GFJ458" s="28"/>
      <c r="GFK458" s="28"/>
      <c r="GFL458" s="28"/>
      <c r="GFM458" s="28"/>
      <c r="GFN458" s="28"/>
      <c r="GFO458" s="28"/>
      <c r="GFP458" s="28"/>
      <c r="GFQ458" s="28"/>
      <c r="GFR458" s="28"/>
      <c r="GFS458" s="28"/>
      <c r="GFT458" s="28"/>
      <c r="GFU458" s="28"/>
      <c r="GFV458" s="28"/>
      <c r="GFW458" s="28"/>
      <c r="GFX458" s="28"/>
      <c r="GFY458" s="28"/>
      <c r="GFZ458" s="28"/>
      <c r="GGA458" s="28"/>
      <c r="GGB458" s="28"/>
      <c r="GGC458" s="28"/>
      <c r="GGD458" s="28"/>
      <c r="GGE458" s="28"/>
      <c r="GGF458" s="28"/>
      <c r="GGG458" s="28"/>
      <c r="GGH458" s="28"/>
      <c r="GGI458" s="28"/>
      <c r="GGJ458" s="28"/>
      <c r="GGK458" s="28"/>
      <c r="GGL458" s="28"/>
      <c r="GGM458" s="28"/>
      <c r="GGN458" s="28"/>
      <c r="GGO458" s="28"/>
      <c r="GGP458" s="28"/>
      <c r="GGQ458" s="28"/>
      <c r="GGR458" s="28"/>
      <c r="GGS458" s="28"/>
      <c r="GGT458" s="28"/>
      <c r="GGU458" s="28"/>
      <c r="GGV458" s="28"/>
      <c r="GGW458" s="28"/>
      <c r="GGX458" s="28"/>
      <c r="GGY458" s="28"/>
      <c r="GGZ458" s="28"/>
      <c r="GHA458" s="28"/>
      <c r="GHB458" s="28"/>
      <c r="GHC458" s="28"/>
      <c r="GHD458" s="28"/>
      <c r="GHE458" s="28"/>
      <c r="GHF458" s="28"/>
      <c r="GHG458" s="28"/>
      <c r="GHH458" s="28"/>
      <c r="GHI458" s="28"/>
      <c r="GHJ458" s="28"/>
      <c r="GHK458" s="28"/>
      <c r="GHL458" s="28"/>
      <c r="GHM458" s="28"/>
      <c r="GHN458" s="28"/>
      <c r="GHO458" s="28"/>
      <c r="GHP458" s="28"/>
      <c r="GHQ458" s="28"/>
      <c r="GHR458" s="28"/>
      <c r="GHS458" s="28"/>
      <c r="GHT458" s="28"/>
      <c r="GHU458" s="28"/>
      <c r="GHV458" s="28"/>
      <c r="GHW458" s="28"/>
      <c r="GHX458" s="28"/>
      <c r="GHY458" s="28"/>
      <c r="GHZ458" s="28"/>
      <c r="GIA458" s="28"/>
      <c r="GIB458" s="28"/>
      <c r="GIC458" s="28"/>
      <c r="GID458" s="28"/>
      <c r="GIE458" s="28"/>
      <c r="GIF458" s="28"/>
      <c r="GIG458" s="28"/>
      <c r="GIH458" s="28"/>
      <c r="GII458" s="28"/>
      <c r="GIJ458" s="28"/>
      <c r="GIK458" s="28"/>
      <c r="GIL458" s="28"/>
      <c r="GIM458" s="28"/>
      <c r="GIN458" s="28"/>
      <c r="GIO458" s="28"/>
      <c r="GIP458" s="28"/>
      <c r="GIQ458" s="28"/>
      <c r="GIR458" s="28"/>
      <c r="GIS458" s="28"/>
      <c r="GIT458" s="28"/>
      <c r="GIU458" s="28"/>
      <c r="GIV458" s="28"/>
      <c r="GIW458" s="28"/>
      <c r="GIX458" s="28"/>
      <c r="GIY458" s="28"/>
      <c r="GIZ458" s="28"/>
      <c r="GJA458" s="28"/>
      <c r="GJB458" s="28"/>
      <c r="GJC458" s="28"/>
      <c r="GJD458" s="28"/>
      <c r="GJE458" s="28"/>
      <c r="GJF458" s="28"/>
      <c r="GJG458" s="28"/>
      <c r="GJH458" s="28"/>
      <c r="GJI458" s="28"/>
      <c r="GJJ458" s="28"/>
      <c r="GJK458" s="28"/>
      <c r="GJL458" s="28"/>
      <c r="GJM458" s="28"/>
      <c r="GJN458" s="28"/>
      <c r="GJO458" s="28"/>
      <c r="GJP458" s="28"/>
      <c r="GJQ458" s="28"/>
      <c r="GJR458" s="28"/>
      <c r="GJS458" s="28"/>
      <c r="GJT458" s="28"/>
      <c r="GJU458" s="28"/>
      <c r="GJV458" s="28"/>
      <c r="GJW458" s="28"/>
      <c r="GJX458" s="28"/>
      <c r="GJY458" s="28"/>
      <c r="GJZ458" s="28"/>
      <c r="GKA458" s="28"/>
      <c r="GKB458" s="28"/>
      <c r="GKC458" s="28"/>
      <c r="GKD458" s="28"/>
      <c r="GKE458" s="28"/>
      <c r="GKF458" s="28"/>
      <c r="GKG458" s="28"/>
      <c r="GKH458" s="28"/>
      <c r="GKI458" s="28"/>
      <c r="GKJ458" s="28"/>
      <c r="GKK458" s="28"/>
      <c r="GKL458" s="28"/>
      <c r="GKM458" s="28"/>
      <c r="GKN458" s="28"/>
      <c r="GKO458" s="28"/>
      <c r="GKP458" s="28"/>
      <c r="GKQ458" s="28"/>
      <c r="GKR458" s="28"/>
      <c r="GKS458" s="28"/>
      <c r="GKT458" s="28"/>
      <c r="GKU458" s="28"/>
      <c r="GKV458" s="28"/>
      <c r="GKW458" s="28"/>
      <c r="GKX458" s="28"/>
      <c r="GKY458" s="28"/>
      <c r="GKZ458" s="28"/>
      <c r="GLA458" s="28"/>
      <c r="GLB458" s="28"/>
      <c r="GLC458" s="28"/>
      <c r="GLD458" s="28"/>
      <c r="GLE458" s="28"/>
      <c r="GLF458" s="28"/>
      <c r="GLG458" s="28"/>
      <c r="GLH458" s="28"/>
      <c r="GLI458" s="28"/>
      <c r="GLJ458" s="28"/>
      <c r="GLK458" s="28"/>
      <c r="GLL458" s="28"/>
      <c r="GLM458" s="28"/>
      <c r="GLN458" s="28"/>
      <c r="GLO458" s="28"/>
      <c r="GLP458" s="28"/>
      <c r="GLQ458" s="28"/>
      <c r="GLR458" s="28"/>
      <c r="GLS458" s="28"/>
      <c r="GLT458" s="28"/>
      <c r="GLU458" s="28"/>
      <c r="GLV458" s="28"/>
      <c r="GLW458" s="28"/>
      <c r="GLX458" s="28"/>
      <c r="GLY458" s="28"/>
      <c r="GLZ458" s="28"/>
      <c r="GMA458" s="28"/>
      <c r="GMB458" s="28"/>
      <c r="GMC458" s="28"/>
      <c r="GMD458" s="28"/>
      <c r="GME458" s="28"/>
      <c r="GMF458" s="28"/>
      <c r="GMG458" s="28"/>
      <c r="GMH458" s="28"/>
      <c r="GMI458" s="28"/>
      <c r="GMJ458" s="28"/>
      <c r="GMK458" s="28"/>
      <c r="GML458" s="28"/>
      <c r="GMM458" s="28"/>
      <c r="GMN458" s="28"/>
      <c r="GMO458" s="28"/>
      <c r="GMP458" s="28"/>
      <c r="GMQ458" s="28"/>
      <c r="GMR458" s="28"/>
      <c r="GMS458" s="28"/>
      <c r="GMT458" s="28"/>
      <c r="GMU458" s="28"/>
      <c r="GMV458" s="28"/>
      <c r="GMW458" s="28"/>
      <c r="GMX458" s="28"/>
      <c r="GMY458" s="28"/>
      <c r="GMZ458" s="28"/>
      <c r="GNA458" s="28"/>
      <c r="GNB458" s="28"/>
      <c r="GNC458" s="28"/>
      <c r="GND458" s="28"/>
      <c r="GNE458" s="28"/>
      <c r="GNF458" s="28"/>
      <c r="GNG458" s="28"/>
      <c r="GNH458" s="28"/>
      <c r="GNI458" s="28"/>
      <c r="GNJ458" s="28"/>
      <c r="GNK458" s="28"/>
      <c r="GNL458" s="28"/>
      <c r="GNM458" s="28"/>
      <c r="GNN458" s="28"/>
      <c r="GNO458" s="28"/>
      <c r="GNP458" s="28"/>
      <c r="GNQ458" s="28"/>
      <c r="GNR458" s="28"/>
      <c r="GNS458" s="28"/>
      <c r="GNT458" s="28"/>
      <c r="GNU458" s="28"/>
      <c r="GNV458" s="28"/>
      <c r="GNW458" s="28"/>
      <c r="GNX458" s="28"/>
      <c r="GNY458" s="28"/>
      <c r="GNZ458" s="28"/>
      <c r="GOA458" s="28"/>
      <c r="GOB458" s="28"/>
      <c r="GOC458" s="28"/>
      <c r="GOD458" s="28"/>
      <c r="GOE458" s="28"/>
      <c r="GOF458" s="28"/>
      <c r="GOG458" s="28"/>
      <c r="GOH458" s="28"/>
      <c r="GOI458" s="28"/>
      <c r="GOJ458" s="28"/>
      <c r="GOK458" s="28"/>
      <c r="GOL458" s="28"/>
      <c r="GOM458" s="28"/>
      <c r="GON458" s="28"/>
      <c r="GOO458" s="28"/>
      <c r="GOP458" s="28"/>
      <c r="GOQ458" s="28"/>
      <c r="GOR458" s="28"/>
      <c r="GOS458" s="28"/>
      <c r="GOT458" s="28"/>
      <c r="GOU458" s="28"/>
      <c r="GOV458" s="28"/>
      <c r="GOW458" s="28"/>
      <c r="GOX458" s="28"/>
      <c r="GOY458" s="28"/>
      <c r="GOZ458" s="28"/>
      <c r="GPA458" s="28"/>
      <c r="GPB458" s="28"/>
      <c r="GPC458" s="28"/>
      <c r="GPD458" s="28"/>
      <c r="GPE458" s="28"/>
      <c r="GPF458" s="28"/>
      <c r="GPG458" s="28"/>
      <c r="GPH458" s="28"/>
      <c r="GPI458" s="28"/>
      <c r="GPJ458" s="28"/>
      <c r="GPK458" s="28"/>
      <c r="GPL458" s="28"/>
      <c r="GPM458" s="28"/>
      <c r="GPN458" s="28"/>
      <c r="GPO458" s="28"/>
      <c r="GPP458" s="28"/>
      <c r="GPQ458" s="28"/>
      <c r="GPR458" s="28"/>
      <c r="GPS458" s="28"/>
      <c r="GPT458" s="28"/>
      <c r="GPU458" s="28"/>
      <c r="GPV458" s="28"/>
      <c r="GPW458" s="28"/>
      <c r="GPX458" s="28"/>
      <c r="GPY458" s="28"/>
      <c r="GPZ458" s="28"/>
      <c r="GQA458" s="28"/>
      <c r="GQB458" s="28"/>
      <c r="GQC458" s="28"/>
      <c r="GQD458" s="28"/>
      <c r="GQE458" s="28"/>
      <c r="GQF458" s="28"/>
      <c r="GQG458" s="28"/>
      <c r="GQH458" s="28"/>
      <c r="GQI458" s="28"/>
      <c r="GQJ458" s="28"/>
      <c r="GQK458" s="28"/>
      <c r="GQL458" s="28"/>
      <c r="GQM458" s="28"/>
      <c r="GQN458" s="28"/>
      <c r="GQO458" s="28"/>
      <c r="GQP458" s="28"/>
      <c r="GQQ458" s="28"/>
      <c r="GQR458" s="28"/>
      <c r="GQS458" s="28"/>
      <c r="GQT458" s="28"/>
      <c r="GQU458" s="28"/>
      <c r="GQV458" s="28"/>
      <c r="GQW458" s="28"/>
      <c r="GQX458" s="28"/>
      <c r="GQY458" s="28"/>
      <c r="GQZ458" s="28"/>
      <c r="GRA458" s="28"/>
      <c r="GRB458" s="28"/>
      <c r="GRC458" s="28"/>
      <c r="GRD458" s="28"/>
      <c r="GRE458" s="28"/>
      <c r="GRF458" s="28"/>
      <c r="GRG458" s="28"/>
      <c r="GRH458" s="28"/>
      <c r="GRI458" s="28"/>
      <c r="GRJ458" s="28"/>
      <c r="GRK458" s="28"/>
      <c r="GRL458" s="28"/>
      <c r="GRM458" s="28"/>
      <c r="GRN458" s="28"/>
      <c r="GRO458" s="28"/>
      <c r="GRP458" s="28"/>
      <c r="GRQ458" s="28"/>
      <c r="GRR458" s="28"/>
      <c r="GRS458" s="28"/>
      <c r="GRT458" s="28"/>
      <c r="GRU458" s="28"/>
      <c r="GRV458" s="28"/>
      <c r="GRW458" s="28"/>
      <c r="GRX458" s="28"/>
      <c r="GRY458" s="28"/>
      <c r="GRZ458" s="28"/>
      <c r="GSA458" s="28"/>
      <c r="GSB458" s="28"/>
      <c r="GSC458" s="28"/>
      <c r="GSD458" s="28"/>
      <c r="GSE458" s="28"/>
      <c r="GSF458" s="28"/>
      <c r="GSG458" s="28"/>
      <c r="GSH458" s="28"/>
      <c r="GSI458" s="28"/>
      <c r="GSJ458" s="28"/>
      <c r="GSK458" s="28"/>
      <c r="GSL458" s="28"/>
      <c r="GSM458" s="28"/>
      <c r="GSN458" s="28"/>
      <c r="GSO458" s="28"/>
      <c r="GSP458" s="28"/>
      <c r="GSQ458" s="28"/>
      <c r="GSR458" s="28"/>
      <c r="GSS458" s="28"/>
      <c r="GST458" s="28"/>
      <c r="GSU458" s="28"/>
      <c r="GSV458" s="28"/>
      <c r="GSW458" s="28"/>
      <c r="GSX458" s="28"/>
      <c r="GSY458" s="28"/>
      <c r="GSZ458" s="28"/>
      <c r="GTA458" s="28"/>
      <c r="GTB458" s="28"/>
      <c r="GTC458" s="28"/>
      <c r="GTD458" s="28"/>
      <c r="GTE458" s="28"/>
      <c r="GTF458" s="28"/>
      <c r="GTG458" s="28"/>
      <c r="GTH458" s="28"/>
      <c r="GTI458" s="28"/>
      <c r="GTJ458" s="28"/>
      <c r="GTK458" s="28"/>
      <c r="GTL458" s="28"/>
      <c r="GTM458" s="28"/>
      <c r="GTN458" s="28"/>
      <c r="GTO458" s="28"/>
      <c r="GTP458" s="28"/>
      <c r="GTQ458" s="28"/>
      <c r="GTR458" s="28"/>
      <c r="GTS458" s="28"/>
      <c r="GTT458" s="28"/>
      <c r="GTU458" s="28"/>
      <c r="GTV458" s="28"/>
      <c r="GTW458" s="28"/>
      <c r="GTX458" s="28"/>
      <c r="GTY458" s="28"/>
      <c r="GTZ458" s="28"/>
      <c r="GUA458" s="28"/>
      <c r="GUB458" s="28"/>
      <c r="GUC458" s="28"/>
      <c r="GUD458" s="28"/>
      <c r="GUE458" s="28"/>
      <c r="GUF458" s="28"/>
      <c r="GUG458" s="28"/>
      <c r="GUH458" s="28"/>
      <c r="GUI458" s="28"/>
      <c r="GUJ458" s="28"/>
      <c r="GUK458" s="28"/>
      <c r="GUL458" s="28"/>
      <c r="GUM458" s="28"/>
      <c r="GUN458" s="28"/>
      <c r="GUO458" s="28"/>
      <c r="GUP458" s="28"/>
      <c r="GUQ458" s="28"/>
      <c r="GUR458" s="28"/>
      <c r="GUS458" s="28"/>
      <c r="GUT458" s="28"/>
      <c r="GUU458" s="28"/>
      <c r="GUV458" s="28"/>
      <c r="GUW458" s="28"/>
      <c r="GUX458" s="28"/>
      <c r="GUY458" s="28"/>
      <c r="GUZ458" s="28"/>
      <c r="GVA458" s="28"/>
      <c r="GVB458" s="28"/>
      <c r="GVC458" s="28"/>
      <c r="GVD458" s="28"/>
      <c r="GVE458" s="28"/>
      <c r="GVF458" s="28"/>
      <c r="GVG458" s="28"/>
      <c r="GVH458" s="28"/>
      <c r="GVI458" s="28"/>
      <c r="GVJ458" s="28"/>
      <c r="GVK458" s="28"/>
      <c r="GVL458" s="28"/>
      <c r="GVM458" s="28"/>
      <c r="GVN458" s="28"/>
      <c r="GVO458" s="28"/>
      <c r="GVP458" s="28"/>
      <c r="GVQ458" s="28"/>
      <c r="GVR458" s="28"/>
      <c r="GVS458" s="28"/>
      <c r="GVT458" s="28"/>
      <c r="GVU458" s="28"/>
      <c r="GVV458" s="28"/>
      <c r="GVW458" s="28"/>
      <c r="GVX458" s="28"/>
      <c r="GVY458" s="28"/>
      <c r="GVZ458" s="28"/>
      <c r="GWA458" s="28"/>
      <c r="GWB458" s="28"/>
      <c r="GWC458" s="28"/>
      <c r="GWD458" s="28"/>
      <c r="GWE458" s="28"/>
      <c r="GWF458" s="28"/>
      <c r="GWG458" s="28"/>
      <c r="GWH458" s="28"/>
      <c r="GWI458" s="28"/>
      <c r="GWJ458" s="28"/>
      <c r="GWK458" s="28"/>
      <c r="GWL458" s="28"/>
      <c r="GWM458" s="28"/>
      <c r="GWN458" s="28"/>
      <c r="GWO458" s="28"/>
      <c r="GWP458" s="28"/>
      <c r="GWQ458" s="28"/>
      <c r="GWR458" s="28"/>
      <c r="GWS458" s="28"/>
      <c r="GWT458" s="28"/>
      <c r="GWU458" s="28"/>
      <c r="GWV458" s="28"/>
      <c r="GWW458" s="28"/>
      <c r="GWX458" s="28"/>
      <c r="GWY458" s="28"/>
      <c r="GWZ458" s="28"/>
      <c r="GXA458" s="28"/>
      <c r="GXB458" s="28"/>
      <c r="GXC458" s="28"/>
      <c r="GXD458" s="28"/>
      <c r="GXE458" s="28"/>
      <c r="GXF458" s="28"/>
      <c r="GXG458" s="28"/>
      <c r="GXH458" s="28"/>
      <c r="GXI458" s="28"/>
      <c r="GXJ458" s="28"/>
      <c r="GXK458" s="28"/>
      <c r="GXL458" s="28"/>
      <c r="GXM458" s="28"/>
      <c r="GXN458" s="28"/>
      <c r="GXO458" s="28"/>
      <c r="GXP458" s="28"/>
      <c r="GXQ458" s="28"/>
      <c r="GXR458" s="28"/>
      <c r="GXS458" s="28"/>
      <c r="GXT458" s="28"/>
      <c r="GXU458" s="28"/>
      <c r="GXV458" s="28"/>
      <c r="GXW458" s="28"/>
      <c r="GXX458" s="28"/>
      <c r="GXY458" s="28"/>
      <c r="GXZ458" s="28"/>
      <c r="GYA458" s="28"/>
      <c r="GYB458" s="28"/>
      <c r="GYC458" s="28"/>
      <c r="GYD458" s="28"/>
      <c r="GYE458" s="28"/>
      <c r="GYF458" s="28"/>
      <c r="GYG458" s="28"/>
      <c r="GYH458" s="28"/>
      <c r="GYI458" s="28"/>
      <c r="GYJ458" s="28"/>
      <c r="GYK458" s="28"/>
      <c r="GYL458" s="28"/>
      <c r="GYM458" s="28"/>
      <c r="GYN458" s="28"/>
      <c r="GYO458" s="28"/>
      <c r="GYP458" s="28"/>
      <c r="GYQ458" s="28"/>
      <c r="GYR458" s="28"/>
      <c r="GYS458" s="28"/>
      <c r="GYT458" s="28"/>
      <c r="GYU458" s="28"/>
      <c r="GYV458" s="28"/>
      <c r="GYW458" s="28"/>
      <c r="GYX458" s="28"/>
      <c r="GYY458" s="28"/>
      <c r="GYZ458" s="28"/>
      <c r="GZA458" s="28"/>
      <c r="GZB458" s="28"/>
      <c r="GZC458" s="28"/>
      <c r="GZD458" s="28"/>
      <c r="GZE458" s="28"/>
      <c r="GZF458" s="28"/>
      <c r="GZG458" s="28"/>
      <c r="GZH458" s="28"/>
      <c r="GZI458" s="28"/>
      <c r="GZJ458" s="28"/>
      <c r="GZK458" s="28"/>
      <c r="GZL458" s="28"/>
      <c r="GZM458" s="28"/>
      <c r="GZN458" s="28"/>
      <c r="GZO458" s="28"/>
      <c r="GZP458" s="28"/>
      <c r="GZQ458" s="28"/>
      <c r="GZR458" s="28"/>
      <c r="GZS458" s="28"/>
      <c r="GZT458" s="28"/>
      <c r="GZU458" s="28"/>
      <c r="GZV458" s="28"/>
      <c r="GZW458" s="28"/>
      <c r="GZX458" s="28"/>
      <c r="GZY458" s="28"/>
      <c r="GZZ458" s="28"/>
      <c r="HAA458" s="28"/>
      <c r="HAB458" s="28"/>
      <c r="HAC458" s="28"/>
      <c r="HAD458" s="28"/>
      <c r="HAE458" s="28"/>
      <c r="HAF458" s="28"/>
      <c r="HAG458" s="28"/>
      <c r="HAH458" s="28"/>
      <c r="HAI458" s="28"/>
      <c r="HAJ458" s="28"/>
      <c r="HAK458" s="28"/>
      <c r="HAL458" s="28"/>
      <c r="HAM458" s="28"/>
      <c r="HAN458" s="28"/>
      <c r="HAO458" s="28"/>
      <c r="HAP458" s="28"/>
      <c r="HAQ458" s="28"/>
      <c r="HAR458" s="28"/>
      <c r="HAS458" s="28"/>
      <c r="HAT458" s="28"/>
      <c r="HAU458" s="28"/>
      <c r="HAV458" s="28"/>
      <c r="HAW458" s="28"/>
      <c r="HAX458" s="28"/>
      <c r="HAY458" s="28"/>
      <c r="HAZ458" s="28"/>
      <c r="HBA458" s="28"/>
      <c r="HBB458" s="28"/>
      <c r="HBC458" s="28"/>
      <c r="HBD458" s="28"/>
      <c r="HBE458" s="28"/>
      <c r="HBF458" s="28"/>
      <c r="HBG458" s="28"/>
      <c r="HBH458" s="28"/>
      <c r="HBI458" s="28"/>
      <c r="HBJ458" s="28"/>
      <c r="HBK458" s="28"/>
      <c r="HBL458" s="28"/>
      <c r="HBM458" s="28"/>
      <c r="HBN458" s="28"/>
      <c r="HBO458" s="28"/>
      <c r="HBP458" s="28"/>
      <c r="HBQ458" s="28"/>
      <c r="HBR458" s="28"/>
      <c r="HBS458" s="28"/>
      <c r="HBT458" s="28"/>
      <c r="HBU458" s="28"/>
      <c r="HBV458" s="28"/>
      <c r="HBW458" s="28"/>
      <c r="HBX458" s="28"/>
      <c r="HBY458" s="28"/>
      <c r="HBZ458" s="28"/>
      <c r="HCA458" s="28"/>
      <c r="HCB458" s="28"/>
      <c r="HCC458" s="28"/>
      <c r="HCD458" s="28"/>
      <c r="HCE458" s="28"/>
      <c r="HCF458" s="28"/>
      <c r="HCG458" s="28"/>
      <c r="HCH458" s="28"/>
      <c r="HCI458" s="28"/>
      <c r="HCJ458" s="28"/>
      <c r="HCK458" s="28"/>
      <c r="HCL458" s="28"/>
      <c r="HCM458" s="28"/>
      <c r="HCN458" s="28"/>
      <c r="HCO458" s="28"/>
      <c r="HCP458" s="28"/>
      <c r="HCQ458" s="28"/>
      <c r="HCR458" s="28"/>
      <c r="HCS458" s="28"/>
      <c r="HCT458" s="28"/>
      <c r="HCU458" s="28"/>
      <c r="HCV458" s="28"/>
      <c r="HCW458" s="28"/>
      <c r="HCX458" s="28"/>
      <c r="HCY458" s="28"/>
      <c r="HCZ458" s="28"/>
      <c r="HDA458" s="28"/>
      <c r="HDB458" s="28"/>
      <c r="HDC458" s="28"/>
      <c r="HDD458" s="28"/>
      <c r="HDE458" s="28"/>
      <c r="HDF458" s="28"/>
      <c r="HDG458" s="28"/>
      <c r="HDH458" s="28"/>
      <c r="HDI458" s="28"/>
      <c r="HDJ458" s="28"/>
      <c r="HDK458" s="28"/>
      <c r="HDL458" s="28"/>
      <c r="HDM458" s="28"/>
      <c r="HDN458" s="28"/>
      <c r="HDO458" s="28"/>
      <c r="HDP458" s="28"/>
      <c r="HDQ458" s="28"/>
      <c r="HDR458" s="28"/>
      <c r="HDS458" s="28"/>
      <c r="HDT458" s="28"/>
      <c r="HDU458" s="28"/>
      <c r="HDV458" s="28"/>
      <c r="HDW458" s="28"/>
      <c r="HDX458" s="28"/>
      <c r="HDY458" s="28"/>
      <c r="HDZ458" s="28"/>
      <c r="HEA458" s="28"/>
      <c r="HEB458" s="28"/>
      <c r="HEC458" s="28"/>
      <c r="HED458" s="28"/>
      <c r="HEE458" s="28"/>
      <c r="HEF458" s="28"/>
      <c r="HEG458" s="28"/>
      <c r="HEH458" s="28"/>
      <c r="HEI458" s="28"/>
      <c r="HEJ458" s="28"/>
      <c r="HEK458" s="28"/>
      <c r="HEL458" s="28"/>
      <c r="HEM458" s="28"/>
      <c r="HEN458" s="28"/>
      <c r="HEO458" s="28"/>
      <c r="HEP458" s="28"/>
      <c r="HEQ458" s="28"/>
      <c r="HER458" s="28"/>
      <c r="HES458" s="28"/>
      <c r="HET458" s="28"/>
      <c r="HEU458" s="28"/>
      <c r="HEV458" s="28"/>
      <c r="HEW458" s="28"/>
      <c r="HEX458" s="28"/>
      <c r="HEY458" s="28"/>
      <c r="HEZ458" s="28"/>
      <c r="HFA458" s="28"/>
      <c r="HFB458" s="28"/>
      <c r="HFC458" s="28"/>
      <c r="HFD458" s="28"/>
      <c r="HFE458" s="28"/>
      <c r="HFF458" s="28"/>
      <c r="HFG458" s="28"/>
      <c r="HFH458" s="28"/>
      <c r="HFI458" s="28"/>
      <c r="HFJ458" s="28"/>
      <c r="HFK458" s="28"/>
      <c r="HFL458" s="28"/>
      <c r="HFM458" s="28"/>
      <c r="HFN458" s="28"/>
      <c r="HFO458" s="28"/>
      <c r="HFP458" s="28"/>
      <c r="HFQ458" s="28"/>
      <c r="HFR458" s="28"/>
      <c r="HFS458" s="28"/>
      <c r="HFT458" s="28"/>
      <c r="HFU458" s="28"/>
      <c r="HFV458" s="28"/>
      <c r="HFW458" s="28"/>
      <c r="HFX458" s="28"/>
      <c r="HFY458" s="28"/>
      <c r="HFZ458" s="28"/>
      <c r="HGA458" s="28"/>
      <c r="HGB458" s="28"/>
      <c r="HGC458" s="28"/>
      <c r="HGD458" s="28"/>
      <c r="HGE458" s="28"/>
      <c r="HGF458" s="28"/>
      <c r="HGG458" s="28"/>
      <c r="HGH458" s="28"/>
      <c r="HGI458" s="28"/>
      <c r="HGJ458" s="28"/>
      <c r="HGK458" s="28"/>
      <c r="HGL458" s="28"/>
      <c r="HGM458" s="28"/>
      <c r="HGN458" s="28"/>
      <c r="HGO458" s="28"/>
      <c r="HGP458" s="28"/>
      <c r="HGQ458" s="28"/>
      <c r="HGR458" s="28"/>
      <c r="HGS458" s="28"/>
      <c r="HGT458" s="28"/>
      <c r="HGU458" s="28"/>
      <c r="HGV458" s="28"/>
      <c r="HGW458" s="28"/>
      <c r="HGX458" s="28"/>
      <c r="HGY458" s="28"/>
      <c r="HGZ458" s="28"/>
      <c r="HHA458" s="28"/>
      <c r="HHB458" s="28"/>
      <c r="HHC458" s="28"/>
      <c r="HHD458" s="28"/>
      <c r="HHE458" s="28"/>
      <c r="HHF458" s="28"/>
      <c r="HHG458" s="28"/>
      <c r="HHH458" s="28"/>
      <c r="HHI458" s="28"/>
      <c r="HHJ458" s="28"/>
      <c r="HHK458" s="28"/>
      <c r="HHL458" s="28"/>
      <c r="HHM458" s="28"/>
      <c r="HHN458" s="28"/>
      <c r="HHO458" s="28"/>
      <c r="HHP458" s="28"/>
      <c r="HHQ458" s="28"/>
      <c r="HHR458" s="28"/>
      <c r="HHS458" s="28"/>
      <c r="HHT458" s="28"/>
      <c r="HHU458" s="28"/>
      <c r="HHV458" s="28"/>
      <c r="HHW458" s="28"/>
      <c r="HHX458" s="28"/>
      <c r="HHY458" s="28"/>
      <c r="HHZ458" s="28"/>
      <c r="HIA458" s="28"/>
      <c r="HIB458" s="28"/>
      <c r="HIC458" s="28"/>
      <c r="HID458" s="28"/>
      <c r="HIE458" s="28"/>
      <c r="HIF458" s="28"/>
      <c r="HIG458" s="28"/>
      <c r="HIH458" s="28"/>
      <c r="HII458" s="28"/>
      <c r="HIJ458" s="28"/>
      <c r="HIK458" s="28"/>
      <c r="HIL458" s="28"/>
      <c r="HIM458" s="28"/>
      <c r="HIN458" s="28"/>
      <c r="HIO458" s="28"/>
      <c r="HIP458" s="28"/>
      <c r="HIQ458" s="28"/>
      <c r="HIR458" s="28"/>
      <c r="HIS458" s="28"/>
      <c r="HIT458" s="28"/>
      <c r="HIU458" s="28"/>
      <c r="HIV458" s="28"/>
      <c r="HIW458" s="28"/>
      <c r="HIX458" s="28"/>
      <c r="HIY458" s="28"/>
      <c r="HIZ458" s="28"/>
      <c r="HJA458" s="28"/>
      <c r="HJB458" s="28"/>
      <c r="HJC458" s="28"/>
      <c r="HJD458" s="28"/>
      <c r="HJE458" s="28"/>
      <c r="HJF458" s="28"/>
      <c r="HJG458" s="28"/>
      <c r="HJH458" s="28"/>
      <c r="HJI458" s="28"/>
      <c r="HJJ458" s="28"/>
      <c r="HJK458" s="28"/>
      <c r="HJL458" s="28"/>
      <c r="HJM458" s="28"/>
      <c r="HJN458" s="28"/>
      <c r="HJO458" s="28"/>
      <c r="HJP458" s="28"/>
      <c r="HJQ458" s="28"/>
      <c r="HJR458" s="28"/>
      <c r="HJS458" s="28"/>
      <c r="HJT458" s="28"/>
      <c r="HJU458" s="28"/>
      <c r="HJV458" s="28"/>
      <c r="HJW458" s="28"/>
      <c r="HJX458" s="28"/>
      <c r="HJY458" s="28"/>
      <c r="HJZ458" s="28"/>
      <c r="HKA458" s="28"/>
      <c r="HKB458" s="28"/>
      <c r="HKC458" s="28"/>
      <c r="HKD458" s="28"/>
      <c r="HKE458" s="28"/>
      <c r="HKF458" s="28"/>
      <c r="HKG458" s="28"/>
      <c r="HKH458" s="28"/>
      <c r="HKI458" s="28"/>
      <c r="HKJ458" s="28"/>
      <c r="HKK458" s="28"/>
      <c r="HKL458" s="28"/>
      <c r="HKM458" s="28"/>
      <c r="HKN458" s="28"/>
      <c r="HKO458" s="28"/>
      <c r="HKP458" s="28"/>
      <c r="HKQ458" s="28"/>
      <c r="HKR458" s="28"/>
      <c r="HKS458" s="28"/>
      <c r="HKT458" s="28"/>
      <c r="HKU458" s="28"/>
      <c r="HKV458" s="28"/>
      <c r="HKW458" s="28"/>
      <c r="HKX458" s="28"/>
      <c r="HKY458" s="28"/>
      <c r="HKZ458" s="28"/>
      <c r="HLA458" s="28"/>
      <c r="HLB458" s="28"/>
      <c r="HLC458" s="28"/>
      <c r="HLD458" s="28"/>
      <c r="HLE458" s="28"/>
      <c r="HLF458" s="28"/>
      <c r="HLG458" s="28"/>
      <c r="HLH458" s="28"/>
      <c r="HLI458" s="28"/>
      <c r="HLJ458" s="28"/>
      <c r="HLK458" s="28"/>
      <c r="HLL458" s="28"/>
      <c r="HLM458" s="28"/>
      <c r="HLN458" s="28"/>
      <c r="HLO458" s="28"/>
      <c r="HLP458" s="28"/>
      <c r="HLQ458" s="28"/>
      <c r="HLR458" s="28"/>
      <c r="HLS458" s="28"/>
      <c r="HLT458" s="28"/>
      <c r="HLU458" s="28"/>
      <c r="HLV458" s="28"/>
      <c r="HLW458" s="28"/>
      <c r="HLX458" s="28"/>
      <c r="HLY458" s="28"/>
      <c r="HLZ458" s="28"/>
      <c r="HMA458" s="28"/>
      <c r="HMB458" s="28"/>
      <c r="HMC458" s="28"/>
      <c r="HMD458" s="28"/>
      <c r="HME458" s="28"/>
      <c r="HMF458" s="28"/>
      <c r="HMG458" s="28"/>
      <c r="HMH458" s="28"/>
      <c r="HMI458" s="28"/>
      <c r="HMJ458" s="28"/>
      <c r="HMK458" s="28"/>
      <c r="HML458" s="28"/>
      <c r="HMM458" s="28"/>
      <c r="HMN458" s="28"/>
      <c r="HMO458" s="28"/>
      <c r="HMP458" s="28"/>
      <c r="HMQ458" s="28"/>
      <c r="HMR458" s="28"/>
      <c r="HMS458" s="28"/>
      <c r="HMT458" s="28"/>
      <c r="HMU458" s="28"/>
      <c r="HMV458" s="28"/>
      <c r="HMW458" s="28"/>
      <c r="HMX458" s="28"/>
      <c r="HMY458" s="28"/>
      <c r="HMZ458" s="28"/>
      <c r="HNA458" s="28"/>
      <c r="HNB458" s="28"/>
      <c r="HNC458" s="28"/>
      <c r="HND458" s="28"/>
      <c r="HNE458" s="28"/>
      <c r="HNF458" s="28"/>
      <c r="HNG458" s="28"/>
      <c r="HNH458" s="28"/>
      <c r="HNI458" s="28"/>
      <c r="HNJ458" s="28"/>
      <c r="HNK458" s="28"/>
      <c r="HNL458" s="28"/>
      <c r="HNM458" s="28"/>
      <c r="HNN458" s="28"/>
      <c r="HNO458" s="28"/>
      <c r="HNP458" s="28"/>
      <c r="HNQ458" s="28"/>
      <c r="HNR458" s="28"/>
      <c r="HNS458" s="28"/>
      <c r="HNT458" s="28"/>
      <c r="HNU458" s="28"/>
      <c r="HNV458" s="28"/>
      <c r="HNW458" s="28"/>
      <c r="HNX458" s="28"/>
      <c r="HNY458" s="28"/>
      <c r="HNZ458" s="28"/>
      <c r="HOA458" s="28"/>
      <c r="HOB458" s="28"/>
      <c r="HOC458" s="28"/>
      <c r="HOD458" s="28"/>
      <c r="HOE458" s="28"/>
      <c r="HOF458" s="28"/>
      <c r="HOG458" s="28"/>
      <c r="HOH458" s="28"/>
      <c r="HOI458" s="28"/>
      <c r="HOJ458" s="28"/>
      <c r="HOK458" s="28"/>
      <c r="HOL458" s="28"/>
      <c r="HOM458" s="28"/>
      <c r="HON458" s="28"/>
      <c r="HOO458" s="28"/>
      <c r="HOP458" s="28"/>
      <c r="HOQ458" s="28"/>
      <c r="HOR458" s="28"/>
      <c r="HOS458" s="28"/>
      <c r="HOT458" s="28"/>
      <c r="HOU458" s="28"/>
      <c r="HOV458" s="28"/>
      <c r="HOW458" s="28"/>
      <c r="HOX458" s="28"/>
      <c r="HOY458" s="28"/>
      <c r="HOZ458" s="28"/>
      <c r="HPA458" s="28"/>
      <c r="HPB458" s="28"/>
      <c r="HPC458" s="28"/>
      <c r="HPD458" s="28"/>
      <c r="HPE458" s="28"/>
      <c r="HPF458" s="28"/>
      <c r="HPG458" s="28"/>
      <c r="HPH458" s="28"/>
      <c r="HPI458" s="28"/>
      <c r="HPJ458" s="28"/>
      <c r="HPK458" s="28"/>
      <c r="HPL458" s="28"/>
      <c r="HPM458" s="28"/>
      <c r="HPN458" s="28"/>
      <c r="HPO458" s="28"/>
      <c r="HPP458" s="28"/>
      <c r="HPQ458" s="28"/>
      <c r="HPR458" s="28"/>
      <c r="HPS458" s="28"/>
      <c r="HPT458" s="28"/>
      <c r="HPU458" s="28"/>
      <c r="HPV458" s="28"/>
      <c r="HPW458" s="28"/>
      <c r="HPX458" s="28"/>
      <c r="HPY458" s="28"/>
      <c r="HPZ458" s="28"/>
      <c r="HQA458" s="28"/>
      <c r="HQB458" s="28"/>
      <c r="HQC458" s="28"/>
      <c r="HQD458" s="28"/>
      <c r="HQE458" s="28"/>
      <c r="HQF458" s="28"/>
      <c r="HQG458" s="28"/>
      <c r="HQH458" s="28"/>
      <c r="HQI458" s="28"/>
      <c r="HQJ458" s="28"/>
      <c r="HQK458" s="28"/>
      <c r="HQL458" s="28"/>
      <c r="HQM458" s="28"/>
      <c r="HQN458" s="28"/>
      <c r="HQO458" s="28"/>
      <c r="HQP458" s="28"/>
      <c r="HQQ458" s="28"/>
      <c r="HQR458" s="28"/>
      <c r="HQS458" s="28"/>
      <c r="HQT458" s="28"/>
      <c r="HQU458" s="28"/>
      <c r="HQV458" s="28"/>
      <c r="HQW458" s="28"/>
      <c r="HQX458" s="28"/>
      <c r="HQY458" s="28"/>
      <c r="HQZ458" s="28"/>
      <c r="HRA458" s="28"/>
      <c r="HRB458" s="28"/>
      <c r="HRC458" s="28"/>
      <c r="HRD458" s="28"/>
      <c r="HRE458" s="28"/>
      <c r="HRF458" s="28"/>
      <c r="HRG458" s="28"/>
      <c r="HRH458" s="28"/>
      <c r="HRI458" s="28"/>
      <c r="HRJ458" s="28"/>
      <c r="HRK458" s="28"/>
      <c r="HRL458" s="28"/>
      <c r="HRM458" s="28"/>
      <c r="HRN458" s="28"/>
      <c r="HRO458" s="28"/>
      <c r="HRP458" s="28"/>
      <c r="HRQ458" s="28"/>
      <c r="HRR458" s="28"/>
      <c r="HRS458" s="28"/>
      <c r="HRT458" s="28"/>
      <c r="HRU458" s="28"/>
      <c r="HRV458" s="28"/>
      <c r="HRW458" s="28"/>
      <c r="HRX458" s="28"/>
      <c r="HRY458" s="28"/>
      <c r="HRZ458" s="28"/>
      <c r="HSA458" s="28"/>
      <c r="HSB458" s="28"/>
      <c r="HSC458" s="28"/>
      <c r="HSD458" s="28"/>
      <c r="HSE458" s="28"/>
      <c r="HSF458" s="28"/>
      <c r="HSG458" s="28"/>
      <c r="HSH458" s="28"/>
      <c r="HSI458" s="28"/>
      <c r="HSJ458" s="28"/>
      <c r="HSK458" s="28"/>
      <c r="HSL458" s="28"/>
      <c r="HSM458" s="28"/>
      <c r="HSN458" s="28"/>
      <c r="HSO458" s="28"/>
      <c r="HSP458" s="28"/>
      <c r="HSQ458" s="28"/>
      <c r="HSR458" s="28"/>
      <c r="HSS458" s="28"/>
      <c r="HST458" s="28"/>
      <c r="HSU458" s="28"/>
      <c r="HSV458" s="28"/>
      <c r="HSW458" s="28"/>
      <c r="HSX458" s="28"/>
      <c r="HSY458" s="28"/>
      <c r="HSZ458" s="28"/>
      <c r="HTA458" s="28"/>
      <c r="HTB458" s="28"/>
      <c r="HTC458" s="28"/>
      <c r="HTD458" s="28"/>
      <c r="HTE458" s="28"/>
      <c r="HTF458" s="28"/>
      <c r="HTG458" s="28"/>
      <c r="HTH458" s="28"/>
      <c r="HTI458" s="28"/>
      <c r="HTJ458" s="28"/>
      <c r="HTK458" s="28"/>
      <c r="HTL458" s="28"/>
      <c r="HTM458" s="28"/>
      <c r="HTN458" s="28"/>
      <c r="HTO458" s="28"/>
      <c r="HTP458" s="28"/>
      <c r="HTQ458" s="28"/>
      <c r="HTR458" s="28"/>
      <c r="HTS458" s="28"/>
      <c r="HTT458" s="28"/>
      <c r="HTU458" s="28"/>
      <c r="HTV458" s="28"/>
      <c r="HTW458" s="28"/>
      <c r="HTX458" s="28"/>
      <c r="HTY458" s="28"/>
      <c r="HTZ458" s="28"/>
      <c r="HUA458" s="28"/>
      <c r="HUB458" s="28"/>
      <c r="HUC458" s="28"/>
      <c r="HUD458" s="28"/>
      <c r="HUE458" s="28"/>
      <c r="HUF458" s="28"/>
      <c r="HUG458" s="28"/>
      <c r="HUH458" s="28"/>
      <c r="HUI458" s="28"/>
      <c r="HUJ458" s="28"/>
      <c r="HUK458" s="28"/>
      <c r="HUL458" s="28"/>
      <c r="HUM458" s="28"/>
      <c r="HUN458" s="28"/>
      <c r="HUO458" s="28"/>
      <c r="HUP458" s="28"/>
      <c r="HUQ458" s="28"/>
      <c r="HUR458" s="28"/>
      <c r="HUS458" s="28"/>
      <c r="HUT458" s="28"/>
      <c r="HUU458" s="28"/>
      <c r="HUV458" s="28"/>
      <c r="HUW458" s="28"/>
      <c r="HUX458" s="28"/>
      <c r="HUY458" s="28"/>
      <c r="HUZ458" s="28"/>
      <c r="HVA458" s="28"/>
      <c r="HVB458" s="28"/>
      <c r="HVC458" s="28"/>
      <c r="HVD458" s="28"/>
      <c r="HVE458" s="28"/>
      <c r="HVF458" s="28"/>
      <c r="HVG458" s="28"/>
      <c r="HVH458" s="28"/>
      <c r="HVI458" s="28"/>
      <c r="HVJ458" s="28"/>
      <c r="HVK458" s="28"/>
      <c r="HVL458" s="28"/>
      <c r="HVM458" s="28"/>
      <c r="HVN458" s="28"/>
      <c r="HVO458" s="28"/>
      <c r="HVP458" s="28"/>
      <c r="HVQ458" s="28"/>
      <c r="HVR458" s="28"/>
      <c r="HVS458" s="28"/>
      <c r="HVT458" s="28"/>
      <c r="HVU458" s="28"/>
      <c r="HVV458" s="28"/>
      <c r="HVW458" s="28"/>
      <c r="HVX458" s="28"/>
      <c r="HVY458" s="28"/>
      <c r="HVZ458" s="28"/>
      <c r="HWA458" s="28"/>
      <c r="HWB458" s="28"/>
      <c r="HWC458" s="28"/>
      <c r="HWD458" s="28"/>
      <c r="HWE458" s="28"/>
      <c r="HWF458" s="28"/>
      <c r="HWG458" s="28"/>
      <c r="HWH458" s="28"/>
      <c r="HWI458" s="28"/>
      <c r="HWJ458" s="28"/>
      <c r="HWK458" s="28"/>
      <c r="HWL458" s="28"/>
      <c r="HWM458" s="28"/>
      <c r="HWN458" s="28"/>
      <c r="HWO458" s="28"/>
      <c r="HWP458" s="28"/>
      <c r="HWQ458" s="28"/>
      <c r="HWR458" s="28"/>
      <c r="HWS458" s="28"/>
      <c r="HWT458" s="28"/>
      <c r="HWU458" s="28"/>
      <c r="HWV458" s="28"/>
      <c r="HWW458" s="28"/>
      <c r="HWX458" s="28"/>
      <c r="HWY458" s="28"/>
      <c r="HWZ458" s="28"/>
      <c r="HXA458" s="28"/>
      <c r="HXB458" s="28"/>
      <c r="HXC458" s="28"/>
      <c r="HXD458" s="28"/>
      <c r="HXE458" s="28"/>
      <c r="HXF458" s="28"/>
      <c r="HXG458" s="28"/>
      <c r="HXH458" s="28"/>
      <c r="HXI458" s="28"/>
      <c r="HXJ458" s="28"/>
      <c r="HXK458" s="28"/>
      <c r="HXL458" s="28"/>
      <c r="HXM458" s="28"/>
      <c r="HXN458" s="28"/>
      <c r="HXO458" s="28"/>
      <c r="HXP458" s="28"/>
      <c r="HXQ458" s="28"/>
      <c r="HXR458" s="28"/>
      <c r="HXS458" s="28"/>
      <c r="HXT458" s="28"/>
      <c r="HXU458" s="28"/>
      <c r="HXV458" s="28"/>
      <c r="HXW458" s="28"/>
      <c r="HXX458" s="28"/>
      <c r="HXY458" s="28"/>
      <c r="HXZ458" s="28"/>
      <c r="HYA458" s="28"/>
      <c r="HYB458" s="28"/>
      <c r="HYC458" s="28"/>
      <c r="HYD458" s="28"/>
      <c r="HYE458" s="28"/>
      <c r="HYF458" s="28"/>
      <c r="HYG458" s="28"/>
      <c r="HYH458" s="28"/>
      <c r="HYI458" s="28"/>
      <c r="HYJ458" s="28"/>
      <c r="HYK458" s="28"/>
      <c r="HYL458" s="28"/>
      <c r="HYM458" s="28"/>
      <c r="HYN458" s="28"/>
      <c r="HYO458" s="28"/>
      <c r="HYP458" s="28"/>
      <c r="HYQ458" s="28"/>
      <c r="HYR458" s="28"/>
      <c r="HYS458" s="28"/>
      <c r="HYT458" s="28"/>
      <c r="HYU458" s="28"/>
      <c r="HYV458" s="28"/>
      <c r="HYW458" s="28"/>
      <c r="HYX458" s="28"/>
      <c r="HYY458" s="28"/>
      <c r="HYZ458" s="28"/>
      <c r="HZA458" s="28"/>
      <c r="HZB458" s="28"/>
      <c r="HZC458" s="28"/>
      <c r="HZD458" s="28"/>
      <c r="HZE458" s="28"/>
      <c r="HZF458" s="28"/>
      <c r="HZG458" s="28"/>
      <c r="HZH458" s="28"/>
      <c r="HZI458" s="28"/>
      <c r="HZJ458" s="28"/>
      <c r="HZK458" s="28"/>
      <c r="HZL458" s="28"/>
      <c r="HZM458" s="28"/>
      <c r="HZN458" s="28"/>
      <c r="HZO458" s="28"/>
      <c r="HZP458" s="28"/>
      <c r="HZQ458" s="28"/>
      <c r="HZR458" s="28"/>
      <c r="HZS458" s="28"/>
      <c r="HZT458" s="28"/>
      <c r="HZU458" s="28"/>
      <c r="HZV458" s="28"/>
      <c r="HZW458" s="28"/>
      <c r="HZX458" s="28"/>
      <c r="HZY458" s="28"/>
      <c r="HZZ458" s="28"/>
      <c r="IAA458" s="28"/>
      <c r="IAB458" s="28"/>
      <c r="IAC458" s="28"/>
      <c r="IAD458" s="28"/>
      <c r="IAE458" s="28"/>
      <c r="IAF458" s="28"/>
      <c r="IAG458" s="28"/>
      <c r="IAH458" s="28"/>
      <c r="IAI458" s="28"/>
      <c r="IAJ458" s="28"/>
      <c r="IAK458" s="28"/>
      <c r="IAL458" s="28"/>
      <c r="IAM458" s="28"/>
      <c r="IAN458" s="28"/>
      <c r="IAO458" s="28"/>
      <c r="IAP458" s="28"/>
      <c r="IAQ458" s="28"/>
      <c r="IAR458" s="28"/>
      <c r="IAS458" s="28"/>
      <c r="IAT458" s="28"/>
      <c r="IAU458" s="28"/>
      <c r="IAV458" s="28"/>
      <c r="IAW458" s="28"/>
      <c r="IAX458" s="28"/>
      <c r="IAY458" s="28"/>
      <c r="IAZ458" s="28"/>
      <c r="IBA458" s="28"/>
      <c r="IBB458" s="28"/>
      <c r="IBC458" s="28"/>
      <c r="IBD458" s="28"/>
      <c r="IBE458" s="28"/>
      <c r="IBF458" s="28"/>
      <c r="IBG458" s="28"/>
      <c r="IBH458" s="28"/>
      <c r="IBI458" s="28"/>
      <c r="IBJ458" s="28"/>
      <c r="IBK458" s="28"/>
      <c r="IBL458" s="28"/>
      <c r="IBM458" s="28"/>
      <c r="IBN458" s="28"/>
      <c r="IBO458" s="28"/>
      <c r="IBP458" s="28"/>
      <c r="IBQ458" s="28"/>
      <c r="IBR458" s="28"/>
      <c r="IBS458" s="28"/>
      <c r="IBT458" s="28"/>
      <c r="IBU458" s="28"/>
      <c r="IBV458" s="28"/>
      <c r="IBW458" s="28"/>
      <c r="IBX458" s="28"/>
      <c r="IBY458" s="28"/>
      <c r="IBZ458" s="28"/>
      <c r="ICA458" s="28"/>
      <c r="ICB458" s="28"/>
      <c r="ICC458" s="28"/>
      <c r="ICD458" s="28"/>
      <c r="ICE458" s="28"/>
      <c r="ICF458" s="28"/>
      <c r="ICG458" s="28"/>
      <c r="ICH458" s="28"/>
      <c r="ICI458" s="28"/>
      <c r="ICJ458" s="28"/>
      <c r="ICK458" s="28"/>
      <c r="ICL458" s="28"/>
      <c r="ICM458" s="28"/>
      <c r="ICN458" s="28"/>
      <c r="ICO458" s="28"/>
      <c r="ICP458" s="28"/>
      <c r="ICQ458" s="28"/>
      <c r="ICR458" s="28"/>
      <c r="ICS458" s="28"/>
      <c r="ICT458" s="28"/>
      <c r="ICU458" s="28"/>
      <c r="ICV458" s="28"/>
      <c r="ICW458" s="28"/>
      <c r="ICX458" s="28"/>
      <c r="ICY458" s="28"/>
      <c r="ICZ458" s="28"/>
      <c r="IDA458" s="28"/>
      <c r="IDB458" s="28"/>
      <c r="IDC458" s="28"/>
      <c r="IDD458" s="28"/>
      <c r="IDE458" s="28"/>
      <c r="IDF458" s="28"/>
      <c r="IDG458" s="28"/>
      <c r="IDH458" s="28"/>
      <c r="IDI458" s="28"/>
      <c r="IDJ458" s="28"/>
      <c r="IDK458" s="28"/>
      <c r="IDL458" s="28"/>
      <c r="IDM458" s="28"/>
      <c r="IDN458" s="28"/>
      <c r="IDO458" s="28"/>
      <c r="IDP458" s="28"/>
      <c r="IDQ458" s="28"/>
      <c r="IDR458" s="28"/>
      <c r="IDS458" s="28"/>
      <c r="IDT458" s="28"/>
      <c r="IDU458" s="28"/>
      <c r="IDV458" s="28"/>
      <c r="IDW458" s="28"/>
      <c r="IDX458" s="28"/>
      <c r="IDY458" s="28"/>
      <c r="IDZ458" s="28"/>
      <c r="IEA458" s="28"/>
      <c r="IEB458" s="28"/>
      <c r="IEC458" s="28"/>
      <c r="IED458" s="28"/>
      <c r="IEE458" s="28"/>
      <c r="IEF458" s="28"/>
      <c r="IEG458" s="28"/>
      <c r="IEH458" s="28"/>
      <c r="IEI458" s="28"/>
      <c r="IEJ458" s="28"/>
      <c r="IEK458" s="28"/>
      <c r="IEL458" s="28"/>
      <c r="IEM458" s="28"/>
      <c r="IEN458" s="28"/>
      <c r="IEO458" s="28"/>
      <c r="IEP458" s="28"/>
      <c r="IEQ458" s="28"/>
      <c r="IER458" s="28"/>
      <c r="IES458" s="28"/>
      <c r="IET458" s="28"/>
      <c r="IEU458" s="28"/>
      <c r="IEV458" s="28"/>
      <c r="IEW458" s="28"/>
      <c r="IEX458" s="28"/>
      <c r="IEY458" s="28"/>
      <c r="IEZ458" s="28"/>
      <c r="IFA458" s="28"/>
      <c r="IFB458" s="28"/>
      <c r="IFC458" s="28"/>
      <c r="IFD458" s="28"/>
      <c r="IFE458" s="28"/>
      <c r="IFF458" s="28"/>
      <c r="IFG458" s="28"/>
      <c r="IFH458" s="28"/>
      <c r="IFI458" s="28"/>
      <c r="IFJ458" s="28"/>
      <c r="IFK458" s="28"/>
      <c r="IFL458" s="28"/>
      <c r="IFM458" s="28"/>
      <c r="IFN458" s="28"/>
      <c r="IFO458" s="28"/>
      <c r="IFP458" s="28"/>
      <c r="IFQ458" s="28"/>
      <c r="IFR458" s="28"/>
      <c r="IFS458" s="28"/>
      <c r="IFT458" s="28"/>
      <c r="IFU458" s="28"/>
      <c r="IFV458" s="28"/>
      <c r="IFW458" s="28"/>
      <c r="IFX458" s="28"/>
      <c r="IFY458" s="28"/>
      <c r="IFZ458" s="28"/>
      <c r="IGA458" s="28"/>
      <c r="IGB458" s="28"/>
      <c r="IGC458" s="28"/>
      <c r="IGD458" s="28"/>
      <c r="IGE458" s="28"/>
      <c r="IGF458" s="28"/>
      <c r="IGG458" s="28"/>
      <c r="IGH458" s="28"/>
      <c r="IGI458" s="28"/>
      <c r="IGJ458" s="28"/>
      <c r="IGK458" s="28"/>
      <c r="IGL458" s="28"/>
      <c r="IGM458" s="28"/>
      <c r="IGN458" s="28"/>
      <c r="IGO458" s="28"/>
      <c r="IGP458" s="28"/>
      <c r="IGQ458" s="28"/>
      <c r="IGR458" s="28"/>
      <c r="IGS458" s="28"/>
      <c r="IGT458" s="28"/>
      <c r="IGU458" s="28"/>
      <c r="IGV458" s="28"/>
      <c r="IGW458" s="28"/>
      <c r="IGX458" s="28"/>
      <c r="IGY458" s="28"/>
      <c r="IGZ458" s="28"/>
      <c r="IHA458" s="28"/>
      <c r="IHB458" s="28"/>
      <c r="IHC458" s="28"/>
      <c r="IHD458" s="28"/>
      <c r="IHE458" s="28"/>
      <c r="IHF458" s="28"/>
      <c r="IHG458" s="28"/>
      <c r="IHH458" s="28"/>
      <c r="IHI458" s="28"/>
      <c r="IHJ458" s="28"/>
      <c r="IHK458" s="28"/>
      <c r="IHL458" s="28"/>
      <c r="IHM458" s="28"/>
      <c r="IHN458" s="28"/>
      <c r="IHO458" s="28"/>
      <c r="IHP458" s="28"/>
      <c r="IHQ458" s="28"/>
      <c r="IHR458" s="28"/>
      <c r="IHS458" s="28"/>
      <c r="IHT458" s="28"/>
      <c r="IHU458" s="28"/>
      <c r="IHV458" s="28"/>
      <c r="IHW458" s="28"/>
      <c r="IHX458" s="28"/>
      <c r="IHY458" s="28"/>
      <c r="IHZ458" s="28"/>
      <c r="IIA458" s="28"/>
      <c r="IIB458" s="28"/>
      <c r="IIC458" s="28"/>
      <c r="IID458" s="28"/>
      <c r="IIE458" s="28"/>
      <c r="IIF458" s="28"/>
      <c r="IIG458" s="28"/>
      <c r="IIH458" s="28"/>
      <c r="III458" s="28"/>
      <c r="IIJ458" s="28"/>
      <c r="IIK458" s="28"/>
      <c r="IIL458" s="28"/>
      <c r="IIM458" s="28"/>
      <c r="IIN458" s="28"/>
      <c r="IIO458" s="28"/>
      <c r="IIP458" s="28"/>
      <c r="IIQ458" s="28"/>
      <c r="IIR458" s="28"/>
      <c r="IIS458" s="28"/>
      <c r="IIT458" s="28"/>
      <c r="IIU458" s="28"/>
      <c r="IIV458" s="28"/>
      <c r="IIW458" s="28"/>
      <c r="IIX458" s="28"/>
      <c r="IIY458" s="28"/>
      <c r="IIZ458" s="28"/>
      <c r="IJA458" s="28"/>
      <c r="IJB458" s="28"/>
      <c r="IJC458" s="28"/>
      <c r="IJD458" s="28"/>
      <c r="IJE458" s="28"/>
      <c r="IJF458" s="28"/>
      <c r="IJG458" s="28"/>
      <c r="IJH458" s="28"/>
      <c r="IJI458" s="28"/>
      <c r="IJJ458" s="28"/>
      <c r="IJK458" s="28"/>
      <c r="IJL458" s="28"/>
      <c r="IJM458" s="28"/>
      <c r="IJN458" s="28"/>
      <c r="IJO458" s="28"/>
      <c r="IJP458" s="28"/>
      <c r="IJQ458" s="28"/>
      <c r="IJR458" s="28"/>
      <c r="IJS458" s="28"/>
      <c r="IJT458" s="28"/>
      <c r="IJU458" s="28"/>
      <c r="IJV458" s="28"/>
      <c r="IJW458" s="28"/>
      <c r="IJX458" s="28"/>
      <c r="IJY458" s="28"/>
      <c r="IJZ458" s="28"/>
      <c r="IKA458" s="28"/>
      <c r="IKB458" s="28"/>
      <c r="IKC458" s="28"/>
      <c r="IKD458" s="28"/>
      <c r="IKE458" s="28"/>
      <c r="IKF458" s="28"/>
      <c r="IKG458" s="28"/>
      <c r="IKH458" s="28"/>
      <c r="IKI458" s="28"/>
      <c r="IKJ458" s="28"/>
      <c r="IKK458" s="28"/>
      <c r="IKL458" s="28"/>
      <c r="IKM458" s="28"/>
      <c r="IKN458" s="28"/>
      <c r="IKO458" s="28"/>
      <c r="IKP458" s="28"/>
      <c r="IKQ458" s="28"/>
      <c r="IKR458" s="28"/>
      <c r="IKS458" s="28"/>
      <c r="IKT458" s="28"/>
      <c r="IKU458" s="28"/>
      <c r="IKV458" s="28"/>
      <c r="IKW458" s="28"/>
      <c r="IKX458" s="28"/>
      <c r="IKY458" s="28"/>
      <c r="IKZ458" s="28"/>
      <c r="ILA458" s="28"/>
      <c r="ILB458" s="28"/>
      <c r="ILC458" s="28"/>
      <c r="ILD458" s="28"/>
      <c r="ILE458" s="28"/>
      <c r="ILF458" s="28"/>
      <c r="ILG458" s="28"/>
      <c r="ILH458" s="28"/>
      <c r="ILI458" s="28"/>
      <c r="ILJ458" s="28"/>
      <c r="ILK458" s="28"/>
      <c r="ILL458" s="28"/>
      <c r="ILM458" s="28"/>
      <c r="ILN458" s="28"/>
      <c r="ILO458" s="28"/>
      <c r="ILP458" s="28"/>
      <c r="ILQ458" s="28"/>
      <c r="ILR458" s="28"/>
      <c r="ILS458" s="28"/>
      <c r="ILT458" s="28"/>
      <c r="ILU458" s="28"/>
      <c r="ILV458" s="28"/>
      <c r="ILW458" s="28"/>
      <c r="ILX458" s="28"/>
      <c r="ILY458" s="28"/>
      <c r="ILZ458" s="28"/>
      <c r="IMA458" s="28"/>
      <c r="IMB458" s="28"/>
      <c r="IMC458" s="28"/>
      <c r="IMD458" s="28"/>
      <c r="IME458" s="28"/>
      <c r="IMF458" s="28"/>
      <c r="IMG458" s="28"/>
      <c r="IMH458" s="28"/>
      <c r="IMI458" s="28"/>
      <c r="IMJ458" s="28"/>
      <c r="IMK458" s="28"/>
      <c r="IML458" s="28"/>
      <c r="IMM458" s="28"/>
      <c r="IMN458" s="28"/>
      <c r="IMO458" s="28"/>
      <c r="IMP458" s="28"/>
      <c r="IMQ458" s="28"/>
      <c r="IMR458" s="28"/>
      <c r="IMS458" s="28"/>
      <c r="IMT458" s="28"/>
      <c r="IMU458" s="28"/>
      <c r="IMV458" s="28"/>
      <c r="IMW458" s="28"/>
      <c r="IMX458" s="28"/>
      <c r="IMY458" s="28"/>
      <c r="IMZ458" s="28"/>
      <c r="INA458" s="28"/>
      <c r="INB458" s="28"/>
      <c r="INC458" s="28"/>
      <c r="IND458" s="28"/>
      <c r="INE458" s="28"/>
      <c r="INF458" s="28"/>
      <c r="ING458" s="28"/>
      <c r="INH458" s="28"/>
      <c r="INI458" s="28"/>
      <c r="INJ458" s="28"/>
      <c r="INK458" s="28"/>
      <c r="INL458" s="28"/>
      <c r="INM458" s="28"/>
      <c r="INN458" s="28"/>
      <c r="INO458" s="28"/>
      <c r="INP458" s="28"/>
      <c r="INQ458" s="28"/>
      <c r="INR458" s="28"/>
      <c r="INS458" s="28"/>
      <c r="INT458" s="28"/>
      <c r="INU458" s="28"/>
      <c r="INV458" s="28"/>
      <c r="INW458" s="28"/>
      <c r="INX458" s="28"/>
      <c r="INY458" s="28"/>
      <c r="INZ458" s="28"/>
      <c r="IOA458" s="28"/>
      <c r="IOB458" s="28"/>
      <c r="IOC458" s="28"/>
      <c r="IOD458" s="28"/>
      <c r="IOE458" s="28"/>
      <c r="IOF458" s="28"/>
      <c r="IOG458" s="28"/>
      <c r="IOH458" s="28"/>
      <c r="IOI458" s="28"/>
      <c r="IOJ458" s="28"/>
      <c r="IOK458" s="28"/>
      <c r="IOL458" s="28"/>
      <c r="IOM458" s="28"/>
      <c r="ION458" s="28"/>
      <c r="IOO458" s="28"/>
      <c r="IOP458" s="28"/>
      <c r="IOQ458" s="28"/>
      <c r="IOR458" s="28"/>
      <c r="IOS458" s="28"/>
      <c r="IOT458" s="28"/>
      <c r="IOU458" s="28"/>
      <c r="IOV458" s="28"/>
      <c r="IOW458" s="28"/>
      <c r="IOX458" s="28"/>
      <c r="IOY458" s="28"/>
      <c r="IOZ458" s="28"/>
      <c r="IPA458" s="28"/>
      <c r="IPB458" s="28"/>
      <c r="IPC458" s="28"/>
      <c r="IPD458" s="28"/>
      <c r="IPE458" s="28"/>
      <c r="IPF458" s="28"/>
      <c r="IPG458" s="28"/>
      <c r="IPH458" s="28"/>
      <c r="IPI458" s="28"/>
      <c r="IPJ458" s="28"/>
      <c r="IPK458" s="28"/>
      <c r="IPL458" s="28"/>
      <c r="IPM458" s="28"/>
      <c r="IPN458" s="28"/>
      <c r="IPO458" s="28"/>
      <c r="IPP458" s="28"/>
      <c r="IPQ458" s="28"/>
      <c r="IPR458" s="28"/>
      <c r="IPS458" s="28"/>
      <c r="IPT458" s="28"/>
      <c r="IPU458" s="28"/>
      <c r="IPV458" s="28"/>
      <c r="IPW458" s="28"/>
      <c r="IPX458" s="28"/>
      <c r="IPY458" s="28"/>
      <c r="IPZ458" s="28"/>
      <c r="IQA458" s="28"/>
      <c r="IQB458" s="28"/>
      <c r="IQC458" s="28"/>
      <c r="IQD458" s="28"/>
      <c r="IQE458" s="28"/>
      <c r="IQF458" s="28"/>
      <c r="IQG458" s="28"/>
      <c r="IQH458" s="28"/>
      <c r="IQI458" s="28"/>
      <c r="IQJ458" s="28"/>
      <c r="IQK458" s="28"/>
      <c r="IQL458" s="28"/>
      <c r="IQM458" s="28"/>
      <c r="IQN458" s="28"/>
      <c r="IQO458" s="28"/>
      <c r="IQP458" s="28"/>
      <c r="IQQ458" s="28"/>
      <c r="IQR458" s="28"/>
      <c r="IQS458" s="28"/>
      <c r="IQT458" s="28"/>
      <c r="IQU458" s="28"/>
      <c r="IQV458" s="28"/>
      <c r="IQW458" s="28"/>
      <c r="IQX458" s="28"/>
      <c r="IQY458" s="28"/>
      <c r="IQZ458" s="28"/>
      <c r="IRA458" s="28"/>
      <c r="IRB458" s="28"/>
      <c r="IRC458" s="28"/>
      <c r="IRD458" s="28"/>
      <c r="IRE458" s="28"/>
      <c r="IRF458" s="28"/>
      <c r="IRG458" s="28"/>
      <c r="IRH458" s="28"/>
      <c r="IRI458" s="28"/>
      <c r="IRJ458" s="28"/>
      <c r="IRK458" s="28"/>
      <c r="IRL458" s="28"/>
      <c r="IRM458" s="28"/>
      <c r="IRN458" s="28"/>
      <c r="IRO458" s="28"/>
      <c r="IRP458" s="28"/>
      <c r="IRQ458" s="28"/>
      <c r="IRR458" s="28"/>
      <c r="IRS458" s="28"/>
      <c r="IRT458" s="28"/>
      <c r="IRU458" s="28"/>
      <c r="IRV458" s="28"/>
      <c r="IRW458" s="28"/>
      <c r="IRX458" s="28"/>
      <c r="IRY458" s="28"/>
      <c r="IRZ458" s="28"/>
      <c r="ISA458" s="28"/>
      <c r="ISB458" s="28"/>
      <c r="ISC458" s="28"/>
      <c r="ISD458" s="28"/>
      <c r="ISE458" s="28"/>
      <c r="ISF458" s="28"/>
      <c r="ISG458" s="28"/>
      <c r="ISH458" s="28"/>
      <c r="ISI458" s="28"/>
      <c r="ISJ458" s="28"/>
      <c r="ISK458" s="28"/>
      <c r="ISL458" s="28"/>
      <c r="ISM458" s="28"/>
      <c r="ISN458" s="28"/>
      <c r="ISO458" s="28"/>
      <c r="ISP458" s="28"/>
      <c r="ISQ458" s="28"/>
      <c r="ISR458" s="28"/>
      <c r="ISS458" s="28"/>
      <c r="IST458" s="28"/>
      <c r="ISU458" s="28"/>
      <c r="ISV458" s="28"/>
      <c r="ISW458" s="28"/>
      <c r="ISX458" s="28"/>
      <c r="ISY458" s="28"/>
      <c r="ISZ458" s="28"/>
      <c r="ITA458" s="28"/>
      <c r="ITB458" s="28"/>
      <c r="ITC458" s="28"/>
      <c r="ITD458" s="28"/>
      <c r="ITE458" s="28"/>
      <c r="ITF458" s="28"/>
      <c r="ITG458" s="28"/>
      <c r="ITH458" s="28"/>
      <c r="ITI458" s="28"/>
      <c r="ITJ458" s="28"/>
      <c r="ITK458" s="28"/>
      <c r="ITL458" s="28"/>
      <c r="ITM458" s="28"/>
      <c r="ITN458" s="28"/>
      <c r="ITO458" s="28"/>
      <c r="ITP458" s="28"/>
      <c r="ITQ458" s="28"/>
      <c r="ITR458" s="28"/>
      <c r="ITS458" s="28"/>
      <c r="ITT458" s="28"/>
      <c r="ITU458" s="28"/>
      <c r="ITV458" s="28"/>
      <c r="ITW458" s="28"/>
      <c r="ITX458" s="28"/>
      <c r="ITY458" s="28"/>
      <c r="ITZ458" s="28"/>
      <c r="IUA458" s="28"/>
      <c r="IUB458" s="28"/>
      <c r="IUC458" s="28"/>
      <c r="IUD458" s="28"/>
      <c r="IUE458" s="28"/>
      <c r="IUF458" s="28"/>
      <c r="IUG458" s="28"/>
      <c r="IUH458" s="28"/>
      <c r="IUI458" s="28"/>
      <c r="IUJ458" s="28"/>
      <c r="IUK458" s="28"/>
      <c r="IUL458" s="28"/>
      <c r="IUM458" s="28"/>
      <c r="IUN458" s="28"/>
      <c r="IUO458" s="28"/>
      <c r="IUP458" s="28"/>
      <c r="IUQ458" s="28"/>
      <c r="IUR458" s="28"/>
      <c r="IUS458" s="28"/>
      <c r="IUT458" s="28"/>
      <c r="IUU458" s="28"/>
      <c r="IUV458" s="28"/>
      <c r="IUW458" s="28"/>
      <c r="IUX458" s="28"/>
      <c r="IUY458" s="28"/>
      <c r="IUZ458" s="28"/>
      <c r="IVA458" s="28"/>
      <c r="IVB458" s="28"/>
      <c r="IVC458" s="28"/>
      <c r="IVD458" s="28"/>
      <c r="IVE458" s="28"/>
      <c r="IVF458" s="28"/>
      <c r="IVG458" s="28"/>
      <c r="IVH458" s="28"/>
      <c r="IVI458" s="28"/>
      <c r="IVJ458" s="28"/>
      <c r="IVK458" s="28"/>
      <c r="IVL458" s="28"/>
      <c r="IVM458" s="28"/>
      <c r="IVN458" s="28"/>
      <c r="IVO458" s="28"/>
      <c r="IVP458" s="28"/>
      <c r="IVQ458" s="28"/>
      <c r="IVR458" s="28"/>
      <c r="IVS458" s="28"/>
      <c r="IVT458" s="28"/>
      <c r="IVU458" s="28"/>
      <c r="IVV458" s="28"/>
      <c r="IVW458" s="28"/>
      <c r="IVX458" s="28"/>
      <c r="IVY458" s="28"/>
      <c r="IVZ458" s="28"/>
      <c r="IWA458" s="28"/>
      <c r="IWB458" s="28"/>
      <c r="IWC458" s="28"/>
      <c r="IWD458" s="28"/>
      <c r="IWE458" s="28"/>
      <c r="IWF458" s="28"/>
      <c r="IWG458" s="28"/>
      <c r="IWH458" s="28"/>
      <c r="IWI458" s="28"/>
      <c r="IWJ458" s="28"/>
      <c r="IWK458" s="28"/>
      <c r="IWL458" s="28"/>
      <c r="IWM458" s="28"/>
      <c r="IWN458" s="28"/>
      <c r="IWO458" s="28"/>
      <c r="IWP458" s="28"/>
      <c r="IWQ458" s="28"/>
      <c r="IWR458" s="28"/>
      <c r="IWS458" s="28"/>
      <c r="IWT458" s="28"/>
      <c r="IWU458" s="28"/>
      <c r="IWV458" s="28"/>
      <c r="IWW458" s="28"/>
      <c r="IWX458" s="28"/>
      <c r="IWY458" s="28"/>
      <c r="IWZ458" s="28"/>
      <c r="IXA458" s="28"/>
      <c r="IXB458" s="28"/>
      <c r="IXC458" s="28"/>
      <c r="IXD458" s="28"/>
      <c r="IXE458" s="28"/>
      <c r="IXF458" s="28"/>
      <c r="IXG458" s="28"/>
      <c r="IXH458" s="28"/>
      <c r="IXI458" s="28"/>
      <c r="IXJ458" s="28"/>
      <c r="IXK458" s="28"/>
      <c r="IXL458" s="28"/>
      <c r="IXM458" s="28"/>
      <c r="IXN458" s="28"/>
      <c r="IXO458" s="28"/>
      <c r="IXP458" s="28"/>
      <c r="IXQ458" s="28"/>
      <c r="IXR458" s="28"/>
      <c r="IXS458" s="28"/>
      <c r="IXT458" s="28"/>
      <c r="IXU458" s="28"/>
      <c r="IXV458" s="28"/>
      <c r="IXW458" s="28"/>
      <c r="IXX458" s="28"/>
      <c r="IXY458" s="28"/>
      <c r="IXZ458" s="28"/>
      <c r="IYA458" s="28"/>
      <c r="IYB458" s="28"/>
      <c r="IYC458" s="28"/>
      <c r="IYD458" s="28"/>
      <c r="IYE458" s="28"/>
      <c r="IYF458" s="28"/>
      <c r="IYG458" s="28"/>
      <c r="IYH458" s="28"/>
      <c r="IYI458" s="28"/>
      <c r="IYJ458" s="28"/>
      <c r="IYK458" s="28"/>
      <c r="IYL458" s="28"/>
      <c r="IYM458" s="28"/>
      <c r="IYN458" s="28"/>
      <c r="IYO458" s="28"/>
      <c r="IYP458" s="28"/>
      <c r="IYQ458" s="28"/>
      <c r="IYR458" s="28"/>
      <c r="IYS458" s="28"/>
      <c r="IYT458" s="28"/>
      <c r="IYU458" s="28"/>
      <c r="IYV458" s="28"/>
      <c r="IYW458" s="28"/>
      <c r="IYX458" s="28"/>
      <c r="IYY458" s="28"/>
      <c r="IYZ458" s="28"/>
      <c r="IZA458" s="28"/>
      <c r="IZB458" s="28"/>
      <c r="IZC458" s="28"/>
      <c r="IZD458" s="28"/>
      <c r="IZE458" s="28"/>
      <c r="IZF458" s="28"/>
      <c r="IZG458" s="28"/>
      <c r="IZH458" s="28"/>
      <c r="IZI458" s="28"/>
      <c r="IZJ458" s="28"/>
      <c r="IZK458" s="28"/>
      <c r="IZL458" s="28"/>
      <c r="IZM458" s="28"/>
      <c r="IZN458" s="28"/>
      <c r="IZO458" s="28"/>
      <c r="IZP458" s="28"/>
      <c r="IZQ458" s="28"/>
      <c r="IZR458" s="28"/>
      <c r="IZS458" s="28"/>
      <c r="IZT458" s="28"/>
      <c r="IZU458" s="28"/>
      <c r="IZV458" s="28"/>
      <c r="IZW458" s="28"/>
      <c r="IZX458" s="28"/>
      <c r="IZY458" s="28"/>
      <c r="IZZ458" s="28"/>
      <c r="JAA458" s="28"/>
      <c r="JAB458" s="28"/>
      <c r="JAC458" s="28"/>
      <c r="JAD458" s="28"/>
      <c r="JAE458" s="28"/>
      <c r="JAF458" s="28"/>
      <c r="JAG458" s="28"/>
      <c r="JAH458" s="28"/>
      <c r="JAI458" s="28"/>
      <c r="JAJ458" s="28"/>
      <c r="JAK458" s="28"/>
      <c r="JAL458" s="28"/>
      <c r="JAM458" s="28"/>
      <c r="JAN458" s="28"/>
      <c r="JAO458" s="28"/>
      <c r="JAP458" s="28"/>
      <c r="JAQ458" s="28"/>
      <c r="JAR458" s="28"/>
      <c r="JAS458" s="28"/>
      <c r="JAT458" s="28"/>
      <c r="JAU458" s="28"/>
      <c r="JAV458" s="28"/>
      <c r="JAW458" s="28"/>
      <c r="JAX458" s="28"/>
      <c r="JAY458" s="28"/>
      <c r="JAZ458" s="28"/>
      <c r="JBA458" s="28"/>
      <c r="JBB458" s="28"/>
      <c r="JBC458" s="28"/>
      <c r="JBD458" s="28"/>
      <c r="JBE458" s="28"/>
      <c r="JBF458" s="28"/>
      <c r="JBG458" s="28"/>
      <c r="JBH458" s="28"/>
      <c r="JBI458" s="28"/>
      <c r="JBJ458" s="28"/>
      <c r="JBK458" s="28"/>
      <c r="JBL458" s="28"/>
      <c r="JBM458" s="28"/>
      <c r="JBN458" s="28"/>
      <c r="JBO458" s="28"/>
      <c r="JBP458" s="28"/>
      <c r="JBQ458" s="28"/>
      <c r="JBR458" s="28"/>
      <c r="JBS458" s="28"/>
      <c r="JBT458" s="28"/>
      <c r="JBU458" s="28"/>
      <c r="JBV458" s="28"/>
      <c r="JBW458" s="28"/>
      <c r="JBX458" s="28"/>
      <c r="JBY458" s="28"/>
      <c r="JBZ458" s="28"/>
      <c r="JCA458" s="28"/>
      <c r="JCB458" s="28"/>
      <c r="JCC458" s="28"/>
      <c r="JCD458" s="28"/>
      <c r="JCE458" s="28"/>
      <c r="JCF458" s="28"/>
      <c r="JCG458" s="28"/>
      <c r="JCH458" s="28"/>
      <c r="JCI458" s="28"/>
      <c r="JCJ458" s="28"/>
      <c r="JCK458" s="28"/>
      <c r="JCL458" s="28"/>
      <c r="JCM458" s="28"/>
      <c r="JCN458" s="28"/>
      <c r="JCO458" s="28"/>
      <c r="JCP458" s="28"/>
      <c r="JCQ458" s="28"/>
      <c r="JCR458" s="28"/>
      <c r="JCS458" s="28"/>
      <c r="JCT458" s="28"/>
      <c r="JCU458" s="28"/>
      <c r="JCV458" s="28"/>
      <c r="JCW458" s="28"/>
      <c r="JCX458" s="28"/>
      <c r="JCY458" s="28"/>
      <c r="JCZ458" s="28"/>
      <c r="JDA458" s="28"/>
      <c r="JDB458" s="28"/>
      <c r="JDC458" s="28"/>
      <c r="JDD458" s="28"/>
      <c r="JDE458" s="28"/>
      <c r="JDF458" s="28"/>
      <c r="JDG458" s="28"/>
      <c r="JDH458" s="28"/>
      <c r="JDI458" s="28"/>
      <c r="JDJ458" s="28"/>
      <c r="JDK458" s="28"/>
      <c r="JDL458" s="28"/>
      <c r="JDM458" s="28"/>
      <c r="JDN458" s="28"/>
      <c r="JDO458" s="28"/>
      <c r="JDP458" s="28"/>
      <c r="JDQ458" s="28"/>
      <c r="JDR458" s="28"/>
      <c r="JDS458" s="28"/>
      <c r="JDT458" s="28"/>
      <c r="JDU458" s="28"/>
      <c r="JDV458" s="28"/>
      <c r="JDW458" s="28"/>
      <c r="JDX458" s="28"/>
      <c r="JDY458" s="28"/>
      <c r="JDZ458" s="28"/>
      <c r="JEA458" s="28"/>
      <c r="JEB458" s="28"/>
      <c r="JEC458" s="28"/>
      <c r="JED458" s="28"/>
      <c r="JEE458" s="28"/>
      <c r="JEF458" s="28"/>
      <c r="JEG458" s="28"/>
      <c r="JEH458" s="28"/>
      <c r="JEI458" s="28"/>
      <c r="JEJ458" s="28"/>
      <c r="JEK458" s="28"/>
      <c r="JEL458" s="28"/>
      <c r="JEM458" s="28"/>
      <c r="JEN458" s="28"/>
      <c r="JEO458" s="28"/>
      <c r="JEP458" s="28"/>
      <c r="JEQ458" s="28"/>
      <c r="JER458" s="28"/>
      <c r="JES458" s="28"/>
      <c r="JET458" s="28"/>
      <c r="JEU458" s="28"/>
      <c r="JEV458" s="28"/>
      <c r="JEW458" s="28"/>
      <c r="JEX458" s="28"/>
      <c r="JEY458" s="28"/>
      <c r="JEZ458" s="28"/>
      <c r="JFA458" s="28"/>
      <c r="JFB458" s="28"/>
      <c r="JFC458" s="28"/>
      <c r="JFD458" s="28"/>
      <c r="JFE458" s="28"/>
      <c r="JFF458" s="28"/>
      <c r="JFG458" s="28"/>
      <c r="JFH458" s="28"/>
      <c r="JFI458" s="28"/>
      <c r="JFJ458" s="28"/>
      <c r="JFK458" s="28"/>
      <c r="JFL458" s="28"/>
      <c r="JFM458" s="28"/>
      <c r="JFN458" s="28"/>
      <c r="JFO458" s="28"/>
      <c r="JFP458" s="28"/>
      <c r="JFQ458" s="28"/>
      <c r="JFR458" s="28"/>
      <c r="JFS458" s="28"/>
      <c r="JFT458" s="28"/>
      <c r="JFU458" s="28"/>
      <c r="JFV458" s="28"/>
      <c r="JFW458" s="28"/>
      <c r="JFX458" s="28"/>
      <c r="JFY458" s="28"/>
      <c r="JFZ458" s="28"/>
      <c r="JGA458" s="28"/>
      <c r="JGB458" s="28"/>
      <c r="JGC458" s="28"/>
      <c r="JGD458" s="28"/>
      <c r="JGE458" s="28"/>
      <c r="JGF458" s="28"/>
      <c r="JGG458" s="28"/>
      <c r="JGH458" s="28"/>
      <c r="JGI458" s="28"/>
      <c r="JGJ458" s="28"/>
      <c r="JGK458" s="28"/>
      <c r="JGL458" s="28"/>
      <c r="JGM458" s="28"/>
      <c r="JGN458" s="28"/>
      <c r="JGO458" s="28"/>
      <c r="JGP458" s="28"/>
      <c r="JGQ458" s="28"/>
      <c r="JGR458" s="28"/>
      <c r="JGS458" s="28"/>
      <c r="JGT458" s="28"/>
      <c r="JGU458" s="28"/>
      <c r="JGV458" s="28"/>
      <c r="JGW458" s="28"/>
      <c r="JGX458" s="28"/>
      <c r="JGY458" s="28"/>
      <c r="JGZ458" s="28"/>
      <c r="JHA458" s="28"/>
      <c r="JHB458" s="28"/>
      <c r="JHC458" s="28"/>
      <c r="JHD458" s="28"/>
      <c r="JHE458" s="28"/>
      <c r="JHF458" s="28"/>
      <c r="JHG458" s="28"/>
      <c r="JHH458" s="28"/>
      <c r="JHI458" s="28"/>
      <c r="JHJ458" s="28"/>
      <c r="JHK458" s="28"/>
      <c r="JHL458" s="28"/>
      <c r="JHM458" s="28"/>
      <c r="JHN458" s="28"/>
      <c r="JHO458" s="28"/>
      <c r="JHP458" s="28"/>
      <c r="JHQ458" s="28"/>
      <c r="JHR458" s="28"/>
      <c r="JHS458" s="28"/>
      <c r="JHT458" s="28"/>
      <c r="JHU458" s="28"/>
      <c r="JHV458" s="28"/>
      <c r="JHW458" s="28"/>
      <c r="JHX458" s="28"/>
      <c r="JHY458" s="28"/>
      <c r="JHZ458" s="28"/>
      <c r="JIA458" s="28"/>
      <c r="JIB458" s="28"/>
      <c r="JIC458" s="28"/>
      <c r="JID458" s="28"/>
      <c r="JIE458" s="28"/>
      <c r="JIF458" s="28"/>
      <c r="JIG458" s="28"/>
      <c r="JIH458" s="28"/>
      <c r="JII458" s="28"/>
      <c r="JIJ458" s="28"/>
      <c r="JIK458" s="28"/>
      <c r="JIL458" s="28"/>
      <c r="JIM458" s="28"/>
      <c r="JIN458" s="28"/>
      <c r="JIO458" s="28"/>
      <c r="JIP458" s="28"/>
      <c r="JIQ458" s="28"/>
      <c r="JIR458" s="28"/>
      <c r="JIS458" s="28"/>
      <c r="JIT458" s="28"/>
      <c r="JIU458" s="28"/>
      <c r="JIV458" s="28"/>
      <c r="JIW458" s="28"/>
      <c r="JIX458" s="28"/>
      <c r="JIY458" s="28"/>
      <c r="JIZ458" s="28"/>
      <c r="JJA458" s="28"/>
      <c r="JJB458" s="28"/>
      <c r="JJC458" s="28"/>
      <c r="JJD458" s="28"/>
      <c r="JJE458" s="28"/>
      <c r="JJF458" s="28"/>
      <c r="JJG458" s="28"/>
      <c r="JJH458" s="28"/>
      <c r="JJI458" s="28"/>
      <c r="JJJ458" s="28"/>
      <c r="JJK458" s="28"/>
      <c r="JJL458" s="28"/>
      <c r="JJM458" s="28"/>
      <c r="JJN458" s="28"/>
      <c r="JJO458" s="28"/>
      <c r="JJP458" s="28"/>
      <c r="JJQ458" s="28"/>
      <c r="JJR458" s="28"/>
      <c r="JJS458" s="28"/>
      <c r="JJT458" s="28"/>
      <c r="JJU458" s="28"/>
      <c r="JJV458" s="28"/>
      <c r="JJW458" s="28"/>
      <c r="JJX458" s="28"/>
      <c r="JJY458" s="28"/>
      <c r="JJZ458" s="28"/>
      <c r="JKA458" s="28"/>
      <c r="JKB458" s="28"/>
      <c r="JKC458" s="28"/>
      <c r="JKD458" s="28"/>
      <c r="JKE458" s="28"/>
      <c r="JKF458" s="28"/>
      <c r="JKG458" s="28"/>
      <c r="JKH458" s="28"/>
      <c r="JKI458" s="28"/>
      <c r="JKJ458" s="28"/>
      <c r="JKK458" s="28"/>
      <c r="JKL458" s="28"/>
      <c r="JKM458" s="28"/>
      <c r="JKN458" s="28"/>
      <c r="JKO458" s="28"/>
      <c r="JKP458" s="28"/>
      <c r="JKQ458" s="28"/>
      <c r="JKR458" s="28"/>
      <c r="JKS458" s="28"/>
      <c r="JKT458" s="28"/>
      <c r="JKU458" s="28"/>
      <c r="JKV458" s="28"/>
      <c r="JKW458" s="28"/>
      <c r="JKX458" s="28"/>
      <c r="JKY458" s="28"/>
      <c r="JKZ458" s="28"/>
      <c r="JLA458" s="28"/>
      <c r="JLB458" s="28"/>
      <c r="JLC458" s="28"/>
      <c r="JLD458" s="28"/>
      <c r="JLE458" s="28"/>
      <c r="JLF458" s="28"/>
      <c r="JLG458" s="28"/>
      <c r="JLH458" s="28"/>
      <c r="JLI458" s="28"/>
      <c r="JLJ458" s="28"/>
      <c r="JLK458" s="28"/>
      <c r="JLL458" s="28"/>
      <c r="JLM458" s="28"/>
      <c r="JLN458" s="28"/>
      <c r="JLO458" s="28"/>
      <c r="JLP458" s="28"/>
      <c r="JLQ458" s="28"/>
      <c r="JLR458" s="28"/>
      <c r="JLS458" s="28"/>
      <c r="JLT458" s="28"/>
      <c r="JLU458" s="28"/>
      <c r="JLV458" s="28"/>
      <c r="JLW458" s="28"/>
      <c r="JLX458" s="28"/>
      <c r="JLY458" s="28"/>
      <c r="JLZ458" s="28"/>
      <c r="JMA458" s="28"/>
      <c r="JMB458" s="28"/>
      <c r="JMC458" s="28"/>
      <c r="JMD458" s="28"/>
      <c r="JME458" s="28"/>
      <c r="JMF458" s="28"/>
      <c r="JMG458" s="28"/>
      <c r="JMH458" s="28"/>
      <c r="JMI458" s="28"/>
      <c r="JMJ458" s="28"/>
      <c r="JMK458" s="28"/>
      <c r="JML458" s="28"/>
      <c r="JMM458" s="28"/>
      <c r="JMN458" s="28"/>
      <c r="JMO458" s="28"/>
      <c r="JMP458" s="28"/>
      <c r="JMQ458" s="28"/>
      <c r="JMR458" s="28"/>
      <c r="JMS458" s="28"/>
      <c r="JMT458" s="28"/>
      <c r="JMU458" s="28"/>
      <c r="JMV458" s="28"/>
      <c r="JMW458" s="28"/>
      <c r="JMX458" s="28"/>
      <c r="JMY458" s="28"/>
      <c r="JMZ458" s="28"/>
      <c r="JNA458" s="28"/>
      <c r="JNB458" s="28"/>
      <c r="JNC458" s="28"/>
      <c r="JND458" s="28"/>
      <c r="JNE458" s="28"/>
      <c r="JNF458" s="28"/>
      <c r="JNG458" s="28"/>
      <c r="JNH458" s="28"/>
      <c r="JNI458" s="28"/>
      <c r="JNJ458" s="28"/>
      <c r="JNK458" s="28"/>
      <c r="JNL458" s="28"/>
      <c r="JNM458" s="28"/>
      <c r="JNN458" s="28"/>
      <c r="JNO458" s="28"/>
      <c r="JNP458" s="28"/>
      <c r="JNQ458" s="28"/>
      <c r="JNR458" s="28"/>
      <c r="JNS458" s="28"/>
      <c r="JNT458" s="28"/>
      <c r="JNU458" s="28"/>
      <c r="JNV458" s="28"/>
      <c r="JNW458" s="28"/>
      <c r="JNX458" s="28"/>
      <c r="JNY458" s="28"/>
      <c r="JNZ458" s="28"/>
      <c r="JOA458" s="28"/>
      <c r="JOB458" s="28"/>
      <c r="JOC458" s="28"/>
      <c r="JOD458" s="28"/>
      <c r="JOE458" s="28"/>
      <c r="JOF458" s="28"/>
      <c r="JOG458" s="28"/>
      <c r="JOH458" s="28"/>
      <c r="JOI458" s="28"/>
      <c r="JOJ458" s="28"/>
      <c r="JOK458" s="28"/>
      <c r="JOL458" s="28"/>
      <c r="JOM458" s="28"/>
      <c r="JON458" s="28"/>
      <c r="JOO458" s="28"/>
      <c r="JOP458" s="28"/>
      <c r="JOQ458" s="28"/>
      <c r="JOR458" s="28"/>
      <c r="JOS458" s="28"/>
      <c r="JOT458" s="28"/>
      <c r="JOU458" s="28"/>
      <c r="JOV458" s="28"/>
      <c r="JOW458" s="28"/>
      <c r="JOX458" s="28"/>
      <c r="JOY458" s="28"/>
      <c r="JOZ458" s="28"/>
      <c r="JPA458" s="28"/>
      <c r="JPB458" s="28"/>
      <c r="JPC458" s="28"/>
      <c r="JPD458" s="28"/>
      <c r="JPE458" s="28"/>
      <c r="JPF458" s="28"/>
      <c r="JPG458" s="28"/>
      <c r="JPH458" s="28"/>
      <c r="JPI458" s="28"/>
      <c r="JPJ458" s="28"/>
      <c r="JPK458" s="28"/>
      <c r="JPL458" s="28"/>
      <c r="JPM458" s="28"/>
      <c r="JPN458" s="28"/>
      <c r="JPO458" s="28"/>
      <c r="JPP458" s="28"/>
      <c r="JPQ458" s="28"/>
      <c r="JPR458" s="28"/>
      <c r="JPS458" s="28"/>
      <c r="JPT458" s="28"/>
      <c r="JPU458" s="28"/>
      <c r="JPV458" s="28"/>
      <c r="JPW458" s="28"/>
      <c r="JPX458" s="28"/>
      <c r="JPY458" s="28"/>
      <c r="JPZ458" s="28"/>
      <c r="JQA458" s="28"/>
      <c r="JQB458" s="28"/>
      <c r="JQC458" s="28"/>
      <c r="JQD458" s="28"/>
      <c r="JQE458" s="28"/>
      <c r="JQF458" s="28"/>
      <c r="JQG458" s="28"/>
      <c r="JQH458" s="28"/>
      <c r="JQI458" s="28"/>
      <c r="JQJ458" s="28"/>
      <c r="JQK458" s="28"/>
      <c r="JQL458" s="28"/>
      <c r="JQM458" s="28"/>
      <c r="JQN458" s="28"/>
      <c r="JQO458" s="28"/>
      <c r="JQP458" s="28"/>
      <c r="JQQ458" s="28"/>
      <c r="JQR458" s="28"/>
      <c r="JQS458" s="28"/>
      <c r="JQT458" s="28"/>
      <c r="JQU458" s="28"/>
      <c r="JQV458" s="28"/>
      <c r="JQW458" s="28"/>
      <c r="JQX458" s="28"/>
      <c r="JQY458" s="28"/>
      <c r="JQZ458" s="28"/>
      <c r="JRA458" s="28"/>
      <c r="JRB458" s="28"/>
      <c r="JRC458" s="28"/>
      <c r="JRD458" s="28"/>
      <c r="JRE458" s="28"/>
      <c r="JRF458" s="28"/>
      <c r="JRG458" s="28"/>
      <c r="JRH458" s="28"/>
      <c r="JRI458" s="28"/>
      <c r="JRJ458" s="28"/>
      <c r="JRK458" s="28"/>
      <c r="JRL458" s="28"/>
      <c r="JRM458" s="28"/>
      <c r="JRN458" s="28"/>
      <c r="JRO458" s="28"/>
      <c r="JRP458" s="28"/>
      <c r="JRQ458" s="28"/>
      <c r="JRR458" s="28"/>
      <c r="JRS458" s="28"/>
      <c r="JRT458" s="28"/>
      <c r="JRU458" s="28"/>
      <c r="JRV458" s="28"/>
      <c r="JRW458" s="28"/>
      <c r="JRX458" s="28"/>
      <c r="JRY458" s="28"/>
      <c r="JRZ458" s="28"/>
      <c r="JSA458" s="28"/>
      <c r="JSB458" s="28"/>
      <c r="JSC458" s="28"/>
      <c r="JSD458" s="28"/>
      <c r="JSE458" s="28"/>
      <c r="JSF458" s="28"/>
      <c r="JSG458" s="28"/>
      <c r="JSH458" s="28"/>
      <c r="JSI458" s="28"/>
      <c r="JSJ458" s="28"/>
      <c r="JSK458" s="28"/>
      <c r="JSL458" s="28"/>
      <c r="JSM458" s="28"/>
      <c r="JSN458" s="28"/>
      <c r="JSO458" s="28"/>
      <c r="JSP458" s="28"/>
      <c r="JSQ458" s="28"/>
      <c r="JSR458" s="28"/>
      <c r="JSS458" s="28"/>
      <c r="JST458" s="28"/>
      <c r="JSU458" s="28"/>
      <c r="JSV458" s="28"/>
      <c r="JSW458" s="28"/>
      <c r="JSX458" s="28"/>
      <c r="JSY458" s="28"/>
      <c r="JSZ458" s="28"/>
      <c r="JTA458" s="28"/>
      <c r="JTB458" s="28"/>
      <c r="JTC458" s="28"/>
      <c r="JTD458" s="28"/>
      <c r="JTE458" s="28"/>
      <c r="JTF458" s="28"/>
      <c r="JTG458" s="28"/>
      <c r="JTH458" s="28"/>
      <c r="JTI458" s="28"/>
      <c r="JTJ458" s="28"/>
      <c r="JTK458" s="28"/>
      <c r="JTL458" s="28"/>
      <c r="JTM458" s="28"/>
      <c r="JTN458" s="28"/>
      <c r="JTO458" s="28"/>
      <c r="JTP458" s="28"/>
      <c r="JTQ458" s="28"/>
      <c r="JTR458" s="28"/>
      <c r="JTS458" s="28"/>
      <c r="JTT458" s="28"/>
      <c r="JTU458" s="28"/>
      <c r="JTV458" s="28"/>
      <c r="JTW458" s="28"/>
      <c r="JTX458" s="28"/>
      <c r="JTY458" s="28"/>
      <c r="JTZ458" s="28"/>
      <c r="JUA458" s="28"/>
      <c r="JUB458" s="28"/>
      <c r="JUC458" s="28"/>
      <c r="JUD458" s="28"/>
      <c r="JUE458" s="28"/>
      <c r="JUF458" s="28"/>
      <c r="JUG458" s="28"/>
      <c r="JUH458" s="28"/>
      <c r="JUI458" s="28"/>
      <c r="JUJ458" s="28"/>
      <c r="JUK458" s="28"/>
      <c r="JUL458" s="28"/>
      <c r="JUM458" s="28"/>
      <c r="JUN458" s="28"/>
      <c r="JUO458" s="28"/>
      <c r="JUP458" s="28"/>
      <c r="JUQ458" s="28"/>
      <c r="JUR458" s="28"/>
      <c r="JUS458" s="28"/>
      <c r="JUT458" s="28"/>
      <c r="JUU458" s="28"/>
      <c r="JUV458" s="28"/>
      <c r="JUW458" s="28"/>
      <c r="JUX458" s="28"/>
      <c r="JUY458" s="28"/>
      <c r="JUZ458" s="28"/>
      <c r="JVA458" s="28"/>
      <c r="JVB458" s="28"/>
      <c r="JVC458" s="28"/>
      <c r="JVD458" s="28"/>
      <c r="JVE458" s="28"/>
      <c r="JVF458" s="28"/>
      <c r="JVG458" s="28"/>
      <c r="JVH458" s="28"/>
      <c r="JVI458" s="28"/>
      <c r="JVJ458" s="28"/>
      <c r="JVK458" s="28"/>
      <c r="JVL458" s="28"/>
      <c r="JVM458" s="28"/>
      <c r="JVN458" s="28"/>
      <c r="JVO458" s="28"/>
      <c r="JVP458" s="28"/>
      <c r="JVQ458" s="28"/>
      <c r="JVR458" s="28"/>
      <c r="JVS458" s="28"/>
      <c r="JVT458" s="28"/>
      <c r="JVU458" s="28"/>
      <c r="JVV458" s="28"/>
      <c r="JVW458" s="28"/>
      <c r="JVX458" s="28"/>
      <c r="JVY458" s="28"/>
      <c r="JVZ458" s="28"/>
      <c r="JWA458" s="28"/>
      <c r="JWB458" s="28"/>
      <c r="JWC458" s="28"/>
      <c r="JWD458" s="28"/>
      <c r="JWE458" s="28"/>
      <c r="JWF458" s="28"/>
      <c r="JWG458" s="28"/>
      <c r="JWH458" s="28"/>
      <c r="JWI458" s="28"/>
      <c r="JWJ458" s="28"/>
      <c r="JWK458" s="28"/>
      <c r="JWL458" s="28"/>
      <c r="JWM458" s="28"/>
      <c r="JWN458" s="28"/>
      <c r="JWO458" s="28"/>
      <c r="JWP458" s="28"/>
      <c r="JWQ458" s="28"/>
      <c r="JWR458" s="28"/>
      <c r="JWS458" s="28"/>
      <c r="JWT458" s="28"/>
      <c r="JWU458" s="28"/>
      <c r="JWV458" s="28"/>
      <c r="JWW458" s="28"/>
      <c r="JWX458" s="28"/>
      <c r="JWY458" s="28"/>
      <c r="JWZ458" s="28"/>
      <c r="JXA458" s="28"/>
      <c r="JXB458" s="28"/>
      <c r="JXC458" s="28"/>
      <c r="JXD458" s="28"/>
      <c r="JXE458" s="28"/>
      <c r="JXF458" s="28"/>
      <c r="JXG458" s="28"/>
      <c r="JXH458" s="28"/>
      <c r="JXI458" s="28"/>
      <c r="JXJ458" s="28"/>
      <c r="JXK458" s="28"/>
      <c r="JXL458" s="28"/>
      <c r="JXM458" s="28"/>
      <c r="JXN458" s="28"/>
      <c r="JXO458" s="28"/>
      <c r="JXP458" s="28"/>
      <c r="JXQ458" s="28"/>
      <c r="JXR458" s="28"/>
      <c r="JXS458" s="28"/>
      <c r="JXT458" s="28"/>
      <c r="JXU458" s="28"/>
      <c r="JXV458" s="28"/>
      <c r="JXW458" s="28"/>
      <c r="JXX458" s="28"/>
      <c r="JXY458" s="28"/>
      <c r="JXZ458" s="28"/>
      <c r="JYA458" s="28"/>
      <c r="JYB458" s="28"/>
      <c r="JYC458" s="28"/>
      <c r="JYD458" s="28"/>
      <c r="JYE458" s="28"/>
      <c r="JYF458" s="28"/>
      <c r="JYG458" s="28"/>
      <c r="JYH458" s="28"/>
      <c r="JYI458" s="28"/>
      <c r="JYJ458" s="28"/>
      <c r="JYK458" s="28"/>
      <c r="JYL458" s="28"/>
      <c r="JYM458" s="28"/>
      <c r="JYN458" s="28"/>
      <c r="JYO458" s="28"/>
      <c r="JYP458" s="28"/>
      <c r="JYQ458" s="28"/>
      <c r="JYR458" s="28"/>
      <c r="JYS458" s="28"/>
      <c r="JYT458" s="28"/>
      <c r="JYU458" s="28"/>
      <c r="JYV458" s="28"/>
      <c r="JYW458" s="28"/>
      <c r="JYX458" s="28"/>
      <c r="JYY458" s="28"/>
      <c r="JYZ458" s="28"/>
      <c r="JZA458" s="28"/>
      <c r="JZB458" s="28"/>
      <c r="JZC458" s="28"/>
      <c r="JZD458" s="28"/>
      <c r="JZE458" s="28"/>
      <c r="JZF458" s="28"/>
      <c r="JZG458" s="28"/>
      <c r="JZH458" s="28"/>
      <c r="JZI458" s="28"/>
      <c r="JZJ458" s="28"/>
      <c r="JZK458" s="28"/>
      <c r="JZL458" s="28"/>
      <c r="JZM458" s="28"/>
      <c r="JZN458" s="28"/>
      <c r="JZO458" s="28"/>
      <c r="JZP458" s="28"/>
      <c r="JZQ458" s="28"/>
      <c r="JZR458" s="28"/>
      <c r="JZS458" s="28"/>
      <c r="JZT458" s="28"/>
      <c r="JZU458" s="28"/>
      <c r="JZV458" s="28"/>
      <c r="JZW458" s="28"/>
      <c r="JZX458" s="28"/>
      <c r="JZY458" s="28"/>
      <c r="JZZ458" s="28"/>
      <c r="KAA458" s="28"/>
      <c r="KAB458" s="28"/>
      <c r="KAC458" s="28"/>
      <c r="KAD458" s="28"/>
      <c r="KAE458" s="28"/>
      <c r="KAF458" s="28"/>
      <c r="KAG458" s="28"/>
      <c r="KAH458" s="28"/>
      <c r="KAI458" s="28"/>
      <c r="KAJ458" s="28"/>
      <c r="KAK458" s="28"/>
      <c r="KAL458" s="28"/>
      <c r="KAM458" s="28"/>
      <c r="KAN458" s="28"/>
      <c r="KAO458" s="28"/>
      <c r="KAP458" s="28"/>
      <c r="KAQ458" s="28"/>
      <c r="KAR458" s="28"/>
      <c r="KAS458" s="28"/>
      <c r="KAT458" s="28"/>
      <c r="KAU458" s="28"/>
      <c r="KAV458" s="28"/>
      <c r="KAW458" s="28"/>
      <c r="KAX458" s="28"/>
      <c r="KAY458" s="28"/>
      <c r="KAZ458" s="28"/>
      <c r="KBA458" s="28"/>
      <c r="KBB458" s="28"/>
      <c r="KBC458" s="28"/>
      <c r="KBD458" s="28"/>
      <c r="KBE458" s="28"/>
      <c r="KBF458" s="28"/>
      <c r="KBG458" s="28"/>
      <c r="KBH458" s="28"/>
      <c r="KBI458" s="28"/>
      <c r="KBJ458" s="28"/>
      <c r="KBK458" s="28"/>
      <c r="KBL458" s="28"/>
      <c r="KBM458" s="28"/>
      <c r="KBN458" s="28"/>
      <c r="KBO458" s="28"/>
      <c r="KBP458" s="28"/>
      <c r="KBQ458" s="28"/>
      <c r="KBR458" s="28"/>
      <c r="KBS458" s="28"/>
      <c r="KBT458" s="28"/>
      <c r="KBU458" s="28"/>
      <c r="KBV458" s="28"/>
      <c r="KBW458" s="28"/>
      <c r="KBX458" s="28"/>
      <c r="KBY458" s="28"/>
      <c r="KBZ458" s="28"/>
      <c r="KCA458" s="28"/>
      <c r="KCB458" s="28"/>
      <c r="KCC458" s="28"/>
      <c r="KCD458" s="28"/>
      <c r="KCE458" s="28"/>
      <c r="KCF458" s="28"/>
      <c r="KCG458" s="28"/>
      <c r="KCH458" s="28"/>
      <c r="KCI458" s="28"/>
      <c r="KCJ458" s="28"/>
      <c r="KCK458" s="28"/>
      <c r="KCL458" s="28"/>
      <c r="KCM458" s="28"/>
      <c r="KCN458" s="28"/>
      <c r="KCO458" s="28"/>
      <c r="KCP458" s="28"/>
      <c r="KCQ458" s="28"/>
      <c r="KCR458" s="28"/>
      <c r="KCS458" s="28"/>
      <c r="KCT458" s="28"/>
      <c r="KCU458" s="28"/>
      <c r="KCV458" s="28"/>
      <c r="KCW458" s="28"/>
      <c r="KCX458" s="28"/>
      <c r="KCY458" s="28"/>
      <c r="KCZ458" s="28"/>
      <c r="KDA458" s="28"/>
      <c r="KDB458" s="28"/>
      <c r="KDC458" s="28"/>
      <c r="KDD458" s="28"/>
      <c r="KDE458" s="28"/>
      <c r="KDF458" s="28"/>
      <c r="KDG458" s="28"/>
      <c r="KDH458" s="28"/>
      <c r="KDI458" s="28"/>
      <c r="KDJ458" s="28"/>
      <c r="KDK458" s="28"/>
      <c r="KDL458" s="28"/>
      <c r="KDM458" s="28"/>
      <c r="KDN458" s="28"/>
      <c r="KDO458" s="28"/>
      <c r="KDP458" s="28"/>
      <c r="KDQ458" s="28"/>
      <c r="KDR458" s="28"/>
      <c r="KDS458" s="28"/>
      <c r="KDT458" s="28"/>
      <c r="KDU458" s="28"/>
      <c r="KDV458" s="28"/>
      <c r="KDW458" s="28"/>
      <c r="KDX458" s="28"/>
      <c r="KDY458" s="28"/>
      <c r="KDZ458" s="28"/>
      <c r="KEA458" s="28"/>
      <c r="KEB458" s="28"/>
      <c r="KEC458" s="28"/>
      <c r="KED458" s="28"/>
      <c r="KEE458" s="28"/>
      <c r="KEF458" s="28"/>
      <c r="KEG458" s="28"/>
      <c r="KEH458" s="28"/>
      <c r="KEI458" s="28"/>
      <c r="KEJ458" s="28"/>
      <c r="KEK458" s="28"/>
      <c r="KEL458" s="28"/>
      <c r="KEM458" s="28"/>
      <c r="KEN458" s="28"/>
      <c r="KEO458" s="28"/>
      <c r="KEP458" s="28"/>
      <c r="KEQ458" s="28"/>
      <c r="KER458" s="28"/>
      <c r="KES458" s="28"/>
      <c r="KET458" s="28"/>
      <c r="KEU458" s="28"/>
      <c r="KEV458" s="28"/>
      <c r="KEW458" s="28"/>
      <c r="KEX458" s="28"/>
      <c r="KEY458" s="28"/>
      <c r="KEZ458" s="28"/>
      <c r="KFA458" s="28"/>
      <c r="KFB458" s="28"/>
      <c r="KFC458" s="28"/>
      <c r="KFD458" s="28"/>
      <c r="KFE458" s="28"/>
      <c r="KFF458" s="28"/>
      <c r="KFG458" s="28"/>
      <c r="KFH458" s="28"/>
      <c r="KFI458" s="28"/>
      <c r="KFJ458" s="28"/>
      <c r="KFK458" s="28"/>
      <c r="KFL458" s="28"/>
      <c r="KFM458" s="28"/>
      <c r="KFN458" s="28"/>
      <c r="KFO458" s="28"/>
      <c r="KFP458" s="28"/>
      <c r="KFQ458" s="28"/>
      <c r="KFR458" s="28"/>
      <c r="KFS458" s="28"/>
      <c r="KFT458" s="28"/>
      <c r="KFU458" s="28"/>
      <c r="KFV458" s="28"/>
      <c r="KFW458" s="28"/>
      <c r="KFX458" s="28"/>
      <c r="KFY458" s="28"/>
      <c r="KFZ458" s="28"/>
      <c r="KGA458" s="28"/>
      <c r="KGB458" s="28"/>
      <c r="KGC458" s="28"/>
      <c r="KGD458" s="28"/>
      <c r="KGE458" s="28"/>
      <c r="KGF458" s="28"/>
      <c r="KGG458" s="28"/>
      <c r="KGH458" s="28"/>
      <c r="KGI458" s="28"/>
      <c r="KGJ458" s="28"/>
      <c r="KGK458" s="28"/>
      <c r="KGL458" s="28"/>
      <c r="KGM458" s="28"/>
      <c r="KGN458" s="28"/>
      <c r="KGO458" s="28"/>
      <c r="KGP458" s="28"/>
      <c r="KGQ458" s="28"/>
      <c r="KGR458" s="28"/>
      <c r="KGS458" s="28"/>
      <c r="KGT458" s="28"/>
      <c r="KGU458" s="28"/>
      <c r="KGV458" s="28"/>
      <c r="KGW458" s="28"/>
      <c r="KGX458" s="28"/>
      <c r="KGY458" s="28"/>
      <c r="KGZ458" s="28"/>
      <c r="KHA458" s="28"/>
      <c r="KHB458" s="28"/>
      <c r="KHC458" s="28"/>
      <c r="KHD458" s="28"/>
      <c r="KHE458" s="28"/>
      <c r="KHF458" s="28"/>
      <c r="KHG458" s="28"/>
      <c r="KHH458" s="28"/>
      <c r="KHI458" s="28"/>
      <c r="KHJ458" s="28"/>
      <c r="KHK458" s="28"/>
      <c r="KHL458" s="28"/>
      <c r="KHM458" s="28"/>
      <c r="KHN458" s="28"/>
      <c r="KHO458" s="28"/>
      <c r="KHP458" s="28"/>
      <c r="KHQ458" s="28"/>
      <c r="KHR458" s="28"/>
      <c r="KHS458" s="28"/>
      <c r="KHT458" s="28"/>
      <c r="KHU458" s="28"/>
      <c r="KHV458" s="28"/>
      <c r="KHW458" s="28"/>
      <c r="KHX458" s="28"/>
      <c r="KHY458" s="28"/>
      <c r="KHZ458" s="28"/>
      <c r="KIA458" s="28"/>
      <c r="KIB458" s="28"/>
      <c r="KIC458" s="28"/>
      <c r="KID458" s="28"/>
      <c r="KIE458" s="28"/>
      <c r="KIF458" s="28"/>
      <c r="KIG458" s="28"/>
      <c r="KIH458" s="28"/>
      <c r="KII458" s="28"/>
      <c r="KIJ458" s="28"/>
      <c r="KIK458" s="28"/>
      <c r="KIL458" s="28"/>
      <c r="KIM458" s="28"/>
      <c r="KIN458" s="28"/>
      <c r="KIO458" s="28"/>
      <c r="KIP458" s="28"/>
      <c r="KIQ458" s="28"/>
      <c r="KIR458" s="28"/>
      <c r="KIS458" s="28"/>
      <c r="KIT458" s="28"/>
      <c r="KIU458" s="28"/>
      <c r="KIV458" s="28"/>
      <c r="KIW458" s="28"/>
      <c r="KIX458" s="28"/>
      <c r="KIY458" s="28"/>
      <c r="KIZ458" s="28"/>
      <c r="KJA458" s="28"/>
      <c r="KJB458" s="28"/>
      <c r="KJC458" s="28"/>
      <c r="KJD458" s="28"/>
      <c r="KJE458" s="28"/>
      <c r="KJF458" s="28"/>
      <c r="KJG458" s="28"/>
      <c r="KJH458" s="28"/>
      <c r="KJI458" s="28"/>
      <c r="KJJ458" s="28"/>
      <c r="KJK458" s="28"/>
      <c r="KJL458" s="28"/>
      <c r="KJM458" s="28"/>
      <c r="KJN458" s="28"/>
      <c r="KJO458" s="28"/>
      <c r="KJP458" s="28"/>
      <c r="KJQ458" s="28"/>
      <c r="KJR458" s="28"/>
      <c r="KJS458" s="28"/>
      <c r="KJT458" s="28"/>
      <c r="KJU458" s="28"/>
      <c r="KJV458" s="28"/>
      <c r="KJW458" s="28"/>
      <c r="KJX458" s="28"/>
      <c r="KJY458" s="28"/>
      <c r="KJZ458" s="28"/>
      <c r="KKA458" s="28"/>
      <c r="KKB458" s="28"/>
      <c r="KKC458" s="28"/>
      <c r="KKD458" s="28"/>
      <c r="KKE458" s="28"/>
      <c r="KKF458" s="28"/>
      <c r="KKG458" s="28"/>
      <c r="KKH458" s="28"/>
      <c r="KKI458" s="28"/>
      <c r="KKJ458" s="28"/>
      <c r="KKK458" s="28"/>
      <c r="KKL458" s="28"/>
      <c r="KKM458" s="28"/>
      <c r="KKN458" s="28"/>
      <c r="KKO458" s="28"/>
      <c r="KKP458" s="28"/>
      <c r="KKQ458" s="28"/>
      <c r="KKR458" s="28"/>
      <c r="KKS458" s="28"/>
      <c r="KKT458" s="28"/>
      <c r="KKU458" s="28"/>
      <c r="KKV458" s="28"/>
      <c r="KKW458" s="28"/>
      <c r="KKX458" s="28"/>
      <c r="KKY458" s="28"/>
      <c r="KKZ458" s="28"/>
      <c r="KLA458" s="28"/>
      <c r="KLB458" s="28"/>
      <c r="KLC458" s="28"/>
      <c r="KLD458" s="28"/>
      <c r="KLE458" s="28"/>
      <c r="KLF458" s="28"/>
      <c r="KLG458" s="28"/>
      <c r="KLH458" s="28"/>
      <c r="KLI458" s="28"/>
      <c r="KLJ458" s="28"/>
      <c r="KLK458" s="28"/>
      <c r="KLL458" s="28"/>
      <c r="KLM458" s="28"/>
      <c r="KLN458" s="28"/>
      <c r="KLO458" s="28"/>
      <c r="KLP458" s="28"/>
      <c r="KLQ458" s="28"/>
      <c r="KLR458" s="28"/>
      <c r="KLS458" s="28"/>
      <c r="KLT458" s="28"/>
      <c r="KLU458" s="28"/>
      <c r="KLV458" s="28"/>
      <c r="KLW458" s="28"/>
      <c r="KLX458" s="28"/>
      <c r="KLY458" s="28"/>
      <c r="KLZ458" s="28"/>
      <c r="KMA458" s="28"/>
      <c r="KMB458" s="28"/>
      <c r="KMC458" s="28"/>
      <c r="KMD458" s="28"/>
      <c r="KME458" s="28"/>
      <c r="KMF458" s="28"/>
      <c r="KMG458" s="28"/>
      <c r="KMH458" s="28"/>
      <c r="KMI458" s="28"/>
      <c r="KMJ458" s="28"/>
      <c r="KMK458" s="28"/>
      <c r="KML458" s="28"/>
      <c r="KMM458" s="28"/>
      <c r="KMN458" s="28"/>
      <c r="KMO458" s="28"/>
      <c r="KMP458" s="28"/>
      <c r="KMQ458" s="28"/>
      <c r="KMR458" s="28"/>
      <c r="KMS458" s="28"/>
      <c r="KMT458" s="28"/>
      <c r="KMU458" s="28"/>
      <c r="KMV458" s="28"/>
      <c r="KMW458" s="28"/>
      <c r="KMX458" s="28"/>
      <c r="KMY458" s="28"/>
      <c r="KMZ458" s="28"/>
      <c r="KNA458" s="28"/>
      <c r="KNB458" s="28"/>
      <c r="KNC458" s="28"/>
      <c r="KND458" s="28"/>
      <c r="KNE458" s="28"/>
      <c r="KNF458" s="28"/>
      <c r="KNG458" s="28"/>
      <c r="KNH458" s="28"/>
      <c r="KNI458" s="28"/>
      <c r="KNJ458" s="28"/>
      <c r="KNK458" s="28"/>
      <c r="KNL458" s="28"/>
      <c r="KNM458" s="28"/>
      <c r="KNN458" s="28"/>
      <c r="KNO458" s="28"/>
      <c r="KNP458" s="28"/>
      <c r="KNQ458" s="28"/>
      <c r="KNR458" s="28"/>
      <c r="KNS458" s="28"/>
      <c r="KNT458" s="28"/>
      <c r="KNU458" s="28"/>
      <c r="KNV458" s="28"/>
      <c r="KNW458" s="28"/>
      <c r="KNX458" s="28"/>
      <c r="KNY458" s="28"/>
      <c r="KNZ458" s="28"/>
      <c r="KOA458" s="28"/>
      <c r="KOB458" s="28"/>
      <c r="KOC458" s="28"/>
      <c r="KOD458" s="28"/>
      <c r="KOE458" s="28"/>
      <c r="KOF458" s="28"/>
      <c r="KOG458" s="28"/>
      <c r="KOH458" s="28"/>
      <c r="KOI458" s="28"/>
      <c r="KOJ458" s="28"/>
      <c r="KOK458" s="28"/>
      <c r="KOL458" s="28"/>
      <c r="KOM458" s="28"/>
      <c r="KON458" s="28"/>
      <c r="KOO458" s="28"/>
      <c r="KOP458" s="28"/>
      <c r="KOQ458" s="28"/>
      <c r="KOR458" s="28"/>
      <c r="KOS458" s="28"/>
      <c r="KOT458" s="28"/>
      <c r="KOU458" s="28"/>
      <c r="KOV458" s="28"/>
      <c r="KOW458" s="28"/>
      <c r="KOX458" s="28"/>
      <c r="KOY458" s="28"/>
      <c r="KOZ458" s="28"/>
      <c r="KPA458" s="28"/>
      <c r="KPB458" s="28"/>
      <c r="KPC458" s="28"/>
      <c r="KPD458" s="28"/>
      <c r="KPE458" s="28"/>
      <c r="KPF458" s="28"/>
      <c r="KPG458" s="28"/>
      <c r="KPH458" s="28"/>
      <c r="KPI458" s="28"/>
      <c r="KPJ458" s="28"/>
      <c r="KPK458" s="28"/>
      <c r="KPL458" s="28"/>
      <c r="KPM458" s="28"/>
      <c r="KPN458" s="28"/>
      <c r="KPO458" s="28"/>
      <c r="KPP458" s="28"/>
      <c r="KPQ458" s="28"/>
      <c r="KPR458" s="28"/>
      <c r="KPS458" s="28"/>
      <c r="KPT458" s="28"/>
      <c r="KPU458" s="28"/>
      <c r="KPV458" s="28"/>
      <c r="KPW458" s="28"/>
      <c r="KPX458" s="28"/>
      <c r="KPY458" s="28"/>
      <c r="KPZ458" s="28"/>
      <c r="KQA458" s="28"/>
      <c r="KQB458" s="28"/>
      <c r="KQC458" s="28"/>
      <c r="KQD458" s="28"/>
      <c r="KQE458" s="28"/>
      <c r="KQF458" s="28"/>
      <c r="KQG458" s="28"/>
      <c r="KQH458" s="28"/>
      <c r="KQI458" s="28"/>
      <c r="KQJ458" s="28"/>
      <c r="KQK458" s="28"/>
      <c r="KQL458" s="28"/>
      <c r="KQM458" s="28"/>
      <c r="KQN458" s="28"/>
      <c r="KQO458" s="28"/>
      <c r="KQP458" s="28"/>
      <c r="KQQ458" s="28"/>
      <c r="KQR458" s="28"/>
      <c r="KQS458" s="28"/>
      <c r="KQT458" s="28"/>
      <c r="KQU458" s="28"/>
      <c r="KQV458" s="28"/>
      <c r="KQW458" s="28"/>
      <c r="KQX458" s="28"/>
      <c r="KQY458" s="28"/>
      <c r="KQZ458" s="28"/>
      <c r="KRA458" s="28"/>
      <c r="KRB458" s="28"/>
      <c r="KRC458" s="28"/>
      <c r="KRD458" s="28"/>
      <c r="KRE458" s="28"/>
      <c r="KRF458" s="28"/>
      <c r="KRG458" s="28"/>
      <c r="KRH458" s="28"/>
      <c r="KRI458" s="28"/>
      <c r="KRJ458" s="28"/>
      <c r="KRK458" s="28"/>
      <c r="KRL458" s="28"/>
      <c r="KRM458" s="28"/>
      <c r="KRN458" s="28"/>
      <c r="KRO458" s="28"/>
      <c r="KRP458" s="28"/>
      <c r="KRQ458" s="28"/>
      <c r="KRR458" s="28"/>
      <c r="KRS458" s="28"/>
      <c r="KRT458" s="28"/>
      <c r="KRU458" s="28"/>
      <c r="KRV458" s="28"/>
      <c r="KRW458" s="28"/>
      <c r="KRX458" s="28"/>
      <c r="KRY458" s="28"/>
      <c r="KRZ458" s="28"/>
      <c r="KSA458" s="28"/>
      <c r="KSB458" s="28"/>
      <c r="KSC458" s="28"/>
      <c r="KSD458" s="28"/>
      <c r="KSE458" s="28"/>
      <c r="KSF458" s="28"/>
      <c r="KSG458" s="28"/>
      <c r="KSH458" s="28"/>
      <c r="KSI458" s="28"/>
      <c r="KSJ458" s="28"/>
      <c r="KSK458" s="28"/>
      <c r="KSL458" s="28"/>
      <c r="KSM458" s="28"/>
      <c r="KSN458" s="28"/>
      <c r="KSO458" s="28"/>
      <c r="KSP458" s="28"/>
      <c r="KSQ458" s="28"/>
      <c r="KSR458" s="28"/>
      <c r="KSS458" s="28"/>
      <c r="KST458" s="28"/>
      <c r="KSU458" s="28"/>
      <c r="KSV458" s="28"/>
      <c r="KSW458" s="28"/>
      <c r="KSX458" s="28"/>
      <c r="KSY458" s="28"/>
      <c r="KSZ458" s="28"/>
      <c r="KTA458" s="28"/>
      <c r="KTB458" s="28"/>
      <c r="KTC458" s="28"/>
      <c r="KTD458" s="28"/>
      <c r="KTE458" s="28"/>
      <c r="KTF458" s="28"/>
      <c r="KTG458" s="28"/>
      <c r="KTH458" s="28"/>
      <c r="KTI458" s="28"/>
      <c r="KTJ458" s="28"/>
      <c r="KTK458" s="28"/>
      <c r="KTL458" s="28"/>
      <c r="KTM458" s="28"/>
      <c r="KTN458" s="28"/>
      <c r="KTO458" s="28"/>
      <c r="KTP458" s="28"/>
      <c r="KTQ458" s="28"/>
      <c r="KTR458" s="28"/>
      <c r="KTS458" s="28"/>
      <c r="KTT458" s="28"/>
      <c r="KTU458" s="28"/>
      <c r="KTV458" s="28"/>
      <c r="KTW458" s="28"/>
      <c r="KTX458" s="28"/>
      <c r="KTY458" s="28"/>
      <c r="KTZ458" s="28"/>
      <c r="KUA458" s="28"/>
      <c r="KUB458" s="28"/>
      <c r="KUC458" s="28"/>
      <c r="KUD458" s="28"/>
      <c r="KUE458" s="28"/>
      <c r="KUF458" s="28"/>
      <c r="KUG458" s="28"/>
      <c r="KUH458" s="28"/>
      <c r="KUI458" s="28"/>
      <c r="KUJ458" s="28"/>
      <c r="KUK458" s="28"/>
      <c r="KUL458" s="28"/>
      <c r="KUM458" s="28"/>
      <c r="KUN458" s="28"/>
      <c r="KUO458" s="28"/>
      <c r="KUP458" s="28"/>
      <c r="KUQ458" s="28"/>
      <c r="KUR458" s="28"/>
      <c r="KUS458" s="28"/>
      <c r="KUT458" s="28"/>
      <c r="KUU458" s="28"/>
      <c r="KUV458" s="28"/>
      <c r="KUW458" s="28"/>
      <c r="KUX458" s="28"/>
      <c r="KUY458" s="28"/>
      <c r="KUZ458" s="28"/>
      <c r="KVA458" s="28"/>
      <c r="KVB458" s="28"/>
      <c r="KVC458" s="28"/>
      <c r="KVD458" s="28"/>
      <c r="KVE458" s="28"/>
      <c r="KVF458" s="28"/>
      <c r="KVG458" s="28"/>
      <c r="KVH458" s="28"/>
      <c r="KVI458" s="28"/>
      <c r="KVJ458" s="28"/>
      <c r="KVK458" s="28"/>
      <c r="KVL458" s="28"/>
      <c r="KVM458" s="28"/>
      <c r="KVN458" s="28"/>
      <c r="KVO458" s="28"/>
      <c r="KVP458" s="28"/>
      <c r="KVQ458" s="28"/>
      <c r="KVR458" s="28"/>
      <c r="KVS458" s="28"/>
      <c r="KVT458" s="28"/>
      <c r="KVU458" s="28"/>
      <c r="KVV458" s="28"/>
      <c r="KVW458" s="28"/>
      <c r="KVX458" s="28"/>
      <c r="KVY458" s="28"/>
      <c r="KVZ458" s="28"/>
      <c r="KWA458" s="28"/>
      <c r="KWB458" s="28"/>
      <c r="KWC458" s="28"/>
      <c r="KWD458" s="28"/>
      <c r="KWE458" s="28"/>
      <c r="KWF458" s="28"/>
      <c r="KWG458" s="28"/>
      <c r="KWH458" s="28"/>
      <c r="KWI458" s="28"/>
      <c r="KWJ458" s="28"/>
      <c r="KWK458" s="28"/>
      <c r="KWL458" s="28"/>
      <c r="KWM458" s="28"/>
      <c r="KWN458" s="28"/>
      <c r="KWO458" s="28"/>
      <c r="KWP458" s="28"/>
      <c r="KWQ458" s="28"/>
      <c r="KWR458" s="28"/>
      <c r="KWS458" s="28"/>
      <c r="KWT458" s="28"/>
      <c r="KWU458" s="28"/>
      <c r="KWV458" s="28"/>
      <c r="KWW458" s="28"/>
      <c r="KWX458" s="28"/>
      <c r="KWY458" s="28"/>
      <c r="KWZ458" s="28"/>
      <c r="KXA458" s="28"/>
      <c r="KXB458" s="28"/>
      <c r="KXC458" s="28"/>
      <c r="KXD458" s="28"/>
      <c r="KXE458" s="28"/>
      <c r="KXF458" s="28"/>
      <c r="KXG458" s="28"/>
      <c r="KXH458" s="28"/>
      <c r="KXI458" s="28"/>
      <c r="KXJ458" s="28"/>
      <c r="KXK458" s="28"/>
      <c r="KXL458" s="28"/>
      <c r="KXM458" s="28"/>
      <c r="KXN458" s="28"/>
      <c r="KXO458" s="28"/>
      <c r="KXP458" s="28"/>
      <c r="KXQ458" s="28"/>
      <c r="KXR458" s="28"/>
      <c r="KXS458" s="28"/>
      <c r="KXT458" s="28"/>
      <c r="KXU458" s="28"/>
      <c r="KXV458" s="28"/>
      <c r="KXW458" s="28"/>
      <c r="KXX458" s="28"/>
      <c r="KXY458" s="28"/>
      <c r="KXZ458" s="28"/>
      <c r="KYA458" s="28"/>
      <c r="KYB458" s="28"/>
      <c r="KYC458" s="28"/>
      <c r="KYD458" s="28"/>
      <c r="KYE458" s="28"/>
      <c r="KYF458" s="28"/>
      <c r="KYG458" s="28"/>
      <c r="KYH458" s="28"/>
      <c r="KYI458" s="28"/>
      <c r="KYJ458" s="28"/>
      <c r="KYK458" s="28"/>
      <c r="KYL458" s="28"/>
      <c r="KYM458" s="28"/>
      <c r="KYN458" s="28"/>
      <c r="KYO458" s="28"/>
      <c r="KYP458" s="28"/>
      <c r="KYQ458" s="28"/>
      <c r="KYR458" s="28"/>
      <c r="KYS458" s="28"/>
      <c r="KYT458" s="28"/>
      <c r="KYU458" s="28"/>
      <c r="KYV458" s="28"/>
      <c r="KYW458" s="28"/>
      <c r="KYX458" s="28"/>
      <c r="KYY458" s="28"/>
      <c r="KYZ458" s="28"/>
      <c r="KZA458" s="28"/>
      <c r="KZB458" s="28"/>
      <c r="KZC458" s="28"/>
      <c r="KZD458" s="28"/>
      <c r="KZE458" s="28"/>
      <c r="KZF458" s="28"/>
      <c r="KZG458" s="28"/>
      <c r="KZH458" s="28"/>
      <c r="KZI458" s="28"/>
      <c r="KZJ458" s="28"/>
      <c r="KZK458" s="28"/>
      <c r="KZL458" s="28"/>
      <c r="KZM458" s="28"/>
      <c r="KZN458" s="28"/>
      <c r="KZO458" s="28"/>
      <c r="KZP458" s="28"/>
      <c r="KZQ458" s="28"/>
      <c r="KZR458" s="28"/>
      <c r="KZS458" s="28"/>
      <c r="KZT458" s="28"/>
      <c r="KZU458" s="28"/>
      <c r="KZV458" s="28"/>
      <c r="KZW458" s="28"/>
      <c r="KZX458" s="28"/>
      <c r="KZY458" s="28"/>
      <c r="KZZ458" s="28"/>
      <c r="LAA458" s="28"/>
      <c r="LAB458" s="28"/>
      <c r="LAC458" s="28"/>
      <c r="LAD458" s="28"/>
      <c r="LAE458" s="28"/>
      <c r="LAF458" s="28"/>
      <c r="LAG458" s="28"/>
      <c r="LAH458" s="28"/>
      <c r="LAI458" s="28"/>
      <c r="LAJ458" s="28"/>
      <c r="LAK458" s="28"/>
      <c r="LAL458" s="28"/>
      <c r="LAM458" s="28"/>
      <c r="LAN458" s="28"/>
      <c r="LAO458" s="28"/>
      <c r="LAP458" s="28"/>
      <c r="LAQ458" s="28"/>
      <c r="LAR458" s="28"/>
      <c r="LAS458" s="28"/>
      <c r="LAT458" s="28"/>
      <c r="LAU458" s="28"/>
      <c r="LAV458" s="28"/>
      <c r="LAW458" s="28"/>
      <c r="LAX458" s="28"/>
      <c r="LAY458" s="28"/>
      <c r="LAZ458" s="28"/>
      <c r="LBA458" s="28"/>
      <c r="LBB458" s="28"/>
      <c r="LBC458" s="28"/>
      <c r="LBD458" s="28"/>
      <c r="LBE458" s="28"/>
      <c r="LBF458" s="28"/>
      <c r="LBG458" s="28"/>
      <c r="LBH458" s="28"/>
      <c r="LBI458" s="28"/>
      <c r="LBJ458" s="28"/>
      <c r="LBK458" s="28"/>
      <c r="LBL458" s="28"/>
      <c r="LBM458" s="28"/>
      <c r="LBN458" s="28"/>
      <c r="LBO458" s="28"/>
      <c r="LBP458" s="28"/>
      <c r="LBQ458" s="28"/>
      <c r="LBR458" s="28"/>
      <c r="LBS458" s="28"/>
      <c r="LBT458" s="28"/>
      <c r="LBU458" s="28"/>
      <c r="LBV458" s="28"/>
      <c r="LBW458" s="28"/>
      <c r="LBX458" s="28"/>
      <c r="LBY458" s="28"/>
      <c r="LBZ458" s="28"/>
      <c r="LCA458" s="28"/>
      <c r="LCB458" s="28"/>
      <c r="LCC458" s="28"/>
      <c r="LCD458" s="28"/>
      <c r="LCE458" s="28"/>
      <c r="LCF458" s="28"/>
      <c r="LCG458" s="28"/>
      <c r="LCH458" s="28"/>
      <c r="LCI458" s="28"/>
      <c r="LCJ458" s="28"/>
      <c r="LCK458" s="28"/>
      <c r="LCL458" s="28"/>
      <c r="LCM458" s="28"/>
      <c r="LCN458" s="28"/>
      <c r="LCO458" s="28"/>
      <c r="LCP458" s="28"/>
      <c r="LCQ458" s="28"/>
      <c r="LCR458" s="28"/>
      <c r="LCS458" s="28"/>
      <c r="LCT458" s="28"/>
      <c r="LCU458" s="28"/>
      <c r="LCV458" s="28"/>
      <c r="LCW458" s="28"/>
      <c r="LCX458" s="28"/>
      <c r="LCY458" s="28"/>
      <c r="LCZ458" s="28"/>
      <c r="LDA458" s="28"/>
      <c r="LDB458" s="28"/>
      <c r="LDC458" s="28"/>
      <c r="LDD458" s="28"/>
      <c r="LDE458" s="28"/>
      <c r="LDF458" s="28"/>
      <c r="LDG458" s="28"/>
      <c r="LDH458" s="28"/>
      <c r="LDI458" s="28"/>
      <c r="LDJ458" s="28"/>
      <c r="LDK458" s="28"/>
      <c r="LDL458" s="28"/>
      <c r="LDM458" s="28"/>
      <c r="LDN458" s="28"/>
      <c r="LDO458" s="28"/>
      <c r="LDP458" s="28"/>
      <c r="LDQ458" s="28"/>
      <c r="LDR458" s="28"/>
      <c r="LDS458" s="28"/>
      <c r="LDT458" s="28"/>
      <c r="LDU458" s="28"/>
      <c r="LDV458" s="28"/>
      <c r="LDW458" s="28"/>
      <c r="LDX458" s="28"/>
      <c r="LDY458" s="28"/>
      <c r="LDZ458" s="28"/>
      <c r="LEA458" s="28"/>
      <c r="LEB458" s="28"/>
      <c r="LEC458" s="28"/>
      <c r="LED458" s="28"/>
      <c r="LEE458" s="28"/>
      <c r="LEF458" s="28"/>
      <c r="LEG458" s="28"/>
      <c r="LEH458" s="28"/>
      <c r="LEI458" s="28"/>
      <c r="LEJ458" s="28"/>
      <c r="LEK458" s="28"/>
      <c r="LEL458" s="28"/>
      <c r="LEM458" s="28"/>
      <c r="LEN458" s="28"/>
      <c r="LEO458" s="28"/>
      <c r="LEP458" s="28"/>
      <c r="LEQ458" s="28"/>
      <c r="LER458" s="28"/>
      <c r="LES458" s="28"/>
      <c r="LET458" s="28"/>
      <c r="LEU458" s="28"/>
      <c r="LEV458" s="28"/>
      <c r="LEW458" s="28"/>
      <c r="LEX458" s="28"/>
      <c r="LEY458" s="28"/>
      <c r="LEZ458" s="28"/>
      <c r="LFA458" s="28"/>
      <c r="LFB458" s="28"/>
      <c r="LFC458" s="28"/>
      <c r="LFD458" s="28"/>
      <c r="LFE458" s="28"/>
      <c r="LFF458" s="28"/>
      <c r="LFG458" s="28"/>
      <c r="LFH458" s="28"/>
      <c r="LFI458" s="28"/>
      <c r="LFJ458" s="28"/>
      <c r="LFK458" s="28"/>
      <c r="LFL458" s="28"/>
      <c r="LFM458" s="28"/>
      <c r="LFN458" s="28"/>
      <c r="LFO458" s="28"/>
      <c r="LFP458" s="28"/>
      <c r="LFQ458" s="28"/>
      <c r="LFR458" s="28"/>
      <c r="LFS458" s="28"/>
      <c r="LFT458" s="28"/>
      <c r="LFU458" s="28"/>
      <c r="LFV458" s="28"/>
      <c r="LFW458" s="28"/>
      <c r="LFX458" s="28"/>
      <c r="LFY458" s="28"/>
      <c r="LFZ458" s="28"/>
      <c r="LGA458" s="28"/>
      <c r="LGB458" s="28"/>
      <c r="LGC458" s="28"/>
      <c r="LGD458" s="28"/>
      <c r="LGE458" s="28"/>
      <c r="LGF458" s="28"/>
      <c r="LGG458" s="28"/>
      <c r="LGH458" s="28"/>
      <c r="LGI458" s="28"/>
      <c r="LGJ458" s="28"/>
      <c r="LGK458" s="28"/>
      <c r="LGL458" s="28"/>
      <c r="LGM458" s="28"/>
      <c r="LGN458" s="28"/>
      <c r="LGO458" s="28"/>
      <c r="LGP458" s="28"/>
      <c r="LGQ458" s="28"/>
      <c r="LGR458" s="28"/>
      <c r="LGS458" s="28"/>
      <c r="LGT458" s="28"/>
      <c r="LGU458" s="28"/>
      <c r="LGV458" s="28"/>
      <c r="LGW458" s="28"/>
      <c r="LGX458" s="28"/>
      <c r="LGY458" s="28"/>
      <c r="LGZ458" s="28"/>
      <c r="LHA458" s="28"/>
      <c r="LHB458" s="28"/>
      <c r="LHC458" s="28"/>
      <c r="LHD458" s="28"/>
      <c r="LHE458" s="28"/>
      <c r="LHF458" s="28"/>
      <c r="LHG458" s="28"/>
      <c r="LHH458" s="28"/>
      <c r="LHI458" s="28"/>
      <c r="LHJ458" s="28"/>
      <c r="LHK458" s="28"/>
      <c r="LHL458" s="28"/>
      <c r="LHM458" s="28"/>
      <c r="LHN458" s="28"/>
      <c r="LHO458" s="28"/>
      <c r="LHP458" s="28"/>
      <c r="LHQ458" s="28"/>
      <c r="LHR458" s="28"/>
      <c r="LHS458" s="28"/>
      <c r="LHT458" s="28"/>
      <c r="LHU458" s="28"/>
      <c r="LHV458" s="28"/>
      <c r="LHW458" s="28"/>
      <c r="LHX458" s="28"/>
      <c r="LHY458" s="28"/>
      <c r="LHZ458" s="28"/>
      <c r="LIA458" s="28"/>
      <c r="LIB458" s="28"/>
      <c r="LIC458" s="28"/>
      <c r="LID458" s="28"/>
      <c r="LIE458" s="28"/>
      <c r="LIF458" s="28"/>
      <c r="LIG458" s="28"/>
      <c r="LIH458" s="28"/>
      <c r="LII458" s="28"/>
      <c r="LIJ458" s="28"/>
      <c r="LIK458" s="28"/>
      <c r="LIL458" s="28"/>
      <c r="LIM458" s="28"/>
      <c r="LIN458" s="28"/>
      <c r="LIO458" s="28"/>
      <c r="LIP458" s="28"/>
      <c r="LIQ458" s="28"/>
      <c r="LIR458" s="28"/>
      <c r="LIS458" s="28"/>
      <c r="LIT458" s="28"/>
      <c r="LIU458" s="28"/>
      <c r="LIV458" s="28"/>
      <c r="LIW458" s="28"/>
      <c r="LIX458" s="28"/>
      <c r="LIY458" s="28"/>
      <c r="LIZ458" s="28"/>
      <c r="LJA458" s="28"/>
      <c r="LJB458" s="28"/>
      <c r="LJC458" s="28"/>
      <c r="LJD458" s="28"/>
      <c r="LJE458" s="28"/>
      <c r="LJF458" s="28"/>
      <c r="LJG458" s="28"/>
      <c r="LJH458" s="28"/>
      <c r="LJI458" s="28"/>
      <c r="LJJ458" s="28"/>
      <c r="LJK458" s="28"/>
      <c r="LJL458" s="28"/>
      <c r="LJM458" s="28"/>
      <c r="LJN458" s="28"/>
      <c r="LJO458" s="28"/>
      <c r="LJP458" s="28"/>
      <c r="LJQ458" s="28"/>
      <c r="LJR458" s="28"/>
      <c r="LJS458" s="28"/>
      <c r="LJT458" s="28"/>
      <c r="LJU458" s="28"/>
      <c r="LJV458" s="28"/>
      <c r="LJW458" s="28"/>
      <c r="LJX458" s="28"/>
      <c r="LJY458" s="28"/>
      <c r="LJZ458" s="28"/>
      <c r="LKA458" s="28"/>
      <c r="LKB458" s="28"/>
      <c r="LKC458" s="28"/>
      <c r="LKD458" s="28"/>
      <c r="LKE458" s="28"/>
      <c r="LKF458" s="28"/>
      <c r="LKG458" s="28"/>
      <c r="LKH458" s="28"/>
      <c r="LKI458" s="28"/>
      <c r="LKJ458" s="28"/>
      <c r="LKK458" s="28"/>
      <c r="LKL458" s="28"/>
      <c r="LKM458" s="28"/>
      <c r="LKN458" s="28"/>
      <c r="LKO458" s="28"/>
      <c r="LKP458" s="28"/>
      <c r="LKQ458" s="28"/>
      <c r="LKR458" s="28"/>
      <c r="LKS458" s="28"/>
      <c r="LKT458" s="28"/>
      <c r="LKU458" s="28"/>
      <c r="LKV458" s="28"/>
      <c r="LKW458" s="28"/>
      <c r="LKX458" s="28"/>
      <c r="LKY458" s="28"/>
      <c r="LKZ458" s="28"/>
      <c r="LLA458" s="28"/>
      <c r="LLB458" s="28"/>
      <c r="LLC458" s="28"/>
      <c r="LLD458" s="28"/>
      <c r="LLE458" s="28"/>
      <c r="LLF458" s="28"/>
      <c r="LLG458" s="28"/>
      <c r="LLH458" s="28"/>
      <c r="LLI458" s="28"/>
      <c r="LLJ458" s="28"/>
      <c r="LLK458" s="28"/>
      <c r="LLL458" s="28"/>
      <c r="LLM458" s="28"/>
      <c r="LLN458" s="28"/>
      <c r="LLO458" s="28"/>
      <c r="LLP458" s="28"/>
      <c r="LLQ458" s="28"/>
      <c r="LLR458" s="28"/>
      <c r="LLS458" s="28"/>
      <c r="LLT458" s="28"/>
      <c r="LLU458" s="28"/>
      <c r="LLV458" s="28"/>
      <c r="LLW458" s="28"/>
      <c r="LLX458" s="28"/>
      <c r="LLY458" s="28"/>
      <c r="LLZ458" s="28"/>
      <c r="LMA458" s="28"/>
      <c r="LMB458" s="28"/>
      <c r="LMC458" s="28"/>
      <c r="LMD458" s="28"/>
      <c r="LME458" s="28"/>
      <c r="LMF458" s="28"/>
      <c r="LMG458" s="28"/>
      <c r="LMH458" s="28"/>
      <c r="LMI458" s="28"/>
      <c r="LMJ458" s="28"/>
      <c r="LMK458" s="28"/>
      <c r="LML458" s="28"/>
      <c r="LMM458" s="28"/>
      <c r="LMN458" s="28"/>
      <c r="LMO458" s="28"/>
      <c r="LMP458" s="28"/>
      <c r="LMQ458" s="28"/>
      <c r="LMR458" s="28"/>
      <c r="LMS458" s="28"/>
      <c r="LMT458" s="28"/>
      <c r="LMU458" s="28"/>
      <c r="LMV458" s="28"/>
      <c r="LMW458" s="28"/>
      <c r="LMX458" s="28"/>
      <c r="LMY458" s="28"/>
      <c r="LMZ458" s="28"/>
      <c r="LNA458" s="28"/>
      <c r="LNB458" s="28"/>
      <c r="LNC458" s="28"/>
      <c r="LND458" s="28"/>
      <c r="LNE458" s="28"/>
      <c r="LNF458" s="28"/>
      <c r="LNG458" s="28"/>
      <c r="LNH458" s="28"/>
      <c r="LNI458" s="28"/>
      <c r="LNJ458" s="28"/>
      <c r="LNK458" s="28"/>
      <c r="LNL458" s="28"/>
      <c r="LNM458" s="28"/>
      <c r="LNN458" s="28"/>
      <c r="LNO458" s="28"/>
      <c r="LNP458" s="28"/>
      <c r="LNQ458" s="28"/>
      <c r="LNR458" s="28"/>
      <c r="LNS458" s="28"/>
      <c r="LNT458" s="28"/>
      <c r="LNU458" s="28"/>
      <c r="LNV458" s="28"/>
      <c r="LNW458" s="28"/>
      <c r="LNX458" s="28"/>
      <c r="LNY458" s="28"/>
      <c r="LNZ458" s="28"/>
      <c r="LOA458" s="28"/>
      <c r="LOB458" s="28"/>
      <c r="LOC458" s="28"/>
      <c r="LOD458" s="28"/>
      <c r="LOE458" s="28"/>
      <c r="LOF458" s="28"/>
      <c r="LOG458" s="28"/>
      <c r="LOH458" s="28"/>
      <c r="LOI458" s="28"/>
      <c r="LOJ458" s="28"/>
      <c r="LOK458" s="28"/>
      <c r="LOL458" s="28"/>
      <c r="LOM458" s="28"/>
      <c r="LON458" s="28"/>
      <c r="LOO458" s="28"/>
      <c r="LOP458" s="28"/>
      <c r="LOQ458" s="28"/>
      <c r="LOR458" s="28"/>
      <c r="LOS458" s="28"/>
      <c r="LOT458" s="28"/>
      <c r="LOU458" s="28"/>
      <c r="LOV458" s="28"/>
      <c r="LOW458" s="28"/>
      <c r="LOX458" s="28"/>
      <c r="LOY458" s="28"/>
      <c r="LOZ458" s="28"/>
      <c r="LPA458" s="28"/>
      <c r="LPB458" s="28"/>
      <c r="LPC458" s="28"/>
      <c r="LPD458" s="28"/>
      <c r="LPE458" s="28"/>
      <c r="LPF458" s="28"/>
      <c r="LPG458" s="28"/>
      <c r="LPH458" s="28"/>
      <c r="LPI458" s="28"/>
      <c r="LPJ458" s="28"/>
      <c r="LPK458" s="28"/>
      <c r="LPL458" s="28"/>
      <c r="LPM458" s="28"/>
      <c r="LPN458" s="28"/>
      <c r="LPO458" s="28"/>
      <c r="LPP458" s="28"/>
      <c r="LPQ458" s="28"/>
      <c r="LPR458" s="28"/>
      <c r="LPS458" s="28"/>
      <c r="LPT458" s="28"/>
      <c r="LPU458" s="28"/>
      <c r="LPV458" s="28"/>
      <c r="LPW458" s="28"/>
      <c r="LPX458" s="28"/>
      <c r="LPY458" s="28"/>
      <c r="LPZ458" s="28"/>
      <c r="LQA458" s="28"/>
      <c r="LQB458" s="28"/>
      <c r="LQC458" s="28"/>
      <c r="LQD458" s="28"/>
      <c r="LQE458" s="28"/>
      <c r="LQF458" s="28"/>
      <c r="LQG458" s="28"/>
      <c r="LQH458" s="28"/>
      <c r="LQI458" s="28"/>
      <c r="LQJ458" s="28"/>
      <c r="LQK458" s="28"/>
      <c r="LQL458" s="28"/>
      <c r="LQM458" s="28"/>
      <c r="LQN458" s="28"/>
      <c r="LQO458" s="28"/>
      <c r="LQP458" s="28"/>
      <c r="LQQ458" s="28"/>
      <c r="LQR458" s="28"/>
      <c r="LQS458" s="28"/>
      <c r="LQT458" s="28"/>
      <c r="LQU458" s="28"/>
      <c r="LQV458" s="28"/>
      <c r="LQW458" s="28"/>
      <c r="LQX458" s="28"/>
      <c r="LQY458" s="28"/>
      <c r="LQZ458" s="28"/>
      <c r="LRA458" s="28"/>
      <c r="LRB458" s="28"/>
      <c r="LRC458" s="28"/>
      <c r="LRD458" s="28"/>
      <c r="LRE458" s="28"/>
      <c r="LRF458" s="28"/>
      <c r="LRG458" s="28"/>
      <c r="LRH458" s="28"/>
      <c r="LRI458" s="28"/>
      <c r="LRJ458" s="28"/>
      <c r="LRK458" s="28"/>
      <c r="LRL458" s="28"/>
      <c r="LRM458" s="28"/>
      <c r="LRN458" s="28"/>
      <c r="LRO458" s="28"/>
      <c r="LRP458" s="28"/>
      <c r="LRQ458" s="28"/>
      <c r="LRR458" s="28"/>
      <c r="LRS458" s="28"/>
      <c r="LRT458" s="28"/>
      <c r="LRU458" s="28"/>
      <c r="LRV458" s="28"/>
      <c r="LRW458" s="28"/>
      <c r="LRX458" s="28"/>
      <c r="LRY458" s="28"/>
      <c r="LRZ458" s="28"/>
      <c r="LSA458" s="28"/>
      <c r="LSB458" s="28"/>
      <c r="LSC458" s="28"/>
      <c r="LSD458" s="28"/>
      <c r="LSE458" s="28"/>
      <c r="LSF458" s="28"/>
      <c r="LSG458" s="28"/>
      <c r="LSH458" s="28"/>
      <c r="LSI458" s="28"/>
      <c r="LSJ458" s="28"/>
      <c r="LSK458" s="28"/>
      <c r="LSL458" s="28"/>
      <c r="LSM458" s="28"/>
      <c r="LSN458" s="28"/>
      <c r="LSO458" s="28"/>
      <c r="LSP458" s="28"/>
      <c r="LSQ458" s="28"/>
      <c r="LSR458" s="28"/>
      <c r="LSS458" s="28"/>
      <c r="LST458" s="28"/>
      <c r="LSU458" s="28"/>
      <c r="LSV458" s="28"/>
      <c r="LSW458" s="28"/>
      <c r="LSX458" s="28"/>
      <c r="LSY458" s="28"/>
      <c r="LSZ458" s="28"/>
      <c r="LTA458" s="28"/>
      <c r="LTB458" s="28"/>
      <c r="LTC458" s="28"/>
      <c r="LTD458" s="28"/>
      <c r="LTE458" s="28"/>
      <c r="LTF458" s="28"/>
      <c r="LTG458" s="28"/>
      <c r="LTH458" s="28"/>
      <c r="LTI458" s="28"/>
      <c r="LTJ458" s="28"/>
      <c r="LTK458" s="28"/>
      <c r="LTL458" s="28"/>
      <c r="LTM458" s="28"/>
      <c r="LTN458" s="28"/>
      <c r="LTO458" s="28"/>
      <c r="LTP458" s="28"/>
      <c r="LTQ458" s="28"/>
      <c r="LTR458" s="28"/>
      <c r="LTS458" s="28"/>
      <c r="LTT458" s="28"/>
      <c r="LTU458" s="28"/>
      <c r="LTV458" s="28"/>
      <c r="LTW458" s="28"/>
      <c r="LTX458" s="28"/>
      <c r="LTY458" s="28"/>
      <c r="LTZ458" s="28"/>
      <c r="LUA458" s="28"/>
      <c r="LUB458" s="28"/>
      <c r="LUC458" s="28"/>
      <c r="LUD458" s="28"/>
      <c r="LUE458" s="28"/>
      <c r="LUF458" s="28"/>
      <c r="LUG458" s="28"/>
      <c r="LUH458" s="28"/>
      <c r="LUI458" s="28"/>
      <c r="LUJ458" s="28"/>
      <c r="LUK458" s="28"/>
      <c r="LUL458" s="28"/>
      <c r="LUM458" s="28"/>
      <c r="LUN458" s="28"/>
      <c r="LUO458" s="28"/>
      <c r="LUP458" s="28"/>
      <c r="LUQ458" s="28"/>
      <c r="LUR458" s="28"/>
      <c r="LUS458" s="28"/>
      <c r="LUT458" s="28"/>
      <c r="LUU458" s="28"/>
      <c r="LUV458" s="28"/>
      <c r="LUW458" s="28"/>
      <c r="LUX458" s="28"/>
      <c r="LUY458" s="28"/>
      <c r="LUZ458" s="28"/>
      <c r="LVA458" s="28"/>
      <c r="LVB458" s="28"/>
      <c r="LVC458" s="28"/>
      <c r="LVD458" s="28"/>
      <c r="LVE458" s="28"/>
      <c r="LVF458" s="28"/>
      <c r="LVG458" s="28"/>
      <c r="LVH458" s="28"/>
      <c r="LVI458" s="28"/>
      <c r="LVJ458" s="28"/>
      <c r="LVK458" s="28"/>
      <c r="LVL458" s="28"/>
      <c r="LVM458" s="28"/>
      <c r="LVN458" s="28"/>
      <c r="LVO458" s="28"/>
      <c r="LVP458" s="28"/>
      <c r="LVQ458" s="28"/>
      <c r="LVR458" s="28"/>
      <c r="LVS458" s="28"/>
      <c r="LVT458" s="28"/>
      <c r="LVU458" s="28"/>
      <c r="LVV458" s="28"/>
      <c r="LVW458" s="28"/>
      <c r="LVX458" s="28"/>
      <c r="LVY458" s="28"/>
      <c r="LVZ458" s="28"/>
      <c r="LWA458" s="28"/>
      <c r="LWB458" s="28"/>
      <c r="LWC458" s="28"/>
      <c r="LWD458" s="28"/>
      <c r="LWE458" s="28"/>
      <c r="LWF458" s="28"/>
      <c r="LWG458" s="28"/>
      <c r="LWH458" s="28"/>
      <c r="LWI458" s="28"/>
      <c r="LWJ458" s="28"/>
      <c r="LWK458" s="28"/>
      <c r="LWL458" s="28"/>
      <c r="LWM458" s="28"/>
      <c r="LWN458" s="28"/>
      <c r="LWO458" s="28"/>
      <c r="LWP458" s="28"/>
      <c r="LWQ458" s="28"/>
      <c r="LWR458" s="28"/>
      <c r="LWS458" s="28"/>
      <c r="LWT458" s="28"/>
      <c r="LWU458" s="28"/>
      <c r="LWV458" s="28"/>
      <c r="LWW458" s="28"/>
      <c r="LWX458" s="28"/>
      <c r="LWY458" s="28"/>
      <c r="LWZ458" s="28"/>
      <c r="LXA458" s="28"/>
      <c r="LXB458" s="28"/>
      <c r="LXC458" s="28"/>
      <c r="LXD458" s="28"/>
      <c r="LXE458" s="28"/>
      <c r="LXF458" s="28"/>
      <c r="LXG458" s="28"/>
      <c r="LXH458" s="28"/>
      <c r="LXI458" s="28"/>
      <c r="LXJ458" s="28"/>
      <c r="LXK458" s="28"/>
      <c r="LXL458" s="28"/>
      <c r="LXM458" s="28"/>
      <c r="LXN458" s="28"/>
      <c r="LXO458" s="28"/>
      <c r="LXP458" s="28"/>
      <c r="LXQ458" s="28"/>
      <c r="LXR458" s="28"/>
      <c r="LXS458" s="28"/>
      <c r="LXT458" s="28"/>
      <c r="LXU458" s="28"/>
      <c r="LXV458" s="28"/>
      <c r="LXW458" s="28"/>
      <c r="LXX458" s="28"/>
      <c r="LXY458" s="28"/>
      <c r="LXZ458" s="28"/>
      <c r="LYA458" s="28"/>
      <c r="LYB458" s="28"/>
      <c r="LYC458" s="28"/>
      <c r="LYD458" s="28"/>
      <c r="LYE458" s="28"/>
      <c r="LYF458" s="28"/>
      <c r="LYG458" s="28"/>
      <c r="LYH458" s="28"/>
      <c r="LYI458" s="28"/>
      <c r="LYJ458" s="28"/>
      <c r="LYK458" s="28"/>
      <c r="LYL458" s="28"/>
      <c r="LYM458" s="28"/>
      <c r="LYN458" s="28"/>
      <c r="LYO458" s="28"/>
      <c r="LYP458" s="28"/>
      <c r="LYQ458" s="28"/>
      <c r="LYR458" s="28"/>
      <c r="LYS458" s="28"/>
      <c r="LYT458" s="28"/>
      <c r="LYU458" s="28"/>
      <c r="LYV458" s="28"/>
      <c r="LYW458" s="28"/>
      <c r="LYX458" s="28"/>
      <c r="LYY458" s="28"/>
      <c r="LYZ458" s="28"/>
      <c r="LZA458" s="28"/>
      <c r="LZB458" s="28"/>
      <c r="LZC458" s="28"/>
      <c r="LZD458" s="28"/>
      <c r="LZE458" s="28"/>
      <c r="LZF458" s="28"/>
      <c r="LZG458" s="28"/>
      <c r="LZH458" s="28"/>
      <c r="LZI458" s="28"/>
      <c r="LZJ458" s="28"/>
      <c r="LZK458" s="28"/>
      <c r="LZL458" s="28"/>
      <c r="LZM458" s="28"/>
      <c r="LZN458" s="28"/>
      <c r="LZO458" s="28"/>
      <c r="LZP458" s="28"/>
      <c r="LZQ458" s="28"/>
      <c r="LZR458" s="28"/>
      <c r="LZS458" s="28"/>
      <c r="LZT458" s="28"/>
      <c r="LZU458" s="28"/>
      <c r="LZV458" s="28"/>
      <c r="LZW458" s="28"/>
      <c r="LZX458" s="28"/>
      <c r="LZY458" s="28"/>
      <c r="LZZ458" s="28"/>
      <c r="MAA458" s="28"/>
      <c r="MAB458" s="28"/>
      <c r="MAC458" s="28"/>
      <c r="MAD458" s="28"/>
      <c r="MAE458" s="28"/>
      <c r="MAF458" s="28"/>
      <c r="MAG458" s="28"/>
      <c r="MAH458" s="28"/>
      <c r="MAI458" s="28"/>
      <c r="MAJ458" s="28"/>
      <c r="MAK458" s="28"/>
      <c r="MAL458" s="28"/>
      <c r="MAM458" s="28"/>
      <c r="MAN458" s="28"/>
      <c r="MAO458" s="28"/>
      <c r="MAP458" s="28"/>
      <c r="MAQ458" s="28"/>
      <c r="MAR458" s="28"/>
      <c r="MAS458" s="28"/>
      <c r="MAT458" s="28"/>
      <c r="MAU458" s="28"/>
      <c r="MAV458" s="28"/>
      <c r="MAW458" s="28"/>
      <c r="MAX458" s="28"/>
      <c r="MAY458" s="28"/>
      <c r="MAZ458" s="28"/>
      <c r="MBA458" s="28"/>
      <c r="MBB458" s="28"/>
      <c r="MBC458" s="28"/>
      <c r="MBD458" s="28"/>
      <c r="MBE458" s="28"/>
      <c r="MBF458" s="28"/>
      <c r="MBG458" s="28"/>
      <c r="MBH458" s="28"/>
      <c r="MBI458" s="28"/>
      <c r="MBJ458" s="28"/>
      <c r="MBK458" s="28"/>
      <c r="MBL458" s="28"/>
      <c r="MBM458" s="28"/>
      <c r="MBN458" s="28"/>
      <c r="MBO458" s="28"/>
      <c r="MBP458" s="28"/>
      <c r="MBQ458" s="28"/>
      <c r="MBR458" s="28"/>
      <c r="MBS458" s="28"/>
      <c r="MBT458" s="28"/>
      <c r="MBU458" s="28"/>
      <c r="MBV458" s="28"/>
      <c r="MBW458" s="28"/>
      <c r="MBX458" s="28"/>
      <c r="MBY458" s="28"/>
      <c r="MBZ458" s="28"/>
      <c r="MCA458" s="28"/>
      <c r="MCB458" s="28"/>
      <c r="MCC458" s="28"/>
      <c r="MCD458" s="28"/>
      <c r="MCE458" s="28"/>
      <c r="MCF458" s="28"/>
      <c r="MCG458" s="28"/>
      <c r="MCH458" s="28"/>
      <c r="MCI458" s="28"/>
      <c r="MCJ458" s="28"/>
      <c r="MCK458" s="28"/>
      <c r="MCL458" s="28"/>
      <c r="MCM458" s="28"/>
      <c r="MCN458" s="28"/>
      <c r="MCO458" s="28"/>
      <c r="MCP458" s="28"/>
      <c r="MCQ458" s="28"/>
      <c r="MCR458" s="28"/>
      <c r="MCS458" s="28"/>
      <c r="MCT458" s="28"/>
      <c r="MCU458" s="28"/>
      <c r="MCV458" s="28"/>
      <c r="MCW458" s="28"/>
      <c r="MCX458" s="28"/>
      <c r="MCY458" s="28"/>
      <c r="MCZ458" s="28"/>
      <c r="MDA458" s="28"/>
      <c r="MDB458" s="28"/>
      <c r="MDC458" s="28"/>
      <c r="MDD458" s="28"/>
      <c r="MDE458" s="28"/>
      <c r="MDF458" s="28"/>
      <c r="MDG458" s="28"/>
      <c r="MDH458" s="28"/>
      <c r="MDI458" s="28"/>
      <c r="MDJ458" s="28"/>
      <c r="MDK458" s="28"/>
      <c r="MDL458" s="28"/>
      <c r="MDM458" s="28"/>
      <c r="MDN458" s="28"/>
      <c r="MDO458" s="28"/>
      <c r="MDP458" s="28"/>
      <c r="MDQ458" s="28"/>
      <c r="MDR458" s="28"/>
      <c r="MDS458" s="28"/>
      <c r="MDT458" s="28"/>
      <c r="MDU458" s="28"/>
      <c r="MDV458" s="28"/>
      <c r="MDW458" s="28"/>
      <c r="MDX458" s="28"/>
      <c r="MDY458" s="28"/>
      <c r="MDZ458" s="28"/>
      <c r="MEA458" s="28"/>
      <c r="MEB458" s="28"/>
      <c r="MEC458" s="28"/>
      <c r="MED458" s="28"/>
      <c r="MEE458" s="28"/>
      <c r="MEF458" s="28"/>
      <c r="MEG458" s="28"/>
      <c r="MEH458" s="28"/>
      <c r="MEI458" s="28"/>
      <c r="MEJ458" s="28"/>
      <c r="MEK458" s="28"/>
      <c r="MEL458" s="28"/>
      <c r="MEM458" s="28"/>
      <c r="MEN458" s="28"/>
      <c r="MEO458" s="28"/>
      <c r="MEP458" s="28"/>
      <c r="MEQ458" s="28"/>
      <c r="MER458" s="28"/>
      <c r="MES458" s="28"/>
      <c r="MET458" s="28"/>
      <c r="MEU458" s="28"/>
      <c r="MEV458" s="28"/>
      <c r="MEW458" s="28"/>
      <c r="MEX458" s="28"/>
      <c r="MEY458" s="28"/>
      <c r="MEZ458" s="28"/>
      <c r="MFA458" s="28"/>
      <c r="MFB458" s="28"/>
      <c r="MFC458" s="28"/>
      <c r="MFD458" s="28"/>
      <c r="MFE458" s="28"/>
      <c r="MFF458" s="28"/>
      <c r="MFG458" s="28"/>
      <c r="MFH458" s="28"/>
      <c r="MFI458" s="28"/>
      <c r="MFJ458" s="28"/>
      <c r="MFK458" s="28"/>
      <c r="MFL458" s="28"/>
      <c r="MFM458" s="28"/>
      <c r="MFN458" s="28"/>
      <c r="MFO458" s="28"/>
      <c r="MFP458" s="28"/>
      <c r="MFQ458" s="28"/>
      <c r="MFR458" s="28"/>
      <c r="MFS458" s="28"/>
      <c r="MFT458" s="28"/>
      <c r="MFU458" s="28"/>
      <c r="MFV458" s="28"/>
      <c r="MFW458" s="28"/>
      <c r="MFX458" s="28"/>
      <c r="MFY458" s="28"/>
      <c r="MFZ458" s="28"/>
      <c r="MGA458" s="28"/>
      <c r="MGB458" s="28"/>
      <c r="MGC458" s="28"/>
      <c r="MGD458" s="28"/>
      <c r="MGE458" s="28"/>
      <c r="MGF458" s="28"/>
      <c r="MGG458" s="28"/>
      <c r="MGH458" s="28"/>
      <c r="MGI458" s="28"/>
      <c r="MGJ458" s="28"/>
      <c r="MGK458" s="28"/>
      <c r="MGL458" s="28"/>
      <c r="MGM458" s="28"/>
      <c r="MGN458" s="28"/>
      <c r="MGO458" s="28"/>
      <c r="MGP458" s="28"/>
      <c r="MGQ458" s="28"/>
      <c r="MGR458" s="28"/>
      <c r="MGS458" s="28"/>
      <c r="MGT458" s="28"/>
      <c r="MGU458" s="28"/>
      <c r="MGV458" s="28"/>
      <c r="MGW458" s="28"/>
      <c r="MGX458" s="28"/>
      <c r="MGY458" s="28"/>
      <c r="MGZ458" s="28"/>
      <c r="MHA458" s="28"/>
      <c r="MHB458" s="28"/>
      <c r="MHC458" s="28"/>
      <c r="MHD458" s="28"/>
      <c r="MHE458" s="28"/>
      <c r="MHF458" s="28"/>
      <c r="MHG458" s="28"/>
      <c r="MHH458" s="28"/>
      <c r="MHI458" s="28"/>
      <c r="MHJ458" s="28"/>
      <c r="MHK458" s="28"/>
      <c r="MHL458" s="28"/>
      <c r="MHM458" s="28"/>
      <c r="MHN458" s="28"/>
      <c r="MHO458" s="28"/>
      <c r="MHP458" s="28"/>
      <c r="MHQ458" s="28"/>
      <c r="MHR458" s="28"/>
      <c r="MHS458" s="28"/>
      <c r="MHT458" s="28"/>
      <c r="MHU458" s="28"/>
      <c r="MHV458" s="28"/>
      <c r="MHW458" s="28"/>
      <c r="MHX458" s="28"/>
      <c r="MHY458" s="28"/>
      <c r="MHZ458" s="28"/>
      <c r="MIA458" s="28"/>
      <c r="MIB458" s="28"/>
      <c r="MIC458" s="28"/>
      <c r="MID458" s="28"/>
      <c r="MIE458" s="28"/>
      <c r="MIF458" s="28"/>
      <c r="MIG458" s="28"/>
      <c r="MIH458" s="28"/>
      <c r="MII458" s="28"/>
      <c r="MIJ458" s="28"/>
      <c r="MIK458" s="28"/>
      <c r="MIL458" s="28"/>
      <c r="MIM458" s="28"/>
      <c r="MIN458" s="28"/>
      <c r="MIO458" s="28"/>
      <c r="MIP458" s="28"/>
      <c r="MIQ458" s="28"/>
      <c r="MIR458" s="28"/>
      <c r="MIS458" s="28"/>
      <c r="MIT458" s="28"/>
      <c r="MIU458" s="28"/>
      <c r="MIV458" s="28"/>
      <c r="MIW458" s="28"/>
      <c r="MIX458" s="28"/>
      <c r="MIY458" s="28"/>
      <c r="MIZ458" s="28"/>
      <c r="MJA458" s="28"/>
      <c r="MJB458" s="28"/>
      <c r="MJC458" s="28"/>
      <c r="MJD458" s="28"/>
      <c r="MJE458" s="28"/>
      <c r="MJF458" s="28"/>
      <c r="MJG458" s="28"/>
      <c r="MJH458" s="28"/>
      <c r="MJI458" s="28"/>
      <c r="MJJ458" s="28"/>
      <c r="MJK458" s="28"/>
      <c r="MJL458" s="28"/>
      <c r="MJM458" s="28"/>
      <c r="MJN458" s="28"/>
      <c r="MJO458" s="28"/>
      <c r="MJP458" s="28"/>
      <c r="MJQ458" s="28"/>
      <c r="MJR458" s="28"/>
      <c r="MJS458" s="28"/>
      <c r="MJT458" s="28"/>
      <c r="MJU458" s="28"/>
      <c r="MJV458" s="28"/>
      <c r="MJW458" s="28"/>
      <c r="MJX458" s="28"/>
      <c r="MJY458" s="28"/>
      <c r="MJZ458" s="28"/>
      <c r="MKA458" s="28"/>
      <c r="MKB458" s="28"/>
      <c r="MKC458" s="28"/>
      <c r="MKD458" s="28"/>
      <c r="MKE458" s="28"/>
      <c r="MKF458" s="28"/>
      <c r="MKG458" s="28"/>
      <c r="MKH458" s="28"/>
      <c r="MKI458" s="28"/>
      <c r="MKJ458" s="28"/>
      <c r="MKK458" s="28"/>
      <c r="MKL458" s="28"/>
      <c r="MKM458" s="28"/>
      <c r="MKN458" s="28"/>
      <c r="MKO458" s="28"/>
      <c r="MKP458" s="28"/>
      <c r="MKQ458" s="28"/>
      <c r="MKR458" s="28"/>
      <c r="MKS458" s="28"/>
      <c r="MKT458" s="28"/>
      <c r="MKU458" s="28"/>
      <c r="MKV458" s="28"/>
      <c r="MKW458" s="28"/>
      <c r="MKX458" s="28"/>
      <c r="MKY458" s="28"/>
      <c r="MKZ458" s="28"/>
      <c r="MLA458" s="28"/>
      <c r="MLB458" s="28"/>
      <c r="MLC458" s="28"/>
      <c r="MLD458" s="28"/>
      <c r="MLE458" s="28"/>
      <c r="MLF458" s="28"/>
      <c r="MLG458" s="28"/>
      <c r="MLH458" s="28"/>
      <c r="MLI458" s="28"/>
      <c r="MLJ458" s="28"/>
      <c r="MLK458" s="28"/>
      <c r="MLL458" s="28"/>
      <c r="MLM458" s="28"/>
      <c r="MLN458" s="28"/>
      <c r="MLO458" s="28"/>
      <c r="MLP458" s="28"/>
      <c r="MLQ458" s="28"/>
      <c r="MLR458" s="28"/>
      <c r="MLS458" s="28"/>
      <c r="MLT458" s="28"/>
      <c r="MLU458" s="28"/>
      <c r="MLV458" s="28"/>
      <c r="MLW458" s="28"/>
      <c r="MLX458" s="28"/>
      <c r="MLY458" s="28"/>
      <c r="MLZ458" s="28"/>
      <c r="MMA458" s="28"/>
      <c r="MMB458" s="28"/>
      <c r="MMC458" s="28"/>
      <c r="MMD458" s="28"/>
      <c r="MME458" s="28"/>
      <c r="MMF458" s="28"/>
      <c r="MMG458" s="28"/>
      <c r="MMH458" s="28"/>
      <c r="MMI458" s="28"/>
      <c r="MMJ458" s="28"/>
      <c r="MMK458" s="28"/>
      <c r="MML458" s="28"/>
      <c r="MMM458" s="28"/>
      <c r="MMN458" s="28"/>
      <c r="MMO458" s="28"/>
      <c r="MMP458" s="28"/>
      <c r="MMQ458" s="28"/>
      <c r="MMR458" s="28"/>
      <c r="MMS458" s="28"/>
      <c r="MMT458" s="28"/>
      <c r="MMU458" s="28"/>
      <c r="MMV458" s="28"/>
      <c r="MMW458" s="28"/>
      <c r="MMX458" s="28"/>
      <c r="MMY458" s="28"/>
      <c r="MMZ458" s="28"/>
      <c r="MNA458" s="28"/>
      <c r="MNB458" s="28"/>
      <c r="MNC458" s="28"/>
      <c r="MND458" s="28"/>
      <c r="MNE458" s="28"/>
      <c r="MNF458" s="28"/>
      <c r="MNG458" s="28"/>
      <c r="MNH458" s="28"/>
      <c r="MNI458" s="28"/>
      <c r="MNJ458" s="28"/>
      <c r="MNK458" s="28"/>
      <c r="MNL458" s="28"/>
      <c r="MNM458" s="28"/>
      <c r="MNN458" s="28"/>
      <c r="MNO458" s="28"/>
      <c r="MNP458" s="28"/>
      <c r="MNQ458" s="28"/>
      <c r="MNR458" s="28"/>
      <c r="MNS458" s="28"/>
      <c r="MNT458" s="28"/>
      <c r="MNU458" s="28"/>
      <c r="MNV458" s="28"/>
      <c r="MNW458" s="28"/>
      <c r="MNX458" s="28"/>
      <c r="MNY458" s="28"/>
      <c r="MNZ458" s="28"/>
      <c r="MOA458" s="28"/>
      <c r="MOB458" s="28"/>
      <c r="MOC458" s="28"/>
      <c r="MOD458" s="28"/>
      <c r="MOE458" s="28"/>
      <c r="MOF458" s="28"/>
      <c r="MOG458" s="28"/>
      <c r="MOH458" s="28"/>
      <c r="MOI458" s="28"/>
      <c r="MOJ458" s="28"/>
      <c r="MOK458" s="28"/>
      <c r="MOL458" s="28"/>
      <c r="MOM458" s="28"/>
      <c r="MON458" s="28"/>
      <c r="MOO458" s="28"/>
      <c r="MOP458" s="28"/>
      <c r="MOQ458" s="28"/>
      <c r="MOR458" s="28"/>
      <c r="MOS458" s="28"/>
      <c r="MOT458" s="28"/>
      <c r="MOU458" s="28"/>
      <c r="MOV458" s="28"/>
      <c r="MOW458" s="28"/>
      <c r="MOX458" s="28"/>
      <c r="MOY458" s="28"/>
      <c r="MOZ458" s="28"/>
      <c r="MPA458" s="28"/>
      <c r="MPB458" s="28"/>
      <c r="MPC458" s="28"/>
      <c r="MPD458" s="28"/>
      <c r="MPE458" s="28"/>
      <c r="MPF458" s="28"/>
      <c r="MPG458" s="28"/>
      <c r="MPH458" s="28"/>
      <c r="MPI458" s="28"/>
      <c r="MPJ458" s="28"/>
      <c r="MPK458" s="28"/>
      <c r="MPL458" s="28"/>
      <c r="MPM458" s="28"/>
      <c r="MPN458" s="28"/>
      <c r="MPO458" s="28"/>
      <c r="MPP458" s="28"/>
      <c r="MPQ458" s="28"/>
      <c r="MPR458" s="28"/>
      <c r="MPS458" s="28"/>
      <c r="MPT458" s="28"/>
      <c r="MPU458" s="28"/>
      <c r="MPV458" s="28"/>
      <c r="MPW458" s="28"/>
      <c r="MPX458" s="28"/>
      <c r="MPY458" s="28"/>
      <c r="MPZ458" s="28"/>
      <c r="MQA458" s="28"/>
      <c r="MQB458" s="28"/>
      <c r="MQC458" s="28"/>
      <c r="MQD458" s="28"/>
      <c r="MQE458" s="28"/>
      <c r="MQF458" s="28"/>
      <c r="MQG458" s="28"/>
      <c r="MQH458" s="28"/>
      <c r="MQI458" s="28"/>
      <c r="MQJ458" s="28"/>
      <c r="MQK458" s="28"/>
      <c r="MQL458" s="28"/>
      <c r="MQM458" s="28"/>
      <c r="MQN458" s="28"/>
      <c r="MQO458" s="28"/>
      <c r="MQP458" s="28"/>
      <c r="MQQ458" s="28"/>
      <c r="MQR458" s="28"/>
      <c r="MQS458" s="28"/>
      <c r="MQT458" s="28"/>
      <c r="MQU458" s="28"/>
      <c r="MQV458" s="28"/>
      <c r="MQW458" s="28"/>
      <c r="MQX458" s="28"/>
      <c r="MQY458" s="28"/>
      <c r="MQZ458" s="28"/>
      <c r="MRA458" s="28"/>
      <c r="MRB458" s="28"/>
      <c r="MRC458" s="28"/>
      <c r="MRD458" s="28"/>
      <c r="MRE458" s="28"/>
      <c r="MRF458" s="28"/>
      <c r="MRG458" s="28"/>
      <c r="MRH458" s="28"/>
      <c r="MRI458" s="28"/>
      <c r="MRJ458" s="28"/>
      <c r="MRK458" s="28"/>
      <c r="MRL458" s="28"/>
      <c r="MRM458" s="28"/>
      <c r="MRN458" s="28"/>
      <c r="MRO458" s="28"/>
      <c r="MRP458" s="28"/>
      <c r="MRQ458" s="28"/>
      <c r="MRR458" s="28"/>
      <c r="MRS458" s="28"/>
      <c r="MRT458" s="28"/>
      <c r="MRU458" s="28"/>
      <c r="MRV458" s="28"/>
      <c r="MRW458" s="28"/>
      <c r="MRX458" s="28"/>
      <c r="MRY458" s="28"/>
      <c r="MRZ458" s="28"/>
      <c r="MSA458" s="28"/>
      <c r="MSB458" s="28"/>
      <c r="MSC458" s="28"/>
      <c r="MSD458" s="28"/>
      <c r="MSE458" s="28"/>
      <c r="MSF458" s="28"/>
      <c r="MSG458" s="28"/>
      <c r="MSH458" s="28"/>
      <c r="MSI458" s="28"/>
      <c r="MSJ458" s="28"/>
      <c r="MSK458" s="28"/>
      <c r="MSL458" s="28"/>
      <c r="MSM458" s="28"/>
      <c r="MSN458" s="28"/>
      <c r="MSO458" s="28"/>
      <c r="MSP458" s="28"/>
      <c r="MSQ458" s="28"/>
      <c r="MSR458" s="28"/>
      <c r="MSS458" s="28"/>
      <c r="MST458" s="28"/>
      <c r="MSU458" s="28"/>
      <c r="MSV458" s="28"/>
      <c r="MSW458" s="28"/>
      <c r="MSX458" s="28"/>
      <c r="MSY458" s="28"/>
      <c r="MSZ458" s="28"/>
      <c r="MTA458" s="28"/>
      <c r="MTB458" s="28"/>
      <c r="MTC458" s="28"/>
      <c r="MTD458" s="28"/>
      <c r="MTE458" s="28"/>
      <c r="MTF458" s="28"/>
      <c r="MTG458" s="28"/>
      <c r="MTH458" s="28"/>
      <c r="MTI458" s="28"/>
      <c r="MTJ458" s="28"/>
      <c r="MTK458" s="28"/>
      <c r="MTL458" s="28"/>
      <c r="MTM458" s="28"/>
      <c r="MTN458" s="28"/>
      <c r="MTO458" s="28"/>
      <c r="MTP458" s="28"/>
      <c r="MTQ458" s="28"/>
      <c r="MTR458" s="28"/>
      <c r="MTS458" s="28"/>
      <c r="MTT458" s="28"/>
      <c r="MTU458" s="28"/>
      <c r="MTV458" s="28"/>
      <c r="MTW458" s="28"/>
      <c r="MTX458" s="28"/>
      <c r="MTY458" s="28"/>
      <c r="MTZ458" s="28"/>
      <c r="MUA458" s="28"/>
      <c r="MUB458" s="28"/>
      <c r="MUC458" s="28"/>
      <c r="MUD458" s="28"/>
      <c r="MUE458" s="28"/>
      <c r="MUF458" s="28"/>
      <c r="MUG458" s="28"/>
      <c r="MUH458" s="28"/>
      <c r="MUI458" s="28"/>
      <c r="MUJ458" s="28"/>
      <c r="MUK458" s="28"/>
      <c r="MUL458" s="28"/>
      <c r="MUM458" s="28"/>
      <c r="MUN458" s="28"/>
      <c r="MUO458" s="28"/>
      <c r="MUP458" s="28"/>
      <c r="MUQ458" s="28"/>
      <c r="MUR458" s="28"/>
      <c r="MUS458" s="28"/>
      <c r="MUT458" s="28"/>
      <c r="MUU458" s="28"/>
      <c r="MUV458" s="28"/>
      <c r="MUW458" s="28"/>
      <c r="MUX458" s="28"/>
      <c r="MUY458" s="28"/>
      <c r="MUZ458" s="28"/>
      <c r="MVA458" s="28"/>
      <c r="MVB458" s="28"/>
      <c r="MVC458" s="28"/>
      <c r="MVD458" s="28"/>
      <c r="MVE458" s="28"/>
      <c r="MVF458" s="28"/>
      <c r="MVG458" s="28"/>
      <c r="MVH458" s="28"/>
      <c r="MVI458" s="28"/>
      <c r="MVJ458" s="28"/>
      <c r="MVK458" s="28"/>
      <c r="MVL458" s="28"/>
      <c r="MVM458" s="28"/>
      <c r="MVN458" s="28"/>
      <c r="MVO458" s="28"/>
      <c r="MVP458" s="28"/>
      <c r="MVQ458" s="28"/>
      <c r="MVR458" s="28"/>
      <c r="MVS458" s="28"/>
      <c r="MVT458" s="28"/>
      <c r="MVU458" s="28"/>
      <c r="MVV458" s="28"/>
      <c r="MVW458" s="28"/>
      <c r="MVX458" s="28"/>
      <c r="MVY458" s="28"/>
      <c r="MVZ458" s="28"/>
      <c r="MWA458" s="28"/>
      <c r="MWB458" s="28"/>
      <c r="MWC458" s="28"/>
      <c r="MWD458" s="28"/>
      <c r="MWE458" s="28"/>
      <c r="MWF458" s="28"/>
      <c r="MWG458" s="28"/>
      <c r="MWH458" s="28"/>
      <c r="MWI458" s="28"/>
      <c r="MWJ458" s="28"/>
      <c r="MWK458" s="28"/>
      <c r="MWL458" s="28"/>
      <c r="MWM458" s="28"/>
      <c r="MWN458" s="28"/>
      <c r="MWO458" s="28"/>
      <c r="MWP458" s="28"/>
      <c r="MWQ458" s="28"/>
      <c r="MWR458" s="28"/>
      <c r="MWS458" s="28"/>
      <c r="MWT458" s="28"/>
      <c r="MWU458" s="28"/>
      <c r="MWV458" s="28"/>
      <c r="MWW458" s="28"/>
      <c r="MWX458" s="28"/>
      <c r="MWY458" s="28"/>
      <c r="MWZ458" s="28"/>
      <c r="MXA458" s="28"/>
      <c r="MXB458" s="28"/>
      <c r="MXC458" s="28"/>
      <c r="MXD458" s="28"/>
      <c r="MXE458" s="28"/>
      <c r="MXF458" s="28"/>
      <c r="MXG458" s="28"/>
      <c r="MXH458" s="28"/>
      <c r="MXI458" s="28"/>
      <c r="MXJ458" s="28"/>
      <c r="MXK458" s="28"/>
      <c r="MXL458" s="28"/>
      <c r="MXM458" s="28"/>
      <c r="MXN458" s="28"/>
      <c r="MXO458" s="28"/>
      <c r="MXP458" s="28"/>
      <c r="MXQ458" s="28"/>
      <c r="MXR458" s="28"/>
      <c r="MXS458" s="28"/>
      <c r="MXT458" s="28"/>
      <c r="MXU458" s="28"/>
      <c r="MXV458" s="28"/>
      <c r="MXW458" s="28"/>
      <c r="MXX458" s="28"/>
      <c r="MXY458" s="28"/>
      <c r="MXZ458" s="28"/>
      <c r="MYA458" s="28"/>
      <c r="MYB458" s="28"/>
      <c r="MYC458" s="28"/>
      <c r="MYD458" s="28"/>
      <c r="MYE458" s="28"/>
      <c r="MYF458" s="28"/>
      <c r="MYG458" s="28"/>
      <c r="MYH458" s="28"/>
      <c r="MYI458" s="28"/>
      <c r="MYJ458" s="28"/>
      <c r="MYK458" s="28"/>
      <c r="MYL458" s="28"/>
      <c r="MYM458" s="28"/>
      <c r="MYN458" s="28"/>
      <c r="MYO458" s="28"/>
      <c r="MYP458" s="28"/>
      <c r="MYQ458" s="28"/>
      <c r="MYR458" s="28"/>
      <c r="MYS458" s="28"/>
      <c r="MYT458" s="28"/>
      <c r="MYU458" s="28"/>
      <c r="MYV458" s="28"/>
      <c r="MYW458" s="28"/>
      <c r="MYX458" s="28"/>
      <c r="MYY458" s="28"/>
      <c r="MYZ458" s="28"/>
      <c r="MZA458" s="28"/>
      <c r="MZB458" s="28"/>
      <c r="MZC458" s="28"/>
      <c r="MZD458" s="28"/>
      <c r="MZE458" s="28"/>
      <c r="MZF458" s="28"/>
      <c r="MZG458" s="28"/>
      <c r="MZH458" s="28"/>
      <c r="MZI458" s="28"/>
      <c r="MZJ458" s="28"/>
      <c r="MZK458" s="28"/>
      <c r="MZL458" s="28"/>
      <c r="MZM458" s="28"/>
      <c r="MZN458" s="28"/>
      <c r="MZO458" s="28"/>
      <c r="MZP458" s="28"/>
      <c r="MZQ458" s="28"/>
      <c r="MZR458" s="28"/>
      <c r="MZS458" s="28"/>
      <c r="MZT458" s="28"/>
      <c r="MZU458" s="28"/>
      <c r="MZV458" s="28"/>
      <c r="MZW458" s="28"/>
      <c r="MZX458" s="28"/>
      <c r="MZY458" s="28"/>
      <c r="MZZ458" s="28"/>
      <c r="NAA458" s="28"/>
      <c r="NAB458" s="28"/>
      <c r="NAC458" s="28"/>
      <c r="NAD458" s="28"/>
      <c r="NAE458" s="28"/>
      <c r="NAF458" s="28"/>
      <c r="NAG458" s="28"/>
      <c r="NAH458" s="28"/>
      <c r="NAI458" s="28"/>
      <c r="NAJ458" s="28"/>
      <c r="NAK458" s="28"/>
      <c r="NAL458" s="28"/>
      <c r="NAM458" s="28"/>
      <c r="NAN458" s="28"/>
      <c r="NAO458" s="28"/>
      <c r="NAP458" s="28"/>
      <c r="NAQ458" s="28"/>
      <c r="NAR458" s="28"/>
      <c r="NAS458" s="28"/>
      <c r="NAT458" s="28"/>
      <c r="NAU458" s="28"/>
      <c r="NAV458" s="28"/>
      <c r="NAW458" s="28"/>
      <c r="NAX458" s="28"/>
      <c r="NAY458" s="28"/>
      <c r="NAZ458" s="28"/>
      <c r="NBA458" s="28"/>
      <c r="NBB458" s="28"/>
      <c r="NBC458" s="28"/>
      <c r="NBD458" s="28"/>
      <c r="NBE458" s="28"/>
      <c r="NBF458" s="28"/>
      <c r="NBG458" s="28"/>
      <c r="NBH458" s="28"/>
      <c r="NBI458" s="28"/>
      <c r="NBJ458" s="28"/>
      <c r="NBK458" s="28"/>
      <c r="NBL458" s="28"/>
      <c r="NBM458" s="28"/>
      <c r="NBN458" s="28"/>
      <c r="NBO458" s="28"/>
      <c r="NBP458" s="28"/>
      <c r="NBQ458" s="28"/>
      <c r="NBR458" s="28"/>
      <c r="NBS458" s="28"/>
      <c r="NBT458" s="28"/>
      <c r="NBU458" s="28"/>
      <c r="NBV458" s="28"/>
      <c r="NBW458" s="28"/>
      <c r="NBX458" s="28"/>
      <c r="NBY458" s="28"/>
      <c r="NBZ458" s="28"/>
      <c r="NCA458" s="28"/>
      <c r="NCB458" s="28"/>
      <c r="NCC458" s="28"/>
      <c r="NCD458" s="28"/>
      <c r="NCE458" s="28"/>
      <c r="NCF458" s="28"/>
      <c r="NCG458" s="28"/>
      <c r="NCH458" s="28"/>
      <c r="NCI458" s="28"/>
      <c r="NCJ458" s="28"/>
      <c r="NCK458" s="28"/>
      <c r="NCL458" s="28"/>
      <c r="NCM458" s="28"/>
      <c r="NCN458" s="28"/>
      <c r="NCO458" s="28"/>
      <c r="NCP458" s="28"/>
      <c r="NCQ458" s="28"/>
      <c r="NCR458" s="28"/>
      <c r="NCS458" s="28"/>
      <c r="NCT458" s="28"/>
      <c r="NCU458" s="28"/>
      <c r="NCV458" s="28"/>
      <c r="NCW458" s="28"/>
      <c r="NCX458" s="28"/>
      <c r="NCY458" s="28"/>
      <c r="NCZ458" s="28"/>
      <c r="NDA458" s="28"/>
      <c r="NDB458" s="28"/>
      <c r="NDC458" s="28"/>
      <c r="NDD458" s="28"/>
      <c r="NDE458" s="28"/>
      <c r="NDF458" s="28"/>
      <c r="NDG458" s="28"/>
      <c r="NDH458" s="28"/>
      <c r="NDI458" s="28"/>
      <c r="NDJ458" s="28"/>
      <c r="NDK458" s="28"/>
      <c r="NDL458" s="28"/>
      <c r="NDM458" s="28"/>
      <c r="NDN458" s="28"/>
      <c r="NDO458" s="28"/>
      <c r="NDP458" s="28"/>
      <c r="NDQ458" s="28"/>
      <c r="NDR458" s="28"/>
      <c r="NDS458" s="28"/>
      <c r="NDT458" s="28"/>
      <c r="NDU458" s="28"/>
      <c r="NDV458" s="28"/>
      <c r="NDW458" s="28"/>
      <c r="NDX458" s="28"/>
      <c r="NDY458" s="28"/>
      <c r="NDZ458" s="28"/>
      <c r="NEA458" s="28"/>
      <c r="NEB458" s="28"/>
      <c r="NEC458" s="28"/>
      <c r="NED458" s="28"/>
      <c r="NEE458" s="28"/>
      <c r="NEF458" s="28"/>
      <c r="NEG458" s="28"/>
      <c r="NEH458" s="28"/>
      <c r="NEI458" s="28"/>
      <c r="NEJ458" s="28"/>
      <c r="NEK458" s="28"/>
      <c r="NEL458" s="28"/>
      <c r="NEM458" s="28"/>
      <c r="NEN458" s="28"/>
      <c r="NEO458" s="28"/>
      <c r="NEP458" s="28"/>
      <c r="NEQ458" s="28"/>
      <c r="NER458" s="28"/>
      <c r="NES458" s="28"/>
      <c r="NET458" s="28"/>
      <c r="NEU458" s="28"/>
      <c r="NEV458" s="28"/>
      <c r="NEW458" s="28"/>
      <c r="NEX458" s="28"/>
      <c r="NEY458" s="28"/>
      <c r="NEZ458" s="28"/>
      <c r="NFA458" s="28"/>
      <c r="NFB458" s="28"/>
      <c r="NFC458" s="28"/>
      <c r="NFD458" s="28"/>
      <c r="NFE458" s="28"/>
      <c r="NFF458" s="28"/>
      <c r="NFG458" s="28"/>
      <c r="NFH458" s="28"/>
      <c r="NFI458" s="28"/>
      <c r="NFJ458" s="28"/>
      <c r="NFK458" s="28"/>
      <c r="NFL458" s="28"/>
      <c r="NFM458" s="28"/>
      <c r="NFN458" s="28"/>
      <c r="NFO458" s="28"/>
      <c r="NFP458" s="28"/>
      <c r="NFQ458" s="28"/>
      <c r="NFR458" s="28"/>
      <c r="NFS458" s="28"/>
      <c r="NFT458" s="28"/>
      <c r="NFU458" s="28"/>
      <c r="NFV458" s="28"/>
      <c r="NFW458" s="28"/>
      <c r="NFX458" s="28"/>
      <c r="NFY458" s="28"/>
      <c r="NFZ458" s="28"/>
      <c r="NGA458" s="28"/>
      <c r="NGB458" s="28"/>
      <c r="NGC458" s="28"/>
      <c r="NGD458" s="28"/>
      <c r="NGE458" s="28"/>
      <c r="NGF458" s="28"/>
      <c r="NGG458" s="28"/>
      <c r="NGH458" s="28"/>
      <c r="NGI458" s="28"/>
      <c r="NGJ458" s="28"/>
      <c r="NGK458" s="28"/>
      <c r="NGL458" s="28"/>
      <c r="NGM458" s="28"/>
      <c r="NGN458" s="28"/>
      <c r="NGO458" s="28"/>
      <c r="NGP458" s="28"/>
      <c r="NGQ458" s="28"/>
      <c r="NGR458" s="28"/>
      <c r="NGS458" s="28"/>
      <c r="NGT458" s="28"/>
      <c r="NGU458" s="28"/>
      <c r="NGV458" s="28"/>
      <c r="NGW458" s="28"/>
      <c r="NGX458" s="28"/>
      <c r="NGY458" s="28"/>
      <c r="NGZ458" s="28"/>
      <c r="NHA458" s="28"/>
      <c r="NHB458" s="28"/>
      <c r="NHC458" s="28"/>
      <c r="NHD458" s="28"/>
      <c r="NHE458" s="28"/>
      <c r="NHF458" s="28"/>
      <c r="NHG458" s="28"/>
      <c r="NHH458" s="28"/>
      <c r="NHI458" s="28"/>
      <c r="NHJ458" s="28"/>
      <c r="NHK458" s="28"/>
      <c r="NHL458" s="28"/>
      <c r="NHM458" s="28"/>
      <c r="NHN458" s="28"/>
      <c r="NHO458" s="28"/>
      <c r="NHP458" s="28"/>
      <c r="NHQ458" s="28"/>
      <c r="NHR458" s="28"/>
      <c r="NHS458" s="28"/>
      <c r="NHT458" s="28"/>
      <c r="NHU458" s="28"/>
      <c r="NHV458" s="28"/>
      <c r="NHW458" s="28"/>
      <c r="NHX458" s="28"/>
      <c r="NHY458" s="28"/>
      <c r="NHZ458" s="28"/>
      <c r="NIA458" s="28"/>
      <c r="NIB458" s="28"/>
      <c r="NIC458" s="28"/>
      <c r="NID458" s="28"/>
      <c r="NIE458" s="28"/>
      <c r="NIF458" s="28"/>
      <c r="NIG458" s="28"/>
      <c r="NIH458" s="28"/>
      <c r="NII458" s="28"/>
      <c r="NIJ458" s="28"/>
      <c r="NIK458" s="28"/>
      <c r="NIL458" s="28"/>
      <c r="NIM458" s="28"/>
      <c r="NIN458" s="28"/>
      <c r="NIO458" s="28"/>
      <c r="NIP458" s="28"/>
      <c r="NIQ458" s="28"/>
      <c r="NIR458" s="28"/>
      <c r="NIS458" s="28"/>
      <c r="NIT458" s="28"/>
      <c r="NIU458" s="28"/>
      <c r="NIV458" s="28"/>
      <c r="NIW458" s="28"/>
      <c r="NIX458" s="28"/>
      <c r="NIY458" s="28"/>
      <c r="NIZ458" s="28"/>
      <c r="NJA458" s="28"/>
      <c r="NJB458" s="28"/>
      <c r="NJC458" s="28"/>
      <c r="NJD458" s="28"/>
      <c r="NJE458" s="28"/>
      <c r="NJF458" s="28"/>
      <c r="NJG458" s="28"/>
      <c r="NJH458" s="28"/>
      <c r="NJI458" s="28"/>
      <c r="NJJ458" s="28"/>
      <c r="NJK458" s="28"/>
      <c r="NJL458" s="28"/>
      <c r="NJM458" s="28"/>
      <c r="NJN458" s="28"/>
      <c r="NJO458" s="28"/>
      <c r="NJP458" s="28"/>
      <c r="NJQ458" s="28"/>
      <c r="NJR458" s="28"/>
      <c r="NJS458" s="28"/>
      <c r="NJT458" s="28"/>
      <c r="NJU458" s="28"/>
      <c r="NJV458" s="28"/>
      <c r="NJW458" s="28"/>
      <c r="NJX458" s="28"/>
      <c r="NJY458" s="28"/>
      <c r="NJZ458" s="28"/>
      <c r="NKA458" s="28"/>
      <c r="NKB458" s="28"/>
      <c r="NKC458" s="28"/>
      <c r="NKD458" s="28"/>
      <c r="NKE458" s="28"/>
      <c r="NKF458" s="28"/>
      <c r="NKG458" s="28"/>
      <c r="NKH458" s="28"/>
      <c r="NKI458" s="28"/>
      <c r="NKJ458" s="28"/>
      <c r="NKK458" s="28"/>
      <c r="NKL458" s="28"/>
      <c r="NKM458" s="28"/>
      <c r="NKN458" s="28"/>
      <c r="NKO458" s="28"/>
      <c r="NKP458" s="28"/>
      <c r="NKQ458" s="28"/>
      <c r="NKR458" s="28"/>
      <c r="NKS458" s="28"/>
      <c r="NKT458" s="28"/>
      <c r="NKU458" s="28"/>
      <c r="NKV458" s="28"/>
      <c r="NKW458" s="28"/>
      <c r="NKX458" s="28"/>
      <c r="NKY458" s="28"/>
      <c r="NKZ458" s="28"/>
      <c r="NLA458" s="28"/>
      <c r="NLB458" s="28"/>
      <c r="NLC458" s="28"/>
      <c r="NLD458" s="28"/>
      <c r="NLE458" s="28"/>
      <c r="NLF458" s="28"/>
      <c r="NLG458" s="28"/>
      <c r="NLH458" s="28"/>
      <c r="NLI458" s="28"/>
      <c r="NLJ458" s="28"/>
      <c r="NLK458" s="28"/>
      <c r="NLL458" s="28"/>
      <c r="NLM458" s="28"/>
      <c r="NLN458" s="28"/>
      <c r="NLO458" s="28"/>
      <c r="NLP458" s="28"/>
      <c r="NLQ458" s="28"/>
      <c r="NLR458" s="28"/>
      <c r="NLS458" s="28"/>
      <c r="NLT458" s="28"/>
      <c r="NLU458" s="28"/>
      <c r="NLV458" s="28"/>
      <c r="NLW458" s="28"/>
      <c r="NLX458" s="28"/>
      <c r="NLY458" s="28"/>
      <c r="NLZ458" s="28"/>
      <c r="NMA458" s="28"/>
      <c r="NMB458" s="28"/>
      <c r="NMC458" s="28"/>
      <c r="NMD458" s="28"/>
      <c r="NME458" s="28"/>
      <c r="NMF458" s="28"/>
      <c r="NMG458" s="28"/>
      <c r="NMH458" s="28"/>
      <c r="NMI458" s="28"/>
      <c r="NMJ458" s="28"/>
      <c r="NMK458" s="28"/>
      <c r="NML458" s="28"/>
      <c r="NMM458" s="28"/>
      <c r="NMN458" s="28"/>
      <c r="NMO458" s="28"/>
      <c r="NMP458" s="28"/>
      <c r="NMQ458" s="28"/>
      <c r="NMR458" s="28"/>
      <c r="NMS458" s="28"/>
      <c r="NMT458" s="28"/>
      <c r="NMU458" s="28"/>
      <c r="NMV458" s="28"/>
      <c r="NMW458" s="28"/>
      <c r="NMX458" s="28"/>
      <c r="NMY458" s="28"/>
      <c r="NMZ458" s="28"/>
      <c r="NNA458" s="28"/>
      <c r="NNB458" s="28"/>
      <c r="NNC458" s="28"/>
      <c r="NND458" s="28"/>
      <c r="NNE458" s="28"/>
      <c r="NNF458" s="28"/>
      <c r="NNG458" s="28"/>
      <c r="NNH458" s="28"/>
      <c r="NNI458" s="28"/>
      <c r="NNJ458" s="28"/>
      <c r="NNK458" s="28"/>
      <c r="NNL458" s="28"/>
      <c r="NNM458" s="28"/>
      <c r="NNN458" s="28"/>
      <c r="NNO458" s="28"/>
      <c r="NNP458" s="28"/>
      <c r="NNQ458" s="28"/>
      <c r="NNR458" s="28"/>
      <c r="NNS458" s="28"/>
      <c r="NNT458" s="28"/>
      <c r="NNU458" s="28"/>
      <c r="NNV458" s="28"/>
      <c r="NNW458" s="28"/>
      <c r="NNX458" s="28"/>
      <c r="NNY458" s="28"/>
      <c r="NNZ458" s="28"/>
      <c r="NOA458" s="28"/>
      <c r="NOB458" s="28"/>
      <c r="NOC458" s="28"/>
      <c r="NOD458" s="28"/>
      <c r="NOE458" s="28"/>
      <c r="NOF458" s="28"/>
      <c r="NOG458" s="28"/>
      <c r="NOH458" s="28"/>
      <c r="NOI458" s="28"/>
      <c r="NOJ458" s="28"/>
      <c r="NOK458" s="28"/>
      <c r="NOL458" s="28"/>
      <c r="NOM458" s="28"/>
      <c r="NON458" s="28"/>
      <c r="NOO458" s="28"/>
      <c r="NOP458" s="28"/>
      <c r="NOQ458" s="28"/>
      <c r="NOR458" s="28"/>
      <c r="NOS458" s="28"/>
      <c r="NOT458" s="28"/>
      <c r="NOU458" s="28"/>
      <c r="NOV458" s="28"/>
      <c r="NOW458" s="28"/>
      <c r="NOX458" s="28"/>
      <c r="NOY458" s="28"/>
      <c r="NOZ458" s="28"/>
      <c r="NPA458" s="28"/>
      <c r="NPB458" s="28"/>
      <c r="NPC458" s="28"/>
      <c r="NPD458" s="28"/>
      <c r="NPE458" s="28"/>
      <c r="NPF458" s="28"/>
      <c r="NPG458" s="28"/>
      <c r="NPH458" s="28"/>
      <c r="NPI458" s="28"/>
      <c r="NPJ458" s="28"/>
      <c r="NPK458" s="28"/>
      <c r="NPL458" s="28"/>
      <c r="NPM458" s="28"/>
      <c r="NPN458" s="28"/>
      <c r="NPO458" s="28"/>
      <c r="NPP458" s="28"/>
      <c r="NPQ458" s="28"/>
      <c r="NPR458" s="28"/>
      <c r="NPS458" s="28"/>
      <c r="NPT458" s="28"/>
      <c r="NPU458" s="28"/>
      <c r="NPV458" s="28"/>
      <c r="NPW458" s="28"/>
      <c r="NPX458" s="28"/>
      <c r="NPY458" s="28"/>
      <c r="NPZ458" s="28"/>
      <c r="NQA458" s="28"/>
      <c r="NQB458" s="28"/>
      <c r="NQC458" s="28"/>
      <c r="NQD458" s="28"/>
      <c r="NQE458" s="28"/>
      <c r="NQF458" s="28"/>
      <c r="NQG458" s="28"/>
      <c r="NQH458" s="28"/>
      <c r="NQI458" s="28"/>
      <c r="NQJ458" s="28"/>
      <c r="NQK458" s="28"/>
      <c r="NQL458" s="28"/>
      <c r="NQM458" s="28"/>
      <c r="NQN458" s="28"/>
      <c r="NQO458" s="28"/>
      <c r="NQP458" s="28"/>
      <c r="NQQ458" s="28"/>
      <c r="NQR458" s="28"/>
      <c r="NQS458" s="28"/>
      <c r="NQT458" s="28"/>
      <c r="NQU458" s="28"/>
      <c r="NQV458" s="28"/>
      <c r="NQW458" s="28"/>
      <c r="NQX458" s="28"/>
      <c r="NQY458" s="28"/>
      <c r="NQZ458" s="28"/>
      <c r="NRA458" s="28"/>
      <c r="NRB458" s="28"/>
      <c r="NRC458" s="28"/>
      <c r="NRD458" s="28"/>
      <c r="NRE458" s="28"/>
      <c r="NRF458" s="28"/>
      <c r="NRG458" s="28"/>
      <c r="NRH458" s="28"/>
      <c r="NRI458" s="28"/>
      <c r="NRJ458" s="28"/>
      <c r="NRK458" s="28"/>
      <c r="NRL458" s="28"/>
      <c r="NRM458" s="28"/>
      <c r="NRN458" s="28"/>
      <c r="NRO458" s="28"/>
      <c r="NRP458" s="28"/>
      <c r="NRQ458" s="28"/>
      <c r="NRR458" s="28"/>
      <c r="NRS458" s="28"/>
      <c r="NRT458" s="28"/>
      <c r="NRU458" s="28"/>
      <c r="NRV458" s="28"/>
      <c r="NRW458" s="28"/>
      <c r="NRX458" s="28"/>
      <c r="NRY458" s="28"/>
      <c r="NRZ458" s="28"/>
      <c r="NSA458" s="28"/>
      <c r="NSB458" s="28"/>
      <c r="NSC458" s="28"/>
      <c r="NSD458" s="28"/>
      <c r="NSE458" s="28"/>
      <c r="NSF458" s="28"/>
      <c r="NSG458" s="28"/>
      <c r="NSH458" s="28"/>
      <c r="NSI458" s="28"/>
      <c r="NSJ458" s="28"/>
      <c r="NSK458" s="28"/>
      <c r="NSL458" s="28"/>
      <c r="NSM458" s="28"/>
      <c r="NSN458" s="28"/>
      <c r="NSO458" s="28"/>
      <c r="NSP458" s="28"/>
      <c r="NSQ458" s="28"/>
      <c r="NSR458" s="28"/>
      <c r="NSS458" s="28"/>
      <c r="NST458" s="28"/>
      <c r="NSU458" s="28"/>
      <c r="NSV458" s="28"/>
      <c r="NSW458" s="28"/>
      <c r="NSX458" s="28"/>
      <c r="NSY458" s="28"/>
      <c r="NSZ458" s="28"/>
      <c r="NTA458" s="28"/>
      <c r="NTB458" s="28"/>
      <c r="NTC458" s="28"/>
      <c r="NTD458" s="28"/>
      <c r="NTE458" s="28"/>
      <c r="NTF458" s="28"/>
      <c r="NTG458" s="28"/>
      <c r="NTH458" s="28"/>
      <c r="NTI458" s="28"/>
      <c r="NTJ458" s="28"/>
      <c r="NTK458" s="28"/>
      <c r="NTL458" s="28"/>
      <c r="NTM458" s="28"/>
      <c r="NTN458" s="28"/>
      <c r="NTO458" s="28"/>
      <c r="NTP458" s="28"/>
      <c r="NTQ458" s="28"/>
      <c r="NTR458" s="28"/>
      <c r="NTS458" s="28"/>
      <c r="NTT458" s="28"/>
      <c r="NTU458" s="28"/>
      <c r="NTV458" s="28"/>
      <c r="NTW458" s="28"/>
      <c r="NTX458" s="28"/>
      <c r="NTY458" s="28"/>
      <c r="NTZ458" s="28"/>
      <c r="NUA458" s="28"/>
      <c r="NUB458" s="28"/>
      <c r="NUC458" s="28"/>
      <c r="NUD458" s="28"/>
      <c r="NUE458" s="28"/>
      <c r="NUF458" s="28"/>
      <c r="NUG458" s="28"/>
      <c r="NUH458" s="28"/>
      <c r="NUI458" s="28"/>
      <c r="NUJ458" s="28"/>
      <c r="NUK458" s="28"/>
      <c r="NUL458" s="28"/>
      <c r="NUM458" s="28"/>
      <c r="NUN458" s="28"/>
      <c r="NUO458" s="28"/>
      <c r="NUP458" s="28"/>
      <c r="NUQ458" s="28"/>
      <c r="NUR458" s="28"/>
      <c r="NUS458" s="28"/>
      <c r="NUT458" s="28"/>
      <c r="NUU458" s="28"/>
      <c r="NUV458" s="28"/>
      <c r="NUW458" s="28"/>
      <c r="NUX458" s="28"/>
      <c r="NUY458" s="28"/>
      <c r="NUZ458" s="28"/>
      <c r="NVA458" s="28"/>
      <c r="NVB458" s="28"/>
      <c r="NVC458" s="28"/>
      <c r="NVD458" s="28"/>
      <c r="NVE458" s="28"/>
      <c r="NVF458" s="28"/>
      <c r="NVG458" s="28"/>
      <c r="NVH458" s="28"/>
      <c r="NVI458" s="28"/>
      <c r="NVJ458" s="28"/>
      <c r="NVK458" s="28"/>
      <c r="NVL458" s="28"/>
      <c r="NVM458" s="28"/>
      <c r="NVN458" s="28"/>
      <c r="NVO458" s="28"/>
      <c r="NVP458" s="28"/>
      <c r="NVQ458" s="28"/>
      <c r="NVR458" s="28"/>
      <c r="NVS458" s="28"/>
      <c r="NVT458" s="28"/>
      <c r="NVU458" s="28"/>
      <c r="NVV458" s="28"/>
      <c r="NVW458" s="28"/>
      <c r="NVX458" s="28"/>
      <c r="NVY458" s="28"/>
      <c r="NVZ458" s="28"/>
      <c r="NWA458" s="28"/>
      <c r="NWB458" s="28"/>
      <c r="NWC458" s="28"/>
      <c r="NWD458" s="28"/>
      <c r="NWE458" s="28"/>
      <c r="NWF458" s="28"/>
      <c r="NWG458" s="28"/>
      <c r="NWH458" s="28"/>
      <c r="NWI458" s="28"/>
      <c r="NWJ458" s="28"/>
      <c r="NWK458" s="28"/>
      <c r="NWL458" s="28"/>
      <c r="NWM458" s="28"/>
      <c r="NWN458" s="28"/>
      <c r="NWO458" s="28"/>
      <c r="NWP458" s="28"/>
      <c r="NWQ458" s="28"/>
      <c r="NWR458" s="28"/>
      <c r="NWS458" s="28"/>
      <c r="NWT458" s="28"/>
      <c r="NWU458" s="28"/>
      <c r="NWV458" s="28"/>
      <c r="NWW458" s="28"/>
      <c r="NWX458" s="28"/>
      <c r="NWY458" s="28"/>
      <c r="NWZ458" s="28"/>
      <c r="NXA458" s="28"/>
      <c r="NXB458" s="28"/>
      <c r="NXC458" s="28"/>
      <c r="NXD458" s="28"/>
      <c r="NXE458" s="28"/>
      <c r="NXF458" s="28"/>
      <c r="NXG458" s="28"/>
      <c r="NXH458" s="28"/>
      <c r="NXI458" s="28"/>
      <c r="NXJ458" s="28"/>
      <c r="NXK458" s="28"/>
      <c r="NXL458" s="28"/>
      <c r="NXM458" s="28"/>
      <c r="NXN458" s="28"/>
      <c r="NXO458" s="28"/>
      <c r="NXP458" s="28"/>
      <c r="NXQ458" s="28"/>
      <c r="NXR458" s="28"/>
      <c r="NXS458" s="28"/>
      <c r="NXT458" s="28"/>
      <c r="NXU458" s="28"/>
      <c r="NXV458" s="28"/>
      <c r="NXW458" s="28"/>
      <c r="NXX458" s="28"/>
      <c r="NXY458" s="28"/>
      <c r="NXZ458" s="28"/>
      <c r="NYA458" s="28"/>
      <c r="NYB458" s="28"/>
      <c r="NYC458" s="28"/>
      <c r="NYD458" s="28"/>
      <c r="NYE458" s="28"/>
      <c r="NYF458" s="28"/>
      <c r="NYG458" s="28"/>
      <c r="NYH458" s="28"/>
      <c r="NYI458" s="28"/>
      <c r="NYJ458" s="28"/>
      <c r="NYK458" s="28"/>
      <c r="NYL458" s="28"/>
      <c r="NYM458" s="28"/>
      <c r="NYN458" s="28"/>
      <c r="NYO458" s="28"/>
      <c r="NYP458" s="28"/>
      <c r="NYQ458" s="28"/>
      <c r="NYR458" s="28"/>
      <c r="NYS458" s="28"/>
      <c r="NYT458" s="28"/>
      <c r="NYU458" s="28"/>
      <c r="NYV458" s="28"/>
      <c r="NYW458" s="28"/>
      <c r="NYX458" s="28"/>
      <c r="NYY458" s="28"/>
      <c r="NYZ458" s="28"/>
      <c r="NZA458" s="28"/>
      <c r="NZB458" s="28"/>
      <c r="NZC458" s="28"/>
      <c r="NZD458" s="28"/>
      <c r="NZE458" s="28"/>
      <c r="NZF458" s="28"/>
      <c r="NZG458" s="28"/>
      <c r="NZH458" s="28"/>
      <c r="NZI458" s="28"/>
      <c r="NZJ458" s="28"/>
      <c r="NZK458" s="28"/>
      <c r="NZL458" s="28"/>
      <c r="NZM458" s="28"/>
      <c r="NZN458" s="28"/>
      <c r="NZO458" s="28"/>
      <c r="NZP458" s="28"/>
      <c r="NZQ458" s="28"/>
      <c r="NZR458" s="28"/>
      <c r="NZS458" s="28"/>
      <c r="NZT458" s="28"/>
      <c r="NZU458" s="28"/>
      <c r="NZV458" s="28"/>
      <c r="NZW458" s="28"/>
      <c r="NZX458" s="28"/>
      <c r="NZY458" s="28"/>
      <c r="NZZ458" s="28"/>
      <c r="OAA458" s="28"/>
      <c r="OAB458" s="28"/>
      <c r="OAC458" s="28"/>
      <c r="OAD458" s="28"/>
      <c r="OAE458" s="28"/>
      <c r="OAF458" s="28"/>
      <c r="OAG458" s="28"/>
      <c r="OAH458" s="28"/>
      <c r="OAI458" s="28"/>
      <c r="OAJ458" s="28"/>
      <c r="OAK458" s="28"/>
      <c r="OAL458" s="28"/>
      <c r="OAM458" s="28"/>
      <c r="OAN458" s="28"/>
      <c r="OAO458" s="28"/>
      <c r="OAP458" s="28"/>
      <c r="OAQ458" s="28"/>
      <c r="OAR458" s="28"/>
      <c r="OAS458" s="28"/>
      <c r="OAT458" s="28"/>
      <c r="OAU458" s="28"/>
      <c r="OAV458" s="28"/>
      <c r="OAW458" s="28"/>
      <c r="OAX458" s="28"/>
      <c r="OAY458" s="28"/>
      <c r="OAZ458" s="28"/>
      <c r="OBA458" s="28"/>
      <c r="OBB458" s="28"/>
      <c r="OBC458" s="28"/>
      <c r="OBD458" s="28"/>
      <c r="OBE458" s="28"/>
      <c r="OBF458" s="28"/>
      <c r="OBG458" s="28"/>
      <c r="OBH458" s="28"/>
      <c r="OBI458" s="28"/>
      <c r="OBJ458" s="28"/>
      <c r="OBK458" s="28"/>
      <c r="OBL458" s="28"/>
      <c r="OBM458" s="28"/>
      <c r="OBN458" s="28"/>
      <c r="OBO458" s="28"/>
      <c r="OBP458" s="28"/>
      <c r="OBQ458" s="28"/>
      <c r="OBR458" s="28"/>
      <c r="OBS458" s="28"/>
      <c r="OBT458" s="28"/>
      <c r="OBU458" s="28"/>
      <c r="OBV458" s="28"/>
      <c r="OBW458" s="28"/>
      <c r="OBX458" s="28"/>
      <c r="OBY458" s="28"/>
      <c r="OBZ458" s="28"/>
      <c r="OCA458" s="28"/>
      <c r="OCB458" s="28"/>
      <c r="OCC458" s="28"/>
      <c r="OCD458" s="28"/>
      <c r="OCE458" s="28"/>
      <c r="OCF458" s="28"/>
      <c r="OCG458" s="28"/>
      <c r="OCH458" s="28"/>
      <c r="OCI458" s="28"/>
      <c r="OCJ458" s="28"/>
      <c r="OCK458" s="28"/>
      <c r="OCL458" s="28"/>
      <c r="OCM458" s="28"/>
      <c r="OCN458" s="28"/>
      <c r="OCO458" s="28"/>
      <c r="OCP458" s="28"/>
      <c r="OCQ458" s="28"/>
      <c r="OCR458" s="28"/>
      <c r="OCS458" s="28"/>
      <c r="OCT458" s="28"/>
      <c r="OCU458" s="28"/>
      <c r="OCV458" s="28"/>
      <c r="OCW458" s="28"/>
      <c r="OCX458" s="28"/>
      <c r="OCY458" s="28"/>
      <c r="OCZ458" s="28"/>
      <c r="ODA458" s="28"/>
      <c r="ODB458" s="28"/>
      <c r="ODC458" s="28"/>
      <c r="ODD458" s="28"/>
      <c r="ODE458" s="28"/>
      <c r="ODF458" s="28"/>
      <c r="ODG458" s="28"/>
      <c r="ODH458" s="28"/>
      <c r="ODI458" s="28"/>
      <c r="ODJ458" s="28"/>
      <c r="ODK458" s="28"/>
      <c r="ODL458" s="28"/>
      <c r="ODM458" s="28"/>
      <c r="ODN458" s="28"/>
      <c r="ODO458" s="28"/>
      <c r="ODP458" s="28"/>
      <c r="ODQ458" s="28"/>
      <c r="ODR458" s="28"/>
      <c r="ODS458" s="28"/>
      <c r="ODT458" s="28"/>
      <c r="ODU458" s="28"/>
      <c r="ODV458" s="28"/>
      <c r="ODW458" s="28"/>
      <c r="ODX458" s="28"/>
      <c r="ODY458" s="28"/>
      <c r="ODZ458" s="28"/>
      <c r="OEA458" s="28"/>
      <c r="OEB458" s="28"/>
      <c r="OEC458" s="28"/>
      <c r="OED458" s="28"/>
      <c r="OEE458" s="28"/>
      <c r="OEF458" s="28"/>
      <c r="OEG458" s="28"/>
      <c r="OEH458" s="28"/>
      <c r="OEI458" s="28"/>
      <c r="OEJ458" s="28"/>
      <c r="OEK458" s="28"/>
      <c r="OEL458" s="28"/>
      <c r="OEM458" s="28"/>
      <c r="OEN458" s="28"/>
      <c r="OEO458" s="28"/>
      <c r="OEP458" s="28"/>
      <c r="OEQ458" s="28"/>
      <c r="OER458" s="28"/>
      <c r="OES458" s="28"/>
      <c r="OET458" s="28"/>
      <c r="OEU458" s="28"/>
      <c r="OEV458" s="28"/>
      <c r="OEW458" s="28"/>
      <c r="OEX458" s="28"/>
      <c r="OEY458" s="28"/>
      <c r="OEZ458" s="28"/>
      <c r="OFA458" s="28"/>
      <c r="OFB458" s="28"/>
      <c r="OFC458" s="28"/>
      <c r="OFD458" s="28"/>
      <c r="OFE458" s="28"/>
      <c r="OFF458" s="28"/>
      <c r="OFG458" s="28"/>
      <c r="OFH458" s="28"/>
      <c r="OFI458" s="28"/>
      <c r="OFJ458" s="28"/>
      <c r="OFK458" s="28"/>
      <c r="OFL458" s="28"/>
      <c r="OFM458" s="28"/>
      <c r="OFN458" s="28"/>
      <c r="OFO458" s="28"/>
      <c r="OFP458" s="28"/>
      <c r="OFQ458" s="28"/>
      <c r="OFR458" s="28"/>
      <c r="OFS458" s="28"/>
      <c r="OFT458" s="28"/>
      <c r="OFU458" s="28"/>
      <c r="OFV458" s="28"/>
      <c r="OFW458" s="28"/>
      <c r="OFX458" s="28"/>
      <c r="OFY458" s="28"/>
      <c r="OFZ458" s="28"/>
      <c r="OGA458" s="28"/>
      <c r="OGB458" s="28"/>
      <c r="OGC458" s="28"/>
      <c r="OGD458" s="28"/>
      <c r="OGE458" s="28"/>
      <c r="OGF458" s="28"/>
      <c r="OGG458" s="28"/>
      <c r="OGH458" s="28"/>
      <c r="OGI458" s="28"/>
      <c r="OGJ458" s="28"/>
      <c r="OGK458" s="28"/>
      <c r="OGL458" s="28"/>
      <c r="OGM458" s="28"/>
      <c r="OGN458" s="28"/>
      <c r="OGO458" s="28"/>
      <c r="OGP458" s="28"/>
      <c r="OGQ458" s="28"/>
      <c r="OGR458" s="28"/>
      <c r="OGS458" s="28"/>
      <c r="OGT458" s="28"/>
      <c r="OGU458" s="28"/>
      <c r="OGV458" s="28"/>
      <c r="OGW458" s="28"/>
      <c r="OGX458" s="28"/>
      <c r="OGY458" s="28"/>
      <c r="OGZ458" s="28"/>
      <c r="OHA458" s="28"/>
      <c r="OHB458" s="28"/>
      <c r="OHC458" s="28"/>
      <c r="OHD458" s="28"/>
      <c r="OHE458" s="28"/>
      <c r="OHF458" s="28"/>
      <c r="OHG458" s="28"/>
      <c r="OHH458" s="28"/>
      <c r="OHI458" s="28"/>
      <c r="OHJ458" s="28"/>
      <c r="OHK458" s="28"/>
      <c r="OHL458" s="28"/>
      <c r="OHM458" s="28"/>
      <c r="OHN458" s="28"/>
      <c r="OHO458" s="28"/>
      <c r="OHP458" s="28"/>
      <c r="OHQ458" s="28"/>
      <c r="OHR458" s="28"/>
      <c r="OHS458" s="28"/>
      <c r="OHT458" s="28"/>
      <c r="OHU458" s="28"/>
      <c r="OHV458" s="28"/>
      <c r="OHW458" s="28"/>
      <c r="OHX458" s="28"/>
      <c r="OHY458" s="28"/>
      <c r="OHZ458" s="28"/>
      <c r="OIA458" s="28"/>
      <c r="OIB458" s="28"/>
      <c r="OIC458" s="28"/>
      <c r="OID458" s="28"/>
      <c r="OIE458" s="28"/>
      <c r="OIF458" s="28"/>
      <c r="OIG458" s="28"/>
      <c r="OIH458" s="28"/>
      <c r="OII458" s="28"/>
      <c r="OIJ458" s="28"/>
      <c r="OIK458" s="28"/>
      <c r="OIL458" s="28"/>
      <c r="OIM458" s="28"/>
      <c r="OIN458" s="28"/>
      <c r="OIO458" s="28"/>
      <c r="OIP458" s="28"/>
      <c r="OIQ458" s="28"/>
      <c r="OIR458" s="28"/>
      <c r="OIS458" s="28"/>
      <c r="OIT458" s="28"/>
      <c r="OIU458" s="28"/>
      <c r="OIV458" s="28"/>
      <c r="OIW458" s="28"/>
      <c r="OIX458" s="28"/>
      <c r="OIY458" s="28"/>
      <c r="OIZ458" s="28"/>
      <c r="OJA458" s="28"/>
      <c r="OJB458" s="28"/>
      <c r="OJC458" s="28"/>
      <c r="OJD458" s="28"/>
      <c r="OJE458" s="28"/>
      <c r="OJF458" s="28"/>
      <c r="OJG458" s="28"/>
      <c r="OJH458" s="28"/>
      <c r="OJI458" s="28"/>
      <c r="OJJ458" s="28"/>
      <c r="OJK458" s="28"/>
      <c r="OJL458" s="28"/>
      <c r="OJM458" s="28"/>
      <c r="OJN458" s="28"/>
      <c r="OJO458" s="28"/>
      <c r="OJP458" s="28"/>
      <c r="OJQ458" s="28"/>
      <c r="OJR458" s="28"/>
      <c r="OJS458" s="28"/>
      <c r="OJT458" s="28"/>
      <c r="OJU458" s="28"/>
      <c r="OJV458" s="28"/>
      <c r="OJW458" s="28"/>
      <c r="OJX458" s="28"/>
      <c r="OJY458" s="28"/>
      <c r="OJZ458" s="28"/>
      <c r="OKA458" s="28"/>
      <c r="OKB458" s="28"/>
      <c r="OKC458" s="28"/>
      <c r="OKD458" s="28"/>
      <c r="OKE458" s="28"/>
      <c r="OKF458" s="28"/>
      <c r="OKG458" s="28"/>
      <c r="OKH458" s="28"/>
      <c r="OKI458" s="28"/>
      <c r="OKJ458" s="28"/>
      <c r="OKK458" s="28"/>
      <c r="OKL458" s="28"/>
      <c r="OKM458" s="28"/>
      <c r="OKN458" s="28"/>
      <c r="OKO458" s="28"/>
      <c r="OKP458" s="28"/>
      <c r="OKQ458" s="28"/>
      <c r="OKR458" s="28"/>
      <c r="OKS458" s="28"/>
      <c r="OKT458" s="28"/>
      <c r="OKU458" s="28"/>
      <c r="OKV458" s="28"/>
      <c r="OKW458" s="28"/>
      <c r="OKX458" s="28"/>
      <c r="OKY458" s="28"/>
      <c r="OKZ458" s="28"/>
      <c r="OLA458" s="28"/>
      <c r="OLB458" s="28"/>
      <c r="OLC458" s="28"/>
      <c r="OLD458" s="28"/>
      <c r="OLE458" s="28"/>
      <c r="OLF458" s="28"/>
      <c r="OLG458" s="28"/>
      <c r="OLH458" s="28"/>
      <c r="OLI458" s="28"/>
      <c r="OLJ458" s="28"/>
      <c r="OLK458" s="28"/>
      <c r="OLL458" s="28"/>
      <c r="OLM458" s="28"/>
      <c r="OLN458" s="28"/>
      <c r="OLO458" s="28"/>
      <c r="OLP458" s="28"/>
      <c r="OLQ458" s="28"/>
      <c r="OLR458" s="28"/>
      <c r="OLS458" s="28"/>
      <c r="OLT458" s="28"/>
      <c r="OLU458" s="28"/>
      <c r="OLV458" s="28"/>
      <c r="OLW458" s="28"/>
      <c r="OLX458" s="28"/>
      <c r="OLY458" s="28"/>
      <c r="OLZ458" s="28"/>
      <c r="OMA458" s="28"/>
      <c r="OMB458" s="28"/>
      <c r="OMC458" s="28"/>
      <c r="OMD458" s="28"/>
      <c r="OME458" s="28"/>
      <c r="OMF458" s="28"/>
      <c r="OMG458" s="28"/>
      <c r="OMH458" s="28"/>
      <c r="OMI458" s="28"/>
      <c r="OMJ458" s="28"/>
      <c r="OMK458" s="28"/>
      <c r="OML458" s="28"/>
      <c r="OMM458" s="28"/>
      <c r="OMN458" s="28"/>
      <c r="OMO458" s="28"/>
      <c r="OMP458" s="28"/>
      <c r="OMQ458" s="28"/>
      <c r="OMR458" s="28"/>
      <c r="OMS458" s="28"/>
      <c r="OMT458" s="28"/>
      <c r="OMU458" s="28"/>
      <c r="OMV458" s="28"/>
      <c r="OMW458" s="28"/>
      <c r="OMX458" s="28"/>
      <c r="OMY458" s="28"/>
      <c r="OMZ458" s="28"/>
      <c r="ONA458" s="28"/>
      <c r="ONB458" s="28"/>
      <c r="ONC458" s="28"/>
      <c r="OND458" s="28"/>
      <c r="ONE458" s="28"/>
      <c r="ONF458" s="28"/>
      <c r="ONG458" s="28"/>
      <c r="ONH458" s="28"/>
      <c r="ONI458" s="28"/>
      <c r="ONJ458" s="28"/>
      <c r="ONK458" s="28"/>
      <c r="ONL458" s="28"/>
      <c r="ONM458" s="28"/>
      <c r="ONN458" s="28"/>
      <c r="ONO458" s="28"/>
      <c r="ONP458" s="28"/>
      <c r="ONQ458" s="28"/>
      <c r="ONR458" s="28"/>
      <c r="ONS458" s="28"/>
      <c r="ONT458" s="28"/>
      <c r="ONU458" s="28"/>
      <c r="ONV458" s="28"/>
      <c r="ONW458" s="28"/>
      <c r="ONX458" s="28"/>
      <c r="ONY458" s="28"/>
      <c r="ONZ458" s="28"/>
      <c r="OOA458" s="28"/>
      <c r="OOB458" s="28"/>
      <c r="OOC458" s="28"/>
      <c r="OOD458" s="28"/>
      <c r="OOE458" s="28"/>
      <c r="OOF458" s="28"/>
      <c r="OOG458" s="28"/>
      <c r="OOH458" s="28"/>
      <c r="OOI458" s="28"/>
      <c r="OOJ458" s="28"/>
      <c r="OOK458" s="28"/>
      <c r="OOL458" s="28"/>
      <c r="OOM458" s="28"/>
      <c r="OON458" s="28"/>
      <c r="OOO458" s="28"/>
      <c r="OOP458" s="28"/>
      <c r="OOQ458" s="28"/>
      <c r="OOR458" s="28"/>
      <c r="OOS458" s="28"/>
      <c r="OOT458" s="28"/>
      <c r="OOU458" s="28"/>
      <c r="OOV458" s="28"/>
      <c r="OOW458" s="28"/>
      <c r="OOX458" s="28"/>
      <c r="OOY458" s="28"/>
      <c r="OOZ458" s="28"/>
      <c r="OPA458" s="28"/>
      <c r="OPB458" s="28"/>
      <c r="OPC458" s="28"/>
      <c r="OPD458" s="28"/>
      <c r="OPE458" s="28"/>
      <c r="OPF458" s="28"/>
      <c r="OPG458" s="28"/>
      <c r="OPH458" s="28"/>
      <c r="OPI458" s="28"/>
      <c r="OPJ458" s="28"/>
      <c r="OPK458" s="28"/>
      <c r="OPL458" s="28"/>
      <c r="OPM458" s="28"/>
      <c r="OPN458" s="28"/>
      <c r="OPO458" s="28"/>
      <c r="OPP458" s="28"/>
      <c r="OPQ458" s="28"/>
      <c r="OPR458" s="28"/>
      <c r="OPS458" s="28"/>
      <c r="OPT458" s="28"/>
      <c r="OPU458" s="28"/>
      <c r="OPV458" s="28"/>
      <c r="OPW458" s="28"/>
      <c r="OPX458" s="28"/>
      <c r="OPY458" s="28"/>
      <c r="OPZ458" s="28"/>
      <c r="OQA458" s="28"/>
      <c r="OQB458" s="28"/>
      <c r="OQC458" s="28"/>
      <c r="OQD458" s="28"/>
      <c r="OQE458" s="28"/>
      <c r="OQF458" s="28"/>
      <c r="OQG458" s="28"/>
      <c r="OQH458" s="28"/>
      <c r="OQI458" s="28"/>
      <c r="OQJ458" s="28"/>
      <c r="OQK458" s="28"/>
      <c r="OQL458" s="28"/>
      <c r="OQM458" s="28"/>
      <c r="OQN458" s="28"/>
      <c r="OQO458" s="28"/>
      <c r="OQP458" s="28"/>
      <c r="OQQ458" s="28"/>
      <c r="OQR458" s="28"/>
      <c r="OQS458" s="28"/>
      <c r="OQT458" s="28"/>
      <c r="OQU458" s="28"/>
      <c r="OQV458" s="28"/>
      <c r="OQW458" s="28"/>
      <c r="OQX458" s="28"/>
      <c r="OQY458" s="28"/>
      <c r="OQZ458" s="28"/>
      <c r="ORA458" s="28"/>
      <c r="ORB458" s="28"/>
      <c r="ORC458" s="28"/>
      <c r="ORD458" s="28"/>
      <c r="ORE458" s="28"/>
      <c r="ORF458" s="28"/>
      <c r="ORG458" s="28"/>
      <c r="ORH458" s="28"/>
      <c r="ORI458" s="28"/>
      <c r="ORJ458" s="28"/>
      <c r="ORK458" s="28"/>
      <c r="ORL458" s="28"/>
      <c r="ORM458" s="28"/>
      <c r="ORN458" s="28"/>
      <c r="ORO458" s="28"/>
      <c r="ORP458" s="28"/>
      <c r="ORQ458" s="28"/>
      <c r="ORR458" s="28"/>
      <c r="ORS458" s="28"/>
      <c r="ORT458" s="28"/>
      <c r="ORU458" s="28"/>
      <c r="ORV458" s="28"/>
      <c r="ORW458" s="28"/>
      <c r="ORX458" s="28"/>
      <c r="ORY458" s="28"/>
      <c r="ORZ458" s="28"/>
      <c r="OSA458" s="28"/>
      <c r="OSB458" s="28"/>
      <c r="OSC458" s="28"/>
      <c r="OSD458" s="28"/>
      <c r="OSE458" s="28"/>
      <c r="OSF458" s="28"/>
      <c r="OSG458" s="28"/>
      <c r="OSH458" s="28"/>
      <c r="OSI458" s="28"/>
      <c r="OSJ458" s="28"/>
      <c r="OSK458" s="28"/>
      <c r="OSL458" s="28"/>
      <c r="OSM458" s="28"/>
      <c r="OSN458" s="28"/>
      <c r="OSO458" s="28"/>
      <c r="OSP458" s="28"/>
      <c r="OSQ458" s="28"/>
      <c r="OSR458" s="28"/>
      <c r="OSS458" s="28"/>
      <c r="OST458" s="28"/>
      <c r="OSU458" s="28"/>
      <c r="OSV458" s="28"/>
      <c r="OSW458" s="28"/>
      <c r="OSX458" s="28"/>
      <c r="OSY458" s="28"/>
      <c r="OSZ458" s="28"/>
      <c r="OTA458" s="28"/>
      <c r="OTB458" s="28"/>
      <c r="OTC458" s="28"/>
      <c r="OTD458" s="28"/>
      <c r="OTE458" s="28"/>
      <c r="OTF458" s="28"/>
      <c r="OTG458" s="28"/>
      <c r="OTH458" s="28"/>
      <c r="OTI458" s="28"/>
      <c r="OTJ458" s="28"/>
      <c r="OTK458" s="28"/>
      <c r="OTL458" s="28"/>
      <c r="OTM458" s="28"/>
      <c r="OTN458" s="28"/>
      <c r="OTO458" s="28"/>
      <c r="OTP458" s="28"/>
      <c r="OTQ458" s="28"/>
      <c r="OTR458" s="28"/>
      <c r="OTS458" s="28"/>
      <c r="OTT458" s="28"/>
      <c r="OTU458" s="28"/>
      <c r="OTV458" s="28"/>
      <c r="OTW458" s="28"/>
      <c r="OTX458" s="28"/>
      <c r="OTY458" s="28"/>
      <c r="OTZ458" s="28"/>
      <c r="OUA458" s="28"/>
      <c r="OUB458" s="28"/>
      <c r="OUC458" s="28"/>
      <c r="OUD458" s="28"/>
      <c r="OUE458" s="28"/>
      <c r="OUF458" s="28"/>
      <c r="OUG458" s="28"/>
      <c r="OUH458" s="28"/>
      <c r="OUI458" s="28"/>
      <c r="OUJ458" s="28"/>
      <c r="OUK458" s="28"/>
      <c r="OUL458" s="28"/>
      <c r="OUM458" s="28"/>
      <c r="OUN458" s="28"/>
      <c r="OUO458" s="28"/>
      <c r="OUP458" s="28"/>
      <c r="OUQ458" s="28"/>
      <c r="OUR458" s="28"/>
      <c r="OUS458" s="28"/>
      <c r="OUT458" s="28"/>
      <c r="OUU458" s="28"/>
      <c r="OUV458" s="28"/>
      <c r="OUW458" s="28"/>
      <c r="OUX458" s="28"/>
      <c r="OUY458" s="28"/>
      <c r="OUZ458" s="28"/>
      <c r="OVA458" s="28"/>
      <c r="OVB458" s="28"/>
      <c r="OVC458" s="28"/>
      <c r="OVD458" s="28"/>
      <c r="OVE458" s="28"/>
      <c r="OVF458" s="28"/>
      <c r="OVG458" s="28"/>
      <c r="OVH458" s="28"/>
      <c r="OVI458" s="28"/>
      <c r="OVJ458" s="28"/>
      <c r="OVK458" s="28"/>
      <c r="OVL458" s="28"/>
      <c r="OVM458" s="28"/>
      <c r="OVN458" s="28"/>
      <c r="OVO458" s="28"/>
      <c r="OVP458" s="28"/>
      <c r="OVQ458" s="28"/>
      <c r="OVR458" s="28"/>
      <c r="OVS458" s="28"/>
      <c r="OVT458" s="28"/>
      <c r="OVU458" s="28"/>
      <c r="OVV458" s="28"/>
      <c r="OVW458" s="28"/>
      <c r="OVX458" s="28"/>
      <c r="OVY458" s="28"/>
      <c r="OVZ458" s="28"/>
      <c r="OWA458" s="28"/>
      <c r="OWB458" s="28"/>
      <c r="OWC458" s="28"/>
      <c r="OWD458" s="28"/>
      <c r="OWE458" s="28"/>
      <c r="OWF458" s="28"/>
      <c r="OWG458" s="28"/>
      <c r="OWH458" s="28"/>
      <c r="OWI458" s="28"/>
      <c r="OWJ458" s="28"/>
      <c r="OWK458" s="28"/>
      <c r="OWL458" s="28"/>
      <c r="OWM458" s="28"/>
      <c r="OWN458" s="28"/>
      <c r="OWO458" s="28"/>
      <c r="OWP458" s="28"/>
      <c r="OWQ458" s="28"/>
      <c r="OWR458" s="28"/>
      <c r="OWS458" s="28"/>
      <c r="OWT458" s="28"/>
      <c r="OWU458" s="28"/>
      <c r="OWV458" s="28"/>
      <c r="OWW458" s="28"/>
      <c r="OWX458" s="28"/>
      <c r="OWY458" s="28"/>
      <c r="OWZ458" s="28"/>
      <c r="OXA458" s="28"/>
      <c r="OXB458" s="28"/>
      <c r="OXC458" s="28"/>
      <c r="OXD458" s="28"/>
      <c r="OXE458" s="28"/>
      <c r="OXF458" s="28"/>
      <c r="OXG458" s="28"/>
      <c r="OXH458" s="28"/>
      <c r="OXI458" s="28"/>
      <c r="OXJ458" s="28"/>
      <c r="OXK458" s="28"/>
      <c r="OXL458" s="28"/>
      <c r="OXM458" s="28"/>
      <c r="OXN458" s="28"/>
      <c r="OXO458" s="28"/>
      <c r="OXP458" s="28"/>
      <c r="OXQ458" s="28"/>
      <c r="OXR458" s="28"/>
      <c r="OXS458" s="28"/>
      <c r="OXT458" s="28"/>
      <c r="OXU458" s="28"/>
      <c r="OXV458" s="28"/>
      <c r="OXW458" s="28"/>
      <c r="OXX458" s="28"/>
      <c r="OXY458" s="28"/>
      <c r="OXZ458" s="28"/>
      <c r="OYA458" s="28"/>
      <c r="OYB458" s="28"/>
      <c r="OYC458" s="28"/>
      <c r="OYD458" s="28"/>
      <c r="OYE458" s="28"/>
      <c r="OYF458" s="28"/>
      <c r="OYG458" s="28"/>
      <c r="OYH458" s="28"/>
      <c r="OYI458" s="28"/>
      <c r="OYJ458" s="28"/>
      <c r="OYK458" s="28"/>
      <c r="OYL458" s="28"/>
      <c r="OYM458" s="28"/>
      <c r="OYN458" s="28"/>
      <c r="OYO458" s="28"/>
      <c r="OYP458" s="28"/>
      <c r="OYQ458" s="28"/>
      <c r="OYR458" s="28"/>
      <c r="OYS458" s="28"/>
      <c r="OYT458" s="28"/>
      <c r="OYU458" s="28"/>
      <c r="OYV458" s="28"/>
      <c r="OYW458" s="28"/>
      <c r="OYX458" s="28"/>
      <c r="OYY458" s="28"/>
      <c r="OYZ458" s="28"/>
      <c r="OZA458" s="28"/>
      <c r="OZB458" s="28"/>
      <c r="OZC458" s="28"/>
      <c r="OZD458" s="28"/>
      <c r="OZE458" s="28"/>
      <c r="OZF458" s="28"/>
      <c r="OZG458" s="28"/>
      <c r="OZH458" s="28"/>
      <c r="OZI458" s="28"/>
      <c r="OZJ458" s="28"/>
      <c r="OZK458" s="28"/>
      <c r="OZL458" s="28"/>
      <c r="OZM458" s="28"/>
      <c r="OZN458" s="28"/>
      <c r="OZO458" s="28"/>
      <c r="OZP458" s="28"/>
      <c r="OZQ458" s="28"/>
      <c r="OZR458" s="28"/>
      <c r="OZS458" s="28"/>
      <c r="OZT458" s="28"/>
      <c r="OZU458" s="28"/>
      <c r="OZV458" s="28"/>
      <c r="OZW458" s="28"/>
      <c r="OZX458" s="28"/>
      <c r="OZY458" s="28"/>
      <c r="OZZ458" s="28"/>
      <c r="PAA458" s="28"/>
      <c r="PAB458" s="28"/>
      <c r="PAC458" s="28"/>
      <c r="PAD458" s="28"/>
      <c r="PAE458" s="28"/>
      <c r="PAF458" s="28"/>
      <c r="PAG458" s="28"/>
      <c r="PAH458" s="28"/>
      <c r="PAI458" s="28"/>
      <c r="PAJ458" s="28"/>
      <c r="PAK458" s="28"/>
      <c r="PAL458" s="28"/>
      <c r="PAM458" s="28"/>
      <c r="PAN458" s="28"/>
      <c r="PAO458" s="28"/>
      <c r="PAP458" s="28"/>
      <c r="PAQ458" s="28"/>
      <c r="PAR458" s="28"/>
      <c r="PAS458" s="28"/>
      <c r="PAT458" s="28"/>
      <c r="PAU458" s="28"/>
      <c r="PAV458" s="28"/>
      <c r="PAW458" s="28"/>
      <c r="PAX458" s="28"/>
      <c r="PAY458" s="28"/>
      <c r="PAZ458" s="28"/>
      <c r="PBA458" s="28"/>
      <c r="PBB458" s="28"/>
      <c r="PBC458" s="28"/>
      <c r="PBD458" s="28"/>
      <c r="PBE458" s="28"/>
      <c r="PBF458" s="28"/>
      <c r="PBG458" s="28"/>
      <c r="PBH458" s="28"/>
      <c r="PBI458" s="28"/>
      <c r="PBJ458" s="28"/>
      <c r="PBK458" s="28"/>
      <c r="PBL458" s="28"/>
      <c r="PBM458" s="28"/>
      <c r="PBN458" s="28"/>
      <c r="PBO458" s="28"/>
      <c r="PBP458" s="28"/>
      <c r="PBQ458" s="28"/>
      <c r="PBR458" s="28"/>
      <c r="PBS458" s="28"/>
      <c r="PBT458" s="28"/>
      <c r="PBU458" s="28"/>
      <c r="PBV458" s="28"/>
      <c r="PBW458" s="28"/>
      <c r="PBX458" s="28"/>
      <c r="PBY458" s="28"/>
      <c r="PBZ458" s="28"/>
      <c r="PCA458" s="28"/>
      <c r="PCB458" s="28"/>
      <c r="PCC458" s="28"/>
      <c r="PCD458" s="28"/>
      <c r="PCE458" s="28"/>
      <c r="PCF458" s="28"/>
      <c r="PCG458" s="28"/>
      <c r="PCH458" s="28"/>
      <c r="PCI458" s="28"/>
      <c r="PCJ458" s="28"/>
      <c r="PCK458" s="28"/>
      <c r="PCL458" s="28"/>
      <c r="PCM458" s="28"/>
      <c r="PCN458" s="28"/>
      <c r="PCO458" s="28"/>
      <c r="PCP458" s="28"/>
      <c r="PCQ458" s="28"/>
      <c r="PCR458" s="28"/>
      <c r="PCS458" s="28"/>
      <c r="PCT458" s="28"/>
      <c r="PCU458" s="28"/>
      <c r="PCV458" s="28"/>
      <c r="PCW458" s="28"/>
      <c r="PCX458" s="28"/>
      <c r="PCY458" s="28"/>
      <c r="PCZ458" s="28"/>
      <c r="PDA458" s="28"/>
      <c r="PDB458" s="28"/>
      <c r="PDC458" s="28"/>
      <c r="PDD458" s="28"/>
      <c r="PDE458" s="28"/>
      <c r="PDF458" s="28"/>
      <c r="PDG458" s="28"/>
      <c r="PDH458" s="28"/>
      <c r="PDI458" s="28"/>
      <c r="PDJ458" s="28"/>
      <c r="PDK458" s="28"/>
      <c r="PDL458" s="28"/>
      <c r="PDM458" s="28"/>
      <c r="PDN458" s="28"/>
      <c r="PDO458" s="28"/>
      <c r="PDP458" s="28"/>
      <c r="PDQ458" s="28"/>
      <c r="PDR458" s="28"/>
      <c r="PDS458" s="28"/>
      <c r="PDT458" s="28"/>
      <c r="PDU458" s="28"/>
      <c r="PDV458" s="28"/>
      <c r="PDW458" s="28"/>
      <c r="PDX458" s="28"/>
      <c r="PDY458" s="28"/>
      <c r="PDZ458" s="28"/>
      <c r="PEA458" s="28"/>
      <c r="PEB458" s="28"/>
      <c r="PEC458" s="28"/>
      <c r="PED458" s="28"/>
      <c r="PEE458" s="28"/>
      <c r="PEF458" s="28"/>
      <c r="PEG458" s="28"/>
      <c r="PEH458" s="28"/>
      <c r="PEI458" s="28"/>
      <c r="PEJ458" s="28"/>
      <c r="PEK458" s="28"/>
      <c r="PEL458" s="28"/>
      <c r="PEM458" s="28"/>
      <c r="PEN458" s="28"/>
      <c r="PEO458" s="28"/>
      <c r="PEP458" s="28"/>
      <c r="PEQ458" s="28"/>
      <c r="PER458" s="28"/>
      <c r="PES458" s="28"/>
      <c r="PET458" s="28"/>
      <c r="PEU458" s="28"/>
      <c r="PEV458" s="28"/>
      <c r="PEW458" s="28"/>
      <c r="PEX458" s="28"/>
      <c r="PEY458" s="28"/>
      <c r="PEZ458" s="28"/>
      <c r="PFA458" s="28"/>
      <c r="PFB458" s="28"/>
      <c r="PFC458" s="28"/>
      <c r="PFD458" s="28"/>
      <c r="PFE458" s="28"/>
      <c r="PFF458" s="28"/>
      <c r="PFG458" s="28"/>
      <c r="PFH458" s="28"/>
      <c r="PFI458" s="28"/>
      <c r="PFJ458" s="28"/>
      <c r="PFK458" s="28"/>
      <c r="PFL458" s="28"/>
      <c r="PFM458" s="28"/>
      <c r="PFN458" s="28"/>
      <c r="PFO458" s="28"/>
      <c r="PFP458" s="28"/>
      <c r="PFQ458" s="28"/>
      <c r="PFR458" s="28"/>
      <c r="PFS458" s="28"/>
      <c r="PFT458" s="28"/>
      <c r="PFU458" s="28"/>
      <c r="PFV458" s="28"/>
      <c r="PFW458" s="28"/>
      <c r="PFX458" s="28"/>
      <c r="PFY458" s="28"/>
      <c r="PFZ458" s="28"/>
      <c r="PGA458" s="28"/>
      <c r="PGB458" s="28"/>
      <c r="PGC458" s="28"/>
      <c r="PGD458" s="28"/>
      <c r="PGE458" s="28"/>
      <c r="PGF458" s="28"/>
      <c r="PGG458" s="28"/>
      <c r="PGH458" s="28"/>
      <c r="PGI458" s="28"/>
      <c r="PGJ458" s="28"/>
      <c r="PGK458" s="28"/>
      <c r="PGL458" s="28"/>
      <c r="PGM458" s="28"/>
      <c r="PGN458" s="28"/>
      <c r="PGO458" s="28"/>
      <c r="PGP458" s="28"/>
      <c r="PGQ458" s="28"/>
      <c r="PGR458" s="28"/>
      <c r="PGS458" s="28"/>
      <c r="PGT458" s="28"/>
      <c r="PGU458" s="28"/>
      <c r="PGV458" s="28"/>
      <c r="PGW458" s="28"/>
      <c r="PGX458" s="28"/>
      <c r="PGY458" s="28"/>
      <c r="PGZ458" s="28"/>
      <c r="PHA458" s="28"/>
      <c r="PHB458" s="28"/>
      <c r="PHC458" s="28"/>
      <c r="PHD458" s="28"/>
      <c r="PHE458" s="28"/>
      <c r="PHF458" s="28"/>
      <c r="PHG458" s="28"/>
      <c r="PHH458" s="28"/>
      <c r="PHI458" s="28"/>
      <c r="PHJ458" s="28"/>
      <c r="PHK458" s="28"/>
      <c r="PHL458" s="28"/>
      <c r="PHM458" s="28"/>
      <c r="PHN458" s="28"/>
      <c r="PHO458" s="28"/>
      <c r="PHP458" s="28"/>
      <c r="PHQ458" s="28"/>
      <c r="PHR458" s="28"/>
      <c r="PHS458" s="28"/>
      <c r="PHT458" s="28"/>
      <c r="PHU458" s="28"/>
      <c r="PHV458" s="28"/>
      <c r="PHW458" s="28"/>
      <c r="PHX458" s="28"/>
      <c r="PHY458" s="28"/>
      <c r="PHZ458" s="28"/>
      <c r="PIA458" s="28"/>
      <c r="PIB458" s="28"/>
      <c r="PIC458" s="28"/>
      <c r="PID458" s="28"/>
      <c r="PIE458" s="28"/>
      <c r="PIF458" s="28"/>
      <c r="PIG458" s="28"/>
      <c r="PIH458" s="28"/>
      <c r="PII458" s="28"/>
      <c r="PIJ458" s="28"/>
      <c r="PIK458" s="28"/>
      <c r="PIL458" s="28"/>
      <c r="PIM458" s="28"/>
      <c r="PIN458" s="28"/>
      <c r="PIO458" s="28"/>
      <c r="PIP458" s="28"/>
      <c r="PIQ458" s="28"/>
      <c r="PIR458" s="28"/>
      <c r="PIS458" s="28"/>
      <c r="PIT458" s="28"/>
      <c r="PIU458" s="28"/>
      <c r="PIV458" s="28"/>
      <c r="PIW458" s="28"/>
      <c r="PIX458" s="28"/>
      <c r="PIY458" s="28"/>
      <c r="PIZ458" s="28"/>
      <c r="PJA458" s="28"/>
      <c r="PJB458" s="28"/>
      <c r="PJC458" s="28"/>
      <c r="PJD458" s="28"/>
      <c r="PJE458" s="28"/>
      <c r="PJF458" s="28"/>
      <c r="PJG458" s="28"/>
      <c r="PJH458" s="28"/>
      <c r="PJI458" s="28"/>
      <c r="PJJ458" s="28"/>
      <c r="PJK458" s="28"/>
      <c r="PJL458" s="28"/>
      <c r="PJM458" s="28"/>
      <c r="PJN458" s="28"/>
      <c r="PJO458" s="28"/>
      <c r="PJP458" s="28"/>
      <c r="PJQ458" s="28"/>
      <c r="PJR458" s="28"/>
      <c r="PJS458" s="28"/>
      <c r="PJT458" s="28"/>
      <c r="PJU458" s="28"/>
      <c r="PJV458" s="28"/>
      <c r="PJW458" s="28"/>
      <c r="PJX458" s="28"/>
      <c r="PJY458" s="28"/>
      <c r="PJZ458" s="28"/>
      <c r="PKA458" s="28"/>
      <c r="PKB458" s="28"/>
      <c r="PKC458" s="28"/>
      <c r="PKD458" s="28"/>
      <c r="PKE458" s="28"/>
      <c r="PKF458" s="28"/>
      <c r="PKG458" s="28"/>
      <c r="PKH458" s="28"/>
      <c r="PKI458" s="28"/>
      <c r="PKJ458" s="28"/>
      <c r="PKK458" s="28"/>
      <c r="PKL458" s="28"/>
      <c r="PKM458" s="28"/>
      <c r="PKN458" s="28"/>
      <c r="PKO458" s="28"/>
      <c r="PKP458" s="28"/>
      <c r="PKQ458" s="28"/>
      <c r="PKR458" s="28"/>
      <c r="PKS458" s="28"/>
      <c r="PKT458" s="28"/>
      <c r="PKU458" s="28"/>
      <c r="PKV458" s="28"/>
      <c r="PKW458" s="28"/>
      <c r="PKX458" s="28"/>
      <c r="PKY458" s="28"/>
      <c r="PKZ458" s="28"/>
      <c r="PLA458" s="28"/>
      <c r="PLB458" s="28"/>
      <c r="PLC458" s="28"/>
      <c r="PLD458" s="28"/>
      <c r="PLE458" s="28"/>
      <c r="PLF458" s="28"/>
      <c r="PLG458" s="28"/>
      <c r="PLH458" s="28"/>
      <c r="PLI458" s="28"/>
      <c r="PLJ458" s="28"/>
      <c r="PLK458" s="28"/>
      <c r="PLL458" s="28"/>
      <c r="PLM458" s="28"/>
      <c r="PLN458" s="28"/>
      <c r="PLO458" s="28"/>
      <c r="PLP458" s="28"/>
      <c r="PLQ458" s="28"/>
      <c r="PLR458" s="28"/>
      <c r="PLS458" s="28"/>
      <c r="PLT458" s="28"/>
      <c r="PLU458" s="28"/>
      <c r="PLV458" s="28"/>
      <c r="PLW458" s="28"/>
      <c r="PLX458" s="28"/>
      <c r="PLY458" s="28"/>
      <c r="PLZ458" s="28"/>
      <c r="PMA458" s="28"/>
      <c r="PMB458" s="28"/>
      <c r="PMC458" s="28"/>
      <c r="PMD458" s="28"/>
      <c r="PME458" s="28"/>
      <c r="PMF458" s="28"/>
      <c r="PMG458" s="28"/>
      <c r="PMH458" s="28"/>
      <c r="PMI458" s="28"/>
      <c r="PMJ458" s="28"/>
      <c r="PMK458" s="28"/>
      <c r="PML458" s="28"/>
      <c r="PMM458" s="28"/>
      <c r="PMN458" s="28"/>
      <c r="PMO458" s="28"/>
      <c r="PMP458" s="28"/>
      <c r="PMQ458" s="28"/>
      <c r="PMR458" s="28"/>
      <c r="PMS458" s="28"/>
      <c r="PMT458" s="28"/>
      <c r="PMU458" s="28"/>
      <c r="PMV458" s="28"/>
      <c r="PMW458" s="28"/>
      <c r="PMX458" s="28"/>
      <c r="PMY458" s="28"/>
      <c r="PMZ458" s="28"/>
      <c r="PNA458" s="28"/>
      <c r="PNB458" s="28"/>
      <c r="PNC458" s="28"/>
      <c r="PND458" s="28"/>
      <c r="PNE458" s="28"/>
      <c r="PNF458" s="28"/>
      <c r="PNG458" s="28"/>
      <c r="PNH458" s="28"/>
      <c r="PNI458" s="28"/>
      <c r="PNJ458" s="28"/>
      <c r="PNK458" s="28"/>
      <c r="PNL458" s="28"/>
      <c r="PNM458" s="28"/>
      <c r="PNN458" s="28"/>
      <c r="PNO458" s="28"/>
      <c r="PNP458" s="28"/>
      <c r="PNQ458" s="28"/>
      <c r="PNR458" s="28"/>
      <c r="PNS458" s="28"/>
      <c r="PNT458" s="28"/>
      <c r="PNU458" s="28"/>
      <c r="PNV458" s="28"/>
      <c r="PNW458" s="28"/>
      <c r="PNX458" s="28"/>
      <c r="PNY458" s="28"/>
      <c r="PNZ458" s="28"/>
      <c r="POA458" s="28"/>
      <c r="POB458" s="28"/>
      <c r="POC458" s="28"/>
      <c r="POD458" s="28"/>
      <c r="POE458" s="28"/>
      <c r="POF458" s="28"/>
      <c r="POG458" s="28"/>
      <c r="POH458" s="28"/>
      <c r="POI458" s="28"/>
      <c r="POJ458" s="28"/>
      <c r="POK458" s="28"/>
      <c r="POL458" s="28"/>
      <c r="POM458" s="28"/>
      <c r="PON458" s="28"/>
      <c r="POO458" s="28"/>
      <c r="POP458" s="28"/>
      <c r="POQ458" s="28"/>
      <c r="POR458" s="28"/>
      <c r="POS458" s="28"/>
      <c r="POT458" s="28"/>
      <c r="POU458" s="28"/>
      <c r="POV458" s="28"/>
      <c r="POW458" s="28"/>
      <c r="POX458" s="28"/>
      <c r="POY458" s="28"/>
      <c r="POZ458" s="28"/>
      <c r="PPA458" s="28"/>
      <c r="PPB458" s="28"/>
      <c r="PPC458" s="28"/>
      <c r="PPD458" s="28"/>
      <c r="PPE458" s="28"/>
      <c r="PPF458" s="28"/>
      <c r="PPG458" s="28"/>
      <c r="PPH458" s="28"/>
      <c r="PPI458" s="28"/>
      <c r="PPJ458" s="28"/>
      <c r="PPK458" s="28"/>
      <c r="PPL458" s="28"/>
      <c r="PPM458" s="28"/>
      <c r="PPN458" s="28"/>
      <c r="PPO458" s="28"/>
      <c r="PPP458" s="28"/>
      <c r="PPQ458" s="28"/>
      <c r="PPR458" s="28"/>
      <c r="PPS458" s="28"/>
      <c r="PPT458" s="28"/>
      <c r="PPU458" s="28"/>
      <c r="PPV458" s="28"/>
      <c r="PPW458" s="28"/>
      <c r="PPX458" s="28"/>
      <c r="PPY458" s="28"/>
      <c r="PPZ458" s="28"/>
      <c r="PQA458" s="28"/>
      <c r="PQB458" s="28"/>
      <c r="PQC458" s="28"/>
      <c r="PQD458" s="28"/>
      <c r="PQE458" s="28"/>
      <c r="PQF458" s="28"/>
      <c r="PQG458" s="28"/>
      <c r="PQH458" s="28"/>
      <c r="PQI458" s="28"/>
      <c r="PQJ458" s="28"/>
      <c r="PQK458" s="28"/>
      <c r="PQL458" s="28"/>
      <c r="PQM458" s="28"/>
      <c r="PQN458" s="28"/>
      <c r="PQO458" s="28"/>
      <c r="PQP458" s="28"/>
      <c r="PQQ458" s="28"/>
      <c r="PQR458" s="28"/>
      <c r="PQS458" s="28"/>
      <c r="PQT458" s="28"/>
      <c r="PQU458" s="28"/>
      <c r="PQV458" s="28"/>
      <c r="PQW458" s="28"/>
      <c r="PQX458" s="28"/>
      <c r="PQY458" s="28"/>
      <c r="PQZ458" s="28"/>
      <c r="PRA458" s="28"/>
      <c r="PRB458" s="28"/>
      <c r="PRC458" s="28"/>
      <c r="PRD458" s="28"/>
      <c r="PRE458" s="28"/>
      <c r="PRF458" s="28"/>
      <c r="PRG458" s="28"/>
      <c r="PRH458" s="28"/>
      <c r="PRI458" s="28"/>
      <c r="PRJ458" s="28"/>
      <c r="PRK458" s="28"/>
      <c r="PRL458" s="28"/>
      <c r="PRM458" s="28"/>
      <c r="PRN458" s="28"/>
      <c r="PRO458" s="28"/>
      <c r="PRP458" s="28"/>
      <c r="PRQ458" s="28"/>
      <c r="PRR458" s="28"/>
      <c r="PRS458" s="28"/>
      <c r="PRT458" s="28"/>
      <c r="PRU458" s="28"/>
      <c r="PRV458" s="28"/>
      <c r="PRW458" s="28"/>
      <c r="PRX458" s="28"/>
      <c r="PRY458" s="28"/>
      <c r="PRZ458" s="28"/>
      <c r="PSA458" s="28"/>
      <c r="PSB458" s="28"/>
      <c r="PSC458" s="28"/>
      <c r="PSD458" s="28"/>
      <c r="PSE458" s="28"/>
      <c r="PSF458" s="28"/>
      <c r="PSG458" s="28"/>
      <c r="PSH458" s="28"/>
      <c r="PSI458" s="28"/>
      <c r="PSJ458" s="28"/>
      <c r="PSK458" s="28"/>
      <c r="PSL458" s="28"/>
      <c r="PSM458" s="28"/>
      <c r="PSN458" s="28"/>
      <c r="PSO458" s="28"/>
      <c r="PSP458" s="28"/>
      <c r="PSQ458" s="28"/>
      <c r="PSR458" s="28"/>
      <c r="PSS458" s="28"/>
      <c r="PST458" s="28"/>
      <c r="PSU458" s="28"/>
      <c r="PSV458" s="28"/>
      <c r="PSW458" s="28"/>
      <c r="PSX458" s="28"/>
      <c r="PSY458" s="28"/>
      <c r="PSZ458" s="28"/>
      <c r="PTA458" s="28"/>
      <c r="PTB458" s="28"/>
      <c r="PTC458" s="28"/>
      <c r="PTD458" s="28"/>
      <c r="PTE458" s="28"/>
      <c r="PTF458" s="28"/>
      <c r="PTG458" s="28"/>
      <c r="PTH458" s="28"/>
      <c r="PTI458" s="28"/>
      <c r="PTJ458" s="28"/>
      <c r="PTK458" s="28"/>
      <c r="PTL458" s="28"/>
      <c r="PTM458" s="28"/>
      <c r="PTN458" s="28"/>
      <c r="PTO458" s="28"/>
      <c r="PTP458" s="28"/>
      <c r="PTQ458" s="28"/>
      <c r="PTR458" s="28"/>
      <c r="PTS458" s="28"/>
      <c r="PTT458" s="28"/>
      <c r="PTU458" s="28"/>
      <c r="PTV458" s="28"/>
      <c r="PTW458" s="28"/>
      <c r="PTX458" s="28"/>
      <c r="PTY458" s="28"/>
      <c r="PTZ458" s="28"/>
      <c r="PUA458" s="28"/>
      <c r="PUB458" s="28"/>
      <c r="PUC458" s="28"/>
      <c r="PUD458" s="28"/>
      <c r="PUE458" s="28"/>
      <c r="PUF458" s="28"/>
      <c r="PUG458" s="28"/>
      <c r="PUH458" s="28"/>
      <c r="PUI458" s="28"/>
      <c r="PUJ458" s="28"/>
      <c r="PUK458" s="28"/>
      <c r="PUL458" s="28"/>
      <c r="PUM458" s="28"/>
      <c r="PUN458" s="28"/>
      <c r="PUO458" s="28"/>
      <c r="PUP458" s="28"/>
      <c r="PUQ458" s="28"/>
      <c r="PUR458" s="28"/>
      <c r="PUS458" s="28"/>
      <c r="PUT458" s="28"/>
      <c r="PUU458" s="28"/>
      <c r="PUV458" s="28"/>
      <c r="PUW458" s="28"/>
      <c r="PUX458" s="28"/>
      <c r="PUY458" s="28"/>
      <c r="PUZ458" s="28"/>
      <c r="PVA458" s="28"/>
      <c r="PVB458" s="28"/>
      <c r="PVC458" s="28"/>
      <c r="PVD458" s="28"/>
      <c r="PVE458" s="28"/>
      <c r="PVF458" s="28"/>
      <c r="PVG458" s="28"/>
      <c r="PVH458" s="28"/>
      <c r="PVI458" s="28"/>
      <c r="PVJ458" s="28"/>
      <c r="PVK458" s="28"/>
      <c r="PVL458" s="28"/>
      <c r="PVM458" s="28"/>
      <c r="PVN458" s="28"/>
      <c r="PVO458" s="28"/>
      <c r="PVP458" s="28"/>
      <c r="PVQ458" s="28"/>
      <c r="PVR458" s="28"/>
      <c r="PVS458" s="28"/>
      <c r="PVT458" s="28"/>
      <c r="PVU458" s="28"/>
      <c r="PVV458" s="28"/>
      <c r="PVW458" s="28"/>
      <c r="PVX458" s="28"/>
      <c r="PVY458" s="28"/>
      <c r="PVZ458" s="28"/>
      <c r="PWA458" s="28"/>
      <c r="PWB458" s="28"/>
      <c r="PWC458" s="28"/>
      <c r="PWD458" s="28"/>
      <c r="PWE458" s="28"/>
      <c r="PWF458" s="28"/>
      <c r="PWG458" s="28"/>
      <c r="PWH458" s="28"/>
      <c r="PWI458" s="28"/>
      <c r="PWJ458" s="28"/>
      <c r="PWK458" s="28"/>
      <c r="PWL458" s="28"/>
      <c r="PWM458" s="28"/>
      <c r="PWN458" s="28"/>
      <c r="PWO458" s="28"/>
      <c r="PWP458" s="28"/>
      <c r="PWQ458" s="28"/>
      <c r="PWR458" s="28"/>
      <c r="PWS458" s="28"/>
      <c r="PWT458" s="28"/>
      <c r="PWU458" s="28"/>
      <c r="PWV458" s="28"/>
      <c r="PWW458" s="28"/>
      <c r="PWX458" s="28"/>
      <c r="PWY458" s="28"/>
      <c r="PWZ458" s="28"/>
      <c r="PXA458" s="28"/>
      <c r="PXB458" s="28"/>
      <c r="PXC458" s="28"/>
      <c r="PXD458" s="28"/>
      <c r="PXE458" s="28"/>
      <c r="PXF458" s="28"/>
      <c r="PXG458" s="28"/>
      <c r="PXH458" s="28"/>
      <c r="PXI458" s="28"/>
      <c r="PXJ458" s="28"/>
      <c r="PXK458" s="28"/>
      <c r="PXL458" s="28"/>
      <c r="PXM458" s="28"/>
      <c r="PXN458" s="28"/>
      <c r="PXO458" s="28"/>
      <c r="PXP458" s="28"/>
      <c r="PXQ458" s="28"/>
      <c r="PXR458" s="28"/>
      <c r="PXS458" s="28"/>
      <c r="PXT458" s="28"/>
      <c r="PXU458" s="28"/>
      <c r="PXV458" s="28"/>
      <c r="PXW458" s="28"/>
      <c r="PXX458" s="28"/>
      <c r="PXY458" s="28"/>
      <c r="PXZ458" s="28"/>
      <c r="PYA458" s="28"/>
      <c r="PYB458" s="28"/>
      <c r="PYC458" s="28"/>
      <c r="PYD458" s="28"/>
      <c r="PYE458" s="28"/>
      <c r="PYF458" s="28"/>
      <c r="PYG458" s="28"/>
      <c r="PYH458" s="28"/>
      <c r="PYI458" s="28"/>
      <c r="PYJ458" s="28"/>
      <c r="PYK458" s="28"/>
      <c r="PYL458" s="28"/>
      <c r="PYM458" s="28"/>
      <c r="PYN458" s="28"/>
      <c r="PYO458" s="28"/>
      <c r="PYP458" s="28"/>
      <c r="PYQ458" s="28"/>
      <c r="PYR458" s="28"/>
      <c r="PYS458" s="28"/>
      <c r="PYT458" s="28"/>
      <c r="PYU458" s="28"/>
      <c r="PYV458" s="28"/>
      <c r="PYW458" s="28"/>
      <c r="PYX458" s="28"/>
      <c r="PYY458" s="28"/>
      <c r="PYZ458" s="28"/>
      <c r="PZA458" s="28"/>
      <c r="PZB458" s="28"/>
      <c r="PZC458" s="28"/>
      <c r="PZD458" s="28"/>
      <c r="PZE458" s="28"/>
      <c r="PZF458" s="28"/>
      <c r="PZG458" s="28"/>
      <c r="PZH458" s="28"/>
      <c r="PZI458" s="28"/>
      <c r="PZJ458" s="28"/>
      <c r="PZK458" s="28"/>
      <c r="PZL458" s="28"/>
      <c r="PZM458" s="28"/>
      <c r="PZN458" s="28"/>
      <c r="PZO458" s="28"/>
      <c r="PZP458" s="28"/>
      <c r="PZQ458" s="28"/>
      <c r="PZR458" s="28"/>
      <c r="PZS458" s="28"/>
      <c r="PZT458" s="28"/>
      <c r="PZU458" s="28"/>
      <c r="PZV458" s="28"/>
      <c r="PZW458" s="28"/>
      <c r="PZX458" s="28"/>
      <c r="PZY458" s="28"/>
      <c r="PZZ458" s="28"/>
      <c r="QAA458" s="28"/>
      <c r="QAB458" s="28"/>
      <c r="QAC458" s="28"/>
      <c r="QAD458" s="28"/>
      <c r="QAE458" s="28"/>
      <c r="QAF458" s="28"/>
      <c r="QAG458" s="28"/>
      <c r="QAH458" s="28"/>
      <c r="QAI458" s="28"/>
      <c r="QAJ458" s="28"/>
      <c r="QAK458" s="28"/>
      <c r="QAL458" s="28"/>
      <c r="QAM458" s="28"/>
      <c r="QAN458" s="28"/>
      <c r="QAO458" s="28"/>
      <c r="QAP458" s="28"/>
      <c r="QAQ458" s="28"/>
      <c r="QAR458" s="28"/>
      <c r="QAS458" s="28"/>
      <c r="QAT458" s="28"/>
      <c r="QAU458" s="28"/>
      <c r="QAV458" s="28"/>
      <c r="QAW458" s="28"/>
      <c r="QAX458" s="28"/>
      <c r="QAY458" s="28"/>
      <c r="QAZ458" s="28"/>
      <c r="QBA458" s="28"/>
      <c r="QBB458" s="28"/>
      <c r="QBC458" s="28"/>
      <c r="QBD458" s="28"/>
      <c r="QBE458" s="28"/>
      <c r="QBF458" s="28"/>
      <c r="QBG458" s="28"/>
      <c r="QBH458" s="28"/>
      <c r="QBI458" s="28"/>
      <c r="QBJ458" s="28"/>
      <c r="QBK458" s="28"/>
      <c r="QBL458" s="28"/>
      <c r="QBM458" s="28"/>
      <c r="QBN458" s="28"/>
      <c r="QBO458" s="28"/>
      <c r="QBP458" s="28"/>
      <c r="QBQ458" s="28"/>
      <c r="QBR458" s="28"/>
      <c r="QBS458" s="28"/>
      <c r="QBT458" s="28"/>
      <c r="QBU458" s="28"/>
      <c r="QBV458" s="28"/>
      <c r="QBW458" s="28"/>
      <c r="QBX458" s="28"/>
      <c r="QBY458" s="28"/>
      <c r="QBZ458" s="28"/>
      <c r="QCA458" s="28"/>
      <c r="QCB458" s="28"/>
      <c r="QCC458" s="28"/>
      <c r="QCD458" s="28"/>
      <c r="QCE458" s="28"/>
      <c r="QCF458" s="28"/>
      <c r="QCG458" s="28"/>
      <c r="QCH458" s="28"/>
      <c r="QCI458" s="28"/>
      <c r="QCJ458" s="28"/>
      <c r="QCK458" s="28"/>
      <c r="QCL458" s="28"/>
      <c r="QCM458" s="28"/>
      <c r="QCN458" s="28"/>
      <c r="QCO458" s="28"/>
      <c r="QCP458" s="28"/>
      <c r="QCQ458" s="28"/>
      <c r="QCR458" s="28"/>
      <c r="QCS458" s="28"/>
      <c r="QCT458" s="28"/>
      <c r="QCU458" s="28"/>
      <c r="QCV458" s="28"/>
      <c r="QCW458" s="28"/>
      <c r="QCX458" s="28"/>
      <c r="QCY458" s="28"/>
      <c r="QCZ458" s="28"/>
      <c r="QDA458" s="28"/>
      <c r="QDB458" s="28"/>
      <c r="QDC458" s="28"/>
      <c r="QDD458" s="28"/>
      <c r="QDE458" s="28"/>
      <c r="QDF458" s="28"/>
      <c r="QDG458" s="28"/>
      <c r="QDH458" s="28"/>
      <c r="QDI458" s="28"/>
      <c r="QDJ458" s="28"/>
      <c r="QDK458" s="28"/>
      <c r="QDL458" s="28"/>
      <c r="QDM458" s="28"/>
      <c r="QDN458" s="28"/>
      <c r="QDO458" s="28"/>
      <c r="QDP458" s="28"/>
      <c r="QDQ458" s="28"/>
      <c r="QDR458" s="28"/>
      <c r="QDS458" s="28"/>
      <c r="QDT458" s="28"/>
      <c r="QDU458" s="28"/>
      <c r="QDV458" s="28"/>
      <c r="QDW458" s="28"/>
      <c r="QDX458" s="28"/>
      <c r="QDY458" s="28"/>
      <c r="QDZ458" s="28"/>
      <c r="QEA458" s="28"/>
      <c r="QEB458" s="28"/>
      <c r="QEC458" s="28"/>
      <c r="QED458" s="28"/>
      <c r="QEE458" s="28"/>
      <c r="QEF458" s="28"/>
      <c r="QEG458" s="28"/>
      <c r="QEH458" s="28"/>
      <c r="QEI458" s="28"/>
      <c r="QEJ458" s="28"/>
      <c r="QEK458" s="28"/>
      <c r="QEL458" s="28"/>
      <c r="QEM458" s="28"/>
      <c r="QEN458" s="28"/>
      <c r="QEO458" s="28"/>
      <c r="QEP458" s="28"/>
      <c r="QEQ458" s="28"/>
      <c r="QER458" s="28"/>
      <c r="QES458" s="28"/>
      <c r="QET458" s="28"/>
      <c r="QEU458" s="28"/>
      <c r="QEV458" s="28"/>
      <c r="QEW458" s="28"/>
      <c r="QEX458" s="28"/>
      <c r="QEY458" s="28"/>
      <c r="QEZ458" s="28"/>
      <c r="QFA458" s="28"/>
      <c r="QFB458" s="28"/>
      <c r="QFC458" s="28"/>
      <c r="QFD458" s="28"/>
      <c r="QFE458" s="28"/>
      <c r="QFF458" s="28"/>
      <c r="QFG458" s="28"/>
      <c r="QFH458" s="28"/>
      <c r="QFI458" s="28"/>
      <c r="QFJ458" s="28"/>
      <c r="QFK458" s="28"/>
      <c r="QFL458" s="28"/>
      <c r="QFM458" s="28"/>
      <c r="QFN458" s="28"/>
      <c r="QFO458" s="28"/>
      <c r="QFP458" s="28"/>
      <c r="QFQ458" s="28"/>
      <c r="QFR458" s="28"/>
      <c r="QFS458" s="28"/>
      <c r="QFT458" s="28"/>
      <c r="QFU458" s="28"/>
      <c r="QFV458" s="28"/>
      <c r="QFW458" s="28"/>
      <c r="QFX458" s="28"/>
      <c r="QFY458" s="28"/>
      <c r="QFZ458" s="28"/>
      <c r="QGA458" s="28"/>
      <c r="QGB458" s="28"/>
      <c r="QGC458" s="28"/>
      <c r="QGD458" s="28"/>
      <c r="QGE458" s="28"/>
      <c r="QGF458" s="28"/>
      <c r="QGG458" s="28"/>
      <c r="QGH458" s="28"/>
      <c r="QGI458" s="28"/>
      <c r="QGJ458" s="28"/>
      <c r="QGK458" s="28"/>
      <c r="QGL458" s="28"/>
      <c r="QGM458" s="28"/>
      <c r="QGN458" s="28"/>
      <c r="QGO458" s="28"/>
      <c r="QGP458" s="28"/>
      <c r="QGQ458" s="28"/>
      <c r="QGR458" s="28"/>
      <c r="QGS458" s="28"/>
      <c r="QGT458" s="28"/>
      <c r="QGU458" s="28"/>
      <c r="QGV458" s="28"/>
      <c r="QGW458" s="28"/>
      <c r="QGX458" s="28"/>
      <c r="QGY458" s="28"/>
      <c r="QGZ458" s="28"/>
      <c r="QHA458" s="28"/>
      <c r="QHB458" s="28"/>
      <c r="QHC458" s="28"/>
      <c r="QHD458" s="28"/>
      <c r="QHE458" s="28"/>
      <c r="QHF458" s="28"/>
      <c r="QHG458" s="28"/>
      <c r="QHH458" s="28"/>
      <c r="QHI458" s="28"/>
      <c r="QHJ458" s="28"/>
      <c r="QHK458" s="28"/>
      <c r="QHL458" s="28"/>
      <c r="QHM458" s="28"/>
      <c r="QHN458" s="28"/>
      <c r="QHO458" s="28"/>
      <c r="QHP458" s="28"/>
      <c r="QHQ458" s="28"/>
      <c r="QHR458" s="28"/>
      <c r="QHS458" s="28"/>
      <c r="QHT458" s="28"/>
      <c r="QHU458" s="28"/>
      <c r="QHV458" s="28"/>
      <c r="QHW458" s="28"/>
      <c r="QHX458" s="28"/>
      <c r="QHY458" s="28"/>
      <c r="QHZ458" s="28"/>
      <c r="QIA458" s="28"/>
      <c r="QIB458" s="28"/>
      <c r="QIC458" s="28"/>
      <c r="QID458" s="28"/>
      <c r="QIE458" s="28"/>
      <c r="QIF458" s="28"/>
      <c r="QIG458" s="28"/>
      <c r="QIH458" s="28"/>
      <c r="QII458" s="28"/>
      <c r="QIJ458" s="28"/>
      <c r="QIK458" s="28"/>
      <c r="QIL458" s="28"/>
      <c r="QIM458" s="28"/>
      <c r="QIN458" s="28"/>
      <c r="QIO458" s="28"/>
      <c r="QIP458" s="28"/>
      <c r="QIQ458" s="28"/>
      <c r="QIR458" s="28"/>
      <c r="QIS458" s="28"/>
      <c r="QIT458" s="28"/>
      <c r="QIU458" s="28"/>
      <c r="QIV458" s="28"/>
      <c r="QIW458" s="28"/>
      <c r="QIX458" s="28"/>
      <c r="QIY458" s="28"/>
      <c r="QIZ458" s="28"/>
      <c r="QJA458" s="28"/>
      <c r="QJB458" s="28"/>
      <c r="QJC458" s="28"/>
      <c r="QJD458" s="28"/>
      <c r="QJE458" s="28"/>
      <c r="QJF458" s="28"/>
      <c r="QJG458" s="28"/>
      <c r="QJH458" s="28"/>
      <c r="QJI458" s="28"/>
      <c r="QJJ458" s="28"/>
      <c r="QJK458" s="28"/>
      <c r="QJL458" s="28"/>
      <c r="QJM458" s="28"/>
      <c r="QJN458" s="28"/>
      <c r="QJO458" s="28"/>
      <c r="QJP458" s="28"/>
      <c r="QJQ458" s="28"/>
      <c r="QJR458" s="28"/>
      <c r="QJS458" s="28"/>
      <c r="QJT458" s="28"/>
      <c r="QJU458" s="28"/>
      <c r="QJV458" s="28"/>
      <c r="QJW458" s="28"/>
      <c r="QJX458" s="28"/>
      <c r="QJY458" s="28"/>
      <c r="QJZ458" s="28"/>
      <c r="QKA458" s="28"/>
      <c r="QKB458" s="28"/>
      <c r="QKC458" s="28"/>
      <c r="QKD458" s="28"/>
      <c r="QKE458" s="28"/>
      <c r="QKF458" s="28"/>
      <c r="QKG458" s="28"/>
      <c r="QKH458" s="28"/>
      <c r="QKI458" s="28"/>
      <c r="QKJ458" s="28"/>
      <c r="QKK458" s="28"/>
      <c r="QKL458" s="28"/>
      <c r="QKM458" s="28"/>
      <c r="QKN458" s="28"/>
      <c r="QKO458" s="28"/>
      <c r="QKP458" s="28"/>
      <c r="QKQ458" s="28"/>
      <c r="QKR458" s="28"/>
      <c r="QKS458" s="28"/>
      <c r="QKT458" s="28"/>
      <c r="QKU458" s="28"/>
      <c r="QKV458" s="28"/>
      <c r="QKW458" s="28"/>
      <c r="QKX458" s="28"/>
      <c r="QKY458" s="28"/>
      <c r="QKZ458" s="28"/>
      <c r="QLA458" s="28"/>
      <c r="QLB458" s="28"/>
      <c r="QLC458" s="28"/>
      <c r="QLD458" s="28"/>
      <c r="QLE458" s="28"/>
      <c r="QLF458" s="28"/>
      <c r="QLG458" s="28"/>
      <c r="QLH458" s="28"/>
      <c r="QLI458" s="28"/>
      <c r="QLJ458" s="28"/>
      <c r="QLK458" s="28"/>
      <c r="QLL458" s="28"/>
      <c r="QLM458" s="28"/>
      <c r="QLN458" s="28"/>
      <c r="QLO458" s="28"/>
      <c r="QLP458" s="28"/>
      <c r="QLQ458" s="28"/>
      <c r="QLR458" s="28"/>
      <c r="QLS458" s="28"/>
      <c r="QLT458" s="28"/>
      <c r="QLU458" s="28"/>
      <c r="QLV458" s="28"/>
      <c r="QLW458" s="28"/>
      <c r="QLX458" s="28"/>
      <c r="QLY458" s="28"/>
      <c r="QLZ458" s="28"/>
      <c r="QMA458" s="28"/>
      <c r="QMB458" s="28"/>
      <c r="QMC458" s="28"/>
      <c r="QMD458" s="28"/>
      <c r="QME458" s="28"/>
      <c r="QMF458" s="28"/>
      <c r="QMG458" s="28"/>
      <c r="QMH458" s="28"/>
      <c r="QMI458" s="28"/>
      <c r="QMJ458" s="28"/>
      <c r="QMK458" s="28"/>
      <c r="QML458" s="28"/>
      <c r="QMM458" s="28"/>
      <c r="QMN458" s="28"/>
      <c r="QMO458" s="28"/>
      <c r="QMP458" s="28"/>
      <c r="QMQ458" s="28"/>
      <c r="QMR458" s="28"/>
      <c r="QMS458" s="28"/>
      <c r="QMT458" s="28"/>
      <c r="QMU458" s="28"/>
      <c r="QMV458" s="28"/>
      <c r="QMW458" s="28"/>
      <c r="QMX458" s="28"/>
      <c r="QMY458" s="28"/>
      <c r="QMZ458" s="28"/>
      <c r="QNA458" s="28"/>
      <c r="QNB458" s="28"/>
      <c r="QNC458" s="28"/>
      <c r="QND458" s="28"/>
      <c r="QNE458" s="28"/>
      <c r="QNF458" s="28"/>
      <c r="QNG458" s="28"/>
      <c r="QNH458" s="28"/>
      <c r="QNI458" s="28"/>
      <c r="QNJ458" s="28"/>
      <c r="QNK458" s="28"/>
      <c r="QNL458" s="28"/>
      <c r="QNM458" s="28"/>
      <c r="QNN458" s="28"/>
      <c r="QNO458" s="28"/>
      <c r="QNP458" s="28"/>
      <c r="QNQ458" s="28"/>
      <c r="QNR458" s="28"/>
      <c r="QNS458" s="28"/>
      <c r="QNT458" s="28"/>
      <c r="QNU458" s="28"/>
      <c r="QNV458" s="28"/>
      <c r="QNW458" s="28"/>
      <c r="QNX458" s="28"/>
      <c r="QNY458" s="28"/>
      <c r="QNZ458" s="28"/>
      <c r="QOA458" s="28"/>
      <c r="QOB458" s="28"/>
      <c r="QOC458" s="28"/>
      <c r="QOD458" s="28"/>
      <c r="QOE458" s="28"/>
      <c r="QOF458" s="28"/>
      <c r="QOG458" s="28"/>
      <c r="QOH458" s="28"/>
      <c r="QOI458" s="28"/>
      <c r="QOJ458" s="28"/>
      <c r="QOK458" s="28"/>
      <c r="QOL458" s="28"/>
      <c r="QOM458" s="28"/>
      <c r="QON458" s="28"/>
      <c r="QOO458" s="28"/>
      <c r="QOP458" s="28"/>
      <c r="QOQ458" s="28"/>
      <c r="QOR458" s="28"/>
      <c r="QOS458" s="28"/>
      <c r="QOT458" s="28"/>
      <c r="QOU458" s="28"/>
      <c r="QOV458" s="28"/>
      <c r="QOW458" s="28"/>
      <c r="QOX458" s="28"/>
      <c r="QOY458" s="28"/>
      <c r="QOZ458" s="28"/>
      <c r="QPA458" s="28"/>
      <c r="QPB458" s="28"/>
      <c r="QPC458" s="28"/>
      <c r="QPD458" s="28"/>
      <c r="QPE458" s="28"/>
      <c r="QPF458" s="28"/>
      <c r="QPG458" s="28"/>
      <c r="QPH458" s="28"/>
      <c r="QPI458" s="28"/>
      <c r="QPJ458" s="28"/>
      <c r="QPK458" s="28"/>
      <c r="QPL458" s="28"/>
      <c r="QPM458" s="28"/>
      <c r="QPN458" s="28"/>
      <c r="QPO458" s="28"/>
      <c r="QPP458" s="28"/>
      <c r="QPQ458" s="28"/>
      <c r="QPR458" s="28"/>
      <c r="QPS458" s="28"/>
      <c r="QPT458" s="28"/>
      <c r="QPU458" s="28"/>
      <c r="QPV458" s="28"/>
      <c r="QPW458" s="28"/>
      <c r="QPX458" s="28"/>
      <c r="QPY458" s="28"/>
      <c r="QPZ458" s="28"/>
      <c r="QQA458" s="28"/>
      <c r="QQB458" s="28"/>
      <c r="QQC458" s="28"/>
      <c r="QQD458" s="28"/>
      <c r="QQE458" s="28"/>
      <c r="QQF458" s="28"/>
      <c r="QQG458" s="28"/>
      <c r="QQH458" s="28"/>
      <c r="QQI458" s="28"/>
      <c r="QQJ458" s="28"/>
      <c r="QQK458" s="28"/>
      <c r="QQL458" s="28"/>
      <c r="QQM458" s="28"/>
      <c r="QQN458" s="28"/>
      <c r="QQO458" s="28"/>
      <c r="QQP458" s="28"/>
      <c r="QQQ458" s="28"/>
      <c r="QQR458" s="28"/>
      <c r="QQS458" s="28"/>
      <c r="QQT458" s="28"/>
      <c r="QQU458" s="28"/>
      <c r="QQV458" s="28"/>
      <c r="QQW458" s="28"/>
      <c r="QQX458" s="28"/>
      <c r="QQY458" s="28"/>
      <c r="QQZ458" s="28"/>
      <c r="QRA458" s="28"/>
      <c r="QRB458" s="28"/>
      <c r="QRC458" s="28"/>
      <c r="QRD458" s="28"/>
      <c r="QRE458" s="28"/>
      <c r="QRF458" s="28"/>
      <c r="QRG458" s="28"/>
      <c r="QRH458" s="28"/>
      <c r="QRI458" s="28"/>
      <c r="QRJ458" s="28"/>
      <c r="QRK458" s="28"/>
      <c r="QRL458" s="28"/>
      <c r="QRM458" s="28"/>
      <c r="QRN458" s="28"/>
      <c r="QRO458" s="28"/>
      <c r="QRP458" s="28"/>
      <c r="QRQ458" s="28"/>
      <c r="QRR458" s="28"/>
      <c r="QRS458" s="28"/>
      <c r="QRT458" s="28"/>
      <c r="QRU458" s="28"/>
      <c r="QRV458" s="28"/>
      <c r="QRW458" s="28"/>
      <c r="QRX458" s="28"/>
      <c r="QRY458" s="28"/>
      <c r="QRZ458" s="28"/>
      <c r="QSA458" s="28"/>
      <c r="QSB458" s="28"/>
      <c r="QSC458" s="28"/>
      <c r="QSD458" s="28"/>
      <c r="QSE458" s="28"/>
      <c r="QSF458" s="28"/>
      <c r="QSG458" s="28"/>
      <c r="QSH458" s="28"/>
      <c r="QSI458" s="28"/>
      <c r="QSJ458" s="28"/>
      <c r="QSK458" s="28"/>
      <c r="QSL458" s="28"/>
      <c r="QSM458" s="28"/>
      <c r="QSN458" s="28"/>
      <c r="QSO458" s="28"/>
      <c r="QSP458" s="28"/>
      <c r="QSQ458" s="28"/>
      <c r="QSR458" s="28"/>
      <c r="QSS458" s="28"/>
      <c r="QST458" s="28"/>
      <c r="QSU458" s="28"/>
      <c r="QSV458" s="28"/>
      <c r="QSW458" s="28"/>
      <c r="QSX458" s="28"/>
      <c r="QSY458" s="28"/>
      <c r="QSZ458" s="28"/>
      <c r="QTA458" s="28"/>
      <c r="QTB458" s="28"/>
      <c r="QTC458" s="28"/>
      <c r="QTD458" s="28"/>
      <c r="QTE458" s="28"/>
      <c r="QTF458" s="28"/>
      <c r="QTG458" s="28"/>
      <c r="QTH458" s="28"/>
      <c r="QTI458" s="28"/>
      <c r="QTJ458" s="28"/>
      <c r="QTK458" s="28"/>
      <c r="QTL458" s="28"/>
      <c r="QTM458" s="28"/>
      <c r="QTN458" s="28"/>
      <c r="QTO458" s="28"/>
      <c r="QTP458" s="28"/>
      <c r="QTQ458" s="28"/>
      <c r="QTR458" s="28"/>
      <c r="QTS458" s="28"/>
      <c r="QTT458" s="28"/>
      <c r="QTU458" s="28"/>
      <c r="QTV458" s="28"/>
      <c r="QTW458" s="28"/>
      <c r="QTX458" s="28"/>
      <c r="QTY458" s="28"/>
      <c r="QTZ458" s="28"/>
      <c r="QUA458" s="28"/>
      <c r="QUB458" s="28"/>
      <c r="QUC458" s="28"/>
      <c r="QUD458" s="28"/>
      <c r="QUE458" s="28"/>
      <c r="QUF458" s="28"/>
      <c r="QUG458" s="28"/>
      <c r="QUH458" s="28"/>
      <c r="QUI458" s="28"/>
      <c r="QUJ458" s="28"/>
      <c r="QUK458" s="28"/>
      <c r="QUL458" s="28"/>
      <c r="QUM458" s="28"/>
      <c r="QUN458" s="28"/>
      <c r="QUO458" s="28"/>
      <c r="QUP458" s="28"/>
      <c r="QUQ458" s="28"/>
      <c r="QUR458" s="28"/>
      <c r="QUS458" s="28"/>
      <c r="QUT458" s="28"/>
      <c r="QUU458" s="28"/>
      <c r="QUV458" s="28"/>
      <c r="QUW458" s="28"/>
      <c r="QUX458" s="28"/>
      <c r="QUY458" s="28"/>
      <c r="QUZ458" s="28"/>
      <c r="QVA458" s="28"/>
      <c r="QVB458" s="28"/>
      <c r="QVC458" s="28"/>
      <c r="QVD458" s="28"/>
      <c r="QVE458" s="28"/>
      <c r="QVF458" s="28"/>
      <c r="QVG458" s="28"/>
      <c r="QVH458" s="28"/>
      <c r="QVI458" s="28"/>
      <c r="QVJ458" s="28"/>
      <c r="QVK458" s="28"/>
      <c r="QVL458" s="28"/>
      <c r="QVM458" s="28"/>
      <c r="QVN458" s="28"/>
      <c r="QVO458" s="28"/>
      <c r="QVP458" s="28"/>
      <c r="QVQ458" s="28"/>
      <c r="QVR458" s="28"/>
      <c r="QVS458" s="28"/>
      <c r="QVT458" s="28"/>
      <c r="QVU458" s="28"/>
      <c r="QVV458" s="28"/>
      <c r="QVW458" s="28"/>
      <c r="QVX458" s="28"/>
      <c r="QVY458" s="28"/>
      <c r="QVZ458" s="28"/>
      <c r="QWA458" s="28"/>
      <c r="QWB458" s="28"/>
      <c r="QWC458" s="28"/>
      <c r="QWD458" s="28"/>
      <c r="QWE458" s="28"/>
      <c r="QWF458" s="28"/>
      <c r="QWG458" s="28"/>
      <c r="QWH458" s="28"/>
      <c r="QWI458" s="28"/>
      <c r="QWJ458" s="28"/>
      <c r="QWK458" s="28"/>
      <c r="QWL458" s="28"/>
      <c r="QWM458" s="28"/>
      <c r="QWN458" s="28"/>
      <c r="QWO458" s="28"/>
      <c r="QWP458" s="28"/>
      <c r="QWQ458" s="28"/>
      <c r="QWR458" s="28"/>
      <c r="QWS458" s="28"/>
      <c r="QWT458" s="28"/>
      <c r="QWU458" s="28"/>
      <c r="QWV458" s="28"/>
      <c r="QWW458" s="28"/>
      <c r="QWX458" s="28"/>
      <c r="QWY458" s="28"/>
      <c r="QWZ458" s="28"/>
      <c r="QXA458" s="28"/>
      <c r="QXB458" s="28"/>
      <c r="QXC458" s="28"/>
      <c r="QXD458" s="28"/>
      <c r="QXE458" s="28"/>
      <c r="QXF458" s="28"/>
      <c r="QXG458" s="28"/>
      <c r="QXH458" s="28"/>
      <c r="QXI458" s="28"/>
      <c r="QXJ458" s="28"/>
      <c r="QXK458" s="28"/>
      <c r="QXL458" s="28"/>
      <c r="QXM458" s="28"/>
      <c r="QXN458" s="28"/>
      <c r="QXO458" s="28"/>
      <c r="QXP458" s="28"/>
      <c r="QXQ458" s="28"/>
      <c r="QXR458" s="28"/>
      <c r="QXS458" s="28"/>
      <c r="QXT458" s="28"/>
      <c r="QXU458" s="28"/>
      <c r="QXV458" s="28"/>
      <c r="QXW458" s="28"/>
      <c r="QXX458" s="28"/>
      <c r="QXY458" s="28"/>
      <c r="QXZ458" s="28"/>
      <c r="QYA458" s="28"/>
      <c r="QYB458" s="28"/>
      <c r="QYC458" s="28"/>
      <c r="QYD458" s="28"/>
      <c r="QYE458" s="28"/>
      <c r="QYF458" s="28"/>
      <c r="QYG458" s="28"/>
      <c r="QYH458" s="28"/>
      <c r="QYI458" s="28"/>
      <c r="QYJ458" s="28"/>
      <c r="QYK458" s="28"/>
      <c r="QYL458" s="28"/>
      <c r="QYM458" s="28"/>
      <c r="QYN458" s="28"/>
      <c r="QYO458" s="28"/>
      <c r="QYP458" s="28"/>
      <c r="QYQ458" s="28"/>
      <c r="QYR458" s="28"/>
      <c r="QYS458" s="28"/>
      <c r="QYT458" s="28"/>
      <c r="QYU458" s="28"/>
      <c r="QYV458" s="28"/>
      <c r="QYW458" s="28"/>
      <c r="QYX458" s="28"/>
      <c r="QYY458" s="28"/>
      <c r="QYZ458" s="28"/>
      <c r="QZA458" s="28"/>
      <c r="QZB458" s="28"/>
      <c r="QZC458" s="28"/>
      <c r="QZD458" s="28"/>
      <c r="QZE458" s="28"/>
      <c r="QZF458" s="28"/>
      <c r="QZG458" s="28"/>
      <c r="QZH458" s="28"/>
      <c r="QZI458" s="28"/>
      <c r="QZJ458" s="28"/>
      <c r="QZK458" s="28"/>
      <c r="QZL458" s="28"/>
      <c r="QZM458" s="28"/>
      <c r="QZN458" s="28"/>
      <c r="QZO458" s="28"/>
      <c r="QZP458" s="28"/>
      <c r="QZQ458" s="28"/>
      <c r="QZR458" s="28"/>
      <c r="QZS458" s="28"/>
      <c r="QZT458" s="28"/>
      <c r="QZU458" s="28"/>
      <c r="QZV458" s="28"/>
      <c r="QZW458" s="28"/>
      <c r="QZX458" s="28"/>
      <c r="QZY458" s="28"/>
      <c r="QZZ458" s="28"/>
      <c r="RAA458" s="28"/>
      <c r="RAB458" s="28"/>
      <c r="RAC458" s="28"/>
      <c r="RAD458" s="28"/>
      <c r="RAE458" s="28"/>
      <c r="RAF458" s="28"/>
      <c r="RAG458" s="28"/>
      <c r="RAH458" s="28"/>
      <c r="RAI458" s="28"/>
      <c r="RAJ458" s="28"/>
      <c r="RAK458" s="28"/>
      <c r="RAL458" s="28"/>
      <c r="RAM458" s="28"/>
      <c r="RAN458" s="28"/>
      <c r="RAO458" s="28"/>
      <c r="RAP458" s="28"/>
      <c r="RAQ458" s="28"/>
      <c r="RAR458" s="28"/>
      <c r="RAS458" s="28"/>
      <c r="RAT458" s="28"/>
      <c r="RAU458" s="28"/>
      <c r="RAV458" s="28"/>
      <c r="RAW458" s="28"/>
      <c r="RAX458" s="28"/>
      <c r="RAY458" s="28"/>
      <c r="RAZ458" s="28"/>
      <c r="RBA458" s="28"/>
      <c r="RBB458" s="28"/>
      <c r="RBC458" s="28"/>
      <c r="RBD458" s="28"/>
      <c r="RBE458" s="28"/>
      <c r="RBF458" s="28"/>
      <c r="RBG458" s="28"/>
      <c r="RBH458" s="28"/>
      <c r="RBI458" s="28"/>
      <c r="RBJ458" s="28"/>
      <c r="RBK458" s="28"/>
      <c r="RBL458" s="28"/>
      <c r="RBM458" s="28"/>
      <c r="RBN458" s="28"/>
      <c r="RBO458" s="28"/>
      <c r="RBP458" s="28"/>
      <c r="RBQ458" s="28"/>
      <c r="RBR458" s="28"/>
      <c r="RBS458" s="28"/>
      <c r="RBT458" s="28"/>
      <c r="RBU458" s="28"/>
      <c r="RBV458" s="28"/>
      <c r="RBW458" s="28"/>
      <c r="RBX458" s="28"/>
      <c r="RBY458" s="28"/>
      <c r="RBZ458" s="28"/>
      <c r="RCA458" s="28"/>
      <c r="RCB458" s="28"/>
      <c r="RCC458" s="28"/>
      <c r="RCD458" s="28"/>
      <c r="RCE458" s="28"/>
      <c r="RCF458" s="28"/>
      <c r="RCG458" s="28"/>
      <c r="RCH458" s="28"/>
      <c r="RCI458" s="28"/>
      <c r="RCJ458" s="28"/>
      <c r="RCK458" s="28"/>
      <c r="RCL458" s="28"/>
      <c r="RCM458" s="28"/>
      <c r="RCN458" s="28"/>
      <c r="RCO458" s="28"/>
      <c r="RCP458" s="28"/>
      <c r="RCQ458" s="28"/>
      <c r="RCR458" s="28"/>
      <c r="RCS458" s="28"/>
      <c r="RCT458" s="28"/>
      <c r="RCU458" s="28"/>
      <c r="RCV458" s="28"/>
      <c r="RCW458" s="28"/>
      <c r="RCX458" s="28"/>
      <c r="RCY458" s="28"/>
      <c r="RCZ458" s="28"/>
      <c r="RDA458" s="28"/>
      <c r="RDB458" s="28"/>
      <c r="RDC458" s="28"/>
      <c r="RDD458" s="28"/>
      <c r="RDE458" s="28"/>
      <c r="RDF458" s="28"/>
      <c r="RDG458" s="28"/>
      <c r="RDH458" s="28"/>
      <c r="RDI458" s="28"/>
      <c r="RDJ458" s="28"/>
      <c r="RDK458" s="28"/>
      <c r="RDL458" s="28"/>
      <c r="RDM458" s="28"/>
      <c r="RDN458" s="28"/>
      <c r="RDO458" s="28"/>
      <c r="RDP458" s="28"/>
      <c r="RDQ458" s="28"/>
      <c r="RDR458" s="28"/>
      <c r="RDS458" s="28"/>
      <c r="RDT458" s="28"/>
      <c r="RDU458" s="28"/>
      <c r="RDV458" s="28"/>
      <c r="RDW458" s="28"/>
      <c r="RDX458" s="28"/>
      <c r="RDY458" s="28"/>
      <c r="RDZ458" s="28"/>
      <c r="REA458" s="28"/>
      <c r="REB458" s="28"/>
      <c r="REC458" s="28"/>
      <c r="RED458" s="28"/>
      <c r="REE458" s="28"/>
      <c r="REF458" s="28"/>
      <c r="REG458" s="28"/>
      <c r="REH458" s="28"/>
      <c r="REI458" s="28"/>
      <c r="REJ458" s="28"/>
      <c r="REK458" s="28"/>
      <c r="REL458" s="28"/>
      <c r="REM458" s="28"/>
      <c r="REN458" s="28"/>
      <c r="REO458" s="28"/>
      <c r="REP458" s="28"/>
      <c r="REQ458" s="28"/>
      <c r="RER458" s="28"/>
      <c r="RES458" s="28"/>
      <c r="RET458" s="28"/>
      <c r="REU458" s="28"/>
      <c r="REV458" s="28"/>
      <c r="REW458" s="28"/>
      <c r="REX458" s="28"/>
      <c r="REY458" s="28"/>
      <c r="REZ458" s="28"/>
      <c r="RFA458" s="28"/>
      <c r="RFB458" s="28"/>
      <c r="RFC458" s="28"/>
      <c r="RFD458" s="28"/>
      <c r="RFE458" s="28"/>
      <c r="RFF458" s="28"/>
      <c r="RFG458" s="28"/>
      <c r="RFH458" s="28"/>
      <c r="RFI458" s="28"/>
      <c r="RFJ458" s="28"/>
      <c r="RFK458" s="28"/>
      <c r="RFL458" s="28"/>
      <c r="RFM458" s="28"/>
      <c r="RFN458" s="28"/>
      <c r="RFO458" s="28"/>
      <c r="RFP458" s="28"/>
      <c r="RFQ458" s="28"/>
      <c r="RFR458" s="28"/>
      <c r="RFS458" s="28"/>
      <c r="RFT458" s="28"/>
      <c r="RFU458" s="28"/>
      <c r="RFV458" s="28"/>
      <c r="RFW458" s="28"/>
      <c r="RFX458" s="28"/>
      <c r="RFY458" s="28"/>
      <c r="RFZ458" s="28"/>
      <c r="RGA458" s="28"/>
      <c r="RGB458" s="28"/>
      <c r="RGC458" s="28"/>
      <c r="RGD458" s="28"/>
      <c r="RGE458" s="28"/>
      <c r="RGF458" s="28"/>
      <c r="RGG458" s="28"/>
      <c r="RGH458" s="28"/>
      <c r="RGI458" s="28"/>
      <c r="RGJ458" s="28"/>
      <c r="RGK458" s="28"/>
      <c r="RGL458" s="28"/>
      <c r="RGM458" s="28"/>
      <c r="RGN458" s="28"/>
      <c r="RGO458" s="28"/>
      <c r="RGP458" s="28"/>
      <c r="RGQ458" s="28"/>
      <c r="RGR458" s="28"/>
      <c r="RGS458" s="28"/>
      <c r="RGT458" s="28"/>
      <c r="RGU458" s="28"/>
      <c r="RGV458" s="28"/>
      <c r="RGW458" s="28"/>
      <c r="RGX458" s="28"/>
      <c r="RGY458" s="28"/>
      <c r="RGZ458" s="28"/>
      <c r="RHA458" s="28"/>
      <c r="RHB458" s="28"/>
      <c r="RHC458" s="28"/>
      <c r="RHD458" s="28"/>
      <c r="RHE458" s="28"/>
      <c r="RHF458" s="28"/>
      <c r="RHG458" s="28"/>
      <c r="RHH458" s="28"/>
      <c r="RHI458" s="28"/>
      <c r="RHJ458" s="28"/>
      <c r="RHK458" s="28"/>
      <c r="RHL458" s="28"/>
      <c r="RHM458" s="28"/>
      <c r="RHN458" s="28"/>
      <c r="RHO458" s="28"/>
      <c r="RHP458" s="28"/>
      <c r="RHQ458" s="28"/>
      <c r="RHR458" s="28"/>
      <c r="RHS458" s="28"/>
      <c r="RHT458" s="28"/>
      <c r="RHU458" s="28"/>
      <c r="RHV458" s="28"/>
      <c r="RHW458" s="28"/>
      <c r="RHX458" s="28"/>
      <c r="RHY458" s="28"/>
      <c r="RHZ458" s="28"/>
      <c r="RIA458" s="28"/>
      <c r="RIB458" s="28"/>
      <c r="RIC458" s="28"/>
      <c r="RID458" s="28"/>
      <c r="RIE458" s="28"/>
      <c r="RIF458" s="28"/>
      <c r="RIG458" s="28"/>
      <c r="RIH458" s="28"/>
      <c r="RII458" s="28"/>
      <c r="RIJ458" s="28"/>
      <c r="RIK458" s="28"/>
      <c r="RIL458" s="28"/>
      <c r="RIM458" s="28"/>
      <c r="RIN458" s="28"/>
      <c r="RIO458" s="28"/>
      <c r="RIP458" s="28"/>
      <c r="RIQ458" s="28"/>
      <c r="RIR458" s="28"/>
      <c r="RIS458" s="28"/>
      <c r="RIT458" s="28"/>
      <c r="RIU458" s="28"/>
      <c r="RIV458" s="28"/>
      <c r="RIW458" s="28"/>
      <c r="RIX458" s="28"/>
      <c r="RIY458" s="28"/>
      <c r="RIZ458" s="28"/>
      <c r="RJA458" s="28"/>
      <c r="RJB458" s="28"/>
      <c r="RJC458" s="28"/>
      <c r="RJD458" s="28"/>
      <c r="RJE458" s="28"/>
      <c r="RJF458" s="28"/>
      <c r="RJG458" s="28"/>
      <c r="RJH458" s="28"/>
      <c r="RJI458" s="28"/>
      <c r="RJJ458" s="28"/>
      <c r="RJK458" s="28"/>
      <c r="RJL458" s="28"/>
      <c r="RJM458" s="28"/>
      <c r="RJN458" s="28"/>
      <c r="RJO458" s="28"/>
      <c r="RJP458" s="28"/>
      <c r="RJQ458" s="28"/>
      <c r="RJR458" s="28"/>
      <c r="RJS458" s="28"/>
      <c r="RJT458" s="28"/>
      <c r="RJU458" s="28"/>
      <c r="RJV458" s="28"/>
      <c r="RJW458" s="28"/>
      <c r="RJX458" s="28"/>
      <c r="RJY458" s="28"/>
      <c r="RJZ458" s="28"/>
      <c r="RKA458" s="28"/>
      <c r="RKB458" s="28"/>
      <c r="RKC458" s="28"/>
      <c r="RKD458" s="28"/>
      <c r="RKE458" s="28"/>
      <c r="RKF458" s="28"/>
      <c r="RKG458" s="28"/>
      <c r="RKH458" s="28"/>
      <c r="RKI458" s="28"/>
      <c r="RKJ458" s="28"/>
      <c r="RKK458" s="28"/>
      <c r="RKL458" s="28"/>
      <c r="RKM458" s="28"/>
      <c r="RKN458" s="28"/>
      <c r="RKO458" s="28"/>
      <c r="RKP458" s="28"/>
      <c r="RKQ458" s="28"/>
      <c r="RKR458" s="28"/>
      <c r="RKS458" s="28"/>
      <c r="RKT458" s="28"/>
      <c r="RKU458" s="28"/>
      <c r="RKV458" s="28"/>
      <c r="RKW458" s="28"/>
      <c r="RKX458" s="28"/>
      <c r="RKY458" s="28"/>
      <c r="RKZ458" s="28"/>
      <c r="RLA458" s="28"/>
      <c r="RLB458" s="28"/>
      <c r="RLC458" s="28"/>
      <c r="RLD458" s="28"/>
      <c r="RLE458" s="28"/>
      <c r="RLF458" s="28"/>
      <c r="RLG458" s="28"/>
      <c r="RLH458" s="28"/>
      <c r="RLI458" s="28"/>
      <c r="RLJ458" s="28"/>
      <c r="RLK458" s="28"/>
      <c r="RLL458" s="28"/>
      <c r="RLM458" s="28"/>
      <c r="RLN458" s="28"/>
      <c r="RLO458" s="28"/>
      <c r="RLP458" s="28"/>
      <c r="RLQ458" s="28"/>
      <c r="RLR458" s="28"/>
      <c r="RLS458" s="28"/>
      <c r="RLT458" s="28"/>
      <c r="RLU458" s="28"/>
      <c r="RLV458" s="28"/>
      <c r="RLW458" s="28"/>
      <c r="RLX458" s="28"/>
      <c r="RLY458" s="28"/>
      <c r="RLZ458" s="28"/>
      <c r="RMA458" s="28"/>
      <c r="RMB458" s="28"/>
      <c r="RMC458" s="28"/>
      <c r="RMD458" s="28"/>
      <c r="RME458" s="28"/>
      <c r="RMF458" s="28"/>
      <c r="RMG458" s="28"/>
      <c r="RMH458" s="28"/>
      <c r="RMI458" s="28"/>
      <c r="RMJ458" s="28"/>
      <c r="RMK458" s="28"/>
      <c r="RML458" s="28"/>
      <c r="RMM458" s="28"/>
      <c r="RMN458" s="28"/>
      <c r="RMO458" s="28"/>
      <c r="RMP458" s="28"/>
      <c r="RMQ458" s="28"/>
      <c r="RMR458" s="28"/>
      <c r="RMS458" s="28"/>
      <c r="RMT458" s="28"/>
      <c r="RMU458" s="28"/>
      <c r="RMV458" s="28"/>
      <c r="RMW458" s="28"/>
      <c r="RMX458" s="28"/>
      <c r="RMY458" s="28"/>
      <c r="RMZ458" s="28"/>
      <c r="RNA458" s="28"/>
      <c r="RNB458" s="28"/>
      <c r="RNC458" s="28"/>
      <c r="RND458" s="28"/>
      <c r="RNE458" s="28"/>
      <c r="RNF458" s="28"/>
      <c r="RNG458" s="28"/>
      <c r="RNH458" s="28"/>
      <c r="RNI458" s="28"/>
      <c r="RNJ458" s="28"/>
      <c r="RNK458" s="28"/>
      <c r="RNL458" s="28"/>
      <c r="RNM458" s="28"/>
      <c r="RNN458" s="28"/>
      <c r="RNO458" s="28"/>
      <c r="RNP458" s="28"/>
      <c r="RNQ458" s="28"/>
      <c r="RNR458" s="28"/>
      <c r="RNS458" s="28"/>
      <c r="RNT458" s="28"/>
      <c r="RNU458" s="28"/>
      <c r="RNV458" s="28"/>
      <c r="RNW458" s="28"/>
      <c r="RNX458" s="28"/>
      <c r="RNY458" s="28"/>
      <c r="RNZ458" s="28"/>
      <c r="ROA458" s="28"/>
      <c r="ROB458" s="28"/>
      <c r="ROC458" s="28"/>
      <c r="ROD458" s="28"/>
      <c r="ROE458" s="28"/>
      <c r="ROF458" s="28"/>
      <c r="ROG458" s="28"/>
      <c r="ROH458" s="28"/>
      <c r="ROI458" s="28"/>
      <c r="ROJ458" s="28"/>
      <c r="ROK458" s="28"/>
      <c r="ROL458" s="28"/>
      <c r="ROM458" s="28"/>
      <c r="RON458" s="28"/>
      <c r="ROO458" s="28"/>
      <c r="ROP458" s="28"/>
      <c r="ROQ458" s="28"/>
      <c r="ROR458" s="28"/>
      <c r="ROS458" s="28"/>
      <c r="ROT458" s="28"/>
      <c r="ROU458" s="28"/>
      <c r="ROV458" s="28"/>
      <c r="ROW458" s="28"/>
      <c r="ROX458" s="28"/>
      <c r="ROY458" s="28"/>
      <c r="ROZ458" s="28"/>
      <c r="RPA458" s="28"/>
      <c r="RPB458" s="28"/>
      <c r="RPC458" s="28"/>
      <c r="RPD458" s="28"/>
      <c r="RPE458" s="28"/>
      <c r="RPF458" s="28"/>
      <c r="RPG458" s="28"/>
      <c r="RPH458" s="28"/>
      <c r="RPI458" s="28"/>
      <c r="RPJ458" s="28"/>
      <c r="RPK458" s="28"/>
      <c r="RPL458" s="28"/>
      <c r="RPM458" s="28"/>
      <c r="RPN458" s="28"/>
      <c r="RPO458" s="28"/>
      <c r="RPP458" s="28"/>
      <c r="RPQ458" s="28"/>
      <c r="RPR458" s="28"/>
      <c r="RPS458" s="28"/>
      <c r="RPT458" s="28"/>
      <c r="RPU458" s="28"/>
      <c r="RPV458" s="28"/>
      <c r="RPW458" s="28"/>
      <c r="RPX458" s="28"/>
      <c r="RPY458" s="28"/>
      <c r="RPZ458" s="28"/>
      <c r="RQA458" s="28"/>
      <c r="RQB458" s="28"/>
      <c r="RQC458" s="28"/>
      <c r="RQD458" s="28"/>
      <c r="RQE458" s="28"/>
      <c r="RQF458" s="28"/>
      <c r="RQG458" s="28"/>
      <c r="RQH458" s="28"/>
      <c r="RQI458" s="28"/>
      <c r="RQJ458" s="28"/>
      <c r="RQK458" s="28"/>
      <c r="RQL458" s="28"/>
      <c r="RQM458" s="28"/>
      <c r="RQN458" s="28"/>
      <c r="RQO458" s="28"/>
      <c r="RQP458" s="28"/>
      <c r="RQQ458" s="28"/>
      <c r="RQR458" s="28"/>
      <c r="RQS458" s="28"/>
      <c r="RQT458" s="28"/>
      <c r="RQU458" s="28"/>
      <c r="RQV458" s="28"/>
      <c r="RQW458" s="28"/>
      <c r="RQX458" s="28"/>
      <c r="RQY458" s="28"/>
      <c r="RQZ458" s="28"/>
      <c r="RRA458" s="28"/>
      <c r="RRB458" s="28"/>
      <c r="RRC458" s="28"/>
      <c r="RRD458" s="28"/>
      <c r="RRE458" s="28"/>
      <c r="RRF458" s="28"/>
      <c r="RRG458" s="28"/>
      <c r="RRH458" s="28"/>
      <c r="RRI458" s="28"/>
      <c r="RRJ458" s="28"/>
      <c r="RRK458" s="28"/>
      <c r="RRL458" s="28"/>
      <c r="RRM458" s="28"/>
      <c r="RRN458" s="28"/>
      <c r="RRO458" s="28"/>
      <c r="RRP458" s="28"/>
      <c r="RRQ458" s="28"/>
      <c r="RRR458" s="28"/>
      <c r="RRS458" s="28"/>
      <c r="RRT458" s="28"/>
      <c r="RRU458" s="28"/>
      <c r="RRV458" s="28"/>
      <c r="RRW458" s="28"/>
      <c r="RRX458" s="28"/>
      <c r="RRY458" s="28"/>
      <c r="RRZ458" s="28"/>
      <c r="RSA458" s="28"/>
      <c r="RSB458" s="28"/>
      <c r="RSC458" s="28"/>
      <c r="RSD458" s="28"/>
      <c r="RSE458" s="28"/>
      <c r="RSF458" s="28"/>
      <c r="RSG458" s="28"/>
      <c r="RSH458" s="28"/>
      <c r="RSI458" s="28"/>
      <c r="RSJ458" s="28"/>
      <c r="RSK458" s="28"/>
      <c r="RSL458" s="28"/>
      <c r="RSM458" s="28"/>
      <c r="RSN458" s="28"/>
      <c r="RSO458" s="28"/>
      <c r="RSP458" s="28"/>
      <c r="RSQ458" s="28"/>
      <c r="RSR458" s="28"/>
      <c r="RSS458" s="28"/>
      <c r="RST458" s="28"/>
      <c r="RSU458" s="28"/>
      <c r="RSV458" s="28"/>
      <c r="RSW458" s="28"/>
      <c r="RSX458" s="28"/>
      <c r="RSY458" s="28"/>
      <c r="RSZ458" s="28"/>
      <c r="RTA458" s="28"/>
      <c r="RTB458" s="28"/>
      <c r="RTC458" s="28"/>
      <c r="RTD458" s="28"/>
      <c r="RTE458" s="28"/>
      <c r="RTF458" s="28"/>
      <c r="RTG458" s="28"/>
      <c r="RTH458" s="28"/>
      <c r="RTI458" s="28"/>
      <c r="RTJ458" s="28"/>
      <c r="RTK458" s="28"/>
      <c r="RTL458" s="28"/>
      <c r="RTM458" s="28"/>
      <c r="RTN458" s="28"/>
      <c r="RTO458" s="28"/>
      <c r="RTP458" s="28"/>
      <c r="RTQ458" s="28"/>
      <c r="RTR458" s="28"/>
      <c r="RTS458" s="28"/>
      <c r="RTT458" s="28"/>
      <c r="RTU458" s="28"/>
      <c r="RTV458" s="28"/>
      <c r="RTW458" s="28"/>
      <c r="RTX458" s="28"/>
      <c r="RTY458" s="28"/>
      <c r="RTZ458" s="28"/>
      <c r="RUA458" s="28"/>
      <c r="RUB458" s="28"/>
      <c r="RUC458" s="28"/>
      <c r="RUD458" s="28"/>
      <c r="RUE458" s="28"/>
      <c r="RUF458" s="28"/>
      <c r="RUG458" s="28"/>
      <c r="RUH458" s="28"/>
      <c r="RUI458" s="28"/>
      <c r="RUJ458" s="28"/>
      <c r="RUK458" s="28"/>
      <c r="RUL458" s="28"/>
      <c r="RUM458" s="28"/>
      <c r="RUN458" s="28"/>
      <c r="RUO458" s="28"/>
      <c r="RUP458" s="28"/>
      <c r="RUQ458" s="28"/>
      <c r="RUR458" s="28"/>
      <c r="RUS458" s="28"/>
      <c r="RUT458" s="28"/>
      <c r="RUU458" s="28"/>
      <c r="RUV458" s="28"/>
      <c r="RUW458" s="28"/>
      <c r="RUX458" s="28"/>
      <c r="RUY458" s="28"/>
      <c r="RUZ458" s="28"/>
      <c r="RVA458" s="28"/>
      <c r="RVB458" s="28"/>
      <c r="RVC458" s="28"/>
      <c r="RVD458" s="28"/>
      <c r="RVE458" s="28"/>
      <c r="RVF458" s="28"/>
      <c r="RVG458" s="28"/>
      <c r="RVH458" s="28"/>
      <c r="RVI458" s="28"/>
      <c r="RVJ458" s="28"/>
      <c r="RVK458" s="28"/>
      <c r="RVL458" s="28"/>
      <c r="RVM458" s="28"/>
      <c r="RVN458" s="28"/>
      <c r="RVO458" s="28"/>
      <c r="RVP458" s="28"/>
      <c r="RVQ458" s="28"/>
      <c r="RVR458" s="28"/>
      <c r="RVS458" s="28"/>
      <c r="RVT458" s="28"/>
      <c r="RVU458" s="28"/>
      <c r="RVV458" s="28"/>
      <c r="RVW458" s="28"/>
      <c r="RVX458" s="28"/>
      <c r="RVY458" s="28"/>
      <c r="RVZ458" s="28"/>
      <c r="RWA458" s="28"/>
      <c r="RWB458" s="28"/>
      <c r="RWC458" s="28"/>
      <c r="RWD458" s="28"/>
      <c r="RWE458" s="28"/>
      <c r="RWF458" s="28"/>
      <c r="RWG458" s="28"/>
      <c r="RWH458" s="28"/>
      <c r="RWI458" s="28"/>
      <c r="RWJ458" s="28"/>
      <c r="RWK458" s="28"/>
      <c r="RWL458" s="28"/>
      <c r="RWM458" s="28"/>
      <c r="RWN458" s="28"/>
      <c r="RWO458" s="28"/>
      <c r="RWP458" s="28"/>
      <c r="RWQ458" s="28"/>
      <c r="RWR458" s="28"/>
      <c r="RWS458" s="28"/>
      <c r="RWT458" s="28"/>
      <c r="RWU458" s="28"/>
      <c r="RWV458" s="28"/>
      <c r="RWW458" s="28"/>
      <c r="RWX458" s="28"/>
      <c r="RWY458" s="28"/>
      <c r="RWZ458" s="28"/>
      <c r="RXA458" s="28"/>
      <c r="RXB458" s="28"/>
      <c r="RXC458" s="28"/>
      <c r="RXD458" s="28"/>
      <c r="RXE458" s="28"/>
      <c r="RXF458" s="28"/>
      <c r="RXG458" s="28"/>
      <c r="RXH458" s="28"/>
      <c r="RXI458" s="28"/>
      <c r="RXJ458" s="28"/>
      <c r="RXK458" s="28"/>
      <c r="RXL458" s="28"/>
      <c r="RXM458" s="28"/>
      <c r="RXN458" s="28"/>
      <c r="RXO458" s="28"/>
      <c r="RXP458" s="28"/>
      <c r="RXQ458" s="28"/>
      <c r="RXR458" s="28"/>
      <c r="RXS458" s="28"/>
      <c r="RXT458" s="28"/>
      <c r="RXU458" s="28"/>
      <c r="RXV458" s="28"/>
      <c r="RXW458" s="28"/>
      <c r="RXX458" s="28"/>
      <c r="RXY458" s="28"/>
      <c r="RXZ458" s="28"/>
      <c r="RYA458" s="28"/>
      <c r="RYB458" s="28"/>
      <c r="RYC458" s="28"/>
      <c r="RYD458" s="28"/>
      <c r="RYE458" s="28"/>
      <c r="RYF458" s="28"/>
      <c r="RYG458" s="28"/>
      <c r="RYH458" s="28"/>
      <c r="RYI458" s="28"/>
      <c r="RYJ458" s="28"/>
      <c r="RYK458" s="28"/>
      <c r="RYL458" s="28"/>
      <c r="RYM458" s="28"/>
      <c r="RYN458" s="28"/>
      <c r="RYO458" s="28"/>
      <c r="RYP458" s="28"/>
      <c r="RYQ458" s="28"/>
      <c r="RYR458" s="28"/>
      <c r="RYS458" s="28"/>
      <c r="RYT458" s="28"/>
      <c r="RYU458" s="28"/>
      <c r="RYV458" s="28"/>
      <c r="RYW458" s="28"/>
      <c r="RYX458" s="28"/>
      <c r="RYY458" s="28"/>
      <c r="RYZ458" s="28"/>
      <c r="RZA458" s="28"/>
      <c r="RZB458" s="28"/>
      <c r="RZC458" s="28"/>
      <c r="RZD458" s="28"/>
      <c r="RZE458" s="28"/>
      <c r="RZF458" s="28"/>
      <c r="RZG458" s="28"/>
      <c r="RZH458" s="28"/>
      <c r="RZI458" s="28"/>
      <c r="RZJ458" s="28"/>
      <c r="RZK458" s="28"/>
      <c r="RZL458" s="28"/>
      <c r="RZM458" s="28"/>
      <c r="RZN458" s="28"/>
      <c r="RZO458" s="28"/>
      <c r="RZP458" s="28"/>
      <c r="RZQ458" s="28"/>
      <c r="RZR458" s="28"/>
      <c r="RZS458" s="28"/>
      <c r="RZT458" s="28"/>
      <c r="RZU458" s="28"/>
      <c r="RZV458" s="28"/>
      <c r="RZW458" s="28"/>
      <c r="RZX458" s="28"/>
      <c r="RZY458" s="28"/>
      <c r="RZZ458" s="28"/>
      <c r="SAA458" s="28"/>
      <c r="SAB458" s="28"/>
      <c r="SAC458" s="28"/>
      <c r="SAD458" s="28"/>
      <c r="SAE458" s="28"/>
      <c r="SAF458" s="28"/>
      <c r="SAG458" s="28"/>
      <c r="SAH458" s="28"/>
      <c r="SAI458" s="28"/>
      <c r="SAJ458" s="28"/>
      <c r="SAK458" s="28"/>
      <c r="SAL458" s="28"/>
      <c r="SAM458" s="28"/>
      <c r="SAN458" s="28"/>
      <c r="SAO458" s="28"/>
      <c r="SAP458" s="28"/>
      <c r="SAQ458" s="28"/>
      <c r="SAR458" s="28"/>
      <c r="SAS458" s="28"/>
      <c r="SAT458" s="28"/>
      <c r="SAU458" s="28"/>
      <c r="SAV458" s="28"/>
      <c r="SAW458" s="28"/>
      <c r="SAX458" s="28"/>
      <c r="SAY458" s="28"/>
      <c r="SAZ458" s="28"/>
      <c r="SBA458" s="28"/>
      <c r="SBB458" s="28"/>
      <c r="SBC458" s="28"/>
      <c r="SBD458" s="28"/>
      <c r="SBE458" s="28"/>
      <c r="SBF458" s="28"/>
      <c r="SBG458" s="28"/>
      <c r="SBH458" s="28"/>
      <c r="SBI458" s="28"/>
      <c r="SBJ458" s="28"/>
      <c r="SBK458" s="28"/>
      <c r="SBL458" s="28"/>
      <c r="SBM458" s="28"/>
      <c r="SBN458" s="28"/>
      <c r="SBO458" s="28"/>
      <c r="SBP458" s="28"/>
      <c r="SBQ458" s="28"/>
      <c r="SBR458" s="28"/>
      <c r="SBS458" s="28"/>
      <c r="SBT458" s="28"/>
      <c r="SBU458" s="28"/>
      <c r="SBV458" s="28"/>
      <c r="SBW458" s="28"/>
      <c r="SBX458" s="28"/>
      <c r="SBY458" s="28"/>
      <c r="SBZ458" s="28"/>
      <c r="SCA458" s="28"/>
      <c r="SCB458" s="28"/>
      <c r="SCC458" s="28"/>
      <c r="SCD458" s="28"/>
      <c r="SCE458" s="28"/>
      <c r="SCF458" s="28"/>
      <c r="SCG458" s="28"/>
      <c r="SCH458" s="28"/>
      <c r="SCI458" s="28"/>
      <c r="SCJ458" s="28"/>
      <c r="SCK458" s="28"/>
      <c r="SCL458" s="28"/>
      <c r="SCM458" s="28"/>
      <c r="SCN458" s="28"/>
      <c r="SCO458" s="28"/>
      <c r="SCP458" s="28"/>
      <c r="SCQ458" s="28"/>
      <c r="SCR458" s="28"/>
      <c r="SCS458" s="28"/>
      <c r="SCT458" s="28"/>
      <c r="SCU458" s="28"/>
      <c r="SCV458" s="28"/>
      <c r="SCW458" s="28"/>
      <c r="SCX458" s="28"/>
      <c r="SCY458" s="28"/>
      <c r="SCZ458" s="28"/>
      <c r="SDA458" s="28"/>
      <c r="SDB458" s="28"/>
      <c r="SDC458" s="28"/>
      <c r="SDD458" s="28"/>
      <c r="SDE458" s="28"/>
      <c r="SDF458" s="28"/>
      <c r="SDG458" s="28"/>
      <c r="SDH458" s="28"/>
      <c r="SDI458" s="28"/>
      <c r="SDJ458" s="28"/>
      <c r="SDK458" s="28"/>
      <c r="SDL458" s="28"/>
      <c r="SDM458" s="28"/>
      <c r="SDN458" s="28"/>
      <c r="SDO458" s="28"/>
      <c r="SDP458" s="28"/>
      <c r="SDQ458" s="28"/>
      <c r="SDR458" s="28"/>
      <c r="SDS458" s="28"/>
      <c r="SDT458" s="28"/>
      <c r="SDU458" s="28"/>
      <c r="SDV458" s="28"/>
      <c r="SDW458" s="28"/>
      <c r="SDX458" s="28"/>
      <c r="SDY458" s="28"/>
      <c r="SDZ458" s="28"/>
      <c r="SEA458" s="28"/>
      <c r="SEB458" s="28"/>
      <c r="SEC458" s="28"/>
      <c r="SED458" s="28"/>
      <c r="SEE458" s="28"/>
      <c r="SEF458" s="28"/>
      <c r="SEG458" s="28"/>
      <c r="SEH458" s="28"/>
      <c r="SEI458" s="28"/>
      <c r="SEJ458" s="28"/>
      <c r="SEK458" s="28"/>
      <c r="SEL458" s="28"/>
      <c r="SEM458" s="28"/>
      <c r="SEN458" s="28"/>
      <c r="SEO458" s="28"/>
      <c r="SEP458" s="28"/>
      <c r="SEQ458" s="28"/>
      <c r="SER458" s="28"/>
      <c r="SES458" s="28"/>
      <c r="SET458" s="28"/>
      <c r="SEU458" s="28"/>
      <c r="SEV458" s="28"/>
      <c r="SEW458" s="28"/>
      <c r="SEX458" s="28"/>
      <c r="SEY458" s="28"/>
      <c r="SEZ458" s="28"/>
      <c r="SFA458" s="28"/>
      <c r="SFB458" s="28"/>
      <c r="SFC458" s="28"/>
      <c r="SFD458" s="28"/>
      <c r="SFE458" s="28"/>
      <c r="SFF458" s="28"/>
      <c r="SFG458" s="28"/>
      <c r="SFH458" s="28"/>
      <c r="SFI458" s="28"/>
      <c r="SFJ458" s="28"/>
      <c r="SFK458" s="28"/>
      <c r="SFL458" s="28"/>
      <c r="SFM458" s="28"/>
      <c r="SFN458" s="28"/>
      <c r="SFO458" s="28"/>
      <c r="SFP458" s="28"/>
      <c r="SFQ458" s="28"/>
      <c r="SFR458" s="28"/>
      <c r="SFS458" s="28"/>
      <c r="SFT458" s="28"/>
      <c r="SFU458" s="28"/>
      <c r="SFV458" s="28"/>
      <c r="SFW458" s="28"/>
      <c r="SFX458" s="28"/>
      <c r="SFY458" s="28"/>
      <c r="SFZ458" s="28"/>
      <c r="SGA458" s="28"/>
      <c r="SGB458" s="28"/>
      <c r="SGC458" s="28"/>
      <c r="SGD458" s="28"/>
      <c r="SGE458" s="28"/>
      <c r="SGF458" s="28"/>
      <c r="SGG458" s="28"/>
      <c r="SGH458" s="28"/>
      <c r="SGI458" s="28"/>
      <c r="SGJ458" s="28"/>
      <c r="SGK458" s="28"/>
      <c r="SGL458" s="28"/>
      <c r="SGM458" s="28"/>
      <c r="SGN458" s="28"/>
      <c r="SGO458" s="28"/>
      <c r="SGP458" s="28"/>
      <c r="SGQ458" s="28"/>
      <c r="SGR458" s="28"/>
      <c r="SGS458" s="28"/>
      <c r="SGT458" s="28"/>
      <c r="SGU458" s="28"/>
      <c r="SGV458" s="28"/>
      <c r="SGW458" s="28"/>
      <c r="SGX458" s="28"/>
      <c r="SGY458" s="28"/>
      <c r="SGZ458" s="28"/>
      <c r="SHA458" s="28"/>
      <c r="SHB458" s="28"/>
      <c r="SHC458" s="28"/>
      <c r="SHD458" s="28"/>
      <c r="SHE458" s="28"/>
      <c r="SHF458" s="28"/>
      <c r="SHG458" s="28"/>
      <c r="SHH458" s="28"/>
      <c r="SHI458" s="28"/>
      <c r="SHJ458" s="28"/>
      <c r="SHK458" s="28"/>
      <c r="SHL458" s="28"/>
      <c r="SHM458" s="28"/>
      <c r="SHN458" s="28"/>
      <c r="SHO458" s="28"/>
      <c r="SHP458" s="28"/>
      <c r="SHQ458" s="28"/>
      <c r="SHR458" s="28"/>
      <c r="SHS458" s="28"/>
      <c r="SHT458" s="28"/>
      <c r="SHU458" s="28"/>
      <c r="SHV458" s="28"/>
      <c r="SHW458" s="28"/>
      <c r="SHX458" s="28"/>
      <c r="SHY458" s="28"/>
      <c r="SHZ458" s="28"/>
      <c r="SIA458" s="28"/>
      <c r="SIB458" s="28"/>
      <c r="SIC458" s="28"/>
      <c r="SID458" s="28"/>
      <c r="SIE458" s="28"/>
      <c r="SIF458" s="28"/>
      <c r="SIG458" s="28"/>
      <c r="SIH458" s="28"/>
      <c r="SII458" s="28"/>
      <c r="SIJ458" s="28"/>
      <c r="SIK458" s="28"/>
      <c r="SIL458" s="28"/>
      <c r="SIM458" s="28"/>
      <c r="SIN458" s="28"/>
      <c r="SIO458" s="28"/>
      <c r="SIP458" s="28"/>
      <c r="SIQ458" s="28"/>
      <c r="SIR458" s="28"/>
      <c r="SIS458" s="28"/>
      <c r="SIT458" s="28"/>
      <c r="SIU458" s="28"/>
      <c r="SIV458" s="28"/>
      <c r="SIW458" s="28"/>
      <c r="SIX458" s="28"/>
      <c r="SIY458" s="28"/>
      <c r="SIZ458" s="28"/>
      <c r="SJA458" s="28"/>
      <c r="SJB458" s="28"/>
      <c r="SJC458" s="28"/>
      <c r="SJD458" s="28"/>
      <c r="SJE458" s="28"/>
      <c r="SJF458" s="28"/>
      <c r="SJG458" s="28"/>
      <c r="SJH458" s="28"/>
      <c r="SJI458" s="28"/>
      <c r="SJJ458" s="28"/>
      <c r="SJK458" s="28"/>
      <c r="SJL458" s="28"/>
      <c r="SJM458" s="28"/>
      <c r="SJN458" s="28"/>
      <c r="SJO458" s="28"/>
      <c r="SJP458" s="28"/>
      <c r="SJQ458" s="28"/>
      <c r="SJR458" s="28"/>
      <c r="SJS458" s="28"/>
      <c r="SJT458" s="28"/>
      <c r="SJU458" s="28"/>
      <c r="SJV458" s="28"/>
      <c r="SJW458" s="28"/>
      <c r="SJX458" s="28"/>
      <c r="SJY458" s="28"/>
      <c r="SJZ458" s="28"/>
      <c r="SKA458" s="28"/>
      <c r="SKB458" s="28"/>
      <c r="SKC458" s="28"/>
      <c r="SKD458" s="28"/>
      <c r="SKE458" s="28"/>
      <c r="SKF458" s="28"/>
      <c r="SKG458" s="28"/>
      <c r="SKH458" s="28"/>
      <c r="SKI458" s="28"/>
      <c r="SKJ458" s="28"/>
      <c r="SKK458" s="28"/>
      <c r="SKL458" s="28"/>
      <c r="SKM458" s="28"/>
      <c r="SKN458" s="28"/>
      <c r="SKO458" s="28"/>
      <c r="SKP458" s="28"/>
      <c r="SKQ458" s="28"/>
      <c r="SKR458" s="28"/>
      <c r="SKS458" s="28"/>
      <c r="SKT458" s="28"/>
      <c r="SKU458" s="28"/>
      <c r="SKV458" s="28"/>
      <c r="SKW458" s="28"/>
      <c r="SKX458" s="28"/>
      <c r="SKY458" s="28"/>
      <c r="SKZ458" s="28"/>
      <c r="SLA458" s="28"/>
      <c r="SLB458" s="28"/>
      <c r="SLC458" s="28"/>
      <c r="SLD458" s="28"/>
      <c r="SLE458" s="28"/>
      <c r="SLF458" s="28"/>
      <c r="SLG458" s="28"/>
      <c r="SLH458" s="28"/>
      <c r="SLI458" s="28"/>
      <c r="SLJ458" s="28"/>
      <c r="SLK458" s="28"/>
      <c r="SLL458" s="28"/>
      <c r="SLM458" s="28"/>
      <c r="SLN458" s="28"/>
      <c r="SLO458" s="28"/>
      <c r="SLP458" s="28"/>
      <c r="SLQ458" s="28"/>
      <c r="SLR458" s="28"/>
      <c r="SLS458" s="28"/>
      <c r="SLT458" s="28"/>
      <c r="SLU458" s="28"/>
      <c r="SLV458" s="28"/>
      <c r="SLW458" s="28"/>
      <c r="SLX458" s="28"/>
      <c r="SLY458" s="28"/>
      <c r="SLZ458" s="28"/>
      <c r="SMA458" s="28"/>
      <c r="SMB458" s="28"/>
      <c r="SMC458" s="28"/>
      <c r="SMD458" s="28"/>
      <c r="SME458" s="28"/>
      <c r="SMF458" s="28"/>
      <c r="SMG458" s="28"/>
      <c r="SMH458" s="28"/>
      <c r="SMI458" s="28"/>
      <c r="SMJ458" s="28"/>
      <c r="SMK458" s="28"/>
      <c r="SML458" s="28"/>
      <c r="SMM458" s="28"/>
      <c r="SMN458" s="28"/>
      <c r="SMO458" s="28"/>
      <c r="SMP458" s="28"/>
      <c r="SMQ458" s="28"/>
      <c r="SMR458" s="28"/>
      <c r="SMS458" s="28"/>
      <c r="SMT458" s="28"/>
      <c r="SMU458" s="28"/>
      <c r="SMV458" s="28"/>
      <c r="SMW458" s="28"/>
      <c r="SMX458" s="28"/>
      <c r="SMY458" s="28"/>
      <c r="SMZ458" s="28"/>
      <c r="SNA458" s="28"/>
      <c r="SNB458" s="28"/>
      <c r="SNC458" s="28"/>
      <c r="SND458" s="28"/>
      <c r="SNE458" s="28"/>
      <c r="SNF458" s="28"/>
      <c r="SNG458" s="28"/>
      <c r="SNH458" s="28"/>
      <c r="SNI458" s="28"/>
      <c r="SNJ458" s="28"/>
      <c r="SNK458" s="28"/>
      <c r="SNL458" s="28"/>
      <c r="SNM458" s="28"/>
      <c r="SNN458" s="28"/>
      <c r="SNO458" s="28"/>
      <c r="SNP458" s="28"/>
      <c r="SNQ458" s="28"/>
      <c r="SNR458" s="28"/>
      <c r="SNS458" s="28"/>
      <c r="SNT458" s="28"/>
      <c r="SNU458" s="28"/>
      <c r="SNV458" s="28"/>
      <c r="SNW458" s="28"/>
      <c r="SNX458" s="28"/>
      <c r="SNY458" s="28"/>
      <c r="SNZ458" s="28"/>
      <c r="SOA458" s="28"/>
      <c r="SOB458" s="28"/>
      <c r="SOC458" s="28"/>
      <c r="SOD458" s="28"/>
      <c r="SOE458" s="28"/>
      <c r="SOF458" s="28"/>
      <c r="SOG458" s="28"/>
      <c r="SOH458" s="28"/>
      <c r="SOI458" s="28"/>
      <c r="SOJ458" s="28"/>
      <c r="SOK458" s="28"/>
      <c r="SOL458" s="28"/>
      <c r="SOM458" s="28"/>
      <c r="SON458" s="28"/>
      <c r="SOO458" s="28"/>
      <c r="SOP458" s="28"/>
      <c r="SOQ458" s="28"/>
      <c r="SOR458" s="28"/>
      <c r="SOS458" s="28"/>
      <c r="SOT458" s="28"/>
      <c r="SOU458" s="28"/>
      <c r="SOV458" s="28"/>
      <c r="SOW458" s="28"/>
      <c r="SOX458" s="28"/>
      <c r="SOY458" s="28"/>
      <c r="SOZ458" s="28"/>
      <c r="SPA458" s="28"/>
      <c r="SPB458" s="28"/>
      <c r="SPC458" s="28"/>
      <c r="SPD458" s="28"/>
      <c r="SPE458" s="28"/>
      <c r="SPF458" s="28"/>
      <c r="SPG458" s="28"/>
      <c r="SPH458" s="28"/>
      <c r="SPI458" s="28"/>
      <c r="SPJ458" s="28"/>
      <c r="SPK458" s="28"/>
      <c r="SPL458" s="28"/>
      <c r="SPM458" s="28"/>
      <c r="SPN458" s="28"/>
      <c r="SPO458" s="28"/>
      <c r="SPP458" s="28"/>
      <c r="SPQ458" s="28"/>
      <c r="SPR458" s="28"/>
      <c r="SPS458" s="28"/>
      <c r="SPT458" s="28"/>
      <c r="SPU458" s="28"/>
      <c r="SPV458" s="28"/>
      <c r="SPW458" s="28"/>
      <c r="SPX458" s="28"/>
      <c r="SPY458" s="28"/>
      <c r="SPZ458" s="28"/>
      <c r="SQA458" s="28"/>
      <c r="SQB458" s="28"/>
      <c r="SQC458" s="28"/>
      <c r="SQD458" s="28"/>
      <c r="SQE458" s="28"/>
      <c r="SQF458" s="28"/>
      <c r="SQG458" s="28"/>
      <c r="SQH458" s="28"/>
      <c r="SQI458" s="28"/>
      <c r="SQJ458" s="28"/>
      <c r="SQK458" s="28"/>
      <c r="SQL458" s="28"/>
      <c r="SQM458" s="28"/>
      <c r="SQN458" s="28"/>
      <c r="SQO458" s="28"/>
      <c r="SQP458" s="28"/>
      <c r="SQQ458" s="28"/>
      <c r="SQR458" s="28"/>
      <c r="SQS458" s="28"/>
      <c r="SQT458" s="28"/>
      <c r="SQU458" s="28"/>
      <c r="SQV458" s="28"/>
      <c r="SQW458" s="28"/>
      <c r="SQX458" s="28"/>
      <c r="SQY458" s="28"/>
      <c r="SQZ458" s="28"/>
      <c r="SRA458" s="28"/>
      <c r="SRB458" s="28"/>
      <c r="SRC458" s="28"/>
      <c r="SRD458" s="28"/>
      <c r="SRE458" s="28"/>
      <c r="SRF458" s="28"/>
      <c r="SRG458" s="28"/>
      <c r="SRH458" s="28"/>
      <c r="SRI458" s="28"/>
      <c r="SRJ458" s="28"/>
      <c r="SRK458" s="28"/>
      <c r="SRL458" s="28"/>
      <c r="SRM458" s="28"/>
      <c r="SRN458" s="28"/>
      <c r="SRO458" s="28"/>
      <c r="SRP458" s="28"/>
      <c r="SRQ458" s="28"/>
      <c r="SRR458" s="28"/>
      <c r="SRS458" s="28"/>
      <c r="SRT458" s="28"/>
      <c r="SRU458" s="28"/>
      <c r="SRV458" s="28"/>
      <c r="SRW458" s="28"/>
      <c r="SRX458" s="28"/>
      <c r="SRY458" s="28"/>
      <c r="SRZ458" s="28"/>
      <c r="SSA458" s="28"/>
      <c r="SSB458" s="28"/>
      <c r="SSC458" s="28"/>
      <c r="SSD458" s="28"/>
      <c r="SSE458" s="28"/>
      <c r="SSF458" s="28"/>
      <c r="SSG458" s="28"/>
      <c r="SSH458" s="28"/>
      <c r="SSI458" s="28"/>
      <c r="SSJ458" s="28"/>
      <c r="SSK458" s="28"/>
      <c r="SSL458" s="28"/>
      <c r="SSM458" s="28"/>
      <c r="SSN458" s="28"/>
      <c r="SSO458" s="28"/>
      <c r="SSP458" s="28"/>
      <c r="SSQ458" s="28"/>
      <c r="SSR458" s="28"/>
      <c r="SSS458" s="28"/>
      <c r="SST458" s="28"/>
      <c r="SSU458" s="28"/>
      <c r="SSV458" s="28"/>
      <c r="SSW458" s="28"/>
      <c r="SSX458" s="28"/>
      <c r="SSY458" s="28"/>
      <c r="SSZ458" s="28"/>
      <c r="STA458" s="28"/>
      <c r="STB458" s="28"/>
      <c r="STC458" s="28"/>
      <c r="STD458" s="28"/>
      <c r="STE458" s="28"/>
      <c r="STF458" s="28"/>
      <c r="STG458" s="28"/>
      <c r="STH458" s="28"/>
      <c r="STI458" s="28"/>
      <c r="STJ458" s="28"/>
      <c r="STK458" s="28"/>
      <c r="STL458" s="28"/>
      <c r="STM458" s="28"/>
      <c r="STN458" s="28"/>
      <c r="STO458" s="28"/>
      <c r="STP458" s="28"/>
      <c r="STQ458" s="28"/>
      <c r="STR458" s="28"/>
      <c r="STS458" s="28"/>
      <c r="STT458" s="28"/>
      <c r="STU458" s="28"/>
      <c r="STV458" s="28"/>
      <c r="STW458" s="28"/>
      <c r="STX458" s="28"/>
      <c r="STY458" s="28"/>
      <c r="STZ458" s="28"/>
      <c r="SUA458" s="28"/>
      <c r="SUB458" s="28"/>
      <c r="SUC458" s="28"/>
      <c r="SUD458" s="28"/>
      <c r="SUE458" s="28"/>
      <c r="SUF458" s="28"/>
      <c r="SUG458" s="28"/>
      <c r="SUH458" s="28"/>
      <c r="SUI458" s="28"/>
      <c r="SUJ458" s="28"/>
      <c r="SUK458" s="28"/>
      <c r="SUL458" s="28"/>
      <c r="SUM458" s="28"/>
      <c r="SUN458" s="28"/>
      <c r="SUO458" s="28"/>
      <c r="SUP458" s="28"/>
      <c r="SUQ458" s="28"/>
      <c r="SUR458" s="28"/>
      <c r="SUS458" s="28"/>
      <c r="SUT458" s="28"/>
      <c r="SUU458" s="28"/>
      <c r="SUV458" s="28"/>
      <c r="SUW458" s="28"/>
      <c r="SUX458" s="28"/>
      <c r="SUY458" s="28"/>
      <c r="SUZ458" s="28"/>
      <c r="SVA458" s="28"/>
      <c r="SVB458" s="28"/>
      <c r="SVC458" s="28"/>
      <c r="SVD458" s="28"/>
      <c r="SVE458" s="28"/>
      <c r="SVF458" s="28"/>
      <c r="SVG458" s="28"/>
      <c r="SVH458" s="28"/>
      <c r="SVI458" s="28"/>
      <c r="SVJ458" s="28"/>
      <c r="SVK458" s="28"/>
      <c r="SVL458" s="28"/>
      <c r="SVM458" s="28"/>
      <c r="SVN458" s="28"/>
      <c r="SVO458" s="28"/>
      <c r="SVP458" s="28"/>
      <c r="SVQ458" s="28"/>
      <c r="SVR458" s="28"/>
      <c r="SVS458" s="28"/>
      <c r="SVT458" s="28"/>
      <c r="SVU458" s="28"/>
      <c r="SVV458" s="28"/>
      <c r="SVW458" s="28"/>
      <c r="SVX458" s="28"/>
      <c r="SVY458" s="28"/>
      <c r="SVZ458" s="28"/>
      <c r="SWA458" s="28"/>
      <c r="SWB458" s="28"/>
      <c r="SWC458" s="28"/>
      <c r="SWD458" s="28"/>
      <c r="SWE458" s="28"/>
      <c r="SWF458" s="28"/>
      <c r="SWG458" s="28"/>
      <c r="SWH458" s="28"/>
      <c r="SWI458" s="28"/>
      <c r="SWJ458" s="28"/>
      <c r="SWK458" s="28"/>
      <c r="SWL458" s="28"/>
      <c r="SWM458" s="28"/>
      <c r="SWN458" s="28"/>
      <c r="SWO458" s="28"/>
      <c r="SWP458" s="28"/>
      <c r="SWQ458" s="28"/>
      <c r="SWR458" s="28"/>
      <c r="SWS458" s="28"/>
      <c r="SWT458" s="28"/>
      <c r="SWU458" s="28"/>
      <c r="SWV458" s="28"/>
      <c r="SWW458" s="28"/>
      <c r="SWX458" s="28"/>
      <c r="SWY458" s="28"/>
      <c r="SWZ458" s="28"/>
      <c r="SXA458" s="28"/>
      <c r="SXB458" s="28"/>
      <c r="SXC458" s="28"/>
      <c r="SXD458" s="28"/>
      <c r="SXE458" s="28"/>
      <c r="SXF458" s="28"/>
      <c r="SXG458" s="28"/>
      <c r="SXH458" s="28"/>
      <c r="SXI458" s="28"/>
      <c r="SXJ458" s="28"/>
      <c r="SXK458" s="28"/>
      <c r="SXL458" s="28"/>
      <c r="SXM458" s="28"/>
      <c r="SXN458" s="28"/>
      <c r="SXO458" s="28"/>
      <c r="SXP458" s="28"/>
      <c r="SXQ458" s="28"/>
      <c r="SXR458" s="28"/>
      <c r="SXS458" s="28"/>
      <c r="SXT458" s="28"/>
      <c r="SXU458" s="28"/>
      <c r="SXV458" s="28"/>
      <c r="SXW458" s="28"/>
      <c r="SXX458" s="28"/>
      <c r="SXY458" s="28"/>
      <c r="SXZ458" s="28"/>
      <c r="SYA458" s="28"/>
      <c r="SYB458" s="28"/>
      <c r="SYC458" s="28"/>
      <c r="SYD458" s="28"/>
      <c r="SYE458" s="28"/>
      <c r="SYF458" s="28"/>
      <c r="SYG458" s="28"/>
      <c r="SYH458" s="28"/>
      <c r="SYI458" s="28"/>
      <c r="SYJ458" s="28"/>
      <c r="SYK458" s="28"/>
      <c r="SYL458" s="28"/>
      <c r="SYM458" s="28"/>
      <c r="SYN458" s="28"/>
      <c r="SYO458" s="28"/>
      <c r="SYP458" s="28"/>
      <c r="SYQ458" s="28"/>
      <c r="SYR458" s="28"/>
      <c r="SYS458" s="28"/>
      <c r="SYT458" s="28"/>
      <c r="SYU458" s="28"/>
      <c r="SYV458" s="28"/>
      <c r="SYW458" s="28"/>
      <c r="SYX458" s="28"/>
      <c r="SYY458" s="28"/>
      <c r="SYZ458" s="28"/>
      <c r="SZA458" s="28"/>
      <c r="SZB458" s="28"/>
      <c r="SZC458" s="28"/>
      <c r="SZD458" s="28"/>
      <c r="SZE458" s="28"/>
      <c r="SZF458" s="28"/>
      <c r="SZG458" s="28"/>
      <c r="SZH458" s="28"/>
      <c r="SZI458" s="28"/>
      <c r="SZJ458" s="28"/>
      <c r="SZK458" s="28"/>
      <c r="SZL458" s="28"/>
      <c r="SZM458" s="28"/>
      <c r="SZN458" s="28"/>
      <c r="SZO458" s="28"/>
      <c r="SZP458" s="28"/>
      <c r="SZQ458" s="28"/>
      <c r="SZR458" s="28"/>
      <c r="SZS458" s="28"/>
      <c r="SZT458" s="28"/>
      <c r="SZU458" s="28"/>
      <c r="SZV458" s="28"/>
      <c r="SZW458" s="28"/>
      <c r="SZX458" s="28"/>
      <c r="SZY458" s="28"/>
      <c r="SZZ458" s="28"/>
      <c r="TAA458" s="28"/>
      <c r="TAB458" s="28"/>
      <c r="TAC458" s="28"/>
      <c r="TAD458" s="28"/>
      <c r="TAE458" s="28"/>
      <c r="TAF458" s="28"/>
      <c r="TAG458" s="28"/>
      <c r="TAH458" s="28"/>
      <c r="TAI458" s="28"/>
      <c r="TAJ458" s="28"/>
      <c r="TAK458" s="28"/>
      <c r="TAL458" s="28"/>
      <c r="TAM458" s="28"/>
      <c r="TAN458" s="28"/>
      <c r="TAO458" s="28"/>
      <c r="TAP458" s="28"/>
      <c r="TAQ458" s="28"/>
      <c r="TAR458" s="28"/>
      <c r="TAS458" s="28"/>
      <c r="TAT458" s="28"/>
      <c r="TAU458" s="28"/>
      <c r="TAV458" s="28"/>
      <c r="TAW458" s="28"/>
      <c r="TAX458" s="28"/>
      <c r="TAY458" s="28"/>
      <c r="TAZ458" s="28"/>
      <c r="TBA458" s="28"/>
      <c r="TBB458" s="28"/>
      <c r="TBC458" s="28"/>
      <c r="TBD458" s="28"/>
      <c r="TBE458" s="28"/>
      <c r="TBF458" s="28"/>
      <c r="TBG458" s="28"/>
      <c r="TBH458" s="28"/>
      <c r="TBI458" s="28"/>
      <c r="TBJ458" s="28"/>
      <c r="TBK458" s="28"/>
      <c r="TBL458" s="28"/>
      <c r="TBM458" s="28"/>
      <c r="TBN458" s="28"/>
      <c r="TBO458" s="28"/>
      <c r="TBP458" s="28"/>
      <c r="TBQ458" s="28"/>
      <c r="TBR458" s="28"/>
      <c r="TBS458" s="28"/>
      <c r="TBT458" s="28"/>
      <c r="TBU458" s="28"/>
      <c r="TBV458" s="28"/>
      <c r="TBW458" s="28"/>
      <c r="TBX458" s="28"/>
      <c r="TBY458" s="28"/>
      <c r="TBZ458" s="28"/>
      <c r="TCA458" s="28"/>
      <c r="TCB458" s="28"/>
      <c r="TCC458" s="28"/>
      <c r="TCD458" s="28"/>
      <c r="TCE458" s="28"/>
      <c r="TCF458" s="28"/>
      <c r="TCG458" s="28"/>
      <c r="TCH458" s="28"/>
      <c r="TCI458" s="28"/>
      <c r="TCJ458" s="28"/>
      <c r="TCK458" s="28"/>
      <c r="TCL458" s="28"/>
      <c r="TCM458" s="28"/>
      <c r="TCN458" s="28"/>
      <c r="TCO458" s="28"/>
      <c r="TCP458" s="28"/>
      <c r="TCQ458" s="28"/>
      <c r="TCR458" s="28"/>
      <c r="TCS458" s="28"/>
      <c r="TCT458" s="28"/>
      <c r="TCU458" s="28"/>
      <c r="TCV458" s="28"/>
      <c r="TCW458" s="28"/>
      <c r="TCX458" s="28"/>
      <c r="TCY458" s="28"/>
      <c r="TCZ458" s="28"/>
      <c r="TDA458" s="28"/>
      <c r="TDB458" s="28"/>
      <c r="TDC458" s="28"/>
      <c r="TDD458" s="28"/>
      <c r="TDE458" s="28"/>
      <c r="TDF458" s="28"/>
      <c r="TDG458" s="28"/>
      <c r="TDH458" s="28"/>
      <c r="TDI458" s="28"/>
      <c r="TDJ458" s="28"/>
      <c r="TDK458" s="28"/>
      <c r="TDL458" s="28"/>
      <c r="TDM458" s="28"/>
      <c r="TDN458" s="28"/>
      <c r="TDO458" s="28"/>
      <c r="TDP458" s="28"/>
      <c r="TDQ458" s="28"/>
      <c r="TDR458" s="28"/>
      <c r="TDS458" s="28"/>
      <c r="TDT458" s="28"/>
      <c r="TDU458" s="28"/>
      <c r="TDV458" s="28"/>
      <c r="TDW458" s="28"/>
      <c r="TDX458" s="28"/>
      <c r="TDY458" s="28"/>
      <c r="TDZ458" s="28"/>
      <c r="TEA458" s="28"/>
      <c r="TEB458" s="28"/>
      <c r="TEC458" s="28"/>
      <c r="TED458" s="28"/>
      <c r="TEE458" s="28"/>
      <c r="TEF458" s="28"/>
      <c r="TEG458" s="28"/>
      <c r="TEH458" s="28"/>
      <c r="TEI458" s="28"/>
      <c r="TEJ458" s="28"/>
      <c r="TEK458" s="28"/>
      <c r="TEL458" s="28"/>
      <c r="TEM458" s="28"/>
      <c r="TEN458" s="28"/>
      <c r="TEO458" s="28"/>
      <c r="TEP458" s="28"/>
      <c r="TEQ458" s="28"/>
      <c r="TER458" s="28"/>
      <c r="TES458" s="28"/>
      <c r="TET458" s="28"/>
      <c r="TEU458" s="28"/>
      <c r="TEV458" s="28"/>
      <c r="TEW458" s="28"/>
      <c r="TEX458" s="28"/>
      <c r="TEY458" s="28"/>
      <c r="TEZ458" s="28"/>
      <c r="TFA458" s="28"/>
      <c r="TFB458" s="28"/>
      <c r="TFC458" s="28"/>
      <c r="TFD458" s="28"/>
      <c r="TFE458" s="28"/>
      <c r="TFF458" s="28"/>
      <c r="TFG458" s="28"/>
      <c r="TFH458" s="28"/>
      <c r="TFI458" s="28"/>
      <c r="TFJ458" s="28"/>
      <c r="TFK458" s="28"/>
      <c r="TFL458" s="28"/>
      <c r="TFM458" s="28"/>
      <c r="TFN458" s="28"/>
      <c r="TFO458" s="28"/>
      <c r="TFP458" s="28"/>
      <c r="TFQ458" s="28"/>
      <c r="TFR458" s="28"/>
      <c r="TFS458" s="28"/>
      <c r="TFT458" s="28"/>
      <c r="TFU458" s="28"/>
      <c r="TFV458" s="28"/>
      <c r="TFW458" s="28"/>
      <c r="TFX458" s="28"/>
      <c r="TFY458" s="28"/>
      <c r="TFZ458" s="28"/>
      <c r="TGA458" s="28"/>
      <c r="TGB458" s="28"/>
      <c r="TGC458" s="28"/>
      <c r="TGD458" s="28"/>
      <c r="TGE458" s="28"/>
      <c r="TGF458" s="28"/>
      <c r="TGG458" s="28"/>
      <c r="TGH458" s="28"/>
      <c r="TGI458" s="28"/>
      <c r="TGJ458" s="28"/>
      <c r="TGK458" s="28"/>
      <c r="TGL458" s="28"/>
      <c r="TGM458" s="28"/>
      <c r="TGN458" s="28"/>
      <c r="TGO458" s="28"/>
      <c r="TGP458" s="28"/>
      <c r="TGQ458" s="28"/>
      <c r="TGR458" s="28"/>
      <c r="TGS458" s="28"/>
      <c r="TGT458" s="28"/>
      <c r="TGU458" s="28"/>
      <c r="TGV458" s="28"/>
      <c r="TGW458" s="28"/>
      <c r="TGX458" s="28"/>
      <c r="TGY458" s="28"/>
      <c r="TGZ458" s="28"/>
      <c r="THA458" s="28"/>
      <c r="THB458" s="28"/>
      <c r="THC458" s="28"/>
      <c r="THD458" s="28"/>
      <c r="THE458" s="28"/>
      <c r="THF458" s="28"/>
      <c r="THG458" s="28"/>
      <c r="THH458" s="28"/>
      <c r="THI458" s="28"/>
      <c r="THJ458" s="28"/>
      <c r="THK458" s="28"/>
      <c r="THL458" s="28"/>
      <c r="THM458" s="28"/>
      <c r="THN458" s="28"/>
      <c r="THO458" s="28"/>
      <c r="THP458" s="28"/>
      <c r="THQ458" s="28"/>
      <c r="THR458" s="28"/>
      <c r="THS458" s="28"/>
      <c r="THT458" s="28"/>
      <c r="THU458" s="28"/>
      <c r="THV458" s="28"/>
      <c r="THW458" s="28"/>
      <c r="THX458" s="28"/>
      <c r="THY458" s="28"/>
      <c r="THZ458" s="28"/>
      <c r="TIA458" s="28"/>
      <c r="TIB458" s="28"/>
      <c r="TIC458" s="28"/>
      <c r="TID458" s="28"/>
      <c r="TIE458" s="28"/>
      <c r="TIF458" s="28"/>
      <c r="TIG458" s="28"/>
      <c r="TIH458" s="28"/>
      <c r="TII458" s="28"/>
      <c r="TIJ458" s="28"/>
      <c r="TIK458" s="28"/>
      <c r="TIL458" s="28"/>
      <c r="TIM458" s="28"/>
      <c r="TIN458" s="28"/>
      <c r="TIO458" s="28"/>
      <c r="TIP458" s="28"/>
      <c r="TIQ458" s="28"/>
      <c r="TIR458" s="28"/>
      <c r="TIS458" s="28"/>
      <c r="TIT458" s="28"/>
      <c r="TIU458" s="28"/>
      <c r="TIV458" s="28"/>
      <c r="TIW458" s="28"/>
      <c r="TIX458" s="28"/>
      <c r="TIY458" s="28"/>
      <c r="TIZ458" s="28"/>
      <c r="TJA458" s="28"/>
      <c r="TJB458" s="28"/>
      <c r="TJC458" s="28"/>
      <c r="TJD458" s="28"/>
      <c r="TJE458" s="28"/>
      <c r="TJF458" s="28"/>
      <c r="TJG458" s="28"/>
      <c r="TJH458" s="28"/>
      <c r="TJI458" s="28"/>
      <c r="TJJ458" s="28"/>
      <c r="TJK458" s="28"/>
      <c r="TJL458" s="28"/>
      <c r="TJM458" s="28"/>
      <c r="TJN458" s="28"/>
      <c r="TJO458" s="28"/>
      <c r="TJP458" s="28"/>
      <c r="TJQ458" s="28"/>
      <c r="TJR458" s="28"/>
      <c r="TJS458" s="28"/>
      <c r="TJT458" s="28"/>
      <c r="TJU458" s="28"/>
      <c r="TJV458" s="28"/>
      <c r="TJW458" s="28"/>
      <c r="TJX458" s="28"/>
      <c r="TJY458" s="28"/>
      <c r="TJZ458" s="28"/>
      <c r="TKA458" s="28"/>
      <c r="TKB458" s="28"/>
      <c r="TKC458" s="28"/>
      <c r="TKD458" s="28"/>
      <c r="TKE458" s="28"/>
      <c r="TKF458" s="28"/>
      <c r="TKG458" s="28"/>
      <c r="TKH458" s="28"/>
      <c r="TKI458" s="28"/>
      <c r="TKJ458" s="28"/>
      <c r="TKK458" s="28"/>
      <c r="TKL458" s="28"/>
      <c r="TKM458" s="28"/>
      <c r="TKN458" s="28"/>
      <c r="TKO458" s="28"/>
      <c r="TKP458" s="28"/>
      <c r="TKQ458" s="28"/>
      <c r="TKR458" s="28"/>
      <c r="TKS458" s="28"/>
      <c r="TKT458" s="28"/>
      <c r="TKU458" s="28"/>
      <c r="TKV458" s="28"/>
      <c r="TKW458" s="28"/>
      <c r="TKX458" s="28"/>
      <c r="TKY458" s="28"/>
      <c r="TKZ458" s="28"/>
      <c r="TLA458" s="28"/>
      <c r="TLB458" s="28"/>
      <c r="TLC458" s="28"/>
      <c r="TLD458" s="28"/>
      <c r="TLE458" s="28"/>
      <c r="TLF458" s="28"/>
      <c r="TLG458" s="28"/>
      <c r="TLH458" s="28"/>
      <c r="TLI458" s="28"/>
      <c r="TLJ458" s="28"/>
      <c r="TLK458" s="28"/>
      <c r="TLL458" s="28"/>
      <c r="TLM458" s="28"/>
      <c r="TLN458" s="28"/>
      <c r="TLO458" s="28"/>
      <c r="TLP458" s="28"/>
      <c r="TLQ458" s="28"/>
      <c r="TLR458" s="28"/>
      <c r="TLS458" s="28"/>
      <c r="TLT458" s="28"/>
      <c r="TLU458" s="28"/>
      <c r="TLV458" s="28"/>
      <c r="TLW458" s="28"/>
      <c r="TLX458" s="28"/>
      <c r="TLY458" s="28"/>
      <c r="TLZ458" s="28"/>
      <c r="TMA458" s="28"/>
      <c r="TMB458" s="28"/>
      <c r="TMC458" s="28"/>
      <c r="TMD458" s="28"/>
      <c r="TME458" s="28"/>
      <c r="TMF458" s="28"/>
      <c r="TMG458" s="28"/>
      <c r="TMH458" s="28"/>
      <c r="TMI458" s="28"/>
      <c r="TMJ458" s="28"/>
      <c r="TMK458" s="28"/>
      <c r="TML458" s="28"/>
      <c r="TMM458" s="28"/>
      <c r="TMN458" s="28"/>
      <c r="TMO458" s="28"/>
      <c r="TMP458" s="28"/>
      <c r="TMQ458" s="28"/>
      <c r="TMR458" s="28"/>
      <c r="TMS458" s="28"/>
      <c r="TMT458" s="28"/>
      <c r="TMU458" s="28"/>
      <c r="TMV458" s="28"/>
      <c r="TMW458" s="28"/>
      <c r="TMX458" s="28"/>
      <c r="TMY458" s="28"/>
      <c r="TMZ458" s="28"/>
      <c r="TNA458" s="28"/>
      <c r="TNB458" s="28"/>
      <c r="TNC458" s="28"/>
      <c r="TND458" s="28"/>
      <c r="TNE458" s="28"/>
      <c r="TNF458" s="28"/>
      <c r="TNG458" s="28"/>
      <c r="TNH458" s="28"/>
      <c r="TNI458" s="28"/>
      <c r="TNJ458" s="28"/>
      <c r="TNK458" s="28"/>
      <c r="TNL458" s="28"/>
      <c r="TNM458" s="28"/>
      <c r="TNN458" s="28"/>
      <c r="TNO458" s="28"/>
      <c r="TNP458" s="28"/>
      <c r="TNQ458" s="28"/>
      <c r="TNR458" s="28"/>
      <c r="TNS458" s="28"/>
      <c r="TNT458" s="28"/>
      <c r="TNU458" s="28"/>
      <c r="TNV458" s="28"/>
      <c r="TNW458" s="28"/>
      <c r="TNX458" s="28"/>
      <c r="TNY458" s="28"/>
      <c r="TNZ458" s="28"/>
      <c r="TOA458" s="28"/>
      <c r="TOB458" s="28"/>
      <c r="TOC458" s="28"/>
      <c r="TOD458" s="28"/>
      <c r="TOE458" s="28"/>
      <c r="TOF458" s="28"/>
      <c r="TOG458" s="28"/>
      <c r="TOH458" s="28"/>
      <c r="TOI458" s="28"/>
      <c r="TOJ458" s="28"/>
      <c r="TOK458" s="28"/>
      <c r="TOL458" s="28"/>
      <c r="TOM458" s="28"/>
      <c r="TON458" s="28"/>
      <c r="TOO458" s="28"/>
      <c r="TOP458" s="28"/>
      <c r="TOQ458" s="28"/>
      <c r="TOR458" s="28"/>
      <c r="TOS458" s="28"/>
      <c r="TOT458" s="28"/>
      <c r="TOU458" s="28"/>
      <c r="TOV458" s="28"/>
      <c r="TOW458" s="28"/>
      <c r="TOX458" s="28"/>
      <c r="TOY458" s="28"/>
      <c r="TOZ458" s="28"/>
      <c r="TPA458" s="28"/>
      <c r="TPB458" s="28"/>
      <c r="TPC458" s="28"/>
      <c r="TPD458" s="28"/>
      <c r="TPE458" s="28"/>
      <c r="TPF458" s="28"/>
      <c r="TPG458" s="28"/>
      <c r="TPH458" s="28"/>
      <c r="TPI458" s="28"/>
      <c r="TPJ458" s="28"/>
      <c r="TPK458" s="28"/>
      <c r="TPL458" s="28"/>
      <c r="TPM458" s="28"/>
      <c r="TPN458" s="28"/>
      <c r="TPO458" s="28"/>
      <c r="TPP458" s="28"/>
      <c r="TPQ458" s="28"/>
      <c r="TPR458" s="28"/>
      <c r="TPS458" s="28"/>
      <c r="TPT458" s="28"/>
      <c r="TPU458" s="28"/>
      <c r="TPV458" s="28"/>
      <c r="TPW458" s="28"/>
      <c r="TPX458" s="28"/>
      <c r="TPY458" s="28"/>
      <c r="TPZ458" s="28"/>
      <c r="TQA458" s="28"/>
      <c r="TQB458" s="28"/>
      <c r="TQC458" s="28"/>
      <c r="TQD458" s="28"/>
      <c r="TQE458" s="28"/>
      <c r="TQF458" s="28"/>
      <c r="TQG458" s="28"/>
      <c r="TQH458" s="28"/>
      <c r="TQI458" s="28"/>
      <c r="TQJ458" s="28"/>
      <c r="TQK458" s="28"/>
      <c r="TQL458" s="28"/>
      <c r="TQM458" s="28"/>
      <c r="TQN458" s="28"/>
      <c r="TQO458" s="28"/>
      <c r="TQP458" s="28"/>
      <c r="TQQ458" s="28"/>
      <c r="TQR458" s="28"/>
      <c r="TQS458" s="28"/>
      <c r="TQT458" s="28"/>
      <c r="TQU458" s="28"/>
      <c r="TQV458" s="28"/>
      <c r="TQW458" s="28"/>
      <c r="TQX458" s="28"/>
      <c r="TQY458" s="28"/>
      <c r="TQZ458" s="28"/>
      <c r="TRA458" s="28"/>
      <c r="TRB458" s="28"/>
      <c r="TRC458" s="28"/>
      <c r="TRD458" s="28"/>
      <c r="TRE458" s="28"/>
      <c r="TRF458" s="28"/>
      <c r="TRG458" s="28"/>
      <c r="TRH458" s="28"/>
      <c r="TRI458" s="28"/>
      <c r="TRJ458" s="28"/>
      <c r="TRK458" s="28"/>
      <c r="TRL458" s="28"/>
      <c r="TRM458" s="28"/>
      <c r="TRN458" s="28"/>
      <c r="TRO458" s="28"/>
      <c r="TRP458" s="28"/>
      <c r="TRQ458" s="28"/>
      <c r="TRR458" s="28"/>
      <c r="TRS458" s="28"/>
      <c r="TRT458" s="28"/>
      <c r="TRU458" s="28"/>
      <c r="TRV458" s="28"/>
      <c r="TRW458" s="28"/>
      <c r="TRX458" s="28"/>
      <c r="TRY458" s="28"/>
      <c r="TRZ458" s="28"/>
      <c r="TSA458" s="28"/>
      <c r="TSB458" s="28"/>
      <c r="TSC458" s="28"/>
      <c r="TSD458" s="28"/>
      <c r="TSE458" s="28"/>
      <c r="TSF458" s="28"/>
      <c r="TSG458" s="28"/>
      <c r="TSH458" s="28"/>
      <c r="TSI458" s="28"/>
      <c r="TSJ458" s="28"/>
      <c r="TSK458" s="28"/>
      <c r="TSL458" s="28"/>
      <c r="TSM458" s="28"/>
      <c r="TSN458" s="28"/>
      <c r="TSO458" s="28"/>
      <c r="TSP458" s="28"/>
      <c r="TSQ458" s="28"/>
      <c r="TSR458" s="28"/>
      <c r="TSS458" s="28"/>
      <c r="TST458" s="28"/>
      <c r="TSU458" s="28"/>
      <c r="TSV458" s="28"/>
      <c r="TSW458" s="28"/>
      <c r="TSX458" s="28"/>
      <c r="TSY458" s="28"/>
      <c r="TSZ458" s="28"/>
      <c r="TTA458" s="28"/>
      <c r="TTB458" s="28"/>
      <c r="TTC458" s="28"/>
      <c r="TTD458" s="28"/>
      <c r="TTE458" s="28"/>
      <c r="TTF458" s="28"/>
      <c r="TTG458" s="28"/>
      <c r="TTH458" s="28"/>
      <c r="TTI458" s="28"/>
      <c r="TTJ458" s="28"/>
      <c r="TTK458" s="28"/>
      <c r="TTL458" s="28"/>
      <c r="TTM458" s="28"/>
      <c r="TTN458" s="28"/>
      <c r="TTO458" s="28"/>
      <c r="TTP458" s="28"/>
      <c r="TTQ458" s="28"/>
      <c r="TTR458" s="28"/>
      <c r="TTS458" s="28"/>
      <c r="TTT458" s="28"/>
      <c r="TTU458" s="28"/>
      <c r="TTV458" s="28"/>
      <c r="TTW458" s="28"/>
      <c r="TTX458" s="28"/>
      <c r="TTY458" s="28"/>
      <c r="TTZ458" s="28"/>
      <c r="TUA458" s="28"/>
      <c r="TUB458" s="28"/>
      <c r="TUC458" s="28"/>
      <c r="TUD458" s="28"/>
      <c r="TUE458" s="28"/>
      <c r="TUF458" s="28"/>
      <c r="TUG458" s="28"/>
      <c r="TUH458" s="28"/>
      <c r="TUI458" s="28"/>
      <c r="TUJ458" s="28"/>
      <c r="TUK458" s="28"/>
      <c r="TUL458" s="28"/>
      <c r="TUM458" s="28"/>
      <c r="TUN458" s="28"/>
      <c r="TUO458" s="28"/>
      <c r="TUP458" s="28"/>
      <c r="TUQ458" s="28"/>
      <c r="TUR458" s="28"/>
      <c r="TUS458" s="28"/>
      <c r="TUT458" s="28"/>
      <c r="TUU458" s="28"/>
      <c r="TUV458" s="28"/>
      <c r="TUW458" s="28"/>
      <c r="TUX458" s="28"/>
      <c r="TUY458" s="28"/>
      <c r="TUZ458" s="28"/>
      <c r="TVA458" s="28"/>
      <c r="TVB458" s="28"/>
      <c r="TVC458" s="28"/>
      <c r="TVD458" s="28"/>
      <c r="TVE458" s="28"/>
      <c r="TVF458" s="28"/>
      <c r="TVG458" s="28"/>
      <c r="TVH458" s="28"/>
      <c r="TVI458" s="28"/>
      <c r="TVJ458" s="28"/>
      <c r="TVK458" s="28"/>
      <c r="TVL458" s="28"/>
      <c r="TVM458" s="28"/>
      <c r="TVN458" s="28"/>
      <c r="TVO458" s="28"/>
      <c r="TVP458" s="28"/>
      <c r="TVQ458" s="28"/>
      <c r="TVR458" s="28"/>
      <c r="TVS458" s="28"/>
      <c r="TVT458" s="28"/>
      <c r="TVU458" s="28"/>
      <c r="TVV458" s="28"/>
      <c r="TVW458" s="28"/>
      <c r="TVX458" s="28"/>
      <c r="TVY458" s="28"/>
      <c r="TVZ458" s="28"/>
      <c r="TWA458" s="28"/>
      <c r="TWB458" s="28"/>
      <c r="TWC458" s="28"/>
      <c r="TWD458" s="28"/>
      <c r="TWE458" s="28"/>
      <c r="TWF458" s="28"/>
      <c r="TWG458" s="28"/>
      <c r="TWH458" s="28"/>
      <c r="TWI458" s="28"/>
      <c r="TWJ458" s="28"/>
      <c r="TWK458" s="28"/>
      <c r="TWL458" s="28"/>
      <c r="TWM458" s="28"/>
      <c r="TWN458" s="28"/>
      <c r="TWO458" s="28"/>
      <c r="TWP458" s="28"/>
      <c r="TWQ458" s="28"/>
      <c r="TWR458" s="28"/>
      <c r="TWS458" s="28"/>
      <c r="TWT458" s="28"/>
      <c r="TWU458" s="28"/>
      <c r="TWV458" s="28"/>
      <c r="TWW458" s="28"/>
      <c r="TWX458" s="28"/>
      <c r="TWY458" s="28"/>
      <c r="TWZ458" s="28"/>
      <c r="TXA458" s="28"/>
      <c r="TXB458" s="28"/>
      <c r="TXC458" s="28"/>
      <c r="TXD458" s="28"/>
      <c r="TXE458" s="28"/>
      <c r="TXF458" s="28"/>
      <c r="TXG458" s="28"/>
      <c r="TXH458" s="28"/>
      <c r="TXI458" s="28"/>
      <c r="TXJ458" s="28"/>
      <c r="TXK458" s="28"/>
      <c r="TXL458" s="28"/>
      <c r="TXM458" s="28"/>
      <c r="TXN458" s="28"/>
      <c r="TXO458" s="28"/>
      <c r="TXP458" s="28"/>
      <c r="TXQ458" s="28"/>
      <c r="TXR458" s="28"/>
      <c r="TXS458" s="28"/>
      <c r="TXT458" s="28"/>
      <c r="TXU458" s="28"/>
      <c r="TXV458" s="28"/>
      <c r="TXW458" s="28"/>
      <c r="TXX458" s="28"/>
      <c r="TXY458" s="28"/>
      <c r="TXZ458" s="28"/>
      <c r="TYA458" s="28"/>
      <c r="TYB458" s="28"/>
      <c r="TYC458" s="28"/>
      <c r="TYD458" s="28"/>
      <c r="TYE458" s="28"/>
      <c r="TYF458" s="28"/>
      <c r="TYG458" s="28"/>
      <c r="TYH458" s="28"/>
      <c r="TYI458" s="28"/>
      <c r="TYJ458" s="28"/>
      <c r="TYK458" s="28"/>
      <c r="TYL458" s="28"/>
      <c r="TYM458" s="28"/>
      <c r="TYN458" s="28"/>
      <c r="TYO458" s="28"/>
      <c r="TYP458" s="28"/>
      <c r="TYQ458" s="28"/>
      <c r="TYR458" s="28"/>
      <c r="TYS458" s="28"/>
      <c r="TYT458" s="28"/>
      <c r="TYU458" s="28"/>
      <c r="TYV458" s="28"/>
      <c r="TYW458" s="28"/>
      <c r="TYX458" s="28"/>
      <c r="TYY458" s="28"/>
      <c r="TYZ458" s="28"/>
      <c r="TZA458" s="28"/>
      <c r="TZB458" s="28"/>
      <c r="TZC458" s="28"/>
      <c r="TZD458" s="28"/>
      <c r="TZE458" s="28"/>
      <c r="TZF458" s="28"/>
      <c r="TZG458" s="28"/>
      <c r="TZH458" s="28"/>
      <c r="TZI458" s="28"/>
      <c r="TZJ458" s="28"/>
      <c r="TZK458" s="28"/>
      <c r="TZL458" s="28"/>
      <c r="TZM458" s="28"/>
      <c r="TZN458" s="28"/>
      <c r="TZO458" s="28"/>
      <c r="TZP458" s="28"/>
      <c r="TZQ458" s="28"/>
      <c r="TZR458" s="28"/>
      <c r="TZS458" s="28"/>
      <c r="TZT458" s="28"/>
      <c r="TZU458" s="28"/>
      <c r="TZV458" s="28"/>
      <c r="TZW458" s="28"/>
      <c r="TZX458" s="28"/>
      <c r="TZY458" s="28"/>
      <c r="TZZ458" s="28"/>
      <c r="UAA458" s="28"/>
      <c r="UAB458" s="28"/>
      <c r="UAC458" s="28"/>
      <c r="UAD458" s="28"/>
      <c r="UAE458" s="28"/>
      <c r="UAF458" s="28"/>
      <c r="UAG458" s="28"/>
      <c r="UAH458" s="28"/>
      <c r="UAI458" s="28"/>
      <c r="UAJ458" s="28"/>
      <c r="UAK458" s="28"/>
      <c r="UAL458" s="28"/>
      <c r="UAM458" s="28"/>
      <c r="UAN458" s="28"/>
      <c r="UAO458" s="28"/>
      <c r="UAP458" s="28"/>
      <c r="UAQ458" s="28"/>
      <c r="UAR458" s="28"/>
      <c r="UAS458" s="28"/>
      <c r="UAT458" s="28"/>
      <c r="UAU458" s="28"/>
      <c r="UAV458" s="28"/>
      <c r="UAW458" s="28"/>
      <c r="UAX458" s="28"/>
      <c r="UAY458" s="28"/>
      <c r="UAZ458" s="28"/>
      <c r="UBA458" s="28"/>
      <c r="UBB458" s="28"/>
      <c r="UBC458" s="28"/>
      <c r="UBD458" s="28"/>
      <c r="UBE458" s="28"/>
      <c r="UBF458" s="28"/>
      <c r="UBG458" s="28"/>
      <c r="UBH458" s="28"/>
      <c r="UBI458" s="28"/>
      <c r="UBJ458" s="28"/>
      <c r="UBK458" s="28"/>
      <c r="UBL458" s="28"/>
      <c r="UBM458" s="28"/>
      <c r="UBN458" s="28"/>
      <c r="UBO458" s="28"/>
      <c r="UBP458" s="28"/>
      <c r="UBQ458" s="28"/>
      <c r="UBR458" s="28"/>
      <c r="UBS458" s="28"/>
      <c r="UBT458" s="28"/>
      <c r="UBU458" s="28"/>
      <c r="UBV458" s="28"/>
      <c r="UBW458" s="28"/>
      <c r="UBX458" s="28"/>
      <c r="UBY458" s="28"/>
      <c r="UBZ458" s="28"/>
      <c r="UCA458" s="28"/>
      <c r="UCB458" s="28"/>
      <c r="UCC458" s="28"/>
      <c r="UCD458" s="28"/>
      <c r="UCE458" s="28"/>
      <c r="UCF458" s="28"/>
      <c r="UCG458" s="28"/>
      <c r="UCH458" s="28"/>
      <c r="UCI458" s="28"/>
      <c r="UCJ458" s="28"/>
      <c r="UCK458" s="28"/>
      <c r="UCL458" s="28"/>
      <c r="UCM458" s="28"/>
      <c r="UCN458" s="28"/>
      <c r="UCO458" s="28"/>
      <c r="UCP458" s="28"/>
      <c r="UCQ458" s="28"/>
      <c r="UCR458" s="28"/>
      <c r="UCS458" s="28"/>
      <c r="UCT458" s="28"/>
      <c r="UCU458" s="28"/>
      <c r="UCV458" s="28"/>
      <c r="UCW458" s="28"/>
      <c r="UCX458" s="28"/>
      <c r="UCY458" s="28"/>
      <c r="UCZ458" s="28"/>
      <c r="UDA458" s="28"/>
      <c r="UDB458" s="28"/>
      <c r="UDC458" s="28"/>
      <c r="UDD458" s="28"/>
      <c r="UDE458" s="28"/>
      <c r="UDF458" s="28"/>
      <c r="UDG458" s="28"/>
      <c r="UDH458" s="28"/>
      <c r="UDI458" s="28"/>
      <c r="UDJ458" s="28"/>
      <c r="UDK458" s="28"/>
      <c r="UDL458" s="28"/>
      <c r="UDM458" s="28"/>
      <c r="UDN458" s="28"/>
      <c r="UDO458" s="28"/>
      <c r="UDP458" s="28"/>
      <c r="UDQ458" s="28"/>
      <c r="UDR458" s="28"/>
      <c r="UDS458" s="28"/>
      <c r="UDT458" s="28"/>
      <c r="UDU458" s="28"/>
      <c r="UDV458" s="28"/>
      <c r="UDW458" s="28"/>
      <c r="UDX458" s="28"/>
      <c r="UDY458" s="28"/>
      <c r="UDZ458" s="28"/>
      <c r="UEA458" s="28"/>
      <c r="UEB458" s="28"/>
      <c r="UEC458" s="28"/>
      <c r="UED458" s="28"/>
      <c r="UEE458" s="28"/>
      <c r="UEF458" s="28"/>
      <c r="UEG458" s="28"/>
      <c r="UEH458" s="28"/>
      <c r="UEI458" s="28"/>
      <c r="UEJ458" s="28"/>
      <c r="UEK458" s="28"/>
      <c r="UEL458" s="28"/>
      <c r="UEM458" s="28"/>
      <c r="UEN458" s="28"/>
      <c r="UEO458" s="28"/>
      <c r="UEP458" s="28"/>
      <c r="UEQ458" s="28"/>
      <c r="UER458" s="28"/>
      <c r="UES458" s="28"/>
      <c r="UET458" s="28"/>
      <c r="UEU458" s="28"/>
      <c r="UEV458" s="28"/>
      <c r="UEW458" s="28"/>
      <c r="UEX458" s="28"/>
      <c r="UEY458" s="28"/>
      <c r="UEZ458" s="28"/>
      <c r="UFA458" s="28"/>
      <c r="UFB458" s="28"/>
      <c r="UFC458" s="28"/>
      <c r="UFD458" s="28"/>
      <c r="UFE458" s="28"/>
      <c r="UFF458" s="28"/>
      <c r="UFG458" s="28"/>
      <c r="UFH458" s="28"/>
      <c r="UFI458" s="28"/>
      <c r="UFJ458" s="28"/>
      <c r="UFK458" s="28"/>
      <c r="UFL458" s="28"/>
      <c r="UFM458" s="28"/>
      <c r="UFN458" s="28"/>
      <c r="UFO458" s="28"/>
      <c r="UFP458" s="28"/>
      <c r="UFQ458" s="28"/>
      <c r="UFR458" s="28"/>
      <c r="UFS458" s="28"/>
      <c r="UFT458" s="28"/>
      <c r="UFU458" s="28"/>
      <c r="UFV458" s="28"/>
      <c r="UFW458" s="28"/>
      <c r="UFX458" s="28"/>
      <c r="UFY458" s="28"/>
      <c r="UFZ458" s="28"/>
      <c r="UGA458" s="28"/>
      <c r="UGB458" s="28"/>
      <c r="UGC458" s="28"/>
      <c r="UGD458" s="28"/>
      <c r="UGE458" s="28"/>
      <c r="UGF458" s="28"/>
      <c r="UGG458" s="28"/>
      <c r="UGH458" s="28"/>
      <c r="UGI458" s="28"/>
      <c r="UGJ458" s="28"/>
      <c r="UGK458" s="28"/>
      <c r="UGL458" s="28"/>
      <c r="UGM458" s="28"/>
      <c r="UGN458" s="28"/>
      <c r="UGO458" s="28"/>
      <c r="UGP458" s="28"/>
      <c r="UGQ458" s="28"/>
      <c r="UGR458" s="28"/>
      <c r="UGS458" s="28"/>
      <c r="UGT458" s="28"/>
      <c r="UGU458" s="28"/>
      <c r="UGV458" s="28"/>
      <c r="UGW458" s="28"/>
      <c r="UGX458" s="28"/>
      <c r="UGY458" s="28"/>
      <c r="UGZ458" s="28"/>
      <c r="UHA458" s="28"/>
      <c r="UHB458" s="28"/>
      <c r="UHC458" s="28"/>
      <c r="UHD458" s="28"/>
      <c r="UHE458" s="28"/>
      <c r="UHF458" s="28"/>
      <c r="UHG458" s="28"/>
      <c r="UHH458" s="28"/>
      <c r="UHI458" s="28"/>
      <c r="UHJ458" s="28"/>
      <c r="UHK458" s="28"/>
      <c r="UHL458" s="28"/>
      <c r="UHM458" s="28"/>
      <c r="UHN458" s="28"/>
      <c r="UHO458" s="28"/>
      <c r="UHP458" s="28"/>
      <c r="UHQ458" s="28"/>
      <c r="UHR458" s="28"/>
      <c r="UHS458" s="28"/>
      <c r="UHT458" s="28"/>
      <c r="UHU458" s="28"/>
      <c r="UHV458" s="28"/>
      <c r="UHW458" s="28"/>
      <c r="UHX458" s="28"/>
      <c r="UHY458" s="28"/>
      <c r="UHZ458" s="28"/>
      <c r="UIA458" s="28"/>
      <c r="UIB458" s="28"/>
      <c r="UIC458" s="28"/>
      <c r="UID458" s="28"/>
      <c r="UIE458" s="28"/>
      <c r="UIF458" s="28"/>
      <c r="UIG458" s="28"/>
      <c r="UIH458" s="28"/>
      <c r="UII458" s="28"/>
      <c r="UIJ458" s="28"/>
      <c r="UIK458" s="28"/>
      <c r="UIL458" s="28"/>
      <c r="UIM458" s="28"/>
      <c r="UIN458" s="28"/>
      <c r="UIO458" s="28"/>
      <c r="UIP458" s="28"/>
      <c r="UIQ458" s="28"/>
      <c r="UIR458" s="28"/>
      <c r="UIS458" s="28"/>
      <c r="UIT458" s="28"/>
      <c r="UIU458" s="28"/>
      <c r="UIV458" s="28"/>
      <c r="UIW458" s="28"/>
      <c r="UIX458" s="28"/>
      <c r="UIY458" s="28"/>
      <c r="UIZ458" s="28"/>
      <c r="UJA458" s="28"/>
      <c r="UJB458" s="28"/>
      <c r="UJC458" s="28"/>
      <c r="UJD458" s="28"/>
      <c r="UJE458" s="28"/>
      <c r="UJF458" s="28"/>
      <c r="UJG458" s="28"/>
      <c r="UJH458" s="28"/>
      <c r="UJI458" s="28"/>
      <c r="UJJ458" s="28"/>
      <c r="UJK458" s="28"/>
      <c r="UJL458" s="28"/>
      <c r="UJM458" s="28"/>
      <c r="UJN458" s="28"/>
      <c r="UJO458" s="28"/>
      <c r="UJP458" s="28"/>
      <c r="UJQ458" s="28"/>
      <c r="UJR458" s="28"/>
      <c r="UJS458" s="28"/>
      <c r="UJT458" s="28"/>
      <c r="UJU458" s="28"/>
      <c r="UJV458" s="28"/>
      <c r="UJW458" s="28"/>
      <c r="UJX458" s="28"/>
      <c r="UJY458" s="28"/>
      <c r="UJZ458" s="28"/>
      <c r="UKA458" s="28"/>
      <c r="UKB458" s="28"/>
      <c r="UKC458" s="28"/>
      <c r="UKD458" s="28"/>
      <c r="UKE458" s="28"/>
      <c r="UKF458" s="28"/>
      <c r="UKG458" s="28"/>
      <c r="UKH458" s="28"/>
      <c r="UKI458" s="28"/>
      <c r="UKJ458" s="28"/>
      <c r="UKK458" s="28"/>
      <c r="UKL458" s="28"/>
      <c r="UKM458" s="28"/>
      <c r="UKN458" s="28"/>
      <c r="UKO458" s="28"/>
      <c r="UKP458" s="28"/>
      <c r="UKQ458" s="28"/>
      <c r="UKR458" s="28"/>
      <c r="UKS458" s="28"/>
      <c r="UKT458" s="28"/>
      <c r="UKU458" s="28"/>
      <c r="UKV458" s="28"/>
      <c r="UKW458" s="28"/>
      <c r="UKX458" s="28"/>
      <c r="UKY458" s="28"/>
      <c r="UKZ458" s="28"/>
      <c r="ULA458" s="28"/>
      <c r="ULB458" s="28"/>
      <c r="ULC458" s="28"/>
      <c r="ULD458" s="28"/>
      <c r="ULE458" s="28"/>
      <c r="ULF458" s="28"/>
      <c r="ULG458" s="28"/>
      <c r="ULH458" s="28"/>
      <c r="ULI458" s="28"/>
      <c r="ULJ458" s="28"/>
      <c r="ULK458" s="28"/>
      <c r="ULL458" s="28"/>
      <c r="ULM458" s="28"/>
      <c r="ULN458" s="28"/>
      <c r="ULO458" s="28"/>
      <c r="ULP458" s="28"/>
      <c r="ULQ458" s="28"/>
      <c r="ULR458" s="28"/>
      <c r="ULS458" s="28"/>
      <c r="ULT458" s="28"/>
      <c r="ULU458" s="28"/>
      <c r="ULV458" s="28"/>
      <c r="ULW458" s="28"/>
      <c r="ULX458" s="28"/>
      <c r="ULY458" s="28"/>
      <c r="ULZ458" s="28"/>
      <c r="UMA458" s="28"/>
      <c r="UMB458" s="28"/>
      <c r="UMC458" s="28"/>
      <c r="UMD458" s="28"/>
      <c r="UME458" s="28"/>
      <c r="UMF458" s="28"/>
      <c r="UMG458" s="28"/>
      <c r="UMH458" s="28"/>
      <c r="UMI458" s="28"/>
      <c r="UMJ458" s="28"/>
      <c r="UMK458" s="28"/>
      <c r="UML458" s="28"/>
      <c r="UMM458" s="28"/>
      <c r="UMN458" s="28"/>
      <c r="UMO458" s="28"/>
      <c r="UMP458" s="28"/>
      <c r="UMQ458" s="28"/>
      <c r="UMR458" s="28"/>
      <c r="UMS458" s="28"/>
      <c r="UMT458" s="28"/>
      <c r="UMU458" s="28"/>
      <c r="UMV458" s="28"/>
      <c r="UMW458" s="28"/>
      <c r="UMX458" s="28"/>
      <c r="UMY458" s="28"/>
      <c r="UMZ458" s="28"/>
      <c r="UNA458" s="28"/>
      <c r="UNB458" s="28"/>
      <c r="UNC458" s="28"/>
      <c r="UND458" s="28"/>
      <c r="UNE458" s="28"/>
      <c r="UNF458" s="28"/>
      <c r="UNG458" s="28"/>
      <c r="UNH458" s="28"/>
      <c r="UNI458" s="28"/>
      <c r="UNJ458" s="28"/>
      <c r="UNK458" s="28"/>
      <c r="UNL458" s="28"/>
      <c r="UNM458" s="28"/>
      <c r="UNN458" s="28"/>
      <c r="UNO458" s="28"/>
      <c r="UNP458" s="28"/>
      <c r="UNQ458" s="28"/>
      <c r="UNR458" s="28"/>
      <c r="UNS458" s="28"/>
      <c r="UNT458" s="28"/>
      <c r="UNU458" s="28"/>
      <c r="UNV458" s="28"/>
      <c r="UNW458" s="28"/>
      <c r="UNX458" s="28"/>
      <c r="UNY458" s="28"/>
      <c r="UNZ458" s="28"/>
      <c r="UOA458" s="28"/>
      <c r="UOB458" s="28"/>
      <c r="UOC458" s="28"/>
      <c r="UOD458" s="28"/>
      <c r="UOE458" s="28"/>
      <c r="UOF458" s="28"/>
      <c r="UOG458" s="28"/>
      <c r="UOH458" s="28"/>
      <c r="UOI458" s="28"/>
      <c r="UOJ458" s="28"/>
      <c r="UOK458" s="28"/>
      <c r="UOL458" s="28"/>
      <c r="UOM458" s="28"/>
      <c r="UON458" s="28"/>
      <c r="UOO458" s="28"/>
      <c r="UOP458" s="28"/>
      <c r="UOQ458" s="28"/>
      <c r="UOR458" s="28"/>
      <c r="UOS458" s="28"/>
      <c r="UOT458" s="28"/>
      <c r="UOU458" s="28"/>
      <c r="UOV458" s="28"/>
      <c r="UOW458" s="28"/>
      <c r="UOX458" s="28"/>
      <c r="UOY458" s="28"/>
      <c r="UOZ458" s="28"/>
      <c r="UPA458" s="28"/>
      <c r="UPB458" s="28"/>
      <c r="UPC458" s="28"/>
      <c r="UPD458" s="28"/>
      <c r="UPE458" s="28"/>
      <c r="UPF458" s="28"/>
      <c r="UPG458" s="28"/>
      <c r="UPH458" s="28"/>
      <c r="UPI458" s="28"/>
      <c r="UPJ458" s="28"/>
      <c r="UPK458" s="28"/>
      <c r="UPL458" s="28"/>
      <c r="UPM458" s="28"/>
      <c r="UPN458" s="28"/>
      <c r="UPO458" s="28"/>
      <c r="UPP458" s="28"/>
      <c r="UPQ458" s="28"/>
      <c r="UPR458" s="28"/>
      <c r="UPS458" s="28"/>
      <c r="UPT458" s="28"/>
      <c r="UPU458" s="28"/>
      <c r="UPV458" s="28"/>
      <c r="UPW458" s="28"/>
      <c r="UPX458" s="28"/>
      <c r="UPY458" s="28"/>
      <c r="UPZ458" s="28"/>
      <c r="UQA458" s="28"/>
      <c r="UQB458" s="28"/>
      <c r="UQC458" s="28"/>
      <c r="UQD458" s="28"/>
      <c r="UQE458" s="28"/>
      <c r="UQF458" s="28"/>
      <c r="UQG458" s="28"/>
      <c r="UQH458" s="28"/>
      <c r="UQI458" s="28"/>
      <c r="UQJ458" s="28"/>
      <c r="UQK458" s="28"/>
      <c r="UQL458" s="28"/>
      <c r="UQM458" s="28"/>
      <c r="UQN458" s="28"/>
      <c r="UQO458" s="28"/>
      <c r="UQP458" s="28"/>
      <c r="UQQ458" s="28"/>
      <c r="UQR458" s="28"/>
      <c r="UQS458" s="28"/>
      <c r="UQT458" s="28"/>
      <c r="UQU458" s="28"/>
      <c r="UQV458" s="28"/>
      <c r="UQW458" s="28"/>
      <c r="UQX458" s="28"/>
      <c r="UQY458" s="28"/>
      <c r="UQZ458" s="28"/>
      <c r="URA458" s="28"/>
      <c r="URB458" s="28"/>
      <c r="URC458" s="28"/>
      <c r="URD458" s="28"/>
      <c r="URE458" s="28"/>
      <c r="URF458" s="28"/>
      <c r="URG458" s="28"/>
      <c r="URH458" s="28"/>
      <c r="URI458" s="28"/>
      <c r="URJ458" s="28"/>
      <c r="URK458" s="28"/>
      <c r="URL458" s="28"/>
      <c r="URM458" s="28"/>
      <c r="URN458" s="28"/>
      <c r="URO458" s="28"/>
      <c r="URP458" s="28"/>
      <c r="URQ458" s="28"/>
      <c r="URR458" s="28"/>
      <c r="URS458" s="28"/>
      <c r="URT458" s="28"/>
      <c r="URU458" s="28"/>
      <c r="URV458" s="28"/>
      <c r="URW458" s="28"/>
      <c r="URX458" s="28"/>
      <c r="URY458" s="28"/>
      <c r="URZ458" s="28"/>
      <c r="USA458" s="28"/>
      <c r="USB458" s="28"/>
      <c r="USC458" s="28"/>
      <c r="USD458" s="28"/>
      <c r="USE458" s="28"/>
      <c r="USF458" s="28"/>
      <c r="USG458" s="28"/>
      <c r="USH458" s="28"/>
      <c r="USI458" s="28"/>
      <c r="USJ458" s="28"/>
      <c r="USK458" s="28"/>
      <c r="USL458" s="28"/>
      <c r="USM458" s="28"/>
      <c r="USN458" s="28"/>
      <c r="USO458" s="28"/>
      <c r="USP458" s="28"/>
      <c r="USQ458" s="28"/>
      <c r="USR458" s="28"/>
      <c r="USS458" s="28"/>
      <c r="UST458" s="28"/>
      <c r="USU458" s="28"/>
      <c r="USV458" s="28"/>
      <c r="USW458" s="28"/>
      <c r="USX458" s="28"/>
      <c r="USY458" s="28"/>
      <c r="USZ458" s="28"/>
      <c r="UTA458" s="28"/>
      <c r="UTB458" s="28"/>
      <c r="UTC458" s="28"/>
      <c r="UTD458" s="28"/>
      <c r="UTE458" s="28"/>
      <c r="UTF458" s="28"/>
      <c r="UTG458" s="28"/>
      <c r="UTH458" s="28"/>
      <c r="UTI458" s="28"/>
      <c r="UTJ458" s="28"/>
      <c r="UTK458" s="28"/>
      <c r="UTL458" s="28"/>
      <c r="UTM458" s="28"/>
      <c r="UTN458" s="28"/>
      <c r="UTO458" s="28"/>
      <c r="UTP458" s="28"/>
      <c r="UTQ458" s="28"/>
      <c r="UTR458" s="28"/>
      <c r="UTS458" s="28"/>
      <c r="UTT458" s="28"/>
      <c r="UTU458" s="28"/>
      <c r="UTV458" s="28"/>
      <c r="UTW458" s="28"/>
      <c r="UTX458" s="28"/>
      <c r="UTY458" s="28"/>
      <c r="UTZ458" s="28"/>
      <c r="UUA458" s="28"/>
      <c r="UUB458" s="28"/>
      <c r="UUC458" s="28"/>
      <c r="UUD458" s="28"/>
      <c r="UUE458" s="28"/>
      <c r="UUF458" s="28"/>
      <c r="UUG458" s="28"/>
      <c r="UUH458" s="28"/>
      <c r="UUI458" s="28"/>
      <c r="UUJ458" s="28"/>
      <c r="UUK458" s="28"/>
      <c r="UUL458" s="28"/>
      <c r="UUM458" s="28"/>
      <c r="UUN458" s="28"/>
      <c r="UUO458" s="28"/>
      <c r="UUP458" s="28"/>
      <c r="UUQ458" s="28"/>
      <c r="UUR458" s="28"/>
      <c r="UUS458" s="28"/>
      <c r="UUT458" s="28"/>
      <c r="UUU458" s="28"/>
      <c r="UUV458" s="28"/>
      <c r="UUW458" s="28"/>
      <c r="UUX458" s="28"/>
      <c r="UUY458" s="28"/>
      <c r="UUZ458" s="28"/>
      <c r="UVA458" s="28"/>
      <c r="UVB458" s="28"/>
      <c r="UVC458" s="28"/>
      <c r="UVD458" s="28"/>
      <c r="UVE458" s="28"/>
      <c r="UVF458" s="28"/>
      <c r="UVG458" s="28"/>
      <c r="UVH458" s="28"/>
      <c r="UVI458" s="28"/>
      <c r="UVJ458" s="28"/>
      <c r="UVK458" s="28"/>
      <c r="UVL458" s="28"/>
      <c r="UVM458" s="28"/>
      <c r="UVN458" s="28"/>
      <c r="UVO458" s="28"/>
      <c r="UVP458" s="28"/>
      <c r="UVQ458" s="28"/>
      <c r="UVR458" s="28"/>
      <c r="UVS458" s="28"/>
      <c r="UVT458" s="28"/>
      <c r="UVU458" s="28"/>
      <c r="UVV458" s="28"/>
      <c r="UVW458" s="28"/>
      <c r="UVX458" s="28"/>
      <c r="UVY458" s="28"/>
      <c r="UVZ458" s="28"/>
      <c r="UWA458" s="28"/>
      <c r="UWB458" s="28"/>
      <c r="UWC458" s="28"/>
      <c r="UWD458" s="28"/>
      <c r="UWE458" s="28"/>
      <c r="UWF458" s="28"/>
      <c r="UWG458" s="28"/>
      <c r="UWH458" s="28"/>
      <c r="UWI458" s="28"/>
      <c r="UWJ458" s="28"/>
      <c r="UWK458" s="28"/>
      <c r="UWL458" s="28"/>
      <c r="UWM458" s="28"/>
      <c r="UWN458" s="28"/>
      <c r="UWO458" s="28"/>
      <c r="UWP458" s="28"/>
      <c r="UWQ458" s="28"/>
      <c r="UWR458" s="28"/>
      <c r="UWS458" s="28"/>
      <c r="UWT458" s="28"/>
      <c r="UWU458" s="28"/>
      <c r="UWV458" s="28"/>
      <c r="UWW458" s="28"/>
      <c r="UWX458" s="28"/>
      <c r="UWY458" s="28"/>
      <c r="UWZ458" s="28"/>
      <c r="UXA458" s="28"/>
      <c r="UXB458" s="28"/>
      <c r="UXC458" s="28"/>
      <c r="UXD458" s="28"/>
      <c r="UXE458" s="28"/>
      <c r="UXF458" s="28"/>
      <c r="UXG458" s="28"/>
      <c r="UXH458" s="28"/>
      <c r="UXI458" s="28"/>
      <c r="UXJ458" s="28"/>
      <c r="UXK458" s="28"/>
      <c r="UXL458" s="28"/>
      <c r="UXM458" s="28"/>
      <c r="UXN458" s="28"/>
      <c r="UXO458" s="28"/>
      <c r="UXP458" s="28"/>
      <c r="UXQ458" s="28"/>
      <c r="UXR458" s="28"/>
      <c r="UXS458" s="28"/>
      <c r="UXT458" s="28"/>
      <c r="UXU458" s="28"/>
      <c r="UXV458" s="28"/>
      <c r="UXW458" s="28"/>
      <c r="UXX458" s="28"/>
      <c r="UXY458" s="28"/>
      <c r="UXZ458" s="28"/>
      <c r="UYA458" s="28"/>
      <c r="UYB458" s="28"/>
      <c r="UYC458" s="28"/>
      <c r="UYD458" s="28"/>
      <c r="UYE458" s="28"/>
      <c r="UYF458" s="28"/>
      <c r="UYG458" s="28"/>
      <c r="UYH458" s="28"/>
      <c r="UYI458" s="28"/>
      <c r="UYJ458" s="28"/>
      <c r="UYK458" s="28"/>
      <c r="UYL458" s="28"/>
      <c r="UYM458" s="28"/>
      <c r="UYN458" s="28"/>
      <c r="UYO458" s="28"/>
      <c r="UYP458" s="28"/>
      <c r="UYQ458" s="28"/>
      <c r="UYR458" s="28"/>
      <c r="UYS458" s="28"/>
      <c r="UYT458" s="28"/>
      <c r="UYU458" s="28"/>
      <c r="UYV458" s="28"/>
      <c r="UYW458" s="28"/>
      <c r="UYX458" s="28"/>
      <c r="UYY458" s="28"/>
      <c r="UYZ458" s="28"/>
      <c r="UZA458" s="28"/>
      <c r="UZB458" s="28"/>
      <c r="UZC458" s="28"/>
      <c r="UZD458" s="28"/>
      <c r="UZE458" s="28"/>
      <c r="UZF458" s="28"/>
      <c r="UZG458" s="28"/>
      <c r="UZH458" s="28"/>
      <c r="UZI458" s="28"/>
      <c r="UZJ458" s="28"/>
      <c r="UZK458" s="28"/>
      <c r="UZL458" s="28"/>
      <c r="UZM458" s="28"/>
      <c r="UZN458" s="28"/>
      <c r="UZO458" s="28"/>
      <c r="UZP458" s="28"/>
      <c r="UZQ458" s="28"/>
      <c r="UZR458" s="28"/>
      <c r="UZS458" s="28"/>
      <c r="UZT458" s="28"/>
      <c r="UZU458" s="28"/>
      <c r="UZV458" s="28"/>
      <c r="UZW458" s="28"/>
      <c r="UZX458" s="28"/>
      <c r="UZY458" s="28"/>
      <c r="UZZ458" s="28"/>
      <c r="VAA458" s="28"/>
      <c r="VAB458" s="28"/>
      <c r="VAC458" s="28"/>
      <c r="VAD458" s="28"/>
      <c r="VAE458" s="28"/>
      <c r="VAF458" s="28"/>
      <c r="VAG458" s="28"/>
      <c r="VAH458" s="28"/>
      <c r="VAI458" s="28"/>
      <c r="VAJ458" s="28"/>
      <c r="VAK458" s="28"/>
      <c r="VAL458" s="28"/>
      <c r="VAM458" s="28"/>
      <c r="VAN458" s="28"/>
      <c r="VAO458" s="28"/>
      <c r="VAP458" s="28"/>
      <c r="VAQ458" s="28"/>
      <c r="VAR458" s="28"/>
      <c r="VAS458" s="28"/>
      <c r="VAT458" s="28"/>
      <c r="VAU458" s="28"/>
      <c r="VAV458" s="28"/>
      <c r="VAW458" s="28"/>
      <c r="VAX458" s="28"/>
      <c r="VAY458" s="28"/>
      <c r="VAZ458" s="28"/>
      <c r="VBA458" s="28"/>
      <c r="VBB458" s="28"/>
      <c r="VBC458" s="28"/>
      <c r="VBD458" s="28"/>
      <c r="VBE458" s="28"/>
      <c r="VBF458" s="28"/>
      <c r="VBG458" s="28"/>
      <c r="VBH458" s="28"/>
      <c r="VBI458" s="28"/>
      <c r="VBJ458" s="28"/>
      <c r="VBK458" s="28"/>
      <c r="VBL458" s="28"/>
      <c r="VBM458" s="28"/>
      <c r="VBN458" s="28"/>
      <c r="VBO458" s="28"/>
      <c r="VBP458" s="28"/>
      <c r="VBQ458" s="28"/>
      <c r="VBR458" s="28"/>
      <c r="VBS458" s="28"/>
      <c r="VBT458" s="28"/>
      <c r="VBU458" s="28"/>
      <c r="VBV458" s="28"/>
      <c r="VBW458" s="28"/>
      <c r="VBX458" s="28"/>
      <c r="VBY458" s="28"/>
      <c r="VBZ458" s="28"/>
      <c r="VCA458" s="28"/>
      <c r="VCB458" s="28"/>
      <c r="VCC458" s="28"/>
      <c r="VCD458" s="28"/>
      <c r="VCE458" s="28"/>
      <c r="VCF458" s="28"/>
      <c r="VCG458" s="28"/>
      <c r="VCH458" s="28"/>
      <c r="VCI458" s="28"/>
      <c r="VCJ458" s="28"/>
      <c r="VCK458" s="28"/>
      <c r="VCL458" s="28"/>
      <c r="VCM458" s="28"/>
      <c r="VCN458" s="28"/>
      <c r="VCO458" s="28"/>
      <c r="VCP458" s="28"/>
      <c r="VCQ458" s="28"/>
      <c r="VCR458" s="28"/>
      <c r="VCS458" s="28"/>
      <c r="VCT458" s="28"/>
      <c r="VCU458" s="28"/>
      <c r="VCV458" s="28"/>
      <c r="VCW458" s="28"/>
      <c r="VCX458" s="28"/>
      <c r="VCY458" s="28"/>
      <c r="VCZ458" s="28"/>
      <c r="VDA458" s="28"/>
      <c r="VDB458" s="28"/>
      <c r="VDC458" s="28"/>
      <c r="VDD458" s="28"/>
      <c r="VDE458" s="28"/>
      <c r="VDF458" s="28"/>
      <c r="VDG458" s="28"/>
      <c r="VDH458" s="28"/>
      <c r="VDI458" s="28"/>
      <c r="VDJ458" s="28"/>
      <c r="VDK458" s="28"/>
      <c r="VDL458" s="28"/>
      <c r="VDM458" s="28"/>
      <c r="VDN458" s="28"/>
      <c r="VDO458" s="28"/>
      <c r="VDP458" s="28"/>
      <c r="VDQ458" s="28"/>
      <c r="VDR458" s="28"/>
      <c r="VDS458" s="28"/>
      <c r="VDT458" s="28"/>
      <c r="VDU458" s="28"/>
      <c r="VDV458" s="28"/>
      <c r="VDW458" s="28"/>
      <c r="VDX458" s="28"/>
      <c r="VDY458" s="28"/>
      <c r="VDZ458" s="28"/>
      <c r="VEA458" s="28"/>
      <c r="VEB458" s="28"/>
      <c r="VEC458" s="28"/>
      <c r="VED458" s="28"/>
      <c r="VEE458" s="28"/>
      <c r="VEF458" s="28"/>
      <c r="VEG458" s="28"/>
      <c r="VEH458" s="28"/>
      <c r="VEI458" s="28"/>
      <c r="VEJ458" s="28"/>
      <c r="VEK458" s="28"/>
      <c r="VEL458" s="28"/>
      <c r="VEM458" s="28"/>
      <c r="VEN458" s="28"/>
      <c r="VEO458" s="28"/>
      <c r="VEP458" s="28"/>
      <c r="VEQ458" s="28"/>
      <c r="VER458" s="28"/>
      <c r="VES458" s="28"/>
      <c r="VET458" s="28"/>
      <c r="VEU458" s="28"/>
      <c r="VEV458" s="28"/>
      <c r="VEW458" s="28"/>
      <c r="VEX458" s="28"/>
      <c r="VEY458" s="28"/>
      <c r="VEZ458" s="28"/>
      <c r="VFA458" s="28"/>
      <c r="VFB458" s="28"/>
      <c r="VFC458" s="28"/>
      <c r="VFD458" s="28"/>
      <c r="VFE458" s="28"/>
      <c r="VFF458" s="28"/>
      <c r="VFG458" s="28"/>
      <c r="VFH458" s="28"/>
      <c r="VFI458" s="28"/>
      <c r="VFJ458" s="28"/>
      <c r="VFK458" s="28"/>
      <c r="VFL458" s="28"/>
      <c r="VFM458" s="28"/>
      <c r="VFN458" s="28"/>
      <c r="VFO458" s="28"/>
      <c r="VFP458" s="28"/>
      <c r="VFQ458" s="28"/>
      <c r="VFR458" s="28"/>
      <c r="VFS458" s="28"/>
      <c r="VFT458" s="28"/>
      <c r="VFU458" s="28"/>
      <c r="VFV458" s="28"/>
      <c r="VFW458" s="28"/>
      <c r="VFX458" s="28"/>
      <c r="VFY458" s="28"/>
      <c r="VFZ458" s="28"/>
      <c r="VGA458" s="28"/>
      <c r="VGB458" s="28"/>
      <c r="VGC458" s="28"/>
      <c r="VGD458" s="28"/>
      <c r="VGE458" s="28"/>
      <c r="VGF458" s="28"/>
      <c r="VGG458" s="28"/>
      <c r="VGH458" s="28"/>
      <c r="VGI458" s="28"/>
      <c r="VGJ458" s="28"/>
      <c r="VGK458" s="28"/>
      <c r="VGL458" s="28"/>
      <c r="VGM458" s="28"/>
      <c r="VGN458" s="28"/>
      <c r="VGO458" s="28"/>
      <c r="VGP458" s="28"/>
      <c r="VGQ458" s="28"/>
      <c r="VGR458" s="28"/>
      <c r="VGS458" s="28"/>
      <c r="VGT458" s="28"/>
      <c r="VGU458" s="28"/>
      <c r="VGV458" s="28"/>
      <c r="VGW458" s="28"/>
      <c r="VGX458" s="28"/>
      <c r="VGY458" s="28"/>
      <c r="VGZ458" s="28"/>
      <c r="VHA458" s="28"/>
      <c r="VHB458" s="28"/>
      <c r="VHC458" s="28"/>
      <c r="VHD458" s="28"/>
      <c r="VHE458" s="28"/>
      <c r="VHF458" s="28"/>
      <c r="VHG458" s="28"/>
      <c r="VHH458" s="28"/>
      <c r="VHI458" s="28"/>
      <c r="VHJ458" s="28"/>
      <c r="VHK458" s="28"/>
      <c r="VHL458" s="28"/>
      <c r="VHM458" s="28"/>
      <c r="VHN458" s="28"/>
      <c r="VHO458" s="28"/>
      <c r="VHP458" s="28"/>
      <c r="VHQ458" s="28"/>
      <c r="VHR458" s="28"/>
      <c r="VHS458" s="28"/>
      <c r="VHT458" s="28"/>
      <c r="VHU458" s="28"/>
      <c r="VHV458" s="28"/>
      <c r="VHW458" s="28"/>
      <c r="VHX458" s="28"/>
      <c r="VHY458" s="28"/>
      <c r="VHZ458" s="28"/>
      <c r="VIA458" s="28"/>
      <c r="VIB458" s="28"/>
      <c r="VIC458" s="28"/>
      <c r="VID458" s="28"/>
      <c r="VIE458" s="28"/>
      <c r="VIF458" s="28"/>
      <c r="VIG458" s="28"/>
      <c r="VIH458" s="28"/>
      <c r="VII458" s="28"/>
      <c r="VIJ458" s="28"/>
      <c r="VIK458" s="28"/>
      <c r="VIL458" s="28"/>
      <c r="VIM458" s="28"/>
      <c r="VIN458" s="28"/>
      <c r="VIO458" s="28"/>
      <c r="VIP458" s="28"/>
      <c r="VIQ458" s="28"/>
      <c r="VIR458" s="28"/>
      <c r="VIS458" s="28"/>
      <c r="VIT458" s="28"/>
      <c r="VIU458" s="28"/>
      <c r="VIV458" s="28"/>
      <c r="VIW458" s="28"/>
      <c r="VIX458" s="28"/>
      <c r="VIY458" s="28"/>
      <c r="VIZ458" s="28"/>
      <c r="VJA458" s="28"/>
      <c r="VJB458" s="28"/>
      <c r="VJC458" s="28"/>
      <c r="VJD458" s="28"/>
      <c r="VJE458" s="28"/>
      <c r="VJF458" s="28"/>
      <c r="VJG458" s="28"/>
      <c r="VJH458" s="28"/>
      <c r="VJI458" s="28"/>
      <c r="VJJ458" s="28"/>
      <c r="VJK458" s="28"/>
      <c r="VJL458" s="28"/>
      <c r="VJM458" s="28"/>
      <c r="VJN458" s="28"/>
      <c r="VJO458" s="28"/>
      <c r="VJP458" s="28"/>
      <c r="VJQ458" s="28"/>
      <c r="VJR458" s="28"/>
      <c r="VJS458" s="28"/>
      <c r="VJT458" s="28"/>
      <c r="VJU458" s="28"/>
      <c r="VJV458" s="28"/>
      <c r="VJW458" s="28"/>
      <c r="VJX458" s="28"/>
      <c r="VJY458" s="28"/>
      <c r="VJZ458" s="28"/>
      <c r="VKA458" s="28"/>
      <c r="VKB458" s="28"/>
      <c r="VKC458" s="28"/>
      <c r="VKD458" s="28"/>
      <c r="VKE458" s="28"/>
      <c r="VKF458" s="28"/>
      <c r="VKG458" s="28"/>
      <c r="VKH458" s="28"/>
      <c r="VKI458" s="28"/>
      <c r="VKJ458" s="28"/>
      <c r="VKK458" s="28"/>
      <c r="VKL458" s="28"/>
      <c r="VKM458" s="28"/>
      <c r="VKN458" s="28"/>
      <c r="VKO458" s="28"/>
      <c r="VKP458" s="28"/>
      <c r="VKQ458" s="28"/>
      <c r="VKR458" s="28"/>
      <c r="VKS458" s="28"/>
      <c r="VKT458" s="28"/>
      <c r="VKU458" s="28"/>
      <c r="VKV458" s="28"/>
      <c r="VKW458" s="28"/>
      <c r="VKX458" s="28"/>
      <c r="VKY458" s="28"/>
      <c r="VKZ458" s="28"/>
      <c r="VLA458" s="28"/>
      <c r="VLB458" s="28"/>
      <c r="VLC458" s="28"/>
      <c r="VLD458" s="28"/>
      <c r="VLE458" s="28"/>
      <c r="VLF458" s="28"/>
      <c r="VLG458" s="28"/>
      <c r="VLH458" s="28"/>
      <c r="VLI458" s="28"/>
      <c r="VLJ458" s="28"/>
      <c r="VLK458" s="28"/>
      <c r="VLL458" s="28"/>
      <c r="VLM458" s="28"/>
      <c r="VLN458" s="28"/>
      <c r="VLO458" s="28"/>
      <c r="VLP458" s="28"/>
      <c r="VLQ458" s="28"/>
      <c r="VLR458" s="28"/>
      <c r="VLS458" s="28"/>
      <c r="VLT458" s="28"/>
      <c r="VLU458" s="28"/>
      <c r="VLV458" s="28"/>
      <c r="VLW458" s="28"/>
      <c r="VLX458" s="28"/>
      <c r="VLY458" s="28"/>
      <c r="VLZ458" s="28"/>
      <c r="VMA458" s="28"/>
      <c r="VMB458" s="28"/>
      <c r="VMC458" s="28"/>
      <c r="VMD458" s="28"/>
      <c r="VME458" s="28"/>
      <c r="VMF458" s="28"/>
      <c r="VMG458" s="28"/>
      <c r="VMH458" s="28"/>
      <c r="VMI458" s="28"/>
      <c r="VMJ458" s="28"/>
      <c r="VMK458" s="28"/>
      <c r="VML458" s="28"/>
      <c r="VMM458" s="28"/>
      <c r="VMN458" s="28"/>
      <c r="VMO458" s="28"/>
      <c r="VMP458" s="28"/>
      <c r="VMQ458" s="28"/>
      <c r="VMR458" s="28"/>
      <c r="VMS458" s="28"/>
      <c r="VMT458" s="28"/>
      <c r="VMU458" s="28"/>
      <c r="VMV458" s="28"/>
      <c r="VMW458" s="28"/>
      <c r="VMX458" s="28"/>
      <c r="VMY458" s="28"/>
      <c r="VMZ458" s="28"/>
      <c r="VNA458" s="28"/>
      <c r="VNB458" s="28"/>
      <c r="VNC458" s="28"/>
      <c r="VND458" s="28"/>
      <c r="VNE458" s="28"/>
      <c r="VNF458" s="28"/>
      <c r="VNG458" s="28"/>
      <c r="VNH458" s="28"/>
      <c r="VNI458" s="28"/>
      <c r="VNJ458" s="28"/>
      <c r="VNK458" s="28"/>
      <c r="VNL458" s="28"/>
      <c r="VNM458" s="28"/>
      <c r="VNN458" s="28"/>
      <c r="VNO458" s="28"/>
      <c r="VNP458" s="28"/>
      <c r="VNQ458" s="28"/>
      <c r="VNR458" s="28"/>
      <c r="VNS458" s="28"/>
      <c r="VNT458" s="28"/>
      <c r="VNU458" s="28"/>
      <c r="VNV458" s="28"/>
      <c r="VNW458" s="28"/>
      <c r="VNX458" s="28"/>
      <c r="VNY458" s="28"/>
      <c r="VNZ458" s="28"/>
      <c r="VOA458" s="28"/>
      <c r="VOB458" s="28"/>
      <c r="VOC458" s="28"/>
      <c r="VOD458" s="28"/>
      <c r="VOE458" s="28"/>
      <c r="VOF458" s="28"/>
      <c r="VOG458" s="28"/>
      <c r="VOH458" s="28"/>
      <c r="VOI458" s="28"/>
      <c r="VOJ458" s="28"/>
      <c r="VOK458" s="28"/>
      <c r="VOL458" s="28"/>
      <c r="VOM458" s="28"/>
      <c r="VON458" s="28"/>
      <c r="VOO458" s="28"/>
      <c r="VOP458" s="28"/>
      <c r="VOQ458" s="28"/>
      <c r="VOR458" s="28"/>
      <c r="VOS458" s="28"/>
      <c r="VOT458" s="28"/>
      <c r="VOU458" s="28"/>
      <c r="VOV458" s="28"/>
      <c r="VOW458" s="28"/>
      <c r="VOX458" s="28"/>
      <c r="VOY458" s="28"/>
      <c r="VOZ458" s="28"/>
      <c r="VPA458" s="28"/>
      <c r="VPB458" s="28"/>
      <c r="VPC458" s="28"/>
      <c r="VPD458" s="28"/>
      <c r="VPE458" s="28"/>
      <c r="VPF458" s="28"/>
      <c r="VPG458" s="28"/>
      <c r="VPH458" s="28"/>
      <c r="VPI458" s="28"/>
      <c r="VPJ458" s="28"/>
      <c r="VPK458" s="28"/>
      <c r="VPL458" s="28"/>
      <c r="VPM458" s="28"/>
      <c r="VPN458" s="28"/>
      <c r="VPO458" s="28"/>
      <c r="VPP458" s="28"/>
      <c r="VPQ458" s="28"/>
      <c r="VPR458" s="28"/>
      <c r="VPS458" s="28"/>
      <c r="VPT458" s="28"/>
      <c r="VPU458" s="28"/>
      <c r="VPV458" s="28"/>
      <c r="VPW458" s="28"/>
      <c r="VPX458" s="28"/>
      <c r="VPY458" s="28"/>
      <c r="VPZ458" s="28"/>
      <c r="VQA458" s="28"/>
      <c r="VQB458" s="28"/>
      <c r="VQC458" s="28"/>
      <c r="VQD458" s="28"/>
      <c r="VQE458" s="28"/>
      <c r="VQF458" s="28"/>
      <c r="VQG458" s="28"/>
      <c r="VQH458" s="28"/>
      <c r="VQI458" s="28"/>
      <c r="VQJ458" s="28"/>
      <c r="VQK458" s="28"/>
      <c r="VQL458" s="28"/>
      <c r="VQM458" s="28"/>
      <c r="VQN458" s="28"/>
      <c r="VQO458" s="28"/>
      <c r="VQP458" s="28"/>
      <c r="VQQ458" s="28"/>
      <c r="VQR458" s="28"/>
      <c r="VQS458" s="28"/>
      <c r="VQT458" s="28"/>
      <c r="VQU458" s="28"/>
      <c r="VQV458" s="28"/>
      <c r="VQW458" s="28"/>
      <c r="VQX458" s="28"/>
      <c r="VQY458" s="28"/>
      <c r="VQZ458" s="28"/>
      <c r="VRA458" s="28"/>
      <c r="VRB458" s="28"/>
      <c r="VRC458" s="28"/>
      <c r="VRD458" s="28"/>
      <c r="VRE458" s="28"/>
      <c r="VRF458" s="28"/>
      <c r="VRG458" s="28"/>
      <c r="VRH458" s="28"/>
      <c r="VRI458" s="28"/>
      <c r="VRJ458" s="28"/>
      <c r="VRK458" s="28"/>
      <c r="VRL458" s="28"/>
      <c r="VRM458" s="28"/>
      <c r="VRN458" s="28"/>
      <c r="VRO458" s="28"/>
      <c r="VRP458" s="28"/>
      <c r="VRQ458" s="28"/>
      <c r="VRR458" s="28"/>
      <c r="VRS458" s="28"/>
      <c r="VRT458" s="28"/>
      <c r="VRU458" s="28"/>
      <c r="VRV458" s="28"/>
      <c r="VRW458" s="28"/>
      <c r="VRX458" s="28"/>
      <c r="VRY458" s="28"/>
      <c r="VRZ458" s="28"/>
      <c r="VSA458" s="28"/>
      <c r="VSB458" s="28"/>
      <c r="VSC458" s="28"/>
      <c r="VSD458" s="28"/>
      <c r="VSE458" s="28"/>
      <c r="VSF458" s="28"/>
      <c r="VSG458" s="28"/>
      <c r="VSH458" s="28"/>
      <c r="VSI458" s="28"/>
      <c r="VSJ458" s="28"/>
      <c r="VSK458" s="28"/>
      <c r="VSL458" s="28"/>
      <c r="VSM458" s="28"/>
      <c r="VSN458" s="28"/>
      <c r="VSO458" s="28"/>
      <c r="VSP458" s="28"/>
      <c r="VSQ458" s="28"/>
      <c r="VSR458" s="28"/>
      <c r="VSS458" s="28"/>
      <c r="VST458" s="28"/>
      <c r="VSU458" s="28"/>
      <c r="VSV458" s="28"/>
      <c r="VSW458" s="28"/>
      <c r="VSX458" s="28"/>
      <c r="VSY458" s="28"/>
      <c r="VSZ458" s="28"/>
      <c r="VTA458" s="28"/>
      <c r="VTB458" s="28"/>
      <c r="VTC458" s="28"/>
      <c r="VTD458" s="28"/>
      <c r="VTE458" s="28"/>
      <c r="VTF458" s="28"/>
      <c r="VTG458" s="28"/>
      <c r="VTH458" s="28"/>
      <c r="VTI458" s="28"/>
      <c r="VTJ458" s="28"/>
      <c r="VTK458" s="28"/>
      <c r="VTL458" s="28"/>
      <c r="VTM458" s="28"/>
      <c r="VTN458" s="28"/>
      <c r="VTO458" s="28"/>
      <c r="VTP458" s="28"/>
      <c r="VTQ458" s="28"/>
      <c r="VTR458" s="28"/>
      <c r="VTS458" s="28"/>
      <c r="VTT458" s="28"/>
      <c r="VTU458" s="28"/>
      <c r="VTV458" s="28"/>
      <c r="VTW458" s="28"/>
      <c r="VTX458" s="28"/>
      <c r="VTY458" s="28"/>
      <c r="VTZ458" s="28"/>
      <c r="VUA458" s="28"/>
      <c r="VUB458" s="28"/>
      <c r="VUC458" s="28"/>
      <c r="VUD458" s="28"/>
      <c r="VUE458" s="28"/>
      <c r="VUF458" s="28"/>
      <c r="VUG458" s="28"/>
      <c r="VUH458" s="28"/>
      <c r="VUI458" s="28"/>
      <c r="VUJ458" s="28"/>
      <c r="VUK458" s="28"/>
      <c r="VUL458" s="28"/>
      <c r="VUM458" s="28"/>
      <c r="VUN458" s="28"/>
      <c r="VUO458" s="28"/>
      <c r="VUP458" s="28"/>
      <c r="VUQ458" s="28"/>
      <c r="VUR458" s="28"/>
      <c r="VUS458" s="28"/>
      <c r="VUT458" s="28"/>
      <c r="VUU458" s="28"/>
      <c r="VUV458" s="28"/>
      <c r="VUW458" s="28"/>
      <c r="VUX458" s="28"/>
      <c r="VUY458" s="28"/>
      <c r="VUZ458" s="28"/>
      <c r="VVA458" s="28"/>
      <c r="VVB458" s="28"/>
      <c r="VVC458" s="28"/>
      <c r="VVD458" s="28"/>
      <c r="VVE458" s="28"/>
      <c r="VVF458" s="28"/>
      <c r="VVG458" s="28"/>
      <c r="VVH458" s="28"/>
      <c r="VVI458" s="28"/>
      <c r="VVJ458" s="28"/>
      <c r="VVK458" s="28"/>
      <c r="VVL458" s="28"/>
      <c r="VVM458" s="28"/>
      <c r="VVN458" s="28"/>
      <c r="VVO458" s="28"/>
      <c r="VVP458" s="28"/>
      <c r="VVQ458" s="28"/>
      <c r="VVR458" s="28"/>
      <c r="VVS458" s="28"/>
      <c r="VVT458" s="28"/>
      <c r="VVU458" s="28"/>
      <c r="VVV458" s="28"/>
      <c r="VVW458" s="28"/>
      <c r="VVX458" s="28"/>
      <c r="VVY458" s="28"/>
      <c r="VVZ458" s="28"/>
      <c r="VWA458" s="28"/>
      <c r="VWB458" s="28"/>
      <c r="VWC458" s="28"/>
      <c r="VWD458" s="28"/>
      <c r="VWE458" s="28"/>
      <c r="VWF458" s="28"/>
      <c r="VWG458" s="28"/>
      <c r="VWH458" s="28"/>
      <c r="VWI458" s="28"/>
      <c r="VWJ458" s="28"/>
      <c r="VWK458" s="28"/>
      <c r="VWL458" s="28"/>
      <c r="VWM458" s="28"/>
      <c r="VWN458" s="28"/>
      <c r="VWO458" s="28"/>
      <c r="VWP458" s="28"/>
      <c r="VWQ458" s="28"/>
      <c r="VWR458" s="28"/>
      <c r="VWS458" s="28"/>
      <c r="VWT458" s="28"/>
      <c r="VWU458" s="28"/>
      <c r="VWV458" s="28"/>
      <c r="VWW458" s="28"/>
      <c r="VWX458" s="28"/>
      <c r="VWY458" s="28"/>
      <c r="VWZ458" s="28"/>
      <c r="VXA458" s="28"/>
      <c r="VXB458" s="28"/>
      <c r="VXC458" s="28"/>
      <c r="VXD458" s="28"/>
      <c r="VXE458" s="28"/>
      <c r="VXF458" s="28"/>
      <c r="VXG458" s="28"/>
      <c r="VXH458" s="28"/>
      <c r="VXI458" s="28"/>
      <c r="VXJ458" s="28"/>
      <c r="VXK458" s="28"/>
      <c r="VXL458" s="28"/>
      <c r="VXM458" s="28"/>
      <c r="VXN458" s="28"/>
      <c r="VXO458" s="28"/>
      <c r="VXP458" s="28"/>
      <c r="VXQ458" s="28"/>
      <c r="VXR458" s="28"/>
      <c r="VXS458" s="28"/>
      <c r="VXT458" s="28"/>
      <c r="VXU458" s="28"/>
      <c r="VXV458" s="28"/>
      <c r="VXW458" s="28"/>
      <c r="VXX458" s="28"/>
      <c r="VXY458" s="28"/>
      <c r="VXZ458" s="28"/>
      <c r="VYA458" s="28"/>
      <c r="VYB458" s="28"/>
      <c r="VYC458" s="28"/>
      <c r="VYD458" s="28"/>
      <c r="VYE458" s="28"/>
      <c r="VYF458" s="28"/>
      <c r="VYG458" s="28"/>
      <c r="VYH458" s="28"/>
      <c r="VYI458" s="28"/>
      <c r="VYJ458" s="28"/>
      <c r="VYK458" s="28"/>
      <c r="VYL458" s="28"/>
      <c r="VYM458" s="28"/>
      <c r="VYN458" s="28"/>
      <c r="VYO458" s="28"/>
      <c r="VYP458" s="28"/>
      <c r="VYQ458" s="28"/>
      <c r="VYR458" s="28"/>
      <c r="VYS458" s="28"/>
      <c r="VYT458" s="28"/>
      <c r="VYU458" s="28"/>
      <c r="VYV458" s="28"/>
      <c r="VYW458" s="28"/>
      <c r="VYX458" s="28"/>
      <c r="VYY458" s="28"/>
      <c r="VYZ458" s="28"/>
      <c r="VZA458" s="28"/>
      <c r="VZB458" s="28"/>
      <c r="VZC458" s="28"/>
      <c r="VZD458" s="28"/>
      <c r="VZE458" s="28"/>
      <c r="VZF458" s="28"/>
      <c r="VZG458" s="28"/>
      <c r="VZH458" s="28"/>
      <c r="VZI458" s="28"/>
      <c r="VZJ458" s="28"/>
      <c r="VZK458" s="28"/>
      <c r="VZL458" s="28"/>
      <c r="VZM458" s="28"/>
      <c r="VZN458" s="28"/>
      <c r="VZO458" s="28"/>
      <c r="VZP458" s="28"/>
      <c r="VZQ458" s="28"/>
      <c r="VZR458" s="28"/>
      <c r="VZS458" s="28"/>
      <c r="VZT458" s="28"/>
      <c r="VZU458" s="28"/>
      <c r="VZV458" s="28"/>
      <c r="VZW458" s="28"/>
      <c r="VZX458" s="28"/>
      <c r="VZY458" s="28"/>
      <c r="VZZ458" s="28"/>
      <c r="WAA458" s="28"/>
      <c r="WAB458" s="28"/>
      <c r="WAC458" s="28"/>
      <c r="WAD458" s="28"/>
      <c r="WAE458" s="28"/>
      <c r="WAF458" s="28"/>
      <c r="WAG458" s="28"/>
      <c r="WAH458" s="28"/>
      <c r="WAI458" s="28"/>
      <c r="WAJ458" s="28"/>
      <c r="WAK458" s="28"/>
      <c r="WAL458" s="28"/>
      <c r="WAM458" s="28"/>
      <c r="WAN458" s="28"/>
      <c r="WAO458" s="28"/>
      <c r="WAP458" s="28"/>
      <c r="WAQ458" s="28"/>
      <c r="WAR458" s="28"/>
      <c r="WAS458" s="28"/>
      <c r="WAT458" s="28"/>
      <c r="WAU458" s="28"/>
      <c r="WAV458" s="28"/>
      <c r="WAW458" s="28"/>
      <c r="WAX458" s="28"/>
      <c r="WAY458" s="28"/>
      <c r="WAZ458" s="28"/>
      <c r="WBA458" s="28"/>
      <c r="WBB458" s="28"/>
      <c r="WBC458" s="28"/>
      <c r="WBD458" s="28"/>
      <c r="WBE458" s="28"/>
      <c r="WBF458" s="28"/>
      <c r="WBG458" s="28"/>
      <c r="WBH458" s="28"/>
      <c r="WBI458" s="28"/>
      <c r="WBJ458" s="28"/>
      <c r="WBK458" s="28"/>
      <c r="WBL458" s="28"/>
      <c r="WBM458" s="28"/>
      <c r="WBN458" s="28"/>
      <c r="WBO458" s="28"/>
      <c r="WBP458" s="28"/>
      <c r="WBQ458" s="28"/>
      <c r="WBR458" s="28"/>
      <c r="WBS458" s="28"/>
      <c r="WBT458" s="28"/>
      <c r="WBU458" s="28"/>
      <c r="WBV458" s="28"/>
      <c r="WBW458" s="28"/>
      <c r="WBX458" s="28"/>
      <c r="WBY458" s="28"/>
      <c r="WBZ458" s="28"/>
      <c r="WCA458" s="28"/>
      <c r="WCB458" s="28"/>
      <c r="WCC458" s="28"/>
      <c r="WCD458" s="28"/>
      <c r="WCE458" s="28"/>
      <c r="WCF458" s="28"/>
      <c r="WCG458" s="28"/>
      <c r="WCH458" s="28"/>
      <c r="WCI458" s="28"/>
      <c r="WCJ458" s="28"/>
      <c r="WCK458" s="28"/>
      <c r="WCL458" s="28"/>
      <c r="WCM458" s="28"/>
      <c r="WCN458" s="28"/>
      <c r="WCO458" s="28"/>
      <c r="WCP458" s="28"/>
      <c r="WCQ458" s="28"/>
      <c r="WCR458" s="28"/>
      <c r="WCS458" s="28"/>
      <c r="WCT458" s="28"/>
      <c r="WCU458" s="28"/>
      <c r="WCV458" s="28"/>
      <c r="WCW458" s="28"/>
      <c r="WCX458" s="28"/>
      <c r="WCY458" s="28"/>
      <c r="WCZ458" s="28"/>
      <c r="WDA458" s="28"/>
      <c r="WDB458" s="28"/>
      <c r="WDC458" s="28"/>
      <c r="WDD458" s="28"/>
      <c r="WDE458" s="28"/>
      <c r="WDF458" s="28"/>
      <c r="WDG458" s="28"/>
      <c r="WDH458" s="28"/>
      <c r="WDI458" s="28"/>
      <c r="WDJ458" s="28"/>
      <c r="WDK458" s="28"/>
      <c r="WDL458" s="28"/>
      <c r="WDM458" s="28"/>
      <c r="WDN458" s="28"/>
      <c r="WDO458" s="28"/>
      <c r="WDP458" s="28"/>
      <c r="WDQ458" s="28"/>
      <c r="WDR458" s="28"/>
      <c r="WDS458" s="28"/>
      <c r="WDT458" s="28"/>
      <c r="WDU458" s="28"/>
      <c r="WDV458" s="28"/>
      <c r="WDW458" s="28"/>
      <c r="WDX458" s="28"/>
      <c r="WDY458" s="28"/>
      <c r="WDZ458" s="28"/>
      <c r="WEA458" s="28"/>
      <c r="WEB458" s="28"/>
      <c r="WEC458" s="28"/>
      <c r="WED458" s="28"/>
      <c r="WEE458" s="28"/>
      <c r="WEF458" s="28"/>
      <c r="WEG458" s="28"/>
      <c r="WEH458" s="28"/>
      <c r="WEI458" s="28"/>
      <c r="WEJ458" s="28"/>
      <c r="WEK458" s="28"/>
      <c r="WEL458" s="28"/>
      <c r="WEM458" s="28"/>
      <c r="WEN458" s="28"/>
      <c r="WEO458" s="28"/>
      <c r="WEP458" s="28"/>
      <c r="WEQ458" s="28"/>
      <c r="WER458" s="28"/>
      <c r="WES458" s="28"/>
      <c r="WET458" s="28"/>
      <c r="WEU458" s="28"/>
      <c r="WEV458" s="28"/>
      <c r="WEW458" s="28"/>
      <c r="WEX458" s="28"/>
      <c r="WEY458" s="28"/>
      <c r="WEZ458" s="28"/>
      <c r="WFA458" s="28"/>
      <c r="WFB458" s="28"/>
      <c r="WFC458" s="28"/>
      <c r="WFD458" s="28"/>
      <c r="WFE458" s="28"/>
      <c r="WFF458" s="28"/>
      <c r="WFG458" s="28"/>
      <c r="WFH458" s="28"/>
      <c r="WFI458" s="28"/>
      <c r="WFJ458" s="28"/>
      <c r="WFK458" s="28"/>
      <c r="WFL458" s="28"/>
      <c r="WFM458" s="28"/>
      <c r="WFN458" s="28"/>
      <c r="WFO458" s="28"/>
      <c r="WFP458" s="28"/>
      <c r="WFQ458" s="28"/>
      <c r="WFR458" s="28"/>
      <c r="WFS458" s="28"/>
      <c r="WFT458" s="28"/>
      <c r="WFU458" s="28"/>
      <c r="WFV458" s="28"/>
      <c r="WFW458" s="28"/>
      <c r="WFX458" s="28"/>
      <c r="WFY458" s="28"/>
      <c r="WFZ458" s="28"/>
      <c r="WGA458" s="28"/>
      <c r="WGB458" s="28"/>
      <c r="WGC458" s="28"/>
      <c r="WGD458" s="28"/>
      <c r="WGE458" s="28"/>
      <c r="WGF458" s="28"/>
      <c r="WGG458" s="28"/>
      <c r="WGH458" s="28"/>
      <c r="WGI458" s="28"/>
      <c r="WGJ458" s="28"/>
      <c r="WGK458" s="28"/>
      <c r="WGL458" s="28"/>
      <c r="WGM458" s="28"/>
      <c r="WGN458" s="28"/>
      <c r="WGO458" s="28"/>
      <c r="WGP458" s="28"/>
      <c r="WGQ458" s="28"/>
      <c r="WGR458" s="28"/>
      <c r="WGS458" s="28"/>
      <c r="WGT458" s="28"/>
      <c r="WGU458" s="28"/>
      <c r="WGV458" s="28"/>
      <c r="WGW458" s="28"/>
      <c r="WGX458" s="28"/>
      <c r="WGY458" s="28"/>
      <c r="WGZ458" s="28"/>
      <c r="WHA458" s="28"/>
      <c r="WHB458" s="28"/>
      <c r="WHC458" s="28"/>
      <c r="WHD458" s="28"/>
      <c r="WHE458" s="28"/>
      <c r="WHF458" s="28"/>
      <c r="WHG458" s="28"/>
      <c r="WHH458" s="28"/>
      <c r="WHI458" s="28"/>
      <c r="WHJ458" s="28"/>
      <c r="WHK458" s="28"/>
      <c r="WHL458" s="28"/>
      <c r="WHM458" s="28"/>
      <c r="WHN458" s="28"/>
      <c r="WHO458" s="28"/>
      <c r="WHP458" s="28"/>
      <c r="WHQ458" s="28"/>
      <c r="WHR458" s="28"/>
      <c r="WHS458" s="28"/>
      <c r="WHT458" s="28"/>
      <c r="WHU458" s="28"/>
      <c r="WHV458" s="28"/>
      <c r="WHW458" s="28"/>
      <c r="WHX458" s="28"/>
      <c r="WHY458" s="28"/>
      <c r="WHZ458" s="28"/>
      <c r="WIA458" s="28"/>
      <c r="WIB458" s="28"/>
      <c r="WIC458" s="28"/>
      <c r="WID458" s="28"/>
      <c r="WIE458" s="28"/>
      <c r="WIF458" s="28"/>
      <c r="WIG458" s="28"/>
      <c r="WIH458" s="28"/>
      <c r="WII458" s="28"/>
      <c r="WIJ458" s="28"/>
      <c r="WIK458" s="28"/>
      <c r="WIL458" s="28"/>
      <c r="WIM458" s="28"/>
      <c r="WIN458" s="28"/>
      <c r="WIO458" s="28"/>
      <c r="WIP458" s="28"/>
      <c r="WIQ458" s="28"/>
      <c r="WIR458" s="28"/>
      <c r="WIS458" s="28"/>
      <c r="WIT458" s="28"/>
      <c r="WIU458" s="28"/>
      <c r="WIV458" s="28"/>
      <c r="WIW458" s="28"/>
      <c r="WIX458" s="28"/>
      <c r="WIY458" s="28"/>
      <c r="WIZ458" s="28"/>
      <c r="WJA458" s="28"/>
      <c r="WJB458" s="28"/>
      <c r="WJC458" s="28"/>
      <c r="WJD458" s="28"/>
      <c r="WJE458" s="28"/>
      <c r="WJF458" s="28"/>
      <c r="WJG458" s="28"/>
      <c r="WJH458" s="28"/>
      <c r="WJI458" s="28"/>
      <c r="WJJ458" s="28"/>
      <c r="WJK458" s="28"/>
      <c r="WJL458" s="28"/>
      <c r="WJM458" s="28"/>
      <c r="WJN458" s="28"/>
      <c r="WJO458" s="28"/>
      <c r="WJP458" s="28"/>
      <c r="WJQ458" s="28"/>
      <c r="WJR458" s="28"/>
      <c r="WJS458" s="28"/>
      <c r="WJT458" s="28"/>
      <c r="WJU458" s="28"/>
      <c r="WJV458" s="28"/>
      <c r="WJW458" s="28"/>
      <c r="WJX458" s="28"/>
      <c r="WJY458" s="28"/>
      <c r="WJZ458" s="28"/>
      <c r="WKA458" s="28"/>
      <c r="WKB458" s="28"/>
      <c r="WKC458" s="28"/>
      <c r="WKD458" s="28"/>
      <c r="WKE458" s="28"/>
      <c r="WKF458" s="28"/>
      <c r="WKG458" s="28"/>
      <c r="WKH458" s="28"/>
      <c r="WKI458" s="28"/>
      <c r="WKJ458" s="28"/>
      <c r="WKK458" s="28"/>
      <c r="WKL458" s="28"/>
      <c r="WKM458" s="28"/>
      <c r="WKN458" s="28"/>
      <c r="WKO458" s="28"/>
      <c r="WKP458" s="28"/>
      <c r="WKQ458" s="28"/>
      <c r="WKR458" s="28"/>
      <c r="WKS458" s="28"/>
      <c r="WKT458" s="28"/>
      <c r="WKU458" s="28"/>
      <c r="WKV458" s="28"/>
      <c r="WKW458" s="28"/>
      <c r="WKX458" s="28"/>
      <c r="WKY458" s="28"/>
      <c r="WKZ458" s="28"/>
      <c r="WLA458" s="28"/>
      <c r="WLB458" s="28"/>
      <c r="WLC458" s="28"/>
      <c r="WLD458" s="28"/>
      <c r="WLE458" s="28"/>
      <c r="WLF458" s="28"/>
      <c r="WLG458" s="28"/>
      <c r="WLH458" s="28"/>
      <c r="WLI458" s="28"/>
      <c r="WLJ458" s="28"/>
      <c r="WLK458" s="28"/>
      <c r="WLL458" s="28"/>
      <c r="WLM458" s="28"/>
      <c r="WLN458" s="28"/>
      <c r="WLO458" s="28"/>
      <c r="WLP458" s="28"/>
      <c r="WLQ458" s="28"/>
      <c r="WLR458" s="28"/>
      <c r="WLS458" s="28"/>
      <c r="WLT458" s="28"/>
      <c r="WLU458" s="28"/>
      <c r="WLV458" s="28"/>
      <c r="WLW458" s="28"/>
      <c r="WLX458" s="28"/>
      <c r="WLY458" s="28"/>
      <c r="WLZ458" s="28"/>
      <c r="WMA458" s="28"/>
      <c r="WMB458" s="28"/>
      <c r="WMC458" s="28"/>
      <c r="WMD458" s="28"/>
      <c r="WME458" s="28"/>
      <c r="WMF458" s="28"/>
      <c r="WMG458" s="28"/>
      <c r="WMH458" s="28"/>
      <c r="WMI458" s="28"/>
      <c r="WMJ458" s="28"/>
      <c r="WMK458" s="28"/>
      <c r="WML458" s="28"/>
      <c r="WMM458" s="28"/>
      <c r="WMN458" s="28"/>
      <c r="WMO458" s="28"/>
      <c r="WMP458" s="28"/>
      <c r="WMQ458" s="28"/>
      <c r="WMR458" s="28"/>
      <c r="WMS458" s="28"/>
      <c r="WMT458" s="28"/>
      <c r="WMU458" s="28"/>
      <c r="WMV458" s="28"/>
      <c r="WMW458" s="28"/>
      <c r="WMX458" s="28"/>
      <c r="WMY458" s="28"/>
      <c r="WMZ458" s="28"/>
      <c r="WNA458" s="28"/>
      <c r="WNB458" s="28"/>
      <c r="WNC458" s="28"/>
      <c r="WND458" s="28"/>
      <c r="WNE458" s="28"/>
      <c r="WNF458" s="28"/>
      <c r="WNG458" s="28"/>
      <c r="WNH458" s="28"/>
      <c r="WNI458" s="28"/>
      <c r="WNJ458" s="28"/>
      <c r="WNK458" s="28"/>
      <c r="WNL458" s="28"/>
      <c r="WNM458" s="28"/>
      <c r="WNN458" s="28"/>
      <c r="WNO458" s="28"/>
      <c r="WNP458" s="28"/>
      <c r="WNQ458" s="28"/>
      <c r="WNR458" s="28"/>
      <c r="WNS458" s="28"/>
      <c r="WNT458" s="28"/>
      <c r="WNU458" s="28"/>
      <c r="WNV458" s="28"/>
      <c r="WNW458" s="28"/>
      <c r="WNX458" s="28"/>
      <c r="WNY458" s="28"/>
      <c r="WNZ458" s="28"/>
      <c r="WOA458" s="28"/>
      <c r="WOB458" s="28"/>
      <c r="WOC458" s="28"/>
      <c r="WOD458" s="28"/>
      <c r="WOE458" s="28"/>
      <c r="WOF458" s="28"/>
      <c r="WOG458" s="28"/>
      <c r="WOH458" s="28"/>
      <c r="WOI458" s="28"/>
      <c r="WOJ458" s="28"/>
      <c r="WOK458" s="28"/>
      <c r="WOL458" s="28"/>
      <c r="WOM458" s="28"/>
      <c r="WON458" s="28"/>
      <c r="WOO458" s="28"/>
      <c r="WOP458" s="28"/>
      <c r="WOQ458" s="28"/>
      <c r="WOR458" s="28"/>
      <c r="WOS458" s="28"/>
      <c r="WOT458" s="28"/>
      <c r="WOU458" s="28"/>
      <c r="WOV458" s="28"/>
      <c r="WOW458" s="28"/>
      <c r="WOX458" s="28"/>
      <c r="WOY458" s="28"/>
      <c r="WOZ458" s="28"/>
      <c r="WPA458" s="28"/>
      <c r="WPB458" s="28"/>
      <c r="WPC458" s="28"/>
      <c r="WPD458" s="28"/>
      <c r="WPE458" s="28"/>
      <c r="WPF458" s="28"/>
      <c r="WPG458" s="28"/>
      <c r="WPH458" s="28"/>
      <c r="WPI458" s="28"/>
      <c r="WPJ458" s="28"/>
      <c r="WPK458" s="28"/>
      <c r="WPL458" s="28"/>
      <c r="WPM458" s="28"/>
      <c r="WPN458" s="28"/>
      <c r="WPO458" s="28"/>
      <c r="WPP458" s="28"/>
      <c r="WPQ458" s="28"/>
      <c r="WPR458" s="28"/>
      <c r="WPS458" s="28"/>
      <c r="WPT458" s="28"/>
      <c r="WPU458" s="28"/>
      <c r="WPV458" s="28"/>
      <c r="WPW458" s="28"/>
      <c r="WPX458" s="28"/>
      <c r="WPY458" s="28"/>
      <c r="WPZ458" s="28"/>
      <c r="WQA458" s="28"/>
      <c r="WQB458" s="28"/>
      <c r="WQC458" s="28"/>
      <c r="WQD458" s="28"/>
      <c r="WQE458" s="28"/>
      <c r="WQF458" s="28"/>
      <c r="WQG458" s="28"/>
      <c r="WQH458" s="28"/>
      <c r="WQI458" s="28"/>
      <c r="WQJ458" s="28"/>
      <c r="WQK458" s="28"/>
      <c r="WQL458" s="28"/>
      <c r="WQM458" s="28"/>
      <c r="WQN458" s="28"/>
      <c r="WQO458" s="28"/>
      <c r="WQP458" s="28"/>
      <c r="WQQ458" s="28"/>
      <c r="WQR458" s="28"/>
      <c r="WQS458" s="28"/>
      <c r="WQT458" s="28"/>
      <c r="WQU458" s="28"/>
      <c r="WQV458" s="28"/>
      <c r="WQW458" s="28"/>
      <c r="WQX458" s="28"/>
      <c r="WQY458" s="28"/>
      <c r="WQZ458" s="28"/>
      <c r="WRA458" s="28"/>
      <c r="WRB458" s="28"/>
      <c r="WRC458" s="28"/>
      <c r="WRD458" s="28"/>
      <c r="WRE458" s="28"/>
      <c r="WRF458" s="28"/>
      <c r="WRG458" s="28"/>
      <c r="WRH458" s="28"/>
      <c r="WRI458" s="28"/>
      <c r="WRJ458" s="28"/>
      <c r="WRK458" s="28"/>
      <c r="WRL458" s="28"/>
      <c r="WRM458" s="28"/>
      <c r="WRN458" s="28"/>
      <c r="WRO458" s="28"/>
      <c r="WRP458" s="28"/>
      <c r="WRQ458" s="28"/>
      <c r="WRR458" s="28"/>
      <c r="WRS458" s="28"/>
      <c r="WRT458" s="28"/>
      <c r="WRU458" s="28"/>
      <c r="WRV458" s="28"/>
      <c r="WRW458" s="28"/>
      <c r="WRX458" s="28"/>
      <c r="WRY458" s="28"/>
      <c r="WRZ458" s="28"/>
      <c r="WSA458" s="28"/>
      <c r="WSB458" s="28"/>
      <c r="WSC458" s="28"/>
      <c r="WSD458" s="28"/>
      <c r="WSE458" s="28"/>
      <c r="WSF458" s="28"/>
      <c r="WSG458" s="28"/>
      <c r="WSH458" s="28"/>
      <c r="WSI458" s="28"/>
      <c r="WSJ458" s="28"/>
      <c r="WSK458" s="28"/>
      <c r="WSL458" s="28"/>
      <c r="WSM458" s="28"/>
      <c r="WSN458" s="28"/>
      <c r="WSO458" s="28"/>
      <c r="WSP458" s="28"/>
      <c r="WSQ458" s="28"/>
      <c r="WSR458" s="28"/>
      <c r="WSS458" s="28"/>
      <c r="WST458" s="28"/>
      <c r="WSU458" s="28"/>
      <c r="WSV458" s="28"/>
      <c r="WSW458" s="28"/>
      <c r="WSX458" s="28"/>
      <c r="WSY458" s="28"/>
      <c r="WSZ458" s="28"/>
      <c r="WTA458" s="28"/>
      <c r="WTB458" s="28"/>
      <c r="WTC458" s="28"/>
      <c r="WTD458" s="28"/>
      <c r="WTE458" s="28"/>
      <c r="WTF458" s="28"/>
      <c r="WTG458" s="28"/>
      <c r="WTH458" s="28"/>
      <c r="WTI458" s="28"/>
      <c r="WTJ458" s="28"/>
      <c r="WTK458" s="28"/>
      <c r="WTL458" s="28"/>
      <c r="WTM458" s="28"/>
      <c r="WTN458" s="28"/>
      <c r="WTO458" s="28"/>
      <c r="WTP458" s="28"/>
      <c r="WTQ458" s="28"/>
      <c r="WTR458" s="28"/>
      <c r="WTS458" s="28"/>
      <c r="WTT458" s="28"/>
      <c r="WTU458" s="28"/>
      <c r="WTV458" s="28"/>
      <c r="WTW458" s="28"/>
      <c r="WTX458" s="28"/>
      <c r="WTY458" s="28"/>
      <c r="WTZ458" s="28"/>
      <c r="WUA458" s="28"/>
      <c r="WUB458" s="28"/>
      <c r="WUC458" s="28"/>
      <c r="WUD458" s="28"/>
      <c r="WUE458" s="28"/>
      <c r="WUF458" s="28"/>
      <c r="WUG458" s="28"/>
      <c r="WUH458" s="28"/>
      <c r="WUI458" s="28"/>
      <c r="WUJ458" s="28"/>
      <c r="WUK458" s="28"/>
      <c r="WUL458" s="28"/>
      <c r="WUM458" s="28"/>
      <c r="WUN458" s="28"/>
      <c r="WUO458" s="28"/>
      <c r="WUP458" s="28"/>
      <c r="WUQ458" s="28"/>
      <c r="WUR458" s="28"/>
      <c r="WUS458" s="28"/>
      <c r="WUT458" s="28"/>
      <c r="WUU458" s="28"/>
      <c r="WUV458" s="28"/>
      <c r="WUW458" s="28"/>
      <c r="WUX458" s="28"/>
      <c r="WUY458" s="28"/>
      <c r="WUZ458" s="28"/>
      <c r="WVA458" s="28"/>
      <c r="WVB458" s="28"/>
      <c r="WVC458" s="28"/>
      <c r="WVD458" s="28"/>
      <c r="WVE458" s="28"/>
      <c r="WVF458" s="28"/>
      <c r="WVG458" s="28"/>
      <c r="WVH458" s="28"/>
      <c r="WVI458" s="28"/>
      <c r="WVJ458" s="28"/>
      <c r="WVK458" s="28"/>
      <c r="WVL458" s="28"/>
      <c r="WVM458" s="28"/>
      <c r="WVN458" s="28"/>
      <c r="WVO458" s="28"/>
      <c r="WVP458" s="28"/>
      <c r="WVQ458" s="28"/>
      <c r="WVR458" s="28"/>
      <c r="WVS458" s="28"/>
      <c r="WVT458" s="28"/>
      <c r="WVU458" s="28"/>
      <c r="WVV458" s="28"/>
      <c r="WVW458" s="28"/>
      <c r="WVX458" s="28"/>
      <c r="WVY458" s="28"/>
      <c r="WVZ458" s="28"/>
      <c r="WWA458" s="28"/>
      <c r="WWB458" s="28"/>
      <c r="WWC458" s="28"/>
      <c r="WWD458" s="28"/>
      <c r="WWE458" s="28"/>
      <c r="WWF458" s="28"/>
      <c r="WWG458" s="28"/>
      <c r="WWH458" s="28"/>
      <c r="WWI458" s="28"/>
      <c r="WWJ458" s="28"/>
      <c r="WWK458" s="28"/>
      <c r="WWL458" s="28"/>
      <c r="WWM458" s="28"/>
      <c r="WWN458" s="28"/>
      <c r="WWO458" s="28"/>
      <c r="WWP458" s="28"/>
      <c r="WWQ458" s="28"/>
      <c r="WWR458" s="28"/>
      <c r="WWS458" s="28"/>
      <c r="WWT458" s="28"/>
      <c r="WWU458" s="28"/>
      <c r="WWV458" s="28"/>
      <c r="WWW458" s="28"/>
      <c r="WWX458" s="28"/>
      <c r="WWY458" s="28"/>
      <c r="WWZ458" s="28"/>
      <c r="WXA458" s="28"/>
      <c r="WXB458" s="28"/>
      <c r="WXC458" s="28"/>
      <c r="WXD458" s="28"/>
      <c r="WXE458" s="28"/>
      <c r="WXF458" s="28"/>
      <c r="WXG458" s="28"/>
      <c r="WXH458" s="28"/>
      <c r="WXI458" s="28"/>
      <c r="WXJ458" s="28"/>
      <c r="WXK458" s="28"/>
      <c r="WXL458" s="28"/>
      <c r="WXM458" s="28"/>
      <c r="WXN458" s="28"/>
      <c r="WXO458" s="28"/>
      <c r="WXP458" s="28"/>
      <c r="WXQ458" s="28"/>
      <c r="WXR458" s="28"/>
      <c r="WXS458" s="28"/>
      <c r="WXT458" s="28"/>
      <c r="WXU458" s="28"/>
      <c r="WXV458" s="28"/>
      <c r="WXW458" s="28"/>
      <c r="WXX458" s="28"/>
      <c r="WXY458" s="28"/>
      <c r="WXZ458" s="28"/>
      <c r="WYA458" s="28"/>
      <c r="WYB458" s="28"/>
      <c r="WYC458" s="28"/>
      <c r="WYD458" s="28"/>
      <c r="WYE458" s="28"/>
      <c r="WYF458" s="28"/>
      <c r="WYG458" s="28"/>
      <c r="WYH458" s="28"/>
      <c r="WYI458" s="28"/>
      <c r="WYJ458" s="28"/>
      <c r="WYK458" s="28"/>
      <c r="WYL458" s="28"/>
      <c r="WYM458" s="28"/>
      <c r="WYN458" s="28"/>
      <c r="WYO458" s="28"/>
      <c r="WYP458" s="28"/>
      <c r="WYQ458" s="28"/>
      <c r="WYR458" s="28"/>
      <c r="WYS458" s="28"/>
      <c r="WYT458" s="28"/>
      <c r="WYU458" s="28"/>
      <c r="WYV458" s="28"/>
      <c r="WYW458" s="28"/>
      <c r="WYX458" s="28"/>
      <c r="WYY458" s="28"/>
      <c r="WYZ458" s="28"/>
      <c r="WZA458" s="28"/>
      <c r="WZB458" s="28"/>
      <c r="WZC458" s="28"/>
      <c r="WZD458" s="28"/>
      <c r="WZE458" s="28"/>
      <c r="WZF458" s="28"/>
      <c r="WZG458" s="28"/>
      <c r="WZH458" s="28"/>
      <c r="WZI458" s="28"/>
      <c r="WZJ458" s="28"/>
      <c r="WZK458" s="28"/>
      <c r="WZL458" s="28"/>
      <c r="WZM458" s="28"/>
      <c r="WZN458" s="28"/>
      <c r="WZO458" s="28"/>
      <c r="WZP458" s="28"/>
      <c r="WZQ458" s="28"/>
      <c r="WZR458" s="28"/>
      <c r="WZS458" s="28"/>
      <c r="WZT458" s="28"/>
      <c r="WZU458" s="28"/>
      <c r="WZV458" s="28"/>
      <c r="WZW458" s="28"/>
      <c r="WZX458" s="28"/>
      <c r="WZY458" s="28"/>
      <c r="WZZ458" s="28"/>
      <c r="XAA458" s="28"/>
      <c r="XAB458" s="28"/>
      <c r="XAC458" s="28"/>
      <c r="XAD458" s="28"/>
      <c r="XAE458" s="28"/>
      <c r="XAF458" s="28"/>
      <c r="XAG458" s="28"/>
      <c r="XAH458" s="28"/>
      <c r="XAI458" s="28"/>
      <c r="XAJ458" s="28"/>
      <c r="XAK458" s="28"/>
      <c r="XAL458" s="28"/>
      <c r="XAM458" s="28"/>
      <c r="XAN458" s="28"/>
      <c r="XAO458" s="28"/>
      <c r="XAP458" s="28"/>
      <c r="XAQ458" s="28"/>
      <c r="XAR458" s="28"/>
      <c r="XAS458" s="28"/>
      <c r="XAT458" s="28"/>
      <c r="XAU458" s="28"/>
      <c r="XAV458" s="28"/>
      <c r="XAW458" s="28"/>
      <c r="XAX458" s="28"/>
      <c r="XAY458" s="28"/>
      <c r="XAZ458" s="28"/>
      <c r="XBA458" s="28"/>
      <c r="XBB458" s="28"/>
      <c r="XBC458" s="28"/>
      <c r="XBD458" s="28"/>
      <c r="XBE458" s="28"/>
      <c r="XBF458" s="28"/>
      <c r="XBG458" s="28"/>
      <c r="XBH458" s="28"/>
      <c r="XBI458" s="28"/>
      <c r="XBJ458" s="28"/>
      <c r="XBK458" s="28"/>
      <c r="XBL458" s="28"/>
      <c r="XBM458" s="28"/>
      <c r="XBN458" s="28"/>
      <c r="XBO458" s="28"/>
      <c r="XBP458" s="28"/>
      <c r="XBQ458" s="28"/>
      <c r="XBR458" s="28"/>
      <c r="XBS458" s="28"/>
      <c r="XBT458" s="28"/>
      <c r="XBU458" s="28"/>
      <c r="XBV458" s="28"/>
      <c r="XBW458" s="28"/>
      <c r="XBX458" s="28"/>
      <c r="XBY458" s="28"/>
      <c r="XBZ458" s="28"/>
      <c r="XCA458" s="28"/>
      <c r="XCB458" s="28"/>
      <c r="XCC458" s="28"/>
      <c r="XCD458" s="28"/>
      <c r="XCE458" s="28"/>
      <c r="XCF458" s="28"/>
      <c r="XCG458" s="28"/>
      <c r="XCH458" s="28"/>
      <c r="XCI458" s="28"/>
      <c r="XCJ458" s="28"/>
      <c r="XCK458" s="28"/>
      <c r="XCL458" s="28"/>
      <c r="XCM458" s="28"/>
      <c r="XCN458" s="28"/>
      <c r="XCO458" s="28"/>
      <c r="XCP458" s="28"/>
      <c r="XCQ458" s="28"/>
      <c r="XCR458" s="28"/>
      <c r="XCS458" s="28"/>
      <c r="XCT458" s="28"/>
      <c r="XCU458" s="28"/>
      <c r="XCV458" s="28"/>
      <c r="XCW458" s="28"/>
      <c r="XCX458" s="28"/>
      <c r="XCY458" s="28"/>
      <c r="XCZ458" s="28"/>
      <c r="XDA458" s="28"/>
      <c r="XDB458" s="28"/>
      <c r="XDC458" s="28"/>
      <c r="XDD458" s="28"/>
      <c r="XDE458" s="28"/>
      <c r="XDF458" s="28"/>
      <c r="XDG458" s="28"/>
      <c r="XDH458" s="28"/>
      <c r="XDI458" s="28"/>
      <c r="XDJ458" s="28"/>
      <c r="XDK458" s="28"/>
      <c r="XDL458" s="28"/>
      <c r="XDM458" s="28"/>
      <c r="XDN458" s="28"/>
      <c r="XDO458" s="28"/>
      <c r="XDP458" s="28"/>
      <c r="XDQ458" s="28"/>
      <c r="XDR458" s="28"/>
      <c r="XDS458" s="28"/>
      <c r="XDT458" s="28"/>
      <c r="XDU458" s="28"/>
      <c r="XDV458" s="28"/>
      <c r="XDW458" s="28"/>
      <c r="XDX458" s="28"/>
      <c r="XDY458" s="28"/>
      <c r="XDZ458" s="28"/>
      <c r="XEA458" s="28"/>
      <c r="XEB458" s="28"/>
      <c r="XEC458" s="28"/>
      <c r="XED458" s="28"/>
      <c r="XEE458" s="28"/>
      <c r="XEF458" s="28"/>
      <c r="XEG458" s="28"/>
      <c r="XEH458" s="28"/>
      <c r="XEI458" s="28"/>
      <c r="XEJ458" s="28"/>
      <c r="XEK458" s="28"/>
      <c r="XEL458" s="28"/>
      <c r="XEM458" s="28"/>
      <c r="XEN458" s="28"/>
      <c r="XEO458" s="28"/>
      <c r="XEP458" s="28"/>
      <c r="XEQ458" s="28"/>
      <c r="XER458" s="28"/>
      <c r="XES458" s="28"/>
      <c r="XET458" s="28"/>
      <c r="XEU458" s="28"/>
      <c r="XEV458" s="28"/>
      <c r="XEW458" s="28"/>
      <c r="XEX458" s="28"/>
      <c r="XEY458" s="28"/>
      <c r="XEZ458" s="28"/>
      <c r="XFA458" s="28"/>
      <c r="XFB458" s="28"/>
      <c r="XFC458" s="28"/>
    </row>
    <row r="459" spans="1:16383" ht="15" x14ac:dyDescent="0.25">
      <c r="A459" s="961" t="s">
        <v>1848</v>
      </c>
      <c r="B459" s="961"/>
      <c r="C459" s="961"/>
      <c r="D459" s="141"/>
      <c r="E459" s="141"/>
      <c r="F459" s="141"/>
      <c r="G459" s="141"/>
      <c r="H459" s="141"/>
      <c r="I459" s="141"/>
      <c r="J459" s="141"/>
      <c r="K459" s="141"/>
      <c r="L459" s="203" t="s">
        <v>863</v>
      </c>
      <c r="M459" s="203" t="s">
        <v>885</v>
      </c>
      <c r="N459" s="203" t="s">
        <v>873</v>
      </c>
      <c r="O459" s="203"/>
      <c r="P459" s="141"/>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c r="BC459" s="22"/>
      <c r="BD459" s="22"/>
      <c r="BE459" s="22"/>
      <c r="BF459" s="22"/>
      <c r="BG459" s="22"/>
      <c r="BH459" s="22"/>
      <c r="BI459" s="22"/>
      <c r="BJ459" s="22"/>
      <c r="BK459" s="22"/>
      <c r="BL459" s="22"/>
      <c r="BM459" s="22"/>
      <c r="BN459" s="22"/>
      <c r="BO459" s="22"/>
      <c r="BP459" s="22"/>
      <c r="BQ459" s="22"/>
      <c r="BR459" s="22"/>
      <c r="BS459" s="22"/>
      <c r="BT459" s="22"/>
      <c r="BU459" s="22"/>
      <c r="BV459" s="22"/>
      <c r="BW459" s="22"/>
      <c r="BX459" s="22"/>
      <c r="BY459" s="22"/>
      <c r="BZ459" s="22"/>
      <c r="CA459" s="22"/>
      <c r="CB459" s="22"/>
      <c r="CC459" s="22"/>
      <c r="CD459" s="22"/>
      <c r="CE459" s="22"/>
      <c r="CF459" s="22"/>
      <c r="CG459" s="22"/>
      <c r="CH459" s="22"/>
      <c r="CI459" s="22"/>
      <c r="CJ459" s="22"/>
      <c r="CK459" s="22"/>
      <c r="CL459" s="22"/>
      <c r="CM459" s="22"/>
      <c r="CN459" s="22"/>
      <c r="CO459" s="22"/>
      <c r="CP459" s="22"/>
      <c r="CQ459" s="22"/>
      <c r="CR459" s="22"/>
      <c r="CS459" s="22"/>
      <c r="CT459" s="22"/>
      <c r="CU459" s="22"/>
      <c r="CV459" s="22"/>
      <c r="CW459" s="22"/>
      <c r="CX459" s="22"/>
      <c r="CY459" s="22"/>
      <c r="CZ459" s="22"/>
      <c r="DA459" s="22"/>
      <c r="DB459" s="22"/>
      <c r="DC459" s="22"/>
      <c r="DD459" s="22"/>
      <c r="DE459" s="22"/>
      <c r="DF459" s="22"/>
      <c r="DG459" s="22"/>
      <c r="DH459" s="22"/>
      <c r="DI459" s="22"/>
      <c r="DJ459" s="22"/>
      <c r="DK459" s="22"/>
      <c r="DL459" s="22"/>
      <c r="DM459" s="22"/>
      <c r="DN459" s="22"/>
      <c r="DO459" s="22"/>
      <c r="DP459" s="22"/>
      <c r="DQ459" s="22"/>
      <c r="DR459" s="22"/>
      <c r="DS459" s="22"/>
      <c r="DT459" s="22"/>
      <c r="DU459" s="22"/>
      <c r="DV459" s="22"/>
      <c r="DW459" s="22"/>
      <c r="DX459" s="22"/>
      <c r="DY459" s="22"/>
      <c r="DZ459" s="22"/>
      <c r="EA459" s="22"/>
      <c r="EB459" s="22"/>
      <c r="EC459" s="22"/>
      <c r="ED459" s="22"/>
      <c r="EE459" s="22"/>
      <c r="EF459" s="22"/>
      <c r="EG459" s="22"/>
      <c r="EH459" s="22"/>
      <c r="EI459" s="22"/>
      <c r="EJ459" s="22"/>
      <c r="EK459" s="22"/>
      <c r="EL459" s="22"/>
      <c r="EM459" s="22"/>
      <c r="EN459" s="22"/>
      <c r="EO459" s="22"/>
      <c r="EP459" s="22"/>
      <c r="EQ459" s="22"/>
      <c r="ER459" s="22"/>
      <c r="ES459" s="22"/>
      <c r="ET459" s="22"/>
      <c r="EU459" s="22"/>
      <c r="EV459" s="22"/>
      <c r="EW459" s="22"/>
      <c r="EX459" s="22"/>
      <c r="EY459" s="22"/>
      <c r="EZ459" s="22"/>
      <c r="FA459" s="22"/>
      <c r="FB459" s="22"/>
      <c r="FC459" s="22"/>
      <c r="FD459" s="22"/>
      <c r="FE459" s="22"/>
      <c r="FF459" s="22"/>
      <c r="FG459" s="22"/>
      <c r="FH459" s="22"/>
      <c r="FI459" s="22"/>
      <c r="FJ459" s="22"/>
      <c r="FK459" s="22"/>
      <c r="FL459" s="22"/>
      <c r="FM459" s="22"/>
      <c r="FN459" s="22"/>
      <c r="FO459" s="22"/>
      <c r="FP459" s="22"/>
      <c r="FQ459" s="22"/>
      <c r="FR459" s="22"/>
      <c r="FS459" s="22"/>
      <c r="FT459" s="22"/>
      <c r="FU459" s="22"/>
      <c r="FV459" s="22"/>
      <c r="FW459" s="22"/>
      <c r="FX459" s="22"/>
      <c r="FY459" s="22"/>
      <c r="FZ459" s="22"/>
      <c r="GA459" s="22"/>
      <c r="GB459" s="22"/>
      <c r="GC459" s="22"/>
      <c r="GD459" s="22"/>
      <c r="GE459" s="22"/>
      <c r="GF459" s="22"/>
      <c r="GG459" s="22"/>
      <c r="GH459" s="22"/>
      <c r="GI459" s="22"/>
      <c r="GJ459" s="22"/>
      <c r="GK459" s="22"/>
      <c r="GL459" s="22"/>
      <c r="GM459" s="22"/>
      <c r="GN459" s="22"/>
      <c r="GO459" s="22"/>
      <c r="GP459" s="22"/>
      <c r="GQ459" s="22"/>
      <c r="GR459" s="22"/>
      <c r="GS459" s="22"/>
      <c r="GT459" s="22"/>
      <c r="GU459" s="22"/>
      <c r="GV459" s="22"/>
      <c r="GW459" s="22"/>
      <c r="GX459" s="22"/>
      <c r="GY459" s="22"/>
      <c r="GZ459" s="22"/>
      <c r="HA459" s="22"/>
      <c r="HB459" s="22"/>
      <c r="HC459" s="22"/>
      <c r="HD459" s="22"/>
      <c r="HE459" s="22"/>
      <c r="HF459" s="22"/>
      <c r="HG459" s="22"/>
      <c r="HH459" s="22"/>
      <c r="HI459" s="22"/>
      <c r="HJ459" s="22"/>
      <c r="HK459" s="22"/>
      <c r="HL459" s="22"/>
      <c r="HM459" s="22"/>
      <c r="HN459" s="22"/>
      <c r="HO459" s="22"/>
      <c r="HP459" s="22"/>
      <c r="HQ459" s="22"/>
      <c r="HR459" s="22"/>
      <c r="HS459" s="22"/>
      <c r="HT459" s="22"/>
      <c r="HU459" s="22"/>
      <c r="HV459" s="22"/>
      <c r="HW459" s="22"/>
      <c r="HX459" s="22"/>
      <c r="HY459" s="22"/>
      <c r="HZ459" s="22"/>
      <c r="IA459" s="22"/>
      <c r="IB459" s="22"/>
      <c r="IC459" s="22"/>
      <c r="ID459" s="22"/>
      <c r="IE459" s="22"/>
      <c r="IF459" s="22"/>
      <c r="IG459" s="22"/>
      <c r="IH459" s="22"/>
      <c r="II459" s="22"/>
      <c r="IJ459" s="22"/>
      <c r="IK459" s="22"/>
      <c r="IL459" s="22"/>
      <c r="IM459" s="22"/>
      <c r="IN459" s="22"/>
      <c r="IO459" s="22"/>
      <c r="IP459" s="22"/>
      <c r="IQ459" s="22"/>
      <c r="IR459" s="22"/>
      <c r="IS459" s="22"/>
      <c r="IT459" s="22"/>
      <c r="IU459" s="22"/>
      <c r="IV459" s="22"/>
      <c r="IW459" s="22"/>
      <c r="IX459" s="22"/>
      <c r="IY459" s="22"/>
      <c r="IZ459" s="22"/>
      <c r="JA459" s="22"/>
      <c r="JB459" s="22"/>
      <c r="JC459" s="22"/>
      <c r="JD459" s="22"/>
      <c r="JE459" s="22"/>
      <c r="JF459" s="22"/>
      <c r="JG459" s="22"/>
      <c r="JH459" s="22"/>
      <c r="JI459" s="22"/>
      <c r="JJ459" s="22"/>
      <c r="JK459" s="22"/>
      <c r="JL459" s="22"/>
      <c r="JM459" s="22"/>
      <c r="JN459" s="22"/>
      <c r="JO459" s="22"/>
      <c r="JP459" s="22"/>
      <c r="JQ459" s="22"/>
      <c r="JR459" s="22"/>
      <c r="JS459" s="22"/>
      <c r="JT459" s="22"/>
      <c r="JU459" s="22"/>
      <c r="JV459" s="22"/>
      <c r="JW459" s="22"/>
      <c r="JX459" s="22"/>
      <c r="JY459" s="22"/>
      <c r="JZ459" s="22"/>
      <c r="KA459" s="22"/>
      <c r="KB459" s="22"/>
      <c r="KC459" s="22"/>
      <c r="KD459" s="22"/>
      <c r="KE459" s="22"/>
      <c r="KF459" s="22"/>
      <c r="KG459" s="22"/>
      <c r="KH459" s="22"/>
      <c r="KI459" s="22"/>
      <c r="KJ459" s="22"/>
      <c r="KK459" s="22"/>
      <c r="KL459" s="22"/>
      <c r="KM459" s="22"/>
      <c r="KN459" s="22"/>
      <c r="KO459" s="22"/>
      <c r="KP459" s="22"/>
      <c r="KQ459" s="22"/>
      <c r="KR459" s="22"/>
      <c r="KS459" s="22"/>
      <c r="KT459" s="22"/>
      <c r="KU459" s="22"/>
      <c r="KV459" s="22"/>
      <c r="KW459" s="22"/>
      <c r="KX459" s="22"/>
      <c r="KY459" s="22"/>
      <c r="KZ459" s="22"/>
      <c r="LA459" s="22"/>
      <c r="LB459" s="22"/>
      <c r="LC459" s="22"/>
      <c r="LD459" s="22"/>
      <c r="LE459" s="22"/>
      <c r="LF459" s="22"/>
      <c r="LG459" s="22"/>
      <c r="LH459" s="22"/>
      <c r="LI459" s="22"/>
      <c r="LJ459" s="22"/>
      <c r="LK459" s="22"/>
      <c r="LL459" s="22"/>
      <c r="LM459" s="22"/>
      <c r="LN459" s="22"/>
      <c r="LO459" s="22"/>
      <c r="LP459" s="22"/>
      <c r="LQ459" s="22"/>
      <c r="LR459" s="22"/>
      <c r="LS459" s="22"/>
      <c r="LT459" s="22"/>
      <c r="LU459" s="22"/>
      <c r="LV459" s="22"/>
      <c r="LW459" s="22"/>
      <c r="LX459" s="22"/>
      <c r="LY459" s="22"/>
      <c r="LZ459" s="22"/>
      <c r="MA459" s="22"/>
      <c r="MB459" s="22"/>
      <c r="MC459" s="22"/>
      <c r="MD459" s="22"/>
      <c r="ME459" s="22"/>
      <c r="MF459" s="22"/>
      <c r="MG459" s="22"/>
      <c r="MH459" s="22"/>
      <c r="MI459" s="22"/>
      <c r="MJ459" s="22"/>
      <c r="MK459" s="22"/>
      <c r="ML459" s="22"/>
      <c r="MM459" s="22"/>
      <c r="MN459" s="22"/>
      <c r="MO459" s="22"/>
      <c r="MP459" s="22"/>
      <c r="MQ459" s="22"/>
      <c r="MR459" s="22"/>
      <c r="MS459" s="22"/>
      <c r="MT459" s="22"/>
      <c r="MU459" s="22"/>
      <c r="MV459" s="22"/>
      <c r="MW459" s="22"/>
      <c r="MX459" s="22"/>
      <c r="MY459" s="22"/>
      <c r="MZ459" s="22"/>
      <c r="NA459" s="22"/>
      <c r="NB459" s="22"/>
      <c r="NC459" s="22"/>
      <c r="ND459" s="22"/>
      <c r="NE459" s="22"/>
      <c r="NF459" s="22"/>
      <c r="NG459" s="22"/>
      <c r="NH459" s="22"/>
      <c r="NI459" s="22"/>
      <c r="NJ459" s="22"/>
      <c r="NK459" s="22"/>
      <c r="NL459" s="22"/>
      <c r="NM459" s="22"/>
      <c r="NN459" s="22"/>
      <c r="NO459" s="22"/>
      <c r="NP459" s="22"/>
      <c r="NQ459" s="22"/>
      <c r="NR459" s="22"/>
      <c r="NS459" s="22"/>
      <c r="NT459" s="22"/>
      <c r="NU459" s="22"/>
      <c r="NV459" s="22"/>
      <c r="NW459" s="22"/>
      <c r="NX459" s="22"/>
      <c r="NY459" s="22"/>
      <c r="NZ459" s="22"/>
      <c r="OA459" s="22"/>
      <c r="OB459" s="22"/>
      <c r="OC459" s="22"/>
      <c r="OD459" s="22"/>
      <c r="OE459" s="22"/>
      <c r="OF459" s="22"/>
      <c r="OG459" s="22"/>
      <c r="OH459" s="22"/>
      <c r="OI459" s="22"/>
      <c r="OJ459" s="22"/>
      <c r="OK459" s="22"/>
      <c r="OL459" s="22"/>
      <c r="OM459" s="22"/>
      <c r="ON459" s="22"/>
      <c r="OO459" s="22"/>
      <c r="OP459" s="22"/>
      <c r="OQ459" s="22"/>
      <c r="OR459" s="22"/>
      <c r="OS459" s="22"/>
      <c r="OT459" s="22"/>
      <c r="OU459" s="22"/>
      <c r="OV459" s="22"/>
      <c r="OW459" s="22"/>
      <c r="OX459" s="22"/>
      <c r="OY459" s="22"/>
      <c r="OZ459" s="22"/>
      <c r="PA459" s="22"/>
      <c r="PB459" s="22"/>
      <c r="PC459" s="22"/>
      <c r="PD459" s="22"/>
      <c r="PE459" s="22"/>
      <c r="PF459" s="22"/>
      <c r="PG459" s="22"/>
      <c r="PH459" s="22"/>
      <c r="PI459" s="22"/>
      <c r="PJ459" s="22"/>
      <c r="PK459" s="22"/>
      <c r="PL459" s="22"/>
      <c r="PM459" s="22"/>
      <c r="PN459" s="22"/>
      <c r="PO459" s="22"/>
      <c r="PP459" s="22"/>
      <c r="PQ459" s="22"/>
      <c r="PR459" s="22"/>
      <c r="PS459" s="22"/>
      <c r="PT459" s="22"/>
      <c r="PU459" s="22"/>
      <c r="PV459" s="22"/>
      <c r="PW459" s="22"/>
      <c r="PX459" s="22"/>
      <c r="PY459" s="22"/>
      <c r="PZ459" s="22"/>
      <c r="QA459" s="22"/>
      <c r="QB459" s="22"/>
      <c r="QC459" s="22"/>
      <c r="QD459" s="22"/>
      <c r="QE459" s="22"/>
      <c r="QF459" s="22"/>
      <c r="QG459" s="22"/>
      <c r="QH459" s="22"/>
      <c r="QI459" s="22"/>
      <c r="QJ459" s="22"/>
      <c r="QK459" s="22"/>
      <c r="QL459" s="22"/>
      <c r="QM459" s="22"/>
      <c r="QN459" s="22"/>
      <c r="QO459" s="22"/>
      <c r="QP459" s="22"/>
      <c r="QQ459" s="22"/>
      <c r="QR459" s="22"/>
      <c r="QS459" s="22"/>
      <c r="QT459" s="22"/>
      <c r="QU459" s="22"/>
      <c r="QV459" s="22"/>
      <c r="QW459" s="22"/>
      <c r="QX459" s="22"/>
      <c r="QY459" s="22"/>
      <c r="QZ459" s="22"/>
      <c r="RA459" s="22"/>
      <c r="RB459" s="22"/>
      <c r="RC459" s="22"/>
      <c r="RD459" s="22"/>
      <c r="RE459" s="22"/>
      <c r="RF459" s="22"/>
      <c r="RG459" s="22"/>
      <c r="RH459" s="22"/>
      <c r="RI459" s="22"/>
      <c r="RJ459" s="22"/>
      <c r="RK459" s="22"/>
      <c r="RL459" s="22"/>
      <c r="RM459" s="22"/>
      <c r="RN459" s="22"/>
      <c r="RO459" s="22"/>
      <c r="RP459" s="22"/>
      <c r="RQ459" s="22"/>
      <c r="RR459" s="22"/>
      <c r="RS459" s="22"/>
      <c r="RT459" s="22"/>
      <c r="RU459" s="22"/>
      <c r="RV459" s="22"/>
      <c r="RW459" s="22"/>
      <c r="RX459" s="22"/>
      <c r="RY459" s="22"/>
      <c r="RZ459" s="22"/>
      <c r="SA459" s="22"/>
      <c r="SB459" s="22"/>
      <c r="SC459" s="22"/>
      <c r="SD459" s="22"/>
      <c r="SE459" s="22"/>
      <c r="SF459" s="22"/>
      <c r="SG459" s="22"/>
      <c r="SH459" s="22"/>
      <c r="SI459" s="22"/>
      <c r="SJ459" s="22"/>
      <c r="SK459" s="22"/>
      <c r="SL459" s="22"/>
      <c r="SM459" s="22"/>
      <c r="SN459" s="22"/>
      <c r="SO459" s="22"/>
      <c r="SP459" s="22"/>
      <c r="SQ459" s="22"/>
      <c r="SR459" s="22"/>
      <c r="SS459" s="22"/>
      <c r="ST459" s="22"/>
      <c r="SU459" s="22"/>
      <c r="SV459" s="22"/>
      <c r="SW459" s="22"/>
      <c r="SX459" s="22"/>
      <c r="SY459" s="22"/>
      <c r="SZ459" s="22"/>
      <c r="TA459" s="22"/>
      <c r="TB459" s="22"/>
      <c r="TC459" s="22"/>
      <c r="TD459" s="22"/>
      <c r="TE459" s="22"/>
      <c r="TF459" s="22"/>
      <c r="TG459" s="22"/>
      <c r="TH459" s="22"/>
      <c r="TI459" s="22"/>
      <c r="TJ459" s="22"/>
      <c r="TK459" s="22"/>
      <c r="TL459" s="22"/>
      <c r="TM459" s="22"/>
      <c r="TN459" s="22"/>
      <c r="TO459" s="22"/>
      <c r="TP459" s="22"/>
      <c r="TQ459" s="22"/>
      <c r="TR459" s="22"/>
      <c r="TS459" s="22"/>
      <c r="TT459" s="22"/>
      <c r="TU459" s="22"/>
      <c r="TV459" s="22"/>
      <c r="TW459" s="22"/>
      <c r="TX459" s="22"/>
      <c r="TY459" s="22"/>
      <c r="TZ459" s="22"/>
      <c r="UA459" s="22"/>
      <c r="UB459" s="22"/>
      <c r="UC459" s="22"/>
      <c r="UD459" s="22"/>
      <c r="UE459" s="22"/>
      <c r="UF459" s="22"/>
      <c r="UG459" s="22"/>
      <c r="UH459" s="22"/>
      <c r="UI459" s="22"/>
      <c r="UJ459" s="22"/>
      <c r="UK459" s="22"/>
      <c r="UL459" s="22"/>
      <c r="UM459" s="22"/>
      <c r="UN459" s="22"/>
      <c r="UO459" s="22"/>
      <c r="UP459" s="22"/>
      <c r="UQ459" s="22"/>
      <c r="UR459" s="22"/>
      <c r="US459" s="22"/>
      <c r="UT459" s="22"/>
      <c r="UU459" s="22"/>
      <c r="UV459" s="22"/>
      <c r="UW459" s="22"/>
      <c r="UX459" s="22"/>
      <c r="UY459" s="22"/>
      <c r="UZ459" s="22"/>
      <c r="VA459" s="22"/>
      <c r="VB459" s="22"/>
      <c r="VC459" s="22"/>
      <c r="VD459" s="22"/>
      <c r="VE459" s="22"/>
      <c r="VF459" s="22"/>
      <c r="VG459" s="22"/>
      <c r="VH459" s="22"/>
      <c r="VI459" s="22"/>
      <c r="VJ459" s="22"/>
      <c r="VK459" s="22"/>
      <c r="VL459" s="22"/>
      <c r="VM459" s="22"/>
      <c r="VN459" s="22"/>
      <c r="VO459" s="22"/>
      <c r="VP459" s="22"/>
      <c r="VQ459" s="22"/>
      <c r="VR459" s="22"/>
      <c r="VS459" s="22"/>
      <c r="VT459" s="22"/>
      <c r="VU459" s="22"/>
      <c r="VV459" s="22"/>
      <c r="VW459" s="22"/>
      <c r="VX459" s="22"/>
      <c r="VY459" s="22"/>
      <c r="VZ459" s="22"/>
      <c r="WA459" s="22"/>
      <c r="WB459" s="22"/>
      <c r="WC459" s="22"/>
      <c r="WD459" s="22"/>
      <c r="WE459" s="22"/>
      <c r="WF459" s="22"/>
      <c r="WG459" s="22"/>
      <c r="WH459" s="22"/>
      <c r="WI459" s="22"/>
      <c r="WJ459" s="22"/>
      <c r="WK459" s="22"/>
      <c r="WL459" s="22"/>
      <c r="WM459" s="22"/>
      <c r="WN459" s="22"/>
      <c r="WO459" s="22"/>
      <c r="WP459" s="22"/>
      <c r="WQ459" s="22"/>
      <c r="WR459" s="22"/>
      <c r="WS459" s="22"/>
      <c r="WT459" s="22"/>
      <c r="WU459" s="22"/>
      <c r="WV459" s="22"/>
      <c r="WW459" s="22"/>
      <c r="WX459" s="22"/>
      <c r="WY459" s="22"/>
      <c r="WZ459" s="22"/>
      <c r="XA459" s="22"/>
      <c r="XB459" s="22"/>
      <c r="XC459" s="22"/>
      <c r="XD459" s="22"/>
      <c r="XE459" s="22"/>
      <c r="XF459" s="22"/>
      <c r="XG459" s="22"/>
      <c r="XH459" s="22"/>
      <c r="XI459" s="22"/>
      <c r="XJ459" s="22"/>
      <c r="XK459" s="22"/>
      <c r="XL459" s="22"/>
      <c r="XM459" s="22"/>
      <c r="XN459" s="22"/>
      <c r="XO459" s="22"/>
      <c r="XP459" s="22"/>
      <c r="XQ459" s="22"/>
      <c r="XR459" s="22"/>
      <c r="XS459" s="22"/>
      <c r="XT459" s="22"/>
      <c r="XU459" s="22"/>
      <c r="XV459" s="22"/>
      <c r="XW459" s="22"/>
      <c r="XX459" s="22"/>
      <c r="XY459" s="22"/>
      <c r="XZ459" s="22"/>
      <c r="YA459" s="22"/>
      <c r="YB459" s="22"/>
      <c r="YC459" s="22"/>
      <c r="YD459" s="22"/>
      <c r="YE459" s="22"/>
      <c r="YF459" s="22"/>
      <c r="YG459" s="22"/>
      <c r="YH459" s="22"/>
      <c r="YI459" s="22"/>
      <c r="YJ459" s="22"/>
      <c r="YK459" s="22"/>
      <c r="YL459" s="22"/>
      <c r="YM459" s="22"/>
      <c r="YN459" s="22"/>
      <c r="YO459" s="22"/>
      <c r="YP459" s="22"/>
      <c r="YQ459" s="22"/>
      <c r="YR459" s="22"/>
      <c r="YS459" s="22"/>
      <c r="YT459" s="22"/>
      <c r="YU459" s="22"/>
      <c r="YV459" s="22"/>
      <c r="YW459" s="22"/>
      <c r="YX459" s="22"/>
      <c r="YY459" s="22"/>
      <c r="YZ459" s="22"/>
      <c r="ZA459" s="22"/>
      <c r="ZB459" s="22"/>
      <c r="ZC459" s="22"/>
      <c r="ZD459" s="22"/>
      <c r="ZE459" s="22"/>
      <c r="ZF459" s="22"/>
      <c r="ZG459" s="22"/>
      <c r="ZH459" s="22"/>
      <c r="ZI459" s="22"/>
      <c r="ZJ459" s="22"/>
      <c r="ZK459" s="22"/>
      <c r="ZL459" s="22"/>
      <c r="ZM459" s="22"/>
      <c r="ZN459" s="22"/>
      <c r="ZO459" s="22"/>
      <c r="ZP459" s="22"/>
      <c r="ZQ459" s="22"/>
      <c r="ZR459" s="22"/>
      <c r="ZS459" s="22"/>
      <c r="ZT459" s="22"/>
      <c r="ZU459" s="22"/>
      <c r="ZV459" s="22"/>
      <c r="ZW459" s="22"/>
      <c r="ZX459" s="22"/>
      <c r="ZY459" s="22"/>
      <c r="ZZ459" s="22"/>
      <c r="AAA459" s="22"/>
      <c r="AAB459" s="22"/>
      <c r="AAC459" s="22"/>
      <c r="AAD459" s="22"/>
      <c r="AAE459" s="22"/>
      <c r="AAF459" s="22"/>
      <c r="AAG459" s="22"/>
      <c r="AAH459" s="22"/>
      <c r="AAI459" s="22"/>
      <c r="AAJ459" s="22"/>
      <c r="AAK459" s="22"/>
      <c r="AAL459" s="22"/>
      <c r="AAM459" s="22"/>
      <c r="AAN459" s="22"/>
      <c r="AAO459" s="22"/>
      <c r="AAP459" s="22"/>
      <c r="AAQ459" s="22"/>
      <c r="AAR459" s="22"/>
      <c r="AAS459" s="22"/>
      <c r="AAT459" s="22"/>
      <c r="AAU459" s="22"/>
      <c r="AAV459" s="22"/>
      <c r="AAW459" s="22"/>
      <c r="AAX459" s="22"/>
      <c r="AAY459" s="22"/>
      <c r="AAZ459" s="22"/>
      <c r="ABA459" s="22"/>
      <c r="ABB459" s="22"/>
      <c r="ABC459" s="22"/>
      <c r="ABD459" s="22"/>
      <c r="ABE459" s="22"/>
      <c r="ABF459" s="22"/>
      <c r="ABG459" s="22"/>
      <c r="ABH459" s="22"/>
      <c r="ABI459" s="22"/>
      <c r="ABJ459" s="22"/>
      <c r="ABK459" s="22"/>
      <c r="ABL459" s="22"/>
      <c r="ABM459" s="22"/>
      <c r="ABN459" s="22"/>
      <c r="ABO459" s="22"/>
      <c r="ABP459" s="22"/>
      <c r="ABQ459" s="22"/>
      <c r="ABR459" s="22"/>
      <c r="ABS459" s="22"/>
      <c r="ABT459" s="22"/>
      <c r="ABU459" s="22"/>
      <c r="ABV459" s="22"/>
      <c r="ABW459" s="22"/>
      <c r="ABX459" s="22"/>
      <c r="ABY459" s="22"/>
      <c r="ABZ459" s="22"/>
      <c r="ACA459" s="22"/>
      <c r="ACB459" s="22"/>
      <c r="ACC459" s="22"/>
      <c r="ACD459" s="22"/>
      <c r="ACE459" s="22"/>
      <c r="ACF459" s="22"/>
      <c r="ACG459" s="22"/>
      <c r="ACH459" s="22"/>
      <c r="ACI459" s="22"/>
      <c r="ACJ459" s="22"/>
      <c r="ACK459" s="22"/>
      <c r="ACL459" s="22"/>
      <c r="ACM459" s="22"/>
      <c r="ACN459" s="22"/>
      <c r="ACO459" s="22"/>
      <c r="ACP459" s="22"/>
      <c r="ACQ459" s="22"/>
      <c r="ACR459" s="22"/>
      <c r="ACS459" s="22"/>
      <c r="ACT459" s="22"/>
      <c r="ACU459" s="22"/>
      <c r="ACV459" s="22"/>
      <c r="ACW459" s="22"/>
      <c r="ACX459" s="22"/>
      <c r="ACY459" s="22"/>
      <c r="ACZ459" s="22"/>
      <c r="ADA459" s="22"/>
      <c r="ADB459" s="22"/>
      <c r="ADC459" s="22"/>
      <c r="ADD459" s="22"/>
      <c r="ADE459" s="22"/>
      <c r="ADF459" s="22"/>
      <c r="ADG459" s="22"/>
      <c r="ADH459" s="22"/>
      <c r="ADI459" s="22"/>
      <c r="ADJ459" s="22"/>
      <c r="ADK459" s="22"/>
      <c r="ADL459" s="22"/>
      <c r="ADM459" s="22"/>
      <c r="ADN459" s="22"/>
      <c r="ADO459" s="22"/>
      <c r="ADP459" s="22"/>
      <c r="ADQ459" s="22"/>
      <c r="ADR459" s="22"/>
      <c r="ADS459" s="22"/>
      <c r="ADT459" s="22"/>
      <c r="ADU459" s="22"/>
      <c r="ADV459" s="22"/>
      <c r="ADW459" s="22"/>
      <c r="ADX459" s="22"/>
      <c r="ADY459" s="22"/>
      <c r="ADZ459" s="22"/>
      <c r="AEA459" s="22"/>
      <c r="AEB459" s="22"/>
      <c r="AEC459" s="22"/>
      <c r="AED459" s="22"/>
      <c r="AEE459" s="22"/>
      <c r="AEF459" s="22"/>
      <c r="AEG459" s="22"/>
      <c r="AEH459" s="22"/>
      <c r="AEI459" s="22"/>
      <c r="AEJ459" s="22"/>
      <c r="AEK459" s="22"/>
      <c r="AEL459" s="22"/>
      <c r="AEM459" s="22"/>
      <c r="AEN459" s="22"/>
      <c r="AEO459" s="22"/>
      <c r="AEP459" s="22"/>
      <c r="AEQ459" s="22"/>
      <c r="AER459" s="22"/>
      <c r="AES459" s="22"/>
      <c r="AET459" s="22"/>
      <c r="AEU459" s="22"/>
      <c r="AEV459" s="22"/>
      <c r="AEW459" s="22"/>
      <c r="AEX459" s="22"/>
      <c r="AEY459" s="22"/>
      <c r="AEZ459" s="22"/>
      <c r="AFA459" s="22"/>
      <c r="AFB459" s="22"/>
      <c r="AFC459" s="22"/>
      <c r="AFD459" s="22"/>
      <c r="AFE459" s="22"/>
      <c r="AFF459" s="22"/>
      <c r="AFG459" s="22"/>
      <c r="AFH459" s="22"/>
      <c r="AFI459" s="22"/>
      <c r="AFJ459" s="22"/>
      <c r="AFK459" s="22"/>
      <c r="AFL459" s="22"/>
      <c r="AFM459" s="22"/>
      <c r="AFN459" s="22"/>
      <c r="AFO459" s="22"/>
      <c r="AFP459" s="22"/>
      <c r="AFQ459" s="22"/>
      <c r="AFR459" s="22"/>
      <c r="AFS459" s="22"/>
      <c r="AFT459" s="22"/>
      <c r="AFU459" s="22"/>
      <c r="AFV459" s="22"/>
      <c r="AFW459" s="22"/>
      <c r="AFX459" s="22"/>
      <c r="AFY459" s="22"/>
      <c r="AFZ459" s="22"/>
      <c r="AGA459" s="22"/>
      <c r="AGB459" s="22"/>
      <c r="AGC459" s="22"/>
      <c r="AGD459" s="22"/>
      <c r="AGE459" s="22"/>
      <c r="AGF459" s="22"/>
      <c r="AGG459" s="22"/>
      <c r="AGH459" s="22"/>
      <c r="AGI459" s="22"/>
      <c r="AGJ459" s="22"/>
      <c r="AGK459" s="22"/>
      <c r="AGL459" s="22"/>
      <c r="AGM459" s="22"/>
      <c r="AGN459" s="22"/>
      <c r="AGO459" s="22"/>
      <c r="AGP459" s="22"/>
      <c r="AGQ459" s="22"/>
      <c r="AGR459" s="22"/>
      <c r="AGS459" s="22"/>
      <c r="AGT459" s="22"/>
      <c r="AGU459" s="22"/>
      <c r="AGV459" s="22"/>
      <c r="AGW459" s="22"/>
      <c r="AGX459" s="22"/>
      <c r="AGY459" s="22"/>
      <c r="AGZ459" s="22"/>
      <c r="AHA459" s="22"/>
      <c r="AHB459" s="22"/>
      <c r="AHC459" s="22"/>
      <c r="AHD459" s="22"/>
      <c r="AHE459" s="22"/>
      <c r="AHF459" s="22"/>
      <c r="AHG459" s="22"/>
      <c r="AHH459" s="22"/>
      <c r="AHI459" s="22"/>
      <c r="AHJ459" s="22"/>
      <c r="AHK459" s="22"/>
      <c r="AHL459" s="22"/>
      <c r="AHM459" s="22"/>
      <c r="AHN459" s="22"/>
      <c r="AHO459" s="22"/>
      <c r="AHP459" s="22"/>
      <c r="AHQ459" s="22"/>
      <c r="AHR459" s="22"/>
      <c r="AHS459" s="22"/>
      <c r="AHT459" s="22"/>
      <c r="AHU459" s="22"/>
      <c r="AHV459" s="22"/>
      <c r="AHW459" s="22"/>
      <c r="AHX459" s="22"/>
      <c r="AHY459" s="22"/>
      <c r="AHZ459" s="22"/>
      <c r="AIA459" s="22"/>
      <c r="AIB459" s="22"/>
      <c r="AIC459" s="22"/>
      <c r="AID459" s="22"/>
      <c r="AIE459" s="22"/>
      <c r="AIF459" s="22"/>
      <c r="AIG459" s="22"/>
      <c r="AIH459" s="22"/>
      <c r="AII459" s="22"/>
      <c r="AIJ459" s="22"/>
      <c r="AIK459" s="22"/>
      <c r="AIL459" s="22"/>
      <c r="AIM459" s="22"/>
      <c r="AIN459" s="22"/>
      <c r="AIO459" s="22"/>
      <c r="AIP459" s="22"/>
      <c r="AIQ459" s="22"/>
      <c r="AIR459" s="22"/>
      <c r="AIS459" s="22"/>
      <c r="AIT459" s="22"/>
      <c r="AIU459" s="22"/>
      <c r="AIV459" s="22"/>
      <c r="AIW459" s="22"/>
      <c r="AIX459" s="22"/>
      <c r="AIY459" s="22"/>
      <c r="AIZ459" s="22"/>
      <c r="AJA459" s="22"/>
      <c r="AJB459" s="22"/>
      <c r="AJC459" s="22"/>
      <c r="AJD459" s="22"/>
      <c r="AJE459" s="22"/>
      <c r="AJF459" s="22"/>
      <c r="AJG459" s="22"/>
      <c r="AJH459" s="22"/>
      <c r="AJI459" s="22"/>
      <c r="AJJ459" s="22"/>
      <c r="AJK459" s="22"/>
      <c r="AJL459" s="22"/>
      <c r="AJM459" s="22"/>
      <c r="AJN459" s="22"/>
      <c r="AJO459" s="22"/>
      <c r="AJP459" s="22"/>
      <c r="AJQ459" s="22"/>
      <c r="AJR459" s="22"/>
      <c r="AJS459" s="22"/>
      <c r="AJT459" s="22"/>
      <c r="AJU459" s="22"/>
      <c r="AJV459" s="22"/>
      <c r="AJW459" s="22"/>
      <c r="AJX459" s="22"/>
      <c r="AJY459" s="22"/>
      <c r="AJZ459" s="22"/>
      <c r="AKA459" s="22"/>
      <c r="AKB459" s="22"/>
      <c r="AKC459" s="22"/>
      <c r="AKD459" s="22"/>
      <c r="AKE459" s="22"/>
      <c r="AKF459" s="22"/>
      <c r="AKG459" s="22"/>
      <c r="AKH459" s="22"/>
      <c r="AKI459" s="22"/>
      <c r="AKJ459" s="22"/>
      <c r="AKK459" s="22"/>
      <c r="AKL459" s="22"/>
      <c r="AKM459" s="22"/>
      <c r="AKN459" s="22"/>
      <c r="AKO459" s="22"/>
      <c r="AKP459" s="22"/>
      <c r="AKQ459" s="22"/>
      <c r="AKR459" s="22"/>
      <c r="AKS459" s="22"/>
      <c r="AKT459" s="22"/>
      <c r="AKU459" s="22"/>
      <c r="AKV459" s="22"/>
      <c r="AKW459" s="22"/>
      <c r="AKX459" s="22"/>
      <c r="AKY459" s="22"/>
      <c r="AKZ459" s="22"/>
      <c r="ALA459" s="22"/>
      <c r="ALB459" s="22"/>
      <c r="ALC459" s="22"/>
      <c r="ALD459" s="22"/>
      <c r="ALE459" s="22"/>
      <c r="ALF459" s="22"/>
      <c r="ALG459" s="22"/>
      <c r="ALH459" s="22"/>
      <c r="ALI459" s="22"/>
      <c r="ALJ459" s="22"/>
      <c r="ALK459" s="22"/>
      <c r="ALL459" s="22"/>
      <c r="ALM459" s="22"/>
      <c r="ALN459" s="22"/>
      <c r="ALO459" s="22"/>
      <c r="ALP459" s="22"/>
      <c r="ALQ459" s="22"/>
      <c r="ALR459" s="22"/>
      <c r="ALS459" s="22"/>
      <c r="ALT459" s="22"/>
      <c r="ALU459" s="22"/>
      <c r="ALV459" s="22"/>
      <c r="ALW459" s="22"/>
      <c r="ALX459" s="22"/>
      <c r="ALY459" s="22"/>
      <c r="ALZ459" s="22"/>
      <c r="AMA459" s="22"/>
      <c r="AMB459" s="22"/>
      <c r="AMC459" s="22"/>
      <c r="AMD459" s="22"/>
      <c r="AME459" s="22"/>
      <c r="AMF459" s="22"/>
      <c r="AMG459" s="22"/>
      <c r="AMH459" s="22"/>
      <c r="AMI459" s="22"/>
      <c r="AMJ459" s="22"/>
      <c r="AMK459" s="22"/>
      <c r="AML459" s="22"/>
      <c r="AMM459" s="22"/>
      <c r="AMN459" s="22"/>
      <c r="AMO459" s="22"/>
      <c r="AMP459" s="22"/>
      <c r="AMQ459" s="22"/>
      <c r="AMR459" s="22"/>
      <c r="AMS459" s="22"/>
      <c r="AMT459" s="22"/>
      <c r="AMU459" s="22"/>
      <c r="AMV459" s="22"/>
      <c r="AMW459" s="22"/>
      <c r="AMX459" s="22"/>
      <c r="AMY459" s="22"/>
      <c r="AMZ459" s="22"/>
      <c r="ANA459" s="22"/>
      <c r="ANB459" s="22"/>
      <c r="ANC459" s="22"/>
      <c r="AND459" s="22"/>
      <c r="ANE459" s="22"/>
      <c r="ANF459" s="22"/>
      <c r="ANG459" s="22"/>
      <c r="ANH459" s="22"/>
      <c r="ANI459" s="22"/>
      <c r="ANJ459" s="22"/>
      <c r="ANK459" s="22"/>
      <c r="ANL459" s="22"/>
      <c r="ANM459" s="22"/>
      <c r="ANN459" s="22"/>
      <c r="ANO459" s="22"/>
      <c r="ANP459" s="22"/>
      <c r="ANQ459" s="22"/>
      <c r="ANR459" s="22"/>
      <c r="ANS459" s="22"/>
      <c r="ANT459" s="22"/>
      <c r="ANU459" s="22"/>
      <c r="ANV459" s="22"/>
      <c r="ANW459" s="22"/>
      <c r="ANX459" s="22"/>
      <c r="ANY459" s="22"/>
      <c r="ANZ459" s="22"/>
      <c r="AOA459" s="22"/>
      <c r="AOB459" s="22"/>
      <c r="AOC459" s="22"/>
      <c r="AOD459" s="22"/>
      <c r="AOE459" s="22"/>
      <c r="AOF459" s="22"/>
      <c r="AOG459" s="22"/>
      <c r="AOH459" s="22"/>
      <c r="AOI459" s="22"/>
      <c r="AOJ459" s="22"/>
      <c r="AOK459" s="22"/>
      <c r="AOL459" s="22"/>
      <c r="AOM459" s="22"/>
      <c r="AON459" s="22"/>
      <c r="AOO459" s="22"/>
      <c r="AOP459" s="22"/>
      <c r="AOQ459" s="22"/>
      <c r="AOR459" s="22"/>
      <c r="AOS459" s="22"/>
      <c r="AOT459" s="22"/>
      <c r="AOU459" s="22"/>
      <c r="AOV459" s="22"/>
      <c r="AOW459" s="22"/>
      <c r="AOX459" s="22"/>
      <c r="AOY459" s="22"/>
      <c r="AOZ459" s="22"/>
      <c r="APA459" s="22"/>
      <c r="APB459" s="22"/>
      <c r="APC459" s="22"/>
      <c r="APD459" s="22"/>
      <c r="APE459" s="22"/>
      <c r="APF459" s="22"/>
      <c r="APG459" s="22"/>
      <c r="APH459" s="22"/>
      <c r="API459" s="22"/>
      <c r="APJ459" s="22"/>
      <c r="APK459" s="22"/>
      <c r="APL459" s="22"/>
      <c r="APM459" s="22"/>
      <c r="APN459" s="22"/>
      <c r="APO459" s="22"/>
      <c r="APP459" s="22"/>
      <c r="APQ459" s="22"/>
      <c r="APR459" s="22"/>
      <c r="APS459" s="22"/>
      <c r="APT459" s="22"/>
      <c r="APU459" s="22"/>
      <c r="APV459" s="22"/>
      <c r="APW459" s="22"/>
      <c r="APX459" s="22"/>
      <c r="APY459" s="22"/>
      <c r="APZ459" s="22"/>
      <c r="AQA459" s="22"/>
      <c r="AQB459" s="22"/>
      <c r="AQC459" s="22"/>
      <c r="AQD459" s="22"/>
      <c r="AQE459" s="22"/>
      <c r="AQF459" s="22"/>
      <c r="AQG459" s="22"/>
      <c r="AQH459" s="22"/>
      <c r="AQI459" s="22"/>
      <c r="AQJ459" s="22"/>
      <c r="AQK459" s="22"/>
      <c r="AQL459" s="22"/>
      <c r="AQM459" s="22"/>
      <c r="AQN459" s="22"/>
      <c r="AQO459" s="22"/>
      <c r="AQP459" s="22"/>
      <c r="AQQ459" s="22"/>
      <c r="AQR459" s="22"/>
      <c r="AQS459" s="22"/>
      <c r="AQT459" s="22"/>
      <c r="AQU459" s="22"/>
      <c r="AQV459" s="22"/>
      <c r="AQW459" s="22"/>
      <c r="AQX459" s="22"/>
      <c r="AQY459" s="22"/>
      <c r="AQZ459" s="22"/>
      <c r="ARA459" s="22"/>
      <c r="ARB459" s="22"/>
      <c r="ARC459" s="22"/>
      <c r="ARD459" s="22"/>
      <c r="ARE459" s="22"/>
      <c r="ARF459" s="22"/>
      <c r="ARG459" s="22"/>
      <c r="ARH459" s="22"/>
      <c r="ARI459" s="22"/>
      <c r="ARJ459" s="22"/>
      <c r="ARK459" s="22"/>
      <c r="ARL459" s="22"/>
      <c r="ARM459" s="22"/>
      <c r="ARN459" s="22"/>
      <c r="ARO459" s="22"/>
      <c r="ARP459" s="22"/>
      <c r="ARQ459" s="22"/>
      <c r="ARR459" s="22"/>
      <c r="ARS459" s="22"/>
      <c r="ART459" s="22"/>
      <c r="ARU459" s="22"/>
      <c r="ARV459" s="22"/>
      <c r="ARW459" s="22"/>
      <c r="ARX459" s="22"/>
      <c r="ARY459" s="22"/>
      <c r="ARZ459" s="22"/>
      <c r="ASA459" s="22"/>
      <c r="ASB459" s="22"/>
      <c r="ASC459" s="22"/>
      <c r="ASD459" s="22"/>
      <c r="ASE459" s="22"/>
      <c r="ASF459" s="22"/>
      <c r="ASG459" s="22"/>
      <c r="ASH459" s="22"/>
      <c r="ASI459" s="22"/>
      <c r="ASJ459" s="22"/>
      <c r="ASK459" s="22"/>
      <c r="ASL459" s="22"/>
      <c r="ASM459" s="22"/>
      <c r="ASN459" s="22"/>
      <c r="ASO459" s="22"/>
      <c r="ASP459" s="22"/>
      <c r="ASQ459" s="22"/>
      <c r="ASR459" s="22"/>
      <c r="ASS459" s="22"/>
      <c r="AST459" s="22"/>
      <c r="ASU459" s="22"/>
      <c r="ASV459" s="22"/>
      <c r="ASW459" s="22"/>
      <c r="ASX459" s="22"/>
      <c r="ASY459" s="22"/>
      <c r="ASZ459" s="22"/>
      <c r="ATA459" s="22"/>
      <c r="ATB459" s="22"/>
      <c r="ATC459" s="22"/>
      <c r="ATD459" s="22"/>
      <c r="ATE459" s="22"/>
      <c r="ATF459" s="22"/>
      <c r="ATG459" s="22"/>
      <c r="ATH459" s="22"/>
      <c r="ATI459" s="22"/>
      <c r="ATJ459" s="22"/>
      <c r="ATK459" s="22"/>
      <c r="ATL459" s="22"/>
      <c r="ATM459" s="22"/>
      <c r="ATN459" s="22"/>
      <c r="ATO459" s="22"/>
      <c r="ATP459" s="22"/>
      <c r="ATQ459" s="22"/>
      <c r="ATR459" s="22"/>
      <c r="ATS459" s="22"/>
      <c r="ATT459" s="22"/>
      <c r="ATU459" s="22"/>
      <c r="ATV459" s="22"/>
      <c r="ATW459" s="22"/>
      <c r="ATX459" s="22"/>
      <c r="ATY459" s="22"/>
      <c r="ATZ459" s="22"/>
      <c r="AUA459" s="22"/>
      <c r="AUB459" s="22"/>
      <c r="AUC459" s="22"/>
      <c r="AUD459" s="22"/>
      <c r="AUE459" s="22"/>
      <c r="AUF459" s="22"/>
      <c r="AUG459" s="22"/>
      <c r="AUH459" s="22"/>
      <c r="AUI459" s="22"/>
      <c r="AUJ459" s="22"/>
      <c r="AUK459" s="22"/>
      <c r="AUL459" s="22"/>
      <c r="AUM459" s="22"/>
      <c r="AUN459" s="22"/>
      <c r="AUO459" s="22"/>
      <c r="AUP459" s="22"/>
      <c r="AUQ459" s="22"/>
      <c r="AUR459" s="22"/>
      <c r="AUS459" s="22"/>
      <c r="AUT459" s="22"/>
      <c r="AUU459" s="22"/>
      <c r="AUV459" s="22"/>
      <c r="AUW459" s="22"/>
      <c r="AUX459" s="22"/>
      <c r="AUY459" s="22"/>
      <c r="AUZ459" s="22"/>
      <c r="AVA459" s="22"/>
      <c r="AVB459" s="22"/>
      <c r="AVC459" s="22"/>
      <c r="AVD459" s="22"/>
      <c r="AVE459" s="22"/>
      <c r="AVF459" s="22"/>
      <c r="AVG459" s="22"/>
      <c r="AVH459" s="22"/>
      <c r="AVI459" s="22"/>
      <c r="AVJ459" s="22"/>
      <c r="AVK459" s="22"/>
      <c r="AVL459" s="22"/>
      <c r="AVM459" s="22"/>
      <c r="AVN459" s="22"/>
      <c r="AVO459" s="22"/>
      <c r="AVP459" s="22"/>
      <c r="AVQ459" s="22"/>
      <c r="AVR459" s="22"/>
      <c r="AVS459" s="22"/>
      <c r="AVT459" s="22"/>
      <c r="AVU459" s="22"/>
      <c r="AVV459" s="22"/>
      <c r="AVW459" s="22"/>
      <c r="AVX459" s="22"/>
      <c r="AVY459" s="22"/>
      <c r="AVZ459" s="22"/>
      <c r="AWA459" s="22"/>
      <c r="AWB459" s="22"/>
      <c r="AWC459" s="22"/>
      <c r="AWD459" s="22"/>
      <c r="AWE459" s="22"/>
      <c r="AWF459" s="22"/>
      <c r="AWG459" s="22"/>
      <c r="AWH459" s="22"/>
      <c r="AWI459" s="22"/>
      <c r="AWJ459" s="22"/>
      <c r="AWK459" s="22"/>
      <c r="AWL459" s="22"/>
      <c r="AWM459" s="22"/>
      <c r="AWN459" s="22"/>
      <c r="AWO459" s="22"/>
      <c r="AWP459" s="22"/>
      <c r="AWQ459" s="22"/>
      <c r="AWR459" s="22"/>
      <c r="AWS459" s="22"/>
      <c r="AWT459" s="22"/>
      <c r="AWU459" s="22"/>
      <c r="AWV459" s="22"/>
      <c r="AWW459" s="22"/>
      <c r="AWX459" s="22"/>
      <c r="AWY459" s="22"/>
      <c r="AWZ459" s="22"/>
      <c r="AXA459" s="22"/>
      <c r="AXB459" s="22"/>
      <c r="AXC459" s="22"/>
      <c r="AXD459" s="22"/>
      <c r="AXE459" s="22"/>
      <c r="AXF459" s="22"/>
      <c r="AXG459" s="22"/>
      <c r="AXH459" s="22"/>
      <c r="AXI459" s="22"/>
      <c r="AXJ459" s="22"/>
      <c r="AXK459" s="22"/>
      <c r="AXL459" s="22"/>
      <c r="AXM459" s="22"/>
      <c r="AXN459" s="22"/>
      <c r="AXO459" s="22"/>
      <c r="AXP459" s="22"/>
      <c r="AXQ459" s="22"/>
      <c r="AXR459" s="22"/>
      <c r="AXS459" s="22"/>
      <c r="AXT459" s="22"/>
      <c r="AXU459" s="22"/>
      <c r="AXV459" s="22"/>
      <c r="AXW459" s="22"/>
      <c r="AXX459" s="22"/>
      <c r="AXY459" s="22"/>
      <c r="AXZ459" s="22"/>
      <c r="AYA459" s="22"/>
      <c r="AYB459" s="22"/>
      <c r="AYC459" s="22"/>
      <c r="AYD459" s="22"/>
      <c r="AYE459" s="22"/>
      <c r="AYF459" s="22"/>
      <c r="AYG459" s="22"/>
      <c r="AYH459" s="22"/>
      <c r="AYI459" s="22"/>
      <c r="AYJ459" s="22"/>
      <c r="AYK459" s="22"/>
      <c r="AYL459" s="22"/>
      <c r="AYM459" s="22"/>
      <c r="AYN459" s="22"/>
      <c r="AYO459" s="22"/>
      <c r="AYP459" s="22"/>
      <c r="AYQ459" s="22"/>
      <c r="AYR459" s="22"/>
      <c r="AYS459" s="22"/>
      <c r="AYT459" s="22"/>
      <c r="AYU459" s="22"/>
      <c r="AYV459" s="22"/>
      <c r="AYW459" s="22"/>
      <c r="AYX459" s="22"/>
      <c r="AYY459" s="22"/>
      <c r="AYZ459" s="22"/>
      <c r="AZA459" s="22"/>
      <c r="AZB459" s="22"/>
      <c r="AZC459" s="22"/>
      <c r="AZD459" s="22"/>
      <c r="AZE459" s="22"/>
      <c r="AZF459" s="22"/>
      <c r="AZG459" s="22"/>
      <c r="AZH459" s="22"/>
      <c r="AZI459" s="22"/>
      <c r="AZJ459" s="22"/>
      <c r="AZK459" s="22"/>
      <c r="AZL459" s="22"/>
      <c r="AZM459" s="22"/>
      <c r="AZN459" s="22"/>
      <c r="AZO459" s="22"/>
      <c r="AZP459" s="22"/>
      <c r="AZQ459" s="22"/>
      <c r="AZR459" s="22"/>
      <c r="AZS459" s="22"/>
      <c r="AZT459" s="22"/>
      <c r="AZU459" s="22"/>
      <c r="AZV459" s="22"/>
      <c r="AZW459" s="22"/>
      <c r="AZX459" s="22"/>
      <c r="AZY459" s="22"/>
      <c r="AZZ459" s="22"/>
      <c r="BAA459" s="22"/>
      <c r="BAB459" s="22"/>
      <c r="BAC459" s="22"/>
      <c r="BAD459" s="22"/>
      <c r="BAE459" s="22"/>
      <c r="BAF459" s="22"/>
      <c r="BAG459" s="22"/>
      <c r="BAH459" s="22"/>
      <c r="BAI459" s="22"/>
      <c r="BAJ459" s="22"/>
      <c r="BAK459" s="22"/>
      <c r="BAL459" s="22"/>
      <c r="BAM459" s="22"/>
      <c r="BAN459" s="22"/>
      <c r="BAO459" s="22"/>
      <c r="BAP459" s="22"/>
      <c r="BAQ459" s="22"/>
      <c r="BAR459" s="22"/>
      <c r="BAS459" s="22"/>
      <c r="BAT459" s="22"/>
      <c r="BAU459" s="22"/>
      <c r="BAV459" s="22"/>
      <c r="BAW459" s="22"/>
      <c r="BAX459" s="22"/>
      <c r="BAY459" s="22"/>
      <c r="BAZ459" s="22"/>
      <c r="BBA459" s="22"/>
      <c r="BBB459" s="22"/>
      <c r="BBC459" s="22"/>
      <c r="BBD459" s="22"/>
      <c r="BBE459" s="22"/>
      <c r="BBF459" s="22"/>
      <c r="BBG459" s="22"/>
      <c r="BBH459" s="22"/>
      <c r="BBI459" s="22"/>
      <c r="BBJ459" s="22"/>
      <c r="BBK459" s="22"/>
      <c r="BBL459" s="22"/>
      <c r="BBM459" s="22"/>
      <c r="BBN459" s="22"/>
      <c r="BBO459" s="22"/>
      <c r="BBP459" s="22"/>
      <c r="BBQ459" s="22"/>
      <c r="BBR459" s="22"/>
      <c r="BBS459" s="22"/>
      <c r="BBT459" s="22"/>
      <c r="BBU459" s="22"/>
      <c r="BBV459" s="22"/>
      <c r="BBW459" s="22"/>
      <c r="BBX459" s="22"/>
      <c r="BBY459" s="22"/>
      <c r="BBZ459" s="22"/>
      <c r="BCA459" s="22"/>
      <c r="BCB459" s="22"/>
      <c r="BCC459" s="22"/>
      <c r="BCD459" s="22"/>
      <c r="BCE459" s="22"/>
      <c r="BCF459" s="22"/>
      <c r="BCG459" s="22"/>
      <c r="BCH459" s="22"/>
      <c r="BCI459" s="22"/>
      <c r="BCJ459" s="22"/>
      <c r="BCK459" s="22"/>
      <c r="BCL459" s="22"/>
      <c r="BCM459" s="22"/>
      <c r="BCN459" s="22"/>
      <c r="BCO459" s="22"/>
      <c r="BCP459" s="22"/>
      <c r="BCQ459" s="22"/>
      <c r="BCR459" s="22"/>
      <c r="BCS459" s="22"/>
      <c r="BCT459" s="22"/>
      <c r="BCU459" s="22"/>
      <c r="BCV459" s="22"/>
      <c r="BCW459" s="22"/>
      <c r="BCX459" s="22"/>
      <c r="BCY459" s="22"/>
      <c r="BCZ459" s="22"/>
      <c r="BDA459" s="22"/>
      <c r="BDB459" s="22"/>
      <c r="BDC459" s="22"/>
      <c r="BDD459" s="22"/>
      <c r="BDE459" s="22"/>
      <c r="BDF459" s="22"/>
      <c r="BDG459" s="22"/>
      <c r="BDH459" s="22"/>
      <c r="BDI459" s="22"/>
      <c r="BDJ459" s="22"/>
      <c r="BDK459" s="22"/>
      <c r="BDL459" s="22"/>
      <c r="BDM459" s="22"/>
      <c r="BDN459" s="22"/>
      <c r="BDO459" s="22"/>
      <c r="BDP459" s="22"/>
      <c r="BDQ459" s="22"/>
      <c r="BDR459" s="22"/>
      <c r="BDS459" s="22"/>
      <c r="BDT459" s="22"/>
      <c r="BDU459" s="22"/>
      <c r="BDV459" s="22"/>
      <c r="BDW459" s="22"/>
      <c r="BDX459" s="22"/>
      <c r="BDY459" s="22"/>
      <c r="BDZ459" s="22"/>
      <c r="BEA459" s="22"/>
      <c r="BEB459" s="22"/>
      <c r="BEC459" s="22"/>
      <c r="BED459" s="22"/>
      <c r="BEE459" s="22"/>
      <c r="BEF459" s="22"/>
      <c r="BEG459" s="22"/>
      <c r="BEH459" s="22"/>
      <c r="BEI459" s="22"/>
      <c r="BEJ459" s="22"/>
      <c r="BEK459" s="22"/>
      <c r="BEL459" s="22"/>
      <c r="BEM459" s="22"/>
      <c r="BEN459" s="22"/>
      <c r="BEO459" s="22"/>
      <c r="BEP459" s="22"/>
      <c r="BEQ459" s="22"/>
      <c r="BER459" s="22"/>
      <c r="BES459" s="22"/>
      <c r="BET459" s="22"/>
      <c r="BEU459" s="22"/>
      <c r="BEV459" s="22"/>
      <c r="BEW459" s="22"/>
      <c r="BEX459" s="22"/>
      <c r="BEY459" s="22"/>
      <c r="BEZ459" s="22"/>
      <c r="BFA459" s="22"/>
      <c r="BFB459" s="22"/>
      <c r="BFC459" s="22"/>
      <c r="BFD459" s="22"/>
      <c r="BFE459" s="22"/>
      <c r="BFF459" s="22"/>
      <c r="BFG459" s="22"/>
      <c r="BFH459" s="22"/>
      <c r="BFI459" s="22"/>
      <c r="BFJ459" s="22"/>
      <c r="BFK459" s="22"/>
      <c r="BFL459" s="22"/>
      <c r="BFM459" s="22"/>
      <c r="BFN459" s="22"/>
      <c r="BFO459" s="22"/>
      <c r="BFP459" s="22"/>
      <c r="BFQ459" s="22"/>
      <c r="BFR459" s="22"/>
      <c r="BFS459" s="22"/>
      <c r="BFT459" s="22"/>
      <c r="BFU459" s="22"/>
      <c r="BFV459" s="22"/>
      <c r="BFW459" s="22"/>
      <c r="BFX459" s="22"/>
      <c r="BFY459" s="22"/>
      <c r="BFZ459" s="22"/>
      <c r="BGA459" s="22"/>
      <c r="BGB459" s="22"/>
      <c r="BGC459" s="22"/>
      <c r="BGD459" s="22"/>
      <c r="BGE459" s="22"/>
      <c r="BGF459" s="22"/>
      <c r="BGG459" s="22"/>
      <c r="BGH459" s="22"/>
      <c r="BGI459" s="22"/>
      <c r="BGJ459" s="22"/>
      <c r="BGK459" s="22"/>
      <c r="BGL459" s="22"/>
      <c r="BGM459" s="22"/>
      <c r="BGN459" s="22"/>
      <c r="BGO459" s="22"/>
      <c r="BGP459" s="22"/>
      <c r="BGQ459" s="22"/>
      <c r="BGR459" s="22"/>
      <c r="BGS459" s="22"/>
      <c r="BGT459" s="22"/>
      <c r="BGU459" s="22"/>
      <c r="BGV459" s="22"/>
      <c r="BGW459" s="22"/>
      <c r="BGX459" s="22"/>
      <c r="BGY459" s="22"/>
      <c r="BGZ459" s="22"/>
      <c r="BHA459" s="22"/>
      <c r="BHB459" s="22"/>
      <c r="BHC459" s="22"/>
      <c r="BHD459" s="22"/>
      <c r="BHE459" s="22"/>
      <c r="BHF459" s="22"/>
      <c r="BHG459" s="22"/>
      <c r="BHH459" s="22"/>
      <c r="BHI459" s="22"/>
      <c r="BHJ459" s="22"/>
      <c r="BHK459" s="22"/>
      <c r="BHL459" s="22"/>
      <c r="BHM459" s="22"/>
      <c r="BHN459" s="22"/>
      <c r="BHO459" s="22"/>
      <c r="BHP459" s="22"/>
      <c r="BHQ459" s="22"/>
      <c r="BHR459" s="22"/>
      <c r="BHS459" s="22"/>
      <c r="BHT459" s="22"/>
      <c r="BHU459" s="22"/>
      <c r="BHV459" s="22"/>
      <c r="BHW459" s="22"/>
      <c r="BHX459" s="22"/>
      <c r="BHY459" s="22"/>
      <c r="BHZ459" s="22"/>
      <c r="BIA459" s="22"/>
      <c r="BIB459" s="22"/>
      <c r="BIC459" s="22"/>
      <c r="BID459" s="22"/>
      <c r="BIE459" s="22"/>
      <c r="BIF459" s="22"/>
      <c r="BIG459" s="22"/>
      <c r="BIH459" s="22"/>
      <c r="BII459" s="22"/>
      <c r="BIJ459" s="22"/>
      <c r="BIK459" s="22"/>
      <c r="BIL459" s="22"/>
      <c r="BIM459" s="22"/>
      <c r="BIN459" s="22"/>
      <c r="BIO459" s="22"/>
      <c r="BIP459" s="22"/>
      <c r="BIQ459" s="22"/>
      <c r="BIR459" s="22"/>
      <c r="BIS459" s="22"/>
      <c r="BIT459" s="22"/>
      <c r="BIU459" s="22"/>
      <c r="BIV459" s="22"/>
      <c r="BIW459" s="22"/>
      <c r="BIX459" s="22"/>
      <c r="BIY459" s="22"/>
      <c r="BIZ459" s="22"/>
      <c r="BJA459" s="22"/>
      <c r="BJB459" s="22"/>
      <c r="BJC459" s="22"/>
      <c r="BJD459" s="22"/>
      <c r="BJE459" s="22"/>
      <c r="BJF459" s="22"/>
      <c r="BJG459" s="22"/>
      <c r="BJH459" s="22"/>
      <c r="BJI459" s="22"/>
      <c r="BJJ459" s="22"/>
      <c r="BJK459" s="22"/>
      <c r="BJL459" s="22"/>
      <c r="BJM459" s="22"/>
      <c r="BJN459" s="22"/>
      <c r="BJO459" s="22"/>
      <c r="BJP459" s="22"/>
      <c r="BJQ459" s="22"/>
      <c r="BJR459" s="22"/>
      <c r="BJS459" s="22"/>
      <c r="BJT459" s="22"/>
      <c r="BJU459" s="22"/>
      <c r="BJV459" s="22"/>
      <c r="BJW459" s="22"/>
      <c r="BJX459" s="22"/>
      <c r="BJY459" s="22"/>
      <c r="BJZ459" s="22"/>
      <c r="BKA459" s="22"/>
      <c r="BKB459" s="22"/>
      <c r="BKC459" s="22"/>
      <c r="BKD459" s="22"/>
      <c r="BKE459" s="22"/>
      <c r="BKF459" s="22"/>
      <c r="BKG459" s="22"/>
      <c r="BKH459" s="22"/>
      <c r="BKI459" s="22"/>
      <c r="BKJ459" s="22"/>
      <c r="BKK459" s="22"/>
      <c r="BKL459" s="22"/>
      <c r="BKM459" s="22"/>
      <c r="BKN459" s="22"/>
      <c r="BKO459" s="22"/>
      <c r="BKP459" s="22"/>
      <c r="BKQ459" s="22"/>
      <c r="BKR459" s="22"/>
      <c r="BKS459" s="22"/>
      <c r="BKT459" s="22"/>
      <c r="BKU459" s="22"/>
      <c r="BKV459" s="22"/>
      <c r="BKW459" s="22"/>
      <c r="BKX459" s="22"/>
      <c r="BKY459" s="22"/>
      <c r="BKZ459" s="22"/>
      <c r="BLA459" s="22"/>
      <c r="BLB459" s="22"/>
      <c r="BLC459" s="22"/>
      <c r="BLD459" s="22"/>
      <c r="BLE459" s="22"/>
      <c r="BLF459" s="22"/>
      <c r="BLG459" s="22"/>
      <c r="BLH459" s="22"/>
      <c r="BLI459" s="22"/>
      <c r="BLJ459" s="22"/>
      <c r="BLK459" s="22"/>
      <c r="BLL459" s="22"/>
      <c r="BLM459" s="22"/>
      <c r="BLN459" s="22"/>
      <c r="BLO459" s="22"/>
      <c r="BLP459" s="22"/>
      <c r="BLQ459" s="22"/>
      <c r="BLR459" s="22"/>
      <c r="BLS459" s="22"/>
      <c r="BLT459" s="22"/>
      <c r="BLU459" s="22"/>
      <c r="BLV459" s="22"/>
      <c r="BLW459" s="22"/>
      <c r="BLX459" s="22"/>
      <c r="BLY459" s="22"/>
      <c r="BLZ459" s="22"/>
      <c r="BMA459" s="22"/>
      <c r="BMB459" s="22"/>
      <c r="BMC459" s="22"/>
      <c r="BMD459" s="22"/>
      <c r="BME459" s="22"/>
      <c r="BMF459" s="22"/>
      <c r="BMG459" s="22"/>
      <c r="BMH459" s="22"/>
      <c r="BMI459" s="22"/>
      <c r="BMJ459" s="22"/>
      <c r="BMK459" s="22"/>
      <c r="BML459" s="22"/>
      <c r="BMM459" s="22"/>
      <c r="BMN459" s="22"/>
      <c r="BMO459" s="22"/>
      <c r="BMP459" s="22"/>
      <c r="BMQ459" s="22"/>
      <c r="BMR459" s="22"/>
      <c r="BMS459" s="22"/>
      <c r="BMT459" s="22"/>
      <c r="BMU459" s="22"/>
      <c r="BMV459" s="22"/>
      <c r="BMW459" s="22"/>
      <c r="BMX459" s="22"/>
      <c r="BMY459" s="22"/>
      <c r="BMZ459" s="22"/>
      <c r="BNA459" s="22"/>
      <c r="BNB459" s="22"/>
      <c r="BNC459" s="22"/>
      <c r="BND459" s="22"/>
      <c r="BNE459" s="22"/>
      <c r="BNF459" s="22"/>
      <c r="BNG459" s="22"/>
      <c r="BNH459" s="22"/>
      <c r="BNI459" s="22"/>
      <c r="BNJ459" s="22"/>
      <c r="BNK459" s="22"/>
      <c r="BNL459" s="22"/>
      <c r="BNM459" s="22"/>
      <c r="BNN459" s="22"/>
      <c r="BNO459" s="22"/>
      <c r="BNP459" s="22"/>
      <c r="BNQ459" s="22"/>
      <c r="BNR459" s="22"/>
      <c r="BNS459" s="22"/>
      <c r="BNT459" s="22"/>
      <c r="BNU459" s="22"/>
      <c r="BNV459" s="22"/>
      <c r="BNW459" s="22"/>
      <c r="BNX459" s="22"/>
      <c r="BNY459" s="22"/>
      <c r="BNZ459" s="22"/>
      <c r="BOA459" s="22"/>
      <c r="BOB459" s="22"/>
      <c r="BOC459" s="22"/>
      <c r="BOD459" s="22"/>
      <c r="BOE459" s="22"/>
      <c r="BOF459" s="22"/>
      <c r="BOG459" s="22"/>
      <c r="BOH459" s="22"/>
      <c r="BOI459" s="22"/>
      <c r="BOJ459" s="22"/>
      <c r="BOK459" s="22"/>
      <c r="BOL459" s="22"/>
      <c r="BOM459" s="22"/>
      <c r="BON459" s="22"/>
      <c r="BOO459" s="22"/>
      <c r="BOP459" s="22"/>
      <c r="BOQ459" s="22"/>
      <c r="BOR459" s="22"/>
      <c r="BOS459" s="22"/>
      <c r="BOT459" s="22"/>
      <c r="BOU459" s="22"/>
      <c r="BOV459" s="22"/>
      <c r="BOW459" s="22"/>
      <c r="BOX459" s="22"/>
      <c r="BOY459" s="22"/>
      <c r="BOZ459" s="22"/>
      <c r="BPA459" s="22"/>
      <c r="BPB459" s="22"/>
      <c r="BPC459" s="22"/>
      <c r="BPD459" s="22"/>
      <c r="BPE459" s="22"/>
      <c r="BPF459" s="22"/>
      <c r="BPG459" s="22"/>
      <c r="BPH459" s="22"/>
      <c r="BPI459" s="22"/>
      <c r="BPJ459" s="22"/>
      <c r="BPK459" s="22"/>
      <c r="BPL459" s="22"/>
      <c r="BPM459" s="22"/>
      <c r="BPN459" s="22"/>
      <c r="BPO459" s="22"/>
      <c r="BPP459" s="22"/>
      <c r="BPQ459" s="22"/>
      <c r="BPR459" s="22"/>
      <c r="BPS459" s="22"/>
      <c r="BPT459" s="22"/>
      <c r="BPU459" s="22"/>
      <c r="BPV459" s="22"/>
      <c r="BPW459" s="22"/>
      <c r="BPX459" s="22"/>
      <c r="BPY459" s="22"/>
      <c r="BPZ459" s="22"/>
      <c r="BQA459" s="22"/>
      <c r="BQB459" s="22"/>
      <c r="BQC459" s="22"/>
      <c r="BQD459" s="22"/>
      <c r="BQE459" s="22"/>
      <c r="BQF459" s="22"/>
      <c r="BQG459" s="22"/>
      <c r="BQH459" s="22"/>
      <c r="BQI459" s="22"/>
      <c r="BQJ459" s="22"/>
      <c r="BQK459" s="22"/>
      <c r="BQL459" s="22"/>
      <c r="BQM459" s="22"/>
      <c r="BQN459" s="22"/>
      <c r="BQO459" s="22"/>
      <c r="BQP459" s="22"/>
      <c r="BQQ459" s="22"/>
      <c r="BQR459" s="22"/>
      <c r="BQS459" s="22"/>
      <c r="BQT459" s="22"/>
      <c r="BQU459" s="22"/>
      <c r="BQV459" s="22"/>
      <c r="BQW459" s="22"/>
      <c r="BQX459" s="22"/>
      <c r="BQY459" s="22"/>
      <c r="BQZ459" s="22"/>
      <c r="BRA459" s="22"/>
      <c r="BRB459" s="22"/>
      <c r="BRC459" s="22"/>
      <c r="BRD459" s="22"/>
      <c r="BRE459" s="22"/>
      <c r="BRF459" s="22"/>
      <c r="BRG459" s="22"/>
      <c r="BRH459" s="22"/>
      <c r="BRI459" s="22"/>
      <c r="BRJ459" s="22"/>
      <c r="BRK459" s="22"/>
      <c r="BRL459" s="22"/>
      <c r="BRM459" s="22"/>
      <c r="BRN459" s="22"/>
      <c r="BRO459" s="22"/>
      <c r="BRP459" s="22"/>
      <c r="BRQ459" s="22"/>
      <c r="BRR459" s="22"/>
      <c r="BRS459" s="22"/>
      <c r="BRT459" s="22"/>
      <c r="BRU459" s="22"/>
      <c r="BRV459" s="22"/>
      <c r="BRW459" s="22"/>
      <c r="BRX459" s="22"/>
      <c r="BRY459" s="22"/>
      <c r="BRZ459" s="22"/>
      <c r="BSA459" s="22"/>
      <c r="BSB459" s="22"/>
      <c r="BSC459" s="22"/>
      <c r="BSD459" s="22"/>
      <c r="BSE459" s="22"/>
      <c r="BSF459" s="22"/>
      <c r="BSG459" s="22"/>
      <c r="BSH459" s="22"/>
      <c r="BSI459" s="22"/>
      <c r="BSJ459" s="22"/>
      <c r="BSK459" s="22"/>
      <c r="BSL459" s="22"/>
      <c r="BSM459" s="22"/>
      <c r="BSN459" s="22"/>
      <c r="BSO459" s="22"/>
      <c r="BSP459" s="22"/>
      <c r="BSQ459" s="22"/>
      <c r="BSR459" s="22"/>
      <c r="BSS459" s="22"/>
      <c r="BST459" s="22"/>
      <c r="BSU459" s="22"/>
      <c r="BSV459" s="22"/>
      <c r="BSW459" s="22"/>
      <c r="BSX459" s="22"/>
      <c r="BSY459" s="22"/>
      <c r="BSZ459" s="22"/>
      <c r="BTA459" s="22"/>
      <c r="BTB459" s="22"/>
      <c r="BTC459" s="22"/>
      <c r="BTD459" s="22"/>
      <c r="BTE459" s="22"/>
      <c r="BTF459" s="22"/>
      <c r="BTG459" s="22"/>
      <c r="BTH459" s="22"/>
      <c r="BTI459" s="22"/>
      <c r="BTJ459" s="22"/>
      <c r="BTK459" s="22"/>
      <c r="BTL459" s="22"/>
      <c r="BTM459" s="22"/>
      <c r="BTN459" s="22"/>
      <c r="BTO459" s="22"/>
      <c r="BTP459" s="22"/>
      <c r="BTQ459" s="22"/>
      <c r="BTR459" s="22"/>
      <c r="BTS459" s="22"/>
      <c r="BTT459" s="22"/>
      <c r="BTU459" s="22"/>
      <c r="BTV459" s="22"/>
      <c r="BTW459" s="22"/>
      <c r="BTX459" s="22"/>
      <c r="BTY459" s="22"/>
      <c r="BTZ459" s="22"/>
      <c r="BUA459" s="22"/>
      <c r="BUB459" s="22"/>
      <c r="BUC459" s="22"/>
      <c r="BUD459" s="22"/>
      <c r="BUE459" s="22"/>
      <c r="BUF459" s="22"/>
      <c r="BUG459" s="22"/>
      <c r="BUH459" s="22"/>
      <c r="BUI459" s="22"/>
      <c r="BUJ459" s="22"/>
      <c r="BUK459" s="22"/>
      <c r="BUL459" s="22"/>
      <c r="BUM459" s="22"/>
      <c r="BUN459" s="22"/>
      <c r="BUO459" s="22"/>
      <c r="BUP459" s="22"/>
      <c r="BUQ459" s="22"/>
      <c r="BUR459" s="22"/>
      <c r="BUS459" s="22"/>
      <c r="BUT459" s="22"/>
      <c r="BUU459" s="22"/>
      <c r="BUV459" s="22"/>
      <c r="BUW459" s="22"/>
      <c r="BUX459" s="22"/>
      <c r="BUY459" s="22"/>
      <c r="BUZ459" s="22"/>
      <c r="BVA459" s="22"/>
      <c r="BVB459" s="22"/>
      <c r="BVC459" s="22"/>
      <c r="BVD459" s="22"/>
      <c r="BVE459" s="22"/>
      <c r="BVF459" s="22"/>
      <c r="BVG459" s="22"/>
      <c r="BVH459" s="22"/>
      <c r="BVI459" s="22"/>
      <c r="BVJ459" s="22"/>
      <c r="BVK459" s="22"/>
      <c r="BVL459" s="22"/>
      <c r="BVM459" s="22"/>
      <c r="BVN459" s="22"/>
      <c r="BVO459" s="22"/>
      <c r="BVP459" s="22"/>
      <c r="BVQ459" s="22"/>
      <c r="BVR459" s="22"/>
      <c r="BVS459" s="22"/>
      <c r="BVT459" s="22"/>
      <c r="BVU459" s="22"/>
      <c r="BVV459" s="22"/>
      <c r="BVW459" s="22"/>
      <c r="BVX459" s="22"/>
      <c r="BVY459" s="22"/>
      <c r="BVZ459" s="22"/>
      <c r="BWA459" s="22"/>
      <c r="BWB459" s="22"/>
      <c r="BWC459" s="22"/>
      <c r="BWD459" s="22"/>
      <c r="BWE459" s="22"/>
      <c r="BWF459" s="22"/>
      <c r="BWG459" s="22"/>
      <c r="BWH459" s="22"/>
      <c r="BWI459" s="22"/>
      <c r="BWJ459" s="22"/>
      <c r="BWK459" s="22"/>
      <c r="BWL459" s="22"/>
      <c r="BWM459" s="22"/>
      <c r="BWN459" s="22"/>
      <c r="BWO459" s="22"/>
      <c r="BWP459" s="22"/>
      <c r="BWQ459" s="22"/>
      <c r="BWR459" s="22"/>
      <c r="BWS459" s="22"/>
      <c r="BWT459" s="22"/>
      <c r="BWU459" s="22"/>
      <c r="BWV459" s="22"/>
      <c r="BWW459" s="22"/>
      <c r="BWX459" s="22"/>
      <c r="BWY459" s="22"/>
      <c r="BWZ459" s="22"/>
      <c r="BXA459" s="22"/>
      <c r="BXB459" s="22"/>
      <c r="BXC459" s="22"/>
      <c r="BXD459" s="22"/>
      <c r="BXE459" s="22"/>
      <c r="BXF459" s="22"/>
      <c r="BXG459" s="22"/>
      <c r="BXH459" s="22"/>
      <c r="BXI459" s="22"/>
      <c r="BXJ459" s="22"/>
      <c r="BXK459" s="22"/>
      <c r="BXL459" s="22"/>
      <c r="BXM459" s="22"/>
      <c r="BXN459" s="22"/>
      <c r="BXO459" s="22"/>
      <c r="BXP459" s="22"/>
      <c r="BXQ459" s="22"/>
      <c r="BXR459" s="22"/>
      <c r="BXS459" s="22"/>
      <c r="BXT459" s="22"/>
      <c r="BXU459" s="22"/>
      <c r="BXV459" s="22"/>
      <c r="BXW459" s="22"/>
      <c r="BXX459" s="22"/>
      <c r="BXY459" s="22"/>
      <c r="BXZ459" s="22"/>
      <c r="BYA459" s="22"/>
      <c r="BYB459" s="22"/>
      <c r="BYC459" s="22"/>
      <c r="BYD459" s="22"/>
      <c r="BYE459" s="22"/>
      <c r="BYF459" s="22"/>
      <c r="BYG459" s="22"/>
      <c r="BYH459" s="22"/>
      <c r="BYI459" s="22"/>
      <c r="BYJ459" s="22"/>
      <c r="BYK459" s="22"/>
      <c r="BYL459" s="22"/>
      <c r="BYM459" s="22"/>
      <c r="BYN459" s="22"/>
      <c r="BYO459" s="22"/>
      <c r="BYP459" s="22"/>
      <c r="BYQ459" s="22"/>
      <c r="BYR459" s="22"/>
      <c r="BYS459" s="22"/>
      <c r="BYT459" s="22"/>
      <c r="BYU459" s="22"/>
      <c r="BYV459" s="22"/>
      <c r="BYW459" s="22"/>
      <c r="BYX459" s="22"/>
      <c r="BYY459" s="22"/>
      <c r="BYZ459" s="22"/>
      <c r="BZA459" s="22"/>
      <c r="BZB459" s="22"/>
      <c r="BZC459" s="22"/>
      <c r="BZD459" s="22"/>
      <c r="BZE459" s="22"/>
      <c r="BZF459" s="22"/>
      <c r="BZG459" s="22"/>
      <c r="BZH459" s="22"/>
      <c r="BZI459" s="22"/>
      <c r="BZJ459" s="22"/>
      <c r="BZK459" s="22"/>
      <c r="BZL459" s="22"/>
      <c r="BZM459" s="22"/>
      <c r="BZN459" s="22"/>
      <c r="BZO459" s="22"/>
      <c r="BZP459" s="22"/>
      <c r="BZQ459" s="22"/>
      <c r="BZR459" s="22"/>
      <c r="BZS459" s="22"/>
      <c r="BZT459" s="22"/>
      <c r="BZU459" s="22"/>
      <c r="BZV459" s="22"/>
      <c r="BZW459" s="22"/>
      <c r="BZX459" s="22"/>
      <c r="BZY459" s="22"/>
      <c r="BZZ459" s="22"/>
      <c r="CAA459" s="22"/>
      <c r="CAB459" s="22"/>
      <c r="CAC459" s="22"/>
      <c r="CAD459" s="22"/>
      <c r="CAE459" s="22"/>
      <c r="CAF459" s="22"/>
      <c r="CAG459" s="22"/>
      <c r="CAH459" s="22"/>
      <c r="CAI459" s="22"/>
      <c r="CAJ459" s="22"/>
      <c r="CAK459" s="22"/>
      <c r="CAL459" s="22"/>
      <c r="CAM459" s="22"/>
      <c r="CAN459" s="22"/>
      <c r="CAO459" s="22"/>
      <c r="CAP459" s="22"/>
      <c r="CAQ459" s="22"/>
      <c r="CAR459" s="22"/>
      <c r="CAS459" s="22"/>
      <c r="CAT459" s="22"/>
      <c r="CAU459" s="22"/>
      <c r="CAV459" s="22"/>
      <c r="CAW459" s="22"/>
      <c r="CAX459" s="22"/>
      <c r="CAY459" s="22"/>
      <c r="CAZ459" s="22"/>
      <c r="CBA459" s="22"/>
      <c r="CBB459" s="22"/>
      <c r="CBC459" s="22"/>
      <c r="CBD459" s="22"/>
      <c r="CBE459" s="22"/>
      <c r="CBF459" s="22"/>
      <c r="CBG459" s="22"/>
      <c r="CBH459" s="22"/>
      <c r="CBI459" s="22"/>
      <c r="CBJ459" s="22"/>
      <c r="CBK459" s="22"/>
      <c r="CBL459" s="22"/>
      <c r="CBM459" s="22"/>
      <c r="CBN459" s="22"/>
      <c r="CBO459" s="22"/>
      <c r="CBP459" s="22"/>
      <c r="CBQ459" s="22"/>
      <c r="CBR459" s="22"/>
      <c r="CBS459" s="22"/>
      <c r="CBT459" s="22"/>
      <c r="CBU459" s="22"/>
      <c r="CBV459" s="22"/>
      <c r="CBW459" s="22"/>
      <c r="CBX459" s="22"/>
      <c r="CBY459" s="22"/>
      <c r="CBZ459" s="22"/>
      <c r="CCA459" s="22"/>
      <c r="CCB459" s="22"/>
      <c r="CCC459" s="22"/>
      <c r="CCD459" s="22"/>
      <c r="CCE459" s="22"/>
      <c r="CCF459" s="22"/>
      <c r="CCG459" s="22"/>
      <c r="CCH459" s="22"/>
      <c r="CCI459" s="22"/>
      <c r="CCJ459" s="22"/>
      <c r="CCK459" s="22"/>
      <c r="CCL459" s="22"/>
      <c r="CCM459" s="22"/>
      <c r="CCN459" s="22"/>
      <c r="CCO459" s="22"/>
      <c r="CCP459" s="22"/>
      <c r="CCQ459" s="22"/>
      <c r="CCR459" s="22"/>
      <c r="CCS459" s="22"/>
      <c r="CCT459" s="22"/>
      <c r="CCU459" s="22"/>
      <c r="CCV459" s="22"/>
      <c r="CCW459" s="22"/>
      <c r="CCX459" s="22"/>
      <c r="CCY459" s="22"/>
      <c r="CCZ459" s="22"/>
      <c r="CDA459" s="22"/>
      <c r="CDB459" s="22"/>
      <c r="CDC459" s="22"/>
      <c r="CDD459" s="22"/>
      <c r="CDE459" s="22"/>
      <c r="CDF459" s="22"/>
      <c r="CDG459" s="22"/>
      <c r="CDH459" s="22"/>
      <c r="CDI459" s="22"/>
      <c r="CDJ459" s="22"/>
      <c r="CDK459" s="22"/>
      <c r="CDL459" s="22"/>
      <c r="CDM459" s="22"/>
      <c r="CDN459" s="22"/>
      <c r="CDO459" s="22"/>
      <c r="CDP459" s="22"/>
      <c r="CDQ459" s="22"/>
      <c r="CDR459" s="22"/>
      <c r="CDS459" s="22"/>
      <c r="CDT459" s="22"/>
      <c r="CDU459" s="22"/>
      <c r="CDV459" s="22"/>
      <c r="CDW459" s="22"/>
      <c r="CDX459" s="22"/>
      <c r="CDY459" s="22"/>
      <c r="CDZ459" s="22"/>
      <c r="CEA459" s="22"/>
      <c r="CEB459" s="22"/>
      <c r="CEC459" s="22"/>
      <c r="CED459" s="22"/>
      <c r="CEE459" s="22"/>
      <c r="CEF459" s="22"/>
      <c r="CEG459" s="22"/>
      <c r="CEH459" s="22"/>
      <c r="CEI459" s="22"/>
      <c r="CEJ459" s="22"/>
      <c r="CEK459" s="22"/>
      <c r="CEL459" s="22"/>
      <c r="CEM459" s="22"/>
      <c r="CEN459" s="22"/>
      <c r="CEO459" s="22"/>
      <c r="CEP459" s="22"/>
      <c r="CEQ459" s="22"/>
      <c r="CER459" s="22"/>
      <c r="CES459" s="22"/>
      <c r="CET459" s="22"/>
      <c r="CEU459" s="22"/>
      <c r="CEV459" s="22"/>
      <c r="CEW459" s="22"/>
      <c r="CEX459" s="22"/>
      <c r="CEY459" s="22"/>
      <c r="CEZ459" s="22"/>
      <c r="CFA459" s="22"/>
      <c r="CFB459" s="22"/>
      <c r="CFC459" s="22"/>
      <c r="CFD459" s="22"/>
      <c r="CFE459" s="22"/>
      <c r="CFF459" s="22"/>
      <c r="CFG459" s="22"/>
      <c r="CFH459" s="22"/>
      <c r="CFI459" s="22"/>
      <c r="CFJ459" s="22"/>
      <c r="CFK459" s="22"/>
      <c r="CFL459" s="22"/>
      <c r="CFM459" s="22"/>
      <c r="CFN459" s="22"/>
      <c r="CFO459" s="22"/>
      <c r="CFP459" s="22"/>
      <c r="CFQ459" s="22"/>
      <c r="CFR459" s="22"/>
      <c r="CFS459" s="22"/>
      <c r="CFT459" s="22"/>
      <c r="CFU459" s="22"/>
      <c r="CFV459" s="22"/>
      <c r="CFW459" s="22"/>
      <c r="CFX459" s="22"/>
      <c r="CFY459" s="22"/>
      <c r="CFZ459" s="22"/>
      <c r="CGA459" s="22"/>
      <c r="CGB459" s="22"/>
      <c r="CGC459" s="22"/>
      <c r="CGD459" s="22"/>
      <c r="CGE459" s="22"/>
      <c r="CGF459" s="22"/>
      <c r="CGG459" s="22"/>
      <c r="CGH459" s="22"/>
      <c r="CGI459" s="22"/>
      <c r="CGJ459" s="22"/>
      <c r="CGK459" s="22"/>
      <c r="CGL459" s="22"/>
      <c r="CGM459" s="22"/>
      <c r="CGN459" s="22"/>
      <c r="CGO459" s="22"/>
      <c r="CGP459" s="22"/>
      <c r="CGQ459" s="22"/>
      <c r="CGR459" s="22"/>
      <c r="CGS459" s="22"/>
      <c r="CGT459" s="22"/>
      <c r="CGU459" s="22"/>
      <c r="CGV459" s="22"/>
      <c r="CGW459" s="22"/>
      <c r="CGX459" s="22"/>
      <c r="CGY459" s="22"/>
      <c r="CGZ459" s="22"/>
      <c r="CHA459" s="22"/>
      <c r="CHB459" s="22"/>
      <c r="CHC459" s="22"/>
      <c r="CHD459" s="22"/>
      <c r="CHE459" s="22"/>
      <c r="CHF459" s="22"/>
      <c r="CHG459" s="22"/>
      <c r="CHH459" s="22"/>
      <c r="CHI459" s="22"/>
      <c r="CHJ459" s="22"/>
      <c r="CHK459" s="22"/>
      <c r="CHL459" s="22"/>
      <c r="CHM459" s="22"/>
      <c r="CHN459" s="22"/>
      <c r="CHO459" s="22"/>
      <c r="CHP459" s="22"/>
      <c r="CHQ459" s="22"/>
      <c r="CHR459" s="22"/>
      <c r="CHS459" s="22"/>
      <c r="CHT459" s="22"/>
      <c r="CHU459" s="22"/>
      <c r="CHV459" s="22"/>
      <c r="CHW459" s="22"/>
      <c r="CHX459" s="22"/>
      <c r="CHY459" s="22"/>
      <c r="CHZ459" s="22"/>
      <c r="CIA459" s="22"/>
      <c r="CIB459" s="22"/>
      <c r="CIC459" s="22"/>
      <c r="CID459" s="22"/>
      <c r="CIE459" s="22"/>
      <c r="CIF459" s="22"/>
      <c r="CIG459" s="22"/>
      <c r="CIH459" s="22"/>
      <c r="CII459" s="22"/>
      <c r="CIJ459" s="22"/>
      <c r="CIK459" s="22"/>
      <c r="CIL459" s="22"/>
      <c r="CIM459" s="22"/>
      <c r="CIN459" s="22"/>
      <c r="CIO459" s="22"/>
      <c r="CIP459" s="22"/>
      <c r="CIQ459" s="22"/>
      <c r="CIR459" s="22"/>
      <c r="CIS459" s="22"/>
      <c r="CIT459" s="22"/>
      <c r="CIU459" s="22"/>
      <c r="CIV459" s="22"/>
      <c r="CIW459" s="22"/>
      <c r="CIX459" s="22"/>
      <c r="CIY459" s="22"/>
      <c r="CIZ459" s="22"/>
      <c r="CJA459" s="22"/>
      <c r="CJB459" s="22"/>
      <c r="CJC459" s="22"/>
      <c r="CJD459" s="22"/>
      <c r="CJE459" s="22"/>
      <c r="CJF459" s="22"/>
      <c r="CJG459" s="22"/>
      <c r="CJH459" s="22"/>
      <c r="CJI459" s="22"/>
      <c r="CJJ459" s="22"/>
      <c r="CJK459" s="22"/>
      <c r="CJL459" s="22"/>
      <c r="CJM459" s="22"/>
      <c r="CJN459" s="22"/>
      <c r="CJO459" s="22"/>
      <c r="CJP459" s="22"/>
      <c r="CJQ459" s="22"/>
      <c r="CJR459" s="22"/>
      <c r="CJS459" s="22"/>
      <c r="CJT459" s="22"/>
      <c r="CJU459" s="22"/>
      <c r="CJV459" s="22"/>
      <c r="CJW459" s="22"/>
      <c r="CJX459" s="22"/>
      <c r="CJY459" s="22"/>
      <c r="CJZ459" s="22"/>
      <c r="CKA459" s="22"/>
      <c r="CKB459" s="22"/>
      <c r="CKC459" s="22"/>
      <c r="CKD459" s="22"/>
      <c r="CKE459" s="22"/>
      <c r="CKF459" s="22"/>
      <c r="CKG459" s="22"/>
      <c r="CKH459" s="22"/>
      <c r="CKI459" s="22"/>
      <c r="CKJ459" s="22"/>
      <c r="CKK459" s="22"/>
      <c r="CKL459" s="22"/>
      <c r="CKM459" s="22"/>
      <c r="CKN459" s="22"/>
      <c r="CKO459" s="22"/>
      <c r="CKP459" s="22"/>
      <c r="CKQ459" s="22"/>
      <c r="CKR459" s="22"/>
      <c r="CKS459" s="22"/>
      <c r="CKT459" s="22"/>
      <c r="CKU459" s="22"/>
      <c r="CKV459" s="22"/>
      <c r="CKW459" s="22"/>
      <c r="CKX459" s="22"/>
      <c r="CKY459" s="22"/>
      <c r="CKZ459" s="22"/>
      <c r="CLA459" s="22"/>
      <c r="CLB459" s="22"/>
      <c r="CLC459" s="22"/>
      <c r="CLD459" s="22"/>
      <c r="CLE459" s="22"/>
      <c r="CLF459" s="22"/>
      <c r="CLG459" s="22"/>
      <c r="CLH459" s="22"/>
      <c r="CLI459" s="22"/>
      <c r="CLJ459" s="22"/>
      <c r="CLK459" s="22"/>
      <c r="CLL459" s="22"/>
      <c r="CLM459" s="22"/>
      <c r="CLN459" s="22"/>
      <c r="CLO459" s="22"/>
      <c r="CLP459" s="22"/>
      <c r="CLQ459" s="22"/>
      <c r="CLR459" s="22"/>
      <c r="CLS459" s="22"/>
      <c r="CLT459" s="22"/>
      <c r="CLU459" s="22"/>
      <c r="CLV459" s="22"/>
      <c r="CLW459" s="22"/>
      <c r="CLX459" s="22"/>
      <c r="CLY459" s="22"/>
      <c r="CLZ459" s="22"/>
      <c r="CMA459" s="22"/>
      <c r="CMB459" s="22"/>
      <c r="CMC459" s="22"/>
      <c r="CMD459" s="22"/>
      <c r="CME459" s="22"/>
      <c r="CMF459" s="22"/>
      <c r="CMG459" s="22"/>
      <c r="CMH459" s="22"/>
      <c r="CMI459" s="22"/>
      <c r="CMJ459" s="22"/>
      <c r="CMK459" s="22"/>
      <c r="CML459" s="22"/>
      <c r="CMM459" s="22"/>
      <c r="CMN459" s="22"/>
      <c r="CMO459" s="22"/>
      <c r="CMP459" s="22"/>
      <c r="CMQ459" s="22"/>
      <c r="CMR459" s="22"/>
      <c r="CMS459" s="22"/>
      <c r="CMT459" s="22"/>
      <c r="CMU459" s="22"/>
      <c r="CMV459" s="22"/>
      <c r="CMW459" s="22"/>
      <c r="CMX459" s="22"/>
      <c r="CMY459" s="22"/>
      <c r="CMZ459" s="22"/>
      <c r="CNA459" s="22"/>
      <c r="CNB459" s="22"/>
      <c r="CNC459" s="22"/>
      <c r="CND459" s="22"/>
      <c r="CNE459" s="22"/>
      <c r="CNF459" s="22"/>
      <c r="CNG459" s="22"/>
      <c r="CNH459" s="22"/>
      <c r="CNI459" s="22"/>
      <c r="CNJ459" s="22"/>
      <c r="CNK459" s="22"/>
      <c r="CNL459" s="22"/>
      <c r="CNM459" s="22"/>
      <c r="CNN459" s="22"/>
      <c r="CNO459" s="22"/>
      <c r="CNP459" s="22"/>
      <c r="CNQ459" s="22"/>
      <c r="CNR459" s="22"/>
      <c r="CNS459" s="22"/>
      <c r="CNT459" s="22"/>
      <c r="CNU459" s="22"/>
      <c r="CNV459" s="22"/>
      <c r="CNW459" s="22"/>
      <c r="CNX459" s="22"/>
      <c r="CNY459" s="22"/>
      <c r="CNZ459" s="22"/>
      <c r="COA459" s="22"/>
      <c r="COB459" s="22"/>
      <c r="COC459" s="22"/>
      <c r="COD459" s="22"/>
      <c r="COE459" s="22"/>
      <c r="COF459" s="22"/>
      <c r="COG459" s="22"/>
      <c r="COH459" s="22"/>
      <c r="COI459" s="22"/>
      <c r="COJ459" s="22"/>
      <c r="COK459" s="22"/>
      <c r="COL459" s="22"/>
      <c r="COM459" s="22"/>
      <c r="CON459" s="22"/>
      <c r="COO459" s="22"/>
      <c r="COP459" s="22"/>
      <c r="COQ459" s="22"/>
      <c r="COR459" s="22"/>
      <c r="COS459" s="22"/>
      <c r="COT459" s="22"/>
      <c r="COU459" s="22"/>
      <c r="COV459" s="22"/>
      <c r="COW459" s="22"/>
      <c r="COX459" s="22"/>
      <c r="COY459" s="22"/>
      <c r="COZ459" s="22"/>
      <c r="CPA459" s="22"/>
      <c r="CPB459" s="22"/>
      <c r="CPC459" s="22"/>
      <c r="CPD459" s="22"/>
      <c r="CPE459" s="22"/>
      <c r="CPF459" s="22"/>
      <c r="CPG459" s="22"/>
      <c r="CPH459" s="22"/>
      <c r="CPI459" s="22"/>
      <c r="CPJ459" s="22"/>
      <c r="CPK459" s="22"/>
      <c r="CPL459" s="22"/>
      <c r="CPM459" s="22"/>
      <c r="CPN459" s="22"/>
      <c r="CPO459" s="22"/>
      <c r="CPP459" s="22"/>
      <c r="CPQ459" s="22"/>
      <c r="CPR459" s="22"/>
      <c r="CPS459" s="22"/>
      <c r="CPT459" s="22"/>
      <c r="CPU459" s="22"/>
      <c r="CPV459" s="22"/>
      <c r="CPW459" s="22"/>
      <c r="CPX459" s="22"/>
      <c r="CPY459" s="22"/>
      <c r="CPZ459" s="22"/>
      <c r="CQA459" s="22"/>
      <c r="CQB459" s="22"/>
      <c r="CQC459" s="22"/>
      <c r="CQD459" s="22"/>
      <c r="CQE459" s="22"/>
      <c r="CQF459" s="22"/>
      <c r="CQG459" s="22"/>
      <c r="CQH459" s="22"/>
      <c r="CQI459" s="22"/>
      <c r="CQJ459" s="22"/>
      <c r="CQK459" s="22"/>
      <c r="CQL459" s="22"/>
      <c r="CQM459" s="22"/>
      <c r="CQN459" s="22"/>
      <c r="CQO459" s="22"/>
      <c r="CQP459" s="22"/>
      <c r="CQQ459" s="22"/>
      <c r="CQR459" s="22"/>
      <c r="CQS459" s="22"/>
      <c r="CQT459" s="22"/>
      <c r="CQU459" s="22"/>
      <c r="CQV459" s="22"/>
      <c r="CQW459" s="22"/>
      <c r="CQX459" s="22"/>
      <c r="CQY459" s="22"/>
      <c r="CQZ459" s="22"/>
      <c r="CRA459" s="22"/>
      <c r="CRB459" s="22"/>
      <c r="CRC459" s="22"/>
      <c r="CRD459" s="22"/>
      <c r="CRE459" s="22"/>
      <c r="CRF459" s="22"/>
      <c r="CRG459" s="22"/>
      <c r="CRH459" s="22"/>
      <c r="CRI459" s="22"/>
      <c r="CRJ459" s="22"/>
      <c r="CRK459" s="22"/>
      <c r="CRL459" s="22"/>
      <c r="CRM459" s="22"/>
      <c r="CRN459" s="22"/>
      <c r="CRO459" s="22"/>
      <c r="CRP459" s="22"/>
      <c r="CRQ459" s="22"/>
      <c r="CRR459" s="22"/>
      <c r="CRS459" s="22"/>
      <c r="CRT459" s="22"/>
      <c r="CRU459" s="22"/>
      <c r="CRV459" s="22"/>
      <c r="CRW459" s="22"/>
      <c r="CRX459" s="22"/>
      <c r="CRY459" s="22"/>
      <c r="CRZ459" s="22"/>
      <c r="CSA459" s="22"/>
      <c r="CSB459" s="22"/>
      <c r="CSC459" s="22"/>
      <c r="CSD459" s="22"/>
      <c r="CSE459" s="22"/>
      <c r="CSF459" s="22"/>
      <c r="CSG459" s="22"/>
      <c r="CSH459" s="22"/>
      <c r="CSI459" s="22"/>
      <c r="CSJ459" s="22"/>
      <c r="CSK459" s="22"/>
      <c r="CSL459" s="22"/>
      <c r="CSM459" s="22"/>
      <c r="CSN459" s="22"/>
      <c r="CSO459" s="22"/>
      <c r="CSP459" s="22"/>
      <c r="CSQ459" s="22"/>
      <c r="CSR459" s="22"/>
      <c r="CSS459" s="22"/>
      <c r="CST459" s="22"/>
      <c r="CSU459" s="22"/>
      <c r="CSV459" s="22"/>
      <c r="CSW459" s="22"/>
      <c r="CSX459" s="22"/>
      <c r="CSY459" s="22"/>
      <c r="CSZ459" s="22"/>
      <c r="CTA459" s="22"/>
      <c r="CTB459" s="22"/>
      <c r="CTC459" s="22"/>
      <c r="CTD459" s="22"/>
      <c r="CTE459" s="22"/>
      <c r="CTF459" s="22"/>
      <c r="CTG459" s="22"/>
      <c r="CTH459" s="22"/>
      <c r="CTI459" s="22"/>
      <c r="CTJ459" s="22"/>
      <c r="CTK459" s="22"/>
      <c r="CTL459" s="22"/>
      <c r="CTM459" s="22"/>
      <c r="CTN459" s="22"/>
      <c r="CTO459" s="22"/>
      <c r="CTP459" s="22"/>
      <c r="CTQ459" s="22"/>
      <c r="CTR459" s="22"/>
      <c r="CTS459" s="22"/>
      <c r="CTT459" s="22"/>
      <c r="CTU459" s="22"/>
      <c r="CTV459" s="22"/>
      <c r="CTW459" s="22"/>
      <c r="CTX459" s="22"/>
      <c r="CTY459" s="22"/>
      <c r="CTZ459" s="22"/>
      <c r="CUA459" s="22"/>
      <c r="CUB459" s="22"/>
      <c r="CUC459" s="22"/>
      <c r="CUD459" s="22"/>
      <c r="CUE459" s="22"/>
      <c r="CUF459" s="22"/>
      <c r="CUG459" s="22"/>
      <c r="CUH459" s="22"/>
      <c r="CUI459" s="22"/>
      <c r="CUJ459" s="22"/>
      <c r="CUK459" s="22"/>
      <c r="CUL459" s="22"/>
      <c r="CUM459" s="22"/>
      <c r="CUN459" s="22"/>
      <c r="CUO459" s="22"/>
      <c r="CUP459" s="22"/>
      <c r="CUQ459" s="22"/>
      <c r="CUR459" s="22"/>
      <c r="CUS459" s="22"/>
      <c r="CUT459" s="22"/>
      <c r="CUU459" s="22"/>
      <c r="CUV459" s="22"/>
      <c r="CUW459" s="22"/>
      <c r="CUX459" s="22"/>
      <c r="CUY459" s="22"/>
      <c r="CUZ459" s="22"/>
      <c r="CVA459" s="22"/>
      <c r="CVB459" s="22"/>
      <c r="CVC459" s="22"/>
      <c r="CVD459" s="22"/>
      <c r="CVE459" s="22"/>
      <c r="CVF459" s="22"/>
      <c r="CVG459" s="22"/>
      <c r="CVH459" s="22"/>
      <c r="CVI459" s="22"/>
      <c r="CVJ459" s="22"/>
      <c r="CVK459" s="22"/>
      <c r="CVL459" s="22"/>
      <c r="CVM459" s="22"/>
      <c r="CVN459" s="22"/>
      <c r="CVO459" s="22"/>
      <c r="CVP459" s="22"/>
      <c r="CVQ459" s="22"/>
      <c r="CVR459" s="22"/>
      <c r="CVS459" s="22"/>
      <c r="CVT459" s="22"/>
      <c r="CVU459" s="22"/>
      <c r="CVV459" s="22"/>
      <c r="CVW459" s="22"/>
      <c r="CVX459" s="22"/>
      <c r="CVY459" s="22"/>
      <c r="CVZ459" s="22"/>
      <c r="CWA459" s="22"/>
      <c r="CWB459" s="22"/>
      <c r="CWC459" s="22"/>
      <c r="CWD459" s="22"/>
      <c r="CWE459" s="22"/>
      <c r="CWF459" s="22"/>
      <c r="CWG459" s="22"/>
      <c r="CWH459" s="22"/>
      <c r="CWI459" s="22"/>
      <c r="CWJ459" s="22"/>
      <c r="CWK459" s="22"/>
      <c r="CWL459" s="22"/>
      <c r="CWM459" s="22"/>
      <c r="CWN459" s="22"/>
      <c r="CWO459" s="22"/>
      <c r="CWP459" s="22"/>
      <c r="CWQ459" s="22"/>
      <c r="CWR459" s="22"/>
      <c r="CWS459" s="22"/>
      <c r="CWT459" s="22"/>
      <c r="CWU459" s="22"/>
      <c r="CWV459" s="22"/>
      <c r="CWW459" s="22"/>
      <c r="CWX459" s="22"/>
      <c r="CWY459" s="22"/>
      <c r="CWZ459" s="22"/>
      <c r="CXA459" s="22"/>
      <c r="CXB459" s="22"/>
      <c r="CXC459" s="22"/>
      <c r="CXD459" s="22"/>
      <c r="CXE459" s="22"/>
      <c r="CXF459" s="22"/>
      <c r="CXG459" s="22"/>
      <c r="CXH459" s="22"/>
      <c r="CXI459" s="22"/>
      <c r="CXJ459" s="22"/>
      <c r="CXK459" s="22"/>
      <c r="CXL459" s="22"/>
      <c r="CXM459" s="22"/>
      <c r="CXN459" s="22"/>
      <c r="CXO459" s="22"/>
      <c r="CXP459" s="22"/>
      <c r="CXQ459" s="22"/>
      <c r="CXR459" s="22"/>
      <c r="CXS459" s="22"/>
      <c r="CXT459" s="22"/>
      <c r="CXU459" s="22"/>
      <c r="CXV459" s="22"/>
      <c r="CXW459" s="22"/>
      <c r="CXX459" s="22"/>
      <c r="CXY459" s="22"/>
      <c r="CXZ459" s="22"/>
      <c r="CYA459" s="22"/>
      <c r="CYB459" s="22"/>
      <c r="CYC459" s="22"/>
      <c r="CYD459" s="22"/>
      <c r="CYE459" s="22"/>
      <c r="CYF459" s="22"/>
      <c r="CYG459" s="22"/>
      <c r="CYH459" s="22"/>
      <c r="CYI459" s="22"/>
      <c r="CYJ459" s="22"/>
      <c r="CYK459" s="22"/>
      <c r="CYL459" s="22"/>
      <c r="CYM459" s="22"/>
      <c r="CYN459" s="22"/>
      <c r="CYO459" s="22"/>
      <c r="CYP459" s="22"/>
      <c r="CYQ459" s="22"/>
      <c r="CYR459" s="22"/>
      <c r="CYS459" s="22"/>
      <c r="CYT459" s="22"/>
      <c r="CYU459" s="22"/>
      <c r="CYV459" s="22"/>
      <c r="CYW459" s="22"/>
      <c r="CYX459" s="22"/>
      <c r="CYY459" s="22"/>
      <c r="CYZ459" s="22"/>
      <c r="CZA459" s="22"/>
      <c r="CZB459" s="22"/>
      <c r="CZC459" s="22"/>
      <c r="CZD459" s="22"/>
      <c r="CZE459" s="22"/>
      <c r="CZF459" s="22"/>
      <c r="CZG459" s="22"/>
      <c r="CZH459" s="22"/>
      <c r="CZI459" s="22"/>
      <c r="CZJ459" s="22"/>
      <c r="CZK459" s="22"/>
      <c r="CZL459" s="22"/>
      <c r="CZM459" s="22"/>
      <c r="CZN459" s="22"/>
      <c r="CZO459" s="22"/>
      <c r="CZP459" s="22"/>
      <c r="CZQ459" s="22"/>
      <c r="CZR459" s="22"/>
      <c r="CZS459" s="22"/>
      <c r="CZT459" s="22"/>
      <c r="CZU459" s="22"/>
      <c r="CZV459" s="22"/>
      <c r="CZW459" s="22"/>
      <c r="CZX459" s="22"/>
      <c r="CZY459" s="22"/>
      <c r="CZZ459" s="22"/>
      <c r="DAA459" s="22"/>
      <c r="DAB459" s="22"/>
      <c r="DAC459" s="22"/>
      <c r="DAD459" s="22"/>
      <c r="DAE459" s="22"/>
      <c r="DAF459" s="22"/>
      <c r="DAG459" s="22"/>
      <c r="DAH459" s="22"/>
      <c r="DAI459" s="22"/>
      <c r="DAJ459" s="22"/>
      <c r="DAK459" s="22"/>
      <c r="DAL459" s="22"/>
      <c r="DAM459" s="22"/>
      <c r="DAN459" s="22"/>
      <c r="DAO459" s="22"/>
      <c r="DAP459" s="22"/>
      <c r="DAQ459" s="22"/>
      <c r="DAR459" s="22"/>
      <c r="DAS459" s="22"/>
      <c r="DAT459" s="22"/>
      <c r="DAU459" s="22"/>
      <c r="DAV459" s="22"/>
      <c r="DAW459" s="22"/>
      <c r="DAX459" s="22"/>
      <c r="DAY459" s="22"/>
      <c r="DAZ459" s="22"/>
      <c r="DBA459" s="22"/>
      <c r="DBB459" s="22"/>
      <c r="DBC459" s="22"/>
      <c r="DBD459" s="22"/>
      <c r="DBE459" s="22"/>
      <c r="DBF459" s="22"/>
      <c r="DBG459" s="22"/>
      <c r="DBH459" s="22"/>
      <c r="DBI459" s="22"/>
      <c r="DBJ459" s="22"/>
      <c r="DBK459" s="22"/>
      <c r="DBL459" s="22"/>
      <c r="DBM459" s="22"/>
      <c r="DBN459" s="22"/>
      <c r="DBO459" s="22"/>
      <c r="DBP459" s="22"/>
      <c r="DBQ459" s="22"/>
      <c r="DBR459" s="22"/>
      <c r="DBS459" s="22"/>
      <c r="DBT459" s="22"/>
      <c r="DBU459" s="22"/>
      <c r="DBV459" s="22"/>
      <c r="DBW459" s="22"/>
      <c r="DBX459" s="22"/>
      <c r="DBY459" s="22"/>
      <c r="DBZ459" s="22"/>
      <c r="DCA459" s="22"/>
      <c r="DCB459" s="22"/>
      <c r="DCC459" s="22"/>
      <c r="DCD459" s="22"/>
      <c r="DCE459" s="22"/>
      <c r="DCF459" s="22"/>
      <c r="DCG459" s="22"/>
      <c r="DCH459" s="22"/>
      <c r="DCI459" s="22"/>
      <c r="DCJ459" s="22"/>
      <c r="DCK459" s="22"/>
      <c r="DCL459" s="22"/>
      <c r="DCM459" s="22"/>
      <c r="DCN459" s="22"/>
      <c r="DCO459" s="22"/>
      <c r="DCP459" s="22"/>
      <c r="DCQ459" s="22"/>
      <c r="DCR459" s="22"/>
      <c r="DCS459" s="22"/>
      <c r="DCT459" s="22"/>
      <c r="DCU459" s="22"/>
      <c r="DCV459" s="22"/>
      <c r="DCW459" s="22"/>
      <c r="DCX459" s="22"/>
      <c r="DCY459" s="22"/>
      <c r="DCZ459" s="22"/>
      <c r="DDA459" s="22"/>
      <c r="DDB459" s="22"/>
      <c r="DDC459" s="22"/>
      <c r="DDD459" s="22"/>
      <c r="DDE459" s="22"/>
      <c r="DDF459" s="22"/>
      <c r="DDG459" s="22"/>
      <c r="DDH459" s="22"/>
      <c r="DDI459" s="22"/>
      <c r="DDJ459" s="22"/>
      <c r="DDK459" s="22"/>
      <c r="DDL459" s="22"/>
      <c r="DDM459" s="22"/>
      <c r="DDN459" s="22"/>
      <c r="DDO459" s="22"/>
      <c r="DDP459" s="22"/>
      <c r="DDQ459" s="22"/>
      <c r="DDR459" s="22"/>
      <c r="DDS459" s="22"/>
      <c r="DDT459" s="22"/>
      <c r="DDU459" s="22"/>
      <c r="DDV459" s="22"/>
      <c r="DDW459" s="22"/>
      <c r="DDX459" s="22"/>
      <c r="DDY459" s="22"/>
      <c r="DDZ459" s="22"/>
      <c r="DEA459" s="22"/>
      <c r="DEB459" s="22"/>
      <c r="DEC459" s="22"/>
      <c r="DED459" s="22"/>
      <c r="DEE459" s="22"/>
      <c r="DEF459" s="22"/>
      <c r="DEG459" s="22"/>
      <c r="DEH459" s="22"/>
      <c r="DEI459" s="22"/>
      <c r="DEJ459" s="22"/>
      <c r="DEK459" s="22"/>
      <c r="DEL459" s="22"/>
      <c r="DEM459" s="22"/>
      <c r="DEN459" s="22"/>
      <c r="DEO459" s="22"/>
      <c r="DEP459" s="22"/>
      <c r="DEQ459" s="22"/>
      <c r="DER459" s="22"/>
      <c r="DES459" s="22"/>
      <c r="DET459" s="22"/>
      <c r="DEU459" s="22"/>
      <c r="DEV459" s="22"/>
      <c r="DEW459" s="22"/>
      <c r="DEX459" s="22"/>
      <c r="DEY459" s="22"/>
      <c r="DEZ459" s="22"/>
      <c r="DFA459" s="22"/>
      <c r="DFB459" s="22"/>
      <c r="DFC459" s="22"/>
      <c r="DFD459" s="22"/>
      <c r="DFE459" s="22"/>
      <c r="DFF459" s="22"/>
      <c r="DFG459" s="22"/>
      <c r="DFH459" s="22"/>
      <c r="DFI459" s="22"/>
      <c r="DFJ459" s="22"/>
      <c r="DFK459" s="22"/>
      <c r="DFL459" s="22"/>
      <c r="DFM459" s="22"/>
      <c r="DFN459" s="22"/>
      <c r="DFO459" s="22"/>
      <c r="DFP459" s="22"/>
      <c r="DFQ459" s="22"/>
      <c r="DFR459" s="22"/>
      <c r="DFS459" s="22"/>
      <c r="DFT459" s="22"/>
      <c r="DFU459" s="22"/>
      <c r="DFV459" s="22"/>
      <c r="DFW459" s="22"/>
      <c r="DFX459" s="22"/>
      <c r="DFY459" s="22"/>
      <c r="DFZ459" s="22"/>
      <c r="DGA459" s="22"/>
      <c r="DGB459" s="22"/>
      <c r="DGC459" s="22"/>
      <c r="DGD459" s="22"/>
      <c r="DGE459" s="22"/>
      <c r="DGF459" s="22"/>
      <c r="DGG459" s="22"/>
      <c r="DGH459" s="22"/>
      <c r="DGI459" s="22"/>
      <c r="DGJ459" s="22"/>
      <c r="DGK459" s="22"/>
      <c r="DGL459" s="22"/>
      <c r="DGM459" s="22"/>
      <c r="DGN459" s="22"/>
      <c r="DGO459" s="22"/>
      <c r="DGP459" s="22"/>
      <c r="DGQ459" s="22"/>
      <c r="DGR459" s="22"/>
      <c r="DGS459" s="22"/>
      <c r="DGT459" s="22"/>
      <c r="DGU459" s="22"/>
      <c r="DGV459" s="22"/>
      <c r="DGW459" s="22"/>
      <c r="DGX459" s="22"/>
      <c r="DGY459" s="22"/>
      <c r="DGZ459" s="22"/>
      <c r="DHA459" s="22"/>
      <c r="DHB459" s="22"/>
      <c r="DHC459" s="22"/>
      <c r="DHD459" s="22"/>
      <c r="DHE459" s="22"/>
      <c r="DHF459" s="22"/>
      <c r="DHG459" s="22"/>
      <c r="DHH459" s="22"/>
      <c r="DHI459" s="22"/>
      <c r="DHJ459" s="22"/>
      <c r="DHK459" s="22"/>
      <c r="DHL459" s="22"/>
      <c r="DHM459" s="22"/>
      <c r="DHN459" s="22"/>
      <c r="DHO459" s="22"/>
      <c r="DHP459" s="22"/>
      <c r="DHQ459" s="22"/>
      <c r="DHR459" s="22"/>
      <c r="DHS459" s="22"/>
      <c r="DHT459" s="22"/>
      <c r="DHU459" s="22"/>
      <c r="DHV459" s="22"/>
      <c r="DHW459" s="22"/>
      <c r="DHX459" s="22"/>
      <c r="DHY459" s="22"/>
      <c r="DHZ459" s="22"/>
      <c r="DIA459" s="22"/>
      <c r="DIB459" s="22"/>
      <c r="DIC459" s="22"/>
      <c r="DID459" s="22"/>
      <c r="DIE459" s="22"/>
      <c r="DIF459" s="22"/>
      <c r="DIG459" s="22"/>
      <c r="DIH459" s="22"/>
      <c r="DII459" s="22"/>
      <c r="DIJ459" s="22"/>
      <c r="DIK459" s="22"/>
      <c r="DIL459" s="22"/>
      <c r="DIM459" s="22"/>
      <c r="DIN459" s="22"/>
      <c r="DIO459" s="22"/>
      <c r="DIP459" s="22"/>
      <c r="DIQ459" s="22"/>
      <c r="DIR459" s="22"/>
      <c r="DIS459" s="22"/>
      <c r="DIT459" s="22"/>
      <c r="DIU459" s="22"/>
      <c r="DIV459" s="22"/>
      <c r="DIW459" s="22"/>
      <c r="DIX459" s="22"/>
      <c r="DIY459" s="22"/>
      <c r="DIZ459" s="22"/>
      <c r="DJA459" s="22"/>
      <c r="DJB459" s="22"/>
      <c r="DJC459" s="22"/>
      <c r="DJD459" s="22"/>
      <c r="DJE459" s="22"/>
      <c r="DJF459" s="22"/>
      <c r="DJG459" s="22"/>
      <c r="DJH459" s="22"/>
      <c r="DJI459" s="22"/>
      <c r="DJJ459" s="22"/>
      <c r="DJK459" s="22"/>
      <c r="DJL459" s="22"/>
      <c r="DJM459" s="22"/>
      <c r="DJN459" s="22"/>
      <c r="DJO459" s="22"/>
      <c r="DJP459" s="22"/>
      <c r="DJQ459" s="22"/>
      <c r="DJR459" s="22"/>
      <c r="DJS459" s="22"/>
      <c r="DJT459" s="22"/>
      <c r="DJU459" s="22"/>
      <c r="DJV459" s="22"/>
      <c r="DJW459" s="22"/>
      <c r="DJX459" s="22"/>
      <c r="DJY459" s="22"/>
      <c r="DJZ459" s="22"/>
      <c r="DKA459" s="22"/>
      <c r="DKB459" s="22"/>
      <c r="DKC459" s="22"/>
      <c r="DKD459" s="22"/>
      <c r="DKE459" s="22"/>
      <c r="DKF459" s="22"/>
      <c r="DKG459" s="22"/>
      <c r="DKH459" s="22"/>
      <c r="DKI459" s="22"/>
      <c r="DKJ459" s="22"/>
      <c r="DKK459" s="22"/>
      <c r="DKL459" s="22"/>
      <c r="DKM459" s="22"/>
      <c r="DKN459" s="22"/>
      <c r="DKO459" s="22"/>
      <c r="DKP459" s="22"/>
      <c r="DKQ459" s="22"/>
      <c r="DKR459" s="22"/>
      <c r="DKS459" s="22"/>
      <c r="DKT459" s="22"/>
      <c r="DKU459" s="22"/>
      <c r="DKV459" s="22"/>
      <c r="DKW459" s="22"/>
      <c r="DKX459" s="22"/>
      <c r="DKY459" s="22"/>
      <c r="DKZ459" s="22"/>
      <c r="DLA459" s="22"/>
      <c r="DLB459" s="22"/>
      <c r="DLC459" s="22"/>
      <c r="DLD459" s="22"/>
      <c r="DLE459" s="22"/>
      <c r="DLF459" s="22"/>
      <c r="DLG459" s="22"/>
      <c r="DLH459" s="22"/>
      <c r="DLI459" s="22"/>
      <c r="DLJ459" s="22"/>
      <c r="DLK459" s="22"/>
      <c r="DLL459" s="22"/>
      <c r="DLM459" s="22"/>
      <c r="DLN459" s="22"/>
      <c r="DLO459" s="22"/>
      <c r="DLP459" s="22"/>
      <c r="DLQ459" s="22"/>
      <c r="DLR459" s="22"/>
      <c r="DLS459" s="22"/>
      <c r="DLT459" s="22"/>
      <c r="DLU459" s="22"/>
      <c r="DLV459" s="22"/>
      <c r="DLW459" s="22"/>
      <c r="DLX459" s="22"/>
      <c r="DLY459" s="22"/>
      <c r="DLZ459" s="22"/>
      <c r="DMA459" s="22"/>
      <c r="DMB459" s="22"/>
      <c r="DMC459" s="22"/>
      <c r="DMD459" s="22"/>
      <c r="DME459" s="22"/>
      <c r="DMF459" s="22"/>
      <c r="DMG459" s="22"/>
      <c r="DMH459" s="22"/>
      <c r="DMI459" s="22"/>
      <c r="DMJ459" s="22"/>
      <c r="DMK459" s="22"/>
      <c r="DML459" s="22"/>
      <c r="DMM459" s="22"/>
      <c r="DMN459" s="22"/>
      <c r="DMO459" s="22"/>
      <c r="DMP459" s="22"/>
      <c r="DMQ459" s="22"/>
      <c r="DMR459" s="22"/>
      <c r="DMS459" s="22"/>
      <c r="DMT459" s="22"/>
      <c r="DMU459" s="22"/>
      <c r="DMV459" s="22"/>
      <c r="DMW459" s="22"/>
      <c r="DMX459" s="22"/>
      <c r="DMY459" s="22"/>
      <c r="DMZ459" s="22"/>
      <c r="DNA459" s="22"/>
      <c r="DNB459" s="22"/>
      <c r="DNC459" s="22"/>
      <c r="DND459" s="22"/>
      <c r="DNE459" s="22"/>
      <c r="DNF459" s="22"/>
      <c r="DNG459" s="22"/>
      <c r="DNH459" s="22"/>
      <c r="DNI459" s="22"/>
      <c r="DNJ459" s="22"/>
      <c r="DNK459" s="22"/>
      <c r="DNL459" s="22"/>
      <c r="DNM459" s="22"/>
      <c r="DNN459" s="22"/>
      <c r="DNO459" s="22"/>
      <c r="DNP459" s="22"/>
      <c r="DNQ459" s="22"/>
      <c r="DNR459" s="22"/>
      <c r="DNS459" s="22"/>
      <c r="DNT459" s="22"/>
      <c r="DNU459" s="22"/>
      <c r="DNV459" s="22"/>
      <c r="DNW459" s="22"/>
      <c r="DNX459" s="22"/>
      <c r="DNY459" s="22"/>
      <c r="DNZ459" s="22"/>
      <c r="DOA459" s="22"/>
      <c r="DOB459" s="22"/>
      <c r="DOC459" s="22"/>
      <c r="DOD459" s="22"/>
      <c r="DOE459" s="22"/>
      <c r="DOF459" s="22"/>
      <c r="DOG459" s="22"/>
      <c r="DOH459" s="22"/>
      <c r="DOI459" s="22"/>
      <c r="DOJ459" s="22"/>
      <c r="DOK459" s="22"/>
      <c r="DOL459" s="22"/>
      <c r="DOM459" s="22"/>
      <c r="DON459" s="22"/>
      <c r="DOO459" s="22"/>
      <c r="DOP459" s="22"/>
      <c r="DOQ459" s="22"/>
      <c r="DOR459" s="22"/>
      <c r="DOS459" s="22"/>
      <c r="DOT459" s="22"/>
      <c r="DOU459" s="22"/>
      <c r="DOV459" s="22"/>
      <c r="DOW459" s="22"/>
      <c r="DOX459" s="22"/>
      <c r="DOY459" s="22"/>
      <c r="DOZ459" s="22"/>
      <c r="DPA459" s="22"/>
      <c r="DPB459" s="22"/>
      <c r="DPC459" s="22"/>
      <c r="DPD459" s="22"/>
      <c r="DPE459" s="22"/>
      <c r="DPF459" s="22"/>
      <c r="DPG459" s="22"/>
      <c r="DPH459" s="22"/>
      <c r="DPI459" s="22"/>
      <c r="DPJ459" s="22"/>
      <c r="DPK459" s="22"/>
      <c r="DPL459" s="22"/>
      <c r="DPM459" s="22"/>
      <c r="DPN459" s="22"/>
      <c r="DPO459" s="22"/>
      <c r="DPP459" s="22"/>
      <c r="DPQ459" s="22"/>
      <c r="DPR459" s="22"/>
      <c r="DPS459" s="22"/>
      <c r="DPT459" s="22"/>
      <c r="DPU459" s="22"/>
      <c r="DPV459" s="22"/>
      <c r="DPW459" s="22"/>
      <c r="DPX459" s="22"/>
      <c r="DPY459" s="22"/>
      <c r="DPZ459" s="22"/>
      <c r="DQA459" s="22"/>
      <c r="DQB459" s="22"/>
      <c r="DQC459" s="22"/>
      <c r="DQD459" s="22"/>
      <c r="DQE459" s="22"/>
      <c r="DQF459" s="22"/>
      <c r="DQG459" s="22"/>
      <c r="DQH459" s="22"/>
      <c r="DQI459" s="22"/>
      <c r="DQJ459" s="22"/>
      <c r="DQK459" s="22"/>
      <c r="DQL459" s="22"/>
      <c r="DQM459" s="22"/>
      <c r="DQN459" s="22"/>
      <c r="DQO459" s="22"/>
      <c r="DQP459" s="22"/>
      <c r="DQQ459" s="22"/>
      <c r="DQR459" s="22"/>
      <c r="DQS459" s="22"/>
      <c r="DQT459" s="22"/>
      <c r="DQU459" s="22"/>
      <c r="DQV459" s="22"/>
      <c r="DQW459" s="22"/>
      <c r="DQX459" s="22"/>
      <c r="DQY459" s="22"/>
      <c r="DQZ459" s="22"/>
      <c r="DRA459" s="22"/>
      <c r="DRB459" s="22"/>
      <c r="DRC459" s="22"/>
      <c r="DRD459" s="22"/>
      <c r="DRE459" s="22"/>
      <c r="DRF459" s="22"/>
      <c r="DRG459" s="22"/>
      <c r="DRH459" s="22"/>
      <c r="DRI459" s="22"/>
      <c r="DRJ459" s="22"/>
      <c r="DRK459" s="22"/>
      <c r="DRL459" s="22"/>
      <c r="DRM459" s="22"/>
      <c r="DRN459" s="22"/>
      <c r="DRO459" s="22"/>
      <c r="DRP459" s="22"/>
      <c r="DRQ459" s="22"/>
      <c r="DRR459" s="22"/>
      <c r="DRS459" s="22"/>
      <c r="DRT459" s="22"/>
      <c r="DRU459" s="22"/>
      <c r="DRV459" s="22"/>
      <c r="DRW459" s="22"/>
      <c r="DRX459" s="22"/>
      <c r="DRY459" s="22"/>
      <c r="DRZ459" s="22"/>
      <c r="DSA459" s="22"/>
      <c r="DSB459" s="22"/>
      <c r="DSC459" s="22"/>
      <c r="DSD459" s="22"/>
      <c r="DSE459" s="22"/>
      <c r="DSF459" s="22"/>
      <c r="DSG459" s="22"/>
      <c r="DSH459" s="22"/>
      <c r="DSI459" s="22"/>
      <c r="DSJ459" s="22"/>
      <c r="DSK459" s="22"/>
      <c r="DSL459" s="22"/>
      <c r="DSM459" s="22"/>
      <c r="DSN459" s="22"/>
      <c r="DSO459" s="22"/>
      <c r="DSP459" s="22"/>
      <c r="DSQ459" s="22"/>
      <c r="DSR459" s="22"/>
      <c r="DSS459" s="22"/>
      <c r="DST459" s="22"/>
      <c r="DSU459" s="22"/>
      <c r="DSV459" s="22"/>
      <c r="DSW459" s="22"/>
      <c r="DSX459" s="22"/>
      <c r="DSY459" s="22"/>
      <c r="DSZ459" s="22"/>
      <c r="DTA459" s="22"/>
      <c r="DTB459" s="22"/>
      <c r="DTC459" s="22"/>
      <c r="DTD459" s="22"/>
      <c r="DTE459" s="22"/>
      <c r="DTF459" s="22"/>
      <c r="DTG459" s="22"/>
      <c r="DTH459" s="22"/>
      <c r="DTI459" s="22"/>
      <c r="DTJ459" s="22"/>
      <c r="DTK459" s="22"/>
      <c r="DTL459" s="22"/>
      <c r="DTM459" s="22"/>
      <c r="DTN459" s="22"/>
      <c r="DTO459" s="22"/>
      <c r="DTP459" s="22"/>
      <c r="DTQ459" s="22"/>
      <c r="DTR459" s="22"/>
      <c r="DTS459" s="22"/>
      <c r="DTT459" s="22"/>
      <c r="DTU459" s="22"/>
      <c r="DTV459" s="22"/>
      <c r="DTW459" s="22"/>
      <c r="DTX459" s="22"/>
      <c r="DTY459" s="22"/>
      <c r="DTZ459" s="22"/>
      <c r="DUA459" s="22"/>
      <c r="DUB459" s="22"/>
      <c r="DUC459" s="22"/>
      <c r="DUD459" s="22"/>
      <c r="DUE459" s="22"/>
      <c r="DUF459" s="22"/>
      <c r="DUG459" s="22"/>
      <c r="DUH459" s="22"/>
      <c r="DUI459" s="22"/>
      <c r="DUJ459" s="22"/>
      <c r="DUK459" s="22"/>
      <c r="DUL459" s="22"/>
      <c r="DUM459" s="22"/>
      <c r="DUN459" s="22"/>
      <c r="DUO459" s="22"/>
      <c r="DUP459" s="22"/>
      <c r="DUQ459" s="22"/>
      <c r="DUR459" s="22"/>
      <c r="DUS459" s="22"/>
      <c r="DUT459" s="22"/>
      <c r="DUU459" s="22"/>
      <c r="DUV459" s="22"/>
      <c r="DUW459" s="22"/>
      <c r="DUX459" s="22"/>
      <c r="DUY459" s="22"/>
      <c r="DUZ459" s="22"/>
      <c r="DVA459" s="22"/>
      <c r="DVB459" s="22"/>
      <c r="DVC459" s="22"/>
      <c r="DVD459" s="22"/>
      <c r="DVE459" s="22"/>
      <c r="DVF459" s="22"/>
      <c r="DVG459" s="22"/>
      <c r="DVH459" s="22"/>
      <c r="DVI459" s="22"/>
      <c r="DVJ459" s="22"/>
      <c r="DVK459" s="22"/>
      <c r="DVL459" s="22"/>
      <c r="DVM459" s="22"/>
      <c r="DVN459" s="22"/>
      <c r="DVO459" s="22"/>
      <c r="DVP459" s="22"/>
      <c r="DVQ459" s="22"/>
      <c r="DVR459" s="22"/>
      <c r="DVS459" s="22"/>
      <c r="DVT459" s="22"/>
      <c r="DVU459" s="22"/>
      <c r="DVV459" s="22"/>
      <c r="DVW459" s="22"/>
      <c r="DVX459" s="22"/>
      <c r="DVY459" s="22"/>
      <c r="DVZ459" s="22"/>
      <c r="DWA459" s="22"/>
      <c r="DWB459" s="22"/>
      <c r="DWC459" s="22"/>
      <c r="DWD459" s="22"/>
      <c r="DWE459" s="22"/>
      <c r="DWF459" s="22"/>
      <c r="DWG459" s="22"/>
      <c r="DWH459" s="22"/>
      <c r="DWI459" s="22"/>
      <c r="DWJ459" s="22"/>
      <c r="DWK459" s="22"/>
      <c r="DWL459" s="22"/>
      <c r="DWM459" s="22"/>
      <c r="DWN459" s="22"/>
      <c r="DWO459" s="22"/>
      <c r="DWP459" s="22"/>
      <c r="DWQ459" s="22"/>
      <c r="DWR459" s="22"/>
      <c r="DWS459" s="22"/>
      <c r="DWT459" s="22"/>
      <c r="DWU459" s="22"/>
      <c r="DWV459" s="22"/>
      <c r="DWW459" s="22"/>
      <c r="DWX459" s="22"/>
      <c r="DWY459" s="22"/>
      <c r="DWZ459" s="22"/>
      <c r="DXA459" s="22"/>
      <c r="DXB459" s="22"/>
      <c r="DXC459" s="22"/>
      <c r="DXD459" s="22"/>
      <c r="DXE459" s="22"/>
      <c r="DXF459" s="22"/>
      <c r="DXG459" s="22"/>
      <c r="DXH459" s="22"/>
      <c r="DXI459" s="22"/>
      <c r="DXJ459" s="22"/>
      <c r="DXK459" s="22"/>
      <c r="DXL459" s="22"/>
      <c r="DXM459" s="22"/>
      <c r="DXN459" s="22"/>
      <c r="DXO459" s="22"/>
      <c r="DXP459" s="22"/>
      <c r="DXQ459" s="22"/>
      <c r="DXR459" s="22"/>
      <c r="DXS459" s="22"/>
      <c r="DXT459" s="22"/>
      <c r="DXU459" s="22"/>
      <c r="DXV459" s="22"/>
      <c r="DXW459" s="22"/>
      <c r="DXX459" s="22"/>
      <c r="DXY459" s="22"/>
      <c r="DXZ459" s="22"/>
      <c r="DYA459" s="22"/>
      <c r="DYB459" s="22"/>
      <c r="DYC459" s="22"/>
      <c r="DYD459" s="22"/>
      <c r="DYE459" s="22"/>
      <c r="DYF459" s="22"/>
      <c r="DYG459" s="22"/>
      <c r="DYH459" s="22"/>
      <c r="DYI459" s="22"/>
      <c r="DYJ459" s="22"/>
      <c r="DYK459" s="22"/>
      <c r="DYL459" s="22"/>
      <c r="DYM459" s="22"/>
      <c r="DYN459" s="22"/>
      <c r="DYO459" s="22"/>
      <c r="DYP459" s="22"/>
      <c r="DYQ459" s="22"/>
      <c r="DYR459" s="22"/>
      <c r="DYS459" s="22"/>
      <c r="DYT459" s="22"/>
      <c r="DYU459" s="22"/>
      <c r="DYV459" s="22"/>
      <c r="DYW459" s="22"/>
      <c r="DYX459" s="22"/>
      <c r="DYY459" s="22"/>
      <c r="DYZ459" s="22"/>
      <c r="DZA459" s="22"/>
      <c r="DZB459" s="22"/>
      <c r="DZC459" s="22"/>
      <c r="DZD459" s="22"/>
      <c r="DZE459" s="22"/>
      <c r="DZF459" s="22"/>
      <c r="DZG459" s="22"/>
      <c r="DZH459" s="22"/>
      <c r="DZI459" s="22"/>
      <c r="DZJ459" s="22"/>
      <c r="DZK459" s="22"/>
      <c r="DZL459" s="22"/>
      <c r="DZM459" s="22"/>
      <c r="DZN459" s="22"/>
      <c r="DZO459" s="22"/>
      <c r="DZP459" s="22"/>
      <c r="DZQ459" s="22"/>
      <c r="DZR459" s="22"/>
      <c r="DZS459" s="22"/>
      <c r="DZT459" s="22"/>
      <c r="DZU459" s="22"/>
      <c r="DZV459" s="22"/>
      <c r="DZW459" s="22"/>
      <c r="DZX459" s="22"/>
      <c r="DZY459" s="22"/>
      <c r="DZZ459" s="22"/>
      <c r="EAA459" s="22"/>
      <c r="EAB459" s="22"/>
      <c r="EAC459" s="22"/>
      <c r="EAD459" s="22"/>
      <c r="EAE459" s="22"/>
      <c r="EAF459" s="22"/>
      <c r="EAG459" s="22"/>
      <c r="EAH459" s="22"/>
      <c r="EAI459" s="22"/>
      <c r="EAJ459" s="22"/>
      <c r="EAK459" s="22"/>
      <c r="EAL459" s="22"/>
      <c r="EAM459" s="22"/>
      <c r="EAN459" s="22"/>
      <c r="EAO459" s="22"/>
      <c r="EAP459" s="22"/>
      <c r="EAQ459" s="22"/>
      <c r="EAR459" s="22"/>
      <c r="EAS459" s="22"/>
      <c r="EAT459" s="22"/>
      <c r="EAU459" s="22"/>
      <c r="EAV459" s="22"/>
      <c r="EAW459" s="22"/>
      <c r="EAX459" s="22"/>
      <c r="EAY459" s="22"/>
      <c r="EAZ459" s="22"/>
      <c r="EBA459" s="22"/>
      <c r="EBB459" s="22"/>
      <c r="EBC459" s="22"/>
      <c r="EBD459" s="22"/>
      <c r="EBE459" s="22"/>
      <c r="EBF459" s="22"/>
      <c r="EBG459" s="22"/>
      <c r="EBH459" s="22"/>
      <c r="EBI459" s="22"/>
      <c r="EBJ459" s="22"/>
      <c r="EBK459" s="22"/>
      <c r="EBL459" s="22"/>
      <c r="EBM459" s="22"/>
      <c r="EBN459" s="22"/>
      <c r="EBO459" s="22"/>
      <c r="EBP459" s="22"/>
      <c r="EBQ459" s="22"/>
      <c r="EBR459" s="22"/>
      <c r="EBS459" s="22"/>
      <c r="EBT459" s="22"/>
      <c r="EBU459" s="22"/>
      <c r="EBV459" s="22"/>
      <c r="EBW459" s="22"/>
      <c r="EBX459" s="22"/>
      <c r="EBY459" s="22"/>
      <c r="EBZ459" s="22"/>
      <c r="ECA459" s="22"/>
      <c r="ECB459" s="22"/>
      <c r="ECC459" s="22"/>
      <c r="ECD459" s="22"/>
      <c r="ECE459" s="22"/>
      <c r="ECF459" s="22"/>
      <c r="ECG459" s="22"/>
      <c r="ECH459" s="22"/>
      <c r="ECI459" s="22"/>
      <c r="ECJ459" s="22"/>
      <c r="ECK459" s="22"/>
      <c r="ECL459" s="22"/>
      <c r="ECM459" s="22"/>
      <c r="ECN459" s="22"/>
      <c r="ECO459" s="22"/>
      <c r="ECP459" s="22"/>
      <c r="ECQ459" s="22"/>
      <c r="ECR459" s="22"/>
      <c r="ECS459" s="22"/>
      <c r="ECT459" s="22"/>
      <c r="ECU459" s="22"/>
      <c r="ECV459" s="22"/>
      <c r="ECW459" s="22"/>
      <c r="ECX459" s="22"/>
      <c r="ECY459" s="22"/>
      <c r="ECZ459" s="22"/>
      <c r="EDA459" s="22"/>
      <c r="EDB459" s="22"/>
      <c r="EDC459" s="22"/>
      <c r="EDD459" s="22"/>
      <c r="EDE459" s="22"/>
      <c r="EDF459" s="22"/>
      <c r="EDG459" s="22"/>
      <c r="EDH459" s="22"/>
      <c r="EDI459" s="22"/>
      <c r="EDJ459" s="22"/>
      <c r="EDK459" s="22"/>
      <c r="EDL459" s="22"/>
      <c r="EDM459" s="22"/>
      <c r="EDN459" s="22"/>
      <c r="EDO459" s="22"/>
      <c r="EDP459" s="22"/>
      <c r="EDQ459" s="22"/>
      <c r="EDR459" s="22"/>
      <c r="EDS459" s="22"/>
      <c r="EDT459" s="22"/>
      <c r="EDU459" s="22"/>
      <c r="EDV459" s="22"/>
      <c r="EDW459" s="22"/>
      <c r="EDX459" s="22"/>
      <c r="EDY459" s="22"/>
      <c r="EDZ459" s="22"/>
      <c r="EEA459" s="22"/>
      <c r="EEB459" s="22"/>
      <c r="EEC459" s="22"/>
      <c r="EED459" s="22"/>
      <c r="EEE459" s="22"/>
      <c r="EEF459" s="22"/>
      <c r="EEG459" s="22"/>
      <c r="EEH459" s="22"/>
      <c r="EEI459" s="22"/>
      <c r="EEJ459" s="22"/>
      <c r="EEK459" s="22"/>
      <c r="EEL459" s="22"/>
      <c r="EEM459" s="22"/>
      <c r="EEN459" s="22"/>
      <c r="EEO459" s="22"/>
      <c r="EEP459" s="22"/>
      <c r="EEQ459" s="22"/>
      <c r="EER459" s="22"/>
      <c r="EES459" s="22"/>
      <c r="EET459" s="22"/>
      <c r="EEU459" s="22"/>
      <c r="EEV459" s="22"/>
      <c r="EEW459" s="22"/>
      <c r="EEX459" s="22"/>
      <c r="EEY459" s="22"/>
      <c r="EEZ459" s="22"/>
      <c r="EFA459" s="22"/>
      <c r="EFB459" s="22"/>
      <c r="EFC459" s="22"/>
      <c r="EFD459" s="22"/>
      <c r="EFE459" s="22"/>
      <c r="EFF459" s="22"/>
      <c r="EFG459" s="22"/>
      <c r="EFH459" s="22"/>
      <c r="EFI459" s="22"/>
      <c r="EFJ459" s="22"/>
      <c r="EFK459" s="22"/>
      <c r="EFL459" s="22"/>
      <c r="EFM459" s="22"/>
      <c r="EFN459" s="22"/>
      <c r="EFO459" s="22"/>
      <c r="EFP459" s="22"/>
      <c r="EFQ459" s="22"/>
      <c r="EFR459" s="22"/>
      <c r="EFS459" s="22"/>
      <c r="EFT459" s="22"/>
      <c r="EFU459" s="22"/>
      <c r="EFV459" s="22"/>
      <c r="EFW459" s="22"/>
      <c r="EFX459" s="22"/>
      <c r="EFY459" s="22"/>
      <c r="EFZ459" s="22"/>
      <c r="EGA459" s="22"/>
      <c r="EGB459" s="22"/>
      <c r="EGC459" s="22"/>
      <c r="EGD459" s="22"/>
      <c r="EGE459" s="22"/>
      <c r="EGF459" s="22"/>
      <c r="EGG459" s="22"/>
      <c r="EGH459" s="22"/>
      <c r="EGI459" s="22"/>
      <c r="EGJ459" s="22"/>
      <c r="EGK459" s="22"/>
      <c r="EGL459" s="22"/>
      <c r="EGM459" s="22"/>
      <c r="EGN459" s="22"/>
      <c r="EGO459" s="22"/>
      <c r="EGP459" s="22"/>
      <c r="EGQ459" s="22"/>
      <c r="EGR459" s="22"/>
      <c r="EGS459" s="22"/>
      <c r="EGT459" s="22"/>
      <c r="EGU459" s="22"/>
      <c r="EGV459" s="22"/>
      <c r="EGW459" s="22"/>
      <c r="EGX459" s="22"/>
      <c r="EGY459" s="22"/>
      <c r="EGZ459" s="22"/>
      <c r="EHA459" s="22"/>
      <c r="EHB459" s="22"/>
      <c r="EHC459" s="22"/>
      <c r="EHD459" s="22"/>
      <c r="EHE459" s="22"/>
      <c r="EHF459" s="22"/>
      <c r="EHG459" s="22"/>
      <c r="EHH459" s="22"/>
      <c r="EHI459" s="22"/>
      <c r="EHJ459" s="22"/>
      <c r="EHK459" s="22"/>
      <c r="EHL459" s="22"/>
      <c r="EHM459" s="22"/>
      <c r="EHN459" s="22"/>
      <c r="EHO459" s="22"/>
      <c r="EHP459" s="22"/>
      <c r="EHQ459" s="22"/>
      <c r="EHR459" s="22"/>
      <c r="EHS459" s="22"/>
      <c r="EHT459" s="22"/>
      <c r="EHU459" s="22"/>
      <c r="EHV459" s="22"/>
      <c r="EHW459" s="22"/>
      <c r="EHX459" s="22"/>
      <c r="EHY459" s="22"/>
      <c r="EHZ459" s="22"/>
      <c r="EIA459" s="22"/>
      <c r="EIB459" s="22"/>
      <c r="EIC459" s="22"/>
      <c r="EID459" s="22"/>
      <c r="EIE459" s="22"/>
      <c r="EIF459" s="22"/>
      <c r="EIG459" s="22"/>
      <c r="EIH459" s="22"/>
      <c r="EII459" s="22"/>
      <c r="EIJ459" s="22"/>
      <c r="EIK459" s="22"/>
      <c r="EIL459" s="22"/>
      <c r="EIM459" s="22"/>
      <c r="EIN459" s="22"/>
      <c r="EIO459" s="22"/>
      <c r="EIP459" s="22"/>
      <c r="EIQ459" s="22"/>
      <c r="EIR459" s="22"/>
      <c r="EIS459" s="22"/>
      <c r="EIT459" s="22"/>
      <c r="EIU459" s="22"/>
      <c r="EIV459" s="22"/>
      <c r="EIW459" s="22"/>
      <c r="EIX459" s="22"/>
      <c r="EIY459" s="22"/>
      <c r="EIZ459" s="22"/>
      <c r="EJA459" s="22"/>
      <c r="EJB459" s="22"/>
      <c r="EJC459" s="22"/>
      <c r="EJD459" s="22"/>
      <c r="EJE459" s="22"/>
      <c r="EJF459" s="22"/>
      <c r="EJG459" s="22"/>
      <c r="EJH459" s="22"/>
      <c r="EJI459" s="22"/>
      <c r="EJJ459" s="22"/>
      <c r="EJK459" s="22"/>
      <c r="EJL459" s="22"/>
      <c r="EJM459" s="22"/>
      <c r="EJN459" s="22"/>
      <c r="EJO459" s="22"/>
      <c r="EJP459" s="22"/>
      <c r="EJQ459" s="22"/>
      <c r="EJR459" s="22"/>
      <c r="EJS459" s="22"/>
      <c r="EJT459" s="22"/>
      <c r="EJU459" s="22"/>
      <c r="EJV459" s="22"/>
      <c r="EJW459" s="22"/>
      <c r="EJX459" s="22"/>
      <c r="EJY459" s="22"/>
      <c r="EJZ459" s="22"/>
      <c r="EKA459" s="22"/>
      <c r="EKB459" s="22"/>
      <c r="EKC459" s="22"/>
      <c r="EKD459" s="22"/>
      <c r="EKE459" s="22"/>
      <c r="EKF459" s="22"/>
      <c r="EKG459" s="22"/>
      <c r="EKH459" s="22"/>
      <c r="EKI459" s="22"/>
      <c r="EKJ459" s="22"/>
      <c r="EKK459" s="22"/>
      <c r="EKL459" s="22"/>
      <c r="EKM459" s="22"/>
      <c r="EKN459" s="22"/>
      <c r="EKO459" s="22"/>
      <c r="EKP459" s="22"/>
      <c r="EKQ459" s="22"/>
      <c r="EKR459" s="22"/>
      <c r="EKS459" s="22"/>
      <c r="EKT459" s="22"/>
      <c r="EKU459" s="22"/>
      <c r="EKV459" s="22"/>
      <c r="EKW459" s="22"/>
      <c r="EKX459" s="22"/>
      <c r="EKY459" s="22"/>
      <c r="EKZ459" s="22"/>
      <c r="ELA459" s="22"/>
      <c r="ELB459" s="22"/>
      <c r="ELC459" s="22"/>
      <c r="ELD459" s="22"/>
      <c r="ELE459" s="22"/>
      <c r="ELF459" s="22"/>
      <c r="ELG459" s="22"/>
      <c r="ELH459" s="22"/>
      <c r="ELI459" s="22"/>
      <c r="ELJ459" s="22"/>
      <c r="ELK459" s="22"/>
      <c r="ELL459" s="22"/>
      <c r="ELM459" s="22"/>
      <c r="ELN459" s="22"/>
      <c r="ELO459" s="22"/>
      <c r="ELP459" s="22"/>
      <c r="ELQ459" s="22"/>
      <c r="ELR459" s="22"/>
      <c r="ELS459" s="22"/>
      <c r="ELT459" s="22"/>
      <c r="ELU459" s="22"/>
      <c r="ELV459" s="22"/>
      <c r="ELW459" s="22"/>
      <c r="ELX459" s="22"/>
      <c r="ELY459" s="22"/>
      <c r="ELZ459" s="22"/>
      <c r="EMA459" s="22"/>
      <c r="EMB459" s="22"/>
      <c r="EMC459" s="22"/>
      <c r="EMD459" s="22"/>
      <c r="EME459" s="22"/>
      <c r="EMF459" s="22"/>
      <c r="EMG459" s="22"/>
      <c r="EMH459" s="22"/>
      <c r="EMI459" s="22"/>
      <c r="EMJ459" s="22"/>
      <c r="EMK459" s="22"/>
      <c r="EML459" s="22"/>
      <c r="EMM459" s="22"/>
      <c r="EMN459" s="22"/>
      <c r="EMO459" s="22"/>
      <c r="EMP459" s="22"/>
      <c r="EMQ459" s="22"/>
      <c r="EMR459" s="22"/>
      <c r="EMS459" s="22"/>
      <c r="EMT459" s="22"/>
      <c r="EMU459" s="22"/>
      <c r="EMV459" s="22"/>
      <c r="EMW459" s="22"/>
      <c r="EMX459" s="22"/>
      <c r="EMY459" s="22"/>
      <c r="EMZ459" s="22"/>
      <c r="ENA459" s="22"/>
      <c r="ENB459" s="22"/>
      <c r="ENC459" s="22"/>
      <c r="END459" s="22"/>
      <c r="ENE459" s="22"/>
      <c r="ENF459" s="22"/>
      <c r="ENG459" s="22"/>
      <c r="ENH459" s="22"/>
      <c r="ENI459" s="22"/>
      <c r="ENJ459" s="22"/>
      <c r="ENK459" s="22"/>
      <c r="ENL459" s="22"/>
      <c r="ENM459" s="22"/>
      <c r="ENN459" s="22"/>
      <c r="ENO459" s="22"/>
      <c r="ENP459" s="22"/>
      <c r="ENQ459" s="22"/>
      <c r="ENR459" s="22"/>
      <c r="ENS459" s="22"/>
      <c r="ENT459" s="22"/>
      <c r="ENU459" s="22"/>
      <c r="ENV459" s="22"/>
      <c r="ENW459" s="22"/>
      <c r="ENX459" s="22"/>
      <c r="ENY459" s="22"/>
      <c r="ENZ459" s="22"/>
      <c r="EOA459" s="22"/>
      <c r="EOB459" s="22"/>
      <c r="EOC459" s="22"/>
      <c r="EOD459" s="22"/>
      <c r="EOE459" s="22"/>
      <c r="EOF459" s="22"/>
      <c r="EOG459" s="22"/>
      <c r="EOH459" s="22"/>
      <c r="EOI459" s="22"/>
      <c r="EOJ459" s="22"/>
      <c r="EOK459" s="22"/>
      <c r="EOL459" s="22"/>
      <c r="EOM459" s="22"/>
      <c r="EON459" s="22"/>
      <c r="EOO459" s="22"/>
      <c r="EOP459" s="22"/>
      <c r="EOQ459" s="22"/>
      <c r="EOR459" s="22"/>
      <c r="EOS459" s="22"/>
      <c r="EOT459" s="22"/>
      <c r="EOU459" s="22"/>
      <c r="EOV459" s="22"/>
      <c r="EOW459" s="22"/>
      <c r="EOX459" s="22"/>
      <c r="EOY459" s="22"/>
      <c r="EOZ459" s="22"/>
      <c r="EPA459" s="22"/>
      <c r="EPB459" s="22"/>
      <c r="EPC459" s="22"/>
      <c r="EPD459" s="22"/>
      <c r="EPE459" s="22"/>
      <c r="EPF459" s="22"/>
      <c r="EPG459" s="22"/>
      <c r="EPH459" s="22"/>
      <c r="EPI459" s="22"/>
      <c r="EPJ459" s="22"/>
      <c r="EPK459" s="22"/>
      <c r="EPL459" s="22"/>
      <c r="EPM459" s="22"/>
      <c r="EPN459" s="22"/>
      <c r="EPO459" s="22"/>
      <c r="EPP459" s="22"/>
      <c r="EPQ459" s="22"/>
      <c r="EPR459" s="22"/>
      <c r="EPS459" s="22"/>
      <c r="EPT459" s="22"/>
      <c r="EPU459" s="22"/>
      <c r="EPV459" s="22"/>
      <c r="EPW459" s="22"/>
      <c r="EPX459" s="22"/>
      <c r="EPY459" s="22"/>
      <c r="EPZ459" s="22"/>
      <c r="EQA459" s="22"/>
      <c r="EQB459" s="22"/>
      <c r="EQC459" s="22"/>
      <c r="EQD459" s="22"/>
      <c r="EQE459" s="22"/>
      <c r="EQF459" s="22"/>
      <c r="EQG459" s="22"/>
      <c r="EQH459" s="22"/>
      <c r="EQI459" s="22"/>
      <c r="EQJ459" s="22"/>
      <c r="EQK459" s="22"/>
      <c r="EQL459" s="22"/>
      <c r="EQM459" s="22"/>
      <c r="EQN459" s="22"/>
      <c r="EQO459" s="22"/>
      <c r="EQP459" s="22"/>
      <c r="EQQ459" s="22"/>
      <c r="EQR459" s="22"/>
      <c r="EQS459" s="22"/>
      <c r="EQT459" s="22"/>
      <c r="EQU459" s="22"/>
      <c r="EQV459" s="22"/>
      <c r="EQW459" s="22"/>
      <c r="EQX459" s="22"/>
      <c r="EQY459" s="22"/>
      <c r="EQZ459" s="22"/>
      <c r="ERA459" s="22"/>
      <c r="ERB459" s="22"/>
      <c r="ERC459" s="22"/>
      <c r="ERD459" s="22"/>
      <c r="ERE459" s="22"/>
      <c r="ERF459" s="22"/>
      <c r="ERG459" s="22"/>
      <c r="ERH459" s="22"/>
      <c r="ERI459" s="22"/>
      <c r="ERJ459" s="22"/>
      <c r="ERK459" s="22"/>
      <c r="ERL459" s="22"/>
      <c r="ERM459" s="22"/>
      <c r="ERN459" s="22"/>
      <c r="ERO459" s="22"/>
      <c r="ERP459" s="22"/>
      <c r="ERQ459" s="22"/>
      <c r="ERR459" s="22"/>
      <c r="ERS459" s="22"/>
      <c r="ERT459" s="22"/>
      <c r="ERU459" s="22"/>
      <c r="ERV459" s="22"/>
      <c r="ERW459" s="22"/>
      <c r="ERX459" s="22"/>
      <c r="ERY459" s="22"/>
      <c r="ERZ459" s="22"/>
      <c r="ESA459" s="22"/>
      <c r="ESB459" s="22"/>
      <c r="ESC459" s="22"/>
      <c r="ESD459" s="22"/>
      <c r="ESE459" s="22"/>
      <c r="ESF459" s="22"/>
      <c r="ESG459" s="22"/>
      <c r="ESH459" s="22"/>
      <c r="ESI459" s="22"/>
      <c r="ESJ459" s="22"/>
      <c r="ESK459" s="22"/>
      <c r="ESL459" s="22"/>
      <c r="ESM459" s="22"/>
      <c r="ESN459" s="22"/>
      <c r="ESO459" s="22"/>
      <c r="ESP459" s="22"/>
      <c r="ESQ459" s="22"/>
      <c r="ESR459" s="22"/>
      <c r="ESS459" s="22"/>
      <c r="EST459" s="22"/>
      <c r="ESU459" s="22"/>
      <c r="ESV459" s="22"/>
      <c r="ESW459" s="22"/>
      <c r="ESX459" s="22"/>
      <c r="ESY459" s="22"/>
      <c r="ESZ459" s="22"/>
      <c r="ETA459" s="22"/>
      <c r="ETB459" s="22"/>
      <c r="ETC459" s="22"/>
      <c r="ETD459" s="22"/>
      <c r="ETE459" s="22"/>
      <c r="ETF459" s="22"/>
      <c r="ETG459" s="22"/>
      <c r="ETH459" s="22"/>
      <c r="ETI459" s="22"/>
      <c r="ETJ459" s="22"/>
      <c r="ETK459" s="22"/>
      <c r="ETL459" s="22"/>
      <c r="ETM459" s="22"/>
      <c r="ETN459" s="22"/>
      <c r="ETO459" s="22"/>
      <c r="ETP459" s="22"/>
      <c r="ETQ459" s="22"/>
      <c r="ETR459" s="22"/>
      <c r="ETS459" s="22"/>
      <c r="ETT459" s="22"/>
      <c r="ETU459" s="22"/>
      <c r="ETV459" s="22"/>
      <c r="ETW459" s="22"/>
      <c r="ETX459" s="22"/>
      <c r="ETY459" s="22"/>
      <c r="ETZ459" s="22"/>
      <c r="EUA459" s="22"/>
      <c r="EUB459" s="22"/>
      <c r="EUC459" s="22"/>
      <c r="EUD459" s="22"/>
      <c r="EUE459" s="22"/>
      <c r="EUF459" s="22"/>
      <c r="EUG459" s="22"/>
      <c r="EUH459" s="22"/>
      <c r="EUI459" s="22"/>
      <c r="EUJ459" s="22"/>
      <c r="EUK459" s="22"/>
      <c r="EUL459" s="22"/>
      <c r="EUM459" s="22"/>
      <c r="EUN459" s="22"/>
      <c r="EUO459" s="22"/>
      <c r="EUP459" s="22"/>
      <c r="EUQ459" s="22"/>
      <c r="EUR459" s="22"/>
      <c r="EUS459" s="22"/>
      <c r="EUT459" s="22"/>
      <c r="EUU459" s="22"/>
      <c r="EUV459" s="22"/>
      <c r="EUW459" s="22"/>
      <c r="EUX459" s="22"/>
      <c r="EUY459" s="22"/>
      <c r="EUZ459" s="22"/>
      <c r="EVA459" s="22"/>
      <c r="EVB459" s="22"/>
      <c r="EVC459" s="22"/>
      <c r="EVD459" s="22"/>
      <c r="EVE459" s="22"/>
      <c r="EVF459" s="22"/>
      <c r="EVG459" s="22"/>
      <c r="EVH459" s="22"/>
      <c r="EVI459" s="22"/>
      <c r="EVJ459" s="22"/>
      <c r="EVK459" s="22"/>
      <c r="EVL459" s="22"/>
      <c r="EVM459" s="22"/>
      <c r="EVN459" s="22"/>
      <c r="EVO459" s="22"/>
      <c r="EVP459" s="22"/>
      <c r="EVQ459" s="22"/>
      <c r="EVR459" s="22"/>
      <c r="EVS459" s="22"/>
      <c r="EVT459" s="22"/>
      <c r="EVU459" s="22"/>
      <c r="EVV459" s="22"/>
      <c r="EVW459" s="22"/>
      <c r="EVX459" s="22"/>
      <c r="EVY459" s="22"/>
      <c r="EVZ459" s="22"/>
      <c r="EWA459" s="22"/>
      <c r="EWB459" s="22"/>
      <c r="EWC459" s="22"/>
      <c r="EWD459" s="22"/>
      <c r="EWE459" s="22"/>
      <c r="EWF459" s="22"/>
      <c r="EWG459" s="22"/>
      <c r="EWH459" s="22"/>
      <c r="EWI459" s="22"/>
      <c r="EWJ459" s="22"/>
      <c r="EWK459" s="22"/>
      <c r="EWL459" s="22"/>
      <c r="EWM459" s="22"/>
      <c r="EWN459" s="22"/>
      <c r="EWO459" s="22"/>
      <c r="EWP459" s="22"/>
      <c r="EWQ459" s="22"/>
      <c r="EWR459" s="22"/>
      <c r="EWS459" s="22"/>
      <c r="EWT459" s="22"/>
      <c r="EWU459" s="22"/>
      <c r="EWV459" s="22"/>
      <c r="EWW459" s="22"/>
      <c r="EWX459" s="22"/>
      <c r="EWY459" s="22"/>
      <c r="EWZ459" s="22"/>
      <c r="EXA459" s="22"/>
      <c r="EXB459" s="22"/>
      <c r="EXC459" s="22"/>
      <c r="EXD459" s="22"/>
      <c r="EXE459" s="22"/>
      <c r="EXF459" s="22"/>
      <c r="EXG459" s="22"/>
      <c r="EXH459" s="22"/>
      <c r="EXI459" s="22"/>
      <c r="EXJ459" s="22"/>
      <c r="EXK459" s="22"/>
      <c r="EXL459" s="22"/>
      <c r="EXM459" s="22"/>
      <c r="EXN459" s="22"/>
      <c r="EXO459" s="22"/>
      <c r="EXP459" s="22"/>
      <c r="EXQ459" s="22"/>
      <c r="EXR459" s="22"/>
      <c r="EXS459" s="22"/>
      <c r="EXT459" s="22"/>
      <c r="EXU459" s="22"/>
      <c r="EXV459" s="22"/>
      <c r="EXW459" s="22"/>
      <c r="EXX459" s="22"/>
      <c r="EXY459" s="22"/>
      <c r="EXZ459" s="22"/>
      <c r="EYA459" s="22"/>
      <c r="EYB459" s="22"/>
      <c r="EYC459" s="22"/>
      <c r="EYD459" s="22"/>
      <c r="EYE459" s="22"/>
      <c r="EYF459" s="22"/>
      <c r="EYG459" s="22"/>
      <c r="EYH459" s="22"/>
      <c r="EYI459" s="22"/>
      <c r="EYJ459" s="22"/>
      <c r="EYK459" s="22"/>
      <c r="EYL459" s="22"/>
      <c r="EYM459" s="22"/>
      <c r="EYN459" s="22"/>
      <c r="EYO459" s="22"/>
      <c r="EYP459" s="22"/>
      <c r="EYQ459" s="22"/>
      <c r="EYR459" s="22"/>
      <c r="EYS459" s="22"/>
      <c r="EYT459" s="22"/>
      <c r="EYU459" s="22"/>
      <c r="EYV459" s="22"/>
      <c r="EYW459" s="22"/>
      <c r="EYX459" s="22"/>
      <c r="EYY459" s="22"/>
      <c r="EYZ459" s="22"/>
      <c r="EZA459" s="22"/>
      <c r="EZB459" s="22"/>
      <c r="EZC459" s="22"/>
      <c r="EZD459" s="22"/>
      <c r="EZE459" s="22"/>
      <c r="EZF459" s="22"/>
      <c r="EZG459" s="22"/>
      <c r="EZH459" s="22"/>
      <c r="EZI459" s="22"/>
      <c r="EZJ459" s="22"/>
      <c r="EZK459" s="22"/>
      <c r="EZL459" s="22"/>
      <c r="EZM459" s="22"/>
      <c r="EZN459" s="22"/>
      <c r="EZO459" s="22"/>
      <c r="EZP459" s="22"/>
      <c r="EZQ459" s="22"/>
      <c r="EZR459" s="22"/>
      <c r="EZS459" s="22"/>
      <c r="EZT459" s="22"/>
      <c r="EZU459" s="22"/>
      <c r="EZV459" s="22"/>
      <c r="EZW459" s="22"/>
      <c r="EZX459" s="22"/>
      <c r="EZY459" s="22"/>
      <c r="EZZ459" s="22"/>
      <c r="FAA459" s="22"/>
      <c r="FAB459" s="22"/>
      <c r="FAC459" s="22"/>
      <c r="FAD459" s="22"/>
      <c r="FAE459" s="22"/>
      <c r="FAF459" s="22"/>
      <c r="FAG459" s="22"/>
      <c r="FAH459" s="22"/>
      <c r="FAI459" s="22"/>
      <c r="FAJ459" s="22"/>
      <c r="FAK459" s="22"/>
      <c r="FAL459" s="22"/>
      <c r="FAM459" s="22"/>
      <c r="FAN459" s="22"/>
      <c r="FAO459" s="22"/>
      <c r="FAP459" s="22"/>
      <c r="FAQ459" s="22"/>
      <c r="FAR459" s="22"/>
      <c r="FAS459" s="22"/>
      <c r="FAT459" s="22"/>
      <c r="FAU459" s="22"/>
      <c r="FAV459" s="22"/>
      <c r="FAW459" s="22"/>
      <c r="FAX459" s="22"/>
      <c r="FAY459" s="22"/>
      <c r="FAZ459" s="22"/>
      <c r="FBA459" s="22"/>
      <c r="FBB459" s="22"/>
      <c r="FBC459" s="22"/>
      <c r="FBD459" s="22"/>
      <c r="FBE459" s="22"/>
      <c r="FBF459" s="22"/>
      <c r="FBG459" s="22"/>
      <c r="FBH459" s="22"/>
      <c r="FBI459" s="22"/>
      <c r="FBJ459" s="22"/>
      <c r="FBK459" s="22"/>
      <c r="FBL459" s="22"/>
      <c r="FBM459" s="22"/>
      <c r="FBN459" s="22"/>
      <c r="FBO459" s="22"/>
      <c r="FBP459" s="22"/>
      <c r="FBQ459" s="22"/>
      <c r="FBR459" s="22"/>
      <c r="FBS459" s="22"/>
      <c r="FBT459" s="22"/>
      <c r="FBU459" s="22"/>
      <c r="FBV459" s="22"/>
      <c r="FBW459" s="22"/>
      <c r="FBX459" s="22"/>
      <c r="FBY459" s="22"/>
      <c r="FBZ459" s="22"/>
      <c r="FCA459" s="22"/>
      <c r="FCB459" s="22"/>
      <c r="FCC459" s="22"/>
      <c r="FCD459" s="22"/>
      <c r="FCE459" s="22"/>
      <c r="FCF459" s="22"/>
      <c r="FCG459" s="22"/>
      <c r="FCH459" s="22"/>
      <c r="FCI459" s="22"/>
      <c r="FCJ459" s="22"/>
      <c r="FCK459" s="22"/>
      <c r="FCL459" s="22"/>
      <c r="FCM459" s="22"/>
      <c r="FCN459" s="22"/>
      <c r="FCO459" s="22"/>
      <c r="FCP459" s="22"/>
      <c r="FCQ459" s="22"/>
      <c r="FCR459" s="22"/>
      <c r="FCS459" s="22"/>
      <c r="FCT459" s="22"/>
      <c r="FCU459" s="22"/>
      <c r="FCV459" s="22"/>
      <c r="FCW459" s="22"/>
      <c r="FCX459" s="22"/>
      <c r="FCY459" s="22"/>
      <c r="FCZ459" s="22"/>
      <c r="FDA459" s="22"/>
      <c r="FDB459" s="22"/>
      <c r="FDC459" s="22"/>
      <c r="FDD459" s="22"/>
      <c r="FDE459" s="22"/>
      <c r="FDF459" s="22"/>
      <c r="FDG459" s="22"/>
      <c r="FDH459" s="22"/>
      <c r="FDI459" s="22"/>
      <c r="FDJ459" s="22"/>
      <c r="FDK459" s="22"/>
      <c r="FDL459" s="22"/>
      <c r="FDM459" s="22"/>
      <c r="FDN459" s="22"/>
      <c r="FDO459" s="22"/>
      <c r="FDP459" s="22"/>
      <c r="FDQ459" s="22"/>
      <c r="FDR459" s="22"/>
      <c r="FDS459" s="22"/>
      <c r="FDT459" s="22"/>
      <c r="FDU459" s="22"/>
      <c r="FDV459" s="22"/>
      <c r="FDW459" s="22"/>
      <c r="FDX459" s="22"/>
      <c r="FDY459" s="22"/>
      <c r="FDZ459" s="22"/>
      <c r="FEA459" s="22"/>
      <c r="FEB459" s="22"/>
      <c r="FEC459" s="22"/>
      <c r="FED459" s="22"/>
      <c r="FEE459" s="22"/>
      <c r="FEF459" s="22"/>
      <c r="FEG459" s="22"/>
      <c r="FEH459" s="22"/>
      <c r="FEI459" s="22"/>
      <c r="FEJ459" s="22"/>
      <c r="FEK459" s="22"/>
      <c r="FEL459" s="22"/>
      <c r="FEM459" s="22"/>
      <c r="FEN459" s="22"/>
      <c r="FEO459" s="22"/>
      <c r="FEP459" s="22"/>
      <c r="FEQ459" s="22"/>
      <c r="FER459" s="22"/>
      <c r="FES459" s="22"/>
      <c r="FET459" s="22"/>
      <c r="FEU459" s="22"/>
      <c r="FEV459" s="22"/>
      <c r="FEW459" s="22"/>
      <c r="FEX459" s="22"/>
      <c r="FEY459" s="22"/>
      <c r="FEZ459" s="22"/>
      <c r="FFA459" s="22"/>
      <c r="FFB459" s="22"/>
      <c r="FFC459" s="22"/>
      <c r="FFD459" s="22"/>
      <c r="FFE459" s="22"/>
      <c r="FFF459" s="22"/>
      <c r="FFG459" s="22"/>
      <c r="FFH459" s="22"/>
      <c r="FFI459" s="22"/>
      <c r="FFJ459" s="22"/>
      <c r="FFK459" s="22"/>
      <c r="FFL459" s="22"/>
      <c r="FFM459" s="22"/>
      <c r="FFN459" s="22"/>
      <c r="FFO459" s="22"/>
      <c r="FFP459" s="22"/>
      <c r="FFQ459" s="22"/>
      <c r="FFR459" s="22"/>
      <c r="FFS459" s="22"/>
      <c r="FFT459" s="22"/>
      <c r="FFU459" s="22"/>
      <c r="FFV459" s="22"/>
      <c r="FFW459" s="22"/>
      <c r="FFX459" s="22"/>
      <c r="FFY459" s="22"/>
      <c r="FFZ459" s="22"/>
      <c r="FGA459" s="22"/>
      <c r="FGB459" s="22"/>
      <c r="FGC459" s="22"/>
      <c r="FGD459" s="22"/>
      <c r="FGE459" s="22"/>
      <c r="FGF459" s="22"/>
      <c r="FGG459" s="22"/>
      <c r="FGH459" s="22"/>
      <c r="FGI459" s="22"/>
      <c r="FGJ459" s="22"/>
      <c r="FGK459" s="22"/>
      <c r="FGL459" s="22"/>
      <c r="FGM459" s="22"/>
      <c r="FGN459" s="22"/>
      <c r="FGO459" s="22"/>
      <c r="FGP459" s="22"/>
      <c r="FGQ459" s="22"/>
      <c r="FGR459" s="22"/>
      <c r="FGS459" s="22"/>
      <c r="FGT459" s="22"/>
      <c r="FGU459" s="22"/>
      <c r="FGV459" s="22"/>
      <c r="FGW459" s="22"/>
      <c r="FGX459" s="22"/>
      <c r="FGY459" s="22"/>
      <c r="FGZ459" s="22"/>
      <c r="FHA459" s="22"/>
      <c r="FHB459" s="22"/>
      <c r="FHC459" s="22"/>
      <c r="FHD459" s="22"/>
      <c r="FHE459" s="22"/>
      <c r="FHF459" s="22"/>
      <c r="FHG459" s="22"/>
      <c r="FHH459" s="22"/>
      <c r="FHI459" s="22"/>
      <c r="FHJ459" s="22"/>
      <c r="FHK459" s="22"/>
      <c r="FHL459" s="22"/>
      <c r="FHM459" s="22"/>
      <c r="FHN459" s="22"/>
      <c r="FHO459" s="22"/>
      <c r="FHP459" s="22"/>
      <c r="FHQ459" s="22"/>
      <c r="FHR459" s="22"/>
      <c r="FHS459" s="22"/>
      <c r="FHT459" s="22"/>
      <c r="FHU459" s="22"/>
      <c r="FHV459" s="22"/>
      <c r="FHW459" s="22"/>
      <c r="FHX459" s="22"/>
      <c r="FHY459" s="22"/>
      <c r="FHZ459" s="22"/>
      <c r="FIA459" s="22"/>
      <c r="FIB459" s="22"/>
      <c r="FIC459" s="22"/>
      <c r="FID459" s="22"/>
      <c r="FIE459" s="22"/>
      <c r="FIF459" s="22"/>
      <c r="FIG459" s="22"/>
      <c r="FIH459" s="22"/>
      <c r="FII459" s="22"/>
      <c r="FIJ459" s="22"/>
      <c r="FIK459" s="22"/>
      <c r="FIL459" s="22"/>
      <c r="FIM459" s="22"/>
      <c r="FIN459" s="22"/>
      <c r="FIO459" s="22"/>
      <c r="FIP459" s="22"/>
      <c r="FIQ459" s="22"/>
      <c r="FIR459" s="22"/>
      <c r="FIS459" s="22"/>
      <c r="FIT459" s="22"/>
      <c r="FIU459" s="22"/>
      <c r="FIV459" s="22"/>
      <c r="FIW459" s="22"/>
      <c r="FIX459" s="22"/>
      <c r="FIY459" s="22"/>
      <c r="FIZ459" s="22"/>
      <c r="FJA459" s="22"/>
      <c r="FJB459" s="22"/>
      <c r="FJC459" s="22"/>
      <c r="FJD459" s="22"/>
      <c r="FJE459" s="22"/>
      <c r="FJF459" s="22"/>
      <c r="FJG459" s="22"/>
      <c r="FJH459" s="22"/>
      <c r="FJI459" s="22"/>
      <c r="FJJ459" s="22"/>
      <c r="FJK459" s="22"/>
      <c r="FJL459" s="22"/>
      <c r="FJM459" s="22"/>
      <c r="FJN459" s="22"/>
      <c r="FJO459" s="22"/>
      <c r="FJP459" s="22"/>
      <c r="FJQ459" s="22"/>
      <c r="FJR459" s="22"/>
      <c r="FJS459" s="22"/>
      <c r="FJT459" s="22"/>
      <c r="FJU459" s="22"/>
      <c r="FJV459" s="22"/>
      <c r="FJW459" s="22"/>
      <c r="FJX459" s="22"/>
      <c r="FJY459" s="22"/>
      <c r="FJZ459" s="22"/>
      <c r="FKA459" s="22"/>
      <c r="FKB459" s="22"/>
      <c r="FKC459" s="22"/>
      <c r="FKD459" s="22"/>
      <c r="FKE459" s="22"/>
      <c r="FKF459" s="22"/>
      <c r="FKG459" s="22"/>
      <c r="FKH459" s="22"/>
      <c r="FKI459" s="22"/>
      <c r="FKJ459" s="22"/>
      <c r="FKK459" s="22"/>
      <c r="FKL459" s="22"/>
      <c r="FKM459" s="22"/>
      <c r="FKN459" s="22"/>
      <c r="FKO459" s="22"/>
      <c r="FKP459" s="22"/>
      <c r="FKQ459" s="22"/>
      <c r="FKR459" s="22"/>
      <c r="FKS459" s="22"/>
      <c r="FKT459" s="22"/>
      <c r="FKU459" s="22"/>
      <c r="FKV459" s="22"/>
      <c r="FKW459" s="22"/>
      <c r="FKX459" s="22"/>
      <c r="FKY459" s="22"/>
      <c r="FKZ459" s="22"/>
      <c r="FLA459" s="22"/>
      <c r="FLB459" s="22"/>
      <c r="FLC459" s="22"/>
      <c r="FLD459" s="22"/>
      <c r="FLE459" s="22"/>
      <c r="FLF459" s="22"/>
      <c r="FLG459" s="22"/>
      <c r="FLH459" s="22"/>
      <c r="FLI459" s="22"/>
      <c r="FLJ459" s="22"/>
      <c r="FLK459" s="22"/>
      <c r="FLL459" s="22"/>
      <c r="FLM459" s="22"/>
      <c r="FLN459" s="22"/>
      <c r="FLO459" s="22"/>
      <c r="FLP459" s="22"/>
      <c r="FLQ459" s="22"/>
      <c r="FLR459" s="22"/>
      <c r="FLS459" s="22"/>
      <c r="FLT459" s="22"/>
      <c r="FLU459" s="22"/>
      <c r="FLV459" s="22"/>
      <c r="FLW459" s="22"/>
      <c r="FLX459" s="22"/>
      <c r="FLY459" s="22"/>
      <c r="FLZ459" s="22"/>
      <c r="FMA459" s="22"/>
      <c r="FMB459" s="22"/>
      <c r="FMC459" s="22"/>
      <c r="FMD459" s="22"/>
      <c r="FME459" s="22"/>
      <c r="FMF459" s="22"/>
      <c r="FMG459" s="22"/>
      <c r="FMH459" s="22"/>
      <c r="FMI459" s="22"/>
      <c r="FMJ459" s="22"/>
      <c r="FMK459" s="22"/>
      <c r="FML459" s="22"/>
      <c r="FMM459" s="22"/>
      <c r="FMN459" s="22"/>
      <c r="FMO459" s="22"/>
      <c r="FMP459" s="22"/>
      <c r="FMQ459" s="22"/>
      <c r="FMR459" s="22"/>
      <c r="FMS459" s="22"/>
      <c r="FMT459" s="22"/>
      <c r="FMU459" s="22"/>
      <c r="FMV459" s="22"/>
      <c r="FMW459" s="22"/>
      <c r="FMX459" s="22"/>
      <c r="FMY459" s="22"/>
      <c r="FMZ459" s="22"/>
      <c r="FNA459" s="22"/>
      <c r="FNB459" s="22"/>
      <c r="FNC459" s="22"/>
      <c r="FND459" s="22"/>
      <c r="FNE459" s="22"/>
      <c r="FNF459" s="22"/>
      <c r="FNG459" s="22"/>
      <c r="FNH459" s="22"/>
      <c r="FNI459" s="22"/>
      <c r="FNJ459" s="22"/>
      <c r="FNK459" s="22"/>
      <c r="FNL459" s="22"/>
      <c r="FNM459" s="22"/>
      <c r="FNN459" s="22"/>
      <c r="FNO459" s="22"/>
      <c r="FNP459" s="22"/>
      <c r="FNQ459" s="22"/>
      <c r="FNR459" s="22"/>
      <c r="FNS459" s="22"/>
      <c r="FNT459" s="22"/>
      <c r="FNU459" s="22"/>
      <c r="FNV459" s="22"/>
      <c r="FNW459" s="22"/>
      <c r="FNX459" s="22"/>
      <c r="FNY459" s="22"/>
      <c r="FNZ459" s="22"/>
      <c r="FOA459" s="22"/>
      <c r="FOB459" s="22"/>
      <c r="FOC459" s="22"/>
      <c r="FOD459" s="22"/>
      <c r="FOE459" s="22"/>
      <c r="FOF459" s="22"/>
      <c r="FOG459" s="22"/>
      <c r="FOH459" s="22"/>
      <c r="FOI459" s="22"/>
      <c r="FOJ459" s="22"/>
      <c r="FOK459" s="22"/>
      <c r="FOL459" s="22"/>
      <c r="FOM459" s="22"/>
      <c r="FON459" s="22"/>
      <c r="FOO459" s="22"/>
      <c r="FOP459" s="22"/>
      <c r="FOQ459" s="22"/>
      <c r="FOR459" s="22"/>
      <c r="FOS459" s="22"/>
      <c r="FOT459" s="22"/>
      <c r="FOU459" s="22"/>
      <c r="FOV459" s="22"/>
      <c r="FOW459" s="22"/>
      <c r="FOX459" s="22"/>
      <c r="FOY459" s="22"/>
      <c r="FOZ459" s="22"/>
      <c r="FPA459" s="22"/>
      <c r="FPB459" s="22"/>
      <c r="FPC459" s="22"/>
      <c r="FPD459" s="22"/>
      <c r="FPE459" s="22"/>
      <c r="FPF459" s="22"/>
      <c r="FPG459" s="22"/>
      <c r="FPH459" s="22"/>
      <c r="FPI459" s="22"/>
      <c r="FPJ459" s="22"/>
      <c r="FPK459" s="22"/>
      <c r="FPL459" s="22"/>
      <c r="FPM459" s="22"/>
      <c r="FPN459" s="22"/>
      <c r="FPO459" s="22"/>
      <c r="FPP459" s="22"/>
      <c r="FPQ459" s="22"/>
      <c r="FPR459" s="22"/>
      <c r="FPS459" s="22"/>
      <c r="FPT459" s="22"/>
      <c r="FPU459" s="22"/>
      <c r="FPV459" s="22"/>
      <c r="FPW459" s="22"/>
      <c r="FPX459" s="22"/>
      <c r="FPY459" s="22"/>
      <c r="FPZ459" s="22"/>
      <c r="FQA459" s="22"/>
      <c r="FQB459" s="22"/>
      <c r="FQC459" s="22"/>
      <c r="FQD459" s="22"/>
      <c r="FQE459" s="22"/>
      <c r="FQF459" s="22"/>
      <c r="FQG459" s="22"/>
      <c r="FQH459" s="22"/>
      <c r="FQI459" s="22"/>
      <c r="FQJ459" s="22"/>
      <c r="FQK459" s="22"/>
      <c r="FQL459" s="22"/>
      <c r="FQM459" s="22"/>
      <c r="FQN459" s="22"/>
      <c r="FQO459" s="22"/>
      <c r="FQP459" s="22"/>
      <c r="FQQ459" s="22"/>
      <c r="FQR459" s="22"/>
      <c r="FQS459" s="22"/>
      <c r="FQT459" s="22"/>
      <c r="FQU459" s="22"/>
      <c r="FQV459" s="22"/>
      <c r="FQW459" s="22"/>
      <c r="FQX459" s="22"/>
      <c r="FQY459" s="22"/>
      <c r="FQZ459" s="22"/>
      <c r="FRA459" s="22"/>
      <c r="FRB459" s="22"/>
      <c r="FRC459" s="22"/>
      <c r="FRD459" s="22"/>
      <c r="FRE459" s="22"/>
      <c r="FRF459" s="22"/>
      <c r="FRG459" s="22"/>
      <c r="FRH459" s="22"/>
      <c r="FRI459" s="22"/>
      <c r="FRJ459" s="22"/>
      <c r="FRK459" s="22"/>
      <c r="FRL459" s="22"/>
      <c r="FRM459" s="22"/>
      <c r="FRN459" s="22"/>
      <c r="FRO459" s="22"/>
      <c r="FRP459" s="22"/>
      <c r="FRQ459" s="22"/>
      <c r="FRR459" s="22"/>
      <c r="FRS459" s="22"/>
      <c r="FRT459" s="22"/>
      <c r="FRU459" s="22"/>
      <c r="FRV459" s="22"/>
      <c r="FRW459" s="22"/>
      <c r="FRX459" s="22"/>
      <c r="FRY459" s="22"/>
      <c r="FRZ459" s="22"/>
      <c r="FSA459" s="22"/>
      <c r="FSB459" s="22"/>
      <c r="FSC459" s="22"/>
      <c r="FSD459" s="22"/>
      <c r="FSE459" s="22"/>
      <c r="FSF459" s="22"/>
      <c r="FSG459" s="22"/>
      <c r="FSH459" s="22"/>
      <c r="FSI459" s="22"/>
      <c r="FSJ459" s="22"/>
      <c r="FSK459" s="22"/>
      <c r="FSL459" s="22"/>
      <c r="FSM459" s="22"/>
      <c r="FSN459" s="22"/>
      <c r="FSO459" s="22"/>
      <c r="FSP459" s="22"/>
      <c r="FSQ459" s="22"/>
      <c r="FSR459" s="22"/>
      <c r="FSS459" s="22"/>
      <c r="FST459" s="22"/>
      <c r="FSU459" s="22"/>
      <c r="FSV459" s="22"/>
      <c r="FSW459" s="22"/>
      <c r="FSX459" s="22"/>
      <c r="FSY459" s="22"/>
      <c r="FSZ459" s="22"/>
      <c r="FTA459" s="22"/>
      <c r="FTB459" s="22"/>
      <c r="FTC459" s="22"/>
      <c r="FTD459" s="22"/>
      <c r="FTE459" s="22"/>
      <c r="FTF459" s="22"/>
      <c r="FTG459" s="22"/>
      <c r="FTH459" s="22"/>
      <c r="FTI459" s="22"/>
      <c r="FTJ459" s="22"/>
      <c r="FTK459" s="22"/>
      <c r="FTL459" s="22"/>
      <c r="FTM459" s="22"/>
      <c r="FTN459" s="22"/>
      <c r="FTO459" s="22"/>
      <c r="FTP459" s="22"/>
      <c r="FTQ459" s="22"/>
      <c r="FTR459" s="22"/>
      <c r="FTS459" s="22"/>
      <c r="FTT459" s="22"/>
      <c r="FTU459" s="22"/>
      <c r="FTV459" s="22"/>
      <c r="FTW459" s="22"/>
      <c r="FTX459" s="22"/>
      <c r="FTY459" s="22"/>
      <c r="FTZ459" s="22"/>
      <c r="FUA459" s="22"/>
      <c r="FUB459" s="22"/>
      <c r="FUC459" s="22"/>
      <c r="FUD459" s="22"/>
      <c r="FUE459" s="22"/>
      <c r="FUF459" s="22"/>
      <c r="FUG459" s="22"/>
      <c r="FUH459" s="22"/>
      <c r="FUI459" s="22"/>
      <c r="FUJ459" s="22"/>
      <c r="FUK459" s="22"/>
      <c r="FUL459" s="22"/>
      <c r="FUM459" s="22"/>
      <c r="FUN459" s="22"/>
      <c r="FUO459" s="22"/>
      <c r="FUP459" s="22"/>
      <c r="FUQ459" s="22"/>
      <c r="FUR459" s="22"/>
      <c r="FUS459" s="22"/>
      <c r="FUT459" s="22"/>
      <c r="FUU459" s="22"/>
      <c r="FUV459" s="22"/>
      <c r="FUW459" s="22"/>
      <c r="FUX459" s="22"/>
      <c r="FUY459" s="22"/>
      <c r="FUZ459" s="22"/>
      <c r="FVA459" s="22"/>
      <c r="FVB459" s="22"/>
      <c r="FVC459" s="22"/>
      <c r="FVD459" s="22"/>
      <c r="FVE459" s="22"/>
      <c r="FVF459" s="22"/>
      <c r="FVG459" s="22"/>
      <c r="FVH459" s="22"/>
      <c r="FVI459" s="22"/>
      <c r="FVJ459" s="22"/>
      <c r="FVK459" s="22"/>
      <c r="FVL459" s="22"/>
      <c r="FVM459" s="22"/>
      <c r="FVN459" s="22"/>
      <c r="FVO459" s="22"/>
      <c r="FVP459" s="22"/>
      <c r="FVQ459" s="22"/>
      <c r="FVR459" s="22"/>
      <c r="FVS459" s="22"/>
      <c r="FVT459" s="22"/>
      <c r="FVU459" s="22"/>
      <c r="FVV459" s="22"/>
      <c r="FVW459" s="22"/>
      <c r="FVX459" s="22"/>
      <c r="FVY459" s="22"/>
      <c r="FVZ459" s="22"/>
      <c r="FWA459" s="22"/>
      <c r="FWB459" s="22"/>
      <c r="FWC459" s="22"/>
      <c r="FWD459" s="22"/>
      <c r="FWE459" s="22"/>
      <c r="FWF459" s="22"/>
      <c r="FWG459" s="22"/>
      <c r="FWH459" s="22"/>
      <c r="FWI459" s="22"/>
      <c r="FWJ459" s="22"/>
      <c r="FWK459" s="22"/>
      <c r="FWL459" s="22"/>
      <c r="FWM459" s="22"/>
      <c r="FWN459" s="22"/>
      <c r="FWO459" s="22"/>
      <c r="FWP459" s="22"/>
      <c r="FWQ459" s="22"/>
      <c r="FWR459" s="22"/>
      <c r="FWS459" s="22"/>
      <c r="FWT459" s="22"/>
      <c r="FWU459" s="22"/>
      <c r="FWV459" s="22"/>
      <c r="FWW459" s="22"/>
      <c r="FWX459" s="22"/>
      <c r="FWY459" s="22"/>
      <c r="FWZ459" s="22"/>
      <c r="FXA459" s="22"/>
      <c r="FXB459" s="22"/>
      <c r="FXC459" s="22"/>
      <c r="FXD459" s="22"/>
      <c r="FXE459" s="22"/>
      <c r="FXF459" s="22"/>
      <c r="FXG459" s="22"/>
      <c r="FXH459" s="22"/>
      <c r="FXI459" s="22"/>
      <c r="FXJ459" s="22"/>
      <c r="FXK459" s="22"/>
      <c r="FXL459" s="22"/>
      <c r="FXM459" s="22"/>
      <c r="FXN459" s="22"/>
      <c r="FXO459" s="22"/>
      <c r="FXP459" s="22"/>
      <c r="FXQ459" s="22"/>
      <c r="FXR459" s="22"/>
      <c r="FXS459" s="22"/>
      <c r="FXT459" s="22"/>
      <c r="FXU459" s="22"/>
      <c r="FXV459" s="22"/>
      <c r="FXW459" s="22"/>
      <c r="FXX459" s="22"/>
      <c r="FXY459" s="22"/>
      <c r="FXZ459" s="22"/>
      <c r="FYA459" s="22"/>
      <c r="FYB459" s="22"/>
      <c r="FYC459" s="22"/>
      <c r="FYD459" s="22"/>
      <c r="FYE459" s="22"/>
      <c r="FYF459" s="22"/>
      <c r="FYG459" s="22"/>
      <c r="FYH459" s="22"/>
      <c r="FYI459" s="22"/>
      <c r="FYJ459" s="22"/>
      <c r="FYK459" s="22"/>
      <c r="FYL459" s="22"/>
      <c r="FYM459" s="22"/>
      <c r="FYN459" s="22"/>
      <c r="FYO459" s="22"/>
      <c r="FYP459" s="22"/>
      <c r="FYQ459" s="22"/>
      <c r="FYR459" s="22"/>
      <c r="FYS459" s="22"/>
      <c r="FYT459" s="22"/>
      <c r="FYU459" s="22"/>
      <c r="FYV459" s="22"/>
      <c r="FYW459" s="22"/>
      <c r="FYX459" s="22"/>
      <c r="FYY459" s="22"/>
      <c r="FYZ459" s="22"/>
      <c r="FZA459" s="22"/>
      <c r="FZB459" s="22"/>
      <c r="FZC459" s="22"/>
      <c r="FZD459" s="22"/>
      <c r="FZE459" s="22"/>
      <c r="FZF459" s="22"/>
      <c r="FZG459" s="22"/>
      <c r="FZH459" s="22"/>
      <c r="FZI459" s="22"/>
      <c r="FZJ459" s="22"/>
      <c r="FZK459" s="22"/>
      <c r="FZL459" s="22"/>
      <c r="FZM459" s="22"/>
      <c r="FZN459" s="22"/>
      <c r="FZO459" s="22"/>
      <c r="FZP459" s="22"/>
      <c r="FZQ459" s="22"/>
      <c r="FZR459" s="22"/>
      <c r="FZS459" s="22"/>
      <c r="FZT459" s="22"/>
      <c r="FZU459" s="22"/>
      <c r="FZV459" s="22"/>
      <c r="FZW459" s="22"/>
      <c r="FZX459" s="22"/>
      <c r="FZY459" s="22"/>
      <c r="FZZ459" s="22"/>
      <c r="GAA459" s="22"/>
      <c r="GAB459" s="22"/>
      <c r="GAC459" s="22"/>
      <c r="GAD459" s="22"/>
      <c r="GAE459" s="22"/>
      <c r="GAF459" s="22"/>
      <c r="GAG459" s="22"/>
      <c r="GAH459" s="22"/>
      <c r="GAI459" s="22"/>
      <c r="GAJ459" s="22"/>
      <c r="GAK459" s="22"/>
      <c r="GAL459" s="22"/>
      <c r="GAM459" s="22"/>
      <c r="GAN459" s="22"/>
      <c r="GAO459" s="22"/>
      <c r="GAP459" s="22"/>
      <c r="GAQ459" s="22"/>
      <c r="GAR459" s="22"/>
      <c r="GAS459" s="22"/>
      <c r="GAT459" s="22"/>
      <c r="GAU459" s="22"/>
      <c r="GAV459" s="22"/>
      <c r="GAW459" s="22"/>
      <c r="GAX459" s="22"/>
      <c r="GAY459" s="22"/>
      <c r="GAZ459" s="22"/>
      <c r="GBA459" s="22"/>
      <c r="GBB459" s="22"/>
      <c r="GBC459" s="22"/>
      <c r="GBD459" s="22"/>
      <c r="GBE459" s="22"/>
      <c r="GBF459" s="22"/>
      <c r="GBG459" s="22"/>
      <c r="GBH459" s="22"/>
      <c r="GBI459" s="22"/>
      <c r="GBJ459" s="22"/>
      <c r="GBK459" s="22"/>
      <c r="GBL459" s="22"/>
      <c r="GBM459" s="22"/>
      <c r="GBN459" s="22"/>
      <c r="GBO459" s="22"/>
      <c r="GBP459" s="22"/>
      <c r="GBQ459" s="22"/>
      <c r="GBR459" s="22"/>
      <c r="GBS459" s="22"/>
      <c r="GBT459" s="22"/>
      <c r="GBU459" s="22"/>
      <c r="GBV459" s="22"/>
      <c r="GBW459" s="22"/>
      <c r="GBX459" s="22"/>
      <c r="GBY459" s="22"/>
      <c r="GBZ459" s="22"/>
      <c r="GCA459" s="22"/>
      <c r="GCB459" s="22"/>
      <c r="GCC459" s="22"/>
      <c r="GCD459" s="22"/>
      <c r="GCE459" s="22"/>
      <c r="GCF459" s="22"/>
      <c r="GCG459" s="22"/>
      <c r="GCH459" s="22"/>
      <c r="GCI459" s="22"/>
      <c r="GCJ459" s="22"/>
      <c r="GCK459" s="22"/>
      <c r="GCL459" s="22"/>
      <c r="GCM459" s="22"/>
      <c r="GCN459" s="22"/>
      <c r="GCO459" s="22"/>
      <c r="GCP459" s="22"/>
      <c r="GCQ459" s="22"/>
      <c r="GCR459" s="22"/>
      <c r="GCS459" s="22"/>
      <c r="GCT459" s="22"/>
      <c r="GCU459" s="22"/>
      <c r="GCV459" s="22"/>
      <c r="GCW459" s="22"/>
      <c r="GCX459" s="22"/>
      <c r="GCY459" s="22"/>
      <c r="GCZ459" s="22"/>
      <c r="GDA459" s="22"/>
      <c r="GDB459" s="22"/>
      <c r="GDC459" s="22"/>
      <c r="GDD459" s="22"/>
      <c r="GDE459" s="22"/>
      <c r="GDF459" s="22"/>
      <c r="GDG459" s="22"/>
      <c r="GDH459" s="22"/>
      <c r="GDI459" s="22"/>
      <c r="GDJ459" s="22"/>
      <c r="GDK459" s="22"/>
      <c r="GDL459" s="22"/>
      <c r="GDM459" s="22"/>
      <c r="GDN459" s="22"/>
      <c r="GDO459" s="22"/>
      <c r="GDP459" s="22"/>
      <c r="GDQ459" s="22"/>
      <c r="GDR459" s="22"/>
      <c r="GDS459" s="22"/>
      <c r="GDT459" s="22"/>
      <c r="GDU459" s="22"/>
      <c r="GDV459" s="22"/>
      <c r="GDW459" s="22"/>
      <c r="GDX459" s="22"/>
      <c r="GDY459" s="22"/>
      <c r="GDZ459" s="22"/>
      <c r="GEA459" s="22"/>
      <c r="GEB459" s="22"/>
      <c r="GEC459" s="22"/>
      <c r="GED459" s="22"/>
      <c r="GEE459" s="22"/>
      <c r="GEF459" s="22"/>
      <c r="GEG459" s="22"/>
      <c r="GEH459" s="22"/>
      <c r="GEI459" s="22"/>
      <c r="GEJ459" s="22"/>
      <c r="GEK459" s="22"/>
      <c r="GEL459" s="22"/>
      <c r="GEM459" s="22"/>
      <c r="GEN459" s="22"/>
      <c r="GEO459" s="22"/>
      <c r="GEP459" s="22"/>
      <c r="GEQ459" s="22"/>
      <c r="GER459" s="22"/>
      <c r="GES459" s="22"/>
      <c r="GET459" s="22"/>
      <c r="GEU459" s="22"/>
      <c r="GEV459" s="22"/>
      <c r="GEW459" s="22"/>
      <c r="GEX459" s="22"/>
      <c r="GEY459" s="22"/>
      <c r="GEZ459" s="22"/>
      <c r="GFA459" s="22"/>
      <c r="GFB459" s="22"/>
      <c r="GFC459" s="22"/>
      <c r="GFD459" s="22"/>
      <c r="GFE459" s="22"/>
      <c r="GFF459" s="22"/>
      <c r="GFG459" s="22"/>
      <c r="GFH459" s="22"/>
      <c r="GFI459" s="22"/>
      <c r="GFJ459" s="22"/>
      <c r="GFK459" s="22"/>
      <c r="GFL459" s="22"/>
      <c r="GFM459" s="22"/>
      <c r="GFN459" s="22"/>
      <c r="GFO459" s="22"/>
      <c r="GFP459" s="22"/>
      <c r="GFQ459" s="22"/>
      <c r="GFR459" s="22"/>
      <c r="GFS459" s="22"/>
      <c r="GFT459" s="22"/>
      <c r="GFU459" s="22"/>
      <c r="GFV459" s="22"/>
      <c r="GFW459" s="22"/>
      <c r="GFX459" s="22"/>
      <c r="GFY459" s="22"/>
      <c r="GFZ459" s="22"/>
      <c r="GGA459" s="22"/>
      <c r="GGB459" s="22"/>
      <c r="GGC459" s="22"/>
      <c r="GGD459" s="22"/>
      <c r="GGE459" s="22"/>
      <c r="GGF459" s="22"/>
      <c r="GGG459" s="22"/>
      <c r="GGH459" s="22"/>
      <c r="GGI459" s="22"/>
      <c r="GGJ459" s="22"/>
      <c r="GGK459" s="22"/>
      <c r="GGL459" s="22"/>
      <c r="GGM459" s="22"/>
      <c r="GGN459" s="22"/>
      <c r="GGO459" s="22"/>
      <c r="GGP459" s="22"/>
      <c r="GGQ459" s="22"/>
      <c r="GGR459" s="22"/>
      <c r="GGS459" s="22"/>
      <c r="GGT459" s="22"/>
      <c r="GGU459" s="22"/>
      <c r="GGV459" s="22"/>
      <c r="GGW459" s="22"/>
      <c r="GGX459" s="22"/>
      <c r="GGY459" s="22"/>
      <c r="GGZ459" s="22"/>
      <c r="GHA459" s="22"/>
      <c r="GHB459" s="22"/>
      <c r="GHC459" s="22"/>
      <c r="GHD459" s="22"/>
      <c r="GHE459" s="22"/>
      <c r="GHF459" s="22"/>
      <c r="GHG459" s="22"/>
      <c r="GHH459" s="22"/>
      <c r="GHI459" s="22"/>
      <c r="GHJ459" s="22"/>
      <c r="GHK459" s="22"/>
      <c r="GHL459" s="22"/>
      <c r="GHM459" s="22"/>
      <c r="GHN459" s="22"/>
      <c r="GHO459" s="22"/>
      <c r="GHP459" s="22"/>
      <c r="GHQ459" s="22"/>
      <c r="GHR459" s="22"/>
      <c r="GHS459" s="22"/>
      <c r="GHT459" s="22"/>
      <c r="GHU459" s="22"/>
      <c r="GHV459" s="22"/>
      <c r="GHW459" s="22"/>
      <c r="GHX459" s="22"/>
      <c r="GHY459" s="22"/>
      <c r="GHZ459" s="22"/>
      <c r="GIA459" s="22"/>
      <c r="GIB459" s="22"/>
      <c r="GIC459" s="22"/>
      <c r="GID459" s="22"/>
      <c r="GIE459" s="22"/>
      <c r="GIF459" s="22"/>
      <c r="GIG459" s="22"/>
      <c r="GIH459" s="22"/>
      <c r="GII459" s="22"/>
      <c r="GIJ459" s="22"/>
      <c r="GIK459" s="22"/>
      <c r="GIL459" s="22"/>
      <c r="GIM459" s="22"/>
      <c r="GIN459" s="22"/>
      <c r="GIO459" s="22"/>
      <c r="GIP459" s="22"/>
      <c r="GIQ459" s="22"/>
      <c r="GIR459" s="22"/>
      <c r="GIS459" s="22"/>
      <c r="GIT459" s="22"/>
      <c r="GIU459" s="22"/>
      <c r="GIV459" s="22"/>
      <c r="GIW459" s="22"/>
      <c r="GIX459" s="22"/>
      <c r="GIY459" s="22"/>
      <c r="GIZ459" s="22"/>
      <c r="GJA459" s="22"/>
      <c r="GJB459" s="22"/>
      <c r="GJC459" s="22"/>
      <c r="GJD459" s="22"/>
      <c r="GJE459" s="22"/>
      <c r="GJF459" s="22"/>
      <c r="GJG459" s="22"/>
      <c r="GJH459" s="22"/>
      <c r="GJI459" s="22"/>
      <c r="GJJ459" s="22"/>
      <c r="GJK459" s="22"/>
      <c r="GJL459" s="22"/>
      <c r="GJM459" s="22"/>
      <c r="GJN459" s="22"/>
      <c r="GJO459" s="22"/>
      <c r="GJP459" s="22"/>
      <c r="GJQ459" s="22"/>
      <c r="GJR459" s="22"/>
      <c r="GJS459" s="22"/>
      <c r="GJT459" s="22"/>
      <c r="GJU459" s="22"/>
      <c r="GJV459" s="22"/>
      <c r="GJW459" s="22"/>
      <c r="GJX459" s="22"/>
      <c r="GJY459" s="22"/>
      <c r="GJZ459" s="22"/>
      <c r="GKA459" s="22"/>
      <c r="GKB459" s="22"/>
      <c r="GKC459" s="22"/>
      <c r="GKD459" s="22"/>
      <c r="GKE459" s="22"/>
      <c r="GKF459" s="22"/>
      <c r="GKG459" s="22"/>
      <c r="GKH459" s="22"/>
      <c r="GKI459" s="22"/>
      <c r="GKJ459" s="22"/>
      <c r="GKK459" s="22"/>
      <c r="GKL459" s="22"/>
      <c r="GKM459" s="22"/>
      <c r="GKN459" s="22"/>
      <c r="GKO459" s="22"/>
      <c r="GKP459" s="22"/>
      <c r="GKQ459" s="22"/>
      <c r="GKR459" s="22"/>
      <c r="GKS459" s="22"/>
      <c r="GKT459" s="22"/>
      <c r="GKU459" s="22"/>
      <c r="GKV459" s="22"/>
      <c r="GKW459" s="22"/>
      <c r="GKX459" s="22"/>
      <c r="GKY459" s="22"/>
      <c r="GKZ459" s="22"/>
      <c r="GLA459" s="22"/>
      <c r="GLB459" s="22"/>
      <c r="GLC459" s="22"/>
      <c r="GLD459" s="22"/>
      <c r="GLE459" s="22"/>
      <c r="GLF459" s="22"/>
      <c r="GLG459" s="22"/>
      <c r="GLH459" s="22"/>
      <c r="GLI459" s="22"/>
      <c r="GLJ459" s="22"/>
      <c r="GLK459" s="22"/>
      <c r="GLL459" s="22"/>
      <c r="GLM459" s="22"/>
      <c r="GLN459" s="22"/>
      <c r="GLO459" s="22"/>
      <c r="GLP459" s="22"/>
      <c r="GLQ459" s="22"/>
      <c r="GLR459" s="22"/>
      <c r="GLS459" s="22"/>
      <c r="GLT459" s="22"/>
      <c r="GLU459" s="22"/>
      <c r="GLV459" s="22"/>
      <c r="GLW459" s="22"/>
      <c r="GLX459" s="22"/>
      <c r="GLY459" s="22"/>
      <c r="GLZ459" s="22"/>
      <c r="GMA459" s="22"/>
      <c r="GMB459" s="22"/>
      <c r="GMC459" s="22"/>
      <c r="GMD459" s="22"/>
      <c r="GME459" s="22"/>
      <c r="GMF459" s="22"/>
      <c r="GMG459" s="22"/>
      <c r="GMH459" s="22"/>
      <c r="GMI459" s="22"/>
      <c r="GMJ459" s="22"/>
      <c r="GMK459" s="22"/>
      <c r="GML459" s="22"/>
      <c r="GMM459" s="22"/>
      <c r="GMN459" s="22"/>
      <c r="GMO459" s="22"/>
      <c r="GMP459" s="22"/>
      <c r="GMQ459" s="22"/>
      <c r="GMR459" s="22"/>
      <c r="GMS459" s="22"/>
      <c r="GMT459" s="22"/>
      <c r="GMU459" s="22"/>
      <c r="GMV459" s="22"/>
      <c r="GMW459" s="22"/>
      <c r="GMX459" s="22"/>
      <c r="GMY459" s="22"/>
      <c r="GMZ459" s="22"/>
      <c r="GNA459" s="22"/>
      <c r="GNB459" s="22"/>
      <c r="GNC459" s="22"/>
      <c r="GND459" s="22"/>
      <c r="GNE459" s="22"/>
      <c r="GNF459" s="22"/>
      <c r="GNG459" s="22"/>
      <c r="GNH459" s="22"/>
      <c r="GNI459" s="22"/>
      <c r="GNJ459" s="22"/>
      <c r="GNK459" s="22"/>
      <c r="GNL459" s="22"/>
      <c r="GNM459" s="22"/>
      <c r="GNN459" s="22"/>
      <c r="GNO459" s="22"/>
      <c r="GNP459" s="22"/>
      <c r="GNQ459" s="22"/>
      <c r="GNR459" s="22"/>
      <c r="GNS459" s="22"/>
      <c r="GNT459" s="22"/>
      <c r="GNU459" s="22"/>
      <c r="GNV459" s="22"/>
      <c r="GNW459" s="22"/>
      <c r="GNX459" s="22"/>
      <c r="GNY459" s="22"/>
      <c r="GNZ459" s="22"/>
      <c r="GOA459" s="22"/>
      <c r="GOB459" s="22"/>
      <c r="GOC459" s="22"/>
      <c r="GOD459" s="22"/>
      <c r="GOE459" s="22"/>
      <c r="GOF459" s="22"/>
      <c r="GOG459" s="22"/>
      <c r="GOH459" s="22"/>
      <c r="GOI459" s="22"/>
      <c r="GOJ459" s="22"/>
      <c r="GOK459" s="22"/>
      <c r="GOL459" s="22"/>
      <c r="GOM459" s="22"/>
      <c r="GON459" s="22"/>
      <c r="GOO459" s="22"/>
      <c r="GOP459" s="22"/>
      <c r="GOQ459" s="22"/>
      <c r="GOR459" s="22"/>
      <c r="GOS459" s="22"/>
      <c r="GOT459" s="22"/>
      <c r="GOU459" s="22"/>
      <c r="GOV459" s="22"/>
      <c r="GOW459" s="22"/>
      <c r="GOX459" s="22"/>
      <c r="GOY459" s="22"/>
      <c r="GOZ459" s="22"/>
      <c r="GPA459" s="22"/>
      <c r="GPB459" s="22"/>
      <c r="GPC459" s="22"/>
      <c r="GPD459" s="22"/>
      <c r="GPE459" s="22"/>
      <c r="GPF459" s="22"/>
      <c r="GPG459" s="22"/>
      <c r="GPH459" s="22"/>
      <c r="GPI459" s="22"/>
      <c r="GPJ459" s="22"/>
      <c r="GPK459" s="22"/>
      <c r="GPL459" s="22"/>
      <c r="GPM459" s="22"/>
      <c r="GPN459" s="22"/>
      <c r="GPO459" s="22"/>
      <c r="GPP459" s="22"/>
      <c r="GPQ459" s="22"/>
      <c r="GPR459" s="22"/>
      <c r="GPS459" s="22"/>
      <c r="GPT459" s="22"/>
      <c r="GPU459" s="22"/>
      <c r="GPV459" s="22"/>
      <c r="GPW459" s="22"/>
      <c r="GPX459" s="22"/>
      <c r="GPY459" s="22"/>
      <c r="GPZ459" s="22"/>
      <c r="GQA459" s="22"/>
      <c r="GQB459" s="22"/>
      <c r="GQC459" s="22"/>
      <c r="GQD459" s="22"/>
      <c r="GQE459" s="22"/>
      <c r="GQF459" s="22"/>
      <c r="GQG459" s="22"/>
      <c r="GQH459" s="22"/>
      <c r="GQI459" s="22"/>
      <c r="GQJ459" s="22"/>
      <c r="GQK459" s="22"/>
      <c r="GQL459" s="22"/>
      <c r="GQM459" s="22"/>
      <c r="GQN459" s="22"/>
      <c r="GQO459" s="22"/>
      <c r="GQP459" s="22"/>
      <c r="GQQ459" s="22"/>
      <c r="GQR459" s="22"/>
      <c r="GQS459" s="22"/>
      <c r="GQT459" s="22"/>
      <c r="GQU459" s="22"/>
      <c r="GQV459" s="22"/>
      <c r="GQW459" s="22"/>
      <c r="GQX459" s="22"/>
      <c r="GQY459" s="22"/>
      <c r="GQZ459" s="22"/>
      <c r="GRA459" s="22"/>
      <c r="GRB459" s="22"/>
      <c r="GRC459" s="22"/>
      <c r="GRD459" s="22"/>
      <c r="GRE459" s="22"/>
      <c r="GRF459" s="22"/>
      <c r="GRG459" s="22"/>
      <c r="GRH459" s="22"/>
      <c r="GRI459" s="22"/>
      <c r="GRJ459" s="22"/>
      <c r="GRK459" s="22"/>
      <c r="GRL459" s="22"/>
      <c r="GRM459" s="22"/>
      <c r="GRN459" s="22"/>
      <c r="GRO459" s="22"/>
      <c r="GRP459" s="22"/>
      <c r="GRQ459" s="22"/>
      <c r="GRR459" s="22"/>
      <c r="GRS459" s="22"/>
      <c r="GRT459" s="22"/>
      <c r="GRU459" s="22"/>
      <c r="GRV459" s="22"/>
      <c r="GRW459" s="22"/>
      <c r="GRX459" s="22"/>
      <c r="GRY459" s="22"/>
      <c r="GRZ459" s="22"/>
      <c r="GSA459" s="22"/>
      <c r="GSB459" s="22"/>
      <c r="GSC459" s="22"/>
      <c r="GSD459" s="22"/>
      <c r="GSE459" s="22"/>
      <c r="GSF459" s="22"/>
      <c r="GSG459" s="22"/>
      <c r="GSH459" s="22"/>
      <c r="GSI459" s="22"/>
      <c r="GSJ459" s="22"/>
      <c r="GSK459" s="22"/>
      <c r="GSL459" s="22"/>
      <c r="GSM459" s="22"/>
      <c r="GSN459" s="22"/>
      <c r="GSO459" s="22"/>
      <c r="GSP459" s="22"/>
      <c r="GSQ459" s="22"/>
      <c r="GSR459" s="22"/>
      <c r="GSS459" s="22"/>
      <c r="GST459" s="22"/>
      <c r="GSU459" s="22"/>
      <c r="GSV459" s="22"/>
      <c r="GSW459" s="22"/>
      <c r="GSX459" s="22"/>
      <c r="GSY459" s="22"/>
      <c r="GSZ459" s="22"/>
      <c r="GTA459" s="22"/>
      <c r="GTB459" s="22"/>
      <c r="GTC459" s="22"/>
      <c r="GTD459" s="22"/>
      <c r="GTE459" s="22"/>
      <c r="GTF459" s="22"/>
      <c r="GTG459" s="22"/>
      <c r="GTH459" s="22"/>
      <c r="GTI459" s="22"/>
      <c r="GTJ459" s="22"/>
      <c r="GTK459" s="22"/>
      <c r="GTL459" s="22"/>
      <c r="GTM459" s="22"/>
      <c r="GTN459" s="22"/>
      <c r="GTO459" s="22"/>
      <c r="GTP459" s="22"/>
      <c r="GTQ459" s="22"/>
      <c r="GTR459" s="22"/>
      <c r="GTS459" s="22"/>
      <c r="GTT459" s="22"/>
      <c r="GTU459" s="22"/>
      <c r="GTV459" s="22"/>
      <c r="GTW459" s="22"/>
      <c r="GTX459" s="22"/>
      <c r="GTY459" s="22"/>
      <c r="GTZ459" s="22"/>
      <c r="GUA459" s="22"/>
      <c r="GUB459" s="22"/>
      <c r="GUC459" s="22"/>
      <c r="GUD459" s="22"/>
      <c r="GUE459" s="22"/>
      <c r="GUF459" s="22"/>
      <c r="GUG459" s="22"/>
      <c r="GUH459" s="22"/>
      <c r="GUI459" s="22"/>
      <c r="GUJ459" s="22"/>
      <c r="GUK459" s="22"/>
      <c r="GUL459" s="22"/>
      <c r="GUM459" s="22"/>
      <c r="GUN459" s="22"/>
      <c r="GUO459" s="22"/>
      <c r="GUP459" s="22"/>
      <c r="GUQ459" s="22"/>
      <c r="GUR459" s="22"/>
      <c r="GUS459" s="22"/>
      <c r="GUT459" s="22"/>
      <c r="GUU459" s="22"/>
      <c r="GUV459" s="22"/>
      <c r="GUW459" s="22"/>
      <c r="GUX459" s="22"/>
      <c r="GUY459" s="22"/>
      <c r="GUZ459" s="22"/>
      <c r="GVA459" s="22"/>
      <c r="GVB459" s="22"/>
      <c r="GVC459" s="22"/>
      <c r="GVD459" s="22"/>
      <c r="GVE459" s="22"/>
      <c r="GVF459" s="22"/>
      <c r="GVG459" s="22"/>
      <c r="GVH459" s="22"/>
      <c r="GVI459" s="22"/>
      <c r="GVJ459" s="22"/>
      <c r="GVK459" s="22"/>
      <c r="GVL459" s="22"/>
      <c r="GVM459" s="22"/>
      <c r="GVN459" s="22"/>
      <c r="GVO459" s="22"/>
      <c r="GVP459" s="22"/>
      <c r="GVQ459" s="22"/>
      <c r="GVR459" s="22"/>
      <c r="GVS459" s="22"/>
      <c r="GVT459" s="22"/>
      <c r="GVU459" s="22"/>
      <c r="GVV459" s="22"/>
      <c r="GVW459" s="22"/>
      <c r="GVX459" s="22"/>
      <c r="GVY459" s="22"/>
      <c r="GVZ459" s="22"/>
      <c r="GWA459" s="22"/>
      <c r="GWB459" s="22"/>
      <c r="GWC459" s="22"/>
      <c r="GWD459" s="22"/>
      <c r="GWE459" s="22"/>
      <c r="GWF459" s="22"/>
      <c r="GWG459" s="22"/>
      <c r="GWH459" s="22"/>
      <c r="GWI459" s="22"/>
      <c r="GWJ459" s="22"/>
      <c r="GWK459" s="22"/>
      <c r="GWL459" s="22"/>
      <c r="GWM459" s="22"/>
      <c r="GWN459" s="22"/>
      <c r="GWO459" s="22"/>
      <c r="GWP459" s="22"/>
      <c r="GWQ459" s="22"/>
      <c r="GWR459" s="22"/>
      <c r="GWS459" s="22"/>
      <c r="GWT459" s="22"/>
      <c r="GWU459" s="22"/>
      <c r="GWV459" s="22"/>
      <c r="GWW459" s="22"/>
      <c r="GWX459" s="22"/>
      <c r="GWY459" s="22"/>
      <c r="GWZ459" s="22"/>
      <c r="GXA459" s="22"/>
      <c r="GXB459" s="22"/>
      <c r="GXC459" s="22"/>
      <c r="GXD459" s="22"/>
      <c r="GXE459" s="22"/>
      <c r="GXF459" s="22"/>
      <c r="GXG459" s="22"/>
      <c r="GXH459" s="22"/>
      <c r="GXI459" s="22"/>
      <c r="GXJ459" s="22"/>
      <c r="GXK459" s="22"/>
      <c r="GXL459" s="22"/>
      <c r="GXM459" s="22"/>
      <c r="GXN459" s="22"/>
      <c r="GXO459" s="22"/>
      <c r="GXP459" s="22"/>
      <c r="GXQ459" s="22"/>
      <c r="GXR459" s="22"/>
      <c r="GXS459" s="22"/>
      <c r="GXT459" s="22"/>
      <c r="GXU459" s="22"/>
      <c r="GXV459" s="22"/>
      <c r="GXW459" s="22"/>
      <c r="GXX459" s="22"/>
      <c r="GXY459" s="22"/>
      <c r="GXZ459" s="22"/>
      <c r="GYA459" s="22"/>
      <c r="GYB459" s="22"/>
      <c r="GYC459" s="22"/>
      <c r="GYD459" s="22"/>
      <c r="GYE459" s="22"/>
      <c r="GYF459" s="22"/>
      <c r="GYG459" s="22"/>
      <c r="GYH459" s="22"/>
      <c r="GYI459" s="22"/>
      <c r="GYJ459" s="22"/>
      <c r="GYK459" s="22"/>
      <c r="GYL459" s="22"/>
      <c r="GYM459" s="22"/>
      <c r="GYN459" s="22"/>
      <c r="GYO459" s="22"/>
      <c r="GYP459" s="22"/>
      <c r="GYQ459" s="22"/>
      <c r="GYR459" s="22"/>
      <c r="GYS459" s="22"/>
      <c r="GYT459" s="22"/>
      <c r="GYU459" s="22"/>
      <c r="GYV459" s="22"/>
      <c r="GYW459" s="22"/>
      <c r="GYX459" s="22"/>
      <c r="GYY459" s="22"/>
      <c r="GYZ459" s="22"/>
      <c r="GZA459" s="22"/>
      <c r="GZB459" s="22"/>
      <c r="GZC459" s="22"/>
      <c r="GZD459" s="22"/>
      <c r="GZE459" s="22"/>
      <c r="GZF459" s="22"/>
      <c r="GZG459" s="22"/>
      <c r="GZH459" s="22"/>
      <c r="GZI459" s="22"/>
      <c r="GZJ459" s="22"/>
      <c r="GZK459" s="22"/>
      <c r="GZL459" s="22"/>
      <c r="GZM459" s="22"/>
      <c r="GZN459" s="22"/>
      <c r="GZO459" s="22"/>
      <c r="GZP459" s="22"/>
      <c r="GZQ459" s="22"/>
      <c r="GZR459" s="22"/>
      <c r="GZS459" s="22"/>
      <c r="GZT459" s="22"/>
      <c r="GZU459" s="22"/>
      <c r="GZV459" s="22"/>
      <c r="GZW459" s="22"/>
      <c r="GZX459" s="22"/>
      <c r="GZY459" s="22"/>
      <c r="GZZ459" s="22"/>
      <c r="HAA459" s="22"/>
      <c r="HAB459" s="22"/>
      <c r="HAC459" s="22"/>
      <c r="HAD459" s="22"/>
      <c r="HAE459" s="22"/>
      <c r="HAF459" s="22"/>
      <c r="HAG459" s="22"/>
      <c r="HAH459" s="22"/>
      <c r="HAI459" s="22"/>
      <c r="HAJ459" s="22"/>
      <c r="HAK459" s="22"/>
      <c r="HAL459" s="22"/>
      <c r="HAM459" s="22"/>
      <c r="HAN459" s="22"/>
      <c r="HAO459" s="22"/>
      <c r="HAP459" s="22"/>
      <c r="HAQ459" s="22"/>
      <c r="HAR459" s="22"/>
      <c r="HAS459" s="22"/>
      <c r="HAT459" s="22"/>
      <c r="HAU459" s="22"/>
      <c r="HAV459" s="22"/>
      <c r="HAW459" s="22"/>
      <c r="HAX459" s="22"/>
      <c r="HAY459" s="22"/>
      <c r="HAZ459" s="22"/>
      <c r="HBA459" s="22"/>
      <c r="HBB459" s="22"/>
      <c r="HBC459" s="22"/>
      <c r="HBD459" s="22"/>
      <c r="HBE459" s="22"/>
      <c r="HBF459" s="22"/>
      <c r="HBG459" s="22"/>
      <c r="HBH459" s="22"/>
      <c r="HBI459" s="22"/>
      <c r="HBJ459" s="22"/>
      <c r="HBK459" s="22"/>
      <c r="HBL459" s="22"/>
      <c r="HBM459" s="22"/>
      <c r="HBN459" s="22"/>
      <c r="HBO459" s="22"/>
      <c r="HBP459" s="22"/>
      <c r="HBQ459" s="22"/>
      <c r="HBR459" s="22"/>
      <c r="HBS459" s="22"/>
      <c r="HBT459" s="22"/>
      <c r="HBU459" s="22"/>
      <c r="HBV459" s="22"/>
      <c r="HBW459" s="22"/>
      <c r="HBX459" s="22"/>
      <c r="HBY459" s="22"/>
      <c r="HBZ459" s="22"/>
      <c r="HCA459" s="22"/>
      <c r="HCB459" s="22"/>
      <c r="HCC459" s="22"/>
      <c r="HCD459" s="22"/>
      <c r="HCE459" s="22"/>
      <c r="HCF459" s="22"/>
      <c r="HCG459" s="22"/>
      <c r="HCH459" s="22"/>
      <c r="HCI459" s="22"/>
      <c r="HCJ459" s="22"/>
      <c r="HCK459" s="22"/>
      <c r="HCL459" s="22"/>
      <c r="HCM459" s="22"/>
      <c r="HCN459" s="22"/>
      <c r="HCO459" s="22"/>
      <c r="HCP459" s="22"/>
      <c r="HCQ459" s="22"/>
      <c r="HCR459" s="22"/>
      <c r="HCS459" s="22"/>
      <c r="HCT459" s="22"/>
      <c r="HCU459" s="22"/>
      <c r="HCV459" s="22"/>
      <c r="HCW459" s="22"/>
      <c r="HCX459" s="22"/>
      <c r="HCY459" s="22"/>
      <c r="HCZ459" s="22"/>
      <c r="HDA459" s="22"/>
      <c r="HDB459" s="22"/>
      <c r="HDC459" s="22"/>
      <c r="HDD459" s="22"/>
      <c r="HDE459" s="22"/>
      <c r="HDF459" s="22"/>
      <c r="HDG459" s="22"/>
      <c r="HDH459" s="22"/>
      <c r="HDI459" s="22"/>
      <c r="HDJ459" s="22"/>
      <c r="HDK459" s="22"/>
      <c r="HDL459" s="22"/>
      <c r="HDM459" s="22"/>
      <c r="HDN459" s="22"/>
      <c r="HDO459" s="22"/>
      <c r="HDP459" s="22"/>
      <c r="HDQ459" s="22"/>
      <c r="HDR459" s="22"/>
      <c r="HDS459" s="22"/>
      <c r="HDT459" s="22"/>
      <c r="HDU459" s="22"/>
      <c r="HDV459" s="22"/>
      <c r="HDW459" s="22"/>
      <c r="HDX459" s="22"/>
      <c r="HDY459" s="22"/>
      <c r="HDZ459" s="22"/>
      <c r="HEA459" s="22"/>
      <c r="HEB459" s="22"/>
      <c r="HEC459" s="22"/>
      <c r="HED459" s="22"/>
      <c r="HEE459" s="22"/>
      <c r="HEF459" s="22"/>
      <c r="HEG459" s="22"/>
      <c r="HEH459" s="22"/>
      <c r="HEI459" s="22"/>
      <c r="HEJ459" s="22"/>
      <c r="HEK459" s="22"/>
      <c r="HEL459" s="22"/>
      <c r="HEM459" s="22"/>
      <c r="HEN459" s="22"/>
      <c r="HEO459" s="22"/>
      <c r="HEP459" s="22"/>
      <c r="HEQ459" s="22"/>
      <c r="HER459" s="22"/>
      <c r="HES459" s="22"/>
      <c r="HET459" s="22"/>
      <c r="HEU459" s="22"/>
      <c r="HEV459" s="22"/>
      <c r="HEW459" s="22"/>
      <c r="HEX459" s="22"/>
      <c r="HEY459" s="22"/>
      <c r="HEZ459" s="22"/>
      <c r="HFA459" s="22"/>
      <c r="HFB459" s="22"/>
      <c r="HFC459" s="22"/>
      <c r="HFD459" s="22"/>
      <c r="HFE459" s="22"/>
      <c r="HFF459" s="22"/>
      <c r="HFG459" s="22"/>
      <c r="HFH459" s="22"/>
      <c r="HFI459" s="22"/>
      <c r="HFJ459" s="22"/>
      <c r="HFK459" s="22"/>
      <c r="HFL459" s="22"/>
      <c r="HFM459" s="22"/>
      <c r="HFN459" s="22"/>
      <c r="HFO459" s="22"/>
      <c r="HFP459" s="22"/>
      <c r="HFQ459" s="22"/>
      <c r="HFR459" s="22"/>
      <c r="HFS459" s="22"/>
      <c r="HFT459" s="22"/>
      <c r="HFU459" s="22"/>
      <c r="HFV459" s="22"/>
      <c r="HFW459" s="22"/>
      <c r="HFX459" s="22"/>
      <c r="HFY459" s="22"/>
      <c r="HFZ459" s="22"/>
      <c r="HGA459" s="22"/>
      <c r="HGB459" s="22"/>
      <c r="HGC459" s="22"/>
      <c r="HGD459" s="22"/>
      <c r="HGE459" s="22"/>
      <c r="HGF459" s="22"/>
      <c r="HGG459" s="22"/>
      <c r="HGH459" s="22"/>
      <c r="HGI459" s="22"/>
      <c r="HGJ459" s="22"/>
      <c r="HGK459" s="22"/>
      <c r="HGL459" s="22"/>
      <c r="HGM459" s="22"/>
      <c r="HGN459" s="22"/>
      <c r="HGO459" s="22"/>
      <c r="HGP459" s="22"/>
      <c r="HGQ459" s="22"/>
      <c r="HGR459" s="22"/>
      <c r="HGS459" s="22"/>
      <c r="HGT459" s="22"/>
      <c r="HGU459" s="22"/>
      <c r="HGV459" s="22"/>
      <c r="HGW459" s="22"/>
      <c r="HGX459" s="22"/>
      <c r="HGY459" s="22"/>
      <c r="HGZ459" s="22"/>
      <c r="HHA459" s="22"/>
      <c r="HHB459" s="22"/>
      <c r="HHC459" s="22"/>
      <c r="HHD459" s="22"/>
      <c r="HHE459" s="22"/>
      <c r="HHF459" s="22"/>
      <c r="HHG459" s="22"/>
      <c r="HHH459" s="22"/>
      <c r="HHI459" s="22"/>
      <c r="HHJ459" s="22"/>
      <c r="HHK459" s="22"/>
      <c r="HHL459" s="22"/>
      <c r="HHM459" s="22"/>
      <c r="HHN459" s="22"/>
      <c r="HHO459" s="22"/>
      <c r="HHP459" s="22"/>
      <c r="HHQ459" s="22"/>
      <c r="HHR459" s="22"/>
      <c r="HHS459" s="22"/>
      <c r="HHT459" s="22"/>
      <c r="HHU459" s="22"/>
      <c r="HHV459" s="22"/>
      <c r="HHW459" s="22"/>
      <c r="HHX459" s="22"/>
      <c r="HHY459" s="22"/>
      <c r="HHZ459" s="22"/>
      <c r="HIA459" s="22"/>
      <c r="HIB459" s="22"/>
      <c r="HIC459" s="22"/>
      <c r="HID459" s="22"/>
      <c r="HIE459" s="22"/>
      <c r="HIF459" s="22"/>
      <c r="HIG459" s="22"/>
      <c r="HIH459" s="22"/>
      <c r="HII459" s="22"/>
      <c r="HIJ459" s="22"/>
      <c r="HIK459" s="22"/>
      <c r="HIL459" s="22"/>
      <c r="HIM459" s="22"/>
      <c r="HIN459" s="22"/>
      <c r="HIO459" s="22"/>
      <c r="HIP459" s="22"/>
      <c r="HIQ459" s="22"/>
      <c r="HIR459" s="22"/>
      <c r="HIS459" s="22"/>
      <c r="HIT459" s="22"/>
      <c r="HIU459" s="22"/>
      <c r="HIV459" s="22"/>
      <c r="HIW459" s="22"/>
      <c r="HIX459" s="22"/>
      <c r="HIY459" s="22"/>
      <c r="HIZ459" s="22"/>
      <c r="HJA459" s="22"/>
      <c r="HJB459" s="22"/>
      <c r="HJC459" s="22"/>
      <c r="HJD459" s="22"/>
      <c r="HJE459" s="22"/>
      <c r="HJF459" s="22"/>
      <c r="HJG459" s="22"/>
      <c r="HJH459" s="22"/>
      <c r="HJI459" s="22"/>
      <c r="HJJ459" s="22"/>
      <c r="HJK459" s="22"/>
      <c r="HJL459" s="22"/>
      <c r="HJM459" s="22"/>
      <c r="HJN459" s="22"/>
      <c r="HJO459" s="22"/>
      <c r="HJP459" s="22"/>
      <c r="HJQ459" s="22"/>
      <c r="HJR459" s="22"/>
      <c r="HJS459" s="22"/>
      <c r="HJT459" s="22"/>
      <c r="HJU459" s="22"/>
      <c r="HJV459" s="22"/>
      <c r="HJW459" s="22"/>
      <c r="HJX459" s="22"/>
      <c r="HJY459" s="22"/>
      <c r="HJZ459" s="22"/>
      <c r="HKA459" s="22"/>
      <c r="HKB459" s="22"/>
      <c r="HKC459" s="22"/>
      <c r="HKD459" s="22"/>
      <c r="HKE459" s="22"/>
      <c r="HKF459" s="22"/>
      <c r="HKG459" s="22"/>
      <c r="HKH459" s="22"/>
      <c r="HKI459" s="22"/>
      <c r="HKJ459" s="22"/>
      <c r="HKK459" s="22"/>
      <c r="HKL459" s="22"/>
      <c r="HKM459" s="22"/>
      <c r="HKN459" s="22"/>
      <c r="HKO459" s="22"/>
      <c r="HKP459" s="22"/>
      <c r="HKQ459" s="22"/>
      <c r="HKR459" s="22"/>
      <c r="HKS459" s="22"/>
      <c r="HKT459" s="22"/>
      <c r="HKU459" s="22"/>
      <c r="HKV459" s="22"/>
      <c r="HKW459" s="22"/>
      <c r="HKX459" s="22"/>
      <c r="HKY459" s="22"/>
      <c r="HKZ459" s="22"/>
      <c r="HLA459" s="22"/>
      <c r="HLB459" s="22"/>
      <c r="HLC459" s="22"/>
      <c r="HLD459" s="22"/>
      <c r="HLE459" s="22"/>
      <c r="HLF459" s="22"/>
      <c r="HLG459" s="22"/>
      <c r="HLH459" s="22"/>
      <c r="HLI459" s="22"/>
      <c r="HLJ459" s="22"/>
      <c r="HLK459" s="22"/>
      <c r="HLL459" s="22"/>
      <c r="HLM459" s="22"/>
      <c r="HLN459" s="22"/>
      <c r="HLO459" s="22"/>
      <c r="HLP459" s="22"/>
      <c r="HLQ459" s="22"/>
      <c r="HLR459" s="22"/>
      <c r="HLS459" s="22"/>
      <c r="HLT459" s="22"/>
      <c r="HLU459" s="22"/>
      <c r="HLV459" s="22"/>
      <c r="HLW459" s="22"/>
      <c r="HLX459" s="22"/>
      <c r="HLY459" s="22"/>
      <c r="HLZ459" s="22"/>
      <c r="HMA459" s="22"/>
      <c r="HMB459" s="22"/>
      <c r="HMC459" s="22"/>
      <c r="HMD459" s="22"/>
      <c r="HME459" s="22"/>
      <c r="HMF459" s="22"/>
      <c r="HMG459" s="22"/>
      <c r="HMH459" s="22"/>
      <c r="HMI459" s="22"/>
      <c r="HMJ459" s="22"/>
      <c r="HMK459" s="22"/>
      <c r="HML459" s="22"/>
      <c r="HMM459" s="22"/>
      <c r="HMN459" s="22"/>
      <c r="HMO459" s="22"/>
      <c r="HMP459" s="22"/>
      <c r="HMQ459" s="22"/>
      <c r="HMR459" s="22"/>
      <c r="HMS459" s="22"/>
      <c r="HMT459" s="22"/>
      <c r="HMU459" s="22"/>
      <c r="HMV459" s="22"/>
      <c r="HMW459" s="22"/>
      <c r="HMX459" s="22"/>
      <c r="HMY459" s="22"/>
      <c r="HMZ459" s="22"/>
      <c r="HNA459" s="22"/>
      <c r="HNB459" s="22"/>
      <c r="HNC459" s="22"/>
      <c r="HND459" s="22"/>
      <c r="HNE459" s="22"/>
      <c r="HNF459" s="22"/>
      <c r="HNG459" s="22"/>
      <c r="HNH459" s="22"/>
      <c r="HNI459" s="22"/>
      <c r="HNJ459" s="22"/>
      <c r="HNK459" s="22"/>
      <c r="HNL459" s="22"/>
      <c r="HNM459" s="22"/>
      <c r="HNN459" s="22"/>
      <c r="HNO459" s="22"/>
      <c r="HNP459" s="22"/>
      <c r="HNQ459" s="22"/>
      <c r="HNR459" s="22"/>
      <c r="HNS459" s="22"/>
      <c r="HNT459" s="22"/>
      <c r="HNU459" s="22"/>
      <c r="HNV459" s="22"/>
      <c r="HNW459" s="22"/>
      <c r="HNX459" s="22"/>
      <c r="HNY459" s="22"/>
      <c r="HNZ459" s="22"/>
      <c r="HOA459" s="22"/>
      <c r="HOB459" s="22"/>
      <c r="HOC459" s="22"/>
      <c r="HOD459" s="22"/>
      <c r="HOE459" s="22"/>
      <c r="HOF459" s="22"/>
      <c r="HOG459" s="22"/>
      <c r="HOH459" s="22"/>
      <c r="HOI459" s="22"/>
      <c r="HOJ459" s="22"/>
      <c r="HOK459" s="22"/>
      <c r="HOL459" s="22"/>
      <c r="HOM459" s="22"/>
      <c r="HON459" s="22"/>
      <c r="HOO459" s="22"/>
      <c r="HOP459" s="22"/>
      <c r="HOQ459" s="22"/>
      <c r="HOR459" s="22"/>
      <c r="HOS459" s="22"/>
      <c r="HOT459" s="22"/>
      <c r="HOU459" s="22"/>
      <c r="HOV459" s="22"/>
      <c r="HOW459" s="22"/>
      <c r="HOX459" s="22"/>
      <c r="HOY459" s="22"/>
      <c r="HOZ459" s="22"/>
      <c r="HPA459" s="22"/>
      <c r="HPB459" s="22"/>
      <c r="HPC459" s="22"/>
      <c r="HPD459" s="22"/>
      <c r="HPE459" s="22"/>
      <c r="HPF459" s="22"/>
      <c r="HPG459" s="22"/>
      <c r="HPH459" s="22"/>
      <c r="HPI459" s="22"/>
      <c r="HPJ459" s="22"/>
      <c r="HPK459" s="22"/>
      <c r="HPL459" s="22"/>
      <c r="HPM459" s="22"/>
      <c r="HPN459" s="22"/>
      <c r="HPO459" s="22"/>
      <c r="HPP459" s="22"/>
      <c r="HPQ459" s="22"/>
      <c r="HPR459" s="22"/>
      <c r="HPS459" s="22"/>
      <c r="HPT459" s="22"/>
      <c r="HPU459" s="22"/>
      <c r="HPV459" s="22"/>
      <c r="HPW459" s="22"/>
      <c r="HPX459" s="22"/>
      <c r="HPY459" s="22"/>
      <c r="HPZ459" s="22"/>
      <c r="HQA459" s="22"/>
      <c r="HQB459" s="22"/>
      <c r="HQC459" s="22"/>
      <c r="HQD459" s="22"/>
      <c r="HQE459" s="22"/>
      <c r="HQF459" s="22"/>
      <c r="HQG459" s="22"/>
      <c r="HQH459" s="22"/>
      <c r="HQI459" s="22"/>
      <c r="HQJ459" s="22"/>
      <c r="HQK459" s="22"/>
      <c r="HQL459" s="22"/>
      <c r="HQM459" s="22"/>
      <c r="HQN459" s="22"/>
      <c r="HQO459" s="22"/>
      <c r="HQP459" s="22"/>
      <c r="HQQ459" s="22"/>
      <c r="HQR459" s="22"/>
      <c r="HQS459" s="22"/>
      <c r="HQT459" s="22"/>
      <c r="HQU459" s="22"/>
      <c r="HQV459" s="22"/>
      <c r="HQW459" s="22"/>
      <c r="HQX459" s="22"/>
      <c r="HQY459" s="22"/>
      <c r="HQZ459" s="22"/>
      <c r="HRA459" s="22"/>
      <c r="HRB459" s="22"/>
      <c r="HRC459" s="22"/>
      <c r="HRD459" s="22"/>
      <c r="HRE459" s="22"/>
      <c r="HRF459" s="22"/>
      <c r="HRG459" s="22"/>
      <c r="HRH459" s="22"/>
      <c r="HRI459" s="22"/>
      <c r="HRJ459" s="22"/>
      <c r="HRK459" s="22"/>
      <c r="HRL459" s="22"/>
      <c r="HRM459" s="22"/>
      <c r="HRN459" s="22"/>
      <c r="HRO459" s="22"/>
      <c r="HRP459" s="22"/>
      <c r="HRQ459" s="22"/>
      <c r="HRR459" s="22"/>
      <c r="HRS459" s="22"/>
      <c r="HRT459" s="22"/>
      <c r="HRU459" s="22"/>
      <c r="HRV459" s="22"/>
      <c r="HRW459" s="22"/>
      <c r="HRX459" s="22"/>
      <c r="HRY459" s="22"/>
      <c r="HRZ459" s="22"/>
      <c r="HSA459" s="22"/>
      <c r="HSB459" s="22"/>
      <c r="HSC459" s="22"/>
      <c r="HSD459" s="22"/>
      <c r="HSE459" s="22"/>
      <c r="HSF459" s="22"/>
      <c r="HSG459" s="22"/>
      <c r="HSH459" s="22"/>
      <c r="HSI459" s="22"/>
      <c r="HSJ459" s="22"/>
      <c r="HSK459" s="22"/>
      <c r="HSL459" s="22"/>
      <c r="HSM459" s="22"/>
      <c r="HSN459" s="22"/>
      <c r="HSO459" s="22"/>
      <c r="HSP459" s="22"/>
      <c r="HSQ459" s="22"/>
      <c r="HSR459" s="22"/>
      <c r="HSS459" s="22"/>
      <c r="HST459" s="22"/>
      <c r="HSU459" s="22"/>
      <c r="HSV459" s="22"/>
      <c r="HSW459" s="22"/>
      <c r="HSX459" s="22"/>
      <c r="HSY459" s="22"/>
      <c r="HSZ459" s="22"/>
      <c r="HTA459" s="22"/>
      <c r="HTB459" s="22"/>
      <c r="HTC459" s="22"/>
      <c r="HTD459" s="22"/>
      <c r="HTE459" s="22"/>
      <c r="HTF459" s="22"/>
      <c r="HTG459" s="22"/>
      <c r="HTH459" s="22"/>
      <c r="HTI459" s="22"/>
      <c r="HTJ459" s="22"/>
      <c r="HTK459" s="22"/>
      <c r="HTL459" s="22"/>
      <c r="HTM459" s="22"/>
      <c r="HTN459" s="22"/>
      <c r="HTO459" s="22"/>
      <c r="HTP459" s="22"/>
      <c r="HTQ459" s="22"/>
      <c r="HTR459" s="22"/>
      <c r="HTS459" s="22"/>
      <c r="HTT459" s="22"/>
      <c r="HTU459" s="22"/>
      <c r="HTV459" s="22"/>
      <c r="HTW459" s="22"/>
      <c r="HTX459" s="22"/>
      <c r="HTY459" s="22"/>
      <c r="HTZ459" s="22"/>
      <c r="HUA459" s="22"/>
      <c r="HUB459" s="22"/>
      <c r="HUC459" s="22"/>
      <c r="HUD459" s="22"/>
      <c r="HUE459" s="22"/>
      <c r="HUF459" s="22"/>
      <c r="HUG459" s="22"/>
      <c r="HUH459" s="22"/>
      <c r="HUI459" s="22"/>
      <c r="HUJ459" s="22"/>
      <c r="HUK459" s="22"/>
      <c r="HUL459" s="22"/>
      <c r="HUM459" s="22"/>
      <c r="HUN459" s="22"/>
      <c r="HUO459" s="22"/>
      <c r="HUP459" s="22"/>
      <c r="HUQ459" s="22"/>
      <c r="HUR459" s="22"/>
      <c r="HUS459" s="22"/>
      <c r="HUT459" s="22"/>
      <c r="HUU459" s="22"/>
      <c r="HUV459" s="22"/>
      <c r="HUW459" s="22"/>
      <c r="HUX459" s="22"/>
      <c r="HUY459" s="22"/>
      <c r="HUZ459" s="22"/>
      <c r="HVA459" s="22"/>
      <c r="HVB459" s="22"/>
      <c r="HVC459" s="22"/>
      <c r="HVD459" s="22"/>
      <c r="HVE459" s="22"/>
      <c r="HVF459" s="22"/>
      <c r="HVG459" s="22"/>
      <c r="HVH459" s="22"/>
      <c r="HVI459" s="22"/>
      <c r="HVJ459" s="22"/>
      <c r="HVK459" s="22"/>
      <c r="HVL459" s="22"/>
      <c r="HVM459" s="22"/>
      <c r="HVN459" s="22"/>
      <c r="HVO459" s="22"/>
      <c r="HVP459" s="22"/>
      <c r="HVQ459" s="22"/>
      <c r="HVR459" s="22"/>
      <c r="HVS459" s="22"/>
      <c r="HVT459" s="22"/>
      <c r="HVU459" s="22"/>
      <c r="HVV459" s="22"/>
      <c r="HVW459" s="22"/>
      <c r="HVX459" s="22"/>
      <c r="HVY459" s="22"/>
      <c r="HVZ459" s="22"/>
      <c r="HWA459" s="22"/>
      <c r="HWB459" s="22"/>
      <c r="HWC459" s="22"/>
      <c r="HWD459" s="22"/>
      <c r="HWE459" s="22"/>
      <c r="HWF459" s="22"/>
      <c r="HWG459" s="22"/>
      <c r="HWH459" s="22"/>
      <c r="HWI459" s="22"/>
      <c r="HWJ459" s="22"/>
      <c r="HWK459" s="22"/>
      <c r="HWL459" s="22"/>
      <c r="HWM459" s="22"/>
      <c r="HWN459" s="22"/>
      <c r="HWO459" s="22"/>
      <c r="HWP459" s="22"/>
      <c r="HWQ459" s="22"/>
      <c r="HWR459" s="22"/>
      <c r="HWS459" s="22"/>
      <c r="HWT459" s="22"/>
      <c r="HWU459" s="22"/>
      <c r="HWV459" s="22"/>
      <c r="HWW459" s="22"/>
      <c r="HWX459" s="22"/>
      <c r="HWY459" s="22"/>
      <c r="HWZ459" s="22"/>
      <c r="HXA459" s="22"/>
      <c r="HXB459" s="22"/>
      <c r="HXC459" s="22"/>
      <c r="HXD459" s="22"/>
      <c r="HXE459" s="22"/>
      <c r="HXF459" s="22"/>
      <c r="HXG459" s="22"/>
      <c r="HXH459" s="22"/>
      <c r="HXI459" s="22"/>
      <c r="HXJ459" s="22"/>
      <c r="HXK459" s="22"/>
      <c r="HXL459" s="22"/>
      <c r="HXM459" s="22"/>
      <c r="HXN459" s="22"/>
      <c r="HXO459" s="22"/>
      <c r="HXP459" s="22"/>
      <c r="HXQ459" s="22"/>
      <c r="HXR459" s="22"/>
      <c r="HXS459" s="22"/>
      <c r="HXT459" s="22"/>
      <c r="HXU459" s="22"/>
      <c r="HXV459" s="22"/>
      <c r="HXW459" s="22"/>
      <c r="HXX459" s="22"/>
      <c r="HXY459" s="22"/>
      <c r="HXZ459" s="22"/>
      <c r="HYA459" s="22"/>
      <c r="HYB459" s="22"/>
      <c r="HYC459" s="22"/>
      <c r="HYD459" s="22"/>
      <c r="HYE459" s="22"/>
      <c r="HYF459" s="22"/>
      <c r="HYG459" s="22"/>
      <c r="HYH459" s="22"/>
      <c r="HYI459" s="22"/>
      <c r="HYJ459" s="22"/>
      <c r="HYK459" s="22"/>
      <c r="HYL459" s="22"/>
      <c r="HYM459" s="22"/>
      <c r="HYN459" s="22"/>
      <c r="HYO459" s="22"/>
      <c r="HYP459" s="22"/>
      <c r="HYQ459" s="22"/>
      <c r="HYR459" s="22"/>
      <c r="HYS459" s="22"/>
      <c r="HYT459" s="22"/>
      <c r="HYU459" s="22"/>
      <c r="HYV459" s="22"/>
      <c r="HYW459" s="22"/>
      <c r="HYX459" s="22"/>
      <c r="HYY459" s="22"/>
      <c r="HYZ459" s="22"/>
      <c r="HZA459" s="22"/>
      <c r="HZB459" s="22"/>
      <c r="HZC459" s="22"/>
      <c r="HZD459" s="22"/>
      <c r="HZE459" s="22"/>
      <c r="HZF459" s="22"/>
      <c r="HZG459" s="22"/>
      <c r="HZH459" s="22"/>
      <c r="HZI459" s="22"/>
      <c r="HZJ459" s="22"/>
      <c r="HZK459" s="22"/>
      <c r="HZL459" s="22"/>
      <c r="HZM459" s="22"/>
      <c r="HZN459" s="22"/>
      <c r="HZO459" s="22"/>
      <c r="HZP459" s="22"/>
      <c r="HZQ459" s="22"/>
      <c r="HZR459" s="22"/>
      <c r="HZS459" s="22"/>
      <c r="HZT459" s="22"/>
      <c r="HZU459" s="22"/>
      <c r="HZV459" s="22"/>
      <c r="HZW459" s="22"/>
      <c r="HZX459" s="22"/>
      <c r="HZY459" s="22"/>
      <c r="HZZ459" s="22"/>
      <c r="IAA459" s="22"/>
      <c r="IAB459" s="22"/>
      <c r="IAC459" s="22"/>
      <c r="IAD459" s="22"/>
      <c r="IAE459" s="22"/>
      <c r="IAF459" s="22"/>
      <c r="IAG459" s="22"/>
      <c r="IAH459" s="22"/>
      <c r="IAI459" s="22"/>
      <c r="IAJ459" s="22"/>
      <c r="IAK459" s="22"/>
      <c r="IAL459" s="22"/>
      <c r="IAM459" s="22"/>
      <c r="IAN459" s="22"/>
      <c r="IAO459" s="22"/>
      <c r="IAP459" s="22"/>
      <c r="IAQ459" s="22"/>
      <c r="IAR459" s="22"/>
      <c r="IAS459" s="22"/>
      <c r="IAT459" s="22"/>
      <c r="IAU459" s="22"/>
      <c r="IAV459" s="22"/>
      <c r="IAW459" s="22"/>
      <c r="IAX459" s="22"/>
      <c r="IAY459" s="22"/>
      <c r="IAZ459" s="22"/>
      <c r="IBA459" s="22"/>
      <c r="IBB459" s="22"/>
      <c r="IBC459" s="22"/>
      <c r="IBD459" s="22"/>
      <c r="IBE459" s="22"/>
      <c r="IBF459" s="22"/>
      <c r="IBG459" s="22"/>
      <c r="IBH459" s="22"/>
      <c r="IBI459" s="22"/>
      <c r="IBJ459" s="22"/>
      <c r="IBK459" s="22"/>
      <c r="IBL459" s="22"/>
      <c r="IBM459" s="22"/>
      <c r="IBN459" s="22"/>
      <c r="IBO459" s="22"/>
      <c r="IBP459" s="22"/>
      <c r="IBQ459" s="22"/>
      <c r="IBR459" s="22"/>
      <c r="IBS459" s="22"/>
      <c r="IBT459" s="22"/>
      <c r="IBU459" s="22"/>
      <c r="IBV459" s="22"/>
      <c r="IBW459" s="22"/>
      <c r="IBX459" s="22"/>
      <c r="IBY459" s="22"/>
      <c r="IBZ459" s="22"/>
      <c r="ICA459" s="22"/>
      <c r="ICB459" s="22"/>
      <c r="ICC459" s="22"/>
      <c r="ICD459" s="22"/>
      <c r="ICE459" s="22"/>
      <c r="ICF459" s="22"/>
      <c r="ICG459" s="22"/>
      <c r="ICH459" s="22"/>
      <c r="ICI459" s="22"/>
      <c r="ICJ459" s="22"/>
      <c r="ICK459" s="22"/>
      <c r="ICL459" s="22"/>
      <c r="ICM459" s="22"/>
      <c r="ICN459" s="22"/>
      <c r="ICO459" s="22"/>
      <c r="ICP459" s="22"/>
      <c r="ICQ459" s="22"/>
      <c r="ICR459" s="22"/>
      <c r="ICS459" s="22"/>
      <c r="ICT459" s="22"/>
      <c r="ICU459" s="22"/>
      <c r="ICV459" s="22"/>
      <c r="ICW459" s="22"/>
      <c r="ICX459" s="22"/>
      <c r="ICY459" s="22"/>
      <c r="ICZ459" s="22"/>
      <c r="IDA459" s="22"/>
      <c r="IDB459" s="22"/>
      <c r="IDC459" s="22"/>
      <c r="IDD459" s="22"/>
      <c r="IDE459" s="22"/>
      <c r="IDF459" s="22"/>
      <c r="IDG459" s="22"/>
      <c r="IDH459" s="22"/>
      <c r="IDI459" s="22"/>
      <c r="IDJ459" s="22"/>
      <c r="IDK459" s="22"/>
      <c r="IDL459" s="22"/>
      <c r="IDM459" s="22"/>
      <c r="IDN459" s="22"/>
      <c r="IDO459" s="22"/>
      <c r="IDP459" s="22"/>
      <c r="IDQ459" s="22"/>
      <c r="IDR459" s="22"/>
      <c r="IDS459" s="22"/>
      <c r="IDT459" s="22"/>
      <c r="IDU459" s="22"/>
      <c r="IDV459" s="22"/>
      <c r="IDW459" s="22"/>
      <c r="IDX459" s="22"/>
      <c r="IDY459" s="22"/>
      <c r="IDZ459" s="22"/>
      <c r="IEA459" s="22"/>
      <c r="IEB459" s="22"/>
      <c r="IEC459" s="22"/>
      <c r="IED459" s="22"/>
      <c r="IEE459" s="22"/>
      <c r="IEF459" s="22"/>
      <c r="IEG459" s="22"/>
      <c r="IEH459" s="22"/>
      <c r="IEI459" s="22"/>
      <c r="IEJ459" s="22"/>
      <c r="IEK459" s="22"/>
      <c r="IEL459" s="22"/>
      <c r="IEM459" s="22"/>
      <c r="IEN459" s="22"/>
      <c r="IEO459" s="22"/>
      <c r="IEP459" s="22"/>
      <c r="IEQ459" s="22"/>
      <c r="IER459" s="22"/>
      <c r="IES459" s="22"/>
      <c r="IET459" s="22"/>
      <c r="IEU459" s="22"/>
      <c r="IEV459" s="22"/>
      <c r="IEW459" s="22"/>
      <c r="IEX459" s="22"/>
      <c r="IEY459" s="22"/>
      <c r="IEZ459" s="22"/>
      <c r="IFA459" s="22"/>
      <c r="IFB459" s="22"/>
      <c r="IFC459" s="22"/>
      <c r="IFD459" s="22"/>
      <c r="IFE459" s="22"/>
      <c r="IFF459" s="22"/>
      <c r="IFG459" s="22"/>
      <c r="IFH459" s="22"/>
      <c r="IFI459" s="22"/>
      <c r="IFJ459" s="22"/>
      <c r="IFK459" s="22"/>
      <c r="IFL459" s="22"/>
      <c r="IFM459" s="22"/>
      <c r="IFN459" s="22"/>
      <c r="IFO459" s="22"/>
      <c r="IFP459" s="22"/>
      <c r="IFQ459" s="22"/>
      <c r="IFR459" s="22"/>
      <c r="IFS459" s="22"/>
      <c r="IFT459" s="22"/>
      <c r="IFU459" s="22"/>
      <c r="IFV459" s="22"/>
      <c r="IFW459" s="22"/>
      <c r="IFX459" s="22"/>
      <c r="IFY459" s="22"/>
      <c r="IFZ459" s="22"/>
      <c r="IGA459" s="22"/>
      <c r="IGB459" s="22"/>
      <c r="IGC459" s="22"/>
      <c r="IGD459" s="22"/>
      <c r="IGE459" s="22"/>
      <c r="IGF459" s="22"/>
      <c r="IGG459" s="22"/>
      <c r="IGH459" s="22"/>
      <c r="IGI459" s="22"/>
      <c r="IGJ459" s="22"/>
      <c r="IGK459" s="22"/>
      <c r="IGL459" s="22"/>
      <c r="IGM459" s="22"/>
      <c r="IGN459" s="22"/>
      <c r="IGO459" s="22"/>
      <c r="IGP459" s="22"/>
      <c r="IGQ459" s="22"/>
      <c r="IGR459" s="22"/>
      <c r="IGS459" s="22"/>
      <c r="IGT459" s="22"/>
      <c r="IGU459" s="22"/>
      <c r="IGV459" s="22"/>
      <c r="IGW459" s="22"/>
      <c r="IGX459" s="22"/>
      <c r="IGY459" s="22"/>
      <c r="IGZ459" s="22"/>
      <c r="IHA459" s="22"/>
      <c r="IHB459" s="22"/>
      <c r="IHC459" s="22"/>
      <c r="IHD459" s="22"/>
      <c r="IHE459" s="22"/>
      <c r="IHF459" s="22"/>
      <c r="IHG459" s="22"/>
      <c r="IHH459" s="22"/>
      <c r="IHI459" s="22"/>
      <c r="IHJ459" s="22"/>
      <c r="IHK459" s="22"/>
      <c r="IHL459" s="22"/>
      <c r="IHM459" s="22"/>
      <c r="IHN459" s="22"/>
      <c r="IHO459" s="22"/>
      <c r="IHP459" s="22"/>
      <c r="IHQ459" s="22"/>
      <c r="IHR459" s="22"/>
      <c r="IHS459" s="22"/>
      <c r="IHT459" s="22"/>
      <c r="IHU459" s="22"/>
      <c r="IHV459" s="22"/>
      <c r="IHW459" s="22"/>
      <c r="IHX459" s="22"/>
      <c r="IHY459" s="22"/>
      <c r="IHZ459" s="22"/>
      <c r="IIA459" s="22"/>
      <c r="IIB459" s="22"/>
      <c r="IIC459" s="22"/>
      <c r="IID459" s="22"/>
      <c r="IIE459" s="22"/>
      <c r="IIF459" s="22"/>
      <c r="IIG459" s="22"/>
      <c r="IIH459" s="22"/>
      <c r="III459" s="22"/>
      <c r="IIJ459" s="22"/>
      <c r="IIK459" s="22"/>
      <c r="IIL459" s="22"/>
      <c r="IIM459" s="22"/>
      <c r="IIN459" s="22"/>
      <c r="IIO459" s="22"/>
      <c r="IIP459" s="22"/>
      <c r="IIQ459" s="22"/>
      <c r="IIR459" s="22"/>
      <c r="IIS459" s="22"/>
      <c r="IIT459" s="22"/>
      <c r="IIU459" s="22"/>
      <c r="IIV459" s="22"/>
      <c r="IIW459" s="22"/>
      <c r="IIX459" s="22"/>
      <c r="IIY459" s="22"/>
      <c r="IIZ459" s="22"/>
      <c r="IJA459" s="22"/>
      <c r="IJB459" s="22"/>
      <c r="IJC459" s="22"/>
      <c r="IJD459" s="22"/>
      <c r="IJE459" s="22"/>
      <c r="IJF459" s="22"/>
      <c r="IJG459" s="22"/>
      <c r="IJH459" s="22"/>
      <c r="IJI459" s="22"/>
      <c r="IJJ459" s="22"/>
      <c r="IJK459" s="22"/>
      <c r="IJL459" s="22"/>
      <c r="IJM459" s="22"/>
      <c r="IJN459" s="22"/>
      <c r="IJO459" s="22"/>
      <c r="IJP459" s="22"/>
      <c r="IJQ459" s="22"/>
      <c r="IJR459" s="22"/>
      <c r="IJS459" s="22"/>
      <c r="IJT459" s="22"/>
      <c r="IJU459" s="22"/>
      <c r="IJV459" s="22"/>
      <c r="IJW459" s="22"/>
      <c r="IJX459" s="22"/>
      <c r="IJY459" s="22"/>
      <c r="IJZ459" s="22"/>
      <c r="IKA459" s="22"/>
      <c r="IKB459" s="22"/>
      <c r="IKC459" s="22"/>
      <c r="IKD459" s="22"/>
      <c r="IKE459" s="22"/>
      <c r="IKF459" s="22"/>
      <c r="IKG459" s="22"/>
      <c r="IKH459" s="22"/>
      <c r="IKI459" s="22"/>
      <c r="IKJ459" s="22"/>
      <c r="IKK459" s="22"/>
      <c r="IKL459" s="22"/>
      <c r="IKM459" s="22"/>
      <c r="IKN459" s="22"/>
      <c r="IKO459" s="22"/>
      <c r="IKP459" s="22"/>
      <c r="IKQ459" s="22"/>
      <c r="IKR459" s="22"/>
      <c r="IKS459" s="22"/>
      <c r="IKT459" s="22"/>
      <c r="IKU459" s="22"/>
      <c r="IKV459" s="22"/>
      <c r="IKW459" s="22"/>
      <c r="IKX459" s="22"/>
      <c r="IKY459" s="22"/>
      <c r="IKZ459" s="22"/>
      <c r="ILA459" s="22"/>
      <c r="ILB459" s="22"/>
      <c r="ILC459" s="22"/>
      <c r="ILD459" s="22"/>
      <c r="ILE459" s="22"/>
      <c r="ILF459" s="22"/>
      <c r="ILG459" s="22"/>
      <c r="ILH459" s="22"/>
      <c r="ILI459" s="22"/>
      <c r="ILJ459" s="22"/>
      <c r="ILK459" s="22"/>
      <c r="ILL459" s="22"/>
      <c r="ILM459" s="22"/>
      <c r="ILN459" s="22"/>
      <c r="ILO459" s="22"/>
      <c r="ILP459" s="22"/>
      <c r="ILQ459" s="22"/>
      <c r="ILR459" s="22"/>
      <c r="ILS459" s="22"/>
      <c r="ILT459" s="22"/>
      <c r="ILU459" s="22"/>
      <c r="ILV459" s="22"/>
      <c r="ILW459" s="22"/>
      <c r="ILX459" s="22"/>
      <c r="ILY459" s="22"/>
      <c r="ILZ459" s="22"/>
      <c r="IMA459" s="22"/>
      <c r="IMB459" s="22"/>
      <c r="IMC459" s="22"/>
      <c r="IMD459" s="22"/>
      <c r="IME459" s="22"/>
      <c r="IMF459" s="22"/>
      <c r="IMG459" s="22"/>
      <c r="IMH459" s="22"/>
      <c r="IMI459" s="22"/>
      <c r="IMJ459" s="22"/>
      <c r="IMK459" s="22"/>
      <c r="IML459" s="22"/>
      <c r="IMM459" s="22"/>
      <c r="IMN459" s="22"/>
      <c r="IMO459" s="22"/>
      <c r="IMP459" s="22"/>
      <c r="IMQ459" s="22"/>
      <c r="IMR459" s="22"/>
      <c r="IMS459" s="22"/>
      <c r="IMT459" s="22"/>
      <c r="IMU459" s="22"/>
      <c r="IMV459" s="22"/>
      <c r="IMW459" s="22"/>
      <c r="IMX459" s="22"/>
      <c r="IMY459" s="22"/>
      <c r="IMZ459" s="22"/>
      <c r="INA459" s="22"/>
      <c r="INB459" s="22"/>
      <c r="INC459" s="22"/>
      <c r="IND459" s="22"/>
      <c r="INE459" s="22"/>
      <c r="INF459" s="22"/>
      <c r="ING459" s="22"/>
      <c r="INH459" s="22"/>
      <c r="INI459" s="22"/>
      <c r="INJ459" s="22"/>
      <c r="INK459" s="22"/>
      <c r="INL459" s="22"/>
      <c r="INM459" s="22"/>
      <c r="INN459" s="22"/>
      <c r="INO459" s="22"/>
      <c r="INP459" s="22"/>
      <c r="INQ459" s="22"/>
      <c r="INR459" s="22"/>
      <c r="INS459" s="22"/>
      <c r="INT459" s="22"/>
      <c r="INU459" s="22"/>
      <c r="INV459" s="22"/>
      <c r="INW459" s="22"/>
      <c r="INX459" s="22"/>
      <c r="INY459" s="22"/>
      <c r="INZ459" s="22"/>
      <c r="IOA459" s="22"/>
      <c r="IOB459" s="22"/>
      <c r="IOC459" s="22"/>
      <c r="IOD459" s="22"/>
      <c r="IOE459" s="22"/>
      <c r="IOF459" s="22"/>
      <c r="IOG459" s="22"/>
      <c r="IOH459" s="22"/>
      <c r="IOI459" s="22"/>
      <c r="IOJ459" s="22"/>
      <c r="IOK459" s="22"/>
      <c r="IOL459" s="22"/>
      <c r="IOM459" s="22"/>
      <c r="ION459" s="22"/>
      <c r="IOO459" s="22"/>
      <c r="IOP459" s="22"/>
      <c r="IOQ459" s="22"/>
      <c r="IOR459" s="22"/>
      <c r="IOS459" s="22"/>
      <c r="IOT459" s="22"/>
      <c r="IOU459" s="22"/>
      <c r="IOV459" s="22"/>
      <c r="IOW459" s="22"/>
      <c r="IOX459" s="22"/>
      <c r="IOY459" s="22"/>
      <c r="IOZ459" s="22"/>
      <c r="IPA459" s="22"/>
      <c r="IPB459" s="22"/>
      <c r="IPC459" s="22"/>
      <c r="IPD459" s="22"/>
      <c r="IPE459" s="22"/>
      <c r="IPF459" s="22"/>
      <c r="IPG459" s="22"/>
      <c r="IPH459" s="22"/>
      <c r="IPI459" s="22"/>
      <c r="IPJ459" s="22"/>
      <c r="IPK459" s="22"/>
      <c r="IPL459" s="22"/>
      <c r="IPM459" s="22"/>
      <c r="IPN459" s="22"/>
      <c r="IPO459" s="22"/>
      <c r="IPP459" s="22"/>
      <c r="IPQ459" s="22"/>
      <c r="IPR459" s="22"/>
      <c r="IPS459" s="22"/>
      <c r="IPT459" s="22"/>
      <c r="IPU459" s="22"/>
      <c r="IPV459" s="22"/>
      <c r="IPW459" s="22"/>
      <c r="IPX459" s="22"/>
      <c r="IPY459" s="22"/>
      <c r="IPZ459" s="22"/>
      <c r="IQA459" s="22"/>
      <c r="IQB459" s="22"/>
      <c r="IQC459" s="22"/>
      <c r="IQD459" s="22"/>
      <c r="IQE459" s="22"/>
      <c r="IQF459" s="22"/>
      <c r="IQG459" s="22"/>
      <c r="IQH459" s="22"/>
      <c r="IQI459" s="22"/>
      <c r="IQJ459" s="22"/>
      <c r="IQK459" s="22"/>
      <c r="IQL459" s="22"/>
      <c r="IQM459" s="22"/>
      <c r="IQN459" s="22"/>
      <c r="IQO459" s="22"/>
      <c r="IQP459" s="22"/>
      <c r="IQQ459" s="22"/>
      <c r="IQR459" s="22"/>
      <c r="IQS459" s="22"/>
      <c r="IQT459" s="22"/>
      <c r="IQU459" s="22"/>
      <c r="IQV459" s="22"/>
      <c r="IQW459" s="22"/>
      <c r="IQX459" s="22"/>
      <c r="IQY459" s="22"/>
      <c r="IQZ459" s="22"/>
      <c r="IRA459" s="22"/>
      <c r="IRB459" s="22"/>
      <c r="IRC459" s="22"/>
      <c r="IRD459" s="22"/>
      <c r="IRE459" s="22"/>
      <c r="IRF459" s="22"/>
      <c r="IRG459" s="22"/>
      <c r="IRH459" s="22"/>
      <c r="IRI459" s="22"/>
      <c r="IRJ459" s="22"/>
      <c r="IRK459" s="22"/>
      <c r="IRL459" s="22"/>
      <c r="IRM459" s="22"/>
      <c r="IRN459" s="22"/>
      <c r="IRO459" s="22"/>
      <c r="IRP459" s="22"/>
      <c r="IRQ459" s="22"/>
      <c r="IRR459" s="22"/>
      <c r="IRS459" s="22"/>
      <c r="IRT459" s="22"/>
      <c r="IRU459" s="22"/>
      <c r="IRV459" s="22"/>
      <c r="IRW459" s="22"/>
      <c r="IRX459" s="22"/>
      <c r="IRY459" s="22"/>
      <c r="IRZ459" s="22"/>
      <c r="ISA459" s="22"/>
      <c r="ISB459" s="22"/>
      <c r="ISC459" s="22"/>
      <c r="ISD459" s="22"/>
      <c r="ISE459" s="22"/>
      <c r="ISF459" s="22"/>
      <c r="ISG459" s="22"/>
      <c r="ISH459" s="22"/>
      <c r="ISI459" s="22"/>
      <c r="ISJ459" s="22"/>
      <c r="ISK459" s="22"/>
      <c r="ISL459" s="22"/>
      <c r="ISM459" s="22"/>
      <c r="ISN459" s="22"/>
      <c r="ISO459" s="22"/>
      <c r="ISP459" s="22"/>
      <c r="ISQ459" s="22"/>
      <c r="ISR459" s="22"/>
      <c r="ISS459" s="22"/>
      <c r="IST459" s="22"/>
      <c r="ISU459" s="22"/>
      <c r="ISV459" s="22"/>
      <c r="ISW459" s="22"/>
      <c r="ISX459" s="22"/>
      <c r="ISY459" s="22"/>
      <c r="ISZ459" s="22"/>
      <c r="ITA459" s="22"/>
      <c r="ITB459" s="22"/>
      <c r="ITC459" s="22"/>
      <c r="ITD459" s="22"/>
      <c r="ITE459" s="22"/>
      <c r="ITF459" s="22"/>
      <c r="ITG459" s="22"/>
      <c r="ITH459" s="22"/>
      <c r="ITI459" s="22"/>
      <c r="ITJ459" s="22"/>
      <c r="ITK459" s="22"/>
      <c r="ITL459" s="22"/>
      <c r="ITM459" s="22"/>
      <c r="ITN459" s="22"/>
      <c r="ITO459" s="22"/>
      <c r="ITP459" s="22"/>
      <c r="ITQ459" s="22"/>
      <c r="ITR459" s="22"/>
      <c r="ITS459" s="22"/>
      <c r="ITT459" s="22"/>
      <c r="ITU459" s="22"/>
      <c r="ITV459" s="22"/>
      <c r="ITW459" s="22"/>
      <c r="ITX459" s="22"/>
      <c r="ITY459" s="22"/>
      <c r="ITZ459" s="22"/>
      <c r="IUA459" s="22"/>
      <c r="IUB459" s="22"/>
      <c r="IUC459" s="22"/>
      <c r="IUD459" s="22"/>
      <c r="IUE459" s="22"/>
      <c r="IUF459" s="22"/>
      <c r="IUG459" s="22"/>
      <c r="IUH459" s="22"/>
      <c r="IUI459" s="22"/>
      <c r="IUJ459" s="22"/>
      <c r="IUK459" s="22"/>
      <c r="IUL459" s="22"/>
      <c r="IUM459" s="22"/>
      <c r="IUN459" s="22"/>
      <c r="IUO459" s="22"/>
      <c r="IUP459" s="22"/>
      <c r="IUQ459" s="22"/>
      <c r="IUR459" s="22"/>
      <c r="IUS459" s="22"/>
      <c r="IUT459" s="22"/>
      <c r="IUU459" s="22"/>
      <c r="IUV459" s="22"/>
      <c r="IUW459" s="22"/>
      <c r="IUX459" s="22"/>
      <c r="IUY459" s="22"/>
      <c r="IUZ459" s="22"/>
      <c r="IVA459" s="22"/>
      <c r="IVB459" s="22"/>
      <c r="IVC459" s="22"/>
      <c r="IVD459" s="22"/>
      <c r="IVE459" s="22"/>
      <c r="IVF459" s="22"/>
      <c r="IVG459" s="22"/>
      <c r="IVH459" s="22"/>
      <c r="IVI459" s="22"/>
      <c r="IVJ459" s="22"/>
      <c r="IVK459" s="22"/>
      <c r="IVL459" s="22"/>
      <c r="IVM459" s="22"/>
      <c r="IVN459" s="22"/>
      <c r="IVO459" s="22"/>
      <c r="IVP459" s="22"/>
      <c r="IVQ459" s="22"/>
      <c r="IVR459" s="22"/>
      <c r="IVS459" s="22"/>
      <c r="IVT459" s="22"/>
      <c r="IVU459" s="22"/>
      <c r="IVV459" s="22"/>
      <c r="IVW459" s="22"/>
      <c r="IVX459" s="22"/>
      <c r="IVY459" s="22"/>
      <c r="IVZ459" s="22"/>
      <c r="IWA459" s="22"/>
      <c r="IWB459" s="22"/>
      <c r="IWC459" s="22"/>
      <c r="IWD459" s="22"/>
      <c r="IWE459" s="22"/>
      <c r="IWF459" s="22"/>
      <c r="IWG459" s="22"/>
      <c r="IWH459" s="22"/>
      <c r="IWI459" s="22"/>
      <c r="IWJ459" s="22"/>
      <c r="IWK459" s="22"/>
      <c r="IWL459" s="22"/>
      <c r="IWM459" s="22"/>
      <c r="IWN459" s="22"/>
      <c r="IWO459" s="22"/>
      <c r="IWP459" s="22"/>
      <c r="IWQ459" s="22"/>
      <c r="IWR459" s="22"/>
      <c r="IWS459" s="22"/>
      <c r="IWT459" s="22"/>
      <c r="IWU459" s="22"/>
      <c r="IWV459" s="22"/>
      <c r="IWW459" s="22"/>
      <c r="IWX459" s="22"/>
      <c r="IWY459" s="22"/>
      <c r="IWZ459" s="22"/>
      <c r="IXA459" s="22"/>
      <c r="IXB459" s="22"/>
      <c r="IXC459" s="22"/>
      <c r="IXD459" s="22"/>
      <c r="IXE459" s="22"/>
      <c r="IXF459" s="22"/>
      <c r="IXG459" s="22"/>
      <c r="IXH459" s="22"/>
      <c r="IXI459" s="22"/>
      <c r="IXJ459" s="22"/>
      <c r="IXK459" s="22"/>
      <c r="IXL459" s="22"/>
      <c r="IXM459" s="22"/>
      <c r="IXN459" s="22"/>
      <c r="IXO459" s="22"/>
      <c r="IXP459" s="22"/>
      <c r="IXQ459" s="22"/>
      <c r="IXR459" s="22"/>
      <c r="IXS459" s="22"/>
      <c r="IXT459" s="22"/>
      <c r="IXU459" s="22"/>
      <c r="IXV459" s="22"/>
      <c r="IXW459" s="22"/>
      <c r="IXX459" s="22"/>
      <c r="IXY459" s="22"/>
      <c r="IXZ459" s="22"/>
      <c r="IYA459" s="22"/>
      <c r="IYB459" s="22"/>
      <c r="IYC459" s="22"/>
      <c r="IYD459" s="22"/>
      <c r="IYE459" s="22"/>
      <c r="IYF459" s="22"/>
      <c r="IYG459" s="22"/>
      <c r="IYH459" s="22"/>
      <c r="IYI459" s="22"/>
      <c r="IYJ459" s="22"/>
      <c r="IYK459" s="22"/>
      <c r="IYL459" s="22"/>
      <c r="IYM459" s="22"/>
      <c r="IYN459" s="22"/>
      <c r="IYO459" s="22"/>
      <c r="IYP459" s="22"/>
      <c r="IYQ459" s="22"/>
      <c r="IYR459" s="22"/>
      <c r="IYS459" s="22"/>
      <c r="IYT459" s="22"/>
      <c r="IYU459" s="22"/>
      <c r="IYV459" s="22"/>
      <c r="IYW459" s="22"/>
      <c r="IYX459" s="22"/>
      <c r="IYY459" s="22"/>
      <c r="IYZ459" s="22"/>
      <c r="IZA459" s="22"/>
      <c r="IZB459" s="22"/>
      <c r="IZC459" s="22"/>
      <c r="IZD459" s="22"/>
      <c r="IZE459" s="22"/>
      <c r="IZF459" s="22"/>
      <c r="IZG459" s="22"/>
      <c r="IZH459" s="22"/>
      <c r="IZI459" s="22"/>
      <c r="IZJ459" s="22"/>
      <c r="IZK459" s="22"/>
      <c r="IZL459" s="22"/>
      <c r="IZM459" s="22"/>
      <c r="IZN459" s="22"/>
      <c r="IZO459" s="22"/>
      <c r="IZP459" s="22"/>
      <c r="IZQ459" s="22"/>
      <c r="IZR459" s="22"/>
      <c r="IZS459" s="22"/>
      <c r="IZT459" s="22"/>
      <c r="IZU459" s="22"/>
      <c r="IZV459" s="22"/>
      <c r="IZW459" s="22"/>
      <c r="IZX459" s="22"/>
      <c r="IZY459" s="22"/>
      <c r="IZZ459" s="22"/>
      <c r="JAA459" s="22"/>
      <c r="JAB459" s="22"/>
      <c r="JAC459" s="22"/>
      <c r="JAD459" s="22"/>
      <c r="JAE459" s="22"/>
      <c r="JAF459" s="22"/>
      <c r="JAG459" s="22"/>
      <c r="JAH459" s="22"/>
      <c r="JAI459" s="22"/>
      <c r="JAJ459" s="22"/>
      <c r="JAK459" s="22"/>
      <c r="JAL459" s="22"/>
      <c r="JAM459" s="22"/>
      <c r="JAN459" s="22"/>
      <c r="JAO459" s="22"/>
      <c r="JAP459" s="22"/>
      <c r="JAQ459" s="22"/>
      <c r="JAR459" s="22"/>
      <c r="JAS459" s="22"/>
      <c r="JAT459" s="22"/>
      <c r="JAU459" s="22"/>
      <c r="JAV459" s="22"/>
      <c r="JAW459" s="22"/>
      <c r="JAX459" s="22"/>
      <c r="JAY459" s="22"/>
      <c r="JAZ459" s="22"/>
      <c r="JBA459" s="22"/>
      <c r="JBB459" s="22"/>
      <c r="JBC459" s="22"/>
      <c r="JBD459" s="22"/>
      <c r="JBE459" s="22"/>
      <c r="JBF459" s="22"/>
      <c r="JBG459" s="22"/>
      <c r="JBH459" s="22"/>
      <c r="JBI459" s="22"/>
      <c r="JBJ459" s="22"/>
      <c r="JBK459" s="22"/>
      <c r="JBL459" s="22"/>
      <c r="JBM459" s="22"/>
      <c r="JBN459" s="22"/>
      <c r="JBO459" s="22"/>
      <c r="JBP459" s="22"/>
      <c r="JBQ459" s="22"/>
      <c r="JBR459" s="22"/>
      <c r="JBS459" s="22"/>
      <c r="JBT459" s="22"/>
      <c r="JBU459" s="22"/>
      <c r="JBV459" s="22"/>
      <c r="JBW459" s="22"/>
      <c r="JBX459" s="22"/>
      <c r="JBY459" s="22"/>
      <c r="JBZ459" s="22"/>
      <c r="JCA459" s="22"/>
      <c r="JCB459" s="22"/>
      <c r="JCC459" s="22"/>
      <c r="JCD459" s="22"/>
      <c r="JCE459" s="22"/>
      <c r="JCF459" s="22"/>
      <c r="JCG459" s="22"/>
      <c r="JCH459" s="22"/>
      <c r="JCI459" s="22"/>
      <c r="JCJ459" s="22"/>
      <c r="JCK459" s="22"/>
      <c r="JCL459" s="22"/>
      <c r="JCM459" s="22"/>
      <c r="JCN459" s="22"/>
      <c r="JCO459" s="22"/>
      <c r="JCP459" s="22"/>
      <c r="JCQ459" s="22"/>
      <c r="JCR459" s="22"/>
      <c r="JCS459" s="22"/>
      <c r="JCT459" s="22"/>
      <c r="JCU459" s="22"/>
      <c r="JCV459" s="22"/>
      <c r="JCW459" s="22"/>
      <c r="JCX459" s="22"/>
      <c r="JCY459" s="22"/>
      <c r="JCZ459" s="22"/>
      <c r="JDA459" s="22"/>
      <c r="JDB459" s="22"/>
      <c r="JDC459" s="22"/>
      <c r="JDD459" s="22"/>
      <c r="JDE459" s="22"/>
      <c r="JDF459" s="22"/>
      <c r="JDG459" s="22"/>
      <c r="JDH459" s="22"/>
      <c r="JDI459" s="22"/>
      <c r="JDJ459" s="22"/>
      <c r="JDK459" s="22"/>
      <c r="JDL459" s="22"/>
      <c r="JDM459" s="22"/>
      <c r="JDN459" s="22"/>
      <c r="JDO459" s="22"/>
      <c r="JDP459" s="22"/>
      <c r="JDQ459" s="22"/>
      <c r="JDR459" s="22"/>
      <c r="JDS459" s="22"/>
      <c r="JDT459" s="22"/>
      <c r="JDU459" s="22"/>
      <c r="JDV459" s="22"/>
      <c r="JDW459" s="22"/>
      <c r="JDX459" s="22"/>
      <c r="JDY459" s="22"/>
      <c r="JDZ459" s="22"/>
      <c r="JEA459" s="22"/>
      <c r="JEB459" s="22"/>
      <c r="JEC459" s="22"/>
      <c r="JED459" s="22"/>
      <c r="JEE459" s="22"/>
      <c r="JEF459" s="22"/>
      <c r="JEG459" s="22"/>
      <c r="JEH459" s="22"/>
      <c r="JEI459" s="22"/>
      <c r="JEJ459" s="22"/>
      <c r="JEK459" s="22"/>
      <c r="JEL459" s="22"/>
      <c r="JEM459" s="22"/>
      <c r="JEN459" s="22"/>
      <c r="JEO459" s="22"/>
      <c r="JEP459" s="22"/>
      <c r="JEQ459" s="22"/>
      <c r="JER459" s="22"/>
      <c r="JES459" s="22"/>
      <c r="JET459" s="22"/>
      <c r="JEU459" s="22"/>
      <c r="JEV459" s="22"/>
      <c r="JEW459" s="22"/>
      <c r="JEX459" s="22"/>
      <c r="JEY459" s="22"/>
      <c r="JEZ459" s="22"/>
      <c r="JFA459" s="22"/>
      <c r="JFB459" s="22"/>
      <c r="JFC459" s="22"/>
      <c r="JFD459" s="22"/>
      <c r="JFE459" s="22"/>
      <c r="JFF459" s="22"/>
      <c r="JFG459" s="22"/>
      <c r="JFH459" s="22"/>
      <c r="JFI459" s="22"/>
      <c r="JFJ459" s="22"/>
      <c r="JFK459" s="22"/>
      <c r="JFL459" s="22"/>
      <c r="JFM459" s="22"/>
      <c r="JFN459" s="22"/>
      <c r="JFO459" s="22"/>
      <c r="JFP459" s="22"/>
      <c r="JFQ459" s="22"/>
      <c r="JFR459" s="22"/>
      <c r="JFS459" s="22"/>
      <c r="JFT459" s="22"/>
      <c r="JFU459" s="22"/>
      <c r="JFV459" s="22"/>
      <c r="JFW459" s="22"/>
      <c r="JFX459" s="22"/>
      <c r="JFY459" s="22"/>
      <c r="JFZ459" s="22"/>
      <c r="JGA459" s="22"/>
      <c r="JGB459" s="22"/>
      <c r="JGC459" s="22"/>
      <c r="JGD459" s="22"/>
      <c r="JGE459" s="22"/>
      <c r="JGF459" s="22"/>
      <c r="JGG459" s="22"/>
      <c r="JGH459" s="22"/>
      <c r="JGI459" s="22"/>
      <c r="JGJ459" s="22"/>
      <c r="JGK459" s="22"/>
      <c r="JGL459" s="22"/>
      <c r="JGM459" s="22"/>
      <c r="JGN459" s="22"/>
      <c r="JGO459" s="22"/>
      <c r="JGP459" s="22"/>
      <c r="JGQ459" s="22"/>
      <c r="JGR459" s="22"/>
      <c r="JGS459" s="22"/>
      <c r="JGT459" s="22"/>
      <c r="JGU459" s="22"/>
      <c r="JGV459" s="22"/>
      <c r="JGW459" s="22"/>
      <c r="JGX459" s="22"/>
      <c r="JGY459" s="22"/>
      <c r="JGZ459" s="22"/>
      <c r="JHA459" s="22"/>
      <c r="JHB459" s="22"/>
      <c r="JHC459" s="22"/>
      <c r="JHD459" s="22"/>
      <c r="JHE459" s="22"/>
      <c r="JHF459" s="22"/>
      <c r="JHG459" s="22"/>
      <c r="JHH459" s="22"/>
      <c r="JHI459" s="22"/>
      <c r="JHJ459" s="22"/>
      <c r="JHK459" s="22"/>
      <c r="JHL459" s="22"/>
      <c r="JHM459" s="22"/>
      <c r="JHN459" s="22"/>
      <c r="JHO459" s="22"/>
      <c r="JHP459" s="22"/>
      <c r="JHQ459" s="22"/>
      <c r="JHR459" s="22"/>
      <c r="JHS459" s="22"/>
      <c r="JHT459" s="22"/>
      <c r="JHU459" s="22"/>
      <c r="JHV459" s="22"/>
      <c r="JHW459" s="22"/>
      <c r="JHX459" s="22"/>
      <c r="JHY459" s="22"/>
      <c r="JHZ459" s="22"/>
      <c r="JIA459" s="22"/>
      <c r="JIB459" s="22"/>
      <c r="JIC459" s="22"/>
      <c r="JID459" s="22"/>
      <c r="JIE459" s="22"/>
      <c r="JIF459" s="22"/>
      <c r="JIG459" s="22"/>
      <c r="JIH459" s="22"/>
      <c r="JII459" s="22"/>
      <c r="JIJ459" s="22"/>
      <c r="JIK459" s="22"/>
      <c r="JIL459" s="22"/>
      <c r="JIM459" s="22"/>
      <c r="JIN459" s="22"/>
      <c r="JIO459" s="22"/>
      <c r="JIP459" s="22"/>
      <c r="JIQ459" s="22"/>
      <c r="JIR459" s="22"/>
      <c r="JIS459" s="22"/>
      <c r="JIT459" s="22"/>
      <c r="JIU459" s="22"/>
      <c r="JIV459" s="22"/>
      <c r="JIW459" s="22"/>
      <c r="JIX459" s="22"/>
      <c r="JIY459" s="22"/>
      <c r="JIZ459" s="22"/>
      <c r="JJA459" s="22"/>
      <c r="JJB459" s="22"/>
      <c r="JJC459" s="22"/>
      <c r="JJD459" s="22"/>
      <c r="JJE459" s="22"/>
      <c r="JJF459" s="22"/>
      <c r="JJG459" s="22"/>
      <c r="JJH459" s="22"/>
      <c r="JJI459" s="22"/>
      <c r="JJJ459" s="22"/>
      <c r="JJK459" s="22"/>
      <c r="JJL459" s="22"/>
      <c r="JJM459" s="22"/>
      <c r="JJN459" s="22"/>
      <c r="JJO459" s="22"/>
      <c r="JJP459" s="22"/>
      <c r="JJQ459" s="22"/>
      <c r="JJR459" s="22"/>
      <c r="JJS459" s="22"/>
      <c r="JJT459" s="22"/>
      <c r="JJU459" s="22"/>
      <c r="JJV459" s="22"/>
      <c r="JJW459" s="22"/>
      <c r="JJX459" s="22"/>
      <c r="JJY459" s="22"/>
      <c r="JJZ459" s="22"/>
      <c r="JKA459" s="22"/>
      <c r="JKB459" s="22"/>
      <c r="JKC459" s="22"/>
      <c r="JKD459" s="22"/>
      <c r="JKE459" s="22"/>
      <c r="JKF459" s="22"/>
      <c r="JKG459" s="22"/>
      <c r="JKH459" s="22"/>
      <c r="JKI459" s="22"/>
      <c r="JKJ459" s="22"/>
      <c r="JKK459" s="22"/>
      <c r="JKL459" s="22"/>
      <c r="JKM459" s="22"/>
      <c r="JKN459" s="22"/>
      <c r="JKO459" s="22"/>
      <c r="JKP459" s="22"/>
      <c r="JKQ459" s="22"/>
      <c r="JKR459" s="22"/>
      <c r="JKS459" s="22"/>
      <c r="JKT459" s="22"/>
      <c r="JKU459" s="22"/>
      <c r="JKV459" s="22"/>
      <c r="JKW459" s="22"/>
      <c r="JKX459" s="22"/>
      <c r="JKY459" s="22"/>
      <c r="JKZ459" s="22"/>
      <c r="JLA459" s="22"/>
      <c r="JLB459" s="22"/>
      <c r="JLC459" s="22"/>
      <c r="JLD459" s="22"/>
      <c r="JLE459" s="22"/>
      <c r="JLF459" s="22"/>
      <c r="JLG459" s="22"/>
      <c r="JLH459" s="22"/>
      <c r="JLI459" s="22"/>
      <c r="JLJ459" s="22"/>
      <c r="JLK459" s="22"/>
      <c r="JLL459" s="22"/>
      <c r="JLM459" s="22"/>
      <c r="JLN459" s="22"/>
      <c r="JLO459" s="22"/>
      <c r="JLP459" s="22"/>
      <c r="JLQ459" s="22"/>
      <c r="JLR459" s="22"/>
      <c r="JLS459" s="22"/>
      <c r="JLT459" s="22"/>
      <c r="JLU459" s="22"/>
      <c r="JLV459" s="22"/>
      <c r="JLW459" s="22"/>
      <c r="JLX459" s="22"/>
      <c r="JLY459" s="22"/>
      <c r="JLZ459" s="22"/>
      <c r="JMA459" s="22"/>
      <c r="JMB459" s="22"/>
      <c r="JMC459" s="22"/>
      <c r="JMD459" s="22"/>
      <c r="JME459" s="22"/>
      <c r="JMF459" s="22"/>
      <c r="JMG459" s="22"/>
      <c r="JMH459" s="22"/>
      <c r="JMI459" s="22"/>
      <c r="JMJ459" s="22"/>
      <c r="JMK459" s="22"/>
      <c r="JML459" s="22"/>
      <c r="JMM459" s="22"/>
      <c r="JMN459" s="22"/>
      <c r="JMO459" s="22"/>
      <c r="JMP459" s="22"/>
      <c r="JMQ459" s="22"/>
      <c r="JMR459" s="22"/>
      <c r="JMS459" s="22"/>
      <c r="JMT459" s="22"/>
      <c r="JMU459" s="22"/>
      <c r="JMV459" s="22"/>
      <c r="JMW459" s="22"/>
      <c r="JMX459" s="22"/>
      <c r="JMY459" s="22"/>
      <c r="JMZ459" s="22"/>
      <c r="JNA459" s="22"/>
      <c r="JNB459" s="22"/>
      <c r="JNC459" s="22"/>
      <c r="JND459" s="22"/>
      <c r="JNE459" s="22"/>
      <c r="JNF459" s="22"/>
      <c r="JNG459" s="22"/>
      <c r="JNH459" s="22"/>
      <c r="JNI459" s="22"/>
      <c r="JNJ459" s="22"/>
      <c r="JNK459" s="22"/>
      <c r="JNL459" s="22"/>
      <c r="JNM459" s="22"/>
      <c r="JNN459" s="22"/>
      <c r="JNO459" s="22"/>
      <c r="JNP459" s="22"/>
      <c r="JNQ459" s="22"/>
      <c r="JNR459" s="22"/>
      <c r="JNS459" s="22"/>
      <c r="JNT459" s="22"/>
      <c r="JNU459" s="22"/>
      <c r="JNV459" s="22"/>
      <c r="JNW459" s="22"/>
      <c r="JNX459" s="22"/>
      <c r="JNY459" s="22"/>
      <c r="JNZ459" s="22"/>
      <c r="JOA459" s="22"/>
      <c r="JOB459" s="22"/>
      <c r="JOC459" s="22"/>
      <c r="JOD459" s="22"/>
      <c r="JOE459" s="22"/>
      <c r="JOF459" s="22"/>
      <c r="JOG459" s="22"/>
      <c r="JOH459" s="22"/>
      <c r="JOI459" s="22"/>
      <c r="JOJ459" s="22"/>
      <c r="JOK459" s="22"/>
      <c r="JOL459" s="22"/>
      <c r="JOM459" s="22"/>
      <c r="JON459" s="22"/>
      <c r="JOO459" s="22"/>
      <c r="JOP459" s="22"/>
      <c r="JOQ459" s="22"/>
      <c r="JOR459" s="22"/>
      <c r="JOS459" s="22"/>
      <c r="JOT459" s="22"/>
      <c r="JOU459" s="22"/>
      <c r="JOV459" s="22"/>
      <c r="JOW459" s="22"/>
      <c r="JOX459" s="22"/>
      <c r="JOY459" s="22"/>
      <c r="JOZ459" s="22"/>
      <c r="JPA459" s="22"/>
      <c r="JPB459" s="22"/>
      <c r="JPC459" s="22"/>
      <c r="JPD459" s="22"/>
      <c r="JPE459" s="22"/>
      <c r="JPF459" s="22"/>
      <c r="JPG459" s="22"/>
      <c r="JPH459" s="22"/>
      <c r="JPI459" s="22"/>
      <c r="JPJ459" s="22"/>
      <c r="JPK459" s="22"/>
      <c r="JPL459" s="22"/>
      <c r="JPM459" s="22"/>
      <c r="JPN459" s="22"/>
      <c r="JPO459" s="22"/>
      <c r="JPP459" s="22"/>
      <c r="JPQ459" s="22"/>
      <c r="JPR459" s="22"/>
      <c r="JPS459" s="22"/>
      <c r="JPT459" s="22"/>
      <c r="JPU459" s="22"/>
      <c r="JPV459" s="22"/>
      <c r="JPW459" s="22"/>
      <c r="JPX459" s="22"/>
      <c r="JPY459" s="22"/>
      <c r="JPZ459" s="22"/>
      <c r="JQA459" s="22"/>
      <c r="JQB459" s="22"/>
      <c r="JQC459" s="22"/>
      <c r="JQD459" s="22"/>
      <c r="JQE459" s="22"/>
      <c r="JQF459" s="22"/>
      <c r="JQG459" s="22"/>
      <c r="JQH459" s="22"/>
      <c r="JQI459" s="22"/>
      <c r="JQJ459" s="22"/>
      <c r="JQK459" s="22"/>
      <c r="JQL459" s="22"/>
      <c r="JQM459" s="22"/>
      <c r="JQN459" s="22"/>
      <c r="JQO459" s="22"/>
      <c r="JQP459" s="22"/>
      <c r="JQQ459" s="22"/>
      <c r="JQR459" s="22"/>
      <c r="JQS459" s="22"/>
      <c r="JQT459" s="22"/>
      <c r="JQU459" s="22"/>
      <c r="JQV459" s="22"/>
      <c r="JQW459" s="22"/>
      <c r="JQX459" s="22"/>
      <c r="JQY459" s="22"/>
      <c r="JQZ459" s="22"/>
      <c r="JRA459" s="22"/>
      <c r="JRB459" s="22"/>
      <c r="JRC459" s="22"/>
      <c r="JRD459" s="22"/>
      <c r="JRE459" s="22"/>
      <c r="JRF459" s="22"/>
      <c r="JRG459" s="22"/>
      <c r="JRH459" s="22"/>
      <c r="JRI459" s="22"/>
      <c r="JRJ459" s="22"/>
      <c r="JRK459" s="22"/>
      <c r="JRL459" s="22"/>
      <c r="JRM459" s="22"/>
      <c r="JRN459" s="22"/>
      <c r="JRO459" s="22"/>
      <c r="JRP459" s="22"/>
      <c r="JRQ459" s="22"/>
      <c r="JRR459" s="22"/>
      <c r="JRS459" s="22"/>
      <c r="JRT459" s="22"/>
      <c r="JRU459" s="22"/>
      <c r="JRV459" s="22"/>
      <c r="JRW459" s="22"/>
      <c r="JRX459" s="22"/>
      <c r="JRY459" s="22"/>
      <c r="JRZ459" s="22"/>
      <c r="JSA459" s="22"/>
      <c r="JSB459" s="22"/>
      <c r="JSC459" s="22"/>
      <c r="JSD459" s="22"/>
      <c r="JSE459" s="22"/>
      <c r="JSF459" s="22"/>
      <c r="JSG459" s="22"/>
      <c r="JSH459" s="22"/>
      <c r="JSI459" s="22"/>
      <c r="JSJ459" s="22"/>
      <c r="JSK459" s="22"/>
      <c r="JSL459" s="22"/>
      <c r="JSM459" s="22"/>
      <c r="JSN459" s="22"/>
      <c r="JSO459" s="22"/>
      <c r="JSP459" s="22"/>
      <c r="JSQ459" s="22"/>
      <c r="JSR459" s="22"/>
      <c r="JSS459" s="22"/>
      <c r="JST459" s="22"/>
      <c r="JSU459" s="22"/>
      <c r="JSV459" s="22"/>
      <c r="JSW459" s="22"/>
      <c r="JSX459" s="22"/>
      <c r="JSY459" s="22"/>
      <c r="JSZ459" s="22"/>
      <c r="JTA459" s="22"/>
      <c r="JTB459" s="22"/>
      <c r="JTC459" s="22"/>
      <c r="JTD459" s="22"/>
      <c r="JTE459" s="22"/>
      <c r="JTF459" s="22"/>
      <c r="JTG459" s="22"/>
      <c r="JTH459" s="22"/>
      <c r="JTI459" s="22"/>
      <c r="JTJ459" s="22"/>
      <c r="JTK459" s="22"/>
      <c r="JTL459" s="22"/>
      <c r="JTM459" s="22"/>
      <c r="JTN459" s="22"/>
      <c r="JTO459" s="22"/>
      <c r="JTP459" s="22"/>
      <c r="JTQ459" s="22"/>
      <c r="JTR459" s="22"/>
      <c r="JTS459" s="22"/>
      <c r="JTT459" s="22"/>
      <c r="JTU459" s="22"/>
      <c r="JTV459" s="22"/>
      <c r="JTW459" s="22"/>
      <c r="JTX459" s="22"/>
      <c r="JTY459" s="22"/>
      <c r="JTZ459" s="22"/>
      <c r="JUA459" s="22"/>
      <c r="JUB459" s="22"/>
      <c r="JUC459" s="22"/>
      <c r="JUD459" s="22"/>
      <c r="JUE459" s="22"/>
      <c r="JUF459" s="22"/>
      <c r="JUG459" s="22"/>
      <c r="JUH459" s="22"/>
      <c r="JUI459" s="22"/>
      <c r="JUJ459" s="22"/>
      <c r="JUK459" s="22"/>
      <c r="JUL459" s="22"/>
      <c r="JUM459" s="22"/>
      <c r="JUN459" s="22"/>
      <c r="JUO459" s="22"/>
      <c r="JUP459" s="22"/>
      <c r="JUQ459" s="22"/>
      <c r="JUR459" s="22"/>
      <c r="JUS459" s="22"/>
      <c r="JUT459" s="22"/>
      <c r="JUU459" s="22"/>
      <c r="JUV459" s="22"/>
      <c r="JUW459" s="22"/>
      <c r="JUX459" s="22"/>
      <c r="JUY459" s="22"/>
      <c r="JUZ459" s="22"/>
      <c r="JVA459" s="22"/>
      <c r="JVB459" s="22"/>
      <c r="JVC459" s="22"/>
      <c r="JVD459" s="22"/>
      <c r="JVE459" s="22"/>
      <c r="JVF459" s="22"/>
      <c r="JVG459" s="22"/>
      <c r="JVH459" s="22"/>
      <c r="JVI459" s="22"/>
      <c r="JVJ459" s="22"/>
      <c r="JVK459" s="22"/>
      <c r="JVL459" s="22"/>
      <c r="JVM459" s="22"/>
      <c r="JVN459" s="22"/>
      <c r="JVO459" s="22"/>
      <c r="JVP459" s="22"/>
      <c r="JVQ459" s="22"/>
      <c r="JVR459" s="22"/>
      <c r="JVS459" s="22"/>
      <c r="JVT459" s="22"/>
      <c r="JVU459" s="22"/>
      <c r="JVV459" s="22"/>
      <c r="JVW459" s="22"/>
      <c r="JVX459" s="22"/>
      <c r="JVY459" s="22"/>
      <c r="JVZ459" s="22"/>
      <c r="JWA459" s="22"/>
      <c r="JWB459" s="22"/>
      <c r="JWC459" s="22"/>
      <c r="JWD459" s="22"/>
      <c r="JWE459" s="22"/>
      <c r="JWF459" s="22"/>
      <c r="JWG459" s="22"/>
      <c r="JWH459" s="22"/>
      <c r="JWI459" s="22"/>
      <c r="JWJ459" s="22"/>
      <c r="JWK459" s="22"/>
      <c r="JWL459" s="22"/>
      <c r="JWM459" s="22"/>
      <c r="JWN459" s="22"/>
      <c r="JWO459" s="22"/>
      <c r="JWP459" s="22"/>
      <c r="JWQ459" s="22"/>
      <c r="JWR459" s="22"/>
      <c r="JWS459" s="22"/>
      <c r="JWT459" s="22"/>
      <c r="JWU459" s="22"/>
      <c r="JWV459" s="22"/>
      <c r="JWW459" s="22"/>
      <c r="JWX459" s="22"/>
      <c r="JWY459" s="22"/>
      <c r="JWZ459" s="22"/>
      <c r="JXA459" s="22"/>
      <c r="JXB459" s="22"/>
      <c r="JXC459" s="22"/>
      <c r="JXD459" s="22"/>
      <c r="JXE459" s="22"/>
      <c r="JXF459" s="22"/>
      <c r="JXG459" s="22"/>
      <c r="JXH459" s="22"/>
      <c r="JXI459" s="22"/>
      <c r="JXJ459" s="22"/>
      <c r="JXK459" s="22"/>
      <c r="JXL459" s="22"/>
      <c r="JXM459" s="22"/>
      <c r="JXN459" s="22"/>
      <c r="JXO459" s="22"/>
      <c r="JXP459" s="22"/>
      <c r="JXQ459" s="22"/>
      <c r="JXR459" s="22"/>
      <c r="JXS459" s="22"/>
      <c r="JXT459" s="22"/>
      <c r="JXU459" s="22"/>
      <c r="JXV459" s="22"/>
      <c r="JXW459" s="22"/>
      <c r="JXX459" s="22"/>
      <c r="JXY459" s="22"/>
      <c r="JXZ459" s="22"/>
      <c r="JYA459" s="22"/>
      <c r="JYB459" s="22"/>
      <c r="JYC459" s="22"/>
      <c r="JYD459" s="22"/>
      <c r="JYE459" s="22"/>
      <c r="JYF459" s="22"/>
      <c r="JYG459" s="22"/>
      <c r="JYH459" s="22"/>
      <c r="JYI459" s="22"/>
      <c r="JYJ459" s="22"/>
      <c r="JYK459" s="22"/>
      <c r="JYL459" s="22"/>
      <c r="JYM459" s="22"/>
      <c r="JYN459" s="22"/>
      <c r="JYO459" s="22"/>
      <c r="JYP459" s="22"/>
      <c r="JYQ459" s="22"/>
      <c r="JYR459" s="22"/>
      <c r="JYS459" s="22"/>
      <c r="JYT459" s="22"/>
      <c r="JYU459" s="22"/>
      <c r="JYV459" s="22"/>
      <c r="JYW459" s="22"/>
      <c r="JYX459" s="22"/>
      <c r="JYY459" s="22"/>
      <c r="JYZ459" s="22"/>
      <c r="JZA459" s="22"/>
      <c r="JZB459" s="22"/>
      <c r="JZC459" s="22"/>
      <c r="JZD459" s="22"/>
      <c r="JZE459" s="22"/>
      <c r="JZF459" s="22"/>
      <c r="JZG459" s="22"/>
      <c r="JZH459" s="22"/>
      <c r="JZI459" s="22"/>
      <c r="JZJ459" s="22"/>
      <c r="JZK459" s="22"/>
      <c r="JZL459" s="22"/>
      <c r="JZM459" s="22"/>
      <c r="JZN459" s="22"/>
      <c r="JZO459" s="22"/>
      <c r="JZP459" s="22"/>
      <c r="JZQ459" s="22"/>
      <c r="JZR459" s="22"/>
      <c r="JZS459" s="22"/>
      <c r="JZT459" s="22"/>
      <c r="JZU459" s="22"/>
      <c r="JZV459" s="22"/>
      <c r="JZW459" s="22"/>
      <c r="JZX459" s="22"/>
      <c r="JZY459" s="22"/>
      <c r="JZZ459" s="22"/>
      <c r="KAA459" s="22"/>
      <c r="KAB459" s="22"/>
      <c r="KAC459" s="22"/>
      <c r="KAD459" s="22"/>
      <c r="KAE459" s="22"/>
      <c r="KAF459" s="22"/>
      <c r="KAG459" s="22"/>
      <c r="KAH459" s="22"/>
      <c r="KAI459" s="22"/>
      <c r="KAJ459" s="22"/>
      <c r="KAK459" s="22"/>
      <c r="KAL459" s="22"/>
      <c r="KAM459" s="22"/>
      <c r="KAN459" s="22"/>
      <c r="KAO459" s="22"/>
      <c r="KAP459" s="22"/>
      <c r="KAQ459" s="22"/>
      <c r="KAR459" s="22"/>
      <c r="KAS459" s="22"/>
      <c r="KAT459" s="22"/>
      <c r="KAU459" s="22"/>
      <c r="KAV459" s="22"/>
      <c r="KAW459" s="22"/>
      <c r="KAX459" s="22"/>
      <c r="KAY459" s="22"/>
      <c r="KAZ459" s="22"/>
      <c r="KBA459" s="22"/>
      <c r="KBB459" s="22"/>
      <c r="KBC459" s="22"/>
      <c r="KBD459" s="22"/>
      <c r="KBE459" s="22"/>
      <c r="KBF459" s="22"/>
      <c r="KBG459" s="22"/>
      <c r="KBH459" s="22"/>
      <c r="KBI459" s="22"/>
      <c r="KBJ459" s="22"/>
      <c r="KBK459" s="22"/>
      <c r="KBL459" s="22"/>
      <c r="KBM459" s="22"/>
      <c r="KBN459" s="22"/>
      <c r="KBO459" s="22"/>
      <c r="KBP459" s="22"/>
      <c r="KBQ459" s="22"/>
      <c r="KBR459" s="22"/>
      <c r="KBS459" s="22"/>
      <c r="KBT459" s="22"/>
      <c r="KBU459" s="22"/>
      <c r="KBV459" s="22"/>
      <c r="KBW459" s="22"/>
      <c r="KBX459" s="22"/>
      <c r="KBY459" s="22"/>
      <c r="KBZ459" s="22"/>
      <c r="KCA459" s="22"/>
      <c r="KCB459" s="22"/>
      <c r="KCC459" s="22"/>
      <c r="KCD459" s="22"/>
      <c r="KCE459" s="22"/>
      <c r="KCF459" s="22"/>
      <c r="KCG459" s="22"/>
      <c r="KCH459" s="22"/>
      <c r="KCI459" s="22"/>
      <c r="KCJ459" s="22"/>
      <c r="KCK459" s="22"/>
      <c r="KCL459" s="22"/>
      <c r="KCM459" s="22"/>
      <c r="KCN459" s="22"/>
      <c r="KCO459" s="22"/>
      <c r="KCP459" s="22"/>
      <c r="KCQ459" s="22"/>
      <c r="KCR459" s="22"/>
      <c r="KCS459" s="22"/>
      <c r="KCT459" s="22"/>
      <c r="KCU459" s="22"/>
      <c r="KCV459" s="22"/>
      <c r="KCW459" s="22"/>
      <c r="KCX459" s="22"/>
      <c r="KCY459" s="22"/>
      <c r="KCZ459" s="22"/>
      <c r="KDA459" s="22"/>
      <c r="KDB459" s="22"/>
      <c r="KDC459" s="22"/>
      <c r="KDD459" s="22"/>
      <c r="KDE459" s="22"/>
      <c r="KDF459" s="22"/>
      <c r="KDG459" s="22"/>
      <c r="KDH459" s="22"/>
      <c r="KDI459" s="22"/>
      <c r="KDJ459" s="22"/>
      <c r="KDK459" s="22"/>
      <c r="KDL459" s="22"/>
      <c r="KDM459" s="22"/>
      <c r="KDN459" s="22"/>
      <c r="KDO459" s="22"/>
      <c r="KDP459" s="22"/>
      <c r="KDQ459" s="22"/>
      <c r="KDR459" s="22"/>
      <c r="KDS459" s="22"/>
      <c r="KDT459" s="22"/>
      <c r="KDU459" s="22"/>
      <c r="KDV459" s="22"/>
      <c r="KDW459" s="22"/>
      <c r="KDX459" s="22"/>
      <c r="KDY459" s="22"/>
      <c r="KDZ459" s="22"/>
      <c r="KEA459" s="22"/>
      <c r="KEB459" s="22"/>
      <c r="KEC459" s="22"/>
      <c r="KED459" s="22"/>
      <c r="KEE459" s="22"/>
      <c r="KEF459" s="22"/>
      <c r="KEG459" s="22"/>
      <c r="KEH459" s="22"/>
      <c r="KEI459" s="22"/>
      <c r="KEJ459" s="22"/>
      <c r="KEK459" s="22"/>
      <c r="KEL459" s="22"/>
      <c r="KEM459" s="22"/>
      <c r="KEN459" s="22"/>
      <c r="KEO459" s="22"/>
      <c r="KEP459" s="22"/>
      <c r="KEQ459" s="22"/>
      <c r="KER459" s="22"/>
      <c r="KES459" s="22"/>
      <c r="KET459" s="22"/>
      <c r="KEU459" s="22"/>
      <c r="KEV459" s="22"/>
      <c r="KEW459" s="22"/>
      <c r="KEX459" s="22"/>
      <c r="KEY459" s="22"/>
      <c r="KEZ459" s="22"/>
      <c r="KFA459" s="22"/>
      <c r="KFB459" s="22"/>
      <c r="KFC459" s="22"/>
      <c r="KFD459" s="22"/>
      <c r="KFE459" s="22"/>
      <c r="KFF459" s="22"/>
      <c r="KFG459" s="22"/>
      <c r="KFH459" s="22"/>
      <c r="KFI459" s="22"/>
      <c r="KFJ459" s="22"/>
      <c r="KFK459" s="22"/>
      <c r="KFL459" s="22"/>
      <c r="KFM459" s="22"/>
      <c r="KFN459" s="22"/>
      <c r="KFO459" s="22"/>
      <c r="KFP459" s="22"/>
      <c r="KFQ459" s="22"/>
      <c r="KFR459" s="22"/>
      <c r="KFS459" s="22"/>
      <c r="KFT459" s="22"/>
      <c r="KFU459" s="22"/>
      <c r="KFV459" s="22"/>
      <c r="KFW459" s="22"/>
      <c r="KFX459" s="22"/>
      <c r="KFY459" s="22"/>
      <c r="KFZ459" s="22"/>
      <c r="KGA459" s="22"/>
      <c r="KGB459" s="22"/>
      <c r="KGC459" s="22"/>
      <c r="KGD459" s="22"/>
      <c r="KGE459" s="22"/>
      <c r="KGF459" s="22"/>
      <c r="KGG459" s="22"/>
      <c r="KGH459" s="22"/>
      <c r="KGI459" s="22"/>
      <c r="KGJ459" s="22"/>
      <c r="KGK459" s="22"/>
      <c r="KGL459" s="22"/>
      <c r="KGM459" s="22"/>
      <c r="KGN459" s="22"/>
      <c r="KGO459" s="22"/>
      <c r="KGP459" s="22"/>
      <c r="KGQ459" s="22"/>
      <c r="KGR459" s="22"/>
      <c r="KGS459" s="22"/>
      <c r="KGT459" s="22"/>
      <c r="KGU459" s="22"/>
      <c r="KGV459" s="22"/>
      <c r="KGW459" s="22"/>
      <c r="KGX459" s="22"/>
      <c r="KGY459" s="22"/>
      <c r="KGZ459" s="22"/>
      <c r="KHA459" s="22"/>
      <c r="KHB459" s="22"/>
      <c r="KHC459" s="22"/>
      <c r="KHD459" s="22"/>
      <c r="KHE459" s="22"/>
      <c r="KHF459" s="22"/>
      <c r="KHG459" s="22"/>
      <c r="KHH459" s="22"/>
      <c r="KHI459" s="22"/>
      <c r="KHJ459" s="22"/>
      <c r="KHK459" s="22"/>
      <c r="KHL459" s="22"/>
      <c r="KHM459" s="22"/>
      <c r="KHN459" s="22"/>
      <c r="KHO459" s="22"/>
      <c r="KHP459" s="22"/>
      <c r="KHQ459" s="22"/>
      <c r="KHR459" s="22"/>
      <c r="KHS459" s="22"/>
      <c r="KHT459" s="22"/>
      <c r="KHU459" s="22"/>
      <c r="KHV459" s="22"/>
      <c r="KHW459" s="22"/>
      <c r="KHX459" s="22"/>
      <c r="KHY459" s="22"/>
      <c r="KHZ459" s="22"/>
      <c r="KIA459" s="22"/>
      <c r="KIB459" s="22"/>
      <c r="KIC459" s="22"/>
      <c r="KID459" s="22"/>
      <c r="KIE459" s="22"/>
      <c r="KIF459" s="22"/>
      <c r="KIG459" s="22"/>
      <c r="KIH459" s="22"/>
      <c r="KII459" s="22"/>
      <c r="KIJ459" s="22"/>
      <c r="KIK459" s="22"/>
      <c r="KIL459" s="22"/>
      <c r="KIM459" s="22"/>
      <c r="KIN459" s="22"/>
      <c r="KIO459" s="22"/>
      <c r="KIP459" s="22"/>
      <c r="KIQ459" s="22"/>
      <c r="KIR459" s="22"/>
      <c r="KIS459" s="22"/>
      <c r="KIT459" s="22"/>
      <c r="KIU459" s="22"/>
      <c r="KIV459" s="22"/>
      <c r="KIW459" s="22"/>
      <c r="KIX459" s="22"/>
      <c r="KIY459" s="22"/>
      <c r="KIZ459" s="22"/>
      <c r="KJA459" s="22"/>
      <c r="KJB459" s="22"/>
      <c r="KJC459" s="22"/>
      <c r="KJD459" s="22"/>
      <c r="KJE459" s="22"/>
      <c r="KJF459" s="22"/>
      <c r="KJG459" s="22"/>
      <c r="KJH459" s="22"/>
      <c r="KJI459" s="22"/>
      <c r="KJJ459" s="22"/>
      <c r="KJK459" s="22"/>
      <c r="KJL459" s="22"/>
      <c r="KJM459" s="22"/>
      <c r="KJN459" s="22"/>
      <c r="KJO459" s="22"/>
      <c r="KJP459" s="22"/>
      <c r="KJQ459" s="22"/>
      <c r="KJR459" s="22"/>
      <c r="KJS459" s="22"/>
      <c r="KJT459" s="22"/>
      <c r="KJU459" s="22"/>
      <c r="KJV459" s="22"/>
      <c r="KJW459" s="22"/>
      <c r="KJX459" s="22"/>
      <c r="KJY459" s="22"/>
      <c r="KJZ459" s="22"/>
      <c r="KKA459" s="22"/>
      <c r="KKB459" s="22"/>
      <c r="KKC459" s="22"/>
      <c r="KKD459" s="22"/>
      <c r="KKE459" s="22"/>
      <c r="KKF459" s="22"/>
      <c r="KKG459" s="22"/>
      <c r="KKH459" s="22"/>
      <c r="KKI459" s="22"/>
      <c r="KKJ459" s="22"/>
      <c r="KKK459" s="22"/>
      <c r="KKL459" s="22"/>
      <c r="KKM459" s="22"/>
      <c r="KKN459" s="22"/>
      <c r="KKO459" s="22"/>
      <c r="KKP459" s="22"/>
      <c r="KKQ459" s="22"/>
      <c r="KKR459" s="22"/>
      <c r="KKS459" s="22"/>
      <c r="KKT459" s="22"/>
      <c r="KKU459" s="22"/>
      <c r="KKV459" s="22"/>
      <c r="KKW459" s="22"/>
      <c r="KKX459" s="22"/>
      <c r="KKY459" s="22"/>
      <c r="KKZ459" s="22"/>
      <c r="KLA459" s="22"/>
      <c r="KLB459" s="22"/>
      <c r="KLC459" s="22"/>
      <c r="KLD459" s="22"/>
      <c r="KLE459" s="22"/>
      <c r="KLF459" s="22"/>
      <c r="KLG459" s="22"/>
      <c r="KLH459" s="22"/>
      <c r="KLI459" s="22"/>
      <c r="KLJ459" s="22"/>
      <c r="KLK459" s="22"/>
      <c r="KLL459" s="22"/>
      <c r="KLM459" s="22"/>
      <c r="KLN459" s="22"/>
      <c r="KLO459" s="22"/>
      <c r="KLP459" s="22"/>
      <c r="KLQ459" s="22"/>
      <c r="KLR459" s="22"/>
      <c r="KLS459" s="22"/>
      <c r="KLT459" s="22"/>
      <c r="KLU459" s="22"/>
      <c r="KLV459" s="22"/>
      <c r="KLW459" s="22"/>
      <c r="KLX459" s="22"/>
      <c r="KLY459" s="22"/>
      <c r="KLZ459" s="22"/>
      <c r="KMA459" s="22"/>
      <c r="KMB459" s="22"/>
      <c r="KMC459" s="22"/>
      <c r="KMD459" s="22"/>
      <c r="KME459" s="22"/>
      <c r="KMF459" s="22"/>
      <c r="KMG459" s="22"/>
      <c r="KMH459" s="22"/>
      <c r="KMI459" s="22"/>
      <c r="KMJ459" s="22"/>
      <c r="KMK459" s="22"/>
      <c r="KML459" s="22"/>
      <c r="KMM459" s="22"/>
      <c r="KMN459" s="22"/>
      <c r="KMO459" s="22"/>
      <c r="KMP459" s="22"/>
      <c r="KMQ459" s="22"/>
      <c r="KMR459" s="22"/>
      <c r="KMS459" s="22"/>
      <c r="KMT459" s="22"/>
      <c r="KMU459" s="22"/>
      <c r="KMV459" s="22"/>
      <c r="KMW459" s="22"/>
      <c r="KMX459" s="22"/>
      <c r="KMY459" s="22"/>
      <c r="KMZ459" s="22"/>
      <c r="KNA459" s="22"/>
      <c r="KNB459" s="22"/>
      <c r="KNC459" s="22"/>
      <c r="KND459" s="22"/>
      <c r="KNE459" s="22"/>
      <c r="KNF459" s="22"/>
      <c r="KNG459" s="22"/>
      <c r="KNH459" s="22"/>
      <c r="KNI459" s="22"/>
      <c r="KNJ459" s="22"/>
      <c r="KNK459" s="22"/>
      <c r="KNL459" s="22"/>
      <c r="KNM459" s="22"/>
      <c r="KNN459" s="22"/>
      <c r="KNO459" s="22"/>
      <c r="KNP459" s="22"/>
      <c r="KNQ459" s="22"/>
      <c r="KNR459" s="22"/>
      <c r="KNS459" s="22"/>
      <c r="KNT459" s="22"/>
      <c r="KNU459" s="22"/>
      <c r="KNV459" s="22"/>
      <c r="KNW459" s="22"/>
      <c r="KNX459" s="22"/>
      <c r="KNY459" s="22"/>
      <c r="KNZ459" s="22"/>
      <c r="KOA459" s="22"/>
      <c r="KOB459" s="22"/>
      <c r="KOC459" s="22"/>
      <c r="KOD459" s="22"/>
      <c r="KOE459" s="22"/>
      <c r="KOF459" s="22"/>
      <c r="KOG459" s="22"/>
      <c r="KOH459" s="22"/>
      <c r="KOI459" s="22"/>
      <c r="KOJ459" s="22"/>
      <c r="KOK459" s="22"/>
      <c r="KOL459" s="22"/>
      <c r="KOM459" s="22"/>
      <c r="KON459" s="22"/>
      <c r="KOO459" s="22"/>
      <c r="KOP459" s="22"/>
      <c r="KOQ459" s="22"/>
      <c r="KOR459" s="22"/>
      <c r="KOS459" s="22"/>
      <c r="KOT459" s="22"/>
      <c r="KOU459" s="22"/>
      <c r="KOV459" s="22"/>
      <c r="KOW459" s="22"/>
      <c r="KOX459" s="22"/>
      <c r="KOY459" s="22"/>
      <c r="KOZ459" s="22"/>
      <c r="KPA459" s="22"/>
      <c r="KPB459" s="22"/>
      <c r="KPC459" s="22"/>
      <c r="KPD459" s="22"/>
      <c r="KPE459" s="22"/>
      <c r="KPF459" s="22"/>
      <c r="KPG459" s="22"/>
      <c r="KPH459" s="22"/>
      <c r="KPI459" s="22"/>
      <c r="KPJ459" s="22"/>
      <c r="KPK459" s="22"/>
      <c r="KPL459" s="22"/>
      <c r="KPM459" s="22"/>
      <c r="KPN459" s="22"/>
      <c r="KPO459" s="22"/>
      <c r="KPP459" s="22"/>
      <c r="KPQ459" s="22"/>
      <c r="KPR459" s="22"/>
      <c r="KPS459" s="22"/>
      <c r="KPT459" s="22"/>
      <c r="KPU459" s="22"/>
      <c r="KPV459" s="22"/>
      <c r="KPW459" s="22"/>
      <c r="KPX459" s="22"/>
      <c r="KPY459" s="22"/>
      <c r="KPZ459" s="22"/>
      <c r="KQA459" s="22"/>
      <c r="KQB459" s="22"/>
      <c r="KQC459" s="22"/>
      <c r="KQD459" s="22"/>
      <c r="KQE459" s="22"/>
      <c r="KQF459" s="22"/>
      <c r="KQG459" s="22"/>
      <c r="KQH459" s="22"/>
      <c r="KQI459" s="22"/>
      <c r="KQJ459" s="22"/>
      <c r="KQK459" s="22"/>
      <c r="KQL459" s="22"/>
      <c r="KQM459" s="22"/>
      <c r="KQN459" s="22"/>
      <c r="KQO459" s="22"/>
      <c r="KQP459" s="22"/>
      <c r="KQQ459" s="22"/>
      <c r="KQR459" s="22"/>
      <c r="KQS459" s="22"/>
      <c r="KQT459" s="22"/>
      <c r="KQU459" s="22"/>
      <c r="KQV459" s="22"/>
      <c r="KQW459" s="22"/>
      <c r="KQX459" s="22"/>
      <c r="KQY459" s="22"/>
      <c r="KQZ459" s="22"/>
      <c r="KRA459" s="22"/>
      <c r="KRB459" s="22"/>
      <c r="KRC459" s="22"/>
      <c r="KRD459" s="22"/>
      <c r="KRE459" s="22"/>
      <c r="KRF459" s="22"/>
      <c r="KRG459" s="22"/>
      <c r="KRH459" s="22"/>
      <c r="KRI459" s="22"/>
      <c r="KRJ459" s="22"/>
      <c r="KRK459" s="22"/>
      <c r="KRL459" s="22"/>
      <c r="KRM459" s="22"/>
      <c r="KRN459" s="22"/>
      <c r="KRO459" s="22"/>
      <c r="KRP459" s="22"/>
      <c r="KRQ459" s="22"/>
      <c r="KRR459" s="22"/>
      <c r="KRS459" s="22"/>
      <c r="KRT459" s="22"/>
      <c r="KRU459" s="22"/>
      <c r="KRV459" s="22"/>
      <c r="KRW459" s="22"/>
      <c r="KRX459" s="22"/>
      <c r="KRY459" s="22"/>
      <c r="KRZ459" s="22"/>
      <c r="KSA459" s="22"/>
      <c r="KSB459" s="22"/>
      <c r="KSC459" s="22"/>
      <c r="KSD459" s="22"/>
      <c r="KSE459" s="22"/>
      <c r="KSF459" s="22"/>
      <c r="KSG459" s="22"/>
      <c r="KSH459" s="22"/>
      <c r="KSI459" s="22"/>
      <c r="KSJ459" s="22"/>
      <c r="KSK459" s="22"/>
      <c r="KSL459" s="22"/>
      <c r="KSM459" s="22"/>
      <c r="KSN459" s="22"/>
      <c r="KSO459" s="22"/>
      <c r="KSP459" s="22"/>
      <c r="KSQ459" s="22"/>
      <c r="KSR459" s="22"/>
      <c r="KSS459" s="22"/>
      <c r="KST459" s="22"/>
      <c r="KSU459" s="22"/>
      <c r="KSV459" s="22"/>
      <c r="KSW459" s="22"/>
      <c r="KSX459" s="22"/>
      <c r="KSY459" s="22"/>
      <c r="KSZ459" s="22"/>
      <c r="KTA459" s="22"/>
      <c r="KTB459" s="22"/>
      <c r="KTC459" s="22"/>
      <c r="KTD459" s="22"/>
      <c r="KTE459" s="22"/>
      <c r="KTF459" s="22"/>
      <c r="KTG459" s="22"/>
      <c r="KTH459" s="22"/>
      <c r="KTI459" s="22"/>
      <c r="KTJ459" s="22"/>
      <c r="KTK459" s="22"/>
      <c r="KTL459" s="22"/>
      <c r="KTM459" s="22"/>
      <c r="KTN459" s="22"/>
      <c r="KTO459" s="22"/>
      <c r="KTP459" s="22"/>
      <c r="KTQ459" s="22"/>
      <c r="KTR459" s="22"/>
      <c r="KTS459" s="22"/>
      <c r="KTT459" s="22"/>
      <c r="KTU459" s="22"/>
      <c r="KTV459" s="22"/>
      <c r="KTW459" s="22"/>
      <c r="KTX459" s="22"/>
      <c r="KTY459" s="22"/>
      <c r="KTZ459" s="22"/>
      <c r="KUA459" s="22"/>
      <c r="KUB459" s="22"/>
      <c r="KUC459" s="22"/>
      <c r="KUD459" s="22"/>
      <c r="KUE459" s="22"/>
      <c r="KUF459" s="22"/>
      <c r="KUG459" s="22"/>
      <c r="KUH459" s="22"/>
      <c r="KUI459" s="22"/>
      <c r="KUJ459" s="22"/>
      <c r="KUK459" s="22"/>
      <c r="KUL459" s="22"/>
      <c r="KUM459" s="22"/>
      <c r="KUN459" s="22"/>
      <c r="KUO459" s="22"/>
      <c r="KUP459" s="22"/>
      <c r="KUQ459" s="22"/>
      <c r="KUR459" s="22"/>
      <c r="KUS459" s="22"/>
      <c r="KUT459" s="22"/>
      <c r="KUU459" s="22"/>
      <c r="KUV459" s="22"/>
      <c r="KUW459" s="22"/>
      <c r="KUX459" s="22"/>
      <c r="KUY459" s="22"/>
      <c r="KUZ459" s="22"/>
      <c r="KVA459" s="22"/>
      <c r="KVB459" s="22"/>
      <c r="KVC459" s="22"/>
      <c r="KVD459" s="22"/>
      <c r="KVE459" s="22"/>
      <c r="KVF459" s="22"/>
      <c r="KVG459" s="22"/>
      <c r="KVH459" s="22"/>
      <c r="KVI459" s="22"/>
      <c r="KVJ459" s="22"/>
      <c r="KVK459" s="22"/>
      <c r="KVL459" s="22"/>
      <c r="KVM459" s="22"/>
      <c r="KVN459" s="22"/>
      <c r="KVO459" s="22"/>
      <c r="KVP459" s="22"/>
      <c r="KVQ459" s="22"/>
      <c r="KVR459" s="22"/>
      <c r="KVS459" s="22"/>
      <c r="KVT459" s="22"/>
      <c r="KVU459" s="22"/>
      <c r="KVV459" s="22"/>
      <c r="KVW459" s="22"/>
      <c r="KVX459" s="22"/>
      <c r="KVY459" s="22"/>
      <c r="KVZ459" s="22"/>
      <c r="KWA459" s="22"/>
      <c r="KWB459" s="22"/>
      <c r="KWC459" s="22"/>
      <c r="KWD459" s="22"/>
      <c r="KWE459" s="22"/>
      <c r="KWF459" s="22"/>
      <c r="KWG459" s="22"/>
      <c r="KWH459" s="22"/>
      <c r="KWI459" s="22"/>
      <c r="KWJ459" s="22"/>
      <c r="KWK459" s="22"/>
      <c r="KWL459" s="22"/>
      <c r="KWM459" s="22"/>
      <c r="KWN459" s="22"/>
      <c r="KWO459" s="22"/>
      <c r="KWP459" s="22"/>
      <c r="KWQ459" s="22"/>
      <c r="KWR459" s="22"/>
      <c r="KWS459" s="22"/>
      <c r="KWT459" s="22"/>
      <c r="KWU459" s="22"/>
      <c r="KWV459" s="22"/>
      <c r="KWW459" s="22"/>
      <c r="KWX459" s="22"/>
      <c r="KWY459" s="22"/>
      <c r="KWZ459" s="22"/>
      <c r="KXA459" s="22"/>
      <c r="KXB459" s="22"/>
      <c r="KXC459" s="22"/>
      <c r="KXD459" s="22"/>
      <c r="KXE459" s="22"/>
      <c r="KXF459" s="22"/>
      <c r="KXG459" s="22"/>
      <c r="KXH459" s="22"/>
      <c r="KXI459" s="22"/>
      <c r="KXJ459" s="22"/>
      <c r="KXK459" s="22"/>
      <c r="KXL459" s="22"/>
      <c r="KXM459" s="22"/>
      <c r="KXN459" s="22"/>
      <c r="KXO459" s="22"/>
      <c r="KXP459" s="22"/>
      <c r="KXQ459" s="22"/>
      <c r="KXR459" s="22"/>
      <c r="KXS459" s="22"/>
      <c r="KXT459" s="22"/>
      <c r="KXU459" s="22"/>
      <c r="KXV459" s="22"/>
      <c r="KXW459" s="22"/>
      <c r="KXX459" s="22"/>
      <c r="KXY459" s="22"/>
      <c r="KXZ459" s="22"/>
      <c r="KYA459" s="22"/>
      <c r="KYB459" s="22"/>
      <c r="KYC459" s="22"/>
      <c r="KYD459" s="22"/>
      <c r="KYE459" s="22"/>
      <c r="KYF459" s="22"/>
      <c r="KYG459" s="22"/>
      <c r="KYH459" s="22"/>
      <c r="KYI459" s="22"/>
      <c r="KYJ459" s="22"/>
      <c r="KYK459" s="22"/>
      <c r="KYL459" s="22"/>
      <c r="KYM459" s="22"/>
      <c r="KYN459" s="22"/>
      <c r="KYO459" s="22"/>
      <c r="KYP459" s="22"/>
      <c r="KYQ459" s="22"/>
      <c r="KYR459" s="22"/>
      <c r="KYS459" s="22"/>
      <c r="KYT459" s="22"/>
      <c r="KYU459" s="22"/>
      <c r="KYV459" s="22"/>
      <c r="KYW459" s="22"/>
      <c r="KYX459" s="22"/>
      <c r="KYY459" s="22"/>
      <c r="KYZ459" s="22"/>
      <c r="KZA459" s="22"/>
      <c r="KZB459" s="22"/>
      <c r="KZC459" s="22"/>
      <c r="KZD459" s="22"/>
      <c r="KZE459" s="22"/>
      <c r="KZF459" s="22"/>
      <c r="KZG459" s="22"/>
      <c r="KZH459" s="22"/>
      <c r="KZI459" s="22"/>
      <c r="KZJ459" s="22"/>
      <c r="KZK459" s="22"/>
      <c r="KZL459" s="22"/>
      <c r="KZM459" s="22"/>
      <c r="KZN459" s="22"/>
      <c r="KZO459" s="22"/>
      <c r="KZP459" s="22"/>
      <c r="KZQ459" s="22"/>
      <c r="KZR459" s="22"/>
      <c r="KZS459" s="22"/>
      <c r="KZT459" s="22"/>
      <c r="KZU459" s="22"/>
      <c r="KZV459" s="22"/>
      <c r="KZW459" s="22"/>
      <c r="KZX459" s="22"/>
      <c r="KZY459" s="22"/>
      <c r="KZZ459" s="22"/>
      <c r="LAA459" s="22"/>
      <c r="LAB459" s="22"/>
      <c r="LAC459" s="22"/>
      <c r="LAD459" s="22"/>
      <c r="LAE459" s="22"/>
      <c r="LAF459" s="22"/>
      <c r="LAG459" s="22"/>
      <c r="LAH459" s="22"/>
      <c r="LAI459" s="22"/>
      <c r="LAJ459" s="22"/>
      <c r="LAK459" s="22"/>
      <c r="LAL459" s="22"/>
      <c r="LAM459" s="22"/>
      <c r="LAN459" s="22"/>
      <c r="LAO459" s="22"/>
      <c r="LAP459" s="22"/>
      <c r="LAQ459" s="22"/>
      <c r="LAR459" s="22"/>
      <c r="LAS459" s="22"/>
      <c r="LAT459" s="22"/>
      <c r="LAU459" s="22"/>
      <c r="LAV459" s="22"/>
      <c r="LAW459" s="22"/>
      <c r="LAX459" s="22"/>
      <c r="LAY459" s="22"/>
      <c r="LAZ459" s="22"/>
      <c r="LBA459" s="22"/>
      <c r="LBB459" s="22"/>
      <c r="LBC459" s="22"/>
      <c r="LBD459" s="22"/>
      <c r="LBE459" s="22"/>
      <c r="LBF459" s="22"/>
      <c r="LBG459" s="22"/>
      <c r="LBH459" s="22"/>
      <c r="LBI459" s="22"/>
      <c r="LBJ459" s="22"/>
      <c r="LBK459" s="22"/>
      <c r="LBL459" s="22"/>
      <c r="LBM459" s="22"/>
      <c r="LBN459" s="22"/>
      <c r="LBO459" s="22"/>
      <c r="LBP459" s="22"/>
      <c r="LBQ459" s="22"/>
      <c r="LBR459" s="22"/>
      <c r="LBS459" s="22"/>
      <c r="LBT459" s="22"/>
      <c r="LBU459" s="22"/>
      <c r="LBV459" s="22"/>
      <c r="LBW459" s="22"/>
      <c r="LBX459" s="22"/>
      <c r="LBY459" s="22"/>
      <c r="LBZ459" s="22"/>
      <c r="LCA459" s="22"/>
      <c r="LCB459" s="22"/>
      <c r="LCC459" s="22"/>
      <c r="LCD459" s="22"/>
      <c r="LCE459" s="22"/>
      <c r="LCF459" s="22"/>
      <c r="LCG459" s="22"/>
      <c r="LCH459" s="22"/>
      <c r="LCI459" s="22"/>
      <c r="LCJ459" s="22"/>
      <c r="LCK459" s="22"/>
      <c r="LCL459" s="22"/>
      <c r="LCM459" s="22"/>
      <c r="LCN459" s="22"/>
      <c r="LCO459" s="22"/>
      <c r="LCP459" s="22"/>
      <c r="LCQ459" s="22"/>
      <c r="LCR459" s="22"/>
      <c r="LCS459" s="22"/>
      <c r="LCT459" s="22"/>
      <c r="LCU459" s="22"/>
      <c r="LCV459" s="22"/>
      <c r="LCW459" s="22"/>
      <c r="LCX459" s="22"/>
      <c r="LCY459" s="22"/>
      <c r="LCZ459" s="22"/>
      <c r="LDA459" s="22"/>
      <c r="LDB459" s="22"/>
      <c r="LDC459" s="22"/>
      <c r="LDD459" s="22"/>
      <c r="LDE459" s="22"/>
      <c r="LDF459" s="22"/>
      <c r="LDG459" s="22"/>
      <c r="LDH459" s="22"/>
      <c r="LDI459" s="22"/>
      <c r="LDJ459" s="22"/>
      <c r="LDK459" s="22"/>
      <c r="LDL459" s="22"/>
      <c r="LDM459" s="22"/>
      <c r="LDN459" s="22"/>
      <c r="LDO459" s="22"/>
      <c r="LDP459" s="22"/>
      <c r="LDQ459" s="22"/>
      <c r="LDR459" s="22"/>
      <c r="LDS459" s="22"/>
      <c r="LDT459" s="22"/>
      <c r="LDU459" s="22"/>
      <c r="LDV459" s="22"/>
      <c r="LDW459" s="22"/>
      <c r="LDX459" s="22"/>
      <c r="LDY459" s="22"/>
      <c r="LDZ459" s="22"/>
      <c r="LEA459" s="22"/>
      <c r="LEB459" s="22"/>
      <c r="LEC459" s="22"/>
      <c r="LED459" s="22"/>
      <c r="LEE459" s="22"/>
      <c r="LEF459" s="22"/>
      <c r="LEG459" s="22"/>
      <c r="LEH459" s="22"/>
      <c r="LEI459" s="22"/>
      <c r="LEJ459" s="22"/>
      <c r="LEK459" s="22"/>
      <c r="LEL459" s="22"/>
      <c r="LEM459" s="22"/>
      <c r="LEN459" s="22"/>
      <c r="LEO459" s="22"/>
      <c r="LEP459" s="22"/>
      <c r="LEQ459" s="22"/>
      <c r="LER459" s="22"/>
      <c r="LES459" s="22"/>
      <c r="LET459" s="22"/>
      <c r="LEU459" s="22"/>
      <c r="LEV459" s="22"/>
      <c r="LEW459" s="22"/>
      <c r="LEX459" s="22"/>
      <c r="LEY459" s="22"/>
      <c r="LEZ459" s="22"/>
      <c r="LFA459" s="22"/>
      <c r="LFB459" s="22"/>
      <c r="LFC459" s="22"/>
      <c r="LFD459" s="22"/>
      <c r="LFE459" s="22"/>
      <c r="LFF459" s="22"/>
      <c r="LFG459" s="22"/>
      <c r="LFH459" s="22"/>
      <c r="LFI459" s="22"/>
      <c r="LFJ459" s="22"/>
      <c r="LFK459" s="22"/>
      <c r="LFL459" s="22"/>
      <c r="LFM459" s="22"/>
      <c r="LFN459" s="22"/>
      <c r="LFO459" s="22"/>
      <c r="LFP459" s="22"/>
      <c r="LFQ459" s="22"/>
      <c r="LFR459" s="22"/>
      <c r="LFS459" s="22"/>
      <c r="LFT459" s="22"/>
      <c r="LFU459" s="22"/>
      <c r="LFV459" s="22"/>
      <c r="LFW459" s="22"/>
      <c r="LFX459" s="22"/>
      <c r="LFY459" s="22"/>
      <c r="LFZ459" s="22"/>
      <c r="LGA459" s="22"/>
      <c r="LGB459" s="22"/>
      <c r="LGC459" s="22"/>
      <c r="LGD459" s="22"/>
      <c r="LGE459" s="22"/>
      <c r="LGF459" s="22"/>
      <c r="LGG459" s="22"/>
      <c r="LGH459" s="22"/>
      <c r="LGI459" s="22"/>
      <c r="LGJ459" s="22"/>
      <c r="LGK459" s="22"/>
      <c r="LGL459" s="22"/>
      <c r="LGM459" s="22"/>
      <c r="LGN459" s="22"/>
      <c r="LGO459" s="22"/>
      <c r="LGP459" s="22"/>
      <c r="LGQ459" s="22"/>
      <c r="LGR459" s="22"/>
      <c r="LGS459" s="22"/>
      <c r="LGT459" s="22"/>
      <c r="LGU459" s="22"/>
      <c r="LGV459" s="22"/>
      <c r="LGW459" s="22"/>
      <c r="LGX459" s="22"/>
      <c r="LGY459" s="22"/>
      <c r="LGZ459" s="22"/>
      <c r="LHA459" s="22"/>
      <c r="LHB459" s="22"/>
      <c r="LHC459" s="22"/>
      <c r="LHD459" s="22"/>
      <c r="LHE459" s="22"/>
      <c r="LHF459" s="22"/>
      <c r="LHG459" s="22"/>
      <c r="LHH459" s="22"/>
      <c r="LHI459" s="22"/>
      <c r="LHJ459" s="22"/>
      <c r="LHK459" s="22"/>
      <c r="LHL459" s="22"/>
      <c r="LHM459" s="22"/>
      <c r="LHN459" s="22"/>
      <c r="LHO459" s="22"/>
      <c r="LHP459" s="22"/>
      <c r="LHQ459" s="22"/>
      <c r="LHR459" s="22"/>
      <c r="LHS459" s="22"/>
      <c r="LHT459" s="22"/>
      <c r="LHU459" s="22"/>
      <c r="LHV459" s="22"/>
      <c r="LHW459" s="22"/>
      <c r="LHX459" s="22"/>
      <c r="LHY459" s="22"/>
      <c r="LHZ459" s="22"/>
      <c r="LIA459" s="22"/>
      <c r="LIB459" s="22"/>
      <c r="LIC459" s="22"/>
      <c r="LID459" s="22"/>
      <c r="LIE459" s="22"/>
      <c r="LIF459" s="22"/>
      <c r="LIG459" s="22"/>
      <c r="LIH459" s="22"/>
      <c r="LII459" s="22"/>
      <c r="LIJ459" s="22"/>
      <c r="LIK459" s="22"/>
      <c r="LIL459" s="22"/>
      <c r="LIM459" s="22"/>
      <c r="LIN459" s="22"/>
      <c r="LIO459" s="22"/>
      <c r="LIP459" s="22"/>
      <c r="LIQ459" s="22"/>
      <c r="LIR459" s="22"/>
      <c r="LIS459" s="22"/>
      <c r="LIT459" s="22"/>
      <c r="LIU459" s="22"/>
      <c r="LIV459" s="22"/>
      <c r="LIW459" s="22"/>
      <c r="LIX459" s="22"/>
      <c r="LIY459" s="22"/>
      <c r="LIZ459" s="22"/>
      <c r="LJA459" s="22"/>
      <c r="LJB459" s="22"/>
      <c r="LJC459" s="22"/>
      <c r="LJD459" s="22"/>
      <c r="LJE459" s="22"/>
      <c r="LJF459" s="22"/>
      <c r="LJG459" s="22"/>
      <c r="LJH459" s="22"/>
      <c r="LJI459" s="22"/>
      <c r="LJJ459" s="22"/>
      <c r="LJK459" s="22"/>
      <c r="LJL459" s="22"/>
      <c r="LJM459" s="22"/>
      <c r="LJN459" s="22"/>
      <c r="LJO459" s="22"/>
      <c r="LJP459" s="22"/>
      <c r="LJQ459" s="22"/>
      <c r="LJR459" s="22"/>
      <c r="LJS459" s="22"/>
      <c r="LJT459" s="22"/>
      <c r="LJU459" s="22"/>
      <c r="LJV459" s="22"/>
      <c r="LJW459" s="22"/>
      <c r="LJX459" s="22"/>
      <c r="LJY459" s="22"/>
      <c r="LJZ459" s="22"/>
      <c r="LKA459" s="22"/>
      <c r="LKB459" s="22"/>
      <c r="LKC459" s="22"/>
      <c r="LKD459" s="22"/>
      <c r="LKE459" s="22"/>
      <c r="LKF459" s="22"/>
      <c r="LKG459" s="22"/>
      <c r="LKH459" s="22"/>
      <c r="LKI459" s="22"/>
      <c r="LKJ459" s="22"/>
      <c r="LKK459" s="22"/>
      <c r="LKL459" s="22"/>
      <c r="LKM459" s="22"/>
      <c r="LKN459" s="22"/>
      <c r="LKO459" s="22"/>
      <c r="LKP459" s="22"/>
      <c r="LKQ459" s="22"/>
      <c r="LKR459" s="22"/>
      <c r="LKS459" s="22"/>
      <c r="LKT459" s="22"/>
      <c r="LKU459" s="22"/>
      <c r="LKV459" s="22"/>
      <c r="LKW459" s="22"/>
      <c r="LKX459" s="22"/>
      <c r="LKY459" s="22"/>
      <c r="LKZ459" s="22"/>
      <c r="LLA459" s="22"/>
      <c r="LLB459" s="22"/>
      <c r="LLC459" s="22"/>
      <c r="LLD459" s="22"/>
      <c r="LLE459" s="22"/>
      <c r="LLF459" s="22"/>
      <c r="LLG459" s="22"/>
      <c r="LLH459" s="22"/>
      <c r="LLI459" s="22"/>
      <c r="LLJ459" s="22"/>
      <c r="LLK459" s="22"/>
      <c r="LLL459" s="22"/>
      <c r="LLM459" s="22"/>
      <c r="LLN459" s="22"/>
      <c r="LLO459" s="22"/>
      <c r="LLP459" s="22"/>
      <c r="LLQ459" s="22"/>
      <c r="LLR459" s="22"/>
      <c r="LLS459" s="22"/>
      <c r="LLT459" s="22"/>
      <c r="LLU459" s="22"/>
      <c r="LLV459" s="22"/>
      <c r="LLW459" s="22"/>
      <c r="LLX459" s="22"/>
      <c r="LLY459" s="22"/>
      <c r="LLZ459" s="22"/>
      <c r="LMA459" s="22"/>
      <c r="LMB459" s="22"/>
      <c r="LMC459" s="22"/>
      <c r="LMD459" s="22"/>
      <c r="LME459" s="22"/>
      <c r="LMF459" s="22"/>
      <c r="LMG459" s="22"/>
      <c r="LMH459" s="22"/>
      <c r="LMI459" s="22"/>
      <c r="LMJ459" s="22"/>
      <c r="LMK459" s="22"/>
      <c r="LML459" s="22"/>
      <c r="LMM459" s="22"/>
      <c r="LMN459" s="22"/>
      <c r="LMO459" s="22"/>
      <c r="LMP459" s="22"/>
      <c r="LMQ459" s="22"/>
      <c r="LMR459" s="22"/>
      <c r="LMS459" s="22"/>
      <c r="LMT459" s="22"/>
      <c r="LMU459" s="22"/>
      <c r="LMV459" s="22"/>
      <c r="LMW459" s="22"/>
      <c r="LMX459" s="22"/>
      <c r="LMY459" s="22"/>
      <c r="LMZ459" s="22"/>
      <c r="LNA459" s="22"/>
      <c r="LNB459" s="22"/>
      <c r="LNC459" s="22"/>
      <c r="LND459" s="22"/>
      <c r="LNE459" s="22"/>
      <c r="LNF459" s="22"/>
      <c r="LNG459" s="22"/>
      <c r="LNH459" s="22"/>
      <c r="LNI459" s="22"/>
      <c r="LNJ459" s="22"/>
      <c r="LNK459" s="22"/>
      <c r="LNL459" s="22"/>
      <c r="LNM459" s="22"/>
      <c r="LNN459" s="22"/>
      <c r="LNO459" s="22"/>
      <c r="LNP459" s="22"/>
      <c r="LNQ459" s="22"/>
      <c r="LNR459" s="22"/>
      <c r="LNS459" s="22"/>
      <c r="LNT459" s="22"/>
      <c r="LNU459" s="22"/>
      <c r="LNV459" s="22"/>
      <c r="LNW459" s="22"/>
      <c r="LNX459" s="22"/>
      <c r="LNY459" s="22"/>
      <c r="LNZ459" s="22"/>
      <c r="LOA459" s="22"/>
      <c r="LOB459" s="22"/>
      <c r="LOC459" s="22"/>
      <c r="LOD459" s="22"/>
      <c r="LOE459" s="22"/>
      <c r="LOF459" s="22"/>
      <c r="LOG459" s="22"/>
      <c r="LOH459" s="22"/>
      <c r="LOI459" s="22"/>
      <c r="LOJ459" s="22"/>
      <c r="LOK459" s="22"/>
      <c r="LOL459" s="22"/>
      <c r="LOM459" s="22"/>
      <c r="LON459" s="22"/>
      <c r="LOO459" s="22"/>
      <c r="LOP459" s="22"/>
      <c r="LOQ459" s="22"/>
      <c r="LOR459" s="22"/>
      <c r="LOS459" s="22"/>
      <c r="LOT459" s="22"/>
      <c r="LOU459" s="22"/>
      <c r="LOV459" s="22"/>
      <c r="LOW459" s="22"/>
      <c r="LOX459" s="22"/>
      <c r="LOY459" s="22"/>
      <c r="LOZ459" s="22"/>
      <c r="LPA459" s="22"/>
      <c r="LPB459" s="22"/>
      <c r="LPC459" s="22"/>
      <c r="LPD459" s="22"/>
      <c r="LPE459" s="22"/>
      <c r="LPF459" s="22"/>
      <c r="LPG459" s="22"/>
      <c r="LPH459" s="22"/>
      <c r="LPI459" s="22"/>
      <c r="LPJ459" s="22"/>
      <c r="LPK459" s="22"/>
      <c r="LPL459" s="22"/>
      <c r="LPM459" s="22"/>
      <c r="LPN459" s="22"/>
      <c r="LPO459" s="22"/>
      <c r="LPP459" s="22"/>
      <c r="LPQ459" s="22"/>
      <c r="LPR459" s="22"/>
      <c r="LPS459" s="22"/>
      <c r="LPT459" s="22"/>
      <c r="LPU459" s="22"/>
      <c r="LPV459" s="22"/>
      <c r="LPW459" s="22"/>
      <c r="LPX459" s="22"/>
      <c r="LPY459" s="22"/>
      <c r="LPZ459" s="22"/>
      <c r="LQA459" s="22"/>
      <c r="LQB459" s="22"/>
      <c r="LQC459" s="22"/>
      <c r="LQD459" s="22"/>
      <c r="LQE459" s="22"/>
      <c r="LQF459" s="22"/>
      <c r="LQG459" s="22"/>
      <c r="LQH459" s="22"/>
      <c r="LQI459" s="22"/>
      <c r="LQJ459" s="22"/>
      <c r="LQK459" s="22"/>
      <c r="LQL459" s="22"/>
      <c r="LQM459" s="22"/>
      <c r="LQN459" s="22"/>
      <c r="LQO459" s="22"/>
      <c r="LQP459" s="22"/>
      <c r="LQQ459" s="22"/>
      <c r="LQR459" s="22"/>
      <c r="LQS459" s="22"/>
      <c r="LQT459" s="22"/>
      <c r="LQU459" s="22"/>
      <c r="LQV459" s="22"/>
      <c r="LQW459" s="22"/>
      <c r="LQX459" s="22"/>
      <c r="LQY459" s="22"/>
      <c r="LQZ459" s="22"/>
      <c r="LRA459" s="22"/>
      <c r="LRB459" s="22"/>
      <c r="LRC459" s="22"/>
      <c r="LRD459" s="22"/>
      <c r="LRE459" s="22"/>
      <c r="LRF459" s="22"/>
      <c r="LRG459" s="22"/>
      <c r="LRH459" s="22"/>
      <c r="LRI459" s="22"/>
      <c r="LRJ459" s="22"/>
      <c r="LRK459" s="22"/>
      <c r="LRL459" s="22"/>
      <c r="LRM459" s="22"/>
      <c r="LRN459" s="22"/>
      <c r="LRO459" s="22"/>
      <c r="LRP459" s="22"/>
      <c r="LRQ459" s="22"/>
      <c r="LRR459" s="22"/>
      <c r="LRS459" s="22"/>
      <c r="LRT459" s="22"/>
      <c r="LRU459" s="22"/>
      <c r="LRV459" s="22"/>
      <c r="LRW459" s="22"/>
      <c r="LRX459" s="22"/>
      <c r="LRY459" s="22"/>
      <c r="LRZ459" s="22"/>
      <c r="LSA459" s="22"/>
      <c r="LSB459" s="22"/>
      <c r="LSC459" s="22"/>
      <c r="LSD459" s="22"/>
      <c r="LSE459" s="22"/>
      <c r="LSF459" s="22"/>
      <c r="LSG459" s="22"/>
      <c r="LSH459" s="22"/>
      <c r="LSI459" s="22"/>
      <c r="LSJ459" s="22"/>
      <c r="LSK459" s="22"/>
      <c r="LSL459" s="22"/>
      <c r="LSM459" s="22"/>
      <c r="LSN459" s="22"/>
      <c r="LSO459" s="22"/>
      <c r="LSP459" s="22"/>
      <c r="LSQ459" s="22"/>
      <c r="LSR459" s="22"/>
      <c r="LSS459" s="22"/>
      <c r="LST459" s="22"/>
      <c r="LSU459" s="22"/>
      <c r="LSV459" s="22"/>
      <c r="LSW459" s="22"/>
      <c r="LSX459" s="22"/>
      <c r="LSY459" s="22"/>
      <c r="LSZ459" s="22"/>
      <c r="LTA459" s="22"/>
      <c r="LTB459" s="22"/>
      <c r="LTC459" s="22"/>
      <c r="LTD459" s="22"/>
      <c r="LTE459" s="22"/>
      <c r="LTF459" s="22"/>
      <c r="LTG459" s="22"/>
      <c r="LTH459" s="22"/>
      <c r="LTI459" s="22"/>
      <c r="LTJ459" s="22"/>
      <c r="LTK459" s="22"/>
      <c r="LTL459" s="22"/>
      <c r="LTM459" s="22"/>
      <c r="LTN459" s="22"/>
      <c r="LTO459" s="22"/>
      <c r="LTP459" s="22"/>
      <c r="LTQ459" s="22"/>
      <c r="LTR459" s="22"/>
      <c r="LTS459" s="22"/>
      <c r="LTT459" s="22"/>
      <c r="LTU459" s="22"/>
      <c r="LTV459" s="22"/>
      <c r="LTW459" s="22"/>
      <c r="LTX459" s="22"/>
      <c r="LTY459" s="22"/>
      <c r="LTZ459" s="22"/>
      <c r="LUA459" s="22"/>
      <c r="LUB459" s="22"/>
      <c r="LUC459" s="22"/>
      <c r="LUD459" s="22"/>
      <c r="LUE459" s="22"/>
      <c r="LUF459" s="22"/>
      <c r="LUG459" s="22"/>
      <c r="LUH459" s="22"/>
      <c r="LUI459" s="22"/>
      <c r="LUJ459" s="22"/>
      <c r="LUK459" s="22"/>
      <c r="LUL459" s="22"/>
      <c r="LUM459" s="22"/>
      <c r="LUN459" s="22"/>
      <c r="LUO459" s="22"/>
      <c r="LUP459" s="22"/>
      <c r="LUQ459" s="22"/>
      <c r="LUR459" s="22"/>
      <c r="LUS459" s="22"/>
      <c r="LUT459" s="22"/>
      <c r="LUU459" s="22"/>
      <c r="LUV459" s="22"/>
      <c r="LUW459" s="22"/>
      <c r="LUX459" s="22"/>
      <c r="LUY459" s="22"/>
      <c r="LUZ459" s="22"/>
      <c r="LVA459" s="22"/>
      <c r="LVB459" s="22"/>
      <c r="LVC459" s="22"/>
      <c r="LVD459" s="22"/>
      <c r="LVE459" s="22"/>
      <c r="LVF459" s="22"/>
      <c r="LVG459" s="22"/>
      <c r="LVH459" s="22"/>
      <c r="LVI459" s="22"/>
      <c r="LVJ459" s="22"/>
      <c r="LVK459" s="22"/>
      <c r="LVL459" s="22"/>
      <c r="LVM459" s="22"/>
      <c r="LVN459" s="22"/>
      <c r="LVO459" s="22"/>
      <c r="LVP459" s="22"/>
      <c r="LVQ459" s="22"/>
      <c r="LVR459" s="22"/>
      <c r="LVS459" s="22"/>
      <c r="LVT459" s="22"/>
      <c r="LVU459" s="22"/>
      <c r="LVV459" s="22"/>
      <c r="LVW459" s="22"/>
      <c r="LVX459" s="22"/>
      <c r="LVY459" s="22"/>
      <c r="LVZ459" s="22"/>
      <c r="LWA459" s="22"/>
      <c r="LWB459" s="22"/>
      <c r="LWC459" s="22"/>
      <c r="LWD459" s="22"/>
      <c r="LWE459" s="22"/>
      <c r="LWF459" s="22"/>
      <c r="LWG459" s="22"/>
      <c r="LWH459" s="22"/>
      <c r="LWI459" s="22"/>
      <c r="LWJ459" s="22"/>
      <c r="LWK459" s="22"/>
      <c r="LWL459" s="22"/>
      <c r="LWM459" s="22"/>
      <c r="LWN459" s="22"/>
      <c r="LWO459" s="22"/>
      <c r="LWP459" s="22"/>
      <c r="LWQ459" s="22"/>
      <c r="LWR459" s="22"/>
      <c r="LWS459" s="22"/>
      <c r="LWT459" s="22"/>
      <c r="LWU459" s="22"/>
      <c r="LWV459" s="22"/>
      <c r="LWW459" s="22"/>
      <c r="LWX459" s="22"/>
      <c r="LWY459" s="22"/>
      <c r="LWZ459" s="22"/>
      <c r="LXA459" s="22"/>
      <c r="LXB459" s="22"/>
      <c r="LXC459" s="22"/>
      <c r="LXD459" s="22"/>
      <c r="LXE459" s="22"/>
      <c r="LXF459" s="22"/>
      <c r="LXG459" s="22"/>
      <c r="LXH459" s="22"/>
      <c r="LXI459" s="22"/>
      <c r="LXJ459" s="22"/>
      <c r="LXK459" s="22"/>
      <c r="LXL459" s="22"/>
      <c r="LXM459" s="22"/>
      <c r="LXN459" s="22"/>
      <c r="LXO459" s="22"/>
      <c r="LXP459" s="22"/>
      <c r="LXQ459" s="22"/>
      <c r="LXR459" s="22"/>
      <c r="LXS459" s="22"/>
      <c r="LXT459" s="22"/>
      <c r="LXU459" s="22"/>
      <c r="LXV459" s="22"/>
      <c r="LXW459" s="22"/>
      <c r="LXX459" s="22"/>
      <c r="LXY459" s="22"/>
      <c r="LXZ459" s="22"/>
      <c r="LYA459" s="22"/>
      <c r="LYB459" s="22"/>
      <c r="LYC459" s="22"/>
      <c r="LYD459" s="22"/>
      <c r="LYE459" s="22"/>
      <c r="LYF459" s="22"/>
      <c r="LYG459" s="22"/>
      <c r="LYH459" s="22"/>
      <c r="LYI459" s="22"/>
      <c r="LYJ459" s="22"/>
      <c r="LYK459" s="22"/>
      <c r="LYL459" s="22"/>
      <c r="LYM459" s="22"/>
      <c r="LYN459" s="22"/>
      <c r="LYO459" s="22"/>
      <c r="LYP459" s="22"/>
      <c r="LYQ459" s="22"/>
      <c r="LYR459" s="22"/>
      <c r="LYS459" s="22"/>
      <c r="LYT459" s="22"/>
      <c r="LYU459" s="22"/>
      <c r="LYV459" s="22"/>
      <c r="LYW459" s="22"/>
      <c r="LYX459" s="22"/>
      <c r="LYY459" s="22"/>
      <c r="LYZ459" s="22"/>
      <c r="LZA459" s="22"/>
      <c r="LZB459" s="22"/>
      <c r="LZC459" s="22"/>
      <c r="LZD459" s="22"/>
      <c r="LZE459" s="22"/>
      <c r="LZF459" s="22"/>
      <c r="LZG459" s="22"/>
      <c r="LZH459" s="22"/>
      <c r="LZI459" s="22"/>
      <c r="LZJ459" s="22"/>
      <c r="LZK459" s="22"/>
      <c r="LZL459" s="22"/>
      <c r="LZM459" s="22"/>
      <c r="LZN459" s="22"/>
      <c r="LZO459" s="22"/>
      <c r="LZP459" s="22"/>
      <c r="LZQ459" s="22"/>
      <c r="LZR459" s="22"/>
      <c r="LZS459" s="22"/>
      <c r="LZT459" s="22"/>
      <c r="LZU459" s="22"/>
      <c r="LZV459" s="22"/>
      <c r="LZW459" s="22"/>
      <c r="LZX459" s="22"/>
      <c r="LZY459" s="22"/>
      <c r="LZZ459" s="22"/>
      <c r="MAA459" s="22"/>
      <c r="MAB459" s="22"/>
      <c r="MAC459" s="22"/>
      <c r="MAD459" s="22"/>
      <c r="MAE459" s="22"/>
      <c r="MAF459" s="22"/>
      <c r="MAG459" s="22"/>
      <c r="MAH459" s="22"/>
      <c r="MAI459" s="22"/>
      <c r="MAJ459" s="22"/>
      <c r="MAK459" s="22"/>
      <c r="MAL459" s="22"/>
      <c r="MAM459" s="22"/>
      <c r="MAN459" s="22"/>
      <c r="MAO459" s="22"/>
      <c r="MAP459" s="22"/>
      <c r="MAQ459" s="22"/>
      <c r="MAR459" s="22"/>
      <c r="MAS459" s="22"/>
      <c r="MAT459" s="22"/>
      <c r="MAU459" s="22"/>
      <c r="MAV459" s="22"/>
      <c r="MAW459" s="22"/>
      <c r="MAX459" s="22"/>
      <c r="MAY459" s="22"/>
      <c r="MAZ459" s="22"/>
      <c r="MBA459" s="22"/>
      <c r="MBB459" s="22"/>
      <c r="MBC459" s="22"/>
      <c r="MBD459" s="22"/>
      <c r="MBE459" s="22"/>
      <c r="MBF459" s="22"/>
      <c r="MBG459" s="22"/>
      <c r="MBH459" s="22"/>
      <c r="MBI459" s="22"/>
      <c r="MBJ459" s="22"/>
      <c r="MBK459" s="22"/>
      <c r="MBL459" s="22"/>
      <c r="MBM459" s="22"/>
      <c r="MBN459" s="22"/>
      <c r="MBO459" s="22"/>
      <c r="MBP459" s="22"/>
      <c r="MBQ459" s="22"/>
      <c r="MBR459" s="22"/>
      <c r="MBS459" s="22"/>
      <c r="MBT459" s="22"/>
      <c r="MBU459" s="22"/>
      <c r="MBV459" s="22"/>
      <c r="MBW459" s="22"/>
      <c r="MBX459" s="22"/>
      <c r="MBY459" s="22"/>
      <c r="MBZ459" s="22"/>
      <c r="MCA459" s="22"/>
      <c r="MCB459" s="22"/>
      <c r="MCC459" s="22"/>
      <c r="MCD459" s="22"/>
      <c r="MCE459" s="22"/>
      <c r="MCF459" s="22"/>
      <c r="MCG459" s="22"/>
      <c r="MCH459" s="22"/>
      <c r="MCI459" s="22"/>
      <c r="MCJ459" s="22"/>
      <c r="MCK459" s="22"/>
      <c r="MCL459" s="22"/>
      <c r="MCM459" s="22"/>
      <c r="MCN459" s="22"/>
      <c r="MCO459" s="22"/>
      <c r="MCP459" s="22"/>
      <c r="MCQ459" s="22"/>
      <c r="MCR459" s="22"/>
      <c r="MCS459" s="22"/>
      <c r="MCT459" s="22"/>
      <c r="MCU459" s="22"/>
      <c r="MCV459" s="22"/>
      <c r="MCW459" s="22"/>
      <c r="MCX459" s="22"/>
      <c r="MCY459" s="22"/>
      <c r="MCZ459" s="22"/>
      <c r="MDA459" s="22"/>
      <c r="MDB459" s="22"/>
      <c r="MDC459" s="22"/>
      <c r="MDD459" s="22"/>
      <c r="MDE459" s="22"/>
      <c r="MDF459" s="22"/>
      <c r="MDG459" s="22"/>
      <c r="MDH459" s="22"/>
      <c r="MDI459" s="22"/>
      <c r="MDJ459" s="22"/>
      <c r="MDK459" s="22"/>
      <c r="MDL459" s="22"/>
      <c r="MDM459" s="22"/>
      <c r="MDN459" s="22"/>
      <c r="MDO459" s="22"/>
      <c r="MDP459" s="22"/>
      <c r="MDQ459" s="22"/>
      <c r="MDR459" s="22"/>
      <c r="MDS459" s="22"/>
      <c r="MDT459" s="22"/>
      <c r="MDU459" s="22"/>
      <c r="MDV459" s="22"/>
      <c r="MDW459" s="22"/>
      <c r="MDX459" s="22"/>
      <c r="MDY459" s="22"/>
      <c r="MDZ459" s="22"/>
      <c r="MEA459" s="22"/>
      <c r="MEB459" s="22"/>
      <c r="MEC459" s="22"/>
      <c r="MED459" s="22"/>
      <c r="MEE459" s="22"/>
      <c r="MEF459" s="22"/>
      <c r="MEG459" s="22"/>
      <c r="MEH459" s="22"/>
      <c r="MEI459" s="22"/>
      <c r="MEJ459" s="22"/>
      <c r="MEK459" s="22"/>
      <c r="MEL459" s="22"/>
      <c r="MEM459" s="22"/>
      <c r="MEN459" s="22"/>
      <c r="MEO459" s="22"/>
      <c r="MEP459" s="22"/>
      <c r="MEQ459" s="22"/>
      <c r="MER459" s="22"/>
      <c r="MES459" s="22"/>
      <c r="MET459" s="22"/>
      <c r="MEU459" s="22"/>
      <c r="MEV459" s="22"/>
      <c r="MEW459" s="22"/>
      <c r="MEX459" s="22"/>
      <c r="MEY459" s="22"/>
      <c r="MEZ459" s="22"/>
      <c r="MFA459" s="22"/>
      <c r="MFB459" s="22"/>
      <c r="MFC459" s="22"/>
      <c r="MFD459" s="22"/>
      <c r="MFE459" s="22"/>
      <c r="MFF459" s="22"/>
      <c r="MFG459" s="22"/>
      <c r="MFH459" s="22"/>
      <c r="MFI459" s="22"/>
      <c r="MFJ459" s="22"/>
      <c r="MFK459" s="22"/>
      <c r="MFL459" s="22"/>
      <c r="MFM459" s="22"/>
      <c r="MFN459" s="22"/>
      <c r="MFO459" s="22"/>
      <c r="MFP459" s="22"/>
      <c r="MFQ459" s="22"/>
      <c r="MFR459" s="22"/>
      <c r="MFS459" s="22"/>
      <c r="MFT459" s="22"/>
      <c r="MFU459" s="22"/>
      <c r="MFV459" s="22"/>
      <c r="MFW459" s="22"/>
      <c r="MFX459" s="22"/>
      <c r="MFY459" s="22"/>
      <c r="MFZ459" s="22"/>
      <c r="MGA459" s="22"/>
      <c r="MGB459" s="22"/>
      <c r="MGC459" s="22"/>
      <c r="MGD459" s="22"/>
      <c r="MGE459" s="22"/>
      <c r="MGF459" s="22"/>
      <c r="MGG459" s="22"/>
      <c r="MGH459" s="22"/>
      <c r="MGI459" s="22"/>
      <c r="MGJ459" s="22"/>
      <c r="MGK459" s="22"/>
      <c r="MGL459" s="22"/>
      <c r="MGM459" s="22"/>
      <c r="MGN459" s="22"/>
      <c r="MGO459" s="22"/>
      <c r="MGP459" s="22"/>
      <c r="MGQ459" s="22"/>
      <c r="MGR459" s="22"/>
      <c r="MGS459" s="22"/>
      <c r="MGT459" s="22"/>
      <c r="MGU459" s="22"/>
      <c r="MGV459" s="22"/>
      <c r="MGW459" s="22"/>
      <c r="MGX459" s="22"/>
      <c r="MGY459" s="22"/>
      <c r="MGZ459" s="22"/>
      <c r="MHA459" s="22"/>
      <c r="MHB459" s="22"/>
      <c r="MHC459" s="22"/>
      <c r="MHD459" s="22"/>
      <c r="MHE459" s="22"/>
      <c r="MHF459" s="22"/>
      <c r="MHG459" s="22"/>
      <c r="MHH459" s="22"/>
      <c r="MHI459" s="22"/>
      <c r="MHJ459" s="22"/>
      <c r="MHK459" s="22"/>
      <c r="MHL459" s="22"/>
      <c r="MHM459" s="22"/>
      <c r="MHN459" s="22"/>
      <c r="MHO459" s="22"/>
      <c r="MHP459" s="22"/>
      <c r="MHQ459" s="22"/>
      <c r="MHR459" s="22"/>
      <c r="MHS459" s="22"/>
      <c r="MHT459" s="22"/>
      <c r="MHU459" s="22"/>
      <c r="MHV459" s="22"/>
      <c r="MHW459" s="22"/>
      <c r="MHX459" s="22"/>
      <c r="MHY459" s="22"/>
      <c r="MHZ459" s="22"/>
      <c r="MIA459" s="22"/>
      <c r="MIB459" s="22"/>
      <c r="MIC459" s="22"/>
      <c r="MID459" s="22"/>
      <c r="MIE459" s="22"/>
      <c r="MIF459" s="22"/>
      <c r="MIG459" s="22"/>
      <c r="MIH459" s="22"/>
      <c r="MII459" s="22"/>
      <c r="MIJ459" s="22"/>
      <c r="MIK459" s="22"/>
      <c r="MIL459" s="22"/>
      <c r="MIM459" s="22"/>
      <c r="MIN459" s="22"/>
      <c r="MIO459" s="22"/>
      <c r="MIP459" s="22"/>
      <c r="MIQ459" s="22"/>
      <c r="MIR459" s="22"/>
      <c r="MIS459" s="22"/>
      <c r="MIT459" s="22"/>
      <c r="MIU459" s="22"/>
      <c r="MIV459" s="22"/>
      <c r="MIW459" s="22"/>
      <c r="MIX459" s="22"/>
      <c r="MIY459" s="22"/>
      <c r="MIZ459" s="22"/>
      <c r="MJA459" s="22"/>
      <c r="MJB459" s="22"/>
      <c r="MJC459" s="22"/>
      <c r="MJD459" s="22"/>
      <c r="MJE459" s="22"/>
      <c r="MJF459" s="22"/>
      <c r="MJG459" s="22"/>
      <c r="MJH459" s="22"/>
      <c r="MJI459" s="22"/>
      <c r="MJJ459" s="22"/>
      <c r="MJK459" s="22"/>
      <c r="MJL459" s="22"/>
      <c r="MJM459" s="22"/>
      <c r="MJN459" s="22"/>
      <c r="MJO459" s="22"/>
      <c r="MJP459" s="22"/>
      <c r="MJQ459" s="22"/>
      <c r="MJR459" s="22"/>
      <c r="MJS459" s="22"/>
      <c r="MJT459" s="22"/>
      <c r="MJU459" s="22"/>
      <c r="MJV459" s="22"/>
      <c r="MJW459" s="22"/>
      <c r="MJX459" s="22"/>
      <c r="MJY459" s="22"/>
      <c r="MJZ459" s="22"/>
      <c r="MKA459" s="22"/>
      <c r="MKB459" s="22"/>
      <c r="MKC459" s="22"/>
      <c r="MKD459" s="22"/>
      <c r="MKE459" s="22"/>
      <c r="MKF459" s="22"/>
      <c r="MKG459" s="22"/>
      <c r="MKH459" s="22"/>
      <c r="MKI459" s="22"/>
      <c r="MKJ459" s="22"/>
      <c r="MKK459" s="22"/>
      <c r="MKL459" s="22"/>
      <c r="MKM459" s="22"/>
      <c r="MKN459" s="22"/>
      <c r="MKO459" s="22"/>
      <c r="MKP459" s="22"/>
      <c r="MKQ459" s="22"/>
      <c r="MKR459" s="22"/>
      <c r="MKS459" s="22"/>
      <c r="MKT459" s="22"/>
      <c r="MKU459" s="22"/>
      <c r="MKV459" s="22"/>
      <c r="MKW459" s="22"/>
      <c r="MKX459" s="22"/>
      <c r="MKY459" s="22"/>
      <c r="MKZ459" s="22"/>
      <c r="MLA459" s="22"/>
      <c r="MLB459" s="22"/>
      <c r="MLC459" s="22"/>
      <c r="MLD459" s="22"/>
      <c r="MLE459" s="22"/>
      <c r="MLF459" s="22"/>
      <c r="MLG459" s="22"/>
      <c r="MLH459" s="22"/>
      <c r="MLI459" s="22"/>
      <c r="MLJ459" s="22"/>
      <c r="MLK459" s="22"/>
      <c r="MLL459" s="22"/>
      <c r="MLM459" s="22"/>
      <c r="MLN459" s="22"/>
      <c r="MLO459" s="22"/>
      <c r="MLP459" s="22"/>
      <c r="MLQ459" s="22"/>
      <c r="MLR459" s="22"/>
      <c r="MLS459" s="22"/>
      <c r="MLT459" s="22"/>
      <c r="MLU459" s="22"/>
      <c r="MLV459" s="22"/>
      <c r="MLW459" s="22"/>
      <c r="MLX459" s="22"/>
      <c r="MLY459" s="22"/>
      <c r="MLZ459" s="22"/>
      <c r="MMA459" s="22"/>
      <c r="MMB459" s="22"/>
      <c r="MMC459" s="22"/>
      <c r="MMD459" s="22"/>
      <c r="MME459" s="22"/>
      <c r="MMF459" s="22"/>
      <c r="MMG459" s="22"/>
      <c r="MMH459" s="22"/>
      <c r="MMI459" s="22"/>
      <c r="MMJ459" s="22"/>
      <c r="MMK459" s="22"/>
      <c r="MML459" s="22"/>
      <c r="MMM459" s="22"/>
      <c r="MMN459" s="22"/>
      <c r="MMO459" s="22"/>
      <c r="MMP459" s="22"/>
      <c r="MMQ459" s="22"/>
      <c r="MMR459" s="22"/>
      <c r="MMS459" s="22"/>
      <c r="MMT459" s="22"/>
      <c r="MMU459" s="22"/>
      <c r="MMV459" s="22"/>
      <c r="MMW459" s="22"/>
      <c r="MMX459" s="22"/>
      <c r="MMY459" s="22"/>
      <c r="MMZ459" s="22"/>
      <c r="MNA459" s="22"/>
      <c r="MNB459" s="22"/>
      <c r="MNC459" s="22"/>
      <c r="MND459" s="22"/>
      <c r="MNE459" s="22"/>
      <c r="MNF459" s="22"/>
      <c r="MNG459" s="22"/>
      <c r="MNH459" s="22"/>
      <c r="MNI459" s="22"/>
      <c r="MNJ459" s="22"/>
      <c r="MNK459" s="22"/>
      <c r="MNL459" s="22"/>
      <c r="MNM459" s="22"/>
      <c r="MNN459" s="22"/>
      <c r="MNO459" s="22"/>
      <c r="MNP459" s="22"/>
      <c r="MNQ459" s="22"/>
      <c r="MNR459" s="22"/>
      <c r="MNS459" s="22"/>
      <c r="MNT459" s="22"/>
      <c r="MNU459" s="22"/>
      <c r="MNV459" s="22"/>
      <c r="MNW459" s="22"/>
      <c r="MNX459" s="22"/>
      <c r="MNY459" s="22"/>
      <c r="MNZ459" s="22"/>
      <c r="MOA459" s="22"/>
      <c r="MOB459" s="22"/>
      <c r="MOC459" s="22"/>
      <c r="MOD459" s="22"/>
      <c r="MOE459" s="22"/>
      <c r="MOF459" s="22"/>
      <c r="MOG459" s="22"/>
      <c r="MOH459" s="22"/>
      <c r="MOI459" s="22"/>
      <c r="MOJ459" s="22"/>
      <c r="MOK459" s="22"/>
      <c r="MOL459" s="22"/>
      <c r="MOM459" s="22"/>
      <c r="MON459" s="22"/>
      <c r="MOO459" s="22"/>
      <c r="MOP459" s="22"/>
      <c r="MOQ459" s="22"/>
      <c r="MOR459" s="22"/>
      <c r="MOS459" s="22"/>
      <c r="MOT459" s="22"/>
      <c r="MOU459" s="22"/>
      <c r="MOV459" s="22"/>
      <c r="MOW459" s="22"/>
      <c r="MOX459" s="22"/>
      <c r="MOY459" s="22"/>
      <c r="MOZ459" s="22"/>
      <c r="MPA459" s="22"/>
      <c r="MPB459" s="22"/>
      <c r="MPC459" s="22"/>
      <c r="MPD459" s="22"/>
      <c r="MPE459" s="22"/>
      <c r="MPF459" s="22"/>
      <c r="MPG459" s="22"/>
      <c r="MPH459" s="22"/>
      <c r="MPI459" s="22"/>
      <c r="MPJ459" s="22"/>
      <c r="MPK459" s="22"/>
      <c r="MPL459" s="22"/>
      <c r="MPM459" s="22"/>
      <c r="MPN459" s="22"/>
      <c r="MPO459" s="22"/>
      <c r="MPP459" s="22"/>
      <c r="MPQ459" s="22"/>
      <c r="MPR459" s="22"/>
      <c r="MPS459" s="22"/>
      <c r="MPT459" s="22"/>
      <c r="MPU459" s="22"/>
      <c r="MPV459" s="22"/>
      <c r="MPW459" s="22"/>
      <c r="MPX459" s="22"/>
      <c r="MPY459" s="22"/>
      <c r="MPZ459" s="22"/>
      <c r="MQA459" s="22"/>
      <c r="MQB459" s="22"/>
      <c r="MQC459" s="22"/>
      <c r="MQD459" s="22"/>
      <c r="MQE459" s="22"/>
      <c r="MQF459" s="22"/>
      <c r="MQG459" s="22"/>
      <c r="MQH459" s="22"/>
      <c r="MQI459" s="22"/>
      <c r="MQJ459" s="22"/>
      <c r="MQK459" s="22"/>
      <c r="MQL459" s="22"/>
      <c r="MQM459" s="22"/>
      <c r="MQN459" s="22"/>
      <c r="MQO459" s="22"/>
      <c r="MQP459" s="22"/>
      <c r="MQQ459" s="22"/>
      <c r="MQR459" s="22"/>
      <c r="MQS459" s="22"/>
      <c r="MQT459" s="22"/>
      <c r="MQU459" s="22"/>
      <c r="MQV459" s="22"/>
      <c r="MQW459" s="22"/>
      <c r="MQX459" s="22"/>
      <c r="MQY459" s="22"/>
      <c r="MQZ459" s="22"/>
      <c r="MRA459" s="22"/>
      <c r="MRB459" s="22"/>
      <c r="MRC459" s="22"/>
      <c r="MRD459" s="22"/>
      <c r="MRE459" s="22"/>
      <c r="MRF459" s="22"/>
      <c r="MRG459" s="22"/>
      <c r="MRH459" s="22"/>
      <c r="MRI459" s="22"/>
      <c r="MRJ459" s="22"/>
      <c r="MRK459" s="22"/>
      <c r="MRL459" s="22"/>
      <c r="MRM459" s="22"/>
      <c r="MRN459" s="22"/>
      <c r="MRO459" s="22"/>
      <c r="MRP459" s="22"/>
      <c r="MRQ459" s="22"/>
      <c r="MRR459" s="22"/>
      <c r="MRS459" s="22"/>
      <c r="MRT459" s="22"/>
      <c r="MRU459" s="22"/>
      <c r="MRV459" s="22"/>
      <c r="MRW459" s="22"/>
      <c r="MRX459" s="22"/>
      <c r="MRY459" s="22"/>
      <c r="MRZ459" s="22"/>
      <c r="MSA459" s="22"/>
      <c r="MSB459" s="22"/>
      <c r="MSC459" s="22"/>
      <c r="MSD459" s="22"/>
      <c r="MSE459" s="22"/>
      <c r="MSF459" s="22"/>
      <c r="MSG459" s="22"/>
      <c r="MSH459" s="22"/>
      <c r="MSI459" s="22"/>
      <c r="MSJ459" s="22"/>
      <c r="MSK459" s="22"/>
      <c r="MSL459" s="22"/>
      <c r="MSM459" s="22"/>
      <c r="MSN459" s="22"/>
      <c r="MSO459" s="22"/>
      <c r="MSP459" s="22"/>
      <c r="MSQ459" s="22"/>
      <c r="MSR459" s="22"/>
      <c r="MSS459" s="22"/>
      <c r="MST459" s="22"/>
      <c r="MSU459" s="22"/>
      <c r="MSV459" s="22"/>
      <c r="MSW459" s="22"/>
      <c r="MSX459" s="22"/>
      <c r="MSY459" s="22"/>
      <c r="MSZ459" s="22"/>
      <c r="MTA459" s="22"/>
      <c r="MTB459" s="22"/>
      <c r="MTC459" s="22"/>
      <c r="MTD459" s="22"/>
      <c r="MTE459" s="22"/>
      <c r="MTF459" s="22"/>
      <c r="MTG459" s="22"/>
      <c r="MTH459" s="22"/>
      <c r="MTI459" s="22"/>
      <c r="MTJ459" s="22"/>
      <c r="MTK459" s="22"/>
      <c r="MTL459" s="22"/>
      <c r="MTM459" s="22"/>
      <c r="MTN459" s="22"/>
      <c r="MTO459" s="22"/>
      <c r="MTP459" s="22"/>
      <c r="MTQ459" s="22"/>
      <c r="MTR459" s="22"/>
      <c r="MTS459" s="22"/>
      <c r="MTT459" s="22"/>
      <c r="MTU459" s="22"/>
      <c r="MTV459" s="22"/>
      <c r="MTW459" s="22"/>
      <c r="MTX459" s="22"/>
      <c r="MTY459" s="22"/>
      <c r="MTZ459" s="22"/>
      <c r="MUA459" s="22"/>
      <c r="MUB459" s="22"/>
      <c r="MUC459" s="22"/>
      <c r="MUD459" s="22"/>
      <c r="MUE459" s="22"/>
      <c r="MUF459" s="22"/>
      <c r="MUG459" s="22"/>
      <c r="MUH459" s="22"/>
      <c r="MUI459" s="22"/>
      <c r="MUJ459" s="22"/>
      <c r="MUK459" s="22"/>
      <c r="MUL459" s="22"/>
      <c r="MUM459" s="22"/>
      <c r="MUN459" s="22"/>
      <c r="MUO459" s="22"/>
      <c r="MUP459" s="22"/>
      <c r="MUQ459" s="22"/>
      <c r="MUR459" s="22"/>
      <c r="MUS459" s="22"/>
      <c r="MUT459" s="22"/>
      <c r="MUU459" s="22"/>
      <c r="MUV459" s="22"/>
      <c r="MUW459" s="22"/>
      <c r="MUX459" s="22"/>
      <c r="MUY459" s="22"/>
      <c r="MUZ459" s="22"/>
      <c r="MVA459" s="22"/>
      <c r="MVB459" s="22"/>
      <c r="MVC459" s="22"/>
      <c r="MVD459" s="22"/>
      <c r="MVE459" s="22"/>
      <c r="MVF459" s="22"/>
      <c r="MVG459" s="22"/>
      <c r="MVH459" s="22"/>
      <c r="MVI459" s="22"/>
      <c r="MVJ459" s="22"/>
      <c r="MVK459" s="22"/>
      <c r="MVL459" s="22"/>
      <c r="MVM459" s="22"/>
      <c r="MVN459" s="22"/>
      <c r="MVO459" s="22"/>
      <c r="MVP459" s="22"/>
      <c r="MVQ459" s="22"/>
      <c r="MVR459" s="22"/>
      <c r="MVS459" s="22"/>
      <c r="MVT459" s="22"/>
      <c r="MVU459" s="22"/>
      <c r="MVV459" s="22"/>
      <c r="MVW459" s="22"/>
      <c r="MVX459" s="22"/>
      <c r="MVY459" s="22"/>
      <c r="MVZ459" s="22"/>
      <c r="MWA459" s="22"/>
      <c r="MWB459" s="22"/>
      <c r="MWC459" s="22"/>
      <c r="MWD459" s="22"/>
      <c r="MWE459" s="22"/>
      <c r="MWF459" s="22"/>
      <c r="MWG459" s="22"/>
      <c r="MWH459" s="22"/>
      <c r="MWI459" s="22"/>
      <c r="MWJ459" s="22"/>
      <c r="MWK459" s="22"/>
      <c r="MWL459" s="22"/>
      <c r="MWM459" s="22"/>
      <c r="MWN459" s="22"/>
      <c r="MWO459" s="22"/>
      <c r="MWP459" s="22"/>
      <c r="MWQ459" s="22"/>
      <c r="MWR459" s="22"/>
      <c r="MWS459" s="22"/>
      <c r="MWT459" s="22"/>
      <c r="MWU459" s="22"/>
      <c r="MWV459" s="22"/>
      <c r="MWW459" s="22"/>
      <c r="MWX459" s="22"/>
      <c r="MWY459" s="22"/>
      <c r="MWZ459" s="22"/>
      <c r="MXA459" s="22"/>
      <c r="MXB459" s="22"/>
      <c r="MXC459" s="22"/>
      <c r="MXD459" s="22"/>
      <c r="MXE459" s="22"/>
      <c r="MXF459" s="22"/>
      <c r="MXG459" s="22"/>
      <c r="MXH459" s="22"/>
      <c r="MXI459" s="22"/>
      <c r="MXJ459" s="22"/>
      <c r="MXK459" s="22"/>
      <c r="MXL459" s="22"/>
      <c r="MXM459" s="22"/>
      <c r="MXN459" s="22"/>
      <c r="MXO459" s="22"/>
      <c r="MXP459" s="22"/>
      <c r="MXQ459" s="22"/>
      <c r="MXR459" s="22"/>
      <c r="MXS459" s="22"/>
      <c r="MXT459" s="22"/>
      <c r="MXU459" s="22"/>
      <c r="MXV459" s="22"/>
      <c r="MXW459" s="22"/>
      <c r="MXX459" s="22"/>
      <c r="MXY459" s="22"/>
      <c r="MXZ459" s="22"/>
      <c r="MYA459" s="22"/>
      <c r="MYB459" s="22"/>
      <c r="MYC459" s="22"/>
      <c r="MYD459" s="22"/>
      <c r="MYE459" s="22"/>
      <c r="MYF459" s="22"/>
      <c r="MYG459" s="22"/>
      <c r="MYH459" s="22"/>
      <c r="MYI459" s="22"/>
      <c r="MYJ459" s="22"/>
      <c r="MYK459" s="22"/>
      <c r="MYL459" s="22"/>
      <c r="MYM459" s="22"/>
      <c r="MYN459" s="22"/>
      <c r="MYO459" s="22"/>
      <c r="MYP459" s="22"/>
      <c r="MYQ459" s="22"/>
      <c r="MYR459" s="22"/>
      <c r="MYS459" s="22"/>
      <c r="MYT459" s="22"/>
      <c r="MYU459" s="22"/>
      <c r="MYV459" s="22"/>
      <c r="MYW459" s="22"/>
      <c r="MYX459" s="22"/>
      <c r="MYY459" s="22"/>
      <c r="MYZ459" s="22"/>
      <c r="MZA459" s="22"/>
      <c r="MZB459" s="22"/>
      <c r="MZC459" s="22"/>
      <c r="MZD459" s="22"/>
      <c r="MZE459" s="22"/>
      <c r="MZF459" s="22"/>
      <c r="MZG459" s="22"/>
      <c r="MZH459" s="22"/>
      <c r="MZI459" s="22"/>
      <c r="MZJ459" s="22"/>
      <c r="MZK459" s="22"/>
      <c r="MZL459" s="22"/>
      <c r="MZM459" s="22"/>
      <c r="MZN459" s="22"/>
      <c r="MZO459" s="22"/>
      <c r="MZP459" s="22"/>
      <c r="MZQ459" s="22"/>
      <c r="MZR459" s="22"/>
      <c r="MZS459" s="22"/>
      <c r="MZT459" s="22"/>
      <c r="MZU459" s="22"/>
      <c r="MZV459" s="22"/>
      <c r="MZW459" s="22"/>
      <c r="MZX459" s="22"/>
      <c r="MZY459" s="22"/>
      <c r="MZZ459" s="22"/>
      <c r="NAA459" s="22"/>
      <c r="NAB459" s="22"/>
      <c r="NAC459" s="22"/>
      <c r="NAD459" s="22"/>
      <c r="NAE459" s="22"/>
      <c r="NAF459" s="22"/>
      <c r="NAG459" s="22"/>
      <c r="NAH459" s="22"/>
      <c r="NAI459" s="22"/>
      <c r="NAJ459" s="22"/>
      <c r="NAK459" s="22"/>
      <c r="NAL459" s="22"/>
      <c r="NAM459" s="22"/>
      <c r="NAN459" s="22"/>
      <c r="NAO459" s="22"/>
      <c r="NAP459" s="22"/>
      <c r="NAQ459" s="22"/>
      <c r="NAR459" s="22"/>
      <c r="NAS459" s="22"/>
      <c r="NAT459" s="22"/>
      <c r="NAU459" s="22"/>
      <c r="NAV459" s="22"/>
      <c r="NAW459" s="22"/>
      <c r="NAX459" s="22"/>
      <c r="NAY459" s="22"/>
      <c r="NAZ459" s="22"/>
      <c r="NBA459" s="22"/>
      <c r="NBB459" s="22"/>
      <c r="NBC459" s="22"/>
      <c r="NBD459" s="22"/>
      <c r="NBE459" s="22"/>
      <c r="NBF459" s="22"/>
      <c r="NBG459" s="22"/>
      <c r="NBH459" s="22"/>
      <c r="NBI459" s="22"/>
      <c r="NBJ459" s="22"/>
      <c r="NBK459" s="22"/>
      <c r="NBL459" s="22"/>
      <c r="NBM459" s="22"/>
      <c r="NBN459" s="22"/>
      <c r="NBO459" s="22"/>
      <c r="NBP459" s="22"/>
      <c r="NBQ459" s="22"/>
      <c r="NBR459" s="22"/>
      <c r="NBS459" s="22"/>
      <c r="NBT459" s="22"/>
      <c r="NBU459" s="22"/>
      <c r="NBV459" s="22"/>
      <c r="NBW459" s="22"/>
      <c r="NBX459" s="22"/>
      <c r="NBY459" s="22"/>
      <c r="NBZ459" s="22"/>
      <c r="NCA459" s="22"/>
      <c r="NCB459" s="22"/>
      <c r="NCC459" s="22"/>
      <c r="NCD459" s="22"/>
      <c r="NCE459" s="22"/>
      <c r="NCF459" s="22"/>
      <c r="NCG459" s="22"/>
      <c r="NCH459" s="22"/>
      <c r="NCI459" s="22"/>
      <c r="NCJ459" s="22"/>
      <c r="NCK459" s="22"/>
      <c r="NCL459" s="22"/>
      <c r="NCM459" s="22"/>
      <c r="NCN459" s="22"/>
      <c r="NCO459" s="22"/>
      <c r="NCP459" s="22"/>
      <c r="NCQ459" s="22"/>
      <c r="NCR459" s="22"/>
      <c r="NCS459" s="22"/>
      <c r="NCT459" s="22"/>
      <c r="NCU459" s="22"/>
      <c r="NCV459" s="22"/>
      <c r="NCW459" s="22"/>
      <c r="NCX459" s="22"/>
      <c r="NCY459" s="22"/>
      <c r="NCZ459" s="22"/>
      <c r="NDA459" s="22"/>
      <c r="NDB459" s="22"/>
      <c r="NDC459" s="22"/>
      <c r="NDD459" s="22"/>
      <c r="NDE459" s="22"/>
      <c r="NDF459" s="22"/>
      <c r="NDG459" s="22"/>
      <c r="NDH459" s="22"/>
      <c r="NDI459" s="22"/>
      <c r="NDJ459" s="22"/>
      <c r="NDK459" s="22"/>
      <c r="NDL459" s="22"/>
      <c r="NDM459" s="22"/>
      <c r="NDN459" s="22"/>
      <c r="NDO459" s="22"/>
      <c r="NDP459" s="22"/>
      <c r="NDQ459" s="22"/>
      <c r="NDR459" s="22"/>
      <c r="NDS459" s="22"/>
      <c r="NDT459" s="22"/>
      <c r="NDU459" s="22"/>
      <c r="NDV459" s="22"/>
      <c r="NDW459" s="22"/>
      <c r="NDX459" s="22"/>
      <c r="NDY459" s="22"/>
      <c r="NDZ459" s="22"/>
      <c r="NEA459" s="22"/>
      <c r="NEB459" s="22"/>
      <c r="NEC459" s="22"/>
      <c r="NED459" s="22"/>
      <c r="NEE459" s="22"/>
      <c r="NEF459" s="22"/>
      <c r="NEG459" s="22"/>
      <c r="NEH459" s="22"/>
      <c r="NEI459" s="22"/>
      <c r="NEJ459" s="22"/>
      <c r="NEK459" s="22"/>
      <c r="NEL459" s="22"/>
      <c r="NEM459" s="22"/>
      <c r="NEN459" s="22"/>
      <c r="NEO459" s="22"/>
      <c r="NEP459" s="22"/>
      <c r="NEQ459" s="22"/>
      <c r="NER459" s="22"/>
      <c r="NES459" s="22"/>
      <c r="NET459" s="22"/>
      <c r="NEU459" s="22"/>
      <c r="NEV459" s="22"/>
      <c r="NEW459" s="22"/>
      <c r="NEX459" s="22"/>
      <c r="NEY459" s="22"/>
      <c r="NEZ459" s="22"/>
      <c r="NFA459" s="22"/>
      <c r="NFB459" s="22"/>
      <c r="NFC459" s="22"/>
      <c r="NFD459" s="22"/>
      <c r="NFE459" s="22"/>
      <c r="NFF459" s="22"/>
      <c r="NFG459" s="22"/>
      <c r="NFH459" s="22"/>
      <c r="NFI459" s="22"/>
      <c r="NFJ459" s="22"/>
      <c r="NFK459" s="22"/>
      <c r="NFL459" s="22"/>
      <c r="NFM459" s="22"/>
      <c r="NFN459" s="22"/>
      <c r="NFO459" s="22"/>
      <c r="NFP459" s="22"/>
      <c r="NFQ459" s="22"/>
      <c r="NFR459" s="22"/>
      <c r="NFS459" s="22"/>
      <c r="NFT459" s="22"/>
      <c r="NFU459" s="22"/>
      <c r="NFV459" s="22"/>
      <c r="NFW459" s="22"/>
      <c r="NFX459" s="22"/>
      <c r="NFY459" s="22"/>
      <c r="NFZ459" s="22"/>
      <c r="NGA459" s="22"/>
      <c r="NGB459" s="22"/>
      <c r="NGC459" s="22"/>
      <c r="NGD459" s="22"/>
      <c r="NGE459" s="22"/>
      <c r="NGF459" s="22"/>
      <c r="NGG459" s="22"/>
      <c r="NGH459" s="22"/>
      <c r="NGI459" s="22"/>
      <c r="NGJ459" s="22"/>
      <c r="NGK459" s="22"/>
      <c r="NGL459" s="22"/>
      <c r="NGM459" s="22"/>
      <c r="NGN459" s="22"/>
      <c r="NGO459" s="22"/>
      <c r="NGP459" s="22"/>
      <c r="NGQ459" s="22"/>
      <c r="NGR459" s="22"/>
      <c r="NGS459" s="22"/>
      <c r="NGT459" s="22"/>
      <c r="NGU459" s="22"/>
      <c r="NGV459" s="22"/>
      <c r="NGW459" s="22"/>
      <c r="NGX459" s="22"/>
      <c r="NGY459" s="22"/>
      <c r="NGZ459" s="22"/>
      <c r="NHA459" s="22"/>
      <c r="NHB459" s="22"/>
      <c r="NHC459" s="22"/>
      <c r="NHD459" s="22"/>
      <c r="NHE459" s="22"/>
      <c r="NHF459" s="22"/>
      <c r="NHG459" s="22"/>
      <c r="NHH459" s="22"/>
      <c r="NHI459" s="22"/>
      <c r="NHJ459" s="22"/>
      <c r="NHK459" s="22"/>
      <c r="NHL459" s="22"/>
      <c r="NHM459" s="22"/>
      <c r="NHN459" s="22"/>
      <c r="NHO459" s="22"/>
      <c r="NHP459" s="22"/>
      <c r="NHQ459" s="22"/>
      <c r="NHR459" s="22"/>
      <c r="NHS459" s="22"/>
      <c r="NHT459" s="22"/>
      <c r="NHU459" s="22"/>
      <c r="NHV459" s="22"/>
      <c r="NHW459" s="22"/>
      <c r="NHX459" s="22"/>
      <c r="NHY459" s="22"/>
      <c r="NHZ459" s="22"/>
      <c r="NIA459" s="22"/>
      <c r="NIB459" s="22"/>
      <c r="NIC459" s="22"/>
      <c r="NID459" s="22"/>
      <c r="NIE459" s="22"/>
      <c r="NIF459" s="22"/>
      <c r="NIG459" s="22"/>
      <c r="NIH459" s="22"/>
      <c r="NII459" s="22"/>
      <c r="NIJ459" s="22"/>
      <c r="NIK459" s="22"/>
      <c r="NIL459" s="22"/>
      <c r="NIM459" s="22"/>
      <c r="NIN459" s="22"/>
      <c r="NIO459" s="22"/>
      <c r="NIP459" s="22"/>
      <c r="NIQ459" s="22"/>
      <c r="NIR459" s="22"/>
      <c r="NIS459" s="22"/>
      <c r="NIT459" s="22"/>
      <c r="NIU459" s="22"/>
      <c r="NIV459" s="22"/>
      <c r="NIW459" s="22"/>
      <c r="NIX459" s="22"/>
      <c r="NIY459" s="22"/>
      <c r="NIZ459" s="22"/>
      <c r="NJA459" s="22"/>
      <c r="NJB459" s="22"/>
      <c r="NJC459" s="22"/>
      <c r="NJD459" s="22"/>
      <c r="NJE459" s="22"/>
      <c r="NJF459" s="22"/>
      <c r="NJG459" s="22"/>
      <c r="NJH459" s="22"/>
      <c r="NJI459" s="22"/>
      <c r="NJJ459" s="22"/>
      <c r="NJK459" s="22"/>
      <c r="NJL459" s="22"/>
      <c r="NJM459" s="22"/>
      <c r="NJN459" s="22"/>
      <c r="NJO459" s="22"/>
      <c r="NJP459" s="22"/>
      <c r="NJQ459" s="22"/>
      <c r="NJR459" s="22"/>
      <c r="NJS459" s="22"/>
      <c r="NJT459" s="22"/>
      <c r="NJU459" s="22"/>
      <c r="NJV459" s="22"/>
      <c r="NJW459" s="22"/>
      <c r="NJX459" s="22"/>
      <c r="NJY459" s="22"/>
      <c r="NJZ459" s="22"/>
      <c r="NKA459" s="22"/>
      <c r="NKB459" s="22"/>
      <c r="NKC459" s="22"/>
      <c r="NKD459" s="22"/>
      <c r="NKE459" s="22"/>
      <c r="NKF459" s="22"/>
      <c r="NKG459" s="22"/>
      <c r="NKH459" s="22"/>
      <c r="NKI459" s="22"/>
      <c r="NKJ459" s="22"/>
      <c r="NKK459" s="22"/>
      <c r="NKL459" s="22"/>
      <c r="NKM459" s="22"/>
      <c r="NKN459" s="22"/>
      <c r="NKO459" s="22"/>
      <c r="NKP459" s="22"/>
      <c r="NKQ459" s="22"/>
      <c r="NKR459" s="22"/>
      <c r="NKS459" s="22"/>
      <c r="NKT459" s="22"/>
      <c r="NKU459" s="22"/>
      <c r="NKV459" s="22"/>
      <c r="NKW459" s="22"/>
      <c r="NKX459" s="22"/>
      <c r="NKY459" s="22"/>
      <c r="NKZ459" s="22"/>
      <c r="NLA459" s="22"/>
      <c r="NLB459" s="22"/>
      <c r="NLC459" s="22"/>
      <c r="NLD459" s="22"/>
      <c r="NLE459" s="22"/>
      <c r="NLF459" s="22"/>
      <c r="NLG459" s="22"/>
      <c r="NLH459" s="22"/>
      <c r="NLI459" s="22"/>
      <c r="NLJ459" s="22"/>
      <c r="NLK459" s="22"/>
      <c r="NLL459" s="22"/>
      <c r="NLM459" s="22"/>
      <c r="NLN459" s="22"/>
      <c r="NLO459" s="22"/>
      <c r="NLP459" s="22"/>
      <c r="NLQ459" s="22"/>
      <c r="NLR459" s="22"/>
      <c r="NLS459" s="22"/>
      <c r="NLT459" s="22"/>
      <c r="NLU459" s="22"/>
      <c r="NLV459" s="22"/>
      <c r="NLW459" s="22"/>
      <c r="NLX459" s="22"/>
      <c r="NLY459" s="22"/>
      <c r="NLZ459" s="22"/>
      <c r="NMA459" s="22"/>
      <c r="NMB459" s="22"/>
      <c r="NMC459" s="22"/>
      <c r="NMD459" s="22"/>
      <c r="NME459" s="22"/>
      <c r="NMF459" s="22"/>
      <c r="NMG459" s="22"/>
      <c r="NMH459" s="22"/>
      <c r="NMI459" s="22"/>
      <c r="NMJ459" s="22"/>
      <c r="NMK459" s="22"/>
      <c r="NML459" s="22"/>
      <c r="NMM459" s="22"/>
      <c r="NMN459" s="22"/>
      <c r="NMO459" s="22"/>
      <c r="NMP459" s="22"/>
      <c r="NMQ459" s="22"/>
      <c r="NMR459" s="22"/>
      <c r="NMS459" s="22"/>
      <c r="NMT459" s="22"/>
      <c r="NMU459" s="22"/>
      <c r="NMV459" s="22"/>
      <c r="NMW459" s="22"/>
      <c r="NMX459" s="22"/>
      <c r="NMY459" s="22"/>
      <c r="NMZ459" s="22"/>
      <c r="NNA459" s="22"/>
      <c r="NNB459" s="22"/>
      <c r="NNC459" s="22"/>
      <c r="NND459" s="22"/>
      <c r="NNE459" s="22"/>
      <c r="NNF459" s="22"/>
      <c r="NNG459" s="22"/>
      <c r="NNH459" s="22"/>
      <c r="NNI459" s="22"/>
      <c r="NNJ459" s="22"/>
      <c r="NNK459" s="22"/>
      <c r="NNL459" s="22"/>
      <c r="NNM459" s="22"/>
      <c r="NNN459" s="22"/>
      <c r="NNO459" s="22"/>
      <c r="NNP459" s="22"/>
      <c r="NNQ459" s="22"/>
      <c r="NNR459" s="22"/>
      <c r="NNS459" s="22"/>
      <c r="NNT459" s="22"/>
      <c r="NNU459" s="22"/>
      <c r="NNV459" s="22"/>
      <c r="NNW459" s="22"/>
      <c r="NNX459" s="22"/>
      <c r="NNY459" s="22"/>
      <c r="NNZ459" s="22"/>
      <c r="NOA459" s="22"/>
      <c r="NOB459" s="22"/>
      <c r="NOC459" s="22"/>
      <c r="NOD459" s="22"/>
      <c r="NOE459" s="22"/>
      <c r="NOF459" s="22"/>
      <c r="NOG459" s="22"/>
      <c r="NOH459" s="22"/>
      <c r="NOI459" s="22"/>
      <c r="NOJ459" s="22"/>
      <c r="NOK459" s="22"/>
      <c r="NOL459" s="22"/>
      <c r="NOM459" s="22"/>
      <c r="NON459" s="22"/>
      <c r="NOO459" s="22"/>
      <c r="NOP459" s="22"/>
      <c r="NOQ459" s="22"/>
      <c r="NOR459" s="22"/>
      <c r="NOS459" s="22"/>
      <c r="NOT459" s="22"/>
      <c r="NOU459" s="22"/>
      <c r="NOV459" s="22"/>
      <c r="NOW459" s="22"/>
      <c r="NOX459" s="22"/>
      <c r="NOY459" s="22"/>
      <c r="NOZ459" s="22"/>
      <c r="NPA459" s="22"/>
      <c r="NPB459" s="22"/>
      <c r="NPC459" s="22"/>
      <c r="NPD459" s="22"/>
      <c r="NPE459" s="22"/>
      <c r="NPF459" s="22"/>
      <c r="NPG459" s="22"/>
      <c r="NPH459" s="22"/>
      <c r="NPI459" s="22"/>
      <c r="NPJ459" s="22"/>
      <c r="NPK459" s="22"/>
      <c r="NPL459" s="22"/>
      <c r="NPM459" s="22"/>
      <c r="NPN459" s="22"/>
      <c r="NPO459" s="22"/>
      <c r="NPP459" s="22"/>
      <c r="NPQ459" s="22"/>
      <c r="NPR459" s="22"/>
      <c r="NPS459" s="22"/>
      <c r="NPT459" s="22"/>
      <c r="NPU459" s="22"/>
      <c r="NPV459" s="22"/>
      <c r="NPW459" s="22"/>
      <c r="NPX459" s="22"/>
      <c r="NPY459" s="22"/>
      <c r="NPZ459" s="22"/>
      <c r="NQA459" s="22"/>
      <c r="NQB459" s="22"/>
      <c r="NQC459" s="22"/>
      <c r="NQD459" s="22"/>
      <c r="NQE459" s="22"/>
      <c r="NQF459" s="22"/>
      <c r="NQG459" s="22"/>
      <c r="NQH459" s="22"/>
      <c r="NQI459" s="22"/>
      <c r="NQJ459" s="22"/>
      <c r="NQK459" s="22"/>
      <c r="NQL459" s="22"/>
      <c r="NQM459" s="22"/>
      <c r="NQN459" s="22"/>
      <c r="NQO459" s="22"/>
      <c r="NQP459" s="22"/>
      <c r="NQQ459" s="22"/>
      <c r="NQR459" s="22"/>
      <c r="NQS459" s="22"/>
      <c r="NQT459" s="22"/>
      <c r="NQU459" s="22"/>
      <c r="NQV459" s="22"/>
      <c r="NQW459" s="22"/>
      <c r="NQX459" s="22"/>
      <c r="NQY459" s="22"/>
      <c r="NQZ459" s="22"/>
      <c r="NRA459" s="22"/>
      <c r="NRB459" s="22"/>
      <c r="NRC459" s="22"/>
      <c r="NRD459" s="22"/>
      <c r="NRE459" s="22"/>
      <c r="NRF459" s="22"/>
      <c r="NRG459" s="22"/>
      <c r="NRH459" s="22"/>
      <c r="NRI459" s="22"/>
      <c r="NRJ459" s="22"/>
      <c r="NRK459" s="22"/>
      <c r="NRL459" s="22"/>
      <c r="NRM459" s="22"/>
      <c r="NRN459" s="22"/>
      <c r="NRO459" s="22"/>
      <c r="NRP459" s="22"/>
      <c r="NRQ459" s="22"/>
      <c r="NRR459" s="22"/>
      <c r="NRS459" s="22"/>
      <c r="NRT459" s="22"/>
      <c r="NRU459" s="22"/>
      <c r="NRV459" s="22"/>
      <c r="NRW459" s="22"/>
      <c r="NRX459" s="22"/>
      <c r="NRY459" s="22"/>
      <c r="NRZ459" s="22"/>
      <c r="NSA459" s="22"/>
      <c r="NSB459" s="22"/>
      <c r="NSC459" s="22"/>
      <c r="NSD459" s="22"/>
      <c r="NSE459" s="22"/>
      <c r="NSF459" s="22"/>
      <c r="NSG459" s="22"/>
      <c r="NSH459" s="22"/>
      <c r="NSI459" s="22"/>
      <c r="NSJ459" s="22"/>
      <c r="NSK459" s="22"/>
      <c r="NSL459" s="22"/>
      <c r="NSM459" s="22"/>
      <c r="NSN459" s="22"/>
      <c r="NSO459" s="22"/>
      <c r="NSP459" s="22"/>
      <c r="NSQ459" s="22"/>
      <c r="NSR459" s="22"/>
      <c r="NSS459" s="22"/>
      <c r="NST459" s="22"/>
      <c r="NSU459" s="22"/>
      <c r="NSV459" s="22"/>
      <c r="NSW459" s="22"/>
      <c r="NSX459" s="22"/>
      <c r="NSY459" s="22"/>
      <c r="NSZ459" s="22"/>
      <c r="NTA459" s="22"/>
      <c r="NTB459" s="22"/>
      <c r="NTC459" s="22"/>
      <c r="NTD459" s="22"/>
      <c r="NTE459" s="22"/>
      <c r="NTF459" s="22"/>
      <c r="NTG459" s="22"/>
      <c r="NTH459" s="22"/>
      <c r="NTI459" s="22"/>
      <c r="NTJ459" s="22"/>
      <c r="NTK459" s="22"/>
      <c r="NTL459" s="22"/>
      <c r="NTM459" s="22"/>
      <c r="NTN459" s="22"/>
      <c r="NTO459" s="22"/>
      <c r="NTP459" s="22"/>
      <c r="NTQ459" s="22"/>
      <c r="NTR459" s="22"/>
      <c r="NTS459" s="22"/>
      <c r="NTT459" s="22"/>
      <c r="NTU459" s="22"/>
      <c r="NTV459" s="22"/>
      <c r="NTW459" s="22"/>
      <c r="NTX459" s="22"/>
      <c r="NTY459" s="22"/>
      <c r="NTZ459" s="22"/>
      <c r="NUA459" s="22"/>
      <c r="NUB459" s="22"/>
      <c r="NUC459" s="22"/>
      <c r="NUD459" s="22"/>
      <c r="NUE459" s="22"/>
      <c r="NUF459" s="22"/>
      <c r="NUG459" s="22"/>
      <c r="NUH459" s="22"/>
      <c r="NUI459" s="22"/>
      <c r="NUJ459" s="22"/>
      <c r="NUK459" s="22"/>
      <c r="NUL459" s="22"/>
      <c r="NUM459" s="22"/>
      <c r="NUN459" s="22"/>
      <c r="NUO459" s="22"/>
      <c r="NUP459" s="22"/>
      <c r="NUQ459" s="22"/>
      <c r="NUR459" s="22"/>
      <c r="NUS459" s="22"/>
      <c r="NUT459" s="22"/>
      <c r="NUU459" s="22"/>
      <c r="NUV459" s="22"/>
      <c r="NUW459" s="22"/>
      <c r="NUX459" s="22"/>
      <c r="NUY459" s="22"/>
      <c r="NUZ459" s="22"/>
      <c r="NVA459" s="22"/>
      <c r="NVB459" s="22"/>
      <c r="NVC459" s="22"/>
      <c r="NVD459" s="22"/>
      <c r="NVE459" s="22"/>
      <c r="NVF459" s="22"/>
      <c r="NVG459" s="22"/>
      <c r="NVH459" s="22"/>
      <c r="NVI459" s="22"/>
      <c r="NVJ459" s="22"/>
      <c r="NVK459" s="22"/>
      <c r="NVL459" s="22"/>
      <c r="NVM459" s="22"/>
      <c r="NVN459" s="22"/>
      <c r="NVO459" s="22"/>
      <c r="NVP459" s="22"/>
      <c r="NVQ459" s="22"/>
      <c r="NVR459" s="22"/>
      <c r="NVS459" s="22"/>
      <c r="NVT459" s="22"/>
      <c r="NVU459" s="22"/>
      <c r="NVV459" s="22"/>
      <c r="NVW459" s="22"/>
      <c r="NVX459" s="22"/>
      <c r="NVY459" s="22"/>
      <c r="NVZ459" s="22"/>
      <c r="NWA459" s="22"/>
      <c r="NWB459" s="22"/>
      <c r="NWC459" s="22"/>
      <c r="NWD459" s="22"/>
      <c r="NWE459" s="22"/>
      <c r="NWF459" s="22"/>
      <c r="NWG459" s="22"/>
      <c r="NWH459" s="22"/>
      <c r="NWI459" s="22"/>
      <c r="NWJ459" s="22"/>
      <c r="NWK459" s="22"/>
      <c r="NWL459" s="22"/>
      <c r="NWM459" s="22"/>
      <c r="NWN459" s="22"/>
      <c r="NWO459" s="22"/>
      <c r="NWP459" s="22"/>
      <c r="NWQ459" s="22"/>
      <c r="NWR459" s="22"/>
      <c r="NWS459" s="22"/>
      <c r="NWT459" s="22"/>
      <c r="NWU459" s="22"/>
      <c r="NWV459" s="22"/>
      <c r="NWW459" s="22"/>
      <c r="NWX459" s="22"/>
      <c r="NWY459" s="22"/>
      <c r="NWZ459" s="22"/>
      <c r="NXA459" s="22"/>
      <c r="NXB459" s="22"/>
      <c r="NXC459" s="22"/>
      <c r="NXD459" s="22"/>
      <c r="NXE459" s="22"/>
      <c r="NXF459" s="22"/>
      <c r="NXG459" s="22"/>
      <c r="NXH459" s="22"/>
      <c r="NXI459" s="22"/>
      <c r="NXJ459" s="22"/>
      <c r="NXK459" s="22"/>
      <c r="NXL459" s="22"/>
      <c r="NXM459" s="22"/>
      <c r="NXN459" s="22"/>
      <c r="NXO459" s="22"/>
      <c r="NXP459" s="22"/>
      <c r="NXQ459" s="22"/>
      <c r="NXR459" s="22"/>
      <c r="NXS459" s="22"/>
      <c r="NXT459" s="22"/>
      <c r="NXU459" s="22"/>
      <c r="NXV459" s="22"/>
      <c r="NXW459" s="22"/>
      <c r="NXX459" s="22"/>
      <c r="NXY459" s="22"/>
      <c r="NXZ459" s="22"/>
      <c r="NYA459" s="22"/>
      <c r="NYB459" s="22"/>
      <c r="NYC459" s="22"/>
      <c r="NYD459" s="22"/>
      <c r="NYE459" s="22"/>
      <c r="NYF459" s="22"/>
      <c r="NYG459" s="22"/>
      <c r="NYH459" s="22"/>
      <c r="NYI459" s="22"/>
      <c r="NYJ459" s="22"/>
      <c r="NYK459" s="22"/>
      <c r="NYL459" s="22"/>
      <c r="NYM459" s="22"/>
      <c r="NYN459" s="22"/>
      <c r="NYO459" s="22"/>
      <c r="NYP459" s="22"/>
      <c r="NYQ459" s="22"/>
      <c r="NYR459" s="22"/>
      <c r="NYS459" s="22"/>
      <c r="NYT459" s="22"/>
      <c r="NYU459" s="22"/>
      <c r="NYV459" s="22"/>
      <c r="NYW459" s="22"/>
      <c r="NYX459" s="22"/>
      <c r="NYY459" s="22"/>
      <c r="NYZ459" s="22"/>
      <c r="NZA459" s="22"/>
      <c r="NZB459" s="22"/>
      <c r="NZC459" s="22"/>
      <c r="NZD459" s="22"/>
      <c r="NZE459" s="22"/>
      <c r="NZF459" s="22"/>
      <c r="NZG459" s="22"/>
      <c r="NZH459" s="22"/>
      <c r="NZI459" s="22"/>
      <c r="NZJ459" s="22"/>
      <c r="NZK459" s="22"/>
      <c r="NZL459" s="22"/>
      <c r="NZM459" s="22"/>
      <c r="NZN459" s="22"/>
      <c r="NZO459" s="22"/>
      <c r="NZP459" s="22"/>
      <c r="NZQ459" s="22"/>
      <c r="NZR459" s="22"/>
      <c r="NZS459" s="22"/>
      <c r="NZT459" s="22"/>
      <c r="NZU459" s="22"/>
      <c r="NZV459" s="22"/>
      <c r="NZW459" s="22"/>
      <c r="NZX459" s="22"/>
      <c r="NZY459" s="22"/>
      <c r="NZZ459" s="22"/>
      <c r="OAA459" s="22"/>
      <c r="OAB459" s="22"/>
      <c r="OAC459" s="22"/>
      <c r="OAD459" s="22"/>
      <c r="OAE459" s="22"/>
      <c r="OAF459" s="22"/>
      <c r="OAG459" s="22"/>
      <c r="OAH459" s="22"/>
      <c r="OAI459" s="22"/>
      <c r="OAJ459" s="22"/>
      <c r="OAK459" s="22"/>
      <c r="OAL459" s="22"/>
      <c r="OAM459" s="22"/>
      <c r="OAN459" s="22"/>
      <c r="OAO459" s="22"/>
      <c r="OAP459" s="22"/>
      <c r="OAQ459" s="22"/>
      <c r="OAR459" s="22"/>
      <c r="OAS459" s="22"/>
      <c r="OAT459" s="22"/>
      <c r="OAU459" s="22"/>
      <c r="OAV459" s="22"/>
      <c r="OAW459" s="22"/>
      <c r="OAX459" s="22"/>
      <c r="OAY459" s="22"/>
      <c r="OAZ459" s="22"/>
      <c r="OBA459" s="22"/>
      <c r="OBB459" s="22"/>
      <c r="OBC459" s="22"/>
      <c r="OBD459" s="22"/>
      <c r="OBE459" s="22"/>
      <c r="OBF459" s="22"/>
      <c r="OBG459" s="22"/>
      <c r="OBH459" s="22"/>
      <c r="OBI459" s="22"/>
      <c r="OBJ459" s="22"/>
      <c r="OBK459" s="22"/>
      <c r="OBL459" s="22"/>
      <c r="OBM459" s="22"/>
      <c r="OBN459" s="22"/>
      <c r="OBO459" s="22"/>
      <c r="OBP459" s="22"/>
      <c r="OBQ459" s="22"/>
      <c r="OBR459" s="22"/>
      <c r="OBS459" s="22"/>
      <c r="OBT459" s="22"/>
      <c r="OBU459" s="22"/>
      <c r="OBV459" s="22"/>
      <c r="OBW459" s="22"/>
      <c r="OBX459" s="22"/>
      <c r="OBY459" s="22"/>
      <c r="OBZ459" s="22"/>
      <c r="OCA459" s="22"/>
      <c r="OCB459" s="22"/>
      <c r="OCC459" s="22"/>
      <c r="OCD459" s="22"/>
      <c r="OCE459" s="22"/>
      <c r="OCF459" s="22"/>
      <c r="OCG459" s="22"/>
      <c r="OCH459" s="22"/>
      <c r="OCI459" s="22"/>
      <c r="OCJ459" s="22"/>
      <c r="OCK459" s="22"/>
      <c r="OCL459" s="22"/>
      <c r="OCM459" s="22"/>
      <c r="OCN459" s="22"/>
      <c r="OCO459" s="22"/>
      <c r="OCP459" s="22"/>
      <c r="OCQ459" s="22"/>
      <c r="OCR459" s="22"/>
      <c r="OCS459" s="22"/>
      <c r="OCT459" s="22"/>
      <c r="OCU459" s="22"/>
      <c r="OCV459" s="22"/>
      <c r="OCW459" s="22"/>
      <c r="OCX459" s="22"/>
      <c r="OCY459" s="22"/>
      <c r="OCZ459" s="22"/>
      <c r="ODA459" s="22"/>
      <c r="ODB459" s="22"/>
      <c r="ODC459" s="22"/>
      <c r="ODD459" s="22"/>
      <c r="ODE459" s="22"/>
      <c r="ODF459" s="22"/>
      <c r="ODG459" s="22"/>
      <c r="ODH459" s="22"/>
      <c r="ODI459" s="22"/>
      <c r="ODJ459" s="22"/>
      <c r="ODK459" s="22"/>
      <c r="ODL459" s="22"/>
      <c r="ODM459" s="22"/>
      <c r="ODN459" s="22"/>
      <c r="ODO459" s="22"/>
      <c r="ODP459" s="22"/>
      <c r="ODQ459" s="22"/>
      <c r="ODR459" s="22"/>
      <c r="ODS459" s="22"/>
      <c r="ODT459" s="22"/>
      <c r="ODU459" s="22"/>
      <c r="ODV459" s="22"/>
      <c r="ODW459" s="22"/>
      <c r="ODX459" s="22"/>
      <c r="ODY459" s="22"/>
      <c r="ODZ459" s="22"/>
      <c r="OEA459" s="22"/>
      <c r="OEB459" s="22"/>
      <c r="OEC459" s="22"/>
      <c r="OED459" s="22"/>
      <c r="OEE459" s="22"/>
      <c r="OEF459" s="22"/>
      <c r="OEG459" s="22"/>
      <c r="OEH459" s="22"/>
      <c r="OEI459" s="22"/>
      <c r="OEJ459" s="22"/>
      <c r="OEK459" s="22"/>
      <c r="OEL459" s="22"/>
      <c r="OEM459" s="22"/>
      <c r="OEN459" s="22"/>
      <c r="OEO459" s="22"/>
      <c r="OEP459" s="22"/>
      <c r="OEQ459" s="22"/>
      <c r="OER459" s="22"/>
      <c r="OES459" s="22"/>
      <c r="OET459" s="22"/>
      <c r="OEU459" s="22"/>
      <c r="OEV459" s="22"/>
      <c r="OEW459" s="22"/>
      <c r="OEX459" s="22"/>
      <c r="OEY459" s="22"/>
      <c r="OEZ459" s="22"/>
      <c r="OFA459" s="22"/>
      <c r="OFB459" s="22"/>
      <c r="OFC459" s="22"/>
      <c r="OFD459" s="22"/>
      <c r="OFE459" s="22"/>
      <c r="OFF459" s="22"/>
      <c r="OFG459" s="22"/>
      <c r="OFH459" s="22"/>
      <c r="OFI459" s="22"/>
      <c r="OFJ459" s="22"/>
      <c r="OFK459" s="22"/>
      <c r="OFL459" s="22"/>
      <c r="OFM459" s="22"/>
      <c r="OFN459" s="22"/>
      <c r="OFO459" s="22"/>
      <c r="OFP459" s="22"/>
      <c r="OFQ459" s="22"/>
      <c r="OFR459" s="22"/>
      <c r="OFS459" s="22"/>
      <c r="OFT459" s="22"/>
      <c r="OFU459" s="22"/>
      <c r="OFV459" s="22"/>
      <c r="OFW459" s="22"/>
      <c r="OFX459" s="22"/>
      <c r="OFY459" s="22"/>
      <c r="OFZ459" s="22"/>
      <c r="OGA459" s="22"/>
      <c r="OGB459" s="22"/>
      <c r="OGC459" s="22"/>
      <c r="OGD459" s="22"/>
      <c r="OGE459" s="22"/>
      <c r="OGF459" s="22"/>
      <c r="OGG459" s="22"/>
      <c r="OGH459" s="22"/>
      <c r="OGI459" s="22"/>
      <c r="OGJ459" s="22"/>
      <c r="OGK459" s="22"/>
      <c r="OGL459" s="22"/>
      <c r="OGM459" s="22"/>
      <c r="OGN459" s="22"/>
      <c r="OGO459" s="22"/>
      <c r="OGP459" s="22"/>
      <c r="OGQ459" s="22"/>
      <c r="OGR459" s="22"/>
      <c r="OGS459" s="22"/>
      <c r="OGT459" s="22"/>
      <c r="OGU459" s="22"/>
      <c r="OGV459" s="22"/>
      <c r="OGW459" s="22"/>
      <c r="OGX459" s="22"/>
      <c r="OGY459" s="22"/>
      <c r="OGZ459" s="22"/>
      <c r="OHA459" s="22"/>
      <c r="OHB459" s="22"/>
      <c r="OHC459" s="22"/>
      <c r="OHD459" s="22"/>
      <c r="OHE459" s="22"/>
      <c r="OHF459" s="22"/>
      <c r="OHG459" s="22"/>
      <c r="OHH459" s="22"/>
      <c r="OHI459" s="22"/>
      <c r="OHJ459" s="22"/>
      <c r="OHK459" s="22"/>
      <c r="OHL459" s="22"/>
      <c r="OHM459" s="22"/>
      <c r="OHN459" s="22"/>
      <c r="OHO459" s="22"/>
      <c r="OHP459" s="22"/>
      <c r="OHQ459" s="22"/>
      <c r="OHR459" s="22"/>
      <c r="OHS459" s="22"/>
      <c r="OHT459" s="22"/>
      <c r="OHU459" s="22"/>
      <c r="OHV459" s="22"/>
      <c r="OHW459" s="22"/>
      <c r="OHX459" s="22"/>
      <c r="OHY459" s="22"/>
      <c r="OHZ459" s="22"/>
      <c r="OIA459" s="22"/>
      <c r="OIB459" s="22"/>
      <c r="OIC459" s="22"/>
      <c r="OID459" s="22"/>
      <c r="OIE459" s="22"/>
      <c r="OIF459" s="22"/>
      <c r="OIG459" s="22"/>
      <c r="OIH459" s="22"/>
      <c r="OII459" s="22"/>
      <c r="OIJ459" s="22"/>
      <c r="OIK459" s="22"/>
      <c r="OIL459" s="22"/>
      <c r="OIM459" s="22"/>
      <c r="OIN459" s="22"/>
      <c r="OIO459" s="22"/>
      <c r="OIP459" s="22"/>
      <c r="OIQ459" s="22"/>
      <c r="OIR459" s="22"/>
      <c r="OIS459" s="22"/>
      <c r="OIT459" s="22"/>
      <c r="OIU459" s="22"/>
      <c r="OIV459" s="22"/>
      <c r="OIW459" s="22"/>
      <c r="OIX459" s="22"/>
      <c r="OIY459" s="22"/>
      <c r="OIZ459" s="22"/>
      <c r="OJA459" s="22"/>
      <c r="OJB459" s="22"/>
      <c r="OJC459" s="22"/>
      <c r="OJD459" s="22"/>
      <c r="OJE459" s="22"/>
      <c r="OJF459" s="22"/>
      <c r="OJG459" s="22"/>
      <c r="OJH459" s="22"/>
      <c r="OJI459" s="22"/>
      <c r="OJJ459" s="22"/>
      <c r="OJK459" s="22"/>
      <c r="OJL459" s="22"/>
      <c r="OJM459" s="22"/>
      <c r="OJN459" s="22"/>
      <c r="OJO459" s="22"/>
      <c r="OJP459" s="22"/>
      <c r="OJQ459" s="22"/>
      <c r="OJR459" s="22"/>
      <c r="OJS459" s="22"/>
      <c r="OJT459" s="22"/>
      <c r="OJU459" s="22"/>
      <c r="OJV459" s="22"/>
      <c r="OJW459" s="22"/>
      <c r="OJX459" s="22"/>
      <c r="OJY459" s="22"/>
      <c r="OJZ459" s="22"/>
      <c r="OKA459" s="22"/>
      <c r="OKB459" s="22"/>
      <c r="OKC459" s="22"/>
      <c r="OKD459" s="22"/>
      <c r="OKE459" s="22"/>
      <c r="OKF459" s="22"/>
      <c r="OKG459" s="22"/>
      <c r="OKH459" s="22"/>
      <c r="OKI459" s="22"/>
      <c r="OKJ459" s="22"/>
      <c r="OKK459" s="22"/>
      <c r="OKL459" s="22"/>
      <c r="OKM459" s="22"/>
      <c r="OKN459" s="22"/>
      <c r="OKO459" s="22"/>
      <c r="OKP459" s="22"/>
      <c r="OKQ459" s="22"/>
      <c r="OKR459" s="22"/>
      <c r="OKS459" s="22"/>
      <c r="OKT459" s="22"/>
      <c r="OKU459" s="22"/>
      <c r="OKV459" s="22"/>
      <c r="OKW459" s="22"/>
      <c r="OKX459" s="22"/>
      <c r="OKY459" s="22"/>
      <c r="OKZ459" s="22"/>
      <c r="OLA459" s="22"/>
      <c r="OLB459" s="22"/>
      <c r="OLC459" s="22"/>
      <c r="OLD459" s="22"/>
      <c r="OLE459" s="22"/>
      <c r="OLF459" s="22"/>
      <c r="OLG459" s="22"/>
      <c r="OLH459" s="22"/>
      <c r="OLI459" s="22"/>
      <c r="OLJ459" s="22"/>
      <c r="OLK459" s="22"/>
      <c r="OLL459" s="22"/>
      <c r="OLM459" s="22"/>
      <c r="OLN459" s="22"/>
      <c r="OLO459" s="22"/>
      <c r="OLP459" s="22"/>
      <c r="OLQ459" s="22"/>
      <c r="OLR459" s="22"/>
      <c r="OLS459" s="22"/>
      <c r="OLT459" s="22"/>
      <c r="OLU459" s="22"/>
      <c r="OLV459" s="22"/>
      <c r="OLW459" s="22"/>
      <c r="OLX459" s="22"/>
      <c r="OLY459" s="22"/>
      <c r="OLZ459" s="22"/>
      <c r="OMA459" s="22"/>
      <c r="OMB459" s="22"/>
      <c r="OMC459" s="22"/>
      <c r="OMD459" s="22"/>
      <c r="OME459" s="22"/>
      <c r="OMF459" s="22"/>
      <c r="OMG459" s="22"/>
      <c r="OMH459" s="22"/>
      <c r="OMI459" s="22"/>
      <c r="OMJ459" s="22"/>
      <c r="OMK459" s="22"/>
      <c r="OML459" s="22"/>
      <c r="OMM459" s="22"/>
      <c r="OMN459" s="22"/>
      <c r="OMO459" s="22"/>
      <c r="OMP459" s="22"/>
      <c r="OMQ459" s="22"/>
      <c r="OMR459" s="22"/>
      <c r="OMS459" s="22"/>
      <c r="OMT459" s="22"/>
      <c r="OMU459" s="22"/>
      <c r="OMV459" s="22"/>
      <c r="OMW459" s="22"/>
      <c r="OMX459" s="22"/>
      <c r="OMY459" s="22"/>
      <c r="OMZ459" s="22"/>
      <c r="ONA459" s="22"/>
      <c r="ONB459" s="22"/>
      <c r="ONC459" s="22"/>
      <c r="OND459" s="22"/>
      <c r="ONE459" s="22"/>
      <c r="ONF459" s="22"/>
      <c r="ONG459" s="22"/>
      <c r="ONH459" s="22"/>
      <c r="ONI459" s="22"/>
      <c r="ONJ459" s="22"/>
      <c r="ONK459" s="22"/>
      <c r="ONL459" s="22"/>
      <c r="ONM459" s="22"/>
      <c r="ONN459" s="22"/>
      <c r="ONO459" s="22"/>
      <c r="ONP459" s="22"/>
      <c r="ONQ459" s="22"/>
      <c r="ONR459" s="22"/>
      <c r="ONS459" s="22"/>
      <c r="ONT459" s="22"/>
      <c r="ONU459" s="22"/>
      <c r="ONV459" s="22"/>
      <c r="ONW459" s="22"/>
      <c r="ONX459" s="22"/>
      <c r="ONY459" s="22"/>
      <c r="ONZ459" s="22"/>
      <c r="OOA459" s="22"/>
      <c r="OOB459" s="22"/>
      <c r="OOC459" s="22"/>
      <c r="OOD459" s="22"/>
      <c r="OOE459" s="22"/>
      <c r="OOF459" s="22"/>
      <c r="OOG459" s="22"/>
      <c r="OOH459" s="22"/>
      <c r="OOI459" s="22"/>
      <c r="OOJ459" s="22"/>
      <c r="OOK459" s="22"/>
      <c r="OOL459" s="22"/>
      <c r="OOM459" s="22"/>
      <c r="OON459" s="22"/>
      <c r="OOO459" s="22"/>
      <c r="OOP459" s="22"/>
      <c r="OOQ459" s="22"/>
      <c r="OOR459" s="22"/>
      <c r="OOS459" s="22"/>
      <c r="OOT459" s="22"/>
      <c r="OOU459" s="22"/>
      <c r="OOV459" s="22"/>
      <c r="OOW459" s="22"/>
      <c r="OOX459" s="22"/>
      <c r="OOY459" s="22"/>
      <c r="OOZ459" s="22"/>
      <c r="OPA459" s="22"/>
      <c r="OPB459" s="22"/>
      <c r="OPC459" s="22"/>
      <c r="OPD459" s="22"/>
      <c r="OPE459" s="22"/>
      <c r="OPF459" s="22"/>
      <c r="OPG459" s="22"/>
      <c r="OPH459" s="22"/>
      <c r="OPI459" s="22"/>
      <c r="OPJ459" s="22"/>
      <c r="OPK459" s="22"/>
      <c r="OPL459" s="22"/>
      <c r="OPM459" s="22"/>
      <c r="OPN459" s="22"/>
      <c r="OPO459" s="22"/>
      <c r="OPP459" s="22"/>
      <c r="OPQ459" s="22"/>
      <c r="OPR459" s="22"/>
      <c r="OPS459" s="22"/>
      <c r="OPT459" s="22"/>
      <c r="OPU459" s="22"/>
      <c r="OPV459" s="22"/>
      <c r="OPW459" s="22"/>
      <c r="OPX459" s="22"/>
      <c r="OPY459" s="22"/>
      <c r="OPZ459" s="22"/>
      <c r="OQA459" s="22"/>
      <c r="OQB459" s="22"/>
      <c r="OQC459" s="22"/>
      <c r="OQD459" s="22"/>
      <c r="OQE459" s="22"/>
      <c r="OQF459" s="22"/>
      <c r="OQG459" s="22"/>
      <c r="OQH459" s="22"/>
      <c r="OQI459" s="22"/>
      <c r="OQJ459" s="22"/>
      <c r="OQK459" s="22"/>
      <c r="OQL459" s="22"/>
      <c r="OQM459" s="22"/>
      <c r="OQN459" s="22"/>
      <c r="OQO459" s="22"/>
      <c r="OQP459" s="22"/>
      <c r="OQQ459" s="22"/>
      <c r="OQR459" s="22"/>
      <c r="OQS459" s="22"/>
      <c r="OQT459" s="22"/>
      <c r="OQU459" s="22"/>
      <c r="OQV459" s="22"/>
      <c r="OQW459" s="22"/>
      <c r="OQX459" s="22"/>
      <c r="OQY459" s="22"/>
      <c r="OQZ459" s="22"/>
      <c r="ORA459" s="22"/>
      <c r="ORB459" s="22"/>
      <c r="ORC459" s="22"/>
      <c r="ORD459" s="22"/>
      <c r="ORE459" s="22"/>
      <c r="ORF459" s="22"/>
      <c r="ORG459" s="22"/>
      <c r="ORH459" s="22"/>
      <c r="ORI459" s="22"/>
      <c r="ORJ459" s="22"/>
      <c r="ORK459" s="22"/>
      <c r="ORL459" s="22"/>
      <c r="ORM459" s="22"/>
      <c r="ORN459" s="22"/>
      <c r="ORO459" s="22"/>
      <c r="ORP459" s="22"/>
      <c r="ORQ459" s="22"/>
      <c r="ORR459" s="22"/>
      <c r="ORS459" s="22"/>
      <c r="ORT459" s="22"/>
      <c r="ORU459" s="22"/>
      <c r="ORV459" s="22"/>
      <c r="ORW459" s="22"/>
      <c r="ORX459" s="22"/>
      <c r="ORY459" s="22"/>
      <c r="ORZ459" s="22"/>
      <c r="OSA459" s="22"/>
      <c r="OSB459" s="22"/>
      <c r="OSC459" s="22"/>
      <c r="OSD459" s="22"/>
      <c r="OSE459" s="22"/>
      <c r="OSF459" s="22"/>
      <c r="OSG459" s="22"/>
      <c r="OSH459" s="22"/>
      <c r="OSI459" s="22"/>
      <c r="OSJ459" s="22"/>
      <c r="OSK459" s="22"/>
      <c r="OSL459" s="22"/>
      <c r="OSM459" s="22"/>
      <c r="OSN459" s="22"/>
      <c r="OSO459" s="22"/>
      <c r="OSP459" s="22"/>
      <c r="OSQ459" s="22"/>
      <c r="OSR459" s="22"/>
      <c r="OSS459" s="22"/>
      <c r="OST459" s="22"/>
      <c r="OSU459" s="22"/>
      <c r="OSV459" s="22"/>
      <c r="OSW459" s="22"/>
      <c r="OSX459" s="22"/>
      <c r="OSY459" s="22"/>
      <c r="OSZ459" s="22"/>
      <c r="OTA459" s="22"/>
      <c r="OTB459" s="22"/>
      <c r="OTC459" s="22"/>
      <c r="OTD459" s="22"/>
      <c r="OTE459" s="22"/>
      <c r="OTF459" s="22"/>
      <c r="OTG459" s="22"/>
      <c r="OTH459" s="22"/>
      <c r="OTI459" s="22"/>
      <c r="OTJ459" s="22"/>
      <c r="OTK459" s="22"/>
      <c r="OTL459" s="22"/>
      <c r="OTM459" s="22"/>
      <c r="OTN459" s="22"/>
      <c r="OTO459" s="22"/>
      <c r="OTP459" s="22"/>
      <c r="OTQ459" s="22"/>
      <c r="OTR459" s="22"/>
      <c r="OTS459" s="22"/>
      <c r="OTT459" s="22"/>
      <c r="OTU459" s="22"/>
      <c r="OTV459" s="22"/>
      <c r="OTW459" s="22"/>
      <c r="OTX459" s="22"/>
      <c r="OTY459" s="22"/>
      <c r="OTZ459" s="22"/>
      <c r="OUA459" s="22"/>
      <c r="OUB459" s="22"/>
      <c r="OUC459" s="22"/>
      <c r="OUD459" s="22"/>
      <c r="OUE459" s="22"/>
      <c r="OUF459" s="22"/>
      <c r="OUG459" s="22"/>
      <c r="OUH459" s="22"/>
      <c r="OUI459" s="22"/>
      <c r="OUJ459" s="22"/>
      <c r="OUK459" s="22"/>
      <c r="OUL459" s="22"/>
      <c r="OUM459" s="22"/>
      <c r="OUN459" s="22"/>
      <c r="OUO459" s="22"/>
      <c r="OUP459" s="22"/>
      <c r="OUQ459" s="22"/>
      <c r="OUR459" s="22"/>
      <c r="OUS459" s="22"/>
      <c r="OUT459" s="22"/>
      <c r="OUU459" s="22"/>
      <c r="OUV459" s="22"/>
      <c r="OUW459" s="22"/>
      <c r="OUX459" s="22"/>
      <c r="OUY459" s="22"/>
      <c r="OUZ459" s="22"/>
      <c r="OVA459" s="22"/>
      <c r="OVB459" s="22"/>
      <c r="OVC459" s="22"/>
      <c r="OVD459" s="22"/>
      <c r="OVE459" s="22"/>
      <c r="OVF459" s="22"/>
      <c r="OVG459" s="22"/>
      <c r="OVH459" s="22"/>
      <c r="OVI459" s="22"/>
      <c r="OVJ459" s="22"/>
      <c r="OVK459" s="22"/>
      <c r="OVL459" s="22"/>
      <c r="OVM459" s="22"/>
      <c r="OVN459" s="22"/>
      <c r="OVO459" s="22"/>
      <c r="OVP459" s="22"/>
      <c r="OVQ459" s="22"/>
      <c r="OVR459" s="22"/>
      <c r="OVS459" s="22"/>
      <c r="OVT459" s="22"/>
      <c r="OVU459" s="22"/>
      <c r="OVV459" s="22"/>
      <c r="OVW459" s="22"/>
      <c r="OVX459" s="22"/>
      <c r="OVY459" s="22"/>
      <c r="OVZ459" s="22"/>
      <c r="OWA459" s="22"/>
      <c r="OWB459" s="22"/>
      <c r="OWC459" s="22"/>
      <c r="OWD459" s="22"/>
      <c r="OWE459" s="22"/>
      <c r="OWF459" s="22"/>
      <c r="OWG459" s="22"/>
      <c r="OWH459" s="22"/>
      <c r="OWI459" s="22"/>
      <c r="OWJ459" s="22"/>
      <c r="OWK459" s="22"/>
      <c r="OWL459" s="22"/>
      <c r="OWM459" s="22"/>
      <c r="OWN459" s="22"/>
      <c r="OWO459" s="22"/>
      <c r="OWP459" s="22"/>
      <c r="OWQ459" s="22"/>
      <c r="OWR459" s="22"/>
      <c r="OWS459" s="22"/>
      <c r="OWT459" s="22"/>
      <c r="OWU459" s="22"/>
      <c r="OWV459" s="22"/>
      <c r="OWW459" s="22"/>
      <c r="OWX459" s="22"/>
      <c r="OWY459" s="22"/>
      <c r="OWZ459" s="22"/>
      <c r="OXA459" s="22"/>
      <c r="OXB459" s="22"/>
      <c r="OXC459" s="22"/>
      <c r="OXD459" s="22"/>
      <c r="OXE459" s="22"/>
      <c r="OXF459" s="22"/>
      <c r="OXG459" s="22"/>
      <c r="OXH459" s="22"/>
      <c r="OXI459" s="22"/>
      <c r="OXJ459" s="22"/>
      <c r="OXK459" s="22"/>
      <c r="OXL459" s="22"/>
      <c r="OXM459" s="22"/>
      <c r="OXN459" s="22"/>
      <c r="OXO459" s="22"/>
      <c r="OXP459" s="22"/>
      <c r="OXQ459" s="22"/>
      <c r="OXR459" s="22"/>
      <c r="OXS459" s="22"/>
      <c r="OXT459" s="22"/>
      <c r="OXU459" s="22"/>
      <c r="OXV459" s="22"/>
      <c r="OXW459" s="22"/>
      <c r="OXX459" s="22"/>
      <c r="OXY459" s="22"/>
      <c r="OXZ459" s="22"/>
      <c r="OYA459" s="22"/>
      <c r="OYB459" s="22"/>
      <c r="OYC459" s="22"/>
      <c r="OYD459" s="22"/>
      <c r="OYE459" s="22"/>
      <c r="OYF459" s="22"/>
      <c r="OYG459" s="22"/>
      <c r="OYH459" s="22"/>
      <c r="OYI459" s="22"/>
      <c r="OYJ459" s="22"/>
      <c r="OYK459" s="22"/>
      <c r="OYL459" s="22"/>
      <c r="OYM459" s="22"/>
      <c r="OYN459" s="22"/>
      <c r="OYO459" s="22"/>
      <c r="OYP459" s="22"/>
      <c r="OYQ459" s="22"/>
      <c r="OYR459" s="22"/>
      <c r="OYS459" s="22"/>
      <c r="OYT459" s="22"/>
      <c r="OYU459" s="22"/>
      <c r="OYV459" s="22"/>
      <c r="OYW459" s="22"/>
      <c r="OYX459" s="22"/>
      <c r="OYY459" s="22"/>
      <c r="OYZ459" s="22"/>
      <c r="OZA459" s="22"/>
      <c r="OZB459" s="22"/>
      <c r="OZC459" s="22"/>
      <c r="OZD459" s="22"/>
      <c r="OZE459" s="22"/>
      <c r="OZF459" s="22"/>
      <c r="OZG459" s="22"/>
      <c r="OZH459" s="22"/>
      <c r="OZI459" s="22"/>
      <c r="OZJ459" s="22"/>
      <c r="OZK459" s="22"/>
      <c r="OZL459" s="22"/>
      <c r="OZM459" s="22"/>
      <c r="OZN459" s="22"/>
      <c r="OZO459" s="22"/>
      <c r="OZP459" s="22"/>
      <c r="OZQ459" s="22"/>
      <c r="OZR459" s="22"/>
      <c r="OZS459" s="22"/>
      <c r="OZT459" s="22"/>
      <c r="OZU459" s="22"/>
      <c r="OZV459" s="22"/>
      <c r="OZW459" s="22"/>
      <c r="OZX459" s="22"/>
      <c r="OZY459" s="22"/>
      <c r="OZZ459" s="22"/>
      <c r="PAA459" s="22"/>
      <c r="PAB459" s="22"/>
      <c r="PAC459" s="22"/>
      <c r="PAD459" s="22"/>
      <c r="PAE459" s="22"/>
      <c r="PAF459" s="22"/>
      <c r="PAG459" s="22"/>
      <c r="PAH459" s="22"/>
      <c r="PAI459" s="22"/>
      <c r="PAJ459" s="22"/>
      <c r="PAK459" s="22"/>
      <c r="PAL459" s="22"/>
      <c r="PAM459" s="22"/>
      <c r="PAN459" s="22"/>
      <c r="PAO459" s="22"/>
      <c r="PAP459" s="22"/>
      <c r="PAQ459" s="22"/>
      <c r="PAR459" s="22"/>
      <c r="PAS459" s="22"/>
      <c r="PAT459" s="22"/>
      <c r="PAU459" s="22"/>
      <c r="PAV459" s="22"/>
      <c r="PAW459" s="22"/>
      <c r="PAX459" s="22"/>
      <c r="PAY459" s="22"/>
      <c r="PAZ459" s="22"/>
      <c r="PBA459" s="22"/>
      <c r="PBB459" s="22"/>
      <c r="PBC459" s="22"/>
      <c r="PBD459" s="22"/>
      <c r="PBE459" s="22"/>
      <c r="PBF459" s="22"/>
      <c r="PBG459" s="22"/>
      <c r="PBH459" s="22"/>
      <c r="PBI459" s="22"/>
      <c r="PBJ459" s="22"/>
      <c r="PBK459" s="22"/>
      <c r="PBL459" s="22"/>
      <c r="PBM459" s="22"/>
      <c r="PBN459" s="22"/>
      <c r="PBO459" s="22"/>
      <c r="PBP459" s="22"/>
      <c r="PBQ459" s="22"/>
      <c r="PBR459" s="22"/>
      <c r="PBS459" s="22"/>
      <c r="PBT459" s="22"/>
      <c r="PBU459" s="22"/>
      <c r="PBV459" s="22"/>
      <c r="PBW459" s="22"/>
      <c r="PBX459" s="22"/>
      <c r="PBY459" s="22"/>
      <c r="PBZ459" s="22"/>
      <c r="PCA459" s="22"/>
      <c r="PCB459" s="22"/>
      <c r="PCC459" s="22"/>
      <c r="PCD459" s="22"/>
      <c r="PCE459" s="22"/>
      <c r="PCF459" s="22"/>
      <c r="PCG459" s="22"/>
      <c r="PCH459" s="22"/>
      <c r="PCI459" s="22"/>
      <c r="PCJ459" s="22"/>
      <c r="PCK459" s="22"/>
      <c r="PCL459" s="22"/>
      <c r="PCM459" s="22"/>
      <c r="PCN459" s="22"/>
      <c r="PCO459" s="22"/>
      <c r="PCP459" s="22"/>
      <c r="PCQ459" s="22"/>
      <c r="PCR459" s="22"/>
      <c r="PCS459" s="22"/>
      <c r="PCT459" s="22"/>
      <c r="PCU459" s="22"/>
      <c r="PCV459" s="22"/>
      <c r="PCW459" s="22"/>
      <c r="PCX459" s="22"/>
      <c r="PCY459" s="22"/>
      <c r="PCZ459" s="22"/>
      <c r="PDA459" s="22"/>
      <c r="PDB459" s="22"/>
      <c r="PDC459" s="22"/>
      <c r="PDD459" s="22"/>
      <c r="PDE459" s="22"/>
      <c r="PDF459" s="22"/>
      <c r="PDG459" s="22"/>
      <c r="PDH459" s="22"/>
      <c r="PDI459" s="22"/>
      <c r="PDJ459" s="22"/>
      <c r="PDK459" s="22"/>
      <c r="PDL459" s="22"/>
      <c r="PDM459" s="22"/>
      <c r="PDN459" s="22"/>
      <c r="PDO459" s="22"/>
      <c r="PDP459" s="22"/>
      <c r="PDQ459" s="22"/>
      <c r="PDR459" s="22"/>
      <c r="PDS459" s="22"/>
      <c r="PDT459" s="22"/>
      <c r="PDU459" s="22"/>
      <c r="PDV459" s="22"/>
      <c r="PDW459" s="22"/>
      <c r="PDX459" s="22"/>
      <c r="PDY459" s="22"/>
      <c r="PDZ459" s="22"/>
      <c r="PEA459" s="22"/>
      <c r="PEB459" s="22"/>
      <c r="PEC459" s="22"/>
      <c r="PED459" s="22"/>
      <c r="PEE459" s="22"/>
      <c r="PEF459" s="22"/>
      <c r="PEG459" s="22"/>
      <c r="PEH459" s="22"/>
      <c r="PEI459" s="22"/>
      <c r="PEJ459" s="22"/>
      <c r="PEK459" s="22"/>
      <c r="PEL459" s="22"/>
      <c r="PEM459" s="22"/>
      <c r="PEN459" s="22"/>
      <c r="PEO459" s="22"/>
      <c r="PEP459" s="22"/>
      <c r="PEQ459" s="22"/>
      <c r="PER459" s="22"/>
      <c r="PES459" s="22"/>
      <c r="PET459" s="22"/>
      <c r="PEU459" s="22"/>
      <c r="PEV459" s="22"/>
      <c r="PEW459" s="22"/>
      <c r="PEX459" s="22"/>
      <c r="PEY459" s="22"/>
      <c r="PEZ459" s="22"/>
      <c r="PFA459" s="22"/>
      <c r="PFB459" s="22"/>
      <c r="PFC459" s="22"/>
      <c r="PFD459" s="22"/>
      <c r="PFE459" s="22"/>
      <c r="PFF459" s="22"/>
      <c r="PFG459" s="22"/>
      <c r="PFH459" s="22"/>
      <c r="PFI459" s="22"/>
      <c r="PFJ459" s="22"/>
      <c r="PFK459" s="22"/>
      <c r="PFL459" s="22"/>
      <c r="PFM459" s="22"/>
      <c r="PFN459" s="22"/>
      <c r="PFO459" s="22"/>
      <c r="PFP459" s="22"/>
      <c r="PFQ459" s="22"/>
      <c r="PFR459" s="22"/>
      <c r="PFS459" s="22"/>
      <c r="PFT459" s="22"/>
      <c r="PFU459" s="22"/>
      <c r="PFV459" s="22"/>
      <c r="PFW459" s="22"/>
      <c r="PFX459" s="22"/>
      <c r="PFY459" s="22"/>
      <c r="PFZ459" s="22"/>
      <c r="PGA459" s="22"/>
      <c r="PGB459" s="22"/>
      <c r="PGC459" s="22"/>
      <c r="PGD459" s="22"/>
      <c r="PGE459" s="22"/>
      <c r="PGF459" s="22"/>
      <c r="PGG459" s="22"/>
      <c r="PGH459" s="22"/>
      <c r="PGI459" s="22"/>
      <c r="PGJ459" s="22"/>
      <c r="PGK459" s="22"/>
      <c r="PGL459" s="22"/>
      <c r="PGM459" s="22"/>
      <c r="PGN459" s="22"/>
      <c r="PGO459" s="22"/>
      <c r="PGP459" s="22"/>
      <c r="PGQ459" s="22"/>
      <c r="PGR459" s="22"/>
      <c r="PGS459" s="22"/>
      <c r="PGT459" s="22"/>
      <c r="PGU459" s="22"/>
      <c r="PGV459" s="22"/>
      <c r="PGW459" s="22"/>
      <c r="PGX459" s="22"/>
      <c r="PGY459" s="22"/>
      <c r="PGZ459" s="22"/>
      <c r="PHA459" s="22"/>
      <c r="PHB459" s="22"/>
      <c r="PHC459" s="22"/>
      <c r="PHD459" s="22"/>
      <c r="PHE459" s="22"/>
      <c r="PHF459" s="22"/>
      <c r="PHG459" s="22"/>
      <c r="PHH459" s="22"/>
      <c r="PHI459" s="22"/>
      <c r="PHJ459" s="22"/>
      <c r="PHK459" s="22"/>
      <c r="PHL459" s="22"/>
      <c r="PHM459" s="22"/>
      <c r="PHN459" s="22"/>
      <c r="PHO459" s="22"/>
      <c r="PHP459" s="22"/>
      <c r="PHQ459" s="22"/>
      <c r="PHR459" s="22"/>
      <c r="PHS459" s="22"/>
      <c r="PHT459" s="22"/>
      <c r="PHU459" s="22"/>
      <c r="PHV459" s="22"/>
      <c r="PHW459" s="22"/>
      <c r="PHX459" s="22"/>
      <c r="PHY459" s="22"/>
      <c r="PHZ459" s="22"/>
      <c r="PIA459" s="22"/>
      <c r="PIB459" s="22"/>
      <c r="PIC459" s="22"/>
      <c r="PID459" s="22"/>
      <c r="PIE459" s="22"/>
      <c r="PIF459" s="22"/>
      <c r="PIG459" s="22"/>
      <c r="PIH459" s="22"/>
      <c r="PII459" s="22"/>
      <c r="PIJ459" s="22"/>
      <c r="PIK459" s="22"/>
      <c r="PIL459" s="22"/>
      <c r="PIM459" s="22"/>
      <c r="PIN459" s="22"/>
      <c r="PIO459" s="22"/>
      <c r="PIP459" s="22"/>
      <c r="PIQ459" s="22"/>
      <c r="PIR459" s="22"/>
      <c r="PIS459" s="22"/>
      <c r="PIT459" s="22"/>
      <c r="PIU459" s="22"/>
      <c r="PIV459" s="22"/>
      <c r="PIW459" s="22"/>
      <c r="PIX459" s="22"/>
      <c r="PIY459" s="22"/>
      <c r="PIZ459" s="22"/>
      <c r="PJA459" s="22"/>
      <c r="PJB459" s="22"/>
      <c r="PJC459" s="22"/>
      <c r="PJD459" s="22"/>
      <c r="PJE459" s="22"/>
      <c r="PJF459" s="22"/>
      <c r="PJG459" s="22"/>
      <c r="PJH459" s="22"/>
      <c r="PJI459" s="22"/>
      <c r="PJJ459" s="22"/>
      <c r="PJK459" s="22"/>
      <c r="PJL459" s="22"/>
      <c r="PJM459" s="22"/>
      <c r="PJN459" s="22"/>
      <c r="PJO459" s="22"/>
      <c r="PJP459" s="22"/>
      <c r="PJQ459" s="22"/>
      <c r="PJR459" s="22"/>
      <c r="PJS459" s="22"/>
      <c r="PJT459" s="22"/>
      <c r="PJU459" s="22"/>
      <c r="PJV459" s="22"/>
      <c r="PJW459" s="22"/>
      <c r="PJX459" s="22"/>
      <c r="PJY459" s="22"/>
      <c r="PJZ459" s="22"/>
      <c r="PKA459" s="22"/>
      <c r="PKB459" s="22"/>
      <c r="PKC459" s="22"/>
      <c r="PKD459" s="22"/>
      <c r="PKE459" s="22"/>
      <c r="PKF459" s="22"/>
      <c r="PKG459" s="22"/>
      <c r="PKH459" s="22"/>
      <c r="PKI459" s="22"/>
      <c r="PKJ459" s="22"/>
      <c r="PKK459" s="22"/>
      <c r="PKL459" s="22"/>
      <c r="PKM459" s="22"/>
      <c r="PKN459" s="22"/>
      <c r="PKO459" s="22"/>
      <c r="PKP459" s="22"/>
      <c r="PKQ459" s="22"/>
      <c r="PKR459" s="22"/>
      <c r="PKS459" s="22"/>
      <c r="PKT459" s="22"/>
      <c r="PKU459" s="22"/>
      <c r="PKV459" s="22"/>
      <c r="PKW459" s="22"/>
      <c r="PKX459" s="22"/>
      <c r="PKY459" s="22"/>
      <c r="PKZ459" s="22"/>
      <c r="PLA459" s="22"/>
      <c r="PLB459" s="22"/>
      <c r="PLC459" s="22"/>
      <c r="PLD459" s="22"/>
      <c r="PLE459" s="22"/>
      <c r="PLF459" s="22"/>
      <c r="PLG459" s="22"/>
      <c r="PLH459" s="22"/>
      <c r="PLI459" s="22"/>
      <c r="PLJ459" s="22"/>
      <c r="PLK459" s="22"/>
      <c r="PLL459" s="22"/>
      <c r="PLM459" s="22"/>
      <c r="PLN459" s="22"/>
      <c r="PLO459" s="22"/>
      <c r="PLP459" s="22"/>
      <c r="PLQ459" s="22"/>
      <c r="PLR459" s="22"/>
      <c r="PLS459" s="22"/>
      <c r="PLT459" s="22"/>
      <c r="PLU459" s="22"/>
      <c r="PLV459" s="22"/>
      <c r="PLW459" s="22"/>
      <c r="PLX459" s="22"/>
      <c r="PLY459" s="22"/>
      <c r="PLZ459" s="22"/>
      <c r="PMA459" s="22"/>
      <c r="PMB459" s="22"/>
      <c r="PMC459" s="22"/>
      <c r="PMD459" s="22"/>
      <c r="PME459" s="22"/>
      <c r="PMF459" s="22"/>
      <c r="PMG459" s="22"/>
      <c r="PMH459" s="22"/>
      <c r="PMI459" s="22"/>
      <c r="PMJ459" s="22"/>
      <c r="PMK459" s="22"/>
      <c r="PML459" s="22"/>
      <c r="PMM459" s="22"/>
      <c r="PMN459" s="22"/>
      <c r="PMO459" s="22"/>
      <c r="PMP459" s="22"/>
      <c r="PMQ459" s="22"/>
      <c r="PMR459" s="22"/>
      <c r="PMS459" s="22"/>
      <c r="PMT459" s="22"/>
      <c r="PMU459" s="22"/>
      <c r="PMV459" s="22"/>
      <c r="PMW459" s="22"/>
      <c r="PMX459" s="22"/>
      <c r="PMY459" s="22"/>
      <c r="PMZ459" s="22"/>
      <c r="PNA459" s="22"/>
      <c r="PNB459" s="22"/>
      <c r="PNC459" s="22"/>
      <c r="PND459" s="22"/>
      <c r="PNE459" s="22"/>
      <c r="PNF459" s="22"/>
      <c r="PNG459" s="22"/>
      <c r="PNH459" s="22"/>
      <c r="PNI459" s="22"/>
      <c r="PNJ459" s="22"/>
      <c r="PNK459" s="22"/>
      <c r="PNL459" s="22"/>
      <c r="PNM459" s="22"/>
      <c r="PNN459" s="22"/>
      <c r="PNO459" s="22"/>
      <c r="PNP459" s="22"/>
      <c r="PNQ459" s="22"/>
      <c r="PNR459" s="22"/>
      <c r="PNS459" s="22"/>
      <c r="PNT459" s="22"/>
      <c r="PNU459" s="22"/>
      <c r="PNV459" s="22"/>
      <c r="PNW459" s="22"/>
      <c r="PNX459" s="22"/>
      <c r="PNY459" s="22"/>
      <c r="PNZ459" s="22"/>
      <c r="POA459" s="22"/>
      <c r="POB459" s="22"/>
      <c r="POC459" s="22"/>
      <c r="POD459" s="22"/>
      <c r="POE459" s="22"/>
      <c r="POF459" s="22"/>
      <c r="POG459" s="22"/>
      <c r="POH459" s="22"/>
      <c r="POI459" s="22"/>
      <c r="POJ459" s="22"/>
      <c r="POK459" s="22"/>
      <c r="POL459" s="22"/>
      <c r="POM459" s="22"/>
      <c r="PON459" s="22"/>
      <c r="POO459" s="22"/>
      <c r="POP459" s="22"/>
      <c r="POQ459" s="22"/>
      <c r="POR459" s="22"/>
      <c r="POS459" s="22"/>
      <c r="POT459" s="22"/>
      <c r="POU459" s="22"/>
      <c r="POV459" s="22"/>
      <c r="POW459" s="22"/>
      <c r="POX459" s="22"/>
      <c r="POY459" s="22"/>
      <c r="POZ459" s="22"/>
      <c r="PPA459" s="22"/>
      <c r="PPB459" s="22"/>
      <c r="PPC459" s="22"/>
      <c r="PPD459" s="22"/>
      <c r="PPE459" s="22"/>
      <c r="PPF459" s="22"/>
      <c r="PPG459" s="22"/>
      <c r="PPH459" s="22"/>
      <c r="PPI459" s="22"/>
      <c r="PPJ459" s="22"/>
      <c r="PPK459" s="22"/>
      <c r="PPL459" s="22"/>
      <c r="PPM459" s="22"/>
      <c r="PPN459" s="22"/>
      <c r="PPO459" s="22"/>
      <c r="PPP459" s="22"/>
      <c r="PPQ459" s="22"/>
      <c r="PPR459" s="22"/>
      <c r="PPS459" s="22"/>
      <c r="PPT459" s="22"/>
      <c r="PPU459" s="22"/>
      <c r="PPV459" s="22"/>
      <c r="PPW459" s="22"/>
      <c r="PPX459" s="22"/>
      <c r="PPY459" s="22"/>
      <c r="PPZ459" s="22"/>
      <c r="PQA459" s="22"/>
      <c r="PQB459" s="22"/>
      <c r="PQC459" s="22"/>
      <c r="PQD459" s="22"/>
      <c r="PQE459" s="22"/>
      <c r="PQF459" s="22"/>
      <c r="PQG459" s="22"/>
      <c r="PQH459" s="22"/>
      <c r="PQI459" s="22"/>
      <c r="PQJ459" s="22"/>
      <c r="PQK459" s="22"/>
      <c r="PQL459" s="22"/>
      <c r="PQM459" s="22"/>
      <c r="PQN459" s="22"/>
      <c r="PQO459" s="22"/>
      <c r="PQP459" s="22"/>
      <c r="PQQ459" s="22"/>
      <c r="PQR459" s="22"/>
      <c r="PQS459" s="22"/>
      <c r="PQT459" s="22"/>
      <c r="PQU459" s="22"/>
      <c r="PQV459" s="22"/>
      <c r="PQW459" s="22"/>
      <c r="PQX459" s="22"/>
      <c r="PQY459" s="22"/>
      <c r="PQZ459" s="22"/>
      <c r="PRA459" s="22"/>
      <c r="PRB459" s="22"/>
      <c r="PRC459" s="22"/>
      <c r="PRD459" s="22"/>
      <c r="PRE459" s="22"/>
      <c r="PRF459" s="22"/>
      <c r="PRG459" s="22"/>
      <c r="PRH459" s="22"/>
      <c r="PRI459" s="22"/>
      <c r="PRJ459" s="22"/>
      <c r="PRK459" s="22"/>
      <c r="PRL459" s="22"/>
      <c r="PRM459" s="22"/>
      <c r="PRN459" s="22"/>
      <c r="PRO459" s="22"/>
      <c r="PRP459" s="22"/>
      <c r="PRQ459" s="22"/>
      <c r="PRR459" s="22"/>
      <c r="PRS459" s="22"/>
      <c r="PRT459" s="22"/>
      <c r="PRU459" s="22"/>
      <c r="PRV459" s="22"/>
      <c r="PRW459" s="22"/>
      <c r="PRX459" s="22"/>
      <c r="PRY459" s="22"/>
      <c r="PRZ459" s="22"/>
      <c r="PSA459" s="22"/>
      <c r="PSB459" s="22"/>
      <c r="PSC459" s="22"/>
      <c r="PSD459" s="22"/>
      <c r="PSE459" s="22"/>
      <c r="PSF459" s="22"/>
      <c r="PSG459" s="22"/>
      <c r="PSH459" s="22"/>
      <c r="PSI459" s="22"/>
      <c r="PSJ459" s="22"/>
      <c r="PSK459" s="22"/>
      <c r="PSL459" s="22"/>
      <c r="PSM459" s="22"/>
      <c r="PSN459" s="22"/>
      <c r="PSO459" s="22"/>
      <c r="PSP459" s="22"/>
      <c r="PSQ459" s="22"/>
      <c r="PSR459" s="22"/>
      <c r="PSS459" s="22"/>
      <c r="PST459" s="22"/>
      <c r="PSU459" s="22"/>
      <c r="PSV459" s="22"/>
      <c r="PSW459" s="22"/>
      <c r="PSX459" s="22"/>
      <c r="PSY459" s="22"/>
      <c r="PSZ459" s="22"/>
      <c r="PTA459" s="22"/>
      <c r="PTB459" s="22"/>
      <c r="PTC459" s="22"/>
      <c r="PTD459" s="22"/>
      <c r="PTE459" s="22"/>
      <c r="PTF459" s="22"/>
      <c r="PTG459" s="22"/>
      <c r="PTH459" s="22"/>
      <c r="PTI459" s="22"/>
      <c r="PTJ459" s="22"/>
      <c r="PTK459" s="22"/>
      <c r="PTL459" s="22"/>
      <c r="PTM459" s="22"/>
      <c r="PTN459" s="22"/>
      <c r="PTO459" s="22"/>
      <c r="PTP459" s="22"/>
      <c r="PTQ459" s="22"/>
      <c r="PTR459" s="22"/>
      <c r="PTS459" s="22"/>
      <c r="PTT459" s="22"/>
      <c r="PTU459" s="22"/>
      <c r="PTV459" s="22"/>
      <c r="PTW459" s="22"/>
      <c r="PTX459" s="22"/>
      <c r="PTY459" s="22"/>
      <c r="PTZ459" s="22"/>
      <c r="PUA459" s="22"/>
      <c r="PUB459" s="22"/>
      <c r="PUC459" s="22"/>
      <c r="PUD459" s="22"/>
      <c r="PUE459" s="22"/>
      <c r="PUF459" s="22"/>
      <c r="PUG459" s="22"/>
      <c r="PUH459" s="22"/>
      <c r="PUI459" s="22"/>
      <c r="PUJ459" s="22"/>
      <c r="PUK459" s="22"/>
      <c r="PUL459" s="22"/>
      <c r="PUM459" s="22"/>
      <c r="PUN459" s="22"/>
      <c r="PUO459" s="22"/>
      <c r="PUP459" s="22"/>
      <c r="PUQ459" s="22"/>
      <c r="PUR459" s="22"/>
      <c r="PUS459" s="22"/>
      <c r="PUT459" s="22"/>
      <c r="PUU459" s="22"/>
      <c r="PUV459" s="22"/>
      <c r="PUW459" s="22"/>
      <c r="PUX459" s="22"/>
      <c r="PUY459" s="22"/>
      <c r="PUZ459" s="22"/>
      <c r="PVA459" s="22"/>
      <c r="PVB459" s="22"/>
      <c r="PVC459" s="22"/>
      <c r="PVD459" s="22"/>
      <c r="PVE459" s="22"/>
      <c r="PVF459" s="22"/>
      <c r="PVG459" s="22"/>
      <c r="PVH459" s="22"/>
      <c r="PVI459" s="22"/>
      <c r="PVJ459" s="22"/>
      <c r="PVK459" s="22"/>
      <c r="PVL459" s="22"/>
      <c r="PVM459" s="22"/>
      <c r="PVN459" s="22"/>
      <c r="PVO459" s="22"/>
      <c r="PVP459" s="22"/>
      <c r="PVQ459" s="22"/>
      <c r="PVR459" s="22"/>
      <c r="PVS459" s="22"/>
      <c r="PVT459" s="22"/>
      <c r="PVU459" s="22"/>
      <c r="PVV459" s="22"/>
      <c r="PVW459" s="22"/>
      <c r="PVX459" s="22"/>
      <c r="PVY459" s="22"/>
      <c r="PVZ459" s="22"/>
      <c r="PWA459" s="22"/>
      <c r="PWB459" s="22"/>
      <c r="PWC459" s="22"/>
      <c r="PWD459" s="22"/>
      <c r="PWE459" s="22"/>
      <c r="PWF459" s="22"/>
      <c r="PWG459" s="22"/>
      <c r="PWH459" s="22"/>
      <c r="PWI459" s="22"/>
      <c r="PWJ459" s="22"/>
      <c r="PWK459" s="22"/>
      <c r="PWL459" s="22"/>
      <c r="PWM459" s="22"/>
      <c r="PWN459" s="22"/>
      <c r="PWO459" s="22"/>
      <c r="PWP459" s="22"/>
      <c r="PWQ459" s="22"/>
      <c r="PWR459" s="22"/>
      <c r="PWS459" s="22"/>
      <c r="PWT459" s="22"/>
      <c r="PWU459" s="22"/>
      <c r="PWV459" s="22"/>
      <c r="PWW459" s="22"/>
      <c r="PWX459" s="22"/>
      <c r="PWY459" s="22"/>
      <c r="PWZ459" s="22"/>
      <c r="PXA459" s="22"/>
      <c r="PXB459" s="22"/>
      <c r="PXC459" s="22"/>
      <c r="PXD459" s="22"/>
      <c r="PXE459" s="22"/>
      <c r="PXF459" s="22"/>
      <c r="PXG459" s="22"/>
      <c r="PXH459" s="22"/>
      <c r="PXI459" s="22"/>
      <c r="PXJ459" s="22"/>
      <c r="PXK459" s="22"/>
      <c r="PXL459" s="22"/>
      <c r="PXM459" s="22"/>
      <c r="PXN459" s="22"/>
      <c r="PXO459" s="22"/>
      <c r="PXP459" s="22"/>
      <c r="PXQ459" s="22"/>
      <c r="PXR459" s="22"/>
      <c r="PXS459" s="22"/>
      <c r="PXT459" s="22"/>
      <c r="PXU459" s="22"/>
      <c r="PXV459" s="22"/>
      <c r="PXW459" s="22"/>
      <c r="PXX459" s="22"/>
      <c r="PXY459" s="22"/>
      <c r="PXZ459" s="22"/>
      <c r="PYA459" s="22"/>
      <c r="PYB459" s="22"/>
      <c r="PYC459" s="22"/>
      <c r="PYD459" s="22"/>
      <c r="PYE459" s="22"/>
      <c r="PYF459" s="22"/>
      <c r="PYG459" s="22"/>
      <c r="PYH459" s="22"/>
      <c r="PYI459" s="22"/>
      <c r="PYJ459" s="22"/>
      <c r="PYK459" s="22"/>
      <c r="PYL459" s="22"/>
      <c r="PYM459" s="22"/>
      <c r="PYN459" s="22"/>
      <c r="PYO459" s="22"/>
      <c r="PYP459" s="22"/>
      <c r="PYQ459" s="22"/>
      <c r="PYR459" s="22"/>
      <c r="PYS459" s="22"/>
      <c r="PYT459" s="22"/>
      <c r="PYU459" s="22"/>
      <c r="PYV459" s="22"/>
      <c r="PYW459" s="22"/>
      <c r="PYX459" s="22"/>
      <c r="PYY459" s="22"/>
      <c r="PYZ459" s="22"/>
      <c r="PZA459" s="22"/>
      <c r="PZB459" s="22"/>
      <c r="PZC459" s="22"/>
      <c r="PZD459" s="22"/>
      <c r="PZE459" s="22"/>
      <c r="PZF459" s="22"/>
      <c r="PZG459" s="22"/>
      <c r="PZH459" s="22"/>
      <c r="PZI459" s="22"/>
      <c r="PZJ459" s="22"/>
      <c r="PZK459" s="22"/>
      <c r="PZL459" s="22"/>
      <c r="PZM459" s="22"/>
      <c r="PZN459" s="22"/>
      <c r="PZO459" s="22"/>
      <c r="PZP459" s="22"/>
      <c r="PZQ459" s="22"/>
      <c r="PZR459" s="22"/>
      <c r="PZS459" s="22"/>
      <c r="PZT459" s="22"/>
      <c r="PZU459" s="22"/>
      <c r="PZV459" s="22"/>
      <c r="PZW459" s="22"/>
      <c r="PZX459" s="22"/>
      <c r="PZY459" s="22"/>
      <c r="PZZ459" s="22"/>
      <c r="QAA459" s="22"/>
      <c r="QAB459" s="22"/>
      <c r="QAC459" s="22"/>
      <c r="QAD459" s="22"/>
      <c r="QAE459" s="22"/>
      <c r="QAF459" s="22"/>
      <c r="QAG459" s="22"/>
      <c r="QAH459" s="22"/>
      <c r="QAI459" s="22"/>
      <c r="QAJ459" s="22"/>
      <c r="QAK459" s="22"/>
      <c r="QAL459" s="22"/>
      <c r="QAM459" s="22"/>
      <c r="QAN459" s="22"/>
      <c r="QAO459" s="22"/>
      <c r="QAP459" s="22"/>
      <c r="QAQ459" s="22"/>
      <c r="QAR459" s="22"/>
      <c r="QAS459" s="22"/>
      <c r="QAT459" s="22"/>
      <c r="QAU459" s="22"/>
      <c r="QAV459" s="22"/>
      <c r="QAW459" s="22"/>
      <c r="QAX459" s="22"/>
      <c r="QAY459" s="22"/>
      <c r="QAZ459" s="22"/>
      <c r="QBA459" s="22"/>
      <c r="QBB459" s="22"/>
      <c r="QBC459" s="22"/>
      <c r="QBD459" s="22"/>
      <c r="QBE459" s="22"/>
      <c r="QBF459" s="22"/>
      <c r="QBG459" s="22"/>
      <c r="QBH459" s="22"/>
      <c r="QBI459" s="22"/>
      <c r="QBJ459" s="22"/>
      <c r="QBK459" s="22"/>
      <c r="QBL459" s="22"/>
      <c r="QBM459" s="22"/>
      <c r="QBN459" s="22"/>
      <c r="QBO459" s="22"/>
      <c r="QBP459" s="22"/>
      <c r="QBQ459" s="22"/>
      <c r="QBR459" s="22"/>
      <c r="QBS459" s="22"/>
      <c r="QBT459" s="22"/>
      <c r="QBU459" s="22"/>
      <c r="QBV459" s="22"/>
      <c r="QBW459" s="22"/>
      <c r="QBX459" s="22"/>
      <c r="QBY459" s="22"/>
      <c r="QBZ459" s="22"/>
      <c r="QCA459" s="22"/>
      <c r="QCB459" s="22"/>
      <c r="QCC459" s="22"/>
      <c r="QCD459" s="22"/>
      <c r="QCE459" s="22"/>
      <c r="QCF459" s="22"/>
      <c r="QCG459" s="22"/>
      <c r="QCH459" s="22"/>
      <c r="QCI459" s="22"/>
      <c r="QCJ459" s="22"/>
      <c r="QCK459" s="22"/>
      <c r="QCL459" s="22"/>
      <c r="QCM459" s="22"/>
      <c r="QCN459" s="22"/>
      <c r="QCO459" s="22"/>
      <c r="QCP459" s="22"/>
      <c r="QCQ459" s="22"/>
      <c r="QCR459" s="22"/>
      <c r="QCS459" s="22"/>
      <c r="QCT459" s="22"/>
      <c r="QCU459" s="22"/>
      <c r="QCV459" s="22"/>
      <c r="QCW459" s="22"/>
      <c r="QCX459" s="22"/>
      <c r="QCY459" s="22"/>
      <c r="QCZ459" s="22"/>
      <c r="QDA459" s="22"/>
      <c r="QDB459" s="22"/>
      <c r="QDC459" s="22"/>
      <c r="QDD459" s="22"/>
      <c r="QDE459" s="22"/>
      <c r="QDF459" s="22"/>
      <c r="QDG459" s="22"/>
      <c r="QDH459" s="22"/>
      <c r="QDI459" s="22"/>
      <c r="QDJ459" s="22"/>
      <c r="QDK459" s="22"/>
      <c r="QDL459" s="22"/>
      <c r="QDM459" s="22"/>
      <c r="QDN459" s="22"/>
      <c r="QDO459" s="22"/>
      <c r="QDP459" s="22"/>
      <c r="QDQ459" s="22"/>
      <c r="QDR459" s="22"/>
      <c r="QDS459" s="22"/>
      <c r="QDT459" s="22"/>
      <c r="QDU459" s="22"/>
      <c r="QDV459" s="22"/>
      <c r="QDW459" s="22"/>
      <c r="QDX459" s="22"/>
      <c r="QDY459" s="22"/>
      <c r="QDZ459" s="22"/>
      <c r="QEA459" s="22"/>
      <c r="QEB459" s="22"/>
      <c r="QEC459" s="22"/>
      <c r="QED459" s="22"/>
      <c r="QEE459" s="22"/>
      <c r="QEF459" s="22"/>
      <c r="QEG459" s="22"/>
      <c r="QEH459" s="22"/>
      <c r="QEI459" s="22"/>
      <c r="QEJ459" s="22"/>
      <c r="QEK459" s="22"/>
      <c r="QEL459" s="22"/>
      <c r="QEM459" s="22"/>
      <c r="QEN459" s="22"/>
      <c r="QEO459" s="22"/>
      <c r="QEP459" s="22"/>
      <c r="QEQ459" s="22"/>
      <c r="QER459" s="22"/>
      <c r="QES459" s="22"/>
      <c r="QET459" s="22"/>
      <c r="QEU459" s="22"/>
      <c r="QEV459" s="22"/>
      <c r="QEW459" s="22"/>
      <c r="QEX459" s="22"/>
      <c r="QEY459" s="22"/>
      <c r="QEZ459" s="22"/>
      <c r="QFA459" s="22"/>
      <c r="QFB459" s="22"/>
      <c r="QFC459" s="22"/>
      <c r="QFD459" s="22"/>
      <c r="QFE459" s="22"/>
      <c r="QFF459" s="22"/>
      <c r="QFG459" s="22"/>
      <c r="QFH459" s="22"/>
      <c r="QFI459" s="22"/>
      <c r="QFJ459" s="22"/>
      <c r="QFK459" s="22"/>
      <c r="QFL459" s="22"/>
      <c r="QFM459" s="22"/>
      <c r="QFN459" s="22"/>
      <c r="QFO459" s="22"/>
      <c r="QFP459" s="22"/>
      <c r="QFQ459" s="22"/>
      <c r="QFR459" s="22"/>
      <c r="QFS459" s="22"/>
      <c r="QFT459" s="22"/>
      <c r="QFU459" s="22"/>
      <c r="QFV459" s="22"/>
      <c r="QFW459" s="22"/>
      <c r="QFX459" s="22"/>
      <c r="QFY459" s="22"/>
      <c r="QFZ459" s="22"/>
      <c r="QGA459" s="22"/>
      <c r="QGB459" s="22"/>
      <c r="QGC459" s="22"/>
      <c r="QGD459" s="22"/>
      <c r="QGE459" s="22"/>
      <c r="QGF459" s="22"/>
      <c r="QGG459" s="22"/>
      <c r="QGH459" s="22"/>
      <c r="QGI459" s="22"/>
      <c r="QGJ459" s="22"/>
      <c r="QGK459" s="22"/>
      <c r="QGL459" s="22"/>
      <c r="QGM459" s="22"/>
      <c r="QGN459" s="22"/>
      <c r="QGO459" s="22"/>
      <c r="QGP459" s="22"/>
      <c r="QGQ459" s="22"/>
      <c r="QGR459" s="22"/>
      <c r="QGS459" s="22"/>
      <c r="QGT459" s="22"/>
      <c r="QGU459" s="22"/>
      <c r="QGV459" s="22"/>
      <c r="QGW459" s="22"/>
      <c r="QGX459" s="22"/>
      <c r="QGY459" s="22"/>
      <c r="QGZ459" s="22"/>
      <c r="QHA459" s="22"/>
      <c r="QHB459" s="22"/>
      <c r="QHC459" s="22"/>
      <c r="QHD459" s="22"/>
      <c r="QHE459" s="22"/>
      <c r="QHF459" s="22"/>
      <c r="QHG459" s="22"/>
      <c r="QHH459" s="22"/>
      <c r="QHI459" s="22"/>
      <c r="QHJ459" s="22"/>
      <c r="QHK459" s="22"/>
      <c r="QHL459" s="22"/>
      <c r="QHM459" s="22"/>
      <c r="QHN459" s="22"/>
      <c r="QHO459" s="22"/>
      <c r="QHP459" s="22"/>
      <c r="QHQ459" s="22"/>
      <c r="QHR459" s="22"/>
      <c r="QHS459" s="22"/>
      <c r="QHT459" s="22"/>
      <c r="QHU459" s="22"/>
      <c r="QHV459" s="22"/>
      <c r="QHW459" s="22"/>
      <c r="QHX459" s="22"/>
      <c r="QHY459" s="22"/>
      <c r="QHZ459" s="22"/>
      <c r="QIA459" s="22"/>
      <c r="QIB459" s="22"/>
      <c r="QIC459" s="22"/>
      <c r="QID459" s="22"/>
      <c r="QIE459" s="22"/>
      <c r="QIF459" s="22"/>
      <c r="QIG459" s="22"/>
      <c r="QIH459" s="22"/>
      <c r="QII459" s="22"/>
      <c r="QIJ459" s="22"/>
      <c r="QIK459" s="22"/>
      <c r="QIL459" s="22"/>
      <c r="QIM459" s="22"/>
      <c r="QIN459" s="22"/>
      <c r="QIO459" s="22"/>
      <c r="QIP459" s="22"/>
      <c r="QIQ459" s="22"/>
      <c r="QIR459" s="22"/>
      <c r="QIS459" s="22"/>
      <c r="QIT459" s="22"/>
      <c r="QIU459" s="22"/>
      <c r="QIV459" s="22"/>
      <c r="QIW459" s="22"/>
      <c r="QIX459" s="22"/>
      <c r="QIY459" s="22"/>
      <c r="QIZ459" s="22"/>
      <c r="QJA459" s="22"/>
      <c r="QJB459" s="22"/>
      <c r="QJC459" s="22"/>
      <c r="QJD459" s="22"/>
      <c r="QJE459" s="22"/>
      <c r="QJF459" s="22"/>
      <c r="QJG459" s="22"/>
      <c r="QJH459" s="22"/>
      <c r="QJI459" s="22"/>
      <c r="QJJ459" s="22"/>
      <c r="QJK459" s="22"/>
      <c r="QJL459" s="22"/>
      <c r="QJM459" s="22"/>
      <c r="QJN459" s="22"/>
      <c r="QJO459" s="22"/>
      <c r="QJP459" s="22"/>
      <c r="QJQ459" s="22"/>
      <c r="QJR459" s="22"/>
      <c r="QJS459" s="22"/>
      <c r="QJT459" s="22"/>
      <c r="QJU459" s="22"/>
      <c r="QJV459" s="22"/>
      <c r="QJW459" s="22"/>
      <c r="QJX459" s="22"/>
      <c r="QJY459" s="22"/>
      <c r="QJZ459" s="22"/>
      <c r="QKA459" s="22"/>
      <c r="QKB459" s="22"/>
      <c r="QKC459" s="22"/>
      <c r="QKD459" s="22"/>
      <c r="QKE459" s="22"/>
      <c r="QKF459" s="22"/>
      <c r="QKG459" s="22"/>
      <c r="QKH459" s="22"/>
      <c r="QKI459" s="22"/>
      <c r="QKJ459" s="22"/>
      <c r="QKK459" s="22"/>
      <c r="QKL459" s="22"/>
      <c r="QKM459" s="22"/>
      <c r="QKN459" s="22"/>
      <c r="QKO459" s="22"/>
      <c r="QKP459" s="22"/>
      <c r="QKQ459" s="22"/>
      <c r="QKR459" s="22"/>
      <c r="QKS459" s="22"/>
      <c r="QKT459" s="22"/>
      <c r="QKU459" s="22"/>
      <c r="QKV459" s="22"/>
      <c r="QKW459" s="22"/>
      <c r="QKX459" s="22"/>
      <c r="QKY459" s="22"/>
      <c r="QKZ459" s="22"/>
      <c r="QLA459" s="22"/>
      <c r="QLB459" s="22"/>
      <c r="QLC459" s="22"/>
      <c r="QLD459" s="22"/>
      <c r="QLE459" s="22"/>
      <c r="QLF459" s="22"/>
      <c r="QLG459" s="22"/>
      <c r="QLH459" s="22"/>
      <c r="QLI459" s="22"/>
      <c r="QLJ459" s="22"/>
      <c r="QLK459" s="22"/>
      <c r="QLL459" s="22"/>
      <c r="QLM459" s="22"/>
      <c r="QLN459" s="22"/>
      <c r="QLO459" s="22"/>
      <c r="QLP459" s="22"/>
      <c r="QLQ459" s="22"/>
      <c r="QLR459" s="22"/>
      <c r="QLS459" s="22"/>
      <c r="QLT459" s="22"/>
      <c r="QLU459" s="22"/>
      <c r="QLV459" s="22"/>
      <c r="QLW459" s="22"/>
      <c r="QLX459" s="22"/>
      <c r="QLY459" s="22"/>
      <c r="QLZ459" s="22"/>
      <c r="QMA459" s="22"/>
      <c r="QMB459" s="22"/>
      <c r="QMC459" s="22"/>
      <c r="QMD459" s="22"/>
      <c r="QME459" s="22"/>
      <c r="QMF459" s="22"/>
      <c r="QMG459" s="22"/>
      <c r="QMH459" s="22"/>
      <c r="QMI459" s="22"/>
      <c r="QMJ459" s="22"/>
      <c r="QMK459" s="22"/>
      <c r="QML459" s="22"/>
      <c r="QMM459" s="22"/>
      <c r="QMN459" s="22"/>
      <c r="QMO459" s="22"/>
      <c r="QMP459" s="22"/>
      <c r="QMQ459" s="22"/>
      <c r="QMR459" s="22"/>
      <c r="QMS459" s="22"/>
      <c r="QMT459" s="22"/>
      <c r="QMU459" s="22"/>
      <c r="QMV459" s="22"/>
      <c r="QMW459" s="22"/>
      <c r="QMX459" s="22"/>
      <c r="QMY459" s="22"/>
      <c r="QMZ459" s="22"/>
      <c r="QNA459" s="22"/>
      <c r="QNB459" s="22"/>
      <c r="QNC459" s="22"/>
      <c r="QND459" s="22"/>
      <c r="QNE459" s="22"/>
      <c r="QNF459" s="22"/>
      <c r="QNG459" s="22"/>
      <c r="QNH459" s="22"/>
      <c r="QNI459" s="22"/>
      <c r="QNJ459" s="22"/>
      <c r="QNK459" s="22"/>
      <c r="QNL459" s="22"/>
      <c r="QNM459" s="22"/>
      <c r="QNN459" s="22"/>
      <c r="QNO459" s="22"/>
      <c r="QNP459" s="22"/>
      <c r="QNQ459" s="22"/>
      <c r="QNR459" s="22"/>
      <c r="QNS459" s="22"/>
      <c r="QNT459" s="22"/>
      <c r="QNU459" s="22"/>
      <c r="QNV459" s="22"/>
      <c r="QNW459" s="22"/>
      <c r="QNX459" s="22"/>
      <c r="QNY459" s="22"/>
      <c r="QNZ459" s="22"/>
      <c r="QOA459" s="22"/>
      <c r="QOB459" s="22"/>
      <c r="QOC459" s="22"/>
      <c r="QOD459" s="22"/>
      <c r="QOE459" s="22"/>
      <c r="QOF459" s="22"/>
      <c r="QOG459" s="22"/>
      <c r="QOH459" s="22"/>
      <c r="QOI459" s="22"/>
      <c r="QOJ459" s="22"/>
      <c r="QOK459" s="22"/>
      <c r="QOL459" s="22"/>
      <c r="QOM459" s="22"/>
      <c r="QON459" s="22"/>
      <c r="QOO459" s="22"/>
      <c r="QOP459" s="22"/>
      <c r="QOQ459" s="22"/>
      <c r="QOR459" s="22"/>
      <c r="QOS459" s="22"/>
      <c r="QOT459" s="22"/>
      <c r="QOU459" s="22"/>
      <c r="QOV459" s="22"/>
      <c r="QOW459" s="22"/>
      <c r="QOX459" s="22"/>
      <c r="QOY459" s="22"/>
      <c r="QOZ459" s="22"/>
      <c r="QPA459" s="22"/>
      <c r="QPB459" s="22"/>
      <c r="QPC459" s="22"/>
      <c r="QPD459" s="22"/>
      <c r="QPE459" s="22"/>
      <c r="QPF459" s="22"/>
      <c r="QPG459" s="22"/>
      <c r="QPH459" s="22"/>
      <c r="QPI459" s="22"/>
      <c r="QPJ459" s="22"/>
      <c r="QPK459" s="22"/>
      <c r="QPL459" s="22"/>
      <c r="QPM459" s="22"/>
      <c r="QPN459" s="22"/>
      <c r="QPO459" s="22"/>
      <c r="QPP459" s="22"/>
      <c r="QPQ459" s="22"/>
      <c r="QPR459" s="22"/>
      <c r="QPS459" s="22"/>
      <c r="QPT459" s="22"/>
      <c r="QPU459" s="22"/>
      <c r="QPV459" s="22"/>
      <c r="QPW459" s="22"/>
      <c r="QPX459" s="22"/>
      <c r="QPY459" s="22"/>
      <c r="QPZ459" s="22"/>
      <c r="QQA459" s="22"/>
      <c r="QQB459" s="22"/>
      <c r="QQC459" s="22"/>
      <c r="QQD459" s="22"/>
      <c r="QQE459" s="22"/>
      <c r="QQF459" s="22"/>
      <c r="QQG459" s="22"/>
      <c r="QQH459" s="22"/>
      <c r="QQI459" s="22"/>
      <c r="QQJ459" s="22"/>
      <c r="QQK459" s="22"/>
      <c r="QQL459" s="22"/>
      <c r="QQM459" s="22"/>
      <c r="QQN459" s="22"/>
      <c r="QQO459" s="22"/>
      <c r="QQP459" s="22"/>
      <c r="QQQ459" s="22"/>
      <c r="QQR459" s="22"/>
      <c r="QQS459" s="22"/>
      <c r="QQT459" s="22"/>
      <c r="QQU459" s="22"/>
      <c r="QQV459" s="22"/>
      <c r="QQW459" s="22"/>
      <c r="QQX459" s="22"/>
      <c r="QQY459" s="22"/>
      <c r="QQZ459" s="22"/>
      <c r="QRA459" s="22"/>
      <c r="QRB459" s="22"/>
      <c r="QRC459" s="22"/>
      <c r="QRD459" s="22"/>
      <c r="QRE459" s="22"/>
      <c r="QRF459" s="22"/>
      <c r="QRG459" s="22"/>
      <c r="QRH459" s="22"/>
      <c r="QRI459" s="22"/>
      <c r="QRJ459" s="22"/>
      <c r="QRK459" s="22"/>
      <c r="QRL459" s="22"/>
      <c r="QRM459" s="22"/>
      <c r="QRN459" s="22"/>
      <c r="QRO459" s="22"/>
      <c r="QRP459" s="22"/>
      <c r="QRQ459" s="22"/>
      <c r="QRR459" s="22"/>
      <c r="QRS459" s="22"/>
      <c r="QRT459" s="22"/>
      <c r="QRU459" s="22"/>
      <c r="QRV459" s="22"/>
      <c r="QRW459" s="22"/>
      <c r="QRX459" s="22"/>
      <c r="QRY459" s="22"/>
      <c r="QRZ459" s="22"/>
      <c r="QSA459" s="22"/>
      <c r="QSB459" s="22"/>
      <c r="QSC459" s="22"/>
      <c r="QSD459" s="22"/>
      <c r="QSE459" s="22"/>
      <c r="QSF459" s="22"/>
      <c r="QSG459" s="22"/>
      <c r="QSH459" s="22"/>
      <c r="QSI459" s="22"/>
      <c r="QSJ459" s="22"/>
      <c r="QSK459" s="22"/>
      <c r="QSL459" s="22"/>
      <c r="QSM459" s="22"/>
      <c r="QSN459" s="22"/>
      <c r="QSO459" s="22"/>
      <c r="QSP459" s="22"/>
      <c r="QSQ459" s="22"/>
      <c r="QSR459" s="22"/>
      <c r="QSS459" s="22"/>
      <c r="QST459" s="22"/>
      <c r="QSU459" s="22"/>
      <c r="QSV459" s="22"/>
      <c r="QSW459" s="22"/>
      <c r="QSX459" s="22"/>
      <c r="QSY459" s="22"/>
      <c r="QSZ459" s="22"/>
      <c r="QTA459" s="22"/>
      <c r="QTB459" s="22"/>
      <c r="QTC459" s="22"/>
      <c r="QTD459" s="22"/>
      <c r="QTE459" s="22"/>
      <c r="QTF459" s="22"/>
      <c r="QTG459" s="22"/>
      <c r="QTH459" s="22"/>
      <c r="QTI459" s="22"/>
      <c r="QTJ459" s="22"/>
      <c r="QTK459" s="22"/>
      <c r="QTL459" s="22"/>
      <c r="QTM459" s="22"/>
      <c r="QTN459" s="22"/>
      <c r="QTO459" s="22"/>
      <c r="QTP459" s="22"/>
      <c r="QTQ459" s="22"/>
      <c r="QTR459" s="22"/>
      <c r="QTS459" s="22"/>
      <c r="QTT459" s="22"/>
      <c r="QTU459" s="22"/>
      <c r="QTV459" s="22"/>
      <c r="QTW459" s="22"/>
      <c r="QTX459" s="22"/>
      <c r="QTY459" s="22"/>
      <c r="QTZ459" s="22"/>
      <c r="QUA459" s="22"/>
      <c r="QUB459" s="22"/>
      <c r="QUC459" s="22"/>
      <c r="QUD459" s="22"/>
      <c r="QUE459" s="22"/>
      <c r="QUF459" s="22"/>
      <c r="QUG459" s="22"/>
      <c r="QUH459" s="22"/>
      <c r="QUI459" s="22"/>
      <c r="QUJ459" s="22"/>
      <c r="QUK459" s="22"/>
      <c r="QUL459" s="22"/>
      <c r="QUM459" s="22"/>
      <c r="QUN459" s="22"/>
      <c r="QUO459" s="22"/>
      <c r="QUP459" s="22"/>
      <c r="QUQ459" s="22"/>
      <c r="QUR459" s="22"/>
      <c r="QUS459" s="22"/>
      <c r="QUT459" s="22"/>
      <c r="QUU459" s="22"/>
      <c r="QUV459" s="22"/>
      <c r="QUW459" s="22"/>
      <c r="QUX459" s="22"/>
      <c r="QUY459" s="22"/>
      <c r="QUZ459" s="22"/>
      <c r="QVA459" s="22"/>
      <c r="QVB459" s="22"/>
      <c r="QVC459" s="22"/>
      <c r="QVD459" s="22"/>
      <c r="QVE459" s="22"/>
      <c r="QVF459" s="22"/>
      <c r="QVG459" s="22"/>
      <c r="QVH459" s="22"/>
      <c r="QVI459" s="22"/>
      <c r="QVJ459" s="22"/>
      <c r="QVK459" s="22"/>
      <c r="QVL459" s="22"/>
      <c r="QVM459" s="22"/>
      <c r="QVN459" s="22"/>
      <c r="QVO459" s="22"/>
      <c r="QVP459" s="22"/>
      <c r="QVQ459" s="22"/>
      <c r="QVR459" s="22"/>
      <c r="QVS459" s="22"/>
      <c r="QVT459" s="22"/>
      <c r="QVU459" s="22"/>
      <c r="QVV459" s="22"/>
      <c r="QVW459" s="22"/>
      <c r="QVX459" s="22"/>
      <c r="QVY459" s="22"/>
      <c r="QVZ459" s="22"/>
      <c r="QWA459" s="22"/>
      <c r="QWB459" s="22"/>
      <c r="QWC459" s="22"/>
      <c r="QWD459" s="22"/>
      <c r="QWE459" s="22"/>
      <c r="QWF459" s="22"/>
      <c r="QWG459" s="22"/>
      <c r="QWH459" s="22"/>
      <c r="QWI459" s="22"/>
      <c r="QWJ459" s="22"/>
      <c r="QWK459" s="22"/>
      <c r="QWL459" s="22"/>
      <c r="QWM459" s="22"/>
      <c r="QWN459" s="22"/>
      <c r="QWO459" s="22"/>
      <c r="QWP459" s="22"/>
      <c r="QWQ459" s="22"/>
      <c r="QWR459" s="22"/>
      <c r="QWS459" s="22"/>
      <c r="QWT459" s="22"/>
      <c r="QWU459" s="22"/>
      <c r="QWV459" s="22"/>
      <c r="QWW459" s="22"/>
      <c r="QWX459" s="22"/>
      <c r="QWY459" s="22"/>
      <c r="QWZ459" s="22"/>
      <c r="QXA459" s="22"/>
      <c r="QXB459" s="22"/>
      <c r="QXC459" s="22"/>
      <c r="QXD459" s="22"/>
      <c r="QXE459" s="22"/>
      <c r="QXF459" s="22"/>
      <c r="QXG459" s="22"/>
      <c r="QXH459" s="22"/>
      <c r="QXI459" s="22"/>
      <c r="QXJ459" s="22"/>
      <c r="QXK459" s="22"/>
      <c r="QXL459" s="22"/>
      <c r="QXM459" s="22"/>
      <c r="QXN459" s="22"/>
      <c r="QXO459" s="22"/>
      <c r="QXP459" s="22"/>
      <c r="QXQ459" s="22"/>
      <c r="QXR459" s="22"/>
      <c r="QXS459" s="22"/>
      <c r="QXT459" s="22"/>
      <c r="QXU459" s="22"/>
      <c r="QXV459" s="22"/>
      <c r="QXW459" s="22"/>
      <c r="QXX459" s="22"/>
      <c r="QXY459" s="22"/>
      <c r="QXZ459" s="22"/>
      <c r="QYA459" s="22"/>
      <c r="QYB459" s="22"/>
      <c r="QYC459" s="22"/>
      <c r="QYD459" s="22"/>
      <c r="QYE459" s="22"/>
      <c r="QYF459" s="22"/>
      <c r="QYG459" s="22"/>
      <c r="QYH459" s="22"/>
      <c r="QYI459" s="22"/>
      <c r="QYJ459" s="22"/>
      <c r="QYK459" s="22"/>
      <c r="QYL459" s="22"/>
      <c r="QYM459" s="22"/>
      <c r="QYN459" s="22"/>
      <c r="QYO459" s="22"/>
      <c r="QYP459" s="22"/>
      <c r="QYQ459" s="22"/>
      <c r="QYR459" s="22"/>
      <c r="QYS459" s="22"/>
      <c r="QYT459" s="22"/>
      <c r="QYU459" s="22"/>
      <c r="QYV459" s="22"/>
      <c r="QYW459" s="22"/>
      <c r="QYX459" s="22"/>
      <c r="QYY459" s="22"/>
      <c r="QYZ459" s="22"/>
      <c r="QZA459" s="22"/>
      <c r="QZB459" s="22"/>
      <c r="QZC459" s="22"/>
      <c r="QZD459" s="22"/>
      <c r="QZE459" s="22"/>
      <c r="QZF459" s="22"/>
      <c r="QZG459" s="22"/>
      <c r="QZH459" s="22"/>
      <c r="QZI459" s="22"/>
      <c r="QZJ459" s="22"/>
      <c r="QZK459" s="22"/>
      <c r="QZL459" s="22"/>
      <c r="QZM459" s="22"/>
      <c r="QZN459" s="22"/>
      <c r="QZO459" s="22"/>
      <c r="QZP459" s="22"/>
      <c r="QZQ459" s="22"/>
      <c r="QZR459" s="22"/>
      <c r="QZS459" s="22"/>
      <c r="QZT459" s="22"/>
      <c r="QZU459" s="22"/>
      <c r="QZV459" s="22"/>
      <c r="QZW459" s="22"/>
      <c r="QZX459" s="22"/>
      <c r="QZY459" s="22"/>
      <c r="QZZ459" s="22"/>
      <c r="RAA459" s="22"/>
      <c r="RAB459" s="22"/>
      <c r="RAC459" s="22"/>
      <c r="RAD459" s="22"/>
      <c r="RAE459" s="22"/>
      <c r="RAF459" s="22"/>
      <c r="RAG459" s="22"/>
      <c r="RAH459" s="22"/>
      <c r="RAI459" s="22"/>
      <c r="RAJ459" s="22"/>
      <c r="RAK459" s="22"/>
      <c r="RAL459" s="22"/>
      <c r="RAM459" s="22"/>
      <c r="RAN459" s="22"/>
      <c r="RAO459" s="22"/>
      <c r="RAP459" s="22"/>
      <c r="RAQ459" s="22"/>
      <c r="RAR459" s="22"/>
      <c r="RAS459" s="22"/>
      <c r="RAT459" s="22"/>
      <c r="RAU459" s="22"/>
      <c r="RAV459" s="22"/>
      <c r="RAW459" s="22"/>
      <c r="RAX459" s="22"/>
      <c r="RAY459" s="22"/>
      <c r="RAZ459" s="22"/>
      <c r="RBA459" s="22"/>
      <c r="RBB459" s="22"/>
      <c r="RBC459" s="22"/>
      <c r="RBD459" s="22"/>
      <c r="RBE459" s="22"/>
      <c r="RBF459" s="22"/>
      <c r="RBG459" s="22"/>
      <c r="RBH459" s="22"/>
      <c r="RBI459" s="22"/>
      <c r="RBJ459" s="22"/>
      <c r="RBK459" s="22"/>
      <c r="RBL459" s="22"/>
      <c r="RBM459" s="22"/>
      <c r="RBN459" s="22"/>
      <c r="RBO459" s="22"/>
      <c r="RBP459" s="22"/>
      <c r="RBQ459" s="22"/>
      <c r="RBR459" s="22"/>
      <c r="RBS459" s="22"/>
      <c r="RBT459" s="22"/>
      <c r="RBU459" s="22"/>
      <c r="RBV459" s="22"/>
      <c r="RBW459" s="22"/>
      <c r="RBX459" s="22"/>
      <c r="RBY459" s="22"/>
      <c r="RBZ459" s="22"/>
      <c r="RCA459" s="22"/>
      <c r="RCB459" s="22"/>
      <c r="RCC459" s="22"/>
      <c r="RCD459" s="22"/>
      <c r="RCE459" s="22"/>
      <c r="RCF459" s="22"/>
      <c r="RCG459" s="22"/>
      <c r="RCH459" s="22"/>
      <c r="RCI459" s="22"/>
      <c r="RCJ459" s="22"/>
      <c r="RCK459" s="22"/>
      <c r="RCL459" s="22"/>
      <c r="RCM459" s="22"/>
      <c r="RCN459" s="22"/>
      <c r="RCO459" s="22"/>
      <c r="RCP459" s="22"/>
      <c r="RCQ459" s="22"/>
      <c r="RCR459" s="22"/>
      <c r="RCS459" s="22"/>
      <c r="RCT459" s="22"/>
      <c r="RCU459" s="22"/>
      <c r="RCV459" s="22"/>
      <c r="RCW459" s="22"/>
      <c r="RCX459" s="22"/>
      <c r="RCY459" s="22"/>
      <c r="RCZ459" s="22"/>
      <c r="RDA459" s="22"/>
      <c r="RDB459" s="22"/>
      <c r="RDC459" s="22"/>
      <c r="RDD459" s="22"/>
      <c r="RDE459" s="22"/>
      <c r="RDF459" s="22"/>
      <c r="RDG459" s="22"/>
      <c r="RDH459" s="22"/>
      <c r="RDI459" s="22"/>
      <c r="RDJ459" s="22"/>
      <c r="RDK459" s="22"/>
      <c r="RDL459" s="22"/>
      <c r="RDM459" s="22"/>
      <c r="RDN459" s="22"/>
      <c r="RDO459" s="22"/>
      <c r="RDP459" s="22"/>
      <c r="RDQ459" s="22"/>
      <c r="RDR459" s="22"/>
      <c r="RDS459" s="22"/>
      <c r="RDT459" s="22"/>
      <c r="RDU459" s="22"/>
      <c r="RDV459" s="22"/>
      <c r="RDW459" s="22"/>
      <c r="RDX459" s="22"/>
      <c r="RDY459" s="22"/>
      <c r="RDZ459" s="22"/>
      <c r="REA459" s="22"/>
      <c r="REB459" s="22"/>
      <c r="REC459" s="22"/>
      <c r="RED459" s="22"/>
      <c r="REE459" s="22"/>
      <c r="REF459" s="22"/>
      <c r="REG459" s="22"/>
      <c r="REH459" s="22"/>
      <c r="REI459" s="22"/>
      <c r="REJ459" s="22"/>
      <c r="REK459" s="22"/>
      <c r="REL459" s="22"/>
      <c r="REM459" s="22"/>
      <c r="REN459" s="22"/>
      <c r="REO459" s="22"/>
      <c r="REP459" s="22"/>
      <c r="REQ459" s="22"/>
      <c r="RER459" s="22"/>
      <c r="RES459" s="22"/>
      <c r="RET459" s="22"/>
      <c r="REU459" s="22"/>
      <c r="REV459" s="22"/>
      <c r="REW459" s="22"/>
      <c r="REX459" s="22"/>
      <c r="REY459" s="22"/>
      <c r="REZ459" s="22"/>
      <c r="RFA459" s="22"/>
      <c r="RFB459" s="22"/>
      <c r="RFC459" s="22"/>
      <c r="RFD459" s="22"/>
      <c r="RFE459" s="22"/>
      <c r="RFF459" s="22"/>
      <c r="RFG459" s="22"/>
      <c r="RFH459" s="22"/>
      <c r="RFI459" s="22"/>
      <c r="RFJ459" s="22"/>
      <c r="RFK459" s="22"/>
      <c r="RFL459" s="22"/>
      <c r="RFM459" s="22"/>
      <c r="RFN459" s="22"/>
      <c r="RFO459" s="22"/>
      <c r="RFP459" s="22"/>
      <c r="RFQ459" s="22"/>
      <c r="RFR459" s="22"/>
      <c r="RFS459" s="22"/>
      <c r="RFT459" s="22"/>
      <c r="RFU459" s="22"/>
      <c r="RFV459" s="22"/>
      <c r="RFW459" s="22"/>
      <c r="RFX459" s="22"/>
      <c r="RFY459" s="22"/>
      <c r="RFZ459" s="22"/>
      <c r="RGA459" s="22"/>
      <c r="RGB459" s="22"/>
      <c r="RGC459" s="22"/>
      <c r="RGD459" s="22"/>
      <c r="RGE459" s="22"/>
      <c r="RGF459" s="22"/>
      <c r="RGG459" s="22"/>
      <c r="RGH459" s="22"/>
      <c r="RGI459" s="22"/>
      <c r="RGJ459" s="22"/>
      <c r="RGK459" s="22"/>
      <c r="RGL459" s="22"/>
      <c r="RGM459" s="22"/>
      <c r="RGN459" s="22"/>
      <c r="RGO459" s="22"/>
      <c r="RGP459" s="22"/>
      <c r="RGQ459" s="22"/>
      <c r="RGR459" s="22"/>
      <c r="RGS459" s="22"/>
      <c r="RGT459" s="22"/>
      <c r="RGU459" s="22"/>
      <c r="RGV459" s="22"/>
      <c r="RGW459" s="22"/>
      <c r="RGX459" s="22"/>
      <c r="RGY459" s="22"/>
      <c r="RGZ459" s="22"/>
      <c r="RHA459" s="22"/>
      <c r="RHB459" s="22"/>
      <c r="RHC459" s="22"/>
      <c r="RHD459" s="22"/>
      <c r="RHE459" s="22"/>
      <c r="RHF459" s="22"/>
      <c r="RHG459" s="22"/>
      <c r="RHH459" s="22"/>
      <c r="RHI459" s="22"/>
      <c r="RHJ459" s="22"/>
      <c r="RHK459" s="22"/>
      <c r="RHL459" s="22"/>
      <c r="RHM459" s="22"/>
      <c r="RHN459" s="22"/>
      <c r="RHO459" s="22"/>
      <c r="RHP459" s="22"/>
      <c r="RHQ459" s="22"/>
      <c r="RHR459" s="22"/>
      <c r="RHS459" s="22"/>
      <c r="RHT459" s="22"/>
      <c r="RHU459" s="22"/>
      <c r="RHV459" s="22"/>
      <c r="RHW459" s="22"/>
      <c r="RHX459" s="22"/>
      <c r="RHY459" s="22"/>
      <c r="RHZ459" s="22"/>
      <c r="RIA459" s="22"/>
      <c r="RIB459" s="22"/>
      <c r="RIC459" s="22"/>
      <c r="RID459" s="22"/>
      <c r="RIE459" s="22"/>
      <c r="RIF459" s="22"/>
      <c r="RIG459" s="22"/>
      <c r="RIH459" s="22"/>
      <c r="RII459" s="22"/>
      <c r="RIJ459" s="22"/>
      <c r="RIK459" s="22"/>
      <c r="RIL459" s="22"/>
      <c r="RIM459" s="22"/>
      <c r="RIN459" s="22"/>
      <c r="RIO459" s="22"/>
      <c r="RIP459" s="22"/>
      <c r="RIQ459" s="22"/>
      <c r="RIR459" s="22"/>
      <c r="RIS459" s="22"/>
      <c r="RIT459" s="22"/>
      <c r="RIU459" s="22"/>
      <c r="RIV459" s="22"/>
      <c r="RIW459" s="22"/>
      <c r="RIX459" s="22"/>
      <c r="RIY459" s="22"/>
      <c r="RIZ459" s="22"/>
      <c r="RJA459" s="22"/>
      <c r="RJB459" s="22"/>
      <c r="RJC459" s="22"/>
      <c r="RJD459" s="22"/>
      <c r="RJE459" s="22"/>
      <c r="RJF459" s="22"/>
      <c r="RJG459" s="22"/>
      <c r="RJH459" s="22"/>
      <c r="RJI459" s="22"/>
      <c r="RJJ459" s="22"/>
      <c r="RJK459" s="22"/>
      <c r="RJL459" s="22"/>
      <c r="RJM459" s="22"/>
      <c r="RJN459" s="22"/>
      <c r="RJO459" s="22"/>
      <c r="RJP459" s="22"/>
      <c r="RJQ459" s="22"/>
      <c r="RJR459" s="22"/>
      <c r="RJS459" s="22"/>
      <c r="RJT459" s="22"/>
      <c r="RJU459" s="22"/>
      <c r="RJV459" s="22"/>
      <c r="RJW459" s="22"/>
      <c r="RJX459" s="22"/>
      <c r="RJY459" s="22"/>
      <c r="RJZ459" s="22"/>
      <c r="RKA459" s="22"/>
      <c r="RKB459" s="22"/>
      <c r="RKC459" s="22"/>
      <c r="RKD459" s="22"/>
      <c r="RKE459" s="22"/>
      <c r="RKF459" s="22"/>
      <c r="RKG459" s="22"/>
      <c r="RKH459" s="22"/>
      <c r="RKI459" s="22"/>
      <c r="RKJ459" s="22"/>
      <c r="RKK459" s="22"/>
      <c r="RKL459" s="22"/>
      <c r="RKM459" s="22"/>
      <c r="RKN459" s="22"/>
      <c r="RKO459" s="22"/>
      <c r="RKP459" s="22"/>
      <c r="RKQ459" s="22"/>
      <c r="RKR459" s="22"/>
      <c r="RKS459" s="22"/>
      <c r="RKT459" s="22"/>
      <c r="RKU459" s="22"/>
      <c r="RKV459" s="22"/>
      <c r="RKW459" s="22"/>
      <c r="RKX459" s="22"/>
      <c r="RKY459" s="22"/>
      <c r="RKZ459" s="22"/>
      <c r="RLA459" s="22"/>
      <c r="RLB459" s="22"/>
      <c r="RLC459" s="22"/>
      <c r="RLD459" s="22"/>
      <c r="RLE459" s="22"/>
      <c r="RLF459" s="22"/>
      <c r="RLG459" s="22"/>
      <c r="RLH459" s="22"/>
      <c r="RLI459" s="22"/>
      <c r="RLJ459" s="22"/>
      <c r="RLK459" s="22"/>
      <c r="RLL459" s="22"/>
      <c r="RLM459" s="22"/>
      <c r="RLN459" s="22"/>
      <c r="RLO459" s="22"/>
      <c r="RLP459" s="22"/>
      <c r="RLQ459" s="22"/>
      <c r="RLR459" s="22"/>
      <c r="RLS459" s="22"/>
      <c r="RLT459" s="22"/>
      <c r="RLU459" s="22"/>
      <c r="RLV459" s="22"/>
      <c r="RLW459" s="22"/>
      <c r="RLX459" s="22"/>
      <c r="RLY459" s="22"/>
      <c r="RLZ459" s="22"/>
      <c r="RMA459" s="22"/>
      <c r="RMB459" s="22"/>
      <c r="RMC459" s="22"/>
      <c r="RMD459" s="22"/>
      <c r="RME459" s="22"/>
      <c r="RMF459" s="22"/>
      <c r="RMG459" s="22"/>
      <c r="RMH459" s="22"/>
      <c r="RMI459" s="22"/>
      <c r="RMJ459" s="22"/>
      <c r="RMK459" s="22"/>
      <c r="RML459" s="22"/>
      <c r="RMM459" s="22"/>
      <c r="RMN459" s="22"/>
      <c r="RMO459" s="22"/>
      <c r="RMP459" s="22"/>
      <c r="RMQ459" s="22"/>
      <c r="RMR459" s="22"/>
      <c r="RMS459" s="22"/>
      <c r="RMT459" s="22"/>
      <c r="RMU459" s="22"/>
      <c r="RMV459" s="22"/>
      <c r="RMW459" s="22"/>
      <c r="RMX459" s="22"/>
      <c r="RMY459" s="22"/>
      <c r="RMZ459" s="22"/>
      <c r="RNA459" s="22"/>
      <c r="RNB459" s="22"/>
      <c r="RNC459" s="22"/>
      <c r="RND459" s="22"/>
      <c r="RNE459" s="22"/>
      <c r="RNF459" s="22"/>
      <c r="RNG459" s="22"/>
      <c r="RNH459" s="22"/>
      <c r="RNI459" s="22"/>
      <c r="RNJ459" s="22"/>
      <c r="RNK459" s="22"/>
      <c r="RNL459" s="22"/>
      <c r="RNM459" s="22"/>
      <c r="RNN459" s="22"/>
      <c r="RNO459" s="22"/>
      <c r="RNP459" s="22"/>
      <c r="RNQ459" s="22"/>
      <c r="RNR459" s="22"/>
      <c r="RNS459" s="22"/>
      <c r="RNT459" s="22"/>
      <c r="RNU459" s="22"/>
      <c r="RNV459" s="22"/>
      <c r="RNW459" s="22"/>
      <c r="RNX459" s="22"/>
      <c r="RNY459" s="22"/>
      <c r="RNZ459" s="22"/>
      <c r="ROA459" s="22"/>
      <c r="ROB459" s="22"/>
      <c r="ROC459" s="22"/>
      <c r="ROD459" s="22"/>
      <c r="ROE459" s="22"/>
      <c r="ROF459" s="22"/>
      <c r="ROG459" s="22"/>
      <c r="ROH459" s="22"/>
      <c r="ROI459" s="22"/>
      <c r="ROJ459" s="22"/>
      <c r="ROK459" s="22"/>
      <c r="ROL459" s="22"/>
      <c r="ROM459" s="22"/>
      <c r="RON459" s="22"/>
      <c r="ROO459" s="22"/>
      <c r="ROP459" s="22"/>
      <c r="ROQ459" s="22"/>
      <c r="ROR459" s="22"/>
      <c r="ROS459" s="22"/>
      <c r="ROT459" s="22"/>
      <c r="ROU459" s="22"/>
      <c r="ROV459" s="22"/>
      <c r="ROW459" s="22"/>
      <c r="ROX459" s="22"/>
      <c r="ROY459" s="22"/>
      <c r="ROZ459" s="22"/>
      <c r="RPA459" s="22"/>
      <c r="RPB459" s="22"/>
      <c r="RPC459" s="22"/>
      <c r="RPD459" s="22"/>
      <c r="RPE459" s="22"/>
      <c r="RPF459" s="22"/>
      <c r="RPG459" s="22"/>
      <c r="RPH459" s="22"/>
      <c r="RPI459" s="22"/>
      <c r="RPJ459" s="22"/>
      <c r="RPK459" s="22"/>
      <c r="RPL459" s="22"/>
      <c r="RPM459" s="22"/>
      <c r="RPN459" s="22"/>
      <c r="RPO459" s="22"/>
      <c r="RPP459" s="22"/>
      <c r="RPQ459" s="22"/>
      <c r="RPR459" s="22"/>
      <c r="RPS459" s="22"/>
      <c r="RPT459" s="22"/>
      <c r="RPU459" s="22"/>
      <c r="RPV459" s="22"/>
      <c r="RPW459" s="22"/>
      <c r="RPX459" s="22"/>
      <c r="RPY459" s="22"/>
      <c r="RPZ459" s="22"/>
      <c r="RQA459" s="22"/>
      <c r="RQB459" s="22"/>
      <c r="RQC459" s="22"/>
      <c r="RQD459" s="22"/>
      <c r="RQE459" s="22"/>
      <c r="RQF459" s="22"/>
      <c r="RQG459" s="22"/>
      <c r="RQH459" s="22"/>
      <c r="RQI459" s="22"/>
      <c r="RQJ459" s="22"/>
      <c r="RQK459" s="22"/>
      <c r="RQL459" s="22"/>
      <c r="RQM459" s="22"/>
      <c r="RQN459" s="22"/>
      <c r="RQO459" s="22"/>
      <c r="RQP459" s="22"/>
      <c r="RQQ459" s="22"/>
      <c r="RQR459" s="22"/>
      <c r="RQS459" s="22"/>
      <c r="RQT459" s="22"/>
      <c r="RQU459" s="22"/>
      <c r="RQV459" s="22"/>
      <c r="RQW459" s="22"/>
      <c r="RQX459" s="22"/>
      <c r="RQY459" s="22"/>
      <c r="RQZ459" s="22"/>
      <c r="RRA459" s="22"/>
      <c r="RRB459" s="22"/>
      <c r="RRC459" s="22"/>
      <c r="RRD459" s="22"/>
      <c r="RRE459" s="22"/>
      <c r="RRF459" s="22"/>
      <c r="RRG459" s="22"/>
      <c r="RRH459" s="22"/>
      <c r="RRI459" s="22"/>
      <c r="RRJ459" s="22"/>
      <c r="RRK459" s="22"/>
      <c r="RRL459" s="22"/>
      <c r="RRM459" s="22"/>
      <c r="RRN459" s="22"/>
      <c r="RRO459" s="22"/>
      <c r="RRP459" s="22"/>
      <c r="RRQ459" s="22"/>
      <c r="RRR459" s="22"/>
      <c r="RRS459" s="22"/>
      <c r="RRT459" s="22"/>
      <c r="RRU459" s="22"/>
      <c r="RRV459" s="22"/>
      <c r="RRW459" s="22"/>
      <c r="RRX459" s="22"/>
      <c r="RRY459" s="22"/>
      <c r="RRZ459" s="22"/>
      <c r="RSA459" s="22"/>
      <c r="RSB459" s="22"/>
      <c r="RSC459" s="22"/>
      <c r="RSD459" s="22"/>
      <c r="RSE459" s="22"/>
      <c r="RSF459" s="22"/>
      <c r="RSG459" s="22"/>
      <c r="RSH459" s="22"/>
      <c r="RSI459" s="22"/>
      <c r="RSJ459" s="22"/>
      <c r="RSK459" s="22"/>
      <c r="RSL459" s="22"/>
      <c r="RSM459" s="22"/>
      <c r="RSN459" s="22"/>
      <c r="RSO459" s="22"/>
      <c r="RSP459" s="22"/>
      <c r="RSQ459" s="22"/>
      <c r="RSR459" s="22"/>
      <c r="RSS459" s="22"/>
      <c r="RST459" s="22"/>
      <c r="RSU459" s="22"/>
      <c r="RSV459" s="22"/>
      <c r="RSW459" s="22"/>
      <c r="RSX459" s="22"/>
      <c r="RSY459" s="22"/>
      <c r="RSZ459" s="22"/>
      <c r="RTA459" s="22"/>
      <c r="RTB459" s="22"/>
      <c r="RTC459" s="22"/>
      <c r="RTD459" s="22"/>
      <c r="RTE459" s="22"/>
      <c r="RTF459" s="22"/>
      <c r="RTG459" s="22"/>
      <c r="RTH459" s="22"/>
      <c r="RTI459" s="22"/>
      <c r="RTJ459" s="22"/>
      <c r="RTK459" s="22"/>
      <c r="RTL459" s="22"/>
      <c r="RTM459" s="22"/>
      <c r="RTN459" s="22"/>
      <c r="RTO459" s="22"/>
      <c r="RTP459" s="22"/>
      <c r="RTQ459" s="22"/>
      <c r="RTR459" s="22"/>
      <c r="RTS459" s="22"/>
      <c r="RTT459" s="22"/>
      <c r="RTU459" s="22"/>
      <c r="RTV459" s="22"/>
      <c r="RTW459" s="22"/>
      <c r="RTX459" s="22"/>
      <c r="RTY459" s="22"/>
      <c r="RTZ459" s="22"/>
      <c r="RUA459" s="22"/>
      <c r="RUB459" s="22"/>
      <c r="RUC459" s="22"/>
      <c r="RUD459" s="22"/>
      <c r="RUE459" s="22"/>
      <c r="RUF459" s="22"/>
      <c r="RUG459" s="22"/>
      <c r="RUH459" s="22"/>
      <c r="RUI459" s="22"/>
      <c r="RUJ459" s="22"/>
      <c r="RUK459" s="22"/>
      <c r="RUL459" s="22"/>
      <c r="RUM459" s="22"/>
      <c r="RUN459" s="22"/>
      <c r="RUO459" s="22"/>
      <c r="RUP459" s="22"/>
      <c r="RUQ459" s="22"/>
      <c r="RUR459" s="22"/>
      <c r="RUS459" s="22"/>
      <c r="RUT459" s="22"/>
      <c r="RUU459" s="22"/>
      <c r="RUV459" s="22"/>
      <c r="RUW459" s="22"/>
      <c r="RUX459" s="22"/>
      <c r="RUY459" s="22"/>
      <c r="RUZ459" s="22"/>
      <c r="RVA459" s="22"/>
      <c r="RVB459" s="22"/>
      <c r="RVC459" s="22"/>
      <c r="RVD459" s="22"/>
      <c r="RVE459" s="22"/>
      <c r="RVF459" s="22"/>
      <c r="RVG459" s="22"/>
      <c r="RVH459" s="22"/>
      <c r="RVI459" s="22"/>
      <c r="RVJ459" s="22"/>
      <c r="RVK459" s="22"/>
      <c r="RVL459" s="22"/>
      <c r="RVM459" s="22"/>
      <c r="RVN459" s="22"/>
      <c r="RVO459" s="22"/>
      <c r="RVP459" s="22"/>
      <c r="RVQ459" s="22"/>
      <c r="RVR459" s="22"/>
      <c r="RVS459" s="22"/>
      <c r="RVT459" s="22"/>
      <c r="RVU459" s="22"/>
      <c r="RVV459" s="22"/>
      <c r="RVW459" s="22"/>
      <c r="RVX459" s="22"/>
      <c r="RVY459" s="22"/>
      <c r="RVZ459" s="22"/>
      <c r="RWA459" s="22"/>
      <c r="RWB459" s="22"/>
      <c r="RWC459" s="22"/>
      <c r="RWD459" s="22"/>
      <c r="RWE459" s="22"/>
      <c r="RWF459" s="22"/>
      <c r="RWG459" s="22"/>
      <c r="RWH459" s="22"/>
      <c r="RWI459" s="22"/>
      <c r="RWJ459" s="22"/>
      <c r="RWK459" s="22"/>
      <c r="RWL459" s="22"/>
      <c r="RWM459" s="22"/>
      <c r="RWN459" s="22"/>
      <c r="RWO459" s="22"/>
      <c r="RWP459" s="22"/>
      <c r="RWQ459" s="22"/>
      <c r="RWR459" s="22"/>
      <c r="RWS459" s="22"/>
      <c r="RWT459" s="22"/>
      <c r="RWU459" s="22"/>
      <c r="RWV459" s="22"/>
      <c r="RWW459" s="22"/>
      <c r="RWX459" s="22"/>
      <c r="RWY459" s="22"/>
      <c r="RWZ459" s="22"/>
      <c r="RXA459" s="22"/>
      <c r="RXB459" s="22"/>
      <c r="RXC459" s="22"/>
      <c r="RXD459" s="22"/>
      <c r="RXE459" s="22"/>
      <c r="RXF459" s="22"/>
      <c r="RXG459" s="22"/>
      <c r="RXH459" s="22"/>
      <c r="RXI459" s="22"/>
      <c r="RXJ459" s="22"/>
      <c r="RXK459" s="22"/>
      <c r="RXL459" s="22"/>
      <c r="RXM459" s="22"/>
      <c r="RXN459" s="22"/>
      <c r="RXO459" s="22"/>
      <c r="RXP459" s="22"/>
      <c r="RXQ459" s="22"/>
      <c r="RXR459" s="22"/>
      <c r="RXS459" s="22"/>
      <c r="RXT459" s="22"/>
      <c r="RXU459" s="22"/>
      <c r="RXV459" s="22"/>
      <c r="RXW459" s="22"/>
      <c r="RXX459" s="22"/>
      <c r="RXY459" s="22"/>
      <c r="RXZ459" s="22"/>
      <c r="RYA459" s="22"/>
      <c r="RYB459" s="22"/>
      <c r="RYC459" s="22"/>
      <c r="RYD459" s="22"/>
      <c r="RYE459" s="22"/>
      <c r="RYF459" s="22"/>
      <c r="RYG459" s="22"/>
      <c r="RYH459" s="22"/>
      <c r="RYI459" s="22"/>
      <c r="RYJ459" s="22"/>
      <c r="RYK459" s="22"/>
      <c r="RYL459" s="22"/>
      <c r="RYM459" s="22"/>
      <c r="RYN459" s="22"/>
      <c r="RYO459" s="22"/>
      <c r="RYP459" s="22"/>
      <c r="RYQ459" s="22"/>
      <c r="RYR459" s="22"/>
      <c r="RYS459" s="22"/>
      <c r="RYT459" s="22"/>
      <c r="RYU459" s="22"/>
      <c r="RYV459" s="22"/>
      <c r="RYW459" s="22"/>
      <c r="RYX459" s="22"/>
      <c r="RYY459" s="22"/>
      <c r="RYZ459" s="22"/>
      <c r="RZA459" s="22"/>
      <c r="RZB459" s="22"/>
      <c r="RZC459" s="22"/>
      <c r="RZD459" s="22"/>
      <c r="RZE459" s="22"/>
      <c r="RZF459" s="22"/>
      <c r="RZG459" s="22"/>
      <c r="RZH459" s="22"/>
      <c r="RZI459" s="22"/>
      <c r="RZJ459" s="22"/>
      <c r="RZK459" s="22"/>
      <c r="RZL459" s="22"/>
      <c r="RZM459" s="22"/>
      <c r="RZN459" s="22"/>
      <c r="RZO459" s="22"/>
      <c r="RZP459" s="22"/>
      <c r="RZQ459" s="22"/>
      <c r="RZR459" s="22"/>
      <c r="RZS459" s="22"/>
      <c r="RZT459" s="22"/>
      <c r="RZU459" s="22"/>
      <c r="RZV459" s="22"/>
      <c r="RZW459" s="22"/>
      <c r="RZX459" s="22"/>
      <c r="RZY459" s="22"/>
      <c r="RZZ459" s="22"/>
      <c r="SAA459" s="22"/>
      <c r="SAB459" s="22"/>
      <c r="SAC459" s="22"/>
      <c r="SAD459" s="22"/>
      <c r="SAE459" s="22"/>
      <c r="SAF459" s="22"/>
      <c r="SAG459" s="22"/>
      <c r="SAH459" s="22"/>
      <c r="SAI459" s="22"/>
      <c r="SAJ459" s="22"/>
      <c r="SAK459" s="22"/>
      <c r="SAL459" s="22"/>
      <c r="SAM459" s="22"/>
      <c r="SAN459" s="22"/>
      <c r="SAO459" s="22"/>
      <c r="SAP459" s="22"/>
      <c r="SAQ459" s="22"/>
      <c r="SAR459" s="22"/>
      <c r="SAS459" s="22"/>
      <c r="SAT459" s="22"/>
      <c r="SAU459" s="22"/>
      <c r="SAV459" s="22"/>
      <c r="SAW459" s="22"/>
      <c r="SAX459" s="22"/>
      <c r="SAY459" s="22"/>
      <c r="SAZ459" s="22"/>
      <c r="SBA459" s="22"/>
      <c r="SBB459" s="22"/>
      <c r="SBC459" s="22"/>
      <c r="SBD459" s="22"/>
      <c r="SBE459" s="22"/>
      <c r="SBF459" s="22"/>
      <c r="SBG459" s="22"/>
      <c r="SBH459" s="22"/>
      <c r="SBI459" s="22"/>
      <c r="SBJ459" s="22"/>
      <c r="SBK459" s="22"/>
      <c r="SBL459" s="22"/>
      <c r="SBM459" s="22"/>
      <c r="SBN459" s="22"/>
      <c r="SBO459" s="22"/>
      <c r="SBP459" s="22"/>
      <c r="SBQ459" s="22"/>
      <c r="SBR459" s="22"/>
      <c r="SBS459" s="22"/>
      <c r="SBT459" s="22"/>
      <c r="SBU459" s="22"/>
      <c r="SBV459" s="22"/>
      <c r="SBW459" s="22"/>
      <c r="SBX459" s="22"/>
      <c r="SBY459" s="22"/>
      <c r="SBZ459" s="22"/>
      <c r="SCA459" s="22"/>
      <c r="SCB459" s="22"/>
      <c r="SCC459" s="22"/>
      <c r="SCD459" s="22"/>
      <c r="SCE459" s="22"/>
      <c r="SCF459" s="22"/>
      <c r="SCG459" s="22"/>
      <c r="SCH459" s="22"/>
      <c r="SCI459" s="22"/>
      <c r="SCJ459" s="22"/>
      <c r="SCK459" s="22"/>
      <c r="SCL459" s="22"/>
      <c r="SCM459" s="22"/>
      <c r="SCN459" s="22"/>
      <c r="SCO459" s="22"/>
      <c r="SCP459" s="22"/>
      <c r="SCQ459" s="22"/>
      <c r="SCR459" s="22"/>
      <c r="SCS459" s="22"/>
      <c r="SCT459" s="22"/>
      <c r="SCU459" s="22"/>
      <c r="SCV459" s="22"/>
      <c r="SCW459" s="22"/>
      <c r="SCX459" s="22"/>
      <c r="SCY459" s="22"/>
      <c r="SCZ459" s="22"/>
      <c r="SDA459" s="22"/>
      <c r="SDB459" s="22"/>
      <c r="SDC459" s="22"/>
      <c r="SDD459" s="22"/>
      <c r="SDE459" s="22"/>
      <c r="SDF459" s="22"/>
      <c r="SDG459" s="22"/>
      <c r="SDH459" s="22"/>
      <c r="SDI459" s="22"/>
      <c r="SDJ459" s="22"/>
      <c r="SDK459" s="22"/>
      <c r="SDL459" s="22"/>
      <c r="SDM459" s="22"/>
      <c r="SDN459" s="22"/>
      <c r="SDO459" s="22"/>
      <c r="SDP459" s="22"/>
      <c r="SDQ459" s="22"/>
      <c r="SDR459" s="22"/>
      <c r="SDS459" s="22"/>
      <c r="SDT459" s="22"/>
      <c r="SDU459" s="22"/>
      <c r="SDV459" s="22"/>
      <c r="SDW459" s="22"/>
      <c r="SDX459" s="22"/>
      <c r="SDY459" s="22"/>
      <c r="SDZ459" s="22"/>
      <c r="SEA459" s="22"/>
      <c r="SEB459" s="22"/>
      <c r="SEC459" s="22"/>
      <c r="SED459" s="22"/>
      <c r="SEE459" s="22"/>
      <c r="SEF459" s="22"/>
      <c r="SEG459" s="22"/>
      <c r="SEH459" s="22"/>
      <c r="SEI459" s="22"/>
      <c r="SEJ459" s="22"/>
      <c r="SEK459" s="22"/>
      <c r="SEL459" s="22"/>
      <c r="SEM459" s="22"/>
      <c r="SEN459" s="22"/>
      <c r="SEO459" s="22"/>
      <c r="SEP459" s="22"/>
      <c r="SEQ459" s="22"/>
      <c r="SER459" s="22"/>
      <c r="SES459" s="22"/>
      <c r="SET459" s="22"/>
      <c r="SEU459" s="22"/>
      <c r="SEV459" s="22"/>
      <c r="SEW459" s="22"/>
      <c r="SEX459" s="22"/>
      <c r="SEY459" s="22"/>
      <c r="SEZ459" s="22"/>
      <c r="SFA459" s="22"/>
      <c r="SFB459" s="22"/>
      <c r="SFC459" s="22"/>
      <c r="SFD459" s="22"/>
      <c r="SFE459" s="22"/>
      <c r="SFF459" s="22"/>
      <c r="SFG459" s="22"/>
      <c r="SFH459" s="22"/>
      <c r="SFI459" s="22"/>
      <c r="SFJ459" s="22"/>
      <c r="SFK459" s="22"/>
      <c r="SFL459" s="22"/>
      <c r="SFM459" s="22"/>
      <c r="SFN459" s="22"/>
      <c r="SFO459" s="22"/>
      <c r="SFP459" s="22"/>
      <c r="SFQ459" s="22"/>
      <c r="SFR459" s="22"/>
      <c r="SFS459" s="22"/>
      <c r="SFT459" s="22"/>
      <c r="SFU459" s="22"/>
      <c r="SFV459" s="22"/>
      <c r="SFW459" s="22"/>
      <c r="SFX459" s="22"/>
      <c r="SFY459" s="22"/>
      <c r="SFZ459" s="22"/>
      <c r="SGA459" s="22"/>
      <c r="SGB459" s="22"/>
      <c r="SGC459" s="22"/>
      <c r="SGD459" s="22"/>
      <c r="SGE459" s="22"/>
      <c r="SGF459" s="22"/>
      <c r="SGG459" s="22"/>
      <c r="SGH459" s="22"/>
      <c r="SGI459" s="22"/>
      <c r="SGJ459" s="22"/>
      <c r="SGK459" s="22"/>
      <c r="SGL459" s="22"/>
      <c r="SGM459" s="22"/>
      <c r="SGN459" s="22"/>
      <c r="SGO459" s="22"/>
      <c r="SGP459" s="22"/>
      <c r="SGQ459" s="22"/>
      <c r="SGR459" s="22"/>
      <c r="SGS459" s="22"/>
      <c r="SGT459" s="22"/>
      <c r="SGU459" s="22"/>
      <c r="SGV459" s="22"/>
      <c r="SGW459" s="22"/>
      <c r="SGX459" s="22"/>
      <c r="SGY459" s="22"/>
      <c r="SGZ459" s="22"/>
      <c r="SHA459" s="22"/>
      <c r="SHB459" s="22"/>
      <c r="SHC459" s="22"/>
      <c r="SHD459" s="22"/>
      <c r="SHE459" s="22"/>
      <c r="SHF459" s="22"/>
      <c r="SHG459" s="22"/>
      <c r="SHH459" s="22"/>
      <c r="SHI459" s="22"/>
      <c r="SHJ459" s="22"/>
      <c r="SHK459" s="22"/>
      <c r="SHL459" s="22"/>
      <c r="SHM459" s="22"/>
      <c r="SHN459" s="22"/>
      <c r="SHO459" s="22"/>
      <c r="SHP459" s="22"/>
      <c r="SHQ459" s="22"/>
      <c r="SHR459" s="22"/>
      <c r="SHS459" s="22"/>
      <c r="SHT459" s="22"/>
      <c r="SHU459" s="22"/>
      <c r="SHV459" s="22"/>
      <c r="SHW459" s="22"/>
      <c r="SHX459" s="22"/>
      <c r="SHY459" s="22"/>
      <c r="SHZ459" s="22"/>
      <c r="SIA459" s="22"/>
      <c r="SIB459" s="22"/>
      <c r="SIC459" s="22"/>
      <c r="SID459" s="22"/>
      <c r="SIE459" s="22"/>
      <c r="SIF459" s="22"/>
      <c r="SIG459" s="22"/>
      <c r="SIH459" s="22"/>
      <c r="SII459" s="22"/>
      <c r="SIJ459" s="22"/>
      <c r="SIK459" s="22"/>
      <c r="SIL459" s="22"/>
      <c r="SIM459" s="22"/>
      <c r="SIN459" s="22"/>
      <c r="SIO459" s="22"/>
      <c r="SIP459" s="22"/>
      <c r="SIQ459" s="22"/>
      <c r="SIR459" s="22"/>
      <c r="SIS459" s="22"/>
      <c r="SIT459" s="22"/>
      <c r="SIU459" s="22"/>
      <c r="SIV459" s="22"/>
      <c r="SIW459" s="22"/>
      <c r="SIX459" s="22"/>
      <c r="SIY459" s="22"/>
      <c r="SIZ459" s="22"/>
      <c r="SJA459" s="22"/>
      <c r="SJB459" s="22"/>
      <c r="SJC459" s="22"/>
      <c r="SJD459" s="22"/>
      <c r="SJE459" s="22"/>
      <c r="SJF459" s="22"/>
      <c r="SJG459" s="22"/>
      <c r="SJH459" s="22"/>
      <c r="SJI459" s="22"/>
      <c r="SJJ459" s="22"/>
      <c r="SJK459" s="22"/>
      <c r="SJL459" s="22"/>
      <c r="SJM459" s="22"/>
      <c r="SJN459" s="22"/>
      <c r="SJO459" s="22"/>
      <c r="SJP459" s="22"/>
      <c r="SJQ459" s="22"/>
      <c r="SJR459" s="22"/>
      <c r="SJS459" s="22"/>
      <c r="SJT459" s="22"/>
      <c r="SJU459" s="22"/>
      <c r="SJV459" s="22"/>
      <c r="SJW459" s="22"/>
      <c r="SJX459" s="22"/>
      <c r="SJY459" s="22"/>
      <c r="SJZ459" s="22"/>
      <c r="SKA459" s="22"/>
      <c r="SKB459" s="22"/>
      <c r="SKC459" s="22"/>
      <c r="SKD459" s="22"/>
      <c r="SKE459" s="22"/>
      <c r="SKF459" s="22"/>
      <c r="SKG459" s="22"/>
      <c r="SKH459" s="22"/>
      <c r="SKI459" s="22"/>
      <c r="SKJ459" s="22"/>
      <c r="SKK459" s="22"/>
      <c r="SKL459" s="22"/>
      <c r="SKM459" s="22"/>
      <c r="SKN459" s="22"/>
      <c r="SKO459" s="22"/>
      <c r="SKP459" s="22"/>
      <c r="SKQ459" s="22"/>
      <c r="SKR459" s="22"/>
      <c r="SKS459" s="22"/>
      <c r="SKT459" s="22"/>
      <c r="SKU459" s="22"/>
      <c r="SKV459" s="22"/>
      <c r="SKW459" s="22"/>
      <c r="SKX459" s="22"/>
      <c r="SKY459" s="22"/>
      <c r="SKZ459" s="22"/>
      <c r="SLA459" s="22"/>
      <c r="SLB459" s="22"/>
      <c r="SLC459" s="22"/>
      <c r="SLD459" s="22"/>
      <c r="SLE459" s="22"/>
      <c r="SLF459" s="22"/>
      <c r="SLG459" s="22"/>
      <c r="SLH459" s="22"/>
      <c r="SLI459" s="22"/>
      <c r="SLJ459" s="22"/>
      <c r="SLK459" s="22"/>
      <c r="SLL459" s="22"/>
      <c r="SLM459" s="22"/>
      <c r="SLN459" s="22"/>
      <c r="SLO459" s="22"/>
      <c r="SLP459" s="22"/>
      <c r="SLQ459" s="22"/>
      <c r="SLR459" s="22"/>
      <c r="SLS459" s="22"/>
      <c r="SLT459" s="22"/>
      <c r="SLU459" s="22"/>
      <c r="SLV459" s="22"/>
      <c r="SLW459" s="22"/>
      <c r="SLX459" s="22"/>
      <c r="SLY459" s="22"/>
      <c r="SLZ459" s="22"/>
      <c r="SMA459" s="22"/>
      <c r="SMB459" s="22"/>
      <c r="SMC459" s="22"/>
      <c r="SMD459" s="22"/>
      <c r="SME459" s="22"/>
      <c r="SMF459" s="22"/>
      <c r="SMG459" s="22"/>
      <c r="SMH459" s="22"/>
      <c r="SMI459" s="22"/>
      <c r="SMJ459" s="22"/>
      <c r="SMK459" s="22"/>
      <c r="SML459" s="22"/>
      <c r="SMM459" s="22"/>
      <c r="SMN459" s="22"/>
      <c r="SMO459" s="22"/>
      <c r="SMP459" s="22"/>
      <c r="SMQ459" s="22"/>
      <c r="SMR459" s="22"/>
      <c r="SMS459" s="22"/>
      <c r="SMT459" s="22"/>
      <c r="SMU459" s="22"/>
      <c r="SMV459" s="22"/>
      <c r="SMW459" s="22"/>
      <c r="SMX459" s="22"/>
      <c r="SMY459" s="22"/>
      <c r="SMZ459" s="22"/>
      <c r="SNA459" s="22"/>
      <c r="SNB459" s="22"/>
      <c r="SNC459" s="22"/>
      <c r="SND459" s="22"/>
      <c r="SNE459" s="22"/>
      <c r="SNF459" s="22"/>
      <c r="SNG459" s="22"/>
      <c r="SNH459" s="22"/>
      <c r="SNI459" s="22"/>
      <c r="SNJ459" s="22"/>
      <c r="SNK459" s="22"/>
      <c r="SNL459" s="22"/>
      <c r="SNM459" s="22"/>
      <c r="SNN459" s="22"/>
      <c r="SNO459" s="22"/>
      <c r="SNP459" s="22"/>
      <c r="SNQ459" s="22"/>
      <c r="SNR459" s="22"/>
      <c r="SNS459" s="22"/>
      <c r="SNT459" s="22"/>
      <c r="SNU459" s="22"/>
      <c r="SNV459" s="22"/>
      <c r="SNW459" s="22"/>
      <c r="SNX459" s="22"/>
      <c r="SNY459" s="22"/>
      <c r="SNZ459" s="22"/>
      <c r="SOA459" s="22"/>
      <c r="SOB459" s="22"/>
      <c r="SOC459" s="22"/>
      <c r="SOD459" s="22"/>
      <c r="SOE459" s="22"/>
      <c r="SOF459" s="22"/>
      <c r="SOG459" s="22"/>
      <c r="SOH459" s="22"/>
      <c r="SOI459" s="22"/>
      <c r="SOJ459" s="22"/>
      <c r="SOK459" s="22"/>
      <c r="SOL459" s="22"/>
      <c r="SOM459" s="22"/>
      <c r="SON459" s="22"/>
      <c r="SOO459" s="22"/>
      <c r="SOP459" s="22"/>
      <c r="SOQ459" s="22"/>
      <c r="SOR459" s="22"/>
      <c r="SOS459" s="22"/>
      <c r="SOT459" s="22"/>
      <c r="SOU459" s="22"/>
      <c r="SOV459" s="22"/>
      <c r="SOW459" s="22"/>
      <c r="SOX459" s="22"/>
      <c r="SOY459" s="22"/>
      <c r="SOZ459" s="22"/>
      <c r="SPA459" s="22"/>
      <c r="SPB459" s="22"/>
      <c r="SPC459" s="22"/>
      <c r="SPD459" s="22"/>
      <c r="SPE459" s="22"/>
      <c r="SPF459" s="22"/>
      <c r="SPG459" s="22"/>
      <c r="SPH459" s="22"/>
      <c r="SPI459" s="22"/>
      <c r="SPJ459" s="22"/>
      <c r="SPK459" s="22"/>
      <c r="SPL459" s="22"/>
      <c r="SPM459" s="22"/>
      <c r="SPN459" s="22"/>
      <c r="SPO459" s="22"/>
      <c r="SPP459" s="22"/>
      <c r="SPQ459" s="22"/>
      <c r="SPR459" s="22"/>
      <c r="SPS459" s="22"/>
      <c r="SPT459" s="22"/>
      <c r="SPU459" s="22"/>
      <c r="SPV459" s="22"/>
      <c r="SPW459" s="22"/>
      <c r="SPX459" s="22"/>
      <c r="SPY459" s="22"/>
      <c r="SPZ459" s="22"/>
      <c r="SQA459" s="22"/>
      <c r="SQB459" s="22"/>
      <c r="SQC459" s="22"/>
      <c r="SQD459" s="22"/>
      <c r="SQE459" s="22"/>
      <c r="SQF459" s="22"/>
      <c r="SQG459" s="22"/>
      <c r="SQH459" s="22"/>
      <c r="SQI459" s="22"/>
      <c r="SQJ459" s="22"/>
      <c r="SQK459" s="22"/>
      <c r="SQL459" s="22"/>
      <c r="SQM459" s="22"/>
      <c r="SQN459" s="22"/>
      <c r="SQO459" s="22"/>
      <c r="SQP459" s="22"/>
      <c r="SQQ459" s="22"/>
      <c r="SQR459" s="22"/>
      <c r="SQS459" s="22"/>
      <c r="SQT459" s="22"/>
      <c r="SQU459" s="22"/>
      <c r="SQV459" s="22"/>
      <c r="SQW459" s="22"/>
      <c r="SQX459" s="22"/>
      <c r="SQY459" s="22"/>
      <c r="SQZ459" s="22"/>
      <c r="SRA459" s="22"/>
      <c r="SRB459" s="22"/>
      <c r="SRC459" s="22"/>
      <c r="SRD459" s="22"/>
      <c r="SRE459" s="22"/>
      <c r="SRF459" s="22"/>
      <c r="SRG459" s="22"/>
      <c r="SRH459" s="22"/>
      <c r="SRI459" s="22"/>
      <c r="SRJ459" s="22"/>
      <c r="SRK459" s="22"/>
      <c r="SRL459" s="22"/>
      <c r="SRM459" s="22"/>
      <c r="SRN459" s="22"/>
      <c r="SRO459" s="22"/>
      <c r="SRP459" s="22"/>
      <c r="SRQ459" s="22"/>
      <c r="SRR459" s="22"/>
      <c r="SRS459" s="22"/>
      <c r="SRT459" s="22"/>
      <c r="SRU459" s="22"/>
      <c r="SRV459" s="22"/>
      <c r="SRW459" s="22"/>
      <c r="SRX459" s="22"/>
      <c r="SRY459" s="22"/>
      <c r="SRZ459" s="22"/>
      <c r="SSA459" s="22"/>
      <c r="SSB459" s="22"/>
      <c r="SSC459" s="22"/>
      <c r="SSD459" s="22"/>
      <c r="SSE459" s="22"/>
      <c r="SSF459" s="22"/>
      <c r="SSG459" s="22"/>
      <c r="SSH459" s="22"/>
      <c r="SSI459" s="22"/>
      <c r="SSJ459" s="22"/>
      <c r="SSK459" s="22"/>
      <c r="SSL459" s="22"/>
      <c r="SSM459" s="22"/>
      <c r="SSN459" s="22"/>
      <c r="SSO459" s="22"/>
      <c r="SSP459" s="22"/>
      <c r="SSQ459" s="22"/>
      <c r="SSR459" s="22"/>
      <c r="SSS459" s="22"/>
      <c r="SST459" s="22"/>
      <c r="SSU459" s="22"/>
      <c r="SSV459" s="22"/>
      <c r="SSW459" s="22"/>
      <c r="SSX459" s="22"/>
      <c r="SSY459" s="22"/>
      <c r="SSZ459" s="22"/>
      <c r="STA459" s="22"/>
      <c r="STB459" s="22"/>
      <c r="STC459" s="22"/>
      <c r="STD459" s="22"/>
      <c r="STE459" s="22"/>
      <c r="STF459" s="22"/>
      <c r="STG459" s="22"/>
      <c r="STH459" s="22"/>
      <c r="STI459" s="22"/>
      <c r="STJ459" s="22"/>
      <c r="STK459" s="22"/>
      <c r="STL459" s="22"/>
      <c r="STM459" s="22"/>
      <c r="STN459" s="22"/>
      <c r="STO459" s="22"/>
      <c r="STP459" s="22"/>
      <c r="STQ459" s="22"/>
      <c r="STR459" s="22"/>
      <c r="STS459" s="22"/>
      <c r="STT459" s="22"/>
      <c r="STU459" s="22"/>
      <c r="STV459" s="22"/>
      <c r="STW459" s="22"/>
      <c r="STX459" s="22"/>
      <c r="STY459" s="22"/>
      <c r="STZ459" s="22"/>
      <c r="SUA459" s="22"/>
      <c r="SUB459" s="22"/>
      <c r="SUC459" s="22"/>
      <c r="SUD459" s="22"/>
      <c r="SUE459" s="22"/>
      <c r="SUF459" s="22"/>
      <c r="SUG459" s="22"/>
      <c r="SUH459" s="22"/>
      <c r="SUI459" s="22"/>
      <c r="SUJ459" s="22"/>
      <c r="SUK459" s="22"/>
      <c r="SUL459" s="22"/>
      <c r="SUM459" s="22"/>
      <c r="SUN459" s="22"/>
      <c r="SUO459" s="22"/>
      <c r="SUP459" s="22"/>
      <c r="SUQ459" s="22"/>
      <c r="SUR459" s="22"/>
      <c r="SUS459" s="22"/>
      <c r="SUT459" s="22"/>
      <c r="SUU459" s="22"/>
      <c r="SUV459" s="22"/>
      <c r="SUW459" s="22"/>
      <c r="SUX459" s="22"/>
      <c r="SUY459" s="22"/>
      <c r="SUZ459" s="22"/>
      <c r="SVA459" s="22"/>
      <c r="SVB459" s="22"/>
      <c r="SVC459" s="22"/>
      <c r="SVD459" s="22"/>
      <c r="SVE459" s="22"/>
      <c r="SVF459" s="22"/>
      <c r="SVG459" s="22"/>
      <c r="SVH459" s="22"/>
      <c r="SVI459" s="22"/>
      <c r="SVJ459" s="22"/>
      <c r="SVK459" s="22"/>
      <c r="SVL459" s="22"/>
      <c r="SVM459" s="22"/>
      <c r="SVN459" s="22"/>
      <c r="SVO459" s="22"/>
      <c r="SVP459" s="22"/>
      <c r="SVQ459" s="22"/>
      <c r="SVR459" s="22"/>
      <c r="SVS459" s="22"/>
      <c r="SVT459" s="22"/>
      <c r="SVU459" s="22"/>
      <c r="SVV459" s="22"/>
      <c r="SVW459" s="22"/>
      <c r="SVX459" s="22"/>
      <c r="SVY459" s="22"/>
      <c r="SVZ459" s="22"/>
      <c r="SWA459" s="22"/>
      <c r="SWB459" s="22"/>
      <c r="SWC459" s="22"/>
      <c r="SWD459" s="22"/>
      <c r="SWE459" s="22"/>
      <c r="SWF459" s="22"/>
      <c r="SWG459" s="22"/>
      <c r="SWH459" s="22"/>
      <c r="SWI459" s="22"/>
      <c r="SWJ459" s="22"/>
      <c r="SWK459" s="22"/>
      <c r="SWL459" s="22"/>
      <c r="SWM459" s="22"/>
      <c r="SWN459" s="22"/>
      <c r="SWO459" s="22"/>
      <c r="SWP459" s="22"/>
      <c r="SWQ459" s="22"/>
      <c r="SWR459" s="22"/>
      <c r="SWS459" s="22"/>
      <c r="SWT459" s="22"/>
      <c r="SWU459" s="22"/>
      <c r="SWV459" s="22"/>
      <c r="SWW459" s="22"/>
      <c r="SWX459" s="22"/>
      <c r="SWY459" s="22"/>
      <c r="SWZ459" s="22"/>
      <c r="SXA459" s="22"/>
      <c r="SXB459" s="22"/>
      <c r="SXC459" s="22"/>
      <c r="SXD459" s="22"/>
      <c r="SXE459" s="22"/>
      <c r="SXF459" s="22"/>
      <c r="SXG459" s="22"/>
      <c r="SXH459" s="22"/>
      <c r="SXI459" s="22"/>
      <c r="SXJ459" s="22"/>
      <c r="SXK459" s="22"/>
      <c r="SXL459" s="22"/>
      <c r="SXM459" s="22"/>
      <c r="SXN459" s="22"/>
      <c r="SXO459" s="22"/>
      <c r="SXP459" s="22"/>
      <c r="SXQ459" s="22"/>
      <c r="SXR459" s="22"/>
      <c r="SXS459" s="22"/>
      <c r="SXT459" s="22"/>
      <c r="SXU459" s="22"/>
      <c r="SXV459" s="22"/>
      <c r="SXW459" s="22"/>
      <c r="SXX459" s="22"/>
      <c r="SXY459" s="22"/>
      <c r="SXZ459" s="22"/>
      <c r="SYA459" s="22"/>
      <c r="SYB459" s="22"/>
      <c r="SYC459" s="22"/>
      <c r="SYD459" s="22"/>
      <c r="SYE459" s="22"/>
      <c r="SYF459" s="22"/>
      <c r="SYG459" s="22"/>
      <c r="SYH459" s="22"/>
      <c r="SYI459" s="22"/>
      <c r="SYJ459" s="22"/>
      <c r="SYK459" s="22"/>
      <c r="SYL459" s="22"/>
      <c r="SYM459" s="22"/>
      <c r="SYN459" s="22"/>
      <c r="SYO459" s="22"/>
      <c r="SYP459" s="22"/>
      <c r="SYQ459" s="22"/>
      <c r="SYR459" s="22"/>
      <c r="SYS459" s="22"/>
      <c r="SYT459" s="22"/>
      <c r="SYU459" s="22"/>
      <c r="SYV459" s="22"/>
      <c r="SYW459" s="22"/>
      <c r="SYX459" s="22"/>
      <c r="SYY459" s="22"/>
      <c r="SYZ459" s="22"/>
      <c r="SZA459" s="22"/>
      <c r="SZB459" s="22"/>
      <c r="SZC459" s="22"/>
      <c r="SZD459" s="22"/>
      <c r="SZE459" s="22"/>
      <c r="SZF459" s="22"/>
      <c r="SZG459" s="22"/>
      <c r="SZH459" s="22"/>
      <c r="SZI459" s="22"/>
      <c r="SZJ459" s="22"/>
      <c r="SZK459" s="22"/>
      <c r="SZL459" s="22"/>
      <c r="SZM459" s="22"/>
      <c r="SZN459" s="22"/>
      <c r="SZO459" s="22"/>
      <c r="SZP459" s="22"/>
      <c r="SZQ459" s="22"/>
      <c r="SZR459" s="22"/>
      <c r="SZS459" s="22"/>
      <c r="SZT459" s="22"/>
      <c r="SZU459" s="22"/>
      <c r="SZV459" s="22"/>
      <c r="SZW459" s="22"/>
      <c r="SZX459" s="22"/>
      <c r="SZY459" s="22"/>
      <c r="SZZ459" s="22"/>
      <c r="TAA459" s="22"/>
      <c r="TAB459" s="22"/>
      <c r="TAC459" s="22"/>
      <c r="TAD459" s="22"/>
      <c r="TAE459" s="22"/>
      <c r="TAF459" s="22"/>
      <c r="TAG459" s="22"/>
      <c r="TAH459" s="22"/>
      <c r="TAI459" s="22"/>
      <c r="TAJ459" s="22"/>
      <c r="TAK459" s="22"/>
      <c r="TAL459" s="22"/>
      <c r="TAM459" s="22"/>
      <c r="TAN459" s="22"/>
      <c r="TAO459" s="22"/>
      <c r="TAP459" s="22"/>
      <c r="TAQ459" s="22"/>
      <c r="TAR459" s="22"/>
      <c r="TAS459" s="22"/>
      <c r="TAT459" s="22"/>
      <c r="TAU459" s="22"/>
      <c r="TAV459" s="22"/>
      <c r="TAW459" s="22"/>
      <c r="TAX459" s="22"/>
      <c r="TAY459" s="22"/>
      <c r="TAZ459" s="22"/>
      <c r="TBA459" s="22"/>
      <c r="TBB459" s="22"/>
      <c r="TBC459" s="22"/>
      <c r="TBD459" s="22"/>
      <c r="TBE459" s="22"/>
      <c r="TBF459" s="22"/>
      <c r="TBG459" s="22"/>
      <c r="TBH459" s="22"/>
      <c r="TBI459" s="22"/>
      <c r="TBJ459" s="22"/>
      <c r="TBK459" s="22"/>
      <c r="TBL459" s="22"/>
      <c r="TBM459" s="22"/>
      <c r="TBN459" s="22"/>
      <c r="TBO459" s="22"/>
      <c r="TBP459" s="22"/>
      <c r="TBQ459" s="22"/>
      <c r="TBR459" s="22"/>
      <c r="TBS459" s="22"/>
      <c r="TBT459" s="22"/>
      <c r="TBU459" s="22"/>
      <c r="TBV459" s="22"/>
      <c r="TBW459" s="22"/>
      <c r="TBX459" s="22"/>
      <c r="TBY459" s="22"/>
      <c r="TBZ459" s="22"/>
      <c r="TCA459" s="22"/>
      <c r="TCB459" s="22"/>
      <c r="TCC459" s="22"/>
      <c r="TCD459" s="22"/>
      <c r="TCE459" s="22"/>
      <c r="TCF459" s="22"/>
      <c r="TCG459" s="22"/>
      <c r="TCH459" s="22"/>
      <c r="TCI459" s="22"/>
      <c r="TCJ459" s="22"/>
      <c r="TCK459" s="22"/>
      <c r="TCL459" s="22"/>
      <c r="TCM459" s="22"/>
      <c r="TCN459" s="22"/>
      <c r="TCO459" s="22"/>
      <c r="TCP459" s="22"/>
      <c r="TCQ459" s="22"/>
      <c r="TCR459" s="22"/>
      <c r="TCS459" s="22"/>
      <c r="TCT459" s="22"/>
      <c r="TCU459" s="22"/>
      <c r="TCV459" s="22"/>
      <c r="TCW459" s="22"/>
      <c r="TCX459" s="22"/>
      <c r="TCY459" s="22"/>
      <c r="TCZ459" s="22"/>
      <c r="TDA459" s="22"/>
      <c r="TDB459" s="22"/>
      <c r="TDC459" s="22"/>
      <c r="TDD459" s="22"/>
      <c r="TDE459" s="22"/>
      <c r="TDF459" s="22"/>
      <c r="TDG459" s="22"/>
      <c r="TDH459" s="22"/>
      <c r="TDI459" s="22"/>
      <c r="TDJ459" s="22"/>
      <c r="TDK459" s="22"/>
      <c r="TDL459" s="22"/>
      <c r="TDM459" s="22"/>
      <c r="TDN459" s="22"/>
      <c r="TDO459" s="22"/>
      <c r="TDP459" s="22"/>
      <c r="TDQ459" s="22"/>
      <c r="TDR459" s="22"/>
      <c r="TDS459" s="22"/>
      <c r="TDT459" s="22"/>
      <c r="TDU459" s="22"/>
      <c r="TDV459" s="22"/>
      <c r="TDW459" s="22"/>
      <c r="TDX459" s="22"/>
      <c r="TDY459" s="22"/>
      <c r="TDZ459" s="22"/>
      <c r="TEA459" s="22"/>
      <c r="TEB459" s="22"/>
      <c r="TEC459" s="22"/>
      <c r="TED459" s="22"/>
      <c r="TEE459" s="22"/>
      <c r="TEF459" s="22"/>
      <c r="TEG459" s="22"/>
      <c r="TEH459" s="22"/>
      <c r="TEI459" s="22"/>
      <c r="TEJ459" s="22"/>
      <c r="TEK459" s="22"/>
      <c r="TEL459" s="22"/>
      <c r="TEM459" s="22"/>
      <c r="TEN459" s="22"/>
      <c r="TEO459" s="22"/>
      <c r="TEP459" s="22"/>
      <c r="TEQ459" s="22"/>
      <c r="TER459" s="22"/>
      <c r="TES459" s="22"/>
      <c r="TET459" s="22"/>
      <c r="TEU459" s="22"/>
      <c r="TEV459" s="22"/>
      <c r="TEW459" s="22"/>
      <c r="TEX459" s="22"/>
      <c r="TEY459" s="22"/>
      <c r="TEZ459" s="22"/>
      <c r="TFA459" s="22"/>
      <c r="TFB459" s="22"/>
      <c r="TFC459" s="22"/>
      <c r="TFD459" s="22"/>
      <c r="TFE459" s="22"/>
      <c r="TFF459" s="22"/>
      <c r="TFG459" s="22"/>
      <c r="TFH459" s="22"/>
      <c r="TFI459" s="22"/>
      <c r="TFJ459" s="22"/>
      <c r="TFK459" s="22"/>
      <c r="TFL459" s="22"/>
      <c r="TFM459" s="22"/>
      <c r="TFN459" s="22"/>
      <c r="TFO459" s="22"/>
      <c r="TFP459" s="22"/>
      <c r="TFQ459" s="22"/>
      <c r="TFR459" s="22"/>
      <c r="TFS459" s="22"/>
      <c r="TFT459" s="22"/>
      <c r="TFU459" s="22"/>
      <c r="TFV459" s="22"/>
      <c r="TFW459" s="22"/>
      <c r="TFX459" s="22"/>
      <c r="TFY459" s="22"/>
      <c r="TFZ459" s="22"/>
      <c r="TGA459" s="22"/>
      <c r="TGB459" s="22"/>
      <c r="TGC459" s="22"/>
      <c r="TGD459" s="22"/>
      <c r="TGE459" s="22"/>
      <c r="TGF459" s="22"/>
      <c r="TGG459" s="22"/>
      <c r="TGH459" s="22"/>
      <c r="TGI459" s="22"/>
      <c r="TGJ459" s="22"/>
      <c r="TGK459" s="22"/>
      <c r="TGL459" s="22"/>
      <c r="TGM459" s="22"/>
      <c r="TGN459" s="22"/>
      <c r="TGO459" s="22"/>
      <c r="TGP459" s="22"/>
      <c r="TGQ459" s="22"/>
      <c r="TGR459" s="22"/>
      <c r="TGS459" s="22"/>
      <c r="TGT459" s="22"/>
      <c r="TGU459" s="22"/>
      <c r="TGV459" s="22"/>
      <c r="TGW459" s="22"/>
      <c r="TGX459" s="22"/>
      <c r="TGY459" s="22"/>
      <c r="TGZ459" s="22"/>
      <c r="THA459" s="22"/>
      <c r="THB459" s="22"/>
      <c r="THC459" s="22"/>
      <c r="THD459" s="22"/>
      <c r="THE459" s="22"/>
      <c r="THF459" s="22"/>
      <c r="THG459" s="22"/>
      <c r="THH459" s="22"/>
      <c r="THI459" s="22"/>
      <c r="THJ459" s="22"/>
      <c r="THK459" s="22"/>
      <c r="THL459" s="22"/>
      <c r="THM459" s="22"/>
      <c r="THN459" s="22"/>
      <c r="THO459" s="22"/>
      <c r="THP459" s="22"/>
      <c r="THQ459" s="22"/>
      <c r="THR459" s="22"/>
      <c r="THS459" s="22"/>
      <c r="THT459" s="22"/>
      <c r="THU459" s="22"/>
      <c r="THV459" s="22"/>
      <c r="THW459" s="22"/>
      <c r="THX459" s="22"/>
      <c r="THY459" s="22"/>
      <c r="THZ459" s="22"/>
      <c r="TIA459" s="22"/>
      <c r="TIB459" s="22"/>
      <c r="TIC459" s="22"/>
      <c r="TID459" s="22"/>
      <c r="TIE459" s="22"/>
      <c r="TIF459" s="22"/>
      <c r="TIG459" s="22"/>
      <c r="TIH459" s="22"/>
      <c r="TII459" s="22"/>
      <c r="TIJ459" s="22"/>
      <c r="TIK459" s="22"/>
      <c r="TIL459" s="22"/>
      <c r="TIM459" s="22"/>
      <c r="TIN459" s="22"/>
      <c r="TIO459" s="22"/>
      <c r="TIP459" s="22"/>
      <c r="TIQ459" s="22"/>
      <c r="TIR459" s="22"/>
      <c r="TIS459" s="22"/>
      <c r="TIT459" s="22"/>
      <c r="TIU459" s="22"/>
      <c r="TIV459" s="22"/>
      <c r="TIW459" s="22"/>
      <c r="TIX459" s="22"/>
      <c r="TIY459" s="22"/>
      <c r="TIZ459" s="22"/>
      <c r="TJA459" s="22"/>
      <c r="TJB459" s="22"/>
      <c r="TJC459" s="22"/>
      <c r="TJD459" s="22"/>
      <c r="TJE459" s="22"/>
      <c r="TJF459" s="22"/>
      <c r="TJG459" s="22"/>
      <c r="TJH459" s="22"/>
      <c r="TJI459" s="22"/>
      <c r="TJJ459" s="22"/>
      <c r="TJK459" s="22"/>
      <c r="TJL459" s="22"/>
      <c r="TJM459" s="22"/>
      <c r="TJN459" s="22"/>
      <c r="TJO459" s="22"/>
      <c r="TJP459" s="22"/>
      <c r="TJQ459" s="22"/>
      <c r="TJR459" s="22"/>
      <c r="TJS459" s="22"/>
      <c r="TJT459" s="22"/>
      <c r="TJU459" s="22"/>
      <c r="TJV459" s="22"/>
      <c r="TJW459" s="22"/>
      <c r="TJX459" s="22"/>
      <c r="TJY459" s="22"/>
      <c r="TJZ459" s="22"/>
      <c r="TKA459" s="22"/>
      <c r="TKB459" s="22"/>
      <c r="TKC459" s="22"/>
      <c r="TKD459" s="22"/>
      <c r="TKE459" s="22"/>
      <c r="TKF459" s="22"/>
      <c r="TKG459" s="22"/>
      <c r="TKH459" s="22"/>
      <c r="TKI459" s="22"/>
      <c r="TKJ459" s="22"/>
      <c r="TKK459" s="22"/>
      <c r="TKL459" s="22"/>
      <c r="TKM459" s="22"/>
      <c r="TKN459" s="22"/>
      <c r="TKO459" s="22"/>
      <c r="TKP459" s="22"/>
      <c r="TKQ459" s="22"/>
      <c r="TKR459" s="22"/>
      <c r="TKS459" s="22"/>
      <c r="TKT459" s="22"/>
      <c r="TKU459" s="22"/>
      <c r="TKV459" s="22"/>
      <c r="TKW459" s="22"/>
      <c r="TKX459" s="22"/>
      <c r="TKY459" s="22"/>
      <c r="TKZ459" s="22"/>
      <c r="TLA459" s="22"/>
      <c r="TLB459" s="22"/>
      <c r="TLC459" s="22"/>
      <c r="TLD459" s="22"/>
      <c r="TLE459" s="22"/>
      <c r="TLF459" s="22"/>
      <c r="TLG459" s="22"/>
      <c r="TLH459" s="22"/>
      <c r="TLI459" s="22"/>
      <c r="TLJ459" s="22"/>
      <c r="TLK459" s="22"/>
      <c r="TLL459" s="22"/>
      <c r="TLM459" s="22"/>
      <c r="TLN459" s="22"/>
      <c r="TLO459" s="22"/>
      <c r="TLP459" s="22"/>
      <c r="TLQ459" s="22"/>
      <c r="TLR459" s="22"/>
      <c r="TLS459" s="22"/>
      <c r="TLT459" s="22"/>
      <c r="TLU459" s="22"/>
      <c r="TLV459" s="22"/>
      <c r="TLW459" s="22"/>
      <c r="TLX459" s="22"/>
      <c r="TLY459" s="22"/>
      <c r="TLZ459" s="22"/>
      <c r="TMA459" s="22"/>
      <c r="TMB459" s="22"/>
      <c r="TMC459" s="22"/>
      <c r="TMD459" s="22"/>
      <c r="TME459" s="22"/>
      <c r="TMF459" s="22"/>
      <c r="TMG459" s="22"/>
      <c r="TMH459" s="22"/>
      <c r="TMI459" s="22"/>
      <c r="TMJ459" s="22"/>
      <c r="TMK459" s="22"/>
      <c r="TML459" s="22"/>
      <c r="TMM459" s="22"/>
      <c r="TMN459" s="22"/>
      <c r="TMO459" s="22"/>
      <c r="TMP459" s="22"/>
      <c r="TMQ459" s="22"/>
      <c r="TMR459" s="22"/>
      <c r="TMS459" s="22"/>
      <c r="TMT459" s="22"/>
      <c r="TMU459" s="22"/>
      <c r="TMV459" s="22"/>
      <c r="TMW459" s="22"/>
      <c r="TMX459" s="22"/>
      <c r="TMY459" s="22"/>
      <c r="TMZ459" s="22"/>
      <c r="TNA459" s="22"/>
      <c r="TNB459" s="22"/>
      <c r="TNC459" s="22"/>
      <c r="TND459" s="22"/>
      <c r="TNE459" s="22"/>
      <c r="TNF459" s="22"/>
      <c r="TNG459" s="22"/>
      <c r="TNH459" s="22"/>
      <c r="TNI459" s="22"/>
      <c r="TNJ459" s="22"/>
      <c r="TNK459" s="22"/>
      <c r="TNL459" s="22"/>
      <c r="TNM459" s="22"/>
      <c r="TNN459" s="22"/>
      <c r="TNO459" s="22"/>
      <c r="TNP459" s="22"/>
      <c r="TNQ459" s="22"/>
      <c r="TNR459" s="22"/>
      <c r="TNS459" s="22"/>
      <c r="TNT459" s="22"/>
      <c r="TNU459" s="22"/>
      <c r="TNV459" s="22"/>
      <c r="TNW459" s="22"/>
      <c r="TNX459" s="22"/>
      <c r="TNY459" s="22"/>
      <c r="TNZ459" s="22"/>
      <c r="TOA459" s="22"/>
      <c r="TOB459" s="22"/>
      <c r="TOC459" s="22"/>
      <c r="TOD459" s="22"/>
      <c r="TOE459" s="22"/>
      <c r="TOF459" s="22"/>
      <c r="TOG459" s="22"/>
      <c r="TOH459" s="22"/>
      <c r="TOI459" s="22"/>
      <c r="TOJ459" s="22"/>
      <c r="TOK459" s="22"/>
      <c r="TOL459" s="22"/>
      <c r="TOM459" s="22"/>
      <c r="TON459" s="22"/>
      <c r="TOO459" s="22"/>
      <c r="TOP459" s="22"/>
      <c r="TOQ459" s="22"/>
      <c r="TOR459" s="22"/>
      <c r="TOS459" s="22"/>
      <c r="TOT459" s="22"/>
      <c r="TOU459" s="22"/>
      <c r="TOV459" s="22"/>
      <c r="TOW459" s="22"/>
      <c r="TOX459" s="22"/>
      <c r="TOY459" s="22"/>
      <c r="TOZ459" s="22"/>
      <c r="TPA459" s="22"/>
      <c r="TPB459" s="22"/>
      <c r="TPC459" s="22"/>
      <c r="TPD459" s="22"/>
      <c r="TPE459" s="22"/>
      <c r="TPF459" s="22"/>
      <c r="TPG459" s="22"/>
      <c r="TPH459" s="22"/>
      <c r="TPI459" s="22"/>
      <c r="TPJ459" s="22"/>
      <c r="TPK459" s="22"/>
      <c r="TPL459" s="22"/>
      <c r="TPM459" s="22"/>
      <c r="TPN459" s="22"/>
      <c r="TPO459" s="22"/>
      <c r="TPP459" s="22"/>
      <c r="TPQ459" s="22"/>
      <c r="TPR459" s="22"/>
      <c r="TPS459" s="22"/>
      <c r="TPT459" s="22"/>
      <c r="TPU459" s="22"/>
      <c r="TPV459" s="22"/>
      <c r="TPW459" s="22"/>
      <c r="TPX459" s="22"/>
      <c r="TPY459" s="22"/>
      <c r="TPZ459" s="22"/>
      <c r="TQA459" s="22"/>
      <c r="TQB459" s="22"/>
      <c r="TQC459" s="22"/>
      <c r="TQD459" s="22"/>
      <c r="TQE459" s="22"/>
      <c r="TQF459" s="22"/>
      <c r="TQG459" s="22"/>
      <c r="TQH459" s="22"/>
      <c r="TQI459" s="22"/>
      <c r="TQJ459" s="22"/>
      <c r="TQK459" s="22"/>
      <c r="TQL459" s="22"/>
      <c r="TQM459" s="22"/>
      <c r="TQN459" s="22"/>
      <c r="TQO459" s="22"/>
      <c r="TQP459" s="22"/>
      <c r="TQQ459" s="22"/>
      <c r="TQR459" s="22"/>
      <c r="TQS459" s="22"/>
      <c r="TQT459" s="22"/>
      <c r="TQU459" s="22"/>
      <c r="TQV459" s="22"/>
      <c r="TQW459" s="22"/>
      <c r="TQX459" s="22"/>
      <c r="TQY459" s="22"/>
      <c r="TQZ459" s="22"/>
      <c r="TRA459" s="22"/>
      <c r="TRB459" s="22"/>
      <c r="TRC459" s="22"/>
      <c r="TRD459" s="22"/>
      <c r="TRE459" s="22"/>
      <c r="TRF459" s="22"/>
      <c r="TRG459" s="22"/>
      <c r="TRH459" s="22"/>
      <c r="TRI459" s="22"/>
      <c r="TRJ459" s="22"/>
      <c r="TRK459" s="22"/>
      <c r="TRL459" s="22"/>
      <c r="TRM459" s="22"/>
      <c r="TRN459" s="22"/>
      <c r="TRO459" s="22"/>
      <c r="TRP459" s="22"/>
      <c r="TRQ459" s="22"/>
      <c r="TRR459" s="22"/>
      <c r="TRS459" s="22"/>
      <c r="TRT459" s="22"/>
      <c r="TRU459" s="22"/>
      <c r="TRV459" s="22"/>
      <c r="TRW459" s="22"/>
      <c r="TRX459" s="22"/>
      <c r="TRY459" s="22"/>
      <c r="TRZ459" s="22"/>
      <c r="TSA459" s="22"/>
      <c r="TSB459" s="22"/>
      <c r="TSC459" s="22"/>
      <c r="TSD459" s="22"/>
      <c r="TSE459" s="22"/>
      <c r="TSF459" s="22"/>
      <c r="TSG459" s="22"/>
      <c r="TSH459" s="22"/>
      <c r="TSI459" s="22"/>
      <c r="TSJ459" s="22"/>
      <c r="TSK459" s="22"/>
      <c r="TSL459" s="22"/>
      <c r="TSM459" s="22"/>
      <c r="TSN459" s="22"/>
      <c r="TSO459" s="22"/>
      <c r="TSP459" s="22"/>
      <c r="TSQ459" s="22"/>
      <c r="TSR459" s="22"/>
      <c r="TSS459" s="22"/>
      <c r="TST459" s="22"/>
      <c r="TSU459" s="22"/>
      <c r="TSV459" s="22"/>
      <c r="TSW459" s="22"/>
      <c r="TSX459" s="22"/>
      <c r="TSY459" s="22"/>
      <c r="TSZ459" s="22"/>
      <c r="TTA459" s="22"/>
      <c r="TTB459" s="22"/>
      <c r="TTC459" s="22"/>
      <c r="TTD459" s="22"/>
      <c r="TTE459" s="22"/>
      <c r="TTF459" s="22"/>
      <c r="TTG459" s="22"/>
      <c r="TTH459" s="22"/>
      <c r="TTI459" s="22"/>
      <c r="TTJ459" s="22"/>
      <c r="TTK459" s="22"/>
      <c r="TTL459" s="22"/>
      <c r="TTM459" s="22"/>
      <c r="TTN459" s="22"/>
      <c r="TTO459" s="22"/>
      <c r="TTP459" s="22"/>
      <c r="TTQ459" s="22"/>
      <c r="TTR459" s="22"/>
      <c r="TTS459" s="22"/>
      <c r="TTT459" s="22"/>
      <c r="TTU459" s="22"/>
      <c r="TTV459" s="22"/>
      <c r="TTW459" s="22"/>
      <c r="TTX459" s="22"/>
      <c r="TTY459" s="22"/>
      <c r="TTZ459" s="22"/>
      <c r="TUA459" s="22"/>
      <c r="TUB459" s="22"/>
      <c r="TUC459" s="22"/>
      <c r="TUD459" s="22"/>
      <c r="TUE459" s="22"/>
      <c r="TUF459" s="22"/>
      <c r="TUG459" s="22"/>
      <c r="TUH459" s="22"/>
      <c r="TUI459" s="22"/>
      <c r="TUJ459" s="22"/>
      <c r="TUK459" s="22"/>
      <c r="TUL459" s="22"/>
      <c r="TUM459" s="22"/>
      <c r="TUN459" s="22"/>
      <c r="TUO459" s="22"/>
      <c r="TUP459" s="22"/>
      <c r="TUQ459" s="22"/>
      <c r="TUR459" s="22"/>
      <c r="TUS459" s="22"/>
      <c r="TUT459" s="22"/>
      <c r="TUU459" s="22"/>
      <c r="TUV459" s="22"/>
      <c r="TUW459" s="22"/>
      <c r="TUX459" s="22"/>
      <c r="TUY459" s="22"/>
      <c r="TUZ459" s="22"/>
      <c r="TVA459" s="22"/>
      <c r="TVB459" s="22"/>
      <c r="TVC459" s="22"/>
      <c r="TVD459" s="22"/>
      <c r="TVE459" s="22"/>
      <c r="TVF459" s="22"/>
      <c r="TVG459" s="22"/>
      <c r="TVH459" s="22"/>
      <c r="TVI459" s="22"/>
      <c r="TVJ459" s="22"/>
      <c r="TVK459" s="22"/>
      <c r="TVL459" s="22"/>
      <c r="TVM459" s="22"/>
      <c r="TVN459" s="22"/>
      <c r="TVO459" s="22"/>
      <c r="TVP459" s="22"/>
      <c r="TVQ459" s="22"/>
      <c r="TVR459" s="22"/>
      <c r="TVS459" s="22"/>
      <c r="TVT459" s="22"/>
      <c r="TVU459" s="22"/>
      <c r="TVV459" s="22"/>
      <c r="TVW459" s="22"/>
      <c r="TVX459" s="22"/>
      <c r="TVY459" s="22"/>
      <c r="TVZ459" s="22"/>
      <c r="TWA459" s="22"/>
      <c r="TWB459" s="22"/>
      <c r="TWC459" s="22"/>
      <c r="TWD459" s="22"/>
      <c r="TWE459" s="22"/>
      <c r="TWF459" s="22"/>
      <c r="TWG459" s="22"/>
      <c r="TWH459" s="22"/>
      <c r="TWI459" s="22"/>
      <c r="TWJ459" s="22"/>
      <c r="TWK459" s="22"/>
      <c r="TWL459" s="22"/>
      <c r="TWM459" s="22"/>
      <c r="TWN459" s="22"/>
      <c r="TWO459" s="22"/>
      <c r="TWP459" s="22"/>
      <c r="TWQ459" s="22"/>
      <c r="TWR459" s="22"/>
      <c r="TWS459" s="22"/>
      <c r="TWT459" s="22"/>
      <c r="TWU459" s="22"/>
      <c r="TWV459" s="22"/>
      <c r="TWW459" s="22"/>
      <c r="TWX459" s="22"/>
      <c r="TWY459" s="22"/>
      <c r="TWZ459" s="22"/>
      <c r="TXA459" s="22"/>
      <c r="TXB459" s="22"/>
      <c r="TXC459" s="22"/>
      <c r="TXD459" s="22"/>
      <c r="TXE459" s="22"/>
      <c r="TXF459" s="22"/>
      <c r="TXG459" s="22"/>
      <c r="TXH459" s="22"/>
      <c r="TXI459" s="22"/>
      <c r="TXJ459" s="22"/>
      <c r="TXK459" s="22"/>
      <c r="TXL459" s="22"/>
      <c r="TXM459" s="22"/>
      <c r="TXN459" s="22"/>
      <c r="TXO459" s="22"/>
      <c r="TXP459" s="22"/>
      <c r="TXQ459" s="22"/>
      <c r="TXR459" s="22"/>
      <c r="TXS459" s="22"/>
      <c r="TXT459" s="22"/>
      <c r="TXU459" s="22"/>
      <c r="TXV459" s="22"/>
      <c r="TXW459" s="22"/>
      <c r="TXX459" s="22"/>
      <c r="TXY459" s="22"/>
      <c r="TXZ459" s="22"/>
      <c r="TYA459" s="22"/>
      <c r="TYB459" s="22"/>
      <c r="TYC459" s="22"/>
      <c r="TYD459" s="22"/>
      <c r="TYE459" s="22"/>
      <c r="TYF459" s="22"/>
      <c r="TYG459" s="22"/>
      <c r="TYH459" s="22"/>
      <c r="TYI459" s="22"/>
      <c r="TYJ459" s="22"/>
      <c r="TYK459" s="22"/>
      <c r="TYL459" s="22"/>
      <c r="TYM459" s="22"/>
      <c r="TYN459" s="22"/>
      <c r="TYO459" s="22"/>
      <c r="TYP459" s="22"/>
      <c r="TYQ459" s="22"/>
      <c r="TYR459" s="22"/>
      <c r="TYS459" s="22"/>
      <c r="TYT459" s="22"/>
      <c r="TYU459" s="22"/>
      <c r="TYV459" s="22"/>
      <c r="TYW459" s="22"/>
      <c r="TYX459" s="22"/>
      <c r="TYY459" s="22"/>
      <c r="TYZ459" s="22"/>
      <c r="TZA459" s="22"/>
      <c r="TZB459" s="22"/>
      <c r="TZC459" s="22"/>
      <c r="TZD459" s="22"/>
      <c r="TZE459" s="22"/>
      <c r="TZF459" s="22"/>
      <c r="TZG459" s="22"/>
      <c r="TZH459" s="22"/>
      <c r="TZI459" s="22"/>
      <c r="TZJ459" s="22"/>
      <c r="TZK459" s="22"/>
      <c r="TZL459" s="22"/>
      <c r="TZM459" s="22"/>
      <c r="TZN459" s="22"/>
      <c r="TZO459" s="22"/>
      <c r="TZP459" s="22"/>
      <c r="TZQ459" s="22"/>
      <c r="TZR459" s="22"/>
      <c r="TZS459" s="22"/>
      <c r="TZT459" s="22"/>
      <c r="TZU459" s="22"/>
      <c r="TZV459" s="22"/>
      <c r="TZW459" s="22"/>
      <c r="TZX459" s="22"/>
      <c r="TZY459" s="22"/>
      <c r="TZZ459" s="22"/>
      <c r="UAA459" s="22"/>
      <c r="UAB459" s="22"/>
      <c r="UAC459" s="22"/>
      <c r="UAD459" s="22"/>
      <c r="UAE459" s="22"/>
      <c r="UAF459" s="22"/>
      <c r="UAG459" s="22"/>
      <c r="UAH459" s="22"/>
      <c r="UAI459" s="22"/>
      <c r="UAJ459" s="22"/>
      <c r="UAK459" s="22"/>
      <c r="UAL459" s="22"/>
      <c r="UAM459" s="22"/>
      <c r="UAN459" s="22"/>
      <c r="UAO459" s="22"/>
      <c r="UAP459" s="22"/>
      <c r="UAQ459" s="22"/>
      <c r="UAR459" s="22"/>
      <c r="UAS459" s="22"/>
      <c r="UAT459" s="22"/>
      <c r="UAU459" s="22"/>
      <c r="UAV459" s="22"/>
      <c r="UAW459" s="22"/>
      <c r="UAX459" s="22"/>
      <c r="UAY459" s="22"/>
      <c r="UAZ459" s="22"/>
      <c r="UBA459" s="22"/>
      <c r="UBB459" s="22"/>
      <c r="UBC459" s="22"/>
      <c r="UBD459" s="22"/>
      <c r="UBE459" s="22"/>
      <c r="UBF459" s="22"/>
      <c r="UBG459" s="22"/>
      <c r="UBH459" s="22"/>
      <c r="UBI459" s="22"/>
      <c r="UBJ459" s="22"/>
      <c r="UBK459" s="22"/>
      <c r="UBL459" s="22"/>
      <c r="UBM459" s="22"/>
      <c r="UBN459" s="22"/>
      <c r="UBO459" s="22"/>
      <c r="UBP459" s="22"/>
      <c r="UBQ459" s="22"/>
      <c r="UBR459" s="22"/>
      <c r="UBS459" s="22"/>
      <c r="UBT459" s="22"/>
      <c r="UBU459" s="22"/>
      <c r="UBV459" s="22"/>
      <c r="UBW459" s="22"/>
      <c r="UBX459" s="22"/>
      <c r="UBY459" s="22"/>
      <c r="UBZ459" s="22"/>
      <c r="UCA459" s="22"/>
      <c r="UCB459" s="22"/>
      <c r="UCC459" s="22"/>
      <c r="UCD459" s="22"/>
      <c r="UCE459" s="22"/>
      <c r="UCF459" s="22"/>
      <c r="UCG459" s="22"/>
      <c r="UCH459" s="22"/>
      <c r="UCI459" s="22"/>
      <c r="UCJ459" s="22"/>
      <c r="UCK459" s="22"/>
      <c r="UCL459" s="22"/>
      <c r="UCM459" s="22"/>
      <c r="UCN459" s="22"/>
      <c r="UCO459" s="22"/>
      <c r="UCP459" s="22"/>
      <c r="UCQ459" s="22"/>
      <c r="UCR459" s="22"/>
      <c r="UCS459" s="22"/>
      <c r="UCT459" s="22"/>
      <c r="UCU459" s="22"/>
      <c r="UCV459" s="22"/>
      <c r="UCW459" s="22"/>
      <c r="UCX459" s="22"/>
      <c r="UCY459" s="22"/>
      <c r="UCZ459" s="22"/>
      <c r="UDA459" s="22"/>
      <c r="UDB459" s="22"/>
      <c r="UDC459" s="22"/>
      <c r="UDD459" s="22"/>
      <c r="UDE459" s="22"/>
      <c r="UDF459" s="22"/>
      <c r="UDG459" s="22"/>
      <c r="UDH459" s="22"/>
      <c r="UDI459" s="22"/>
      <c r="UDJ459" s="22"/>
      <c r="UDK459" s="22"/>
      <c r="UDL459" s="22"/>
      <c r="UDM459" s="22"/>
      <c r="UDN459" s="22"/>
      <c r="UDO459" s="22"/>
      <c r="UDP459" s="22"/>
      <c r="UDQ459" s="22"/>
      <c r="UDR459" s="22"/>
      <c r="UDS459" s="22"/>
      <c r="UDT459" s="22"/>
      <c r="UDU459" s="22"/>
      <c r="UDV459" s="22"/>
      <c r="UDW459" s="22"/>
      <c r="UDX459" s="22"/>
      <c r="UDY459" s="22"/>
      <c r="UDZ459" s="22"/>
      <c r="UEA459" s="22"/>
      <c r="UEB459" s="22"/>
      <c r="UEC459" s="22"/>
      <c r="UED459" s="22"/>
      <c r="UEE459" s="22"/>
      <c r="UEF459" s="22"/>
      <c r="UEG459" s="22"/>
      <c r="UEH459" s="22"/>
      <c r="UEI459" s="22"/>
      <c r="UEJ459" s="22"/>
      <c r="UEK459" s="22"/>
      <c r="UEL459" s="22"/>
      <c r="UEM459" s="22"/>
      <c r="UEN459" s="22"/>
      <c r="UEO459" s="22"/>
      <c r="UEP459" s="22"/>
      <c r="UEQ459" s="22"/>
      <c r="UER459" s="22"/>
      <c r="UES459" s="22"/>
      <c r="UET459" s="22"/>
      <c r="UEU459" s="22"/>
      <c r="UEV459" s="22"/>
      <c r="UEW459" s="22"/>
      <c r="UEX459" s="22"/>
      <c r="UEY459" s="22"/>
      <c r="UEZ459" s="22"/>
      <c r="UFA459" s="22"/>
      <c r="UFB459" s="22"/>
      <c r="UFC459" s="22"/>
      <c r="UFD459" s="22"/>
      <c r="UFE459" s="22"/>
      <c r="UFF459" s="22"/>
      <c r="UFG459" s="22"/>
      <c r="UFH459" s="22"/>
      <c r="UFI459" s="22"/>
      <c r="UFJ459" s="22"/>
      <c r="UFK459" s="22"/>
      <c r="UFL459" s="22"/>
      <c r="UFM459" s="22"/>
      <c r="UFN459" s="22"/>
      <c r="UFO459" s="22"/>
      <c r="UFP459" s="22"/>
      <c r="UFQ459" s="22"/>
      <c r="UFR459" s="22"/>
      <c r="UFS459" s="22"/>
      <c r="UFT459" s="22"/>
      <c r="UFU459" s="22"/>
      <c r="UFV459" s="22"/>
      <c r="UFW459" s="22"/>
      <c r="UFX459" s="22"/>
      <c r="UFY459" s="22"/>
      <c r="UFZ459" s="22"/>
      <c r="UGA459" s="22"/>
      <c r="UGB459" s="22"/>
      <c r="UGC459" s="22"/>
      <c r="UGD459" s="22"/>
      <c r="UGE459" s="22"/>
      <c r="UGF459" s="22"/>
      <c r="UGG459" s="22"/>
      <c r="UGH459" s="22"/>
      <c r="UGI459" s="22"/>
      <c r="UGJ459" s="22"/>
      <c r="UGK459" s="22"/>
      <c r="UGL459" s="22"/>
      <c r="UGM459" s="22"/>
      <c r="UGN459" s="22"/>
      <c r="UGO459" s="22"/>
      <c r="UGP459" s="22"/>
      <c r="UGQ459" s="22"/>
      <c r="UGR459" s="22"/>
      <c r="UGS459" s="22"/>
      <c r="UGT459" s="22"/>
      <c r="UGU459" s="22"/>
      <c r="UGV459" s="22"/>
      <c r="UGW459" s="22"/>
      <c r="UGX459" s="22"/>
      <c r="UGY459" s="22"/>
      <c r="UGZ459" s="22"/>
      <c r="UHA459" s="22"/>
      <c r="UHB459" s="22"/>
      <c r="UHC459" s="22"/>
      <c r="UHD459" s="22"/>
      <c r="UHE459" s="22"/>
      <c r="UHF459" s="22"/>
      <c r="UHG459" s="22"/>
      <c r="UHH459" s="22"/>
      <c r="UHI459" s="22"/>
      <c r="UHJ459" s="22"/>
      <c r="UHK459" s="22"/>
      <c r="UHL459" s="22"/>
      <c r="UHM459" s="22"/>
      <c r="UHN459" s="22"/>
      <c r="UHO459" s="22"/>
      <c r="UHP459" s="22"/>
      <c r="UHQ459" s="22"/>
      <c r="UHR459" s="22"/>
      <c r="UHS459" s="22"/>
      <c r="UHT459" s="22"/>
      <c r="UHU459" s="22"/>
      <c r="UHV459" s="22"/>
      <c r="UHW459" s="22"/>
      <c r="UHX459" s="22"/>
      <c r="UHY459" s="22"/>
      <c r="UHZ459" s="22"/>
      <c r="UIA459" s="22"/>
      <c r="UIB459" s="22"/>
      <c r="UIC459" s="22"/>
      <c r="UID459" s="22"/>
      <c r="UIE459" s="22"/>
      <c r="UIF459" s="22"/>
      <c r="UIG459" s="22"/>
      <c r="UIH459" s="22"/>
      <c r="UII459" s="22"/>
      <c r="UIJ459" s="22"/>
      <c r="UIK459" s="22"/>
      <c r="UIL459" s="22"/>
      <c r="UIM459" s="22"/>
      <c r="UIN459" s="22"/>
      <c r="UIO459" s="22"/>
      <c r="UIP459" s="22"/>
      <c r="UIQ459" s="22"/>
      <c r="UIR459" s="22"/>
      <c r="UIS459" s="22"/>
      <c r="UIT459" s="22"/>
      <c r="UIU459" s="22"/>
      <c r="UIV459" s="22"/>
      <c r="UIW459" s="22"/>
      <c r="UIX459" s="22"/>
      <c r="UIY459" s="22"/>
      <c r="UIZ459" s="22"/>
      <c r="UJA459" s="22"/>
      <c r="UJB459" s="22"/>
      <c r="UJC459" s="22"/>
      <c r="UJD459" s="22"/>
      <c r="UJE459" s="22"/>
      <c r="UJF459" s="22"/>
      <c r="UJG459" s="22"/>
      <c r="UJH459" s="22"/>
      <c r="UJI459" s="22"/>
      <c r="UJJ459" s="22"/>
      <c r="UJK459" s="22"/>
      <c r="UJL459" s="22"/>
      <c r="UJM459" s="22"/>
      <c r="UJN459" s="22"/>
      <c r="UJO459" s="22"/>
      <c r="UJP459" s="22"/>
      <c r="UJQ459" s="22"/>
      <c r="UJR459" s="22"/>
      <c r="UJS459" s="22"/>
      <c r="UJT459" s="22"/>
      <c r="UJU459" s="22"/>
      <c r="UJV459" s="22"/>
      <c r="UJW459" s="22"/>
      <c r="UJX459" s="22"/>
      <c r="UJY459" s="22"/>
      <c r="UJZ459" s="22"/>
      <c r="UKA459" s="22"/>
      <c r="UKB459" s="22"/>
      <c r="UKC459" s="22"/>
      <c r="UKD459" s="22"/>
      <c r="UKE459" s="22"/>
      <c r="UKF459" s="22"/>
      <c r="UKG459" s="22"/>
      <c r="UKH459" s="22"/>
      <c r="UKI459" s="22"/>
      <c r="UKJ459" s="22"/>
      <c r="UKK459" s="22"/>
      <c r="UKL459" s="22"/>
      <c r="UKM459" s="22"/>
      <c r="UKN459" s="22"/>
      <c r="UKO459" s="22"/>
      <c r="UKP459" s="22"/>
      <c r="UKQ459" s="22"/>
      <c r="UKR459" s="22"/>
      <c r="UKS459" s="22"/>
      <c r="UKT459" s="22"/>
      <c r="UKU459" s="22"/>
      <c r="UKV459" s="22"/>
      <c r="UKW459" s="22"/>
      <c r="UKX459" s="22"/>
      <c r="UKY459" s="22"/>
      <c r="UKZ459" s="22"/>
      <c r="ULA459" s="22"/>
      <c r="ULB459" s="22"/>
      <c r="ULC459" s="22"/>
      <c r="ULD459" s="22"/>
      <c r="ULE459" s="22"/>
      <c r="ULF459" s="22"/>
      <c r="ULG459" s="22"/>
      <c r="ULH459" s="22"/>
      <c r="ULI459" s="22"/>
      <c r="ULJ459" s="22"/>
      <c r="ULK459" s="22"/>
      <c r="ULL459" s="22"/>
      <c r="ULM459" s="22"/>
      <c r="ULN459" s="22"/>
      <c r="ULO459" s="22"/>
      <c r="ULP459" s="22"/>
      <c r="ULQ459" s="22"/>
      <c r="ULR459" s="22"/>
      <c r="ULS459" s="22"/>
      <c r="ULT459" s="22"/>
      <c r="ULU459" s="22"/>
      <c r="ULV459" s="22"/>
      <c r="ULW459" s="22"/>
      <c r="ULX459" s="22"/>
      <c r="ULY459" s="22"/>
      <c r="ULZ459" s="22"/>
      <c r="UMA459" s="22"/>
      <c r="UMB459" s="22"/>
      <c r="UMC459" s="22"/>
      <c r="UMD459" s="22"/>
      <c r="UME459" s="22"/>
      <c r="UMF459" s="22"/>
      <c r="UMG459" s="22"/>
      <c r="UMH459" s="22"/>
      <c r="UMI459" s="22"/>
      <c r="UMJ459" s="22"/>
      <c r="UMK459" s="22"/>
      <c r="UML459" s="22"/>
      <c r="UMM459" s="22"/>
      <c r="UMN459" s="22"/>
      <c r="UMO459" s="22"/>
      <c r="UMP459" s="22"/>
      <c r="UMQ459" s="22"/>
      <c r="UMR459" s="22"/>
      <c r="UMS459" s="22"/>
      <c r="UMT459" s="22"/>
      <c r="UMU459" s="22"/>
      <c r="UMV459" s="22"/>
      <c r="UMW459" s="22"/>
      <c r="UMX459" s="22"/>
      <c r="UMY459" s="22"/>
      <c r="UMZ459" s="22"/>
      <c r="UNA459" s="22"/>
      <c r="UNB459" s="22"/>
      <c r="UNC459" s="22"/>
      <c r="UND459" s="22"/>
      <c r="UNE459" s="22"/>
      <c r="UNF459" s="22"/>
      <c r="UNG459" s="22"/>
      <c r="UNH459" s="22"/>
      <c r="UNI459" s="22"/>
      <c r="UNJ459" s="22"/>
      <c r="UNK459" s="22"/>
      <c r="UNL459" s="22"/>
      <c r="UNM459" s="22"/>
      <c r="UNN459" s="22"/>
      <c r="UNO459" s="22"/>
      <c r="UNP459" s="22"/>
      <c r="UNQ459" s="22"/>
      <c r="UNR459" s="22"/>
      <c r="UNS459" s="22"/>
      <c r="UNT459" s="22"/>
      <c r="UNU459" s="22"/>
      <c r="UNV459" s="22"/>
      <c r="UNW459" s="22"/>
      <c r="UNX459" s="22"/>
      <c r="UNY459" s="22"/>
      <c r="UNZ459" s="22"/>
      <c r="UOA459" s="22"/>
      <c r="UOB459" s="22"/>
      <c r="UOC459" s="22"/>
      <c r="UOD459" s="22"/>
      <c r="UOE459" s="22"/>
      <c r="UOF459" s="22"/>
      <c r="UOG459" s="22"/>
      <c r="UOH459" s="22"/>
      <c r="UOI459" s="22"/>
      <c r="UOJ459" s="22"/>
      <c r="UOK459" s="22"/>
      <c r="UOL459" s="22"/>
      <c r="UOM459" s="22"/>
      <c r="UON459" s="22"/>
      <c r="UOO459" s="22"/>
      <c r="UOP459" s="22"/>
      <c r="UOQ459" s="22"/>
      <c r="UOR459" s="22"/>
      <c r="UOS459" s="22"/>
      <c r="UOT459" s="22"/>
      <c r="UOU459" s="22"/>
      <c r="UOV459" s="22"/>
      <c r="UOW459" s="22"/>
      <c r="UOX459" s="22"/>
      <c r="UOY459" s="22"/>
      <c r="UOZ459" s="22"/>
      <c r="UPA459" s="22"/>
      <c r="UPB459" s="22"/>
      <c r="UPC459" s="22"/>
      <c r="UPD459" s="22"/>
      <c r="UPE459" s="22"/>
      <c r="UPF459" s="22"/>
      <c r="UPG459" s="22"/>
      <c r="UPH459" s="22"/>
      <c r="UPI459" s="22"/>
      <c r="UPJ459" s="22"/>
      <c r="UPK459" s="22"/>
      <c r="UPL459" s="22"/>
      <c r="UPM459" s="22"/>
      <c r="UPN459" s="22"/>
      <c r="UPO459" s="22"/>
      <c r="UPP459" s="22"/>
      <c r="UPQ459" s="22"/>
      <c r="UPR459" s="22"/>
      <c r="UPS459" s="22"/>
      <c r="UPT459" s="22"/>
      <c r="UPU459" s="22"/>
      <c r="UPV459" s="22"/>
      <c r="UPW459" s="22"/>
      <c r="UPX459" s="22"/>
      <c r="UPY459" s="22"/>
      <c r="UPZ459" s="22"/>
      <c r="UQA459" s="22"/>
      <c r="UQB459" s="22"/>
      <c r="UQC459" s="22"/>
      <c r="UQD459" s="22"/>
      <c r="UQE459" s="22"/>
      <c r="UQF459" s="22"/>
      <c r="UQG459" s="22"/>
      <c r="UQH459" s="22"/>
      <c r="UQI459" s="22"/>
      <c r="UQJ459" s="22"/>
      <c r="UQK459" s="22"/>
      <c r="UQL459" s="22"/>
      <c r="UQM459" s="22"/>
      <c r="UQN459" s="22"/>
      <c r="UQO459" s="22"/>
      <c r="UQP459" s="22"/>
      <c r="UQQ459" s="22"/>
      <c r="UQR459" s="22"/>
      <c r="UQS459" s="22"/>
      <c r="UQT459" s="22"/>
      <c r="UQU459" s="22"/>
      <c r="UQV459" s="22"/>
      <c r="UQW459" s="22"/>
      <c r="UQX459" s="22"/>
      <c r="UQY459" s="22"/>
      <c r="UQZ459" s="22"/>
      <c r="URA459" s="22"/>
      <c r="URB459" s="22"/>
      <c r="URC459" s="22"/>
      <c r="URD459" s="22"/>
      <c r="URE459" s="22"/>
      <c r="URF459" s="22"/>
      <c r="URG459" s="22"/>
      <c r="URH459" s="22"/>
      <c r="URI459" s="22"/>
      <c r="URJ459" s="22"/>
      <c r="URK459" s="22"/>
      <c r="URL459" s="22"/>
      <c r="URM459" s="22"/>
      <c r="URN459" s="22"/>
      <c r="URO459" s="22"/>
      <c r="URP459" s="22"/>
      <c r="URQ459" s="22"/>
      <c r="URR459" s="22"/>
      <c r="URS459" s="22"/>
      <c r="URT459" s="22"/>
      <c r="URU459" s="22"/>
      <c r="URV459" s="22"/>
      <c r="URW459" s="22"/>
      <c r="URX459" s="22"/>
      <c r="URY459" s="22"/>
      <c r="URZ459" s="22"/>
      <c r="USA459" s="22"/>
      <c r="USB459" s="22"/>
      <c r="USC459" s="22"/>
      <c r="USD459" s="22"/>
      <c r="USE459" s="22"/>
      <c r="USF459" s="22"/>
      <c r="USG459" s="22"/>
      <c r="USH459" s="22"/>
      <c r="USI459" s="22"/>
      <c r="USJ459" s="22"/>
      <c r="USK459" s="22"/>
      <c r="USL459" s="22"/>
      <c r="USM459" s="22"/>
      <c r="USN459" s="22"/>
      <c r="USO459" s="22"/>
      <c r="USP459" s="22"/>
      <c r="USQ459" s="22"/>
      <c r="USR459" s="22"/>
      <c r="USS459" s="22"/>
      <c r="UST459" s="22"/>
      <c r="USU459" s="22"/>
      <c r="USV459" s="22"/>
      <c r="USW459" s="22"/>
      <c r="USX459" s="22"/>
      <c r="USY459" s="22"/>
      <c r="USZ459" s="22"/>
      <c r="UTA459" s="22"/>
      <c r="UTB459" s="22"/>
      <c r="UTC459" s="22"/>
      <c r="UTD459" s="22"/>
      <c r="UTE459" s="22"/>
      <c r="UTF459" s="22"/>
      <c r="UTG459" s="22"/>
      <c r="UTH459" s="22"/>
      <c r="UTI459" s="22"/>
      <c r="UTJ459" s="22"/>
      <c r="UTK459" s="22"/>
      <c r="UTL459" s="22"/>
      <c r="UTM459" s="22"/>
      <c r="UTN459" s="22"/>
      <c r="UTO459" s="22"/>
      <c r="UTP459" s="22"/>
      <c r="UTQ459" s="22"/>
      <c r="UTR459" s="22"/>
      <c r="UTS459" s="22"/>
      <c r="UTT459" s="22"/>
      <c r="UTU459" s="22"/>
      <c r="UTV459" s="22"/>
      <c r="UTW459" s="22"/>
      <c r="UTX459" s="22"/>
      <c r="UTY459" s="22"/>
      <c r="UTZ459" s="22"/>
      <c r="UUA459" s="22"/>
      <c r="UUB459" s="22"/>
      <c r="UUC459" s="22"/>
      <c r="UUD459" s="22"/>
      <c r="UUE459" s="22"/>
      <c r="UUF459" s="22"/>
      <c r="UUG459" s="22"/>
      <c r="UUH459" s="22"/>
      <c r="UUI459" s="22"/>
      <c r="UUJ459" s="22"/>
      <c r="UUK459" s="22"/>
      <c r="UUL459" s="22"/>
      <c r="UUM459" s="22"/>
      <c r="UUN459" s="22"/>
      <c r="UUO459" s="22"/>
      <c r="UUP459" s="22"/>
      <c r="UUQ459" s="22"/>
      <c r="UUR459" s="22"/>
      <c r="UUS459" s="22"/>
      <c r="UUT459" s="22"/>
      <c r="UUU459" s="22"/>
      <c r="UUV459" s="22"/>
      <c r="UUW459" s="22"/>
      <c r="UUX459" s="22"/>
      <c r="UUY459" s="22"/>
      <c r="UUZ459" s="22"/>
      <c r="UVA459" s="22"/>
      <c r="UVB459" s="22"/>
      <c r="UVC459" s="22"/>
      <c r="UVD459" s="22"/>
      <c r="UVE459" s="22"/>
      <c r="UVF459" s="22"/>
      <c r="UVG459" s="22"/>
      <c r="UVH459" s="22"/>
      <c r="UVI459" s="22"/>
      <c r="UVJ459" s="22"/>
      <c r="UVK459" s="22"/>
      <c r="UVL459" s="22"/>
      <c r="UVM459" s="22"/>
      <c r="UVN459" s="22"/>
      <c r="UVO459" s="22"/>
      <c r="UVP459" s="22"/>
      <c r="UVQ459" s="22"/>
      <c r="UVR459" s="22"/>
      <c r="UVS459" s="22"/>
      <c r="UVT459" s="22"/>
      <c r="UVU459" s="22"/>
      <c r="UVV459" s="22"/>
      <c r="UVW459" s="22"/>
      <c r="UVX459" s="22"/>
      <c r="UVY459" s="22"/>
      <c r="UVZ459" s="22"/>
      <c r="UWA459" s="22"/>
      <c r="UWB459" s="22"/>
      <c r="UWC459" s="22"/>
      <c r="UWD459" s="22"/>
      <c r="UWE459" s="22"/>
      <c r="UWF459" s="22"/>
      <c r="UWG459" s="22"/>
      <c r="UWH459" s="22"/>
      <c r="UWI459" s="22"/>
      <c r="UWJ459" s="22"/>
      <c r="UWK459" s="22"/>
      <c r="UWL459" s="22"/>
      <c r="UWM459" s="22"/>
      <c r="UWN459" s="22"/>
      <c r="UWO459" s="22"/>
      <c r="UWP459" s="22"/>
      <c r="UWQ459" s="22"/>
      <c r="UWR459" s="22"/>
      <c r="UWS459" s="22"/>
      <c r="UWT459" s="22"/>
      <c r="UWU459" s="22"/>
      <c r="UWV459" s="22"/>
      <c r="UWW459" s="22"/>
      <c r="UWX459" s="22"/>
      <c r="UWY459" s="22"/>
      <c r="UWZ459" s="22"/>
      <c r="UXA459" s="22"/>
      <c r="UXB459" s="22"/>
      <c r="UXC459" s="22"/>
      <c r="UXD459" s="22"/>
      <c r="UXE459" s="22"/>
      <c r="UXF459" s="22"/>
      <c r="UXG459" s="22"/>
      <c r="UXH459" s="22"/>
      <c r="UXI459" s="22"/>
      <c r="UXJ459" s="22"/>
      <c r="UXK459" s="22"/>
      <c r="UXL459" s="22"/>
      <c r="UXM459" s="22"/>
      <c r="UXN459" s="22"/>
      <c r="UXO459" s="22"/>
      <c r="UXP459" s="22"/>
      <c r="UXQ459" s="22"/>
      <c r="UXR459" s="22"/>
      <c r="UXS459" s="22"/>
      <c r="UXT459" s="22"/>
      <c r="UXU459" s="22"/>
      <c r="UXV459" s="22"/>
      <c r="UXW459" s="22"/>
      <c r="UXX459" s="22"/>
      <c r="UXY459" s="22"/>
      <c r="UXZ459" s="22"/>
      <c r="UYA459" s="22"/>
      <c r="UYB459" s="22"/>
      <c r="UYC459" s="22"/>
      <c r="UYD459" s="22"/>
      <c r="UYE459" s="22"/>
      <c r="UYF459" s="22"/>
      <c r="UYG459" s="22"/>
      <c r="UYH459" s="22"/>
      <c r="UYI459" s="22"/>
      <c r="UYJ459" s="22"/>
      <c r="UYK459" s="22"/>
      <c r="UYL459" s="22"/>
      <c r="UYM459" s="22"/>
      <c r="UYN459" s="22"/>
      <c r="UYO459" s="22"/>
      <c r="UYP459" s="22"/>
      <c r="UYQ459" s="22"/>
      <c r="UYR459" s="22"/>
      <c r="UYS459" s="22"/>
      <c r="UYT459" s="22"/>
      <c r="UYU459" s="22"/>
      <c r="UYV459" s="22"/>
      <c r="UYW459" s="22"/>
      <c r="UYX459" s="22"/>
      <c r="UYY459" s="22"/>
      <c r="UYZ459" s="22"/>
      <c r="UZA459" s="22"/>
      <c r="UZB459" s="22"/>
      <c r="UZC459" s="22"/>
      <c r="UZD459" s="22"/>
      <c r="UZE459" s="22"/>
      <c r="UZF459" s="22"/>
      <c r="UZG459" s="22"/>
      <c r="UZH459" s="22"/>
      <c r="UZI459" s="22"/>
      <c r="UZJ459" s="22"/>
      <c r="UZK459" s="22"/>
      <c r="UZL459" s="22"/>
      <c r="UZM459" s="22"/>
      <c r="UZN459" s="22"/>
      <c r="UZO459" s="22"/>
      <c r="UZP459" s="22"/>
      <c r="UZQ459" s="22"/>
      <c r="UZR459" s="22"/>
      <c r="UZS459" s="22"/>
      <c r="UZT459" s="22"/>
      <c r="UZU459" s="22"/>
      <c r="UZV459" s="22"/>
      <c r="UZW459" s="22"/>
      <c r="UZX459" s="22"/>
      <c r="UZY459" s="22"/>
      <c r="UZZ459" s="22"/>
      <c r="VAA459" s="22"/>
      <c r="VAB459" s="22"/>
      <c r="VAC459" s="22"/>
      <c r="VAD459" s="22"/>
      <c r="VAE459" s="22"/>
      <c r="VAF459" s="22"/>
      <c r="VAG459" s="22"/>
      <c r="VAH459" s="22"/>
      <c r="VAI459" s="22"/>
      <c r="VAJ459" s="22"/>
      <c r="VAK459" s="22"/>
      <c r="VAL459" s="22"/>
      <c r="VAM459" s="22"/>
      <c r="VAN459" s="22"/>
      <c r="VAO459" s="22"/>
      <c r="VAP459" s="22"/>
      <c r="VAQ459" s="22"/>
      <c r="VAR459" s="22"/>
      <c r="VAS459" s="22"/>
      <c r="VAT459" s="22"/>
      <c r="VAU459" s="22"/>
      <c r="VAV459" s="22"/>
      <c r="VAW459" s="22"/>
      <c r="VAX459" s="22"/>
      <c r="VAY459" s="22"/>
      <c r="VAZ459" s="22"/>
      <c r="VBA459" s="22"/>
      <c r="VBB459" s="22"/>
      <c r="VBC459" s="22"/>
      <c r="VBD459" s="22"/>
      <c r="VBE459" s="22"/>
      <c r="VBF459" s="22"/>
      <c r="VBG459" s="22"/>
      <c r="VBH459" s="22"/>
      <c r="VBI459" s="22"/>
      <c r="VBJ459" s="22"/>
      <c r="VBK459" s="22"/>
      <c r="VBL459" s="22"/>
      <c r="VBM459" s="22"/>
      <c r="VBN459" s="22"/>
      <c r="VBO459" s="22"/>
      <c r="VBP459" s="22"/>
      <c r="VBQ459" s="22"/>
      <c r="VBR459" s="22"/>
      <c r="VBS459" s="22"/>
      <c r="VBT459" s="22"/>
      <c r="VBU459" s="22"/>
      <c r="VBV459" s="22"/>
      <c r="VBW459" s="22"/>
      <c r="VBX459" s="22"/>
      <c r="VBY459" s="22"/>
      <c r="VBZ459" s="22"/>
      <c r="VCA459" s="22"/>
      <c r="VCB459" s="22"/>
      <c r="VCC459" s="22"/>
      <c r="VCD459" s="22"/>
      <c r="VCE459" s="22"/>
      <c r="VCF459" s="22"/>
      <c r="VCG459" s="22"/>
      <c r="VCH459" s="22"/>
      <c r="VCI459" s="22"/>
      <c r="VCJ459" s="22"/>
      <c r="VCK459" s="22"/>
      <c r="VCL459" s="22"/>
      <c r="VCM459" s="22"/>
      <c r="VCN459" s="22"/>
      <c r="VCO459" s="22"/>
      <c r="VCP459" s="22"/>
      <c r="VCQ459" s="22"/>
      <c r="VCR459" s="22"/>
      <c r="VCS459" s="22"/>
      <c r="VCT459" s="22"/>
      <c r="VCU459" s="22"/>
      <c r="VCV459" s="22"/>
      <c r="VCW459" s="22"/>
      <c r="VCX459" s="22"/>
      <c r="VCY459" s="22"/>
      <c r="VCZ459" s="22"/>
      <c r="VDA459" s="22"/>
      <c r="VDB459" s="22"/>
      <c r="VDC459" s="22"/>
      <c r="VDD459" s="22"/>
      <c r="VDE459" s="22"/>
      <c r="VDF459" s="22"/>
      <c r="VDG459" s="22"/>
      <c r="VDH459" s="22"/>
      <c r="VDI459" s="22"/>
      <c r="VDJ459" s="22"/>
      <c r="VDK459" s="22"/>
      <c r="VDL459" s="22"/>
      <c r="VDM459" s="22"/>
      <c r="VDN459" s="22"/>
      <c r="VDO459" s="22"/>
      <c r="VDP459" s="22"/>
      <c r="VDQ459" s="22"/>
      <c r="VDR459" s="22"/>
      <c r="VDS459" s="22"/>
      <c r="VDT459" s="22"/>
      <c r="VDU459" s="22"/>
      <c r="VDV459" s="22"/>
      <c r="VDW459" s="22"/>
      <c r="VDX459" s="22"/>
      <c r="VDY459" s="22"/>
      <c r="VDZ459" s="22"/>
      <c r="VEA459" s="22"/>
      <c r="VEB459" s="22"/>
      <c r="VEC459" s="22"/>
      <c r="VED459" s="22"/>
      <c r="VEE459" s="22"/>
      <c r="VEF459" s="22"/>
      <c r="VEG459" s="22"/>
      <c r="VEH459" s="22"/>
      <c r="VEI459" s="22"/>
      <c r="VEJ459" s="22"/>
      <c r="VEK459" s="22"/>
      <c r="VEL459" s="22"/>
      <c r="VEM459" s="22"/>
      <c r="VEN459" s="22"/>
      <c r="VEO459" s="22"/>
      <c r="VEP459" s="22"/>
      <c r="VEQ459" s="22"/>
      <c r="VER459" s="22"/>
      <c r="VES459" s="22"/>
      <c r="VET459" s="22"/>
      <c r="VEU459" s="22"/>
      <c r="VEV459" s="22"/>
      <c r="VEW459" s="22"/>
      <c r="VEX459" s="22"/>
      <c r="VEY459" s="22"/>
      <c r="VEZ459" s="22"/>
      <c r="VFA459" s="22"/>
      <c r="VFB459" s="22"/>
      <c r="VFC459" s="22"/>
      <c r="VFD459" s="22"/>
      <c r="VFE459" s="22"/>
      <c r="VFF459" s="22"/>
      <c r="VFG459" s="22"/>
      <c r="VFH459" s="22"/>
      <c r="VFI459" s="22"/>
      <c r="VFJ459" s="22"/>
      <c r="VFK459" s="22"/>
      <c r="VFL459" s="22"/>
      <c r="VFM459" s="22"/>
      <c r="VFN459" s="22"/>
      <c r="VFO459" s="22"/>
      <c r="VFP459" s="22"/>
      <c r="VFQ459" s="22"/>
      <c r="VFR459" s="22"/>
      <c r="VFS459" s="22"/>
      <c r="VFT459" s="22"/>
      <c r="VFU459" s="22"/>
      <c r="VFV459" s="22"/>
      <c r="VFW459" s="22"/>
      <c r="VFX459" s="22"/>
      <c r="VFY459" s="22"/>
      <c r="VFZ459" s="22"/>
      <c r="VGA459" s="22"/>
      <c r="VGB459" s="22"/>
      <c r="VGC459" s="22"/>
      <c r="VGD459" s="22"/>
      <c r="VGE459" s="22"/>
      <c r="VGF459" s="22"/>
      <c r="VGG459" s="22"/>
      <c r="VGH459" s="22"/>
      <c r="VGI459" s="22"/>
      <c r="VGJ459" s="22"/>
      <c r="VGK459" s="22"/>
      <c r="VGL459" s="22"/>
      <c r="VGM459" s="22"/>
      <c r="VGN459" s="22"/>
      <c r="VGO459" s="22"/>
      <c r="VGP459" s="22"/>
      <c r="VGQ459" s="22"/>
      <c r="VGR459" s="22"/>
      <c r="VGS459" s="22"/>
      <c r="VGT459" s="22"/>
      <c r="VGU459" s="22"/>
      <c r="VGV459" s="22"/>
      <c r="VGW459" s="22"/>
      <c r="VGX459" s="22"/>
      <c r="VGY459" s="22"/>
      <c r="VGZ459" s="22"/>
      <c r="VHA459" s="22"/>
      <c r="VHB459" s="22"/>
      <c r="VHC459" s="22"/>
      <c r="VHD459" s="22"/>
      <c r="VHE459" s="22"/>
      <c r="VHF459" s="22"/>
      <c r="VHG459" s="22"/>
      <c r="VHH459" s="22"/>
      <c r="VHI459" s="22"/>
      <c r="VHJ459" s="22"/>
      <c r="VHK459" s="22"/>
      <c r="VHL459" s="22"/>
      <c r="VHM459" s="22"/>
      <c r="VHN459" s="22"/>
      <c r="VHO459" s="22"/>
      <c r="VHP459" s="22"/>
      <c r="VHQ459" s="22"/>
      <c r="VHR459" s="22"/>
      <c r="VHS459" s="22"/>
      <c r="VHT459" s="22"/>
      <c r="VHU459" s="22"/>
      <c r="VHV459" s="22"/>
      <c r="VHW459" s="22"/>
      <c r="VHX459" s="22"/>
      <c r="VHY459" s="22"/>
      <c r="VHZ459" s="22"/>
      <c r="VIA459" s="22"/>
      <c r="VIB459" s="22"/>
      <c r="VIC459" s="22"/>
      <c r="VID459" s="22"/>
      <c r="VIE459" s="22"/>
      <c r="VIF459" s="22"/>
      <c r="VIG459" s="22"/>
      <c r="VIH459" s="22"/>
      <c r="VII459" s="22"/>
      <c r="VIJ459" s="22"/>
      <c r="VIK459" s="22"/>
      <c r="VIL459" s="22"/>
      <c r="VIM459" s="22"/>
      <c r="VIN459" s="22"/>
      <c r="VIO459" s="22"/>
      <c r="VIP459" s="22"/>
      <c r="VIQ459" s="22"/>
      <c r="VIR459" s="22"/>
      <c r="VIS459" s="22"/>
      <c r="VIT459" s="22"/>
      <c r="VIU459" s="22"/>
      <c r="VIV459" s="22"/>
      <c r="VIW459" s="22"/>
      <c r="VIX459" s="22"/>
      <c r="VIY459" s="22"/>
      <c r="VIZ459" s="22"/>
      <c r="VJA459" s="22"/>
      <c r="VJB459" s="22"/>
      <c r="VJC459" s="22"/>
      <c r="VJD459" s="22"/>
      <c r="VJE459" s="22"/>
      <c r="VJF459" s="22"/>
      <c r="VJG459" s="22"/>
      <c r="VJH459" s="22"/>
      <c r="VJI459" s="22"/>
      <c r="VJJ459" s="22"/>
      <c r="VJK459" s="22"/>
      <c r="VJL459" s="22"/>
      <c r="VJM459" s="22"/>
      <c r="VJN459" s="22"/>
      <c r="VJO459" s="22"/>
      <c r="VJP459" s="22"/>
      <c r="VJQ459" s="22"/>
      <c r="VJR459" s="22"/>
      <c r="VJS459" s="22"/>
      <c r="VJT459" s="22"/>
      <c r="VJU459" s="22"/>
      <c r="VJV459" s="22"/>
      <c r="VJW459" s="22"/>
      <c r="VJX459" s="22"/>
      <c r="VJY459" s="22"/>
      <c r="VJZ459" s="22"/>
      <c r="VKA459" s="22"/>
      <c r="VKB459" s="22"/>
      <c r="VKC459" s="22"/>
      <c r="VKD459" s="22"/>
      <c r="VKE459" s="22"/>
      <c r="VKF459" s="22"/>
      <c r="VKG459" s="22"/>
      <c r="VKH459" s="22"/>
      <c r="VKI459" s="22"/>
      <c r="VKJ459" s="22"/>
      <c r="VKK459" s="22"/>
      <c r="VKL459" s="22"/>
      <c r="VKM459" s="22"/>
      <c r="VKN459" s="22"/>
      <c r="VKO459" s="22"/>
      <c r="VKP459" s="22"/>
      <c r="VKQ459" s="22"/>
      <c r="VKR459" s="22"/>
      <c r="VKS459" s="22"/>
      <c r="VKT459" s="22"/>
      <c r="VKU459" s="22"/>
      <c r="VKV459" s="22"/>
      <c r="VKW459" s="22"/>
      <c r="VKX459" s="22"/>
      <c r="VKY459" s="22"/>
      <c r="VKZ459" s="22"/>
      <c r="VLA459" s="22"/>
      <c r="VLB459" s="22"/>
      <c r="VLC459" s="22"/>
      <c r="VLD459" s="22"/>
      <c r="VLE459" s="22"/>
      <c r="VLF459" s="22"/>
      <c r="VLG459" s="22"/>
      <c r="VLH459" s="22"/>
      <c r="VLI459" s="22"/>
      <c r="VLJ459" s="22"/>
      <c r="VLK459" s="22"/>
      <c r="VLL459" s="22"/>
      <c r="VLM459" s="22"/>
      <c r="VLN459" s="22"/>
      <c r="VLO459" s="22"/>
      <c r="VLP459" s="22"/>
      <c r="VLQ459" s="22"/>
      <c r="VLR459" s="22"/>
      <c r="VLS459" s="22"/>
      <c r="VLT459" s="22"/>
      <c r="VLU459" s="22"/>
      <c r="VLV459" s="22"/>
      <c r="VLW459" s="22"/>
      <c r="VLX459" s="22"/>
      <c r="VLY459" s="22"/>
      <c r="VLZ459" s="22"/>
      <c r="VMA459" s="22"/>
      <c r="VMB459" s="22"/>
      <c r="VMC459" s="22"/>
      <c r="VMD459" s="22"/>
      <c r="VME459" s="22"/>
      <c r="VMF459" s="22"/>
      <c r="VMG459" s="22"/>
      <c r="VMH459" s="22"/>
      <c r="VMI459" s="22"/>
      <c r="VMJ459" s="22"/>
      <c r="VMK459" s="22"/>
      <c r="VML459" s="22"/>
      <c r="VMM459" s="22"/>
      <c r="VMN459" s="22"/>
      <c r="VMO459" s="22"/>
      <c r="VMP459" s="22"/>
      <c r="VMQ459" s="22"/>
      <c r="VMR459" s="22"/>
      <c r="VMS459" s="22"/>
      <c r="VMT459" s="22"/>
      <c r="VMU459" s="22"/>
      <c r="VMV459" s="22"/>
      <c r="VMW459" s="22"/>
      <c r="VMX459" s="22"/>
      <c r="VMY459" s="22"/>
      <c r="VMZ459" s="22"/>
      <c r="VNA459" s="22"/>
      <c r="VNB459" s="22"/>
      <c r="VNC459" s="22"/>
      <c r="VND459" s="22"/>
      <c r="VNE459" s="22"/>
      <c r="VNF459" s="22"/>
      <c r="VNG459" s="22"/>
      <c r="VNH459" s="22"/>
      <c r="VNI459" s="22"/>
      <c r="VNJ459" s="22"/>
      <c r="VNK459" s="22"/>
      <c r="VNL459" s="22"/>
      <c r="VNM459" s="22"/>
      <c r="VNN459" s="22"/>
      <c r="VNO459" s="22"/>
      <c r="VNP459" s="22"/>
      <c r="VNQ459" s="22"/>
      <c r="VNR459" s="22"/>
      <c r="VNS459" s="22"/>
      <c r="VNT459" s="22"/>
      <c r="VNU459" s="22"/>
      <c r="VNV459" s="22"/>
      <c r="VNW459" s="22"/>
      <c r="VNX459" s="22"/>
      <c r="VNY459" s="22"/>
      <c r="VNZ459" s="22"/>
      <c r="VOA459" s="22"/>
      <c r="VOB459" s="22"/>
      <c r="VOC459" s="22"/>
      <c r="VOD459" s="22"/>
      <c r="VOE459" s="22"/>
      <c r="VOF459" s="22"/>
      <c r="VOG459" s="22"/>
      <c r="VOH459" s="22"/>
      <c r="VOI459" s="22"/>
      <c r="VOJ459" s="22"/>
      <c r="VOK459" s="22"/>
      <c r="VOL459" s="22"/>
      <c r="VOM459" s="22"/>
      <c r="VON459" s="22"/>
      <c r="VOO459" s="22"/>
      <c r="VOP459" s="22"/>
      <c r="VOQ459" s="22"/>
      <c r="VOR459" s="22"/>
      <c r="VOS459" s="22"/>
      <c r="VOT459" s="22"/>
      <c r="VOU459" s="22"/>
      <c r="VOV459" s="22"/>
      <c r="VOW459" s="22"/>
      <c r="VOX459" s="22"/>
      <c r="VOY459" s="22"/>
      <c r="VOZ459" s="22"/>
      <c r="VPA459" s="22"/>
      <c r="VPB459" s="22"/>
      <c r="VPC459" s="22"/>
      <c r="VPD459" s="22"/>
      <c r="VPE459" s="22"/>
      <c r="VPF459" s="22"/>
      <c r="VPG459" s="22"/>
      <c r="VPH459" s="22"/>
      <c r="VPI459" s="22"/>
      <c r="VPJ459" s="22"/>
      <c r="VPK459" s="22"/>
      <c r="VPL459" s="22"/>
      <c r="VPM459" s="22"/>
      <c r="VPN459" s="22"/>
      <c r="VPO459" s="22"/>
      <c r="VPP459" s="22"/>
      <c r="VPQ459" s="22"/>
      <c r="VPR459" s="22"/>
      <c r="VPS459" s="22"/>
      <c r="VPT459" s="22"/>
      <c r="VPU459" s="22"/>
      <c r="VPV459" s="22"/>
      <c r="VPW459" s="22"/>
      <c r="VPX459" s="22"/>
      <c r="VPY459" s="22"/>
      <c r="VPZ459" s="22"/>
      <c r="VQA459" s="22"/>
      <c r="VQB459" s="22"/>
      <c r="VQC459" s="22"/>
      <c r="VQD459" s="22"/>
      <c r="VQE459" s="22"/>
      <c r="VQF459" s="22"/>
      <c r="VQG459" s="22"/>
      <c r="VQH459" s="22"/>
      <c r="VQI459" s="22"/>
      <c r="VQJ459" s="22"/>
      <c r="VQK459" s="22"/>
      <c r="VQL459" s="22"/>
      <c r="VQM459" s="22"/>
      <c r="VQN459" s="22"/>
      <c r="VQO459" s="22"/>
      <c r="VQP459" s="22"/>
      <c r="VQQ459" s="22"/>
      <c r="VQR459" s="22"/>
      <c r="VQS459" s="22"/>
      <c r="VQT459" s="22"/>
      <c r="VQU459" s="22"/>
      <c r="VQV459" s="22"/>
      <c r="VQW459" s="22"/>
      <c r="VQX459" s="22"/>
      <c r="VQY459" s="22"/>
      <c r="VQZ459" s="22"/>
      <c r="VRA459" s="22"/>
      <c r="VRB459" s="22"/>
      <c r="VRC459" s="22"/>
      <c r="VRD459" s="22"/>
      <c r="VRE459" s="22"/>
      <c r="VRF459" s="22"/>
      <c r="VRG459" s="22"/>
      <c r="VRH459" s="22"/>
      <c r="VRI459" s="22"/>
      <c r="VRJ459" s="22"/>
      <c r="VRK459" s="22"/>
      <c r="VRL459" s="22"/>
      <c r="VRM459" s="22"/>
      <c r="VRN459" s="22"/>
      <c r="VRO459" s="22"/>
      <c r="VRP459" s="22"/>
      <c r="VRQ459" s="22"/>
      <c r="VRR459" s="22"/>
      <c r="VRS459" s="22"/>
      <c r="VRT459" s="22"/>
      <c r="VRU459" s="22"/>
      <c r="VRV459" s="22"/>
      <c r="VRW459" s="22"/>
      <c r="VRX459" s="22"/>
      <c r="VRY459" s="22"/>
      <c r="VRZ459" s="22"/>
      <c r="VSA459" s="22"/>
      <c r="VSB459" s="22"/>
      <c r="VSC459" s="22"/>
      <c r="VSD459" s="22"/>
      <c r="VSE459" s="22"/>
      <c r="VSF459" s="22"/>
      <c r="VSG459" s="22"/>
      <c r="VSH459" s="22"/>
      <c r="VSI459" s="22"/>
      <c r="VSJ459" s="22"/>
      <c r="VSK459" s="22"/>
      <c r="VSL459" s="22"/>
      <c r="VSM459" s="22"/>
      <c r="VSN459" s="22"/>
      <c r="VSO459" s="22"/>
      <c r="VSP459" s="22"/>
      <c r="VSQ459" s="22"/>
      <c r="VSR459" s="22"/>
      <c r="VSS459" s="22"/>
      <c r="VST459" s="22"/>
      <c r="VSU459" s="22"/>
      <c r="VSV459" s="22"/>
      <c r="VSW459" s="22"/>
      <c r="VSX459" s="22"/>
      <c r="VSY459" s="22"/>
      <c r="VSZ459" s="22"/>
      <c r="VTA459" s="22"/>
      <c r="VTB459" s="22"/>
      <c r="VTC459" s="22"/>
      <c r="VTD459" s="22"/>
      <c r="VTE459" s="22"/>
      <c r="VTF459" s="22"/>
      <c r="VTG459" s="22"/>
      <c r="VTH459" s="22"/>
      <c r="VTI459" s="22"/>
      <c r="VTJ459" s="22"/>
      <c r="VTK459" s="22"/>
      <c r="VTL459" s="22"/>
      <c r="VTM459" s="22"/>
      <c r="VTN459" s="22"/>
      <c r="VTO459" s="22"/>
      <c r="VTP459" s="22"/>
      <c r="VTQ459" s="22"/>
      <c r="VTR459" s="22"/>
      <c r="VTS459" s="22"/>
      <c r="VTT459" s="22"/>
      <c r="VTU459" s="22"/>
      <c r="VTV459" s="22"/>
      <c r="VTW459" s="22"/>
      <c r="VTX459" s="22"/>
      <c r="VTY459" s="22"/>
      <c r="VTZ459" s="22"/>
      <c r="VUA459" s="22"/>
      <c r="VUB459" s="22"/>
      <c r="VUC459" s="22"/>
      <c r="VUD459" s="22"/>
      <c r="VUE459" s="22"/>
      <c r="VUF459" s="22"/>
      <c r="VUG459" s="22"/>
      <c r="VUH459" s="22"/>
      <c r="VUI459" s="22"/>
      <c r="VUJ459" s="22"/>
      <c r="VUK459" s="22"/>
      <c r="VUL459" s="22"/>
      <c r="VUM459" s="22"/>
      <c r="VUN459" s="22"/>
      <c r="VUO459" s="22"/>
      <c r="VUP459" s="22"/>
      <c r="VUQ459" s="22"/>
      <c r="VUR459" s="22"/>
      <c r="VUS459" s="22"/>
      <c r="VUT459" s="22"/>
      <c r="VUU459" s="22"/>
      <c r="VUV459" s="22"/>
      <c r="VUW459" s="22"/>
      <c r="VUX459" s="22"/>
      <c r="VUY459" s="22"/>
      <c r="VUZ459" s="22"/>
      <c r="VVA459" s="22"/>
      <c r="VVB459" s="22"/>
      <c r="VVC459" s="22"/>
      <c r="VVD459" s="22"/>
      <c r="VVE459" s="22"/>
      <c r="VVF459" s="22"/>
      <c r="VVG459" s="22"/>
      <c r="VVH459" s="22"/>
      <c r="VVI459" s="22"/>
      <c r="VVJ459" s="22"/>
      <c r="VVK459" s="22"/>
      <c r="VVL459" s="22"/>
      <c r="VVM459" s="22"/>
      <c r="VVN459" s="22"/>
      <c r="VVO459" s="22"/>
      <c r="VVP459" s="22"/>
      <c r="VVQ459" s="22"/>
      <c r="VVR459" s="22"/>
      <c r="VVS459" s="22"/>
      <c r="VVT459" s="22"/>
      <c r="VVU459" s="22"/>
      <c r="VVV459" s="22"/>
      <c r="VVW459" s="22"/>
      <c r="VVX459" s="22"/>
      <c r="VVY459" s="22"/>
      <c r="VVZ459" s="22"/>
      <c r="VWA459" s="22"/>
      <c r="VWB459" s="22"/>
      <c r="VWC459" s="22"/>
      <c r="VWD459" s="22"/>
      <c r="VWE459" s="22"/>
      <c r="VWF459" s="22"/>
      <c r="VWG459" s="22"/>
      <c r="VWH459" s="22"/>
      <c r="VWI459" s="22"/>
      <c r="VWJ459" s="22"/>
      <c r="VWK459" s="22"/>
      <c r="VWL459" s="22"/>
      <c r="VWM459" s="22"/>
      <c r="VWN459" s="22"/>
      <c r="VWO459" s="22"/>
      <c r="VWP459" s="22"/>
      <c r="VWQ459" s="22"/>
      <c r="VWR459" s="22"/>
      <c r="VWS459" s="22"/>
      <c r="VWT459" s="22"/>
      <c r="VWU459" s="22"/>
      <c r="VWV459" s="22"/>
      <c r="VWW459" s="22"/>
      <c r="VWX459" s="22"/>
      <c r="VWY459" s="22"/>
      <c r="VWZ459" s="22"/>
      <c r="VXA459" s="22"/>
      <c r="VXB459" s="22"/>
      <c r="VXC459" s="22"/>
      <c r="VXD459" s="22"/>
      <c r="VXE459" s="22"/>
      <c r="VXF459" s="22"/>
      <c r="VXG459" s="22"/>
      <c r="VXH459" s="22"/>
      <c r="VXI459" s="22"/>
      <c r="VXJ459" s="22"/>
      <c r="VXK459" s="22"/>
      <c r="VXL459" s="22"/>
      <c r="VXM459" s="22"/>
      <c r="VXN459" s="22"/>
      <c r="VXO459" s="22"/>
      <c r="VXP459" s="22"/>
      <c r="VXQ459" s="22"/>
      <c r="VXR459" s="22"/>
      <c r="VXS459" s="22"/>
      <c r="VXT459" s="22"/>
      <c r="VXU459" s="22"/>
      <c r="VXV459" s="22"/>
      <c r="VXW459" s="22"/>
      <c r="VXX459" s="22"/>
      <c r="VXY459" s="22"/>
      <c r="VXZ459" s="22"/>
      <c r="VYA459" s="22"/>
      <c r="VYB459" s="22"/>
      <c r="VYC459" s="22"/>
      <c r="VYD459" s="22"/>
      <c r="VYE459" s="22"/>
      <c r="VYF459" s="22"/>
      <c r="VYG459" s="22"/>
      <c r="VYH459" s="22"/>
      <c r="VYI459" s="22"/>
      <c r="VYJ459" s="22"/>
      <c r="VYK459" s="22"/>
      <c r="VYL459" s="22"/>
      <c r="VYM459" s="22"/>
      <c r="VYN459" s="22"/>
      <c r="VYO459" s="22"/>
      <c r="VYP459" s="22"/>
      <c r="VYQ459" s="22"/>
      <c r="VYR459" s="22"/>
      <c r="VYS459" s="22"/>
      <c r="VYT459" s="22"/>
      <c r="VYU459" s="22"/>
      <c r="VYV459" s="22"/>
      <c r="VYW459" s="22"/>
      <c r="VYX459" s="22"/>
      <c r="VYY459" s="22"/>
      <c r="VYZ459" s="22"/>
      <c r="VZA459" s="22"/>
      <c r="VZB459" s="22"/>
      <c r="VZC459" s="22"/>
      <c r="VZD459" s="22"/>
      <c r="VZE459" s="22"/>
      <c r="VZF459" s="22"/>
      <c r="VZG459" s="22"/>
      <c r="VZH459" s="22"/>
      <c r="VZI459" s="22"/>
      <c r="VZJ459" s="22"/>
      <c r="VZK459" s="22"/>
      <c r="VZL459" s="22"/>
      <c r="VZM459" s="22"/>
      <c r="VZN459" s="22"/>
      <c r="VZO459" s="22"/>
      <c r="VZP459" s="22"/>
      <c r="VZQ459" s="22"/>
      <c r="VZR459" s="22"/>
      <c r="VZS459" s="22"/>
      <c r="VZT459" s="22"/>
      <c r="VZU459" s="22"/>
      <c r="VZV459" s="22"/>
      <c r="VZW459" s="22"/>
      <c r="VZX459" s="22"/>
      <c r="VZY459" s="22"/>
      <c r="VZZ459" s="22"/>
      <c r="WAA459" s="22"/>
      <c r="WAB459" s="22"/>
      <c r="WAC459" s="22"/>
      <c r="WAD459" s="22"/>
      <c r="WAE459" s="22"/>
      <c r="WAF459" s="22"/>
      <c r="WAG459" s="22"/>
      <c r="WAH459" s="22"/>
      <c r="WAI459" s="22"/>
      <c r="WAJ459" s="22"/>
      <c r="WAK459" s="22"/>
      <c r="WAL459" s="22"/>
      <c r="WAM459" s="22"/>
      <c r="WAN459" s="22"/>
      <c r="WAO459" s="22"/>
      <c r="WAP459" s="22"/>
      <c r="WAQ459" s="22"/>
      <c r="WAR459" s="22"/>
      <c r="WAS459" s="22"/>
      <c r="WAT459" s="22"/>
      <c r="WAU459" s="22"/>
      <c r="WAV459" s="22"/>
      <c r="WAW459" s="22"/>
      <c r="WAX459" s="22"/>
      <c r="WAY459" s="22"/>
      <c r="WAZ459" s="22"/>
      <c r="WBA459" s="22"/>
      <c r="WBB459" s="22"/>
      <c r="WBC459" s="22"/>
      <c r="WBD459" s="22"/>
      <c r="WBE459" s="22"/>
      <c r="WBF459" s="22"/>
      <c r="WBG459" s="22"/>
      <c r="WBH459" s="22"/>
      <c r="WBI459" s="22"/>
      <c r="WBJ459" s="22"/>
      <c r="WBK459" s="22"/>
      <c r="WBL459" s="22"/>
      <c r="WBM459" s="22"/>
      <c r="WBN459" s="22"/>
      <c r="WBO459" s="22"/>
      <c r="WBP459" s="22"/>
      <c r="WBQ459" s="22"/>
      <c r="WBR459" s="22"/>
      <c r="WBS459" s="22"/>
      <c r="WBT459" s="22"/>
      <c r="WBU459" s="22"/>
      <c r="WBV459" s="22"/>
      <c r="WBW459" s="22"/>
      <c r="WBX459" s="22"/>
      <c r="WBY459" s="22"/>
      <c r="WBZ459" s="22"/>
      <c r="WCA459" s="22"/>
      <c r="WCB459" s="22"/>
      <c r="WCC459" s="22"/>
      <c r="WCD459" s="22"/>
      <c r="WCE459" s="22"/>
      <c r="WCF459" s="22"/>
      <c r="WCG459" s="22"/>
      <c r="WCH459" s="22"/>
      <c r="WCI459" s="22"/>
      <c r="WCJ459" s="22"/>
      <c r="WCK459" s="22"/>
      <c r="WCL459" s="22"/>
      <c r="WCM459" s="22"/>
      <c r="WCN459" s="22"/>
      <c r="WCO459" s="22"/>
      <c r="WCP459" s="22"/>
      <c r="WCQ459" s="22"/>
      <c r="WCR459" s="22"/>
      <c r="WCS459" s="22"/>
      <c r="WCT459" s="22"/>
      <c r="WCU459" s="22"/>
      <c r="WCV459" s="22"/>
      <c r="WCW459" s="22"/>
      <c r="WCX459" s="22"/>
      <c r="WCY459" s="22"/>
      <c r="WCZ459" s="22"/>
      <c r="WDA459" s="22"/>
      <c r="WDB459" s="22"/>
      <c r="WDC459" s="22"/>
      <c r="WDD459" s="22"/>
      <c r="WDE459" s="22"/>
      <c r="WDF459" s="22"/>
      <c r="WDG459" s="22"/>
      <c r="WDH459" s="22"/>
      <c r="WDI459" s="22"/>
      <c r="WDJ459" s="22"/>
      <c r="WDK459" s="22"/>
      <c r="WDL459" s="22"/>
      <c r="WDM459" s="22"/>
      <c r="WDN459" s="22"/>
      <c r="WDO459" s="22"/>
      <c r="WDP459" s="22"/>
      <c r="WDQ459" s="22"/>
      <c r="WDR459" s="22"/>
      <c r="WDS459" s="22"/>
      <c r="WDT459" s="22"/>
      <c r="WDU459" s="22"/>
      <c r="WDV459" s="22"/>
      <c r="WDW459" s="22"/>
      <c r="WDX459" s="22"/>
      <c r="WDY459" s="22"/>
      <c r="WDZ459" s="22"/>
      <c r="WEA459" s="22"/>
      <c r="WEB459" s="22"/>
      <c r="WEC459" s="22"/>
      <c r="WED459" s="22"/>
      <c r="WEE459" s="22"/>
      <c r="WEF459" s="22"/>
      <c r="WEG459" s="22"/>
      <c r="WEH459" s="22"/>
      <c r="WEI459" s="22"/>
      <c r="WEJ459" s="22"/>
      <c r="WEK459" s="22"/>
      <c r="WEL459" s="22"/>
      <c r="WEM459" s="22"/>
      <c r="WEN459" s="22"/>
      <c r="WEO459" s="22"/>
      <c r="WEP459" s="22"/>
      <c r="WEQ459" s="22"/>
      <c r="WER459" s="22"/>
      <c r="WES459" s="22"/>
      <c r="WET459" s="22"/>
      <c r="WEU459" s="22"/>
      <c r="WEV459" s="22"/>
      <c r="WEW459" s="22"/>
      <c r="WEX459" s="22"/>
      <c r="WEY459" s="22"/>
      <c r="WEZ459" s="22"/>
      <c r="WFA459" s="22"/>
      <c r="WFB459" s="22"/>
      <c r="WFC459" s="22"/>
      <c r="WFD459" s="22"/>
      <c r="WFE459" s="22"/>
      <c r="WFF459" s="22"/>
      <c r="WFG459" s="22"/>
      <c r="WFH459" s="22"/>
      <c r="WFI459" s="22"/>
      <c r="WFJ459" s="22"/>
      <c r="WFK459" s="22"/>
      <c r="WFL459" s="22"/>
      <c r="WFM459" s="22"/>
      <c r="WFN459" s="22"/>
      <c r="WFO459" s="22"/>
      <c r="WFP459" s="22"/>
      <c r="WFQ459" s="22"/>
      <c r="WFR459" s="22"/>
      <c r="WFS459" s="22"/>
      <c r="WFT459" s="22"/>
      <c r="WFU459" s="22"/>
      <c r="WFV459" s="22"/>
      <c r="WFW459" s="22"/>
      <c r="WFX459" s="22"/>
      <c r="WFY459" s="22"/>
      <c r="WFZ459" s="22"/>
      <c r="WGA459" s="22"/>
      <c r="WGB459" s="22"/>
      <c r="WGC459" s="22"/>
      <c r="WGD459" s="22"/>
      <c r="WGE459" s="22"/>
      <c r="WGF459" s="22"/>
      <c r="WGG459" s="22"/>
      <c r="WGH459" s="22"/>
      <c r="WGI459" s="22"/>
      <c r="WGJ459" s="22"/>
      <c r="WGK459" s="22"/>
      <c r="WGL459" s="22"/>
      <c r="WGM459" s="22"/>
      <c r="WGN459" s="22"/>
      <c r="WGO459" s="22"/>
      <c r="WGP459" s="22"/>
      <c r="WGQ459" s="22"/>
      <c r="WGR459" s="22"/>
      <c r="WGS459" s="22"/>
      <c r="WGT459" s="22"/>
      <c r="WGU459" s="22"/>
      <c r="WGV459" s="22"/>
      <c r="WGW459" s="22"/>
      <c r="WGX459" s="22"/>
      <c r="WGY459" s="22"/>
      <c r="WGZ459" s="22"/>
      <c r="WHA459" s="22"/>
      <c r="WHB459" s="22"/>
      <c r="WHC459" s="22"/>
      <c r="WHD459" s="22"/>
      <c r="WHE459" s="22"/>
      <c r="WHF459" s="22"/>
      <c r="WHG459" s="22"/>
      <c r="WHH459" s="22"/>
      <c r="WHI459" s="22"/>
      <c r="WHJ459" s="22"/>
      <c r="WHK459" s="22"/>
      <c r="WHL459" s="22"/>
      <c r="WHM459" s="22"/>
      <c r="WHN459" s="22"/>
      <c r="WHO459" s="22"/>
      <c r="WHP459" s="22"/>
      <c r="WHQ459" s="22"/>
      <c r="WHR459" s="22"/>
      <c r="WHS459" s="22"/>
      <c r="WHT459" s="22"/>
      <c r="WHU459" s="22"/>
      <c r="WHV459" s="22"/>
      <c r="WHW459" s="22"/>
      <c r="WHX459" s="22"/>
      <c r="WHY459" s="22"/>
      <c r="WHZ459" s="22"/>
      <c r="WIA459" s="22"/>
      <c r="WIB459" s="22"/>
      <c r="WIC459" s="22"/>
      <c r="WID459" s="22"/>
      <c r="WIE459" s="22"/>
      <c r="WIF459" s="22"/>
      <c r="WIG459" s="22"/>
      <c r="WIH459" s="22"/>
      <c r="WII459" s="22"/>
      <c r="WIJ459" s="22"/>
      <c r="WIK459" s="22"/>
      <c r="WIL459" s="22"/>
      <c r="WIM459" s="22"/>
      <c r="WIN459" s="22"/>
      <c r="WIO459" s="22"/>
      <c r="WIP459" s="22"/>
      <c r="WIQ459" s="22"/>
      <c r="WIR459" s="22"/>
      <c r="WIS459" s="22"/>
      <c r="WIT459" s="22"/>
      <c r="WIU459" s="22"/>
      <c r="WIV459" s="22"/>
      <c r="WIW459" s="22"/>
      <c r="WIX459" s="22"/>
      <c r="WIY459" s="22"/>
      <c r="WIZ459" s="22"/>
      <c r="WJA459" s="22"/>
      <c r="WJB459" s="22"/>
      <c r="WJC459" s="22"/>
      <c r="WJD459" s="22"/>
      <c r="WJE459" s="22"/>
      <c r="WJF459" s="22"/>
      <c r="WJG459" s="22"/>
      <c r="WJH459" s="22"/>
      <c r="WJI459" s="22"/>
      <c r="WJJ459" s="22"/>
      <c r="WJK459" s="22"/>
      <c r="WJL459" s="22"/>
      <c r="WJM459" s="22"/>
      <c r="WJN459" s="22"/>
      <c r="WJO459" s="22"/>
      <c r="WJP459" s="22"/>
      <c r="WJQ459" s="22"/>
      <c r="WJR459" s="22"/>
      <c r="WJS459" s="22"/>
      <c r="WJT459" s="22"/>
      <c r="WJU459" s="22"/>
      <c r="WJV459" s="22"/>
      <c r="WJW459" s="22"/>
      <c r="WJX459" s="22"/>
      <c r="WJY459" s="22"/>
      <c r="WJZ459" s="22"/>
      <c r="WKA459" s="22"/>
      <c r="WKB459" s="22"/>
      <c r="WKC459" s="22"/>
      <c r="WKD459" s="22"/>
      <c r="WKE459" s="22"/>
      <c r="WKF459" s="22"/>
      <c r="WKG459" s="22"/>
      <c r="WKH459" s="22"/>
      <c r="WKI459" s="22"/>
      <c r="WKJ459" s="22"/>
      <c r="WKK459" s="22"/>
      <c r="WKL459" s="22"/>
      <c r="WKM459" s="22"/>
      <c r="WKN459" s="22"/>
      <c r="WKO459" s="22"/>
      <c r="WKP459" s="22"/>
      <c r="WKQ459" s="22"/>
      <c r="WKR459" s="22"/>
      <c r="WKS459" s="22"/>
      <c r="WKT459" s="22"/>
      <c r="WKU459" s="22"/>
      <c r="WKV459" s="22"/>
      <c r="WKW459" s="22"/>
      <c r="WKX459" s="22"/>
      <c r="WKY459" s="22"/>
      <c r="WKZ459" s="22"/>
      <c r="WLA459" s="22"/>
      <c r="WLB459" s="22"/>
      <c r="WLC459" s="22"/>
      <c r="WLD459" s="22"/>
      <c r="WLE459" s="22"/>
      <c r="WLF459" s="22"/>
      <c r="WLG459" s="22"/>
      <c r="WLH459" s="22"/>
      <c r="WLI459" s="22"/>
      <c r="WLJ459" s="22"/>
      <c r="WLK459" s="22"/>
      <c r="WLL459" s="22"/>
      <c r="WLM459" s="22"/>
      <c r="WLN459" s="22"/>
      <c r="WLO459" s="22"/>
      <c r="WLP459" s="22"/>
      <c r="WLQ459" s="22"/>
      <c r="WLR459" s="22"/>
      <c r="WLS459" s="22"/>
      <c r="WLT459" s="22"/>
      <c r="WLU459" s="22"/>
      <c r="WLV459" s="22"/>
      <c r="WLW459" s="22"/>
      <c r="WLX459" s="22"/>
      <c r="WLY459" s="22"/>
      <c r="WLZ459" s="22"/>
      <c r="WMA459" s="22"/>
      <c r="WMB459" s="22"/>
      <c r="WMC459" s="22"/>
      <c r="WMD459" s="22"/>
      <c r="WME459" s="22"/>
      <c r="WMF459" s="22"/>
      <c r="WMG459" s="22"/>
      <c r="WMH459" s="22"/>
      <c r="WMI459" s="22"/>
      <c r="WMJ459" s="22"/>
      <c r="WMK459" s="22"/>
      <c r="WML459" s="22"/>
      <c r="WMM459" s="22"/>
      <c r="WMN459" s="22"/>
      <c r="WMO459" s="22"/>
      <c r="WMP459" s="22"/>
      <c r="WMQ459" s="22"/>
      <c r="WMR459" s="22"/>
      <c r="WMS459" s="22"/>
      <c r="WMT459" s="22"/>
      <c r="WMU459" s="22"/>
      <c r="WMV459" s="22"/>
      <c r="WMW459" s="22"/>
      <c r="WMX459" s="22"/>
      <c r="WMY459" s="22"/>
      <c r="WMZ459" s="22"/>
      <c r="WNA459" s="22"/>
      <c r="WNB459" s="22"/>
      <c r="WNC459" s="22"/>
      <c r="WND459" s="22"/>
      <c r="WNE459" s="22"/>
      <c r="WNF459" s="22"/>
      <c r="WNG459" s="22"/>
      <c r="WNH459" s="22"/>
      <c r="WNI459" s="22"/>
      <c r="WNJ459" s="22"/>
      <c r="WNK459" s="22"/>
      <c r="WNL459" s="22"/>
      <c r="WNM459" s="22"/>
      <c r="WNN459" s="22"/>
      <c r="WNO459" s="22"/>
      <c r="WNP459" s="22"/>
      <c r="WNQ459" s="22"/>
      <c r="WNR459" s="22"/>
      <c r="WNS459" s="22"/>
      <c r="WNT459" s="22"/>
      <c r="WNU459" s="22"/>
      <c r="WNV459" s="22"/>
      <c r="WNW459" s="22"/>
      <c r="WNX459" s="22"/>
      <c r="WNY459" s="22"/>
      <c r="WNZ459" s="22"/>
      <c r="WOA459" s="22"/>
      <c r="WOB459" s="22"/>
      <c r="WOC459" s="22"/>
      <c r="WOD459" s="22"/>
      <c r="WOE459" s="22"/>
      <c r="WOF459" s="22"/>
      <c r="WOG459" s="22"/>
      <c r="WOH459" s="22"/>
      <c r="WOI459" s="22"/>
      <c r="WOJ459" s="22"/>
      <c r="WOK459" s="22"/>
      <c r="WOL459" s="22"/>
      <c r="WOM459" s="22"/>
      <c r="WON459" s="22"/>
      <c r="WOO459" s="22"/>
      <c r="WOP459" s="22"/>
      <c r="WOQ459" s="22"/>
      <c r="WOR459" s="22"/>
      <c r="WOS459" s="22"/>
      <c r="WOT459" s="22"/>
      <c r="WOU459" s="22"/>
      <c r="WOV459" s="22"/>
      <c r="WOW459" s="22"/>
      <c r="WOX459" s="22"/>
      <c r="WOY459" s="22"/>
      <c r="WOZ459" s="22"/>
      <c r="WPA459" s="22"/>
      <c r="WPB459" s="22"/>
      <c r="WPC459" s="22"/>
      <c r="WPD459" s="22"/>
      <c r="WPE459" s="22"/>
      <c r="WPF459" s="22"/>
      <c r="WPG459" s="22"/>
      <c r="WPH459" s="22"/>
      <c r="WPI459" s="22"/>
      <c r="WPJ459" s="22"/>
      <c r="WPK459" s="22"/>
      <c r="WPL459" s="22"/>
      <c r="WPM459" s="22"/>
      <c r="WPN459" s="22"/>
      <c r="WPO459" s="22"/>
      <c r="WPP459" s="22"/>
      <c r="WPQ459" s="22"/>
      <c r="WPR459" s="22"/>
      <c r="WPS459" s="22"/>
      <c r="WPT459" s="22"/>
      <c r="WPU459" s="22"/>
      <c r="WPV459" s="22"/>
      <c r="WPW459" s="22"/>
      <c r="WPX459" s="22"/>
      <c r="WPY459" s="22"/>
      <c r="WPZ459" s="22"/>
      <c r="WQA459" s="22"/>
      <c r="WQB459" s="22"/>
      <c r="WQC459" s="22"/>
      <c r="WQD459" s="22"/>
      <c r="WQE459" s="22"/>
      <c r="WQF459" s="22"/>
      <c r="WQG459" s="22"/>
      <c r="WQH459" s="22"/>
      <c r="WQI459" s="22"/>
      <c r="WQJ459" s="22"/>
      <c r="WQK459" s="22"/>
      <c r="WQL459" s="22"/>
      <c r="WQM459" s="22"/>
      <c r="WQN459" s="22"/>
      <c r="WQO459" s="22"/>
      <c r="WQP459" s="22"/>
      <c r="WQQ459" s="22"/>
      <c r="WQR459" s="22"/>
      <c r="WQS459" s="22"/>
      <c r="WQT459" s="22"/>
      <c r="WQU459" s="22"/>
      <c r="WQV459" s="22"/>
      <c r="WQW459" s="22"/>
      <c r="WQX459" s="22"/>
      <c r="WQY459" s="22"/>
      <c r="WQZ459" s="22"/>
      <c r="WRA459" s="22"/>
      <c r="WRB459" s="22"/>
      <c r="WRC459" s="22"/>
      <c r="WRD459" s="22"/>
      <c r="WRE459" s="22"/>
      <c r="WRF459" s="22"/>
      <c r="WRG459" s="22"/>
      <c r="WRH459" s="22"/>
      <c r="WRI459" s="22"/>
      <c r="WRJ459" s="22"/>
      <c r="WRK459" s="22"/>
      <c r="WRL459" s="22"/>
      <c r="WRM459" s="22"/>
      <c r="WRN459" s="22"/>
      <c r="WRO459" s="22"/>
      <c r="WRP459" s="22"/>
      <c r="WRQ459" s="22"/>
      <c r="WRR459" s="22"/>
      <c r="WRS459" s="22"/>
      <c r="WRT459" s="22"/>
      <c r="WRU459" s="22"/>
      <c r="WRV459" s="22"/>
      <c r="WRW459" s="22"/>
      <c r="WRX459" s="22"/>
      <c r="WRY459" s="22"/>
      <c r="WRZ459" s="22"/>
      <c r="WSA459" s="22"/>
      <c r="WSB459" s="22"/>
      <c r="WSC459" s="22"/>
      <c r="WSD459" s="22"/>
      <c r="WSE459" s="22"/>
      <c r="WSF459" s="22"/>
      <c r="WSG459" s="22"/>
      <c r="WSH459" s="22"/>
      <c r="WSI459" s="22"/>
      <c r="WSJ459" s="22"/>
      <c r="WSK459" s="22"/>
      <c r="WSL459" s="22"/>
      <c r="WSM459" s="22"/>
      <c r="WSN459" s="22"/>
      <c r="WSO459" s="22"/>
      <c r="WSP459" s="22"/>
      <c r="WSQ459" s="22"/>
      <c r="WSR459" s="22"/>
      <c r="WSS459" s="22"/>
      <c r="WST459" s="22"/>
      <c r="WSU459" s="22"/>
      <c r="WSV459" s="22"/>
      <c r="WSW459" s="22"/>
      <c r="WSX459" s="22"/>
      <c r="WSY459" s="22"/>
      <c r="WSZ459" s="22"/>
      <c r="WTA459" s="22"/>
      <c r="WTB459" s="22"/>
      <c r="WTC459" s="22"/>
      <c r="WTD459" s="22"/>
      <c r="WTE459" s="22"/>
      <c r="WTF459" s="22"/>
      <c r="WTG459" s="22"/>
      <c r="WTH459" s="22"/>
      <c r="WTI459" s="22"/>
      <c r="WTJ459" s="22"/>
      <c r="WTK459" s="22"/>
      <c r="WTL459" s="22"/>
      <c r="WTM459" s="22"/>
      <c r="WTN459" s="22"/>
      <c r="WTO459" s="22"/>
      <c r="WTP459" s="22"/>
      <c r="WTQ459" s="22"/>
      <c r="WTR459" s="22"/>
      <c r="WTS459" s="22"/>
      <c r="WTT459" s="22"/>
      <c r="WTU459" s="22"/>
      <c r="WTV459" s="22"/>
      <c r="WTW459" s="22"/>
      <c r="WTX459" s="22"/>
      <c r="WTY459" s="22"/>
      <c r="WTZ459" s="22"/>
      <c r="WUA459" s="22"/>
      <c r="WUB459" s="22"/>
      <c r="WUC459" s="22"/>
      <c r="WUD459" s="22"/>
      <c r="WUE459" s="22"/>
      <c r="WUF459" s="22"/>
      <c r="WUG459" s="22"/>
      <c r="WUH459" s="22"/>
      <c r="WUI459" s="22"/>
      <c r="WUJ459" s="22"/>
      <c r="WUK459" s="22"/>
      <c r="WUL459" s="22"/>
      <c r="WUM459" s="22"/>
      <c r="WUN459" s="22"/>
      <c r="WUO459" s="22"/>
      <c r="WUP459" s="22"/>
      <c r="WUQ459" s="22"/>
      <c r="WUR459" s="22"/>
      <c r="WUS459" s="22"/>
      <c r="WUT459" s="22"/>
      <c r="WUU459" s="22"/>
      <c r="WUV459" s="22"/>
      <c r="WUW459" s="22"/>
      <c r="WUX459" s="22"/>
      <c r="WUY459" s="22"/>
      <c r="WUZ459" s="22"/>
      <c r="WVA459" s="22"/>
      <c r="WVB459" s="22"/>
      <c r="WVC459" s="22"/>
      <c r="WVD459" s="22"/>
      <c r="WVE459" s="22"/>
      <c r="WVF459" s="22"/>
      <c r="WVG459" s="22"/>
      <c r="WVH459" s="22"/>
      <c r="WVI459" s="22"/>
      <c r="WVJ459" s="22"/>
      <c r="WVK459" s="22"/>
      <c r="WVL459" s="22"/>
      <c r="WVM459" s="22"/>
      <c r="WVN459" s="22"/>
      <c r="WVO459" s="22"/>
      <c r="WVP459" s="22"/>
      <c r="WVQ459" s="22"/>
      <c r="WVR459" s="22"/>
      <c r="WVS459" s="22"/>
      <c r="WVT459" s="22"/>
      <c r="WVU459" s="22"/>
      <c r="WVV459" s="22"/>
      <c r="WVW459" s="22"/>
      <c r="WVX459" s="22"/>
      <c r="WVY459" s="22"/>
      <c r="WVZ459" s="22"/>
      <c r="WWA459" s="22"/>
      <c r="WWB459" s="22"/>
      <c r="WWC459" s="22"/>
      <c r="WWD459" s="22"/>
      <c r="WWE459" s="22"/>
      <c r="WWF459" s="22"/>
      <c r="WWG459" s="22"/>
      <c r="WWH459" s="22"/>
      <c r="WWI459" s="22"/>
      <c r="WWJ459" s="22"/>
      <c r="WWK459" s="22"/>
      <c r="WWL459" s="22"/>
      <c r="WWM459" s="22"/>
      <c r="WWN459" s="22"/>
      <c r="WWO459" s="22"/>
      <c r="WWP459" s="22"/>
      <c r="WWQ459" s="22"/>
      <c r="WWR459" s="22"/>
      <c r="WWS459" s="22"/>
      <c r="WWT459" s="22"/>
      <c r="WWU459" s="22"/>
      <c r="WWV459" s="22"/>
      <c r="WWW459" s="22"/>
      <c r="WWX459" s="22"/>
      <c r="WWY459" s="22"/>
      <c r="WWZ459" s="22"/>
      <c r="WXA459" s="22"/>
      <c r="WXB459" s="22"/>
      <c r="WXC459" s="22"/>
      <c r="WXD459" s="22"/>
      <c r="WXE459" s="22"/>
      <c r="WXF459" s="22"/>
      <c r="WXG459" s="22"/>
      <c r="WXH459" s="22"/>
      <c r="WXI459" s="22"/>
      <c r="WXJ459" s="22"/>
      <c r="WXK459" s="22"/>
      <c r="WXL459" s="22"/>
      <c r="WXM459" s="22"/>
      <c r="WXN459" s="22"/>
      <c r="WXO459" s="22"/>
      <c r="WXP459" s="22"/>
      <c r="WXQ459" s="22"/>
      <c r="WXR459" s="22"/>
      <c r="WXS459" s="22"/>
      <c r="WXT459" s="22"/>
      <c r="WXU459" s="22"/>
      <c r="WXV459" s="22"/>
      <c r="WXW459" s="22"/>
      <c r="WXX459" s="22"/>
      <c r="WXY459" s="22"/>
      <c r="WXZ459" s="22"/>
      <c r="WYA459" s="22"/>
      <c r="WYB459" s="22"/>
      <c r="WYC459" s="22"/>
      <c r="WYD459" s="22"/>
      <c r="WYE459" s="22"/>
      <c r="WYF459" s="22"/>
      <c r="WYG459" s="22"/>
      <c r="WYH459" s="22"/>
      <c r="WYI459" s="22"/>
      <c r="WYJ459" s="22"/>
      <c r="WYK459" s="22"/>
      <c r="WYL459" s="22"/>
      <c r="WYM459" s="22"/>
      <c r="WYN459" s="22"/>
      <c r="WYO459" s="22"/>
      <c r="WYP459" s="22"/>
      <c r="WYQ459" s="22"/>
      <c r="WYR459" s="22"/>
      <c r="WYS459" s="22"/>
      <c r="WYT459" s="22"/>
      <c r="WYU459" s="22"/>
      <c r="WYV459" s="22"/>
      <c r="WYW459" s="22"/>
      <c r="WYX459" s="22"/>
      <c r="WYY459" s="22"/>
      <c r="WYZ459" s="22"/>
      <c r="WZA459" s="22"/>
      <c r="WZB459" s="22"/>
      <c r="WZC459" s="22"/>
      <c r="WZD459" s="22"/>
      <c r="WZE459" s="22"/>
      <c r="WZF459" s="22"/>
      <c r="WZG459" s="22"/>
      <c r="WZH459" s="22"/>
      <c r="WZI459" s="22"/>
      <c r="WZJ459" s="22"/>
      <c r="WZK459" s="22"/>
      <c r="WZL459" s="22"/>
      <c r="WZM459" s="22"/>
      <c r="WZN459" s="22"/>
      <c r="WZO459" s="22"/>
      <c r="WZP459" s="22"/>
      <c r="WZQ459" s="22"/>
      <c r="WZR459" s="22"/>
      <c r="WZS459" s="22"/>
      <c r="WZT459" s="22"/>
      <c r="WZU459" s="22"/>
      <c r="WZV459" s="22"/>
      <c r="WZW459" s="22"/>
      <c r="WZX459" s="22"/>
      <c r="WZY459" s="22"/>
      <c r="WZZ459" s="22"/>
      <c r="XAA459" s="22"/>
      <c r="XAB459" s="22"/>
      <c r="XAC459" s="22"/>
      <c r="XAD459" s="22"/>
      <c r="XAE459" s="22"/>
      <c r="XAF459" s="22"/>
      <c r="XAG459" s="22"/>
      <c r="XAH459" s="22"/>
      <c r="XAI459" s="22"/>
      <c r="XAJ459" s="22"/>
      <c r="XAK459" s="22"/>
      <c r="XAL459" s="22"/>
      <c r="XAM459" s="22"/>
      <c r="XAN459" s="22"/>
      <c r="XAO459" s="22"/>
      <c r="XAP459" s="22"/>
      <c r="XAQ459" s="22"/>
      <c r="XAR459" s="22"/>
      <c r="XAS459" s="22"/>
      <c r="XAT459" s="22"/>
      <c r="XAU459" s="22"/>
      <c r="XAV459" s="22"/>
      <c r="XAW459" s="22"/>
      <c r="XAX459" s="22"/>
      <c r="XAY459" s="22"/>
      <c r="XAZ459" s="22"/>
      <c r="XBA459" s="22"/>
      <c r="XBB459" s="22"/>
      <c r="XBC459" s="22"/>
      <c r="XBD459" s="22"/>
      <c r="XBE459" s="22"/>
      <c r="XBF459" s="22"/>
      <c r="XBG459" s="22"/>
      <c r="XBH459" s="22"/>
      <c r="XBI459" s="22"/>
      <c r="XBJ459" s="22"/>
      <c r="XBK459" s="22"/>
      <c r="XBL459" s="22"/>
      <c r="XBM459" s="22"/>
      <c r="XBN459" s="22"/>
      <c r="XBO459" s="22"/>
      <c r="XBP459" s="22"/>
      <c r="XBQ459" s="22"/>
      <c r="XBR459" s="22"/>
      <c r="XBS459" s="22"/>
      <c r="XBT459" s="22"/>
      <c r="XBU459" s="22"/>
      <c r="XBV459" s="22"/>
      <c r="XBW459" s="22"/>
      <c r="XBX459" s="22"/>
      <c r="XBY459" s="22"/>
      <c r="XBZ459" s="22"/>
      <c r="XCA459" s="22"/>
      <c r="XCB459" s="22"/>
      <c r="XCC459" s="22"/>
      <c r="XCD459" s="22"/>
      <c r="XCE459" s="22"/>
      <c r="XCF459" s="22"/>
      <c r="XCG459" s="22"/>
      <c r="XCH459" s="22"/>
      <c r="XCI459" s="22"/>
      <c r="XCJ459" s="22"/>
      <c r="XCK459" s="22"/>
      <c r="XCL459" s="22"/>
      <c r="XCM459" s="22"/>
      <c r="XCN459" s="22"/>
      <c r="XCO459" s="22"/>
      <c r="XCP459" s="22"/>
      <c r="XCQ459" s="22"/>
      <c r="XCR459" s="22"/>
      <c r="XCS459" s="22"/>
      <c r="XCT459" s="22"/>
      <c r="XCU459" s="22"/>
      <c r="XCV459" s="22"/>
      <c r="XCW459" s="22"/>
      <c r="XCX459" s="22"/>
      <c r="XCY459" s="22"/>
      <c r="XCZ459" s="22"/>
      <c r="XDA459" s="22"/>
      <c r="XDB459" s="22"/>
      <c r="XDC459" s="22"/>
      <c r="XDD459" s="22"/>
      <c r="XDE459" s="22"/>
      <c r="XDF459" s="22"/>
      <c r="XDG459" s="22"/>
      <c r="XDH459" s="22"/>
      <c r="XDI459" s="22"/>
      <c r="XDJ459" s="22"/>
      <c r="XDK459" s="22"/>
      <c r="XDL459" s="22"/>
      <c r="XDM459" s="22"/>
      <c r="XDN459" s="22"/>
      <c r="XDO459" s="22"/>
      <c r="XDP459" s="22"/>
      <c r="XDQ459" s="22"/>
      <c r="XDR459" s="22"/>
      <c r="XDS459" s="22"/>
      <c r="XDT459" s="22"/>
      <c r="XDU459" s="22"/>
      <c r="XDV459" s="22"/>
      <c r="XDW459" s="22"/>
      <c r="XDX459" s="22"/>
      <c r="XDY459" s="22"/>
      <c r="XDZ459" s="22"/>
      <c r="XEA459" s="22"/>
      <c r="XEB459" s="22"/>
      <c r="XEC459" s="22"/>
      <c r="XED459" s="22"/>
      <c r="XEE459" s="22"/>
      <c r="XEF459" s="22"/>
      <c r="XEG459" s="22"/>
      <c r="XEH459" s="22"/>
      <c r="XEI459" s="22"/>
      <c r="XEJ459" s="22"/>
      <c r="XEK459" s="22"/>
      <c r="XEL459" s="22"/>
      <c r="XEM459" s="22"/>
      <c r="XEN459" s="22"/>
      <c r="XEO459" s="22"/>
      <c r="XEP459" s="22"/>
      <c r="XEQ459" s="22"/>
      <c r="XER459" s="22"/>
      <c r="XES459" s="22"/>
      <c r="XET459" s="22"/>
      <c r="XEU459" s="22"/>
      <c r="XEV459" s="22"/>
      <c r="XEW459" s="22"/>
      <c r="XEX459" s="22"/>
      <c r="XEY459" s="22"/>
      <c r="XEZ459" s="22"/>
      <c r="XFA459" s="22"/>
      <c r="XFB459" s="22"/>
      <c r="XFC459" s="22"/>
    </row>
    <row r="460" spans="1:16383" ht="15" x14ac:dyDescent="0.25">
      <c r="A460" s="141" t="s">
        <v>1147</v>
      </c>
      <c r="B460" s="141"/>
      <c r="C460" s="141"/>
      <c r="D460" s="141"/>
      <c r="E460" s="141"/>
      <c r="F460" s="141"/>
      <c r="G460" s="141"/>
      <c r="H460" s="141"/>
      <c r="I460" s="141"/>
      <c r="J460" s="141"/>
      <c r="K460" s="141"/>
      <c r="L460" s="203" t="s">
        <v>886</v>
      </c>
      <c r="M460" s="203" t="s">
        <v>887</v>
      </c>
      <c r="N460" s="203" t="s">
        <v>875</v>
      </c>
      <c r="O460" s="203"/>
      <c r="P460" s="141"/>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c r="BC460" s="22"/>
      <c r="BD460" s="22"/>
      <c r="BE460" s="22"/>
      <c r="BF460" s="22"/>
      <c r="BG460" s="22"/>
      <c r="BH460" s="22"/>
      <c r="BI460" s="22"/>
      <c r="BJ460" s="22"/>
      <c r="BK460" s="22"/>
      <c r="BL460" s="22"/>
      <c r="BM460" s="22"/>
      <c r="BN460" s="22"/>
      <c r="BO460" s="22"/>
      <c r="BP460" s="22"/>
      <c r="BQ460" s="22"/>
      <c r="BR460" s="22"/>
      <c r="BS460" s="22"/>
      <c r="BT460" s="22"/>
      <c r="BU460" s="22"/>
      <c r="BV460" s="22"/>
      <c r="BW460" s="22"/>
      <c r="BX460" s="22"/>
      <c r="BY460" s="22"/>
      <c r="BZ460" s="22"/>
      <c r="CA460" s="22"/>
      <c r="CB460" s="22"/>
      <c r="CC460" s="22"/>
      <c r="CD460" s="22"/>
      <c r="CE460" s="22"/>
      <c r="CF460" s="22"/>
      <c r="CG460" s="22"/>
      <c r="CH460" s="22"/>
      <c r="CI460" s="22"/>
      <c r="CJ460" s="22"/>
      <c r="CK460" s="22"/>
      <c r="CL460" s="22"/>
      <c r="CM460" s="22"/>
      <c r="CN460" s="22"/>
      <c r="CO460" s="22"/>
      <c r="CP460" s="22"/>
      <c r="CQ460" s="22"/>
      <c r="CR460" s="22"/>
      <c r="CS460" s="22"/>
      <c r="CT460" s="22"/>
      <c r="CU460" s="22"/>
      <c r="CV460" s="22"/>
      <c r="CW460" s="22"/>
      <c r="CX460" s="22"/>
      <c r="CY460" s="22"/>
      <c r="CZ460" s="22"/>
      <c r="DA460" s="22"/>
      <c r="DB460" s="22"/>
      <c r="DC460" s="22"/>
      <c r="DD460" s="22"/>
      <c r="DE460" s="22"/>
      <c r="DF460" s="22"/>
      <c r="DG460" s="22"/>
      <c r="DH460" s="22"/>
      <c r="DI460" s="22"/>
      <c r="DJ460" s="22"/>
      <c r="DK460" s="22"/>
      <c r="DL460" s="22"/>
      <c r="DM460" s="22"/>
      <c r="DN460" s="22"/>
      <c r="DO460" s="22"/>
      <c r="DP460" s="22"/>
      <c r="DQ460" s="22"/>
      <c r="DR460" s="22"/>
      <c r="DS460" s="22"/>
      <c r="DT460" s="22"/>
      <c r="DU460" s="22"/>
      <c r="DV460" s="22"/>
      <c r="DW460" s="22"/>
      <c r="DX460" s="22"/>
      <c r="DY460" s="22"/>
      <c r="DZ460" s="22"/>
      <c r="EA460" s="22"/>
      <c r="EB460" s="22"/>
      <c r="EC460" s="22"/>
      <c r="ED460" s="22"/>
      <c r="EE460" s="22"/>
      <c r="EF460" s="22"/>
      <c r="EG460" s="22"/>
      <c r="EH460" s="22"/>
      <c r="EI460" s="22"/>
      <c r="EJ460" s="22"/>
      <c r="EK460" s="22"/>
      <c r="EL460" s="22"/>
      <c r="EM460" s="22"/>
      <c r="EN460" s="22"/>
      <c r="EO460" s="22"/>
      <c r="EP460" s="22"/>
      <c r="EQ460" s="22"/>
      <c r="ER460" s="22"/>
      <c r="ES460" s="22"/>
      <c r="ET460" s="22"/>
      <c r="EU460" s="22"/>
      <c r="EV460" s="22"/>
      <c r="EW460" s="22"/>
      <c r="EX460" s="22"/>
      <c r="EY460" s="22"/>
      <c r="EZ460" s="22"/>
      <c r="FA460" s="22"/>
      <c r="FB460" s="22"/>
      <c r="FC460" s="22"/>
      <c r="FD460" s="22"/>
      <c r="FE460" s="22"/>
      <c r="FF460" s="22"/>
      <c r="FG460" s="22"/>
      <c r="FH460" s="22"/>
      <c r="FI460" s="22"/>
      <c r="FJ460" s="22"/>
      <c r="FK460" s="22"/>
      <c r="FL460" s="22"/>
      <c r="FM460" s="22"/>
      <c r="FN460" s="22"/>
      <c r="FO460" s="22"/>
      <c r="FP460" s="22"/>
      <c r="FQ460" s="22"/>
      <c r="FR460" s="22"/>
      <c r="FS460" s="22"/>
      <c r="FT460" s="22"/>
      <c r="FU460" s="22"/>
      <c r="FV460" s="22"/>
      <c r="FW460" s="22"/>
      <c r="FX460" s="22"/>
      <c r="FY460" s="22"/>
      <c r="FZ460" s="22"/>
      <c r="GA460" s="22"/>
      <c r="GB460" s="22"/>
      <c r="GC460" s="22"/>
      <c r="GD460" s="22"/>
      <c r="GE460" s="22"/>
      <c r="GF460" s="22"/>
      <c r="GG460" s="22"/>
      <c r="GH460" s="22"/>
      <c r="GI460" s="22"/>
      <c r="GJ460" s="22"/>
      <c r="GK460" s="22"/>
      <c r="GL460" s="22"/>
      <c r="GM460" s="22"/>
      <c r="GN460" s="22"/>
      <c r="GO460" s="22"/>
      <c r="GP460" s="22"/>
      <c r="GQ460" s="22"/>
      <c r="GR460" s="22"/>
      <c r="GS460" s="22"/>
      <c r="GT460" s="22"/>
      <c r="GU460" s="22"/>
      <c r="GV460" s="22"/>
      <c r="GW460" s="22"/>
      <c r="GX460" s="22"/>
      <c r="GY460" s="22"/>
      <c r="GZ460" s="22"/>
      <c r="HA460" s="22"/>
      <c r="HB460" s="22"/>
      <c r="HC460" s="22"/>
      <c r="HD460" s="22"/>
      <c r="HE460" s="22"/>
      <c r="HF460" s="22"/>
      <c r="HG460" s="22"/>
      <c r="HH460" s="22"/>
      <c r="HI460" s="22"/>
      <c r="HJ460" s="22"/>
      <c r="HK460" s="22"/>
      <c r="HL460" s="22"/>
      <c r="HM460" s="22"/>
      <c r="HN460" s="22"/>
      <c r="HO460" s="22"/>
      <c r="HP460" s="22"/>
      <c r="HQ460" s="22"/>
      <c r="HR460" s="22"/>
      <c r="HS460" s="22"/>
      <c r="HT460" s="22"/>
      <c r="HU460" s="22"/>
      <c r="HV460" s="22"/>
      <c r="HW460" s="22"/>
      <c r="HX460" s="22"/>
      <c r="HY460" s="22"/>
      <c r="HZ460" s="22"/>
      <c r="IA460" s="22"/>
      <c r="IB460" s="22"/>
      <c r="IC460" s="22"/>
      <c r="ID460" s="22"/>
      <c r="IE460" s="22"/>
      <c r="IF460" s="22"/>
      <c r="IG460" s="22"/>
      <c r="IH460" s="22"/>
      <c r="II460" s="22"/>
      <c r="IJ460" s="22"/>
      <c r="IK460" s="22"/>
      <c r="IL460" s="22"/>
      <c r="IM460" s="22"/>
      <c r="IN460" s="22"/>
      <c r="IO460" s="22"/>
      <c r="IP460" s="22"/>
      <c r="IQ460" s="22"/>
      <c r="IR460" s="22"/>
      <c r="IS460" s="22"/>
      <c r="IT460" s="22"/>
      <c r="IU460" s="22"/>
      <c r="IV460" s="22"/>
      <c r="IW460" s="22"/>
      <c r="IX460" s="22"/>
      <c r="IY460" s="22"/>
      <c r="IZ460" s="22"/>
      <c r="JA460" s="22"/>
      <c r="JB460" s="22"/>
      <c r="JC460" s="22"/>
      <c r="JD460" s="22"/>
      <c r="JE460" s="22"/>
      <c r="JF460" s="22"/>
      <c r="JG460" s="22"/>
      <c r="JH460" s="22"/>
      <c r="JI460" s="22"/>
      <c r="JJ460" s="22"/>
      <c r="JK460" s="22"/>
      <c r="JL460" s="22"/>
      <c r="JM460" s="22"/>
      <c r="JN460" s="22"/>
      <c r="JO460" s="22"/>
      <c r="JP460" s="22"/>
      <c r="JQ460" s="22"/>
      <c r="JR460" s="22"/>
      <c r="JS460" s="22"/>
      <c r="JT460" s="22"/>
      <c r="JU460" s="22"/>
      <c r="JV460" s="22"/>
      <c r="JW460" s="22"/>
      <c r="JX460" s="22"/>
      <c r="JY460" s="22"/>
      <c r="JZ460" s="22"/>
      <c r="KA460" s="22"/>
      <c r="KB460" s="22"/>
      <c r="KC460" s="22"/>
      <c r="KD460" s="22"/>
      <c r="KE460" s="22"/>
      <c r="KF460" s="22"/>
      <c r="KG460" s="22"/>
      <c r="KH460" s="22"/>
      <c r="KI460" s="22"/>
      <c r="KJ460" s="22"/>
      <c r="KK460" s="22"/>
      <c r="KL460" s="22"/>
      <c r="KM460" s="22"/>
      <c r="KN460" s="22"/>
      <c r="KO460" s="22"/>
      <c r="KP460" s="22"/>
      <c r="KQ460" s="22"/>
      <c r="KR460" s="22"/>
      <c r="KS460" s="22"/>
      <c r="KT460" s="22"/>
      <c r="KU460" s="22"/>
      <c r="KV460" s="22"/>
      <c r="KW460" s="22"/>
      <c r="KX460" s="22"/>
      <c r="KY460" s="22"/>
      <c r="KZ460" s="22"/>
      <c r="LA460" s="22"/>
      <c r="LB460" s="22"/>
      <c r="LC460" s="22"/>
      <c r="LD460" s="22"/>
      <c r="LE460" s="22"/>
      <c r="LF460" s="22"/>
      <c r="LG460" s="22"/>
      <c r="LH460" s="22"/>
      <c r="LI460" s="22"/>
      <c r="LJ460" s="22"/>
      <c r="LK460" s="22"/>
      <c r="LL460" s="22"/>
      <c r="LM460" s="22"/>
      <c r="LN460" s="22"/>
      <c r="LO460" s="22"/>
      <c r="LP460" s="22"/>
      <c r="LQ460" s="22"/>
      <c r="LR460" s="22"/>
      <c r="LS460" s="22"/>
      <c r="LT460" s="22"/>
      <c r="LU460" s="22"/>
      <c r="LV460" s="22"/>
      <c r="LW460" s="22"/>
      <c r="LX460" s="22"/>
      <c r="LY460" s="22"/>
      <c r="LZ460" s="22"/>
      <c r="MA460" s="22"/>
      <c r="MB460" s="22"/>
      <c r="MC460" s="22"/>
      <c r="MD460" s="22"/>
      <c r="ME460" s="22"/>
      <c r="MF460" s="22"/>
      <c r="MG460" s="22"/>
      <c r="MH460" s="22"/>
      <c r="MI460" s="22"/>
      <c r="MJ460" s="22"/>
      <c r="MK460" s="22"/>
      <c r="ML460" s="22"/>
      <c r="MM460" s="22"/>
      <c r="MN460" s="22"/>
      <c r="MO460" s="22"/>
      <c r="MP460" s="22"/>
      <c r="MQ460" s="22"/>
      <c r="MR460" s="22"/>
      <c r="MS460" s="22"/>
      <c r="MT460" s="22"/>
      <c r="MU460" s="22"/>
      <c r="MV460" s="22"/>
      <c r="MW460" s="22"/>
      <c r="MX460" s="22"/>
      <c r="MY460" s="22"/>
      <c r="MZ460" s="22"/>
      <c r="NA460" s="22"/>
      <c r="NB460" s="22"/>
      <c r="NC460" s="22"/>
      <c r="ND460" s="22"/>
      <c r="NE460" s="22"/>
      <c r="NF460" s="22"/>
      <c r="NG460" s="22"/>
      <c r="NH460" s="22"/>
      <c r="NI460" s="22"/>
      <c r="NJ460" s="22"/>
      <c r="NK460" s="22"/>
      <c r="NL460" s="22"/>
      <c r="NM460" s="22"/>
      <c r="NN460" s="22"/>
      <c r="NO460" s="22"/>
      <c r="NP460" s="22"/>
      <c r="NQ460" s="22"/>
      <c r="NR460" s="22"/>
      <c r="NS460" s="22"/>
      <c r="NT460" s="22"/>
      <c r="NU460" s="22"/>
      <c r="NV460" s="22"/>
      <c r="NW460" s="22"/>
      <c r="NX460" s="22"/>
      <c r="NY460" s="22"/>
      <c r="NZ460" s="22"/>
      <c r="OA460" s="22"/>
      <c r="OB460" s="22"/>
      <c r="OC460" s="22"/>
      <c r="OD460" s="22"/>
      <c r="OE460" s="22"/>
      <c r="OF460" s="22"/>
      <c r="OG460" s="22"/>
      <c r="OH460" s="22"/>
      <c r="OI460" s="22"/>
      <c r="OJ460" s="22"/>
      <c r="OK460" s="22"/>
      <c r="OL460" s="22"/>
      <c r="OM460" s="22"/>
      <c r="ON460" s="22"/>
      <c r="OO460" s="22"/>
      <c r="OP460" s="22"/>
      <c r="OQ460" s="22"/>
      <c r="OR460" s="22"/>
      <c r="OS460" s="22"/>
      <c r="OT460" s="22"/>
      <c r="OU460" s="22"/>
      <c r="OV460" s="22"/>
      <c r="OW460" s="22"/>
      <c r="OX460" s="22"/>
      <c r="OY460" s="22"/>
      <c r="OZ460" s="22"/>
      <c r="PA460" s="22"/>
      <c r="PB460" s="22"/>
      <c r="PC460" s="22"/>
      <c r="PD460" s="22"/>
      <c r="PE460" s="22"/>
      <c r="PF460" s="22"/>
      <c r="PG460" s="22"/>
      <c r="PH460" s="22"/>
      <c r="PI460" s="22"/>
      <c r="PJ460" s="22"/>
      <c r="PK460" s="22"/>
      <c r="PL460" s="22"/>
      <c r="PM460" s="22"/>
      <c r="PN460" s="22"/>
      <c r="PO460" s="22"/>
      <c r="PP460" s="22"/>
      <c r="PQ460" s="22"/>
      <c r="PR460" s="22"/>
      <c r="PS460" s="22"/>
      <c r="PT460" s="22"/>
      <c r="PU460" s="22"/>
      <c r="PV460" s="22"/>
      <c r="PW460" s="22"/>
      <c r="PX460" s="22"/>
      <c r="PY460" s="22"/>
      <c r="PZ460" s="22"/>
      <c r="QA460" s="22"/>
      <c r="QB460" s="22"/>
      <c r="QC460" s="22"/>
      <c r="QD460" s="22"/>
      <c r="QE460" s="22"/>
      <c r="QF460" s="22"/>
      <c r="QG460" s="22"/>
      <c r="QH460" s="22"/>
      <c r="QI460" s="22"/>
      <c r="QJ460" s="22"/>
      <c r="QK460" s="22"/>
      <c r="QL460" s="22"/>
      <c r="QM460" s="22"/>
      <c r="QN460" s="22"/>
      <c r="QO460" s="22"/>
      <c r="QP460" s="22"/>
      <c r="QQ460" s="22"/>
      <c r="QR460" s="22"/>
      <c r="QS460" s="22"/>
      <c r="QT460" s="22"/>
      <c r="QU460" s="22"/>
      <c r="QV460" s="22"/>
      <c r="QW460" s="22"/>
      <c r="QX460" s="22"/>
      <c r="QY460" s="22"/>
      <c r="QZ460" s="22"/>
      <c r="RA460" s="22"/>
      <c r="RB460" s="22"/>
      <c r="RC460" s="22"/>
      <c r="RD460" s="22"/>
      <c r="RE460" s="22"/>
      <c r="RF460" s="22"/>
      <c r="RG460" s="22"/>
      <c r="RH460" s="22"/>
      <c r="RI460" s="22"/>
      <c r="RJ460" s="22"/>
      <c r="RK460" s="22"/>
      <c r="RL460" s="22"/>
      <c r="RM460" s="22"/>
      <c r="RN460" s="22"/>
      <c r="RO460" s="22"/>
      <c r="RP460" s="22"/>
      <c r="RQ460" s="22"/>
      <c r="RR460" s="22"/>
      <c r="RS460" s="22"/>
      <c r="RT460" s="22"/>
      <c r="RU460" s="22"/>
      <c r="RV460" s="22"/>
      <c r="RW460" s="22"/>
      <c r="RX460" s="22"/>
      <c r="RY460" s="22"/>
      <c r="RZ460" s="22"/>
      <c r="SA460" s="22"/>
      <c r="SB460" s="22"/>
      <c r="SC460" s="22"/>
      <c r="SD460" s="22"/>
      <c r="SE460" s="22"/>
      <c r="SF460" s="22"/>
      <c r="SG460" s="22"/>
      <c r="SH460" s="22"/>
      <c r="SI460" s="22"/>
      <c r="SJ460" s="22"/>
      <c r="SK460" s="22"/>
      <c r="SL460" s="22"/>
      <c r="SM460" s="22"/>
      <c r="SN460" s="22"/>
      <c r="SO460" s="22"/>
      <c r="SP460" s="22"/>
      <c r="SQ460" s="22"/>
      <c r="SR460" s="22"/>
      <c r="SS460" s="22"/>
      <c r="ST460" s="22"/>
      <c r="SU460" s="22"/>
      <c r="SV460" s="22"/>
      <c r="SW460" s="22"/>
      <c r="SX460" s="22"/>
      <c r="SY460" s="22"/>
      <c r="SZ460" s="22"/>
      <c r="TA460" s="22"/>
      <c r="TB460" s="22"/>
      <c r="TC460" s="22"/>
      <c r="TD460" s="22"/>
      <c r="TE460" s="22"/>
      <c r="TF460" s="22"/>
      <c r="TG460" s="22"/>
      <c r="TH460" s="22"/>
      <c r="TI460" s="22"/>
      <c r="TJ460" s="22"/>
      <c r="TK460" s="22"/>
      <c r="TL460" s="22"/>
      <c r="TM460" s="22"/>
      <c r="TN460" s="22"/>
      <c r="TO460" s="22"/>
      <c r="TP460" s="22"/>
      <c r="TQ460" s="22"/>
      <c r="TR460" s="22"/>
      <c r="TS460" s="22"/>
      <c r="TT460" s="22"/>
      <c r="TU460" s="22"/>
      <c r="TV460" s="22"/>
      <c r="TW460" s="22"/>
      <c r="TX460" s="22"/>
      <c r="TY460" s="22"/>
      <c r="TZ460" s="22"/>
      <c r="UA460" s="22"/>
      <c r="UB460" s="22"/>
      <c r="UC460" s="22"/>
      <c r="UD460" s="22"/>
      <c r="UE460" s="22"/>
      <c r="UF460" s="22"/>
      <c r="UG460" s="22"/>
      <c r="UH460" s="22"/>
      <c r="UI460" s="22"/>
      <c r="UJ460" s="22"/>
      <c r="UK460" s="22"/>
      <c r="UL460" s="22"/>
      <c r="UM460" s="22"/>
      <c r="UN460" s="22"/>
      <c r="UO460" s="22"/>
      <c r="UP460" s="22"/>
      <c r="UQ460" s="22"/>
      <c r="UR460" s="22"/>
      <c r="US460" s="22"/>
      <c r="UT460" s="22"/>
      <c r="UU460" s="22"/>
      <c r="UV460" s="22"/>
      <c r="UW460" s="22"/>
      <c r="UX460" s="22"/>
      <c r="UY460" s="22"/>
      <c r="UZ460" s="22"/>
      <c r="VA460" s="22"/>
      <c r="VB460" s="22"/>
      <c r="VC460" s="22"/>
      <c r="VD460" s="22"/>
      <c r="VE460" s="22"/>
      <c r="VF460" s="22"/>
      <c r="VG460" s="22"/>
      <c r="VH460" s="22"/>
      <c r="VI460" s="22"/>
      <c r="VJ460" s="22"/>
      <c r="VK460" s="22"/>
      <c r="VL460" s="22"/>
      <c r="VM460" s="22"/>
      <c r="VN460" s="22"/>
      <c r="VO460" s="22"/>
      <c r="VP460" s="22"/>
      <c r="VQ460" s="22"/>
      <c r="VR460" s="22"/>
      <c r="VS460" s="22"/>
      <c r="VT460" s="22"/>
      <c r="VU460" s="22"/>
      <c r="VV460" s="22"/>
      <c r="VW460" s="22"/>
      <c r="VX460" s="22"/>
      <c r="VY460" s="22"/>
      <c r="VZ460" s="22"/>
      <c r="WA460" s="22"/>
      <c r="WB460" s="22"/>
      <c r="WC460" s="22"/>
      <c r="WD460" s="22"/>
      <c r="WE460" s="22"/>
      <c r="WF460" s="22"/>
      <c r="WG460" s="22"/>
      <c r="WH460" s="22"/>
      <c r="WI460" s="22"/>
      <c r="WJ460" s="22"/>
      <c r="WK460" s="22"/>
      <c r="WL460" s="22"/>
      <c r="WM460" s="22"/>
      <c r="WN460" s="22"/>
      <c r="WO460" s="22"/>
      <c r="WP460" s="22"/>
      <c r="WQ460" s="22"/>
      <c r="WR460" s="22"/>
      <c r="WS460" s="22"/>
      <c r="WT460" s="22"/>
      <c r="WU460" s="22"/>
      <c r="WV460" s="22"/>
      <c r="WW460" s="22"/>
      <c r="WX460" s="22"/>
      <c r="WY460" s="22"/>
      <c r="WZ460" s="22"/>
      <c r="XA460" s="22"/>
      <c r="XB460" s="22"/>
      <c r="XC460" s="22"/>
      <c r="XD460" s="22"/>
      <c r="XE460" s="22"/>
      <c r="XF460" s="22"/>
      <c r="XG460" s="22"/>
      <c r="XH460" s="22"/>
      <c r="XI460" s="22"/>
      <c r="XJ460" s="22"/>
      <c r="XK460" s="22"/>
      <c r="XL460" s="22"/>
      <c r="XM460" s="22"/>
      <c r="XN460" s="22"/>
      <c r="XO460" s="22"/>
      <c r="XP460" s="22"/>
      <c r="XQ460" s="22"/>
      <c r="XR460" s="22"/>
      <c r="XS460" s="22"/>
      <c r="XT460" s="22"/>
      <c r="XU460" s="22"/>
      <c r="XV460" s="22"/>
      <c r="XW460" s="22"/>
      <c r="XX460" s="22"/>
      <c r="XY460" s="22"/>
      <c r="XZ460" s="22"/>
      <c r="YA460" s="22"/>
      <c r="YB460" s="22"/>
      <c r="YC460" s="22"/>
      <c r="YD460" s="22"/>
      <c r="YE460" s="22"/>
      <c r="YF460" s="22"/>
      <c r="YG460" s="22"/>
      <c r="YH460" s="22"/>
      <c r="YI460" s="22"/>
      <c r="YJ460" s="22"/>
      <c r="YK460" s="22"/>
      <c r="YL460" s="22"/>
      <c r="YM460" s="22"/>
      <c r="YN460" s="22"/>
      <c r="YO460" s="22"/>
      <c r="YP460" s="22"/>
      <c r="YQ460" s="22"/>
      <c r="YR460" s="22"/>
      <c r="YS460" s="22"/>
      <c r="YT460" s="22"/>
      <c r="YU460" s="22"/>
      <c r="YV460" s="22"/>
      <c r="YW460" s="22"/>
      <c r="YX460" s="22"/>
      <c r="YY460" s="22"/>
      <c r="YZ460" s="22"/>
      <c r="ZA460" s="22"/>
      <c r="ZB460" s="22"/>
      <c r="ZC460" s="22"/>
      <c r="ZD460" s="22"/>
      <c r="ZE460" s="22"/>
      <c r="ZF460" s="22"/>
      <c r="ZG460" s="22"/>
      <c r="ZH460" s="22"/>
      <c r="ZI460" s="22"/>
      <c r="ZJ460" s="22"/>
      <c r="ZK460" s="22"/>
      <c r="ZL460" s="22"/>
      <c r="ZM460" s="22"/>
      <c r="ZN460" s="22"/>
      <c r="ZO460" s="22"/>
      <c r="ZP460" s="22"/>
      <c r="ZQ460" s="22"/>
      <c r="ZR460" s="22"/>
      <c r="ZS460" s="22"/>
      <c r="ZT460" s="22"/>
      <c r="ZU460" s="22"/>
      <c r="ZV460" s="22"/>
      <c r="ZW460" s="22"/>
      <c r="ZX460" s="22"/>
      <c r="ZY460" s="22"/>
      <c r="ZZ460" s="22"/>
      <c r="AAA460" s="22"/>
      <c r="AAB460" s="22"/>
      <c r="AAC460" s="22"/>
      <c r="AAD460" s="22"/>
      <c r="AAE460" s="22"/>
      <c r="AAF460" s="22"/>
      <c r="AAG460" s="22"/>
      <c r="AAH460" s="22"/>
      <c r="AAI460" s="22"/>
      <c r="AAJ460" s="22"/>
      <c r="AAK460" s="22"/>
      <c r="AAL460" s="22"/>
      <c r="AAM460" s="22"/>
      <c r="AAN460" s="22"/>
      <c r="AAO460" s="22"/>
      <c r="AAP460" s="22"/>
      <c r="AAQ460" s="22"/>
      <c r="AAR460" s="22"/>
      <c r="AAS460" s="22"/>
      <c r="AAT460" s="22"/>
      <c r="AAU460" s="22"/>
      <c r="AAV460" s="22"/>
      <c r="AAW460" s="22"/>
      <c r="AAX460" s="22"/>
      <c r="AAY460" s="22"/>
      <c r="AAZ460" s="22"/>
      <c r="ABA460" s="22"/>
      <c r="ABB460" s="22"/>
      <c r="ABC460" s="22"/>
      <c r="ABD460" s="22"/>
      <c r="ABE460" s="22"/>
      <c r="ABF460" s="22"/>
      <c r="ABG460" s="22"/>
      <c r="ABH460" s="22"/>
      <c r="ABI460" s="22"/>
      <c r="ABJ460" s="22"/>
      <c r="ABK460" s="22"/>
      <c r="ABL460" s="22"/>
      <c r="ABM460" s="22"/>
      <c r="ABN460" s="22"/>
      <c r="ABO460" s="22"/>
      <c r="ABP460" s="22"/>
      <c r="ABQ460" s="22"/>
      <c r="ABR460" s="22"/>
      <c r="ABS460" s="22"/>
      <c r="ABT460" s="22"/>
      <c r="ABU460" s="22"/>
      <c r="ABV460" s="22"/>
      <c r="ABW460" s="22"/>
      <c r="ABX460" s="22"/>
      <c r="ABY460" s="22"/>
      <c r="ABZ460" s="22"/>
      <c r="ACA460" s="22"/>
      <c r="ACB460" s="22"/>
      <c r="ACC460" s="22"/>
      <c r="ACD460" s="22"/>
      <c r="ACE460" s="22"/>
      <c r="ACF460" s="22"/>
      <c r="ACG460" s="22"/>
      <c r="ACH460" s="22"/>
      <c r="ACI460" s="22"/>
      <c r="ACJ460" s="22"/>
      <c r="ACK460" s="22"/>
      <c r="ACL460" s="22"/>
      <c r="ACM460" s="22"/>
      <c r="ACN460" s="22"/>
      <c r="ACO460" s="22"/>
      <c r="ACP460" s="22"/>
      <c r="ACQ460" s="22"/>
      <c r="ACR460" s="22"/>
      <c r="ACS460" s="22"/>
      <c r="ACT460" s="22"/>
      <c r="ACU460" s="22"/>
      <c r="ACV460" s="22"/>
      <c r="ACW460" s="22"/>
      <c r="ACX460" s="22"/>
      <c r="ACY460" s="22"/>
      <c r="ACZ460" s="22"/>
      <c r="ADA460" s="22"/>
      <c r="ADB460" s="22"/>
      <c r="ADC460" s="22"/>
      <c r="ADD460" s="22"/>
      <c r="ADE460" s="22"/>
      <c r="ADF460" s="22"/>
      <c r="ADG460" s="22"/>
      <c r="ADH460" s="22"/>
      <c r="ADI460" s="22"/>
      <c r="ADJ460" s="22"/>
      <c r="ADK460" s="22"/>
      <c r="ADL460" s="22"/>
      <c r="ADM460" s="22"/>
      <c r="ADN460" s="22"/>
      <c r="ADO460" s="22"/>
      <c r="ADP460" s="22"/>
      <c r="ADQ460" s="22"/>
      <c r="ADR460" s="22"/>
      <c r="ADS460" s="22"/>
      <c r="ADT460" s="22"/>
      <c r="ADU460" s="22"/>
      <c r="ADV460" s="22"/>
      <c r="ADW460" s="22"/>
      <c r="ADX460" s="22"/>
      <c r="ADY460" s="22"/>
      <c r="ADZ460" s="22"/>
      <c r="AEA460" s="22"/>
      <c r="AEB460" s="22"/>
      <c r="AEC460" s="22"/>
      <c r="AED460" s="22"/>
      <c r="AEE460" s="22"/>
      <c r="AEF460" s="22"/>
      <c r="AEG460" s="22"/>
      <c r="AEH460" s="22"/>
      <c r="AEI460" s="22"/>
      <c r="AEJ460" s="22"/>
      <c r="AEK460" s="22"/>
      <c r="AEL460" s="22"/>
      <c r="AEM460" s="22"/>
      <c r="AEN460" s="22"/>
      <c r="AEO460" s="22"/>
      <c r="AEP460" s="22"/>
      <c r="AEQ460" s="22"/>
      <c r="AER460" s="22"/>
      <c r="AES460" s="22"/>
      <c r="AET460" s="22"/>
      <c r="AEU460" s="22"/>
      <c r="AEV460" s="22"/>
      <c r="AEW460" s="22"/>
      <c r="AEX460" s="22"/>
      <c r="AEY460" s="22"/>
      <c r="AEZ460" s="22"/>
      <c r="AFA460" s="22"/>
      <c r="AFB460" s="22"/>
      <c r="AFC460" s="22"/>
      <c r="AFD460" s="22"/>
      <c r="AFE460" s="22"/>
      <c r="AFF460" s="22"/>
      <c r="AFG460" s="22"/>
      <c r="AFH460" s="22"/>
      <c r="AFI460" s="22"/>
      <c r="AFJ460" s="22"/>
      <c r="AFK460" s="22"/>
      <c r="AFL460" s="22"/>
      <c r="AFM460" s="22"/>
      <c r="AFN460" s="22"/>
      <c r="AFO460" s="22"/>
      <c r="AFP460" s="22"/>
      <c r="AFQ460" s="22"/>
      <c r="AFR460" s="22"/>
      <c r="AFS460" s="22"/>
      <c r="AFT460" s="22"/>
      <c r="AFU460" s="22"/>
      <c r="AFV460" s="22"/>
      <c r="AFW460" s="22"/>
      <c r="AFX460" s="22"/>
      <c r="AFY460" s="22"/>
      <c r="AFZ460" s="22"/>
      <c r="AGA460" s="22"/>
      <c r="AGB460" s="22"/>
      <c r="AGC460" s="22"/>
      <c r="AGD460" s="22"/>
      <c r="AGE460" s="22"/>
      <c r="AGF460" s="22"/>
      <c r="AGG460" s="22"/>
      <c r="AGH460" s="22"/>
      <c r="AGI460" s="22"/>
      <c r="AGJ460" s="22"/>
      <c r="AGK460" s="22"/>
      <c r="AGL460" s="22"/>
      <c r="AGM460" s="22"/>
      <c r="AGN460" s="22"/>
      <c r="AGO460" s="22"/>
      <c r="AGP460" s="22"/>
      <c r="AGQ460" s="22"/>
      <c r="AGR460" s="22"/>
      <c r="AGS460" s="22"/>
      <c r="AGT460" s="22"/>
      <c r="AGU460" s="22"/>
      <c r="AGV460" s="22"/>
      <c r="AGW460" s="22"/>
      <c r="AGX460" s="22"/>
      <c r="AGY460" s="22"/>
      <c r="AGZ460" s="22"/>
      <c r="AHA460" s="22"/>
      <c r="AHB460" s="22"/>
      <c r="AHC460" s="22"/>
      <c r="AHD460" s="22"/>
      <c r="AHE460" s="22"/>
      <c r="AHF460" s="22"/>
      <c r="AHG460" s="22"/>
      <c r="AHH460" s="22"/>
      <c r="AHI460" s="22"/>
      <c r="AHJ460" s="22"/>
      <c r="AHK460" s="22"/>
      <c r="AHL460" s="22"/>
      <c r="AHM460" s="22"/>
      <c r="AHN460" s="22"/>
      <c r="AHO460" s="22"/>
      <c r="AHP460" s="22"/>
      <c r="AHQ460" s="22"/>
      <c r="AHR460" s="22"/>
      <c r="AHS460" s="22"/>
      <c r="AHT460" s="22"/>
      <c r="AHU460" s="22"/>
      <c r="AHV460" s="22"/>
      <c r="AHW460" s="22"/>
      <c r="AHX460" s="22"/>
      <c r="AHY460" s="22"/>
      <c r="AHZ460" s="22"/>
      <c r="AIA460" s="22"/>
      <c r="AIB460" s="22"/>
      <c r="AIC460" s="22"/>
      <c r="AID460" s="22"/>
      <c r="AIE460" s="22"/>
      <c r="AIF460" s="22"/>
      <c r="AIG460" s="22"/>
      <c r="AIH460" s="22"/>
      <c r="AII460" s="22"/>
      <c r="AIJ460" s="22"/>
      <c r="AIK460" s="22"/>
      <c r="AIL460" s="22"/>
      <c r="AIM460" s="22"/>
      <c r="AIN460" s="22"/>
      <c r="AIO460" s="22"/>
      <c r="AIP460" s="22"/>
      <c r="AIQ460" s="22"/>
      <c r="AIR460" s="22"/>
      <c r="AIS460" s="22"/>
      <c r="AIT460" s="22"/>
      <c r="AIU460" s="22"/>
      <c r="AIV460" s="22"/>
      <c r="AIW460" s="22"/>
      <c r="AIX460" s="22"/>
      <c r="AIY460" s="22"/>
      <c r="AIZ460" s="22"/>
      <c r="AJA460" s="22"/>
      <c r="AJB460" s="22"/>
      <c r="AJC460" s="22"/>
      <c r="AJD460" s="22"/>
      <c r="AJE460" s="22"/>
      <c r="AJF460" s="22"/>
      <c r="AJG460" s="22"/>
      <c r="AJH460" s="22"/>
      <c r="AJI460" s="22"/>
      <c r="AJJ460" s="22"/>
      <c r="AJK460" s="22"/>
      <c r="AJL460" s="22"/>
      <c r="AJM460" s="22"/>
      <c r="AJN460" s="22"/>
      <c r="AJO460" s="22"/>
      <c r="AJP460" s="22"/>
      <c r="AJQ460" s="22"/>
      <c r="AJR460" s="22"/>
      <c r="AJS460" s="22"/>
      <c r="AJT460" s="22"/>
      <c r="AJU460" s="22"/>
      <c r="AJV460" s="22"/>
      <c r="AJW460" s="22"/>
      <c r="AJX460" s="22"/>
      <c r="AJY460" s="22"/>
      <c r="AJZ460" s="22"/>
      <c r="AKA460" s="22"/>
      <c r="AKB460" s="22"/>
      <c r="AKC460" s="22"/>
      <c r="AKD460" s="22"/>
      <c r="AKE460" s="22"/>
      <c r="AKF460" s="22"/>
      <c r="AKG460" s="22"/>
      <c r="AKH460" s="22"/>
      <c r="AKI460" s="22"/>
      <c r="AKJ460" s="22"/>
      <c r="AKK460" s="22"/>
      <c r="AKL460" s="22"/>
      <c r="AKM460" s="22"/>
      <c r="AKN460" s="22"/>
      <c r="AKO460" s="22"/>
      <c r="AKP460" s="22"/>
      <c r="AKQ460" s="22"/>
      <c r="AKR460" s="22"/>
      <c r="AKS460" s="22"/>
      <c r="AKT460" s="22"/>
      <c r="AKU460" s="22"/>
      <c r="AKV460" s="22"/>
      <c r="AKW460" s="22"/>
      <c r="AKX460" s="22"/>
      <c r="AKY460" s="22"/>
      <c r="AKZ460" s="22"/>
      <c r="ALA460" s="22"/>
      <c r="ALB460" s="22"/>
      <c r="ALC460" s="22"/>
      <c r="ALD460" s="22"/>
      <c r="ALE460" s="22"/>
      <c r="ALF460" s="22"/>
      <c r="ALG460" s="22"/>
      <c r="ALH460" s="22"/>
      <c r="ALI460" s="22"/>
      <c r="ALJ460" s="22"/>
      <c r="ALK460" s="22"/>
      <c r="ALL460" s="22"/>
      <c r="ALM460" s="22"/>
      <c r="ALN460" s="22"/>
      <c r="ALO460" s="22"/>
      <c r="ALP460" s="22"/>
      <c r="ALQ460" s="22"/>
      <c r="ALR460" s="22"/>
      <c r="ALS460" s="22"/>
      <c r="ALT460" s="22"/>
      <c r="ALU460" s="22"/>
      <c r="ALV460" s="22"/>
      <c r="ALW460" s="22"/>
      <c r="ALX460" s="22"/>
      <c r="ALY460" s="22"/>
      <c r="ALZ460" s="22"/>
      <c r="AMA460" s="22"/>
      <c r="AMB460" s="22"/>
      <c r="AMC460" s="22"/>
      <c r="AMD460" s="22"/>
      <c r="AME460" s="22"/>
      <c r="AMF460" s="22"/>
      <c r="AMG460" s="22"/>
      <c r="AMH460" s="22"/>
      <c r="AMI460" s="22"/>
      <c r="AMJ460" s="22"/>
      <c r="AMK460" s="22"/>
      <c r="AML460" s="22"/>
      <c r="AMM460" s="22"/>
      <c r="AMN460" s="22"/>
      <c r="AMO460" s="22"/>
      <c r="AMP460" s="22"/>
      <c r="AMQ460" s="22"/>
      <c r="AMR460" s="22"/>
      <c r="AMS460" s="22"/>
      <c r="AMT460" s="22"/>
      <c r="AMU460" s="22"/>
      <c r="AMV460" s="22"/>
      <c r="AMW460" s="22"/>
      <c r="AMX460" s="22"/>
      <c r="AMY460" s="22"/>
      <c r="AMZ460" s="22"/>
      <c r="ANA460" s="22"/>
      <c r="ANB460" s="22"/>
      <c r="ANC460" s="22"/>
      <c r="AND460" s="22"/>
      <c r="ANE460" s="22"/>
      <c r="ANF460" s="22"/>
      <c r="ANG460" s="22"/>
      <c r="ANH460" s="22"/>
      <c r="ANI460" s="22"/>
      <c r="ANJ460" s="22"/>
      <c r="ANK460" s="22"/>
      <c r="ANL460" s="22"/>
      <c r="ANM460" s="22"/>
      <c r="ANN460" s="22"/>
      <c r="ANO460" s="22"/>
      <c r="ANP460" s="22"/>
      <c r="ANQ460" s="22"/>
      <c r="ANR460" s="22"/>
      <c r="ANS460" s="22"/>
      <c r="ANT460" s="22"/>
      <c r="ANU460" s="22"/>
      <c r="ANV460" s="22"/>
      <c r="ANW460" s="22"/>
      <c r="ANX460" s="22"/>
      <c r="ANY460" s="22"/>
      <c r="ANZ460" s="22"/>
      <c r="AOA460" s="22"/>
      <c r="AOB460" s="22"/>
      <c r="AOC460" s="22"/>
      <c r="AOD460" s="22"/>
      <c r="AOE460" s="22"/>
      <c r="AOF460" s="22"/>
      <c r="AOG460" s="22"/>
      <c r="AOH460" s="22"/>
      <c r="AOI460" s="22"/>
      <c r="AOJ460" s="22"/>
      <c r="AOK460" s="22"/>
      <c r="AOL460" s="22"/>
      <c r="AOM460" s="22"/>
      <c r="AON460" s="22"/>
      <c r="AOO460" s="22"/>
      <c r="AOP460" s="22"/>
      <c r="AOQ460" s="22"/>
      <c r="AOR460" s="22"/>
      <c r="AOS460" s="22"/>
      <c r="AOT460" s="22"/>
      <c r="AOU460" s="22"/>
      <c r="AOV460" s="22"/>
      <c r="AOW460" s="22"/>
      <c r="AOX460" s="22"/>
      <c r="AOY460" s="22"/>
      <c r="AOZ460" s="22"/>
      <c r="APA460" s="22"/>
      <c r="APB460" s="22"/>
      <c r="APC460" s="22"/>
      <c r="APD460" s="22"/>
      <c r="APE460" s="22"/>
      <c r="APF460" s="22"/>
      <c r="APG460" s="22"/>
      <c r="APH460" s="22"/>
      <c r="API460" s="22"/>
      <c r="APJ460" s="22"/>
      <c r="APK460" s="22"/>
      <c r="APL460" s="22"/>
      <c r="APM460" s="22"/>
      <c r="APN460" s="22"/>
      <c r="APO460" s="22"/>
      <c r="APP460" s="22"/>
      <c r="APQ460" s="22"/>
      <c r="APR460" s="22"/>
      <c r="APS460" s="22"/>
      <c r="APT460" s="22"/>
      <c r="APU460" s="22"/>
      <c r="APV460" s="22"/>
      <c r="APW460" s="22"/>
      <c r="APX460" s="22"/>
      <c r="APY460" s="22"/>
      <c r="APZ460" s="22"/>
      <c r="AQA460" s="22"/>
      <c r="AQB460" s="22"/>
      <c r="AQC460" s="22"/>
      <c r="AQD460" s="22"/>
      <c r="AQE460" s="22"/>
      <c r="AQF460" s="22"/>
      <c r="AQG460" s="22"/>
      <c r="AQH460" s="22"/>
      <c r="AQI460" s="22"/>
      <c r="AQJ460" s="22"/>
      <c r="AQK460" s="22"/>
      <c r="AQL460" s="22"/>
      <c r="AQM460" s="22"/>
      <c r="AQN460" s="22"/>
      <c r="AQO460" s="22"/>
      <c r="AQP460" s="22"/>
      <c r="AQQ460" s="22"/>
      <c r="AQR460" s="22"/>
      <c r="AQS460" s="22"/>
      <c r="AQT460" s="22"/>
      <c r="AQU460" s="22"/>
      <c r="AQV460" s="22"/>
      <c r="AQW460" s="22"/>
      <c r="AQX460" s="22"/>
      <c r="AQY460" s="22"/>
      <c r="AQZ460" s="22"/>
      <c r="ARA460" s="22"/>
      <c r="ARB460" s="22"/>
      <c r="ARC460" s="22"/>
      <c r="ARD460" s="22"/>
      <c r="ARE460" s="22"/>
      <c r="ARF460" s="22"/>
      <c r="ARG460" s="22"/>
      <c r="ARH460" s="22"/>
      <c r="ARI460" s="22"/>
      <c r="ARJ460" s="22"/>
      <c r="ARK460" s="22"/>
      <c r="ARL460" s="22"/>
      <c r="ARM460" s="22"/>
      <c r="ARN460" s="22"/>
      <c r="ARO460" s="22"/>
      <c r="ARP460" s="22"/>
      <c r="ARQ460" s="22"/>
      <c r="ARR460" s="22"/>
      <c r="ARS460" s="22"/>
      <c r="ART460" s="22"/>
      <c r="ARU460" s="22"/>
      <c r="ARV460" s="22"/>
      <c r="ARW460" s="22"/>
      <c r="ARX460" s="22"/>
      <c r="ARY460" s="22"/>
      <c r="ARZ460" s="22"/>
      <c r="ASA460" s="22"/>
      <c r="ASB460" s="22"/>
      <c r="ASC460" s="22"/>
      <c r="ASD460" s="22"/>
      <c r="ASE460" s="22"/>
      <c r="ASF460" s="22"/>
      <c r="ASG460" s="22"/>
      <c r="ASH460" s="22"/>
      <c r="ASI460" s="22"/>
      <c r="ASJ460" s="22"/>
      <c r="ASK460" s="22"/>
      <c r="ASL460" s="22"/>
      <c r="ASM460" s="22"/>
      <c r="ASN460" s="22"/>
      <c r="ASO460" s="22"/>
      <c r="ASP460" s="22"/>
      <c r="ASQ460" s="22"/>
      <c r="ASR460" s="22"/>
      <c r="ASS460" s="22"/>
      <c r="AST460" s="22"/>
      <c r="ASU460" s="22"/>
      <c r="ASV460" s="22"/>
      <c r="ASW460" s="22"/>
      <c r="ASX460" s="22"/>
      <c r="ASY460" s="22"/>
      <c r="ASZ460" s="22"/>
      <c r="ATA460" s="22"/>
      <c r="ATB460" s="22"/>
      <c r="ATC460" s="22"/>
      <c r="ATD460" s="22"/>
      <c r="ATE460" s="22"/>
      <c r="ATF460" s="22"/>
      <c r="ATG460" s="22"/>
      <c r="ATH460" s="22"/>
      <c r="ATI460" s="22"/>
      <c r="ATJ460" s="22"/>
      <c r="ATK460" s="22"/>
      <c r="ATL460" s="22"/>
      <c r="ATM460" s="22"/>
      <c r="ATN460" s="22"/>
      <c r="ATO460" s="22"/>
      <c r="ATP460" s="22"/>
      <c r="ATQ460" s="22"/>
      <c r="ATR460" s="22"/>
      <c r="ATS460" s="22"/>
      <c r="ATT460" s="22"/>
      <c r="ATU460" s="22"/>
      <c r="ATV460" s="22"/>
      <c r="ATW460" s="22"/>
      <c r="ATX460" s="22"/>
      <c r="ATY460" s="22"/>
      <c r="ATZ460" s="22"/>
      <c r="AUA460" s="22"/>
      <c r="AUB460" s="22"/>
      <c r="AUC460" s="22"/>
      <c r="AUD460" s="22"/>
      <c r="AUE460" s="22"/>
      <c r="AUF460" s="22"/>
      <c r="AUG460" s="22"/>
      <c r="AUH460" s="22"/>
      <c r="AUI460" s="22"/>
      <c r="AUJ460" s="22"/>
      <c r="AUK460" s="22"/>
      <c r="AUL460" s="22"/>
      <c r="AUM460" s="22"/>
      <c r="AUN460" s="22"/>
      <c r="AUO460" s="22"/>
      <c r="AUP460" s="22"/>
      <c r="AUQ460" s="22"/>
      <c r="AUR460" s="22"/>
      <c r="AUS460" s="22"/>
      <c r="AUT460" s="22"/>
      <c r="AUU460" s="22"/>
      <c r="AUV460" s="22"/>
      <c r="AUW460" s="22"/>
      <c r="AUX460" s="22"/>
      <c r="AUY460" s="22"/>
      <c r="AUZ460" s="22"/>
      <c r="AVA460" s="22"/>
      <c r="AVB460" s="22"/>
      <c r="AVC460" s="22"/>
      <c r="AVD460" s="22"/>
      <c r="AVE460" s="22"/>
      <c r="AVF460" s="22"/>
      <c r="AVG460" s="22"/>
      <c r="AVH460" s="22"/>
      <c r="AVI460" s="22"/>
      <c r="AVJ460" s="22"/>
      <c r="AVK460" s="22"/>
      <c r="AVL460" s="22"/>
      <c r="AVM460" s="22"/>
      <c r="AVN460" s="22"/>
      <c r="AVO460" s="22"/>
      <c r="AVP460" s="22"/>
      <c r="AVQ460" s="22"/>
      <c r="AVR460" s="22"/>
      <c r="AVS460" s="22"/>
      <c r="AVT460" s="22"/>
      <c r="AVU460" s="22"/>
      <c r="AVV460" s="22"/>
      <c r="AVW460" s="22"/>
      <c r="AVX460" s="22"/>
      <c r="AVY460" s="22"/>
      <c r="AVZ460" s="22"/>
      <c r="AWA460" s="22"/>
      <c r="AWB460" s="22"/>
      <c r="AWC460" s="22"/>
      <c r="AWD460" s="22"/>
      <c r="AWE460" s="22"/>
      <c r="AWF460" s="22"/>
      <c r="AWG460" s="22"/>
      <c r="AWH460" s="22"/>
      <c r="AWI460" s="22"/>
      <c r="AWJ460" s="22"/>
      <c r="AWK460" s="22"/>
      <c r="AWL460" s="22"/>
      <c r="AWM460" s="22"/>
      <c r="AWN460" s="22"/>
      <c r="AWO460" s="22"/>
      <c r="AWP460" s="22"/>
      <c r="AWQ460" s="22"/>
      <c r="AWR460" s="22"/>
      <c r="AWS460" s="22"/>
      <c r="AWT460" s="22"/>
      <c r="AWU460" s="22"/>
      <c r="AWV460" s="22"/>
      <c r="AWW460" s="22"/>
      <c r="AWX460" s="22"/>
      <c r="AWY460" s="22"/>
      <c r="AWZ460" s="22"/>
      <c r="AXA460" s="22"/>
      <c r="AXB460" s="22"/>
      <c r="AXC460" s="22"/>
      <c r="AXD460" s="22"/>
      <c r="AXE460" s="22"/>
      <c r="AXF460" s="22"/>
      <c r="AXG460" s="22"/>
      <c r="AXH460" s="22"/>
      <c r="AXI460" s="22"/>
      <c r="AXJ460" s="22"/>
      <c r="AXK460" s="22"/>
      <c r="AXL460" s="22"/>
      <c r="AXM460" s="22"/>
      <c r="AXN460" s="22"/>
      <c r="AXO460" s="22"/>
      <c r="AXP460" s="22"/>
      <c r="AXQ460" s="22"/>
      <c r="AXR460" s="22"/>
      <c r="AXS460" s="22"/>
      <c r="AXT460" s="22"/>
      <c r="AXU460" s="22"/>
      <c r="AXV460" s="22"/>
      <c r="AXW460" s="22"/>
      <c r="AXX460" s="22"/>
      <c r="AXY460" s="22"/>
      <c r="AXZ460" s="22"/>
      <c r="AYA460" s="22"/>
      <c r="AYB460" s="22"/>
      <c r="AYC460" s="22"/>
      <c r="AYD460" s="22"/>
      <c r="AYE460" s="22"/>
      <c r="AYF460" s="22"/>
      <c r="AYG460" s="22"/>
      <c r="AYH460" s="22"/>
      <c r="AYI460" s="22"/>
      <c r="AYJ460" s="22"/>
      <c r="AYK460" s="22"/>
      <c r="AYL460" s="22"/>
      <c r="AYM460" s="22"/>
      <c r="AYN460" s="22"/>
      <c r="AYO460" s="22"/>
      <c r="AYP460" s="22"/>
      <c r="AYQ460" s="22"/>
      <c r="AYR460" s="22"/>
      <c r="AYS460" s="22"/>
      <c r="AYT460" s="22"/>
      <c r="AYU460" s="22"/>
      <c r="AYV460" s="22"/>
      <c r="AYW460" s="22"/>
      <c r="AYX460" s="22"/>
      <c r="AYY460" s="22"/>
      <c r="AYZ460" s="22"/>
      <c r="AZA460" s="22"/>
      <c r="AZB460" s="22"/>
      <c r="AZC460" s="22"/>
      <c r="AZD460" s="22"/>
      <c r="AZE460" s="22"/>
      <c r="AZF460" s="22"/>
      <c r="AZG460" s="22"/>
      <c r="AZH460" s="22"/>
      <c r="AZI460" s="22"/>
      <c r="AZJ460" s="22"/>
      <c r="AZK460" s="22"/>
      <c r="AZL460" s="22"/>
      <c r="AZM460" s="22"/>
      <c r="AZN460" s="22"/>
      <c r="AZO460" s="22"/>
      <c r="AZP460" s="22"/>
      <c r="AZQ460" s="22"/>
      <c r="AZR460" s="22"/>
      <c r="AZS460" s="22"/>
      <c r="AZT460" s="22"/>
      <c r="AZU460" s="22"/>
      <c r="AZV460" s="22"/>
      <c r="AZW460" s="22"/>
      <c r="AZX460" s="22"/>
      <c r="AZY460" s="22"/>
      <c r="AZZ460" s="22"/>
      <c r="BAA460" s="22"/>
      <c r="BAB460" s="22"/>
      <c r="BAC460" s="22"/>
      <c r="BAD460" s="22"/>
      <c r="BAE460" s="22"/>
      <c r="BAF460" s="22"/>
      <c r="BAG460" s="22"/>
      <c r="BAH460" s="22"/>
      <c r="BAI460" s="22"/>
      <c r="BAJ460" s="22"/>
      <c r="BAK460" s="22"/>
      <c r="BAL460" s="22"/>
      <c r="BAM460" s="22"/>
      <c r="BAN460" s="22"/>
      <c r="BAO460" s="22"/>
      <c r="BAP460" s="22"/>
      <c r="BAQ460" s="22"/>
      <c r="BAR460" s="22"/>
      <c r="BAS460" s="22"/>
      <c r="BAT460" s="22"/>
      <c r="BAU460" s="22"/>
      <c r="BAV460" s="22"/>
      <c r="BAW460" s="22"/>
      <c r="BAX460" s="22"/>
      <c r="BAY460" s="22"/>
      <c r="BAZ460" s="22"/>
      <c r="BBA460" s="22"/>
      <c r="BBB460" s="22"/>
      <c r="BBC460" s="22"/>
      <c r="BBD460" s="22"/>
      <c r="BBE460" s="22"/>
      <c r="BBF460" s="22"/>
      <c r="BBG460" s="22"/>
      <c r="BBH460" s="22"/>
      <c r="BBI460" s="22"/>
      <c r="BBJ460" s="22"/>
      <c r="BBK460" s="22"/>
      <c r="BBL460" s="22"/>
      <c r="BBM460" s="22"/>
      <c r="BBN460" s="22"/>
      <c r="BBO460" s="22"/>
      <c r="BBP460" s="22"/>
      <c r="BBQ460" s="22"/>
      <c r="BBR460" s="22"/>
      <c r="BBS460" s="22"/>
      <c r="BBT460" s="22"/>
      <c r="BBU460" s="22"/>
      <c r="BBV460" s="22"/>
      <c r="BBW460" s="22"/>
      <c r="BBX460" s="22"/>
      <c r="BBY460" s="22"/>
      <c r="BBZ460" s="22"/>
      <c r="BCA460" s="22"/>
      <c r="BCB460" s="22"/>
      <c r="BCC460" s="22"/>
      <c r="BCD460" s="22"/>
      <c r="BCE460" s="22"/>
      <c r="BCF460" s="22"/>
      <c r="BCG460" s="22"/>
      <c r="BCH460" s="22"/>
      <c r="BCI460" s="22"/>
      <c r="BCJ460" s="22"/>
      <c r="BCK460" s="22"/>
      <c r="BCL460" s="22"/>
      <c r="BCM460" s="22"/>
      <c r="BCN460" s="22"/>
      <c r="BCO460" s="22"/>
      <c r="BCP460" s="22"/>
      <c r="BCQ460" s="22"/>
      <c r="BCR460" s="22"/>
      <c r="BCS460" s="22"/>
      <c r="BCT460" s="22"/>
      <c r="BCU460" s="22"/>
      <c r="BCV460" s="22"/>
      <c r="BCW460" s="22"/>
      <c r="BCX460" s="22"/>
      <c r="BCY460" s="22"/>
      <c r="BCZ460" s="22"/>
      <c r="BDA460" s="22"/>
      <c r="BDB460" s="22"/>
      <c r="BDC460" s="22"/>
      <c r="BDD460" s="22"/>
      <c r="BDE460" s="22"/>
      <c r="BDF460" s="22"/>
      <c r="BDG460" s="22"/>
      <c r="BDH460" s="22"/>
      <c r="BDI460" s="22"/>
      <c r="BDJ460" s="22"/>
      <c r="BDK460" s="22"/>
      <c r="BDL460" s="22"/>
      <c r="BDM460" s="22"/>
      <c r="BDN460" s="22"/>
      <c r="BDO460" s="22"/>
      <c r="BDP460" s="22"/>
      <c r="BDQ460" s="22"/>
      <c r="BDR460" s="22"/>
      <c r="BDS460" s="22"/>
      <c r="BDT460" s="22"/>
      <c r="BDU460" s="22"/>
      <c r="BDV460" s="22"/>
      <c r="BDW460" s="22"/>
      <c r="BDX460" s="22"/>
      <c r="BDY460" s="22"/>
      <c r="BDZ460" s="22"/>
      <c r="BEA460" s="22"/>
      <c r="BEB460" s="22"/>
      <c r="BEC460" s="22"/>
      <c r="BED460" s="22"/>
      <c r="BEE460" s="22"/>
      <c r="BEF460" s="22"/>
      <c r="BEG460" s="22"/>
      <c r="BEH460" s="22"/>
      <c r="BEI460" s="22"/>
      <c r="BEJ460" s="22"/>
      <c r="BEK460" s="22"/>
      <c r="BEL460" s="22"/>
      <c r="BEM460" s="22"/>
      <c r="BEN460" s="22"/>
      <c r="BEO460" s="22"/>
      <c r="BEP460" s="22"/>
      <c r="BEQ460" s="22"/>
      <c r="BER460" s="22"/>
      <c r="BES460" s="22"/>
      <c r="BET460" s="22"/>
      <c r="BEU460" s="22"/>
      <c r="BEV460" s="22"/>
      <c r="BEW460" s="22"/>
      <c r="BEX460" s="22"/>
      <c r="BEY460" s="22"/>
      <c r="BEZ460" s="22"/>
      <c r="BFA460" s="22"/>
      <c r="BFB460" s="22"/>
      <c r="BFC460" s="22"/>
      <c r="BFD460" s="22"/>
      <c r="BFE460" s="22"/>
      <c r="BFF460" s="22"/>
      <c r="BFG460" s="22"/>
      <c r="BFH460" s="22"/>
      <c r="BFI460" s="22"/>
      <c r="BFJ460" s="22"/>
      <c r="BFK460" s="22"/>
      <c r="BFL460" s="22"/>
      <c r="BFM460" s="22"/>
      <c r="BFN460" s="22"/>
      <c r="BFO460" s="22"/>
      <c r="BFP460" s="22"/>
      <c r="BFQ460" s="22"/>
      <c r="BFR460" s="22"/>
      <c r="BFS460" s="22"/>
      <c r="BFT460" s="22"/>
      <c r="BFU460" s="22"/>
      <c r="BFV460" s="22"/>
      <c r="BFW460" s="22"/>
      <c r="BFX460" s="22"/>
      <c r="BFY460" s="22"/>
      <c r="BFZ460" s="22"/>
      <c r="BGA460" s="22"/>
      <c r="BGB460" s="22"/>
      <c r="BGC460" s="22"/>
      <c r="BGD460" s="22"/>
      <c r="BGE460" s="22"/>
      <c r="BGF460" s="22"/>
      <c r="BGG460" s="22"/>
      <c r="BGH460" s="22"/>
      <c r="BGI460" s="22"/>
      <c r="BGJ460" s="22"/>
      <c r="BGK460" s="22"/>
      <c r="BGL460" s="22"/>
      <c r="BGM460" s="22"/>
      <c r="BGN460" s="22"/>
      <c r="BGO460" s="22"/>
      <c r="BGP460" s="22"/>
      <c r="BGQ460" s="22"/>
      <c r="BGR460" s="22"/>
      <c r="BGS460" s="22"/>
      <c r="BGT460" s="22"/>
      <c r="BGU460" s="22"/>
      <c r="BGV460" s="22"/>
      <c r="BGW460" s="22"/>
      <c r="BGX460" s="22"/>
      <c r="BGY460" s="22"/>
      <c r="BGZ460" s="22"/>
      <c r="BHA460" s="22"/>
      <c r="BHB460" s="22"/>
      <c r="BHC460" s="22"/>
      <c r="BHD460" s="22"/>
      <c r="BHE460" s="22"/>
      <c r="BHF460" s="22"/>
      <c r="BHG460" s="22"/>
      <c r="BHH460" s="22"/>
      <c r="BHI460" s="22"/>
      <c r="BHJ460" s="22"/>
      <c r="BHK460" s="22"/>
      <c r="BHL460" s="22"/>
      <c r="BHM460" s="22"/>
      <c r="BHN460" s="22"/>
      <c r="BHO460" s="22"/>
      <c r="BHP460" s="22"/>
      <c r="BHQ460" s="22"/>
      <c r="BHR460" s="22"/>
      <c r="BHS460" s="22"/>
      <c r="BHT460" s="22"/>
      <c r="BHU460" s="22"/>
      <c r="BHV460" s="22"/>
      <c r="BHW460" s="22"/>
      <c r="BHX460" s="22"/>
      <c r="BHY460" s="22"/>
      <c r="BHZ460" s="22"/>
      <c r="BIA460" s="22"/>
      <c r="BIB460" s="22"/>
      <c r="BIC460" s="22"/>
      <c r="BID460" s="22"/>
      <c r="BIE460" s="22"/>
      <c r="BIF460" s="22"/>
      <c r="BIG460" s="22"/>
      <c r="BIH460" s="22"/>
      <c r="BII460" s="22"/>
      <c r="BIJ460" s="22"/>
      <c r="BIK460" s="22"/>
      <c r="BIL460" s="22"/>
      <c r="BIM460" s="22"/>
      <c r="BIN460" s="22"/>
      <c r="BIO460" s="22"/>
      <c r="BIP460" s="22"/>
      <c r="BIQ460" s="22"/>
      <c r="BIR460" s="22"/>
      <c r="BIS460" s="22"/>
      <c r="BIT460" s="22"/>
      <c r="BIU460" s="22"/>
      <c r="BIV460" s="22"/>
      <c r="BIW460" s="22"/>
      <c r="BIX460" s="22"/>
      <c r="BIY460" s="22"/>
      <c r="BIZ460" s="22"/>
      <c r="BJA460" s="22"/>
      <c r="BJB460" s="22"/>
      <c r="BJC460" s="22"/>
      <c r="BJD460" s="22"/>
      <c r="BJE460" s="22"/>
      <c r="BJF460" s="22"/>
      <c r="BJG460" s="22"/>
      <c r="BJH460" s="22"/>
      <c r="BJI460" s="22"/>
      <c r="BJJ460" s="22"/>
      <c r="BJK460" s="22"/>
      <c r="BJL460" s="22"/>
      <c r="BJM460" s="22"/>
      <c r="BJN460" s="22"/>
      <c r="BJO460" s="22"/>
      <c r="BJP460" s="22"/>
      <c r="BJQ460" s="22"/>
      <c r="BJR460" s="22"/>
      <c r="BJS460" s="22"/>
      <c r="BJT460" s="22"/>
      <c r="BJU460" s="22"/>
      <c r="BJV460" s="22"/>
      <c r="BJW460" s="22"/>
      <c r="BJX460" s="22"/>
      <c r="BJY460" s="22"/>
      <c r="BJZ460" s="22"/>
      <c r="BKA460" s="22"/>
      <c r="BKB460" s="22"/>
      <c r="BKC460" s="22"/>
      <c r="BKD460" s="22"/>
      <c r="BKE460" s="22"/>
      <c r="BKF460" s="22"/>
      <c r="BKG460" s="22"/>
      <c r="BKH460" s="22"/>
      <c r="BKI460" s="22"/>
      <c r="BKJ460" s="22"/>
      <c r="BKK460" s="22"/>
      <c r="BKL460" s="22"/>
      <c r="BKM460" s="22"/>
      <c r="BKN460" s="22"/>
      <c r="BKO460" s="22"/>
      <c r="BKP460" s="22"/>
      <c r="BKQ460" s="22"/>
      <c r="BKR460" s="22"/>
      <c r="BKS460" s="22"/>
      <c r="BKT460" s="22"/>
      <c r="BKU460" s="22"/>
      <c r="BKV460" s="22"/>
      <c r="BKW460" s="22"/>
      <c r="BKX460" s="22"/>
      <c r="BKY460" s="22"/>
      <c r="BKZ460" s="22"/>
      <c r="BLA460" s="22"/>
      <c r="BLB460" s="22"/>
      <c r="BLC460" s="22"/>
      <c r="BLD460" s="22"/>
      <c r="BLE460" s="22"/>
      <c r="BLF460" s="22"/>
      <c r="BLG460" s="22"/>
      <c r="BLH460" s="22"/>
      <c r="BLI460" s="22"/>
      <c r="BLJ460" s="22"/>
      <c r="BLK460" s="22"/>
      <c r="BLL460" s="22"/>
      <c r="BLM460" s="22"/>
      <c r="BLN460" s="22"/>
      <c r="BLO460" s="22"/>
      <c r="BLP460" s="22"/>
      <c r="BLQ460" s="22"/>
      <c r="BLR460" s="22"/>
      <c r="BLS460" s="22"/>
      <c r="BLT460" s="22"/>
      <c r="BLU460" s="22"/>
      <c r="BLV460" s="22"/>
      <c r="BLW460" s="22"/>
      <c r="BLX460" s="22"/>
      <c r="BLY460" s="22"/>
      <c r="BLZ460" s="22"/>
      <c r="BMA460" s="22"/>
      <c r="BMB460" s="22"/>
      <c r="BMC460" s="22"/>
      <c r="BMD460" s="22"/>
      <c r="BME460" s="22"/>
      <c r="BMF460" s="22"/>
      <c r="BMG460" s="22"/>
      <c r="BMH460" s="22"/>
      <c r="BMI460" s="22"/>
      <c r="BMJ460" s="22"/>
      <c r="BMK460" s="22"/>
      <c r="BML460" s="22"/>
      <c r="BMM460" s="22"/>
      <c r="BMN460" s="22"/>
      <c r="BMO460" s="22"/>
      <c r="BMP460" s="22"/>
      <c r="BMQ460" s="22"/>
      <c r="BMR460" s="22"/>
      <c r="BMS460" s="22"/>
      <c r="BMT460" s="22"/>
      <c r="BMU460" s="22"/>
      <c r="BMV460" s="22"/>
      <c r="BMW460" s="22"/>
      <c r="BMX460" s="22"/>
      <c r="BMY460" s="22"/>
      <c r="BMZ460" s="22"/>
      <c r="BNA460" s="22"/>
      <c r="BNB460" s="22"/>
      <c r="BNC460" s="22"/>
      <c r="BND460" s="22"/>
      <c r="BNE460" s="22"/>
      <c r="BNF460" s="22"/>
      <c r="BNG460" s="22"/>
      <c r="BNH460" s="22"/>
      <c r="BNI460" s="22"/>
      <c r="BNJ460" s="22"/>
      <c r="BNK460" s="22"/>
      <c r="BNL460" s="22"/>
      <c r="BNM460" s="22"/>
      <c r="BNN460" s="22"/>
      <c r="BNO460" s="22"/>
      <c r="BNP460" s="22"/>
      <c r="BNQ460" s="22"/>
      <c r="BNR460" s="22"/>
      <c r="BNS460" s="22"/>
      <c r="BNT460" s="22"/>
      <c r="BNU460" s="22"/>
      <c r="BNV460" s="22"/>
      <c r="BNW460" s="22"/>
      <c r="BNX460" s="22"/>
      <c r="BNY460" s="22"/>
      <c r="BNZ460" s="22"/>
      <c r="BOA460" s="22"/>
      <c r="BOB460" s="22"/>
      <c r="BOC460" s="22"/>
      <c r="BOD460" s="22"/>
      <c r="BOE460" s="22"/>
      <c r="BOF460" s="22"/>
      <c r="BOG460" s="22"/>
      <c r="BOH460" s="22"/>
      <c r="BOI460" s="22"/>
      <c r="BOJ460" s="22"/>
      <c r="BOK460" s="22"/>
      <c r="BOL460" s="22"/>
      <c r="BOM460" s="22"/>
      <c r="BON460" s="22"/>
      <c r="BOO460" s="22"/>
      <c r="BOP460" s="22"/>
      <c r="BOQ460" s="22"/>
      <c r="BOR460" s="22"/>
      <c r="BOS460" s="22"/>
      <c r="BOT460" s="22"/>
      <c r="BOU460" s="22"/>
      <c r="BOV460" s="22"/>
      <c r="BOW460" s="22"/>
      <c r="BOX460" s="22"/>
      <c r="BOY460" s="22"/>
      <c r="BOZ460" s="22"/>
      <c r="BPA460" s="22"/>
      <c r="BPB460" s="22"/>
      <c r="BPC460" s="22"/>
      <c r="BPD460" s="22"/>
      <c r="BPE460" s="22"/>
      <c r="BPF460" s="22"/>
      <c r="BPG460" s="22"/>
      <c r="BPH460" s="22"/>
      <c r="BPI460" s="22"/>
      <c r="BPJ460" s="22"/>
      <c r="BPK460" s="22"/>
      <c r="BPL460" s="22"/>
      <c r="BPM460" s="22"/>
      <c r="BPN460" s="22"/>
      <c r="BPO460" s="22"/>
      <c r="BPP460" s="22"/>
      <c r="BPQ460" s="22"/>
      <c r="BPR460" s="22"/>
      <c r="BPS460" s="22"/>
      <c r="BPT460" s="22"/>
      <c r="BPU460" s="22"/>
      <c r="BPV460" s="22"/>
      <c r="BPW460" s="22"/>
      <c r="BPX460" s="22"/>
      <c r="BPY460" s="22"/>
      <c r="BPZ460" s="22"/>
      <c r="BQA460" s="22"/>
      <c r="BQB460" s="22"/>
      <c r="BQC460" s="22"/>
      <c r="BQD460" s="22"/>
      <c r="BQE460" s="22"/>
      <c r="BQF460" s="22"/>
      <c r="BQG460" s="22"/>
      <c r="BQH460" s="22"/>
      <c r="BQI460" s="22"/>
      <c r="BQJ460" s="22"/>
      <c r="BQK460" s="22"/>
      <c r="BQL460" s="22"/>
      <c r="BQM460" s="22"/>
      <c r="BQN460" s="22"/>
      <c r="BQO460" s="22"/>
      <c r="BQP460" s="22"/>
      <c r="BQQ460" s="22"/>
      <c r="BQR460" s="22"/>
      <c r="BQS460" s="22"/>
      <c r="BQT460" s="22"/>
      <c r="BQU460" s="22"/>
      <c r="BQV460" s="22"/>
      <c r="BQW460" s="22"/>
      <c r="BQX460" s="22"/>
      <c r="BQY460" s="22"/>
      <c r="BQZ460" s="22"/>
      <c r="BRA460" s="22"/>
      <c r="BRB460" s="22"/>
      <c r="BRC460" s="22"/>
      <c r="BRD460" s="22"/>
      <c r="BRE460" s="22"/>
      <c r="BRF460" s="22"/>
      <c r="BRG460" s="22"/>
      <c r="BRH460" s="22"/>
      <c r="BRI460" s="22"/>
      <c r="BRJ460" s="22"/>
      <c r="BRK460" s="22"/>
      <c r="BRL460" s="22"/>
      <c r="BRM460" s="22"/>
      <c r="BRN460" s="22"/>
      <c r="BRO460" s="22"/>
      <c r="BRP460" s="22"/>
      <c r="BRQ460" s="22"/>
      <c r="BRR460" s="22"/>
      <c r="BRS460" s="22"/>
      <c r="BRT460" s="22"/>
      <c r="BRU460" s="22"/>
      <c r="BRV460" s="22"/>
      <c r="BRW460" s="22"/>
      <c r="BRX460" s="22"/>
      <c r="BRY460" s="22"/>
      <c r="BRZ460" s="22"/>
      <c r="BSA460" s="22"/>
      <c r="BSB460" s="22"/>
      <c r="BSC460" s="22"/>
      <c r="BSD460" s="22"/>
      <c r="BSE460" s="22"/>
      <c r="BSF460" s="22"/>
      <c r="BSG460" s="22"/>
      <c r="BSH460" s="22"/>
      <c r="BSI460" s="22"/>
      <c r="BSJ460" s="22"/>
      <c r="BSK460" s="22"/>
      <c r="BSL460" s="22"/>
      <c r="BSM460" s="22"/>
      <c r="BSN460" s="22"/>
      <c r="BSO460" s="22"/>
      <c r="BSP460" s="22"/>
      <c r="BSQ460" s="22"/>
      <c r="BSR460" s="22"/>
      <c r="BSS460" s="22"/>
      <c r="BST460" s="22"/>
      <c r="BSU460" s="22"/>
      <c r="BSV460" s="22"/>
      <c r="BSW460" s="22"/>
      <c r="BSX460" s="22"/>
      <c r="BSY460" s="22"/>
      <c r="BSZ460" s="22"/>
      <c r="BTA460" s="22"/>
      <c r="BTB460" s="22"/>
      <c r="BTC460" s="22"/>
      <c r="BTD460" s="22"/>
      <c r="BTE460" s="22"/>
      <c r="BTF460" s="22"/>
      <c r="BTG460" s="22"/>
      <c r="BTH460" s="22"/>
      <c r="BTI460" s="22"/>
      <c r="BTJ460" s="22"/>
      <c r="BTK460" s="22"/>
      <c r="BTL460" s="22"/>
      <c r="BTM460" s="22"/>
      <c r="BTN460" s="22"/>
      <c r="BTO460" s="22"/>
      <c r="BTP460" s="22"/>
      <c r="BTQ460" s="22"/>
      <c r="BTR460" s="22"/>
      <c r="BTS460" s="22"/>
      <c r="BTT460" s="22"/>
      <c r="BTU460" s="22"/>
      <c r="BTV460" s="22"/>
      <c r="BTW460" s="22"/>
      <c r="BTX460" s="22"/>
      <c r="BTY460" s="22"/>
      <c r="BTZ460" s="22"/>
      <c r="BUA460" s="22"/>
      <c r="BUB460" s="22"/>
      <c r="BUC460" s="22"/>
      <c r="BUD460" s="22"/>
      <c r="BUE460" s="22"/>
      <c r="BUF460" s="22"/>
      <c r="BUG460" s="22"/>
      <c r="BUH460" s="22"/>
      <c r="BUI460" s="22"/>
      <c r="BUJ460" s="22"/>
      <c r="BUK460" s="22"/>
      <c r="BUL460" s="22"/>
      <c r="BUM460" s="22"/>
      <c r="BUN460" s="22"/>
      <c r="BUO460" s="22"/>
      <c r="BUP460" s="22"/>
      <c r="BUQ460" s="22"/>
      <c r="BUR460" s="22"/>
      <c r="BUS460" s="22"/>
      <c r="BUT460" s="22"/>
      <c r="BUU460" s="22"/>
      <c r="BUV460" s="22"/>
      <c r="BUW460" s="22"/>
      <c r="BUX460" s="22"/>
      <c r="BUY460" s="22"/>
      <c r="BUZ460" s="22"/>
      <c r="BVA460" s="22"/>
      <c r="BVB460" s="22"/>
      <c r="BVC460" s="22"/>
      <c r="BVD460" s="22"/>
      <c r="BVE460" s="22"/>
      <c r="BVF460" s="22"/>
      <c r="BVG460" s="22"/>
      <c r="BVH460" s="22"/>
      <c r="BVI460" s="22"/>
      <c r="BVJ460" s="22"/>
      <c r="BVK460" s="22"/>
      <c r="BVL460" s="22"/>
      <c r="BVM460" s="22"/>
      <c r="BVN460" s="22"/>
      <c r="BVO460" s="22"/>
      <c r="BVP460" s="22"/>
      <c r="BVQ460" s="22"/>
      <c r="BVR460" s="22"/>
      <c r="BVS460" s="22"/>
      <c r="BVT460" s="22"/>
      <c r="BVU460" s="22"/>
      <c r="BVV460" s="22"/>
      <c r="BVW460" s="22"/>
      <c r="BVX460" s="22"/>
      <c r="BVY460" s="22"/>
      <c r="BVZ460" s="22"/>
      <c r="BWA460" s="22"/>
      <c r="BWB460" s="22"/>
      <c r="BWC460" s="22"/>
      <c r="BWD460" s="22"/>
      <c r="BWE460" s="22"/>
      <c r="BWF460" s="22"/>
      <c r="BWG460" s="22"/>
      <c r="BWH460" s="22"/>
      <c r="BWI460" s="22"/>
      <c r="BWJ460" s="22"/>
      <c r="BWK460" s="22"/>
      <c r="BWL460" s="22"/>
      <c r="BWM460" s="22"/>
      <c r="BWN460" s="22"/>
      <c r="BWO460" s="22"/>
      <c r="BWP460" s="22"/>
      <c r="BWQ460" s="22"/>
      <c r="BWR460" s="22"/>
      <c r="BWS460" s="22"/>
      <c r="BWT460" s="22"/>
      <c r="BWU460" s="22"/>
      <c r="BWV460" s="22"/>
      <c r="BWW460" s="22"/>
      <c r="BWX460" s="22"/>
      <c r="BWY460" s="22"/>
      <c r="BWZ460" s="22"/>
      <c r="BXA460" s="22"/>
      <c r="BXB460" s="22"/>
      <c r="BXC460" s="22"/>
      <c r="BXD460" s="22"/>
      <c r="BXE460" s="22"/>
      <c r="BXF460" s="22"/>
      <c r="BXG460" s="22"/>
      <c r="BXH460" s="22"/>
      <c r="BXI460" s="22"/>
      <c r="BXJ460" s="22"/>
      <c r="BXK460" s="22"/>
      <c r="BXL460" s="22"/>
      <c r="BXM460" s="22"/>
      <c r="BXN460" s="22"/>
      <c r="BXO460" s="22"/>
      <c r="BXP460" s="22"/>
      <c r="BXQ460" s="22"/>
      <c r="BXR460" s="22"/>
      <c r="BXS460" s="22"/>
      <c r="BXT460" s="22"/>
      <c r="BXU460" s="22"/>
      <c r="BXV460" s="22"/>
      <c r="BXW460" s="22"/>
      <c r="BXX460" s="22"/>
      <c r="BXY460" s="22"/>
      <c r="BXZ460" s="22"/>
      <c r="BYA460" s="22"/>
      <c r="BYB460" s="22"/>
      <c r="BYC460" s="22"/>
      <c r="BYD460" s="22"/>
      <c r="BYE460" s="22"/>
      <c r="BYF460" s="22"/>
      <c r="BYG460" s="22"/>
      <c r="BYH460" s="22"/>
      <c r="BYI460" s="22"/>
      <c r="BYJ460" s="22"/>
      <c r="BYK460" s="22"/>
      <c r="BYL460" s="22"/>
      <c r="BYM460" s="22"/>
      <c r="BYN460" s="22"/>
      <c r="BYO460" s="22"/>
      <c r="BYP460" s="22"/>
      <c r="BYQ460" s="22"/>
      <c r="BYR460" s="22"/>
      <c r="BYS460" s="22"/>
      <c r="BYT460" s="22"/>
      <c r="BYU460" s="22"/>
      <c r="BYV460" s="22"/>
      <c r="BYW460" s="22"/>
      <c r="BYX460" s="22"/>
      <c r="BYY460" s="22"/>
      <c r="BYZ460" s="22"/>
      <c r="BZA460" s="22"/>
      <c r="BZB460" s="22"/>
      <c r="BZC460" s="22"/>
      <c r="BZD460" s="22"/>
      <c r="BZE460" s="22"/>
      <c r="BZF460" s="22"/>
      <c r="BZG460" s="22"/>
      <c r="BZH460" s="22"/>
      <c r="BZI460" s="22"/>
      <c r="BZJ460" s="22"/>
      <c r="BZK460" s="22"/>
      <c r="BZL460" s="22"/>
      <c r="BZM460" s="22"/>
      <c r="BZN460" s="22"/>
      <c r="BZO460" s="22"/>
      <c r="BZP460" s="22"/>
      <c r="BZQ460" s="22"/>
      <c r="BZR460" s="22"/>
      <c r="BZS460" s="22"/>
      <c r="BZT460" s="22"/>
      <c r="BZU460" s="22"/>
      <c r="BZV460" s="22"/>
      <c r="BZW460" s="22"/>
      <c r="BZX460" s="22"/>
      <c r="BZY460" s="22"/>
      <c r="BZZ460" s="22"/>
      <c r="CAA460" s="22"/>
      <c r="CAB460" s="22"/>
      <c r="CAC460" s="22"/>
      <c r="CAD460" s="22"/>
      <c r="CAE460" s="22"/>
      <c r="CAF460" s="22"/>
      <c r="CAG460" s="22"/>
      <c r="CAH460" s="22"/>
      <c r="CAI460" s="22"/>
      <c r="CAJ460" s="22"/>
      <c r="CAK460" s="22"/>
      <c r="CAL460" s="22"/>
      <c r="CAM460" s="22"/>
      <c r="CAN460" s="22"/>
      <c r="CAO460" s="22"/>
      <c r="CAP460" s="22"/>
      <c r="CAQ460" s="22"/>
      <c r="CAR460" s="22"/>
      <c r="CAS460" s="22"/>
      <c r="CAT460" s="22"/>
      <c r="CAU460" s="22"/>
      <c r="CAV460" s="22"/>
      <c r="CAW460" s="22"/>
      <c r="CAX460" s="22"/>
      <c r="CAY460" s="22"/>
      <c r="CAZ460" s="22"/>
      <c r="CBA460" s="22"/>
      <c r="CBB460" s="22"/>
      <c r="CBC460" s="22"/>
      <c r="CBD460" s="22"/>
      <c r="CBE460" s="22"/>
      <c r="CBF460" s="22"/>
      <c r="CBG460" s="22"/>
      <c r="CBH460" s="22"/>
      <c r="CBI460" s="22"/>
      <c r="CBJ460" s="22"/>
      <c r="CBK460" s="22"/>
      <c r="CBL460" s="22"/>
      <c r="CBM460" s="22"/>
      <c r="CBN460" s="22"/>
      <c r="CBO460" s="22"/>
      <c r="CBP460" s="22"/>
      <c r="CBQ460" s="22"/>
      <c r="CBR460" s="22"/>
      <c r="CBS460" s="22"/>
      <c r="CBT460" s="22"/>
      <c r="CBU460" s="22"/>
      <c r="CBV460" s="22"/>
      <c r="CBW460" s="22"/>
      <c r="CBX460" s="22"/>
      <c r="CBY460" s="22"/>
      <c r="CBZ460" s="22"/>
      <c r="CCA460" s="22"/>
      <c r="CCB460" s="22"/>
      <c r="CCC460" s="22"/>
      <c r="CCD460" s="22"/>
      <c r="CCE460" s="22"/>
      <c r="CCF460" s="22"/>
      <c r="CCG460" s="22"/>
      <c r="CCH460" s="22"/>
      <c r="CCI460" s="22"/>
      <c r="CCJ460" s="22"/>
      <c r="CCK460" s="22"/>
      <c r="CCL460" s="22"/>
      <c r="CCM460" s="22"/>
      <c r="CCN460" s="22"/>
      <c r="CCO460" s="22"/>
      <c r="CCP460" s="22"/>
      <c r="CCQ460" s="22"/>
      <c r="CCR460" s="22"/>
      <c r="CCS460" s="22"/>
      <c r="CCT460" s="22"/>
      <c r="CCU460" s="22"/>
      <c r="CCV460" s="22"/>
      <c r="CCW460" s="22"/>
      <c r="CCX460" s="22"/>
      <c r="CCY460" s="22"/>
      <c r="CCZ460" s="22"/>
      <c r="CDA460" s="22"/>
      <c r="CDB460" s="22"/>
      <c r="CDC460" s="22"/>
      <c r="CDD460" s="22"/>
      <c r="CDE460" s="22"/>
      <c r="CDF460" s="22"/>
      <c r="CDG460" s="22"/>
      <c r="CDH460" s="22"/>
      <c r="CDI460" s="22"/>
      <c r="CDJ460" s="22"/>
      <c r="CDK460" s="22"/>
      <c r="CDL460" s="22"/>
      <c r="CDM460" s="22"/>
      <c r="CDN460" s="22"/>
      <c r="CDO460" s="22"/>
      <c r="CDP460" s="22"/>
      <c r="CDQ460" s="22"/>
      <c r="CDR460" s="22"/>
      <c r="CDS460" s="22"/>
      <c r="CDT460" s="22"/>
      <c r="CDU460" s="22"/>
      <c r="CDV460" s="22"/>
      <c r="CDW460" s="22"/>
      <c r="CDX460" s="22"/>
      <c r="CDY460" s="22"/>
      <c r="CDZ460" s="22"/>
      <c r="CEA460" s="22"/>
      <c r="CEB460" s="22"/>
      <c r="CEC460" s="22"/>
      <c r="CED460" s="22"/>
      <c r="CEE460" s="22"/>
      <c r="CEF460" s="22"/>
      <c r="CEG460" s="22"/>
      <c r="CEH460" s="22"/>
      <c r="CEI460" s="22"/>
      <c r="CEJ460" s="22"/>
      <c r="CEK460" s="22"/>
      <c r="CEL460" s="22"/>
      <c r="CEM460" s="22"/>
      <c r="CEN460" s="22"/>
      <c r="CEO460" s="22"/>
      <c r="CEP460" s="22"/>
      <c r="CEQ460" s="22"/>
      <c r="CER460" s="22"/>
      <c r="CES460" s="22"/>
      <c r="CET460" s="22"/>
      <c r="CEU460" s="22"/>
      <c r="CEV460" s="22"/>
      <c r="CEW460" s="22"/>
      <c r="CEX460" s="22"/>
      <c r="CEY460" s="22"/>
      <c r="CEZ460" s="22"/>
      <c r="CFA460" s="22"/>
      <c r="CFB460" s="22"/>
      <c r="CFC460" s="22"/>
      <c r="CFD460" s="22"/>
      <c r="CFE460" s="22"/>
      <c r="CFF460" s="22"/>
      <c r="CFG460" s="22"/>
      <c r="CFH460" s="22"/>
      <c r="CFI460" s="22"/>
      <c r="CFJ460" s="22"/>
      <c r="CFK460" s="22"/>
      <c r="CFL460" s="22"/>
      <c r="CFM460" s="22"/>
      <c r="CFN460" s="22"/>
      <c r="CFO460" s="22"/>
      <c r="CFP460" s="22"/>
      <c r="CFQ460" s="22"/>
      <c r="CFR460" s="22"/>
      <c r="CFS460" s="22"/>
      <c r="CFT460" s="22"/>
      <c r="CFU460" s="22"/>
      <c r="CFV460" s="22"/>
      <c r="CFW460" s="22"/>
      <c r="CFX460" s="22"/>
      <c r="CFY460" s="22"/>
      <c r="CFZ460" s="22"/>
      <c r="CGA460" s="22"/>
      <c r="CGB460" s="22"/>
      <c r="CGC460" s="22"/>
      <c r="CGD460" s="22"/>
      <c r="CGE460" s="22"/>
      <c r="CGF460" s="22"/>
      <c r="CGG460" s="22"/>
      <c r="CGH460" s="22"/>
      <c r="CGI460" s="22"/>
      <c r="CGJ460" s="22"/>
      <c r="CGK460" s="22"/>
      <c r="CGL460" s="22"/>
      <c r="CGM460" s="22"/>
      <c r="CGN460" s="22"/>
      <c r="CGO460" s="22"/>
      <c r="CGP460" s="22"/>
      <c r="CGQ460" s="22"/>
      <c r="CGR460" s="22"/>
      <c r="CGS460" s="22"/>
      <c r="CGT460" s="22"/>
      <c r="CGU460" s="22"/>
      <c r="CGV460" s="22"/>
      <c r="CGW460" s="22"/>
      <c r="CGX460" s="22"/>
      <c r="CGY460" s="22"/>
      <c r="CGZ460" s="22"/>
      <c r="CHA460" s="22"/>
      <c r="CHB460" s="22"/>
      <c r="CHC460" s="22"/>
      <c r="CHD460" s="22"/>
      <c r="CHE460" s="22"/>
      <c r="CHF460" s="22"/>
      <c r="CHG460" s="22"/>
      <c r="CHH460" s="22"/>
      <c r="CHI460" s="22"/>
      <c r="CHJ460" s="22"/>
      <c r="CHK460" s="22"/>
      <c r="CHL460" s="22"/>
      <c r="CHM460" s="22"/>
      <c r="CHN460" s="22"/>
      <c r="CHO460" s="22"/>
      <c r="CHP460" s="22"/>
      <c r="CHQ460" s="22"/>
      <c r="CHR460" s="22"/>
      <c r="CHS460" s="22"/>
      <c r="CHT460" s="22"/>
      <c r="CHU460" s="22"/>
      <c r="CHV460" s="22"/>
      <c r="CHW460" s="22"/>
      <c r="CHX460" s="22"/>
      <c r="CHY460" s="22"/>
      <c r="CHZ460" s="22"/>
      <c r="CIA460" s="22"/>
      <c r="CIB460" s="22"/>
      <c r="CIC460" s="22"/>
      <c r="CID460" s="22"/>
      <c r="CIE460" s="22"/>
      <c r="CIF460" s="22"/>
      <c r="CIG460" s="22"/>
      <c r="CIH460" s="22"/>
      <c r="CII460" s="22"/>
      <c r="CIJ460" s="22"/>
      <c r="CIK460" s="22"/>
      <c r="CIL460" s="22"/>
      <c r="CIM460" s="22"/>
      <c r="CIN460" s="22"/>
      <c r="CIO460" s="22"/>
      <c r="CIP460" s="22"/>
      <c r="CIQ460" s="22"/>
      <c r="CIR460" s="22"/>
      <c r="CIS460" s="22"/>
      <c r="CIT460" s="22"/>
      <c r="CIU460" s="22"/>
      <c r="CIV460" s="22"/>
      <c r="CIW460" s="22"/>
      <c r="CIX460" s="22"/>
      <c r="CIY460" s="22"/>
      <c r="CIZ460" s="22"/>
      <c r="CJA460" s="22"/>
      <c r="CJB460" s="22"/>
      <c r="CJC460" s="22"/>
      <c r="CJD460" s="22"/>
      <c r="CJE460" s="22"/>
      <c r="CJF460" s="22"/>
      <c r="CJG460" s="22"/>
      <c r="CJH460" s="22"/>
      <c r="CJI460" s="22"/>
      <c r="CJJ460" s="22"/>
      <c r="CJK460" s="22"/>
      <c r="CJL460" s="22"/>
      <c r="CJM460" s="22"/>
      <c r="CJN460" s="22"/>
      <c r="CJO460" s="22"/>
      <c r="CJP460" s="22"/>
      <c r="CJQ460" s="22"/>
      <c r="CJR460" s="22"/>
      <c r="CJS460" s="22"/>
      <c r="CJT460" s="22"/>
      <c r="CJU460" s="22"/>
      <c r="CJV460" s="22"/>
      <c r="CJW460" s="22"/>
      <c r="CJX460" s="22"/>
      <c r="CJY460" s="22"/>
      <c r="CJZ460" s="22"/>
      <c r="CKA460" s="22"/>
      <c r="CKB460" s="22"/>
      <c r="CKC460" s="22"/>
      <c r="CKD460" s="22"/>
      <c r="CKE460" s="22"/>
      <c r="CKF460" s="22"/>
      <c r="CKG460" s="22"/>
      <c r="CKH460" s="22"/>
      <c r="CKI460" s="22"/>
      <c r="CKJ460" s="22"/>
      <c r="CKK460" s="22"/>
      <c r="CKL460" s="22"/>
      <c r="CKM460" s="22"/>
      <c r="CKN460" s="22"/>
      <c r="CKO460" s="22"/>
      <c r="CKP460" s="22"/>
      <c r="CKQ460" s="22"/>
      <c r="CKR460" s="22"/>
      <c r="CKS460" s="22"/>
      <c r="CKT460" s="22"/>
      <c r="CKU460" s="22"/>
      <c r="CKV460" s="22"/>
      <c r="CKW460" s="22"/>
      <c r="CKX460" s="22"/>
      <c r="CKY460" s="22"/>
      <c r="CKZ460" s="22"/>
      <c r="CLA460" s="22"/>
      <c r="CLB460" s="22"/>
      <c r="CLC460" s="22"/>
      <c r="CLD460" s="22"/>
      <c r="CLE460" s="22"/>
      <c r="CLF460" s="22"/>
      <c r="CLG460" s="22"/>
      <c r="CLH460" s="22"/>
      <c r="CLI460" s="22"/>
      <c r="CLJ460" s="22"/>
      <c r="CLK460" s="22"/>
      <c r="CLL460" s="22"/>
      <c r="CLM460" s="22"/>
      <c r="CLN460" s="22"/>
      <c r="CLO460" s="22"/>
      <c r="CLP460" s="22"/>
      <c r="CLQ460" s="22"/>
      <c r="CLR460" s="22"/>
      <c r="CLS460" s="22"/>
      <c r="CLT460" s="22"/>
      <c r="CLU460" s="22"/>
      <c r="CLV460" s="22"/>
      <c r="CLW460" s="22"/>
      <c r="CLX460" s="22"/>
      <c r="CLY460" s="22"/>
      <c r="CLZ460" s="22"/>
      <c r="CMA460" s="22"/>
      <c r="CMB460" s="22"/>
      <c r="CMC460" s="22"/>
      <c r="CMD460" s="22"/>
      <c r="CME460" s="22"/>
      <c r="CMF460" s="22"/>
      <c r="CMG460" s="22"/>
      <c r="CMH460" s="22"/>
      <c r="CMI460" s="22"/>
      <c r="CMJ460" s="22"/>
      <c r="CMK460" s="22"/>
      <c r="CML460" s="22"/>
      <c r="CMM460" s="22"/>
      <c r="CMN460" s="22"/>
      <c r="CMO460" s="22"/>
      <c r="CMP460" s="22"/>
      <c r="CMQ460" s="22"/>
      <c r="CMR460" s="22"/>
      <c r="CMS460" s="22"/>
      <c r="CMT460" s="22"/>
      <c r="CMU460" s="22"/>
      <c r="CMV460" s="22"/>
      <c r="CMW460" s="22"/>
      <c r="CMX460" s="22"/>
      <c r="CMY460" s="22"/>
      <c r="CMZ460" s="22"/>
      <c r="CNA460" s="22"/>
      <c r="CNB460" s="22"/>
      <c r="CNC460" s="22"/>
      <c r="CND460" s="22"/>
      <c r="CNE460" s="22"/>
      <c r="CNF460" s="22"/>
      <c r="CNG460" s="22"/>
      <c r="CNH460" s="22"/>
      <c r="CNI460" s="22"/>
      <c r="CNJ460" s="22"/>
      <c r="CNK460" s="22"/>
      <c r="CNL460" s="22"/>
      <c r="CNM460" s="22"/>
      <c r="CNN460" s="22"/>
      <c r="CNO460" s="22"/>
      <c r="CNP460" s="22"/>
      <c r="CNQ460" s="22"/>
      <c r="CNR460" s="22"/>
      <c r="CNS460" s="22"/>
      <c r="CNT460" s="22"/>
      <c r="CNU460" s="22"/>
      <c r="CNV460" s="22"/>
      <c r="CNW460" s="22"/>
      <c r="CNX460" s="22"/>
      <c r="CNY460" s="22"/>
      <c r="CNZ460" s="22"/>
      <c r="COA460" s="22"/>
      <c r="COB460" s="22"/>
      <c r="COC460" s="22"/>
      <c r="COD460" s="22"/>
      <c r="COE460" s="22"/>
      <c r="COF460" s="22"/>
      <c r="COG460" s="22"/>
      <c r="COH460" s="22"/>
      <c r="COI460" s="22"/>
      <c r="COJ460" s="22"/>
      <c r="COK460" s="22"/>
      <c r="COL460" s="22"/>
      <c r="COM460" s="22"/>
      <c r="CON460" s="22"/>
      <c r="COO460" s="22"/>
      <c r="COP460" s="22"/>
      <c r="COQ460" s="22"/>
      <c r="COR460" s="22"/>
      <c r="COS460" s="22"/>
      <c r="COT460" s="22"/>
      <c r="COU460" s="22"/>
      <c r="COV460" s="22"/>
      <c r="COW460" s="22"/>
      <c r="COX460" s="22"/>
      <c r="COY460" s="22"/>
      <c r="COZ460" s="22"/>
      <c r="CPA460" s="22"/>
      <c r="CPB460" s="22"/>
      <c r="CPC460" s="22"/>
      <c r="CPD460" s="22"/>
      <c r="CPE460" s="22"/>
      <c r="CPF460" s="22"/>
      <c r="CPG460" s="22"/>
      <c r="CPH460" s="22"/>
      <c r="CPI460" s="22"/>
      <c r="CPJ460" s="22"/>
      <c r="CPK460" s="22"/>
      <c r="CPL460" s="22"/>
      <c r="CPM460" s="22"/>
      <c r="CPN460" s="22"/>
      <c r="CPO460" s="22"/>
      <c r="CPP460" s="22"/>
      <c r="CPQ460" s="22"/>
      <c r="CPR460" s="22"/>
      <c r="CPS460" s="22"/>
      <c r="CPT460" s="22"/>
      <c r="CPU460" s="22"/>
      <c r="CPV460" s="22"/>
      <c r="CPW460" s="22"/>
      <c r="CPX460" s="22"/>
      <c r="CPY460" s="22"/>
      <c r="CPZ460" s="22"/>
      <c r="CQA460" s="22"/>
      <c r="CQB460" s="22"/>
      <c r="CQC460" s="22"/>
      <c r="CQD460" s="22"/>
      <c r="CQE460" s="22"/>
      <c r="CQF460" s="22"/>
      <c r="CQG460" s="22"/>
      <c r="CQH460" s="22"/>
      <c r="CQI460" s="22"/>
      <c r="CQJ460" s="22"/>
      <c r="CQK460" s="22"/>
      <c r="CQL460" s="22"/>
      <c r="CQM460" s="22"/>
      <c r="CQN460" s="22"/>
      <c r="CQO460" s="22"/>
      <c r="CQP460" s="22"/>
      <c r="CQQ460" s="22"/>
      <c r="CQR460" s="22"/>
      <c r="CQS460" s="22"/>
      <c r="CQT460" s="22"/>
      <c r="CQU460" s="22"/>
      <c r="CQV460" s="22"/>
      <c r="CQW460" s="22"/>
      <c r="CQX460" s="22"/>
      <c r="CQY460" s="22"/>
      <c r="CQZ460" s="22"/>
      <c r="CRA460" s="22"/>
      <c r="CRB460" s="22"/>
      <c r="CRC460" s="22"/>
      <c r="CRD460" s="22"/>
      <c r="CRE460" s="22"/>
      <c r="CRF460" s="22"/>
      <c r="CRG460" s="22"/>
      <c r="CRH460" s="22"/>
      <c r="CRI460" s="22"/>
      <c r="CRJ460" s="22"/>
      <c r="CRK460" s="22"/>
      <c r="CRL460" s="22"/>
      <c r="CRM460" s="22"/>
      <c r="CRN460" s="22"/>
      <c r="CRO460" s="22"/>
      <c r="CRP460" s="22"/>
      <c r="CRQ460" s="22"/>
      <c r="CRR460" s="22"/>
      <c r="CRS460" s="22"/>
      <c r="CRT460" s="22"/>
      <c r="CRU460" s="22"/>
      <c r="CRV460" s="22"/>
      <c r="CRW460" s="22"/>
      <c r="CRX460" s="22"/>
      <c r="CRY460" s="22"/>
      <c r="CRZ460" s="22"/>
      <c r="CSA460" s="22"/>
      <c r="CSB460" s="22"/>
      <c r="CSC460" s="22"/>
      <c r="CSD460" s="22"/>
      <c r="CSE460" s="22"/>
      <c r="CSF460" s="22"/>
      <c r="CSG460" s="22"/>
      <c r="CSH460" s="22"/>
      <c r="CSI460" s="22"/>
      <c r="CSJ460" s="22"/>
      <c r="CSK460" s="22"/>
      <c r="CSL460" s="22"/>
      <c r="CSM460" s="22"/>
      <c r="CSN460" s="22"/>
      <c r="CSO460" s="22"/>
      <c r="CSP460" s="22"/>
      <c r="CSQ460" s="22"/>
      <c r="CSR460" s="22"/>
      <c r="CSS460" s="22"/>
      <c r="CST460" s="22"/>
      <c r="CSU460" s="22"/>
      <c r="CSV460" s="22"/>
      <c r="CSW460" s="22"/>
      <c r="CSX460" s="22"/>
      <c r="CSY460" s="22"/>
      <c r="CSZ460" s="22"/>
      <c r="CTA460" s="22"/>
      <c r="CTB460" s="22"/>
      <c r="CTC460" s="22"/>
      <c r="CTD460" s="22"/>
      <c r="CTE460" s="22"/>
      <c r="CTF460" s="22"/>
      <c r="CTG460" s="22"/>
      <c r="CTH460" s="22"/>
      <c r="CTI460" s="22"/>
      <c r="CTJ460" s="22"/>
      <c r="CTK460" s="22"/>
      <c r="CTL460" s="22"/>
      <c r="CTM460" s="22"/>
      <c r="CTN460" s="22"/>
      <c r="CTO460" s="22"/>
      <c r="CTP460" s="22"/>
      <c r="CTQ460" s="22"/>
      <c r="CTR460" s="22"/>
      <c r="CTS460" s="22"/>
      <c r="CTT460" s="22"/>
      <c r="CTU460" s="22"/>
      <c r="CTV460" s="22"/>
      <c r="CTW460" s="22"/>
      <c r="CTX460" s="22"/>
      <c r="CTY460" s="22"/>
      <c r="CTZ460" s="22"/>
      <c r="CUA460" s="22"/>
      <c r="CUB460" s="22"/>
      <c r="CUC460" s="22"/>
      <c r="CUD460" s="22"/>
      <c r="CUE460" s="22"/>
      <c r="CUF460" s="22"/>
      <c r="CUG460" s="22"/>
      <c r="CUH460" s="22"/>
      <c r="CUI460" s="22"/>
      <c r="CUJ460" s="22"/>
      <c r="CUK460" s="22"/>
      <c r="CUL460" s="22"/>
      <c r="CUM460" s="22"/>
      <c r="CUN460" s="22"/>
      <c r="CUO460" s="22"/>
      <c r="CUP460" s="22"/>
      <c r="CUQ460" s="22"/>
      <c r="CUR460" s="22"/>
      <c r="CUS460" s="22"/>
      <c r="CUT460" s="22"/>
      <c r="CUU460" s="22"/>
      <c r="CUV460" s="22"/>
      <c r="CUW460" s="22"/>
      <c r="CUX460" s="22"/>
      <c r="CUY460" s="22"/>
      <c r="CUZ460" s="22"/>
      <c r="CVA460" s="22"/>
      <c r="CVB460" s="22"/>
      <c r="CVC460" s="22"/>
      <c r="CVD460" s="22"/>
      <c r="CVE460" s="22"/>
      <c r="CVF460" s="22"/>
      <c r="CVG460" s="22"/>
      <c r="CVH460" s="22"/>
      <c r="CVI460" s="22"/>
      <c r="CVJ460" s="22"/>
      <c r="CVK460" s="22"/>
      <c r="CVL460" s="22"/>
      <c r="CVM460" s="22"/>
      <c r="CVN460" s="22"/>
      <c r="CVO460" s="22"/>
      <c r="CVP460" s="22"/>
      <c r="CVQ460" s="22"/>
      <c r="CVR460" s="22"/>
      <c r="CVS460" s="22"/>
      <c r="CVT460" s="22"/>
      <c r="CVU460" s="22"/>
      <c r="CVV460" s="22"/>
      <c r="CVW460" s="22"/>
      <c r="CVX460" s="22"/>
      <c r="CVY460" s="22"/>
      <c r="CVZ460" s="22"/>
      <c r="CWA460" s="22"/>
      <c r="CWB460" s="22"/>
      <c r="CWC460" s="22"/>
      <c r="CWD460" s="22"/>
      <c r="CWE460" s="22"/>
      <c r="CWF460" s="22"/>
      <c r="CWG460" s="22"/>
      <c r="CWH460" s="22"/>
      <c r="CWI460" s="22"/>
      <c r="CWJ460" s="22"/>
      <c r="CWK460" s="22"/>
      <c r="CWL460" s="22"/>
      <c r="CWM460" s="22"/>
      <c r="CWN460" s="22"/>
      <c r="CWO460" s="22"/>
      <c r="CWP460" s="22"/>
      <c r="CWQ460" s="22"/>
      <c r="CWR460" s="22"/>
      <c r="CWS460" s="22"/>
      <c r="CWT460" s="22"/>
      <c r="CWU460" s="22"/>
      <c r="CWV460" s="22"/>
      <c r="CWW460" s="22"/>
      <c r="CWX460" s="22"/>
      <c r="CWY460" s="22"/>
      <c r="CWZ460" s="22"/>
      <c r="CXA460" s="22"/>
      <c r="CXB460" s="22"/>
      <c r="CXC460" s="22"/>
      <c r="CXD460" s="22"/>
      <c r="CXE460" s="22"/>
      <c r="CXF460" s="22"/>
      <c r="CXG460" s="22"/>
      <c r="CXH460" s="22"/>
      <c r="CXI460" s="22"/>
      <c r="CXJ460" s="22"/>
      <c r="CXK460" s="22"/>
      <c r="CXL460" s="22"/>
      <c r="CXM460" s="22"/>
      <c r="CXN460" s="22"/>
      <c r="CXO460" s="22"/>
      <c r="CXP460" s="22"/>
      <c r="CXQ460" s="22"/>
      <c r="CXR460" s="22"/>
      <c r="CXS460" s="22"/>
      <c r="CXT460" s="22"/>
      <c r="CXU460" s="22"/>
      <c r="CXV460" s="22"/>
      <c r="CXW460" s="22"/>
      <c r="CXX460" s="22"/>
      <c r="CXY460" s="22"/>
      <c r="CXZ460" s="22"/>
      <c r="CYA460" s="22"/>
      <c r="CYB460" s="22"/>
      <c r="CYC460" s="22"/>
      <c r="CYD460" s="22"/>
      <c r="CYE460" s="22"/>
      <c r="CYF460" s="22"/>
      <c r="CYG460" s="22"/>
      <c r="CYH460" s="22"/>
      <c r="CYI460" s="22"/>
      <c r="CYJ460" s="22"/>
      <c r="CYK460" s="22"/>
      <c r="CYL460" s="22"/>
      <c r="CYM460" s="22"/>
      <c r="CYN460" s="22"/>
      <c r="CYO460" s="22"/>
      <c r="CYP460" s="22"/>
      <c r="CYQ460" s="22"/>
      <c r="CYR460" s="22"/>
      <c r="CYS460" s="22"/>
      <c r="CYT460" s="22"/>
      <c r="CYU460" s="22"/>
      <c r="CYV460" s="22"/>
      <c r="CYW460" s="22"/>
      <c r="CYX460" s="22"/>
      <c r="CYY460" s="22"/>
      <c r="CYZ460" s="22"/>
      <c r="CZA460" s="22"/>
      <c r="CZB460" s="22"/>
      <c r="CZC460" s="22"/>
      <c r="CZD460" s="22"/>
      <c r="CZE460" s="22"/>
      <c r="CZF460" s="22"/>
      <c r="CZG460" s="22"/>
      <c r="CZH460" s="22"/>
      <c r="CZI460" s="22"/>
      <c r="CZJ460" s="22"/>
      <c r="CZK460" s="22"/>
      <c r="CZL460" s="22"/>
      <c r="CZM460" s="22"/>
      <c r="CZN460" s="22"/>
      <c r="CZO460" s="22"/>
      <c r="CZP460" s="22"/>
      <c r="CZQ460" s="22"/>
      <c r="CZR460" s="22"/>
      <c r="CZS460" s="22"/>
      <c r="CZT460" s="22"/>
      <c r="CZU460" s="22"/>
      <c r="CZV460" s="22"/>
      <c r="CZW460" s="22"/>
      <c r="CZX460" s="22"/>
      <c r="CZY460" s="22"/>
      <c r="CZZ460" s="22"/>
      <c r="DAA460" s="22"/>
      <c r="DAB460" s="22"/>
      <c r="DAC460" s="22"/>
      <c r="DAD460" s="22"/>
      <c r="DAE460" s="22"/>
      <c r="DAF460" s="22"/>
      <c r="DAG460" s="22"/>
      <c r="DAH460" s="22"/>
      <c r="DAI460" s="22"/>
      <c r="DAJ460" s="22"/>
      <c r="DAK460" s="22"/>
      <c r="DAL460" s="22"/>
      <c r="DAM460" s="22"/>
      <c r="DAN460" s="22"/>
      <c r="DAO460" s="22"/>
      <c r="DAP460" s="22"/>
      <c r="DAQ460" s="22"/>
      <c r="DAR460" s="22"/>
      <c r="DAS460" s="22"/>
      <c r="DAT460" s="22"/>
      <c r="DAU460" s="22"/>
      <c r="DAV460" s="22"/>
      <c r="DAW460" s="22"/>
      <c r="DAX460" s="22"/>
      <c r="DAY460" s="22"/>
      <c r="DAZ460" s="22"/>
      <c r="DBA460" s="22"/>
      <c r="DBB460" s="22"/>
      <c r="DBC460" s="22"/>
      <c r="DBD460" s="22"/>
      <c r="DBE460" s="22"/>
      <c r="DBF460" s="22"/>
      <c r="DBG460" s="22"/>
      <c r="DBH460" s="22"/>
      <c r="DBI460" s="22"/>
      <c r="DBJ460" s="22"/>
      <c r="DBK460" s="22"/>
      <c r="DBL460" s="22"/>
      <c r="DBM460" s="22"/>
      <c r="DBN460" s="22"/>
      <c r="DBO460" s="22"/>
      <c r="DBP460" s="22"/>
      <c r="DBQ460" s="22"/>
      <c r="DBR460" s="22"/>
      <c r="DBS460" s="22"/>
      <c r="DBT460" s="22"/>
      <c r="DBU460" s="22"/>
      <c r="DBV460" s="22"/>
      <c r="DBW460" s="22"/>
      <c r="DBX460" s="22"/>
      <c r="DBY460" s="22"/>
      <c r="DBZ460" s="22"/>
      <c r="DCA460" s="22"/>
      <c r="DCB460" s="22"/>
      <c r="DCC460" s="22"/>
      <c r="DCD460" s="22"/>
      <c r="DCE460" s="22"/>
      <c r="DCF460" s="22"/>
      <c r="DCG460" s="22"/>
      <c r="DCH460" s="22"/>
      <c r="DCI460" s="22"/>
      <c r="DCJ460" s="22"/>
      <c r="DCK460" s="22"/>
      <c r="DCL460" s="22"/>
      <c r="DCM460" s="22"/>
      <c r="DCN460" s="22"/>
      <c r="DCO460" s="22"/>
      <c r="DCP460" s="22"/>
      <c r="DCQ460" s="22"/>
      <c r="DCR460" s="22"/>
      <c r="DCS460" s="22"/>
      <c r="DCT460" s="22"/>
      <c r="DCU460" s="22"/>
      <c r="DCV460" s="22"/>
      <c r="DCW460" s="22"/>
      <c r="DCX460" s="22"/>
      <c r="DCY460" s="22"/>
      <c r="DCZ460" s="22"/>
      <c r="DDA460" s="22"/>
      <c r="DDB460" s="22"/>
      <c r="DDC460" s="22"/>
      <c r="DDD460" s="22"/>
      <c r="DDE460" s="22"/>
      <c r="DDF460" s="22"/>
      <c r="DDG460" s="22"/>
      <c r="DDH460" s="22"/>
      <c r="DDI460" s="22"/>
      <c r="DDJ460" s="22"/>
      <c r="DDK460" s="22"/>
      <c r="DDL460" s="22"/>
      <c r="DDM460" s="22"/>
      <c r="DDN460" s="22"/>
      <c r="DDO460" s="22"/>
      <c r="DDP460" s="22"/>
      <c r="DDQ460" s="22"/>
      <c r="DDR460" s="22"/>
      <c r="DDS460" s="22"/>
      <c r="DDT460" s="22"/>
      <c r="DDU460" s="22"/>
      <c r="DDV460" s="22"/>
      <c r="DDW460" s="22"/>
      <c r="DDX460" s="22"/>
      <c r="DDY460" s="22"/>
      <c r="DDZ460" s="22"/>
      <c r="DEA460" s="22"/>
      <c r="DEB460" s="22"/>
      <c r="DEC460" s="22"/>
      <c r="DED460" s="22"/>
      <c r="DEE460" s="22"/>
      <c r="DEF460" s="22"/>
      <c r="DEG460" s="22"/>
      <c r="DEH460" s="22"/>
      <c r="DEI460" s="22"/>
      <c r="DEJ460" s="22"/>
      <c r="DEK460" s="22"/>
      <c r="DEL460" s="22"/>
      <c r="DEM460" s="22"/>
      <c r="DEN460" s="22"/>
      <c r="DEO460" s="22"/>
      <c r="DEP460" s="22"/>
      <c r="DEQ460" s="22"/>
      <c r="DER460" s="22"/>
      <c r="DES460" s="22"/>
      <c r="DET460" s="22"/>
      <c r="DEU460" s="22"/>
      <c r="DEV460" s="22"/>
      <c r="DEW460" s="22"/>
      <c r="DEX460" s="22"/>
      <c r="DEY460" s="22"/>
      <c r="DEZ460" s="22"/>
      <c r="DFA460" s="22"/>
      <c r="DFB460" s="22"/>
      <c r="DFC460" s="22"/>
      <c r="DFD460" s="22"/>
      <c r="DFE460" s="22"/>
      <c r="DFF460" s="22"/>
      <c r="DFG460" s="22"/>
      <c r="DFH460" s="22"/>
      <c r="DFI460" s="22"/>
      <c r="DFJ460" s="22"/>
      <c r="DFK460" s="22"/>
      <c r="DFL460" s="22"/>
      <c r="DFM460" s="22"/>
      <c r="DFN460" s="22"/>
      <c r="DFO460" s="22"/>
      <c r="DFP460" s="22"/>
      <c r="DFQ460" s="22"/>
      <c r="DFR460" s="22"/>
      <c r="DFS460" s="22"/>
      <c r="DFT460" s="22"/>
      <c r="DFU460" s="22"/>
      <c r="DFV460" s="22"/>
      <c r="DFW460" s="22"/>
      <c r="DFX460" s="22"/>
      <c r="DFY460" s="22"/>
      <c r="DFZ460" s="22"/>
      <c r="DGA460" s="22"/>
      <c r="DGB460" s="22"/>
      <c r="DGC460" s="22"/>
      <c r="DGD460" s="22"/>
      <c r="DGE460" s="22"/>
      <c r="DGF460" s="22"/>
      <c r="DGG460" s="22"/>
      <c r="DGH460" s="22"/>
      <c r="DGI460" s="22"/>
      <c r="DGJ460" s="22"/>
      <c r="DGK460" s="22"/>
      <c r="DGL460" s="22"/>
      <c r="DGM460" s="22"/>
      <c r="DGN460" s="22"/>
      <c r="DGO460" s="22"/>
      <c r="DGP460" s="22"/>
      <c r="DGQ460" s="22"/>
      <c r="DGR460" s="22"/>
      <c r="DGS460" s="22"/>
      <c r="DGT460" s="22"/>
      <c r="DGU460" s="22"/>
      <c r="DGV460" s="22"/>
      <c r="DGW460" s="22"/>
      <c r="DGX460" s="22"/>
      <c r="DGY460" s="22"/>
      <c r="DGZ460" s="22"/>
      <c r="DHA460" s="22"/>
      <c r="DHB460" s="22"/>
      <c r="DHC460" s="22"/>
      <c r="DHD460" s="22"/>
      <c r="DHE460" s="22"/>
      <c r="DHF460" s="22"/>
      <c r="DHG460" s="22"/>
      <c r="DHH460" s="22"/>
      <c r="DHI460" s="22"/>
      <c r="DHJ460" s="22"/>
      <c r="DHK460" s="22"/>
      <c r="DHL460" s="22"/>
      <c r="DHM460" s="22"/>
      <c r="DHN460" s="22"/>
      <c r="DHO460" s="22"/>
      <c r="DHP460" s="22"/>
      <c r="DHQ460" s="22"/>
      <c r="DHR460" s="22"/>
      <c r="DHS460" s="22"/>
      <c r="DHT460" s="22"/>
      <c r="DHU460" s="22"/>
      <c r="DHV460" s="22"/>
      <c r="DHW460" s="22"/>
      <c r="DHX460" s="22"/>
      <c r="DHY460" s="22"/>
      <c r="DHZ460" s="22"/>
      <c r="DIA460" s="22"/>
      <c r="DIB460" s="22"/>
      <c r="DIC460" s="22"/>
      <c r="DID460" s="22"/>
      <c r="DIE460" s="22"/>
      <c r="DIF460" s="22"/>
      <c r="DIG460" s="22"/>
      <c r="DIH460" s="22"/>
      <c r="DII460" s="22"/>
      <c r="DIJ460" s="22"/>
      <c r="DIK460" s="22"/>
      <c r="DIL460" s="22"/>
      <c r="DIM460" s="22"/>
      <c r="DIN460" s="22"/>
      <c r="DIO460" s="22"/>
      <c r="DIP460" s="22"/>
      <c r="DIQ460" s="22"/>
      <c r="DIR460" s="22"/>
      <c r="DIS460" s="22"/>
      <c r="DIT460" s="22"/>
      <c r="DIU460" s="22"/>
      <c r="DIV460" s="22"/>
      <c r="DIW460" s="22"/>
      <c r="DIX460" s="22"/>
      <c r="DIY460" s="22"/>
      <c r="DIZ460" s="22"/>
      <c r="DJA460" s="22"/>
      <c r="DJB460" s="22"/>
      <c r="DJC460" s="22"/>
      <c r="DJD460" s="22"/>
      <c r="DJE460" s="22"/>
      <c r="DJF460" s="22"/>
      <c r="DJG460" s="22"/>
      <c r="DJH460" s="22"/>
      <c r="DJI460" s="22"/>
      <c r="DJJ460" s="22"/>
      <c r="DJK460" s="22"/>
      <c r="DJL460" s="22"/>
      <c r="DJM460" s="22"/>
      <c r="DJN460" s="22"/>
      <c r="DJO460" s="22"/>
      <c r="DJP460" s="22"/>
      <c r="DJQ460" s="22"/>
      <c r="DJR460" s="22"/>
      <c r="DJS460" s="22"/>
      <c r="DJT460" s="22"/>
      <c r="DJU460" s="22"/>
      <c r="DJV460" s="22"/>
      <c r="DJW460" s="22"/>
      <c r="DJX460" s="22"/>
      <c r="DJY460" s="22"/>
      <c r="DJZ460" s="22"/>
      <c r="DKA460" s="22"/>
      <c r="DKB460" s="22"/>
      <c r="DKC460" s="22"/>
      <c r="DKD460" s="22"/>
      <c r="DKE460" s="22"/>
      <c r="DKF460" s="22"/>
      <c r="DKG460" s="22"/>
      <c r="DKH460" s="22"/>
      <c r="DKI460" s="22"/>
      <c r="DKJ460" s="22"/>
      <c r="DKK460" s="22"/>
      <c r="DKL460" s="22"/>
      <c r="DKM460" s="22"/>
      <c r="DKN460" s="22"/>
      <c r="DKO460" s="22"/>
      <c r="DKP460" s="22"/>
      <c r="DKQ460" s="22"/>
      <c r="DKR460" s="22"/>
      <c r="DKS460" s="22"/>
      <c r="DKT460" s="22"/>
      <c r="DKU460" s="22"/>
      <c r="DKV460" s="22"/>
      <c r="DKW460" s="22"/>
      <c r="DKX460" s="22"/>
      <c r="DKY460" s="22"/>
      <c r="DKZ460" s="22"/>
      <c r="DLA460" s="22"/>
      <c r="DLB460" s="22"/>
      <c r="DLC460" s="22"/>
      <c r="DLD460" s="22"/>
      <c r="DLE460" s="22"/>
      <c r="DLF460" s="22"/>
      <c r="DLG460" s="22"/>
      <c r="DLH460" s="22"/>
      <c r="DLI460" s="22"/>
      <c r="DLJ460" s="22"/>
      <c r="DLK460" s="22"/>
      <c r="DLL460" s="22"/>
      <c r="DLM460" s="22"/>
      <c r="DLN460" s="22"/>
      <c r="DLO460" s="22"/>
      <c r="DLP460" s="22"/>
      <c r="DLQ460" s="22"/>
      <c r="DLR460" s="22"/>
      <c r="DLS460" s="22"/>
      <c r="DLT460" s="22"/>
      <c r="DLU460" s="22"/>
      <c r="DLV460" s="22"/>
      <c r="DLW460" s="22"/>
      <c r="DLX460" s="22"/>
      <c r="DLY460" s="22"/>
      <c r="DLZ460" s="22"/>
      <c r="DMA460" s="22"/>
      <c r="DMB460" s="22"/>
      <c r="DMC460" s="22"/>
      <c r="DMD460" s="22"/>
      <c r="DME460" s="22"/>
      <c r="DMF460" s="22"/>
      <c r="DMG460" s="22"/>
      <c r="DMH460" s="22"/>
      <c r="DMI460" s="22"/>
      <c r="DMJ460" s="22"/>
      <c r="DMK460" s="22"/>
      <c r="DML460" s="22"/>
      <c r="DMM460" s="22"/>
      <c r="DMN460" s="22"/>
      <c r="DMO460" s="22"/>
      <c r="DMP460" s="22"/>
      <c r="DMQ460" s="22"/>
      <c r="DMR460" s="22"/>
      <c r="DMS460" s="22"/>
      <c r="DMT460" s="22"/>
      <c r="DMU460" s="22"/>
      <c r="DMV460" s="22"/>
      <c r="DMW460" s="22"/>
      <c r="DMX460" s="22"/>
      <c r="DMY460" s="22"/>
      <c r="DMZ460" s="22"/>
      <c r="DNA460" s="22"/>
      <c r="DNB460" s="22"/>
      <c r="DNC460" s="22"/>
      <c r="DND460" s="22"/>
      <c r="DNE460" s="22"/>
      <c r="DNF460" s="22"/>
      <c r="DNG460" s="22"/>
      <c r="DNH460" s="22"/>
      <c r="DNI460" s="22"/>
      <c r="DNJ460" s="22"/>
      <c r="DNK460" s="22"/>
      <c r="DNL460" s="22"/>
      <c r="DNM460" s="22"/>
      <c r="DNN460" s="22"/>
      <c r="DNO460" s="22"/>
      <c r="DNP460" s="22"/>
      <c r="DNQ460" s="22"/>
      <c r="DNR460" s="22"/>
      <c r="DNS460" s="22"/>
      <c r="DNT460" s="22"/>
      <c r="DNU460" s="22"/>
      <c r="DNV460" s="22"/>
      <c r="DNW460" s="22"/>
      <c r="DNX460" s="22"/>
      <c r="DNY460" s="22"/>
      <c r="DNZ460" s="22"/>
      <c r="DOA460" s="22"/>
      <c r="DOB460" s="22"/>
      <c r="DOC460" s="22"/>
      <c r="DOD460" s="22"/>
      <c r="DOE460" s="22"/>
      <c r="DOF460" s="22"/>
      <c r="DOG460" s="22"/>
      <c r="DOH460" s="22"/>
      <c r="DOI460" s="22"/>
      <c r="DOJ460" s="22"/>
      <c r="DOK460" s="22"/>
      <c r="DOL460" s="22"/>
      <c r="DOM460" s="22"/>
      <c r="DON460" s="22"/>
      <c r="DOO460" s="22"/>
      <c r="DOP460" s="22"/>
      <c r="DOQ460" s="22"/>
      <c r="DOR460" s="22"/>
      <c r="DOS460" s="22"/>
      <c r="DOT460" s="22"/>
      <c r="DOU460" s="22"/>
      <c r="DOV460" s="22"/>
      <c r="DOW460" s="22"/>
      <c r="DOX460" s="22"/>
      <c r="DOY460" s="22"/>
      <c r="DOZ460" s="22"/>
      <c r="DPA460" s="22"/>
      <c r="DPB460" s="22"/>
      <c r="DPC460" s="22"/>
      <c r="DPD460" s="22"/>
      <c r="DPE460" s="22"/>
      <c r="DPF460" s="22"/>
      <c r="DPG460" s="22"/>
      <c r="DPH460" s="22"/>
      <c r="DPI460" s="22"/>
      <c r="DPJ460" s="22"/>
      <c r="DPK460" s="22"/>
      <c r="DPL460" s="22"/>
      <c r="DPM460" s="22"/>
      <c r="DPN460" s="22"/>
      <c r="DPO460" s="22"/>
      <c r="DPP460" s="22"/>
      <c r="DPQ460" s="22"/>
      <c r="DPR460" s="22"/>
      <c r="DPS460" s="22"/>
      <c r="DPT460" s="22"/>
      <c r="DPU460" s="22"/>
      <c r="DPV460" s="22"/>
      <c r="DPW460" s="22"/>
      <c r="DPX460" s="22"/>
      <c r="DPY460" s="22"/>
      <c r="DPZ460" s="22"/>
      <c r="DQA460" s="22"/>
      <c r="DQB460" s="22"/>
      <c r="DQC460" s="22"/>
      <c r="DQD460" s="22"/>
      <c r="DQE460" s="22"/>
      <c r="DQF460" s="22"/>
      <c r="DQG460" s="22"/>
      <c r="DQH460" s="22"/>
      <c r="DQI460" s="22"/>
      <c r="DQJ460" s="22"/>
      <c r="DQK460" s="22"/>
      <c r="DQL460" s="22"/>
      <c r="DQM460" s="22"/>
      <c r="DQN460" s="22"/>
      <c r="DQO460" s="22"/>
      <c r="DQP460" s="22"/>
      <c r="DQQ460" s="22"/>
      <c r="DQR460" s="22"/>
      <c r="DQS460" s="22"/>
      <c r="DQT460" s="22"/>
      <c r="DQU460" s="22"/>
      <c r="DQV460" s="22"/>
      <c r="DQW460" s="22"/>
      <c r="DQX460" s="22"/>
      <c r="DQY460" s="22"/>
      <c r="DQZ460" s="22"/>
      <c r="DRA460" s="22"/>
      <c r="DRB460" s="22"/>
      <c r="DRC460" s="22"/>
      <c r="DRD460" s="22"/>
      <c r="DRE460" s="22"/>
      <c r="DRF460" s="22"/>
      <c r="DRG460" s="22"/>
      <c r="DRH460" s="22"/>
      <c r="DRI460" s="22"/>
      <c r="DRJ460" s="22"/>
      <c r="DRK460" s="22"/>
      <c r="DRL460" s="22"/>
      <c r="DRM460" s="22"/>
      <c r="DRN460" s="22"/>
      <c r="DRO460" s="22"/>
      <c r="DRP460" s="22"/>
      <c r="DRQ460" s="22"/>
      <c r="DRR460" s="22"/>
      <c r="DRS460" s="22"/>
      <c r="DRT460" s="22"/>
      <c r="DRU460" s="22"/>
      <c r="DRV460" s="22"/>
      <c r="DRW460" s="22"/>
      <c r="DRX460" s="22"/>
      <c r="DRY460" s="22"/>
      <c r="DRZ460" s="22"/>
      <c r="DSA460" s="22"/>
      <c r="DSB460" s="22"/>
      <c r="DSC460" s="22"/>
      <c r="DSD460" s="22"/>
      <c r="DSE460" s="22"/>
      <c r="DSF460" s="22"/>
      <c r="DSG460" s="22"/>
      <c r="DSH460" s="22"/>
      <c r="DSI460" s="22"/>
      <c r="DSJ460" s="22"/>
      <c r="DSK460" s="22"/>
      <c r="DSL460" s="22"/>
      <c r="DSM460" s="22"/>
      <c r="DSN460" s="22"/>
      <c r="DSO460" s="22"/>
      <c r="DSP460" s="22"/>
      <c r="DSQ460" s="22"/>
      <c r="DSR460" s="22"/>
      <c r="DSS460" s="22"/>
      <c r="DST460" s="22"/>
      <c r="DSU460" s="22"/>
      <c r="DSV460" s="22"/>
      <c r="DSW460" s="22"/>
      <c r="DSX460" s="22"/>
      <c r="DSY460" s="22"/>
      <c r="DSZ460" s="22"/>
      <c r="DTA460" s="22"/>
      <c r="DTB460" s="22"/>
      <c r="DTC460" s="22"/>
      <c r="DTD460" s="22"/>
      <c r="DTE460" s="22"/>
      <c r="DTF460" s="22"/>
      <c r="DTG460" s="22"/>
      <c r="DTH460" s="22"/>
      <c r="DTI460" s="22"/>
      <c r="DTJ460" s="22"/>
      <c r="DTK460" s="22"/>
      <c r="DTL460" s="22"/>
      <c r="DTM460" s="22"/>
      <c r="DTN460" s="22"/>
      <c r="DTO460" s="22"/>
      <c r="DTP460" s="22"/>
      <c r="DTQ460" s="22"/>
      <c r="DTR460" s="22"/>
      <c r="DTS460" s="22"/>
      <c r="DTT460" s="22"/>
      <c r="DTU460" s="22"/>
      <c r="DTV460" s="22"/>
      <c r="DTW460" s="22"/>
      <c r="DTX460" s="22"/>
      <c r="DTY460" s="22"/>
      <c r="DTZ460" s="22"/>
      <c r="DUA460" s="22"/>
      <c r="DUB460" s="22"/>
      <c r="DUC460" s="22"/>
      <c r="DUD460" s="22"/>
      <c r="DUE460" s="22"/>
      <c r="DUF460" s="22"/>
      <c r="DUG460" s="22"/>
      <c r="DUH460" s="22"/>
      <c r="DUI460" s="22"/>
      <c r="DUJ460" s="22"/>
      <c r="DUK460" s="22"/>
      <c r="DUL460" s="22"/>
      <c r="DUM460" s="22"/>
      <c r="DUN460" s="22"/>
      <c r="DUO460" s="22"/>
      <c r="DUP460" s="22"/>
      <c r="DUQ460" s="22"/>
      <c r="DUR460" s="22"/>
      <c r="DUS460" s="22"/>
      <c r="DUT460" s="22"/>
      <c r="DUU460" s="22"/>
      <c r="DUV460" s="22"/>
      <c r="DUW460" s="22"/>
      <c r="DUX460" s="22"/>
      <c r="DUY460" s="22"/>
      <c r="DUZ460" s="22"/>
      <c r="DVA460" s="22"/>
      <c r="DVB460" s="22"/>
      <c r="DVC460" s="22"/>
      <c r="DVD460" s="22"/>
      <c r="DVE460" s="22"/>
      <c r="DVF460" s="22"/>
      <c r="DVG460" s="22"/>
      <c r="DVH460" s="22"/>
      <c r="DVI460" s="22"/>
      <c r="DVJ460" s="22"/>
      <c r="DVK460" s="22"/>
      <c r="DVL460" s="22"/>
      <c r="DVM460" s="22"/>
      <c r="DVN460" s="22"/>
      <c r="DVO460" s="22"/>
      <c r="DVP460" s="22"/>
      <c r="DVQ460" s="22"/>
      <c r="DVR460" s="22"/>
      <c r="DVS460" s="22"/>
      <c r="DVT460" s="22"/>
      <c r="DVU460" s="22"/>
      <c r="DVV460" s="22"/>
      <c r="DVW460" s="22"/>
      <c r="DVX460" s="22"/>
      <c r="DVY460" s="22"/>
      <c r="DVZ460" s="22"/>
      <c r="DWA460" s="22"/>
      <c r="DWB460" s="22"/>
      <c r="DWC460" s="22"/>
      <c r="DWD460" s="22"/>
      <c r="DWE460" s="22"/>
      <c r="DWF460" s="22"/>
      <c r="DWG460" s="22"/>
      <c r="DWH460" s="22"/>
      <c r="DWI460" s="22"/>
      <c r="DWJ460" s="22"/>
      <c r="DWK460" s="22"/>
      <c r="DWL460" s="22"/>
      <c r="DWM460" s="22"/>
      <c r="DWN460" s="22"/>
      <c r="DWO460" s="22"/>
      <c r="DWP460" s="22"/>
      <c r="DWQ460" s="22"/>
      <c r="DWR460" s="22"/>
      <c r="DWS460" s="22"/>
      <c r="DWT460" s="22"/>
      <c r="DWU460" s="22"/>
      <c r="DWV460" s="22"/>
      <c r="DWW460" s="22"/>
      <c r="DWX460" s="22"/>
      <c r="DWY460" s="22"/>
      <c r="DWZ460" s="22"/>
      <c r="DXA460" s="22"/>
      <c r="DXB460" s="22"/>
      <c r="DXC460" s="22"/>
      <c r="DXD460" s="22"/>
      <c r="DXE460" s="22"/>
      <c r="DXF460" s="22"/>
      <c r="DXG460" s="22"/>
      <c r="DXH460" s="22"/>
      <c r="DXI460" s="22"/>
      <c r="DXJ460" s="22"/>
      <c r="DXK460" s="22"/>
      <c r="DXL460" s="22"/>
      <c r="DXM460" s="22"/>
      <c r="DXN460" s="22"/>
      <c r="DXO460" s="22"/>
      <c r="DXP460" s="22"/>
      <c r="DXQ460" s="22"/>
      <c r="DXR460" s="22"/>
      <c r="DXS460" s="22"/>
      <c r="DXT460" s="22"/>
      <c r="DXU460" s="22"/>
      <c r="DXV460" s="22"/>
      <c r="DXW460" s="22"/>
      <c r="DXX460" s="22"/>
      <c r="DXY460" s="22"/>
      <c r="DXZ460" s="22"/>
      <c r="DYA460" s="22"/>
      <c r="DYB460" s="22"/>
      <c r="DYC460" s="22"/>
      <c r="DYD460" s="22"/>
      <c r="DYE460" s="22"/>
      <c r="DYF460" s="22"/>
      <c r="DYG460" s="22"/>
      <c r="DYH460" s="22"/>
      <c r="DYI460" s="22"/>
      <c r="DYJ460" s="22"/>
      <c r="DYK460" s="22"/>
      <c r="DYL460" s="22"/>
      <c r="DYM460" s="22"/>
      <c r="DYN460" s="22"/>
      <c r="DYO460" s="22"/>
      <c r="DYP460" s="22"/>
      <c r="DYQ460" s="22"/>
      <c r="DYR460" s="22"/>
      <c r="DYS460" s="22"/>
      <c r="DYT460" s="22"/>
      <c r="DYU460" s="22"/>
      <c r="DYV460" s="22"/>
      <c r="DYW460" s="22"/>
      <c r="DYX460" s="22"/>
      <c r="DYY460" s="22"/>
      <c r="DYZ460" s="22"/>
      <c r="DZA460" s="22"/>
      <c r="DZB460" s="22"/>
      <c r="DZC460" s="22"/>
      <c r="DZD460" s="22"/>
      <c r="DZE460" s="22"/>
      <c r="DZF460" s="22"/>
      <c r="DZG460" s="22"/>
      <c r="DZH460" s="22"/>
      <c r="DZI460" s="22"/>
      <c r="DZJ460" s="22"/>
      <c r="DZK460" s="22"/>
      <c r="DZL460" s="22"/>
      <c r="DZM460" s="22"/>
      <c r="DZN460" s="22"/>
      <c r="DZO460" s="22"/>
      <c r="DZP460" s="22"/>
      <c r="DZQ460" s="22"/>
      <c r="DZR460" s="22"/>
      <c r="DZS460" s="22"/>
      <c r="DZT460" s="22"/>
      <c r="DZU460" s="22"/>
      <c r="DZV460" s="22"/>
      <c r="DZW460" s="22"/>
      <c r="DZX460" s="22"/>
      <c r="DZY460" s="22"/>
      <c r="DZZ460" s="22"/>
      <c r="EAA460" s="22"/>
      <c r="EAB460" s="22"/>
      <c r="EAC460" s="22"/>
      <c r="EAD460" s="22"/>
      <c r="EAE460" s="22"/>
      <c r="EAF460" s="22"/>
      <c r="EAG460" s="22"/>
      <c r="EAH460" s="22"/>
      <c r="EAI460" s="22"/>
      <c r="EAJ460" s="22"/>
      <c r="EAK460" s="22"/>
      <c r="EAL460" s="22"/>
      <c r="EAM460" s="22"/>
      <c r="EAN460" s="22"/>
      <c r="EAO460" s="22"/>
      <c r="EAP460" s="22"/>
      <c r="EAQ460" s="22"/>
      <c r="EAR460" s="22"/>
      <c r="EAS460" s="22"/>
      <c r="EAT460" s="22"/>
      <c r="EAU460" s="22"/>
      <c r="EAV460" s="22"/>
      <c r="EAW460" s="22"/>
      <c r="EAX460" s="22"/>
      <c r="EAY460" s="22"/>
      <c r="EAZ460" s="22"/>
      <c r="EBA460" s="22"/>
      <c r="EBB460" s="22"/>
      <c r="EBC460" s="22"/>
      <c r="EBD460" s="22"/>
      <c r="EBE460" s="22"/>
      <c r="EBF460" s="22"/>
      <c r="EBG460" s="22"/>
      <c r="EBH460" s="22"/>
      <c r="EBI460" s="22"/>
      <c r="EBJ460" s="22"/>
      <c r="EBK460" s="22"/>
      <c r="EBL460" s="22"/>
      <c r="EBM460" s="22"/>
      <c r="EBN460" s="22"/>
      <c r="EBO460" s="22"/>
      <c r="EBP460" s="22"/>
      <c r="EBQ460" s="22"/>
      <c r="EBR460" s="22"/>
      <c r="EBS460" s="22"/>
      <c r="EBT460" s="22"/>
      <c r="EBU460" s="22"/>
      <c r="EBV460" s="22"/>
      <c r="EBW460" s="22"/>
      <c r="EBX460" s="22"/>
      <c r="EBY460" s="22"/>
      <c r="EBZ460" s="22"/>
      <c r="ECA460" s="22"/>
      <c r="ECB460" s="22"/>
      <c r="ECC460" s="22"/>
      <c r="ECD460" s="22"/>
      <c r="ECE460" s="22"/>
      <c r="ECF460" s="22"/>
      <c r="ECG460" s="22"/>
      <c r="ECH460" s="22"/>
      <c r="ECI460" s="22"/>
      <c r="ECJ460" s="22"/>
      <c r="ECK460" s="22"/>
      <c r="ECL460" s="22"/>
      <c r="ECM460" s="22"/>
      <c r="ECN460" s="22"/>
      <c r="ECO460" s="22"/>
      <c r="ECP460" s="22"/>
      <c r="ECQ460" s="22"/>
      <c r="ECR460" s="22"/>
      <c r="ECS460" s="22"/>
      <c r="ECT460" s="22"/>
      <c r="ECU460" s="22"/>
      <c r="ECV460" s="22"/>
      <c r="ECW460" s="22"/>
      <c r="ECX460" s="22"/>
      <c r="ECY460" s="22"/>
      <c r="ECZ460" s="22"/>
      <c r="EDA460" s="22"/>
      <c r="EDB460" s="22"/>
      <c r="EDC460" s="22"/>
      <c r="EDD460" s="22"/>
      <c r="EDE460" s="22"/>
      <c r="EDF460" s="22"/>
      <c r="EDG460" s="22"/>
      <c r="EDH460" s="22"/>
      <c r="EDI460" s="22"/>
      <c r="EDJ460" s="22"/>
      <c r="EDK460" s="22"/>
      <c r="EDL460" s="22"/>
      <c r="EDM460" s="22"/>
      <c r="EDN460" s="22"/>
      <c r="EDO460" s="22"/>
      <c r="EDP460" s="22"/>
      <c r="EDQ460" s="22"/>
      <c r="EDR460" s="22"/>
      <c r="EDS460" s="22"/>
      <c r="EDT460" s="22"/>
      <c r="EDU460" s="22"/>
      <c r="EDV460" s="22"/>
      <c r="EDW460" s="22"/>
      <c r="EDX460" s="22"/>
      <c r="EDY460" s="22"/>
      <c r="EDZ460" s="22"/>
      <c r="EEA460" s="22"/>
      <c r="EEB460" s="22"/>
      <c r="EEC460" s="22"/>
      <c r="EED460" s="22"/>
      <c r="EEE460" s="22"/>
      <c r="EEF460" s="22"/>
      <c r="EEG460" s="22"/>
      <c r="EEH460" s="22"/>
      <c r="EEI460" s="22"/>
      <c r="EEJ460" s="22"/>
      <c r="EEK460" s="22"/>
      <c r="EEL460" s="22"/>
      <c r="EEM460" s="22"/>
      <c r="EEN460" s="22"/>
      <c r="EEO460" s="22"/>
      <c r="EEP460" s="22"/>
      <c r="EEQ460" s="22"/>
      <c r="EER460" s="22"/>
      <c r="EES460" s="22"/>
      <c r="EET460" s="22"/>
      <c r="EEU460" s="22"/>
      <c r="EEV460" s="22"/>
      <c r="EEW460" s="22"/>
      <c r="EEX460" s="22"/>
      <c r="EEY460" s="22"/>
      <c r="EEZ460" s="22"/>
      <c r="EFA460" s="22"/>
      <c r="EFB460" s="22"/>
      <c r="EFC460" s="22"/>
      <c r="EFD460" s="22"/>
      <c r="EFE460" s="22"/>
      <c r="EFF460" s="22"/>
      <c r="EFG460" s="22"/>
      <c r="EFH460" s="22"/>
      <c r="EFI460" s="22"/>
      <c r="EFJ460" s="22"/>
      <c r="EFK460" s="22"/>
      <c r="EFL460" s="22"/>
      <c r="EFM460" s="22"/>
      <c r="EFN460" s="22"/>
      <c r="EFO460" s="22"/>
      <c r="EFP460" s="22"/>
      <c r="EFQ460" s="22"/>
      <c r="EFR460" s="22"/>
      <c r="EFS460" s="22"/>
      <c r="EFT460" s="22"/>
      <c r="EFU460" s="22"/>
      <c r="EFV460" s="22"/>
      <c r="EFW460" s="22"/>
      <c r="EFX460" s="22"/>
      <c r="EFY460" s="22"/>
      <c r="EFZ460" s="22"/>
      <c r="EGA460" s="22"/>
      <c r="EGB460" s="22"/>
      <c r="EGC460" s="22"/>
      <c r="EGD460" s="22"/>
      <c r="EGE460" s="22"/>
      <c r="EGF460" s="22"/>
      <c r="EGG460" s="22"/>
      <c r="EGH460" s="22"/>
      <c r="EGI460" s="22"/>
      <c r="EGJ460" s="22"/>
      <c r="EGK460" s="22"/>
      <c r="EGL460" s="22"/>
      <c r="EGM460" s="22"/>
      <c r="EGN460" s="22"/>
      <c r="EGO460" s="22"/>
      <c r="EGP460" s="22"/>
      <c r="EGQ460" s="22"/>
      <c r="EGR460" s="22"/>
      <c r="EGS460" s="22"/>
      <c r="EGT460" s="22"/>
      <c r="EGU460" s="22"/>
      <c r="EGV460" s="22"/>
      <c r="EGW460" s="22"/>
      <c r="EGX460" s="22"/>
      <c r="EGY460" s="22"/>
      <c r="EGZ460" s="22"/>
      <c r="EHA460" s="22"/>
      <c r="EHB460" s="22"/>
      <c r="EHC460" s="22"/>
      <c r="EHD460" s="22"/>
      <c r="EHE460" s="22"/>
      <c r="EHF460" s="22"/>
      <c r="EHG460" s="22"/>
      <c r="EHH460" s="22"/>
      <c r="EHI460" s="22"/>
      <c r="EHJ460" s="22"/>
      <c r="EHK460" s="22"/>
      <c r="EHL460" s="22"/>
      <c r="EHM460" s="22"/>
      <c r="EHN460" s="22"/>
      <c r="EHO460" s="22"/>
      <c r="EHP460" s="22"/>
      <c r="EHQ460" s="22"/>
      <c r="EHR460" s="22"/>
      <c r="EHS460" s="22"/>
      <c r="EHT460" s="22"/>
      <c r="EHU460" s="22"/>
      <c r="EHV460" s="22"/>
      <c r="EHW460" s="22"/>
      <c r="EHX460" s="22"/>
      <c r="EHY460" s="22"/>
      <c r="EHZ460" s="22"/>
      <c r="EIA460" s="22"/>
      <c r="EIB460" s="22"/>
      <c r="EIC460" s="22"/>
      <c r="EID460" s="22"/>
      <c r="EIE460" s="22"/>
      <c r="EIF460" s="22"/>
      <c r="EIG460" s="22"/>
      <c r="EIH460" s="22"/>
      <c r="EII460" s="22"/>
      <c r="EIJ460" s="22"/>
      <c r="EIK460" s="22"/>
      <c r="EIL460" s="22"/>
      <c r="EIM460" s="22"/>
      <c r="EIN460" s="22"/>
      <c r="EIO460" s="22"/>
      <c r="EIP460" s="22"/>
      <c r="EIQ460" s="22"/>
      <c r="EIR460" s="22"/>
      <c r="EIS460" s="22"/>
      <c r="EIT460" s="22"/>
      <c r="EIU460" s="22"/>
      <c r="EIV460" s="22"/>
      <c r="EIW460" s="22"/>
      <c r="EIX460" s="22"/>
      <c r="EIY460" s="22"/>
      <c r="EIZ460" s="22"/>
      <c r="EJA460" s="22"/>
      <c r="EJB460" s="22"/>
      <c r="EJC460" s="22"/>
      <c r="EJD460" s="22"/>
      <c r="EJE460" s="22"/>
      <c r="EJF460" s="22"/>
      <c r="EJG460" s="22"/>
      <c r="EJH460" s="22"/>
      <c r="EJI460" s="22"/>
      <c r="EJJ460" s="22"/>
      <c r="EJK460" s="22"/>
      <c r="EJL460" s="22"/>
      <c r="EJM460" s="22"/>
      <c r="EJN460" s="22"/>
      <c r="EJO460" s="22"/>
      <c r="EJP460" s="22"/>
      <c r="EJQ460" s="22"/>
      <c r="EJR460" s="22"/>
      <c r="EJS460" s="22"/>
      <c r="EJT460" s="22"/>
      <c r="EJU460" s="22"/>
      <c r="EJV460" s="22"/>
      <c r="EJW460" s="22"/>
      <c r="EJX460" s="22"/>
      <c r="EJY460" s="22"/>
      <c r="EJZ460" s="22"/>
      <c r="EKA460" s="22"/>
      <c r="EKB460" s="22"/>
      <c r="EKC460" s="22"/>
      <c r="EKD460" s="22"/>
      <c r="EKE460" s="22"/>
      <c r="EKF460" s="22"/>
      <c r="EKG460" s="22"/>
      <c r="EKH460" s="22"/>
      <c r="EKI460" s="22"/>
      <c r="EKJ460" s="22"/>
      <c r="EKK460" s="22"/>
      <c r="EKL460" s="22"/>
      <c r="EKM460" s="22"/>
      <c r="EKN460" s="22"/>
      <c r="EKO460" s="22"/>
      <c r="EKP460" s="22"/>
      <c r="EKQ460" s="22"/>
      <c r="EKR460" s="22"/>
      <c r="EKS460" s="22"/>
      <c r="EKT460" s="22"/>
      <c r="EKU460" s="22"/>
      <c r="EKV460" s="22"/>
      <c r="EKW460" s="22"/>
      <c r="EKX460" s="22"/>
      <c r="EKY460" s="22"/>
      <c r="EKZ460" s="22"/>
      <c r="ELA460" s="22"/>
      <c r="ELB460" s="22"/>
      <c r="ELC460" s="22"/>
      <c r="ELD460" s="22"/>
      <c r="ELE460" s="22"/>
      <c r="ELF460" s="22"/>
      <c r="ELG460" s="22"/>
      <c r="ELH460" s="22"/>
      <c r="ELI460" s="22"/>
      <c r="ELJ460" s="22"/>
      <c r="ELK460" s="22"/>
      <c r="ELL460" s="22"/>
      <c r="ELM460" s="22"/>
      <c r="ELN460" s="22"/>
      <c r="ELO460" s="22"/>
      <c r="ELP460" s="22"/>
      <c r="ELQ460" s="22"/>
      <c r="ELR460" s="22"/>
      <c r="ELS460" s="22"/>
      <c r="ELT460" s="22"/>
      <c r="ELU460" s="22"/>
      <c r="ELV460" s="22"/>
      <c r="ELW460" s="22"/>
      <c r="ELX460" s="22"/>
      <c r="ELY460" s="22"/>
      <c r="ELZ460" s="22"/>
      <c r="EMA460" s="22"/>
      <c r="EMB460" s="22"/>
      <c r="EMC460" s="22"/>
      <c r="EMD460" s="22"/>
      <c r="EME460" s="22"/>
      <c r="EMF460" s="22"/>
      <c r="EMG460" s="22"/>
      <c r="EMH460" s="22"/>
      <c r="EMI460" s="22"/>
      <c r="EMJ460" s="22"/>
      <c r="EMK460" s="22"/>
      <c r="EML460" s="22"/>
      <c r="EMM460" s="22"/>
      <c r="EMN460" s="22"/>
      <c r="EMO460" s="22"/>
      <c r="EMP460" s="22"/>
      <c r="EMQ460" s="22"/>
      <c r="EMR460" s="22"/>
      <c r="EMS460" s="22"/>
      <c r="EMT460" s="22"/>
      <c r="EMU460" s="22"/>
      <c r="EMV460" s="22"/>
      <c r="EMW460" s="22"/>
      <c r="EMX460" s="22"/>
      <c r="EMY460" s="22"/>
      <c r="EMZ460" s="22"/>
      <c r="ENA460" s="22"/>
      <c r="ENB460" s="22"/>
      <c r="ENC460" s="22"/>
      <c r="END460" s="22"/>
      <c r="ENE460" s="22"/>
      <c r="ENF460" s="22"/>
      <c r="ENG460" s="22"/>
      <c r="ENH460" s="22"/>
      <c r="ENI460" s="22"/>
      <c r="ENJ460" s="22"/>
      <c r="ENK460" s="22"/>
      <c r="ENL460" s="22"/>
      <c r="ENM460" s="22"/>
      <c r="ENN460" s="22"/>
      <c r="ENO460" s="22"/>
      <c r="ENP460" s="22"/>
      <c r="ENQ460" s="22"/>
      <c r="ENR460" s="22"/>
      <c r="ENS460" s="22"/>
      <c r="ENT460" s="22"/>
      <c r="ENU460" s="22"/>
      <c r="ENV460" s="22"/>
      <c r="ENW460" s="22"/>
      <c r="ENX460" s="22"/>
      <c r="ENY460" s="22"/>
      <c r="ENZ460" s="22"/>
      <c r="EOA460" s="22"/>
      <c r="EOB460" s="22"/>
      <c r="EOC460" s="22"/>
      <c r="EOD460" s="22"/>
      <c r="EOE460" s="22"/>
      <c r="EOF460" s="22"/>
      <c r="EOG460" s="22"/>
      <c r="EOH460" s="22"/>
      <c r="EOI460" s="22"/>
      <c r="EOJ460" s="22"/>
      <c r="EOK460" s="22"/>
      <c r="EOL460" s="22"/>
      <c r="EOM460" s="22"/>
      <c r="EON460" s="22"/>
      <c r="EOO460" s="22"/>
      <c r="EOP460" s="22"/>
      <c r="EOQ460" s="22"/>
      <c r="EOR460" s="22"/>
      <c r="EOS460" s="22"/>
      <c r="EOT460" s="22"/>
      <c r="EOU460" s="22"/>
      <c r="EOV460" s="22"/>
      <c r="EOW460" s="22"/>
      <c r="EOX460" s="22"/>
      <c r="EOY460" s="22"/>
      <c r="EOZ460" s="22"/>
      <c r="EPA460" s="22"/>
      <c r="EPB460" s="22"/>
      <c r="EPC460" s="22"/>
      <c r="EPD460" s="22"/>
      <c r="EPE460" s="22"/>
      <c r="EPF460" s="22"/>
      <c r="EPG460" s="22"/>
      <c r="EPH460" s="22"/>
      <c r="EPI460" s="22"/>
      <c r="EPJ460" s="22"/>
      <c r="EPK460" s="22"/>
      <c r="EPL460" s="22"/>
      <c r="EPM460" s="22"/>
      <c r="EPN460" s="22"/>
      <c r="EPO460" s="22"/>
      <c r="EPP460" s="22"/>
      <c r="EPQ460" s="22"/>
      <c r="EPR460" s="22"/>
      <c r="EPS460" s="22"/>
      <c r="EPT460" s="22"/>
      <c r="EPU460" s="22"/>
      <c r="EPV460" s="22"/>
      <c r="EPW460" s="22"/>
      <c r="EPX460" s="22"/>
      <c r="EPY460" s="22"/>
      <c r="EPZ460" s="22"/>
      <c r="EQA460" s="22"/>
      <c r="EQB460" s="22"/>
      <c r="EQC460" s="22"/>
      <c r="EQD460" s="22"/>
      <c r="EQE460" s="22"/>
      <c r="EQF460" s="22"/>
      <c r="EQG460" s="22"/>
      <c r="EQH460" s="22"/>
      <c r="EQI460" s="22"/>
      <c r="EQJ460" s="22"/>
      <c r="EQK460" s="22"/>
      <c r="EQL460" s="22"/>
      <c r="EQM460" s="22"/>
      <c r="EQN460" s="22"/>
      <c r="EQO460" s="22"/>
      <c r="EQP460" s="22"/>
      <c r="EQQ460" s="22"/>
      <c r="EQR460" s="22"/>
      <c r="EQS460" s="22"/>
      <c r="EQT460" s="22"/>
      <c r="EQU460" s="22"/>
      <c r="EQV460" s="22"/>
      <c r="EQW460" s="22"/>
      <c r="EQX460" s="22"/>
      <c r="EQY460" s="22"/>
      <c r="EQZ460" s="22"/>
      <c r="ERA460" s="22"/>
      <c r="ERB460" s="22"/>
      <c r="ERC460" s="22"/>
      <c r="ERD460" s="22"/>
      <c r="ERE460" s="22"/>
      <c r="ERF460" s="22"/>
      <c r="ERG460" s="22"/>
      <c r="ERH460" s="22"/>
      <c r="ERI460" s="22"/>
      <c r="ERJ460" s="22"/>
      <c r="ERK460" s="22"/>
      <c r="ERL460" s="22"/>
      <c r="ERM460" s="22"/>
      <c r="ERN460" s="22"/>
      <c r="ERO460" s="22"/>
      <c r="ERP460" s="22"/>
      <c r="ERQ460" s="22"/>
      <c r="ERR460" s="22"/>
      <c r="ERS460" s="22"/>
      <c r="ERT460" s="22"/>
      <c r="ERU460" s="22"/>
      <c r="ERV460" s="22"/>
      <c r="ERW460" s="22"/>
      <c r="ERX460" s="22"/>
      <c r="ERY460" s="22"/>
      <c r="ERZ460" s="22"/>
      <c r="ESA460" s="22"/>
      <c r="ESB460" s="22"/>
      <c r="ESC460" s="22"/>
      <c r="ESD460" s="22"/>
      <c r="ESE460" s="22"/>
      <c r="ESF460" s="22"/>
      <c r="ESG460" s="22"/>
      <c r="ESH460" s="22"/>
      <c r="ESI460" s="22"/>
      <c r="ESJ460" s="22"/>
      <c r="ESK460" s="22"/>
      <c r="ESL460" s="22"/>
      <c r="ESM460" s="22"/>
      <c r="ESN460" s="22"/>
      <c r="ESO460" s="22"/>
      <c r="ESP460" s="22"/>
      <c r="ESQ460" s="22"/>
      <c r="ESR460" s="22"/>
      <c r="ESS460" s="22"/>
      <c r="EST460" s="22"/>
      <c r="ESU460" s="22"/>
      <c r="ESV460" s="22"/>
      <c r="ESW460" s="22"/>
      <c r="ESX460" s="22"/>
      <c r="ESY460" s="22"/>
      <c r="ESZ460" s="22"/>
      <c r="ETA460" s="22"/>
      <c r="ETB460" s="22"/>
      <c r="ETC460" s="22"/>
      <c r="ETD460" s="22"/>
      <c r="ETE460" s="22"/>
      <c r="ETF460" s="22"/>
      <c r="ETG460" s="22"/>
      <c r="ETH460" s="22"/>
      <c r="ETI460" s="22"/>
      <c r="ETJ460" s="22"/>
      <c r="ETK460" s="22"/>
      <c r="ETL460" s="22"/>
      <c r="ETM460" s="22"/>
      <c r="ETN460" s="22"/>
      <c r="ETO460" s="22"/>
      <c r="ETP460" s="22"/>
      <c r="ETQ460" s="22"/>
      <c r="ETR460" s="22"/>
      <c r="ETS460" s="22"/>
      <c r="ETT460" s="22"/>
      <c r="ETU460" s="22"/>
      <c r="ETV460" s="22"/>
      <c r="ETW460" s="22"/>
      <c r="ETX460" s="22"/>
      <c r="ETY460" s="22"/>
      <c r="ETZ460" s="22"/>
      <c r="EUA460" s="22"/>
      <c r="EUB460" s="22"/>
      <c r="EUC460" s="22"/>
      <c r="EUD460" s="22"/>
      <c r="EUE460" s="22"/>
      <c r="EUF460" s="22"/>
      <c r="EUG460" s="22"/>
      <c r="EUH460" s="22"/>
      <c r="EUI460" s="22"/>
      <c r="EUJ460" s="22"/>
      <c r="EUK460" s="22"/>
      <c r="EUL460" s="22"/>
      <c r="EUM460" s="22"/>
      <c r="EUN460" s="22"/>
      <c r="EUO460" s="22"/>
      <c r="EUP460" s="22"/>
      <c r="EUQ460" s="22"/>
      <c r="EUR460" s="22"/>
      <c r="EUS460" s="22"/>
      <c r="EUT460" s="22"/>
      <c r="EUU460" s="22"/>
      <c r="EUV460" s="22"/>
      <c r="EUW460" s="22"/>
      <c r="EUX460" s="22"/>
      <c r="EUY460" s="22"/>
      <c r="EUZ460" s="22"/>
      <c r="EVA460" s="22"/>
      <c r="EVB460" s="22"/>
      <c r="EVC460" s="22"/>
      <c r="EVD460" s="22"/>
      <c r="EVE460" s="22"/>
      <c r="EVF460" s="22"/>
      <c r="EVG460" s="22"/>
      <c r="EVH460" s="22"/>
      <c r="EVI460" s="22"/>
      <c r="EVJ460" s="22"/>
      <c r="EVK460" s="22"/>
      <c r="EVL460" s="22"/>
      <c r="EVM460" s="22"/>
      <c r="EVN460" s="22"/>
      <c r="EVO460" s="22"/>
      <c r="EVP460" s="22"/>
      <c r="EVQ460" s="22"/>
      <c r="EVR460" s="22"/>
      <c r="EVS460" s="22"/>
      <c r="EVT460" s="22"/>
      <c r="EVU460" s="22"/>
      <c r="EVV460" s="22"/>
      <c r="EVW460" s="22"/>
      <c r="EVX460" s="22"/>
      <c r="EVY460" s="22"/>
      <c r="EVZ460" s="22"/>
      <c r="EWA460" s="22"/>
      <c r="EWB460" s="22"/>
      <c r="EWC460" s="22"/>
      <c r="EWD460" s="22"/>
      <c r="EWE460" s="22"/>
      <c r="EWF460" s="22"/>
      <c r="EWG460" s="22"/>
      <c r="EWH460" s="22"/>
      <c r="EWI460" s="22"/>
      <c r="EWJ460" s="22"/>
      <c r="EWK460" s="22"/>
      <c r="EWL460" s="22"/>
      <c r="EWM460" s="22"/>
      <c r="EWN460" s="22"/>
      <c r="EWO460" s="22"/>
      <c r="EWP460" s="22"/>
      <c r="EWQ460" s="22"/>
      <c r="EWR460" s="22"/>
      <c r="EWS460" s="22"/>
      <c r="EWT460" s="22"/>
      <c r="EWU460" s="22"/>
      <c r="EWV460" s="22"/>
      <c r="EWW460" s="22"/>
      <c r="EWX460" s="22"/>
      <c r="EWY460" s="22"/>
      <c r="EWZ460" s="22"/>
      <c r="EXA460" s="22"/>
      <c r="EXB460" s="22"/>
      <c r="EXC460" s="22"/>
      <c r="EXD460" s="22"/>
      <c r="EXE460" s="22"/>
      <c r="EXF460" s="22"/>
      <c r="EXG460" s="22"/>
      <c r="EXH460" s="22"/>
      <c r="EXI460" s="22"/>
      <c r="EXJ460" s="22"/>
      <c r="EXK460" s="22"/>
      <c r="EXL460" s="22"/>
      <c r="EXM460" s="22"/>
      <c r="EXN460" s="22"/>
      <c r="EXO460" s="22"/>
      <c r="EXP460" s="22"/>
      <c r="EXQ460" s="22"/>
      <c r="EXR460" s="22"/>
      <c r="EXS460" s="22"/>
      <c r="EXT460" s="22"/>
      <c r="EXU460" s="22"/>
      <c r="EXV460" s="22"/>
      <c r="EXW460" s="22"/>
      <c r="EXX460" s="22"/>
      <c r="EXY460" s="22"/>
      <c r="EXZ460" s="22"/>
      <c r="EYA460" s="22"/>
      <c r="EYB460" s="22"/>
      <c r="EYC460" s="22"/>
      <c r="EYD460" s="22"/>
      <c r="EYE460" s="22"/>
      <c r="EYF460" s="22"/>
      <c r="EYG460" s="22"/>
      <c r="EYH460" s="22"/>
      <c r="EYI460" s="22"/>
      <c r="EYJ460" s="22"/>
      <c r="EYK460" s="22"/>
      <c r="EYL460" s="22"/>
      <c r="EYM460" s="22"/>
      <c r="EYN460" s="22"/>
      <c r="EYO460" s="22"/>
      <c r="EYP460" s="22"/>
      <c r="EYQ460" s="22"/>
      <c r="EYR460" s="22"/>
      <c r="EYS460" s="22"/>
      <c r="EYT460" s="22"/>
      <c r="EYU460" s="22"/>
      <c r="EYV460" s="22"/>
      <c r="EYW460" s="22"/>
      <c r="EYX460" s="22"/>
      <c r="EYY460" s="22"/>
      <c r="EYZ460" s="22"/>
      <c r="EZA460" s="22"/>
      <c r="EZB460" s="22"/>
      <c r="EZC460" s="22"/>
      <c r="EZD460" s="22"/>
      <c r="EZE460" s="22"/>
      <c r="EZF460" s="22"/>
      <c r="EZG460" s="22"/>
      <c r="EZH460" s="22"/>
      <c r="EZI460" s="22"/>
      <c r="EZJ460" s="22"/>
      <c r="EZK460" s="22"/>
      <c r="EZL460" s="22"/>
      <c r="EZM460" s="22"/>
      <c r="EZN460" s="22"/>
      <c r="EZO460" s="22"/>
      <c r="EZP460" s="22"/>
      <c r="EZQ460" s="22"/>
      <c r="EZR460" s="22"/>
      <c r="EZS460" s="22"/>
      <c r="EZT460" s="22"/>
      <c r="EZU460" s="22"/>
      <c r="EZV460" s="22"/>
      <c r="EZW460" s="22"/>
      <c r="EZX460" s="22"/>
      <c r="EZY460" s="22"/>
      <c r="EZZ460" s="22"/>
      <c r="FAA460" s="22"/>
      <c r="FAB460" s="22"/>
      <c r="FAC460" s="22"/>
      <c r="FAD460" s="22"/>
      <c r="FAE460" s="22"/>
      <c r="FAF460" s="22"/>
      <c r="FAG460" s="22"/>
      <c r="FAH460" s="22"/>
      <c r="FAI460" s="22"/>
      <c r="FAJ460" s="22"/>
      <c r="FAK460" s="22"/>
      <c r="FAL460" s="22"/>
      <c r="FAM460" s="22"/>
      <c r="FAN460" s="22"/>
      <c r="FAO460" s="22"/>
      <c r="FAP460" s="22"/>
      <c r="FAQ460" s="22"/>
      <c r="FAR460" s="22"/>
      <c r="FAS460" s="22"/>
      <c r="FAT460" s="22"/>
      <c r="FAU460" s="22"/>
      <c r="FAV460" s="22"/>
      <c r="FAW460" s="22"/>
      <c r="FAX460" s="22"/>
      <c r="FAY460" s="22"/>
      <c r="FAZ460" s="22"/>
      <c r="FBA460" s="22"/>
      <c r="FBB460" s="22"/>
      <c r="FBC460" s="22"/>
      <c r="FBD460" s="22"/>
      <c r="FBE460" s="22"/>
      <c r="FBF460" s="22"/>
      <c r="FBG460" s="22"/>
      <c r="FBH460" s="22"/>
      <c r="FBI460" s="22"/>
      <c r="FBJ460" s="22"/>
      <c r="FBK460" s="22"/>
      <c r="FBL460" s="22"/>
      <c r="FBM460" s="22"/>
      <c r="FBN460" s="22"/>
      <c r="FBO460" s="22"/>
      <c r="FBP460" s="22"/>
      <c r="FBQ460" s="22"/>
      <c r="FBR460" s="22"/>
      <c r="FBS460" s="22"/>
      <c r="FBT460" s="22"/>
      <c r="FBU460" s="22"/>
      <c r="FBV460" s="22"/>
      <c r="FBW460" s="22"/>
      <c r="FBX460" s="22"/>
      <c r="FBY460" s="22"/>
      <c r="FBZ460" s="22"/>
      <c r="FCA460" s="22"/>
      <c r="FCB460" s="22"/>
      <c r="FCC460" s="22"/>
      <c r="FCD460" s="22"/>
      <c r="FCE460" s="22"/>
      <c r="FCF460" s="22"/>
      <c r="FCG460" s="22"/>
      <c r="FCH460" s="22"/>
      <c r="FCI460" s="22"/>
      <c r="FCJ460" s="22"/>
      <c r="FCK460" s="22"/>
      <c r="FCL460" s="22"/>
      <c r="FCM460" s="22"/>
      <c r="FCN460" s="22"/>
      <c r="FCO460" s="22"/>
      <c r="FCP460" s="22"/>
      <c r="FCQ460" s="22"/>
      <c r="FCR460" s="22"/>
      <c r="FCS460" s="22"/>
      <c r="FCT460" s="22"/>
      <c r="FCU460" s="22"/>
      <c r="FCV460" s="22"/>
      <c r="FCW460" s="22"/>
      <c r="FCX460" s="22"/>
      <c r="FCY460" s="22"/>
      <c r="FCZ460" s="22"/>
      <c r="FDA460" s="22"/>
      <c r="FDB460" s="22"/>
      <c r="FDC460" s="22"/>
      <c r="FDD460" s="22"/>
      <c r="FDE460" s="22"/>
      <c r="FDF460" s="22"/>
      <c r="FDG460" s="22"/>
      <c r="FDH460" s="22"/>
      <c r="FDI460" s="22"/>
      <c r="FDJ460" s="22"/>
      <c r="FDK460" s="22"/>
      <c r="FDL460" s="22"/>
      <c r="FDM460" s="22"/>
      <c r="FDN460" s="22"/>
      <c r="FDO460" s="22"/>
      <c r="FDP460" s="22"/>
      <c r="FDQ460" s="22"/>
      <c r="FDR460" s="22"/>
      <c r="FDS460" s="22"/>
      <c r="FDT460" s="22"/>
      <c r="FDU460" s="22"/>
      <c r="FDV460" s="22"/>
      <c r="FDW460" s="22"/>
      <c r="FDX460" s="22"/>
      <c r="FDY460" s="22"/>
      <c r="FDZ460" s="22"/>
      <c r="FEA460" s="22"/>
      <c r="FEB460" s="22"/>
      <c r="FEC460" s="22"/>
      <c r="FED460" s="22"/>
      <c r="FEE460" s="22"/>
      <c r="FEF460" s="22"/>
      <c r="FEG460" s="22"/>
      <c r="FEH460" s="22"/>
      <c r="FEI460" s="22"/>
      <c r="FEJ460" s="22"/>
      <c r="FEK460" s="22"/>
      <c r="FEL460" s="22"/>
      <c r="FEM460" s="22"/>
      <c r="FEN460" s="22"/>
      <c r="FEO460" s="22"/>
      <c r="FEP460" s="22"/>
      <c r="FEQ460" s="22"/>
      <c r="FER460" s="22"/>
      <c r="FES460" s="22"/>
      <c r="FET460" s="22"/>
      <c r="FEU460" s="22"/>
      <c r="FEV460" s="22"/>
      <c r="FEW460" s="22"/>
      <c r="FEX460" s="22"/>
      <c r="FEY460" s="22"/>
      <c r="FEZ460" s="22"/>
      <c r="FFA460" s="22"/>
      <c r="FFB460" s="22"/>
      <c r="FFC460" s="22"/>
      <c r="FFD460" s="22"/>
      <c r="FFE460" s="22"/>
      <c r="FFF460" s="22"/>
      <c r="FFG460" s="22"/>
      <c r="FFH460" s="22"/>
      <c r="FFI460" s="22"/>
      <c r="FFJ460" s="22"/>
      <c r="FFK460" s="22"/>
      <c r="FFL460" s="22"/>
      <c r="FFM460" s="22"/>
      <c r="FFN460" s="22"/>
      <c r="FFO460" s="22"/>
      <c r="FFP460" s="22"/>
      <c r="FFQ460" s="22"/>
      <c r="FFR460" s="22"/>
      <c r="FFS460" s="22"/>
      <c r="FFT460" s="22"/>
      <c r="FFU460" s="22"/>
      <c r="FFV460" s="22"/>
      <c r="FFW460" s="22"/>
      <c r="FFX460" s="22"/>
      <c r="FFY460" s="22"/>
      <c r="FFZ460" s="22"/>
      <c r="FGA460" s="22"/>
      <c r="FGB460" s="22"/>
      <c r="FGC460" s="22"/>
      <c r="FGD460" s="22"/>
      <c r="FGE460" s="22"/>
      <c r="FGF460" s="22"/>
      <c r="FGG460" s="22"/>
      <c r="FGH460" s="22"/>
      <c r="FGI460" s="22"/>
      <c r="FGJ460" s="22"/>
      <c r="FGK460" s="22"/>
      <c r="FGL460" s="22"/>
      <c r="FGM460" s="22"/>
      <c r="FGN460" s="22"/>
      <c r="FGO460" s="22"/>
      <c r="FGP460" s="22"/>
      <c r="FGQ460" s="22"/>
      <c r="FGR460" s="22"/>
      <c r="FGS460" s="22"/>
      <c r="FGT460" s="22"/>
      <c r="FGU460" s="22"/>
      <c r="FGV460" s="22"/>
      <c r="FGW460" s="22"/>
      <c r="FGX460" s="22"/>
      <c r="FGY460" s="22"/>
      <c r="FGZ460" s="22"/>
      <c r="FHA460" s="22"/>
      <c r="FHB460" s="22"/>
      <c r="FHC460" s="22"/>
      <c r="FHD460" s="22"/>
      <c r="FHE460" s="22"/>
      <c r="FHF460" s="22"/>
      <c r="FHG460" s="22"/>
      <c r="FHH460" s="22"/>
      <c r="FHI460" s="22"/>
      <c r="FHJ460" s="22"/>
      <c r="FHK460" s="22"/>
      <c r="FHL460" s="22"/>
      <c r="FHM460" s="22"/>
      <c r="FHN460" s="22"/>
      <c r="FHO460" s="22"/>
      <c r="FHP460" s="22"/>
      <c r="FHQ460" s="22"/>
      <c r="FHR460" s="22"/>
      <c r="FHS460" s="22"/>
      <c r="FHT460" s="22"/>
      <c r="FHU460" s="22"/>
      <c r="FHV460" s="22"/>
      <c r="FHW460" s="22"/>
      <c r="FHX460" s="22"/>
      <c r="FHY460" s="22"/>
      <c r="FHZ460" s="22"/>
      <c r="FIA460" s="22"/>
      <c r="FIB460" s="22"/>
      <c r="FIC460" s="22"/>
      <c r="FID460" s="22"/>
      <c r="FIE460" s="22"/>
      <c r="FIF460" s="22"/>
      <c r="FIG460" s="22"/>
      <c r="FIH460" s="22"/>
      <c r="FII460" s="22"/>
      <c r="FIJ460" s="22"/>
      <c r="FIK460" s="22"/>
      <c r="FIL460" s="22"/>
      <c r="FIM460" s="22"/>
      <c r="FIN460" s="22"/>
      <c r="FIO460" s="22"/>
      <c r="FIP460" s="22"/>
      <c r="FIQ460" s="22"/>
      <c r="FIR460" s="22"/>
      <c r="FIS460" s="22"/>
      <c r="FIT460" s="22"/>
      <c r="FIU460" s="22"/>
      <c r="FIV460" s="22"/>
      <c r="FIW460" s="22"/>
      <c r="FIX460" s="22"/>
      <c r="FIY460" s="22"/>
      <c r="FIZ460" s="22"/>
      <c r="FJA460" s="22"/>
      <c r="FJB460" s="22"/>
      <c r="FJC460" s="22"/>
      <c r="FJD460" s="22"/>
      <c r="FJE460" s="22"/>
      <c r="FJF460" s="22"/>
      <c r="FJG460" s="22"/>
      <c r="FJH460" s="22"/>
      <c r="FJI460" s="22"/>
      <c r="FJJ460" s="22"/>
      <c r="FJK460" s="22"/>
      <c r="FJL460" s="22"/>
      <c r="FJM460" s="22"/>
      <c r="FJN460" s="22"/>
      <c r="FJO460" s="22"/>
      <c r="FJP460" s="22"/>
      <c r="FJQ460" s="22"/>
      <c r="FJR460" s="22"/>
      <c r="FJS460" s="22"/>
      <c r="FJT460" s="22"/>
      <c r="FJU460" s="22"/>
      <c r="FJV460" s="22"/>
      <c r="FJW460" s="22"/>
      <c r="FJX460" s="22"/>
      <c r="FJY460" s="22"/>
      <c r="FJZ460" s="22"/>
      <c r="FKA460" s="22"/>
      <c r="FKB460" s="22"/>
      <c r="FKC460" s="22"/>
      <c r="FKD460" s="22"/>
      <c r="FKE460" s="22"/>
      <c r="FKF460" s="22"/>
      <c r="FKG460" s="22"/>
      <c r="FKH460" s="22"/>
      <c r="FKI460" s="22"/>
      <c r="FKJ460" s="22"/>
      <c r="FKK460" s="22"/>
      <c r="FKL460" s="22"/>
      <c r="FKM460" s="22"/>
      <c r="FKN460" s="22"/>
      <c r="FKO460" s="22"/>
      <c r="FKP460" s="22"/>
      <c r="FKQ460" s="22"/>
      <c r="FKR460" s="22"/>
      <c r="FKS460" s="22"/>
      <c r="FKT460" s="22"/>
      <c r="FKU460" s="22"/>
      <c r="FKV460" s="22"/>
      <c r="FKW460" s="22"/>
      <c r="FKX460" s="22"/>
      <c r="FKY460" s="22"/>
      <c r="FKZ460" s="22"/>
      <c r="FLA460" s="22"/>
      <c r="FLB460" s="22"/>
      <c r="FLC460" s="22"/>
      <c r="FLD460" s="22"/>
      <c r="FLE460" s="22"/>
      <c r="FLF460" s="22"/>
      <c r="FLG460" s="22"/>
      <c r="FLH460" s="22"/>
      <c r="FLI460" s="22"/>
      <c r="FLJ460" s="22"/>
      <c r="FLK460" s="22"/>
      <c r="FLL460" s="22"/>
      <c r="FLM460" s="22"/>
      <c r="FLN460" s="22"/>
      <c r="FLO460" s="22"/>
      <c r="FLP460" s="22"/>
      <c r="FLQ460" s="22"/>
      <c r="FLR460" s="22"/>
      <c r="FLS460" s="22"/>
      <c r="FLT460" s="22"/>
      <c r="FLU460" s="22"/>
      <c r="FLV460" s="22"/>
      <c r="FLW460" s="22"/>
      <c r="FLX460" s="22"/>
      <c r="FLY460" s="22"/>
      <c r="FLZ460" s="22"/>
      <c r="FMA460" s="22"/>
      <c r="FMB460" s="22"/>
      <c r="FMC460" s="22"/>
      <c r="FMD460" s="22"/>
      <c r="FME460" s="22"/>
      <c r="FMF460" s="22"/>
      <c r="FMG460" s="22"/>
      <c r="FMH460" s="22"/>
      <c r="FMI460" s="22"/>
      <c r="FMJ460" s="22"/>
      <c r="FMK460" s="22"/>
      <c r="FML460" s="22"/>
      <c r="FMM460" s="22"/>
      <c r="FMN460" s="22"/>
      <c r="FMO460" s="22"/>
      <c r="FMP460" s="22"/>
      <c r="FMQ460" s="22"/>
      <c r="FMR460" s="22"/>
      <c r="FMS460" s="22"/>
      <c r="FMT460" s="22"/>
      <c r="FMU460" s="22"/>
      <c r="FMV460" s="22"/>
      <c r="FMW460" s="22"/>
      <c r="FMX460" s="22"/>
      <c r="FMY460" s="22"/>
      <c r="FMZ460" s="22"/>
      <c r="FNA460" s="22"/>
      <c r="FNB460" s="22"/>
      <c r="FNC460" s="22"/>
      <c r="FND460" s="22"/>
      <c r="FNE460" s="22"/>
      <c r="FNF460" s="22"/>
      <c r="FNG460" s="22"/>
      <c r="FNH460" s="22"/>
      <c r="FNI460" s="22"/>
      <c r="FNJ460" s="22"/>
      <c r="FNK460" s="22"/>
      <c r="FNL460" s="22"/>
      <c r="FNM460" s="22"/>
      <c r="FNN460" s="22"/>
      <c r="FNO460" s="22"/>
      <c r="FNP460" s="22"/>
      <c r="FNQ460" s="22"/>
      <c r="FNR460" s="22"/>
      <c r="FNS460" s="22"/>
      <c r="FNT460" s="22"/>
      <c r="FNU460" s="22"/>
      <c r="FNV460" s="22"/>
      <c r="FNW460" s="22"/>
      <c r="FNX460" s="22"/>
      <c r="FNY460" s="22"/>
      <c r="FNZ460" s="22"/>
      <c r="FOA460" s="22"/>
      <c r="FOB460" s="22"/>
      <c r="FOC460" s="22"/>
      <c r="FOD460" s="22"/>
      <c r="FOE460" s="22"/>
      <c r="FOF460" s="22"/>
      <c r="FOG460" s="22"/>
      <c r="FOH460" s="22"/>
      <c r="FOI460" s="22"/>
      <c r="FOJ460" s="22"/>
      <c r="FOK460" s="22"/>
      <c r="FOL460" s="22"/>
      <c r="FOM460" s="22"/>
      <c r="FON460" s="22"/>
      <c r="FOO460" s="22"/>
      <c r="FOP460" s="22"/>
      <c r="FOQ460" s="22"/>
      <c r="FOR460" s="22"/>
      <c r="FOS460" s="22"/>
      <c r="FOT460" s="22"/>
      <c r="FOU460" s="22"/>
      <c r="FOV460" s="22"/>
      <c r="FOW460" s="22"/>
      <c r="FOX460" s="22"/>
      <c r="FOY460" s="22"/>
      <c r="FOZ460" s="22"/>
      <c r="FPA460" s="22"/>
      <c r="FPB460" s="22"/>
      <c r="FPC460" s="22"/>
      <c r="FPD460" s="22"/>
      <c r="FPE460" s="22"/>
      <c r="FPF460" s="22"/>
      <c r="FPG460" s="22"/>
      <c r="FPH460" s="22"/>
      <c r="FPI460" s="22"/>
      <c r="FPJ460" s="22"/>
      <c r="FPK460" s="22"/>
      <c r="FPL460" s="22"/>
      <c r="FPM460" s="22"/>
      <c r="FPN460" s="22"/>
      <c r="FPO460" s="22"/>
      <c r="FPP460" s="22"/>
      <c r="FPQ460" s="22"/>
      <c r="FPR460" s="22"/>
      <c r="FPS460" s="22"/>
      <c r="FPT460" s="22"/>
      <c r="FPU460" s="22"/>
      <c r="FPV460" s="22"/>
      <c r="FPW460" s="22"/>
      <c r="FPX460" s="22"/>
      <c r="FPY460" s="22"/>
      <c r="FPZ460" s="22"/>
      <c r="FQA460" s="22"/>
      <c r="FQB460" s="22"/>
      <c r="FQC460" s="22"/>
      <c r="FQD460" s="22"/>
      <c r="FQE460" s="22"/>
      <c r="FQF460" s="22"/>
      <c r="FQG460" s="22"/>
      <c r="FQH460" s="22"/>
      <c r="FQI460" s="22"/>
      <c r="FQJ460" s="22"/>
      <c r="FQK460" s="22"/>
      <c r="FQL460" s="22"/>
      <c r="FQM460" s="22"/>
      <c r="FQN460" s="22"/>
      <c r="FQO460" s="22"/>
      <c r="FQP460" s="22"/>
      <c r="FQQ460" s="22"/>
      <c r="FQR460" s="22"/>
      <c r="FQS460" s="22"/>
      <c r="FQT460" s="22"/>
      <c r="FQU460" s="22"/>
      <c r="FQV460" s="22"/>
      <c r="FQW460" s="22"/>
      <c r="FQX460" s="22"/>
      <c r="FQY460" s="22"/>
      <c r="FQZ460" s="22"/>
      <c r="FRA460" s="22"/>
      <c r="FRB460" s="22"/>
      <c r="FRC460" s="22"/>
      <c r="FRD460" s="22"/>
      <c r="FRE460" s="22"/>
      <c r="FRF460" s="22"/>
      <c r="FRG460" s="22"/>
      <c r="FRH460" s="22"/>
      <c r="FRI460" s="22"/>
      <c r="FRJ460" s="22"/>
      <c r="FRK460" s="22"/>
      <c r="FRL460" s="22"/>
      <c r="FRM460" s="22"/>
      <c r="FRN460" s="22"/>
      <c r="FRO460" s="22"/>
      <c r="FRP460" s="22"/>
      <c r="FRQ460" s="22"/>
      <c r="FRR460" s="22"/>
      <c r="FRS460" s="22"/>
      <c r="FRT460" s="22"/>
      <c r="FRU460" s="22"/>
      <c r="FRV460" s="22"/>
      <c r="FRW460" s="22"/>
      <c r="FRX460" s="22"/>
      <c r="FRY460" s="22"/>
      <c r="FRZ460" s="22"/>
      <c r="FSA460" s="22"/>
      <c r="FSB460" s="22"/>
      <c r="FSC460" s="22"/>
      <c r="FSD460" s="22"/>
      <c r="FSE460" s="22"/>
      <c r="FSF460" s="22"/>
      <c r="FSG460" s="22"/>
      <c r="FSH460" s="22"/>
      <c r="FSI460" s="22"/>
      <c r="FSJ460" s="22"/>
      <c r="FSK460" s="22"/>
      <c r="FSL460" s="22"/>
      <c r="FSM460" s="22"/>
      <c r="FSN460" s="22"/>
      <c r="FSO460" s="22"/>
      <c r="FSP460" s="22"/>
      <c r="FSQ460" s="22"/>
      <c r="FSR460" s="22"/>
      <c r="FSS460" s="22"/>
      <c r="FST460" s="22"/>
      <c r="FSU460" s="22"/>
      <c r="FSV460" s="22"/>
      <c r="FSW460" s="22"/>
      <c r="FSX460" s="22"/>
      <c r="FSY460" s="22"/>
      <c r="FSZ460" s="22"/>
      <c r="FTA460" s="22"/>
      <c r="FTB460" s="22"/>
      <c r="FTC460" s="22"/>
      <c r="FTD460" s="22"/>
      <c r="FTE460" s="22"/>
      <c r="FTF460" s="22"/>
      <c r="FTG460" s="22"/>
      <c r="FTH460" s="22"/>
      <c r="FTI460" s="22"/>
      <c r="FTJ460" s="22"/>
      <c r="FTK460" s="22"/>
      <c r="FTL460" s="22"/>
      <c r="FTM460" s="22"/>
      <c r="FTN460" s="22"/>
      <c r="FTO460" s="22"/>
      <c r="FTP460" s="22"/>
      <c r="FTQ460" s="22"/>
      <c r="FTR460" s="22"/>
      <c r="FTS460" s="22"/>
      <c r="FTT460" s="22"/>
      <c r="FTU460" s="22"/>
      <c r="FTV460" s="22"/>
      <c r="FTW460" s="22"/>
      <c r="FTX460" s="22"/>
      <c r="FTY460" s="22"/>
      <c r="FTZ460" s="22"/>
      <c r="FUA460" s="22"/>
      <c r="FUB460" s="22"/>
      <c r="FUC460" s="22"/>
      <c r="FUD460" s="22"/>
      <c r="FUE460" s="22"/>
      <c r="FUF460" s="22"/>
      <c r="FUG460" s="22"/>
      <c r="FUH460" s="22"/>
      <c r="FUI460" s="22"/>
      <c r="FUJ460" s="22"/>
      <c r="FUK460" s="22"/>
      <c r="FUL460" s="22"/>
      <c r="FUM460" s="22"/>
      <c r="FUN460" s="22"/>
      <c r="FUO460" s="22"/>
      <c r="FUP460" s="22"/>
      <c r="FUQ460" s="22"/>
      <c r="FUR460" s="22"/>
      <c r="FUS460" s="22"/>
      <c r="FUT460" s="22"/>
      <c r="FUU460" s="22"/>
      <c r="FUV460" s="22"/>
      <c r="FUW460" s="22"/>
      <c r="FUX460" s="22"/>
      <c r="FUY460" s="22"/>
      <c r="FUZ460" s="22"/>
      <c r="FVA460" s="22"/>
      <c r="FVB460" s="22"/>
      <c r="FVC460" s="22"/>
      <c r="FVD460" s="22"/>
      <c r="FVE460" s="22"/>
      <c r="FVF460" s="22"/>
      <c r="FVG460" s="22"/>
      <c r="FVH460" s="22"/>
      <c r="FVI460" s="22"/>
      <c r="FVJ460" s="22"/>
      <c r="FVK460" s="22"/>
      <c r="FVL460" s="22"/>
      <c r="FVM460" s="22"/>
      <c r="FVN460" s="22"/>
      <c r="FVO460" s="22"/>
      <c r="FVP460" s="22"/>
      <c r="FVQ460" s="22"/>
      <c r="FVR460" s="22"/>
      <c r="FVS460" s="22"/>
      <c r="FVT460" s="22"/>
      <c r="FVU460" s="22"/>
      <c r="FVV460" s="22"/>
      <c r="FVW460" s="22"/>
      <c r="FVX460" s="22"/>
      <c r="FVY460" s="22"/>
      <c r="FVZ460" s="22"/>
      <c r="FWA460" s="22"/>
      <c r="FWB460" s="22"/>
      <c r="FWC460" s="22"/>
      <c r="FWD460" s="22"/>
      <c r="FWE460" s="22"/>
      <c r="FWF460" s="22"/>
      <c r="FWG460" s="22"/>
      <c r="FWH460" s="22"/>
      <c r="FWI460" s="22"/>
      <c r="FWJ460" s="22"/>
      <c r="FWK460" s="22"/>
      <c r="FWL460" s="22"/>
      <c r="FWM460" s="22"/>
      <c r="FWN460" s="22"/>
      <c r="FWO460" s="22"/>
      <c r="FWP460" s="22"/>
      <c r="FWQ460" s="22"/>
      <c r="FWR460" s="22"/>
      <c r="FWS460" s="22"/>
      <c r="FWT460" s="22"/>
      <c r="FWU460" s="22"/>
      <c r="FWV460" s="22"/>
      <c r="FWW460" s="22"/>
      <c r="FWX460" s="22"/>
      <c r="FWY460" s="22"/>
      <c r="FWZ460" s="22"/>
      <c r="FXA460" s="22"/>
      <c r="FXB460" s="22"/>
      <c r="FXC460" s="22"/>
      <c r="FXD460" s="22"/>
      <c r="FXE460" s="22"/>
      <c r="FXF460" s="22"/>
      <c r="FXG460" s="22"/>
      <c r="FXH460" s="22"/>
      <c r="FXI460" s="22"/>
      <c r="FXJ460" s="22"/>
      <c r="FXK460" s="22"/>
      <c r="FXL460" s="22"/>
      <c r="FXM460" s="22"/>
      <c r="FXN460" s="22"/>
      <c r="FXO460" s="22"/>
      <c r="FXP460" s="22"/>
      <c r="FXQ460" s="22"/>
      <c r="FXR460" s="22"/>
      <c r="FXS460" s="22"/>
      <c r="FXT460" s="22"/>
      <c r="FXU460" s="22"/>
      <c r="FXV460" s="22"/>
      <c r="FXW460" s="22"/>
      <c r="FXX460" s="22"/>
      <c r="FXY460" s="22"/>
      <c r="FXZ460" s="22"/>
      <c r="FYA460" s="22"/>
      <c r="FYB460" s="22"/>
      <c r="FYC460" s="22"/>
      <c r="FYD460" s="22"/>
      <c r="FYE460" s="22"/>
      <c r="FYF460" s="22"/>
      <c r="FYG460" s="22"/>
      <c r="FYH460" s="22"/>
      <c r="FYI460" s="22"/>
      <c r="FYJ460" s="22"/>
      <c r="FYK460" s="22"/>
      <c r="FYL460" s="22"/>
      <c r="FYM460" s="22"/>
      <c r="FYN460" s="22"/>
      <c r="FYO460" s="22"/>
      <c r="FYP460" s="22"/>
      <c r="FYQ460" s="22"/>
      <c r="FYR460" s="22"/>
      <c r="FYS460" s="22"/>
      <c r="FYT460" s="22"/>
      <c r="FYU460" s="22"/>
      <c r="FYV460" s="22"/>
      <c r="FYW460" s="22"/>
      <c r="FYX460" s="22"/>
      <c r="FYY460" s="22"/>
      <c r="FYZ460" s="22"/>
      <c r="FZA460" s="22"/>
      <c r="FZB460" s="22"/>
      <c r="FZC460" s="22"/>
      <c r="FZD460" s="22"/>
      <c r="FZE460" s="22"/>
      <c r="FZF460" s="22"/>
      <c r="FZG460" s="22"/>
      <c r="FZH460" s="22"/>
      <c r="FZI460" s="22"/>
      <c r="FZJ460" s="22"/>
      <c r="FZK460" s="22"/>
      <c r="FZL460" s="22"/>
      <c r="FZM460" s="22"/>
      <c r="FZN460" s="22"/>
      <c r="FZO460" s="22"/>
      <c r="FZP460" s="22"/>
      <c r="FZQ460" s="22"/>
      <c r="FZR460" s="22"/>
      <c r="FZS460" s="22"/>
      <c r="FZT460" s="22"/>
      <c r="FZU460" s="22"/>
      <c r="FZV460" s="22"/>
      <c r="FZW460" s="22"/>
      <c r="FZX460" s="22"/>
      <c r="FZY460" s="22"/>
      <c r="FZZ460" s="22"/>
      <c r="GAA460" s="22"/>
      <c r="GAB460" s="22"/>
      <c r="GAC460" s="22"/>
      <c r="GAD460" s="22"/>
      <c r="GAE460" s="22"/>
      <c r="GAF460" s="22"/>
      <c r="GAG460" s="22"/>
      <c r="GAH460" s="22"/>
      <c r="GAI460" s="22"/>
      <c r="GAJ460" s="22"/>
      <c r="GAK460" s="22"/>
      <c r="GAL460" s="22"/>
      <c r="GAM460" s="22"/>
      <c r="GAN460" s="22"/>
      <c r="GAO460" s="22"/>
      <c r="GAP460" s="22"/>
      <c r="GAQ460" s="22"/>
      <c r="GAR460" s="22"/>
      <c r="GAS460" s="22"/>
      <c r="GAT460" s="22"/>
      <c r="GAU460" s="22"/>
      <c r="GAV460" s="22"/>
      <c r="GAW460" s="22"/>
      <c r="GAX460" s="22"/>
      <c r="GAY460" s="22"/>
      <c r="GAZ460" s="22"/>
      <c r="GBA460" s="22"/>
      <c r="GBB460" s="22"/>
      <c r="GBC460" s="22"/>
      <c r="GBD460" s="22"/>
      <c r="GBE460" s="22"/>
      <c r="GBF460" s="22"/>
      <c r="GBG460" s="22"/>
      <c r="GBH460" s="22"/>
      <c r="GBI460" s="22"/>
      <c r="GBJ460" s="22"/>
      <c r="GBK460" s="22"/>
      <c r="GBL460" s="22"/>
      <c r="GBM460" s="22"/>
      <c r="GBN460" s="22"/>
      <c r="GBO460" s="22"/>
      <c r="GBP460" s="22"/>
      <c r="GBQ460" s="22"/>
      <c r="GBR460" s="22"/>
      <c r="GBS460" s="22"/>
      <c r="GBT460" s="22"/>
      <c r="GBU460" s="22"/>
      <c r="GBV460" s="22"/>
      <c r="GBW460" s="22"/>
      <c r="GBX460" s="22"/>
      <c r="GBY460" s="22"/>
      <c r="GBZ460" s="22"/>
      <c r="GCA460" s="22"/>
      <c r="GCB460" s="22"/>
      <c r="GCC460" s="22"/>
      <c r="GCD460" s="22"/>
      <c r="GCE460" s="22"/>
      <c r="GCF460" s="22"/>
      <c r="GCG460" s="22"/>
      <c r="GCH460" s="22"/>
      <c r="GCI460" s="22"/>
      <c r="GCJ460" s="22"/>
      <c r="GCK460" s="22"/>
      <c r="GCL460" s="22"/>
      <c r="GCM460" s="22"/>
      <c r="GCN460" s="22"/>
      <c r="GCO460" s="22"/>
      <c r="GCP460" s="22"/>
      <c r="GCQ460" s="22"/>
      <c r="GCR460" s="22"/>
      <c r="GCS460" s="22"/>
      <c r="GCT460" s="22"/>
      <c r="GCU460" s="22"/>
      <c r="GCV460" s="22"/>
      <c r="GCW460" s="22"/>
      <c r="GCX460" s="22"/>
      <c r="GCY460" s="22"/>
      <c r="GCZ460" s="22"/>
      <c r="GDA460" s="22"/>
      <c r="GDB460" s="22"/>
      <c r="GDC460" s="22"/>
      <c r="GDD460" s="22"/>
      <c r="GDE460" s="22"/>
      <c r="GDF460" s="22"/>
      <c r="GDG460" s="22"/>
      <c r="GDH460" s="22"/>
      <c r="GDI460" s="22"/>
      <c r="GDJ460" s="22"/>
      <c r="GDK460" s="22"/>
      <c r="GDL460" s="22"/>
      <c r="GDM460" s="22"/>
      <c r="GDN460" s="22"/>
      <c r="GDO460" s="22"/>
      <c r="GDP460" s="22"/>
      <c r="GDQ460" s="22"/>
      <c r="GDR460" s="22"/>
      <c r="GDS460" s="22"/>
      <c r="GDT460" s="22"/>
      <c r="GDU460" s="22"/>
      <c r="GDV460" s="22"/>
      <c r="GDW460" s="22"/>
      <c r="GDX460" s="22"/>
      <c r="GDY460" s="22"/>
      <c r="GDZ460" s="22"/>
      <c r="GEA460" s="22"/>
      <c r="GEB460" s="22"/>
      <c r="GEC460" s="22"/>
      <c r="GED460" s="22"/>
      <c r="GEE460" s="22"/>
      <c r="GEF460" s="22"/>
      <c r="GEG460" s="22"/>
      <c r="GEH460" s="22"/>
      <c r="GEI460" s="22"/>
      <c r="GEJ460" s="22"/>
      <c r="GEK460" s="22"/>
      <c r="GEL460" s="22"/>
      <c r="GEM460" s="22"/>
      <c r="GEN460" s="22"/>
      <c r="GEO460" s="22"/>
      <c r="GEP460" s="22"/>
      <c r="GEQ460" s="22"/>
      <c r="GER460" s="22"/>
      <c r="GES460" s="22"/>
      <c r="GET460" s="22"/>
      <c r="GEU460" s="22"/>
      <c r="GEV460" s="22"/>
      <c r="GEW460" s="22"/>
      <c r="GEX460" s="22"/>
      <c r="GEY460" s="22"/>
      <c r="GEZ460" s="22"/>
      <c r="GFA460" s="22"/>
      <c r="GFB460" s="22"/>
      <c r="GFC460" s="22"/>
      <c r="GFD460" s="22"/>
      <c r="GFE460" s="22"/>
      <c r="GFF460" s="22"/>
      <c r="GFG460" s="22"/>
      <c r="GFH460" s="22"/>
      <c r="GFI460" s="22"/>
      <c r="GFJ460" s="22"/>
      <c r="GFK460" s="22"/>
      <c r="GFL460" s="22"/>
      <c r="GFM460" s="22"/>
      <c r="GFN460" s="22"/>
      <c r="GFO460" s="22"/>
      <c r="GFP460" s="22"/>
      <c r="GFQ460" s="22"/>
      <c r="GFR460" s="22"/>
      <c r="GFS460" s="22"/>
      <c r="GFT460" s="22"/>
      <c r="GFU460" s="22"/>
      <c r="GFV460" s="22"/>
      <c r="GFW460" s="22"/>
      <c r="GFX460" s="22"/>
      <c r="GFY460" s="22"/>
      <c r="GFZ460" s="22"/>
      <c r="GGA460" s="22"/>
      <c r="GGB460" s="22"/>
      <c r="GGC460" s="22"/>
      <c r="GGD460" s="22"/>
      <c r="GGE460" s="22"/>
      <c r="GGF460" s="22"/>
      <c r="GGG460" s="22"/>
      <c r="GGH460" s="22"/>
      <c r="GGI460" s="22"/>
      <c r="GGJ460" s="22"/>
      <c r="GGK460" s="22"/>
      <c r="GGL460" s="22"/>
      <c r="GGM460" s="22"/>
      <c r="GGN460" s="22"/>
      <c r="GGO460" s="22"/>
      <c r="GGP460" s="22"/>
      <c r="GGQ460" s="22"/>
      <c r="GGR460" s="22"/>
      <c r="GGS460" s="22"/>
      <c r="GGT460" s="22"/>
      <c r="GGU460" s="22"/>
      <c r="GGV460" s="22"/>
      <c r="GGW460" s="22"/>
      <c r="GGX460" s="22"/>
      <c r="GGY460" s="22"/>
      <c r="GGZ460" s="22"/>
      <c r="GHA460" s="22"/>
      <c r="GHB460" s="22"/>
      <c r="GHC460" s="22"/>
      <c r="GHD460" s="22"/>
      <c r="GHE460" s="22"/>
      <c r="GHF460" s="22"/>
      <c r="GHG460" s="22"/>
      <c r="GHH460" s="22"/>
      <c r="GHI460" s="22"/>
      <c r="GHJ460" s="22"/>
      <c r="GHK460" s="22"/>
      <c r="GHL460" s="22"/>
      <c r="GHM460" s="22"/>
      <c r="GHN460" s="22"/>
      <c r="GHO460" s="22"/>
      <c r="GHP460" s="22"/>
      <c r="GHQ460" s="22"/>
      <c r="GHR460" s="22"/>
      <c r="GHS460" s="22"/>
      <c r="GHT460" s="22"/>
      <c r="GHU460" s="22"/>
      <c r="GHV460" s="22"/>
      <c r="GHW460" s="22"/>
      <c r="GHX460" s="22"/>
      <c r="GHY460" s="22"/>
      <c r="GHZ460" s="22"/>
      <c r="GIA460" s="22"/>
      <c r="GIB460" s="22"/>
      <c r="GIC460" s="22"/>
      <c r="GID460" s="22"/>
      <c r="GIE460" s="22"/>
      <c r="GIF460" s="22"/>
      <c r="GIG460" s="22"/>
      <c r="GIH460" s="22"/>
      <c r="GII460" s="22"/>
      <c r="GIJ460" s="22"/>
      <c r="GIK460" s="22"/>
      <c r="GIL460" s="22"/>
      <c r="GIM460" s="22"/>
      <c r="GIN460" s="22"/>
      <c r="GIO460" s="22"/>
      <c r="GIP460" s="22"/>
      <c r="GIQ460" s="22"/>
      <c r="GIR460" s="22"/>
      <c r="GIS460" s="22"/>
      <c r="GIT460" s="22"/>
      <c r="GIU460" s="22"/>
      <c r="GIV460" s="22"/>
      <c r="GIW460" s="22"/>
      <c r="GIX460" s="22"/>
      <c r="GIY460" s="22"/>
      <c r="GIZ460" s="22"/>
      <c r="GJA460" s="22"/>
      <c r="GJB460" s="22"/>
      <c r="GJC460" s="22"/>
      <c r="GJD460" s="22"/>
      <c r="GJE460" s="22"/>
      <c r="GJF460" s="22"/>
      <c r="GJG460" s="22"/>
      <c r="GJH460" s="22"/>
      <c r="GJI460" s="22"/>
      <c r="GJJ460" s="22"/>
      <c r="GJK460" s="22"/>
      <c r="GJL460" s="22"/>
      <c r="GJM460" s="22"/>
      <c r="GJN460" s="22"/>
      <c r="GJO460" s="22"/>
      <c r="GJP460" s="22"/>
      <c r="GJQ460" s="22"/>
      <c r="GJR460" s="22"/>
      <c r="GJS460" s="22"/>
      <c r="GJT460" s="22"/>
      <c r="GJU460" s="22"/>
      <c r="GJV460" s="22"/>
      <c r="GJW460" s="22"/>
      <c r="GJX460" s="22"/>
      <c r="GJY460" s="22"/>
      <c r="GJZ460" s="22"/>
      <c r="GKA460" s="22"/>
      <c r="GKB460" s="22"/>
      <c r="GKC460" s="22"/>
      <c r="GKD460" s="22"/>
      <c r="GKE460" s="22"/>
      <c r="GKF460" s="22"/>
      <c r="GKG460" s="22"/>
      <c r="GKH460" s="22"/>
      <c r="GKI460" s="22"/>
      <c r="GKJ460" s="22"/>
      <c r="GKK460" s="22"/>
      <c r="GKL460" s="22"/>
      <c r="GKM460" s="22"/>
      <c r="GKN460" s="22"/>
      <c r="GKO460" s="22"/>
      <c r="GKP460" s="22"/>
      <c r="GKQ460" s="22"/>
      <c r="GKR460" s="22"/>
      <c r="GKS460" s="22"/>
      <c r="GKT460" s="22"/>
      <c r="GKU460" s="22"/>
      <c r="GKV460" s="22"/>
      <c r="GKW460" s="22"/>
      <c r="GKX460" s="22"/>
      <c r="GKY460" s="22"/>
      <c r="GKZ460" s="22"/>
      <c r="GLA460" s="22"/>
      <c r="GLB460" s="22"/>
      <c r="GLC460" s="22"/>
      <c r="GLD460" s="22"/>
      <c r="GLE460" s="22"/>
      <c r="GLF460" s="22"/>
      <c r="GLG460" s="22"/>
      <c r="GLH460" s="22"/>
      <c r="GLI460" s="22"/>
      <c r="GLJ460" s="22"/>
      <c r="GLK460" s="22"/>
      <c r="GLL460" s="22"/>
      <c r="GLM460" s="22"/>
      <c r="GLN460" s="22"/>
      <c r="GLO460" s="22"/>
      <c r="GLP460" s="22"/>
      <c r="GLQ460" s="22"/>
      <c r="GLR460" s="22"/>
      <c r="GLS460" s="22"/>
      <c r="GLT460" s="22"/>
      <c r="GLU460" s="22"/>
      <c r="GLV460" s="22"/>
      <c r="GLW460" s="22"/>
      <c r="GLX460" s="22"/>
      <c r="GLY460" s="22"/>
      <c r="GLZ460" s="22"/>
      <c r="GMA460" s="22"/>
      <c r="GMB460" s="22"/>
      <c r="GMC460" s="22"/>
      <c r="GMD460" s="22"/>
      <c r="GME460" s="22"/>
      <c r="GMF460" s="22"/>
      <c r="GMG460" s="22"/>
      <c r="GMH460" s="22"/>
      <c r="GMI460" s="22"/>
      <c r="GMJ460" s="22"/>
      <c r="GMK460" s="22"/>
      <c r="GML460" s="22"/>
      <c r="GMM460" s="22"/>
      <c r="GMN460" s="22"/>
      <c r="GMO460" s="22"/>
      <c r="GMP460" s="22"/>
      <c r="GMQ460" s="22"/>
      <c r="GMR460" s="22"/>
      <c r="GMS460" s="22"/>
      <c r="GMT460" s="22"/>
      <c r="GMU460" s="22"/>
      <c r="GMV460" s="22"/>
      <c r="GMW460" s="22"/>
      <c r="GMX460" s="22"/>
      <c r="GMY460" s="22"/>
      <c r="GMZ460" s="22"/>
      <c r="GNA460" s="22"/>
      <c r="GNB460" s="22"/>
      <c r="GNC460" s="22"/>
      <c r="GND460" s="22"/>
      <c r="GNE460" s="22"/>
      <c r="GNF460" s="22"/>
      <c r="GNG460" s="22"/>
      <c r="GNH460" s="22"/>
      <c r="GNI460" s="22"/>
      <c r="GNJ460" s="22"/>
      <c r="GNK460" s="22"/>
      <c r="GNL460" s="22"/>
      <c r="GNM460" s="22"/>
      <c r="GNN460" s="22"/>
      <c r="GNO460" s="22"/>
      <c r="GNP460" s="22"/>
      <c r="GNQ460" s="22"/>
      <c r="GNR460" s="22"/>
      <c r="GNS460" s="22"/>
      <c r="GNT460" s="22"/>
      <c r="GNU460" s="22"/>
      <c r="GNV460" s="22"/>
      <c r="GNW460" s="22"/>
      <c r="GNX460" s="22"/>
      <c r="GNY460" s="22"/>
      <c r="GNZ460" s="22"/>
      <c r="GOA460" s="22"/>
      <c r="GOB460" s="22"/>
      <c r="GOC460" s="22"/>
      <c r="GOD460" s="22"/>
      <c r="GOE460" s="22"/>
      <c r="GOF460" s="22"/>
      <c r="GOG460" s="22"/>
      <c r="GOH460" s="22"/>
      <c r="GOI460" s="22"/>
      <c r="GOJ460" s="22"/>
      <c r="GOK460" s="22"/>
      <c r="GOL460" s="22"/>
      <c r="GOM460" s="22"/>
      <c r="GON460" s="22"/>
      <c r="GOO460" s="22"/>
      <c r="GOP460" s="22"/>
      <c r="GOQ460" s="22"/>
      <c r="GOR460" s="22"/>
      <c r="GOS460" s="22"/>
      <c r="GOT460" s="22"/>
      <c r="GOU460" s="22"/>
      <c r="GOV460" s="22"/>
      <c r="GOW460" s="22"/>
      <c r="GOX460" s="22"/>
      <c r="GOY460" s="22"/>
      <c r="GOZ460" s="22"/>
      <c r="GPA460" s="22"/>
      <c r="GPB460" s="22"/>
      <c r="GPC460" s="22"/>
      <c r="GPD460" s="22"/>
      <c r="GPE460" s="22"/>
      <c r="GPF460" s="22"/>
      <c r="GPG460" s="22"/>
      <c r="GPH460" s="22"/>
      <c r="GPI460" s="22"/>
      <c r="GPJ460" s="22"/>
      <c r="GPK460" s="22"/>
      <c r="GPL460" s="22"/>
      <c r="GPM460" s="22"/>
      <c r="GPN460" s="22"/>
      <c r="GPO460" s="22"/>
      <c r="GPP460" s="22"/>
      <c r="GPQ460" s="22"/>
      <c r="GPR460" s="22"/>
      <c r="GPS460" s="22"/>
      <c r="GPT460" s="22"/>
      <c r="GPU460" s="22"/>
      <c r="GPV460" s="22"/>
      <c r="GPW460" s="22"/>
      <c r="GPX460" s="22"/>
      <c r="GPY460" s="22"/>
      <c r="GPZ460" s="22"/>
      <c r="GQA460" s="22"/>
      <c r="GQB460" s="22"/>
      <c r="GQC460" s="22"/>
      <c r="GQD460" s="22"/>
      <c r="GQE460" s="22"/>
      <c r="GQF460" s="22"/>
      <c r="GQG460" s="22"/>
      <c r="GQH460" s="22"/>
      <c r="GQI460" s="22"/>
      <c r="GQJ460" s="22"/>
      <c r="GQK460" s="22"/>
      <c r="GQL460" s="22"/>
      <c r="GQM460" s="22"/>
      <c r="GQN460" s="22"/>
      <c r="GQO460" s="22"/>
      <c r="GQP460" s="22"/>
      <c r="GQQ460" s="22"/>
      <c r="GQR460" s="22"/>
      <c r="GQS460" s="22"/>
      <c r="GQT460" s="22"/>
      <c r="GQU460" s="22"/>
      <c r="GQV460" s="22"/>
      <c r="GQW460" s="22"/>
      <c r="GQX460" s="22"/>
      <c r="GQY460" s="22"/>
      <c r="GQZ460" s="22"/>
      <c r="GRA460" s="22"/>
      <c r="GRB460" s="22"/>
      <c r="GRC460" s="22"/>
      <c r="GRD460" s="22"/>
      <c r="GRE460" s="22"/>
      <c r="GRF460" s="22"/>
      <c r="GRG460" s="22"/>
      <c r="GRH460" s="22"/>
      <c r="GRI460" s="22"/>
      <c r="GRJ460" s="22"/>
      <c r="GRK460" s="22"/>
      <c r="GRL460" s="22"/>
      <c r="GRM460" s="22"/>
      <c r="GRN460" s="22"/>
      <c r="GRO460" s="22"/>
      <c r="GRP460" s="22"/>
      <c r="GRQ460" s="22"/>
      <c r="GRR460" s="22"/>
      <c r="GRS460" s="22"/>
      <c r="GRT460" s="22"/>
      <c r="GRU460" s="22"/>
      <c r="GRV460" s="22"/>
      <c r="GRW460" s="22"/>
      <c r="GRX460" s="22"/>
      <c r="GRY460" s="22"/>
      <c r="GRZ460" s="22"/>
      <c r="GSA460" s="22"/>
      <c r="GSB460" s="22"/>
      <c r="GSC460" s="22"/>
      <c r="GSD460" s="22"/>
      <c r="GSE460" s="22"/>
      <c r="GSF460" s="22"/>
      <c r="GSG460" s="22"/>
      <c r="GSH460" s="22"/>
      <c r="GSI460" s="22"/>
      <c r="GSJ460" s="22"/>
      <c r="GSK460" s="22"/>
      <c r="GSL460" s="22"/>
      <c r="GSM460" s="22"/>
      <c r="GSN460" s="22"/>
      <c r="GSO460" s="22"/>
      <c r="GSP460" s="22"/>
      <c r="GSQ460" s="22"/>
      <c r="GSR460" s="22"/>
      <c r="GSS460" s="22"/>
      <c r="GST460" s="22"/>
      <c r="GSU460" s="22"/>
      <c r="GSV460" s="22"/>
      <c r="GSW460" s="22"/>
      <c r="GSX460" s="22"/>
      <c r="GSY460" s="22"/>
      <c r="GSZ460" s="22"/>
      <c r="GTA460" s="22"/>
      <c r="GTB460" s="22"/>
      <c r="GTC460" s="22"/>
      <c r="GTD460" s="22"/>
      <c r="GTE460" s="22"/>
      <c r="GTF460" s="22"/>
      <c r="GTG460" s="22"/>
      <c r="GTH460" s="22"/>
      <c r="GTI460" s="22"/>
      <c r="GTJ460" s="22"/>
      <c r="GTK460" s="22"/>
      <c r="GTL460" s="22"/>
      <c r="GTM460" s="22"/>
      <c r="GTN460" s="22"/>
      <c r="GTO460" s="22"/>
      <c r="GTP460" s="22"/>
      <c r="GTQ460" s="22"/>
      <c r="GTR460" s="22"/>
      <c r="GTS460" s="22"/>
      <c r="GTT460" s="22"/>
      <c r="GTU460" s="22"/>
      <c r="GTV460" s="22"/>
      <c r="GTW460" s="22"/>
      <c r="GTX460" s="22"/>
      <c r="GTY460" s="22"/>
      <c r="GTZ460" s="22"/>
      <c r="GUA460" s="22"/>
      <c r="GUB460" s="22"/>
      <c r="GUC460" s="22"/>
      <c r="GUD460" s="22"/>
      <c r="GUE460" s="22"/>
      <c r="GUF460" s="22"/>
      <c r="GUG460" s="22"/>
      <c r="GUH460" s="22"/>
      <c r="GUI460" s="22"/>
      <c r="GUJ460" s="22"/>
      <c r="GUK460" s="22"/>
      <c r="GUL460" s="22"/>
      <c r="GUM460" s="22"/>
      <c r="GUN460" s="22"/>
      <c r="GUO460" s="22"/>
      <c r="GUP460" s="22"/>
      <c r="GUQ460" s="22"/>
      <c r="GUR460" s="22"/>
      <c r="GUS460" s="22"/>
      <c r="GUT460" s="22"/>
      <c r="GUU460" s="22"/>
      <c r="GUV460" s="22"/>
      <c r="GUW460" s="22"/>
      <c r="GUX460" s="22"/>
      <c r="GUY460" s="22"/>
      <c r="GUZ460" s="22"/>
      <c r="GVA460" s="22"/>
      <c r="GVB460" s="22"/>
      <c r="GVC460" s="22"/>
      <c r="GVD460" s="22"/>
      <c r="GVE460" s="22"/>
      <c r="GVF460" s="22"/>
      <c r="GVG460" s="22"/>
      <c r="GVH460" s="22"/>
      <c r="GVI460" s="22"/>
      <c r="GVJ460" s="22"/>
      <c r="GVK460" s="22"/>
      <c r="GVL460" s="22"/>
      <c r="GVM460" s="22"/>
      <c r="GVN460" s="22"/>
      <c r="GVO460" s="22"/>
      <c r="GVP460" s="22"/>
      <c r="GVQ460" s="22"/>
      <c r="GVR460" s="22"/>
      <c r="GVS460" s="22"/>
      <c r="GVT460" s="22"/>
      <c r="GVU460" s="22"/>
      <c r="GVV460" s="22"/>
      <c r="GVW460" s="22"/>
      <c r="GVX460" s="22"/>
      <c r="GVY460" s="22"/>
      <c r="GVZ460" s="22"/>
      <c r="GWA460" s="22"/>
      <c r="GWB460" s="22"/>
      <c r="GWC460" s="22"/>
      <c r="GWD460" s="22"/>
      <c r="GWE460" s="22"/>
      <c r="GWF460" s="22"/>
      <c r="GWG460" s="22"/>
      <c r="GWH460" s="22"/>
      <c r="GWI460" s="22"/>
      <c r="GWJ460" s="22"/>
      <c r="GWK460" s="22"/>
      <c r="GWL460" s="22"/>
      <c r="GWM460" s="22"/>
      <c r="GWN460" s="22"/>
      <c r="GWO460" s="22"/>
      <c r="GWP460" s="22"/>
      <c r="GWQ460" s="22"/>
      <c r="GWR460" s="22"/>
      <c r="GWS460" s="22"/>
      <c r="GWT460" s="22"/>
      <c r="GWU460" s="22"/>
      <c r="GWV460" s="22"/>
      <c r="GWW460" s="22"/>
      <c r="GWX460" s="22"/>
      <c r="GWY460" s="22"/>
      <c r="GWZ460" s="22"/>
      <c r="GXA460" s="22"/>
      <c r="GXB460" s="22"/>
      <c r="GXC460" s="22"/>
      <c r="GXD460" s="22"/>
      <c r="GXE460" s="22"/>
      <c r="GXF460" s="22"/>
      <c r="GXG460" s="22"/>
      <c r="GXH460" s="22"/>
      <c r="GXI460" s="22"/>
      <c r="GXJ460" s="22"/>
      <c r="GXK460" s="22"/>
      <c r="GXL460" s="22"/>
      <c r="GXM460" s="22"/>
      <c r="GXN460" s="22"/>
      <c r="GXO460" s="22"/>
      <c r="GXP460" s="22"/>
      <c r="GXQ460" s="22"/>
      <c r="GXR460" s="22"/>
      <c r="GXS460" s="22"/>
      <c r="GXT460" s="22"/>
      <c r="GXU460" s="22"/>
      <c r="GXV460" s="22"/>
      <c r="GXW460" s="22"/>
      <c r="GXX460" s="22"/>
      <c r="GXY460" s="22"/>
      <c r="GXZ460" s="22"/>
      <c r="GYA460" s="22"/>
      <c r="GYB460" s="22"/>
      <c r="GYC460" s="22"/>
      <c r="GYD460" s="22"/>
      <c r="GYE460" s="22"/>
      <c r="GYF460" s="22"/>
      <c r="GYG460" s="22"/>
      <c r="GYH460" s="22"/>
      <c r="GYI460" s="22"/>
      <c r="GYJ460" s="22"/>
      <c r="GYK460" s="22"/>
      <c r="GYL460" s="22"/>
      <c r="GYM460" s="22"/>
      <c r="GYN460" s="22"/>
      <c r="GYO460" s="22"/>
      <c r="GYP460" s="22"/>
      <c r="GYQ460" s="22"/>
      <c r="GYR460" s="22"/>
      <c r="GYS460" s="22"/>
      <c r="GYT460" s="22"/>
      <c r="GYU460" s="22"/>
      <c r="GYV460" s="22"/>
      <c r="GYW460" s="22"/>
      <c r="GYX460" s="22"/>
      <c r="GYY460" s="22"/>
      <c r="GYZ460" s="22"/>
      <c r="GZA460" s="22"/>
      <c r="GZB460" s="22"/>
      <c r="GZC460" s="22"/>
      <c r="GZD460" s="22"/>
      <c r="GZE460" s="22"/>
      <c r="GZF460" s="22"/>
      <c r="GZG460" s="22"/>
      <c r="GZH460" s="22"/>
      <c r="GZI460" s="22"/>
      <c r="GZJ460" s="22"/>
      <c r="GZK460" s="22"/>
      <c r="GZL460" s="22"/>
      <c r="GZM460" s="22"/>
      <c r="GZN460" s="22"/>
      <c r="GZO460" s="22"/>
      <c r="GZP460" s="22"/>
      <c r="GZQ460" s="22"/>
      <c r="GZR460" s="22"/>
      <c r="GZS460" s="22"/>
      <c r="GZT460" s="22"/>
      <c r="GZU460" s="22"/>
      <c r="GZV460" s="22"/>
      <c r="GZW460" s="22"/>
      <c r="GZX460" s="22"/>
      <c r="GZY460" s="22"/>
      <c r="GZZ460" s="22"/>
      <c r="HAA460" s="22"/>
      <c r="HAB460" s="22"/>
      <c r="HAC460" s="22"/>
      <c r="HAD460" s="22"/>
      <c r="HAE460" s="22"/>
      <c r="HAF460" s="22"/>
      <c r="HAG460" s="22"/>
      <c r="HAH460" s="22"/>
      <c r="HAI460" s="22"/>
      <c r="HAJ460" s="22"/>
      <c r="HAK460" s="22"/>
      <c r="HAL460" s="22"/>
      <c r="HAM460" s="22"/>
      <c r="HAN460" s="22"/>
      <c r="HAO460" s="22"/>
      <c r="HAP460" s="22"/>
      <c r="HAQ460" s="22"/>
      <c r="HAR460" s="22"/>
      <c r="HAS460" s="22"/>
      <c r="HAT460" s="22"/>
      <c r="HAU460" s="22"/>
      <c r="HAV460" s="22"/>
      <c r="HAW460" s="22"/>
      <c r="HAX460" s="22"/>
      <c r="HAY460" s="22"/>
      <c r="HAZ460" s="22"/>
      <c r="HBA460" s="22"/>
      <c r="HBB460" s="22"/>
      <c r="HBC460" s="22"/>
      <c r="HBD460" s="22"/>
      <c r="HBE460" s="22"/>
      <c r="HBF460" s="22"/>
      <c r="HBG460" s="22"/>
      <c r="HBH460" s="22"/>
      <c r="HBI460" s="22"/>
      <c r="HBJ460" s="22"/>
      <c r="HBK460" s="22"/>
      <c r="HBL460" s="22"/>
      <c r="HBM460" s="22"/>
      <c r="HBN460" s="22"/>
      <c r="HBO460" s="22"/>
      <c r="HBP460" s="22"/>
      <c r="HBQ460" s="22"/>
      <c r="HBR460" s="22"/>
      <c r="HBS460" s="22"/>
      <c r="HBT460" s="22"/>
      <c r="HBU460" s="22"/>
      <c r="HBV460" s="22"/>
      <c r="HBW460" s="22"/>
      <c r="HBX460" s="22"/>
      <c r="HBY460" s="22"/>
      <c r="HBZ460" s="22"/>
      <c r="HCA460" s="22"/>
      <c r="HCB460" s="22"/>
      <c r="HCC460" s="22"/>
      <c r="HCD460" s="22"/>
      <c r="HCE460" s="22"/>
      <c r="HCF460" s="22"/>
      <c r="HCG460" s="22"/>
      <c r="HCH460" s="22"/>
      <c r="HCI460" s="22"/>
      <c r="HCJ460" s="22"/>
      <c r="HCK460" s="22"/>
      <c r="HCL460" s="22"/>
      <c r="HCM460" s="22"/>
      <c r="HCN460" s="22"/>
      <c r="HCO460" s="22"/>
      <c r="HCP460" s="22"/>
      <c r="HCQ460" s="22"/>
      <c r="HCR460" s="22"/>
      <c r="HCS460" s="22"/>
      <c r="HCT460" s="22"/>
      <c r="HCU460" s="22"/>
      <c r="HCV460" s="22"/>
      <c r="HCW460" s="22"/>
      <c r="HCX460" s="22"/>
      <c r="HCY460" s="22"/>
      <c r="HCZ460" s="22"/>
      <c r="HDA460" s="22"/>
      <c r="HDB460" s="22"/>
      <c r="HDC460" s="22"/>
      <c r="HDD460" s="22"/>
      <c r="HDE460" s="22"/>
      <c r="HDF460" s="22"/>
      <c r="HDG460" s="22"/>
      <c r="HDH460" s="22"/>
      <c r="HDI460" s="22"/>
      <c r="HDJ460" s="22"/>
      <c r="HDK460" s="22"/>
      <c r="HDL460" s="22"/>
      <c r="HDM460" s="22"/>
      <c r="HDN460" s="22"/>
      <c r="HDO460" s="22"/>
      <c r="HDP460" s="22"/>
      <c r="HDQ460" s="22"/>
      <c r="HDR460" s="22"/>
      <c r="HDS460" s="22"/>
      <c r="HDT460" s="22"/>
      <c r="HDU460" s="22"/>
      <c r="HDV460" s="22"/>
      <c r="HDW460" s="22"/>
      <c r="HDX460" s="22"/>
      <c r="HDY460" s="22"/>
      <c r="HDZ460" s="22"/>
      <c r="HEA460" s="22"/>
      <c r="HEB460" s="22"/>
      <c r="HEC460" s="22"/>
      <c r="HED460" s="22"/>
      <c r="HEE460" s="22"/>
      <c r="HEF460" s="22"/>
      <c r="HEG460" s="22"/>
      <c r="HEH460" s="22"/>
      <c r="HEI460" s="22"/>
      <c r="HEJ460" s="22"/>
      <c r="HEK460" s="22"/>
      <c r="HEL460" s="22"/>
      <c r="HEM460" s="22"/>
      <c r="HEN460" s="22"/>
      <c r="HEO460" s="22"/>
      <c r="HEP460" s="22"/>
      <c r="HEQ460" s="22"/>
      <c r="HER460" s="22"/>
      <c r="HES460" s="22"/>
      <c r="HET460" s="22"/>
      <c r="HEU460" s="22"/>
      <c r="HEV460" s="22"/>
      <c r="HEW460" s="22"/>
      <c r="HEX460" s="22"/>
      <c r="HEY460" s="22"/>
      <c r="HEZ460" s="22"/>
      <c r="HFA460" s="22"/>
      <c r="HFB460" s="22"/>
      <c r="HFC460" s="22"/>
      <c r="HFD460" s="22"/>
      <c r="HFE460" s="22"/>
      <c r="HFF460" s="22"/>
      <c r="HFG460" s="22"/>
      <c r="HFH460" s="22"/>
      <c r="HFI460" s="22"/>
      <c r="HFJ460" s="22"/>
      <c r="HFK460" s="22"/>
      <c r="HFL460" s="22"/>
      <c r="HFM460" s="22"/>
      <c r="HFN460" s="22"/>
      <c r="HFO460" s="22"/>
      <c r="HFP460" s="22"/>
      <c r="HFQ460" s="22"/>
      <c r="HFR460" s="22"/>
      <c r="HFS460" s="22"/>
      <c r="HFT460" s="22"/>
      <c r="HFU460" s="22"/>
      <c r="HFV460" s="22"/>
      <c r="HFW460" s="22"/>
      <c r="HFX460" s="22"/>
      <c r="HFY460" s="22"/>
      <c r="HFZ460" s="22"/>
      <c r="HGA460" s="22"/>
      <c r="HGB460" s="22"/>
      <c r="HGC460" s="22"/>
      <c r="HGD460" s="22"/>
      <c r="HGE460" s="22"/>
      <c r="HGF460" s="22"/>
      <c r="HGG460" s="22"/>
      <c r="HGH460" s="22"/>
      <c r="HGI460" s="22"/>
      <c r="HGJ460" s="22"/>
      <c r="HGK460" s="22"/>
      <c r="HGL460" s="22"/>
      <c r="HGM460" s="22"/>
      <c r="HGN460" s="22"/>
      <c r="HGO460" s="22"/>
      <c r="HGP460" s="22"/>
      <c r="HGQ460" s="22"/>
      <c r="HGR460" s="22"/>
      <c r="HGS460" s="22"/>
      <c r="HGT460" s="22"/>
      <c r="HGU460" s="22"/>
      <c r="HGV460" s="22"/>
      <c r="HGW460" s="22"/>
      <c r="HGX460" s="22"/>
      <c r="HGY460" s="22"/>
      <c r="HGZ460" s="22"/>
      <c r="HHA460" s="22"/>
      <c r="HHB460" s="22"/>
      <c r="HHC460" s="22"/>
      <c r="HHD460" s="22"/>
      <c r="HHE460" s="22"/>
      <c r="HHF460" s="22"/>
      <c r="HHG460" s="22"/>
      <c r="HHH460" s="22"/>
      <c r="HHI460" s="22"/>
      <c r="HHJ460" s="22"/>
      <c r="HHK460" s="22"/>
      <c r="HHL460" s="22"/>
      <c r="HHM460" s="22"/>
      <c r="HHN460" s="22"/>
      <c r="HHO460" s="22"/>
      <c r="HHP460" s="22"/>
      <c r="HHQ460" s="22"/>
      <c r="HHR460" s="22"/>
      <c r="HHS460" s="22"/>
      <c r="HHT460" s="22"/>
      <c r="HHU460" s="22"/>
      <c r="HHV460" s="22"/>
      <c r="HHW460" s="22"/>
      <c r="HHX460" s="22"/>
      <c r="HHY460" s="22"/>
      <c r="HHZ460" s="22"/>
      <c r="HIA460" s="22"/>
      <c r="HIB460" s="22"/>
      <c r="HIC460" s="22"/>
      <c r="HID460" s="22"/>
      <c r="HIE460" s="22"/>
      <c r="HIF460" s="22"/>
      <c r="HIG460" s="22"/>
      <c r="HIH460" s="22"/>
      <c r="HII460" s="22"/>
      <c r="HIJ460" s="22"/>
      <c r="HIK460" s="22"/>
      <c r="HIL460" s="22"/>
      <c r="HIM460" s="22"/>
      <c r="HIN460" s="22"/>
      <c r="HIO460" s="22"/>
      <c r="HIP460" s="22"/>
      <c r="HIQ460" s="22"/>
      <c r="HIR460" s="22"/>
      <c r="HIS460" s="22"/>
      <c r="HIT460" s="22"/>
      <c r="HIU460" s="22"/>
      <c r="HIV460" s="22"/>
      <c r="HIW460" s="22"/>
      <c r="HIX460" s="22"/>
      <c r="HIY460" s="22"/>
      <c r="HIZ460" s="22"/>
      <c r="HJA460" s="22"/>
      <c r="HJB460" s="22"/>
      <c r="HJC460" s="22"/>
      <c r="HJD460" s="22"/>
      <c r="HJE460" s="22"/>
      <c r="HJF460" s="22"/>
      <c r="HJG460" s="22"/>
      <c r="HJH460" s="22"/>
      <c r="HJI460" s="22"/>
      <c r="HJJ460" s="22"/>
      <c r="HJK460" s="22"/>
      <c r="HJL460" s="22"/>
      <c r="HJM460" s="22"/>
      <c r="HJN460" s="22"/>
      <c r="HJO460" s="22"/>
      <c r="HJP460" s="22"/>
      <c r="HJQ460" s="22"/>
      <c r="HJR460" s="22"/>
      <c r="HJS460" s="22"/>
      <c r="HJT460" s="22"/>
      <c r="HJU460" s="22"/>
      <c r="HJV460" s="22"/>
      <c r="HJW460" s="22"/>
      <c r="HJX460" s="22"/>
      <c r="HJY460" s="22"/>
      <c r="HJZ460" s="22"/>
      <c r="HKA460" s="22"/>
      <c r="HKB460" s="22"/>
      <c r="HKC460" s="22"/>
      <c r="HKD460" s="22"/>
      <c r="HKE460" s="22"/>
      <c r="HKF460" s="22"/>
      <c r="HKG460" s="22"/>
      <c r="HKH460" s="22"/>
      <c r="HKI460" s="22"/>
      <c r="HKJ460" s="22"/>
      <c r="HKK460" s="22"/>
      <c r="HKL460" s="22"/>
      <c r="HKM460" s="22"/>
      <c r="HKN460" s="22"/>
      <c r="HKO460" s="22"/>
      <c r="HKP460" s="22"/>
      <c r="HKQ460" s="22"/>
      <c r="HKR460" s="22"/>
      <c r="HKS460" s="22"/>
      <c r="HKT460" s="22"/>
      <c r="HKU460" s="22"/>
      <c r="HKV460" s="22"/>
      <c r="HKW460" s="22"/>
      <c r="HKX460" s="22"/>
      <c r="HKY460" s="22"/>
      <c r="HKZ460" s="22"/>
      <c r="HLA460" s="22"/>
      <c r="HLB460" s="22"/>
      <c r="HLC460" s="22"/>
      <c r="HLD460" s="22"/>
      <c r="HLE460" s="22"/>
      <c r="HLF460" s="22"/>
      <c r="HLG460" s="22"/>
      <c r="HLH460" s="22"/>
      <c r="HLI460" s="22"/>
      <c r="HLJ460" s="22"/>
      <c r="HLK460" s="22"/>
      <c r="HLL460" s="22"/>
      <c r="HLM460" s="22"/>
      <c r="HLN460" s="22"/>
      <c r="HLO460" s="22"/>
      <c r="HLP460" s="22"/>
      <c r="HLQ460" s="22"/>
      <c r="HLR460" s="22"/>
      <c r="HLS460" s="22"/>
      <c r="HLT460" s="22"/>
      <c r="HLU460" s="22"/>
      <c r="HLV460" s="22"/>
      <c r="HLW460" s="22"/>
      <c r="HLX460" s="22"/>
      <c r="HLY460" s="22"/>
      <c r="HLZ460" s="22"/>
      <c r="HMA460" s="22"/>
      <c r="HMB460" s="22"/>
      <c r="HMC460" s="22"/>
      <c r="HMD460" s="22"/>
      <c r="HME460" s="22"/>
      <c r="HMF460" s="22"/>
      <c r="HMG460" s="22"/>
      <c r="HMH460" s="22"/>
      <c r="HMI460" s="22"/>
      <c r="HMJ460" s="22"/>
      <c r="HMK460" s="22"/>
      <c r="HML460" s="22"/>
      <c r="HMM460" s="22"/>
      <c r="HMN460" s="22"/>
      <c r="HMO460" s="22"/>
      <c r="HMP460" s="22"/>
      <c r="HMQ460" s="22"/>
      <c r="HMR460" s="22"/>
      <c r="HMS460" s="22"/>
      <c r="HMT460" s="22"/>
      <c r="HMU460" s="22"/>
      <c r="HMV460" s="22"/>
      <c r="HMW460" s="22"/>
      <c r="HMX460" s="22"/>
      <c r="HMY460" s="22"/>
      <c r="HMZ460" s="22"/>
      <c r="HNA460" s="22"/>
      <c r="HNB460" s="22"/>
      <c r="HNC460" s="22"/>
      <c r="HND460" s="22"/>
      <c r="HNE460" s="22"/>
      <c r="HNF460" s="22"/>
      <c r="HNG460" s="22"/>
      <c r="HNH460" s="22"/>
      <c r="HNI460" s="22"/>
      <c r="HNJ460" s="22"/>
      <c r="HNK460" s="22"/>
      <c r="HNL460" s="22"/>
      <c r="HNM460" s="22"/>
      <c r="HNN460" s="22"/>
      <c r="HNO460" s="22"/>
      <c r="HNP460" s="22"/>
      <c r="HNQ460" s="22"/>
      <c r="HNR460" s="22"/>
      <c r="HNS460" s="22"/>
      <c r="HNT460" s="22"/>
      <c r="HNU460" s="22"/>
      <c r="HNV460" s="22"/>
      <c r="HNW460" s="22"/>
      <c r="HNX460" s="22"/>
      <c r="HNY460" s="22"/>
      <c r="HNZ460" s="22"/>
      <c r="HOA460" s="22"/>
      <c r="HOB460" s="22"/>
      <c r="HOC460" s="22"/>
      <c r="HOD460" s="22"/>
      <c r="HOE460" s="22"/>
      <c r="HOF460" s="22"/>
      <c r="HOG460" s="22"/>
      <c r="HOH460" s="22"/>
      <c r="HOI460" s="22"/>
      <c r="HOJ460" s="22"/>
      <c r="HOK460" s="22"/>
      <c r="HOL460" s="22"/>
      <c r="HOM460" s="22"/>
      <c r="HON460" s="22"/>
      <c r="HOO460" s="22"/>
      <c r="HOP460" s="22"/>
      <c r="HOQ460" s="22"/>
      <c r="HOR460" s="22"/>
      <c r="HOS460" s="22"/>
      <c r="HOT460" s="22"/>
      <c r="HOU460" s="22"/>
      <c r="HOV460" s="22"/>
      <c r="HOW460" s="22"/>
      <c r="HOX460" s="22"/>
      <c r="HOY460" s="22"/>
      <c r="HOZ460" s="22"/>
      <c r="HPA460" s="22"/>
      <c r="HPB460" s="22"/>
      <c r="HPC460" s="22"/>
      <c r="HPD460" s="22"/>
      <c r="HPE460" s="22"/>
      <c r="HPF460" s="22"/>
      <c r="HPG460" s="22"/>
      <c r="HPH460" s="22"/>
      <c r="HPI460" s="22"/>
      <c r="HPJ460" s="22"/>
      <c r="HPK460" s="22"/>
      <c r="HPL460" s="22"/>
      <c r="HPM460" s="22"/>
      <c r="HPN460" s="22"/>
      <c r="HPO460" s="22"/>
      <c r="HPP460" s="22"/>
      <c r="HPQ460" s="22"/>
      <c r="HPR460" s="22"/>
      <c r="HPS460" s="22"/>
      <c r="HPT460" s="22"/>
      <c r="HPU460" s="22"/>
      <c r="HPV460" s="22"/>
      <c r="HPW460" s="22"/>
      <c r="HPX460" s="22"/>
      <c r="HPY460" s="22"/>
      <c r="HPZ460" s="22"/>
      <c r="HQA460" s="22"/>
      <c r="HQB460" s="22"/>
      <c r="HQC460" s="22"/>
      <c r="HQD460" s="22"/>
      <c r="HQE460" s="22"/>
      <c r="HQF460" s="22"/>
      <c r="HQG460" s="22"/>
      <c r="HQH460" s="22"/>
      <c r="HQI460" s="22"/>
      <c r="HQJ460" s="22"/>
      <c r="HQK460" s="22"/>
      <c r="HQL460" s="22"/>
      <c r="HQM460" s="22"/>
      <c r="HQN460" s="22"/>
      <c r="HQO460" s="22"/>
      <c r="HQP460" s="22"/>
      <c r="HQQ460" s="22"/>
      <c r="HQR460" s="22"/>
      <c r="HQS460" s="22"/>
      <c r="HQT460" s="22"/>
      <c r="HQU460" s="22"/>
      <c r="HQV460" s="22"/>
      <c r="HQW460" s="22"/>
      <c r="HQX460" s="22"/>
      <c r="HQY460" s="22"/>
      <c r="HQZ460" s="22"/>
      <c r="HRA460" s="22"/>
      <c r="HRB460" s="22"/>
      <c r="HRC460" s="22"/>
      <c r="HRD460" s="22"/>
      <c r="HRE460" s="22"/>
      <c r="HRF460" s="22"/>
      <c r="HRG460" s="22"/>
      <c r="HRH460" s="22"/>
      <c r="HRI460" s="22"/>
      <c r="HRJ460" s="22"/>
      <c r="HRK460" s="22"/>
      <c r="HRL460" s="22"/>
      <c r="HRM460" s="22"/>
      <c r="HRN460" s="22"/>
      <c r="HRO460" s="22"/>
      <c r="HRP460" s="22"/>
      <c r="HRQ460" s="22"/>
      <c r="HRR460" s="22"/>
      <c r="HRS460" s="22"/>
      <c r="HRT460" s="22"/>
      <c r="HRU460" s="22"/>
      <c r="HRV460" s="22"/>
      <c r="HRW460" s="22"/>
      <c r="HRX460" s="22"/>
      <c r="HRY460" s="22"/>
      <c r="HRZ460" s="22"/>
      <c r="HSA460" s="22"/>
      <c r="HSB460" s="22"/>
      <c r="HSC460" s="22"/>
      <c r="HSD460" s="22"/>
      <c r="HSE460" s="22"/>
      <c r="HSF460" s="22"/>
      <c r="HSG460" s="22"/>
      <c r="HSH460" s="22"/>
      <c r="HSI460" s="22"/>
      <c r="HSJ460" s="22"/>
      <c r="HSK460" s="22"/>
      <c r="HSL460" s="22"/>
      <c r="HSM460" s="22"/>
      <c r="HSN460" s="22"/>
      <c r="HSO460" s="22"/>
      <c r="HSP460" s="22"/>
      <c r="HSQ460" s="22"/>
      <c r="HSR460" s="22"/>
      <c r="HSS460" s="22"/>
      <c r="HST460" s="22"/>
      <c r="HSU460" s="22"/>
      <c r="HSV460" s="22"/>
      <c r="HSW460" s="22"/>
      <c r="HSX460" s="22"/>
      <c r="HSY460" s="22"/>
      <c r="HSZ460" s="22"/>
      <c r="HTA460" s="22"/>
      <c r="HTB460" s="22"/>
      <c r="HTC460" s="22"/>
      <c r="HTD460" s="22"/>
      <c r="HTE460" s="22"/>
      <c r="HTF460" s="22"/>
      <c r="HTG460" s="22"/>
      <c r="HTH460" s="22"/>
      <c r="HTI460" s="22"/>
      <c r="HTJ460" s="22"/>
      <c r="HTK460" s="22"/>
      <c r="HTL460" s="22"/>
      <c r="HTM460" s="22"/>
      <c r="HTN460" s="22"/>
      <c r="HTO460" s="22"/>
      <c r="HTP460" s="22"/>
      <c r="HTQ460" s="22"/>
      <c r="HTR460" s="22"/>
      <c r="HTS460" s="22"/>
      <c r="HTT460" s="22"/>
      <c r="HTU460" s="22"/>
      <c r="HTV460" s="22"/>
      <c r="HTW460" s="22"/>
      <c r="HTX460" s="22"/>
      <c r="HTY460" s="22"/>
      <c r="HTZ460" s="22"/>
      <c r="HUA460" s="22"/>
      <c r="HUB460" s="22"/>
      <c r="HUC460" s="22"/>
      <c r="HUD460" s="22"/>
      <c r="HUE460" s="22"/>
      <c r="HUF460" s="22"/>
      <c r="HUG460" s="22"/>
      <c r="HUH460" s="22"/>
      <c r="HUI460" s="22"/>
      <c r="HUJ460" s="22"/>
      <c r="HUK460" s="22"/>
      <c r="HUL460" s="22"/>
      <c r="HUM460" s="22"/>
      <c r="HUN460" s="22"/>
      <c r="HUO460" s="22"/>
      <c r="HUP460" s="22"/>
      <c r="HUQ460" s="22"/>
      <c r="HUR460" s="22"/>
      <c r="HUS460" s="22"/>
      <c r="HUT460" s="22"/>
      <c r="HUU460" s="22"/>
      <c r="HUV460" s="22"/>
      <c r="HUW460" s="22"/>
      <c r="HUX460" s="22"/>
      <c r="HUY460" s="22"/>
      <c r="HUZ460" s="22"/>
      <c r="HVA460" s="22"/>
      <c r="HVB460" s="22"/>
      <c r="HVC460" s="22"/>
      <c r="HVD460" s="22"/>
      <c r="HVE460" s="22"/>
      <c r="HVF460" s="22"/>
      <c r="HVG460" s="22"/>
      <c r="HVH460" s="22"/>
      <c r="HVI460" s="22"/>
      <c r="HVJ460" s="22"/>
      <c r="HVK460" s="22"/>
      <c r="HVL460" s="22"/>
      <c r="HVM460" s="22"/>
      <c r="HVN460" s="22"/>
      <c r="HVO460" s="22"/>
      <c r="HVP460" s="22"/>
      <c r="HVQ460" s="22"/>
      <c r="HVR460" s="22"/>
      <c r="HVS460" s="22"/>
      <c r="HVT460" s="22"/>
      <c r="HVU460" s="22"/>
      <c r="HVV460" s="22"/>
      <c r="HVW460" s="22"/>
      <c r="HVX460" s="22"/>
      <c r="HVY460" s="22"/>
      <c r="HVZ460" s="22"/>
      <c r="HWA460" s="22"/>
      <c r="HWB460" s="22"/>
      <c r="HWC460" s="22"/>
      <c r="HWD460" s="22"/>
      <c r="HWE460" s="22"/>
      <c r="HWF460" s="22"/>
      <c r="HWG460" s="22"/>
      <c r="HWH460" s="22"/>
      <c r="HWI460" s="22"/>
      <c r="HWJ460" s="22"/>
      <c r="HWK460" s="22"/>
      <c r="HWL460" s="22"/>
      <c r="HWM460" s="22"/>
      <c r="HWN460" s="22"/>
      <c r="HWO460" s="22"/>
      <c r="HWP460" s="22"/>
      <c r="HWQ460" s="22"/>
      <c r="HWR460" s="22"/>
      <c r="HWS460" s="22"/>
      <c r="HWT460" s="22"/>
      <c r="HWU460" s="22"/>
      <c r="HWV460" s="22"/>
      <c r="HWW460" s="22"/>
      <c r="HWX460" s="22"/>
      <c r="HWY460" s="22"/>
      <c r="HWZ460" s="22"/>
      <c r="HXA460" s="22"/>
      <c r="HXB460" s="22"/>
      <c r="HXC460" s="22"/>
      <c r="HXD460" s="22"/>
      <c r="HXE460" s="22"/>
      <c r="HXF460" s="22"/>
      <c r="HXG460" s="22"/>
      <c r="HXH460" s="22"/>
      <c r="HXI460" s="22"/>
      <c r="HXJ460" s="22"/>
      <c r="HXK460" s="22"/>
      <c r="HXL460" s="22"/>
      <c r="HXM460" s="22"/>
      <c r="HXN460" s="22"/>
      <c r="HXO460" s="22"/>
      <c r="HXP460" s="22"/>
      <c r="HXQ460" s="22"/>
      <c r="HXR460" s="22"/>
      <c r="HXS460" s="22"/>
      <c r="HXT460" s="22"/>
      <c r="HXU460" s="22"/>
      <c r="HXV460" s="22"/>
      <c r="HXW460" s="22"/>
      <c r="HXX460" s="22"/>
      <c r="HXY460" s="22"/>
      <c r="HXZ460" s="22"/>
      <c r="HYA460" s="22"/>
      <c r="HYB460" s="22"/>
      <c r="HYC460" s="22"/>
      <c r="HYD460" s="22"/>
      <c r="HYE460" s="22"/>
      <c r="HYF460" s="22"/>
      <c r="HYG460" s="22"/>
      <c r="HYH460" s="22"/>
      <c r="HYI460" s="22"/>
      <c r="HYJ460" s="22"/>
      <c r="HYK460" s="22"/>
      <c r="HYL460" s="22"/>
      <c r="HYM460" s="22"/>
      <c r="HYN460" s="22"/>
      <c r="HYO460" s="22"/>
      <c r="HYP460" s="22"/>
      <c r="HYQ460" s="22"/>
      <c r="HYR460" s="22"/>
      <c r="HYS460" s="22"/>
      <c r="HYT460" s="22"/>
      <c r="HYU460" s="22"/>
      <c r="HYV460" s="22"/>
      <c r="HYW460" s="22"/>
      <c r="HYX460" s="22"/>
      <c r="HYY460" s="22"/>
      <c r="HYZ460" s="22"/>
      <c r="HZA460" s="22"/>
      <c r="HZB460" s="22"/>
      <c r="HZC460" s="22"/>
      <c r="HZD460" s="22"/>
      <c r="HZE460" s="22"/>
      <c r="HZF460" s="22"/>
      <c r="HZG460" s="22"/>
      <c r="HZH460" s="22"/>
      <c r="HZI460" s="22"/>
      <c r="HZJ460" s="22"/>
      <c r="HZK460" s="22"/>
      <c r="HZL460" s="22"/>
      <c r="HZM460" s="22"/>
      <c r="HZN460" s="22"/>
      <c r="HZO460" s="22"/>
      <c r="HZP460" s="22"/>
      <c r="HZQ460" s="22"/>
      <c r="HZR460" s="22"/>
      <c r="HZS460" s="22"/>
      <c r="HZT460" s="22"/>
      <c r="HZU460" s="22"/>
      <c r="HZV460" s="22"/>
      <c r="HZW460" s="22"/>
      <c r="HZX460" s="22"/>
      <c r="HZY460" s="22"/>
      <c r="HZZ460" s="22"/>
      <c r="IAA460" s="22"/>
      <c r="IAB460" s="22"/>
      <c r="IAC460" s="22"/>
      <c r="IAD460" s="22"/>
      <c r="IAE460" s="22"/>
      <c r="IAF460" s="22"/>
      <c r="IAG460" s="22"/>
      <c r="IAH460" s="22"/>
      <c r="IAI460" s="22"/>
      <c r="IAJ460" s="22"/>
      <c r="IAK460" s="22"/>
      <c r="IAL460" s="22"/>
      <c r="IAM460" s="22"/>
      <c r="IAN460" s="22"/>
      <c r="IAO460" s="22"/>
      <c r="IAP460" s="22"/>
      <c r="IAQ460" s="22"/>
      <c r="IAR460" s="22"/>
      <c r="IAS460" s="22"/>
      <c r="IAT460" s="22"/>
      <c r="IAU460" s="22"/>
      <c r="IAV460" s="22"/>
      <c r="IAW460" s="22"/>
      <c r="IAX460" s="22"/>
      <c r="IAY460" s="22"/>
      <c r="IAZ460" s="22"/>
      <c r="IBA460" s="22"/>
      <c r="IBB460" s="22"/>
      <c r="IBC460" s="22"/>
      <c r="IBD460" s="22"/>
      <c r="IBE460" s="22"/>
      <c r="IBF460" s="22"/>
      <c r="IBG460" s="22"/>
      <c r="IBH460" s="22"/>
      <c r="IBI460" s="22"/>
      <c r="IBJ460" s="22"/>
      <c r="IBK460" s="22"/>
      <c r="IBL460" s="22"/>
      <c r="IBM460" s="22"/>
      <c r="IBN460" s="22"/>
      <c r="IBO460" s="22"/>
      <c r="IBP460" s="22"/>
      <c r="IBQ460" s="22"/>
      <c r="IBR460" s="22"/>
      <c r="IBS460" s="22"/>
      <c r="IBT460" s="22"/>
      <c r="IBU460" s="22"/>
      <c r="IBV460" s="22"/>
      <c r="IBW460" s="22"/>
      <c r="IBX460" s="22"/>
      <c r="IBY460" s="22"/>
      <c r="IBZ460" s="22"/>
      <c r="ICA460" s="22"/>
      <c r="ICB460" s="22"/>
      <c r="ICC460" s="22"/>
      <c r="ICD460" s="22"/>
      <c r="ICE460" s="22"/>
      <c r="ICF460" s="22"/>
      <c r="ICG460" s="22"/>
      <c r="ICH460" s="22"/>
      <c r="ICI460" s="22"/>
      <c r="ICJ460" s="22"/>
      <c r="ICK460" s="22"/>
      <c r="ICL460" s="22"/>
      <c r="ICM460" s="22"/>
      <c r="ICN460" s="22"/>
      <c r="ICO460" s="22"/>
      <c r="ICP460" s="22"/>
      <c r="ICQ460" s="22"/>
      <c r="ICR460" s="22"/>
      <c r="ICS460" s="22"/>
      <c r="ICT460" s="22"/>
      <c r="ICU460" s="22"/>
      <c r="ICV460" s="22"/>
      <c r="ICW460" s="22"/>
      <c r="ICX460" s="22"/>
      <c r="ICY460" s="22"/>
      <c r="ICZ460" s="22"/>
      <c r="IDA460" s="22"/>
      <c r="IDB460" s="22"/>
      <c r="IDC460" s="22"/>
      <c r="IDD460" s="22"/>
      <c r="IDE460" s="22"/>
      <c r="IDF460" s="22"/>
      <c r="IDG460" s="22"/>
      <c r="IDH460" s="22"/>
      <c r="IDI460" s="22"/>
      <c r="IDJ460" s="22"/>
      <c r="IDK460" s="22"/>
      <c r="IDL460" s="22"/>
      <c r="IDM460" s="22"/>
      <c r="IDN460" s="22"/>
      <c r="IDO460" s="22"/>
      <c r="IDP460" s="22"/>
      <c r="IDQ460" s="22"/>
      <c r="IDR460" s="22"/>
      <c r="IDS460" s="22"/>
      <c r="IDT460" s="22"/>
      <c r="IDU460" s="22"/>
      <c r="IDV460" s="22"/>
      <c r="IDW460" s="22"/>
      <c r="IDX460" s="22"/>
      <c r="IDY460" s="22"/>
      <c r="IDZ460" s="22"/>
      <c r="IEA460" s="22"/>
      <c r="IEB460" s="22"/>
      <c r="IEC460" s="22"/>
      <c r="IED460" s="22"/>
      <c r="IEE460" s="22"/>
      <c r="IEF460" s="22"/>
      <c r="IEG460" s="22"/>
      <c r="IEH460" s="22"/>
      <c r="IEI460" s="22"/>
      <c r="IEJ460" s="22"/>
      <c r="IEK460" s="22"/>
      <c r="IEL460" s="22"/>
      <c r="IEM460" s="22"/>
      <c r="IEN460" s="22"/>
      <c r="IEO460" s="22"/>
      <c r="IEP460" s="22"/>
      <c r="IEQ460" s="22"/>
      <c r="IER460" s="22"/>
      <c r="IES460" s="22"/>
      <c r="IET460" s="22"/>
      <c r="IEU460" s="22"/>
      <c r="IEV460" s="22"/>
      <c r="IEW460" s="22"/>
      <c r="IEX460" s="22"/>
      <c r="IEY460" s="22"/>
      <c r="IEZ460" s="22"/>
      <c r="IFA460" s="22"/>
      <c r="IFB460" s="22"/>
      <c r="IFC460" s="22"/>
      <c r="IFD460" s="22"/>
      <c r="IFE460" s="22"/>
      <c r="IFF460" s="22"/>
      <c r="IFG460" s="22"/>
      <c r="IFH460" s="22"/>
      <c r="IFI460" s="22"/>
      <c r="IFJ460" s="22"/>
      <c r="IFK460" s="22"/>
      <c r="IFL460" s="22"/>
      <c r="IFM460" s="22"/>
      <c r="IFN460" s="22"/>
      <c r="IFO460" s="22"/>
      <c r="IFP460" s="22"/>
      <c r="IFQ460" s="22"/>
      <c r="IFR460" s="22"/>
      <c r="IFS460" s="22"/>
      <c r="IFT460" s="22"/>
      <c r="IFU460" s="22"/>
      <c r="IFV460" s="22"/>
      <c r="IFW460" s="22"/>
      <c r="IFX460" s="22"/>
      <c r="IFY460" s="22"/>
      <c r="IFZ460" s="22"/>
      <c r="IGA460" s="22"/>
      <c r="IGB460" s="22"/>
      <c r="IGC460" s="22"/>
      <c r="IGD460" s="22"/>
      <c r="IGE460" s="22"/>
      <c r="IGF460" s="22"/>
      <c r="IGG460" s="22"/>
      <c r="IGH460" s="22"/>
      <c r="IGI460" s="22"/>
      <c r="IGJ460" s="22"/>
      <c r="IGK460" s="22"/>
      <c r="IGL460" s="22"/>
      <c r="IGM460" s="22"/>
      <c r="IGN460" s="22"/>
      <c r="IGO460" s="22"/>
      <c r="IGP460" s="22"/>
      <c r="IGQ460" s="22"/>
      <c r="IGR460" s="22"/>
      <c r="IGS460" s="22"/>
      <c r="IGT460" s="22"/>
      <c r="IGU460" s="22"/>
      <c r="IGV460" s="22"/>
      <c r="IGW460" s="22"/>
      <c r="IGX460" s="22"/>
      <c r="IGY460" s="22"/>
      <c r="IGZ460" s="22"/>
      <c r="IHA460" s="22"/>
      <c r="IHB460" s="22"/>
      <c r="IHC460" s="22"/>
      <c r="IHD460" s="22"/>
      <c r="IHE460" s="22"/>
      <c r="IHF460" s="22"/>
      <c r="IHG460" s="22"/>
      <c r="IHH460" s="22"/>
      <c r="IHI460" s="22"/>
      <c r="IHJ460" s="22"/>
      <c r="IHK460" s="22"/>
      <c r="IHL460" s="22"/>
      <c r="IHM460" s="22"/>
      <c r="IHN460" s="22"/>
      <c r="IHO460" s="22"/>
      <c r="IHP460" s="22"/>
      <c r="IHQ460" s="22"/>
      <c r="IHR460" s="22"/>
      <c r="IHS460" s="22"/>
      <c r="IHT460" s="22"/>
      <c r="IHU460" s="22"/>
      <c r="IHV460" s="22"/>
      <c r="IHW460" s="22"/>
      <c r="IHX460" s="22"/>
      <c r="IHY460" s="22"/>
      <c r="IHZ460" s="22"/>
      <c r="IIA460" s="22"/>
      <c r="IIB460" s="22"/>
      <c r="IIC460" s="22"/>
      <c r="IID460" s="22"/>
      <c r="IIE460" s="22"/>
      <c r="IIF460" s="22"/>
      <c r="IIG460" s="22"/>
      <c r="IIH460" s="22"/>
      <c r="III460" s="22"/>
      <c r="IIJ460" s="22"/>
      <c r="IIK460" s="22"/>
      <c r="IIL460" s="22"/>
      <c r="IIM460" s="22"/>
      <c r="IIN460" s="22"/>
      <c r="IIO460" s="22"/>
      <c r="IIP460" s="22"/>
      <c r="IIQ460" s="22"/>
      <c r="IIR460" s="22"/>
      <c r="IIS460" s="22"/>
      <c r="IIT460" s="22"/>
      <c r="IIU460" s="22"/>
      <c r="IIV460" s="22"/>
      <c r="IIW460" s="22"/>
      <c r="IIX460" s="22"/>
      <c r="IIY460" s="22"/>
      <c r="IIZ460" s="22"/>
      <c r="IJA460" s="22"/>
      <c r="IJB460" s="22"/>
      <c r="IJC460" s="22"/>
      <c r="IJD460" s="22"/>
      <c r="IJE460" s="22"/>
      <c r="IJF460" s="22"/>
      <c r="IJG460" s="22"/>
      <c r="IJH460" s="22"/>
      <c r="IJI460" s="22"/>
      <c r="IJJ460" s="22"/>
      <c r="IJK460" s="22"/>
      <c r="IJL460" s="22"/>
      <c r="IJM460" s="22"/>
      <c r="IJN460" s="22"/>
      <c r="IJO460" s="22"/>
      <c r="IJP460" s="22"/>
      <c r="IJQ460" s="22"/>
      <c r="IJR460" s="22"/>
      <c r="IJS460" s="22"/>
      <c r="IJT460" s="22"/>
      <c r="IJU460" s="22"/>
      <c r="IJV460" s="22"/>
      <c r="IJW460" s="22"/>
      <c r="IJX460" s="22"/>
      <c r="IJY460" s="22"/>
      <c r="IJZ460" s="22"/>
      <c r="IKA460" s="22"/>
      <c r="IKB460" s="22"/>
      <c r="IKC460" s="22"/>
      <c r="IKD460" s="22"/>
      <c r="IKE460" s="22"/>
      <c r="IKF460" s="22"/>
      <c r="IKG460" s="22"/>
      <c r="IKH460" s="22"/>
      <c r="IKI460" s="22"/>
      <c r="IKJ460" s="22"/>
      <c r="IKK460" s="22"/>
      <c r="IKL460" s="22"/>
      <c r="IKM460" s="22"/>
      <c r="IKN460" s="22"/>
      <c r="IKO460" s="22"/>
      <c r="IKP460" s="22"/>
      <c r="IKQ460" s="22"/>
      <c r="IKR460" s="22"/>
      <c r="IKS460" s="22"/>
      <c r="IKT460" s="22"/>
      <c r="IKU460" s="22"/>
      <c r="IKV460" s="22"/>
      <c r="IKW460" s="22"/>
      <c r="IKX460" s="22"/>
      <c r="IKY460" s="22"/>
      <c r="IKZ460" s="22"/>
      <c r="ILA460" s="22"/>
      <c r="ILB460" s="22"/>
      <c r="ILC460" s="22"/>
      <c r="ILD460" s="22"/>
      <c r="ILE460" s="22"/>
      <c r="ILF460" s="22"/>
      <c r="ILG460" s="22"/>
      <c r="ILH460" s="22"/>
      <c r="ILI460" s="22"/>
      <c r="ILJ460" s="22"/>
      <c r="ILK460" s="22"/>
      <c r="ILL460" s="22"/>
      <c r="ILM460" s="22"/>
      <c r="ILN460" s="22"/>
      <c r="ILO460" s="22"/>
      <c r="ILP460" s="22"/>
      <c r="ILQ460" s="22"/>
      <c r="ILR460" s="22"/>
      <c r="ILS460" s="22"/>
      <c r="ILT460" s="22"/>
      <c r="ILU460" s="22"/>
      <c r="ILV460" s="22"/>
      <c r="ILW460" s="22"/>
      <c r="ILX460" s="22"/>
      <c r="ILY460" s="22"/>
      <c r="ILZ460" s="22"/>
      <c r="IMA460" s="22"/>
      <c r="IMB460" s="22"/>
      <c r="IMC460" s="22"/>
      <c r="IMD460" s="22"/>
      <c r="IME460" s="22"/>
      <c r="IMF460" s="22"/>
      <c r="IMG460" s="22"/>
      <c r="IMH460" s="22"/>
      <c r="IMI460" s="22"/>
      <c r="IMJ460" s="22"/>
      <c r="IMK460" s="22"/>
      <c r="IML460" s="22"/>
      <c r="IMM460" s="22"/>
      <c r="IMN460" s="22"/>
      <c r="IMO460" s="22"/>
      <c r="IMP460" s="22"/>
      <c r="IMQ460" s="22"/>
      <c r="IMR460" s="22"/>
      <c r="IMS460" s="22"/>
      <c r="IMT460" s="22"/>
      <c r="IMU460" s="22"/>
      <c r="IMV460" s="22"/>
      <c r="IMW460" s="22"/>
      <c r="IMX460" s="22"/>
      <c r="IMY460" s="22"/>
      <c r="IMZ460" s="22"/>
      <c r="INA460" s="22"/>
      <c r="INB460" s="22"/>
      <c r="INC460" s="22"/>
      <c r="IND460" s="22"/>
      <c r="INE460" s="22"/>
      <c r="INF460" s="22"/>
      <c r="ING460" s="22"/>
      <c r="INH460" s="22"/>
      <c r="INI460" s="22"/>
      <c r="INJ460" s="22"/>
      <c r="INK460" s="22"/>
      <c r="INL460" s="22"/>
      <c r="INM460" s="22"/>
      <c r="INN460" s="22"/>
      <c r="INO460" s="22"/>
      <c r="INP460" s="22"/>
      <c r="INQ460" s="22"/>
      <c r="INR460" s="22"/>
      <c r="INS460" s="22"/>
      <c r="INT460" s="22"/>
      <c r="INU460" s="22"/>
      <c r="INV460" s="22"/>
      <c r="INW460" s="22"/>
      <c r="INX460" s="22"/>
      <c r="INY460" s="22"/>
      <c r="INZ460" s="22"/>
      <c r="IOA460" s="22"/>
      <c r="IOB460" s="22"/>
      <c r="IOC460" s="22"/>
      <c r="IOD460" s="22"/>
      <c r="IOE460" s="22"/>
      <c r="IOF460" s="22"/>
      <c r="IOG460" s="22"/>
      <c r="IOH460" s="22"/>
      <c r="IOI460" s="22"/>
      <c r="IOJ460" s="22"/>
      <c r="IOK460" s="22"/>
      <c r="IOL460" s="22"/>
      <c r="IOM460" s="22"/>
      <c r="ION460" s="22"/>
      <c r="IOO460" s="22"/>
      <c r="IOP460" s="22"/>
      <c r="IOQ460" s="22"/>
      <c r="IOR460" s="22"/>
      <c r="IOS460" s="22"/>
      <c r="IOT460" s="22"/>
      <c r="IOU460" s="22"/>
      <c r="IOV460" s="22"/>
      <c r="IOW460" s="22"/>
      <c r="IOX460" s="22"/>
      <c r="IOY460" s="22"/>
      <c r="IOZ460" s="22"/>
      <c r="IPA460" s="22"/>
      <c r="IPB460" s="22"/>
      <c r="IPC460" s="22"/>
      <c r="IPD460" s="22"/>
      <c r="IPE460" s="22"/>
      <c r="IPF460" s="22"/>
      <c r="IPG460" s="22"/>
      <c r="IPH460" s="22"/>
      <c r="IPI460" s="22"/>
      <c r="IPJ460" s="22"/>
      <c r="IPK460" s="22"/>
      <c r="IPL460" s="22"/>
      <c r="IPM460" s="22"/>
      <c r="IPN460" s="22"/>
      <c r="IPO460" s="22"/>
      <c r="IPP460" s="22"/>
      <c r="IPQ460" s="22"/>
      <c r="IPR460" s="22"/>
      <c r="IPS460" s="22"/>
      <c r="IPT460" s="22"/>
      <c r="IPU460" s="22"/>
      <c r="IPV460" s="22"/>
      <c r="IPW460" s="22"/>
      <c r="IPX460" s="22"/>
      <c r="IPY460" s="22"/>
      <c r="IPZ460" s="22"/>
      <c r="IQA460" s="22"/>
      <c r="IQB460" s="22"/>
      <c r="IQC460" s="22"/>
      <c r="IQD460" s="22"/>
      <c r="IQE460" s="22"/>
      <c r="IQF460" s="22"/>
      <c r="IQG460" s="22"/>
      <c r="IQH460" s="22"/>
      <c r="IQI460" s="22"/>
      <c r="IQJ460" s="22"/>
      <c r="IQK460" s="22"/>
      <c r="IQL460" s="22"/>
      <c r="IQM460" s="22"/>
      <c r="IQN460" s="22"/>
      <c r="IQO460" s="22"/>
      <c r="IQP460" s="22"/>
      <c r="IQQ460" s="22"/>
      <c r="IQR460" s="22"/>
      <c r="IQS460" s="22"/>
      <c r="IQT460" s="22"/>
      <c r="IQU460" s="22"/>
      <c r="IQV460" s="22"/>
      <c r="IQW460" s="22"/>
      <c r="IQX460" s="22"/>
      <c r="IQY460" s="22"/>
      <c r="IQZ460" s="22"/>
      <c r="IRA460" s="22"/>
      <c r="IRB460" s="22"/>
      <c r="IRC460" s="22"/>
      <c r="IRD460" s="22"/>
      <c r="IRE460" s="22"/>
      <c r="IRF460" s="22"/>
      <c r="IRG460" s="22"/>
      <c r="IRH460" s="22"/>
      <c r="IRI460" s="22"/>
      <c r="IRJ460" s="22"/>
      <c r="IRK460" s="22"/>
      <c r="IRL460" s="22"/>
      <c r="IRM460" s="22"/>
      <c r="IRN460" s="22"/>
      <c r="IRO460" s="22"/>
      <c r="IRP460" s="22"/>
      <c r="IRQ460" s="22"/>
      <c r="IRR460" s="22"/>
      <c r="IRS460" s="22"/>
      <c r="IRT460" s="22"/>
      <c r="IRU460" s="22"/>
      <c r="IRV460" s="22"/>
      <c r="IRW460" s="22"/>
      <c r="IRX460" s="22"/>
      <c r="IRY460" s="22"/>
      <c r="IRZ460" s="22"/>
      <c r="ISA460" s="22"/>
      <c r="ISB460" s="22"/>
      <c r="ISC460" s="22"/>
      <c r="ISD460" s="22"/>
      <c r="ISE460" s="22"/>
      <c r="ISF460" s="22"/>
      <c r="ISG460" s="22"/>
      <c r="ISH460" s="22"/>
      <c r="ISI460" s="22"/>
      <c r="ISJ460" s="22"/>
      <c r="ISK460" s="22"/>
      <c r="ISL460" s="22"/>
      <c r="ISM460" s="22"/>
      <c r="ISN460" s="22"/>
      <c r="ISO460" s="22"/>
      <c r="ISP460" s="22"/>
      <c r="ISQ460" s="22"/>
      <c r="ISR460" s="22"/>
      <c r="ISS460" s="22"/>
      <c r="IST460" s="22"/>
      <c r="ISU460" s="22"/>
      <c r="ISV460" s="22"/>
      <c r="ISW460" s="22"/>
      <c r="ISX460" s="22"/>
      <c r="ISY460" s="22"/>
      <c r="ISZ460" s="22"/>
      <c r="ITA460" s="22"/>
      <c r="ITB460" s="22"/>
      <c r="ITC460" s="22"/>
      <c r="ITD460" s="22"/>
      <c r="ITE460" s="22"/>
      <c r="ITF460" s="22"/>
      <c r="ITG460" s="22"/>
      <c r="ITH460" s="22"/>
      <c r="ITI460" s="22"/>
      <c r="ITJ460" s="22"/>
      <c r="ITK460" s="22"/>
      <c r="ITL460" s="22"/>
      <c r="ITM460" s="22"/>
      <c r="ITN460" s="22"/>
      <c r="ITO460" s="22"/>
      <c r="ITP460" s="22"/>
      <c r="ITQ460" s="22"/>
      <c r="ITR460" s="22"/>
      <c r="ITS460" s="22"/>
      <c r="ITT460" s="22"/>
      <c r="ITU460" s="22"/>
      <c r="ITV460" s="22"/>
      <c r="ITW460" s="22"/>
      <c r="ITX460" s="22"/>
      <c r="ITY460" s="22"/>
      <c r="ITZ460" s="22"/>
      <c r="IUA460" s="22"/>
      <c r="IUB460" s="22"/>
      <c r="IUC460" s="22"/>
      <c r="IUD460" s="22"/>
      <c r="IUE460" s="22"/>
      <c r="IUF460" s="22"/>
      <c r="IUG460" s="22"/>
      <c r="IUH460" s="22"/>
      <c r="IUI460" s="22"/>
      <c r="IUJ460" s="22"/>
      <c r="IUK460" s="22"/>
      <c r="IUL460" s="22"/>
      <c r="IUM460" s="22"/>
      <c r="IUN460" s="22"/>
      <c r="IUO460" s="22"/>
      <c r="IUP460" s="22"/>
      <c r="IUQ460" s="22"/>
      <c r="IUR460" s="22"/>
      <c r="IUS460" s="22"/>
      <c r="IUT460" s="22"/>
      <c r="IUU460" s="22"/>
      <c r="IUV460" s="22"/>
      <c r="IUW460" s="22"/>
      <c r="IUX460" s="22"/>
      <c r="IUY460" s="22"/>
      <c r="IUZ460" s="22"/>
      <c r="IVA460" s="22"/>
      <c r="IVB460" s="22"/>
      <c r="IVC460" s="22"/>
      <c r="IVD460" s="22"/>
      <c r="IVE460" s="22"/>
      <c r="IVF460" s="22"/>
      <c r="IVG460" s="22"/>
      <c r="IVH460" s="22"/>
      <c r="IVI460" s="22"/>
      <c r="IVJ460" s="22"/>
      <c r="IVK460" s="22"/>
      <c r="IVL460" s="22"/>
      <c r="IVM460" s="22"/>
      <c r="IVN460" s="22"/>
      <c r="IVO460" s="22"/>
      <c r="IVP460" s="22"/>
      <c r="IVQ460" s="22"/>
      <c r="IVR460" s="22"/>
      <c r="IVS460" s="22"/>
      <c r="IVT460" s="22"/>
      <c r="IVU460" s="22"/>
      <c r="IVV460" s="22"/>
      <c r="IVW460" s="22"/>
      <c r="IVX460" s="22"/>
      <c r="IVY460" s="22"/>
      <c r="IVZ460" s="22"/>
      <c r="IWA460" s="22"/>
      <c r="IWB460" s="22"/>
      <c r="IWC460" s="22"/>
      <c r="IWD460" s="22"/>
      <c r="IWE460" s="22"/>
      <c r="IWF460" s="22"/>
      <c r="IWG460" s="22"/>
      <c r="IWH460" s="22"/>
      <c r="IWI460" s="22"/>
      <c r="IWJ460" s="22"/>
      <c r="IWK460" s="22"/>
      <c r="IWL460" s="22"/>
      <c r="IWM460" s="22"/>
      <c r="IWN460" s="22"/>
      <c r="IWO460" s="22"/>
      <c r="IWP460" s="22"/>
      <c r="IWQ460" s="22"/>
      <c r="IWR460" s="22"/>
      <c r="IWS460" s="22"/>
      <c r="IWT460" s="22"/>
      <c r="IWU460" s="22"/>
      <c r="IWV460" s="22"/>
      <c r="IWW460" s="22"/>
      <c r="IWX460" s="22"/>
      <c r="IWY460" s="22"/>
      <c r="IWZ460" s="22"/>
      <c r="IXA460" s="22"/>
      <c r="IXB460" s="22"/>
      <c r="IXC460" s="22"/>
      <c r="IXD460" s="22"/>
      <c r="IXE460" s="22"/>
      <c r="IXF460" s="22"/>
      <c r="IXG460" s="22"/>
      <c r="IXH460" s="22"/>
      <c r="IXI460" s="22"/>
      <c r="IXJ460" s="22"/>
      <c r="IXK460" s="22"/>
      <c r="IXL460" s="22"/>
      <c r="IXM460" s="22"/>
      <c r="IXN460" s="22"/>
      <c r="IXO460" s="22"/>
      <c r="IXP460" s="22"/>
      <c r="IXQ460" s="22"/>
      <c r="IXR460" s="22"/>
      <c r="IXS460" s="22"/>
      <c r="IXT460" s="22"/>
      <c r="IXU460" s="22"/>
      <c r="IXV460" s="22"/>
      <c r="IXW460" s="22"/>
      <c r="IXX460" s="22"/>
      <c r="IXY460" s="22"/>
      <c r="IXZ460" s="22"/>
      <c r="IYA460" s="22"/>
      <c r="IYB460" s="22"/>
      <c r="IYC460" s="22"/>
      <c r="IYD460" s="22"/>
      <c r="IYE460" s="22"/>
      <c r="IYF460" s="22"/>
      <c r="IYG460" s="22"/>
      <c r="IYH460" s="22"/>
      <c r="IYI460" s="22"/>
      <c r="IYJ460" s="22"/>
      <c r="IYK460" s="22"/>
      <c r="IYL460" s="22"/>
      <c r="IYM460" s="22"/>
      <c r="IYN460" s="22"/>
      <c r="IYO460" s="22"/>
      <c r="IYP460" s="22"/>
      <c r="IYQ460" s="22"/>
      <c r="IYR460" s="22"/>
      <c r="IYS460" s="22"/>
      <c r="IYT460" s="22"/>
      <c r="IYU460" s="22"/>
      <c r="IYV460" s="22"/>
      <c r="IYW460" s="22"/>
      <c r="IYX460" s="22"/>
      <c r="IYY460" s="22"/>
      <c r="IYZ460" s="22"/>
      <c r="IZA460" s="22"/>
      <c r="IZB460" s="22"/>
      <c r="IZC460" s="22"/>
      <c r="IZD460" s="22"/>
      <c r="IZE460" s="22"/>
      <c r="IZF460" s="22"/>
      <c r="IZG460" s="22"/>
      <c r="IZH460" s="22"/>
      <c r="IZI460" s="22"/>
      <c r="IZJ460" s="22"/>
      <c r="IZK460" s="22"/>
      <c r="IZL460" s="22"/>
      <c r="IZM460" s="22"/>
      <c r="IZN460" s="22"/>
      <c r="IZO460" s="22"/>
      <c r="IZP460" s="22"/>
      <c r="IZQ460" s="22"/>
      <c r="IZR460" s="22"/>
      <c r="IZS460" s="22"/>
      <c r="IZT460" s="22"/>
      <c r="IZU460" s="22"/>
      <c r="IZV460" s="22"/>
      <c r="IZW460" s="22"/>
      <c r="IZX460" s="22"/>
      <c r="IZY460" s="22"/>
      <c r="IZZ460" s="22"/>
      <c r="JAA460" s="22"/>
      <c r="JAB460" s="22"/>
      <c r="JAC460" s="22"/>
      <c r="JAD460" s="22"/>
      <c r="JAE460" s="22"/>
      <c r="JAF460" s="22"/>
      <c r="JAG460" s="22"/>
      <c r="JAH460" s="22"/>
      <c r="JAI460" s="22"/>
      <c r="JAJ460" s="22"/>
      <c r="JAK460" s="22"/>
      <c r="JAL460" s="22"/>
      <c r="JAM460" s="22"/>
      <c r="JAN460" s="22"/>
      <c r="JAO460" s="22"/>
      <c r="JAP460" s="22"/>
      <c r="JAQ460" s="22"/>
      <c r="JAR460" s="22"/>
      <c r="JAS460" s="22"/>
      <c r="JAT460" s="22"/>
      <c r="JAU460" s="22"/>
      <c r="JAV460" s="22"/>
      <c r="JAW460" s="22"/>
      <c r="JAX460" s="22"/>
      <c r="JAY460" s="22"/>
      <c r="JAZ460" s="22"/>
      <c r="JBA460" s="22"/>
      <c r="JBB460" s="22"/>
      <c r="JBC460" s="22"/>
      <c r="JBD460" s="22"/>
      <c r="JBE460" s="22"/>
      <c r="JBF460" s="22"/>
      <c r="JBG460" s="22"/>
      <c r="JBH460" s="22"/>
      <c r="JBI460" s="22"/>
      <c r="JBJ460" s="22"/>
      <c r="JBK460" s="22"/>
      <c r="JBL460" s="22"/>
      <c r="JBM460" s="22"/>
      <c r="JBN460" s="22"/>
      <c r="JBO460" s="22"/>
      <c r="JBP460" s="22"/>
      <c r="JBQ460" s="22"/>
      <c r="JBR460" s="22"/>
      <c r="JBS460" s="22"/>
      <c r="JBT460" s="22"/>
      <c r="JBU460" s="22"/>
      <c r="JBV460" s="22"/>
      <c r="JBW460" s="22"/>
      <c r="JBX460" s="22"/>
      <c r="JBY460" s="22"/>
      <c r="JBZ460" s="22"/>
      <c r="JCA460" s="22"/>
      <c r="JCB460" s="22"/>
      <c r="JCC460" s="22"/>
      <c r="JCD460" s="22"/>
      <c r="JCE460" s="22"/>
      <c r="JCF460" s="22"/>
      <c r="JCG460" s="22"/>
      <c r="JCH460" s="22"/>
      <c r="JCI460" s="22"/>
      <c r="JCJ460" s="22"/>
      <c r="JCK460" s="22"/>
      <c r="JCL460" s="22"/>
      <c r="JCM460" s="22"/>
      <c r="JCN460" s="22"/>
      <c r="JCO460" s="22"/>
      <c r="JCP460" s="22"/>
      <c r="JCQ460" s="22"/>
      <c r="JCR460" s="22"/>
      <c r="JCS460" s="22"/>
      <c r="JCT460" s="22"/>
      <c r="JCU460" s="22"/>
      <c r="JCV460" s="22"/>
      <c r="JCW460" s="22"/>
      <c r="JCX460" s="22"/>
      <c r="JCY460" s="22"/>
      <c r="JCZ460" s="22"/>
      <c r="JDA460" s="22"/>
      <c r="JDB460" s="22"/>
      <c r="JDC460" s="22"/>
      <c r="JDD460" s="22"/>
      <c r="JDE460" s="22"/>
      <c r="JDF460" s="22"/>
      <c r="JDG460" s="22"/>
      <c r="JDH460" s="22"/>
      <c r="JDI460" s="22"/>
      <c r="JDJ460" s="22"/>
      <c r="JDK460" s="22"/>
      <c r="JDL460" s="22"/>
      <c r="JDM460" s="22"/>
      <c r="JDN460" s="22"/>
      <c r="JDO460" s="22"/>
      <c r="JDP460" s="22"/>
      <c r="JDQ460" s="22"/>
      <c r="JDR460" s="22"/>
      <c r="JDS460" s="22"/>
      <c r="JDT460" s="22"/>
      <c r="JDU460" s="22"/>
      <c r="JDV460" s="22"/>
      <c r="JDW460" s="22"/>
      <c r="JDX460" s="22"/>
      <c r="JDY460" s="22"/>
      <c r="JDZ460" s="22"/>
      <c r="JEA460" s="22"/>
      <c r="JEB460" s="22"/>
      <c r="JEC460" s="22"/>
      <c r="JED460" s="22"/>
      <c r="JEE460" s="22"/>
      <c r="JEF460" s="22"/>
      <c r="JEG460" s="22"/>
      <c r="JEH460" s="22"/>
      <c r="JEI460" s="22"/>
      <c r="JEJ460" s="22"/>
      <c r="JEK460" s="22"/>
      <c r="JEL460" s="22"/>
      <c r="JEM460" s="22"/>
      <c r="JEN460" s="22"/>
      <c r="JEO460" s="22"/>
      <c r="JEP460" s="22"/>
      <c r="JEQ460" s="22"/>
      <c r="JER460" s="22"/>
      <c r="JES460" s="22"/>
      <c r="JET460" s="22"/>
      <c r="JEU460" s="22"/>
      <c r="JEV460" s="22"/>
      <c r="JEW460" s="22"/>
      <c r="JEX460" s="22"/>
      <c r="JEY460" s="22"/>
      <c r="JEZ460" s="22"/>
      <c r="JFA460" s="22"/>
      <c r="JFB460" s="22"/>
      <c r="JFC460" s="22"/>
      <c r="JFD460" s="22"/>
      <c r="JFE460" s="22"/>
      <c r="JFF460" s="22"/>
      <c r="JFG460" s="22"/>
      <c r="JFH460" s="22"/>
      <c r="JFI460" s="22"/>
      <c r="JFJ460" s="22"/>
      <c r="JFK460" s="22"/>
      <c r="JFL460" s="22"/>
      <c r="JFM460" s="22"/>
      <c r="JFN460" s="22"/>
      <c r="JFO460" s="22"/>
      <c r="JFP460" s="22"/>
      <c r="JFQ460" s="22"/>
      <c r="JFR460" s="22"/>
      <c r="JFS460" s="22"/>
      <c r="JFT460" s="22"/>
      <c r="JFU460" s="22"/>
      <c r="JFV460" s="22"/>
      <c r="JFW460" s="22"/>
      <c r="JFX460" s="22"/>
      <c r="JFY460" s="22"/>
      <c r="JFZ460" s="22"/>
      <c r="JGA460" s="22"/>
      <c r="JGB460" s="22"/>
      <c r="JGC460" s="22"/>
      <c r="JGD460" s="22"/>
      <c r="JGE460" s="22"/>
      <c r="JGF460" s="22"/>
      <c r="JGG460" s="22"/>
      <c r="JGH460" s="22"/>
      <c r="JGI460" s="22"/>
      <c r="JGJ460" s="22"/>
      <c r="JGK460" s="22"/>
      <c r="JGL460" s="22"/>
      <c r="JGM460" s="22"/>
      <c r="JGN460" s="22"/>
      <c r="JGO460" s="22"/>
      <c r="JGP460" s="22"/>
      <c r="JGQ460" s="22"/>
      <c r="JGR460" s="22"/>
      <c r="JGS460" s="22"/>
      <c r="JGT460" s="22"/>
      <c r="JGU460" s="22"/>
      <c r="JGV460" s="22"/>
      <c r="JGW460" s="22"/>
      <c r="JGX460" s="22"/>
      <c r="JGY460" s="22"/>
      <c r="JGZ460" s="22"/>
      <c r="JHA460" s="22"/>
      <c r="JHB460" s="22"/>
      <c r="JHC460" s="22"/>
      <c r="JHD460" s="22"/>
      <c r="JHE460" s="22"/>
      <c r="JHF460" s="22"/>
      <c r="JHG460" s="22"/>
      <c r="JHH460" s="22"/>
      <c r="JHI460" s="22"/>
      <c r="JHJ460" s="22"/>
      <c r="JHK460" s="22"/>
      <c r="JHL460" s="22"/>
      <c r="JHM460" s="22"/>
      <c r="JHN460" s="22"/>
      <c r="JHO460" s="22"/>
      <c r="JHP460" s="22"/>
      <c r="JHQ460" s="22"/>
      <c r="JHR460" s="22"/>
      <c r="JHS460" s="22"/>
      <c r="JHT460" s="22"/>
      <c r="JHU460" s="22"/>
      <c r="JHV460" s="22"/>
      <c r="JHW460" s="22"/>
      <c r="JHX460" s="22"/>
      <c r="JHY460" s="22"/>
      <c r="JHZ460" s="22"/>
      <c r="JIA460" s="22"/>
      <c r="JIB460" s="22"/>
      <c r="JIC460" s="22"/>
      <c r="JID460" s="22"/>
      <c r="JIE460" s="22"/>
      <c r="JIF460" s="22"/>
      <c r="JIG460" s="22"/>
      <c r="JIH460" s="22"/>
      <c r="JII460" s="22"/>
      <c r="JIJ460" s="22"/>
      <c r="JIK460" s="22"/>
      <c r="JIL460" s="22"/>
      <c r="JIM460" s="22"/>
      <c r="JIN460" s="22"/>
      <c r="JIO460" s="22"/>
      <c r="JIP460" s="22"/>
      <c r="JIQ460" s="22"/>
      <c r="JIR460" s="22"/>
      <c r="JIS460" s="22"/>
      <c r="JIT460" s="22"/>
      <c r="JIU460" s="22"/>
      <c r="JIV460" s="22"/>
      <c r="JIW460" s="22"/>
      <c r="JIX460" s="22"/>
      <c r="JIY460" s="22"/>
      <c r="JIZ460" s="22"/>
      <c r="JJA460" s="22"/>
      <c r="JJB460" s="22"/>
      <c r="JJC460" s="22"/>
      <c r="JJD460" s="22"/>
      <c r="JJE460" s="22"/>
      <c r="JJF460" s="22"/>
      <c r="JJG460" s="22"/>
      <c r="JJH460" s="22"/>
      <c r="JJI460" s="22"/>
      <c r="JJJ460" s="22"/>
      <c r="JJK460" s="22"/>
      <c r="JJL460" s="22"/>
      <c r="JJM460" s="22"/>
      <c r="JJN460" s="22"/>
      <c r="JJO460" s="22"/>
      <c r="JJP460" s="22"/>
      <c r="JJQ460" s="22"/>
      <c r="JJR460" s="22"/>
      <c r="JJS460" s="22"/>
      <c r="JJT460" s="22"/>
      <c r="JJU460" s="22"/>
      <c r="JJV460" s="22"/>
      <c r="JJW460" s="22"/>
      <c r="JJX460" s="22"/>
      <c r="JJY460" s="22"/>
      <c r="JJZ460" s="22"/>
      <c r="JKA460" s="22"/>
      <c r="JKB460" s="22"/>
      <c r="JKC460" s="22"/>
      <c r="JKD460" s="22"/>
      <c r="JKE460" s="22"/>
      <c r="JKF460" s="22"/>
      <c r="JKG460" s="22"/>
      <c r="JKH460" s="22"/>
      <c r="JKI460" s="22"/>
      <c r="JKJ460" s="22"/>
      <c r="JKK460" s="22"/>
      <c r="JKL460" s="22"/>
      <c r="JKM460" s="22"/>
      <c r="JKN460" s="22"/>
      <c r="JKO460" s="22"/>
      <c r="JKP460" s="22"/>
      <c r="JKQ460" s="22"/>
      <c r="JKR460" s="22"/>
      <c r="JKS460" s="22"/>
      <c r="JKT460" s="22"/>
      <c r="JKU460" s="22"/>
      <c r="JKV460" s="22"/>
      <c r="JKW460" s="22"/>
      <c r="JKX460" s="22"/>
      <c r="JKY460" s="22"/>
      <c r="JKZ460" s="22"/>
      <c r="JLA460" s="22"/>
      <c r="JLB460" s="22"/>
      <c r="JLC460" s="22"/>
      <c r="JLD460" s="22"/>
      <c r="JLE460" s="22"/>
      <c r="JLF460" s="22"/>
      <c r="JLG460" s="22"/>
      <c r="JLH460" s="22"/>
      <c r="JLI460" s="22"/>
      <c r="JLJ460" s="22"/>
      <c r="JLK460" s="22"/>
      <c r="JLL460" s="22"/>
      <c r="JLM460" s="22"/>
      <c r="JLN460" s="22"/>
      <c r="JLO460" s="22"/>
      <c r="JLP460" s="22"/>
      <c r="JLQ460" s="22"/>
      <c r="JLR460" s="22"/>
      <c r="JLS460" s="22"/>
      <c r="JLT460" s="22"/>
      <c r="JLU460" s="22"/>
      <c r="JLV460" s="22"/>
      <c r="JLW460" s="22"/>
      <c r="JLX460" s="22"/>
      <c r="JLY460" s="22"/>
      <c r="JLZ460" s="22"/>
      <c r="JMA460" s="22"/>
      <c r="JMB460" s="22"/>
      <c r="JMC460" s="22"/>
      <c r="JMD460" s="22"/>
      <c r="JME460" s="22"/>
      <c r="JMF460" s="22"/>
      <c r="JMG460" s="22"/>
      <c r="JMH460" s="22"/>
      <c r="JMI460" s="22"/>
      <c r="JMJ460" s="22"/>
      <c r="JMK460" s="22"/>
      <c r="JML460" s="22"/>
      <c r="JMM460" s="22"/>
      <c r="JMN460" s="22"/>
      <c r="JMO460" s="22"/>
      <c r="JMP460" s="22"/>
      <c r="JMQ460" s="22"/>
      <c r="JMR460" s="22"/>
      <c r="JMS460" s="22"/>
      <c r="JMT460" s="22"/>
      <c r="JMU460" s="22"/>
      <c r="JMV460" s="22"/>
      <c r="JMW460" s="22"/>
      <c r="JMX460" s="22"/>
      <c r="JMY460" s="22"/>
      <c r="JMZ460" s="22"/>
      <c r="JNA460" s="22"/>
      <c r="JNB460" s="22"/>
      <c r="JNC460" s="22"/>
      <c r="JND460" s="22"/>
      <c r="JNE460" s="22"/>
      <c r="JNF460" s="22"/>
      <c r="JNG460" s="22"/>
      <c r="JNH460" s="22"/>
      <c r="JNI460" s="22"/>
      <c r="JNJ460" s="22"/>
      <c r="JNK460" s="22"/>
      <c r="JNL460" s="22"/>
      <c r="JNM460" s="22"/>
      <c r="JNN460" s="22"/>
      <c r="JNO460" s="22"/>
      <c r="JNP460" s="22"/>
      <c r="JNQ460" s="22"/>
      <c r="JNR460" s="22"/>
      <c r="JNS460" s="22"/>
      <c r="JNT460" s="22"/>
      <c r="JNU460" s="22"/>
      <c r="JNV460" s="22"/>
      <c r="JNW460" s="22"/>
      <c r="JNX460" s="22"/>
      <c r="JNY460" s="22"/>
      <c r="JNZ460" s="22"/>
      <c r="JOA460" s="22"/>
      <c r="JOB460" s="22"/>
      <c r="JOC460" s="22"/>
      <c r="JOD460" s="22"/>
      <c r="JOE460" s="22"/>
      <c r="JOF460" s="22"/>
      <c r="JOG460" s="22"/>
      <c r="JOH460" s="22"/>
      <c r="JOI460" s="22"/>
      <c r="JOJ460" s="22"/>
      <c r="JOK460" s="22"/>
      <c r="JOL460" s="22"/>
      <c r="JOM460" s="22"/>
      <c r="JON460" s="22"/>
      <c r="JOO460" s="22"/>
      <c r="JOP460" s="22"/>
      <c r="JOQ460" s="22"/>
      <c r="JOR460" s="22"/>
      <c r="JOS460" s="22"/>
      <c r="JOT460" s="22"/>
      <c r="JOU460" s="22"/>
      <c r="JOV460" s="22"/>
      <c r="JOW460" s="22"/>
      <c r="JOX460" s="22"/>
      <c r="JOY460" s="22"/>
      <c r="JOZ460" s="22"/>
      <c r="JPA460" s="22"/>
      <c r="JPB460" s="22"/>
      <c r="JPC460" s="22"/>
      <c r="JPD460" s="22"/>
      <c r="JPE460" s="22"/>
      <c r="JPF460" s="22"/>
      <c r="JPG460" s="22"/>
      <c r="JPH460" s="22"/>
      <c r="JPI460" s="22"/>
      <c r="JPJ460" s="22"/>
      <c r="JPK460" s="22"/>
      <c r="JPL460" s="22"/>
      <c r="JPM460" s="22"/>
      <c r="JPN460" s="22"/>
      <c r="JPO460" s="22"/>
      <c r="JPP460" s="22"/>
      <c r="JPQ460" s="22"/>
      <c r="JPR460" s="22"/>
      <c r="JPS460" s="22"/>
      <c r="JPT460" s="22"/>
      <c r="JPU460" s="22"/>
      <c r="JPV460" s="22"/>
      <c r="JPW460" s="22"/>
      <c r="JPX460" s="22"/>
      <c r="JPY460" s="22"/>
      <c r="JPZ460" s="22"/>
      <c r="JQA460" s="22"/>
      <c r="JQB460" s="22"/>
      <c r="JQC460" s="22"/>
      <c r="JQD460" s="22"/>
      <c r="JQE460" s="22"/>
      <c r="JQF460" s="22"/>
      <c r="JQG460" s="22"/>
      <c r="JQH460" s="22"/>
      <c r="JQI460" s="22"/>
      <c r="JQJ460" s="22"/>
      <c r="JQK460" s="22"/>
      <c r="JQL460" s="22"/>
      <c r="JQM460" s="22"/>
      <c r="JQN460" s="22"/>
      <c r="JQO460" s="22"/>
      <c r="JQP460" s="22"/>
      <c r="JQQ460" s="22"/>
      <c r="JQR460" s="22"/>
      <c r="JQS460" s="22"/>
      <c r="JQT460" s="22"/>
      <c r="JQU460" s="22"/>
      <c r="JQV460" s="22"/>
      <c r="JQW460" s="22"/>
      <c r="JQX460" s="22"/>
      <c r="JQY460" s="22"/>
      <c r="JQZ460" s="22"/>
      <c r="JRA460" s="22"/>
      <c r="JRB460" s="22"/>
      <c r="JRC460" s="22"/>
      <c r="JRD460" s="22"/>
      <c r="JRE460" s="22"/>
      <c r="JRF460" s="22"/>
      <c r="JRG460" s="22"/>
      <c r="JRH460" s="22"/>
      <c r="JRI460" s="22"/>
      <c r="JRJ460" s="22"/>
      <c r="JRK460" s="22"/>
      <c r="JRL460" s="22"/>
      <c r="JRM460" s="22"/>
      <c r="JRN460" s="22"/>
      <c r="JRO460" s="22"/>
      <c r="JRP460" s="22"/>
      <c r="JRQ460" s="22"/>
      <c r="JRR460" s="22"/>
      <c r="JRS460" s="22"/>
      <c r="JRT460" s="22"/>
      <c r="JRU460" s="22"/>
      <c r="JRV460" s="22"/>
      <c r="JRW460" s="22"/>
      <c r="JRX460" s="22"/>
      <c r="JRY460" s="22"/>
      <c r="JRZ460" s="22"/>
      <c r="JSA460" s="22"/>
      <c r="JSB460" s="22"/>
      <c r="JSC460" s="22"/>
      <c r="JSD460" s="22"/>
      <c r="JSE460" s="22"/>
      <c r="JSF460" s="22"/>
      <c r="JSG460" s="22"/>
      <c r="JSH460" s="22"/>
      <c r="JSI460" s="22"/>
      <c r="JSJ460" s="22"/>
      <c r="JSK460" s="22"/>
      <c r="JSL460" s="22"/>
      <c r="JSM460" s="22"/>
      <c r="JSN460" s="22"/>
      <c r="JSO460" s="22"/>
      <c r="JSP460" s="22"/>
      <c r="JSQ460" s="22"/>
      <c r="JSR460" s="22"/>
      <c r="JSS460" s="22"/>
      <c r="JST460" s="22"/>
      <c r="JSU460" s="22"/>
      <c r="JSV460" s="22"/>
      <c r="JSW460" s="22"/>
      <c r="JSX460" s="22"/>
      <c r="JSY460" s="22"/>
      <c r="JSZ460" s="22"/>
      <c r="JTA460" s="22"/>
      <c r="JTB460" s="22"/>
      <c r="JTC460" s="22"/>
      <c r="JTD460" s="22"/>
      <c r="JTE460" s="22"/>
      <c r="JTF460" s="22"/>
      <c r="JTG460" s="22"/>
      <c r="JTH460" s="22"/>
      <c r="JTI460" s="22"/>
      <c r="JTJ460" s="22"/>
      <c r="JTK460" s="22"/>
      <c r="JTL460" s="22"/>
      <c r="JTM460" s="22"/>
      <c r="JTN460" s="22"/>
      <c r="JTO460" s="22"/>
      <c r="JTP460" s="22"/>
      <c r="JTQ460" s="22"/>
      <c r="JTR460" s="22"/>
      <c r="JTS460" s="22"/>
      <c r="JTT460" s="22"/>
      <c r="JTU460" s="22"/>
      <c r="JTV460" s="22"/>
      <c r="JTW460" s="22"/>
      <c r="JTX460" s="22"/>
      <c r="JTY460" s="22"/>
      <c r="JTZ460" s="22"/>
      <c r="JUA460" s="22"/>
      <c r="JUB460" s="22"/>
      <c r="JUC460" s="22"/>
      <c r="JUD460" s="22"/>
      <c r="JUE460" s="22"/>
      <c r="JUF460" s="22"/>
      <c r="JUG460" s="22"/>
      <c r="JUH460" s="22"/>
      <c r="JUI460" s="22"/>
      <c r="JUJ460" s="22"/>
      <c r="JUK460" s="22"/>
      <c r="JUL460" s="22"/>
      <c r="JUM460" s="22"/>
      <c r="JUN460" s="22"/>
      <c r="JUO460" s="22"/>
      <c r="JUP460" s="22"/>
      <c r="JUQ460" s="22"/>
      <c r="JUR460" s="22"/>
      <c r="JUS460" s="22"/>
      <c r="JUT460" s="22"/>
      <c r="JUU460" s="22"/>
      <c r="JUV460" s="22"/>
      <c r="JUW460" s="22"/>
      <c r="JUX460" s="22"/>
      <c r="JUY460" s="22"/>
      <c r="JUZ460" s="22"/>
      <c r="JVA460" s="22"/>
      <c r="JVB460" s="22"/>
      <c r="JVC460" s="22"/>
      <c r="JVD460" s="22"/>
      <c r="JVE460" s="22"/>
      <c r="JVF460" s="22"/>
      <c r="JVG460" s="22"/>
      <c r="JVH460" s="22"/>
      <c r="JVI460" s="22"/>
      <c r="JVJ460" s="22"/>
      <c r="JVK460" s="22"/>
      <c r="JVL460" s="22"/>
      <c r="JVM460" s="22"/>
      <c r="JVN460" s="22"/>
      <c r="JVO460" s="22"/>
      <c r="JVP460" s="22"/>
      <c r="JVQ460" s="22"/>
      <c r="JVR460" s="22"/>
      <c r="JVS460" s="22"/>
      <c r="JVT460" s="22"/>
      <c r="JVU460" s="22"/>
      <c r="JVV460" s="22"/>
      <c r="JVW460" s="22"/>
      <c r="JVX460" s="22"/>
      <c r="JVY460" s="22"/>
      <c r="JVZ460" s="22"/>
      <c r="JWA460" s="22"/>
      <c r="JWB460" s="22"/>
      <c r="JWC460" s="22"/>
      <c r="JWD460" s="22"/>
      <c r="JWE460" s="22"/>
      <c r="JWF460" s="22"/>
      <c r="JWG460" s="22"/>
      <c r="JWH460" s="22"/>
      <c r="JWI460" s="22"/>
      <c r="JWJ460" s="22"/>
      <c r="JWK460" s="22"/>
      <c r="JWL460" s="22"/>
      <c r="JWM460" s="22"/>
      <c r="JWN460" s="22"/>
      <c r="JWO460" s="22"/>
      <c r="JWP460" s="22"/>
      <c r="JWQ460" s="22"/>
      <c r="JWR460" s="22"/>
      <c r="JWS460" s="22"/>
      <c r="JWT460" s="22"/>
      <c r="JWU460" s="22"/>
      <c r="JWV460" s="22"/>
      <c r="JWW460" s="22"/>
      <c r="JWX460" s="22"/>
      <c r="JWY460" s="22"/>
      <c r="JWZ460" s="22"/>
      <c r="JXA460" s="22"/>
      <c r="JXB460" s="22"/>
      <c r="JXC460" s="22"/>
      <c r="JXD460" s="22"/>
      <c r="JXE460" s="22"/>
      <c r="JXF460" s="22"/>
      <c r="JXG460" s="22"/>
      <c r="JXH460" s="22"/>
      <c r="JXI460" s="22"/>
      <c r="JXJ460" s="22"/>
      <c r="JXK460" s="22"/>
      <c r="JXL460" s="22"/>
      <c r="JXM460" s="22"/>
      <c r="JXN460" s="22"/>
      <c r="JXO460" s="22"/>
      <c r="JXP460" s="22"/>
      <c r="JXQ460" s="22"/>
      <c r="JXR460" s="22"/>
      <c r="JXS460" s="22"/>
      <c r="JXT460" s="22"/>
      <c r="JXU460" s="22"/>
      <c r="JXV460" s="22"/>
      <c r="JXW460" s="22"/>
      <c r="JXX460" s="22"/>
      <c r="JXY460" s="22"/>
      <c r="JXZ460" s="22"/>
      <c r="JYA460" s="22"/>
      <c r="JYB460" s="22"/>
      <c r="JYC460" s="22"/>
      <c r="JYD460" s="22"/>
      <c r="JYE460" s="22"/>
      <c r="JYF460" s="22"/>
      <c r="JYG460" s="22"/>
      <c r="JYH460" s="22"/>
      <c r="JYI460" s="22"/>
      <c r="JYJ460" s="22"/>
      <c r="JYK460" s="22"/>
      <c r="JYL460" s="22"/>
      <c r="JYM460" s="22"/>
      <c r="JYN460" s="22"/>
      <c r="JYO460" s="22"/>
      <c r="JYP460" s="22"/>
      <c r="JYQ460" s="22"/>
      <c r="JYR460" s="22"/>
      <c r="JYS460" s="22"/>
      <c r="JYT460" s="22"/>
      <c r="JYU460" s="22"/>
      <c r="JYV460" s="22"/>
      <c r="JYW460" s="22"/>
      <c r="JYX460" s="22"/>
      <c r="JYY460" s="22"/>
      <c r="JYZ460" s="22"/>
      <c r="JZA460" s="22"/>
      <c r="JZB460" s="22"/>
      <c r="JZC460" s="22"/>
      <c r="JZD460" s="22"/>
      <c r="JZE460" s="22"/>
      <c r="JZF460" s="22"/>
      <c r="JZG460" s="22"/>
      <c r="JZH460" s="22"/>
      <c r="JZI460" s="22"/>
      <c r="JZJ460" s="22"/>
      <c r="JZK460" s="22"/>
      <c r="JZL460" s="22"/>
      <c r="JZM460" s="22"/>
      <c r="JZN460" s="22"/>
      <c r="JZO460" s="22"/>
      <c r="JZP460" s="22"/>
      <c r="JZQ460" s="22"/>
      <c r="JZR460" s="22"/>
      <c r="JZS460" s="22"/>
      <c r="JZT460" s="22"/>
      <c r="JZU460" s="22"/>
      <c r="JZV460" s="22"/>
      <c r="JZW460" s="22"/>
      <c r="JZX460" s="22"/>
      <c r="JZY460" s="22"/>
      <c r="JZZ460" s="22"/>
      <c r="KAA460" s="22"/>
      <c r="KAB460" s="22"/>
      <c r="KAC460" s="22"/>
      <c r="KAD460" s="22"/>
      <c r="KAE460" s="22"/>
      <c r="KAF460" s="22"/>
      <c r="KAG460" s="22"/>
      <c r="KAH460" s="22"/>
      <c r="KAI460" s="22"/>
      <c r="KAJ460" s="22"/>
      <c r="KAK460" s="22"/>
      <c r="KAL460" s="22"/>
      <c r="KAM460" s="22"/>
      <c r="KAN460" s="22"/>
      <c r="KAO460" s="22"/>
      <c r="KAP460" s="22"/>
      <c r="KAQ460" s="22"/>
      <c r="KAR460" s="22"/>
      <c r="KAS460" s="22"/>
      <c r="KAT460" s="22"/>
      <c r="KAU460" s="22"/>
      <c r="KAV460" s="22"/>
      <c r="KAW460" s="22"/>
      <c r="KAX460" s="22"/>
      <c r="KAY460" s="22"/>
      <c r="KAZ460" s="22"/>
      <c r="KBA460" s="22"/>
      <c r="KBB460" s="22"/>
      <c r="KBC460" s="22"/>
      <c r="KBD460" s="22"/>
      <c r="KBE460" s="22"/>
      <c r="KBF460" s="22"/>
      <c r="KBG460" s="22"/>
      <c r="KBH460" s="22"/>
      <c r="KBI460" s="22"/>
      <c r="KBJ460" s="22"/>
      <c r="KBK460" s="22"/>
      <c r="KBL460" s="22"/>
      <c r="KBM460" s="22"/>
      <c r="KBN460" s="22"/>
      <c r="KBO460" s="22"/>
      <c r="KBP460" s="22"/>
      <c r="KBQ460" s="22"/>
      <c r="KBR460" s="22"/>
      <c r="KBS460" s="22"/>
      <c r="KBT460" s="22"/>
      <c r="KBU460" s="22"/>
      <c r="KBV460" s="22"/>
      <c r="KBW460" s="22"/>
      <c r="KBX460" s="22"/>
      <c r="KBY460" s="22"/>
      <c r="KBZ460" s="22"/>
      <c r="KCA460" s="22"/>
      <c r="KCB460" s="22"/>
      <c r="KCC460" s="22"/>
      <c r="KCD460" s="22"/>
      <c r="KCE460" s="22"/>
      <c r="KCF460" s="22"/>
      <c r="KCG460" s="22"/>
      <c r="KCH460" s="22"/>
      <c r="KCI460" s="22"/>
      <c r="KCJ460" s="22"/>
      <c r="KCK460" s="22"/>
      <c r="KCL460" s="22"/>
      <c r="KCM460" s="22"/>
      <c r="KCN460" s="22"/>
      <c r="KCO460" s="22"/>
      <c r="KCP460" s="22"/>
      <c r="KCQ460" s="22"/>
      <c r="KCR460" s="22"/>
      <c r="KCS460" s="22"/>
      <c r="KCT460" s="22"/>
      <c r="KCU460" s="22"/>
      <c r="KCV460" s="22"/>
      <c r="KCW460" s="22"/>
      <c r="KCX460" s="22"/>
      <c r="KCY460" s="22"/>
      <c r="KCZ460" s="22"/>
      <c r="KDA460" s="22"/>
      <c r="KDB460" s="22"/>
      <c r="KDC460" s="22"/>
      <c r="KDD460" s="22"/>
      <c r="KDE460" s="22"/>
      <c r="KDF460" s="22"/>
      <c r="KDG460" s="22"/>
      <c r="KDH460" s="22"/>
      <c r="KDI460" s="22"/>
      <c r="KDJ460" s="22"/>
      <c r="KDK460" s="22"/>
      <c r="KDL460" s="22"/>
      <c r="KDM460" s="22"/>
      <c r="KDN460" s="22"/>
      <c r="KDO460" s="22"/>
      <c r="KDP460" s="22"/>
      <c r="KDQ460" s="22"/>
      <c r="KDR460" s="22"/>
      <c r="KDS460" s="22"/>
      <c r="KDT460" s="22"/>
      <c r="KDU460" s="22"/>
      <c r="KDV460" s="22"/>
      <c r="KDW460" s="22"/>
      <c r="KDX460" s="22"/>
      <c r="KDY460" s="22"/>
      <c r="KDZ460" s="22"/>
      <c r="KEA460" s="22"/>
      <c r="KEB460" s="22"/>
      <c r="KEC460" s="22"/>
      <c r="KED460" s="22"/>
      <c r="KEE460" s="22"/>
      <c r="KEF460" s="22"/>
      <c r="KEG460" s="22"/>
      <c r="KEH460" s="22"/>
      <c r="KEI460" s="22"/>
      <c r="KEJ460" s="22"/>
      <c r="KEK460" s="22"/>
      <c r="KEL460" s="22"/>
      <c r="KEM460" s="22"/>
      <c r="KEN460" s="22"/>
      <c r="KEO460" s="22"/>
      <c r="KEP460" s="22"/>
      <c r="KEQ460" s="22"/>
      <c r="KER460" s="22"/>
      <c r="KES460" s="22"/>
      <c r="KET460" s="22"/>
      <c r="KEU460" s="22"/>
      <c r="KEV460" s="22"/>
      <c r="KEW460" s="22"/>
      <c r="KEX460" s="22"/>
      <c r="KEY460" s="22"/>
      <c r="KEZ460" s="22"/>
      <c r="KFA460" s="22"/>
      <c r="KFB460" s="22"/>
      <c r="KFC460" s="22"/>
      <c r="KFD460" s="22"/>
      <c r="KFE460" s="22"/>
      <c r="KFF460" s="22"/>
      <c r="KFG460" s="22"/>
      <c r="KFH460" s="22"/>
      <c r="KFI460" s="22"/>
      <c r="KFJ460" s="22"/>
      <c r="KFK460" s="22"/>
      <c r="KFL460" s="22"/>
      <c r="KFM460" s="22"/>
      <c r="KFN460" s="22"/>
      <c r="KFO460" s="22"/>
      <c r="KFP460" s="22"/>
      <c r="KFQ460" s="22"/>
      <c r="KFR460" s="22"/>
      <c r="KFS460" s="22"/>
      <c r="KFT460" s="22"/>
      <c r="KFU460" s="22"/>
      <c r="KFV460" s="22"/>
      <c r="KFW460" s="22"/>
      <c r="KFX460" s="22"/>
      <c r="KFY460" s="22"/>
      <c r="KFZ460" s="22"/>
      <c r="KGA460" s="22"/>
      <c r="KGB460" s="22"/>
      <c r="KGC460" s="22"/>
      <c r="KGD460" s="22"/>
      <c r="KGE460" s="22"/>
      <c r="KGF460" s="22"/>
      <c r="KGG460" s="22"/>
      <c r="KGH460" s="22"/>
      <c r="KGI460" s="22"/>
      <c r="KGJ460" s="22"/>
      <c r="KGK460" s="22"/>
      <c r="KGL460" s="22"/>
      <c r="KGM460" s="22"/>
      <c r="KGN460" s="22"/>
      <c r="KGO460" s="22"/>
      <c r="KGP460" s="22"/>
      <c r="KGQ460" s="22"/>
      <c r="KGR460" s="22"/>
      <c r="KGS460" s="22"/>
      <c r="KGT460" s="22"/>
      <c r="KGU460" s="22"/>
      <c r="KGV460" s="22"/>
      <c r="KGW460" s="22"/>
      <c r="KGX460" s="22"/>
      <c r="KGY460" s="22"/>
      <c r="KGZ460" s="22"/>
      <c r="KHA460" s="22"/>
      <c r="KHB460" s="22"/>
      <c r="KHC460" s="22"/>
      <c r="KHD460" s="22"/>
      <c r="KHE460" s="22"/>
      <c r="KHF460" s="22"/>
      <c r="KHG460" s="22"/>
      <c r="KHH460" s="22"/>
      <c r="KHI460" s="22"/>
      <c r="KHJ460" s="22"/>
      <c r="KHK460" s="22"/>
      <c r="KHL460" s="22"/>
      <c r="KHM460" s="22"/>
      <c r="KHN460" s="22"/>
      <c r="KHO460" s="22"/>
      <c r="KHP460" s="22"/>
      <c r="KHQ460" s="22"/>
      <c r="KHR460" s="22"/>
      <c r="KHS460" s="22"/>
      <c r="KHT460" s="22"/>
      <c r="KHU460" s="22"/>
      <c r="KHV460" s="22"/>
      <c r="KHW460" s="22"/>
      <c r="KHX460" s="22"/>
      <c r="KHY460" s="22"/>
      <c r="KHZ460" s="22"/>
      <c r="KIA460" s="22"/>
      <c r="KIB460" s="22"/>
      <c r="KIC460" s="22"/>
      <c r="KID460" s="22"/>
      <c r="KIE460" s="22"/>
      <c r="KIF460" s="22"/>
      <c r="KIG460" s="22"/>
      <c r="KIH460" s="22"/>
      <c r="KII460" s="22"/>
      <c r="KIJ460" s="22"/>
      <c r="KIK460" s="22"/>
      <c r="KIL460" s="22"/>
      <c r="KIM460" s="22"/>
      <c r="KIN460" s="22"/>
      <c r="KIO460" s="22"/>
      <c r="KIP460" s="22"/>
      <c r="KIQ460" s="22"/>
      <c r="KIR460" s="22"/>
      <c r="KIS460" s="22"/>
      <c r="KIT460" s="22"/>
      <c r="KIU460" s="22"/>
      <c r="KIV460" s="22"/>
      <c r="KIW460" s="22"/>
      <c r="KIX460" s="22"/>
      <c r="KIY460" s="22"/>
      <c r="KIZ460" s="22"/>
      <c r="KJA460" s="22"/>
      <c r="KJB460" s="22"/>
      <c r="KJC460" s="22"/>
      <c r="KJD460" s="22"/>
      <c r="KJE460" s="22"/>
      <c r="KJF460" s="22"/>
      <c r="KJG460" s="22"/>
      <c r="KJH460" s="22"/>
      <c r="KJI460" s="22"/>
      <c r="KJJ460" s="22"/>
      <c r="KJK460" s="22"/>
      <c r="KJL460" s="22"/>
      <c r="KJM460" s="22"/>
      <c r="KJN460" s="22"/>
      <c r="KJO460" s="22"/>
      <c r="KJP460" s="22"/>
      <c r="KJQ460" s="22"/>
      <c r="KJR460" s="22"/>
      <c r="KJS460" s="22"/>
      <c r="KJT460" s="22"/>
      <c r="KJU460" s="22"/>
      <c r="KJV460" s="22"/>
      <c r="KJW460" s="22"/>
      <c r="KJX460" s="22"/>
      <c r="KJY460" s="22"/>
      <c r="KJZ460" s="22"/>
      <c r="KKA460" s="22"/>
      <c r="KKB460" s="22"/>
      <c r="KKC460" s="22"/>
      <c r="KKD460" s="22"/>
      <c r="KKE460" s="22"/>
      <c r="KKF460" s="22"/>
      <c r="KKG460" s="22"/>
      <c r="KKH460" s="22"/>
      <c r="KKI460" s="22"/>
      <c r="KKJ460" s="22"/>
      <c r="KKK460" s="22"/>
      <c r="KKL460" s="22"/>
      <c r="KKM460" s="22"/>
      <c r="KKN460" s="22"/>
      <c r="KKO460" s="22"/>
      <c r="KKP460" s="22"/>
      <c r="KKQ460" s="22"/>
      <c r="KKR460" s="22"/>
      <c r="KKS460" s="22"/>
      <c r="KKT460" s="22"/>
      <c r="KKU460" s="22"/>
      <c r="KKV460" s="22"/>
      <c r="KKW460" s="22"/>
      <c r="KKX460" s="22"/>
      <c r="KKY460" s="22"/>
      <c r="KKZ460" s="22"/>
      <c r="KLA460" s="22"/>
      <c r="KLB460" s="22"/>
      <c r="KLC460" s="22"/>
      <c r="KLD460" s="22"/>
      <c r="KLE460" s="22"/>
      <c r="KLF460" s="22"/>
      <c r="KLG460" s="22"/>
      <c r="KLH460" s="22"/>
      <c r="KLI460" s="22"/>
      <c r="KLJ460" s="22"/>
      <c r="KLK460" s="22"/>
      <c r="KLL460" s="22"/>
      <c r="KLM460" s="22"/>
      <c r="KLN460" s="22"/>
      <c r="KLO460" s="22"/>
      <c r="KLP460" s="22"/>
      <c r="KLQ460" s="22"/>
      <c r="KLR460" s="22"/>
      <c r="KLS460" s="22"/>
      <c r="KLT460" s="22"/>
      <c r="KLU460" s="22"/>
      <c r="KLV460" s="22"/>
      <c r="KLW460" s="22"/>
      <c r="KLX460" s="22"/>
      <c r="KLY460" s="22"/>
      <c r="KLZ460" s="22"/>
      <c r="KMA460" s="22"/>
      <c r="KMB460" s="22"/>
      <c r="KMC460" s="22"/>
      <c r="KMD460" s="22"/>
      <c r="KME460" s="22"/>
      <c r="KMF460" s="22"/>
      <c r="KMG460" s="22"/>
      <c r="KMH460" s="22"/>
      <c r="KMI460" s="22"/>
      <c r="KMJ460" s="22"/>
      <c r="KMK460" s="22"/>
      <c r="KML460" s="22"/>
      <c r="KMM460" s="22"/>
      <c r="KMN460" s="22"/>
      <c r="KMO460" s="22"/>
      <c r="KMP460" s="22"/>
      <c r="KMQ460" s="22"/>
      <c r="KMR460" s="22"/>
      <c r="KMS460" s="22"/>
      <c r="KMT460" s="22"/>
      <c r="KMU460" s="22"/>
      <c r="KMV460" s="22"/>
      <c r="KMW460" s="22"/>
      <c r="KMX460" s="22"/>
      <c r="KMY460" s="22"/>
      <c r="KMZ460" s="22"/>
      <c r="KNA460" s="22"/>
      <c r="KNB460" s="22"/>
      <c r="KNC460" s="22"/>
      <c r="KND460" s="22"/>
      <c r="KNE460" s="22"/>
      <c r="KNF460" s="22"/>
      <c r="KNG460" s="22"/>
      <c r="KNH460" s="22"/>
      <c r="KNI460" s="22"/>
      <c r="KNJ460" s="22"/>
      <c r="KNK460" s="22"/>
      <c r="KNL460" s="22"/>
      <c r="KNM460" s="22"/>
      <c r="KNN460" s="22"/>
      <c r="KNO460" s="22"/>
      <c r="KNP460" s="22"/>
      <c r="KNQ460" s="22"/>
      <c r="KNR460" s="22"/>
      <c r="KNS460" s="22"/>
      <c r="KNT460" s="22"/>
      <c r="KNU460" s="22"/>
      <c r="KNV460" s="22"/>
      <c r="KNW460" s="22"/>
      <c r="KNX460" s="22"/>
      <c r="KNY460" s="22"/>
      <c r="KNZ460" s="22"/>
      <c r="KOA460" s="22"/>
      <c r="KOB460" s="22"/>
      <c r="KOC460" s="22"/>
      <c r="KOD460" s="22"/>
      <c r="KOE460" s="22"/>
      <c r="KOF460" s="22"/>
      <c r="KOG460" s="22"/>
      <c r="KOH460" s="22"/>
      <c r="KOI460" s="22"/>
      <c r="KOJ460" s="22"/>
      <c r="KOK460" s="22"/>
      <c r="KOL460" s="22"/>
      <c r="KOM460" s="22"/>
      <c r="KON460" s="22"/>
      <c r="KOO460" s="22"/>
      <c r="KOP460" s="22"/>
      <c r="KOQ460" s="22"/>
      <c r="KOR460" s="22"/>
      <c r="KOS460" s="22"/>
      <c r="KOT460" s="22"/>
      <c r="KOU460" s="22"/>
      <c r="KOV460" s="22"/>
      <c r="KOW460" s="22"/>
      <c r="KOX460" s="22"/>
      <c r="KOY460" s="22"/>
      <c r="KOZ460" s="22"/>
      <c r="KPA460" s="22"/>
      <c r="KPB460" s="22"/>
      <c r="KPC460" s="22"/>
      <c r="KPD460" s="22"/>
      <c r="KPE460" s="22"/>
      <c r="KPF460" s="22"/>
      <c r="KPG460" s="22"/>
      <c r="KPH460" s="22"/>
      <c r="KPI460" s="22"/>
      <c r="KPJ460" s="22"/>
      <c r="KPK460" s="22"/>
      <c r="KPL460" s="22"/>
      <c r="KPM460" s="22"/>
      <c r="KPN460" s="22"/>
      <c r="KPO460" s="22"/>
      <c r="KPP460" s="22"/>
      <c r="KPQ460" s="22"/>
      <c r="KPR460" s="22"/>
      <c r="KPS460" s="22"/>
      <c r="KPT460" s="22"/>
      <c r="KPU460" s="22"/>
      <c r="KPV460" s="22"/>
      <c r="KPW460" s="22"/>
      <c r="KPX460" s="22"/>
      <c r="KPY460" s="22"/>
      <c r="KPZ460" s="22"/>
      <c r="KQA460" s="22"/>
      <c r="KQB460" s="22"/>
      <c r="KQC460" s="22"/>
      <c r="KQD460" s="22"/>
      <c r="KQE460" s="22"/>
      <c r="KQF460" s="22"/>
      <c r="KQG460" s="22"/>
      <c r="KQH460" s="22"/>
      <c r="KQI460" s="22"/>
      <c r="KQJ460" s="22"/>
      <c r="KQK460" s="22"/>
      <c r="KQL460" s="22"/>
      <c r="KQM460" s="22"/>
      <c r="KQN460" s="22"/>
      <c r="KQO460" s="22"/>
      <c r="KQP460" s="22"/>
      <c r="KQQ460" s="22"/>
      <c r="KQR460" s="22"/>
      <c r="KQS460" s="22"/>
      <c r="KQT460" s="22"/>
      <c r="KQU460" s="22"/>
      <c r="KQV460" s="22"/>
      <c r="KQW460" s="22"/>
      <c r="KQX460" s="22"/>
      <c r="KQY460" s="22"/>
      <c r="KQZ460" s="22"/>
      <c r="KRA460" s="22"/>
      <c r="KRB460" s="22"/>
      <c r="KRC460" s="22"/>
      <c r="KRD460" s="22"/>
      <c r="KRE460" s="22"/>
      <c r="KRF460" s="22"/>
      <c r="KRG460" s="22"/>
      <c r="KRH460" s="22"/>
      <c r="KRI460" s="22"/>
      <c r="KRJ460" s="22"/>
      <c r="KRK460" s="22"/>
      <c r="KRL460" s="22"/>
      <c r="KRM460" s="22"/>
      <c r="KRN460" s="22"/>
      <c r="KRO460" s="22"/>
      <c r="KRP460" s="22"/>
      <c r="KRQ460" s="22"/>
      <c r="KRR460" s="22"/>
      <c r="KRS460" s="22"/>
      <c r="KRT460" s="22"/>
      <c r="KRU460" s="22"/>
      <c r="KRV460" s="22"/>
      <c r="KRW460" s="22"/>
      <c r="KRX460" s="22"/>
      <c r="KRY460" s="22"/>
      <c r="KRZ460" s="22"/>
      <c r="KSA460" s="22"/>
      <c r="KSB460" s="22"/>
      <c r="KSC460" s="22"/>
      <c r="KSD460" s="22"/>
      <c r="KSE460" s="22"/>
      <c r="KSF460" s="22"/>
      <c r="KSG460" s="22"/>
      <c r="KSH460" s="22"/>
      <c r="KSI460" s="22"/>
      <c r="KSJ460" s="22"/>
      <c r="KSK460" s="22"/>
      <c r="KSL460" s="22"/>
      <c r="KSM460" s="22"/>
      <c r="KSN460" s="22"/>
      <c r="KSO460" s="22"/>
      <c r="KSP460" s="22"/>
      <c r="KSQ460" s="22"/>
      <c r="KSR460" s="22"/>
      <c r="KSS460" s="22"/>
      <c r="KST460" s="22"/>
      <c r="KSU460" s="22"/>
      <c r="KSV460" s="22"/>
      <c r="KSW460" s="22"/>
      <c r="KSX460" s="22"/>
      <c r="KSY460" s="22"/>
      <c r="KSZ460" s="22"/>
      <c r="KTA460" s="22"/>
      <c r="KTB460" s="22"/>
      <c r="KTC460" s="22"/>
      <c r="KTD460" s="22"/>
      <c r="KTE460" s="22"/>
      <c r="KTF460" s="22"/>
      <c r="KTG460" s="22"/>
      <c r="KTH460" s="22"/>
      <c r="KTI460" s="22"/>
      <c r="KTJ460" s="22"/>
      <c r="KTK460" s="22"/>
      <c r="KTL460" s="22"/>
      <c r="KTM460" s="22"/>
      <c r="KTN460" s="22"/>
      <c r="KTO460" s="22"/>
      <c r="KTP460" s="22"/>
      <c r="KTQ460" s="22"/>
      <c r="KTR460" s="22"/>
      <c r="KTS460" s="22"/>
      <c r="KTT460" s="22"/>
      <c r="KTU460" s="22"/>
      <c r="KTV460" s="22"/>
      <c r="KTW460" s="22"/>
      <c r="KTX460" s="22"/>
      <c r="KTY460" s="22"/>
      <c r="KTZ460" s="22"/>
      <c r="KUA460" s="22"/>
      <c r="KUB460" s="22"/>
      <c r="KUC460" s="22"/>
      <c r="KUD460" s="22"/>
      <c r="KUE460" s="22"/>
      <c r="KUF460" s="22"/>
      <c r="KUG460" s="22"/>
      <c r="KUH460" s="22"/>
      <c r="KUI460" s="22"/>
      <c r="KUJ460" s="22"/>
      <c r="KUK460" s="22"/>
      <c r="KUL460" s="22"/>
      <c r="KUM460" s="22"/>
      <c r="KUN460" s="22"/>
      <c r="KUO460" s="22"/>
      <c r="KUP460" s="22"/>
      <c r="KUQ460" s="22"/>
      <c r="KUR460" s="22"/>
      <c r="KUS460" s="22"/>
      <c r="KUT460" s="22"/>
      <c r="KUU460" s="22"/>
      <c r="KUV460" s="22"/>
      <c r="KUW460" s="22"/>
      <c r="KUX460" s="22"/>
      <c r="KUY460" s="22"/>
      <c r="KUZ460" s="22"/>
      <c r="KVA460" s="22"/>
      <c r="KVB460" s="22"/>
      <c r="KVC460" s="22"/>
      <c r="KVD460" s="22"/>
      <c r="KVE460" s="22"/>
      <c r="KVF460" s="22"/>
      <c r="KVG460" s="22"/>
      <c r="KVH460" s="22"/>
      <c r="KVI460" s="22"/>
      <c r="KVJ460" s="22"/>
      <c r="KVK460" s="22"/>
      <c r="KVL460" s="22"/>
      <c r="KVM460" s="22"/>
      <c r="KVN460" s="22"/>
      <c r="KVO460" s="22"/>
      <c r="KVP460" s="22"/>
      <c r="KVQ460" s="22"/>
      <c r="KVR460" s="22"/>
      <c r="KVS460" s="22"/>
      <c r="KVT460" s="22"/>
      <c r="KVU460" s="22"/>
      <c r="KVV460" s="22"/>
      <c r="KVW460" s="22"/>
      <c r="KVX460" s="22"/>
      <c r="KVY460" s="22"/>
      <c r="KVZ460" s="22"/>
      <c r="KWA460" s="22"/>
      <c r="KWB460" s="22"/>
      <c r="KWC460" s="22"/>
      <c r="KWD460" s="22"/>
      <c r="KWE460" s="22"/>
      <c r="KWF460" s="22"/>
      <c r="KWG460" s="22"/>
      <c r="KWH460" s="22"/>
      <c r="KWI460" s="22"/>
      <c r="KWJ460" s="22"/>
      <c r="KWK460" s="22"/>
      <c r="KWL460" s="22"/>
      <c r="KWM460" s="22"/>
      <c r="KWN460" s="22"/>
      <c r="KWO460" s="22"/>
      <c r="KWP460" s="22"/>
      <c r="KWQ460" s="22"/>
      <c r="KWR460" s="22"/>
      <c r="KWS460" s="22"/>
      <c r="KWT460" s="22"/>
      <c r="KWU460" s="22"/>
      <c r="KWV460" s="22"/>
      <c r="KWW460" s="22"/>
      <c r="KWX460" s="22"/>
      <c r="KWY460" s="22"/>
      <c r="KWZ460" s="22"/>
      <c r="KXA460" s="22"/>
      <c r="KXB460" s="22"/>
      <c r="KXC460" s="22"/>
      <c r="KXD460" s="22"/>
      <c r="KXE460" s="22"/>
      <c r="KXF460" s="22"/>
      <c r="KXG460" s="22"/>
      <c r="KXH460" s="22"/>
      <c r="KXI460" s="22"/>
      <c r="KXJ460" s="22"/>
      <c r="KXK460" s="22"/>
      <c r="KXL460" s="22"/>
      <c r="KXM460" s="22"/>
      <c r="KXN460" s="22"/>
      <c r="KXO460" s="22"/>
      <c r="KXP460" s="22"/>
      <c r="KXQ460" s="22"/>
      <c r="KXR460" s="22"/>
      <c r="KXS460" s="22"/>
      <c r="KXT460" s="22"/>
      <c r="KXU460" s="22"/>
      <c r="KXV460" s="22"/>
      <c r="KXW460" s="22"/>
      <c r="KXX460" s="22"/>
      <c r="KXY460" s="22"/>
      <c r="KXZ460" s="22"/>
      <c r="KYA460" s="22"/>
      <c r="KYB460" s="22"/>
      <c r="KYC460" s="22"/>
      <c r="KYD460" s="22"/>
      <c r="KYE460" s="22"/>
      <c r="KYF460" s="22"/>
      <c r="KYG460" s="22"/>
      <c r="KYH460" s="22"/>
      <c r="KYI460" s="22"/>
      <c r="KYJ460" s="22"/>
      <c r="KYK460" s="22"/>
      <c r="KYL460" s="22"/>
      <c r="KYM460" s="22"/>
      <c r="KYN460" s="22"/>
      <c r="KYO460" s="22"/>
      <c r="KYP460" s="22"/>
      <c r="KYQ460" s="22"/>
      <c r="KYR460" s="22"/>
      <c r="KYS460" s="22"/>
      <c r="KYT460" s="22"/>
      <c r="KYU460" s="22"/>
      <c r="KYV460" s="22"/>
      <c r="KYW460" s="22"/>
      <c r="KYX460" s="22"/>
      <c r="KYY460" s="22"/>
      <c r="KYZ460" s="22"/>
      <c r="KZA460" s="22"/>
      <c r="KZB460" s="22"/>
      <c r="KZC460" s="22"/>
      <c r="KZD460" s="22"/>
      <c r="KZE460" s="22"/>
      <c r="KZF460" s="22"/>
      <c r="KZG460" s="22"/>
      <c r="KZH460" s="22"/>
      <c r="KZI460" s="22"/>
      <c r="KZJ460" s="22"/>
      <c r="KZK460" s="22"/>
      <c r="KZL460" s="22"/>
      <c r="KZM460" s="22"/>
      <c r="KZN460" s="22"/>
      <c r="KZO460" s="22"/>
      <c r="KZP460" s="22"/>
      <c r="KZQ460" s="22"/>
      <c r="KZR460" s="22"/>
      <c r="KZS460" s="22"/>
      <c r="KZT460" s="22"/>
      <c r="KZU460" s="22"/>
      <c r="KZV460" s="22"/>
      <c r="KZW460" s="22"/>
      <c r="KZX460" s="22"/>
      <c r="KZY460" s="22"/>
      <c r="KZZ460" s="22"/>
      <c r="LAA460" s="22"/>
      <c r="LAB460" s="22"/>
      <c r="LAC460" s="22"/>
      <c r="LAD460" s="22"/>
      <c r="LAE460" s="22"/>
      <c r="LAF460" s="22"/>
      <c r="LAG460" s="22"/>
      <c r="LAH460" s="22"/>
      <c r="LAI460" s="22"/>
      <c r="LAJ460" s="22"/>
      <c r="LAK460" s="22"/>
      <c r="LAL460" s="22"/>
      <c r="LAM460" s="22"/>
      <c r="LAN460" s="22"/>
      <c r="LAO460" s="22"/>
      <c r="LAP460" s="22"/>
      <c r="LAQ460" s="22"/>
      <c r="LAR460" s="22"/>
      <c r="LAS460" s="22"/>
      <c r="LAT460" s="22"/>
      <c r="LAU460" s="22"/>
      <c r="LAV460" s="22"/>
      <c r="LAW460" s="22"/>
      <c r="LAX460" s="22"/>
      <c r="LAY460" s="22"/>
      <c r="LAZ460" s="22"/>
      <c r="LBA460" s="22"/>
      <c r="LBB460" s="22"/>
      <c r="LBC460" s="22"/>
      <c r="LBD460" s="22"/>
      <c r="LBE460" s="22"/>
      <c r="LBF460" s="22"/>
      <c r="LBG460" s="22"/>
      <c r="LBH460" s="22"/>
      <c r="LBI460" s="22"/>
      <c r="LBJ460" s="22"/>
      <c r="LBK460" s="22"/>
      <c r="LBL460" s="22"/>
      <c r="LBM460" s="22"/>
      <c r="LBN460" s="22"/>
      <c r="LBO460" s="22"/>
      <c r="LBP460" s="22"/>
      <c r="LBQ460" s="22"/>
      <c r="LBR460" s="22"/>
      <c r="LBS460" s="22"/>
      <c r="LBT460" s="22"/>
      <c r="LBU460" s="22"/>
      <c r="LBV460" s="22"/>
      <c r="LBW460" s="22"/>
      <c r="LBX460" s="22"/>
      <c r="LBY460" s="22"/>
      <c r="LBZ460" s="22"/>
      <c r="LCA460" s="22"/>
      <c r="LCB460" s="22"/>
      <c r="LCC460" s="22"/>
      <c r="LCD460" s="22"/>
      <c r="LCE460" s="22"/>
      <c r="LCF460" s="22"/>
      <c r="LCG460" s="22"/>
      <c r="LCH460" s="22"/>
      <c r="LCI460" s="22"/>
      <c r="LCJ460" s="22"/>
      <c r="LCK460" s="22"/>
      <c r="LCL460" s="22"/>
      <c r="LCM460" s="22"/>
      <c r="LCN460" s="22"/>
      <c r="LCO460" s="22"/>
      <c r="LCP460" s="22"/>
      <c r="LCQ460" s="22"/>
      <c r="LCR460" s="22"/>
      <c r="LCS460" s="22"/>
      <c r="LCT460" s="22"/>
      <c r="LCU460" s="22"/>
      <c r="LCV460" s="22"/>
      <c r="LCW460" s="22"/>
      <c r="LCX460" s="22"/>
      <c r="LCY460" s="22"/>
      <c r="LCZ460" s="22"/>
      <c r="LDA460" s="22"/>
      <c r="LDB460" s="22"/>
      <c r="LDC460" s="22"/>
      <c r="LDD460" s="22"/>
      <c r="LDE460" s="22"/>
      <c r="LDF460" s="22"/>
      <c r="LDG460" s="22"/>
      <c r="LDH460" s="22"/>
      <c r="LDI460" s="22"/>
      <c r="LDJ460" s="22"/>
      <c r="LDK460" s="22"/>
      <c r="LDL460" s="22"/>
      <c r="LDM460" s="22"/>
      <c r="LDN460" s="22"/>
      <c r="LDO460" s="22"/>
      <c r="LDP460" s="22"/>
      <c r="LDQ460" s="22"/>
      <c r="LDR460" s="22"/>
      <c r="LDS460" s="22"/>
      <c r="LDT460" s="22"/>
      <c r="LDU460" s="22"/>
      <c r="LDV460" s="22"/>
      <c r="LDW460" s="22"/>
      <c r="LDX460" s="22"/>
      <c r="LDY460" s="22"/>
      <c r="LDZ460" s="22"/>
      <c r="LEA460" s="22"/>
      <c r="LEB460" s="22"/>
      <c r="LEC460" s="22"/>
      <c r="LED460" s="22"/>
      <c r="LEE460" s="22"/>
      <c r="LEF460" s="22"/>
      <c r="LEG460" s="22"/>
      <c r="LEH460" s="22"/>
      <c r="LEI460" s="22"/>
      <c r="LEJ460" s="22"/>
      <c r="LEK460" s="22"/>
      <c r="LEL460" s="22"/>
      <c r="LEM460" s="22"/>
      <c r="LEN460" s="22"/>
      <c r="LEO460" s="22"/>
      <c r="LEP460" s="22"/>
      <c r="LEQ460" s="22"/>
      <c r="LER460" s="22"/>
      <c r="LES460" s="22"/>
      <c r="LET460" s="22"/>
      <c r="LEU460" s="22"/>
      <c r="LEV460" s="22"/>
      <c r="LEW460" s="22"/>
      <c r="LEX460" s="22"/>
      <c r="LEY460" s="22"/>
      <c r="LEZ460" s="22"/>
      <c r="LFA460" s="22"/>
      <c r="LFB460" s="22"/>
      <c r="LFC460" s="22"/>
      <c r="LFD460" s="22"/>
      <c r="LFE460" s="22"/>
      <c r="LFF460" s="22"/>
      <c r="LFG460" s="22"/>
      <c r="LFH460" s="22"/>
      <c r="LFI460" s="22"/>
      <c r="LFJ460" s="22"/>
      <c r="LFK460" s="22"/>
      <c r="LFL460" s="22"/>
      <c r="LFM460" s="22"/>
      <c r="LFN460" s="22"/>
      <c r="LFO460" s="22"/>
      <c r="LFP460" s="22"/>
      <c r="LFQ460" s="22"/>
      <c r="LFR460" s="22"/>
      <c r="LFS460" s="22"/>
      <c r="LFT460" s="22"/>
      <c r="LFU460" s="22"/>
      <c r="LFV460" s="22"/>
      <c r="LFW460" s="22"/>
      <c r="LFX460" s="22"/>
      <c r="LFY460" s="22"/>
      <c r="LFZ460" s="22"/>
      <c r="LGA460" s="22"/>
      <c r="LGB460" s="22"/>
      <c r="LGC460" s="22"/>
      <c r="LGD460" s="22"/>
      <c r="LGE460" s="22"/>
      <c r="LGF460" s="22"/>
      <c r="LGG460" s="22"/>
      <c r="LGH460" s="22"/>
      <c r="LGI460" s="22"/>
      <c r="LGJ460" s="22"/>
      <c r="LGK460" s="22"/>
      <c r="LGL460" s="22"/>
      <c r="LGM460" s="22"/>
      <c r="LGN460" s="22"/>
      <c r="LGO460" s="22"/>
      <c r="LGP460" s="22"/>
      <c r="LGQ460" s="22"/>
      <c r="LGR460" s="22"/>
      <c r="LGS460" s="22"/>
      <c r="LGT460" s="22"/>
      <c r="LGU460" s="22"/>
      <c r="LGV460" s="22"/>
      <c r="LGW460" s="22"/>
      <c r="LGX460" s="22"/>
      <c r="LGY460" s="22"/>
      <c r="LGZ460" s="22"/>
      <c r="LHA460" s="22"/>
      <c r="LHB460" s="22"/>
      <c r="LHC460" s="22"/>
      <c r="LHD460" s="22"/>
      <c r="LHE460" s="22"/>
      <c r="LHF460" s="22"/>
      <c r="LHG460" s="22"/>
      <c r="LHH460" s="22"/>
      <c r="LHI460" s="22"/>
      <c r="LHJ460" s="22"/>
      <c r="LHK460" s="22"/>
      <c r="LHL460" s="22"/>
      <c r="LHM460" s="22"/>
      <c r="LHN460" s="22"/>
      <c r="LHO460" s="22"/>
      <c r="LHP460" s="22"/>
      <c r="LHQ460" s="22"/>
      <c r="LHR460" s="22"/>
      <c r="LHS460" s="22"/>
      <c r="LHT460" s="22"/>
      <c r="LHU460" s="22"/>
      <c r="LHV460" s="22"/>
      <c r="LHW460" s="22"/>
      <c r="LHX460" s="22"/>
      <c r="LHY460" s="22"/>
      <c r="LHZ460" s="22"/>
      <c r="LIA460" s="22"/>
      <c r="LIB460" s="22"/>
      <c r="LIC460" s="22"/>
      <c r="LID460" s="22"/>
      <c r="LIE460" s="22"/>
      <c r="LIF460" s="22"/>
      <c r="LIG460" s="22"/>
      <c r="LIH460" s="22"/>
      <c r="LII460" s="22"/>
      <c r="LIJ460" s="22"/>
      <c r="LIK460" s="22"/>
      <c r="LIL460" s="22"/>
      <c r="LIM460" s="22"/>
      <c r="LIN460" s="22"/>
      <c r="LIO460" s="22"/>
      <c r="LIP460" s="22"/>
      <c r="LIQ460" s="22"/>
      <c r="LIR460" s="22"/>
      <c r="LIS460" s="22"/>
      <c r="LIT460" s="22"/>
      <c r="LIU460" s="22"/>
      <c r="LIV460" s="22"/>
      <c r="LIW460" s="22"/>
      <c r="LIX460" s="22"/>
      <c r="LIY460" s="22"/>
      <c r="LIZ460" s="22"/>
      <c r="LJA460" s="22"/>
      <c r="LJB460" s="22"/>
      <c r="LJC460" s="22"/>
      <c r="LJD460" s="22"/>
      <c r="LJE460" s="22"/>
      <c r="LJF460" s="22"/>
      <c r="LJG460" s="22"/>
      <c r="LJH460" s="22"/>
      <c r="LJI460" s="22"/>
      <c r="LJJ460" s="22"/>
      <c r="LJK460" s="22"/>
      <c r="LJL460" s="22"/>
      <c r="LJM460" s="22"/>
      <c r="LJN460" s="22"/>
      <c r="LJO460" s="22"/>
      <c r="LJP460" s="22"/>
      <c r="LJQ460" s="22"/>
      <c r="LJR460" s="22"/>
      <c r="LJS460" s="22"/>
      <c r="LJT460" s="22"/>
      <c r="LJU460" s="22"/>
      <c r="LJV460" s="22"/>
      <c r="LJW460" s="22"/>
      <c r="LJX460" s="22"/>
      <c r="LJY460" s="22"/>
      <c r="LJZ460" s="22"/>
      <c r="LKA460" s="22"/>
      <c r="LKB460" s="22"/>
      <c r="LKC460" s="22"/>
      <c r="LKD460" s="22"/>
      <c r="LKE460" s="22"/>
      <c r="LKF460" s="22"/>
      <c r="LKG460" s="22"/>
      <c r="LKH460" s="22"/>
      <c r="LKI460" s="22"/>
      <c r="LKJ460" s="22"/>
      <c r="LKK460" s="22"/>
      <c r="LKL460" s="22"/>
      <c r="LKM460" s="22"/>
      <c r="LKN460" s="22"/>
      <c r="LKO460" s="22"/>
      <c r="LKP460" s="22"/>
      <c r="LKQ460" s="22"/>
      <c r="LKR460" s="22"/>
      <c r="LKS460" s="22"/>
      <c r="LKT460" s="22"/>
      <c r="LKU460" s="22"/>
      <c r="LKV460" s="22"/>
      <c r="LKW460" s="22"/>
      <c r="LKX460" s="22"/>
      <c r="LKY460" s="22"/>
      <c r="LKZ460" s="22"/>
      <c r="LLA460" s="22"/>
      <c r="LLB460" s="22"/>
      <c r="LLC460" s="22"/>
      <c r="LLD460" s="22"/>
      <c r="LLE460" s="22"/>
      <c r="LLF460" s="22"/>
      <c r="LLG460" s="22"/>
      <c r="LLH460" s="22"/>
      <c r="LLI460" s="22"/>
      <c r="LLJ460" s="22"/>
      <c r="LLK460" s="22"/>
      <c r="LLL460" s="22"/>
      <c r="LLM460" s="22"/>
      <c r="LLN460" s="22"/>
      <c r="LLO460" s="22"/>
      <c r="LLP460" s="22"/>
      <c r="LLQ460" s="22"/>
      <c r="LLR460" s="22"/>
      <c r="LLS460" s="22"/>
      <c r="LLT460" s="22"/>
      <c r="LLU460" s="22"/>
      <c r="LLV460" s="22"/>
      <c r="LLW460" s="22"/>
      <c r="LLX460" s="22"/>
      <c r="LLY460" s="22"/>
      <c r="LLZ460" s="22"/>
      <c r="LMA460" s="22"/>
      <c r="LMB460" s="22"/>
      <c r="LMC460" s="22"/>
      <c r="LMD460" s="22"/>
      <c r="LME460" s="22"/>
      <c r="LMF460" s="22"/>
      <c r="LMG460" s="22"/>
      <c r="LMH460" s="22"/>
      <c r="LMI460" s="22"/>
      <c r="LMJ460" s="22"/>
      <c r="LMK460" s="22"/>
      <c r="LML460" s="22"/>
      <c r="LMM460" s="22"/>
      <c r="LMN460" s="22"/>
      <c r="LMO460" s="22"/>
      <c r="LMP460" s="22"/>
      <c r="LMQ460" s="22"/>
      <c r="LMR460" s="22"/>
      <c r="LMS460" s="22"/>
      <c r="LMT460" s="22"/>
      <c r="LMU460" s="22"/>
      <c r="LMV460" s="22"/>
      <c r="LMW460" s="22"/>
      <c r="LMX460" s="22"/>
      <c r="LMY460" s="22"/>
      <c r="LMZ460" s="22"/>
      <c r="LNA460" s="22"/>
      <c r="LNB460" s="22"/>
      <c r="LNC460" s="22"/>
      <c r="LND460" s="22"/>
      <c r="LNE460" s="22"/>
      <c r="LNF460" s="22"/>
      <c r="LNG460" s="22"/>
      <c r="LNH460" s="22"/>
      <c r="LNI460" s="22"/>
      <c r="LNJ460" s="22"/>
      <c r="LNK460" s="22"/>
      <c r="LNL460" s="22"/>
      <c r="LNM460" s="22"/>
      <c r="LNN460" s="22"/>
      <c r="LNO460" s="22"/>
      <c r="LNP460" s="22"/>
      <c r="LNQ460" s="22"/>
      <c r="LNR460" s="22"/>
      <c r="LNS460" s="22"/>
      <c r="LNT460" s="22"/>
      <c r="LNU460" s="22"/>
      <c r="LNV460" s="22"/>
      <c r="LNW460" s="22"/>
      <c r="LNX460" s="22"/>
      <c r="LNY460" s="22"/>
      <c r="LNZ460" s="22"/>
      <c r="LOA460" s="22"/>
      <c r="LOB460" s="22"/>
      <c r="LOC460" s="22"/>
      <c r="LOD460" s="22"/>
      <c r="LOE460" s="22"/>
      <c r="LOF460" s="22"/>
      <c r="LOG460" s="22"/>
      <c r="LOH460" s="22"/>
      <c r="LOI460" s="22"/>
      <c r="LOJ460" s="22"/>
      <c r="LOK460" s="22"/>
      <c r="LOL460" s="22"/>
      <c r="LOM460" s="22"/>
      <c r="LON460" s="22"/>
      <c r="LOO460" s="22"/>
      <c r="LOP460" s="22"/>
      <c r="LOQ460" s="22"/>
      <c r="LOR460" s="22"/>
      <c r="LOS460" s="22"/>
      <c r="LOT460" s="22"/>
      <c r="LOU460" s="22"/>
      <c r="LOV460" s="22"/>
      <c r="LOW460" s="22"/>
      <c r="LOX460" s="22"/>
      <c r="LOY460" s="22"/>
      <c r="LOZ460" s="22"/>
      <c r="LPA460" s="22"/>
      <c r="LPB460" s="22"/>
      <c r="LPC460" s="22"/>
      <c r="LPD460" s="22"/>
      <c r="LPE460" s="22"/>
      <c r="LPF460" s="22"/>
      <c r="LPG460" s="22"/>
      <c r="LPH460" s="22"/>
      <c r="LPI460" s="22"/>
      <c r="LPJ460" s="22"/>
      <c r="LPK460" s="22"/>
      <c r="LPL460" s="22"/>
      <c r="LPM460" s="22"/>
      <c r="LPN460" s="22"/>
      <c r="LPO460" s="22"/>
      <c r="LPP460" s="22"/>
      <c r="LPQ460" s="22"/>
      <c r="LPR460" s="22"/>
      <c r="LPS460" s="22"/>
      <c r="LPT460" s="22"/>
      <c r="LPU460" s="22"/>
      <c r="LPV460" s="22"/>
      <c r="LPW460" s="22"/>
      <c r="LPX460" s="22"/>
      <c r="LPY460" s="22"/>
      <c r="LPZ460" s="22"/>
      <c r="LQA460" s="22"/>
      <c r="LQB460" s="22"/>
      <c r="LQC460" s="22"/>
      <c r="LQD460" s="22"/>
      <c r="LQE460" s="22"/>
      <c r="LQF460" s="22"/>
      <c r="LQG460" s="22"/>
      <c r="LQH460" s="22"/>
      <c r="LQI460" s="22"/>
      <c r="LQJ460" s="22"/>
      <c r="LQK460" s="22"/>
      <c r="LQL460" s="22"/>
      <c r="LQM460" s="22"/>
      <c r="LQN460" s="22"/>
      <c r="LQO460" s="22"/>
      <c r="LQP460" s="22"/>
      <c r="LQQ460" s="22"/>
      <c r="LQR460" s="22"/>
      <c r="LQS460" s="22"/>
      <c r="LQT460" s="22"/>
      <c r="LQU460" s="22"/>
      <c r="LQV460" s="22"/>
      <c r="LQW460" s="22"/>
      <c r="LQX460" s="22"/>
      <c r="LQY460" s="22"/>
      <c r="LQZ460" s="22"/>
      <c r="LRA460" s="22"/>
      <c r="LRB460" s="22"/>
      <c r="LRC460" s="22"/>
      <c r="LRD460" s="22"/>
      <c r="LRE460" s="22"/>
      <c r="LRF460" s="22"/>
      <c r="LRG460" s="22"/>
      <c r="LRH460" s="22"/>
      <c r="LRI460" s="22"/>
      <c r="LRJ460" s="22"/>
      <c r="LRK460" s="22"/>
      <c r="LRL460" s="22"/>
      <c r="LRM460" s="22"/>
      <c r="LRN460" s="22"/>
      <c r="LRO460" s="22"/>
      <c r="LRP460" s="22"/>
      <c r="LRQ460" s="22"/>
      <c r="LRR460" s="22"/>
      <c r="LRS460" s="22"/>
      <c r="LRT460" s="22"/>
      <c r="LRU460" s="22"/>
      <c r="LRV460" s="22"/>
      <c r="LRW460" s="22"/>
      <c r="LRX460" s="22"/>
      <c r="LRY460" s="22"/>
      <c r="LRZ460" s="22"/>
      <c r="LSA460" s="22"/>
      <c r="LSB460" s="22"/>
      <c r="LSC460" s="22"/>
      <c r="LSD460" s="22"/>
      <c r="LSE460" s="22"/>
      <c r="LSF460" s="22"/>
      <c r="LSG460" s="22"/>
      <c r="LSH460" s="22"/>
      <c r="LSI460" s="22"/>
      <c r="LSJ460" s="22"/>
      <c r="LSK460" s="22"/>
      <c r="LSL460" s="22"/>
      <c r="LSM460" s="22"/>
      <c r="LSN460" s="22"/>
      <c r="LSO460" s="22"/>
      <c r="LSP460" s="22"/>
      <c r="LSQ460" s="22"/>
      <c r="LSR460" s="22"/>
      <c r="LSS460" s="22"/>
      <c r="LST460" s="22"/>
      <c r="LSU460" s="22"/>
      <c r="LSV460" s="22"/>
      <c r="LSW460" s="22"/>
      <c r="LSX460" s="22"/>
      <c r="LSY460" s="22"/>
      <c r="LSZ460" s="22"/>
      <c r="LTA460" s="22"/>
      <c r="LTB460" s="22"/>
      <c r="LTC460" s="22"/>
      <c r="LTD460" s="22"/>
      <c r="LTE460" s="22"/>
      <c r="LTF460" s="22"/>
      <c r="LTG460" s="22"/>
      <c r="LTH460" s="22"/>
      <c r="LTI460" s="22"/>
      <c r="LTJ460" s="22"/>
      <c r="LTK460" s="22"/>
      <c r="LTL460" s="22"/>
      <c r="LTM460" s="22"/>
      <c r="LTN460" s="22"/>
      <c r="LTO460" s="22"/>
      <c r="LTP460" s="22"/>
      <c r="LTQ460" s="22"/>
      <c r="LTR460" s="22"/>
      <c r="LTS460" s="22"/>
      <c r="LTT460" s="22"/>
      <c r="LTU460" s="22"/>
      <c r="LTV460" s="22"/>
      <c r="LTW460" s="22"/>
      <c r="LTX460" s="22"/>
      <c r="LTY460" s="22"/>
      <c r="LTZ460" s="22"/>
      <c r="LUA460" s="22"/>
      <c r="LUB460" s="22"/>
      <c r="LUC460" s="22"/>
      <c r="LUD460" s="22"/>
      <c r="LUE460" s="22"/>
      <c r="LUF460" s="22"/>
      <c r="LUG460" s="22"/>
      <c r="LUH460" s="22"/>
      <c r="LUI460" s="22"/>
      <c r="LUJ460" s="22"/>
      <c r="LUK460" s="22"/>
      <c r="LUL460" s="22"/>
      <c r="LUM460" s="22"/>
      <c r="LUN460" s="22"/>
      <c r="LUO460" s="22"/>
      <c r="LUP460" s="22"/>
      <c r="LUQ460" s="22"/>
      <c r="LUR460" s="22"/>
      <c r="LUS460" s="22"/>
      <c r="LUT460" s="22"/>
      <c r="LUU460" s="22"/>
      <c r="LUV460" s="22"/>
      <c r="LUW460" s="22"/>
      <c r="LUX460" s="22"/>
      <c r="LUY460" s="22"/>
      <c r="LUZ460" s="22"/>
      <c r="LVA460" s="22"/>
      <c r="LVB460" s="22"/>
      <c r="LVC460" s="22"/>
      <c r="LVD460" s="22"/>
      <c r="LVE460" s="22"/>
      <c r="LVF460" s="22"/>
      <c r="LVG460" s="22"/>
      <c r="LVH460" s="22"/>
      <c r="LVI460" s="22"/>
      <c r="LVJ460" s="22"/>
      <c r="LVK460" s="22"/>
      <c r="LVL460" s="22"/>
      <c r="LVM460" s="22"/>
      <c r="LVN460" s="22"/>
      <c r="LVO460" s="22"/>
      <c r="LVP460" s="22"/>
      <c r="LVQ460" s="22"/>
      <c r="LVR460" s="22"/>
      <c r="LVS460" s="22"/>
      <c r="LVT460" s="22"/>
      <c r="LVU460" s="22"/>
      <c r="LVV460" s="22"/>
      <c r="LVW460" s="22"/>
      <c r="LVX460" s="22"/>
      <c r="LVY460" s="22"/>
      <c r="LVZ460" s="22"/>
      <c r="LWA460" s="22"/>
      <c r="LWB460" s="22"/>
      <c r="LWC460" s="22"/>
      <c r="LWD460" s="22"/>
      <c r="LWE460" s="22"/>
      <c r="LWF460" s="22"/>
      <c r="LWG460" s="22"/>
      <c r="LWH460" s="22"/>
      <c r="LWI460" s="22"/>
      <c r="LWJ460" s="22"/>
      <c r="LWK460" s="22"/>
      <c r="LWL460" s="22"/>
      <c r="LWM460" s="22"/>
      <c r="LWN460" s="22"/>
      <c r="LWO460" s="22"/>
      <c r="LWP460" s="22"/>
      <c r="LWQ460" s="22"/>
      <c r="LWR460" s="22"/>
      <c r="LWS460" s="22"/>
      <c r="LWT460" s="22"/>
      <c r="LWU460" s="22"/>
      <c r="LWV460" s="22"/>
      <c r="LWW460" s="22"/>
      <c r="LWX460" s="22"/>
      <c r="LWY460" s="22"/>
      <c r="LWZ460" s="22"/>
      <c r="LXA460" s="22"/>
      <c r="LXB460" s="22"/>
      <c r="LXC460" s="22"/>
      <c r="LXD460" s="22"/>
      <c r="LXE460" s="22"/>
      <c r="LXF460" s="22"/>
      <c r="LXG460" s="22"/>
      <c r="LXH460" s="22"/>
      <c r="LXI460" s="22"/>
      <c r="LXJ460" s="22"/>
      <c r="LXK460" s="22"/>
      <c r="LXL460" s="22"/>
      <c r="LXM460" s="22"/>
      <c r="LXN460" s="22"/>
      <c r="LXO460" s="22"/>
      <c r="LXP460" s="22"/>
      <c r="LXQ460" s="22"/>
      <c r="LXR460" s="22"/>
      <c r="LXS460" s="22"/>
      <c r="LXT460" s="22"/>
      <c r="LXU460" s="22"/>
      <c r="LXV460" s="22"/>
      <c r="LXW460" s="22"/>
      <c r="LXX460" s="22"/>
      <c r="LXY460" s="22"/>
      <c r="LXZ460" s="22"/>
      <c r="LYA460" s="22"/>
      <c r="LYB460" s="22"/>
      <c r="LYC460" s="22"/>
      <c r="LYD460" s="22"/>
      <c r="LYE460" s="22"/>
      <c r="LYF460" s="22"/>
      <c r="LYG460" s="22"/>
      <c r="LYH460" s="22"/>
      <c r="LYI460" s="22"/>
      <c r="LYJ460" s="22"/>
      <c r="LYK460" s="22"/>
      <c r="LYL460" s="22"/>
      <c r="LYM460" s="22"/>
      <c r="LYN460" s="22"/>
      <c r="LYO460" s="22"/>
      <c r="LYP460" s="22"/>
      <c r="LYQ460" s="22"/>
      <c r="LYR460" s="22"/>
      <c r="LYS460" s="22"/>
      <c r="LYT460" s="22"/>
      <c r="LYU460" s="22"/>
      <c r="LYV460" s="22"/>
      <c r="LYW460" s="22"/>
      <c r="LYX460" s="22"/>
      <c r="LYY460" s="22"/>
      <c r="LYZ460" s="22"/>
      <c r="LZA460" s="22"/>
      <c r="LZB460" s="22"/>
      <c r="LZC460" s="22"/>
      <c r="LZD460" s="22"/>
      <c r="LZE460" s="22"/>
      <c r="LZF460" s="22"/>
      <c r="LZG460" s="22"/>
      <c r="LZH460" s="22"/>
      <c r="LZI460" s="22"/>
      <c r="LZJ460" s="22"/>
      <c r="LZK460" s="22"/>
      <c r="LZL460" s="22"/>
      <c r="LZM460" s="22"/>
      <c r="LZN460" s="22"/>
      <c r="LZO460" s="22"/>
      <c r="LZP460" s="22"/>
      <c r="LZQ460" s="22"/>
      <c r="LZR460" s="22"/>
      <c r="LZS460" s="22"/>
      <c r="LZT460" s="22"/>
      <c r="LZU460" s="22"/>
      <c r="LZV460" s="22"/>
      <c r="LZW460" s="22"/>
      <c r="LZX460" s="22"/>
      <c r="LZY460" s="22"/>
      <c r="LZZ460" s="22"/>
      <c r="MAA460" s="22"/>
      <c r="MAB460" s="22"/>
      <c r="MAC460" s="22"/>
      <c r="MAD460" s="22"/>
      <c r="MAE460" s="22"/>
      <c r="MAF460" s="22"/>
      <c r="MAG460" s="22"/>
      <c r="MAH460" s="22"/>
      <c r="MAI460" s="22"/>
      <c r="MAJ460" s="22"/>
      <c r="MAK460" s="22"/>
      <c r="MAL460" s="22"/>
      <c r="MAM460" s="22"/>
      <c r="MAN460" s="22"/>
      <c r="MAO460" s="22"/>
      <c r="MAP460" s="22"/>
      <c r="MAQ460" s="22"/>
      <c r="MAR460" s="22"/>
      <c r="MAS460" s="22"/>
      <c r="MAT460" s="22"/>
      <c r="MAU460" s="22"/>
      <c r="MAV460" s="22"/>
      <c r="MAW460" s="22"/>
      <c r="MAX460" s="22"/>
      <c r="MAY460" s="22"/>
      <c r="MAZ460" s="22"/>
      <c r="MBA460" s="22"/>
      <c r="MBB460" s="22"/>
      <c r="MBC460" s="22"/>
      <c r="MBD460" s="22"/>
      <c r="MBE460" s="22"/>
      <c r="MBF460" s="22"/>
      <c r="MBG460" s="22"/>
      <c r="MBH460" s="22"/>
      <c r="MBI460" s="22"/>
      <c r="MBJ460" s="22"/>
      <c r="MBK460" s="22"/>
      <c r="MBL460" s="22"/>
      <c r="MBM460" s="22"/>
      <c r="MBN460" s="22"/>
      <c r="MBO460" s="22"/>
      <c r="MBP460" s="22"/>
      <c r="MBQ460" s="22"/>
      <c r="MBR460" s="22"/>
      <c r="MBS460" s="22"/>
      <c r="MBT460" s="22"/>
      <c r="MBU460" s="22"/>
      <c r="MBV460" s="22"/>
      <c r="MBW460" s="22"/>
      <c r="MBX460" s="22"/>
      <c r="MBY460" s="22"/>
      <c r="MBZ460" s="22"/>
      <c r="MCA460" s="22"/>
      <c r="MCB460" s="22"/>
      <c r="MCC460" s="22"/>
      <c r="MCD460" s="22"/>
      <c r="MCE460" s="22"/>
      <c r="MCF460" s="22"/>
      <c r="MCG460" s="22"/>
      <c r="MCH460" s="22"/>
      <c r="MCI460" s="22"/>
      <c r="MCJ460" s="22"/>
      <c r="MCK460" s="22"/>
      <c r="MCL460" s="22"/>
      <c r="MCM460" s="22"/>
      <c r="MCN460" s="22"/>
      <c r="MCO460" s="22"/>
      <c r="MCP460" s="22"/>
      <c r="MCQ460" s="22"/>
      <c r="MCR460" s="22"/>
      <c r="MCS460" s="22"/>
      <c r="MCT460" s="22"/>
      <c r="MCU460" s="22"/>
      <c r="MCV460" s="22"/>
      <c r="MCW460" s="22"/>
      <c r="MCX460" s="22"/>
      <c r="MCY460" s="22"/>
      <c r="MCZ460" s="22"/>
      <c r="MDA460" s="22"/>
      <c r="MDB460" s="22"/>
      <c r="MDC460" s="22"/>
      <c r="MDD460" s="22"/>
      <c r="MDE460" s="22"/>
      <c r="MDF460" s="22"/>
      <c r="MDG460" s="22"/>
      <c r="MDH460" s="22"/>
      <c r="MDI460" s="22"/>
      <c r="MDJ460" s="22"/>
      <c r="MDK460" s="22"/>
      <c r="MDL460" s="22"/>
      <c r="MDM460" s="22"/>
      <c r="MDN460" s="22"/>
      <c r="MDO460" s="22"/>
      <c r="MDP460" s="22"/>
      <c r="MDQ460" s="22"/>
      <c r="MDR460" s="22"/>
      <c r="MDS460" s="22"/>
      <c r="MDT460" s="22"/>
      <c r="MDU460" s="22"/>
      <c r="MDV460" s="22"/>
      <c r="MDW460" s="22"/>
      <c r="MDX460" s="22"/>
      <c r="MDY460" s="22"/>
      <c r="MDZ460" s="22"/>
      <c r="MEA460" s="22"/>
      <c r="MEB460" s="22"/>
      <c r="MEC460" s="22"/>
      <c r="MED460" s="22"/>
      <c r="MEE460" s="22"/>
      <c r="MEF460" s="22"/>
      <c r="MEG460" s="22"/>
      <c r="MEH460" s="22"/>
      <c r="MEI460" s="22"/>
      <c r="MEJ460" s="22"/>
      <c r="MEK460" s="22"/>
      <c r="MEL460" s="22"/>
      <c r="MEM460" s="22"/>
      <c r="MEN460" s="22"/>
      <c r="MEO460" s="22"/>
      <c r="MEP460" s="22"/>
      <c r="MEQ460" s="22"/>
      <c r="MER460" s="22"/>
      <c r="MES460" s="22"/>
      <c r="MET460" s="22"/>
      <c r="MEU460" s="22"/>
      <c r="MEV460" s="22"/>
      <c r="MEW460" s="22"/>
      <c r="MEX460" s="22"/>
      <c r="MEY460" s="22"/>
      <c r="MEZ460" s="22"/>
      <c r="MFA460" s="22"/>
      <c r="MFB460" s="22"/>
      <c r="MFC460" s="22"/>
      <c r="MFD460" s="22"/>
      <c r="MFE460" s="22"/>
      <c r="MFF460" s="22"/>
      <c r="MFG460" s="22"/>
      <c r="MFH460" s="22"/>
      <c r="MFI460" s="22"/>
      <c r="MFJ460" s="22"/>
      <c r="MFK460" s="22"/>
      <c r="MFL460" s="22"/>
      <c r="MFM460" s="22"/>
      <c r="MFN460" s="22"/>
      <c r="MFO460" s="22"/>
      <c r="MFP460" s="22"/>
      <c r="MFQ460" s="22"/>
      <c r="MFR460" s="22"/>
      <c r="MFS460" s="22"/>
      <c r="MFT460" s="22"/>
      <c r="MFU460" s="22"/>
      <c r="MFV460" s="22"/>
      <c r="MFW460" s="22"/>
      <c r="MFX460" s="22"/>
      <c r="MFY460" s="22"/>
      <c r="MFZ460" s="22"/>
      <c r="MGA460" s="22"/>
      <c r="MGB460" s="22"/>
      <c r="MGC460" s="22"/>
      <c r="MGD460" s="22"/>
      <c r="MGE460" s="22"/>
      <c r="MGF460" s="22"/>
      <c r="MGG460" s="22"/>
      <c r="MGH460" s="22"/>
      <c r="MGI460" s="22"/>
      <c r="MGJ460" s="22"/>
      <c r="MGK460" s="22"/>
      <c r="MGL460" s="22"/>
      <c r="MGM460" s="22"/>
      <c r="MGN460" s="22"/>
      <c r="MGO460" s="22"/>
      <c r="MGP460" s="22"/>
      <c r="MGQ460" s="22"/>
      <c r="MGR460" s="22"/>
      <c r="MGS460" s="22"/>
      <c r="MGT460" s="22"/>
      <c r="MGU460" s="22"/>
      <c r="MGV460" s="22"/>
      <c r="MGW460" s="22"/>
      <c r="MGX460" s="22"/>
      <c r="MGY460" s="22"/>
      <c r="MGZ460" s="22"/>
      <c r="MHA460" s="22"/>
      <c r="MHB460" s="22"/>
      <c r="MHC460" s="22"/>
      <c r="MHD460" s="22"/>
      <c r="MHE460" s="22"/>
      <c r="MHF460" s="22"/>
      <c r="MHG460" s="22"/>
      <c r="MHH460" s="22"/>
      <c r="MHI460" s="22"/>
      <c r="MHJ460" s="22"/>
      <c r="MHK460" s="22"/>
      <c r="MHL460" s="22"/>
      <c r="MHM460" s="22"/>
      <c r="MHN460" s="22"/>
      <c r="MHO460" s="22"/>
      <c r="MHP460" s="22"/>
      <c r="MHQ460" s="22"/>
      <c r="MHR460" s="22"/>
      <c r="MHS460" s="22"/>
      <c r="MHT460" s="22"/>
      <c r="MHU460" s="22"/>
      <c r="MHV460" s="22"/>
      <c r="MHW460" s="22"/>
      <c r="MHX460" s="22"/>
      <c r="MHY460" s="22"/>
      <c r="MHZ460" s="22"/>
      <c r="MIA460" s="22"/>
      <c r="MIB460" s="22"/>
      <c r="MIC460" s="22"/>
      <c r="MID460" s="22"/>
      <c r="MIE460" s="22"/>
      <c r="MIF460" s="22"/>
      <c r="MIG460" s="22"/>
      <c r="MIH460" s="22"/>
      <c r="MII460" s="22"/>
      <c r="MIJ460" s="22"/>
      <c r="MIK460" s="22"/>
      <c r="MIL460" s="22"/>
      <c r="MIM460" s="22"/>
      <c r="MIN460" s="22"/>
      <c r="MIO460" s="22"/>
      <c r="MIP460" s="22"/>
      <c r="MIQ460" s="22"/>
      <c r="MIR460" s="22"/>
      <c r="MIS460" s="22"/>
      <c r="MIT460" s="22"/>
      <c r="MIU460" s="22"/>
      <c r="MIV460" s="22"/>
      <c r="MIW460" s="22"/>
      <c r="MIX460" s="22"/>
      <c r="MIY460" s="22"/>
      <c r="MIZ460" s="22"/>
      <c r="MJA460" s="22"/>
      <c r="MJB460" s="22"/>
      <c r="MJC460" s="22"/>
      <c r="MJD460" s="22"/>
      <c r="MJE460" s="22"/>
      <c r="MJF460" s="22"/>
      <c r="MJG460" s="22"/>
      <c r="MJH460" s="22"/>
      <c r="MJI460" s="22"/>
      <c r="MJJ460" s="22"/>
      <c r="MJK460" s="22"/>
      <c r="MJL460" s="22"/>
      <c r="MJM460" s="22"/>
      <c r="MJN460" s="22"/>
      <c r="MJO460" s="22"/>
      <c r="MJP460" s="22"/>
      <c r="MJQ460" s="22"/>
      <c r="MJR460" s="22"/>
      <c r="MJS460" s="22"/>
      <c r="MJT460" s="22"/>
      <c r="MJU460" s="22"/>
      <c r="MJV460" s="22"/>
      <c r="MJW460" s="22"/>
      <c r="MJX460" s="22"/>
      <c r="MJY460" s="22"/>
      <c r="MJZ460" s="22"/>
      <c r="MKA460" s="22"/>
      <c r="MKB460" s="22"/>
      <c r="MKC460" s="22"/>
      <c r="MKD460" s="22"/>
      <c r="MKE460" s="22"/>
      <c r="MKF460" s="22"/>
      <c r="MKG460" s="22"/>
      <c r="MKH460" s="22"/>
      <c r="MKI460" s="22"/>
      <c r="MKJ460" s="22"/>
      <c r="MKK460" s="22"/>
      <c r="MKL460" s="22"/>
      <c r="MKM460" s="22"/>
      <c r="MKN460" s="22"/>
      <c r="MKO460" s="22"/>
      <c r="MKP460" s="22"/>
      <c r="MKQ460" s="22"/>
      <c r="MKR460" s="22"/>
      <c r="MKS460" s="22"/>
      <c r="MKT460" s="22"/>
      <c r="MKU460" s="22"/>
      <c r="MKV460" s="22"/>
      <c r="MKW460" s="22"/>
      <c r="MKX460" s="22"/>
      <c r="MKY460" s="22"/>
      <c r="MKZ460" s="22"/>
      <c r="MLA460" s="22"/>
      <c r="MLB460" s="22"/>
      <c r="MLC460" s="22"/>
      <c r="MLD460" s="22"/>
      <c r="MLE460" s="22"/>
      <c r="MLF460" s="22"/>
      <c r="MLG460" s="22"/>
      <c r="MLH460" s="22"/>
      <c r="MLI460" s="22"/>
      <c r="MLJ460" s="22"/>
      <c r="MLK460" s="22"/>
      <c r="MLL460" s="22"/>
      <c r="MLM460" s="22"/>
      <c r="MLN460" s="22"/>
      <c r="MLO460" s="22"/>
      <c r="MLP460" s="22"/>
      <c r="MLQ460" s="22"/>
      <c r="MLR460" s="22"/>
      <c r="MLS460" s="22"/>
      <c r="MLT460" s="22"/>
      <c r="MLU460" s="22"/>
      <c r="MLV460" s="22"/>
      <c r="MLW460" s="22"/>
      <c r="MLX460" s="22"/>
      <c r="MLY460" s="22"/>
      <c r="MLZ460" s="22"/>
      <c r="MMA460" s="22"/>
      <c r="MMB460" s="22"/>
      <c r="MMC460" s="22"/>
      <c r="MMD460" s="22"/>
      <c r="MME460" s="22"/>
      <c r="MMF460" s="22"/>
      <c r="MMG460" s="22"/>
      <c r="MMH460" s="22"/>
      <c r="MMI460" s="22"/>
      <c r="MMJ460" s="22"/>
      <c r="MMK460" s="22"/>
      <c r="MML460" s="22"/>
      <c r="MMM460" s="22"/>
      <c r="MMN460" s="22"/>
      <c r="MMO460" s="22"/>
      <c r="MMP460" s="22"/>
      <c r="MMQ460" s="22"/>
      <c r="MMR460" s="22"/>
      <c r="MMS460" s="22"/>
      <c r="MMT460" s="22"/>
      <c r="MMU460" s="22"/>
      <c r="MMV460" s="22"/>
      <c r="MMW460" s="22"/>
      <c r="MMX460" s="22"/>
      <c r="MMY460" s="22"/>
      <c r="MMZ460" s="22"/>
      <c r="MNA460" s="22"/>
      <c r="MNB460" s="22"/>
      <c r="MNC460" s="22"/>
      <c r="MND460" s="22"/>
      <c r="MNE460" s="22"/>
      <c r="MNF460" s="22"/>
      <c r="MNG460" s="22"/>
      <c r="MNH460" s="22"/>
      <c r="MNI460" s="22"/>
      <c r="MNJ460" s="22"/>
      <c r="MNK460" s="22"/>
      <c r="MNL460" s="22"/>
      <c r="MNM460" s="22"/>
      <c r="MNN460" s="22"/>
      <c r="MNO460" s="22"/>
      <c r="MNP460" s="22"/>
      <c r="MNQ460" s="22"/>
      <c r="MNR460" s="22"/>
      <c r="MNS460" s="22"/>
      <c r="MNT460" s="22"/>
      <c r="MNU460" s="22"/>
      <c r="MNV460" s="22"/>
      <c r="MNW460" s="22"/>
      <c r="MNX460" s="22"/>
      <c r="MNY460" s="22"/>
      <c r="MNZ460" s="22"/>
      <c r="MOA460" s="22"/>
      <c r="MOB460" s="22"/>
      <c r="MOC460" s="22"/>
      <c r="MOD460" s="22"/>
      <c r="MOE460" s="22"/>
      <c r="MOF460" s="22"/>
      <c r="MOG460" s="22"/>
      <c r="MOH460" s="22"/>
      <c r="MOI460" s="22"/>
      <c r="MOJ460" s="22"/>
      <c r="MOK460" s="22"/>
      <c r="MOL460" s="22"/>
      <c r="MOM460" s="22"/>
      <c r="MON460" s="22"/>
      <c r="MOO460" s="22"/>
      <c r="MOP460" s="22"/>
      <c r="MOQ460" s="22"/>
      <c r="MOR460" s="22"/>
      <c r="MOS460" s="22"/>
      <c r="MOT460" s="22"/>
      <c r="MOU460" s="22"/>
      <c r="MOV460" s="22"/>
      <c r="MOW460" s="22"/>
      <c r="MOX460" s="22"/>
      <c r="MOY460" s="22"/>
      <c r="MOZ460" s="22"/>
      <c r="MPA460" s="22"/>
      <c r="MPB460" s="22"/>
      <c r="MPC460" s="22"/>
      <c r="MPD460" s="22"/>
      <c r="MPE460" s="22"/>
      <c r="MPF460" s="22"/>
      <c r="MPG460" s="22"/>
      <c r="MPH460" s="22"/>
      <c r="MPI460" s="22"/>
      <c r="MPJ460" s="22"/>
      <c r="MPK460" s="22"/>
      <c r="MPL460" s="22"/>
      <c r="MPM460" s="22"/>
      <c r="MPN460" s="22"/>
      <c r="MPO460" s="22"/>
      <c r="MPP460" s="22"/>
      <c r="MPQ460" s="22"/>
      <c r="MPR460" s="22"/>
      <c r="MPS460" s="22"/>
      <c r="MPT460" s="22"/>
      <c r="MPU460" s="22"/>
      <c r="MPV460" s="22"/>
      <c r="MPW460" s="22"/>
      <c r="MPX460" s="22"/>
      <c r="MPY460" s="22"/>
      <c r="MPZ460" s="22"/>
      <c r="MQA460" s="22"/>
      <c r="MQB460" s="22"/>
      <c r="MQC460" s="22"/>
      <c r="MQD460" s="22"/>
      <c r="MQE460" s="22"/>
      <c r="MQF460" s="22"/>
      <c r="MQG460" s="22"/>
      <c r="MQH460" s="22"/>
      <c r="MQI460" s="22"/>
      <c r="MQJ460" s="22"/>
      <c r="MQK460" s="22"/>
      <c r="MQL460" s="22"/>
      <c r="MQM460" s="22"/>
      <c r="MQN460" s="22"/>
      <c r="MQO460" s="22"/>
      <c r="MQP460" s="22"/>
      <c r="MQQ460" s="22"/>
      <c r="MQR460" s="22"/>
      <c r="MQS460" s="22"/>
      <c r="MQT460" s="22"/>
      <c r="MQU460" s="22"/>
      <c r="MQV460" s="22"/>
      <c r="MQW460" s="22"/>
      <c r="MQX460" s="22"/>
      <c r="MQY460" s="22"/>
      <c r="MQZ460" s="22"/>
      <c r="MRA460" s="22"/>
      <c r="MRB460" s="22"/>
      <c r="MRC460" s="22"/>
      <c r="MRD460" s="22"/>
      <c r="MRE460" s="22"/>
      <c r="MRF460" s="22"/>
      <c r="MRG460" s="22"/>
      <c r="MRH460" s="22"/>
      <c r="MRI460" s="22"/>
      <c r="MRJ460" s="22"/>
      <c r="MRK460" s="22"/>
      <c r="MRL460" s="22"/>
      <c r="MRM460" s="22"/>
      <c r="MRN460" s="22"/>
      <c r="MRO460" s="22"/>
      <c r="MRP460" s="22"/>
      <c r="MRQ460" s="22"/>
      <c r="MRR460" s="22"/>
      <c r="MRS460" s="22"/>
      <c r="MRT460" s="22"/>
      <c r="MRU460" s="22"/>
      <c r="MRV460" s="22"/>
      <c r="MRW460" s="22"/>
      <c r="MRX460" s="22"/>
      <c r="MRY460" s="22"/>
      <c r="MRZ460" s="22"/>
      <c r="MSA460" s="22"/>
      <c r="MSB460" s="22"/>
      <c r="MSC460" s="22"/>
      <c r="MSD460" s="22"/>
      <c r="MSE460" s="22"/>
      <c r="MSF460" s="22"/>
      <c r="MSG460" s="22"/>
      <c r="MSH460" s="22"/>
      <c r="MSI460" s="22"/>
      <c r="MSJ460" s="22"/>
      <c r="MSK460" s="22"/>
      <c r="MSL460" s="22"/>
      <c r="MSM460" s="22"/>
      <c r="MSN460" s="22"/>
      <c r="MSO460" s="22"/>
      <c r="MSP460" s="22"/>
      <c r="MSQ460" s="22"/>
      <c r="MSR460" s="22"/>
      <c r="MSS460" s="22"/>
      <c r="MST460" s="22"/>
      <c r="MSU460" s="22"/>
      <c r="MSV460" s="22"/>
      <c r="MSW460" s="22"/>
      <c r="MSX460" s="22"/>
      <c r="MSY460" s="22"/>
      <c r="MSZ460" s="22"/>
      <c r="MTA460" s="22"/>
      <c r="MTB460" s="22"/>
      <c r="MTC460" s="22"/>
      <c r="MTD460" s="22"/>
      <c r="MTE460" s="22"/>
      <c r="MTF460" s="22"/>
      <c r="MTG460" s="22"/>
      <c r="MTH460" s="22"/>
      <c r="MTI460" s="22"/>
      <c r="MTJ460" s="22"/>
      <c r="MTK460" s="22"/>
      <c r="MTL460" s="22"/>
      <c r="MTM460" s="22"/>
      <c r="MTN460" s="22"/>
      <c r="MTO460" s="22"/>
      <c r="MTP460" s="22"/>
      <c r="MTQ460" s="22"/>
      <c r="MTR460" s="22"/>
      <c r="MTS460" s="22"/>
      <c r="MTT460" s="22"/>
      <c r="MTU460" s="22"/>
      <c r="MTV460" s="22"/>
      <c r="MTW460" s="22"/>
      <c r="MTX460" s="22"/>
      <c r="MTY460" s="22"/>
      <c r="MTZ460" s="22"/>
      <c r="MUA460" s="22"/>
      <c r="MUB460" s="22"/>
      <c r="MUC460" s="22"/>
      <c r="MUD460" s="22"/>
      <c r="MUE460" s="22"/>
      <c r="MUF460" s="22"/>
      <c r="MUG460" s="22"/>
      <c r="MUH460" s="22"/>
      <c r="MUI460" s="22"/>
      <c r="MUJ460" s="22"/>
      <c r="MUK460" s="22"/>
      <c r="MUL460" s="22"/>
      <c r="MUM460" s="22"/>
      <c r="MUN460" s="22"/>
      <c r="MUO460" s="22"/>
      <c r="MUP460" s="22"/>
      <c r="MUQ460" s="22"/>
      <c r="MUR460" s="22"/>
      <c r="MUS460" s="22"/>
      <c r="MUT460" s="22"/>
      <c r="MUU460" s="22"/>
      <c r="MUV460" s="22"/>
      <c r="MUW460" s="22"/>
      <c r="MUX460" s="22"/>
      <c r="MUY460" s="22"/>
      <c r="MUZ460" s="22"/>
      <c r="MVA460" s="22"/>
      <c r="MVB460" s="22"/>
      <c r="MVC460" s="22"/>
      <c r="MVD460" s="22"/>
      <c r="MVE460" s="22"/>
      <c r="MVF460" s="22"/>
      <c r="MVG460" s="22"/>
      <c r="MVH460" s="22"/>
      <c r="MVI460" s="22"/>
      <c r="MVJ460" s="22"/>
      <c r="MVK460" s="22"/>
      <c r="MVL460" s="22"/>
      <c r="MVM460" s="22"/>
      <c r="MVN460" s="22"/>
      <c r="MVO460" s="22"/>
      <c r="MVP460" s="22"/>
      <c r="MVQ460" s="22"/>
      <c r="MVR460" s="22"/>
      <c r="MVS460" s="22"/>
      <c r="MVT460" s="22"/>
      <c r="MVU460" s="22"/>
      <c r="MVV460" s="22"/>
      <c r="MVW460" s="22"/>
      <c r="MVX460" s="22"/>
      <c r="MVY460" s="22"/>
      <c r="MVZ460" s="22"/>
      <c r="MWA460" s="22"/>
      <c r="MWB460" s="22"/>
      <c r="MWC460" s="22"/>
      <c r="MWD460" s="22"/>
      <c r="MWE460" s="22"/>
      <c r="MWF460" s="22"/>
      <c r="MWG460" s="22"/>
      <c r="MWH460" s="22"/>
      <c r="MWI460" s="22"/>
      <c r="MWJ460" s="22"/>
      <c r="MWK460" s="22"/>
      <c r="MWL460" s="22"/>
      <c r="MWM460" s="22"/>
      <c r="MWN460" s="22"/>
      <c r="MWO460" s="22"/>
      <c r="MWP460" s="22"/>
      <c r="MWQ460" s="22"/>
      <c r="MWR460" s="22"/>
      <c r="MWS460" s="22"/>
      <c r="MWT460" s="22"/>
      <c r="MWU460" s="22"/>
      <c r="MWV460" s="22"/>
      <c r="MWW460" s="22"/>
      <c r="MWX460" s="22"/>
      <c r="MWY460" s="22"/>
      <c r="MWZ460" s="22"/>
      <c r="MXA460" s="22"/>
      <c r="MXB460" s="22"/>
      <c r="MXC460" s="22"/>
      <c r="MXD460" s="22"/>
      <c r="MXE460" s="22"/>
      <c r="MXF460" s="22"/>
      <c r="MXG460" s="22"/>
      <c r="MXH460" s="22"/>
      <c r="MXI460" s="22"/>
      <c r="MXJ460" s="22"/>
      <c r="MXK460" s="22"/>
      <c r="MXL460" s="22"/>
      <c r="MXM460" s="22"/>
      <c r="MXN460" s="22"/>
      <c r="MXO460" s="22"/>
      <c r="MXP460" s="22"/>
      <c r="MXQ460" s="22"/>
      <c r="MXR460" s="22"/>
      <c r="MXS460" s="22"/>
      <c r="MXT460" s="22"/>
      <c r="MXU460" s="22"/>
      <c r="MXV460" s="22"/>
      <c r="MXW460" s="22"/>
      <c r="MXX460" s="22"/>
      <c r="MXY460" s="22"/>
      <c r="MXZ460" s="22"/>
      <c r="MYA460" s="22"/>
      <c r="MYB460" s="22"/>
      <c r="MYC460" s="22"/>
      <c r="MYD460" s="22"/>
      <c r="MYE460" s="22"/>
      <c r="MYF460" s="22"/>
      <c r="MYG460" s="22"/>
      <c r="MYH460" s="22"/>
      <c r="MYI460" s="22"/>
      <c r="MYJ460" s="22"/>
      <c r="MYK460" s="22"/>
      <c r="MYL460" s="22"/>
      <c r="MYM460" s="22"/>
      <c r="MYN460" s="22"/>
      <c r="MYO460" s="22"/>
      <c r="MYP460" s="22"/>
      <c r="MYQ460" s="22"/>
      <c r="MYR460" s="22"/>
      <c r="MYS460" s="22"/>
      <c r="MYT460" s="22"/>
      <c r="MYU460" s="22"/>
      <c r="MYV460" s="22"/>
      <c r="MYW460" s="22"/>
      <c r="MYX460" s="22"/>
      <c r="MYY460" s="22"/>
      <c r="MYZ460" s="22"/>
      <c r="MZA460" s="22"/>
      <c r="MZB460" s="22"/>
      <c r="MZC460" s="22"/>
      <c r="MZD460" s="22"/>
      <c r="MZE460" s="22"/>
      <c r="MZF460" s="22"/>
      <c r="MZG460" s="22"/>
      <c r="MZH460" s="22"/>
      <c r="MZI460" s="22"/>
      <c r="MZJ460" s="22"/>
      <c r="MZK460" s="22"/>
      <c r="MZL460" s="22"/>
      <c r="MZM460" s="22"/>
      <c r="MZN460" s="22"/>
      <c r="MZO460" s="22"/>
      <c r="MZP460" s="22"/>
      <c r="MZQ460" s="22"/>
      <c r="MZR460" s="22"/>
      <c r="MZS460" s="22"/>
      <c r="MZT460" s="22"/>
      <c r="MZU460" s="22"/>
      <c r="MZV460" s="22"/>
      <c r="MZW460" s="22"/>
      <c r="MZX460" s="22"/>
      <c r="MZY460" s="22"/>
      <c r="MZZ460" s="22"/>
      <c r="NAA460" s="22"/>
      <c r="NAB460" s="22"/>
      <c r="NAC460" s="22"/>
      <c r="NAD460" s="22"/>
      <c r="NAE460" s="22"/>
      <c r="NAF460" s="22"/>
      <c r="NAG460" s="22"/>
      <c r="NAH460" s="22"/>
      <c r="NAI460" s="22"/>
      <c r="NAJ460" s="22"/>
      <c r="NAK460" s="22"/>
      <c r="NAL460" s="22"/>
      <c r="NAM460" s="22"/>
      <c r="NAN460" s="22"/>
      <c r="NAO460" s="22"/>
      <c r="NAP460" s="22"/>
      <c r="NAQ460" s="22"/>
      <c r="NAR460" s="22"/>
      <c r="NAS460" s="22"/>
      <c r="NAT460" s="22"/>
      <c r="NAU460" s="22"/>
      <c r="NAV460" s="22"/>
      <c r="NAW460" s="22"/>
      <c r="NAX460" s="22"/>
      <c r="NAY460" s="22"/>
      <c r="NAZ460" s="22"/>
      <c r="NBA460" s="22"/>
      <c r="NBB460" s="22"/>
      <c r="NBC460" s="22"/>
      <c r="NBD460" s="22"/>
      <c r="NBE460" s="22"/>
      <c r="NBF460" s="22"/>
      <c r="NBG460" s="22"/>
      <c r="NBH460" s="22"/>
      <c r="NBI460" s="22"/>
      <c r="NBJ460" s="22"/>
      <c r="NBK460" s="22"/>
      <c r="NBL460" s="22"/>
      <c r="NBM460" s="22"/>
      <c r="NBN460" s="22"/>
      <c r="NBO460" s="22"/>
      <c r="NBP460" s="22"/>
      <c r="NBQ460" s="22"/>
      <c r="NBR460" s="22"/>
      <c r="NBS460" s="22"/>
      <c r="NBT460" s="22"/>
      <c r="NBU460" s="22"/>
      <c r="NBV460" s="22"/>
      <c r="NBW460" s="22"/>
      <c r="NBX460" s="22"/>
      <c r="NBY460" s="22"/>
      <c r="NBZ460" s="22"/>
      <c r="NCA460" s="22"/>
      <c r="NCB460" s="22"/>
      <c r="NCC460" s="22"/>
      <c r="NCD460" s="22"/>
      <c r="NCE460" s="22"/>
      <c r="NCF460" s="22"/>
      <c r="NCG460" s="22"/>
      <c r="NCH460" s="22"/>
      <c r="NCI460" s="22"/>
      <c r="NCJ460" s="22"/>
      <c r="NCK460" s="22"/>
      <c r="NCL460" s="22"/>
      <c r="NCM460" s="22"/>
      <c r="NCN460" s="22"/>
      <c r="NCO460" s="22"/>
      <c r="NCP460" s="22"/>
      <c r="NCQ460" s="22"/>
      <c r="NCR460" s="22"/>
      <c r="NCS460" s="22"/>
      <c r="NCT460" s="22"/>
      <c r="NCU460" s="22"/>
      <c r="NCV460" s="22"/>
      <c r="NCW460" s="22"/>
      <c r="NCX460" s="22"/>
      <c r="NCY460" s="22"/>
      <c r="NCZ460" s="22"/>
      <c r="NDA460" s="22"/>
      <c r="NDB460" s="22"/>
      <c r="NDC460" s="22"/>
      <c r="NDD460" s="22"/>
      <c r="NDE460" s="22"/>
      <c r="NDF460" s="22"/>
      <c r="NDG460" s="22"/>
      <c r="NDH460" s="22"/>
      <c r="NDI460" s="22"/>
      <c r="NDJ460" s="22"/>
      <c r="NDK460" s="22"/>
      <c r="NDL460" s="22"/>
      <c r="NDM460" s="22"/>
      <c r="NDN460" s="22"/>
      <c r="NDO460" s="22"/>
      <c r="NDP460" s="22"/>
      <c r="NDQ460" s="22"/>
      <c r="NDR460" s="22"/>
      <c r="NDS460" s="22"/>
      <c r="NDT460" s="22"/>
      <c r="NDU460" s="22"/>
      <c r="NDV460" s="22"/>
      <c r="NDW460" s="22"/>
      <c r="NDX460" s="22"/>
      <c r="NDY460" s="22"/>
      <c r="NDZ460" s="22"/>
      <c r="NEA460" s="22"/>
      <c r="NEB460" s="22"/>
      <c r="NEC460" s="22"/>
      <c r="NED460" s="22"/>
      <c r="NEE460" s="22"/>
      <c r="NEF460" s="22"/>
      <c r="NEG460" s="22"/>
      <c r="NEH460" s="22"/>
      <c r="NEI460" s="22"/>
      <c r="NEJ460" s="22"/>
      <c r="NEK460" s="22"/>
      <c r="NEL460" s="22"/>
      <c r="NEM460" s="22"/>
      <c r="NEN460" s="22"/>
      <c r="NEO460" s="22"/>
      <c r="NEP460" s="22"/>
      <c r="NEQ460" s="22"/>
      <c r="NER460" s="22"/>
      <c r="NES460" s="22"/>
      <c r="NET460" s="22"/>
      <c r="NEU460" s="22"/>
      <c r="NEV460" s="22"/>
      <c r="NEW460" s="22"/>
      <c r="NEX460" s="22"/>
      <c r="NEY460" s="22"/>
      <c r="NEZ460" s="22"/>
      <c r="NFA460" s="22"/>
      <c r="NFB460" s="22"/>
      <c r="NFC460" s="22"/>
      <c r="NFD460" s="22"/>
      <c r="NFE460" s="22"/>
      <c r="NFF460" s="22"/>
      <c r="NFG460" s="22"/>
      <c r="NFH460" s="22"/>
      <c r="NFI460" s="22"/>
      <c r="NFJ460" s="22"/>
      <c r="NFK460" s="22"/>
      <c r="NFL460" s="22"/>
      <c r="NFM460" s="22"/>
      <c r="NFN460" s="22"/>
      <c r="NFO460" s="22"/>
      <c r="NFP460" s="22"/>
      <c r="NFQ460" s="22"/>
      <c r="NFR460" s="22"/>
      <c r="NFS460" s="22"/>
      <c r="NFT460" s="22"/>
      <c r="NFU460" s="22"/>
      <c r="NFV460" s="22"/>
      <c r="NFW460" s="22"/>
      <c r="NFX460" s="22"/>
      <c r="NFY460" s="22"/>
      <c r="NFZ460" s="22"/>
      <c r="NGA460" s="22"/>
      <c r="NGB460" s="22"/>
      <c r="NGC460" s="22"/>
      <c r="NGD460" s="22"/>
      <c r="NGE460" s="22"/>
      <c r="NGF460" s="22"/>
      <c r="NGG460" s="22"/>
      <c r="NGH460" s="22"/>
      <c r="NGI460" s="22"/>
      <c r="NGJ460" s="22"/>
      <c r="NGK460" s="22"/>
      <c r="NGL460" s="22"/>
      <c r="NGM460" s="22"/>
      <c r="NGN460" s="22"/>
      <c r="NGO460" s="22"/>
      <c r="NGP460" s="22"/>
      <c r="NGQ460" s="22"/>
      <c r="NGR460" s="22"/>
      <c r="NGS460" s="22"/>
      <c r="NGT460" s="22"/>
      <c r="NGU460" s="22"/>
      <c r="NGV460" s="22"/>
      <c r="NGW460" s="22"/>
      <c r="NGX460" s="22"/>
      <c r="NGY460" s="22"/>
      <c r="NGZ460" s="22"/>
      <c r="NHA460" s="22"/>
      <c r="NHB460" s="22"/>
      <c r="NHC460" s="22"/>
      <c r="NHD460" s="22"/>
      <c r="NHE460" s="22"/>
      <c r="NHF460" s="22"/>
      <c r="NHG460" s="22"/>
      <c r="NHH460" s="22"/>
      <c r="NHI460" s="22"/>
      <c r="NHJ460" s="22"/>
      <c r="NHK460" s="22"/>
      <c r="NHL460" s="22"/>
      <c r="NHM460" s="22"/>
      <c r="NHN460" s="22"/>
      <c r="NHO460" s="22"/>
      <c r="NHP460" s="22"/>
      <c r="NHQ460" s="22"/>
      <c r="NHR460" s="22"/>
      <c r="NHS460" s="22"/>
      <c r="NHT460" s="22"/>
      <c r="NHU460" s="22"/>
      <c r="NHV460" s="22"/>
      <c r="NHW460" s="22"/>
      <c r="NHX460" s="22"/>
      <c r="NHY460" s="22"/>
      <c r="NHZ460" s="22"/>
      <c r="NIA460" s="22"/>
      <c r="NIB460" s="22"/>
      <c r="NIC460" s="22"/>
      <c r="NID460" s="22"/>
      <c r="NIE460" s="22"/>
      <c r="NIF460" s="22"/>
      <c r="NIG460" s="22"/>
      <c r="NIH460" s="22"/>
      <c r="NII460" s="22"/>
      <c r="NIJ460" s="22"/>
      <c r="NIK460" s="22"/>
      <c r="NIL460" s="22"/>
      <c r="NIM460" s="22"/>
      <c r="NIN460" s="22"/>
      <c r="NIO460" s="22"/>
      <c r="NIP460" s="22"/>
      <c r="NIQ460" s="22"/>
      <c r="NIR460" s="22"/>
      <c r="NIS460" s="22"/>
      <c r="NIT460" s="22"/>
      <c r="NIU460" s="22"/>
      <c r="NIV460" s="22"/>
      <c r="NIW460" s="22"/>
      <c r="NIX460" s="22"/>
      <c r="NIY460" s="22"/>
      <c r="NIZ460" s="22"/>
      <c r="NJA460" s="22"/>
      <c r="NJB460" s="22"/>
      <c r="NJC460" s="22"/>
      <c r="NJD460" s="22"/>
      <c r="NJE460" s="22"/>
      <c r="NJF460" s="22"/>
      <c r="NJG460" s="22"/>
      <c r="NJH460" s="22"/>
      <c r="NJI460" s="22"/>
      <c r="NJJ460" s="22"/>
      <c r="NJK460" s="22"/>
      <c r="NJL460" s="22"/>
      <c r="NJM460" s="22"/>
      <c r="NJN460" s="22"/>
      <c r="NJO460" s="22"/>
      <c r="NJP460" s="22"/>
      <c r="NJQ460" s="22"/>
      <c r="NJR460" s="22"/>
      <c r="NJS460" s="22"/>
      <c r="NJT460" s="22"/>
      <c r="NJU460" s="22"/>
      <c r="NJV460" s="22"/>
      <c r="NJW460" s="22"/>
      <c r="NJX460" s="22"/>
      <c r="NJY460" s="22"/>
      <c r="NJZ460" s="22"/>
      <c r="NKA460" s="22"/>
      <c r="NKB460" s="22"/>
      <c r="NKC460" s="22"/>
      <c r="NKD460" s="22"/>
      <c r="NKE460" s="22"/>
      <c r="NKF460" s="22"/>
      <c r="NKG460" s="22"/>
      <c r="NKH460" s="22"/>
      <c r="NKI460" s="22"/>
      <c r="NKJ460" s="22"/>
      <c r="NKK460" s="22"/>
      <c r="NKL460" s="22"/>
      <c r="NKM460" s="22"/>
      <c r="NKN460" s="22"/>
      <c r="NKO460" s="22"/>
      <c r="NKP460" s="22"/>
      <c r="NKQ460" s="22"/>
      <c r="NKR460" s="22"/>
      <c r="NKS460" s="22"/>
      <c r="NKT460" s="22"/>
      <c r="NKU460" s="22"/>
      <c r="NKV460" s="22"/>
      <c r="NKW460" s="22"/>
      <c r="NKX460" s="22"/>
      <c r="NKY460" s="22"/>
      <c r="NKZ460" s="22"/>
      <c r="NLA460" s="22"/>
      <c r="NLB460" s="22"/>
      <c r="NLC460" s="22"/>
      <c r="NLD460" s="22"/>
      <c r="NLE460" s="22"/>
      <c r="NLF460" s="22"/>
      <c r="NLG460" s="22"/>
      <c r="NLH460" s="22"/>
      <c r="NLI460" s="22"/>
      <c r="NLJ460" s="22"/>
      <c r="NLK460" s="22"/>
      <c r="NLL460" s="22"/>
      <c r="NLM460" s="22"/>
      <c r="NLN460" s="22"/>
      <c r="NLO460" s="22"/>
      <c r="NLP460" s="22"/>
      <c r="NLQ460" s="22"/>
      <c r="NLR460" s="22"/>
      <c r="NLS460" s="22"/>
      <c r="NLT460" s="22"/>
      <c r="NLU460" s="22"/>
      <c r="NLV460" s="22"/>
      <c r="NLW460" s="22"/>
      <c r="NLX460" s="22"/>
      <c r="NLY460" s="22"/>
      <c r="NLZ460" s="22"/>
      <c r="NMA460" s="22"/>
      <c r="NMB460" s="22"/>
      <c r="NMC460" s="22"/>
      <c r="NMD460" s="22"/>
      <c r="NME460" s="22"/>
      <c r="NMF460" s="22"/>
      <c r="NMG460" s="22"/>
      <c r="NMH460" s="22"/>
      <c r="NMI460" s="22"/>
      <c r="NMJ460" s="22"/>
      <c r="NMK460" s="22"/>
      <c r="NML460" s="22"/>
      <c r="NMM460" s="22"/>
      <c r="NMN460" s="22"/>
      <c r="NMO460" s="22"/>
      <c r="NMP460" s="22"/>
      <c r="NMQ460" s="22"/>
      <c r="NMR460" s="22"/>
      <c r="NMS460" s="22"/>
      <c r="NMT460" s="22"/>
      <c r="NMU460" s="22"/>
      <c r="NMV460" s="22"/>
      <c r="NMW460" s="22"/>
      <c r="NMX460" s="22"/>
      <c r="NMY460" s="22"/>
      <c r="NMZ460" s="22"/>
      <c r="NNA460" s="22"/>
      <c r="NNB460" s="22"/>
      <c r="NNC460" s="22"/>
      <c r="NND460" s="22"/>
      <c r="NNE460" s="22"/>
      <c r="NNF460" s="22"/>
      <c r="NNG460" s="22"/>
      <c r="NNH460" s="22"/>
      <c r="NNI460" s="22"/>
      <c r="NNJ460" s="22"/>
      <c r="NNK460" s="22"/>
      <c r="NNL460" s="22"/>
      <c r="NNM460" s="22"/>
      <c r="NNN460" s="22"/>
      <c r="NNO460" s="22"/>
      <c r="NNP460" s="22"/>
      <c r="NNQ460" s="22"/>
      <c r="NNR460" s="22"/>
      <c r="NNS460" s="22"/>
      <c r="NNT460" s="22"/>
      <c r="NNU460" s="22"/>
      <c r="NNV460" s="22"/>
      <c r="NNW460" s="22"/>
      <c r="NNX460" s="22"/>
      <c r="NNY460" s="22"/>
      <c r="NNZ460" s="22"/>
      <c r="NOA460" s="22"/>
      <c r="NOB460" s="22"/>
      <c r="NOC460" s="22"/>
      <c r="NOD460" s="22"/>
      <c r="NOE460" s="22"/>
      <c r="NOF460" s="22"/>
      <c r="NOG460" s="22"/>
      <c r="NOH460" s="22"/>
      <c r="NOI460" s="22"/>
      <c r="NOJ460" s="22"/>
      <c r="NOK460" s="22"/>
      <c r="NOL460" s="22"/>
      <c r="NOM460" s="22"/>
      <c r="NON460" s="22"/>
      <c r="NOO460" s="22"/>
      <c r="NOP460" s="22"/>
      <c r="NOQ460" s="22"/>
      <c r="NOR460" s="22"/>
      <c r="NOS460" s="22"/>
      <c r="NOT460" s="22"/>
      <c r="NOU460" s="22"/>
      <c r="NOV460" s="22"/>
      <c r="NOW460" s="22"/>
      <c r="NOX460" s="22"/>
      <c r="NOY460" s="22"/>
      <c r="NOZ460" s="22"/>
      <c r="NPA460" s="22"/>
      <c r="NPB460" s="22"/>
      <c r="NPC460" s="22"/>
      <c r="NPD460" s="22"/>
      <c r="NPE460" s="22"/>
      <c r="NPF460" s="22"/>
      <c r="NPG460" s="22"/>
      <c r="NPH460" s="22"/>
      <c r="NPI460" s="22"/>
      <c r="NPJ460" s="22"/>
      <c r="NPK460" s="22"/>
      <c r="NPL460" s="22"/>
      <c r="NPM460" s="22"/>
      <c r="NPN460" s="22"/>
      <c r="NPO460" s="22"/>
      <c r="NPP460" s="22"/>
      <c r="NPQ460" s="22"/>
      <c r="NPR460" s="22"/>
      <c r="NPS460" s="22"/>
      <c r="NPT460" s="22"/>
      <c r="NPU460" s="22"/>
      <c r="NPV460" s="22"/>
      <c r="NPW460" s="22"/>
      <c r="NPX460" s="22"/>
      <c r="NPY460" s="22"/>
      <c r="NPZ460" s="22"/>
      <c r="NQA460" s="22"/>
      <c r="NQB460" s="22"/>
      <c r="NQC460" s="22"/>
      <c r="NQD460" s="22"/>
      <c r="NQE460" s="22"/>
      <c r="NQF460" s="22"/>
      <c r="NQG460" s="22"/>
      <c r="NQH460" s="22"/>
      <c r="NQI460" s="22"/>
      <c r="NQJ460" s="22"/>
      <c r="NQK460" s="22"/>
      <c r="NQL460" s="22"/>
      <c r="NQM460" s="22"/>
      <c r="NQN460" s="22"/>
      <c r="NQO460" s="22"/>
      <c r="NQP460" s="22"/>
      <c r="NQQ460" s="22"/>
      <c r="NQR460" s="22"/>
      <c r="NQS460" s="22"/>
      <c r="NQT460" s="22"/>
      <c r="NQU460" s="22"/>
      <c r="NQV460" s="22"/>
      <c r="NQW460" s="22"/>
      <c r="NQX460" s="22"/>
      <c r="NQY460" s="22"/>
      <c r="NQZ460" s="22"/>
      <c r="NRA460" s="22"/>
      <c r="NRB460" s="22"/>
      <c r="NRC460" s="22"/>
      <c r="NRD460" s="22"/>
      <c r="NRE460" s="22"/>
      <c r="NRF460" s="22"/>
      <c r="NRG460" s="22"/>
      <c r="NRH460" s="22"/>
      <c r="NRI460" s="22"/>
      <c r="NRJ460" s="22"/>
      <c r="NRK460" s="22"/>
      <c r="NRL460" s="22"/>
      <c r="NRM460" s="22"/>
      <c r="NRN460" s="22"/>
      <c r="NRO460" s="22"/>
      <c r="NRP460" s="22"/>
      <c r="NRQ460" s="22"/>
      <c r="NRR460" s="22"/>
      <c r="NRS460" s="22"/>
      <c r="NRT460" s="22"/>
      <c r="NRU460" s="22"/>
      <c r="NRV460" s="22"/>
      <c r="NRW460" s="22"/>
      <c r="NRX460" s="22"/>
      <c r="NRY460" s="22"/>
      <c r="NRZ460" s="22"/>
      <c r="NSA460" s="22"/>
      <c r="NSB460" s="22"/>
      <c r="NSC460" s="22"/>
      <c r="NSD460" s="22"/>
      <c r="NSE460" s="22"/>
      <c r="NSF460" s="22"/>
      <c r="NSG460" s="22"/>
      <c r="NSH460" s="22"/>
      <c r="NSI460" s="22"/>
      <c r="NSJ460" s="22"/>
      <c r="NSK460" s="22"/>
      <c r="NSL460" s="22"/>
      <c r="NSM460" s="22"/>
      <c r="NSN460" s="22"/>
      <c r="NSO460" s="22"/>
      <c r="NSP460" s="22"/>
      <c r="NSQ460" s="22"/>
      <c r="NSR460" s="22"/>
      <c r="NSS460" s="22"/>
      <c r="NST460" s="22"/>
      <c r="NSU460" s="22"/>
      <c r="NSV460" s="22"/>
      <c r="NSW460" s="22"/>
      <c r="NSX460" s="22"/>
      <c r="NSY460" s="22"/>
      <c r="NSZ460" s="22"/>
      <c r="NTA460" s="22"/>
      <c r="NTB460" s="22"/>
      <c r="NTC460" s="22"/>
      <c r="NTD460" s="22"/>
      <c r="NTE460" s="22"/>
      <c r="NTF460" s="22"/>
      <c r="NTG460" s="22"/>
      <c r="NTH460" s="22"/>
      <c r="NTI460" s="22"/>
      <c r="NTJ460" s="22"/>
      <c r="NTK460" s="22"/>
      <c r="NTL460" s="22"/>
      <c r="NTM460" s="22"/>
      <c r="NTN460" s="22"/>
      <c r="NTO460" s="22"/>
      <c r="NTP460" s="22"/>
      <c r="NTQ460" s="22"/>
      <c r="NTR460" s="22"/>
      <c r="NTS460" s="22"/>
      <c r="NTT460" s="22"/>
      <c r="NTU460" s="22"/>
      <c r="NTV460" s="22"/>
      <c r="NTW460" s="22"/>
      <c r="NTX460" s="22"/>
      <c r="NTY460" s="22"/>
      <c r="NTZ460" s="22"/>
      <c r="NUA460" s="22"/>
      <c r="NUB460" s="22"/>
      <c r="NUC460" s="22"/>
      <c r="NUD460" s="22"/>
      <c r="NUE460" s="22"/>
      <c r="NUF460" s="22"/>
      <c r="NUG460" s="22"/>
      <c r="NUH460" s="22"/>
      <c r="NUI460" s="22"/>
      <c r="NUJ460" s="22"/>
      <c r="NUK460" s="22"/>
      <c r="NUL460" s="22"/>
      <c r="NUM460" s="22"/>
      <c r="NUN460" s="22"/>
      <c r="NUO460" s="22"/>
      <c r="NUP460" s="22"/>
      <c r="NUQ460" s="22"/>
      <c r="NUR460" s="22"/>
      <c r="NUS460" s="22"/>
      <c r="NUT460" s="22"/>
      <c r="NUU460" s="22"/>
      <c r="NUV460" s="22"/>
      <c r="NUW460" s="22"/>
      <c r="NUX460" s="22"/>
      <c r="NUY460" s="22"/>
      <c r="NUZ460" s="22"/>
      <c r="NVA460" s="22"/>
      <c r="NVB460" s="22"/>
      <c r="NVC460" s="22"/>
      <c r="NVD460" s="22"/>
      <c r="NVE460" s="22"/>
      <c r="NVF460" s="22"/>
      <c r="NVG460" s="22"/>
      <c r="NVH460" s="22"/>
      <c r="NVI460" s="22"/>
      <c r="NVJ460" s="22"/>
      <c r="NVK460" s="22"/>
      <c r="NVL460" s="22"/>
      <c r="NVM460" s="22"/>
      <c r="NVN460" s="22"/>
      <c r="NVO460" s="22"/>
      <c r="NVP460" s="22"/>
      <c r="NVQ460" s="22"/>
      <c r="NVR460" s="22"/>
      <c r="NVS460" s="22"/>
      <c r="NVT460" s="22"/>
      <c r="NVU460" s="22"/>
      <c r="NVV460" s="22"/>
      <c r="NVW460" s="22"/>
      <c r="NVX460" s="22"/>
      <c r="NVY460" s="22"/>
      <c r="NVZ460" s="22"/>
      <c r="NWA460" s="22"/>
      <c r="NWB460" s="22"/>
      <c r="NWC460" s="22"/>
      <c r="NWD460" s="22"/>
      <c r="NWE460" s="22"/>
      <c r="NWF460" s="22"/>
      <c r="NWG460" s="22"/>
      <c r="NWH460" s="22"/>
      <c r="NWI460" s="22"/>
      <c r="NWJ460" s="22"/>
      <c r="NWK460" s="22"/>
      <c r="NWL460" s="22"/>
      <c r="NWM460" s="22"/>
      <c r="NWN460" s="22"/>
      <c r="NWO460" s="22"/>
      <c r="NWP460" s="22"/>
      <c r="NWQ460" s="22"/>
      <c r="NWR460" s="22"/>
      <c r="NWS460" s="22"/>
      <c r="NWT460" s="22"/>
      <c r="NWU460" s="22"/>
      <c r="NWV460" s="22"/>
      <c r="NWW460" s="22"/>
      <c r="NWX460" s="22"/>
      <c r="NWY460" s="22"/>
      <c r="NWZ460" s="22"/>
      <c r="NXA460" s="22"/>
      <c r="NXB460" s="22"/>
      <c r="NXC460" s="22"/>
      <c r="NXD460" s="22"/>
      <c r="NXE460" s="22"/>
      <c r="NXF460" s="22"/>
      <c r="NXG460" s="22"/>
      <c r="NXH460" s="22"/>
      <c r="NXI460" s="22"/>
      <c r="NXJ460" s="22"/>
      <c r="NXK460" s="22"/>
      <c r="NXL460" s="22"/>
      <c r="NXM460" s="22"/>
      <c r="NXN460" s="22"/>
      <c r="NXO460" s="22"/>
      <c r="NXP460" s="22"/>
      <c r="NXQ460" s="22"/>
      <c r="NXR460" s="22"/>
      <c r="NXS460" s="22"/>
      <c r="NXT460" s="22"/>
      <c r="NXU460" s="22"/>
      <c r="NXV460" s="22"/>
      <c r="NXW460" s="22"/>
      <c r="NXX460" s="22"/>
      <c r="NXY460" s="22"/>
      <c r="NXZ460" s="22"/>
      <c r="NYA460" s="22"/>
      <c r="NYB460" s="22"/>
      <c r="NYC460" s="22"/>
      <c r="NYD460" s="22"/>
      <c r="NYE460" s="22"/>
      <c r="NYF460" s="22"/>
      <c r="NYG460" s="22"/>
      <c r="NYH460" s="22"/>
      <c r="NYI460" s="22"/>
      <c r="NYJ460" s="22"/>
      <c r="NYK460" s="22"/>
      <c r="NYL460" s="22"/>
      <c r="NYM460" s="22"/>
      <c r="NYN460" s="22"/>
      <c r="NYO460" s="22"/>
      <c r="NYP460" s="22"/>
      <c r="NYQ460" s="22"/>
      <c r="NYR460" s="22"/>
      <c r="NYS460" s="22"/>
      <c r="NYT460" s="22"/>
      <c r="NYU460" s="22"/>
      <c r="NYV460" s="22"/>
      <c r="NYW460" s="22"/>
      <c r="NYX460" s="22"/>
      <c r="NYY460" s="22"/>
      <c r="NYZ460" s="22"/>
      <c r="NZA460" s="22"/>
      <c r="NZB460" s="22"/>
      <c r="NZC460" s="22"/>
      <c r="NZD460" s="22"/>
      <c r="NZE460" s="22"/>
      <c r="NZF460" s="22"/>
      <c r="NZG460" s="22"/>
      <c r="NZH460" s="22"/>
      <c r="NZI460" s="22"/>
      <c r="NZJ460" s="22"/>
      <c r="NZK460" s="22"/>
      <c r="NZL460" s="22"/>
      <c r="NZM460" s="22"/>
      <c r="NZN460" s="22"/>
      <c r="NZO460" s="22"/>
      <c r="NZP460" s="22"/>
      <c r="NZQ460" s="22"/>
      <c r="NZR460" s="22"/>
      <c r="NZS460" s="22"/>
      <c r="NZT460" s="22"/>
      <c r="NZU460" s="22"/>
      <c r="NZV460" s="22"/>
      <c r="NZW460" s="22"/>
      <c r="NZX460" s="22"/>
      <c r="NZY460" s="22"/>
      <c r="NZZ460" s="22"/>
      <c r="OAA460" s="22"/>
      <c r="OAB460" s="22"/>
      <c r="OAC460" s="22"/>
      <c r="OAD460" s="22"/>
      <c r="OAE460" s="22"/>
      <c r="OAF460" s="22"/>
      <c r="OAG460" s="22"/>
      <c r="OAH460" s="22"/>
      <c r="OAI460" s="22"/>
      <c r="OAJ460" s="22"/>
      <c r="OAK460" s="22"/>
      <c r="OAL460" s="22"/>
      <c r="OAM460" s="22"/>
      <c r="OAN460" s="22"/>
      <c r="OAO460" s="22"/>
      <c r="OAP460" s="22"/>
      <c r="OAQ460" s="22"/>
      <c r="OAR460" s="22"/>
      <c r="OAS460" s="22"/>
      <c r="OAT460" s="22"/>
      <c r="OAU460" s="22"/>
      <c r="OAV460" s="22"/>
      <c r="OAW460" s="22"/>
      <c r="OAX460" s="22"/>
      <c r="OAY460" s="22"/>
      <c r="OAZ460" s="22"/>
      <c r="OBA460" s="22"/>
      <c r="OBB460" s="22"/>
      <c r="OBC460" s="22"/>
      <c r="OBD460" s="22"/>
      <c r="OBE460" s="22"/>
      <c r="OBF460" s="22"/>
      <c r="OBG460" s="22"/>
      <c r="OBH460" s="22"/>
      <c r="OBI460" s="22"/>
      <c r="OBJ460" s="22"/>
      <c r="OBK460" s="22"/>
      <c r="OBL460" s="22"/>
      <c r="OBM460" s="22"/>
      <c r="OBN460" s="22"/>
      <c r="OBO460" s="22"/>
      <c r="OBP460" s="22"/>
      <c r="OBQ460" s="22"/>
      <c r="OBR460" s="22"/>
      <c r="OBS460" s="22"/>
      <c r="OBT460" s="22"/>
      <c r="OBU460" s="22"/>
      <c r="OBV460" s="22"/>
      <c r="OBW460" s="22"/>
      <c r="OBX460" s="22"/>
      <c r="OBY460" s="22"/>
      <c r="OBZ460" s="22"/>
      <c r="OCA460" s="22"/>
      <c r="OCB460" s="22"/>
      <c r="OCC460" s="22"/>
      <c r="OCD460" s="22"/>
      <c r="OCE460" s="22"/>
      <c r="OCF460" s="22"/>
      <c r="OCG460" s="22"/>
      <c r="OCH460" s="22"/>
      <c r="OCI460" s="22"/>
      <c r="OCJ460" s="22"/>
      <c r="OCK460" s="22"/>
      <c r="OCL460" s="22"/>
      <c r="OCM460" s="22"/>
      <c r="OCN460" s="22"/>
      <c r="OCO460" s="22"/>
      <c r="OCP460" s="22"/>
      <c r="OCQ460" s="22"/>
      <c r="OCR460" s="22"/>
      <c r="OCS460" s="22"/>
      <c r="OCT460" s="22"/>
      <c r="OCU460" s="22"/>
      <c r="OCV460" s="22"/>
      <c r="OCW460" s="22"/>
      <c r="OCX460" s="22"/>
      <c r="OCY460" s="22"/>
      <c r="OCZ460" s="22"/>
      <c r="ODA460" s="22"/>
      <c r="ODB460" s="22"/>
      <c r="ODC460" s="22"/>
      <c r="ODD460" s="22"/>
      <c r="ODE460" s="22"/>
      <c r="ODF460" s="22"/>
      <c r="ODG460" s="22"/>
      <c r="ODH460" s="22"/>
      <c r="ODI460" s="22"/>
      <c r="ODJ460" s="22"/>
      <c r="ODK460" s="22"/>
      <c r="ODL460" s="22"/>
      <c r="ODM460" s="22"/>
      <c r="ODN460" s="22"/>
      <c r="ODO460" s="22"/>
      <c r="ODP460" s="22"/>
      <c r="ODQ460" s="22"/>
      <c r="ODR460" s="22"/>
      <c r="ODS460" s="22"/>
      <c r="ODT460" s="22"/>
      <c r="ODU460" s="22"/>
      <c r="ODV460" s="22"/>
      <c r="ODW460" s="22"/>
      <c r="ODX460" s="22"/>
      <c r="ODY460" s="22"/>
      <c r="ODZ460" s="22"/>
      <c r="OEA460" s="22"/>
      <c r="OEB460" s="22"/>
      <c r="OEC460" s="22"/>
      <c r="OED460" s="22"/>
      <c r="OEE460" s="22"/>
      <c r="OEF460" s="22"/>
      <c r="OEG460" s="22"/>
      <c r="OEH460" s="22"/>
      <c r="OEI460" s="22"/>
      <c r="OEJ460" s="22"/>
      <c r="OEK460" s="22"/>
      <c r="OEL460" s="22"/>
      <c r="OEM460" s="22"/>
      <c r="OEN460" s="22"/>
      <c r="OEO460" s="22"/>
      <c r="OEP460" s="22"/>
      <c r="OEQ460" s="22"/>
      <c r="OER460" s="22"/>
      <c r="OES460" s="22"/>
      <c r="OET460" s="22"/>
      <c r="OEU460" s="22"/>
      <c r="OEV460" s="22"/>
      <c r="OEW460" s="22"/>
      <c r="OEX460" s="22"/>
      <c r="OEY460" s="22"/>
      <c r="OEZ460" s="22"/>
      <c r="OFA460" s="22"/>
      <c r="OFB460" s="22"/>
      <c r="OFC460" s="22"/>
      <c r="OFD460" s="22"/>
      <c r="OFE460" s="22"/>
      <c r="OFF460" s="22"/>
      <c r="OFG460" s="22"/>
      <c r="OFH460" s="22"/>
      <c r="OFI460" s="22"/>
      <c r="OFJ460" s="22"/>
      <c r="OFK460" s="22"/>
      <c r="OFL460" s="22"/>
      <c r="OFM460" s="22"/>
      <c r="OFN460" s="22"/>
      <c r="OFO460" s="22"/>
      <c r="OFP460" s="22"/>
      <c r="OFQ460" s="22"/>
      <c r="OFR460" s="22"/>
      <c r="OFS460" s="22"/>
      <c r="OFT460" s="22"/>
      <c r="OFU460" s="22"/>
      <c r="OFV460" s="22"/>
      <c r="OFW460" s="22"/>
      <c r="OFX460" s="22"/>
      <c r="OFY460" s="22"/>
      <c r="OFZ460" s="22"/>
      <c r="OGA460" s="22"/>
      <c r="OGB460" s="22"/>
      <c r="OGC460" s="22"/>
      <c r="OGD460" s="22"/>
      <c r="OGE460" s="22"/>
      <c r="OGF460" s="22"/>
      <c r="OGG460" s="22"/>
      <c r="OGH460" s="22"/>
      <c r="OGI460" s="22"/>
      <c r="OGJ460" s="22"/>
      <c r="OGK460" s="22"/>
      <c r="OGL460" s="22"/>
      <c r="OGM460" s="22"/>
      <c r="OGN460" s="22"/>
      <c r="OGO460" s="22"/>
      <c r="OGP460" s="22"/>
      <c r="OGQ460" s="22"/>
      <c r="OGR460" s="22"/>
      <c r="OGS460" s="22"/>
      <c r="OGT460" s="22"/>
      <c r="OGU460" s="22"/>
      <c r="OGV460" s="22"/>
      <c r="OGW460" s="22"/>
      <c r="OGX460" s="22"/>
      <c r="OGY460" s="22"/>
      <c r="OGZ460" s="22"/>
      <c r="OHA460" s="22"/>
      <c r="OHB460" s="22"/>
      <c r="OHC460" s="22"/>
      <c r="OHD460" s="22"/>
      <c r="OHE460" s="22"/>
      <c r="OHF460" s="22"/>
      <c r="OHG460" s="22"/>
      <c r="OHH460" s="22"/>
      <c r="OHI460" s="22"/>
      <c r="OHJ460" s="22"/>
      <c r="OHK460" s="22"/>
      <c r="OHL460" s="22"/>
      <c r="OHM460" s="22"/>
      <c r="OHN460" s="22"/>
      <c r="OHO460" s="22"/>
      <c r="OHP460" s="22"/>
      <c r="OHQ460" s="22"/>
      <c r="OHR460" s="22"/>
      <c r="OHS460" s="22"/>
      <c r="OHT460" s="22"/>
      <c r="OHU460" s="22"/>
      <c r="OHV460" s="22"/>
      <c r="OHW460" s="22"/>
      <c r="OHX460" s="22"/>
      <c r="OHY460" s="22"/>
      <c r="OHZ460" s="22"/>
      <c r="OIA460" s="22"/>
      <c r="OIB460" s="22"/>
      <c r="OIC460" s="22"/>
      <c r="OID460" s="22"/>
      <c r="OIE460" s="22"/>
      <c r="OIF460" s="22"/>
      <c r="OIG460" s="22"/>
      <c r="OIH460" s="22"/>
      <c r="OII460" s="22"/>
      <c r="OIJ460" s="22"/>
      <c r="OIK460" s="22"/>
      <c r="OIL460" s="22"/>
      <c r="OIM460" s="22"/>
      <c r="OIN460" s="22"/>
      <c r="OIO460" s="22"/>
      <c r="OIP460" s="22"/>
      <c r="OIQ460" s="22"/>
      <c r="OIR460" s="22"/>
      <c r="OIS460" s="22"/>
      <c r="OIT460" s="22"/>
      <c r="OIU460" s="22"/>
      <c r="OIV460" s="22"/>
      <c r="OIW460" s="22"/>
      <c r="OIX460" s="22"/>
      <c r="OIY460" s="22"/>
      <c r="OIZ460" s="22"/>
      <c r="OJA460" s="22"/>
      <c r="OJB460" s="22"/>
      <c r="OJC460" s="22"/>
      <c r="OJD460" s="22"/>
      <c r="OJE460" s="22"/>
      <c r="OJF460" s="22"/>
      <c r="OJG460" s="22"/>
      <c r="OJH460" s="22"/>
      <c r="OJI460" s="22"/>
      <c r="OJJ460" s="22"/>
      <c r="OJK460" s="22"/>
      <c r="OJL460" s="22"/>
      <c r="OJM460" s="22"/>
      <c r="OJN460" s="22"/>
      <c r="OJO460" s="22"/>
      <c r="OJP460" s="22"/>
      <c r="OJQ460" s="22"/>
      <c r="OJR460" s="22"/>
      <c r="OJS460" s="22"/>
      <c r="OJT460" s="22"/>
      <c r="OJU460" s="22"/>
      <c r="OJV460" s="22"/>
      <c r="OJW460" s="22"/>
      <c r="OJX460" s="22"/>
      <c r="OJY460" s="22"/>
      <c r="OJZ460" s="22"/>
      <c r="OKA460" s="22"/>
      <c r="OKB460" s="22"/>
      <c r="OKC460" s="22"/>
      <c r="OKD460" s="22"/>
      <c r="OKE460" s="22"/>
      <c r="OKF460" s="22"/>
      <c r="OKG460" s="22"/>
      <c r="OKH460" s="22"/>
      <c r="OKI460" s="22"/>
      <c r="OKJ460" s="22"/>
      <c r="OKK460" s="22"/>
      <c r="OKL460" s="22"/>
      <c r="OKM460" s="22"/>
      <c r="OKN460" s="22"/>
      <c r="OKO460" s="22"/>
      <c r="OKP460" s="22"/>
      <c r="OKQ460" s="22"/>
      <c r="OKR460" s="22"/>
      <c r="OKS460" s="22"/>
      <c r="OKT460" s="22"/>
      <c r="OKU460" s="22"/>
      <c r="OKV460" s="22"/>
      <c r="OKW460" s="22"/>
      <c r="OKX460" s="22"/>
      <c r="OKY460" s="22"/>
      <c r="OKZ460" s="22"/>
      <c r="OLA460" s="22"/>
      <c r="OLB460" s="22"/>
      <c r="OLC460" s="22"/>
      <c r="OLD460" s="22"/>
      <c r="OLE460" s="22"/>
      <c r="OLF460" s="22"/>
      <c r="OLG460" s="22"/>
      <c r="OLH460" s="22"/>
      <c r="OLI460" s="22"/>
      <c r="OLJ460" s="22"/>
      <c r="OLK460" s="22"/>
      <c r="OLL460" s="22"/>
      <c r="OLM460" s="22"/>
      <c r="OLN460" s="22"/>
      <c r="OLO460" s="22"/>
      <c r="OLP460" s="22"/>
      <c r="OLQ460" s="22"/>
      <c r="OLR460" s="22"/>
      <c r="OLS460" s="22"/>
      <c r="OLT460" s="22"/>
      <c r="OLU460" s="22"/>
      <c r="OLV460" s="22"/>
      <c r="OLW460" s="22"/>
      <c r="OLX460" s="22"/>
      <c r="OLY460" s="22"/>
      <c r="OLZ460" s="22"/>
      <c r="OMA460" s="22"/>
      <c r="OMB460" s="22"/>
      <c r="OMC460" s="22"/>
      <c r="OMD460" s="22"/>
      <c r="OME460" s="22"/>
      <c r="OMF460" s="22"/>
      <c r="OMG460" s="22"/>
      <c r="OMH460" s="22"/>
      <c r="OMI460" s="22"/>
      <c r="OMJ460" s="22"/>
      <c r="OMK460" s="22"/>
      <c r="OML460" s="22"/>
      <c r="OMM460" s="22"/>
      <c r="OMN460" s="22"/>
      <c r="OMO460" s="22"/>
      <c r="OMP460" s="22"/>
      <c r="OMQ460" s="22"/>
      <c r="OMR460" s="22"/>
      <c r="OMS460" s="22"/>
      <c r="OMT460" s="22"/>
      <c r="OMU460" s="22"/>
      <c r="OMV460" s="22"/>
      <c r="OMW460" s="22"/>
      <c r="OMX460" s="22"/>
      <c r="OMY460" s="22"/>
      <c r="OMZ460" s="22"/>
      <c r="ONA460" s="22"/>
      <c r="ONB460" s="22"/>
      <c r="ONC460" s="22"/>
      <c r="OND460" s="22"/>
      <c r="ONE460" s="22"/>
      <c r="ONF460" s="22"/>
      <c r="ONG460" s="22"/>
      <c r="ONH460" s="22"/>
      <c r="ONI460" s="22"/>
      <c r="ONJ460" s="22"/>
      <c r="ONK460" s="22"/>
      <c r="ONL460" s="22"/>
      <c r="ONM460" s="22"/>
      <c r="ONN460" s="22"/>
      <c r="ONO460" s="22"/>
      <c r="ONP460" s="22"/>
      <c r="ONQ460" s="22"/>
      <c r="ONR460" s="22"/>
      <c r="ONS460" s="22"/>
      <c r="ONT460" s="22"/>
      <c r="ONU460" s="22"/>
      <c r="ONV460" s="22"/>
      <c r="ONW460" s="22"/>
      <c r="ONX460" s="22"/>
      <c r="ONY460" s="22"/>
      <c r="ONZ460" s="22"/>
      <c r="OOA460" s="22"/>
      <c r="OOB460" s="22"/>
      <c r="OOC460" s="22"/>
      <c r="OOD460" s="22"/>
      <c r="OOE460" s="22"/>
      <c r="OOF460" s="22"/>
      <c r="OOG460" s="22"/>
      <c r="OOH460" s="22"/>
      <c r="OOI460" s="22"/>
      <c r="OOJ460" s="22"/>
      <c r="OOK460" s="22"/>
      <c r="OOL460" s="22"/>
      <c r="OOM460" s="22"/>
      <c r="OON460" s="22"/>
      <c r="OOO460" s="22"/>
      <c r="OOP460" s="22"/>
      <c r="OOQ460" s="22"/>
      <c r="OOR460" s="22"/>
      <c r="OOS460" s="22"/>
      <c r="OOT460" s="22"/>
      <c r="OOU460" s="22"/>
      <c r="OOV460" s="22"/>
      <c r="OOW460" s="22"/>
      <c r="OOX460" s="22"/>
      <c r="OOY460" s="22"/>
      <c r="OOZ460" s="22"/>
      <c r="OPA460" s="22"/>
      <c r="OPB460" s="22"/>
      <c r="OPC460" s="22"/>
      <c r="OPD460" s="22"/>
      <c r="OPE460" s="22"/>
      <c r="OPF460" s="22"/>
      <c r="OPG460" s="22"/>
      <c r="OPH460" s="22"/>
      <c r="OPI460" s="22"/>
      <c r="OPJ460" s="22"/>
      <c r="OPK460" s="22"/>
      <c r="OPL460" s="22"/>
      <c r="OPM460" s="22"/>
      <c r="OPN460" s="22"/>
      <c r="OPO460" s="22"/>
      <c r="OPP460" s="22"/>
      <c r="OPQ460" s="22"/>
      <c r="OPR460" s="22"/>
      <c r="OPS460" s="22"/>
      <c r="OPT460" s="22"/>
      <c r="OPU460" s="22"/>
      <c r="OPV460" s="22"/>
      <c r="OPW460" s="22"/>
      <c r="OPX460" s="22"/>
      <c r="OPY460" s="22"/>
      <c r="OPZ460" s="22"/>
      <c r="OQA460" s="22"/>
      <c r="OQB460" s="22"/>
      <c r="OQC460" s="22"/>
      <c r="OQD460" s="22"/>
      <c r="OQE460" s="22"/>
      <c r="OQF460" s="22"/>
      <c r="OQG460" s="22"/>
      <c r="OQH460" s="22"/>
      <c r="OQI460" s="22"/>
      <c r="OQJ460" s="22"/>
      <c r="OQK460" s="22"/>
      <c r="OQL460" s="22"/>
      <c r="OQM460" s="22"/>
      <c r="OQN460" s="22"/>
      <c r="OQO460" s="22"/>
      <c r="OQP460" s="22"/>
      <c r="OQQ460" s="22"/>
      <c r="OQR460" s="22"/>
      <c r="OQS460" s="22"/>
      <c r="OQT460" s="22"/>
      <c r="OQU460" s="22"/>
      <c r="OQV460" s="22"/>
      <c r="OQW460" s="22"/>
      <c r="OQX460" s="22"/>
      <c r="OQY460" s="22"/>
      <c r="OQZ460" s="22"/>
      <c r="ORA460" s="22"/>
      <c r="ORB460" s="22"/>
      <c r="ORC460" s="22"/>
      <c r="ORD460" s="22"/>
      <c r="ORE460" s="22"/>
      <c r="ORF460" s="22"/>
      <c r="ORG460" s="22"/>
      <c r="ORH460" s="22"/>
      <c r="ORI460" s="22"/>
      <c r="ORJ460" s="22"/>
      <c r="ORK460" s="22"/>
      <c r="ORL460" s="22"/>
      <c r="ORM460" s="22"/>
      <c r="ORN460" s="22"/>
      <c r="ORO460" s="22"/>
      <c r="ORP460" s="22"/>
      <c r="ORQ460" s="22"/>
      <c r="ORR460" s="22"/>
      <c r="ORS460" s="22"/>
      <c r="ORT460" s="22"/>
      <c r="ORU460" s="22"/>
      <c r="ORV460" s="22"/>
      <c r="ORW460" s="22"/>
      <c r="ORX460" s="22"/>
      <c r="ORY460" s="22"/>
      <c r="ORZ460" s="22"/>
      <c r="OSA460" s="22"/>
      <c r="OSB460" s="22"/>
      <c r="OSC460" s="22"/>
      <c r="OSD460" s="22"/>
      <c r="OSE460" s="22"/>
      <c r="OSF460" s="22"/>
      <c r="OSG460" s="22"/>
      <c r="OSH460" s="22"/>
      <c r="OSI460" s="22"/>
      <c r="OSJ460" s="22"/>
      <c r="OSK460" s="22"/>
      <c r="OSL460" s="22"/>
      <c r="OSM460" s="22"/>
      <c r="OSN460" s="22"/>
      <c r="OSO460" s="22"/>
      <c r="OSP460" s="22"/>
      <c r="OSQ460" s="22"/>
      <c r="OSR460" s="22"/>
      <c r="OSS460" s="22"/>
      <c r="OST460" s="22"/>
      <c r="OSU460" s="22"/>
      <c r="OSV460" s="22"/>
      <c r="OSW460" s="22"/>
      <c r="OSX460" s="22"/>
      <c r="OSY460" s="22"/>
      <c r="OSZ460" s="22"/>
      <c r="OTA460" s="22"/>
      <c r="OTB460" s="22"/>
      <c r="OTC460" s="22"/>
      <c r="OTD460" s="22"/>
      <c r="OTE460" s="22"/>
      <c r="OTF460" s="22"/>
      <c r="OTG460" s="22"/>
      <c r="OTH460" s="22"/>
      <c r="OTI460" s="22"/>
      <c r="OTJ460" s="22"/>
      <c r="OTK460" s="22"/>
      <c r="OTL460" s="22"/>
      <c r="OTM460" s="22"/>
      <c r="OTN460" s="22"/>
      <c r="OTO460" s="22"/>
      <c r="OTP460" s="22"/>
      <c r="OTQ460" s="22"/>
      <c r="OTR460" s="22"/>
      <c r="OTS460" s="22"/>
      <c r="OTT460" s="22"/>
      <c r="OTU460" s="22"/>
      <c r="OTV460" s="22"/>
      <c r="OTW460" s="22"/>
      <c r="OTX460" s="22"/>
      <c r="OTY460" s="22"/>
      <c r="OTZ460" s="22"/>
      <c r="OUA460" s="22"/>
      <c r="OUB460" s="22"/>
      <c r="OUC460" s="22"/>
      <c r="OUD460" s="22"/>
      <c r="OUE460" s="22"/>
      <c r="OUF460" s="22"/>
      <c r="OUG460" s="22"/>
      <c r="OUH460" s="22"/>
      <c r="OUI460" s="22"/>
      <c r="OUJ460" s="22"/>
      <c r="OUK460" s="22"/>
      <c r="OUL460" s="22"/>
      <c r="OUM460" s="22"/>
      <c r="OUN460" s="22"/>
      <c r="OUO460" s="22"/>
      <c r="OUP460" s="22"/>
      <c r="OUQ460" s="22"/>
      <c r="OUR460" s="22"/>
      <c r="OUS460" s="22"/>
      <c r="OUT460" s="22"/>
      <c r="OUU460" s="22"/>
      <c r="OUV460" s="22"/>
      <c r="OUW460" s="22"/>
      <c r="OUX460" s="22"/>
      <c r="OUY460" s="22"/>
      <c r="OUZ460" s="22"/>
      <c r="OVA460" s="22"/>
      <c r="OVB460" s="22"/>
      <c r="OVC460" s="22"/>
      <c r="OVD460" s="22"/>
      <c r="OVE460" s="22"/>
      <c r="OVF460" s="22"/>
      <c r="OVG460" s="22"/>
      <c r="OVH460" s="22"/>
      <c r="OVI460" s="22"/>
      <c r="OVJ460" s="22"/>
      <c r="OVK460" s="22"/>
      <c r="OVL460" s="22"/>
      <c r="OVM460" s="22"/>
      <c r="OVN460" s="22"/>
      <c r="OVO460" s="22"/>
      <c r="OVP460" s="22"/>
      <c r="OVQ460" s="22"/>
      <c r="OVR460" s="22"/>
      <c r="OVS460" s="22"/>
      <c r="OVT460" s="22"/>
      <c r="OVU460" s="22"/>
      <c r="OVV460" s="22"/>
      <c r="OVW460" s="22"/>
      <c r="OVX460" s="22"/>
      <c r="OVY460" s="22"/>
      <c r="OVZ460" s="22"/>
      <c r="OWA460" s="22"/>
      <c r="OWB460" s="22"/>
      <c r="OWC460" s="22"/>
      <c r="OWD460" s="22"/>
      <c r="OWE460" s="22"/>
      <c r="OWF460" s="22"/>
      <c r="OWG460" s="22"/>
      <c r="OWH460" s="22"/>
      <c r="OWI460" s="22"/>
      <c r="OWJ460" s="22"/>
      <c r="OWK460" s="22"/>
      <c r="OWL460" s="22"/>
      <c r="OWM460" s="22"/>
      <c r="OWN460" s="22"/>
      <c r="OWO460" s="22"/>
      <c r="OWP460" s="22"/>
      <c r="OWQ460" s="22"/>
      <c r="OWR460" s="22"/>
      <c r="OWS460" s="22"/>
      <c r="OWT460" s="22"/>
      <c r="OWU460" s="22"/>
      <c r="OWV460" s="22"/>
      <c r="OWW460" s="22"/>
      <c r="OWX460" s="22"/>
      <c r="OWY460" s="22"/>
      <c r="OWZ460" s="22"/>
      <c r="OXA460" s="22"/>
      <c r="OXB460" s="22"/>
      <c r="OXC460" s="22"/>
      <c r="OXD460" s="22"/>
      <c r="OXE460" s="22"/>
      <c r="OXF460" s="22"/>
      <c r="OXG460" s="22"/>
      <c r="OXH460" s="22"/>
      <c r="OXI460" s="22"/>
      <c r="OXJ460" s="22"/>
      <c r="OXK460" s="22"/>
      <c r="OXL460" s="22"/>
      <c r="OXM460" s="22"/>
      <c r="OXN460" s="22"/>
      <c r="OXO460" s="22"/>
      <c r="OXP460" s="22"/>
      <c r="OXQ460" s="22"/>
      <c r="OXR460" s="22"/>
      <c r="OXS460" s="22"/>
      <c r="OXT460" s="22"/>
      <c r="OXU460" s="22"/>
      <c r="OXV460" s="22"/>
      <c r="OXW460" s="22"/>
      <c r="OXX460" s="22"/>
      <c r="OXY460" s="22"/>
      <c r="OXZ460" s="22"/>
      <c r="OYA460" s="22"/>
      <c r="OYB460" s="22"/>
      <c r="OYC460" s="22"/>
      <c r="OYD460" s="22"/>
      <c r="OYE460" s="22"/>
      <c r="OYF460" s="22"/>
      <c r="OYG460" s="22"/>
      <c r="OYH460" s="22"/>
      <c r="OYI460" s="22"/>
      <c r="OYJ460" s="22"/>
      <c r="OYK460" s="22"/>
      <c r="OYL460" s="22"/>
      <c r="OYM460" s="22"/>
      <c r="OYN460" s="22"/>
      <c r="OYO460" s="22"/>
      <c r="OYP460" s="22"/>
      <c r="OYQ460" s="22"/>
      <c r="OYR460" s="22"/>
      <c r="OYS460" s="22"/>
      <c r="OYT460" s="22"/>
      <c r="OYU460" s="22"/>
      <c r="OYV460" s="22"/>
      <c r="OYW460" s="22"/>
      <c r="OYX460" s="22"/>
      <c r="OYY460" s="22"/>
      <c r="OYZ460" s="22"/>
      <c r="OZA460" s="22"/>
      <c r="OZB460" s="22"/>
      <c r="OZC460" s="22"/>
      <c r="OZD460" s="22"/>
      <c r="OZE460" s="22"/>
      <c r="OZF460" s="22"/>
      <c r="OZG460" s="22"/>
      <c r="OZH460" s="22"/>
      <c r="OZI460" s="22"/>
      <c r="OZJ460" s="22"/>
      <c r="OZK460" s="22"/>
      <c r="OZL460" s="22"/>
      <c r="OZM460" s="22"/>
      <c r="OZN460" s="22"/>
      <c r="OZO460" s="22"/>
      <c r="OZP460" s="22"/>
      <c r="OZQ460" s="22"/>
      <c r="OZR460" s="22"/>
      <c r="OZS460" s="22"/>
      <c r="OZT460" s="22"/>
      <c r="OZU460" s="22"/>
      <c r="OZV460" s="22"/>
      <c r="OZW460" s="22"/>
      <c r="OZX460" s="22"/>
      <c r="OZY460" s="22"/>
      <c r="OZZ460" s="22"/>
      <c r="PAA460" s="22"/>
      <c r="PAB460" s="22"/>
      <c r="PAC460" s="22"/>
      <c r="PAD460" s="22"/>
      <c r="PAE460" s="22"/>
      <c r="PAF460" s="22"/>
      <c r="PAG460" s="22"/>
      <c r="PAH460" s="22"/>
      <c r="PAI460" s="22"/>
      <c r="PAJ460" s="22"/>
      <c r="PAK460" s="22"/>
      <c r="PAL460" s="22"/>
      <c r="PAM460" s="22"/>
      <c r="PAN460" s="22"/>
      <c r="PAO460" s="22"/>
      <c r="PAP460" s="22"/>
      <c r="PAQ460" s="22"/>
      <c r="PAR460" s="22"/>
      <c r="PAS460" s="22"/>
      <c r="PAT460" s="22"/>
      <c r="PAU460" s="22"/>
      <c r="PAV460" s="22"/>
      <c r="PAW460" s="22"/>
      <c r="PAX460" s="22"/>
      <c r="PAY460" s="22"/>
      <c r="PAZ460" s="22"/>
      <c r="PBA460" s="22"/>
      <c r="PBB460" s="22"/>
      <c r="PBC460" s="22"/>
      <c r="PBD460" s="22"/>
      <c r="PBE460" s="22"/>
      <c r="PBF460" s="22"/>
      <c r="PBG460" s="22"/>
      <c r="PBH460" s="22"/>
      <c r="PBI460" s="22"/>
      <c r="PBJ460" s="22"/>
      <c r="PBK460" s="22"/>
      <c r="PBL460" s="22"/>
      <c r="PBM460" s="22"/>
      <c r="PBN460" s="22"/>
      <c r="PBO460" s="22"/>
      <c r="PBP460" s="22"/>
      <c r="PBQ460" s="22"/>
      <c r="PBR460" s="22"/>
      <c r="PBS460" s="22"/>
      <c r="PBT460" s="22"/>
      <c r="PBU460" s="22"/>
      <c r="PBV460" s="22"/>
      <c r="PBW460" s="22"/>
      <c r="PBX460" s="22"/>
      <c r="PBY460" s="22"/>
      <c r="PBZ460" s="22"/>
      <c r="PCA460" s="22"/>
      <c r="PCB460" s="22"/>
      <c r="PCC460" s="22"/>
      <c r="PCD460" s="22"/>
      <c r="PCE460" s="22"/>
      <c r="PCF460" s="22"/>
      <c r="PCG460" s="22"/>
      <c r="PCH460" s="22"/>
      <c r="PCI460" s="22"/>
      <c r="PCJ460" s="22"/>
      <c r="PCK460" s="22"/>
      <c r="PCL460" s="22"/>
      <c r="PCM460" s="22"/>
      <c r="PCN460" s="22"/>
      <c r="PCO460" s="22"/>
      <c r="PCP460" s="22"/>
      <c r="PCQ460" s="22"/>
      <c r="PCR460" s="22"/>
      <c r="PCS460" s="22"/>
      <c r="PCT460" s="22"/>
      <c r="PCU460" s="22"/>
      <c r="PCV460" s="22"/>
      <c r="PCW460" s="22"/>
      <c r="PCX460" s="22"/>
      <c r="PCY460" s="22"/>
      <c r="PCZ460" s="22"/>
      <c r="PDA460" s="22"/>
      <c r="PDB460" s="22"/>
      <c r="PDC460" s="22"/>
      <c r="PDD460" s="22"/>
      <c r="PDE460" s="22"/>
      <c r="PDF460" s="22"/>
      <c r="PDG460" s="22"/>
      <c r="PDH460" s="22"/>
      <c r="PDI460" s="22"/>
      <c r="PDJ460" s="22"/>
      <c r="PDK460" s="22"/>
      <c r="PDL460" s="22"/>
      <c r="PDM460" s="22"/>
      <c r="PDN460" s="22"/>
      <c r="PDO460" s="22"/>
      <c r="PDP460" s="22"/>
      <c r="PDQ460" s="22"/>
      <c r="PDR460" s="22"/>
      <c r="PDS460" s="22"/>
      <c r="PDT460" s="22"/>
      <c r="PDU460" s="22"/>
      <c r="PDV460" s="22"/>
      <c r="PDW460" s="22"/>
      <c r="PDX460" s="22"/>
      <c r="PDY460" s="22"/>
      <c r="PDZ460" s="22"/>
      <c r="PEA460" s="22"/>
      <c r="PEB460" s="22"/>
      <c r="PEC460" s="22"/>
      <c r="PED460" s="22"/>
      <c r="PEE460" s="22"/>
      <c r="PEF460" s="22"/>
      <c r="PEG460" s="22"/>
      <c r="PEH460" s="22"/>
      <c r="PEI460" s="22"/>
      <c r="PEJ460" s="22"/>
      <c r="PEK460" s="22"/>
      <c r="PEL460" s="22"/>
      <c r="PEM460" s="22"/>
      <c r="PEN460" s="22"/>
      <c r="PEO460" s="22"/>
      <c r="PEP460" s="22"/>
      <c r="PEQ460" s="22"/>
      <c r="PER460" s="22"/>
      <c r="PES460" s="22"/>
      <c r="PET460" s="22"/>
      <c r="PEU460" s="22"/>
      <c r="PEV460" s="22"/>
      <c r="PEW460" s="22"/>
      <c r="PEX460" s="22"/>
      <c r="PEY460" s="22"/>
      <c r="PEZ460" s="22"/>
      <c r="PFA460" s="22"/>
      <c r="PFB460" s="22"/>
      <c r="PFC460" s="22"/>
      <c r="PFD460" s="22"/>
      <c r="PFE460" s="22"/>
      <c r="PFF460" s="22"/>
      <c r="PFG460" s="22"/>
      <c r="PFH460" s="22"/>
      <c r="PFI460" s="22"/>
      <c r="PFJ460" s="22"/>
      <c r="PFK460" s="22"/>
      <c r="PFL460" s="22"/>
      <c r="PFM460" s="22"/>
      <c r="PFN460" s="22"/>
      <c r="PFO460" s="22"/>
      <c r="PFP460" s="22"/>
      <c r="PFQ460" s="22"/>
      <c r="PFR460" s="22"/>
      <c r="PFS460" s="22"/>
      <c r="PFT460" s="22"/>
      <c r="PFU460" s="22"/>
      <c r="PFV460" s="22"/>
      <c r="PFW460" s="22"/>
      <c r="PFX460" s="22"/>
      <c r="PFY460" s="22"/>
      <c r="PFZ460" s="22"/>
      <c r="PGA460" s="22"/>
      <c r="PGB460" s="22"/>
      <c r="PGC460" s="22"/>
      <c r="PGD460" s="22"/>
      <c r="PGE460" s="22"/>
      <c r="PGF460" s="22"/>
      <c r="PGG460" s="22"/>
      <c r="PGH460" s="22"/>
      <c r="PGI460" s="22"/>
      <c r="PGJ460" s="22"/>
      <c r="PGK460" s="22"/>
      <c r="PGL460" s="22"/>
      <c r="PGM460" s="22"/>
      <c r="PGN460" s="22"/>
      <c r="PGO460" s="22"/>
      <c r="PGP460" s="22"/>
      <c r="PGQ460" s="22"/>
      <c r="PGR460" s="22"/>
      <c r="PGS460" s="22"/>
      <c r="PGT460" s="22"/>
      <c r="PGU460" s="22"/>
      <c r="PGV460" s="22"/>
      <c r="PGW460" s="22"/>
      <c r="PGX460" s="22"/>
      <c r="PGY460" s="22"/>
      <c r="PGZ460" s="22"/>
      <c r="PHA460" s="22"/>
      <c r="PHB460" s="22"/>
      <c r="PHC460" s="22"/>
      <c r="PHD460" s="22"/>
      <c r="PHE460" s="22"/>
      <c r="PHF460" s="22"/>
      <c r="PHG460" s="22"/>
      <c r="PHH460" s="22"/>
      <c r="PHI460" s="22"/>
      <c r="PHJ460" s="22"/>
      <c r="PHK460" s="22"/>
      <c r="PHL460" s="22"/>
      <c r="PHM460" s="22"/>
      <c r="PHN460" s="22"/>
      <c r="PHO460" s="22"/>
      <c r="PHP460" s="22"/>
      <c r="PHQ460" s="22"/>
      <c r="PHR460" s="22"/>
      <c r="PHS460" s="22"/>
      <c r="PHT460" s="22"/>
      <c r="PHU460" s="22"/>
      <c r="PHV460" s="22"/>
      <c r="PHW460" s="22"/>
      <c r="PHX460" s="22"/>
      <c r="PHY460" s="22"/>
      <c r="PHZ460" s="22"/>
      <c r="PIA460" s="22"/>
      <c r="PIB460" s="22"/>
      <c r="PIC460" s="22"/>
      <c r="PID460" s="22"/>
      <c r="PIE460" s="22"/>
      <c r="PIF460" s="22"/>
      <c r="PIG460" s="22"/>
      <c r="PIH460" s="22"/>
      <c r="PII460" s="22"/>
      <c r="PIJ460" s="22"/>
      <c r="PIK460" s="22"/>
      <c r="PIL460" s="22"/>
      <c r="PIM460" s="22"/>
      <c r="PIN460" s="22"/>
      <c r="PIO460" s="22"/>
      <c r="PIP460" s="22"/>
      <c r="PIQ460" s="22"/>
      <c r="PIR460" s="22"/>
      <c r="PIS460" s="22"/>
      <c r="PIT460" s="22"/>
      <c r="PIU460" s="22"/>
      <c r="PIV460" s="22"/>
      <c r="PIW460" s="22"/>
      <c r="PIX460" s="22"/>
      <c r="PIY460" s="22"/>
      <c r="PIZ460" s="22"/>
      <c r="PJA460" s="22"/>
      <c r="PJB460" s="22"/>
      <c r="PJC460" s="22"/>
      <c r="PJD460" s="22"/>
      <c r="PJE460" s="22"/>
      <c r="PJF460" s="22"/>
      <c r="PJG460" s="22"/>
      <c r="PJH460" s="22"/>
      <c r="PJI460" s="22"/>
      <c r="PJJ460" s="22"/>
      <c r="PJK460" s="22"/>
      <c r="PJL460" s="22"/>
      <c r="PJM460" s="22"/>
      <c r="PJN460" s="22"/>
      <c r="PJO460" s="22"/>
      <c r="PJP460" s="22"/>
      <c r="PJQ460" s="22"/>
      <c r="PJR460" s="22"/>
      <c r="PJS460" s="22"/>
      <c r="PJT460" s="22"/>
      <c r="PJU460" s="22"/>
      <c r="PJV460" s="22"/>
      <c r="PJW460" s="22"/>
      <c r="PJX460" s="22"/>
      <c r="PJY460" s="22"/>
      <c r="PJZ460" s="22"/>
      <c r="PKA460" s="22"/>
      <c r="PKB460" s="22"/>
      <c r="PKC460" s="22"/>
      <c r="PKD460" s="22"/>
      <c r="PKE460" s="22"/>
      <c r="PKF460" s="22"/>
      <c r="PKG460" s="22"/>
      <c r="PKH460" s="22"/>
      <c r="PKI460" s="22"/>
      <c r="PKJ460" s="22"/>
      <c r="PKK460" s="22"/>
      <c r="PKL460" s="22"/>
      <c r="PKM460" s="22"/>
      <c r="PKN460" s="22"/>
      <c r="PKO460" s="22"/>
      <c r="PKP460" s="22"/>
      <c r="PKQ460" s="22"/>
      <c r="PKR460" s="22"/>
      <c r="PKS460" s="22"/>
      <c r="PKT460" s="22"/>
      <c r="PKU460" s="22"/>
      <c r="PKV460" s="22"/>
      <c r="PKW460" s="22"/>
      <c r="PKX460" s="22"/>
      <c r="PKY460" s="22"/>
      <c r="PKZ460" s="22"/>
      <c r="PLA460" s="22"/>
      <c r="PLB460" s="22"/>
      <c r="PLC460" s="22"/>
      <c r="PLD460" s="22"/>
      <c r="PLE460" s="22"/>
      <c r="PLF460" s="22"/>
      <c r="PLG460" s="22"/>
      <c r="PLH460" s="22"/>
      <c r="PLI460" s="22"/>
      <c r="PLJ460" s="22"/>
      <c r="PLK460" s="22"/>
      <c r="PLL460" s="22"/>
      <c r="PLM460" s="22"/>
      <c r="PLN460" s="22"/>
      <c r="PLO460" s="22"/>
      <c r="PLP460" s="22"/>
      <c r="PLQ460" s="22"/>
      <c r="PLR460" s="22"/>
      <c r="PLS460" s="22"/>
      <c r="PLT460" s="22"/>
      <c r="PLU460" s="22"/>
      <c r="PLV460" s="22"/>
      <c r="PLW460" s="22"/>
      <c r="PLX460" s="22"/>
      <c r="PLY460" s="22"/>
      <c r="PLZ460" s="22"/>
      <c r="PMA460" s="22"/>
      <c r="PMB460" s="22"/>
      <c r="PMC460" s="22"/>
      <c r="PMD460" s="22"/>
      <c r="PME460" s="22"/>
      <c r="PMF460" s="22"/>
      <c r="PMG460" s="22"/>
      <c r="PMH460" s="22"/>
      <c r="PMI460" s="22"/>
      <c r="PMJ460" s="22"/>
      <c r="PMK460" s="22"/>
      <c r="PML460" s="22"/>
      <c r="PMM460" s="22"/>
      <c r="PMN460" s="22"/>
      <c r="PMO460" s="22"/>
      <c r="PMP460" s="22"/>
      <c r="PMQ460" s="22"/>
      <c r="PMR460" s="22"/>
      <c r="PMS460" s="22"/>
      <c r="PMT460" s="22"/>
      <c r="PMU460" s="22"/>
      <c r="PMV460" s="22"/>
      <c r="PMW460" s="22"/>
      <c r="PMX460" s="22"/>
      <c r="PMY460" s="22"/>
      <c r="PMZ460" s="22"/>
      <c r="PNA460" s="22"/>
      <c r="PNB460" s="22"/>
      <c r="PNC460" s="22"/>
      <c r="PND460" s="22"/>
      <c r="PNE460" s="22"/>
      <c r="PNF460" s="22"/>
      <c r="PNG460" s="22"/>
      <c r="PNH460" s="22"/>
      <c r="PNI460" s="22"/>
      <c r="PNJ460" s="22"/>
      <c r="PNK460" s="22"/>
      <c r="PNL460" s="22"/>
      <c r="PNM460" s="22"/>
      <c r="PNN460" s="22"/>
      <c r="PNO460" s="22"/>
      <c r="PNP460" s="22"/>
      <c r="PNQ460" s="22"/>
      <c r="PNR460" s="22"/>
      <c r="PNS460" s="22"/>
      <c r="PNT460" s="22"/>
      <c r="PNU460" s="22"/>
      <c r="PNV460" s="22"/>
      <c r="PNW460" s="22"/>
      <c r="PNX460" s="22"/>
      <c r="PNY460" s="22"/>
      <c r="PNZ460" s="22"/>
      <c r="POA460" s="22"/>
      <c r="POB460" s="22"/>
      <c r="POC460" s="22"/>
      <c r="POD460" s="22"/>
      <c r="POE460" s="22"/>
      <c r="POF460" s="22"/>
      <c r="POG460" s="22"/>
      <c r="POH460" s="22"/>
      <c r="POI460" s="22"/>
      <c r="POJ460" s="22"/>
      <c r="POK460" s="22"/>
      <c r="POL460" s="22"/>
      <c r="POM460" s="22"/>
      <c r="PON460" s="22"/>
      <c r="POO460" s="22"/>
      <c r="POP460" s="22"/>
      <c r="POQ460" s="22"/>
      <c r="POR460" s="22"/>
      <c r="POS460" s="22"/>
      <c r="POT460" s="22"/>
      <c r="POU460" s="22"/>
      <c r="POV460" s="22"/>
      <c r="POW460" s="22"/>
      <c r="POX460" s="22"/>
      <c r="POY460" s="22"/>
      <c r="POZ460" s="22"/>
      <c r="PPA460" s="22"/>
      <c r="PPB460" s="22"/>
      <c r="PPC460" s="22"/>
      <c r="PPD460" s="22"/>
      <c r="PPE460" s="22"/>
      <c r="PPF460" s="22"/>
      <c r="PPG460" s="22"/>
      <c r="PPH460" s="22"/>
      <c r="PPI460" s="22"/>
      <c r="PPJ460" s="22"/>
      <c r="PPK460" s="22"/>
      <c r="PPL460" s="22"/>
      <c r="PPM460" s="22"/>
      <c r="PPN460" s="22"/>
      <c r="PPO460" s="22"/>
      <c r="PPP460" s="22"/>
      <c r="PPQ460" s="22"/>
      <c r="PPR460" s="22"/>
      <c r="PPS460" s="22"/>
      <c r="PPT460" s="22"/>
      <c r="PPU460" s="22"/>
      <c r="PPV460" s="22"/>
      <c r="PPW460" s="22"/>
      <c r="PPX460" s="22"/>
      <c r="PPY460" s="22"/>
      <c r="PPZ460" s="22"/>
      <c r="PQA460" s="22"/>
      <c r="PQB460" s="22"/>
      <c r="PQC460" s="22"/>
      <c r="PQD460" s="22"/>
      <c r="PQE460" s="22"/>
      <c r="PQF460" s="22"/>
      <c r="PQG460" s="22"/>
      <c r="PQH460" s="22"/>
      <c r="PQI460" s="22"/>
      <c r="PQJ460" s="22"/>
      <c r="PQK460" s="22"/>
      <c r="PQL460" s="22"/>
      <c r="PQM460" s="22"/>
      <c r="PQN460" s="22"/>
      <c r="PQO460" s="22"/>
      <c r="PQP460" s="22"/>
      <c r="PQQ460" s="22"/>
      <c r="PQR460" s="22"/>
      <c r="PQS460" s="22"/>
      <c r="PQT460" s="22"/>
      <c r="PQU460" s="22"/>
      <c r="PQV460" s="22"/>
      <c r="PQW460" s="22"/>
      <c r="PQX460" s="22"/>
      <c r="PQY460" s="22"/>
      <c r="PQZ460" s="22"/>
      <c r="PRA460" s="22"/>
      <c r="PRB460" s="22"/>
      <c r="PRC460" s="22"/>
      <c r="PRD460" s="22"/>
      <c r="PRE460" s="22"/>
      <c r="PRF460" s="22"/>
      <c r="PRG460" s="22"/>
      <c r="PRH460" s="22"/>
      <c r="PRI460" s="22"/>
      <c r="PRJ460" s="22"/>
      <c r="PRK460" s="22"/>
      <c r="PRL460" s="22"/>
      <c r="PRM460" s="22"/>
      <c r="PRN460" s="22"/>
      <c r="PRO460" s="22"/>
      <c r="PRP460" s="22"/>
      <c r="PRQ460" s="22"/>
      <c r="PRR460" s="22"/>
      <c r="PRS460" s="22"/>
      <c r="PRT460" s="22"/>
      <c r="PRU460" s="22"/>
      <c r="PRV460" s="22"/>
      <c r="PRW460" s="22"/>
      <c r="PRX460" s="22"/>
      <c r="PRY460" s="22"/>
      <c r="PRZ460" s="22"/>
      <c r="PSA460" s="22"/>
      <c r="PSB460" s="22"/>
      <c r="PSC460" s="22"/>
      <c r="PSD460" s="22"/>
      <c r="PSE460" s="22"/>
      <c r="PSF460" s="22"/>
      <c r="PSG460" s="22"/>
      <c r="PSH460" s="22"/>
      <c r="PSI460" s="22"/>
      <c r="PSJ460" s="22"/>
      <c r="PSK460" s="22"/>
      <c r="PSL460" s="22"/>
      <c r="PSM460" s="22"/>
      <c r="PSN460" s="22"/>
      <c r="PSO460" s="22"/>
      <c r="PSP460" s="22"/>
      <c r="PSQ460" s="22"/>
      <c r="PSR460" s="22"/>
      <c r="PSS460" s="22"/>
      <c r="PST460" s="22"/>
      <c r="PSU460" s="22"/>
      <c r="PSV460" s="22"/>
      <c r="PSW460" s="22"/>
      <c r="PSX460" s="22"/>
      <c r="PSY460" s="22"/>
      <c r="PSZ460" s="22"/>
      <c r="PTA460" s="22"/>
      <c r="PTB460" s="22"/>
      <c r="PTC460" s="22"/>
      <c r="PTD460" s="22"/>
      <c r="PTE460" s="22"/>
      <c r="PTF460" s="22"/>
      <c r="PTG460" s="22"/>
      <c r="PTH460" s="22"/>
      <c r="PTI460" s="22"/>
      <c r="PTJ460" s="22"/>
      <c r="PTK460" s="22"/>
      <c r="PTL460" s="22"/>
      <c r="PTM460" s="22"/>
      <c r="PTN460" s="22"/>
      <c r="PTO460" s="22"/>
      <c r="PTP460" s="22"/>
      <c r="PTQ460" s="22"/>
      <c r="PTR460" s="22"/>
      <c r="PTS460" s="22"/>
      <c r="PTT460" s="22"/>
      <c r="PTU460" s="22"/>
      <c r="PTV460" s="22"/>
      <c r="PTW460" s="22"/>
      <c r="PTX460" s="22"/>
      <c r="PTY460" s="22"/>
      <c r="PTZ460" s="22"/>
      <c r="PUA460" s="22"/>
      <c r="PUB460" s="22"/>
      <c r="PUC460" s="22"/>
      <c r="PUD460" s="22"/>
      <c r="PUE460" s="22"/>
      <c r="PUF460" s="22"/>
      <c r="PUG460" s="22"/>
      <c r="PUH460" s="22"/>
      <c r="PUI460" s="22"/>
      <c r="PUJ460" s="22"/>
      <c r="PUK460" s="22"/>
      <c r="PUL460" s="22"/>
      <c r="PUM460" s="22"/>
      <c r="PUN460" s="22"/>
      <c r="PUO460" s="22"/>
      <c r="PUP460" s="22"/>
      <c r="PUQ460" s="22"/>
      <c r="PUR460" s="22"/>
      <c r="PUS460" s="22"/>
      <c r="PUT460" s="22"/>
      <c r="PUU460" s="22"/>
      <c r="PUV460" s="22"/>
      <c r="PUW460" s="22"/>
      <c r="PUX460" s="22"/>
      <c r="PUY460" s="22"/>
      <c r="PUZ460" s="22"/>
      <c r="PVA460" s="22"/>
      <c r="PVB460" s="22"/>
      <c r="PVC460" s="22"/>
      <c r="PVD460" s="22"/>
      <c r="PVE460" s="22"/>
      <c r="PVF460" s="22"/>
      <c r="PVG460" s="22"/>
      <c r="PVH460" s="22"/>
      <c r="PVI460" s="22"/>
      <c r="PVJ460" s="22"/>
      <c r="PVK460" s="22"/>
      <c r="PVL460" s="22"/>
      <c r="PVM460" s="22"/>
      <c r="PVN460" s="22"/>
      <c r="PVO460" s="22"/>
      <c r="PVP460" s="22"/>
      <c r="PVQ460" s="22"/>
      <c r="PVR460" s="22"/>
      <c r="PVS460" s="22"/>
      <c r="PVT460" s="22"/>
      <c r="PVU460" s="22"/>
      <c r="PVV460" s="22"/>
      <c r="PVW460" s="22"/>
      <c r="PVX460" s="22"/>
      <c r="PVY460" s="22"/>
      <c r="PVZ460" s="22"/>
      <c r="PWA460" s="22"/>
      <c r="PWB460" s="22"/>
      <c r="PWC460" s="22"/>
      <c r="PWD460" s="22"/>
      <c r="PWE460" s="22"/>
      <c r="PWF460" s="22"/>
      <c r="PWG460" s="22"/>
      <c r="PWH460" s="22"/>
      <c r="PWI460" s="22"/>
      <c r="PWJ460" s="22"/>
      <c r="PWK460" s="22"/>
      <c r="PWL460" s="22"/>
      <c r="PWM460" s="22"/>
      <c r="PWN460" s="22"/>
      <c r="PWO460" s="22"/>
      <c r="PWP460" s="22"/>
      <c r="PWQ460" s="22"/>
      <c r="PWR460" s="22"/>
      <c r="PWS460" s="22"/>
      <c r="PWT460" s="22"/>
      <c r="PWU460" s="22"/>
      <c r="PWV460" s="22"/>
      <c r="PWW460" s="22"/>
      <c r="PWX460" s="22"/>
      <c r="PWY460" s="22"/>
      <c r="PWZ460" s="22"/>
      <c r="PXA460" s="22"/>
      <c r="PXB460" s="22"/>
      <c r="PXC460" s="22"/>
      <c r="PXD460" s="22"/>
      <c r="PXE460" s="22"/>
      <c r="PXF460" s="22"/>
      <c r="PXG460" s="22"/>
      <c r="PXH460" s="22"/>
      <c r="PXI460" s="22"/>
      <c r="PXJ460" s="22"/>
      <c r="PXK460" s="22"/>
      <c r="PXL460" s="22"/>
      <c r="PXM460" s="22"/>
      <c r="PXN460" s="22"/>
      <c r="PXO460" s="22"/>
      <c r="PXP460" s="22"/>
      <c r="PXQ460" s="22"/>
      <c r="PXR460" s="22"/>
      <c r="PXS460" s="22"/>
      <c r="PXT460" s="22"/>
      <c r="PXU460" s="22"/>
      <c r="PXV460" s="22"/>
      <c r="PXW460" s="22"/>
      <c r="PXX460" s="22"/>
      <c r="PXY460" s="22"/>
      <c r="PXZ460" s="22"/>
      <c r="PYA460" s="22"/>
      <c r="PYB460" s="22"/>
      <c r="PYC460" s="22"/>
      <c r="PYD460" s="22"/>
      <c r="PYE460" s="22"/>
      <c r="PYF460" s="22"/>
      <c r="PYG460" s="22"/>
      <c r="PYH460" s="22"/>
      <c r="PYI460" s="22"/>
      <c r="PYJ460" s="22"/>
      <c r="PYK460" s="22"/>
      <c r="PYL460" s="22"/>
      <c r="PYM460" s="22"/>
      <c r="PYN460" s="22"/>
      <c r="PYO460" s="22"/>
      <c r="PYP460" s="22"/>
      <c r="PYQ460" s="22"/>
      <c r="PYR460" s="22"/>
      <c r="PYS460" s="22"/>
      <c r="PYT460" s="22"/>
      <c r="PYU460" s="22"/>
      <c r="PYV460" s="22"/>
      <c r="PYW460" s="22"/>
      <c r="PYX460" s="22"/>
      <c r="PYY460" s="22"/>
      <c r="PYZ460" s="22"/>
      <c r="PZA460" s="22"/>
      <c r="PZB460" s="22"/>
      <c r="PZC460" s="22"/>
      <c r="PZD460" s="22"/>
      <c r="PZE460" s="22"/>
      <c r="PZF460" s="22"/>
      <c r="PZG460" s="22"/>
      <c r="PZH460" s="22"/>
      <c r="PZI460" s="22"/>
      <c r="PZJ460" s="22"/>
      <c r="PZK460" s="22"/>
      <c r="PZL460" s="22"/>
      <c r="PZM460" s="22"/>
      <c r="PZN460" s="22"/>
      <c r="PZO460" s="22"/>
      <c r="PZP460" s="22"/>
      <c r="PZQ460" s="22"/>
      <c r="PZR460" s="22"/>
      <c r="PZS460" s="22"/>
      <c r="PZT460" s="22"/>
      <c r="PZU460" s="22"/>
      <c r="PZV460" s="22"/>
      <c r="PZW460" s="22"/>
      <c r="PZX460" s="22"/>
      <c r="PZY460" s="22"/>
      <c r="PZZ460" s="22"/>
      <c r="QAA460" s="22"/>
      <c r="QAB460" s="22"/>
      <c r="QAC460" s="22"/>
      <c r="QAD460" s="22"/>
      <c r="QAE460" s="22"/>
      <c r="QAF460" s="22"/>
      <c r="QAG460" s="22"/>
      <c r="QAH460" s="22"/>
      <c r="QAI460" s="22"/>
      <c r="QAJ460" s="22"/>
      <c r="QAK460" s="22"/>
      <c r="QAL460" s="22"/>
      <c r="QAM460" s="22"/>
      <c r="QAN460" s="22"/>
      <c r="QAO460" s="22"/>
      <c r="QAP460" s="22"/>
      <c r="QAQ460" s="22"/>
      <c r="QAR460" s="22"/>
      <c r="QAS460" s="22"/>
      <c r="QAT460" s="22"/>
      <c r="QAU460" s="22"/>
      <c r="QAV460" s="22"/>
      <c r="QAW460" s="22"/>
      <c r="QAX460" s="22"/>
      <c r="QAY460" s="22"/>
      <c r="QAZ460" s="22"/>
      <c r="QBA460" s="22"/>
      <c r="QBB460" s="22"/>
      <c r="QBC460" s="22"/>
      <c r="QBD460" s="22"/>
      <c r="QBE460" s="22"/>
      <c r="QBF460" s="22"/>
      <c r="QBG460" s="22"/>
      <c r="QBH460" s="22"/>
      <c r="QBI460" s="22"/>
      <c r="QBJ460" s="22"/>
      <c r="QBK460" s="22"/>
      <c r="QBL460" s="22"/>
      <c r="QBM460" s="22"/>
      <c r="QBN460" s="22"/>
      <c r="QBO460" s="22"/>
      <c r="QBP460" s="22"/>
      <c r="QBQ460" s="22"/>
      <c r="QBR460" s="22"/>
      <c r="QBS460" s="22"/>
      <c r="QBT460" s="22"/>
      <c r="QBU460" s="22"/>
      <c r="QBV460" s="22"/>
      <c r="QBW460" s="22"/>
      <c r="QBX460" s="22"/>
      <c r="QBY460" s="22"/>
      <c r="QBZ460" s="22"/>
      <c r="QCA460" s="22"/>
      <c r="QCB460" s="22"/>
      <c r="QCC460" s="22"/>
      <c r="QCD460" s="22"/>
      <c r="QCE460" s="22"/>
      <c r="QCF460" s="22"/>
      <c r="QCG460" s="22"/>
      <c r="QCH460" s="22"/>
      <c r="QCI460" s="22"/>
      <c r="QCJ460" s="22"/>
      <c r="QCK460" s="22"/>
      <c r="QCL460" s="22"/>
      <c r="QCM460" s="22"/>
      <c r="QCN460" s="22"/>
      <c r="QCO460" s="22"/>
      <c r="QCP460" s="22"/>
      <c r="QCQ460" s="22"/>
      <c r="QCR460" s="22"/>
      <c r="QCS460" s="22"/>
      <c r="QCT460" s="22"/>
      <c r="QCU460" s="22"/>
      <c r="QCV460" s="22"/>
      <c r="QCW460" s="22"/>
      <c r="QCX460" s="22"/>
      <c r="QCY460" s="22"/>
      <c r="QCZ460" s="22"/>
      <c r="QDA460" s="22"/>
      <c r="QDB460" s="22"/>
      <c r="QDC460" s="22"/>
      <c r="QDD460" s="22"/>
      <c r="QDE460" s="22"/>
      <c r="QDF460" s="22"/>
      <c r="QDG460" s="22"/>
      <c r="QDH460" s="22"/>
      <c r="QDI460" s="22"/>
      <c r="QDJ460" s="22"/>
      <c r="QDK460" s="22"/>
      <c r="QDL460" s="22"/>
      <c r="QDM460" s="22"/>
      <c r="QDN460" s="22"/>
      <c r="QDO460" s="22"/>
      <c r="QDP460" s="22"/>
      <c r="QDQ460" s="22"/>
      <c r="QDR460" s="22"/>
      <c r="QDS460" s="22"/>
      <c r="QDT460" s="22"/>
      <c r="QDU460" s="22"/>
      <c r="QDV460" s="22"/>
      <c r="QDW460" s="22"/>
      <c r="QDX460" s="22"/>
      <c r="QDY460" s="22"/>
      <c r="QDZ460" s="22"/>
      <c r="QEA460" s="22"/>
      <c r="QEB460" s="22"/>
      <c r="QEC460" s="22"/>
      <c r="QED460" s="22"/>
      <c r="QEE460" s="22"/>
      <c r="QEF460" s="22"/>
      <c r="QEG460" s="22"/>
      <c r="QEH460" s="22"/>
      <c r="QEI460" s="22"/>
      <c r="QEJ460" s="22"/>
      <c r="QEK460" s="22"/>
      <c r="QEL460" s="22"/>
      <c r="QEM460" s="22"/>
      <c r="QEN460" s="22"/>
      <c r="QEO460" s="22"/>
      <c r="QEP460" s="22"/>
      <c r="QEQ460" s="22"/>
      <c r="QER460" s="22"/>
      <c r="QES460" s="22"/>
      <c r="QET460" s="22"/>
      <c r="QEU460" s="22"/>
      <c r="QEV460" s="22"/>
      <c r="QEW460" s="22"/>
      <c r="QEX460" s="22"/>
      <c r="QEY460" s="22"/>
      <c r="QEZ460" s="22"/>
      <c r="QFA460" s="22"/>
      <c r="QFB460" s="22"/>
      <c r="QFC460" s="22"/>
      <c r="QFD460" s="22"/>
      <c r="QFE460" s="22"/>
      <c r="QFF460" s="22"/>
      <c r="QFG460" s="22"/>
      <c r="QFH460" s="22"/>
      <c r="QFI460" s="22"/>
      <c r="QFJ460" s="22"/>
      <c r="QFK460" s="22"/>
      <c r="QFL460" s="22"/>
      <c r="QFM460" s="22"/>
      <c r="QFN460" s="22"/>
      <c r="QFO460" s="22"/>
      <c r="QFP460" s="22"/>
      <c r="QFQ460" s="22"/>
      <c r="QFR460" s="22"/>
      <c r="QFS460" s="22"/>
      <c r="QFT460" s="22"/>
      <c r="QFU460" s="22"/>
      <c r="QFV460" s="22"/>
      <c r="QFW460" s="22"/>
      <c r="QFX460" s="22"/>
      <c r="QFY460" s="22"/>
      <c r="QFZ460" s="22"/>
      <c r="QGA460" s="22"/>
      <c r="QGB460" s="22"/>
      <c r="QGC460" s="22"/>
      <c r="QGD460" s="22"/>
      <c r="QGE460" s="22"/>
      <c r="QGF460" s="22"/>
      <c r="QGG460" s="22"/>
      <c r="QGH460" s="22"/>
      <c r="QGI460" s="22"/>
      <c r="QGJ460" s="22"/>
      <c r="QGK460" s="22"/>
      <c r="QGL460" s="22"/>
      <c r="QGM460" s="22"/>
      <c r="QGN460" s="22"/>
      <c r="QGO460" s="22"/>
      <c r="QGP460" s="22"/>
      <c r="QGQ460" s="22"/>
      <c r="QGR460" s="22"/>
      <c r="QGS460" s="22"/>
      <c r="QGT460" s="22"/>
      <c r="QGU460" s="22"/>
      <c r="QGV460" s="22"/>
      <c r="QGW460" s="22"/>
      <c r="QGX460" s="22"/>
      <c r="QGY460" s="22"/>
      <c r="QGZ460" s="22"/>
      <c r="QHA460" s="22"/>
      <c r="QHB460" s="22"/>
      <c r="QHC460" s="22"/>
      <c r="QHD460" s="22"/>
      <c r="QHE460" s="22"/>
      <c r="QHF460" s="22"/>
      <c r="QHG460" s="22"/>
      <c r="QHH460" s="22"/>
      <c r="QHI460" s="22"/>
      <c r="QHJ460" s="22"/>
      <c r="QHK460" s="22"/>
      <c r="QHL460" s="22"/>
      <c r="QHM460" s="22"/>
      <c r="QHN460" s="22"/>
      <c r="QHO460" s="22"/>
      <c r="QHP460" s="22"/>
      <c r="QHQ460" s="22"/>
      <c r="QHR460" s="22"/>
      <c r="QHS460" s="22"/>
      <c r="QHT460" s="22"/>
      <c r="QHU460" s="22"/>
      <c r="QHV460" s="22"/>
      <c r="QHW460" s="22"/>
      <c r="QHX460" s="22"/>
      <c r="QHY460" s="22"/>
      <c r="QHZ460" s="22"/>
      <c r="QIA460" s="22"/>
      <c r="QIB460" s="22"/>
      <c r="QIC460" s="22"/>
      <c r="QID460" s="22"/>
      <c r="QIE460" s="22"/>
      <c r="QIF460" s="22"/>
      <c r="QIG460" s="22"/>
      <c r="QIH460" s="22"/>
      <c r="QII460" s="22"/>
      <c r="QIJ460" s="22"/>
      <c r="QIK460" s="22"/>
      <c r="QIL460" s="22"/>
      <c r="QIM460" s="22"/>
      <c r="QIN460" s="22"/>
      <c r="QIO460" s="22"/>
      <c r="QIP460" s="22"/>
      <c r="QIQ460" s="22"/>
      <c r="QIR460" s="22"/>
      <c r="QIS460" s="22"/>
      <c r="QIT460" s="22"/>
      <c r="QIU460" s="22"/>
      <c r="QIV460" s="22"/>
      <c r="QIW460" s="22"/>
      <c r="QIX460" s="22"/>
      <c r="QIY460" s="22"/>
      <c r="QIZ460" s="22"/>
      <c r="QJA460" s="22"/>
      <c r="QJB460" s="22"/>
      <c r="QJC460" s="22"/>
      <c r="QJD460" s="22"/>
      <c r="QJE460" s="22"/>
      <c r="QJF460" s="22"/>
      <c r="QJG460" s="22"/>
      <c r="QJH460" s="22"/>
      <c r="QJI460" s="22"/>
      <c r="QJJ460" s="22"/>
      <c r="QJK460" s="22"/>
      <c r="QJL460" s="22"/>
      <c r="QJM460" s="22"/>
      <c r="QJN460" s="22"/>
      <c r="QJO460" s="22"/>
      <c r="QJP460" s="22"/>
      <c r="QJQ460" s="22"/>
      <c r="QJR460" s="22"/>
      <c r="QJS460" s="22"/>
      <c r="QJT460" s="22"/>
      <c r="QJU460" s="22"/>
      <c r="QJV460" s="22"/>
      <c r="QJW460" s="22"/>
      <c r="QJX460" s="22"/>
      <c r="QJY460" s="22"/>
      <c r="QJZ460" s="22"/>
      <c r="QKA460" s="22"/>
      <c r="QKB460" s="22"/>
      <c r="QKC460" s="22"/>
      <c r="QKD460" s="22"/>
      <c r="QKE460" s="22"/>
      <c r="QKF460" s="22"/>
      <c r="QKG460" s="22"/>
      <c r="QKH460" s="22"/>
      <c r="QKI460" s="22"/>
      <c r="QKJ460" s="22"/>
      <c r="QKK460" s="22"/>
      <c r="QKL460" s="22"/>
      <c r="QKM460" s="22"/>
      <c r="QKN460" s="22"/>
      <c r="QKO460" s="22"/>
      <c r="QKP460" s="22"/>
      <c r="QKQ460" s="22"/>
      <c r="QKR460" s="22"/>
      <c r="QKS460" s="22"/>
      <c r="QKT460" s="22"/>
      <c r="QKU460" s="22"/>
      <c r="QKV460" s="22"/>
      <c r="QKW460" s="22"/>
      <c r="QKX460" s="22"/>
      <c r="QKY460" s="22"/>
      <c r="QKZ460" s="22"/>
      <c r="QLA460" s="22"/>
      <c r="QLB460" s="22"/>
      <c r="QLC460" s="22"/>
      <c r="QLD460" s="22"/>
      <c r="QLE460" s="22"/>
      <c r="QLF460" s="22"/>
      <c r="QLG460" s="22"/>
      <c r="QLH460" s="22"/>
      <c r="QLI460" s="22"/>
      <c r="QLJ460" s="22"/>
      <c r="QLK460" s="22"/>
      <c r="QLL460" s="22"/>
      <c r="QLM460" s="22"/>
      <c r="QLN460" s="22"/>
      <c r="QLO460" s="22"/>
      <c r="QLP460" s="22"/>
      <c r="QLQ460" s="22"/>
      <c r="QLR460" s="22"/>
      <c r="QLS460" s="22"/>
      <c r="QLT460" s="22"/>
      <c r="QLU460" s="22"/>
      <c r="QLV460" s="22"/>
      <c r="QLW460" s="22"/>
      <c r="QLX460" s="22"/>
      <c r="QLY460" s="22"/>
      <c r="QLZ460" s="22"/>
      <c r="QMA460" s="22"/>
      <c r="QMB460" s="22"/>
      <c r="QMC460" s="22"/>
      <c r="QMD460" s="22"/>
      <c r="QME460" s="22"/>
      <c r="QMF460" s="22"/>
      <c r="QMG460" s="22"/>
      <c r="QMH460" s="22"/>
      <c r="QMI460" s="22"/>
      <c r="QMJ460" s="22"/>
      <c r="QMK460" s="22"/>
      <c r="QML460" s="22"/>
      <c r="QMM460" s="22"/>
      <c r="QMN460" s="22"/>
      <c r="QMO460" s="22"/>
      <c r="QMP460" s="22"/>
      <c r="QMQ460" s="22"/>
      <c r="QMR460" s="22"/>
      <c r="QMS460" s="22"/>
      <c r="QMT460" s="22"/>
      <c r="QMU460" s="22"/>
      <c r="QMV460" s="22"/>
      <c r="QMW460" s="22"/>
      <c r="QMX460" s="22"/>
      <c r="QMY460" s="22"/>
      <c r="QMZ460" s="22"/>
      <c r="QNA460" s="22"/>
      <c r="QNB460" s="22"/>
      <c r="QNC460" s="22"/>
      <c r="QND460" s="22"/>
      <c r="QNE460" s="22"/>
      <c r="QNF460" s="22"/>
      <c r="QNG460" s="22"/>
      <c r="QNH460" s="22"/>
      <c r="QNI460" s="22"/>
      <c r="QNJ460" s="22"/>
      <c r="QNK460" s="22"/>
      <c r="QNL460" s="22"/>
      <c r="QNM460" s="22"/>
      <c r="QNN460" s="22"/>
      <c r="QNO460" s="22"/>
      <c r="QNP460" s="22"/>
      <c r="QNQ460" s="22"/>
      <c r="QNR460" s="22"/>
      <c r="QNS460" s="22"/>
      <c r="QNT460" s="22"/>
      <c r="QNU460" s="22"/>
      <c r="QNV460" s="22"/>
      <c r="QNW460" s="22"/>
      <c r="QNX460" s="22"/>
      <c r="QNY460" s="22"/>
      <c r="QNZ460" s="22"/>
      <c r="QOA460" s="22"/>
      <c r="QOB460" s="22"/>
      <c r="QOC460" s="22"/>
      <c r="QOD460" s="22"/>
      <c r="QOE460" s="22"/>
      <c r="QOF460" s="22"/>
      <c r="QOG460" s="22"/>
      <c r="QOH460" s="22"/>
      <c r="QOI460" s="22"/>
      <c r="QOJ460" s="22"/>
      <c r="QOK460" s="22"/>
      <c r="QOL460" s="22"/>
      <c r="QOM460" s="22"/>
      <c r="QON460" s="22"/>
      <c r="QOO460" s="22"/>
      <c r="QOP460" s="22"/>
      <c r="QOQ460" s="22"/>
      <c r="QOR460" s="22"/>
      <c r="QOS460" s="22"/>
      <c r="QOT460" s="22"/>
      <c r="QOU460" s="22"/>
      <c r="QOV460" s="22"/>
      <c r="QOW460" s="22"/>
      <c r="QOX460" s="22"/>
      <c r="QOY460" s="22"/>
      <c r="QOZ460" s="22"/>
      <c r="QPA460" s="22"/>
      <c r="QPB460" s="22"/>
      <c r="QPC460" s="22"/>
      <c r="QPD460" s="22"/>
      <c r="QPE460" s="22"/>
      <c r="QPF460" s="22"/>
      <c r="QPG460" s="22"/>
      <c r="QPH460" s="22"/>
      <c r="QPI460" s="22"/>
      <c r="QPJ460" s="22"/>
      <c r="QPK460" s="22"/>
      <c r="QPL460" s="22"/>
      <c r="QPM460" s="22"/>
      <c r="QPN460" s="22"/>
      <c r="QPO460" s="22"/>
      <c r="QPP460" s="22"/>
      <c r="QPQ460" s="22"/>
      <c r="QPR460" s="22"/>
      <c r="QPS460" s="22"/>
      <c r="QPT460" s="22"/>
      <c r="QPU460" s="22"/>
      <c r="QPV460" s="22"/>
      <c r="QPW460" s="22"/>
      <c r="QPX460" s="22"/>
      <c r="QPY460" s="22"/>
      <c r="QPZ460" s="22"/>
      <c r="QQA460" s="22"/>
      <c r="QQB460" s="22"/>
      <c r="QQC460" s="22"/>
      <c r="QQD460" s="22"/>
      <c r="QQE460" s="22"/>
      <c r="QQF460" s="22"/>
      <c r="QQG460" s="22"/>
      <c r="QQH460" s="22"/>
      <c r="QQI460" s="22"/>
      <c r="QQJ460" s="22"/>
      <c r="QQK460" s="22"/>
      <c r="QQL460" s="22"/>
      <c r="QQM460" s="22"/>
      <c r="QQN460" s="22"/>
      <c r="QQO460" s="22"/>
      <c r="QQP460" s="22"/>
      <c r="QQQ460" s="22"/>
      <c r="QQR460" s="22"/>
      <c r="QQS460" s="22"/>
      <c r="QQT460" s="22"/>
      <c r="QQU460" s="22"/>
      <c r="QQV460" s="22"/>
      <c r="QQW460" s="22"/>
      <c r="QQX460" s="22"/>
      <c r="QQY460" s="22"/>
      <c r="QQZ460" s="22"/>
      <c r="QRA460" s="22"/>
      <c r="QRB460" s="22"/>
      <c r="QRC460" s="22"/>
      <c r="QRD460" s="22"/>
      <c r="QRE460" s="22"/>
      <c r="QRF460" s="22"/>
      <c r="QRG460" s="22"/>
      <c r="QRH460" s="22"/>
      <c r="QRI460" s="22"/>
      <c r="QRJ460" s="22"/>
      <c r="QRK460" s="22"/>
      <c r="QRL460" s="22"/>
      <c r="QRM460" s="22"/>
      <c r="QRN460" s="22"/>
      <c r="QRO460" s="22"/>
      <c r="QRP460" s="22"/>
      <c r="QRQ460" s="22"/>
      <c r="QRR460" s="22"/>
      <c r="QRS460" s="22"/>
      <c r="QRT460" s="22"/>
      <c r="QRU460" s="22"/>
      <c r="QRV460" s="22"/>
      <c r="QRW460" s="22"/>
      <c r="QRX460" s="22"/>
      <c r="QRY460" s="22"/>
      <c r="QRZ460" s="22"/>
      <c r="QSA460" s="22"/>
      <c r="QSB460" s="22"/>
      <c r="QSC460" s="22"/>
      <c r="QSD460" s="22"/>
      <c r="QSE460" s="22"/>
      <c r="QSF460" s="22"/>
      <c r="QSG460" s="22"/>
      <c r="QSH460" s="22"/>
      <c r="QSI460" s="22"/>
      <c r="QSJ460" s="22"/>
      <c r="QSK460" s="22"/>
      <c r="QSL460" s="22"/>
      <c r="QSM460" s="22"/>
      <c r="QSN460" s="22"/>
      <c r="QSO460" s="22"/>
      <c r="QSP460" s="22"/>
      <c r="QSQ460" s="22"/>
      <c r="QSR460" s="22"/>
      <c r="QSS460" s="22"/>
      <c r="QST460" s="22"/>
      <c r="QSU460" s="22"/>
      <c r="QSV460" s="22"/>
      <c r="QSW460" s="22"/>
      <c r="QSX460" s="22"/>
      <c r="QSY460" s="22"/>
      <c r="QSZ460" s="22"/>
      <c r="QTA460" s="22"/>
      <c r="QTB460" s="22"/>
      <c r="QTC460" s="22"/>
      <c r="QTD460" s="22"/>
      <c r="QTE460" s="22"/>
      <c r="QTF460" s="22"/>
      <c r="QTG460" s="22"/>
      <c r="QTH460" s="22"/>
      <c r="QTI460" s="22"/>
      <c r="QTJ460" s="22"/>
      <c r="QTK460" s="22"/>
      <c r="QTL460" s="22"/>
      <c r="QTM460" s="22"/>
      <c r="QTN460" s="22"/>
      <c r="QTO460" s="22"/>
      <c r="QTP460" s="22"/>
      <c r="QTQ460" s="22"/>
      <c r="QTR460" s="22"/>
      <c r="QTS460" s="22"/>
      <c r="QTT460" s="22"/>
      <c r="QTU460" s="22"/>
      <c r="QTV460" s="22"/>
      <c r="QTW460" s="22"/>
      <c r="QTX460" s="22"/>
      <c r="QTY460" s="22"/>
      <c r="QTZ460" s="22"/>
      <c r="QUA460" s="22"/>
      <c r="QUB460" s="22"/>
      <c r="QUC460" s="22"/>
      <c r="QUD460" s="22"/>
      <c r="QUE460" s="22"/>
      <c r="QUF460" s="22"/>
      <c r="QUG460" s="22"/>
      <c r="QUH460" s="22"/>
      <c r="QUI460" s="22"/>
      <c r="QUJ460" s="22"/>
      <c r="QUK460" s="22"/>
      <c r="QUL460" s="22"/>
      <c r="QUM460" s="22"/>
      <c r="QUN460" s="22"/>
      <c r="QUO460" s="22"/>
      <c r="QUP460" s="22"/>
      <c r="QUQ460" s="22"/>
      <c r="QUR460" s="22"/>
      <c r="QUS460" s="22"/>
      <c r="QUT460" s="22"/>
      <c r="QUU460" s="22"/>
      <c r="QUV460" s="22"/>
      <c r="QUW460" s="22"/>
      <c r="QUX460" s="22"/>
      <c r="QUY460" s="22"/>
      <c r="QUZ460" s="22"/>
      <c r="QVA460" s="22"/>
      <c r="QVB460" s="22"/>
      <c r="QVC460" s="22"/>
      <c r="QVD460" s="22"/>
      <c r="QVE460" s="22"/>
      <c r="QVF460" s="22"/>
      <c r="QVG460" s="22"/>
      <c r="QVH460" s="22"/>
      <c r="QVI460" s="22"/>
      <c r="QVJ460" s="22"/>
      <c r="QVK460" s="22"/>
      <c r="QVL460" s="22"/>
      <c r="QVM460" s="22"/>
      <c r="QVN460" s="22"/>
      <c r="QVO460" s="22"/>
      <c r="QVP460" s="22"/>
      <c r="QVQ460" s="22"/>
      <c r="QVR460" s="22"/>
      <c r="QVS460" s="22"/>
      <c r="QVT460" s="22"/>
      <c r="QVU460" s="22"/>
      <c r="QVV460" s="22"/>
      <c r="QVW460" s="22"/>
      <c r="QVX460" s="22"/>
      <c r="QVY460" s="22"/>
      <c r="QVZ460" s="22"/>
      <c r="QWA460" s="22"/>
      <c r="QWB460" s="22"/>
      <c r="QWC460" s="22"/>
      <c r="QWD460" s="22"/>
      <c r="QWE460" s="22"/>
      <c r="QWF460" s="22"/>
      <c r="QWG460" s="22"/>
      <c r="QWH460" s="22"/>
      <c r="QWI460" s="22"/>
      <c r="QWJ460" s="22"/>
      <c r="QWK460" s="22"/>
      <c r="QWL460" s="22"/>
      <c r="QWM460" s="22"/>
      <c r="QWN460" s="22"/>
      <c r="QWO460" s="22"/>
      <c r="QWP460" s="22"/>
      <c r="QWQ460" s="22"/>
      <c r="QWR460" s="22"/>
      <c r="QWS460" s="22"/>
      <c r="QWT460" s="22"/>
      <c r="QWU460" s="22"/>
      <c r="QWV460" s="22"/>
      <c r="QWW460" s="22"/>
      <c r="QWX460" s="22"/>
      <c r="QWY460" s="22"/>
      <c r="QWZ460" s="22"/>
      <c r="QXA460" s="22"/>
      <c r="QXB460" s="22"/>
      <c r="QXC460" s="22"/>
      <c r="QXD460" s="22"/>
      <c r="QXE460" s="22"/>
      <c r="QXF460" s="22"/>
      <c r="QXG460" s="22"/>
      <c r="QXH460" s="22"/>
      <c r="QXI460" s="22"/>
      <c r="QXJ460" s="22"/>
      <c r="QXK460" s="22"/>
      <c r="QXL460" s="22"/>
      <c r="QXM460" s="22"/>
      <c r="QXN460" s="22"/>
      <c r="QXO460" s="22"/>
      <c r="QXP460" s="22"/>
      <c r="QXQ460" s="22"/>
      <c r="QXR460" s="22"/>
      <c r="QXS460" s="22"/>
      <c r="QXT460" s="22"/>
      <c r="QXU460" s="22"/>
      <c r="QXV460" s="22"/>
      <c r="QXW460" s="22"/>
      <c r="QXX460" s="22"/>
      <c r="QXY460" s="22"/>
      <c r="QXZ460" s="22"/>
      <c r="QYA460" s="22"/>
      <c r="QYB460" s="22"/>
      <c r="QYC460" s="22"/>
      <c r="QYD460" s="22"/>
      <c r="QYE460" s="22"/>
      <c r="QYF460" s="22"/>
      <c r="QYG460" s="22"/>
      <c r="QYH460" s="22"/>
      <c r="QYI460" s="22"/>
      <c r="QYJ460" s="22"/>
      <c r="QYK460" s="22"/>
      <c r="QYL460" s="22"/>
      <c r="QYM460" s="22"/>
      <c r="QYN460" s="22"/>
      <c r="QYO460" s="22"/>
      <c r="QYP460" s="22"/>
      <c r="QYQ460" s="22"/>
      <c r="QYR460" s="22"/>
      <c r="QYS460" s="22"/>
      <c r="QYT460" s="22"/>
      <c r="QYU460" s="22"/>
      <c r="QYV460" s="22"/>
      <c r="QYW460" s="22"/>
      <c r="QYX460" s="22"/>
      <c r="QYY460" s="22"/>
      <c r="QYZ460" s="22"/>
      <c r="QZA460" s="22"/>
      <c r="QZB460" s="22"/>
      <c r="QZC460" s="22"/>
      <c r="QZD460" s="22"/>
      <c r="QZE460" s="22"/>
      <c r="QZF460" s="22"/>
      <c r="QZG460" s="22"/>
      <c r="QZH460" s="22"/>
      <c r="QZI460" s="22"/>
      <c r="QZJ460" s="22"/>
      <c r="QZK460" s="22"/>
      <c r="QZL460" s="22"/>
      <c r="QZM460" s="22"/>
      <c r="QZN460" s="22"/>
      <c r="QZO460" s="22"/>
      <c r="QZP460" s="22"/>
      <c r="QZQ460" s="22"/>
      <c r="QZR460" s="22"/>
      <c r="QZS460" s="22"/>
      <c r="QZT460" s="22"/>
      <c r="QZU460" s="22"/>
      <c r="QZV460" s="22"/>
      <c r="QZW460" s="22"/>
      <c r="QZX460" s="22"/>
      <c r="QZY460" s="22"/>
      <c r="QZZ460" s="22"/>
      <c r="RAA460" s="22"/>
      <c r="RAB460" s="22"/>
      <c r="RAC460" s="22"/>
      <c r="RAD460" s="22"/>
      <c r="RAE460" s="22"/>
      <c r="RAF460" s="22"/>
      <c r="RAG460" s="22"/>
      <c r="RAH460" s="22"/>
      <c r="RAI460" s="22"/>
      <c r="RAJ460" s="22"/>
      <c r="RAK460" s="22"/>
      <c r="RAL460" s="22"/>
      <c r="RAM460" s="22"/>
      <c r="RAN460" s="22"/>
      <c r="RAO460" s="22"/>
      <c r="RAP460" s="22"/>
      <c r="RAQ460" s="22"/>
      <c r="RAR460" s="22"/>
      <c r="RAS460" s="22"/>
      <c r="RAT460" s="22"/>
      <c r="RAU460" s="22"/>
      <c r="RAV460" s="22"/>
      <c r="RAW460" s="22"/>
      <c r="RAX460" s="22"/>
      <c r="RAY460" s="22"/>
      <c r="RAZ460" s="22"/>
      <c r="RBA460" s="22"/>
      <c r="RBB460" s="22"/>
      <c r="RBC460" s="22"/>
      <c r="RBD460" s="22"/>
      <c r="RBE460" s="22"/>
      <c r="RBF460" s="22"/>
      <c r="RBG460" s="22"/>
      <c r="RBH460" s="22"/>
      <c r="RBI460" s="22"/>
      <c r="RBJ460" s="22"/>
      <c r="RBK460" s="22"/>
      <c r="RBL460" s="22"/>
      <c r="RBM460" s="22"/>
      <c r="RBN460" s="22"/>
      <c r="RBO460" s="22"/>
      <c r="RBP460" s="22"/>
      <c r="RBQ460" s="22"/>
      <c r="RBR460" s="22"/>
      <c r="RBS460" s="22"/>
      <c r="RBT460" s="22"/>
      <c r="RBU460" s="22"/>
      <c r="RBV460" s="22"/>
      <c r="RBW460" s="22"/>
      <c r="RBX460" s="22"/>
      <c r="RBY460" s="22"/>
      <c r="RBZ460" s="22"/>
      <c r="RCA460" s="22"/>
      <c r="RCB460" s="22"/>
      <c r="RCC460" s="22"/>
      <c r="RCD460" s="22"/>
      <c r="RCE460" s="22"/>
      <c r="RCF460" s="22"/>
      <c r="RCG460" s="22"/>
      <c r="RCH460" s="22"/>
      <c r="RCI460" s="22"/>
      <c r="RCJ460" s="22"/>
      <c r="RCK460" s="22"/>
      <c r="RCL460" s="22"/>
      <c r="RCM460" s="22"/>
      <c r="RCN460" s="22"/>
      <c r="RCO460" s="22"/>
      <c r="RCP460" s="22"/>
      <c r="RCQ460" s="22"/>
      <c r="RCR460" s="22"/>
      <c r="RCS460" s="22"/>
      <c r="RCT460" s="22"/>
      <c r="RCU460" s="22"/>
      <c r="RCV460" s="22"/>
      <c r="RCW460" s="22"/>
      <c r="RCX460" s="22"/>
      <c r="RCY460" s="22"/>
      <c r="RCZ460" s="22"/>
      <c r="RDA460" s="22"/>
      <c r="RDB460" s="22"/>
      <c r="RDC460" s="22"/>
      <c r="RDD460" s="22"/>
      <c r="RDE460" s="22"/>
      <c r="RDF460" s="22"/>
      <c r="RDG460" s="22"/>
      <c r="RDH460" s="22"/>
      <c r="RDI460" s="22"/>
      <c r="RDJ460" s="22"/>
      <c r="RDK460" s="22"/>
      <c r="RDL460" s="22"/>
      <c r="RDM460" s="22"/>
      <c r="RDN460" s="22"/>
      <c r="RDO460" s="22"/>
      <c r="RDP460" s="22"/>
      <c r="RDQ460" s="22"/>
      <c r="RDR460" s="22"/>
      <c r="RDS460" s="22"/>
      <c r="RDT460" s="22"/>
      <c r="RDU460" s="22"/>
      <c r="RDV460" s="22"/>
      <c r="RDW460" s="22"/>
      <c r="RDX460" s="22"/>
      <c r="RDY460" s="22"/>
      <c r="RDZ460" s="22"/>
      <c r="REA460" s="22"/>
      <c r="REB460" s="22"/>
      <c r="REC460" s="22"/>
      <c r="RED460" s="22"/>
      <c r="REE460" s="22"/>
      <c r="REF460" s="22"/>
      <c r="REG460" s="22"/>
      <c r="REH460" s="22"/>
      <c r="REI460" s="22"/>
      <c r="REJ460" s="22"/>
      <c r="REK460" s="22"/>
      <c r="REL460" s="22"/>
      <c r="REM460" s="22"/>
      <c r="REN460" s="22"/>
      <c r="REO460" s="22"/>
      <c r="REP460" s="22"/>
      <c r="REQ460" s="22"/>
      <c r="RER460" s="22"/>
      <c r="RES460" s="22"/>
      <c r="RET460" s="22"/>
      <c r="REU460" s="22"/>
      <c r="REV460" s="22"/>
      <c r="REW460" s="22"/>
      <c r="REX460" s="22"/>
      <c r="REY460" s="22"/>
      <c r="REZ460" s="22"/>
      <c r="RFA460" s="22"/>
      <c r="RFB460" s="22"/>
      <c r="RFC460" s="22"/>
      <c r="RFD460" s="22"/>
      <c r="RFE460" s="22"/>
      <c r="RFF460" s="22"/>
      <c r="RFG460" s="22"/>
      <c r="RFH460" s="22"/>
      <c r="RFI460" s="22"/>
      <c r="RFJ460" s="22"/>
      <c r="RFK460" s="22"/>
      <c r="RFL460" s="22"/>
      <c r="RFM460" s="22"/>
      <c r="RFN460" s="22"/>
      <c r="RFO460" s="22"/>
      <c r="RFP460" s="22"/>
      <c r="RFQ460" s="22"/>
      <c r="RFR460" s="22"/>
      <c r="RFS460" s="22"/>
      <c r="RFT460" s="22"/>
      <c r="RFU460" s="22"/>
      <c r="RFV460" s="22"/>
      <c r="RFW460" s="22"/>
      <c r="RFX460" s="22"/>
      <c r="RFY460" s="22"/>
      <c r="RFZ460" s="22"/>
      <c r="RGA460" s="22"/>
      <c r="RGB460" s="22"/>
      <c r="RGC460" s="22"/>
      <c r="RGD460" s="22"/>
      <c r="RGE460" s="22"/>
      <c r="RGF460" s="22"/>
      <c r="RGG460" s="22"/>
      <c r="RGH460" s="22"/>
      <c r="RGI460" s="22"/>
      <c r="RGJ460" s="22"/>
      <c r="RGK460" s="22"/>
      <c r="RGL460" s="22"/>
      <c r="RGM460" s="22"/>
      <c r="RGN460" s="22"/>
      <c r="RGO460" s="22"/>
      <c r="RGP460" s="22"/>
      <c r="RGQ460" s="22"/>
      <c r="RGR460" s="22"/>
      <c r="RGS460" s="22"/>
      <c r="RGT460" s="22"/>
      <c r="RGU460" s="22"/>
      <c r="RGV460" s="22"/>
      <c r="RGW460" s="22"/>
      <c r="RGX460" s="22"/>
      <c r="RGY460" s="22"/>
      <c r="RGZ460" s="22"/>
      <c r="RHA460" s="22"/>
      <c r="RHB460" s="22"/>
      <c r="RHC460" s="22"/>
      <c r="RHD460" s="22"/>
      <c r="RHE460" s="22"/>
      <c r="RHF460" s="22"/>
      <c r="RHG460" s="22"/>
      <c r="RHH460" s="22"/>
      <c r="RHI460" s="22"/>
      <c r="RHJ460" s="22"/>
      <c r="RHK460" s="22"/>
      <c r="RHL460" s="22"/>
      <c r="RHM460" s="22"/>
      <c r="RHN460" s="22"/>
      <c r="RHO460" s="22"/>
      <c r="RHP460" s="22"/>
      <c r="RHQ460" s="22"/>
      <c r="RHR460" s="22"/>
      <c r="RHS460" s="22"/>
      <c r="RHT460" s="22"/>
      <c r="RHU460" s="22"/>
      <c r="RHV460" s="22"/>
      <c r="RHW460" s="22"/>
      <c r="RHX460" s="22"/>
      <c r="RHY460" s="22"/>
      <c r="RHZ460" s="22"/>
      <c r="RIA460" s="22"/>
      <c r="RIB460" s="22"/>
      <c r="RIC460" s="22"/>
      <c r="RID460" s="22"/>
      <c r="RIE460" s="22"/>
      <c r="RIF460" s="22"/>
      <c r="RIG460" s="22"/>
      <c r="RIH460" s="22"/>
      <c r="RII460" s="22"/>
      <c r="RIJ460" s="22"/>
      <c r="RIK460" s="22"/>
      <c r="RIL460" s="22"/>
      <c r="RIM460" s="22"/>
      <c r="RIN460" s="22"/>
      <c r="RIO460" s="22"/>
      <c r="RIP460" s="22"/>
      <c r="RIQ460" s="22"/>
      <c r="RIR460" s="22"/>
      <c r="RIS460" s="22"/>
      <c r="RIT460" s="22"/>
      <c r="RIU460" s="22"/>
      <c r="RIV460" s="22"/>
      <c r="RIW460" s="22"/>
      <c r="RIX460" s="22"/>
      <c r="RIY460" s="22"/>
      <c r="RIZ460" s="22"/>
      <c r="RJA460" s="22"/>
      <c r="RJB460" s="22"/>
      <c r="RJC460" s="22"/>
      <c r="RJD460" s="22"/>
      <c r="RJE460" s="22"/>
      <c r="RJF460" s="22"/>
      <c r="RJG460" s="22"/>
      <c r="RJH460" s="22"/>
      <c r="RJI460" s="22"/>
      <c r="RJJ460" s="22"/>
      <c r="RJK460" s="22"/>
      <c r="RJL460" s="22"/>
      <c r="RJM460" s="22"/>
      <c r="RJN460" s="22"/>
      <c r="RJO460" s="22"/>
      <c r="RJP460" s="22"/>
      <c r="RJQ460" s="22"/>
      <c r="RJR460" s="22"/>
      <c r="RJS460" s="22"/>
      <c r="RJT460" s="22"/>
      <c r="RJU460" s="22"/>
      <c r="RJV460" s="22"/>
      <c r="RJW460" s="22"/>
      <c r="RJX460" s="22"/>
      <c r="RJY460" s="22"/>
      <c r="RJZ460" s="22"/>
      <c r="RKA460" s="22"/>
      <c r="RKB460" s="22"/>
      <c r="RKC460" s="22"/>
      <c r="RKD460" s="22"/>
      <c r="RKE460" s="22"/>
      <c r="RKF460" s="22"/>
      <c r="RKG460" s="22"/>
      <c r="RKH460" s="22"/>
      <c r="RKI460" s="22"/>
      <c r="RKJ460" s="22"/>
      <c r="RKK460" s="22"/>
      <c r="RKL460" s="22"/>
      <c r="RKM460" s="22"/>
      <c r="RKN460" s="22"/>
      <c r="RKO460" s="22"/>
      <c r="RKP460" s="22"/>
      <c r="RKQ460" s="22"/>
      <c r="RKR460" s="22"/>
      <c r="RKS460" s="22"/>
      <c r="RKT460" s="22"/>
      <c r="RKU460" s="22"/>
      <c r="RKV460" s="22"/>
      <c r="RKW460" s="22"/>
      <c r="RKX460" s="22"/>
      <c r="RKY460" s="22"/>
      <c r="RKZ460" s="22"/>
      <c r="RLA460" s="22"/>
      <c r="RLB460" s="22"/>
      <c r="RLC460" s="22"/>
      <c r="RLD460" s="22"/>
      <c r="RLE460" s="22"/>
      <c r="RLF460" s="22"/>
      <c r="RLG460" s="22"/>
      <c r="RLH460" s="22"/>
      <c r="RLI460" s="22"/>
      <c r="RLJ460" s="22"/>
      <c r="RLK460" s="22"/>
      <c r="RLL460" s="22"/>
      <c r="RLM460" s="22"/>
      <c r="RLN460" s="22"/>
      <c r="RLO460" s="22"/>
      <c r="RLP460" s="22"/>
      <c r="RLQ460" s="22"/>
      <c r="RLR460" s="22"/>
      <c r="RLS460" s="22"/>
      <c r="RLT460" s="22"/>
      <c r="RLU460" s="22"/>
      <c r="RLV460" s="22"/>
      <c r="RLW460" s="22"/>
      <c r="RLX460" s="22"/>
      <c r="RLY460" s="22"/>
      <c r="RLZ460" s="22"/>
      <c r="RMA460" s="22"/>
      <c r="RMB460" s="22"/>
      <c r="RMC460" s="22"/>
      <c r="RMD460" s="22"/>
      <c r="RME460" s="22"/>
      <c r="RMF460" s="22"/>
      <c r="RMG460" s="22"/>
      <c r="RMH460" s="22"/>
      <c r="RMI460" s="22"/>
      <c r="RMJ460" s="22"/>
      <c r="RMK460" s="22"/>
      <c r="RML460" s="22"/>
      <c r="RMM460" s="22"/>
      <c r="RMN460" s="22"/>
      <c r="RMO460" s="22"/>
      <c r="RMP460" s="22"/>
      <c r="RMQ460" s="22"/>
      <c r="RMR460" s="22"/>
      <c r="RMS460" s="22"/>
      <c r="RMT460" s="22"/>
      <c r="RMU460" s="22"/>
      <c r="RMV460" s="22"/>
      <c r="RMW460" s="22"/>
      <c r="RMX460" s="22"/>
      <c r="RMY460" s="22"/>
      <c r="RMZ460" s="22"/>
      <c r="RNA460" s="22"/>
      <c r="RNB460" s="22"/>
      <c r="RNC460" s="22"/>
      <c r="RND460" s="22"/>
      <c r="RNE460" s="22"/>
      <c r="RNF460" s="22"/>
      <c r="RNG460" s="22"/>
      <c r="RNH460" s="22"/>
      <c r="RNI460" s="22"/>
      <c r="RNJ460" s="22"/>
      <c r="RNK460" s="22"/>
      <c r="RNL460" s="22"/>
      <c r="RNM460" s="22"/>
      <c r="RNN460" s="22"/>
      <c r="RNO460" s="22"/>
      <c r="RNP460" s="22"/>
      <c r="RNQ460" s="22"/>
      <c r="RNR460" s="22"/>
      <c r="RNS460" s="22"/>
      <c r="RNT460" s="22"/>
      <c r="RNU460" s="22"/>
      <c r="RNV460" s="22"/>
      <c r="RNW460" s="22"/>
      <c r="RNX460" s="22"/>
      <c r="RNY460" s="22"/>
      <c r="RNZ460" s="22"/>
      <c r="ROA460" s="22"/>
      <c r="ROB460" s="22"/>
      <c r="ROC460" s="22"/>
      <c r="ROD460" s="22"/>
      <c r="ROE460" s="22"/>
      <c r="ROF460" s="22"/>
      <c r="ROG460" s="22"/>
      <c r="ROH460" s="22"/>
      <c r="ROI460" s="22"/>
      <c r="ROJ460" s="22"/>
      <c r="ROK460" s="22"/>
      <c r="ROL460" s="22"/>
      <c r="ROM460" s="22"/>
      <c r="RON460" s="22"/>
      <c r="ROO460" s="22"/>
      <c r="ROP460" s="22"/>
      <c r="ROQ460" s="22"/>
      <c r="ROR460" s="22"/>
      <c r="ROS460" s="22"/>
      <c r="ROT460" s="22"/>
      <c r="ROU460" s="22"/>
      <c r="ROV460" s="22"/>
      <c r="ROW460" s="22"/>
      <c r="ROX460" s="22"/>
      <c r="ROY460" s="22"/>
      <c r="ROZ460" s="22"/>
      <c r="RPA460" s="22"/>
      <c r="RPB460" s="22"/>
      <c r="RPC460" s="22"/>
      <c r="RPD460" s="22"/>
      <c r="RPE460" s="22"/>
      <c r="RPF460" s="22"/>
      <c r="RPG460" s="22"/>
      <c r="RPH460" s="22"/>
      <c r="RPI460" s="22"/>
      <c r="RPJ460" s="22"/>
      <c r="RPK460" s="22"/>
      <c r="RPL460" s="22"/>
      <c r="RPM460" s="22"/>
      <c r="RPN460" s="22"/>
      <c r="RPO460" s="22"/>
      <c r="RPP460" s="22"/>
      <c r="RPQ460" s="22"/>
      <c r="RPR460" s="22"/>
      <c r="RPS460" s="22"/>
      <c r="RPT460" s="22"/>
      <c r="RPU460" s="22"/>
      <c r="RPV460" s="22"/>
      <c r="RPW460" s="22"/>
      <c r="RPX460" s="22"/>
      <c r="RPY460" s="22"/>
      <c r="RPZ460" s="22"/>
      <c r="RQA460" s="22"/>
      <c r="RQB460" s="22"/>
      <c r="RQC460" s="22"/>
      <c r="RQD460" s="22"/>
      <c r="RQE460" s="22"/>
      <c r="RQF460" s="22"/>
      <c r="RQG460" s="22"/>
      <c r="RQH460" s="22"/>
      <c r="RQI460" s="22"/>
      <c r="RQJ460" s="22"/>
      <c r="RQK460" s="22"/>
      <c r="RQL460" s="22"/>
      <c r="RQM460" s="22"/>
      <c r="RQN460" s="22"/>
      <c r="RQO460" s="22"/>
      <c r="RQP460" s="22"/>
      <c r="RQQ460" s="22"/>
      <c r="RQR460" s="22"/>
      <c r="RQS460" s="22"/>
      <c r="RQT460" s="22"/>
      <c r="RQU460" s="22"/>
      <c r="RQV460" s="22"/>
      <c r="RQW460" s="22"/>
      <c r="RQX460" s="22"/>
      <c r="RQY460" s="22"/>
      <c r="RQZ460" s="22"/>
      <c r="RRA460" s="22"/>
      <c r="RRB460" s="22"/>
      <c r="RRC460" s="22"/>
      <c r="RRD460" s="22"/>
      <c r="RRE460" s="22"/>
      <c r="RRF460" s="22"/>
      <c r="RRG460" s="22"/>
      <c r="RRH460" s="22"/>
      <c r="RRI460" s="22"/>
      <c r="RRJ460" s="22"/>
      <c r="RRK460" s="22"/>
      <c r="RRL460" s="22"/>
      <c r="RRM460" s="22"/>
      <c r="RRN460" s="22"/>
      <c r="RRO460" s="22"/>
      <c r="RRP460" s="22"/>
      <c r="RRQ460" s="22"/>
      <c r="RRR460" s="22"/>
      <c r="RRS460" s="22"/>
      <c r="RRT460" s="22"/>
      <c r="RRU460" s="22"/>
      <c r="RRV460" s="22"/>
      <c r="RRW460" s="22"/>
      <c r="RRX460" s="22"/>
      <c r="RRY460" s="22"/>
      <c r="RRZ460" s="22"/>
      <c r="RSA460" s="22"/>
      <c r="RSB460" s="22"/>
      <c r="RSC460" s="22"/>
      <c r="RSD460" s="22"/>
      <c r="RSE460" s="22"/>
      <c r="RSF460" s="22"/>
      <c r="RSG460" s="22"/>
      <c r="RSH460" s="22"/>
      <c r="RSI460" s="22"/>
      <c r="RSJ460" s="22"/>
      <c r="RSK460" s="22"/>
      <c r="RSL460" s="22"/>
      <c r="RSM460" s="22"/>
      <c r="RSN460" s="22"/>
      <c r="RSO460" s="22"/>
      <c r="RSP460" s="22"/>
      <c r="RSQ460" s="22"/>
      <c r="RSR460" s="22"/>
      <c r="RSS460" s="22"/>
      <c r="RST460" s="22"/>
      <c r="RSU460" s="22"/>
      <c r="RSV460" s="22"/>
      <c r="RSW460" s="22"/>
      <c r="RSX460" s="22"/>
      <c r="RSY460" s="22"/>
      <c r="RSZ460" s="22"/>
      <c r="RTA460" s="22"/>
      <c r="RTB460" s="22"/>
      <c r="RTC460" s="22"/>
      <c r="RTD460" s="22"/>
      <c r="RTE460" s="22"/>
      <c r="RTF460" s="22"/>
      <c r="RTG460" s="22"/>
      <c r="RTH460" s="22"/>
      <c r="RTI460" s="22"/>
      <c r="RTJ460" s="22"/>
      <c r="RTK460" s="22"/>
      <c r="RTL460" s="22"/>
      <c r="RTM460" s="22"/>
      <c r="RTN460" s="22"/>
      <c r="RTO460" s="22"/>
      <c r="RTP460" s="22"/>
      <c r="RTQ460" s="22"/>
      <c r="RTR460" s="22"/>
      <c r="RTS460" s="22"/>
      <c r="RTT460" s="22"/>
      <c r="RTU460" s="22"/>
      <c r="RTV460" s="22"/>
      <c r="RTW460" s="22"/>
      <c r="RTX460" s="22"/>
      <c r="RTY460" s="22"/>
      <c r="RTZ460" s="22"/>
      <c r="RUA460" s="22"/>
      <c r="RUB460" s="22"/>
      <c r="RUC460" s="22"/>
      <c r="RUD460" s="22"/>
      <c r="RUE460" s="22"/>
      <c r="RUF460" s="22"/>
      <c r="RUG460" s="22"/>
      <c r="RUH460" s="22"/>
      <c r="RUI460" s="22"/>
      <c r="RUJ460" s="22"/>
      <c r="RUK460" s="22"/>
      <c r="RUL460" s="22"/>
      <c r="RUM460" s="22"/>
      <c r="RUN460" s="22"/>
      <c r="RUO460" s="22"/>
      <c r="RUP460" s="22"/>
      <c r="RUQ460" s="22"/>
      <c r="RUR460" s="22"/>
      <c r="RUS460" s="22"/>
      <c r="RUT460" s="22"/>
      <c r="RUU460" s="22"/>
      <c r="RUV460" s="22"/>
      <c r="RUW460" s="22"/>
      <c r="RUX460" s="22"/>
      <c r="RUY460" s="22"/>
      <c r="RUZ460" s="22"/>
      <c r="RVA460" s="22"/>
      <c r="RVB460" s="22"/>
      <c r="RVC460" s="22"/>
      <c r="RVD460" s="22"/>
      <c r="RVE460" s="22"/>
      <c r="RVF460" s="22"/>
      <c r="RVG460" s="22"/>
      <c r="RVH460" s="22"/>
      <c r="RVI460" s="22"/>
      <c r="RVJ460" s="22"/>
      <c r="RVK460" s="22"/>
      <c r="RVL460" s="22"/>
      <c r="RVM460" s="22"/>
      <c r="RVN460" s="22"/>
      <c r="RVO460" s="22"/>
      <c r="RVP460" s="22"/>
      <c r="RVQ460" s="22"/>
      <c r="RVR460" s="22"/>
      <c r="RVS460" s="22"/>
      <c r="RVT460" s="22"/>
      <c r="RVU460" s="22"/>
      <c r="RVV460" s="22"/>
      <c r="RVW460" s="22"/>
      <c r="RVX460" s="22"/>
      <c r="RVY460" s="22"/>
      <c r="RVZ460" s="22"/>
      <c r="RWA460" s="22"/>
      <c r="RWB460" s="22"/>
      <c r="RWC460" s="22"/>
      <c r="RWD460" s="22"/>
      <c r="RWE460" s="22"/>
      <c r="RWF460" s="22"/>
      <c r="RWG460" s="22"/>
      <c r="RWH460" s="22"/>
      <c r="RWI460" s="22"/>
      <c r="RWJ460" s="22"/>
      <c r="RWK460" s="22"/>
      <c r="RWL460" s="22"/>
      <c r="RWM460" s="22"/>
      <c r="RWN460" s="22"/>
      <c r="RWO460" s="22"/>
      <c r="RWP460" s="22"/>
      <c r="RWQ460" s="22"/>
      <c r="RWR460" s="22"/>
      <c r="RWS460" s="22"/>
      <c r="RWT460" s="22"/>
      <c r="RWU460" s="22"/>
      <c r="RWV460" s="22"/>
      <c r="RWW460" s="22"/>
      <c r="RWX460" s="22"/>
      <c r="RWY460" s="22"/>
      <c r="RWZ460" s="22"/>
      <c r="RXA460" s="22"/>
      <c r="RXB460" s="22"/>
      <c r="RXC460" s="22"/>
      <c r="RXD460" s="22"/>
      <c r="RXE460" s="22"/>
      <c r="RXF460" s="22"/>
      <c r="RXG460" s="22"/>
      <c r="RXH460" s="22"/>
      <c r="RXI460" s="22"/>
      <c r="RXJ460" s="22"/>
      <c r="RXK460" s="22"/>
      <c r="RXL460" s="22"/>
      <c r="RXM460" s="22"/>
      <c r="RXN460" s="22"/>
      <c r="RXO460" s="22"/>
      <c r="RXP460" s="22"/>
      <c r="RXQ460" s="22"/>
      <c r="RXR460" s="22"/>
      <c r="RXS460" s="22"/>
      <c r="RXT460" s="22"/>
      <c r="RXU460" s="22"/>
      <c r="RXV460" s="22"/>
      <c r="RXW460" s="22"/>
      <c r="RXX460" s="22"/>
      <c r="RXY460" s="22"/>
      <c r="RXZ460" s="22"/>
      <c r="RYA460" s="22"/>
      <c r="RYB460" s="22"/>
      <c r="RYC460" s="22"/>
      <c r="RYD460" s="22"/>
      <c r="RYE460" s="22"/>
      <c r="RYF460" s="22"/>
      <c r="RYG460" s="22"/>
      <c r="RYH460" s="22"/>
      <c r="RYI460" s="22"/>
      <c r="RYJ460" s="22"/>
      <c r="RYK460" s="22"/>
      <c r="RYL460" s="22"/>
      <c r="RYM460" s="22"/>
      <c r="RYN460" s="22"/>
      <c r="RYO460" s="22"/>
      <c r="RYP460" s="22"/>
      <c r="RYQ460" s="22"/>
      <c r="RYR460" s="22"/>
      <c r="RYS460" s="22"/>
      <c r="RYT460" s="22"/>
      <c r="RYU460" s="22"/>
      <c r="RYV460" s="22"/>
      <c r="RYW460" s="22"/>
      <c r="RYX460" s="22"/>
      <c r="RYY460" s="22"/>
      <c r="RYZ460" s="22"/>
      <c r="RZA460" s="22"/>
      <c r="RZB460" s="22"/>
      <c r="RZC460" s="22"/>
      <c r="RZD460" s="22"/>
      <c r="RZE460" s="22"/>
      <c r="RZF460" s="22"/>
      <c r="RZG460" s="22"/>
      <c r="RZH460" s="22"/>
      <c r="RZI460" s="22"/>
      <c r="RZJ460" s="22"/>
      <c r="RZK460" s="22"/>
      <c r="RZL460" s="22"/>
      <c r="RZM460" s="22"/>
      <c r="RZN460" s="22"/>
      <c r="RZO460" s="22"/>
      <c r="RZP460" s="22"/>
      <c r="RZQ460" s="22"/>
      <c r="RZR460" s="22"/>
      <c r="RZS460" s="22"/>
      <c r="RZT460" s="22"/>
      <c r="RZU460" s="22"/>
      <c r="RZV460" s="22"/>
      <c r="RZW460" s="22"/>
      <c r="RZX460" s="22"/>
      <c r="RZY460" s="22"/>
      <c r="RZZ460" s="22"/>
      <c r="SAA460" s="22"/>
      <c r="SAB460" s="22"/>
      <c r="SAC460" s="22"/>
      <c r="SAD460" s="22"/>
      <c r="SAE460" s="22"/>
      <c r="SAF460" s="22"/>
      <c r="SAG460" s="22"/>
      <c r="SAH460" s="22"/>
      <c r="SAI460" s="22"/>
      <c r="SAJ460" s="22"/>
      <c r="SAK460" s="22"/>
      <c r="SAL460" s="22"/>
      <c r="SAM460" s="22"/>
      <c r="SAN460" s="22"/>
      <c r="SAO460" s="22"/>
      <c r="SAP460" s="22"/>
      <c r="SAQ460" s="22"/>
      <c r="SAR460" s="22"/>
      <c r="SAS460" s="22"/>
      <c r="SAT460" s="22"/>
      <c r="SAU460" s="22"/>
      <c r="SAV460" s="22"/>
      <c r="SAW460" s="22"/>
      <c r="SAX460" s="22"/>
      <c r="SAY460" s="22"/>
      <c r="SAZ460" s="22"/>
      <c r="SBA460" s="22"/>
      <c r="SBB460" s="22"/>
      <c r="SBC460" s="22"/>
      <c r="SBD460" s="22"/>
      <c r="SBE460" s="22"/>
      <c r="SBF460" s="22"/>
      <c r="SBG460" s="22"/>
      <c r="SBH460" s="22"/>
      <c r="SBI460" s="22"/>
      <c r="SBJ460" s="22"/>
      <c r="SBK460" s="22"/>
      <c r="SBL460" s="22"/>
      <c r="SBM460" s="22"/>
      <c r="SBN460" s="22"/>
      <c r="SBO460" s="22"/>
      <c r="SBP460" s="22"/>
      <c r="SBQ460" s="22"/>
      <c r="SBR460" s="22"/>
      <c r="SBS460" s="22"/>
      <c r="SBT460" s="22"/>
      <c r="SBU460" s="22"/>
      <c r="SBV460" s="22"/>
      <c r="SBW460" s="22"/>
      <c r="SBX460" s="22"/>
      <c r="SBY460" s="22"/>
      <c r="SBZ460" s="22"/>
      <c r="SCA460" s="22"/>
      <c r="SCB460" s="22"/>
      <c r="SCC460" s="22"/>
      <c r="SCD460" s="22"/>
      <c r="SCE460" s="22"/>
      <c r="SCF460" s="22"/>
      <c r="SCG460" s="22"/>
      <c r="SCH460" s="22"/>
      <c r="SCI460" s="22"/>
      <c r="SCJ460" s="22"/>
      <c r="SCK460" s="22"/>
      <c r="SCL460" s="22"/>
      <c r="SCM460" s="22"/>
      <c r="SCN460" s="22"/>
      <c r="SCO460" s="22"/>
      <c r="SCP460" s="22"/>
      <c r="SCQ460" s="22"/>
      <c r="SCR460" s="22"/>
      <c r="SCS460" s="22"/>
      <c r="SCT460" s="22"/>
      <c r="SCU460" s="22"/>
      <c r="SCV460" s="22"/>
      <c r="SCW460" s="22"/>
      <c r="SCX460" s="22"/>
      <c r="SCY460" s="22"/>
      <c r="SCZ460" s="22"/>
      <c r="SDA460" s="22"/>
      <c r="SDB460" s="22"/>
      <c r="SDC460" s="22"/>
      <c r="SDD460" s="22"/>
      <c r="SDE460" s="22"/>
      <c r="SDF460" s="22"/>
      <c r="SDG460" s="22"/>
      <c r="SDH460" s="22"/>
      <c r="SDI460" s="22"/>
      <c r="SDJ460" s="22"/>
      <c r="SDK460" s="22"/>
      <c r="SDL460" s="22"/>
      <c r="SDM460" s="22"/>
      <c r="SDN460" s="22"/>
      <c r="SDO460" s="22"/>
      <c r="SDP460" s="22"/>
      <c r="SDQ460" s="22"/>
      <c r="SDR460" s="22"/>
      <c r="SDS460" s="22"/>
      <c r="SDT460" s="22"/>
      <c r="SDU460" s="22"/>
      <c r="SDV460" s="22"/>
      <c r="SDW460" s="22"/>
      <c r="SDX460" s="22"/>
      <c r="SDY460" s="22"/>
      <c r="SDZ460" s="22"/>
      <c r="SEA460" s="22"/>
      <c r="SEB460" s="22"/>
      <c r="SEC460" s="22"/>
      <c r="SED460" s="22"/>
      <c r="SEE460" s="22"/>
      <c r="SEF460" s="22"/>
      <c r="SEG460" s="22"/>
      <c r="SEH460" s="22"/>
      <c r="SEI460" s="22"/>
      <c r="SEJ460" s="22"/>
      <c r="SEK460" s="22"/>
      <c r="SEL460" s="22"/>
      <c r="SEM460" s="22"/>
      <c r="SEN460" s="22"/>
      <c r="SEO460" s="22"/>
      <c r="SEP460" s="22"/>
      <c r="SEQ460" s="22"/>
      <c r="SER460" s="22"/>
      <c r="SES460" s="22"/>
      <c r="SET460" s="22"/>
      <c r="SEU460" s="22"/>
      <c r="SEV460" s="22"/>
      <c r="SEW460" s="22"/>
      <c r="SEX460" s="22"/>
      <c r="SEY460" s="22"/>
      <c r="SEZ460" s="22"/>
      <c r="SFA460" s="22"/>
      <c r="SFB460" s="22"/>
      <c r="SFC460" s="22"/>
      <c r="SFD460" s="22"/>
      <c r="SFE460" s="22"/>
      <c r="SFF460" s="22"/>
      <c r="SFG460" s="22"/>
      <c r="SFH460" s="22"/>
      <c r="SFI460" s="22"/>
      <c r="SFJ460" s="22"/>
      <c r="SFK460" s="22"/>
      <c r="SFL460" s="22"/>
      <c r="SFM460" s="22"/>
      <c r="SFN460" s="22"/>
      <c r="SFO460" s="22"/>
      <c r="SFP460" s="22"/>
      <c r="SFQ460" s="22"/>
      <c r="SFR460" s="22"/>
      <c r="SFS460" s="22"/>
      <c r="SFT460" s="22"/>
      <c r="SFU460" s="22"/>
      <c r="SFV460" s="22"/>
      <c r="SFW460" s="22"/>
      <c r="SFX460" s="22"/>
      <c r="SFY460" s="22"/>
      <c r="SFZ460" s="22"/>
      <c r="SGA460" s="22"/>
      <c r="SGB460" s="22"/>
      <c r="SGC460" s="22"/>
      <c r="SGD460" s="22"/>
      <c r="SGE460" s="22"/>
      <c r="SGF460" s="22"/>
      <c r="SGG460" s="22"/>
      <c r="SGH460" s="22"/>
      <c r="SGI460" s="22"/>
      <c r="SGJ460" s="22"/>
      <c r="SGK460" s="22"/>
      <c r="SGL460" s="22"/>
      <c r="SGM460" s="22"/>
      <c r="SGN460" s="22"/>
      <c r="SGO460" s="22"/>
      <c r="SGP460" s="22"/>
      <c r="SGQ460" s="22"/>
      <c r="SGR460" s="22"/>
      <c r="SGS460" s="22"/>
      <c r="SGT460" s="22"/>
      <c r="SGU460" s="22"/>
      <c r="SGV460" s="22"/>
      <c r="SGW460" s="22"/>
      <c r="SGX460" s="22"/>
      <c r="SGY460" s="22"/>
      <c r="SGZ460" s="22"/>
      <c r="SHA460" s="22"/>
      <c r="SHB460" s="22"/>
      <c r="SHC460" s="22"/>
      <c r="SHD460" s="22"/>
      <c r="SHE460" s="22"/>
      <c r="SHF460" s="22"/>
      <c r="SHG460" s="22"/>
      <c r="SHH460" s="22"/>
      <c r="SHI460" s="22"/>
      <c r="SHJ460" s="22"/>
      <c r="SHK460" s="22"/>
      <c r="SHL460" s="22"/>
      <c r="SHM460" s="22"/>
      <c r="SHN460" s="22"/>
      <c r="SHO460" s="22"/>
      <c r="SHP460" s="22"/>
      <c r="SHQ460" s="22"/>
      <c r="SHR460" s="22"/>
      <c r="SHS460" s="22"/>
      <c r="SHT460" s="22"/>
      <c r="SHU460" s="22"/>
      <c r="SHV460" s="22"/>
      <c r="SHW460" s="22"/>
      <c r="SHX460" s="22"/>
      <c r="SHY460" s="22"/>
      <c r="SHZ460" s="22"/>
      <c r="SIA460" s="22"/>
      <c r="SIB460" s="22"/>
      <c r="SIC460" s="22"/>
      <c r="SID460" s="22"/>
      <c r="SIE460" s="22"/>
      <c r="SIF460" s="22"/>
      <c r="SIG460" s="22"/>
      <c r="SIH460" s="22"/>
      <c r="SII460" s="22"/>
      <c r="SIJ460" s="22"/>
      <c r="SIK460" s="22"/>
      <c r="SIL460" s="22"/>
      <c r="SIM460" s="22"/>
      <c r="SIN460" s="22"/>
      <c r="SIO460" s="22"/>
      <c r="SIP460" s="22"/>
      <c r="SIQ460" s="22"/>
      <c r="SIR460" s="22"/>
      <c r="SIS460" s="22"/>
      <c r="SIT460" s="22"/>
      <c r="SIU460" s="22"/>
      <c r="SIV460" s="22"/>
      <c r="SIW460" s="22"/>
      <c r="SIX460" s="22"/>
      <c r="SIY460" s="22"/>
      <c r="SIZ460" s="22"/>
      <c r="SJA460" s="22"/>
      <c r="SJB460" s="22"/>
      <c r="SJC460" s="22"/>
      <c r="SJD460" s="22"/>
      <c r="SJE460" s="22"/>
      <c r="SJF460" s="22"/>
      <c r="SJG460" s="22"/>
      <c r="SJH460" s="22"/>
      <c r="SJI460" s="22"/>
      <c r="SJJ460" s="22"/>
      <c r="SJK460" s="22"/>
      <c r="SJL460" s="22"/>
      <c r="SJM460" s="22"/>
      <c r="SJN460" s="22"/>
      <c r="SJO460" s="22"/>
      <c r="SJP460" s="22"/>
      <c r="SJQ460" s="22"/>
      <c r="SJR460" s="22"/>
      <c r="SJS460" s="22"/>
      <c r="SJT460" s="22"/>
      <c r="SJU460" s="22"/>
      <c r="SJV460" s="22"/>
      <c r="SJW460" s="22"/>
      <c r="SJX460" s="22"/>
      <c r="SJY460" s="22"/>
      <c r="SJZ460" s="22"/>
      <c r="SKA460" s="22"/>
      <c r="SKB460" s="22"/>
      <c r="SKC460" s="22"/>
      <c r="SKD460" s="22"/>
      <c r="SKE460" s="22"/>
      <c r="SKF460" s="22"/>
      <c r="SKG460" s="22"/>
      <c r="SKH460" s="22"/>
      <c r="SKI460" s="22"/>
      <c r="SKJ460" s="22"/>
      <c r="SKK460" s="22"/>
      <c r="SKL460" s="22"/>
      <c r="SKM460" s="22"/>
      <c r="SKN460" s="22"/>
      <c r="SKO460" s="22"/>
      <c r="SKP460" s="22"/>
      <c r="SKQ460" s="22"/>
      <c r="SKR460" s="22"/>
      <c r="SKS460" s="22"/>
      <c r="SKT460" s="22"/>
      <c r="SKU460" s="22"/>
      <c r="SKV460" s="22"/>
      <c r="SKW460" s="22"/>
      <c r="SKX460" s="22"/>
      <c r="SKY460" s="22"/>
      <c r="SKZ460" s="22"/>
      <c r="SLA460" s="22"/>
      <c r="SLB460" s="22"/>
      <c r="SLC460" s="22"/>
      <c r="SLD460" s="22"/>
      <c r="SLE460" s="22"/>
      <c r="SLF460" s="22"/>
      <c r="SLG460" s="22"/>
      <c r="SLH460" s="22"/>
      <c r="SLI460" s="22"/>
      <c r="SLJ460" s="22"/>
      <c r="SLK460" s="22"/>
      <c r="SLL460" s="22"/>
      <c r="SLM460" s="22"/>
      <c r="SLN460" s="22"/>
      <c r="SLO460" s="22"/>
      <c r="SLP460" s="22"/>
      <c r="SLQ460" s="22"/>
      <c r="SLR460" s="22"/>
      <c r="SLS460" s="22"/>
      <c r="SLT460" s="22"/>
      <c r="SLU460" s="22"/>
      <c r="SLV460" s="22"/>
      <c r="SLW460" s="22"/>
      <c r="SLX460" s="22"/>
      <c r="SLY460" s="22"/>
      <c r="SLZ460" s="22"/>
      <c r="SMA460" s="22"/>
      <c r="SMB460" s="22"/>
      <c r="SMC460" s="22"/>
      <c r="SMD460" s="22"/>
      <c r="SME460" s="22"/>
      <c r="SMF460" s="22"/>
      <c r="SMG460" s="22"/>
      <c r="SMH460" s="22"/>
      <c r="SMI460" s="22"/>
      <c r="SMJ460" s="22"/>
      <c r="SMK460" s="22"/>
      <c r="SML460" s="22"/>
      <c r="SMM460" s="22"/>
      <c r="SMN460" s="22"/>
      <c r="SMO460" s="22"/>
      <c r="SMP460" s="22"/>
      <c r="SMQ460" s="22"/>
      <c r="SMR460" s="22"/>
      <c r="SMS460" s="22"/>
      <c r="SMT460" s="22"/>
      <c r="SMU460" s="22"/>
      <c r="SMV460" s="22"/>
      <c r="SMW460" s="22"/>
      <c r="SMX460" s="22"/>
      <c r="SMY460" s="22"/>
      <c r="SMZ460" s="22"/>
      <c r="SNA460" s="22"/>
      <c r="SNB460" s="22"/>
      <c r="SNC460" s="22"/>
      <c r="SND460" s="22"/>
      <c r="SNE460" s="22"/>
      <c r="SNF460" s="22"/>
      <c r="SNG460" s="22"/>
      <c r="SNH460" s="22"/>
      <c r="SNI460" s="22"/>
      <c r="SNJ460" s="22"/>
      <c r="SNK460" s="22"/>
      <c r="SNL460" s="22"/>
      <c r="SNM460" s="22"/>
      <c r="SNN460" s="22"/>
      <c r="SNO460" s="22"/>
      <c r="SNP460" s="22"/>
      <c r="SNQ460" s="22"/>
      <c r="SNR460" s="22"/>
      <c r="SNS460" s="22"/>
      <c r="SNT460" s="22"/>
      <c r="SNU460" s="22"/>
      <c r="SNV460" s="22"/>
      <c r="SNW460" s="22"/>
      <c r="SNX460" s="22"/>
      <c r="SNY460" s="22"/>
      <c r="SNZ460" s="22"/>
      <c r="SOA460" s="22"/>
      <c r="SOB460" s="22"/>
      <c r="SOC460" s="22"/>
      <c r="SOD460" s="22"/>
      <c r="SOE460" s="22"/>
      <c r="SOF460" s="22"/>
      <c r="SOG460" s="22"/>
      <c r="SOH460" s="22"/>
      <c r="SOI460" s="22"/>
      <c r="SOJ460" s="22"/>
      <c r="SOK460" s="22"/>
      <c r="SOL460" s="22"/>
      <c r="SOM460" s="22"/>
      <c r="SON460" s="22"/>
      <c r="SOO460" s="22"/>
      <c r="SOP460" s="22"/>
      <c r="SOQ460" s="22"/>
      <c r="SOR460" s="22"/>
      <c r="SOS460" s="22"/>
      <c r="SOT460" s="22"/>
      <c r="SOU460" s="22"/>
      <c r="SOV460" s="22"/>
      <c r="SOW460" s="22"/>
      <c r="SOX460" s="22"/>
      <c r="SOY460" s="22"/>
      <c r="SOZ460" s="22"/>
      <c r="SPA460" s="22"/>
      <c r="SPB460" s="22"/>
      <c r="SPC460" s="22"/>
      <c r="SPD460" s="22"/>
      <c r="SPE460" s="22"/>
      <c r="SPF460" s="22"/>
      <c r="SPG460" s="22"/>
      <c r="SPH460" s="22"/>
      <c r="SPI460" s="22"/>
      <c r="SPJ460" s="22"/>
      <c r="SPK460" s="22"/>
      <c r="SPL460" s="22"/>
      <c r="SPM460" s="22"/>
      <c r="SPN460" s="22"/>
      <c r="SPO460" s="22"/>
      <c r="SPP460" s="22"/>
      <c r="SPQ460" s="22"/>
      <c r="SPR460" s="22"/>
      <c r="SPS460" s="22"/>
      <c r="SPT460" s="22"/>
      <c r="SPU460" s="22"/>
      <c r="SPV460" s="22"/>
      <c r="SPW460" s="22"/>
      <c r="SPX460" s="22"/>
      <c r="SPY460" s="22"/>
      <c r="SPZ460" s="22"/>
      <c r="SQA460" s="22"/>
      <c r="SQB460" s="22"/>
      <c r="SQC460" s="22"/>
      <c r="SQD460" s="22"/>
      <c r="SQE460" s="22"/>
      <c r="SQF460" s="22"/>
      <c r="SQG460" s="22"/>
      <c r="SQH460" s="22"/>
      <c r="SQI460" s="22"/>
      <c r="SQJ460" s="22"/>
      <c r="SQK460" s="22"/>
      <c r="SQL460" s="22"/>
      <c r="SQM460" s="22"/>
      <c r="SQN460" s="22"/>
      <c r="SQO460" s="22"/>
      <c r="SQP460" s="22"/>
      <c r="SQQ460" s="22"/>
      <c r="SQR460" s="22"/>
      <c r="SQS460" s="22"/>
      <c r="SQT460" s="22"/>
      <c r="SQU460" s="22"/>
      <c r="SQV460" s="22"/>
      <c r="SQW460" s="22"/>
      <c r="SQX460" s="22"/>
      <c r="SQY460" s="22"/>
      <c r="SQZ460" s="22"/>
      <c r="SRA460" s="22"/>
      <c r="SRB460" s="22"/>
      <c r="SRC460" s="22"/>
      <c r="SRD460" s="22"/>
      <c r="SRE460" s="22"/>
      <c r="SRF460" s="22"/>
      <c r="SRG460" s="22"/>
      <c r="SRH460" s="22"/>
      <c r="SRI460" s="22"/>
      <c r="SRJ460" s="22"/>
      <c r="SRK460" s="22"/>
      <c r="SRL460" s="22"/>
      <c r="SRM460" s="22"/>
      <c r="SRN460" s="22"/>
      <c r="SRO460" s="22"/>
      <c r="SRP460" s="22"/>
      <c r="SRQ460" s="22"/>
      <c r="SRR460" s="22"/>
      <c r="SRS460" s="22"/>
      <c r="SRT460" s="22"/>
      <c r="SRU460" s="22"/>
      <c r="SRV460" s="22"/>
      <c r="SRW460" s="22"/>
      <c r="SRX460" s="22"/>
      <c r="SRY460" s="22"/>
      <c r="SRZ460" s="22"/>
      <c r="SSA460" s="22"/>
      <c r="SSB460" s="22"/>
      <c r="SSC460" s="22"/>
      <c r="SSD460" s="22"/>
      <c r="SSE460" s="22"/>
      <c r="SSF460" s="22"/>
      <c r="SSG460" s="22"/>
      <c r="SSH460" s="22"/>
      <c r="SSI460" s="22"/>
      <c r="SSJ460" s="22"/>
      <c r="SSK460" s="22"/>
      <c r="SSL460" s="22"/>
      <c r="SSM460" s="22"/>
      <c r="SSN460" s="22"/>
      <c r="SSO460" s="22"/>
      <c r="SSP460" s="22"/>
      <c r="SSQ460" s="22"/>
      <c r="SSR460" s="22"/>
      <c r="SSS460" s="22"/>
      <c r="SST460" s="22"/>
      <c r="SSU460" s="22"/>
      <c r="SSV460" s="22"/>
      <c r="SSW460" s="22"/>
      <c r="SSX460" s="22"/>
      <c r="SSY460" s="22"/>
      <c r="SSZ460" s="22"/>
      <c r="STA460" s="22"/>
      <c r="STB460" s="22"/>
      <c r="STC460" s="22"/>
      <c r="STD460" s="22"/>
      <c r="STE460" s="22"/>
      <c r="STF460" s="22"/>
      <c r="STG460" s="22"/>
      <c r="STH460" s="22"/>
      <c r="STI460" s="22"/>
      <c r="STJ460" s="22"/>
      <c r="STK460" s="22"/>
      <c r="STL460" s="22"/>
      <c r="STM460" s="22"/>
      <c r="STN460" s="22"/>
      <c r="STO460" s="22"/>
      <c r="STP460" s="22"/>
      <c r="STQ460" s="22"/>
      <c r="STR460" s="22"/>
      <c r="STS460" s="22"/>
      <c r="STT460" s="22"/>
      <c r="STU460" s="22"/>
      <c r="STV460" s="22"/>
      <c r="STW460" s="22"/>
      <c r="STX460" s="22"/>
      <c r="STY460" s="22"/>
      <c r="STZ460" s="22"/>
      <c r="SUA460" s="22"/>
      <c r="SUB460" s="22"/>
      <c r="SUC460" s="22"/>
      <c r="SUD460" s="22"/>
      <c r="SUE460" s="22"/>
      <c r="SUF460" s="22"/>
      <c r="SUG460" s="22"/>
      <c r="SUH460" s="22"/>
      <c r="SUI460" s="22"/>
      <c r="SUJ460" s="22"/>
      <c r="SUK460" s="22"/>
      <c r="SUL460" s="22"/>
      <c r="SUM460" s="22"/>
      <c r="SUN460" s="22"/>
      <c r="SUO460" s="22"/>
      <c r="SUP460" s="22"/>
      <c r="SUQ460" s="22"/>
      <c r="SUR460" s="22"/>
      <c r="SUS460" s="22"/>
      <c r="SUT460" s="22"/>
      <c r="SUU460" s="22"/>
      <c r="SUV460" s="22"/>
      <c r="SUW460" s="22"/>
      <c r="SUX460" s="22"/>
      <c r="SUY460" s="22"/>
      <c r="SUZ460" s="22"/>
      <c r="SVA460" s="22"/>
      <c r="SVB460" s="22"/>
      <c r="SVC460" s="22"/>
      <c r="SVD460" s="22"/>
      <c r="SVE460" s="22"/>
      <c r="SVF460" s="22"/>
      <c r="SVG460" s="22"/>
      <c r="SVH460" s="22"/>
      <c r="SVI460" s="22"/>
      <c r="SVJ460" s="22"/>
      <c r="SVK460" s="22"/>
      <c r="SVL460" s="22"/>
      <c r="SVM460" s="22"/>
      <c r="SVN460" s="22"/>
      <c r="SVO460" s="22"/>
      <c r="SVP460" s="22"/>
      <c r="SVQ460" s="22"/>
      <c r="SVR460" s="22"/>
      <c r="SVS460" s="22"/>
      <c r="SVT460" s="22"/>
      <c r="SVU460" s="22"/>
      <c r="SVV460" s="22"/>
      <c r="SVW460" s="22"/>
      <c r="SVX460" s="22"/>
      <c r="SVY460" s="22"/>
      <c r="SVZ460" s="22"/>
      <c r="SWA460" s="22"/>
      <c r="SWB460" s="22"/>
      <c r="SWC460" s="22"/>
      <c r="SWD460" s="22"/>
      <c r="SWE460" s="22"/>
      <c r="SWF460" s="22"/>
      <c r="SWG460" s="22"/>
      <c r="SWH460" s="22"/>
      <c r="SWI460" s="22"/>
      <c r="SWJ460" s="22"/>
      <c r="SWK460" s="22"/>
      <c r="SWL460" s="22"/>
      <c r="SWM460" s="22"/>
      <c r="SWN460" s="22"/>
      <c r="SWO460" s="22"/>
      <c r="SWP460" s="22"/>
      <c r="SWQ460" s="22"/>
      <c r="SWR460" s="22"/>
      <c r="SWS460" s="22"/>
      <c r="SWT460" s="22"/>
      <c r="SWU460" s="22"/>
      <c r="SWV460" s="22"/>
      <c r="SWW460" s="22"/>
      <c r="SWX460" s="22"/>
      <c r="SWY460" s="22"/>
      <c r="SWZ460" s="22"/>
      <c r="SXA460" s="22"/>
      <c r="SXB460" s="22"/>
      <c r="SXC460" s="22"/>
      <c r="SXD460" s="22"/>
      <c r="SXE460" s="22"/>
      <c r="SXF460" s="22"/>
      <c r="SXG460" s="22"/>
      <c r="SXH460" s="22"/>
      <c r="SXI460" s="22"/>
      <c r="SXJ460" s="22"/>
      <c r="SXK460" s="22"/>
      <c r="SXL460" s="22"/>
      <c r="SXM460" s="22"/>
      <c r="SXN460" s="22"/>
      <c r="SXO460" s="22"/>
      <c r="SXP460" s="22"/>
      <c r="SXQ460" s="22"/>
      <c r="SXR460" s="22"/>
      <c r="SXS460" s="22"/>
      <c r="SXT460" s="22"/>
      <c r="SXU460" s="22"/>
      <c r="SXV460" s="22"/>
      <c r="SXW460" s="22"/>
      <c r="SXX460" s="22"/>
      <c r="SXY460" s="22"/>
      <c r="SXZ460" s="22"/>
      <c r="SYA460" s="22"/>
      <c r="SYB460" s="22"/>
      <c r="SYC460" s="22"/>
      <c r="SYD460" s="22"/>
      <c r="SYE460" s="22"/>
      <c r="SYF460" s="22"/>
      <c r="SYG460" s="22"/>
      <c r="SYH460" s="22"/>
      <c r="SYI460" s="22"/>
      <c r="SYJ460" s="22"/>
      <c r="SYK460" s="22"/>
      <c r="SYL460" s="22"/>
      <c r="SYM460" s="22"/>
      <c r="SYN460" s="22"/>
      <c r="SYO460" s="22"/>
      <c r="SYP460" s="22"/>
      <c r="SYQ460" s="22"/>
      <c r="SYR460" s="22"/>
      <c r="SYS460" s="22"/>
      <c r="SYT460" s="22"/>
      <c r="SYU460" s="22"/>
      <c r="SYV460" s="22"/>
      <c r="SYW460" s="22"/>
      <c r="SYX460" s="22"/>
      <c r="SYY460" s="22"/>
      <c r="SYZ460" s="22"/>
      <c r="SZA460" s="22"/>
      <c r="SZB460" s="22"/>
      <c r="SZC460" s="22"/>
      <c r="SZD460" s="22"/>
      <c r="SZE460" s="22"/>
      <c r="SZF460" s="22"/>
      <c r="SZG460" s="22"/>
      <c r="SZH460" s="22"/>
      <c r="SZI460" s="22"/>
      <c r="SZJ460" s="22"/>
      <c r="SZK460" s="22"/>
      <c r="SZL460" s="22"/>
      <c r="SZM460" s="22"/>
      <c r="SZN460" s="22"/>
      <c r="SZO460" s="22"/>
      <c r="SZP460" s="22"/>
      <c r="SZQ460" s="22"/>
      <c r="SZR460" s="22"/>
      <c r="SZS460" s="22"/>
      <c r="SZT460" s="22"/>
      <c r="SZU460" s="22"/>
      <c r="SZV460" s="22"/>
      <c r="SZW460" s="22"/>
      <c r="SZX460" s="22"/>
      <c r="SZY460" s="22"/>
      <c r="SZZ460" s="22"/>
      <c r="TAA460" s="22"/>
      <c r="TAB460" s="22"/>
      <c r="TAC460" s="22"/>
      <c r="TAD460" s="22"/>
      <c r="TAE460" s="22"/>
      <c r="TAF460" s="22"/>
      <c r="TAG460" s="22"/>
      <c r="TAH460" s="22"/>
      <c r="TAI460" s="22"/>
      <c r="TAJ460" s="22"/>
      <c r="TAK460" s="22"/>
      <c r="TAL460" s="22"/>
      <c r="TAM460" s="22"/>
      <c r="TAN460" s="22"/>
      <c r="TAO460" s="22"/>
      <c r="TAP460" s="22"/>
      <c r="TAQ460" s="22"/>
      <c r="TAR460" s="22"/>
      <c r="TAS460" s="22"/>
      <c r="TAT460" s="22"/>
      <c r="TAU460" s="22"/>
      <c r="TAV460" s="22"/>
      <c r="TAW460" s="22"/>
      <c r="TAX460" s="22"/>
      <c r="TAY460" s="22"/>
      <c r="TAZ460" s="22"/>
      <c r="TBA460" s="22"/>
      <c r="TBB460" s="22"/>
      <c r="TBC460" s="22"/>
      <c r="TBD460" s="22"/>
      <c r="TBE460" s="22"/>
      <c r="TBF460" s="22"/>
      <c r="TBG460" s="22"/>
      <c r="TBH460" s="22"/>
      <c r="TBI460" s="22"/>
      <c r="TBJ460" s="22"/>
      <c r="TBK460" s="22"/>
      <c r="TBL460" s="22"/>
      <c r="TBM460" s="22"/>
      <c r="TBN460" s="22"/>
      <c r="TBO460" s="22"/>
      <c r="TBP460" s="22"/>
      <c r="TBQ460" s="22"/>
      <c r="TBR460" s="22"/>
      <c r="TBS460" s="22"/>
      <c r="TBT460" s="22"/>
      <c r="TBU460" s="22"/>
      <c r="TBV460" s="22"/>
      <c r="TBW460" s="22"/>
      <c r="TBX460" s="22"/>
      <c r="TBY460" s="22"/>
      <c r="TBZ460" s="22"/>
      <c r="TCA460" s="22"/>
      <c r="TCB460" s="22"/>
      <c r="TCC460" s="22"/>
      <c r="TCD460" s="22"/>
      <c r="TCE460" s="22"/>
      <c r="TCF460" s="22"/>
      <c r="TCG460" s="22"/>
      <c r="TCH460" s="22"/>
      <c r="TCI460" s="22"/>
      <c r="TCJ460" s="22"/>
      <c r="TCK460" s="22"/>
      <c r="TCL460" s="22"/>
      <c r="TCM460" s="22"/>
      <c r="TCN460" s="22"/>
      <c r="TCO460" s="22"/>
      <c r="TCP460" s="22"/>
      <c r="TCQ460" s="22"/>
      <c r="TCR460" s="22"/>
      <c r="TCS460" s="22"/>
      <c r="TCT460" s="22"/>
      <c r="TCU460" s="22"/>
      <c r="TCV460" s="22"/>
      <c r="TCW460" s="22"/>
      <c r="TCX460" s="22"/>
      <c r="TCY460" s="22"/>
      <c r="TCZ460" s="22"/>
      <c r="TDA460" s="22"/>
      <c r="TDB460" s="22"/>
      <c r="TDC460" s="22"/>
      <c r="TDD460" s="22"/>
      <c r="TDE460" s="22"/>
      <c r="TDF460" s="22"/>
      <c r="TDG460" s="22"/>
      <c r="TDH460" s="22"/>
      <c r="TDI460" s="22"/>
      <c r="TDJ460" s="22"/>
      <c r="TDK460" s="22"/>
      <c r="TDL460" s="22"/>
      <c r="TDM460" s="22"/>
      <c r="TDN460" s="22"/>
      <c r="TDO460" s="22"/>
      <c r="TDP460" s="22"/>
      <c r="TDQ460" s="22"/>
      <c r="TDR460" s="22"/>
      <c r="TDS460" s="22"/>
      <c r="TDT460" s="22"/>
      <c r="TDU460" s="22"/>
      <c r="TDV460" s="22"/>
      <c r="TDW460" s="22"/>
      <c r="TDX460" s="22"/>
      <c r="TDY460" s="22"/>
      <c r="TDZ460" s="22"/>
      <c r="TEA460" s="22"/>
      <c r="TEB460" s="22"/>
      <c r="TEC460" s="22"/>
      <c r="TED460" s="22"/>
      <c r="TEE460" s="22"/>
      <c r="TEF460" s="22"/>
      <c r="TEG460" s="22"/>
      <c r="TEH460" s="22"/>
      <c r="TEI460" s="22"/>
      <c r="TEJ460" s="22"/>
      <c r="TEK460" s="22"/>
      <c r="TEL460" s="22"/>
      <c r="TEM460" s="22"/>
      <c r="TEN460" s="22"/>
      <c r="TEO460" s="22"/>
      <c r="TEP460" s="22"/>
      <c r="TEQ460" s="22"/>
      <c r="TER460" s="22"/>
      <c r="TES460" s="22"/>
      <c r="TET460" s="22"/>
      <c r="TEU460" s="22"/>
      <c r="TEV460" s="22"/>
      <c r="TEW460" s="22"/>
      <c r="TEX460" s="22"/>
      <c r="TEY460" s="22"/>
      <c r="TEZ460" s="22"/>
      <c r="TFA460" s="22"/>
      <c r="TFB460" s="22"/>
      <c r="TFC460" s="22"/>
      <c r="TFD460" s="22"/>
      <c r="TFE460" s="22"/>
      <c r="TFF460" s="22"/>
      <c r="TFG460" s="22"/>
      <c r="TFH460" s="22"/>
      <c r="TFI460" s="22"/>
      <c r="TFJ460" s="22"/>
      <c r="TFK460" s="22"/>
      <c r="TFL460" s="22"/>
      <c r="TFM460" s="22"/>
      <c r="TFN460" s="22"/>
      <c r="TFO460" s="22"/>
      <c r="TFP460" s="22"/>
      <c r="TFQ460" s="22"/>
      <c r="TFR460" s="22"/>
      <c r="TFS460" s="22"/>
      <c r="TFT460" s="22"/>
      <c r="TFU460" s="22"/>
      <c r="TFV460" s="22"/>
      <c r="TFW460" s="22"/>
      <c r="TFX460" s="22"/>
      <c r="TFY460" s="22"/>
      <c r="TFZ460" s="22"/>
      <c r="TGA460" s="22"/>
      <c r="TGB460" s="22"/>
      <c r="TGC460" s="22"/>
      <c r="TGD460" s="22"/>
      <c r="TGE460" s="22"/>
      <c r="TGF460" s="22"/>
      <c r="TGG460" s="22"/>
      <c r="TGH460" s="22"/>
      <c r="TGI460" s="22"/>
      <c r="TGJ460" s="22"/>
      <c r="TGK460" s="22"/>
      <c r="TGL460" s="22"/>
      <c r="TGM460" s="22"/>
      <c r="TGN460" s="22"/>
      <c r="TGO460" s="22"/>
      <c r="TGP460" s="22"/>
      <c r="TGQ460" s="22"/>
      <c r="TGR460" s="22"/>
      <c r="TGS460" s="22"/>
      <c r="TGT460" s="22"/>
      <c r="TGU460" s="22"/>
      <c r="TGV460" s="22"/>
      <c r="TGW460" s="22"/>
      <c r="TGX460" s="22"/>
      <c r="TGY460" s="22"/>
      <c r="TGZ460" s="22"/>
      <c r="THA460" s="22"/>
      <c r="THB460" s="22"/>
      <c r="THC460" s="22"/>
      <c r="THD460" s="22"/>
      <c r="THE460" s="22"/>
      <c r="THF460" s="22"/>
      <c r="THG460" s="22"/>
      <c r="THH460" s="22"/>
      <c r="THI460" s="22"/>
      <c r="THJ460" s="22"/>
      <c r="THK460" s="22"/>
      <c r="THL460" s="22"/>
      <c r="THM460" s="22"/>
      <c r="THN460" s="22"/>
      <c r="THO460" s="22"/>
      <c r="THP460" s="22"/>
      <c r="THQ460" s="22"/>
      <c r="THR460" s="22"/>
      <c r="THS460" s="22"/>
      <c r="THT460" s="22"/>
      <c r="THU460" s="22"/>
      <c r="THV460" s="22"/>
      <c r="THW460" s="22"/>
      <c r="THX460" s="22"/>
      <c r="THY460" s="22"/>
      <c r="THZ460" s="22"/>
      <c r="TIA460" s="22"/>
      <c r="TIB460" s="22"/>
      <c r="TIC460" s="22"/>
      <c r="TID460" s="22"/>
      <c r="TIE460" s="22"/>
      <c r="TIF460" s="22"/>
      <c r="TIG460" s="22"/>
      <c r="TIH460" s="22"/>
      <c r="TII460" s="22"/>
      <c r="TIJ460" s="22"/>
      <c r="TIK460" s="22"/>
      <c r="TIL460" s="22"/>
      <c r="TIM460" s="22"/>
      <c r="TIN460" s="22"/>
      <c r="TIO460" s="22"/>
      <c r="TIP460" s="22"/>
      <c r="TIQ460" s="22"/>
      <c r="TIR460" s="22"/>
      <c r="TIS460" s="22"/>
      <c r="TIT460" s="22"/>
      <c r="TIU460" s="22"/>
      <c r="TIV460" s="22"/>
      <c r="TIW460" s="22"/>
      <c r="TIX460" s="22"/>
      <c r="TIY460" s="22"/>
      <c r="TIZ460" s="22"/>
      <c r="TJA460" s="22"/>
      <c r="TJB460" s="22"/>
      <c r="TJC460" s="22"/>
      <c r="TJD460" s="22"/>
      <c r="TJE460" s="22"/>
      <c r="TJF460" s="22"/>
      <c r="TJG460" s="22"/>
      <c r="TJH460" s="22"/>
      <c r="TJI460" s="22"/>
      <c r="TJJ460" s="22"/>
      <c r="TJK460" s="22"/>
      <c r="TJL460" s="22"/>
      <c r="TJM460" s="22"/>
      <c r="TJN460" s="22"/>
      <c r="TJO460" s="22"/>
      <c r="TJP460" s="22"/>
      <c r="TJQ460" s="22"/>
      <c r="TJR460" s="22"/>
      <c r="TJS460" s="22"/>
      <c r="TJT460" s="22"/>
      <c r="TJU460" s="22"/>
      <c r="TJV460" s="22"/>
      <c r="TJW460" s="22"/>
      <c r="TJX460" s="22"/>
      <c r="TJY460" s="22"/>
      <c r="TJZ460" s="22"/>
      <c r="TKA460" s="22"/>
      <c r="TKB460" s="22"/>
      <c r="TKC460" s="22"/>
      <c r="TKD460" s="22"/>
      <c r="TKE460" s="22"/>
      <c r="TKF460" s="22"/>
      <c r="TKG460" s="22"/>
      <c r="TKH460" s="22"/>
      <c r="TKI460" s="22"/>
      <c r="TKJ460" s="22"/>
      <c r="TKK460" s="22"/>
      <c r="TKL460" s="22"/>
      <c r="TKM460" s="22"/>
      <c r="TKN460" s="22"/>
      <c r="TKO460" s="22"/>
      <c r="TKP460" s="22"/>
      <c r="TKQ460" s="22"/>
      <c r="TKR460" s="22"/>
      <c r="TKS460" s="22"/>
      <c r="TKT460" s="22"/>
      <c r="TKU460" s="22"/>
      <c r="TKV460" s="22"/>
      <c r="TKW460" s="22"/>
      <c r="TKX460" s="22"/>
      <c r="TKY460" s="22"/>
      <c r="TKZ460" s="22"/>
      <c r="TLA460" s="22"/>
      <c r="TLB460" s="22"/>
      <c r="TLC460" s="22"/>
      <c r="TLD460" s="22"/>
      <c r="TLE460" s="22"/>
      <c r="TLF460" s="22"/>
      <c r="TLG460" s="22"/>
      <c r="TLH460" s="22"/>
      <c r="TLI460" s="22"/>
      <c r="TLJ460" s="22"/>
      <c r="TLK460" s="22"/>
      <c r="TLL460" s="22"/>
      <c r="TLM460" s="22"/>
      <c r="TLN460" s="22"/>
      <c r="TLO460" s="22"/>
      <c r="TLP460" s="22"/>
      <c r="TLQ460" s="22"/>
      <c r="TLR460" s="22"/>
      <c r="TLS460" s="22"/>
      <c r="TLT460" s="22"/>
      <c r="TLU460" s="22"/>
      <c r="TLV460" s="22"/>
      <c r="TLW460" s="22"/>
      <c r="TLX460" s="22"/>
      <c r="TLY460" s="22"/>
      <c r="TLZ460" s="22"/>
      <c r="TMA460" s="22"/>
      <c r="TMB460" s="22"/>
      <c r="TMC460" s="22"/>
      <c r="TMD460" s="22"/>
      <c r="TME460" s="22"/>
      <c r="TMF460" s="22"/>
      <c r="TMG460" s="22"/>
      <c r="TMH460" s="22"/>
      <c r="TMI460" s="22"/>
      <c r="TMJ460" s="22"/>
      <c r="TMK460" s="22"/>
      <c r="TML460" s="22"/>
      <c r="TMM460" s="22"/>
      <c r="TMN460" s="22"/>
      <c r="TMO460" s="22"/>
      <c r="TMP460" s="22"/>
      <c r="TMQ460" s="22"/>
      <c r="TMR460" s="22"/>
      <c r="TMS460" s="22"/>
      <c r="TMT460" s="22"/>
      <c r="TMU460" s="22"/>
      <c r="TMV460" s="22"/>
      <c r="TMW460" s="22"/>
      <c r="TMX460" s="22"/>
      <c r="TMY460" s="22"/>
      <c r="TMZ460" s="22"/>
      <c r="TNA460" s="22"/>
      <c r="TNB460" s="22"/>
      <c r="TNC460" s="22"/>
      <c r="TND460" s="22"/>
      <c r="TNE460" s="22"/>
      <c r="TNF460" s="22"/>
      <c r="TNG460" s="22"/>
      <c r="TNH460" s="22"/>
      <c r="TNI460" s="22"/>
      <c r="TNJ460" s="22"/>
      <c r="TNK460" s="22"/>
      <c r="TNL460" s="22"/>
      <c r="TNM460" s="22"/>
      <c r="TNN460" s="22"/>
      <c r="TNO460" s="22"/>
      <c r="TNP460" s="22"/>
      <c r="TNQ460" s="22"/>
      <c r="TNR460" s="22"/>
      <c r="TNS460" s="22"/>
      <c r="TNT460" s="22"/>
      <c r="TNU460" s="22"/>
      <c r="TNV460" s="22"/>
      <c r="TNW460" s="22"/>
      <c r="TNX460" s="22"/>
      <c r="TNY460" s="22"/>
      <c r="TNZ460" s="22"/>
      <c r="TOA460" s="22"/>
      <c r="TOB460" s="22"/>
      <c r="TOC460" s="22"/>
      <c r="TOD460" s="22"/>
      <c r="TOE460" s="22"/>
      <c r="TOF460" s="22"/>
      <c r="TOG460" s="22"/>
      <c r="TOH460" s="22"/>
      <c r="TOI460" s="22"/>
      <c r="TOJ460" s="22"/>
      <c r="TOK460" s="22"/>
      <c r="TOL460" s="22"/>
      <c r="TOM460" s="22"/>
      <c r="TON460" s="22"/>
      <c r="TOO460" s="22"/>
      <c r="TOP460" s="22"/>
      <c r="TOQ460" s="22"/>
      <c r="TOR460" s="22"/>
      <c r="TOS460" s="22"/>
      <c r="TOT460" s="22"/>
      <c r="TOU460" s="22"/>
      <c r="TOV460" s="22"/>
      <c r="TOW460" s="22"/>
      <c r="TOX460" s="22"/>
      <c r="TOY460" s="22"/>
      <c r="TOZ460" s="22"/>
      <c r="TPA460" s="22"/>
      <c r="TPB460" s="22"/>
      <c r="TPC460" s="22"/>
      <c r="TPD460" s="22"/>
      <c r="TPE460" s="22"/>
      <c r="TPF460" s="22"/>
      <c r="TPG460" s="22"/>
      <c r="TPH460" s="22"/>
      <c r="TPI460" s="22"/>
      <c r="TPJ460" s="22"/>
      <c r="TPK460" s="22"/>
      <c r="TPL460" s="22"/>
      <c r="TPM460" s="22"/>
      <c r="TPN460" s="22"/>
      <c r="TPO460" s="22"/>
      <c r="TPP460" s="22"/>
      <c r="TPQ460" s="22"/>
      <c r="TPR460" s="22"/>
      <c r="TPS460" s="22"/>
      <c r="TPT460" s="22"/>
      <c r="TPU460" s="22"/>
      <c r="TPV460" s="22"/>
      <c r="TPW460" s="22"/>
      <c r="TPX460" s="22"/>
      <c r="TPY460" s="22"/>
      <c r="TPZ460" s="22"/>
      <c r="TQA460" s="22"/>
      <c r="TQB460" s="22"/>
      <c r="TQC460" s="22"/>
      <c r="TQD460" s="22"/>
      <c r="TQE460" s="22"/>
      <c r="TQF460" s="22"/>
      <c r="TQG460" s="22"/>
      <c r="TQH460" s="22"/>
      <c r="TQI460" s="22"/>
      <c r="TQJ460" s="22"/>
      <c r="TQK460" s="22"/>
      <c r="TQL460" s="22"/>
      <c r="TQM460" s="22"/>
      <c r="TQN460" s="22"/>
      <c r="TQO460" s="22"/>
      <c r="TQP460" s="22"/>
      <c r="TQQ460" s="22"/>
      <c r="TQR460" s="22"/>
      <c r="TQS460" s="22"/>
      <c r="TQT460" s="22"/>
      <c r="TQU460" s="22"/>
      <c r="TQV460" s="22"/>
      <c r="TQW460" s="22"/>
      <c r="TQX460" s="22"/>
      <c r="TQY460" s="22"/>
      <c r="TQZ460" s="22"/>
      <c r="TRA460" s="22"/>
      <c r="TRB460" s="22"/>
      <c r="TRC460" s="22"/>
      <c r="TRD460" s="22"/>
      <c r="TRE460" s="22"/>
      <c r="TRF460" s="22"/>
      <c r="TRG460" s="22"/>
      <c r="TRH460" s="22"/>
      <c r="TRI460" s="22"/>
      <c r="TRJ460" s="22"/>
      <c r="TRK460" s="22"/>
      <c r="TRL460" s="22"/>
      <c r="TRM460" s="22"/>
      <c r="TRN460" s="22"/>
      <c r="TRO460" s="22"/>
      <c r="TRP460" s="22"/>
      <c r="TRQ460" s="22"/>
      <c r="TRR460" s="22"/>
      <c r="TRS460" s="22"/>
      <c r="TRT460" s="22"/>
      <c r="TRU460" s="22"/>
      <c r="TRV460" s="22"/>
      <c r="TRW460" s="22"/>
      <c r="TRX460" s="22"/>
      <c r="TRY460" s="22"/>
      <c r="TRZ460" s="22"/>
      <c r="TSA460" s="22"/>
      <c r="TSB460" s="22"/>
      <c r="TSC460" s="22"/>
      <c r="TSD460" s="22"/>
      <c r="TSE460" s="22"/>
      <c r="TSF460" s="22"/>
      <c r="TSG460" s="22"/>
      <c r="TSH460" s="22"/>
      <c r="TSI460" s="22"/>
      <c r="TSJ460" s="22"/>
      <c r="TSK460" s="22"/>
      <c r="TSL460" s="22"/>
      <c r="TSM460" s="22"/>
      <c r="TSN460" s="22"/>
      <c r="TSO460" s="22"/>
      <c r="TSP460" s="22"/>
      <c r="TSQ460" s="22"/>
      <c r="TSR460" s="22"/>
      <c r="TSS460" s="22"/>
      <c r="TST460" s="22"/>
      <c r="TSU460" s="22"/>
      <c r="TSV460" s="22"/>
      <c r="TSW460" s="22"/>
      <c r="TSX460" s="22"/>
      <c r="TSY460" s="22"/>
      <c r="TSZ460" s="22"/>
      <c r="TTA460" s="22"/>
      <c r="TTB460" s="22"/>
      <c r="TTC460" s="22"/>
      <c r="TTD460" s="22"/>
      <c r="TTE460" s="22"/>
      <c r="TTF460" s="22"/>
      <c r="TTG460" s="22"/>
      <c r="TTH460" s="22"/>
      <c r="TTI460" s="22"/>
      <c r="TTJ460" s="22"/>
      <c r="TTK460" s="22"/>
      <c r="TTL460" s="22"/>
      <c r="TTM460" s="22"/>
      <c r="TTN460" s="22"/>
      <c r="TTO460" s="22"/>
      <c r="TTP460" s="22"/>
      <c r="TTQ460" s="22"/>
      <c r="TTR460" s="22"/>
      <c r="TTS460" s="22"/>
      <c r="TTT460" s="22"/>
      <c r="TTU460" s="22"/>
      <c r="TTV460" s="22"/>
      <c r="TTW460" s="22"/>
      <c r="TTX460" s="22"/>
      <c r="TTY460" s="22"/>
      <c r="TTZ460" s="22"/>
      <c r="TUA460" s="22"/>
      <c r="TUB460" s="22"/>
      <c r="TUC460" s="22"/>
      <c r="TUD460" s="22"/>
      <c r="TUE460" s="22"/>
      <c r="TUF460" s="22"/>
      <c r="TUG460" s="22"/>
      <c r="TUH460" s="22"/>
      <c r="TUI460" s="22"/>
      <c r="TUJ460" s="22"/>
      <c r="TUK460" s="22"/>
      <c r="TUL460" s="22"/>
      <c r="TUM460" s="22"/>
      <c r="TUN460" s="22"/>
      <c r="TUO460" s="22"/>
      <c r="TUP460" s="22"/>
      <c r="TUQ460" s="22"/>
      <c r="TUR460" s="22"/>
      <c r="TUS460" s="22"/>
      <c r="TUT460" s="22"/>
      <c r="TUU460" s="22"/>
      <c r="TUV460" s="22"/>
      <c r="TUW460" s="22"/>
      <c r="TUX460" s="22"/>
      <c r="TUY460" s="22"/>
      <c r="TUZ460" s="22"/>
      <c r="TVA460" s="22"/>
      <c r="TVB460" s="22"/>
      <c r="TVC460" s="22"/>
      <c r="TVD460" s="22"/>
      <c r="TVE460" s="22"/>
      <c r="TVF460" s="22"/>
      <c r="TVG460" s="22"/>
      <c r="TVH460" s="22"/>
      <c r="TVI460" s="22"/>
      <c r="TVJ460" s="22"/>
      <c r="TVK460" s="22"/>
      <c r="TVL460" s="22"/>
      <c r="TVM460" s="22"/>
      <c r="TVN460" s="22"/>
      <c r="TVO460" s="22"/>
      <c r="TVP460" s="22"/>
      <c r="TVQ460" s="22"/>
      <c r="TVR460" s="22"/>
      <c r="TVS460" s="22"/>
      <c r="TVT460" s="22"/>
      <c r="TVU460" s="22"/>
      <c r="TVV460" s="22"/>
      <c r="TVW460" s="22"/>
      <c r="TVX460" s="22"/>
      <c r="TVY460" s="22"/>
      <c r="TVZ460" s="22"/>
      <c r="TWA460" s="22"/>
      <c r="TWB460" s="22"/>
      <c r="TWC460" s="22"/>
      <c r="TWD460" s="22"/>
      <c r="TWE460" s="22"/>
      <c r="TWF460" s="22"/>
      <c r="TWG460" s="22"/>
      <c r="TWH460" s="22"/>
      <c r="TWI460" s="22"/>
      <c r="TWJ460" s="22"/>
      <c r="TWK460" s="22"/>
      <c r="TWL460" s="22"/>
      <c r="TWM460" s="22"/>
      <c r="TWN460" s="22"/>
      <c r="TWO460" s="22"/>
      <c r="TWP460" s="22"/>
      <c r="TWQ460" s="22"/>
      <c r="TWR460" s="22"/>
      <c r="TWS460" s="22"/>
      <c r="TWT460" s="22"/>
      <c r="TWU460" s="22"/>
      <c r="TWV460" s="22"/>
      <c r="TWW460" s="22"/>
      <c r="TWX460" s="22"/>
      <c r="TWY460" s="22"/>
      <c r="TWZ460" s="22"/>
      <c r="TXA460" s="22"/>
      <c r="TXB460" s="22"/>
      <c r="TXC460" s="22"/>
      <c r="TXD460" s="22"/>
      <c r="TXE460" s="22"/>
      <c r="TXF460" s="22"/>
      <c r="TXG460" s="22"/>
      <c r="TXH460" s="22"/>
      <c r="TXI460" s="22"/>
      <c r="TXJ460" s="22"/>
      <c r="TXK460" s="22"/>
      <c r="TXL460" s="22"/>
      <c r="TXM460" s="22"/>
      <c r="TXN460" s="22"/>
      <c r="TXO460" s="22"/>
      <c r="TXP460" s="22"/>
      <c r="TXQ460" s="22"/>
      <c r="TXR460" s="22"/>
      <c r="TXS460" s="22"/>
      <c r="TXT460" s="22"/>
      <c r="TXU460" s="22"/>
      <c r="TXV460" s="22"/>
      <c r="TXW460" s="22"/>
      <c r="TXX460" s="22"/>
      <c r="TXY460" s="22"/>
      <c r="TXZ460" s="22"/>
      <c r="TYA460" s="22"/>
      <c r="TYB460" s="22"/>
      <c r="TYC460" s="22"/>
      <c r="TYD460" s="22"/>
      <c r="TYE460" s="22"/>
      <c r="TYF460" s="22"/>
      <c r="TYG460" s="22"/>
      <c r="TYH460" s="22"/>
      <c r="TYI460" s="22"/>
      <c r="TYJ460" s="22"/>
      <c r="TYK460" s="22"/>
      <c r="TYL460" s="22"/>
      <c r="TYM460" s="22"/>
      <c r="TYN460" s="22"/>
      <c r="TYO460" s="22"/>
      <c r="TYP460" s="22"/>
      <c r="TYQ460" s="22"/>
      <c r="TYR460" s="22"/>
      <c r="TYS460" s="22"/>
      <c r="TYT460" s="22"/>
      <c r="TYU460" s="22"/>
      <c r="TYV460" s="22"/>
      <c r="TYW460" s="22"/>
      <c r="TYX460" s="22"/>
      <c r="TYY460" s="22"/>
      <c r="TYZ460" s="22"/>
      <c r="TZA460" s="22"/>
      <c r="TZB460" s="22"/>
      <c r="TZC460" s="22"/>
      <c r="TZD460" s="22"/>
      <c r="TZE460" s="22"/>
      <c r="TZF460" s="22"/>
      <c r="TZG460" s="22"/>
      <c r="TZH460" s="22"/>
      <c r="TZI460" s="22"/>
      <c r="TZJ460" s="22"/>
      <c r="TZK460" s="22"/>
      <c r="TZL460" s="22"/>
      <c r="TZM460" s="22"/>
      <c r="TZN460" s="22"/>
      <c r="TZO460" s="22"/>
      <c r="TZP460" s="22"/>
      <c r="TZQ460" s="22"/>
      <c r="TZR460" s="22"/>
      <c r="TZS460" s="22"/>
      <c r="TZT460" s="22"/>
      <c r="TZU460" s="22"/>
      <c r="TZV460" s="22"/>
      <c r="TZW460" s="22"/>
      <c r="TZX460" s="22"/>
      <c r="TZY460" s="22"/>
      <c r="TZZ460" s="22"/>
      <c r="UAA460" s="22"/>
      <c r="UAB460" s="22"/>
      <c r="UAC460" s="22"/>
      <c r="UAD460" s="22"/>
      <c r="UAE460" s="22"/>
      <c r="UAF460" s="22"/>
      <c r="UAG460" s="22"/>
      <c r="UAH460" s="22"/>
      <c r="UAI460" s="22"/>
      <c r="UAJ460" s="22"/>
      <c r="UAK460" s="22"/>
      <c r="UAL460" s="22"/>
      <c r="UAM460" s="22"/>
      <c r="UAN460" s="22"/>
      <c r="UAO460" s="22"/>
      <c r="UAP460" s="22"/>
      <c r="UAQ460" s="22"/>
      <c r="UAR460" s="22"/>
      <c r="UAS460" s="22"/>
      <c r="UAT460" s="22"/>
      <c r="UAU460" s="22"/>
      <c r="UAV460" s="22"/>
      <c r="UAW460" s="22"/>
      <c r="UAX460" s="22"/>
      <c r="UAY460" s="22"/>
      <c r="UAZ460" s="22"/>
      <c r="UBA460" s="22"/>
      <c r="UBB460" s="22"/>
      <c r="UBC460" s="22"/>
      <c r="UBD460" s="22"/>
      <c r="UBE460" s="22"/>
      <c r="UBF460" s="22"/>
      <c r="UBG460" s="22"/>
      <c r="UBH460" s="22"/>
      <c r="UBI460" s="22"/>
      <c r="UBJ460" s="22"/>
      <c r="UBK460" s="22"/>
      <c r="UBL460" s="22"/>
      <c r="UBM460" s="22"/>
      <c r="UBN460" s="22"/>
      <c r="UBO460" s="22"/>
      <c r="UBP460" s="22"/>
      <c r="UBQ460" s="22"/>
      <c r="UBR460" s="22"/>
      <c r="UBS460" s="22"/>
      <c r="UBT460" s="22"/>
      <c r="UBU460" s="22"/>
      <c r="UBV460" s="22"/>
      <c r="UBW460" s="22"/>
      <c r="UBX460" s="22"/>
      <c r="UBY460" s="22"/>
      <c r="UBZ460" s="22"/>
      <c r="UCA460" s="22"/>
      <c r="UCB460" s="22"/>
      <c r="UCC460" s="22"/>
      <c r="UCD460" s="22"/>
      <c r="UCE460" s="22"/>
      <c r="UCF460" s="22"/>
      <c r="UCG460" s="22"/>
      <c r="UCH460" s="22"/>
      <c r="UCI460" s="22"/>
      <c r="UCJ460" s="22"/>
      <c r="UCK460" s="22"/>
      <c r="UCL460" s="22"/>
      <c r="UCM460" s="22"/>
      <c r="UCN460" s="22"/>
      <c r="UCO460" s="22"/>
      <c r="UCP460" s="22"/>
      <c r="UCQ460" s="22"/>
      <c r="UCR460" s="22"/>
      <c r="UCS460" s="22"/>
      <c r="UCT460" s="22"/>
      <c r="UCU460" s="22"/>
      <c r="UCV460" s="22"/>
      <c r="UCW460" s="22"/>
      <c r="UCX460" s="22"/>
      <c r="UCY460" s="22"/>
      <c r="UCZ460" s="22"/>
      <c r="UDA460" s="22"/>
      <c r="UDB460" s="22"/>
      <c r="UDC460" s="22"/>
      <c r="UDD460" s="22"/>
      <c r="UDE460" s="22"/>
      <c r="UDF460" s="22"/>
      <c r="UDG460" s="22"/>
      <c r="UDH460" s="22"/>
      <c r="UDI460" s="22"/>
      <c r="UDJ460" s="22"/>
      <c r="UDK460" s="22"/>
      <c r="UDL460" s="22"/>
      <c r="UDM460" s="22"/>
      <c r="UDN460" s="22"/>
      <c r="UDO460" s="22"/>
      <c r="UDP460" s="22"/>
      <c r="UDQ460" s="22"/>
      <c r="UDR460" s="22"/>
      <c r="UDS460" s="22"/>
      <c r="UDT460" s="22"/>
      <c r="UDU460" s="22"/>
      <c r="UDV460" s="22"/>
      <c r="UDW460" s="22"/>
      <c r="UDX460" s="22"/>
      <c r="UDY460" s="22"/>
      <c r="UDZ460" s="22"/>
      <c r="UEA460" s="22"/>
      <c r="UEB460" s="22"/>
      <c r="UEC460" s="22"/>
      <c r="UED460" s="22"/>
      <c r="UEE460" s="22"/>
      <c r="UEF460" s="22"/>
      <c r="UEG460" s="22"/>
      <c r="UEH460" s="22"/>
      <c r="UEI460" s="22"/>
      <c r="UEJ460" s="22"/>
      <c r="UEK460" s="22"/>
      <c r="UEL460" s="22"/>
      <c r="UEM460" s="22"/>
      <c r="UEN460" s="22"/>
      <c r="UEO460" s="22"/>
      <c r="UEP460" s="22"/>
      <c r="UEQ460" s="22"/>
      <c r="UER460" s="22"/>
      <c r="UES460" s="22"/>
      <c r="UET460" s="22"/>
      <c r="UEU460" s="22"/>
      <c r="UEV460" s="22"/>
      <c r="UEW460" s="22"/>
      <c r="UEX460" s="22"/>
      <c r="UEY460" s="22"/>
      <c r="UEZ460" s="22"/>
      <c r="UFA460" s="22"/>
      <c r="UFB460" s="22"/>
      <c r="UFC460" s="22"/>
      <c r="UFD460" s="22"/>
      <c r="UFE460" s="22"/>
      <c r="UFF460" s="22"/>
      <c r="UFG460" s="22"/>
      <c r="UFH460" s="22"/>
      <c r="UFI460" s="22"/>
      <c r="UFJ460" s="22"/>
      <c r="UFK460" s="22"/>
      <c r="UFL460" s="22"/>
      <c r="UFM460" s="22"/>
      <c r="UFN460" s="22"/>
      <c r="UFO460" s="22"/>
      <c r="UFP460" s="22"/>
      <c r="UFQ460" s="22"/>
      <c r="UFR460" s="22"/>
      <c r="UFS460" s="22"/>
      <c r="UFT460" s="22"/>
      <c r="UFU460" s="22"/>
      <c r="UFV460" s="22"/>
      <c r="UFW460" s="22"/>
      <c r="UFX460" s="22"/>
      <c r="UFY460" s="22"/>
      <c r="UFZ460" s="22"/>
      <c r="UGA460" s="22"/>
      <c r="UGB460" s="22"/>
      <c r="UGC460" s="22"/>
      <c r="UGD460" s="22"/>
      <c r="UGE460" s="22"/>
      <c r="UGF460" s="22"/>
      <c r="UGG460" s="22"/>
      <c r="UGH460" s="22"/>
      <c r="UGI460" s="22"/>
      <c r="UGJ460" s="22"/>
      <c r="UGK460" s="22"/>
      <c r="UGL460" s="22"/>
      <c r="UGM460" s="22"/>
      <c r="UGN460" s="22"/>
      <c r="UGO460" s="22"/>
      <c r="UGP460" s="22"/>
      <c r="UGQ460" s="22"/>
      <c r="UGR460" s="22"/>
      <c r="UGS460" s="22"/>
      <c r="UGT460" s="22"/>
      <c r="UGU460" s="22"/>
      <c r="UGV460" s="22"/>
      <c r="UGW460" s="22"/>
      <c r="UGX460" s="22"/>
      <c r="UGY460" s="22"/>
      <c r="UGZ460" s="22"/>
      <c r="UHA460" s="22"/>
      <c r="UHB460" s="22"/>
      <c r="UHC460" s="22"/>
      <c r="UHD460" s="22"/>
      <c r="UHE460" s="22"/>
      <c r="UHF460" s="22"/>
      <c r="UHG460" s="22"/>
      <c r="UHH460" s="22"/>
      <c r="UHI460" s="22"/>
      <c r="UHJ460" s="22"/>
      <c r="UHK460" s="22"/>
      <c r="UHL460" s="22"/>
      <c r="UHM460" s="22"/>
      <c r="UHN460" s="22"/>
      <c r="UHO460" s="22"/>
      <c r="UHP460" s="22"/>
      <c r="UHQ460" s="22"/>
      <c r="UHR460" s="22"/>
      <c r="UHS460" s="22"/>
      <c r="UHT460" s="22"/>
      <c r="UHU460" s="22"/>
      <c r="UHV460" s="22"/>
      <c r="UHW460" s="22"/>
      <c r="UHX460" s="22"/>
      <c r="UHY460" s="22"/>
      <c r="UHZ460" s="22"/>
      <c r="UIA460" s="22"/>
      <c r="UIB460" s="22"/>
      <c r="UIC460" s="22"/>
      <c r="UID460" s="22"/>
      <c r="UIE460" s="22"/>
      <c r="UIF460" s="22"/>
      <c r="UIG460" s="22"/>
      <c r="UIH460" s="22"/>
      <c r="UII460" s="22"/>
      <c r="UIJ460" s="22"/>
      <c r="UIK460" s="22"/>
      <c r="UIL460" s="22"/>
      <c r="UIM460" s="22"/>
      <c r="UIN460" s="22"/>
      <c r="UIO460" s="22"/>
      <c r="UIP460" s="22"/>
      <c r="UIQ460" s="22"/>
      <c r="UIR460" s="22"/>
      <c r="UIS460" s="22"/>
      <c r="UIT460" s="22"/>
      <c r="UIU460" s="22"/>
      <c r="UIV460" s="22"/>
      <c r="UIW460" s="22"/>
      <c r="UIX460" s="22"/>
      <c r="UIY460" s="22"/>
      <c r="UIZ460" s="22"/>
      <c r="UJA460" s="22"/>
      <c r="UJB460" s="22"/>
      <c r="UJC460" s="22"/>
      <c r="UJD460" s="22"/>
      <c r="UJE460" s="22"/>
      <c r="UJF460" s="22"/>
      <c r="UJG460" s="22"/>
      <c r="UJH460" s="22"/>
      <c r="UJI460" s="22"/>
      <c r="UJJ460" s="22"/>
      <c r="UJK460" s="22"/>
      <c r="UJL460" s="22"/>
      <c r="UJM460" s="22"/>
      <c r="UJN460" s="22"/>
      <c r="UJO460" s="22"/>
      <c r="UJP460" s="22"/>
      <c r="UJQ460" s="22"/>
      <c r="UJR460" s="22"/>
      <c r="UJS460" s="22"/>
      <c r="UJT460" s="22"/>
      <c r="UJU460" s="22"/>
      <c r="UJV460" s="22"/>
      <c r="UJW460" s="22"/>
      <c r="UJX460" s="22"/>
      <c r="UJY460" s="22"/>
      <c r="UJZ460" s="22"/>
      <c r="UKA460" s="22"/>
      <c r="UKB460" s="22"/>
      <c r="UKC460" s="22"/>
      <c r="UKD460" s="22"/>
      <c r="UKE460" s="22"/>
      <c r="UKF460" s="22"/>
      <c r="UKG460" s="22"/>
      <c r="UKH460" s="22"/>
      <c r="UKI460" s="22"/>
      <c r="UKJ460" s="22"/>
      <c r="UKK460" s="22"/>
      <c r="UKL460" s="22"/>
      <c r="UKM460" s="22"/>
      <c r="UKN460" s="22"/>
      <c r="UKO460" s="22"/>
      <c r="UKP460" s="22"/>
      <c r="UKQ460" s="22"/>
      <c r="UKR460" s="22"/>
      <c r="UKS460" s="22"/>
      <c r="UKT460" s="22"/>
      <c r="UKU460" s="22"/>
      <c r="UKV460" s="22"/>
      <c r="UKW460" s="22"/>
      <c r="UKX460" s="22"/>
      <c r="UKY460" s="22"/>
      <c r="UKZ460" s="22"/>
      <c r="ULA460" s="22"/>
      <c r="ULB460" s="22"/>
      <c r="ULC460" s="22"/>
      <c r="ULD460" s="22"/>
      <c r="ULE460" s="22"/>
      <c r="ULF460" s="22"/>
      <c r="ULG460" s="22"/>
      <c r="ULH460" s="22"/>
      <c r="ULI460" s="22"/>
      <c r="ULJ460" s="22"/>
      <c r="ULK460" s="22"/>
      <c r="ULL460" s="22"/>
      <c r="ULM460" s="22"/>
      <c r="ULN460" s="22"/>
      <c r="ULO460" s="22"/>
      <c r="ULP460" s="22"/>
      <c r="ULQ460" s="22"/>
      <c r="ULR460" s="22"/>
      <c r="ULS460" s="22"/>
      <c r="ULT460" s="22"/>
      <c r="ULU460" s="22"/>
      <c r="ULV460" s="22"/>
      <c r="ULW460" s="22"/>
      <c r="ULX460" s="22"/>
      <c r="ULY460" s="22"/>
      <c r="ULZ460" s="22"/>
      <c r="UMA460" s="22"/>
      <c r="UMB460" s="22"/>
      <c r="UMC460" s="22"/>
      <c r="UMD460" s="22"/>
      <c r="UME460" s="22"/>
      <c r="UMF460" s="22"/>
      <c r="UMG460" s="22"/>
      <c r="UMH460" s="22"/>
      <c r="UMI460" s="22"/>
      <c r="UMJ460" s="22"/>
      <c r="UMK460" s="22"/>
      <c r="UML460" s="22"/>
      <c r="UMM460" s="22"/>
      <c r="UMN460" s="22"/>
      <c r="UMO460" s="22"/>
      <c r="UMP460" s="22"/>
      <c r="UMQ460" s="22"/>
      <c r="UMR460" s="22"/>
      <c r="UMS460" s="22"/>
      <c r="UMT460" s="22"/>
      <c r="UMU460" s="22"/>
      <c r="UMV460" s="22"/>
      <c r="UMW460" s="22"/>
      <c r="UMX460" s="22"/>
      <c r="UMY460" s="22"/>
      <c r="UMZ460" s="22"/>
      <c r="UNA460" s="22"/>
      <c r="UNB460" s="22"/>
      <c r="UNC460" s="22"/>
      <c r="UND460" s="22"/>
      <c r="UNE460" s="22"/>
      <c r="UNF460" s="22"/>
      <c r="UNG460" s="22"/>
      <c r="UNH460" s="22"/>
      <c r="UNI460" s="22"/>
      <c r="UNJ460" s="22"/>
      <c r="UNK460" s="22"/>
      <c r="UNL460" s="22"/>
      <c r="UNM460" s="22"/>
      <c r="UNN460" s="22"/>
      <c r="UNO460" s="22"/>
      <c r="UNP460" s="22"/>
      <c r="UNQ460" s="22"/>
      <c r="UNR460" s="22"/>
      <c r="UNS460" s="22"/>
      <c r="UNT460" s="22"/>
      <c r="UNU460" s="22"/>
      <c r="UNV460" s="22"/>
      <c r="UNW460" s="22"/>
      <c r="UNX460" s="22"/>
      <c r="UNY460" s="22"/>
      <c r="UNZ460" s="22"/>
      <c r="UOA460" s="22"/>
      <c r="UOB460" s="22"/>
      <c r="UOC460" s="22"/>
      <c r="UOD460" s="22"/>
      <c r="UOE460" s="22"/>
      <c r="UOF460" s="22"/>
      <c r="UOG460" s="22"/>
      <c r="UOH460" s="22"/>
      <c r="UOI460" s="22"/>
      <c r="UOJ460" s="22"/>
      <c r="UOK460" s="22"/>
      <c r="UOL460" s="22"/>
      <c r="UOM460" s="22"/>
      <c r="UON460" s="22"/>
      <c r="UOO460" s="22"/>
      <c r="UOP460" s="22"/>
      <c r="UOQ460" s="22"/>
      <c r="UOR460" s="22"/>
      <c r="UOS460" s="22"/>
      <c r="UOT460" s="22"/>
      <c r="UOU460" s="22"/>
      <c r="UOV460" s="22"/>
      <c r="UOW460" s="22"/>
      <c r="UOX460" s="22"/>
      <c r="UOY460" s="22"/>
      <c r="UOZ460" s="22"/>
      <c r="UPA460" s="22"/>
      <c r="UPB460" s="22"/>
      <c r="UPC460" s="22"/>
      <c r="UPD460" s="22"/>
      <c r="UPE460" s="22"/>
      <c r="UPF460" s="22"/>
      <c r="UPG460" s="22"/>
      <c r="UPH460" s="22"/>
      <c r="UPI460" s="22"/>
      <c r="UPJ460" s="22"/>
      <c r="UPK460" s="22"/>
      <c r="UPL460" s="22"/>
      <c r="UPM460" s="22"/>
      <c r="UPN460" s="22"/>
      <c r="UPO460" s="22"/>
      <c r="UPP460" s="22"/>
      <c r="UPQ460" s="22"/>
      <c r="UPR460" s="22"/>
      <c r="UPS460" s="22"/>
      <c r="UPT460" s="22"/>
      <c r="UPU460" s="22"/>
      <c r="UPV460" s="22"/>
      <c r="UPW460" s="22"/>
      <c r="UPX460" s="22"/>
      <c r="UPY460" s="22"/>
      <c r="UPZ460" s="22"/>
      <c r="UQA460" s="22"/>
      <c r="UQB460" s="22"/>
      <c r="UQC460" s="22"/>
      <c r="UQD460" s="22"/>
      <c r="UQE460" s="22"/>
      <c r="UQF460" s="22"/>
      <c r="UQG460" s="22"/>
      <c r="UQH460" s="22"/>
      <c r="UQI460" s="22"/>
      <c r="UQJ460" s="22"/>
      <c r="UQK460" s="22"/>
      <c r="UQL460" s="22"/>
      <c r="UQM460" s="22"/>
      <c r="UQN460" s="22"/>
      <c r="UQO460" s="22"/>
      <c r="UQP460" s="22"/>
      <c r="UQQ460" s="22"/>
      <c r="UQR460" s="22"/>
      <c r="UQS460" s="22"/>
      <c r="UQT460" s="22"/>
      <c r="UQU460" s="22"/>
      <c r="UQV460" s="22"/>
      <c r="UQW460" s="22"/>
      <c r="UQX460" s="22"/>
      <c r="UQY460" s="22"/>
      <c r="UQZ460" s="22"/>
      <c r="URA460" s="22"/>
      <c r="URB460" s="22"/>
      <c r="URC460" s="22"/>
      <c r="URD460" s="22"/>
      <c r="URE460" s="22"/>
      <c r="URF460" s="22"/>
      <c r="URG460" s="22"/>
      <c r="URH460" s="22"/>
      <c r="URI460" s="22"/>
      <c r="URJ460" s="22"/>
      <c r="URK460" s="22"/>
      <c r="URL460" s="22"/>
      <c r="URM460" s="22"/>
      <c r="URN460" s="22"/>
      <c r="URO460" s="22"/>
      <c r="URP460" s="22"/>
      <c r="URQ460" s="22"/>
      <c r="URR460" s="22"/>
      <c r="URS460" s="22"/>
      <c r="URT460" s="22"/>
      <c r="URU460" s="22"/>
      <c r="URV460" s="22"/>
      <c r="URW460" s="22"/>
      <c r="URX460" s="22"/>
      <c r="URY460" s="22"/>
      <c r="URZ460" s="22"/>
      <c r="USA460" s="22"/>
      <c r="USB460" s="22"/>
      <c r="USC460" s="22"/>
      <c r="USD460" s="22"/>
      <c r="USE460" s="22"/>
      <c r="USF460" s="22"/>
      <c r="USG460" s="22"/>
      <c r="USH460" s="22"/>
      <c r="USI460" s="22"/>
      <c r="USJ460" s="22"/>
      <c r="USK460" s="22"/>
      <c r="USL460" s="22"/>
      <c r="USM460" s="22"/>
      <c r="USN460" s="22"/>
      <c r="USO460" s="22"/>
      <c r="USP460" s="22"/>
      <c r="USQ460" s="22"/>
      <c r="USR460" s="22"/>
      <c r="USS460" s="22"/>
      <c r="UST460" s="22"/>
      <c r="USU460" s="22"/>
      <c r="USV460" s="22"/>
      <c r="USW460" s="22"/>
      <c r="USX460" s="22"/>
      <c r="USY460" s="22"/>
      <c r="USZ460" s="22"/>
      <c r="UTA460" s="22"/>
      <c r="UTB460" s="22"/>
      <c r="UTC460" s="22"/>
      <c r="UTD460" s="22"/>
      <c r="UTE460" s="22"/>
      <c r="UTF460" s="22"/>
      <c r="UTG460" s="22"/>
      <c r="UTH460" s="22"/>
      <c r="UTI460" s="22"/>
      <c r="UTJ460" s="22"/>
      <c r="UTK460" s="22"/>
      <c r="UTL460" s="22"/>
      <c r="UTM460" s="22"/>
      <c r="UTN460" s="22"/>
      <c r="UTO460" s="22"/>
      <c r="UTP460" s="22"/>
      <c r="UTQ460" s="22"/>
      <c r="UTR460" s="22"/>
      <c r="UTS460" s="22"/>
      <c r="UTT460" s="22"/>
      <c r="UTU460" s="22"/>
      <c r="UTV460" s="22"/>
      <c r="UTW460" s="22"/>
      <c r="UTX460" s="22"/>
      <c r="UTY460" s="22"/>
      <c r="UTZ460" s="22"/>
      <c r="UUA460" s="22"/>
      <c r="UUB460" s="22"/>
      <c r="UUC460" s="22"/>
      <c r="UUD460" s="22"/>
      <c r="UUE460" s="22"/>
      <c r="UUF460" s="22"/>
      <c r="UUG460" s="22"/>
      <c r="UUH460" s="22"/>
      <c r="UUI460" s="22"/>
      <c r="UUJ460" s="22"/>
      <c r="UUK460" s="22"/>
      <c r="UUL460" s="22"/>
      <c r="UUM460" s="22"/>
      <c r="UUN460" s="22"/>
      <c r="UUO460" s="22"/>
      <c r="UUP460" s="22"/>
      <c r="UUQ460" s="22"/>
      <c r="UUR460" s="22"/>
      <c r="UUS460" s="22"/>
      <c r="UUT460" s="22"/>
      <c r="UUU460" s="22"/>
      <c r="UUV460" s="22"/>
      <c r="UUW460" s="22"/>
      <c r="UUX460" s="22"/>
      <c r="UUY460" s="22"/>
      <c r="UUZ460" s="22"/>
      <c r="UVA460" s="22"/>
      <c r="UVB460" s="22"/>
      <c r="UVC460" s="22"/>
      <c r="UVD460" s="22"/>
      <c r="UVE460" s="22"/>
      <c r="UVF460" s="22"/>
      <c r="UVG460" s="22"/>
      <c r="UVH460" s="22"/>
      <c r="UVI460" s="22"/>
      <c r="UVJ460" s="22"/>
      <c r="UVK460" s="22"/>
      <c r="UVL460" s="22"/>
      <c r="UVM460" s="22"/>
      <c r="UVN460" s="22"/>
      <c r="UVO460" s="22"/>
      <c r="UVP460" s="22"/>
      <c r="UVQ460" s="22"/>
      <c r="UVR460" s="22"/>
      <c r="UVS460" s="22"/>
      <c r="UVT460" s="22"/>
      <c r="UVU460" s="22"/>
      <c r="UVV460" s="22"/>
      <c r="UVW460" s="22"/>
      <c r="UVX460" s="22"/>
      <c r="UVY460" s="22"/>
      <c r="UVZ460" s="22"/>
      <c r="UWA460" s="22"/>
      <c r="UWB460" s="22"/>
      <c r="UWC460" s="22"/>
      <c r="UWD460" s="22"/>
      <c r="UWE460" s="22"/>
      <c r="UWF460" s="22"/>
      <c r="UWG460" s="22"/>
      <c r="UWH460" s="22"/>
      <c r="UWI460" s="22"/>
      <c r="UWJ460" s="22"/>
      <c r="UWK460" s="22"/>
      <c r="UWL460" s="22"/>
      <c r="UWM460" s="22"/>
      <c r="UWN460" s="22"/>
      <c r="UWO460" s="22"/>
      <c r="UWP460" s="22"/>
      <c r="UWQ460" s="22"/>
      <c r="UWR460" s="22"/>
      <c r="UWS460" s="22"/>
      <c r="UWT460" s="22"/>
      <c r="UWU460" s="22"/>
      <c r="UWV460" s="22"/>
      <c r="UWW460" s="22"/>
      <c r="UWX460" s="22"/>
      <c r="UWY460" s="22"/>
      <c r="UWZ460" s="22"/>
      <c r="UXA460" s="22"/>
      <c r="UXB460" s="22"/>
      <c r="UXC460" s="22"/>
      <c r="UXD460" s="22"/>
      <c r="UXE460" s="22"/>
      <c r="UXF460" s="22"/>
      <c r="UXG460" s="22"/>
      <c r="UXH460" s="22"/>
      <c r="UXI460" s="22"/>
      <c r="UXJ460" s="22"/>
      <c r="UXK460" s="22"/>
      <c r="UXL460" s="22"/>
      <c r="UXM460" s="22"/>
      <c r="UXN460" s="22"/>
      <c r="UXO460" s="22"/>
      <c r="UXP460" s="22"/>
      <c r="UXQ460" s="22"/>
      <c r="UXR460" s="22"/>
      <c r="UXS460" s="22"/>
      <c r="UXT460" s="22"/>
      <c r="UXU460" s="22"/>
      <c r="UXV460" s="22"/>
      <c r="UXW460" s="22"/>
      <c r="UXX460" s="22"/>
      <c r="UXY460" s="22"/>
      <c r="UXZ460" s="22"/>
      <c r="UYA460" s="22"/>
      <c r="UYB460" s="22"/>
      <c r="UYC460" s="22"/>
      <c r="UYD460" s="22"/>
      <c r="UYE460" s="22"/>
      <c r="UYF460" s="22"/>
      <c r="UYG460" s="22"/>
      <c r="UYH460" s="22"/>
      <c r="UYI460" s="22"/>
      <c r="UYJ460" s="22"/>
      <c r="UYK460" s="22"/>
      <c r="UYL460" s="22"/>
      <c r="UYM460" s="22"/>
      <c r="UYN460" s="22"/>
      <c r="UYO460" s="22"/>
      <c r="UYP460" s="22"/>
      <c r="UYQ460" s="22"/>
      <c r="UYR460" s="22"/>
      <c r="UYS460" s="22"/>
      <c r="UYT460" s="22"/>
      <c r="UYU460" s="22"/>
      <c r="UYV460" s="22"/>
      <c r="UYW460" s="22"/>
      <c r="UYX460" s="22"/>
      <c r="UYY460" s="22"/>
      <c r="UYZ460" s="22"/>
      <c r="UZA460" s="22"/>
      <c r="UZB460" s="22"/>
      <c r="UZC460" s="22"/>
      <c r="UZD460" s="22"/>
      <c r="UZE460" s="22"/>
      <c r="UZF460" s="22"/>
      <c r="UZG460" s="22"/>
      <c r="UZH460" s="22"/>
      <c r="UZI460" s="22"/>
      <c r="UZJ460" s="22"/>
      <c r="UZK460" s="22"/>
      <c r="UZL460" s="22"/>
      <c r="UZM460" s="22"/>
      <c r="UZN460" s="22"/>
      <c r="UZO460" s="22"/>
      <c r="UZP460" s="22"/>
      <c r="UZQ460" s="22"/>
      <c r="UZR460" s="22"/>
      <c r="UZS460" s="22"/>
      <c r="UZT460" s="22"/>
      <c r="UZU460" s="22"/>
      <c r="UZV460" s="22"/>
      <c r="UZW460" s="22"/>
      <c r="UZX460" s="22"/>
      <c r="UZY460" s="22"/>
      <c r="UZZ460" s="22"/>
      <c r="VAA460" s="22"/>
      <c r="VAB460" s="22"/>
      <c r="VAC460" s="22"/>
      <c r="VAD460" s="22"/>
      <c r="VAE460" s="22"/>
      <c r="VAF460" s="22"/>
      <c r="VAG460" s="22"/>
      <c r="VAH460" s="22"/>
      <c r="VAI460" s="22"/>
      <c r="VAJ460" s="22"/>
      <c r="VAK460" s="22"/>
      <c r="VAL460" s="22"/>
      <c r="VAM460" s="22"/>
      <c r="VAN460" s="22"/>
      <c r="VAO460" s="22"/>
      <c r="VAP460" s="22"/>
      <c r="VAQ460" s="22"/>
      <c r="VAR460" s="22"/>
      <c r="VAS460" s="22"/>
      <c r="VAT460" s="22"/>
      <c r="VAU460" s="22"/>
      <c r="VAV460" s="22"/>
      <c r="VAW460" s="22"/>
      <c r="VAX460" s="22"/>
      <c r="VAY460" s="22"/>
      <c r="VAZ460" s="22"/>
      <c r="VBA460" s="22"/>
      <c r="VBB460" s="22"/>
      <c r="VBC460" s="22"/>
      <c r="VBD460" s="22"/>
      <c r="VBE460" s="22"/>
      <c r="VBF460" s="22"/>
      <c r="VBG460" s="22"/>
      <c r="VBH460" s="22"/>
      <c r="VBI460" s="22"/>
      <c r="VBJ460" s="22"/>
      <c r="VBK460" s="22"/>
      <c r="VBL460" s="22"/>
      <c r="VBM460" s="22"/>
      <c r="VBN460" s="22"/>
      <c r="VBO460" s="22"/>
      <c r="VBP460" s="22"/>
      <c r="VBQ460" s="22"/>
      <c r="VBR460" s="22"/>
      <c r="VBS460" s="22"/>
      <c r="VBT460" s="22"/>
      <c r="VBU460" s="22"/>
      <c r="VBV460" s="22"/>
      <c r="VBW460" s="22"/>
      <c r="VBX460" s="22"/>
      <c r="VBY460" s="22"/>
      <c r="VBZ460" s="22"/>
      <c r="VCA460" s="22"/>
      <c r="VCB460" s="22"/>
      <c r="VCC460" s="22"/>
      <c r="VCD460" s="22"/>
      <c r="VCE460" s="22"/>
      <c r="VCF460" s="22"/>
      <c r="VCG460" s="22"/>
      <c r="VCH460" s="22"/>
      <c r="VCI460" s="22"/>
      <c r="VCJ460" s="22"/>
      <c r="VCK460" s="22"/>
      <c r="VCL460" s="22"/>
      <c r="VCM460" s="22"/>
      <c r="VCN460" s="22"/>
      <c r="VCO460" s="22"/>
      <c r="VCP460" s="22"/>
      <c r="VCQ460" s="22"/>
      <c r="VCR460" s="22"/>
      <c r="VCS460" s="22"/>
      <c r="VCT460" s="22"/>
      <c r="VCU460" s="22"/>
      <c r="VCV460" s="22"/>
      <c r="VCW460" s="22"/>
      <c r="VCX460" s="22"/>
      <c r="VCY460" s="22"/>
      <c r="VCZ460" s="22"/>
      <c r="VDA460" s="22"/>
      <c r="VDB460" s="22"/>
      <c r="VDC460" s="22"/>
      <c r="VDD460" s="22"/>
      <c r="VDE460" s="22"/>
      <c r="VDF460" s="22"/>
      <c r="VDG460" s="22"/>
      <c r="VDH460" s="22"/>
      <c r="VDI460" s="22"/>
      <c r="VDJ460" s="22"/>
      <c r="VDK460" s="22"/>
      <c r="VDL460" s="22"/>
      <c r="VDM460" s="22"/>
      <c r="VDN460" s="22"/>
      <c r="VDO460" s="22"/>
      <c r="VDP460" s="22"/>
      <c r="VDQ460" s="22"/>
      <c r="VDR460" s="22"/>
      <c r="VDS460" s="22"/>
      <c r="VDT460" s="22"/>
      <c r="VDU460" s="22"/>
      <c r="VDV460" s="22"/>
      <c r="VDW460" s="22"/>
      <c r="VDX460" s="22"/>
      <c r="VDY460" s="22"/>
      <c r="VDZ460" s="22"/>
      <c r="VEA460" s="22"/>
      <c r="VEB460" s="22"/>
      <c r="VEC460" s="22"/>
      <c r="VED460" s="22"/>
      <c r="VEE460" s="22"/>
      <c r="VEF460" s="22"/>
      <c r="VEG460" s="22"/>
      <c r="VEH460" s="22"/>
      <c r="VEI460" s="22"/>
      <c r="VEJ460" s="22"/>
      <c r="VEK460" s="22"/>
      <c r="VEL460" s="22"/>
      <c r="VEM460" s="22"/>
      <c r="VEN460" s="22"/>
      <c r="VEO460" s="22"/>
      <c r="VEP460" s="22"/>
      <c r="VEQ460" s="22"/>
      <c r="VER460" s="22"/>
      <c r="VES460" s="22"/>
      <c r="VET460" s="22"/>
      <c r="VEU460" s="22"/>
      <c r="VEV460" s="22"/>
      <c r="VEW460" s="22"/>
      <c r="VEX460" s="22"/>
      <c r="VEY460" s="22"/>
      <c r="VEZ460" s="22"/>
      <c r="VFA460" s="22"/>
      <c r="VFB460" s="22"/>
      <c r="VFC460" s="22"/>
      <c r="VFD460" s="22"/>
      <c r="VFE460" s="22"/>
      <c r="VFF460" s="22"/>
      <c r="VFG460" s="22"/>
      <c r="VFH460" s="22"/>
      <c r="VFI460" s="22"/>
      <c r="VFJ460" s="22"/>
      <c r="VFK460" s="22"/>
      <c r="VFL460" s="22"/>
      <c r="VFM460" s="22"/>
      <c r="VFN460" s="22"/>
      <c r="VFO460" s="22"/>
      <c r="VFP460" s="22"/>
      <c r="VFQ460" s="22"/>
      <c r="VFR460" s="22"/>
      <c r="VFS460" s="22"/>
      <c r="VFT460" s="22"/>
      <c r="VFU460" s="22"/>
      <c r="VFV460" s="22"/>
      <c r="VFW460" s="22"/>
      <c r="VFX460" s="22"/>
      <c r="VFY460" s="22"/>
      <c r="VFZ460" s="22"/>
      <c r="VGA460" s="22"/>
      <c r="VGB460" s="22"/>
      <c r="VGC460" s="22"/>
      <c r="VGD460" s="22"/>
      <c r="VGE460" s="22"/>
      <c r="VGF460" s="22"/>
      <c r="VGG460" s="22"/>
      <c r="VGH460" s="22"/>
      <c r="VGI460" s="22"/>
      <c r="VGJ460" s="22"/>
      <c r="VGK460" s="22"/>
      <c r="VGL460" s="22"/>
      <c r="VGM460" s="22"/>
      <c r="VGN460" s="22"/>
      <c r="VGO460" s="22"/>
      <c r="VGP460" s="22"/>
      <c r="VGQ460" s="22"/>
      <c r="VGR460" s="22"/>
      <c r="VGS460" s="22"/>
      <c r="VGT460" s="22"/>
      <c r="VGU460" s="22"/>
      <c r="VGV460" s="22"/>
      <c r="VGW460" s="22"/>
      <c r="VGX460" s="22"/>
      <c r="VGY460" s="22"/>
      <c r="VGZ460" s="22"/>
      <c r="VHA460" s="22"/>
      <c r="VHB460" s="22"/>
      <c r="VHC460" s="22"/>
      <c r="VHD460" s="22"/>
      <c r="VHE460" s="22"/>
      <c r="VHF460" s="22"/>
      <c r="VHG460" s="22"/>
      <c r="VHH460" s="22"/>
      <c r="VHI460" s="22"/>
      <c r="VHJ460" s="22"/>
      <c r="VHK460" s="22"/>
      <c r="VHL460" s="22"/>
      <c r="VHM460" s="22"/>
      <c r="VHN460" s="22"/>
      <c r="VHO460" s="22"/>
      <c r="VHP460" s="22"/>
      <c r="VHQ460" s="22"/>
      <c r="VHR460" s="22"/>
      <c r="VHS460" s="22"/>
      <c r="VHT460" s="22"/>
      <c r="VHU460" s="22"/>
      <c r="VHV460" s="22"/>
      <c r="VHW460" s="22"/>
      <c r="VHX460" s="22"/>
      <c r="VHY460" s="22"/>
      <c r="VHZ460" s="22"/>
      <c r="VIA460" s="22"/>
      <c r="VIB460" s="22"/>
      <c r="VIC460" s="22"/>
      <c r="VID460" s="22"/>
      <c r="VIE460" s="22"/>
      <c r="VIF460" s="22"/>
      <c r="VIG460" s="22"/>
      <c r="VIH460" s="22"/>
      <c r="VII460" s="22"/>
      <c r="VIJ460" s="22"/>
      <c r="VIK460" s="22"/>
      <c r="VIL460" s="22"/>
      <c r="VIM460" s="22"/>
      <c r="VIN460" s="22"/>
      <c r="VIO460" s="22"/>
      <c r="VIP460" s="22"/>
      <c r="VIQ460" s="22"/>
      <c r="VIR460" s="22"/>
      <c r="VIS460" s="22"/>
      <c r="VIT460" s="22"/>
      <c r="VIU460" s="22"/>
      <c r="VIV460" s="22"/>
      <c r="VIW460" s="22"/>
      <c r="VIX460" s="22"/>
      <c r="VIY460" s="22"/>
      <c r="VIZ460" s="22"/>
      <c r="VJA460" s="22"/>
      <c r="VJB460" s="22"/>
      <c r="VJC460" s="22"/>
      <c r="VJD460" s="22"/>
      <c r="VJE460" s="22"/>
      <c r="VJF460" s="22"/>
      <c r="VJG460" s="22"/>
      <c r="VJH460" s="22"/>
      <c r="VJI460" s="22"/>
      <c r="VJJ460" s="22"/>
      <c r="VJK460" s="22"/>
      <c r="VJL460" s="22"/>
      <c r="VJM460" s="22"/>
      <c r="VJN460" s="22"/>
      <c r="VJO460" s="22"/>
      <c r="VJP460" s="22"/>
      <c r="VJQ460" s="22"/>
      <c r="VJR460" s="22"/>
      <c r="VJS460" s="22"/>
      <c r="VJT460" s="22"/>
      <c r="VJU460" s="22"/>
      <c r="VJV460" s="22"/>
      <c r="VJW460" s="22"/>
      <c r="VJX460" s="22"/>
      <c r="VJY460" s="22"/>
      <c r="VJZ460" s="22"/>
      <c r="VKA460" s="22"/>
      <c r="VKB460" s="22"/>
      <c r="VKC460" s="22"/>
      <c r="VKD460" s="22"/>
      <c r="VKE460" s="22"/>
      <c r="VKF460" s="22"/>
      <c r="VKG460" s="22"/>
      <c r="VKH460" s="22"/>
      <c r="VKI460" s="22"/>
      <c r="VKJ460" s="22"/>
      <c r="VKK460" s="22"/>
      <c r="VKL460" s="22"/>
      <c r="VKM460" s="22"/>
      <c r="VKN460" s="22"/>
      <c r="VKO460" s="22"/>
      <c r="VKP460" s="22"/>
      <c r="VKQ460" s="22"/>
      <c r="VKR460" s="22"/>
      <c r="VKS460" s="22"/>
      <c r="VKT460" s="22"/>
      <c r="VKU460" s="22"/>
      <c r="VKV460" s="22"/>
      <c r="VKW460" s="22"/>
      <c r="VKX460" s="22"/>
      <c r="VKY460" s="22"/>
      <c r="VKZ460" s="22"/>
      <c r="VLA460" s="22"/>
      <c r="VLB460" s="22"/>
      <c r="VLC460" s="22"/>
      <c r="VLD460" s="22"/>
      <c r="VLE460" s="22"/>
      <c r="VLF460" s="22"/>
      <c r="VLG460" s="22"/>
      <c r="VLH460" s="22"/>
      <c r="VLI460" s="22"/>
      <c r="VLJ460" s="22"/>
      <c r="VLK460" s="22"/>
      <c r="VLL460" s="22"/>
      <c r="VLM460" s="22"/>
      <c r="VLN460" s="22"/>
      <c r="VLO460" s="22"/>
      <c r="VLP460" s="22"/>
      <c r="VLQ460" s="22"/>
      <c r="VLR460" s="22"/>
      <c r="VLS460" s="22"/>
      <c r="VLT460" s="22"/>
      <c r="VLU460" s="22"/>
      <c r="VLV460" s="22"/>
      <c r="VLW460" s="22"/>
      <c r="VLX460" s="22"/>
      <c r="VLY460" s="22"/>
      <c r="VLZ460" s="22"/>
      <c r="VMA460" s="22"/>
      <c r="VMB460" s="22"/>
      <c r="VMC460" s="22"/>
      <c r="VMD460" s="22"/>
      <c r="VME460" s="22"/>
      <c r="VMF460" s="22"/>
      <c r="VMG460" s="22"/>
      <c r="VMH460" s="22"/>
      <c r="VMI460" s="22"/>
      <c r="VMJ460" s="22"/>
      <c r="VMK460" s="22"/>
      <c r="VML460" s="22"/>
      <c r="VMM460" s="22"/>
      <c r="VMN460" s="22"/>
      <c r="VMO460" s="22"/>
      <c r="VMP460" s="22"/>
      <c r="VMQ460" s="22"/>
      <c r="VMR460" s="22"/>
      <c r="VMS460" s="22"/>
      <c r="VMT460" s="22"/>
      <c r="VMU460" s="22"/>
      <c r="VMV460" s="22"/>
      <c r="VMW460" s="22"/>
      <c r="VMX460" s="22"/>
      <c r="VMY460" s="22"/>
      <c r="VMZ460" s="22"/>
      <c r="VNA460" s="22"/>
      <c r="VNB460" s="22"/>
      <c r="VNC460" s="22"/>
      <c r="VND460" s="22"/>
      <c r="VNE460" s="22"/>
      <c r="VNF460" s="22"/>
      <c r="VNG460" s="22"/>
      <c r="VNH460" s="22"/>
      <c r="VNI460" s="22"/>
      <c r="VNJ460" s="22"/>
      <c r="VNK460" s="22"/>
      <c r="VNL460" s="22"/>
      <c r="VNM460" s="22"/>
      <c r="VNN460" s="22"/>
      <c r="VNO460" s="22"/>
      <c r="VNP460" s="22"/>
      <c r="VNQ460" s="22"/>
      <c r="VNR460" s="22"/>
      <c r="VNS460" s="22"/>
      <c r="VNT460" s="22"/>
      <c r="VNU460" s="22"/>
      <c r="VNV460" s="22"/>
      <c r="VNW460" s="22"/>
      <c r="VNX460" s="22"/>
      <c r="VNY460" s="22"/>
      <c r="VNZ460" s="22"/>
      <c r="VOA460" s="22"/>
      <c r="VOB460" s="22"/>
      <c r="VOC460" s="22"/>
      <c r="VOD460" s="22"/>
      <c r="VOE460" s="22"/>
      <c r="VOF460" s="22"/>
      <c r="VOG460" s="22"/>
      <c r="VOH460" s="22"/>
      <c r="VOI460" s="22"/>
      <c r="VOJ460" s="22"/>
      <c r="VOK460" s="22"/>
      <c r="VOL460" s="22"/>
      <c r="VOM460" s="22"/>
      <c r="VON460" s="22"/>
      <c r="VOO460" s="22"/>
      <c r="VOP460" s="22"/>
      <c r="VOQ460" s="22"/>
      <c r="VOR460" s="22"/>
      <c r="VOS460" s="22"/>
      <c r="VOT460" s="22"/>
      <c r="VOU460" s="22"/>
      <c r="VOV460" s="22"/>
      <c r="VOW460" s="22"/>
      <c r="VOX460" s="22"/>
      <c r="VOY460" s="22"/>
      <c r="VOZ460" s="22"/>
      <c r="VPA460" s="22"/>
      <c r="VPB460" s="22"/>
      <c r="VPC460" s="22"/>
      <c r="VPD460" s="22"/>
      <c r="VPE460" s="22"/>
      <c r="VPF460" s="22"/>
      <c r="VPG460" s="22"/>
      <c r="VPH460" s="22"/>
      <c r="VPI460" s="22"/>
      <c r="VPJ460" s="22"/>
      <c r="VPK460" s="22"/>
      <c r="VPL460" s="22"/>
      <c r="VPM460" s="22"/>
      <c r="VPN460" s="22"/>
      <c r="VPO460" s="22"/>
      <c r="VPP460" s="22"/>
      <c r="VPQ460" s="22"/>
      <c r="VPR460" s="22"/>
      <c r="VPS460" s="22"/>
      <c r="VPT460" s="22"/>
      <c r="VPU460" s="22"/>
      <c r="VPV460" s="22"/>
      <c r="VPW460" s="22"/>
      <c r="VPX460" s="22"/>
      <c r="VPY460" s="22"/>
      <c r="VPZ460" s="22"/>
      <c r="VQA460" s="22"/>
      <c r="VQB460" s="22"/>
      <c r="VQC460" s="22"/>
      <c r="VQD460" s="22"/>
      <c r="VQE460" s="22"/>
      <c r="VQF460" s="22"/>
      <c r="VQG460" s="22"/>
      <c r="VQH460" s="22"/>
      <c r="VQI460" s="22"/>
      <c r="VQJ460" s="22"/>
      <c r="VQK460" s="22"/>
      <c r="VQL460" s="22"/>
      <c r="VQM460" s="22"/>
      <c r="VQN460" s="22"/>
      <c r="VQO460" s="22"/>
      <c r="VQP460" s="22"/>
      <c r="VQQ460" s="22"/>
      <c r="VQR460" s="22"/>
      <c r="VQS460" s="22"/>
      <c r="VQT460" s="22"/>
      <c r="VQU460" s="22"/>
      <c r="VQV460" s="22"/>
      <c r="VQW460" s="22"/>
      <c r="VQX460" s="22"/>
      <c r="VQY460" s="22"/>
      <c r="VQZ460" s="22"/>
      <c r="VRA460" s="22"/>
      <c r="VRB460" s="22"/>
      <c r="VRC460" s="22"/>
      <c r="VRD460" s="22"/>
      <c r="VRE460" s="22"/>
      <c r="VRF460" s="22"/>
      <c r="VRG460" s="22"/>
      <c r="VRH460" s="22"/>
      <c r="VRI460" s="22"/>
      <c r="VRJ460" s="22"/>
      <c r="VRK460" s="22"/>
      <c r="VRL460" s="22"/>
      <c r="VRM460" s="22"/>
      <c r="VRN460" s="22"/>
      <c r="VRO460" s="22"/>
      <c r="VRP460" s="22"/>
      <c r="VRQ460" s="22"/>
      <c r="VRR460" s="22"/>
      <c r="VRS460" s="22"/>
      <c r="VRT460" s="22"/>
      <c r="VRU460" s="22"/>
      <c r="VRV460" s="22"/>
      <c r="VRW460" s="22"/>
      <c r="VRX460" s="22"/>
      <c r="VRY460" s="22"/>
      <c r="VRZ460" s="22"/>
      <c r="VSA460" s="22"/>
      <c r="VSB460" s="22"/>
      <c r="VSC460" s="22"/>
      <c r="VSD460" s="22"/>
      <c r="VSE460" s="22"/>
      <c r="VSF460" s="22"/>
      <c r="VSG460" s="22"/>
      <c r="VSH460" s="22"/>
      <c r="VSI460" s="22"/>
      <c r="VSJ460" s="22"/>
      <c r="VSK460" s="22"/>
      <c r="VSL460" s="22"/>
      <c r="VSM460" s="22"/>
      <c r="VSN460" s="22"/>
      <c r="VSO460" s="22"/>
      <c r="VSP460" s="22"/>
      <c r="VSQ460" s="22"/>
      <c r="VSR460" s="22"/>
      <c r="VSS460" s="22"/>
      <c r="VST460" s="22"/>
      <c r="VSU460" s="22"/>
      <c r="VSV460" s="22"/>
      <c r="VSW460" s="22"/>
      <c r="VSX460" s="22"/>
      <c r="VSY460" s="22"/>
      <c r="VSZ460" s="22"/>
      <c r="VTA460" s="22"/>
      <c r="VTB460" s="22"/>
      <c r="VTC460" s="22"/>
      <c r="VTD460" s="22"/>
      <c r="VTE460" s="22"/>
      <c r="VTF460" s="22"/>
      <c r="VTG460" s="22"/>
      <c r="VTH460" s="22"/>
      <c r="VTI460" s="22"/>
      <c r="VTJ460" s="22"/>
      <c r="VTK460" s="22"/>
      <c r="VTL460" s="22"/>
      <c r="VTM460" s="22"/>
      <c r="VTN460" s="22"/>
      <c r="VTO460" s="22"/>
      <c r="VTP460" s="22"/>
      <c r="VTQ460" s="22"/>
      <c r="VTR460" s="22"/>
      <c r="VTS460" s="22"/>
      <c r="VTT460" s="22"/>
      <c r="VTU460" s="22"/>
      <c r="VTV460" s="22"/>
      <c r="VTW460" s="22"/>
      <c r="VTX460" s="22"/>
      <c r="VTY460" s="22"/>
      <c r="VTZ460" s="22"/>
      <c r="VUA460" s="22"/>
      <c r="VUB460" s="22"/>
      <c r="VUC460" s="22"/>
      <c r="VUD460" s="22"/>
      <c r="VUE460" s="22"/>
      <c r="VUF460" s="22"/>
      <c r="VUG460" s="22"/>
      <c r="VUH460" s="22"/>
      <c r="VUI460" s="22"/>
      <c r="VUJ460" s="22"/>
      <c r="VUK460" s="22"/>
      <c r="VUL460" s="22"/>
      <c r="VUM460" s="22"/>
      <c r="VUN460" s="22"/>
      <c r="VUO460" s="22"/>
      <c r="VUP460" s="22"/>
      <c r="VUQ460" s="22"/>
      <c r="VUR460" s="22"/>
      <c r="VUS460" s="22"/>
      <c r="VUT460" s="22"/>
      <c r="VUU460" s="22"/>
      <c r="VUV460" s="22"/>
      <c r="VUW460" s="22"/>
      <c r="VUX460" s="22"/>
      <c r="VUY460" s="22"/>
      <c r="VUZ460" s="22"/>
      <c r="VVA460" s="22"/>
      <c r="VVB460" s="22"/>
      <c r="VVC460" s="22"/>
      <c r="VVD460" s="22"/>
      <c r="VVE460" s="22"/>
      <c r="VVF460" s="22"/>
      <c r="VVG460" s="22"/>
      <c r="VVH460" s="22"/>
      <c r="VVI460" s="22"/>
      <c r="VVJ460" s="22"/>
      <c r="VVK460" s="22"/>
      <c r="VVL460" s="22"/>
      <c r="VVM460" s="22"/>
      <c r="VVN460" s="22"/>
      <c r="VVO460" s="22"/>
      <c r="VVP460" s="22"/>
      <c r="VVQ460" s="22"/>
      <c r="VVR460" s="22"/>
      <c r="VVS460" s="22"/>
      <c r="VVT460" s="22"/>
      <c r="VVU460" s="22"/>
      <c r="VVV460" s="22"/>
      <c r="VVW460" s="22"/>
      <c r="VVX460" s="22"/>
      <c r="VVY460" s="22"/>
      <c r="VVZ460" s="22"/>
      <c r="VWA460" s="22"/>
      <c r="VWB460" s="22"/>
      <c r="VWC460" s="22"/>
      <c r="VWD460" s="22"/>
      <c r="VWE460" s="22"/>
      <c r="VWF460" s="22"/>
      <c r="VWG460" s="22"/>
      <c r="VWH460" s="22"/>
      <c r="VWI460" s="22"/>
      <c r="VWJ460" s="22"/>
      <c r="VWK460" s="22"/>
      <c r="VWL460" s="22"/>
      <c r="VWM460" s="22"/>
      <c r="VWN460" s="22"/>
      <c r="VWO460" s="22"/>
      <c r="VWP460" s="22"/>
      <c r="VWQ460" s="22"/>
      <c r="VWR460" s="22"/>
      <c r="VWS460" s="22"/>
      <c r="VWT460" s="22"/>
      <c r="VWU460" s="22"/>
      <c r="VWV460" s="22"/>
      <c r="VWW460" s="22"/>
      <c r="VWX460" s="22"/>
      <c r="VWY460" s="22"/>
      <c r="VWZ460" s="22"/>
      <c r="VXA460" s="22"/>
      <c r="VXB460" s="22"/>
      <c r="VXC460" s="22"/>
      <c r="VXD460" s="22"/>
      <c r="VXE460" s="22"/>
      <c r="VXF460" s="22"/>
      <c r="VXG460" s="22"/>
      <c r="VXH460" s="22"/>
      <c r="VXI460" s="22"/>
      <c r="VXJ460" s="22"/>
      <c r="VXK460" s="22"/>
      <c r="VXL460" s="22"/>
      <c r="VXM460" s="22"/>
      <c r="VXN460" s="22"/>
      <c r="VXO460" s="22"/>
      <c r="VXP460" s="22"/>
      <c r="VXQ460" s="22"/>
      <c r="VXR460" s="22"/>
      <c r="VXS460" s="22"/>
      <c r="VXT460" s="22"/>
      <c r="VXU460" s="22"/>
      <c r="VXV460" s="22"/>
      <c r="VXW460" s="22"/>
      <c r="VXX460" s="22"/>
      <c r="VXY460" s="22"/>
      <c r="VXZ460" s="22"/>
      <c r="VYA460" s="22"/>
      <c r="VYB460" s="22"/>
      <c r="VYC460" s="22"/>
      <c r="VYD460" s="22"/>
      <c r="VYE460" s="22"/>
      <c r="VYF460" s="22"/>
      <c r="VYG460" s="22"/>
      <c r="VYH460" s="22"/>
      <c r="VYI460" s="22"/>
      <c r="VYJ460" s="22"/>
      <c r="VYK460" s="22"/>
      <c r="VYL460" s="22"/>
      <c r="VYM460" s="22"/>
      <c r="VYN460" s="22"/>
      <c r="VYO460" s="22"/>
      <c r="VYP460" s="22"/>
      <c r="VYQ460" s="22"/>
      <c r="VYR460" s="22"/>
      <c r="VYS460" s="22"/>
      <c r="VYT460" s="22"/>
      <c r="VYU460" s="22"/>
      <c r="VYV460" s="22"/>
      <c r="VYW460" s="22"/>
      <c r="VYX460" s="22"/>
      <c r="VYY460" s="22"/>
      <c r="VYZ460" s="22"/>
      <c r="VZA460" s="22"/>
      <c r="VZB460" s="22"/>
      <c r="VZC460" s="22"/>
      <c r="VZD460" s="22"/>
      <c r="VZE460" s="22"/>
      <c r="VZF460" s="22"/>
      <c r="VZG460" s="22"/>
      <c r="VZH460" s="22"/>
      <c r="VZI460" s="22"/>
      <c r="VZJ460" s="22"/>
      <c r="VZK460" s="22"/>
      <c r="VZL460" s="22"/>
      <c r="VZM460" s="22"/>
      <c r="VZN460" s="22"/>
      <c r="VZO460" s="22"/>
      <c r="VZP460" s="22"/>
      <c r="VZQ460" s="22"/>
      <c r="VZR460" s="22"/>
      <c r="VZS460" s="22"/>
      <c r="VZT460" s="22"/>
      <c r="VZU460" s="22"/>
      <c r="VZV460" s="22"/>
      <c r="VZW460" s="22"/>
      <c r="VZX460" s="22"/>
      <c r="VZY460" s="22"/>
      <c r="VZZ460" s="22"/>
      <c r="WAA460" s="22"/>
      <c r="WAB460" s="22"/>
      <c r="WAC460" s="22"/>
      <c r="WAD460" s="22"/>
      <c r="WAE460" s="22"/>
      <c r="WAF460" s="22"/>
      <c r="WAG460" s="22"/>
      <c r="WAH460" s="22"/>
      <c r="WAI460" s="22"/>
      <c r="WAJ460" s="22"/>
      <c r="WAK460" s="22"/>
      <c r="WAL460" s="22"/>
      <c r="WAM460" s="22"/>
      <c r="WAN460" s="22"/>
      <c r="WAO460" s="22"/>
      <c r="WAP460" s="22"/>
      <c r="WAQ460" s="22"/>
      <c r="WAR460" s="22"/>
      <c r="WAS460" s="22"/>
      <c r="WAT460" s="22"/>
      <c r="WAU460" s="22"/>
      <c r="WAV460" s="22"/>
      <c r="WAW460" s="22"/>
      <c r="WAX460" s="22"/>
      <c r="WAY460" s="22"/>
      <c r="WAZ460" s="22"/>
      <c r="WBA460" s="22"/>
      <c r="WBB460" s="22"/>
      <c r="WBC460" s="22"/>
      <c r="WBD460" s="22"/>
      <c r="WBE460" s="22"/>
      <c r="WBF460" s="22"/>
      <c r="WBG460" s="22"/>
      <c r="WBH460" s="22"/>
      <c r="WBI460" s="22"/>
      <c r="WBJ460" s="22"/>
      <c r="WBK460" s="22"/>
      <c r="WBL460" s="22"/>
      <c r="WBM460" s="22"/>
      <c r="WBN460" s="22"/>
      <c r="WBO460" s="22"/>
      <c r="WBP460" s="22"/>
      <c r="WBQ460" s="22"/>
      <c r="WBR460" s="22"/>
      <c r="WBS460" s="22"/>
      <c r="WBT460" s="22"/>
      <c r="WBU460" s="22"/>
      <c r="WBV460" s="22"/>
      <c r="WBW460" s="22"/>
      <c r="WBX460" s="22"/>
      <c r="WBY460" s="22"/>
      <c r="WBZ460" s="22"/>
      <c r="WCA460" s="22"/>
      <c r="WCB460" s="22"/>
      <c r="WCC460" s="22"/>
      <c r="WCD460" s="22"/>
      <c r="WCE460" s="22"/>
      <c r="WCF460" s="22"/>
      <c r="WCG460" s="22"/>
      <c r="WCH460" s="22"/>
      <c r="WCI460" s="22"/>
      <c r="WCJ460" s="22"/>
      <c r="WCK460" s="22"/>
      <c r="WCL460" s="22"/>
      <c r="WCM460" s="22"/>
      <c r="WCN460" s="22"/>
      <c r="WCO460" s="22"/>
      <c r="WCP460" s="22"/>
      <c r="WCQ460" s="22"/>
      <c r="WCR460" s="22"/>
      <c r="WCS460" s="22"/>
      <c r="WCT460" s="22"/>
      <c r="WCU460" s="22"/>
      <c r="WCV460" s="22"/>
      <c r="WCW460" s="22"/>
      <c r="WCX460" s="22"/>
      <c r="WCY460" s="22"/>
      <c r="WCZ460" s="22"/>
      <c r="WDA460" s="22"/>
      <c r="WDB460" s="22"/>
      <c r="WDC460" s="22"/>
      <c r="WDD460" s="22"/>
      <c r="WDE460" s="22"/>
      <c r="WDF460" s="22"/>
      <c r="WDG460" s="22"/>
      <c r="WDH460" s="22"/>
      <c r="WDI460" s="22"/>
      <c r="WDJ460" s="22"/>
      <c r="WDK460" s="22"/>
      <c r="WDL460" s="22"/>
      <c r="WDM460" s="22"/>
      <c r="WDN460" s="22"/>
      <c r="WDO460" s="22"/>
      <c r="WDP460" s="22"/>
      <c r="WDQ460" s="22"/>
      <c r="WDR460" s="22"/>
      <c r="WDS460" s="22"/>
      <c r="WDT460" s="22"/>
      <c r="WDU460" s="22"/>
      <c r="WDV460" s="22"/>
      <c r="WDW460" s="22"/>
      <c r="WDX460" s="22"/>
      <c r="WDY460" s="22"/>
      <c r="WDZ460" s="22"/>
      <c r="WEA460" s="22"/>
      <c r="WEB460" s="22"/>
      <c r="WEC460" s="22"/>
      <c r="WED460" s="22"/>
      <c r="WEE460" s="22"/>
      <c r="WEF460" s="22"/>
      <c r="WEG460" s="22"/>
      <c r="WEH460" s="22"/>
      <c r="WEI460" s="22"/>
      <c r="WEJ460" s="22"/>
      <c r="WEK460" s="22"/>
      <c r="WEL460" s="22"/>
      <c r="WEM460" s="22"/>
      <c r="WEN460" s="22"/>
      <c r="WEO460" s="22"/>
      <c r="WEP460" s="22"/>
      <c r="WEQ460" s="22"/>
      <c r="WER460" s="22"/>
      <c r="WES460" s="22"/>
      <c r="WET460" s="22"/>
      <c r="WEU460" s="22"/>
      <c r="WEV460" s="22"/>
      <c r="WEW460" s="22"/>
      <c r="WEX460" s="22"/>
      <c r="WEY460" s="22"/>
      <c r="WEZ460" s="22"/>
      <c r="WFA460" s="22"/>
      <c r="WFB460" s="22"/>
      <c r="WFC460" s="22"/>
      <c r="WFD460" s="22"/>
      <c r="WFE460" s="22"/>
      <c r="WFF460" s="22"/>
      <c r="WFG460" s="22"/>
      <c r="WFH460" s="22"/>
      <c r="WFI460" s="22"/>
      <c r="WFJ460" s="22"/>
      <c r="WFK460" s="22"/>
      <c r="WFL460" s="22"/>
      <c r="WFM460" s="22"/>
      <c r="WFN460" s="22"/>
      <c r="WFO460" s="22"/>
      <c r="WFP460" s="22"/>
      <c r="WFQ460" s="22"/>
      <c r="WFR460" s="22"/>
      <c r="WFS460" s="22"/>
      <c r="WFT460" s="22"/>
      <c r="WFU460" s="22"/>
      <c r="WFV460" s="22"/>
      <c r="WFW460" s="22"/>
      <c r="WFX460" s="22"/>
      <c r="WFY460" s="22"/>
      <c r="WFZ460" s="22"/>
      <c r="WGA460" s="22"/>
      <c r="WGB460" s="22"/>
      <c r="WGC460" s="22"/>
      <c r="WGD460" s="22"/>
      <c r="WGE460" s="22"/>
      <c r="WGF460" s="22"/>
      <c r="WGG460" s="22"/>
      <c r="WGH460" s="22"/>
      <c r="WGI460" s="22"/>
      <c r="WGJ460" s="22"/>
      <c r="WGK460" s="22"/>
      <c r="WGL460" s="22"/>
      <c r="WGM460" s="22"/>
      <c r="WGN460" s="22"/>
      <c r="WGO460" s="22"/>
      <c r="WGP460" s="22"/>
      <c r="WGQ460" s="22"/>
      <c r="WGR460" s="22"/>
      <c r="WGS460" s="22"/>
      <c r="WGT460" s="22"/>
      <c r="WGU460" s="22"/>
      <c r="WGV460" s="22"/>
      <c r="WGW460" s="22"/>
      <c r="WGX460" s="22"/>
      <c r="WGY460" s="22"/>
      <c r="WGZ460" s="22"/>
      <c r="WHA460" s="22"/>
      <c r="WHB460" s="22"/>
      <c r="WHC460" s="22"/>
      <c r="WHD460" s="22"/>
      <c r="WHE460" s="22"/>
      <c r="WHF460" s="22"/>
      <c r="WHG460" s="22"/>
      <c r="WHH460" s="22"/>
      <c r="WHI460" s="22"/>
      <c r="WHJ460" s="22"/>
      <c r="WHK460" s="22"/>
      <c r="WHL460" s="22"/>
      <c r="WHM460" s="22"/>
      <c r="WHN460" s="22"/>
      <c r="WHO460" s="22"/>
      <c r="WHP460" s="22"/>
      <c r="WHQ460" s="22"/>
      <c r="WHR460" s="22"/>
      <c r="WHS460" s="22"/>
      <c r="WHT460" s="22"/>
      <c r="WHU460" s="22"/>
      <c r="WHV460" s="22"/>
      <c r="WHW460" s="22"/>
      <c r="WHX460" s="22"/>
      <c r="WHY460" s="22"/>
      <c r="WHZ460" s="22"/>
      <c r="WIA460" s="22"/>
      <c r="WIB460" s="22"/>
      <c r="WIC460" s="22"/>
      <c r="WID460" s="22"/>
      <c r="WIE460" s="22"/>
      <c r="WIF460" s="22"/>
      <c r="WIG460" s="22"/>
      <c r="WIH460" s="22"/>
      <c r="WII460" s="22"/>
      <c r="WIJ460" s="22"/>
      <c r="WIK460" s="22"/>
      <c r="WIL460" s="22"/>
      <c r="WIM460" s="22"/>
      <c r="WIN460" s="22"/>
      <c r="WIO460" s="22"/>
      <c r="WIP460" s="22"/>
      <c r="WIQ460" s="22"/>
      <c r="WIR460" s="22"/>
      <c r="WIS460" s="22"/>
      <c r="WIT460" s="22"/>
      <c r="WIU460" s="22"/>
      <c r="WIV460" s="22"/>
      <c r="WIW460" s="22"/>
      <c r="WIX460" s="22"/>
      <c r="WIY460" s="22"/>
      <c r="WIZ460" s="22"/>
      <c r="WJA460" s="22"/>
      <c r="WJB460" s="22"/>
      <c r="WJC460" s="22"/>
      <c r="WJD460" s="22"/>
      <c r="WJE460" s="22"/>
      <c r="WJF460" s="22"/>
      <c r="WJG460" s="22"/>
      <c r="WJH460" s="22"/>
      <c r="WJI460" s="22"/>
      <c r="WJJ460" s="22"/>
      <c r="WJK460" s="22"/>
      <c r="WJL460" s="22"/>
      <c r="WJM460" s="22"/>
      <c r="WJN460" s="22"/>
      <c r="WJO460" s="22"/>
      <c r="WJP460" s="22"/>
      <c r="WJQ460" s="22"/>
      <c r="WJR460" s="22"/>
      <c r="WJS460" s="22"/>
      <c r="WJT460" s="22"/>
      <c r="WJU460" s="22"/>
      <c r="WJV460" s="22"/>
      <c r="WJW460" s="22"/>
      <c r="WJX460" s="22"/>
      <c r="WJY460" s="22"/>
      <c r="WJZ460" s="22"/>
      <c r="WKA460" s="22"/>
      <c r="WKB460" s="22"/>
      <c r="WKC460" s="22"/>
      <c r="WKD460" s="22"/>
      <c r="WKE460" s="22"/>
      <c r="WKF460" s="22"/>
      <c r="WKG460" s="22"/>
      <c r="WKH460" s="22"/>
      <c r="WKI460" s="22"/>
      <c r="WKJ460" s="22"/>
      <c r="WKK460" s="22"/>
      <c r="WKL460" s="22"/>
      <c r="WKM460" s="22"/>
      <c r="WKN460" s="22"/>
      <c r="WKO460" s="22"/>
      <c r="WKP460" s="22"/>
      <c r="WKQ460" s="22"/>
      <c r="WKR460" s="22"/>
      <c r="WKS460" s="22"/>
      <c r="WKT460" s="22"/>
      <c r="WKU460" s="22"/>
      <c r="WKV460" s="22"/>
      <c r="WKW460" s="22"/>
      <c r="WKX460" s="22"/>
      <c r="WKY460" s="22"/>
      <c r="WKZ460" s="22"/>
      <c r="WLA460" s="22"/>
      <c r="WLB460" s="22"/>
      <c r="WLC460" s="22"/>
      <c r="WLD460" s="22"/>
      <c r="WLE460" s="22"/>
      <c r="WLF460" s="22"/>
      <c r="WLG460" s="22"/>
      <c r="WLH460" s="22"/>
      <c r="WLI460" s="22"/>
      <c r="WLJ460" s="22"/>
      <c r="WLK460" s="22"/>
      <c r="WLL460" s="22"/>
      <c r="WLM460" s="22"/>
      <c r="WLN460" s="22"/>
      <c r="WLO460" s="22"/>
      <c r="WLP460" s="22"/>
      <c r="WLQ460" s="22"/>
      <c r="WLR460" s="22"/>
      <c r="WLS460" s="22"/>
      <c r="WLT460" s="22"/>
      <c r="WLU460" s="22"/>
      <c r="WLV460" s="22"/>
      <c r="WLW460" s="22"/>
      <c r="WLX460" s="22"/>
      <c r="WLY460" s="22"/>
      <c r="WLZ460" s="22"/>
      <c r="WMA460" s="22"/>
      <c r="WMB460" s="22"/>
      <c r="WMC460" s="22"/>
      <c r="WMD460" s="22"/>
      <c r="WME460" s="22"/>
      <c r="WMF460" s="22"/>
      <c r="WMG460" s="22"/>
      <c r="WMH460" s="22"/>
      <c r="WMI460" s="22"/>
      <c r="WMJ460" s="22"/>
      <c r="WMK460" s="22"/>
      <c r="WML460" s="22"/>
      <c r="WMM460" s="22"/>
      <c r="WMN460" s="22"/>
      <c r="WMO460" s="22"/>
      <c r="WMP460" s="22"/>
      <c r="WMQ460" s="22"/>
      <c r="WMR460" s="22"/>
      <c r="WMS460" s="22"/>
      <c r="WMT460" s="22"/>
      <c r="WMU460" s="22"/>
      <c r="WMV460" s="22"/>
      <c r="WMW460" s="22"/>
      <c r="WMX460" s="22"/>
      <c r="WMY460" s="22"/>
      <c r="WMZ460" s="22"/>
      <c r="WNA460" s="22"/>
      <c r="WNB460" s="22"/>
      <c r="WNC460" s="22"/>
      <c r="WND460" s="22"/>
      <c r="WNE460" s="22"/>
      <c r="WNF460" s="22"/>
      <c r="WNG460" s="22"/>
      <c r="WNH460" s="22"/>
      <c r="WNI460" s="22"/>
      <c r="WNJ460" s="22"/>
      <c r="WNK460" s="22"/>
      <c r="WNL460" s="22"/>
      <c r="WNM460" s="22"/>
      <c r="WNN460" s="22"/>
      <c r="WNO460" s="22"/>
      <c r="WNP460" s="22"/>
      <c r="WNQ460" s="22"/>
      <c r="WNR460" s="22"/>
      <c r="WNS460" s="22"/>
      <c r="WNT460" s="22"/>
      <c r="WNU460" s="22"/>
      <c r="WNV460" s="22"/>
      <c r="WNW460" s="22"/>
      <c r="WNX460" s="22"/>
      <c r="WNY460" s="22"/>
      <c r="WNZ460" s="22"/>
      <c r="WOA460" s="22"/>
      <c r="WOB460" s="22"/>
      <c r="WOC460" s="22"/>
      <c r="WOD460" s="22"/>
      <c r="WOE460" s="22"/>
      <c r="WOF460" s="22"/>
      <c r="WOG460" s="22"/>
      <c r="WOH460" s="22"/>
      <c r="WOI460" s="22"/>
      <c r="WOJ460" s="22"/>
      <c r="WOK460" s="22"/>
      <c r="WOL460" s="22"/>
      <c r="WOM460" s="22"/>
      <c r="WON460" s="22"/>
      <c r="WOO460" s="22"/>
      <c r="WOP460" s="22"/>
      <c r="WOQ460" s="22"/>
      <c r="WOR460" s="22"/>
      <c r="WOS460" s="22"/>
      <c r="WOT460" s="22"/>
      <c r="WOU460" s="22"/>
      <c r="WOV460" s="22"/>
      <c r="WOW460" s="22"/>
      <c r="WOX460" s="22"/>
      <c r="WOY460" s="22"/>
      <c r="WOZ460" s="22"/>
      <c r="WPA460" s="22"/>
      <c r="WPB460" s="22"/>
      <c r="WPC460" s="22"/>
      <c r="WPD460" s="22"/>
      <c r="WPE460" s="22"/>
      <c r="WPF460" s="22"/>
      <c r="WPG460" s="22"/>
      <c r="WPH460" s="22"/>
      <c r="WPI460" s="22"/>
      <c r="WPJ460" s="22"/>
      <c r="WPK460" s="22"/>
      <c r="WPL460" s="22"/>
      <c r="WPM460" s="22"/>
      <c r="WPN460" s="22"/>
      <c r="WPO460" s="22"/>
      <c r="WPP460" s="22"/>
      <c r="WPQ460" s="22"/>
      <c r="WPR460" s="22"/>
      <c r="WPS460" s="22"/>
      <c r="WPT460" s="22"/>
      <c r="WPU460" s="22"/>
      <c r="WPV460" s="22"/>
      <c r="WPW460" s="22"/>
      <c r="WPX460" s="22"/>
      <c r="WPY460" s="22"/>
      <c r="WPZ460" s="22"/>
      <c r="WQA460" s="22"/>
      <c r="WQB460" s="22"/>
      <c r="WQC460" s="22"/>
      <c r="WQD460" s="22"/>
      <c r="WQE460" s="22"/>
      <c r="WQF460" s="22"/>
      <c r="WQG460" s="22"/>
      <c r="WQH460" s="22"/>
      <c r="WQI460" s="22"/>
      <c r="WQJ460" s="22"/>
      <c r="WQK460" s="22"/>
      <c r="WQL460" s="22"/>
      <c r="WQM460" s="22"/>
      <c r="WQN460" s="22"/>
      <c r="WQO460" s="22"/>
      <c r="WQP460" s="22"/>
      <c r="WQQ460" s="22"/>
      <c r="WQR460" s="22"/>
      <c r="WQS460" s="22"/>
      <c r="WQT460" s="22"/>
      <c r="WQU460" s="22"/>
      <c r="WQV460" s="22"/>
      <c r="WQW460" s="22"/>
      <c r="WQX460" s="22"/>
      <c r="WQY460" s="22"/>
      <c r="WQZ460" s="22"/>
      <c r="WRA460" s="22"/>
      <c r="WRB460" s="22"/>
      <c r="WRC460" s="22"/>
      <c r="WRD460" s="22"/>
      <c r="WRE460" s="22"/>
      <c r="WRF460" s="22"/>
      <c r="WRG460" s="22"/>
      <c r="WRH460" s="22"/>
      <c r="WRI460" s="22"/>
      <c r="WRJ460" s="22"/>
      <c r="WRK460" s="22"/>
      <c r="WRL460" s="22"/>
      <c r="WRM460" s="22"/>
      <c r="WRN460" s="22"/>
      <c r="WRO460" s="22"/>
      <c r="WRP460" s="22"/>
      <c r="WRQ460" s="22"/>
      <c r="WRR460" s="22"/>
      <c r="WRS460" s="22"/>
      <c r="WRT460" s="22"/>
      <c r="WRU460" s="22"/>
      <c r="WRV460" s="22"/>
      <c r="WRW460" s="22"/>
      <c r="WRX460" s="22"/>
      <c r="WRY460" s="22"/>
      <c r="WRZ460" s="22"/>
      <c r="WSA460" s="22"/>
      <c r="WSB460" s="22"/>
      <c r="WSC460" s="22"/>
      <c r="WSD460" s="22"/>
      <c r="WSE460" s="22"/>
      <c r="WSF460" s="22"/>
      <c r="WSG460" s="22"/>
      <c r="WSH460" s="22"/>
      <c r="WSI460" s="22"/>
      <c r="WSJ460" s="22"/>
      <c r="WSK460" s="22"/>
      <c r="WSL460" s="22"/>
      <c r="WSM460" s="22"/>
      <c r="WSN460" s="22"/>
      <c r="WSO460" s="22"/>
      <c r="WSP460" s="22"/>
      <c r="WSQ460" s="22"/>
      <c r="WSR460" s="22"/>
      <c r="WSS460" s="22"/>
      <c r="WST460" s="22"/>
      <c r="WSU460" s="22"/>
      <c r="WSV460" s="22"/>
      <c r="WSW460" s="22"/>
      <c r="WSX460" s="22"/>
      <c r="WSY460" s="22"/>
      <c r="WSZ460" s="22"/>
      <c r="WTA460" s="22"/>
      <c r="WTB460" s="22"/>
      <c r="WTC460" s="22"/>
      <c r="WTD460" s="22"/>
      <c r="WTE460" s="22"/>
      <c r="WTF460" s="22"/>
      <c r="WTG460" s="22"/>
      <c r="WTH460" s="22"/>
      <c r="WTI460" s="22"/>
      <c r="WTJ460" s="22"/>
      <c r="WTK460" s="22"/>
      <c r="WTL460" s="22"/>
      <c r="WTM460" s="22"/>
      <c r="WTN460" s="22"/>
      <c r="WTO460" s="22"/>
      <c r="WTP460" s="22"/>
      <c r="WTQ460" s="22"/>
      <c r="WTR460" s="22"/>
      <c r="WTS460" s="22"/>
      <c r="WTT460" s="22"/>
      <c r="WTU460" s="22"/>
      <c r="WTV460" s="22"/>
      <c r="WTW460" s="22"/>
      <c r="WTX460" s="22"/>
      <c r="WTY460" s="22"/>
      <c r="WTZ460" s="22"/>
      <c r="WUA460" s="22"/>
      <c r="WUB460" s="22"/>
      <c r="WUC460" s="22"/>
      <c r="WUD460" s="22"/>
      <c r="WUE460" s="22"/>
      <c r="WUF460" s="22"/>
      <c r="WUG460" s="22"/>
      <c r="WUH460" s="22"/>
      <c r="WUI460" s="22"/>
      <c r="WUJ460" s="22"/>
      <c r="WUK460" s="22"/>
      <c r="WUL460" s="22"/>
      <c r="WUM460" s="22"/>
      <c r="WUN460" s="22"/>
      <c r="WUO460" s="22"/>
      <c r="WUP460" s="22"/>
      <c r="WUQ460" s="22"/>
      <c r="WUR460" s="22"/>
      <c r="WUS460" s="22"/>
      <c r="WUT460" s="22"/>
      <c r="WUU460" s="22"/>
      <c r="WUV460" s="22"/>
      <c r="WUW460" s="22"/>
      <c r="WUX460" s="22"/>
      <c r="WUY460" s="22"/>
      <c r="WUZ460" s="22"/>
      <c r="WVA460" s="22"/>
      <c r="WVB460" s="22"/>
      <c r="WVC460" s="22"/>
      <c r="WVD460" s="22"/>
      <c r="WVE460" s="22"/>
      <c r="WVF460" s="22"/>
      <c r="WVG460" s="22"/>
      <c r="WVH460" s="22"/>
      <c r="WVI460" s="22"/>
      <c r="WVJ460" s="22"/>
      <c r="WVK460" s="22"/>
      <c r="WVL460" s="22"/>
      <c r="WVM460" s="22"/>
      <c r="WVN460" s="22"/>
      <c r="WVO460" s="22"/>
      <c r="WVP460" s="22"/>
      <c r="WVQ460" s="22"/>
      <c r="WVR460" s="22"/>
      <c r="WVS460" s="22"/>
      <c r="WVT460" s="22"/>
      <c r="WVU460" s="22"/>
      <c r="WVV460" s="22"/>
      <c r="WVW460" s="22"/>
      <c r="WVX460" s="22"/>
      <c r="WVY460" s="22"/>
      <c r="WVZ460" s="22"/>
      <c r="WWA460" s="22"/>
      <c r="WWB460" s="22"/>
      <c r="WWC460" s="22"/>
      <c r="WWD460" s="22"/>
      <c r="WWE460" s="22"/>
      <c r="WWF460" s="22"/>
      <c r="WWG460" s="22"/>
      <c r="WWH460" s="22"/>
      <c r="WWI460" s="22"/>
      <c r="WWJ460" s="22"/>
      <c r="WWK460" s="22"/>
      <c r="WWL460" s="22"/>
      <c r="WWM460" s="22"/>
      <c r="WWN460" s="22"/>
      <c r="WWO460" s="22"/>
      <c r="WWP460" s="22"/>
      <c r="WWQ460" s="22"/>
      <c r="WWR460" s="22"/>
      <c r="WWS460" s="22"/>
      <c r="WWT460" s="22"/>
      <c r="WWU460" s="22"/>
      <c r="WWV460" s="22"/>
      <c r="WWW460" s="22"/>
      <c r="WWX460" s="22"/>
      <c r="WWY460" s="22"/>
      <c r="WWZ460" s="22"/>
      <c r="WXA460" s="22"/>
      <c r="WXB460" s="22"/>
      <c r="WXC460" s="22"/>
      <c r="WXD460" s="22"/>
      <c r="WXE460" s="22"/>
      <c r="WXF460" s="22"/>
      <c r="WXG460" s="22"/>
      <c r="WXH460" s="22"/>
      <c r="WXI460" s="22"/>
      <c r="WXJ460" s="22"/>
      <c r="WXK460" s="22"/>
      <c r="WXL460" s="22"/>
      <c r="WXM460" s="22"/>
      <c r="WXN460" s="22"/>
      <c r="WXO460" s="22"/>
      <c r="WXP460" s="22"/>
      <c r="WXQ460" s="22"/>
      <c r="WXR460" s="22"/>
      <c r="WXS460" s="22"/>
      <c r="WXT460" s="22"/>
      <c r="WXU460" s="22"/>
      <c r="WXV460" s="22"/>
      <c r="WXW460" s="22"/>
      <c r="WXX460" s="22"/>
      <c r="WXY460" s="22"/>
      <c r="WXZ460" s="22"/>
      <c r="WYA460" s="22"/>
      <c r="WYB460" s="22"/>
      <c r="WYC460" s="22"/>
      <c r="WYD460" s="22"/>
      <c r="WYE460" s="22"/>
      <c r="WYF460" s="22"/>
      <c r="WYG460" s="22"/>
      <c r="WYH460" s="22"/>
      <c r="WYI460" s="22"/>
      <c r="WYJ460" s="22"/>
      <c r="WYK460" s="22"/>
      <c r="WYL460" s="22"/>
      <c r="WYM460" s="22"/>
      <c r="WYN460" s="22"/>
      <c r="WYO460" s="22"/>
      <c r="WYP460" s="22"/>
      <c r="WYQ460" s="22"/>
      <c r="WYR460" s="22"/>
      <c r="WYS460" s="22"/>
      <c r="WYT460" s="22"/>
      <c r="WYU460" s="22"/>
      <c r="WYV460" s="22"/>
      <c r="WYW460" s="22"/>
      <c r="WYX460" s="22"/>
      <c r="WYY460" s="22"/>
      <c r="WYZ460" s="22"/>
      <c r="WZA460" s="22"/>
      <c r="WZB460" s="22"/>
      <c r="WZC460" s="22"/>
      <c r="WZD460" s="22"/>
      <c r="WZE460" s="22"/>
      <c r="WZF460" s="22"/>
      <c r="WZG460" s="22"/>
      <c r="WZH460" s="22"/>
      <c r="WZI460" s="22"/>
      <c r="WZJ460" s="22"/>
      <c r="WZK460" s="22"/>
      <c r="WZL460" s="22"/>
      <c r="WZM460" s="22"/>
      <c r="WZN460" s="22"/>
      <c r="WZO460" s="22"/>
      <c r="WZP460" s="22"/>
      <c r="WZQ460" s="22"/>
      <c r="WZR460" s="22"/>
      <c r="WZS460" s="22"/>
      <c r="WZT460" s="22"/>
      <c r="WZU460" s="22"/>
      <c r="WZV460" s="22"/>
      <c r="WZW460" s="22"/>
      <c r="WZX460" s="22"/>
      <c r="WZY460" s="22"/>
      <c r="WZZ460" s="22"/>
      <c r="XAA460" s="22"/>
      <c r="XAB460" s="22"/>
      <c r="XAC460" s="22"/>
      <c r="XAD460" s="22"/>
      <c r="XAE460" s="22"/>
      <c r="XAF460" s="22"/>
      <c r="XAG460" s="22"/>
      <c r="XAH460" s="22"/>
      <c r="XAI460" s="22"/>
      <c r="XAJ460" s="22"/>
      <c r="XAK460" s="22"/>
      <c r="XAL460" s="22"/>
      <c r="XAM460" s="22"/>
      <c r="XAN460" s="22"/>
      <c r="XAO460" s="22"/>
      <c r="XAP460" s="22"/>
      <c r="XAQ460" s="22"/>
      <c r="XAR460" s="22"/>
      <c r="XAS460" s="22"/>
      <c r="XAT460" s="22"/>
      <c r="XAU460" s="22"/>
      <c r="XAV460" s="22"/>
      <c r="XAW460" s="22"/>
      <c r="XAX460" s="22"/>
      <c r="XAY460" s="22"/>
      <c r="XAZ460" s="22"/>
      <c r="XBA460" s="22"/>
      <c r="XBB460" s="22"/>
      <c r="XBC460" s="22"/>
      <c r="XBD460" s="22"/>
      <c r="XBE460" s="22"/>
      <c r="XBF460" s="22"/>
      <c r="XBG460" s="22"/>
      <c r="XBH460" s="22"/>
      <c r="XBI460" s="22"/>
      <c r="XBJ460" s="22"/>
      <c r="XBK460" s="22"/>
      <c r="XBL460" s="22"/>
      <c r="XBM460" s="22"/>
      <c r="XBN460" s="22"/>
      <c r="XBO460" s="22"/>
      <c r="XBP460" s="22"/>
      <c r="XBQ460" s="22"/>
      <c r="XBR460" s="22"/>
      <c r="XBS460" s="22"/>
      <c r="XBT460" s="22"/>
      <c r="XBU460" s="22"/>
      <c r="XBV460" s="22"/>
      <c r="XBW460" s="22"/>
      <c r="XBX460" s="22"/>
      <c r="XBY460" s="22"/>
      <c r="XBZ460" s="22"/>
      <c r="XCA460" s="22"/>
      <c r="XCB460" s="22"/>
      <c r="XCC460" s="22"/>
      <c r="XCD460" s="22"/>
      <c r="XCE460" s="22"/>
      <c r="XCF460" s="22"/>
      <c r="XCG460" s="22"/>
      <c r="XCH460" s="22"/>
      <c r="XCI460" s="22"/>
      <c r="XCJ460" s="22"/>
      <c r="XCK460" s="22"/>
      <c r="XCL460" s="22"/>
      <c r="XCM460" s="22"/>
      <c r="XCN460" s="22"/>
      <c r="XCO460" s="22"/>
      <c r="XCP460" s="22"/>
      <c r="XCQ460" s="22"/>
      <c r="XCR460" s="22"/>
      <c r="XCS460" s="22"/>
      <c r="XCT460" s="22"/>
      <c r="XCU460" s="22"/>
      <c r="XCV460" s="22"/>
      <c r="XCW460" s="22"/>
      <c r="XCX460" s="22"/>
      <c r="XCY460" s="22"/>
      <c r="XCZ460" s="22"/>
      <c r="XDA460" s="22"/>
      <c r="XDB460" s="22"/>
      <c r="XDC460" s="22"/>
      <c r="XDD460" s="22"/>
      <c r="XDE460" s="22"/>
      <c r="XDF460" s="22"/>
      <c r="XDG460" s="22"/>
      <c r="XDH460" s="22"/>
      <c r="XDI460" s="22"/>
      <c r="XDJ460" s="22"/>
      <c r="XDK460" s="22"/>
      <c r="XDL460" s="22"/>
      <c r="XDM460" s="22"/>
      <c r="XDN460" s="22"/>
      <c r="XDO460" s="22"/>
      <c r="XDP460" s="22"/>
      <c r="XDQ460" s="22"/>
      <c r="XDR460" s="22"/>
      <c r="XDS460" s="22"/>
      <c r="XDT460" s="22"/>
      <c r="XDU460" s="22"/>
      <c r="XDV460" s="22"/>
      <c r="XDW460" s="22"/>
      <c r="XDX460" s="22"/>
      <c r="XDY460" s="22"/>
      <c r="XDZ460" s="22"/>
      <c r="XEA460" s="22"/>
      <c r="XEB460" s="22"/>
      <c r="XEC460" s="22"/>
      <c r="XED460" s="22"/>
      <c r="XEE460" s="22"/>
      <c r="XEF460" s="22"/>
      <c r="XEG460" s="22"/>
      <c r="XEH460" s="22"/>
      <c r="XEI460" s="22"/>
      <c r="XEJ460" s="22"/>
      <c r="XEK460" s="22"/>
      <c r="XEL460" s="22"/>
      <c r="XEM460" s="22"/>
      <c r="XEN460" s="22"/>
      <c r="XEO460" s="22"/>
      <c r="XEP460" s="22"/>
      <c r="XEQ460" s="22"/>
      <c r="XER460" s="22"/>
      <c r="XES460" s="22"/>
      <c r="XET460" s="22"/>
      <c r="XEU460" s="22"/>
      <c r="XEV460" s="22"/>
      <c r="XEW460" s="22"/>
      <c r="XEX460" s="22"/>
      <c r="XEY460" s="22"/>
      <c r="XEZ460" s="22"/>
      <c r="XFA460" s="22"/>
      <c r="XFB460" s="22"/>
      <c r="XFC460" s="22"/>
    </row>
    <row r="461" spans="1:16383" x14ac:dyDescent="0.2">
      <c r="A461" s="140"/>
      <c r="B461" s="140"/>
      <c r="C461" s="140"/>
      <c r="D461" s="198" t="s">
        <v>1543</v>
      </c>
      <c r="E461" s="603"/>
      <c r="F461" s="607"/>
      <c r="G461" s="140"/>
      <c r="H461" s="140"/>
      <c r="I461" s="140"/>
      <c r="J461" s="140"/>
      <c r="L461" s="203"/>
      <c r="M461" s="203" t="s">
        <v>889</v>
      </c>
      <c r="N461" s="203" t="s">
        <v>877</v>
      </c>
      <c r="O461" s="203"/>
    </row>
    <row r="462" spans="1:16383" x14ac:dyDescent="0.2">
      <c r="A462" s="203" t="s">
        <v>1317</v>
      </c>
      <c r="B462" s="203"/>
      <c r="C462" s="203"/>
      <c r="D462" s="203"/>
      <c r="E462" s="203" t="s">
        <v>1542</v>
      </c>
      <c r="F462" s="203"/>
      <c r="G462" s="203" t="s">
        <v>858</v>
      </c>
      <c r="H462" s="203"/>
      <c r="I462" s="203" t="s">
        <v>859</v>
      </c>
      <c r="J462" s="203"/>
      <c r="L462" s="203"/>
      <c r="M462" s="203" t="s">
        <v>890</v>
      </c>
      <c r="N462" s="203" t="s">
        <v>879</v>
      </c>
      <c r="O462" s="203"/>
      <c r="T462" s="204"/>
      <c r="U462" s="204"/>
      <c r="V462" s="204"/>
      <c r="W462" s="204"/>
      <c r="X462" s="203"/>
      <c r="Y462" s="203"/>
    </row>
    <row r="463" spans="1:16383" ht="15" x14ac:dyDescent="0.25">
      <c r="A463" s="203"/>
      <c r="B463" s="1008"/>
      <c r="C463" s="208" t="s">
        <v>860</v>
      </c>
      <c r="D463" s="1009"/>
      <c r="E463" s="1010"/>
      <c r="F463" s="759"/>
      <c r="G463" s="759" t="str">
        <f>IF(AND(D463="yes", E463&lt;1000),"Start year?", "")</f>
        <v/>
      </c>
      <c r="H463" s="759"/>
      <c r="I463" s="1141"/>
      <c r="J463" s="1142"/>
      <c r="L463" s="203"/>
      <c r="M463" s="203" t="s">
        <v>888</v>
      </c>
      <c r="T463" s="204"/>
      <c r="U463" s="204"/>
      <c r="V463" s="204"/>
      <c r="W463" s="204"/>
      <c r="X463" s="203"/>
      <c r="Y463" s="203"/>
    </row>
    <row r="464" spans="1:16383" ht="15" x14ac:dyDescent="0.25">
      <c r="A464" s="203"/>
      <c r="B464" s="1008"/>
      <c r="C464" s="208" t="s">
        <v>862</v>
      </c>
      <c r="D464" s="1009"/>
      <c r="E464" s="1010"/>
      <c r="F464" s="759"/>
      <c r="G464" s="759"/>
      <c r="H464" s="759"/>
      <c r="I464" s="1141"/>
      <c r="J464" s="1142"/>
      <c r="L464" s="204"/>
      <c r="T464" s="204"/>
      <c r="U464" s="204"/>
      <c r="V464" s="204"/>
      <c r="W464" s="204"/>
      <c r="X464" s="203"/>
      <c r="Y464" s="203"/>
    </row>
    <row r="465" spans="1:25" ht="15" x14ac:dyDescent="0.25">
      <c r="A465" s="203"/>
      <c r="B465" s="1008"/>
      <c r="C465" s="208" t="s">
        <v>864</v>
      </c>
      <c r="D465" s="1009"/>
      <c r="E465" s="1010"/>
      <c r="F465" s="759"/>
      <c r="G465" s="759"/>
      <c r="H465" s="759"/>
      <c r="I465" s="1141"/>
      <c r="J465" s="1142"/>
      <c r="L465" s="204"/>
      <c r="T465" s="204"/>
      <c r="U465" s="204"/>
      <c r="V465" s="204"/>
      <c r="W465" s="204"/>
      <c r="X465" s="203"/>
      <c r="Y465" s="203"/>
    </row>
    <row r="466" spans="1:25" ht="15" x14ac:dyDescent="0.25">
      <c r="A466" s="203"/>
      <c r="B466" s="1008"/>
      <c r="C466" s="208" t="s">
        <v>865</v>
      </c>
      <c r="D466" s="1009"/>
      <c r="E466" s="1010"/>
      <c r="F466" s="759"/>
      <c r="G466" s="759"/>
      <c r="H466" s="759"/>
      <c r="I466" s="1141"/>
      <c r="J466" s="1142"/>
      <c r="L466" s="204"/>
      <c r="T466" s="204"/>
      <c r="U466" s="204"/>
      <c r="V466" s="204"/>
      <c r="W466" s="204"/>
      <c r="X466" s="203"/>
      <c r="Y466" s="203"/>
    </row>
    <row r="467" spans="1:25" ht="15" x14ac:dyDescent="0.25">
      <c r="A467" s="203"/>
      <c r="B467" s="1008"/>
      <c r="C467" s="208" t="s">
        <v>866</v>
      </c>
      <c r="D467" s="1009"/>
      <c r="E467" s="1010"/>
      <c r="F467" s="759"/>
      <c r="G467" s="759"/>
      <c r="H467" s="759"/>
      <c r="I467" s="1141"/>
      <c r="J467" s="1142"/>
      <c r="L467" s="204"/>
      <c r="T467" s="204"/>
      <c r="U467" s="204"/>
      <c r="V467" s="204"/>
      <c r="W467" s="204"/>
      <c r="X467" s="203"/>
      <c r="Y467" s="203"/>
    </row>
    <row r="468" spans="1:25" ht="15" x14ac:dyDescent="0.25">
      <c r="A468" s="203"/>
      <c r="B468" s="1008"/>
      <c r="C468" s="208" t="s">
        <v>867</v>
      </c>
      <c r="D468" s="1011">
        <f>+Input!D272</f>
        <v>1</v>
      </c>
      <c r="E468" s="203" t="s">
        <v>868</v>
      </c>
      <c r="F468" s="203"/>
      <c r="G468" s="203"/>
      <c r="H468" s="203"/>
      <c r="I468" s="203"/>
      <c r="J468" s="203"/>
      <c r="L468" s="204"/>
      <c r="T468" s="204"/>
      <c r="U468" s="204"/>
      <c r="V468" s="204"/>
      <c r="W468" s="204"/>
      <c r="X468" s="203"/>
      <c r="Y468" s="203"/>
    </row>
    <row r="469" spans="1:25" x14ac:dyDescent="0.2">
      <c r="A469" s="203"/>
      <c r="B469" s="203"/>
      <c r="C469" s="203"/>
      <c r="D469" s="203"/>
      <c r="E469" s="203"/>
      <c r="F469" s="203"/>
      <c r="G469" s="203"/>
      <c r="H469" s="203"/>
      <c r="I469" s="203"/>
      <c r="J469" s="203"/>
      <c r="L469" s="204"/>
      <c r="T469" s="204"/>
      <c r="U469" s="204"/>
      <c r="V469" s="204"/>
      <c r="W469" s="204"/>
      <c r="X469" s="203"/>
      <c r="Y469" s="203"/>
    </row>
    <row r="470" spans="1:25" x14ac:dyDescent="0.2">
      <c r="A470" s="203" t="s">
        <v>869</v>
      </c>
      <c r="B470" s="203"/>
      <c r="C470" s="203"/>
      <c r="D470" s="203"/>
      <c r="E470" s="203" t="s">
        <v>1542</v>
      </c>
      <c r="F470" s="203"/>
      <c r="G470" s="203" t="s">
        <v>858</v>
      </c>
      <c r="H470" s="203"/>
      <c r="I470" s="203" t="s">
        <v>859</v>
      </c>
      <c r="J470" s="203"/>
      <c r="L470" s="204"/>
      <c r="T470" s="204"/>
      <c r="U470" s="204"/>
      <c r="V470" s="204"/>
      <c r="W470" s="204"/>
      <c r="X470" s="203"/>
      <c r="Y470" s="203"/>
    </row>
    <row r="471" spans="1:25" ht="15" x14ac:dyDescent="0.25">
      <c r="A471" s="203"/>
      <c r="B471" s="1008"/>
      <c r="C471" s="208" t="s">
        <v>870</v>
      </c>
      <c r="D471" s="1009" t="s">
        <v>863</v>
      </c>
      <c r="E471" s="1010"/>
      <c r="F471" s="759"/>
      <c r="G471" s="759" t="str">
        <f t="shared" ref="G471:G477" si="10">IF(AND(D471="yes", E471&lt;1000),"Start year?", "")</f>
        <v/>
      </c>
      <c r="H471" s="759"/>
      <c r="I471" s="1141"/>
      <c r="J471" s="1142"/>
      <c r="L471" s="204"/>
      <c r="T471" s="204"/>
      <c r="U471" s="204"/>
      <c r="V471" s="204"/>
      <c r="W471" s="204"/>
    </row>
    <row r="472" spans="1:25" ht="15" x14ac:dyDescent="0.25">
      <c r="A472" s="203"/>
      <c r="B472" s="1008"/>
      <c r="C472" s="208" t="s">
        <v>872</v>
      </c>
      <c r="D472" s="1012" t="str">
        <f>Input!D273</f>
        <v>no</v>
      </c>
      <c r="E472" s="1013">
        <f>+Input!D274</f>
        <v>2000</v>
      </c>
      <c r="F472" s="203"/>
      <c r="G472" s="203" t="str">
        <f t="shared" si="10"/>
        <v/>
      </c>
      <c r="H472" s="203"/>
      <c r="I472" s="1167">
        <f>+Input!F273</f>
        <v>0</v>
      </c>
      <c r="J472" s="1168"/>
      <c r="L472" s="204"/>
      <c r="T472" s="204"/>
      <c r="U472" s="204"/>
      <c r="V472" s="204"/>
      <c r="W472" s="204"/>
    </row>
    <row r="473" spans="1:25" ht="15" x14ac:dyDescent="0.25">
      <c r="A473" s="203"/>
      <c r="B473" s="1008"/>
      <c r="C473" s="208" t="s">
        <v>874</v>
      </c>
      <c r="D473" s="1009" t="s">
        <v>863</v>
      </c>
      <c r="E473" s="1010"/>
      <c r="F473" s="759"/>
      <c r="G473" s="759" t="str">
        <f t="shared" si="10"/>
        <v/>
      </c>
      <c r="H473" s="759"/>
      <c r="I473" s="1141"/>
      <c r="J473" s="1142"/>
      <c r="L473" s="204"/>
      <c r="T473" s="204"/>
      <c r="U473" s="204"/>
      <c r="V473" s="204"/>
      <c r="W473" s="204"/>
    </row>
    <row r="474" spans="1:25" ht="15" x14ac:dyDescent="0.25">
      <c r="A474" s="203"/>
      <c r="B474" s="1008"/>
      <c r="C474" s="208" t="s">
        <v>876</v>
      </c>
      <c r="D474" s="1009" t="s">
        <v>863</v>
      </c>
      <c r="E474" s="1010"/>
      <c r="F474" s="759"/>
      <c r="G474" s="759" t="str">
        <f t="shared" si="10"/>
        <v/>
      </c>
      <c r="H474" s="759"/>
      <c r="I474" s="1141"/>
      <c r="J474" s="1142"/>
      <c r="L474" s="204"/>
      <c r="T474" s="204"/>
      <c r="U474" s="204"/>
      <c r="V474" s="204"/>
      <c r="W474" s="204"/>
    </row>
    <row r="475" spans="1:25" ht="15" x14ac:dyDescent="0.25">
      <c r="A475" s="203"/>
      <c r="B475" s="1008"/>
      <c r="C475" s="208" t="s">
        <v>878</v>
      </c>
      <c r="D475" s="1009" t="s">
        <v>863</v>
      </c>
      <c r="E475" s="1010"/>
      <c r="F475" s="759"/>
      <c r="G475" s="759" t="str">
        <f t="shared" si="10"/>
        <v/>
      </c>
      <c r="H475" s="759"/>
      <c r="I475" s="1141"/>
      <c r="J475" s="1142"/>
      <c r="L475" s="204"/>
      <c r="T475" s="204"/>
      <c r="U475" s="204"/>
      <c r="V475" s="204"/>
      <c r="W475" s="204"/>
    </row>
    <row r="476" spans="1:25" ht="15" x14ac:dyDescent="0.25">
      <c r="A476" s="203"/>
      <c r="B476" s="1008"/>
      <c r="C476" s="208" t="s">
        <v>880</v>
      </c>
      <c r="D476" s="1009" t="s">
        <v>863</v>
      </c>
      <c r="E476" s="1010"/>
      <c r="F476" s="759"/>
      <c r="G476" s="759" t="str">
        <f t="shared" si="10"/>
        <v/>
      </c>
      <c r="H476" s="759"/>
      <c r="I476" s="1141"/>
      <c r="J476" s="1142"/>
      <c r="L476" s="204"/>
      <c r="T476" s="204"/>
      <c r="U476" s="204"/>
      <c r="V476" s="204"/>
      <c r="W476" s="204"/>
      <c r="X476" s="203"/>
      <c r="Y476" s="203"/>
    </row>
    <row r="477" spans="1:25" ht="15" x14ac:dyDescent="0.25">
      <c r="A477" s="203"/>
      <c r="B477" s="1008"/>
      <c r="C477" s="208" t="s">
        <v>1544</v>
      </c>
      <c r="D477" s="1009" t="s">
        <v>863</v>
      </c>
      <c r="E477" s="1010"/>
      <c r="F477" s="759"/>
      <c r="G477" s="759" t="str">
        <f t="shared" si="10"/>
        <v/>
      </c>
      <c r="H477" s="759"/>
      <c r="I477" s="1141"/>
      <c r="J477" s="1142"/>
      <c r="L477" s="204"/>
      <c r="T477" s="204"/>
      <c r="U477" s="204"/>
      <c r="V477" s="204"/>
      <c r="W477" s="204"/>
      <c r="X477" s="203"/>
      <c r="Y477" s="203"/>
    </row>
    <row r="478" spans="1:25" x14ac:dyDescent="0.2">
      <c r="A478" s="203"/>
      <c r="B478" s="1008"/>
      <c r="C478" s="208"/>
      <c r="D478" s="759"/>
      <c r="E478" s="759" t="s">
        <v>1319</v>
      </c>
      <c r="F478" s="759"/>
      <c r="G478" s="759"/>
      <c r="H478" s="759"/>
      <c r="I478" s="759"/>
      <c r="J478" s="759"/>
      <c r="L478" s="204"/>
      <c r="T478" s="204"/>
      <c r="U478" s="204"/>
      <c r="V478" s="204"/>
      <c r="W478" s="204"/>
      <c r="X478" s="203"/>
      <c r="Y478" s="203"/>
    </row>
    <row r="479" spans="1:25" ht="15" x14ac:dyDescent="0.25">
      <c r="A479" s="203"/>
      <c r="B479" s="1008"/>
      <c r="C479" s="208" t="s">
        <v>881</v>
      </c>
      <c r="D479" s="1009" t="s">
        <v>863</v>
      </c>
      <c r="E479" s="1010"/>
      <c r="F479" s="759"/>
      <c r="G479" s="759" t="str">
        <f>IF(AND(D479="yes", E479&lt;1000),"Start year?", "")</f>
        <v/>
      </c>
      <c r="H479" s="759"/>
      <c r="I479" s="1141"/>
      <c r="J479" s="1142"/>
      <c r="L479" s="204"/>
      <c r="T479" s="204"/>
      <c r="U479" s="204"/>
      <c r="V479" s="204"/>
      <c r="W479" s="204"/>
      <c r="X479" s="203"/>
      <c r="Y479" s="203"/>
    </row>
    <row r="480" spans="1:25" ht="15" x14ac:dyDescent="0.25">
      <c r="A480" s="203"/>
      <c r="B480" s="1008"/>
      <c r="C480" s="208" t="s">
        <v>882</v>
      </c>
      <c r="D480" s="1009" t="s">
        <v>863</v>
      </c>
      <c r="E480" s="1010"/>
      <c r="F480" s="759"/>
      <c r="G480" s="759" t="str">
        <f>IF(AND(D480="yes", E480&lt;1000),"Start year?", "")</f>
        <v/>
      </c>
      <c r="H480" s="759"/>
      <c r="I480" s="1141"/>
      <c r="J480" s="1142"/>
      <c r="L480" s="204"/>
      <c r="T480" s="204"/>
      <c r="U480" s="204"/>
      <c r="V480" s="204"/>
      <c r="W480" s="204"/>
      <c r="X480" s="203"/>
      <c r="Y480" s="203"/>
    </row>
    <row r="481" spans="1:25" ht="15" x14ac:dyDescent="0.25">
      <c r="A481" s="203"/>
      <c r="B481" s="1008"/>
      <c r="C481" s="208" t="s">
        <v>883</v>
      </c>
      <c r="D481" s="1009" t="s">
        <v>863</v>
      </c>
      <c r="E481" s="1010"/>
      <c r="F481" s="759"/>
      <c r="G481" s="759" t="str">
        <f>IF(AND(D481="yes", E481&lt;1000),"Start year?", "")</f>
        <v/>
      </c>
      <c r="H481" s="759"/>
      <c r="I481" s="1141"/>
      <c r="J481" s="1142"/>
      <c r="L481" s="204"/>
      <c r="T481" s="204"/>
      <c r="U481" s="204"/>
      <c r="V481" s="204"/>
      <c r="W481" s="204"/>
      <c r="X481" s="203"/>
      <c r="Y481" s="203"/>
    </row>
    <row r="482" spans="1:25" x14ac:dyDescent="0.2">
      <c r="A482" s="203"/>
      <c r="B482" s="203"/>
      <c r="C482" s="203"/>
      <c r="D482" s="203"/>
      <c r="E482" s="203"/>
      <c r="I482" s="203"/>
      <c r="J482" s="203"/>
      <c r="L482" s="204"/>
      <c r="T482" s="204"/>
      <c r="U482" s="204"/>
      <c r="V482" s="204"/>
      <c r="W482" s="204"/>
      <c r="X482" s="203"/>
      <c r="Y482" s="203"/>
    </row>
    <row r="483" spans="1:25" ht="15" x14ac:dyDescent="0.25">
      <c r="A483" s="141" t="s">
        <v>1320</v>
      </c>
      <c r="B483" s="203"/>
      <c r="C483" s="203"/>
      <c r="D483" s="203"/>
      <c r="I483" s="203"/>
      <c r="J483" s="203"/>
      <c r="L483" s="204"/>
      <c r="T483" s="204"/>
      <c r="U483" s="204"/>
      <c r="V483" s="204"/>
      <c r="W483" s="204"/>
      <c r="X483" s="203"/>
      <c r="Y483" s="203"/>
    </row>
    <row r="484" spans="1:25" x14ac:dyDescent="0.2">
      <c r="A484" s="1014" t="s">
        <v>1359</v>
      </c>
      <c r="B484" s="603"/>
      <c r="C484" s="544"/>
      <c r="D484" s="545"/>
      <c r="F484" s="543" t="s">
        <v>1545</v>
      </c>
      <c r="G484" s="544"/>
      <c r="H484" s="545"/>
      <c r="I484" s="203"/>
      <c r="J484" s="203"/>
      <c r="L484" s="204"/>
      <c r="T484" s="204"/>
      <c r="U484" s="204"/>
      <c r="V484" s="204"/>
      <c r="W484" s="204"/>
      <c r="X484" s="203" t="s">
        <v>861</v>
      </c>
      <c r="Y484" s="203" t="s">
        <v>884</v>
      </c>
    </row>
    <row r="485" spans="1:25" ht="15" x14ac:dyDescent="0.25">
      <c r="A485" s="1015" t="s">
        <v>1586</v>
      </c>
      <c r="B485" s="1016"/>
      <c r="C485" s="607"/>
      <c r="D485" s="768" t="s">
        <v>629</v>
      </c>
      <c r="E485" s="759" t="s">
        <v>1321</v>
      </c>
      <c r="F485" s="789"/>
      <c r="G485" s="760" t="s">
        <v>1353</v>
      </c>
      <c r="H485" s="1010">
        <v>1</v>
      </c>
      <c r="I485" s="1141"/>
      <c r="J485" s="1142"/>
      <c r="L485" s="204"/>
      <c r="T485" s="204"/>
      <c r="U485" s="204"/>
      <c r="V485" s="204"/>
      <c r="W485" s="204"/>
      <c r="X485" s="203"/>
      <c r="Y485" s="203"/>
    </row>
    <row r="486" spans="1:25" ht="15" x14ac:dyDescent="0.25">
      <c r="A486" s="1017" t="s">
        <v>1587</v>
      </c>
      <c r="B486" s="1018"/>
      <c r="C486" s="1019" t="s">
        <v>1588</v>
      </c>
      <c r="D486" s="1020">
        <v>0</v>
      </c>
      <c r="E486" s="1021">
        <v>0</v>
      </c>
      <c r="F486" s="789"/>
      <c r="G486" s="760" t="s">
        <v>1354</v>
      </c>
      <c r="H486" s="1009" t="s">
        <v>888</v>
      </c>
      <c r="I486" s="1141"/>
      <c r="J486" s="1142"/>
      <c r="L486" s="204"/>
      <c r="T486" s="204"/>
      <c r="U486" s="204"/>
      <c r="V486" s="204"/>
      <c r="W486" s="204"/>
      <c r="X486" s="203" t="s">
        <v>886</v>
      </c>
      <c r="Y486" s="203" t="s">
        <v>887</v>
      </c>
    </row>
    <row r="487" spans="1:25" ht="15" x14ac:dyDescent="0.25">
      <c r="A487" s="203"/>
      <c r="B487" s="1008"/>
      <c r="C487" s="1022" t="s">
        <v>1589</v>
      </c>
      <c r="D487" s="1021">
        <v>0</v>
      </c>
      <c r="E487" s="1021">
        <v>0</v>
      </c>
      <c r="F487" s="789"/>
      <c r="G487" s="760" t="s">
        <v>1355</v>
      </c>
      <c r="H487" s="1009" t="s">
        <v>888</v>
      </c>
      <c r="I487" s="1141"/>
      <c r="J487" s="1142"/>
      <c r="L487" s="204"/>
      <c r="T487" s="204"/>
      <c r="U487" s="204"/>
      <c r="V487" s="204"/>
      <c r="W487" s="204"/>
      <c r="X487" s="203"/>
      <c r="Y487" s="203" t="s">
        <v>889</v>
      </c>
    </row>
    <row r="488" spans="1:25" ht="15" x14ac:dyDescent="0.25">
      <c r="A488" s="203"/>
      <c r="B488" s="1008"/>
      <c r="C488" s="1022" t="s">
        <v>1590</v>
      </c>
      <c r="D488" s="1021">
        <v>0</v>
      </c>
      <c r="E488" s="1021">
        <v>0</v>
      </c>
      <c r="F488" s="789"/>
      <c r="G488" s="760" t="s">
        <v>1356</v>
      </c>
      <c r="H488" s="1009" t="s">
        <v>888</v>
      </c>
      <c r="I488" s="1141"/>
      <c r="J488" s="1142"/>
      <c r="L488" s="204"/>
      <c r="T488" s="204"/>
      <c r="U488" s="204"/>
      <c r="V488" s="204"/>
      <c r="W488" s="204"/>
      <c r="X488" s="203"/>
      <c r="Y488" s="203" t="s">
        <v>890</v>
      </c>
    </row>
    <row r="489" spans="1:25" ht="15" x14ac:dyDescent="0.25">
      <c r="A489" s="203"/>
      <c r="B489" s="1008"/>
      <c r="C489" s="1022" t="s">
        <v>1591</v>
      </c>
      <c r="D489" s="1021">
        <v>0</v>
      </c>
      <c r="E489" s="1021">
        <v>0</v>
      </c>
      <c r="F489" s="789"/>
      <c r="G489" s="760" t="s">
        <v>1357</v>
      </c>
      <c r="H489" s="1009" t="s">
        <v>888</v>
      </c>
      <c r="I489" s="1141"/>
      <c r="J489" s="1142"/>
      <c r="L489" s="204"/>
      <c r="T489" s="204"/>
      <c r="U489" s="204"/>
      <c r="V489" s="204"/>
      <c r="W489" s="204"/>
      <c r="X489" s="203"/>
      <c r="Y489" s="203" t="s">
        <v>888</v>
      </c>
    </row>
    <row r="490" spans="1:25" ht="15" x14ac:dyDescent="0.25">
      <c r="A490" s="203"/>
      <c r="B490" s="1008"/>
      <c r="C490" s="1022" t="s">
        <v>1592</v>
      </c>
      <c r="D490" s="1021">
        <v>0</v>
      </c>
      <c r="E490" s="1021">
        <v>0.01</v>
      </c>
      <c r="F490" s="789"/>
      <c r="G490" s="760" t="s">
        <v>1358</v>
      </c>
      <c r="H490" s="1009" t="s">
        <v>888</v>
      </c>
      <c r="I490" s="1141"/>
      <c r="J490" s="1142"/>
      <c r="L490" s="204"/>
      <c r="T490" s="204"/>
      <c r="U490" s="204"/>
      <c r="V490" s="204"/>
      <c r="W490" s="204"/>
      <c r="X490" s="203"/>
      <c r="Y490" s="203"/>
    </row>
    <row r="491" spans="1:25" x14ac:dyDescent="0.2">
      <c r="A491" s="203" t="s">
        <v>891</v>
      </c>
      <c r="B491" s="203"/>
      <c r="C491" s="203"/>
      <c r="D491" s="768" t="s">
        <v>629</v>
      </c>
      <c r="E491" s="759" t="s">
        <v>1321</v>
      </c>
      <c r="F491" s="789"/>
      <c r="G491" s="759"/>
      <c r="H491" s="759"/>
      <c r="I491" s="759" t="s">
        <v>859</v>
      </c>
      <c r="J491" s="759"/>
      <c r="L491" s="204"/>
      <c r="T491" s="204"/>
      <c r="U491" s="204"/>
      <c r="V491" s="204"/>
      <c r="W491" s="204"/>
      <c r="X491" s="203"/>
      <c r="Y491" s="203"/>
    </row>
    <row r="492" spans="1:25" ht="15" x14ac:dyDescent="0.25">
      <c r="A492" s="203"/>
      <c r="B492" s="1008"/>
      <c r="C492" s="208" t="s">
        <v>892</v>
      </c>
      <c r="D492" s="1021">
        <v>0.57999999999999996</v>
      </c>
      <c r="E492" s="1021">
        <v>0.7</v>
      </c>
      <c r="F492" s="789"/>
      <c r="G492" s="761"/>
      <c r="H492" s="759"/>
      <c r="I492" s="1141"/>
      <c r="J492" s="1142"/>
      <c r="L492" s="204"/>
      <c r="T492" s="204"/>
      <c r="U492" s="204"/>
      <c r="V492" s="204"/>
      <c r="W492" s="204"/>
      <c r="X492" s="203"/>
      <c r="Y492" s="203"/>
    </row>
    <row r="493" spans="1:25" ht="15" x14ac:dyDescent="0.25">
      <c r="A493" s="203"/>
      <c r="B493" s="1008"/>
      <c r="C493" s="208" t="s">
        <v>893</v>
      </c>
      <c r="D493" s="759"/>
      <c r="E493" s="1021">
        <v>0.05</v>
      </c>
      <c r="F493" s="789"/>
      <c r="G493" s="761"/>
      <c r="H493" s="759"/>
      <c r="I493" s="1141"/>
      <c r="J493" s="1142"/>
      <c r="L493" s="204"/>
      <c r="T493" s="204"/>
      <c r="U493" s="204"/>
      <c r="V493" s="204"/>
      <c r="W493" s="204"/>
      <c r="X493" s="203"/>
      <c r="Y493" s="203"/>
    </row>
    <row r="494" spans="1:25" ht="15" x14ac:dyDescent="0.25">
      <c r="A494" s="203"/>
      <c r="B494" s="1008"/>
      <c r="C494" s="208" t="s">
        <v>894</v>
      </c>
      <c r="D494" s="1021">
        <v>0</v>
      </c>
      <c r="E494" s="759"/>
      <c r="F494" s="789"/>
      <c r="G494" s="759"/>
      <c r="H494" s="759"/>
      <c r="I494" s="1141"/>
      <c r="J494" s="1142"/>
      <c r="L494" s="204"/>
      <c r="T494" s="204"/>
      <c r="U494" s="204"/>
      <c r="V494" s="204"/>
      <c r="W494" s="204"/>
      <c r="X494" s="203"/>
      <c r="Y494" s="203"/>
    </row>
    <row r="495" spans="1:25" ht="15" x14ac:dyDescent="0.25">
      <c r="A495" s="203"/>
      <c r="B495" s="1008"/>
      <c r="C495" s="208" t="s">
        <v>895</v>
      </c>
      <c r="D495" s="1021">
        <v>0.05</v>
      </c>
      <c r="E495" s="759"/>
      <c r="F495" s="789"/>
      <c r="G495" s="759"/>
      <c r="H495" s="759"/>
      <c r="I495" s="1141"/>
      <c r="J495" s="1142"/>
      <c r="L495" s="204"/>
      <c r="T495" s="204"/>
      <c r="U495" s="204"/>
      <c r="V495" s="204"/>
      <c r="W495" s="204"/>
      <c r="X495" s="203"/>
      <c r="Y495" s="203"/>
    </row>
    <row r="496" spans="1:25" ht="15" x14ac:dyDescent="0.25">
      <c r="A496" s="203"/>
      <c r="B496" s="1008"/>
      <c r="C496" s="208" t="s">
        <v>896</v>
      </c>
      <c r="D496" s="1021">
        <v>0.28999999999999998</v>
      </c>
      <c r="E496" s="1021">
        <v>0.24</v>
      </c>
      <c r="F496" s="789"/>
      <c r="G496" s="761"/>
      <c r="H496" s="759"/>
      <c r="I496" s="1141"/>
      <c r="J496" s="1142"/>
      <c r="L496" s="204"/>
      <c r="T496" s="204"/>
      <c r="U496" s="204"/>
      <c r="V496" s="204"/>
      <c r="W496" s="204"/>
      <c r="X496" s="203"/>
      <c r="Y496" s="203"/>
    </row>
    <row r="497" spans="1:25" ht="15" x14ac:dyDescent="0.25">
      <c r="A497" s="203"/>
      <c r="B497" s="1008"/>
      <c r="C497" s="208" t="s">
        <v>897</v>
      </c>
      <c r="D497" s="1021">
        <v>0.08</v>
      </c>
      <c r="E497" s="759"/>
      <c r="F497" s="789"/>
      <c r="G497" s="759"/>
      <c r="H497" s="759"/>
      <c r="I497" s="1141"/>
      <c r="J497" s="1142"/>
      <c r="L497" s="204"/>
      <c r="T497" s="204"/>
      <c r="U497" s="204"/>
      <c r="V497" s="204"/>
      <c r="W497" s="204"/>
      <c r="X497" s="203"/>
      <c r="Y497" s="203"/>
    </row>
    <row r="498" spans="1:25" ht="15" x14ac:dyDescent="0.25">
      <c r="A498" s="203"/>
      <c r="B498" s="1008"/>
      <c r="C498" s="208" t="s">
        <v>898</v>
      </c>
      <c r="D498" s="1021">
        <v>0</v>
      </c>
      <c r="E498" s="1021">
        <v>0</v>
      </c>
      <c r="F498" s="789"/>
      <c r="G498" s="761"/>
      <c r="H498" s="759"/>
      <c r="I498" s="1141"/>
      <c r="J498" s="1142"/>
      <c r="L498" s="204"/>
      <c r="T498" s="204"/>
      <c r="U498" s="204"/>
      <c r="V498" s="204"/>
      <c r="W498" s="204"/>
      <c r="X498" s="203"/>
      <c r="Y498" s="203"/>
    </row>
    <row r="499" spans="1:25" ht="15" x14ac:dyDescent="0.25">
      <c r="A499" s="203"/>
      <c r="B499" s="203"/>
      <c r="C499" s="203"/>
      <c r="D499" s="1023">
        <f>+SUM(D486:D498)</f>
        <v>0.99999999999999989</v>
      </c>
      <c r="E499" s="1023">
        <f>+SUM(E486:E498)</f>
        <v>1</v>
      </c>
      <c r="F499" s="789"/>
      <c r="G499" s="762"/>
      <c r="H499" s="759"/>
      <c r="I499" s="759"/>
      <c r="J499" s="759"/>
      <c r="L499" s="204"/>
      <c r="T499" s="204"/>
      <c r="U499" s="204"/>
      <c r="V499" s="204"/>
      <c r="W499" s="204"/>
      <c r="X499" s="203"/>
      <c r="Y499" s="203"/>
    </row>
    <row r="500" spans="1:25" ht="15" x14ac:dyDescent="0.25">
      <c r="A500" s="203"/>
      <c r="B500" s="203"/>
      <c r="C500" s="203"/>
      <c r="D500" s="1024" t="str">
        <f>+IF(D499&lt;0.995, " too small", IF(D499&gt;100.49%, " too large", " Total % is OK"))</f>
        <v xml:space="preserve"> Total % is OK</v>
      </c>
      <c r="E500" s="763" t="str">
        <f>+IF(E499&lt;0.995, " too small", IF(E499&gt;100.49%, " too large", "Total % is OK"))</f>
        <v>Total % is OK</v>
      </c>
      <c r="F500" s="789"/>
      <c r="G500" s="764"/>
      <c r="H500" s="759"/>
      <c r="I500" s="1025" t="s">
        <v>1067</v>
      </c>
      <c r="J500" s="1026"/>
      <c r="K500" s="596"/>
      <c r="L500" s="203"/>
      <c r="T500" s="203"/>
      <c r="U500" s="203"/>
      <c r="V500" s="203"/>
      <c r="W500" s="203"/>
      <c r="X500" s="203"/>
      <c r="Y500" s="203"/>
    </row>
    <row r="501" spans="1:25" ht="15" x14ac:dyDescent="0.25">
      <c r="A501" s="203"/>
      <c r="B501" s="203"/>
      <c r="C501" s="203"/>
      <c r="D501" s="759"/>
      <c r="E501" s="764"/>
      <c r="F501" s="764"/>
      <c r="G501" s="764"/>
      <c r="H501" s="759"/>
      <c r="I501" s="759"/>
      <c r="J501" s="759"/>
      <c r="L501" s="203"/>
      <c r="T501" s="203"/>
      <c r="U501" s="203"/>
      <c r="V501" s="203"/>
      <c r="W501" s="203"/>
      <c r="X501" s="203"/>
      <c r="Y501" s="203"/>
    </row>
    <row r="502" spans="1:25" ht="15" x14ac:dyDescent="0.25">
      <c r="A502" s="543" t="s">
        <v>1546</v>
      </c>
      <c r="B502" s="544"/>
      <c r="C502" s="544"/>
      <c r="D502" s="765"/>
      <c r="E502" s="764"/>
      <c r="F502" s="759"/>
      <c r="G502" s="759"/>
      <c r="H502" s="759"/>
      <c r="I502" s="759" t="s">
        <v>859</v>
      </c>
      <c r="J502" s="759"/>
      <c r="L502" s="203"/>
      <c r="T502" s="203"/>
      <c r="U502" s="203"/>
      <c r="V502" s="203"/>
      <c r="W502" s="203"/>
      <c r="X502" s="203"/>
      <c r="Y502" s="203"/>
    </row>
    <row r="503" spans="1:25" ht="15" x14ac:dyDescent="0.25">
      <c r="A503" s="208" t="s">
        <v>895</v>
      </c>
      <c r="C503" s="208" t="s">
        <v>1556</v>
      </c>
      <c r="D503" s="1027" t="s">
        <v>863</v>
      </c>
      <c r="E503" s="764"/>
      <c r="F503" s="759"/>
      <c r="G503" s="759"/>
      <c r="H503" s="759"/>
      <c r="I503" s="1141"/>
      <c r="J503" s="1142"/>
      <c r="L503" s="203"/>
      <c r="T503" s="203"/>
      <c r="U503" s="203"/>
      <c r="V503" s="203"/>
      <c r="W503" s="203"/>
      <c r="X503" s="203"/>
      <c r="Y503" s="203"/>
    </row>
    <row r="504" spans="1:25" ht="15" x14ac:dyDescent="0.25">
      <c r="A504" s="203"/>
      <c r="B504" s="203"/>
      <c r="C504" s="208" t="s">
        <v>899</v>
      </c>
      <c r="D504" s="1009" t="s">
        <v>863</v>
      </c>
      <c r="E504" s="764"/>
      <c r="F504" s="759"/>
      <c r="G504" s="759"/>
      <c r="H504" s="759"/>
      <c r="I504" s="1141"/>
      <c r="J504" s="1142"/>
      <c r="L504" s="203"/>
      <c r="T504" s="203"/>
      <c r="U504" s="203"/>
      <c r="V504" s="203"/>
      <c r="W504" s="203"/>
      <c r="X504" s="203"/>
      <c r="Y504" s="203"/>
    </row>
    <row r="505" spans="1:25" ht="15" x14ac:dyDescent="0.25">
      <c r="A505" s="203"/>
      <c r="B505" s="203"/>
      <c r="C505" s="208" t="s">
        <v>900</v>
      </c>
      <c r="D505" s="1009" t="s">
        <v>863</v>
      </c>
      <c r="E505" s="789"/>
      <c r="F505" s="789"/>
      <c r="G505" s="759"/>
      <c r="H505" s="759"/>
      <c r="I505" s="1141"/>
      <c r="J505" s="1142"/>
      <c r="L505" s="203"/>
      <c r="T505" s="203"/>
      <c r="U505" s="203"/>
      <c r="V505" s="203"/>
      <c r="W505" s="203"/>
      <c r="X505" s="203"/>
      <c r="Y505" s="203"/>
    </row>
    <row r="506" spans="1:25" ht="15" x14ac:dyDescent="0.25">
      <c r="A506" s="203"/>
      <c r="B506" s="203"/>
      <c r="C506" s="208" t="s">
        <v>901</v>
      </c>
      <c r="D506" s="1009" t="s">
        <v>863</v>
      </c>
      <c r="E506" s="789"/>
      <c r="F506" s="789"/>
      <c r="G506" s="759"/>
      <c r="H506" s="759"/>
      <c r="I506" s="1141"/>
      <c r="J506" s="1142"/>
      <c r="L506" s="203"/>
      <c r="T506" s="203"/>
      <c r="U506" s="203"/>
      <c r="V506" s="203"/>
      <c r="W506" s="203"/>
      <c r="X506" s="203"/>
      <c r="Y506" s="203"/>
    </row>
    <row r="507" spans="1:25" ht="15" x14ac:dyDescent="0.25">
      <c r="A507" s="208" t="s">
        <v>902</v>
      </c>
      <c r="C507" s="208" t="s">
        <v>903</v>
      </c>
      <c r="D507" s="1009" t="s">
        <v>863</v>
      </c>
      <c r="E507" s="789"/>
      <c r="F507" s="789"/>
      <c r="G507" s="759"/>
      <c r="H507" s="759"/>
      <c r="I507" s="1141"/>
      <c r="J507" s="1142"/>
      <c r="L507" s="203"/>
      <c r="T507" s="203"/>
      <c r="U507" s="203"/>
      <c r="V507" s="203"/>
      <c r="W507" s="203"/>
      <c r="X507" s="203"/>
      <c r="Y507" s="203"/>
    </row>
    <row r="508" spans="1:25" ht="15" x14ac:dyDescent="0.25">
      <c r="A508" s="203"/>
      <c r="B508" s="203"/>
      <c r="C508" s="208" t="s">
        <v>904</v>
      </c>
      <c r="D508" s="1009" t="s">
        <v>863</v>
      </c>
      <c r="E508" s="789"/>
      <c r="F508" s="789"/>
      <c r="G508" s="759"/>
      <c r="H508" s="759"/>
      <c r="I508" s="1141"/>
      <c r="J508" s="1142"/>
      <c r="L508" s="203"/>
      <c r="T508" s="203"/>
      <c r="U508" s="203"/>
      <c r="V508" s="203"/>
      <c r="W508" s="203"/>
      <c r="X508" s="203"/>
      <c r="Y508" s="203"/>
    </row>
    <row r="509" spans="1:25" ht="15" x14ac:dyDescent="0.25">
      <c r="A509" s="203"/>
      <c r="B509" s="203"/>
      <c r="C509" s="208" t="s">
        <v>905</v>
      </c>
      <c r="D509" s="1009" t="s">
        <v>863</v>
      </c>
      <c r="E509" s="789"/>
      <c r="F509" s="789"/>
      <c r="G509" s="759"/>
      <c r="H509" s="759"/>
      <c r="I509" s="1141"/>
      <c r="J509" s="1142"/>
      <c r="L509" s="203"/>
      <c r="T509" s="203"/>
      <c r="U509" s="203"/>
      <c r="V509" s="203"/>
      <c r="W509" s="203"/>
      <c r="X509" s="203"/>
      <c r="Y509" s="203"/>
    </row>
    <row r="510" spans="1:25" ht="15" x14ac:dyDescent="0.25">
      <c r="A510" s="203"/>
      <c r="B510" s="203"/>
      <c r="C510" s="208" t="s">
        <v>906</v>
      </c>
      <c r="D510" s="1009" t="s">
        <v>863</v>
      </c>
      <c r="E510" s="789"/>
      <c r="F510" s="789"/>
      <c r="G510" s="759"/>
      <c r="H510" s="759"/>
      <c r="I510" s="1141"/>
      <c r="J510" s="1142"/>
      <c r="L510" s="203"/>
      <c r="T510" s="203"/>
      <c r="U510" s="203"/>
      <c r="V510" s="203"/>
      <c r="W510" s="203"/>
      <c r="X510" s="203"/>
      <c r="Y510" s="203"/>
    </row>
    <row r="511" spans="1:25" ht="15" x14ac:dyDescent="0.25">
      <c r="A511" s="203"/>
      <c r="B511" s="203"/>
      <c r="C511" s="208" t="s">
        <v>901</v>
      </c>
      <c r="D511" s="1009" t="s">
        <v>863</v>
      </c>
      <c r="E511" s="789"/>
      <c r="F511" s="789"/>
      <c r="G511" s="759"/>
      <c r="H511" s="759"/>
      <c r="I511" s="1141"/>
      <c r="J511" s="1142"/>
      <c r="L511" s="203"/>
      <c r="T511" s="203"/>
      <c r="U511" s="203"/>
      <c r="V511" s="203"/>
      <c r="W511" s="203"/>
      <c r="X511" s="203"/>
      <c r="Y511" s="203"/>
    </row>
    <row r="512" spans="1:25" x14ac:dyDescent="0.2">
      <c r="A512" s="203"/>
      <c r="B512" s="203" t="s">
        <v>1318</v>
      </c>
      <c r="C512" s="203"/>
      <c r="D512" s="759"/>
      <c r="E512" s="789"/>
      <c r="F512" s="789"/>
      <c r="G512" s="759"/>
      <c r="H512" s="759"/>
      <c r="I512" s="1141"/>
      <c r="J512" s="1142"/>
      <c r="L512" s="203"/>
      <c r="T512" s="203"/>
      <c r="U512" s="203"/>
      <c r="V512" s="203"/>
      <c r="W512" s="203"/>
      <c r="X512" s="203"/>
      <c r="Y512" s="203"/>
    </row>
    <row r="513" spans="1:25" ht="15" x14ac:dyDescent="0.25">
      <c r="A513" s="203"/>
      <c r="B513" s="203"/>
      <c r="C513" s="203"/>
      <c r="D513" s="203"/>
      <c r="E513" s="205"/>
      <c r="F513" s="203"/>
      <c r="G513" s="203"/>
      <c r="H513" s="203"/>
      <c r="I513" s="203"/>
      <c r="J513" s="203"/>
      <c r="L513" s="203"/>
      <c r="T513" s="203"/>
      <c r="U513" s="203"/>
      <c r="V513" s="203"/>
      <c r="W513" s="203"/>
      <c r="X513" s="203"/>
      <c r="Y513" s="203"/>
    </row>
    <row r="514" spans="1:25" ht="15" x14ac:dyDescent="0.25">
      <c r="A514" s="141" t="s">
        <v>1322</v>
      </c>
      <c r="B514" s="203"/>
      <c r="C514" s="203"/>
      <c r="D514" s="203"/>
      <c r="E514" s="203"/>
      <c r="F514" s="203"/>
      <c r="G514" s="203"/>
      <c r="H514" s="203"/>
      <c r="I514" s="203" t="s">
        <v>859</v>
      </c>
      <c r="J514" s="203"/>
      <c r="L514" s="204"/>
      <c r="T514" s="204"/>
      <c r="U514" s="204"/>
      <c r="V514" s="204"/>
      <c r="W514" s="204"/>
      <c r="X514" s="203"/>
      <c r="Y514" s="203"/>
    </row>
    <row r="515" spans="1:25" ht="15" x14ac:dyDescent="0.25">
      <c r="A515" s="141"/>
      <c r="B515" s="203"/>
      <c r="C515" s="203"/>
      <c r="D515" s="203"/>
      <c r="E515" s="203"/>
      <c r="F515" s="203"/>
      <c r="G515" s="203"/>
      <c r="H515" s="203"/>
      <c r="I515" s="203"/>
      <c r="J515" s="203"/>
      <c r="L515" s="204"/>
      <c r="T515" s="204"/>
      <c r="U515" s="204"/>
      <c r="V515" s="204"/>
      <c r="W515" s="204"/>
      <c r="X515" s="203"/>
      <c r="Y515" s="203"/>
    </row>
    <row r="516" spans="1:25" x14ac:dyDescent="0.2">
      <c r="A516" s="547" t="s">
        <v>1547</v>
      </c>
      <c r="B516" s="547"/>
      <c r="C516" s="547"/>
      <c r="D516" s="547"/>
      <c r="E516" s="234" t="s">
        <v>907</v>
      </c>
      <c r="F516" s="203"/>
      <c r="G516" s="203" t="s">
        <v>908</v>
      </c>
      <c r="H516" s="203"/>
      <c r="I516" s="203" t="s">
        <v>859</v>
      </c>
      <c r="J516" s="203"/>
      <c r="L516" s="203"/>
      <c r="T516" s="203"/>
      <c r="U516" s="203"/>
      <c r="V516" s="203"/>
      <c r="W516" s="203"/>
      <c r="X516" s="203"/>
      <c r="Y516" s="203"/>
    </row>
    <row r="517" spans="1:25" ht="15" x14ac:dyDescent="0.25">
      <c r="A517" s="203"/>
      <c r="B517" s="1008"/>
      <c r="C517" s="208" t="s">
        <v>909</v>
      </c>
      <c r="D517" s="879" t="str">
        <f>+Input!D284</f>
        <v>yes</v>
      </c>
      <c r="E517" s="879">
        <f>+Input!E284</f>
        <v>99</v>
      </c>
      <c r="F517" s="203" t="s">
        <v>910</v>
      </c>
      <c r="G517" s="879">
        <f>+Input!G284</f>
        <v>999</v>
      </c>
      <c r="H517" s="203" t="s">
        <v>911</v>
      </c>
      <c r="I517" s="1152">
        <f>+Input!I284</f>
        <v>0</v>
      </c>
      <c r="J517" s="1153"/>
      <c r="L517" s="203"/>
      <c r="T517" s="203"/>
      <c r="U517" s="203"/>
      <c r="V517" s="203"/>
      <c r="W517" s="203"/>
      <c r="X517" s="203"/>
      <c r="Y517" s="203"/>
    </row>
    <row r="518" spans="1:25" ht="15" x14ac:dyDescent="0.25">
      <c r="A518" s="203"/>
      <c r="B518" s="1008"/>
      <c r="C518" s="208" t="s">
        <v>912</v>
      </c>
      <c r="D518" s="879" t="str">
        <f>+Input!D285</f>
        <v>no</v>
      </c>
      <c r="E518" s="879">
        <f>+Input!E285</f>
        <v>0</v>
      </c>
      <c r="F518" s="203" t="s">
        <v>910</v>
      </c>
      <c r="G518" s="879">
        <f>+Input!G285</f>
        <v>0</v>
      </c>
      <c r="H518" s="203" t="s">
        <v>911</v>
      </c>
      <c r="I518" s="1152">
        <f>+Input!I285</f>
        <v>0</v>
      </c>
      <c r="J518" s="1153"/>
      <c r="L518" s="203"/>
      <c r="T518" s="203"/>
      <c r="U518" s="203"/>
      <c r="V518" s="203"/>
      <c r="W518" s="203"/>
      <c r="X518" s="203"/>
      <c r="Y518" s="203"/>
    </row>
    <row r="519" spans="1:25" ht="15" x14ac:dyDescent="0.25">
      <c r="A519" s="203"/>
      <c r="B519" s="1008"/>
      <c r="C519" s="208" t="s">
        <v>913</v>
      </c>
      <c r="D519" s="879" t="str">
        <f>+Input!D286</f>
        <v>no</v>
      </c>
      <c r="E519" s="879">
        <f>+Input!E286</f>
        <v>0</v>
      </c>
      <c r="F519" s="203" t="s">
        <v>910</v>
      </c>
      <c r="G519" s="879">
        <f>+Input!G286</f>
        <v>0</v>
      </c>
      <c r="H519" s="203" t="s">
        <v>911</v>
      </c>
      <c r="I519" s="1152">
        <f>+Input!I286</f>
        <v>0</v>
      </c>
      <c r="J519" s="1153"/>
      <c r="L519" s="203"/>
      <c r="T519" s="203"/>
      <c r="U519" s="203"/>
      <c r="V519" s="203"/>
      <c r="W519" s="203"/>
      <c r="X519" s="203"/>
      <c r="Y519" s="203"/>
    </row>
    <row r="520" spans="1:25" ht="15" x14ac:dyDescent="0.25">
      <c r="A520" s="203"/>
      <c r="B520" s="1008"/>
      <c r="C520" s="208" t="s">
        <v>914</v>
      </c>
      <c r="D520" s="879" t="str">
        <f>+Input!D287</f>
        <v>no</v>
      </c>
      <c r="E520" s="879">
        <f>+Input!E287</f>
        <v>0</v>
      </c>
      <c r="F520" s="203" t="s">
        <v>910</v>
      </c>
      <c r="G520" s="879">
        <f>+Input!G287</f>
        <v>0</v>
      </c>
      <c r="H520" s="203" t="s">
        <v>911</v>
      </c>
      <c r="I520" s="1152">
        <f>+Input!I287</f>
        <v>0</v>
      </c>
      <c r="J520" s="1153"/>
      <c r="L520" s="203"/>
      <c r="T520" s="203"/>
      <c r="U520" s="203"/>
      <c r="V520" s="203"/>
      <c r="W520" s="203"/>
      <c r="X520" s="203"/>
      <c r="Y520" s="203"/>
    </row>
    <row r="521" spans="1:25" ht="15" x14ac:dyDescent="0.25">
      <c r="A521" s="203"/>
      <c r="B521" s="1008"/>
      <c r="C521" s="208" t="s">
        <v>915</v>
      </c>
      <c r="D521" s="879" t="str">
        <f>+Input!D288</f>
        <v>no</v>
      </c>
      <c r="E521" s="879">
        <f>+Input!E288</f>
        <v>0</v>
      </c>
      <c r="F521" s="203" t="s">
        <v>910</v>
      </c>
      <c r="G521" s="879">
        <f>+Input!G288</f>
        <v>0</v>
      </c>
      <c r="H521" s="203" t="s">
        <v>911</v>
      </c>
      <c r="I521" s="1152">
        <f>+Input!I288</f>
        <v>0</v>
      </c>
      <c r="J521" s="1153"/>
      <c r="L521" s="203"/>
      <c r="T521" s="203"/>
      <c r="U521" s="203"/>
      <c r="V521" s="203"/>
      <c r="W521" s="203"/>
      <c r="X521" s="203"/>
      <c r="Y521" s="203"/>
    </row>
    <row r="522" spans="1:25" ht="15" x14ac:dyDescent="0.25">
      <c r="A522" s="203"/>
      <c r="B522" s="1008"/>
      <c r="C522" s="208" t="s">
        <v>898</v>
      </c>
      <c r="D522" s="879" t="str">
        <f>+Input!D289</f>
        <v>no</v>
      </c>
      <c r="E522" s="879">
        <f>+Input!E289</f>
        <v>0</v>
      </c>
      <c r="F522" s="203" t="s">
        <v>910</v>
      </c>
      <c r="G522" s="879">
        <f>+Input!G289</f>
        <v>0</v>
      </c>
      <c r="H522" s="203" t="s">
        <v>911</v>
      </c>
      <c r="I522" s="1152">
        <f>+Input!I289</f>
        <v>0</v>
      </c>
      <c r="J522" s="1153"/>
      <c r="L522" s="203"/>
      <c r="T522" s="203"/>
      <c r="U522" s="203"/>
      <c r="V522" s="203"/>
      <c r="W522" s="203"/>
      <c r="X522" s="203"/>
      <c r="Y522" s="203"/>
    </row>
    <row r="523" spans="1:25" x14ac:dyDescent="0.2">
      <c r="A523" s="543" t="s">
        <v>1548</v>
      </c>
      <c r="B523" s="544"/>
      <c r="C523" s="544"/>
      <c r="D523" s="545"/>
      <c r="E523" s="203"/>
      <c r="F523" s="203"/>
      <c r="G523" s="203"/>
      <c r="H523" s="203"/>
      <c r="I523" s="203"/>
      <c r="J523" s="203"/>
      <c r="L523" s="203"/>
      <c r="T523" s="203"/>
      <c r="U523" s="203"/>
      <c r="V523" s="203"/>
      <c r="W523" s="203"/>
      <c r="X523" s="203"/>
      <c r="Y523" s="203"/>
    </row>
    <row r="524" spans="1:25" x14ac:dyDescent="0.2">
      <c r="A524" s="203" t="s">
        <v>916</v>
      </c>
      <c r="B524" s="203"/>
      <c r="C524" s="203"/>
      <c r="D524" s="759" t="s">
        <v>917</v>
      </c>
      <c r="E524" s="759"/>
      <c r="F524" s="759"/>
      <c r="G524" s="759"/>
      <c r="H524" s="759"/>
      <c r="I524" s="759" t="s">
        <v>859</v>
      </c>
      <c r="J524" s="759"/>
      <c r="L524" s="203"/>
      <c r="T524" s="203"/>
      <c r="U524" s="203"/>
      <c r="V524" s="203"/>
      <c r="W524" s="203"/>
      <c r="X524" s="203"/>
      <c r="Y524" s="203"/>
    </row>
    <row r="525" spans="1:25" ht="15" x14ac:dyDescent="0.25">
      <c r="A525" s="203"/>
      <c r="B525" s="203" t="s">
        <v>915</v>
      </c>
      <c r="C525" s="203"/>
      <c r="D525" s="1021">
        <v>0.05</v>
      </c>
      <c r="E525" s="759"/>
      <c r="F525" s="759"/>
      <c r="G525" s="759"/>
      <c r="H525" s="759"/>
      <c r="I525" s="1141"/>
      <c r="J525" s="1142"/>
      <c r="L525" s="203"/>
      <c r="T525" s="203"/>
      <c r="U525" s="203"/>
      <c r="V525" s="203"/>
      <c r="W525" s="203"/>
      <c r="X525" s="203"/>
      <c r="Y525" s="203"/>
    </row>
    <row r="526" spans="1:25" ht="15" x14ac:dyDescent="0.25">
      <c r="A526" s="203"/>
      <c r="B526" s="203" t="s">
        <v>918</v>
      </c>
      <c r="C526" s="203"/>
      <c r="D526" s="1021">
        <v>0.01</v>
      </c>
      <c r="E526" s="759"/>
      <c r="F526" s="759"/>
      <c r="G526" s="759"/>
      <c r="H526" s="759"/>
      <c r="I526" s="1141"/>
      <c r="J526" s="1142"/>
      <c r="L526" s="203"/>
      <c r="T526" s="203"/>
      <c r="U526" s="203"/>
      <c r="V526" s="203"/>
      <c r="W526" s="203"/>
      <c r="X526" s="203"/>
      <c r="Y526" s="203"/>
    </row>
    <row r="527" spans="1:25" ht="15" x14ac:dyDescent="0.25">
      <c r="A527" s="203"/>
      <c r="B527" s="203" t="s">
        <v>919</v>
      </c>
      <c r="C527" s="203"/>
      <c r="D527" s="1021">
        <v>0</v>
      </c>
      <c r="E527" s="759"/>
      <c r="F527" s="759"/>
      <c r="G527" s="759"/>
      <c r="H527" s="759"/>
      <c r="I527" s="1141"/>
      <c r="J527" s="1142"/>
      <c r="L527" s="203"/>
      <c r="T527" s="203"/>
      <c r="U527" s="203"/>
      <c r="V527" s="203"/>
      <c r="W527" s="203"/>
      <c r="X527" s="203"/>
      <c r="Y527" s="203"/>
    </row>
    <row r="528" spans="1:25" ht="15" x14ac:dyDescent="0.25">
      <c r="A528" s="203"/>
      <c r="B528" s="203" t="s">
        <v>914</v>
      </c>
      <c r="C528" s="203"/>
      <c r="D528" s="1021">
        <v>0</v>
      </c>
      <c r="E528" s="759"/>
      <c r="F528" s="759"/>
      <c r="G528" s="759"/>
      <c r="H528" s="759"/>
      <c r="I528" s="1141"/>
      <c r="J528" s="1142"/>
      <c r="L528" s="203"/>
      <c r="T528" s="203"/>
      <c r="U528" s="203"/>
      <c r="V528" s="203"/>
      <c r="W528" s="203"/>
      <c r="X528" s="203"/>
      <c r="Y528" s="203"/>
    </row>
    <row r="529" spans="1:25" ht="15" x14ac:dyDescent="0.25">
      <c r="A529" s="203"/>
      <c r="B529" s="203" t="s">
        <v>920</v>
      </c>
      <c r="C529" s="203"/>
      <c r="D529" s="1021">
        <v>0</v>
      </c>
      <c r="E529" s="759"/>
      <c r="F529" s="759"/>
      <c r="G529" s="759"/>
      <c r="H529" s="759"/>
      <c r="I529" s="1141"/>
      <c r="J529" s="1142"/>
      <c r="L529" s="203"/>
      <c r="T529" s="203"/>
      <c r="U529" s="203"/>
      <c r="V529" s="203"/>
      <c r="W529" s="203"/>
      <c r="X529" s="203"/>
      <c r="Y529" s="203"/>
    </row>
    <row r="530" spans="1:25" x14ac:dyDescent="0.2">
      <c r="A530" s="203" t="s">
        <v>921</v>
      </c>
      <c r="B530" s="203"/>
      <c r="C530" s="203"/>
      <c r="D530" s="759"/>
      <c r="E530" s="759"/>
      <c r="F530" s="759"/>
      <c r="G530" s="759"/>
      <c r="H530" s="759"/>
      <c r="I530" s="759"/>
      <c r="J530" s="759"/>
      <c r="L530" s="203"/>
      <c r="T530" s="203"/>
      <c r="U530" s="203"/>
      <c r="V530" s="203"/>
      <c r="W530" s="203"/>
      <c r="X530" s="203"/>
      <c r="Y530" s="203"/>
    </row>
    <row r="531" spans="1:25" ht="15" x14ac:dyDescent="0.25">
      <c r="A531" s="203"/>
      <c r="B531" s="203" t="s">
        <v>922</v>
      </c>
      <c r="C531" s="203"/>
      <c r="D531" s="1021">
        <v>0.5</v>
      </c>
      <c r="E531" s="759"/>
      <c r="F531" s="759"/>
      <c r="G531" s="759"/>
      <c r="H531" s="759"/>
      <c r="I531" s="1141"/>
      <c r="J531" s="1142"/>
      <c r="L531" s="203"/>
      <c r="T531" s="203"/>
      <c r="U531" s="203"/>
      <c r="V531" s="203"/>
      <c r="W531" s="203"/>
      <c r="X531" s="203"/>
      <c r="Y531" s="203"/>
    </row>
    <row r="532" spans="1:25" ht="15" x14ac:dyDescent="0.25">
      <c r="A532" s="203"/>
      <c r="B532" s="203" t="s">
        <v>923</v>
      </c>
      <c r="C532" s="203"/>
      <c r="D532" s="1021">
        <v>0.39</v>
      </c>
      <c r="E532" s="759"/>
      <c r="F532" s="759"/>
      <c r="G532" s="759"/>
      <c r="H532" s="759"/>
      <c r="I532" s="1141"/>
      <c r="J532" s="1142"/>
      <c r="L532" s="203"/>
      <c r="T532" s="203"/>
      <c r="U532" s="203"/>
      <c r="V532" s="203"/>
      <c r="W532" s="203"/>
      <c r="X532" s="203"/>
      <c r="Y532" s="203"/>
    </row>
    <row r="533" spans="1:25" ht="15" x14ac:dyDescent="0.25">
      <c r="A533" s="203"/>
      <c r="B533" s="203" t="s">
        <v>924</v>
      </c>
      <c r="C533" s="203"/>
      <c r="D533" s="1021">
        <v>0</v>
      </c>
      <c r="E533" s="759"/>
      <c r="F533" s="759"/>
      <c r="G533" s="759"/>
      <c r="H533" s="759"/>
      <c r="I533" s="1141"/>
      <c r="J533" s="1142"/>
      <c r="L533" s="203"/>
      <c r="T533" s="203"/>
      <c r="U533" s="203"/>
      <c r="V533" s="203"/>
      <c r="W533" s="203"/>
      <c r="X533" s="203"/>
      <c r="Y533" s="203"/>
    </row>
    <row r="534" spans="1:25" ht="15" x14ac:dyDescent="0.25">
      <c r="A534" s="203"/>
      <c r="B534" s="203" t="s">
        <v>925</v>
      </c>
      <c r="C534" s="203"/>
      <c r="D534" s="1021">
        <v>0.05</v>
      </c>
      <c r="E534" s="759"/>
      <c r="F534" s="759"/>
      <c r="G534" s="759"/>
      <c r="H534" s="759"/>
      <c r="I534" s="1141"/>
      <c r="J534" s="1142"/>
      <c r="L534" s="203"/>
      <c r="T534" s="203"/>
      <c r="U534" s="203"/>
      <c r="V534" s="203"/>
      <c r="W534" s="203"/>
      <c r="X534" s="203"/>
      <c r="Y534" s="203"/>
    </row>
    <row r="535" spans="1:25" ht="15" x14ac:dyDescent="0.25">
      <c r="A535" s="203" t="s">
        <v>926</v>
      </c>
      <c r="B535" s="203"/>
      <c r="C535" s="203"/>
      <c r="D535" s="1028">
        <v>0</v>
      </c>
      <c r="E535" s="766"/>
      <c r="F535" s="759"/>
      <c r="G535" s="759"/>
      <c r="H535" s="759"/>
      <c r="I535" s="1141"/>
      <c r="J535" s="1142"/>
      <c r="L535" s="203"/>
      <c r="T535" s="203"/>
      <c r="U535" s="203"/>
      <c r="V535" s="203"/>
      <c r="W535" s="203"/>
      <c r="X535" s="203"/>
      <c r="Y535" s="203"/>
    </row>
    <row r="536" spans="1:25" x14ac:dyDescent="0.2">
      <c r="A536" s="203" t="s">
        <v>927</v>
      </c>
      <c r="B536" s="203"/>
      <c r="C536" s="203"/>
      <c r="D536" s="767">
        <f>+SUM(D525:D535)</f>
        <v>1</v>
      </c>
      <c r="E536" s="763" t="str">
        <f>+IF(D536&lt;0.995, " too small", IF(D536&gt;100.49%, " too large", "Total % is OK"))</f>
        <v>Total % is OK</v>
      </c>
      <c r="F536" s="759"/>
      <c r="G536" s="759"/>
      <c r="H536" s="759"/>
      <c r="I536" s="759"/>
      <c r="J536" s="759"/>
      <c r="L536" s="203"/>
      <c r="T536" s="206"/>
      <c r="U536" s="203"/>
      <c r="V536" s="203"/>
      <c r="W536" s="203"/>
      <c r="X536" s="203"/>
      <c r="Y536" s="203"/>
    </row>
    <row r="537" spans="1:25" ht="15" x14ac:dyDescent="0.25">
      <c r="A537" s="203"/>
      <c r="B537" s="203"/>
      <c r="C537" s="203"/>
      <c r="D537" s="203"/>
      <c r="E537" s="205"/>
      <c r="F537" s="203"/>
      <c r="G537" s="203"/>
      <c r="H537" s="203"/>
      <c r="I537" s="203"/>
      <c r="J537" s="203"/>
      <c r="L537" s="203"/>
      <c r="T537" s="203"/>
      <c r="U537" s="203"/>
      <c r="V537" s="203"/>
      <c r="W537" s="203"/>
      <c r="X537" s="203"/>
      <c r="Y537" s="203"/>
    </row>
    <row r="538" spans="1:25" x14ac:dyDescent="0.2">
      <c r="A538" s="543" t="s">
        <v>1549</v>
      </c>
      <c r="B538" s="544"/>
      <c r="C538" s="544"/>
      <c r="D538" s="544"/>
      <c r="E538" s="545"/>
      <c r="F538" s="203"/>
      <c r="G538" s="203"/>
      <c r="H538" s="203"/>
      <c r="I538" s="203" t="s">
        <v>859</v>
      </c>
      <c r="J538" s="203"/>
      <c r="L538" s="203"/>
      <c r="T538" s="203"/>
      <c r="U538" s="203"/>
      <c r="V538" s="203"/>
      <c r="W538" s="203"/>
      <c r="X538" s="203"/>
      <c r="Y538" s="203"/>
    </row>
    <row r="539" spans="1:25" ht="15" x14ac:dyDescent="0.25">
      <c r="A539" s="203"/>
      <c r="B539" s="203" t="s">
        <v>928</v>
      </c>
      <c r="C539" s="203"/>
      <c r="D539" s="879" t="str">
        <f>+Input!D292</f>
        <v>no</v>
      </c>
      <c r="E539" s="203"/>
      <c r="F539" s="203"/>
      <c r="G539" s="203"/>
      <c r="H539" s="203"/>
      <c r="I539" s="1167">
        <f>+Input!I292</f>
        <v>0</v>
      </c>
      <c r="J539" s="1168"/>
      <c r="L539" s="203"/>
      <c r="T539" s="203"/>
      <c r="U539" s="203"/>
      <c r="V539" s="203"/>
      <c r="W539" s="203"/>
      <c r="X539" s="203"/>
      <c r="Y539" s="203"/>
    </row>
    <row r="540" spans="1:25" ht="15" x14ac:dyDescent="0.25">
      <c r="A540" s="203"/>
      <c r="B540" s="203" t="s">
        <v>929</v>
      </c>
      <c r="C540" s="203"/>
      <c r="D540" s="879" t="str">
        <f>+Input!D293</f>
        <v>no</v>
      </c>
      <c r="E540" s="203"/>
      <c r="F540" s="203"/>
      <c r="G540" s="203"/>
      <c r="H540" s="203"/>
      <c r="I540" s="1167">
        <f>+Input!I293</f>
        <v>0</v>
      </c>
      <c r="J540" s="1168"/>
      <c r="L540" s="203"/>
      <c r="T540" s="203"/>
      <c r="U540" s="203"/>
      <c r="V540" s="203"/>
      <c r="W540" s="203"/>
      <c r="X540" s="203"/>
      <c r="Y540" s="203"/>
    </row>
    <row r="541" spans="1:25" ht="15" x14ac:dyDescent="0.25">
      <c r="A541" s="203"/>
      <c r="B541" s="203" t="s">
        <v>930</v>
      </c>
      <c r="C541" s="203"/>
      <c r="D541" s="879" t="str">
        <f>+Input!D294</f>
        <v>no</v>
      </c>
      <c r="E541" s="203"/>
      <c r="F541" s="203"/>
      <c r="G541" s="203"/>
      <c r="H541" s="203"/>
      <c r="I541" s="1167">
        <f>+Input!I294</f>
        <v>0</v>
      </c>
      <c r="J541" s="1168"/>
      <c r="L541" s="203"/>
      <c r="T541" s="203"/>
      <c r="U541" s="203"/>
      <c r="V541" s="203"/>
      <c r="W541" s="203"/>
      <c r="X541" s="203"/>
      <c r="Y541" s="203"/>
    </row>
    <row r="542" spans="1:25" ht="15" x14ac:dyDescent="0.25">
      <c r="A542" s="203"/>
      <c r="B542" s="203" t="s">
        <v>931</v>
      </c>
      <c r="C542" s="203"/>
      <c r="D542" s="879" t="str">
        <f>+Input!D295</f>
        <v>no</v>
      </c>
      <c r="E542" s="203"/>
      <c r="F542" s="203"/>
      <c r="G542" s="203"/>
      <c r="H542" s="203"/>
      <c r="I542" s="1167">
        <f>+Input!I295</f>
        <v>0</v>
      </c>
      <c r="J542" s="1168"/>
      <c r="L542" s="203"/>
      <c r="T542" s="203"/>
      <c r="U542" s="203"/>
      <c r="V542" s="203"/>
      <c r="W542" s="203"/>
      <c r="X542" s="203"/>
      <c r="Y542" s="203"/>
    </row>
    <row r="543" spans="1:25" ht="15" x14ac:dyDescent="0.25">
      <c r="A543" s="203"/>
      <c r="B543" s="203" t="s">
        <v>932</v>
      </c>
      <c r="C543" s="203"/>
      <c r="D543" s="879" t="str">
        <f>+Input!D296</f>
        <v>no</v>
      </c>
      <c r="E543" s="203"/>
      <c r="F543" s="203"/>
      <c r="G543" s="203"/>
      <c r="H543" s="203"/>
      <c r="I543" s="1167">
        <f>+Input!I296</f>
        <v>0</v>
      </c>
      <c r="J543" s="1168"/>
      <c r="L543" s="203"/>
      <c r="T543" s="203"/>
      <c r="U543" s="203"/>
      <c r="V543" s="203"/>
      <c r="W543" s="203"/>
      <c r="X543" s="203"/>
      <c r="Y543" s="203"/>
    </row>
    <row r="544" spans="1:25" ht="15" x14ac:dyDescent="0.25">
      <c r="A544" s="203"/>
      <c r="B544" s="203" t="s">
        <v>901</v>
      </c>
      <c r="C544" s="203"/>
      <c r="D544" s="879" t="str">
        <f>+Input!D297</f>
        <v>no</v>
      </c>
      <c r="E544" s="203"/>
      <c r="F544" s="203"/>
      <c r="G544" s="203"/>
      <c r="H544" s="203"/>
      <c r="I544" s="1167">
        <f>+Input!I297</f>
        <v>0</v>
      </c>
      <c r="J544" s="1168"/>
      <c r="L544" s="203"/>
      <c r="T544" s="203"/>
      <c r="U544" s="203"/>
      <c r="V544" s="203"/>
      <c r="W544" s="203"/>
      <c r="X544" s="203"/>
      <c r="Y544" s="203"/>
    </row>
    <row r="545" spans="1:25" x14ac:dyDescent="0.2">
      <c r="A545" s="203"/>
      <c r="B545" s="203"/>
      <c r="C545" s="203"/>
      <c r="D545" s="203"/>
      <c r="E545" s="203"/>
      <c r="F545" s="203"/>
      <c r="G545" s="203"/>
      <c r="H545" s="203"/>
      <c r="I545" s="203"/>
      <c r="J545" s="203"/>
      <c r="L545" s="203"/>
      <c r="T545" s="203"/>
      <c r="U545" s="203"/>
      <c r="V545" s="203"/>
      <c r="W545" s="203"/>
      <c r="X545" s="203"/>
      <c r="Y545" s="203"/>
    </row>
    <row r="546" spans="1:25" x14ac:dyDescent="0.2">
      <c r="A546" s="543" t="s">
        <v>1550</v>
      </c>
      <c r="B546" s="544"/>
      <c r="C546" s="544"/>
      <c r="D546" s="544"/>
      <c r="E546" s="545"/>
      <c r="F546" s="203"/>
      <c r="G546" s="203"/>
      <c r="H546" s="203"/>
      <c r="I546" s="203" t="s">
        <v>859</v>
      </c>
      <c r="J546" s="203"/>
      <c r="L546" s="203"/>
      <c r="T546" s="203"/>
      <c r="U546" s="203"/>
      <c r="V546" s="203"/>
      <c r="W546" s="203"/>
      <c r="X546" s="203"/>
      <c r="Y546" s="203"/>
    </row>
    <row r="547" spans="1:25" ht="15" x14ac:dyDescent="0.25">
      <c r="A547" s="203"/>
      <c r="C547" s="208" t="s">
        <v>1125</v>
      </c>
      <c r="D547" s="879">
        <f>+Input!D300</f>
        <v>99</v>
      </c>
      <c r="E547" s="203" t="s">
        <v>1360</v>
      </c>
      <c r="F547" s="203"/>
      <c r="G547" s="203"/>
      <c r="H547" s="203"/>
      <c r="I547" s="1167">
        <f>+Input!I300</f>
        <v>0</v>
      </c>
      <c r="J547" s="1168"/>
      <c r="L547" s="203"/>
      <c r="T547" s="203"/>
      <c r="U547" s="203"/>
      <c r="V547" s="203"/>
      <c r="W547" s="203"/>
      <c r="X547" s="203"/>
      <c r="Y547" s="203"/>
    </row>
    <row r="548" spans="1:25" ht="15" x14ac:dyDescent="0.25">
      <c r="A548" s="203"/>
      <c r="B548" s="1008"/>
      <c r="C548" s="208" t="s">
        <v>1126</v>
      </c>
      <c r="D548" s="879">
        <f>+Input!D301</f>
        <v>99</v>
      </c>
      <c r="E548" s="203" t="s">
        <v>1361</v>
      </c>
      <c r="F548" s="203"/>
      <c r="G548" s="203"/>
      <c r="H548" s="203"/>
      <c r="I548" s="1167">
        <f>+Input!I301</f>
        <v>0</v>
      </c>
      <c r="J548" s="1168"/>
      <c r="L548" s="203"/>
      <c r="T548" s="203"/>
      <c r="U548" s="203"/>
      <c r="V548" s="203"/>
      <c r="W548" s="203"/>
      <c r="X548" s="203"/>
      <c r="Y548" s="203"/>
    </row>
    <row r="549" spans="1:25" ht="15" x14ac:dyDescent="0.25">
      <c r="A549" s="203"/>
      <c r="B549" s="203"/>
      <c r="C549" s="208" t="s">
        <v>1127</v>
      </c>
      <c r="D549" s="879">
        <f>+Input!D302</f>
        <v>99</v>
      </c>
      <c r="E549" s="203" t="s">
        <v>1130</v>
      </c>
      <c r="F549" s="203"/>
      <c r="G549" s="203"/>
      <c r="H549" s="203"/>
      <c r="I549" s="1167">
        <f>+Input!I302</f>
        <v>0</v>
      </c>
      <c r="J549" s="1168"/>
      <c r="L549" s="203"/>
      <c r="T549" s="203"/>
      <c r="U549" s="203"/>
      <c r="V549" s="203"/>
      <c r="W549" s="203"/>
      <c r="X549" s="203"/>
      <c r="Y549" s="203"/>
    </row>
    <row r="550" spans="1:25" x14ac:dyDescent="0.2">
      <c r="A550" s="203"/>
      <c r="B550" s="203"/>
      <c r="C550" s="208"/>
      <c r="D550" s="203"/>
      <c r="E550" s="203"/>
      <c r="F550" s="203"/>
      <c r="G550" s="203"/>
      <c r="H550" s="203"/>
      <c r="I550" s="203"/>
      <c r="J550" s="203"/>
      <c r="L550" s="203"/>
      <c r="T550" s="203"/>
      <c r="U550" s="203"/>
      <c r="V550" s="203"/>
      <c r="W550" s="203"/>
      <c r="X550" s="203"/>
      <c r="Y550" s="203"/>
    </row>
    <row r="551" spans="1:25" ht="15" x14ac:dyDescent="0.25">
      <c r="A551" s="203"/>
      <c r="C551" s="208" t="s">
        <v>1128</v>
      </c>
      <c r="D551" s="879">
        <f>+Input!D304</f>
        <v>99</v>
      </c>
      <c r="E551" s="203" t="s">
        <v>1360</v>
      </c>
      <c r="F551" s="203"/>
      <c r="G551" s="203"/>
      <c r="H551" s="203"/>
      <c r="I551" s="1167">
        <f>+Input!I304</f>
        <v>0</v>
      </c>
      <c r="J551" s="1168"/>
      <c r="L551" s="203"/>
      <c r="T551" s="203"/>
      <c r="U551" s="203"/>
      <c r="V551" s="203"/>
      <c r="W551" s="203"/>
      <c r="X551" s="203"/>
      <c r="Y551" s="203"/>
    </row>
    <row r="552" spans="1:25" ht="15" x14ac:dyDescent="0.25">
      <c r="A552" s="203"/>
      <c r="B552" s="1008"/>
      <c r="C552" s="208" t="s">
        <v>1126</v>
      </c>
      <c r="D552" s="879">
        <f>+Input!D305</f>
        <v>99</v>
      </c>
      <c r="E552" s="203" t="s">
        <v>1129</v>
      </c>
      <c r="F552" s="203"/>
      <c r="G552" s="203"/>
      <c r="H552" s="203"/>
      <c r="I552" s="1167">
        <f>+Input!I305</f>
        <v>0</v>
      </c>
      <c r="J552" s="1168"/>
      <c r="L552" s="203"/>
      <c r="T552" s="203"/>
      <c r="U552" s="203"/>
      <c r="V552" s="203"/>
      <c r="W552" s="203"/>
      <c r="X552" s="203"/>
      <c r="Y552" s="203"/>
    </row>
    <row r="553" spans="1:25" ht="15" x14ac:dyDescent="0.25">
      <c r="A553" s="203"/>
      <c r="B553" s="203"/>
      <c r="C553" s="208" t="s">
        <v>1127</v>
      </c>
      <c r="D553" s="879">
        <f>+Input!D306</f>
        <v>99</v>
      </c>
      <c r="E553" s="203" t="s">
        <v>1130</v>
      </c>
      <c r="F553" s="203"/>
      <c r="G553" s="203"/>
      <c r="H553" s="203"/>
      <c r="I553" s="1167">
        <f>+Input!I306</f>
        <v>0</v>
      </c>
      <c r="J553" s="1168"/>
      <c r="L553" s="203"/>
      <c r="T553" s="203"/>
      <c r="U553" s="203"/>
      <c r="V553" s="203"/>
      <c r="W553" s="203"/>
      <c r="X553" s="203"/>
      <c r="Y553" s="203"/>
    </row>
    <row r="554" spans="1:25" ht="15" x14ac:dyDescent="0.25">
      <c r="A554" s="203"/>
      <c r="B554" s="203"/>
      <c r="C554" s="208" t="s">
        <v>1131</v>
      </c>
      <c r="D554" s="879">
        <f>+Input!D307</f>
        <v>99</v>
      </c>
      <c r="E554" s="203" t="s">
        <v>1133</v>
      </c>
      <c r="F554" s="203"/>
      <c r="G554" s="203"/>
      <c r="H554" s="203"/>
      <c r="I554" s="1167">
        <f>+Input!I307</f>
        <v>0</v>
      </c>
      <c r="J554" s="1168"/>
      <c r="L554" s="203"/>
      <c r="T554" s="203"/>
      <c r="U554" s="203"/>
      <c r="V554" s="203"/>
      <c r="W554" s="203"/>
      <c r="X554" s="203"/>
      <c r="Y554" s="203"/>
    </row>
    <row r="555" spans="1:25" ht="15" x14ac:dyDescent="0.25">
      <c r="A555" s="203"/>
      <c r="B555" s="203"/>
      <c r="C555" s="208" t="s">
        <v>1132</v>
      </c>
      <c r="D555" s="879">
        <f>+Input!D308</f>
        <v>99</v>
      </c>
      <c r="E555" s="203" t="s">
        <v>1134</v>
      </c>
      <c r="F555" s="203"/>
      <c r="G555" s="203"/>
      <c r="H555" s="203"/>
      <c r="I555" s="1167">
        <f>+Input!I308</f>
        <v>0</v>
      </c>
      <c r="J555" s="1168"/>
      <c r="L555" s="203"/>
      <c r="T555" s="203"/>
      <c r="U555" s="203"/>
      <c r="V555" s="203"/>
      <c r="W555" s="203"/>
      <c r="X555" s="203"/>
      <c r="Y555" s="203"/>
    </row>
    <row r="556" spans="1:25" x14ac:dyDescent="0.2">
      <c r="A556" s="203"/>
      <c r="B556" s="203"/>
      <c r="C556" s="203"/>
      <c r="D556" s="203"/>
      <c r="E556" s="203"/>
      <c r="F556" s="203"/>
      <c r="G556" s="203"/>
      <c r="H556" s="203"/>
      <c r="I556" s="203"/>
      <c r="J556" s="203"/>
      <c r="L556" s="203"/>
      <c r="T556" s="203"/>
      <c r="U556" s="203"/>
      <c r="V556" s="203"/>
      <c r="W556" s="203"/>
      <c r="X556" s="203"/>
      <c r="Y556" s="203"/>
    </row>
    <row r="557" spans="1:25" ht="15" x14ac:dyDescent="0.25">
      <c r="A557" s="203"/>
      <c r="B557" s="203"/>
      <c r="C557" s="208" t="s">
        <v>1362</v>
      </c>
      <c r="D557" s="879">
        <f>+Input!D310</f>
        <v>0</v>
      </c>
      <c r="E557" s="203"/>
      <c r="F557" s="203"/>
      <c r="G557" s="203"/>
      <c r="H557" s="203"/>
      <c r="I557" s="1167" t="str">
        <f>+Input!I310</f>
        <v>Reminder: Save your data.  Menu "File"-&gt; "Save"</v>
      </c>
      <c r="J557" s="1168"/>
      <c r="L557" s="203"/>
      <c r="T557" s="203"/>
      <c r="U557" s="203"/>
      <c r="V557" s="203"/>
      <c r="W557" s="203"/>
      <c r="X557" s="203"/>
      <c r="Y557" s="203"/>
    </row>
    <row r="558" spans="1:25" ht="15" x14ac:dyDescent="0.25">
      <c r="A558" s="203"/>
      <c r="B558" s="203"/>
      <c r="C558" s="208" t="s">
        <v>1363</v>
      </c>
      <c r="D558" s="879">
        <f>+Input!D311</f>
        <v>0</v>
      </c>
      <c r="E558" s="203"/>
      <c r="F558" s="203"/>
      <c r="G558" s="203"/>
      <c r="H558" s="203"/>
      <c r="I558" s="1167">
        <f>+Input!I311</f>
        <v>0</v>
      </c>
      <c r="J558" s="1168"/>
      <c r="L558" s="203"/>
      <c r="T558" s="203"/>
      <c r="U558" s="203"/>
      <c r="V558" s="203"/>
      <c r="W558" s="203"/>
      <c r="X558" s="203"/>
      <c r="Y558" s="203"/>
    </row>
    <row r="559" spans="1:25" x14ac:dyDescent="0.2">
      <c r="A559" s="203"/>
      <c r="B559" s="203"/>
      <c r="C559" s="203"/>
      <c r="D559" s="203"/>
      <c r="E559" s="203"/>
      <c r="F559" s="203"/>
      <c r="G559" s="203"/>
      <c r="H559" s="203"/>
      <c r="I559" s="884" t="s">
        <v>1067</v>
      </c>
      <c r="J559" s="885"/>
      <c r="K559" s="596"/>
      <c r="L559" s="203"/>
      <c r="T559" s="203"/>
      <c r="U559" s="203"/>
      <c r="V559" s="203"/>
      <c r="W559" s="203"/>
      <c r="X559" s="203"/>
      <c r="Y559" s="203"/>
    </row>
    <row r="560" spans="1:25" x14ac:dyDescent="0.2">
      <c r="A560" s="203" t="s">
        <v>933</v>
      </c>
      <c r="B560" s="203"/>
      <c r="C560" s="203"/>
      <c r="D560" s="203"/>
      <c r="E560" s="203"/>
      <c r="F560" s="203"/>
      <c r="G560" s="203"/>
      <c r="H560" s="203"/>
      <c r="I560" s="203"/>
      <c r="J560" s="203"/>
      <c r="L560" s="203"/>
      <c r="T560" s="203"/>
      <c r="U560" s="203"/>
      <c r="V560" s="203"/>
      <c r="W560" s="203"/>
      <c r="X560" s="203"/>
      <c r="Y560" s="203"/>
    </row>
    <row r="561" spans="1:25" x14ac:dyDescent="0.2">
      <c r="A561" s="543" t="s">
        <v>1333</v>
      </c>
      <c r="B561" s="544"/>
      <c r="C561" s="544"/>
      <c r="D561" s="544"/>
      <c r="E561" s="545" t="s">
        <v>1323</v>
      </c>
      <c r="F561" s="203"/>
      <c r="G561" s="203"/>
      <c r="H561" s="203"/>
      <c r="I561" s="203" t="s">
        <v>859</v>
      </c>
      <c r="J561" s="203"/>
      <c r="L561" s="203"/>
      <c r="T561" s="203"/>
      <c r="U561" s="203"/>
      <c r="V561" s="203"/>
      <c r="W561" s="203"/>
      <c r="X561" s="203"/>
      <c r="Y561" s="203"/>
    </row>
    <row r="562" spans="1:25" ht="15" x14ac:dyDescent="0.25">
      <c r="A562" s="203"/>
      <c r="C562" s="208" t="s">
        <v>934</v>
      </c>
      <c r="D562" s="1027" t="s">
        <v>863</v>
      </c>
      <c r="E562" s="1029"/>
      <c r="F562" s="759" t="s">
        <v>1332</v>
      </c>
      <c r="G562" s="759"/>
      <c r="H562" s="759"/>
      <c r="I562" s="1141"/>
      <c r="J562" s="1142"/>
      <c r="L562" s="203"/>
      <c r="T562" s="203"/>
      <c r="U562" s="203"/>
      <c r="V562" s="203"/>
      <c r="W562" s="203"/>
      <c r="X562" s="203"/>
      <c r="Y562" s="203"/>
    </row>
    <row r="563" spans="1:25" ht="15" x14ac:dyDescent="0.25">
      <c r="A563" s="203"/>
      <c r="C563" s="208" t="s">
        <v>935</v>
      </c>
      <c r="D563" s="1009" t="s">
        <v>863</v>
      </c>
      <c r="E563" s="1010"/>
      <c r="F563" s="759" t="s">
        <v>1337</v>
      </c>
      <c r="G563" s="759"/>
      <c r="H563" s="759"/>
      <c r="I563" s="1141"/>
      <c r="J563" s="1142"/>
      <c r="L563" s="203"/>
      <c r="T563" s="203"/>
      <c r="U563" s="203"/>
      <c r="V563" s="203"/>
      <c r="W563" s="203"/>
      <c r="X563" s="203"/>
      <c r="Y563" s="203"/>
    </row>
    <row r="564" spans="1:25" ht="15" x14ac:dyDescent="0.25">
      <c r="A564" s="203"/>
      <c r="C564" s="208" t="s">
        <v>936</v>
      </c>
      <c r="D564" s="1009" t="s">
        <v>863</v>
      </c>
      <c r="E564" s="1010"/>
      <c r="F564" s="759"/>
      <c r="G564" s="759"/>
      <c r="H564" s="759"/>
      <c r="I564" s="1141"/>
      <c r="J564" s="1142"/>
      <c r="L564" s="203"/>
      <c r="T564" s="203"/>
      <c r="U564" s="203"/>
      <c r="V564" s="203"/>
      <c r="W564" s="203"/>
      <c r="X564" s="203"/>
      <c r="Y564" s="203"/>
    </row>
    <row r="565" spans="1:25" ht="15" x14ac:dyDescent="0.25">
      <c r="A565" s="203"/>
      <c r="C565" s="208" t="s">
        <v>937</v>
      </c>
      <c r="D565" s="1009" t="s">
        <v>863</v>
      </c>
      <c r="E565" s="1010"/>
      <c r="F565" s="759"/>
      <c r="G565" s="759"/>
      <c r="H565" s="759"/>
      <c r="I565" s="1141"/>
      <c r="J565" s="1142"/>
      <c r="L565" s="203"/>
      <c r="T565" s="203"/>
      <c r="U565" s="203"/>
      <c r="V565" s="203"/>
      <c r="W565" s="203"/>
      <c r="X565" s="203"/>
      <c r="Y565" s="203"/>
    </row>
    <row r="566" spans="1:25" ht="15" x14ac:dyDescent="0.25">
      <c r="A566" s="203"/>
      <c r="C566" s="208" t="s">
        <v>1339</v>
      </c>
      <c r="D566" s="1009" t="s">
        <v>863</v>
      </c>
      <c r="E566" s="1010"/>
      <c r="F566" s="759"/>
      <c r="G566" s="759"/>
      <c r="H566" s="759"/>
      <c r="I566" s="1141"/>
      <c r="J566" s="1142"/>
      <c r="L566" s="203"/>
      <c r="T566" s="203"/>
      <c r="U566" s="203"/>
      <c r="V566" s="203"/>
      <c r="W566" s="203"/>
      <c r="X566" s="203"/>
      <c r="Y566" s="203"/>
    </row>
    <row r="567" spans="1:25" ht="15" x14ac:dyDescent="0.25">
      <c r="A567" s="203"/>
      <c r="C567" s="208" t="s">
        <v>1338</v>
      </c>
      <c r="D567" s="1009" t="s">
        <v>861</v>
      </c>
      <c r="E567" s="1010"/>
      <c r="F567" s="759"/>
      <c r="G567" s="759"/>
      <c r="H567" s="759"/>
      <c r="I567" s="1141"/>
      <c r="J567" s="1142"/>
      <c r="L567" s="203"/>
      <c r="T567" s="203"/>
      <c r="U567" s="203"/>
      <c r="V567" s="203"/>
      <c r="W567" s="203"/>
      <c r="X567" s="203"/>
      <c r="Y567" s="203"/>
    </row>
    <row r="568" spans="1:25" x14ac:dyDescent="0.2">
      <c r="A568" s="203"/>
      <c r="B568" s="203"/>
      <c r="C568" s="203"/>
      <c r="D568" s="759"/>
      <c r="E568" s="759"/>
      <c r="F568" s="759"/>
      <c r="G568" s="759"/>
      <c r="H568" s="759"/>
      <c r="I568" s="759"/>
      <c r="J568" s="759"/>
      <c r="L568" s="203"/>
      <c r="T568" s="203"/>
      <c r="U568" s="203"/>
      <c r="V568" s="203"/>
      <c r="W568" s="203"/>
      <c r="X568" s="203"/>
      <c r="Y568" s="203"/>
    </row>
    <row r="569" spans="1:25" x14ac:dyDescent="0.2">
      <c r="A569" s="543" t="s">
        <v>1551</v>
      </c>
      <c r="B569" s="544"/>
      <c r="C569" s="544"/>
      <c r="D569" s="765"/>
      <c r="E569" s="759" t="s">
        <v>1324</v>
      </c>
      <c r="F569" s="759" t="s">
        <v>1325</v>
      </c>
      <c r="G569" s="759"/>
      <c r="H569" s="759"/>
      <c r="I569" s="759" t="s">
        <v>859</v>
      </c>
      <c r="J569" s="759"/>
      <c r="L569" s="203"/>
      <c r="T569" s="203"/>
      <c r="U569" s="203"/>
      <c r="V569" s="203"/>
      <c r="W569" s="203"/>
      <c r="X569" s="203"/>
      <c r="Y569" s="203"/>
    </row>
    <row r="570" spans="1:25" ht="15" x14ac:dyDescent="0.25">
      <c r="A570" s="203"/>
      <c r="C570" s="208" t="s">
        <v>1481</v>
      </c>
      <c r="D570" s="1027" t="s">
        <v>861</v>
      </c>
      <c r="E570" s="1010"/>
      <c r="F570" s="1010"/>
      <c r="G570" s="759" t="s">
        <v>1336</v>
      </c>
      <c r="H570" s="759"/>
      <c r="I570" s="1141"/>
      <c r="J570" s="1142"/>
      <c r="L570" s="203"/>
      <c r="T570" s="203"/>
      <c r="U570" s="203"/>
      <c r="V570" s="203"/>
      <c r="W570" s="203"/>
      <c r="X570" s="203"/>
      <c r="Y570" s="203"/>
    </row>
    <row r="571" spans="1:25" ht="15" x14ac:dyDescent="0.25">
      <c r="A571" s="203"/>
      <c r="C571" s="208" t="s">
        <v>938</v>
      </c>
      <c r="D571" s="1009" t="s">
        <v>863</v>
      </c>
      <c r="E571" s="1010"/>
      <c r="F571" s="1010"/>
      <c r="G571" s="759"/>
      <c r="H571" s="759"/>
      <c r="I571" s="1141"/>
      <c r="J571" s="1142"/>
      <c r="L571" s="203"/>
      <c r="T571" s="203"/>
      <c r="U571" s="203"/>
      <c r="V571" s="203"/>
      <c r="W571" s="203"/>
      <c r="X571" s="203"/>
      <c r="Y571" s="203"/>
    </row>
    <row r="572" spans="1:25" ht="15" x14ac:dyDescent="0.25">
      <c r="A572" s="203"/>
      <c r="C572" s="208" t="s">
        <v>1326</v>
      </c>
      <c r="D572" s="1009" t="s">
        <v>863</v>
      </c>
      <c r="E572" s="1010"/>
      <c r="F572" s="1010"/>
      <c r="G572" s="759"/>
      <c r="H572" s="759"/>
      <c r="I572" s="1141"/>
      <c r="J572" s="1142"/>
      <c r="L572" s="203"/>
      <c r="T572" s="203"/>
      <c r="U572" s="203"/>
      <c r="V572" s="203"/>
      <c r="W572" s="203"/>
      <c r="X572" s="203"/>
      <c r="Y572" s="203"/>
    </row>
    <row r="573" spans="1:25" ht="15" x14ac:dyDescent="0.25">
      <c r="A573" s="203"/>
      <c r="C573" s="208" t="s">
        <v>898</v>
      </c>
      <c r="D573" s="1009" t="s">
        <v>863</v>
      </c>
      <c r="E573" s="1010"/>
      <c r="F573" s="1010"/>
      <c r="G573" s="759"/>
      <c r="H573" s="759"/>
      <c r="I573" s="1141"/>
      <c r="J573" s="1142"/>
      <c r="L573" s="203"/>
      <c r="T573" s="203"/>
      <c r="U573" s="203"/>
      <c r="V573" s="203"/>
      <c r="W573" s="203"/>
      <c r="X573" s="203"/>
      <c r="Y573" s="203"/>
    </row>
    <row r="574" spans="1:25" x14ac:dyDescent="0.2">
      <c r="A574" s="203"/>
      <c r="C574" s="208"/>
      <c r="D574" s="759"/>
      <c r="E574" s="759"/>
      <c r="F574" s="759"/>
      <c r="G574" s="759"/>
      <c r="H574" s="759"/>
      <c r="I574" s="759"/>
      <c r="J574" s="759"/>
      <c r="L574" s="203"/>
      <c r="T574" s="203"/>
      <c r="U574" s="203"/>
      <c r="V574" s="203"/>
      <c r="W574" s="203"/>
      <c r="X574" s="203"/>
      <c r="Y574" s="203"/>
    </row>
    <row r="575" spans="1:25" x14ac:dyDescent="0.2">
      <c r="A575" s="543" t="s">
        <v>1552</v>
      </c>
      <c r="B575" s="603"/>
      <c r="C575" s="546"/>
      <c r="D575" s="765"/>
      <c r="E575" s="759"/>
      <c r="F575" s="768" t="s">
        <v>1400</v>
      </c>
      <c r="G575" s="759"/>
      <c r="H575" s="759"/>
      <c r="I575" s="759" t="s">
        <v>859</v>
      </c>
      <c r="J575" s="759"/>
      <c r="L575" s="203"/>
      <c r="T575" s="203"/>
      <c r="U575" s="203"/>
      <c r="V575" s="203"/>
      <c r="W575" s="203"/>
      <c r="X575" s="203"/>
      <c r="Y575" s="203"/>
    </row>
    <row r="576" spans="1:25" ht="15" x14ac:dyDescent="0.25">
      <c r="A576" s="203"/>
      <c r="C576" s="208" t="s">
        <v>582</v>
      </c>
      <c r="D576" s="1027" t="s">
        <v>861</v>
      </c>
      <c r="E576" s="759"/>
      <c r="F576" s="769" t="s">
        <v>1136</v>
      </c>
      <c r="G576" s="759"/>
      <c r="H576" s="759"/>
      <c r="I576" s="1141"/>
      <c r="J576" s="1142"/>
      <c r="L576" s="203"/>
      <c r="T576" s="203"/>
      <c r="U576" s="203"/>
      <c r="V576" s="203"/>
      <c r="W576" s="203"/>
      <c r="X576" s="203"/>
      <c r="Y576" s="203"/>
    </row>
    <row r="577" spans="1:25" ht="15" x14ac:dyDescent="0.25">
      <c r="A577" s="203"/>
      <c r="C577" s="208" t="s">
        <v>939</v>
      </c>
      <c r="D577" s="1009" t="s">
        <v>863</v>
      </c>
      <c r="E577" s="759"/>
      <c r="F577" s="769" t="s">
        <v>1136</v>
      </c>
      <c r="G577" s="759" t="s">
        <v>1331</v>
      </c>
      <c r="H577" s="759"/>
      <c r="I577" s="1141"/>
      <c r="J577" s="1142"/>
      <c r="L577" s="203"/>
      <c r="T577" s="203"/>
      <c r="U577" s="203"/>
      <c r="V577" s="203"/>
      <c r="W577" s="203"/>
      <c r="X577" s="203"/>
      <c r="Y577" s="203"/>
    </row>
    <row r="578" spans="1:25" ht="15" x14ac:dyDescent="0.25">
      <c r="A578" s="203"/>
      <c r="C578" s="208" t="s">
        <v>901</v>
      </c>
      <c r="D578" s="1009" t="s">
        <v>863</v>
      </c>
      <c r="E578" s="759"/>
      <c r="F578" s="769" t="s">
        <v>871</v>
      </c>
      <c r="G578" s="759"/>
      <c r="H578" s="759"/>
      <c r="I578" s="1141"/>
      <c r="J578" s="1142"/>
      <c r="L578" s="203"/>
      <c r="T578" s="203"/>
      <c r="U578" s="203"/>
      <c r="V578" s="203"/>
      <c r="W578" s="203"/>
      <c r="X578" s="203"/>
      <c r="Y578" s="203"/>
    </row>
    <row r="579" spans="1:25" x14ac:dyDescent="0.2">
      <c r="A579" s="203"/>
      <c r="B579" s="203"/>
      <c r="C579" s="203"/>
      <c r="D579" s="759"/>
      <c r="E579" s="759"/>
      <c r="F579" s="759"/>
      <c r="G579" s="759"/>
      <c r="H579" s="759"/>
      <c r="I579" s="759"/>
      <c r="J579" s="759"/>
      <c r="L579" s="203"/>
      <c r="T579" s="203"/>
      <c r="U579" s="203"/>
      <c r="V579" s="203"/>
      <c r="W579" s="203"/>
      <c r="X579" s="203"/>
      <c r="Y579" s="203"/>
    </row>
    <row r="580" spans="1:25" x14ac:dyDescent="0.2">
      <c r="A580" s="543" t="s">
        <v>1553</v>
      </c>
      <c r="B580" s="544"/>
      <c r="C580" s="544"/>
      <c r="D580" s="765"/>
      <c r="E580" s="759"/>
      <c r="F580" s="759"/>
      <c r="G580" s="759"/>
      <c r="H580" s="759"/>
      <c r="I580" s="759"/>
      <c r="J580" s="759"/>
      <c r="L580" s="203"/>
      <c r="T580" s="203"/>
      <c r="U580" s="203"/>
      <c r="V580" s="203"/>
      <c r="W580" s="203"/>
      <c r="X580" s="203"/>
      <c r="Y580" s="203"/>
    </row>
    <row r="581" spans="1:25" x14ac:dyDescent="0.2">
      <c r="A581" s="203"/>
      <c r="B581" s="203" t="s">
        <v>1554</v>
      </c>
      <c r="C581" s="203"/>
      <c r="D581" s="759"/>
      <c r="E581" s="759"/>
      <c r="F581" s="759"/>
      <c r="G581" s="759"/>
      <c r="H581" s="759"/>
      <c r="I581" s="759"/>
      <c r="J581" s="759"/>
      <c r="L581" s="203"/>
      <c r="T581" s="203"/>
      <c r="U581" s="203"/>
      <c r="V581" s="203"/>
      <c r="W581" s="203"/>
      <c r="X581" s="203"/>
      <c r="Y581" s="203"/>
    </row>
    <row r="582" spans="1:25" ht="15" x14ac:dyDescent="0.25">
      <c r="A582" s="203"/>
      <c r="B582" s="203"/>
      <c r="C582" s="208" t="s">
        <v>1327</v>
      </c>
      <c r="D582" s="1009" t="s">
        <v>863</v>
      </c>
      <c r="E582" s="759"/>
      <c r="F582" s="769" t="s">
        <v>861</v>
      </c>
      <c r="G582" s="759"/>
      <c r="H582" s="759"/>
      <c r="I582" s="1141"/>
      <c r="J582" s="1142"/>
      <c r="L582" s="203"/>
      <c r="T582" s="203"/>
      <c r="U582" s="203"/>
      <c r="V582" s="203"/>
      <c r="W582" s="203"/>
      <c r="X582" s="203"/>
      <c r="Y582" s="203"/>
    </row>
    <row r="583" spans="1:25" ht="15" x14ac:dyDescent="0.25">
      <c r="A583" s="203"/>
      <c r="B583" s="203"/>
      <c r="C583" s="208" t="s">
        <v>1329</v>
      </c>
      <c r="D583" s="1009" t="s">
        <v>863</v>
      </c>
      <c r="E583" s="759"/>
      <c r="F583" s="769" t="s">
        <v>863</v>
      </c>
      <c r="G583" s="759"/>
      <c r="H583" s="759"/>
      <c r="I583" s="1141"/>
      <c r="J583" s="1142"/>
      <c r="L583" s="203"/>
      <c r="T583" s="203"/>
      <c r="U583" s="203"/>
      <c r="V583" s="203"/>
      <c r="W583" s="203"/>
      <c r="X583" s="203"/>
      <c r="Y583" s="203"/>
    </row>
    <row r="584" spans="1:25" ht="15" x14ac:dyDescent="0.25">
      <c r="A584" s="203"/>
      <c r="B584" s="203"/>
      <c r="C584" s="208" t="s">
        <v>1328</v>
      </c>
      <c r="D584" s="1009" t="s">
        <v>863</v>
      </c>
      <c r="E584" s="759"/>
      <c r="F584" s="769" t="s">
        <v>863</v>
      </c>
      <c r="G584" s="759"/>
      <c r="H584" s="759"/>
      <c r="I584" s="1141"/>
      <c r="J584" s="1142"/>
      <c r="L584" s="203"/>
      <c r="T584" s="203"/>
      <c r="U584" s="203"/>
      <c r="V584" s="203"/>
      <c r="W584" s="203"/>
      <c r="X584" s="203"/>
      <c r="Y584" s="203"/>
    </row>
    <row r="585" spans="1:25" ht="15" x14ac:dyDescent="0.25">
      <c r="A585" s="203"/>
      <c r="B585" s="203"/>
      <c r="C585" s="1022" t="s">
        <v>1334</v>
      </c>
      <c r="D585" s="1009" t="s">
        <v>863</v>
      </c>
      <c r="E585" s="759"/>
      <c r="F585" s="769" t="s">
        <v>863</v>
      </c>
      <c r="G585" s="759"/>
      <c r="H585" s="759"/>
      <c r="I585" s="1141"/>
      <c r="J585" s="1142"/>
      <c r="L585" s="203"/>
      <c r="T585" s="203"/>
      <c r="U585" s="203"/>
      <c r="V585" s="203"/>
      <c r="W585" s="203"/>
      <c r="X585" s="203"/>
      <c r="Y585" s="203"/>
    </row>
    <row r="586" spans="1:25" ht="15" x14ac:dyDescent="0.25">
      <c r="A586" s="203"/>
      <c r="B586" s="203"/>
      <c r="C586" s="208" t="s">
        <v>1330</v>
      </c>
      <c r="D586" s="1009" t="s">
        <v>863</v>
      </c>
      <c r="E586" s="759"/>
      <c r="F586" s="769" t="s">
        <v>863</v>
      </c>
      <c r="G586" s="759"/>
      <c r="H586" s="759"/>
      <c r="I586" s="1141"/>
      <c r="J586" s="1142"/>
      <c r="L586" s="203"/>
      <c r="T586" s="203"/>
      <c r="U586" s="203"/>
      <c r="V586" s="203"/>
      <c r="W586" s="203"/>
      <c r="X586" s="203"/>
      <c r="Y586" s="203"/>
    </row>
    <row r="587" spans="1:25" ht="15" x14ac:dyDescent="0.25">
      <c r="A587" s="203"/>
      <c r="B587" s="203"/>
      <c r="C587" s="208" t="s">
        <v>1335</v>
      </c>
      <c r="D587" s="1009" t="s">
        <v>863</v>
      </c>
      <c r="E587" s="759"/>
      <c r="F587" s="769" t="s">
        <v>861</v>
      </c>
      <c r="G587" s="759"/>
      <c r="H587" s="759"/>
      <c r="I587" s="1141"/>
      <c r="J587" s="1142"/>
      <c r="L587" s="203"/>
      <c r="T587" s="203"/>
      <c r="U587" s="203"/>
      <c r="V587" s="203"/>
      <c r="W587" s="203"/>
      <c r="X587" s="203"/>
      <c r="Y587" s="203"/>
    </row>
    <row r="588" spans="1:25" ht="15" x14ac:dyDescent="0.25">
      <c r="A588" s="203"/>
      <c r="B588" s="203"/>
      <c r="C588" s="208" t="s">
        <v>1349</v>
      </c>
      <c r="D588" s="1009" t="s">
        <v>863</v>
      </c>
      <c r="E588" s="759"/>
      <c r="F588" s="769" t="s">
        <v>861</v>
      </c>
      <c r="G588" s="759"/>
      <c r="H588" s="759"/>
      <c r="I588" s="1141"/>
      <c r="J588" s="1142"/>
      <c r="L588" s="203"/>
      <c r="T588" s="203"/>
      <c r="U588" s="203"/>
      <c r="V588" s="203"/>
      <c r="W588" s="203"/>
      <c r="X588" s="203"/>
      <c r="Y588" s="203"/>
    </row>
    <row r="589" spans="1:25" ht="15" x14ac:dyDescent="0.25">
      <c r="A589" s="203"/>
      <c r="B589" s="203"/>
      <c r="C589" s="208" t="s">
        <v>1350</v>
      </c>
      <c r="D589" s="1009" t="s">
        <v>863</v>
      </c>
      <c r="E589" s="759"/>
      <c r="F589" s="769" t="s">
        <v>861</v>
      </c>
      <c r="G589" s="759" t="s">
        <v>1351</v>
      </c>
      <c r="H589" s="759"/>
      <c r="I589" s="1141"/>
      <c r="J589" s="1142"/>
      <c r="L589" s="203"/>
      <c r="T589" s="203"/>
      <c r="U589" s="203"/>
      <c r="V589" s="203"/>
      <c r="W589" s="203"/>
      <c r="X589" s="203"/>
      <c r="Y589" s="203"/>
    </row>
    <row r="590" spans="1:25" ht="15" x14ac:dyDescent="0.25">
      <c r="A590" s="203"/>
      <c r="B590" s="203"/>
      <c r="C590" s="208" t="s">
        <v>1583</v>
      </c>
      <c r="D590" s="1009" t="s">
        <v>863</v>
      </c>
      <c r="E590" s="759"/>
      <c r="F590" s="770"/>
      <c r="G590" s="759"/>
      <c r="H590" s="760" t="s">
        <v>1584</v>
      </c>
      <c r="I590" s="1141"/>
      <c r="J590" s="1142"/>
      <c r="L590" s="203"/>
      <c r="T590" s="203"/>
      <c r="U590" s="203"/>
      <c r="V590" s="203"/>
      <c r="W590" s="203"/>
      <c r="X590" s="203"/>
      <c r="Y590" s="203"/>
    </row>
    <row r="591" spans="1:25" ht="15" x14ac:dyDescent="0.25">
      <c r="A591" s="203"/>
      <c r="B591" s="203"/>
      <c r="C591" s="208" t="s">
        <v>1583</v>
      </c>
      <c r="D591" s="1009" t="s">
        <v>863</v>
      </c>
      <c r="E591" s="759"/>
      <c r="F591" s="770"/>
      <c r="G591" s="759"/>
      <c r="H591" s="759"/>
      <c r="I591" s="1141"/>
      <c r="J591" s="1142"/>
      <c r="L591" s="203"/>
      <c r="T591" s="203"/>
      <c r="U591" s="203"/>
      <c r="V591" s="203"/>
      <c r="W591" s="203"/>
      <c r="X591" s="203"/>
      <c r="Y591" s="203"/>
    </row>
    <row r="592" spans="1:25" x14ac:dyDescent="0.2">
      <c r="A592" s="203"/>
      <c r="B592" s="203"/>
      <c r="C592" s="203"/>
      <c r="D592" s="759"/>
      <c r="E592" s="759"/>
      <c r="F592" s="759"/>
      <c r="G592" s="759"/>
      <c r="H592" s="759"/>
      <c r="I592" s="759"/>
      <c r="J592" s="759"/>
      <c r="L592" s="203"/>
      <c r="T592" s="203"/>
      <c r="U592" s="203"/>
      <c r="V592" s="203"/>
      <c r="W592" s="203"/>
      <c r="X592" s="203"/>
      <c r="Y592" s="203"/>
    </row>
    <row r="593" spans="1:25" x14ac:dyDescent="0.2">
      <c r="A593" s="543" t="s">
        <v>1348</v>
      </c>
      <c r="B593" s="544"/>
      <c r="C593" s="544"/>
      <c r="D593" s="765"/>
      <c r="E593" s="771" t="s">
        <v>1555</v>
      </c>
      <c r="F593" s="759"/>
      <c r="G593" s="759"/>
      <c r="H593" s="759"/>
      <c r="I593" s="759" t="s">
        <v>859</v>
      </c>
      <c r="J593" s="759"/>
      <c r="L593" s="203"/>
      <c r="T593" s="203"/>
      <c r="U593" s="203"/>
      <c r="V593" s="203"/>
      <c r="W593" s="203"/>
      <c r="X593" s="203"/>
      <c r="Y593" s="203"/>
    </row>
    <row r="594" spans="1:25" ht="15" x14ac:dyDescent="0.25">
      <c r="A594" s="203"/>
      <c r="B594" s="203"/>
      <c r="C594" s="208" t="s">
        <v>940</v>
      </c>
      <c r="D594" s="1027" t="s">
        <v>863</v>
      </c>
      <c r="E594" s="1030"/>
      <c r="F594" s="759" t="s">
        <v>1343</v>
      </c>
      <c r="G594" s="759"/>
      <c r="H594" s="759"/>
      <c r="I594" s="1141"/>
      <c r="J594" s="1142"/>
      <c r="L594" s="203"/>
      <c r="T594" s="203"/>
      <c r="U594" s="203"/>
      <c r="V594" s="203"/>
      <c r="W594" s="203"/>
      <c r="X594" s="203"/>
      <c r="Y594" s="203"/>
    </row>
    <row r="595" spans="1:25" ht="15" x14ac:dyDescent="0.25">
      <c r="A595" s="203"/>
      <c r="B595" s="203"/>
      <c r="C595" s="208" t="s">
        <v>1341</v>
      </c>
      <c r="D595" s="1009" t="s">
        <v>863</v>
      </c>
      <c r="E595" s="1030"/>
      <c r="F595" s="759" t="s">
        <v>1342</v>
      </c>
      <c r="G595" s="759"/>
      <c r="H595" s="759"/>
      <c r="I595" s="1141"/>
      <c r="J595" s="1142"/>
      <c r="L595" s="203"/>
      <c r="T595" s="203"/>
      <c r="U595" s="203"/>
      <c r="V595" s="203"/>
      <c r="W595" s="203"/>
      <c r="X595" s="203"/>
      <c r="Y595" s="203"/>
    </row>
    <row r="596" spans="1:25" ht="15" x14ac:dyDescent="0.25">
      <c r="A596" s="203"/>
      <c r="B596" s="385"/>
      <c r="C596" s="208" t="s">
        <v>1340</v>
      </c>
      <c r="D596" s="1009" t="s">
        <v>863</v>
      </c>
      <c r="E596" s="1030"/>
      <c r="F596" s="759"/>
      <c r="G596" s="759"/>
      <c r="H596" s="759"/>
      <c r="I596" s="1141"/>
      <c r="J596" s="1142"/>
      <c r="L596" s="203"/>
      <c r="T596" s="203"/>
      <c r="U596" s="203"/>
      <c r="V596" s="203"/>
      <c r="W596" s="203"/>
      <c r="X596" s="203"/>
      <c r="Y596" s="203"/>
    </row>
    <row r="597" spans="1:25" ht="15" x14ac:dyDescent="0.25">
      <c r="A597" s="203"/>
      <c r="C597" s="208" t="s">
        <v>1344</v>
      </c>
      <c r="D597" s="1009" t="s">
        <v>863</v>
      </c>
      <c r="E597" s="1030"/>
      <c r="F597" s="772" t="s">
        <v>1345</v>
      </c>
      <c r="G597" s="789"/>
      <c r="H597" s="759"/>
      <c r="I597" s="1141"/>
      <c r="J597" s="1142"/>
      <c r="L597" s="203"/>
      <c r="T597" s="203"/>
      <c r="U597" s="203"/>
      <c r="V597" s="203"/>
      <c r="W597" s="203"/>
      <c r="X597" s="203"/>
      <c r="Y597" s="203"/>
    </row>
    <row r="598" spans="1:25" ht="15" x14ac:dyDescent="0.25">
      <c r="A598" s="203"/>
      <c r="C598" s="208" t="s">
        <v>1585</v>
      </c>
      <c r="D598" s="1009" t="s">
        <v>863</v>
      </c>
      <c r="E598" s="1030"/>
      <c r="F598" s="759" t="s">
        <v>1346</v>
      </c>
      <c r="G598" s="759"/>
      <c r="H598" s="759"/>
      <c r="I598" s="1141"/>
      <c r="J598" s="1142"/>
      <c r="L598" s="203"/>
      <c r="T598" s="203"/>
      <c r="U598" s="203"/>
      <c r="V598" s="203"/>
      <c r="W598" s="203"/>
      <c r="X598" s="203"/>
      <c r="Y598" s="203"/>
    </row>
    <row r="599" spans="1:25" ht="15" x14ac:dyDescent="0.25">
      <c r="A599" s="203"/>
      <c r="C599" s="208" t="s">
        <v>941</v>
      </c>
      <c r="D599" s="1009" t="s">
        <v>863</v>
      </c>
      <c r="E599" s="1030"/>
      <c r="F599" s="759"/>
      <c r="G599" s="759"/>
      <c r="H599" s="759"/>
      <c r="I599" s="1141"/>
      <c r="J599" s="1142"/>
      <c r="L599" s="203"/>
      <c r="T599" s="203"/>
      <c r="U599" s="203"/>
      <c r="V599" s="203"/>
      <c r="W599" s="203"/>
      <c r="X599" s="203"/>
      <c r="Y599" s="203"/>
    </row>
    <row r="600" spans="1:25" ht="15" x14ac:dyDescent="0.25">
      <c r="A600" s="203"/>
      <c r="C600" s="208" t="s">
        <v>942</v>
      </c>
      <c r="D600" s="1009" t="s">
        <v>863</v>
      </c>
      <c r="E600" s="1030"/>
      <c r="F600" s="759" t="s">
        <v>1347</v>
      </c>
      <c r="G600" s="759"/>
      <c r="H600" s="759"/>
      <c r="I600" s="1141"/>
      <c r="J600" s="1142"/>
      <c r="L600" s="203"/>
      <c r="T600" s="203"/>
      <c r="U600" s="203"/>
      <c r="V600" s="203"/>
      <c r="W600" s="203"/>
      <c r="X600" s="203"/>
      <c r="Y600" s="203"/>
    </row>
    <row r="601" spans="1:25" ht="15" x14ac:dyDescent="0.25">
      <c r="A601" s="203"/>
      <c r="C601" s="208" t="s">
        <v>898</v>
      </c>
      <c r="D601" s="1009" t="s">
        <v>863</v>
      </c>
      <c r="E601" s="1030"/>
      <c r="F601" s="759"/>
      <c r="G601" s="759"/>
      <c r="H601" s="759"/>
      <c r="I601" s="1141"/>
      <c r="J601" s="1142"/>
      <c r="L601" s="203"/>
      <c r="T601" s="203"/>
      <c r="U601" s="203"/>
      <c r="V601" s="203"/>
      <c r="W601" s="203"/>
      <c r="X601" s="203"/>
      <c r="Y601" s="203"/>
    </row>
    <row r="602" spans="1:25" x14ac:dyDescent="0.2">
      <c r="A602" s="203"/>
      <c r="B602" s="203"/>
      <c r="C602" s="203"/>
      <c r="D602" s="759"/>
      <c r="E602" s="759"/>
      <c r="F602" s="759"/>
      <c r="G602" s="759"/>
      <c r="H602" s="759"/>
      <c r="I602" s="759"/>
      <c r="J602" s="759"/>
      <c r="L602" s="203"/>
      <c r="T602" s="203"/>
      <c r="U602" s="203"/>
      <c r="V602" s="203"/>
      <c r="W602" s="203"/>
      <c r="X602" s="203"/>
      <c r="Y602" s="203"/>
    </row>
    <row r="603" spans="1:25" x14ac:dyDescent="0.2">
      <c r="A603" s="203"/>
      <c r="B603" s="203"/>
      <c r="C603" s="203"/>
      <c r="D603" s="759"/>
      <c r="E603" s="759"/>
      <c r="F603" s="759"/>
      <c r="G603" s="759"/>
      <c r="H603" s="759"/>
      <c r="I603" s="1025" t="s">
        <v>1067</v>
      </c>
      <c r="J603" s="1026"/>
      <c r="K603" s="596"/>
      <c r="L603" s="203"/>
      <c r="T603" s="203"/>
      <c r="U603" s="203"/>
      <c r="V603" s="203"/>
      <c r="W603" s="203"/>
      <c r="X603" s="203"/>
      <c r="Y603" s="203"/>
    </row>
    <row r="604" spans="1:25" x14ac:dyDescent="0.2">
      <c r="A604" s="203" t="s">
        <v>1352</v>
      </c>
      <c r="B604" s="203"/>
      <c r="C604" s="203"/>
      <c r="D604" s="759"/>
      <c r="E604" s="759"/>
      <c r="F604" s="759"/>
      <c r="G604" s="759"/>
      <c r="H604" s="759"/>
      <c r="I604" s="759"/>
      <c r="J604" s="759"/>
      <c r="K604" s="203"/>
      <c r="L604" s="203"/>
      <c r="T604" s="203"/>
      <c r="U604" s="203"/>
      <c r="V604" s="203"/>
      <c r="W604" s="203"/>
      <c r="X604" s="203"/>
      <c r="Y604" s="203"/>
    </row>
    <row r="605" spans="1:25" ht="15" x14ac:dyDescent="0.25">
      <c r="A605" s="203"/>
      <c r="B605" s="203"/>
      <c r="C605" s="208" t="s">
        <v>1364</v>
      </c>
      <c r="D605" s="1143" t="s">
        <v>871</v>
      </c>
      <c r="E605" s="1143"/>
      <c r="F605" s="759" t="s">
        <v>1365</v>
      </c>
      <c r="G605" s="759"/>
      <c r="H605" s="759"/>
      <c r="I605" s="1141"/>
      <c r="J605" s="1142"/>
      <c r="K605" s="203"/>
      <c r="L605" s="203"/>
      <c r="T605" s="203"/>
      <c r="U605" s="203"/>
      <c r="V605" s="203"/>
      <c r="W605" s="203"/>
      <c r="X605" s="203"/>
      <c r="Y605" s="203"/>
    </row>
    <row r="606" spans="1:25" ht="15" x14ac:dyDescent="0.25">
      <c r="A606" s="203"/>
      <c r="B606" s="203"/>
      <c r="C606" s="208" t="s">
        <v>1482</v>
      </c>
      <c r="D606" s="1143" t="s">
        <v>871</v>
      </c>
      <c r="E606" s="1143"/>
      <c r="F606" s="759" t="s">
        <v>1365</v>
      </c>
      <c r="G606" s="759"/>
      <c r="H606" s="759"/>
      <c r="I606" s="1141"/>
      <c r="J606" s="1142"/>
      <c r="K606" s="203"/>
      <c r="L606" s="203"/>
      <c r="T606" s="203"/>
      <c r="U606" s="203"/>
      <c r="V606" s="203"/>
      <c r="W606" s="203"/>
      <c r="X606" s="203"/>
      <c r="Y606" s="203"/>
    </row>
    <row r="607" spans="1:25" ht="15" x14ac:dyDescent="0.25">
      <c r="A607" s="203"/>
      <c r="B607" s="203"/>
      <c r="C607" s="208" t="s">
        <v>1681</v>
      </c>
      <c r="D607" s="760" t="s">
        <v>1682</v>
      </c>
      <c r="E607" s="1029"/>
      <c r="F607" s="759"/>
      <c r="G607" s="759"/>
      <c r="H607" s="759"/>
      <c r="I607" s="1141"/>
      <c r="J607" s="1142"/>
      <c r="K607" s="203"/>
      <c r="L607" s="203"/>
      <c r="T607" s="203"/>
      <c r="U607" s="203"/>
      <c r="V607" s="203"/>
      <c r="W607" s="203"/>
      <c r="X607" s="203"/>
      <c r="Y607" s="203"/>
    </row>
    <row r="608" spans="1:25" ht="15" x14ac:dyDescent="0.25">
      <c r="A608" s="203"/>
      <c r="B608" s="203"/>
      <c r="C608" s="208"/>
      <c r="D608" s="760" t="s">
        <v>1683</v>
      </c>
      <c r="E608" s="1029"/>
      <c r="F608" s="759"/>
      <c r="G608" s="759"/>
      <c r="H608" s="759"/>
      <c r="I608" s="1141"/>
      <c r="J608" s="1142"/>
      <c r="K608" s="203"/>
      <c r="L608" s="203"/>
      <c r="T608" s="203"/>
      <c r="U608" s="203"/>
      <c r="V608" s="203"/>
      <c r="W608" s="203"/>
      <c r="X608" s="203"/>
      <c r="Y608" s="203"/>
    </row>
    <row r="609" spans="1:25" ht="15" x14ac:dyDescent="0.25">
      <c r="A609" s="203"/>
      <c r="B609" s="203"/>
      <c r="C609" s="208"/>
      <c r="D609" s="760" t="s">
        <v>1684</v>
      </c>
      <c r="E609" s="1029"/>
      <c r="F609" s="759"/>
      <c r="G609" s="759"/>
      <c r="H609" s="759"/>
      <c r="I609" s="1141"/>
      <c r="J609" s="1142"/>
      <c r="K609" s="203"/>
      <c r="L609" s="203"/>
      <c r="T609" s="203"/>
      <c r="U609" s="203"/>
      <c r="V609" s="203"/>
      <c r="W609" s="203"/>
      <c r="X609" s="203"/>
      <c r="Y609" s="203"/>
    </row>
    <row r="610" spans="1:25" ht="15" x14ac:dyDescent="0.25">
      <c r="A610" s="203"/>
      <c r="B610" s="203"/>
      <c r="C610" s="208"/>
      <c r="D610" s="760" t="s">
        <v>1685</v>
      </c>
      <c r="E610" s="1029"/>
      <c r="F610" s="759"/>
      <c r="G610" s="759"/>
      <c r="H610" s="759"/>
      <c r="I610" s="1141"/>
      <c r="J610" s="1142"/>
      <c r="K610" s="203"/>
      <c r="L610" s="203"/>
      <c r="T610" s="203"/>
      <c r="U610" s="203"/>
      <c r="V610" s="203"/>
      <c r="W610" s="203"/>
      <c r="X610" s="203"/>
      <c r="Y610" s="203"/>
    </row>
    <row r="611" spans="1:25" x14ac:dyDescent="0.2">
      <c r="A611" s="203"/>
      <c r="B611" s="203"/>
      <c r="C611" s="203" t="s">
        <v>1483</v>
      </c>
      <c r="D611" s="203"/>
      <c r="E611" s="203"/>
      <c r="F611" s="203"/>
      <c r="G611" s="203"/>
      <c r="H611" s="203"/>
      <c r="I611" s="203"/>
      <c r="J611" s="203"/>
      <c r="K611" s="203"/>
      <c r="L611" s="203"/>
      <c r="T611" s="203"/>
      <c r="U611" s="203"/>
      <c r="V611" s="203"/>
      <c r="W611" s="203"/>
      <c r="X611" s="203"/>
      <c r="Y611" s="203"/>
    </row>
    <row r="612" spans="1:25" x14ac:dyDescent="0.2">
      <c r="A612" s="203"/>
      <c r="B612" s="203"/>
      <c r="C612" s="203"/>
      <c r="D612" s="203"/>
      <c r="E612" s="203"/>
      <c r="F612" s="203"/>
      <c r="G612" s="203"/>
      <c r="H612" s="203"/>
      <c r="I612" s="203"/>
      <c r="J612" s="203"/>
      <c r="K612" s="203"/>
      <c r="L612" s="203"/>
      <c r="T612" s="203"/>
      <c r="U612" s="203"/>
      <c r="V612" s="203"/>
      <c r="W612" s="203"/>
      <c r="X612" s="203"/>
      <c r="Y612" s="203"/>
    </row>
    <row r="613" spans="1:25" x14ac:dyDescent="0.2">
      <c r="A613" s="203"/>
      <c r="B613" s="203"/>
      <c r="C613" s="203"/>
      <c r="D613" s="203"/>
      <c r="E613" s="203"/>
      <c r="F613" s="203"/>
      <c r="G613" s="203"/>
      <c r="H613" s="203"/>
      <c r="I613" s="203"/>
      <c r="J613" s="203"/>
      <c r="K613" s="203"/>
      <c r="L613" s="203"/>
      <c r="M613" s="203"/>
      <c r="N613" s="203"/>
      <c r="O613" s="203"/>
      <c r="P613" s="203"/>
      <c r="Q613" s="203"/>
      <c r="R613" s="203"/>
      <c r="S613" s="203"/>
      <c r="T613" s="203"/>
      <c r="U613" s="203"/>
      <c r="V613" s="203"/>
      <c r="W613" s="203"/>
      <c r="X613" s="203"/>
      <c r="Y613" s="203"/>
    </row>
    <row r="614" spans="1:25" ht="20.25" x14ac:dyDescent="0.3">
      <c r="A614" s="1102" t="s">
        <v>1149</v>
      </c>
      <c r="B614" s="1102"/>
      <c r="C614" s="1102"/>
      <c r="D614" s="1102"/>
      <c r="E614" s="1102"/>
      <c r="F614" s="1102"/>
      <c r="G614" s="1102"/>
      <c r="H614" s="1102"/>
      <c r="I614" s="1102"/>
      <c r="J614" s="1102"/>
      <c r="K614" s="1102"/>
      <c r="L614" s="1102"/>
      <c r="M614" s="1102"/>
      <c r="N614" s="1102"/>
      <c r="O614" s="1102"/>
      <c r="P614" s="1102"/>
      <c r="Q614" s="203"/>
      <c r="R614" s="203"/>
      <c r="S614" s="203"/>
      <c r="T614" s="203"/>
      <c r="U614" s="203"/>
      <c r="V614" s="203"/>
      <c r="W614" s="203"/>
      <c r="X614" s="203"/>
      <c r="Y614" s="203"/>
    </row>
    <row r="615" spans="1:25" x14ac:dyDescent="0.2">
      <c r="A615" s="203"/>
      <c r="B615" s="203"/>
      <c r="C615" s="203"/>
      <c r="D615" s="203"/>
      <c r="E615" s="203"/>
      <c r="F615" s="203"/>
      <c r="G615" s="203"/>
      <c r="H615" s="203"/>
      <c r="I615" s="203"/>
      <c r="J615" s="203"/>
      <c r="K615" s="203"/>
      <c r="L615" s="203"/>
      <c r="M615" s="203"/>
      <c r="N615" s="203"/>
      <c r="O615" s="203"/>
      <c r="P615" s="203"/>
      <c r="Q615" s="203"/>
      <c r="R615" s="203"/>
      <c r="S615" s="203"/>
      <c r="T615" s="203"/>
      <c r="U615" s="203"/>
      <c r="V615" s="203"/>
      <c r="W615" s="203"/>
      <c r="X615" s="203"/>
      <c r="Y615" s="203"/>
    </row>
    <row r="616" spans="1:25" x14ac:dyDescent="0.2">
      <c r="A616" s="251"/>
      <c r="B616" s="251"/>
      <c r="C616" s="251"/>
      <c r="D616" s="251"/>
      <c r="E616" s="251"/>
      <c r="F616" s="251"/>
      <c r="G616" s="251"/>
      <c r="H616" s="251"/>
      <c r="I616" s="251"/>
      <c r="J616" s="251"/>
      <c r="K616" s="251"/>
      <c r="L616" s="251"/>
      <c r="M616" s="251"/>
      <c r="N616" s="251"/>
      <c r="O616" s="251"/>
      <c r="P616" s="251"/>
      <c r="Q616" s="203"/>
      <c r="R616" s="203"/>
      <c r="S616" s="203"/>
      <c r="T616" s="203"/>
      <c r="U616" s="203"/>
      <c r="V616" s="203"/>
      <c r="W616" s="203"/>
      <c r="X616" s="203"/>
      <c r="Y616" s="203"/>
    </row>
  </sheetData>
  <sheetProtection password="CA83" sheet="1" objects="1" scenarios="1"/>
  <protectedRanges>
    <protectedRange sqref="H364:H367 E297 G310:G311 F327 F356:F357 E326 G401:G402 G314 G316:G322 G417 I336:I339 D299:D300 G324:G325 G330:G339 F448 G438:G440 F450:G450 G384:G386 G404:G407 D295 D287 G351:G359 D289:D291 G341 E343 G348:G349 F352:F353 E441:H445 E451:F452" name="Goundside vehicle"/>
    <protectedRange sqref="E380 D382 E361 D363 D402 E311" name="ADAF"/>
    <protectedRange sqref="D267" name="Engine run ups"/>
    <protectedRange sqref="B74:B77 B258:B261" name="Power generator"/>
    <protectedRange sqref="C254 F92 F97 F94 F102:F104 F106:F111 G236:G237 F235 F243:G243 F99:F100" name="Fire training"/>
    <protectedRange sqref="E91:E111 B215:B221 F232:F233 F236:F238 E232:E235 F240:F241 E239:E243 I242 F98 H234:J234 C215:H218 B50:B58 C50:C53 D50:E50 E51:E53 G50:G53 B201:B208 C201:C204 D201:E201 E202:E204 G201:G204 H232:K233" name="Building"/>
    <protectedRange sqref="E43:F44 C74:D77 E194:F195 C258:D261 C274:C275 G285 C219:H221 G205:G208 E205:E208 C205:C208 G54:G58 E54:E58 C54:C58 C28:C31 C64:C69 C83:C84 F93 F101:G101 C179:C182 C248:C253 C267:C269 F328:I329 F345:I346 C115:C164 F115:F164 I115:I141 I143:I151 F91" name="Airside"/>
    <protectedRange sqref="C4 H4 F6 F105 D35:E37 D186:E188 E296 F302 F306 F309 F312:F314 E403:E406 J16 C6:C8 G19 J6:J8 F292 C10 F10 J10:J12 C13:C15 F336:F339 H336:H339 E364:E367 G371:G375 E371:E375 E383:E386 E390:E394 G390:G394 E399:E400 E410:E414 G410:G414 F318:F322 H318:H322" name="Introduction"/>
    <protectedRange sqref="E18:E19" name="Introduction_1"/>
    <protectedRange sqref="D479:D481 D503:D511 D570:D573 D576:D578 D605:D606 H486:H490 D562:D567 D594:D601 D582:D591 D471:D477 D463:D467 D517:E522 G517:G522 I517:J522 D539:D544 D547:D549 D551:D555 D557:D558" name="Introduction_1_1"/>
  </protectedRanges>
  <dataConsolidate/>
  <mergeCells count="168">
    <mergeCell ref="H342:K342"/>
    <mergeCell ref="H368:K368"/>
    <mergeCell ref="H387:K387"/>
    <mergeCell ref="H407:K407"/>
    <mergeCell ref="H448:K448"/>
    <mergeCell ref="H347:K347"/>
    <mergeCell ref="I605:J605"/>
    <mergeCell ref="I606:J606"/>
    <mergeCell ref="C10:D10"/>
    <mergeCell ref="H98:I98"/>
    <mergeCell ref="I598:J598"/>
    <mergeCell ref="I599:J599"/>
    <mergeCell ref="I600:J600"/>
    <mergeCell ref="I601:J601"/>
    <mergeCell ref="I582:J582"/>
    <mergeCell ref="I583:J583"/>
    <mergeCell ref="I584:J584"/>
    <mergeCell ref="I585:J585"/>
    <mergeCell ref="I586:J586"/>
    <mergeCell ref="I587:J587"/>
    <mergeCell ref="I588:J588"/>
    <mergeCell ref="I589:J589"/>
    <mergeCell ref="I594:J594"/>
    <mergeCell ref="I576:J576"/>
    <mergeCell ref="I577:J577"/>
    <mergeCell ref="I578:J578"/>
    <mergeCell ref="I597:J597"/>
    <mergeCell ref="I595:J595"/>
    <mergeCell ref="I596:J596"/>
    <mergeCell ref="I567:J567"/>
    <mergeCell ref="I570:J570"/>
    <mergeCell ref="I571:J571"/>
    <mergeCell ref="I572:J572"/>
    <mergeCell ref="I573:J573"/>
    <mergeCell ref="I590:J590"/>
    <mergeCell ref="I591:J591"/>
    <mergeCell ref="I555:J555"/>
    <mergeCell ref="I562:J562"/>
    <mergeCell ref="I563:J563"/>
    <mergeCell ref="I564:J564"/>
    <mergeCell ref="I565:J565"/>
    <mergeCell ref="I549:J549"/>
    <mergeCell ref="I551:J551"/>
    <mergeCell ref="I552:J552"/>
    <mergeCell ref="I553:J553"/>
    <mergeCell ref="I554:J554"/>
    <mergeCell ref="I557:J557"/>
    <mergeCell ref="I558:J558"/>
    <mergeCell ref="I541:J541"/>
    <mergeCell ref="I542:J542"/>
    <mergeCell ref="I543:J543"/>
    <mergeCell ref="I547:J547"/>
    <mergeCell ref="I548:J548"/>
    <mergeCell ref="I533:J533"/>
    <mergeCell ref="I534:J534"/>
    <mergeCell ref="I539:J539"/>
    <mergeCell ref="I540:J540"/>
    <mergeCell ref="I544:J544"/>
    <mergeCell ref="I535:J535"/>
    <mergeCell ref="I566:J566"/>
    <mergeCell ref="I492:J492"/>
    <mergeCell ref="C431:C437"/>
    <mergeCell ref="C422:C424"/>
    <mergeCell ref="C425:C427"/>
    <mergeCell ref="C428:C430"/>
    <mergeCell ref="D424:E424"/>
    <mergeCell ref="I506:J506"/>
    <mergeCell ref="I507:J507"/>
    <mergeCell ref="I508:J508"/>
    <mergeCell ref="I509:J509"/>
    <mergeCell ref="I526:J526"/>
    <mergeCell ref="I527:J527"/>
    <mergeCell ref="I528:J528"/>
    <mergeCell ref="I529:J529"/>
    <mergeCell ref="I531:J531"/>
    <mergeCell ref="I519:J519"/>
    <mergeCell ref="I520:J520"/>
    <mergeCell ref="I521:J521"/>
    <mergeCell ref="I522:J522"/>
    <mergeCell ref="I525:J525"/>
    <mergeCell ref="I518:J518"/>
    <mergeCell ref="D422:E422"/>
    <mergeCell ref="D425:E425"/>
    <mergeCell ref="H4:J4"/>
    <mergeCell ref="H315:K315"/>
    <mergeCell ref="A614:P614"/>
    <mergeCell ref="I463:J463"/>
    <mergeCell ref="I464:J464"/>
    <mergeCell ref="I465:J465"/>
    <mergeCell ref="I466:J466"/>
    <mergeCell ref="I467:J467"/>
    <mergeCell ref="I471:J471"/>
    <mergeCell ref="I472:J472"/>
    <mergeCell ref="I473:J473"/>
    <mergeCell ref="I474:J474"/>
    <mergeCell ref="I475:J475"/>
    <mergeCell ref="I476:J476"/>
    <mergeCell ref="I486:J486"/>
    <mergeCell ref="I487:J487"/>
    <mergeCell ref="I488:J488"/>
    <mergeCell ref="I489:J489"/>
    <mergeCell ref="I496:J496"/>
    <mergeCell ref="I497:J497"/>
    <mergeCell ref="I498:J498"/>
    <mergeCell ref="I503:J503"/>
    <mergeCell ref="I504:J504"/>
    <mergeCell ref="I490:J490"/>
    <mergeCell ref="I505:J505"/>
    <mergeCell ref="I493:J493"/>
    <mergeCell ref="I485:J485"/>
    <mergeCell ref="I532:J532"/>
    <mergeCell ref="D344:E344"/>
    <mergeCell ref="D345:E345"/>
    <mergeCell ref="C213:D213"/>
    <mergeCell ref="B212:B214"/>
    <mergeCell ref="C212:D212"/>
    <mergeCell ref="E212:F212"/>
    <mergeCell ref="E213:F213"/>
    <mergeCell ref="G288:I288"/>
    <mergeCell ref="D421:E421"/>
    <mergeCell ref="I477:J477"/>
    <mergeCell ref="D437:E437"/>
    <mergeCell ref="D435:E435"/>
    <mergeCell ref="D436:E436"/>
    <mergeCell ref="D432:E432"/>
    <mergeCell ref="D433:E433"/>
    <mergeCell ref="D434:E434"/>
    <mergeCell ref="D427:E427"/>
    <mergeCell ref="D428:E428"/>
    <mergeCell ref="D429:E429"/>
    <mergeCell ref="D430:E430"/>
    <mergeCell ref="B35:C35"/>
    <mergeCell ref="B36:C36"/>
    <mergeCell ref="B37:C37"/>
    <mergeCell ref="B186:C186"/>
    <mergeCell ref="B187:C187"/>
    <mergeCell ref="B188:C188"/>
    <mergeCell ref="E17:G17"/>
    <mergeCell ref="C4:F4"/>
    <mergeCell ref="D329:E329"/>
    <mergeCell ref="C8:F8"/>
    <mergeCell ref="C13:F13"/>
    <mergeCell ref="C14:F14"/>
    <mergeCell ref="C15:F15"/>
    <mergeCell ref="I607:J607"/>
    <mergeCell ref="I608:J608"/>
    <mergeCell ref="I609:J609"/>
    <mergeCell ref="I610:J610"/>
    <mergeCell ref="D605:E605"/>
    <mergeCell ref="D606:E606"/>
    <mergeCell ref="D431:E431"/>
    <mergeCell ref="D426:E426"/>
    <mergeCell ref="G212:H212"/>
    <mergeCell ref="G213:H213"/>
    <mergeCell ref="D423:E423"/>
    <mergeCell ref="D346:E346"/>
    <mergeCell ref="D327:E327"/>
    <mergeCell ref="D328:E328"/>
    <mergeCell ref="F269:J269"/>
    <mergeCell ref="I479:J479"/>
    <mergeCell ref="I480:J480"/>
    <mergeCell ref="I481:J481"/>
    <mergeCell ref="I494:J494"/>
    <mergeCell ref="I495:J495"/>
    <mergeCell ref="I510:J510"/>
    <mergeCell ref="I511:J511"/>
    <mergeCell ref="I512:J512"/>
    <mergeCell ref="I517:J517"/>
  </mergeCells>
  <phoneticPr fontId="5" type="noConversion"/>
  <dataValidations xWindow="605" yWindow="686" count="34">
    <dataValidation allowBlank="1" showInputMessage="1" sqref="J345:J346 D267:D269 F235 F243"/>
    <dataValidation type="list" allowBlank="1" showInputMessage="1" showErrorMessage="1" prompt="Select Canadian Province (if applicable)" sqref="C11">
      <formula1>IF($C$10="Canada",Canada,N_A)</formula1>
    </dataValidation>
    <dataValidation type="decimal" operator="greaterThanOrEqual" allowBlank="1" showInputMessage="1" showErrorMessage="1" sqref="F352:F353 F356:F357 E441:H445 F448 E451:F452">
      <formula1>0</formula1>
    </dataValidation>
    <dataValidation type="whole" showInputMessage="1" sqref="C168 C172:C173">
      <formula1>5</formula1>
      <formula2>120</formula2>
    </dataValidation>
    <dataValidation type="list" allowBlank="1" showInputMessage="1" sqref="F103">
      <formula1>"Coal, Fuel Oil, Natural Gas"</formula1>
    </dataValidation>
    <dataValidation type="textLength" operator="greaterThan" allowBlank="1" showInputMessage="1" showErrorMessage="1" sqref="C8 C4 C13:C15">
      <formula1>2</formula1>
    </dataValidation>
    <dataValidation type="textLength" operator="equal" allowBlank="1" showInputMessage="1" showErrorMessage="1" prompt="3 letter code" sqref="C6">
      <formula1>3</formula1>
    </dataValidation>
    <dataValidation type="textLength" allowBlank="1" showInputMessage="1" showErrorMessage="1" prompt="4 letter code (optional)" sqref="F6">
      <formula1>3</formula1>
      <formula2>5</formula2>
    </dataValidation>
    <dataValidation type="whole" operator="greaterThan" showInputMessage="1" showErrorMessage="1" error="Year 1980 or later" sqref="J8 G19">
      <formula1>1980</formula1>
    </dataValidation>
    <dataValidation type="date" operator="greaterThan" allowBlank="1" showInputMessage="1" showErrorMessage="1" error="Please enter today's date DD/MM/YYYY" prompt="Date of report preparation" sqref="J6">
      <formula1>41050</formula1>
    </dataValidation>
    <dataValidation type="whole" operator="greaterThan" allowBlank="1" showInputMessage="1" showErrorMessage="1" error="Enter 1 or greater" sqref="E399:E400">
      <formula1>0</formula1>
    </dataValidation>
    <dataValidation type="whole" operator="greaterThanOrEqual" showInputMessage="1" showErrorMessage="1" sqref="F345:I346">
      <formula1>0</formula1>
    </dataValidation>
    <dataValidation type="decimal" showInputMessage="1" showErrorMessage="1" sqref="F97">
      <formula1>0</formula1>
      <formula2>1000</formula2>
    </dataValidation>
    <dataValidation type="whole" operator="greaterThanOrEqual" allowBlank="1" showInputMessage="1" showErrorMessage="1" sqref="F422:F437">
      <formula1>0</formula1>
    </dataValidation>
    <dataValidation type="whole" operator="greaterThanOrEqual" allowBlank="1" showInputMessage="1" showErrorMessage="1" prompt="count 1 LTO as 2 movements" sqref="I115:I141 C115:C164 F115:F164 I143:I151">
      <formula1>0</formula1>
    </dataValidation>
    <dataValidation type="decimal" allowBlank="1" showInputMessage="1" showErrorMessage="1" error="% between 0 and 100% required" prompt="0%-100%" sqref="F292 D186:E187 D35:E36 E403:E404 E371:E375 G390:G394 F302 E383:E386 E390:E394 H336:H339 F336:F339 F318:F322 G410:G414 F312:F313 F309 F306 E410:E414 E296 E364:E367 G371:G375 H318:H322">
      <formula1>0</formula1>
      <formula2>1</formula2>
    </dataValidation>
    <dataValidation type="whole" operator="greaterThanOrEqual" allowBlank="1" showInputMessage="1" showErrorMessage="1" error="Input whole number without decimels." sqref="C248:C253 C28:C31 C54:C58 E54:E58 G54:G58 C205:C208 E205:E208 G205:G208 C267:C269 G285 C274:C275 C258:D261 C219:H221 E194:F195 F93 C83:C84 F328:I329 C64:C69 C74:D77 C179:C182 E43:F44 F91">
      <formula1>0</formula1>
    </dataValidation>
    <dataValidation type="decimal" allowBlank="1" showInputMessage="1" showErrorMessage="1" error="% between 0 and 100% required" prompt="0%-100% Total of 3 must = 100%" sqref="D37:E37 F314 D188:E188 E405:E406">
      <formula1>0</formula1>
      <formula2>1</formula2>
    </dataValidation>
    <dataValidation type="list" allowBlank="1" showInputMessage="1" showErrorMessage="1" sqref="E17:G17">
      <formula1>" unconditionally,only for inclusion in aggregated data,and can only be quoted without identifying the airport,and can be freely quoted."</formula1>
    </dataValidation>
    <dataValidation type="list" allowBlank="1" showInputMessage="1" showErrorMessage="1" sqref="E18:E19">
      <formula1>"Yes,No"</formula1>
    </dataValidation>
    <dataValidation type="whole" operator="greaterThanOrEqual" showInputMessage="1" showErrorMessage="1" error="Please enter a whole number (no decimals)" prompt="Total aircraft landings + total aircraft take offs" sqref="J10:J12">
      <formula1>0</formula1>
    </dataValidation>
    <dataValidation type="decimal" showInputMessage="1" showErrorMessage="1" prompt="Enter as decimal 0.0 to 1.0_x000a_or between 0% and 100%" sqref="E498 D494:D498 E492:E493 E496 D486:E490">
      <formula1>0</formula1>
      <formula2>1</formula2>
    </dataValidation>
    <dataValidation type="whole" allowBlank="1" showInputMessage="1" showErrorMessage="1" sqref="E463:E467 E471:E477 E479:E481 E562:E567 E570:F573 E594:E601 E607:E610">
      <formula1>1920</formula1>
      <formula2>2030</formula2>
    </dataValidation>
    <dataValidation type="decimal" allowBlank="1" showInputMessage="1" showErrorMessage="1" sqref="D468">
      <formula1>0</formula1>
      <formula2>100</formula2>
    </dataValidation>
    <dataValidation type="decimal" allowBlank="1" showInputMessage="1" showErrorMessage="1" sqref="H485">
      <formula1>0</formula1>
      <formula2>300</formula2>
    </dataValidation>
    <dataValidation type="decimal" showInputMessage="1" showErrorMessage="1" sqref="D525:D529 D531:D535 G492:G493 G496 D492 G498">
      <formula1>0</formula1>
      <formula2>1</formula2>
    </dataValidation>
    <dataValidation type="whole" operator="greaterThanOrEqual" showInputMessage="1" showErrorMessage="1" error="Input whole number with no decimals" sqref="F101:G101">
      <formula1>0</formula1>
    </dataValidation>
    <dataValidation type="list" allowBlank="1" showInputMessage="1" showErrorMessage="1" sqref="D471:D477 D557:D558 D547:D549 D539:D544 G517:G522 D517:E522 D551:D555 I517:I522 D576:D578 D570:D573 D562:D567 D463:D467 D503:D511 D479:D481 D582:D591 D594:D601">
      <formula1>$L$458:$L$460</formula1>
    </dataValidation>
    <dataValidation type="list" allowBlank="1" showInputMessage="1" showErrorMessage="1" sqref="H486:H490">
      <formula1>$M$458:$M$463</formula1>
    </dataValidation>
    <dataValidation type="list" allowBlank="1" showInputMessage="1" showErrorMessage="1" sqref="D605:D606">
      <formula1>$N$458:$N$462</formula1>
    </dataValidation>
    <dataValidation type="list" allowBlank="1" showInputMessage="1" showErrorMessage="1" sqref="F10">
      <formula1>"Select One,North America,Latin Am Crrbn,Europe,Africa,AsiaPacific"</formula1>
    </dataValidation>
    <dataValidation type="list" allowBlank="1" showInputMessage="1" showErrorMessage="1" sqref="C10:D10">
      <formula1>Country</formula1>
    </dataValidation>
    <dataValidation type="list" allowBlank="1" showInputMessage="1" showErrorMessage="1" sqref="G288:I288">
      <formula1>access_distances</formula1>
    </dataValidation>
    <dataValidation type="list" allowBlank="1" showInputMessage="1" showErrorMessage="1" sqref="H347">
      <formula1>distance_train</formula1>
    </dataValidation>
  </dataValidations>
  <hyperlinks>
    <hyperlink ref="A614" location="Output!A1" display="Check Calculation Results!"/>
    <hyperlink ref="H98" location="Output!A1" display="Check Calculation Results!"/>
    <hyperlink ref="H98:I98" location="EF!Print_Titles" display="To see US data click here"/>
  </hyperlinks>
  <printOptions horizontalCentered="1"/>
  <pageMargins left="0.56000000000000005" right="0.43" top="0.9" bottom="0.8" header="0.4" footer="0.4"/>
  <pageSetup paperSize="9" scale="42" fitToHeight="10" orientation="landscape" r:id="rId1"/>
  <headerFooter alignWithMargins="0">
    <oddFooter>&amp;L&amp;"Gill Sans MT,Regular"&amp;9Printed: &amp;D&amp;"Arial,Regular"&amp;10
&amp;C&amp;"Gill Sans MT,Regular"&amp;9&amp;P of &amp;N&amp;R&amp;"Gill Sans MT,Regular"&amp;9Spreadsheet designed by EBA on behalf of Transport Canada</oddFooter>
  </headerFooter>
  <rowBreaks count="6" manualBreakCount="6">
    <brk id="59" max="12" man="1"/>
    <brk id="165" max="12" man="1"/>
    <brk id="196" max="12" man="1"/>
    <brk id="254" max="12" man="1"/>
    <brk id="276" max="12" man="1"/>
    <brk id="342" max="12" man="1"/>
  </rowBreaks>
  <legacyDrawing r:id="rId2"/>
  <extLst>
    <ext xmlns:x14="http://schemas.microsoft.com/office/spreadsheetml/2009/9/main" uri="{CCE6A557-97BC-4b89-ADB6-D9C93CAAB3DF}">
      <x14:dataValidations xmlns:xm="http://schemas.microsoft.com/office/excel/2006/main" xWindow="605" yWindow="686" count="3">
        <x14:dataValidation type="list" allowBlank="1" showInputMessage="1" showErrorMessage="1" prompt="Select country from pull down menu">
          <x14:formula1>
            <xm:f>EF!$A$3:$A$158</xm:f>
          </x14:formula1>
          <xm:sqref>C10</xm:sqref>
        </x14:dataValidation>
        <x14:dataValidation type="list" showInputMessage="1" showErrorMessage="1">
          <x14:formula1>
            <xm:f>Stat!$B$55:$B$59</xm:f>
          </x14:formula1>
          <xm:sqref>G288</xm:sqref>
        </x14:dataValidation>
        <x14:dataValidation type="list" showInputMessage="1" showErrorMessage="1">
          <x14:formula1>
            <xm:f>Stat!$B$63:$B$67</xm:f>
          </x14:formula1>
          <xm:sqref>H347</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0070C0"/>
  </sheetPr>
  <dimension ref="A1:Z946"/>
  <sheetViews>
    <sheetView zoomScale="70" zoomScaleNormal="70" workbookViewId="0">
      <selection activeCell="A3" sqref="A3"/>
    </sheetView>
  </sheetViews>
  <sheetFormatPr defaultColWidth="9.140625" defaultRowHeight="12.75" x14ac:dyDescent="0.2"/>
  <cols>
    <col min="1" max="1" width="9.140625" style="507"/>
    <col min="2" max="2" width="22.28515625" style="306" customWidth="1"/>
    <col min="3" max="3" width="15.140625" style="306" customWidth="1"/>
    <col min="4" max="4" width="14.42578125" style="306" customWidth="1"/>
    <col min="5" max="5" width="15.140625" style="306" customWidth="1"/>
    <col min="6" max="6" width="19.7109375" style="306" bestFit="1" customWidth="1"/>
    <col min="7" max="7" width="18.28515625" style="306" customWidth="1"/>
    <col min="8" max="8" width="21.7109375" style="306" customWidth="1"/>
    <col min="9" max="9" width="16" style="306" customWidth="1"/>
    <col min="10" max="10" width="18.7109375" style="306" bestFit="1" customWidth="1"/>
    <col min="11" max="11" width="12.7109375" style="306" customWidth="1"/>
    <col min="12" max="12" width="19.5703125" style="306" bestFit="1" customWidth="1"/>
    <col min="13" max="13" width="12.5703125" style="306" customWidth="1"/>
    <col min="14" max="14" width="13.5703125" style="306" customWidth="1"/>
    <col min="15" max="15" width="11.7109375" style="306" customWidth="1"/>
    <col min="16" max="22" width="9.28515625" style="306" bestFit="1" customWidth="1"/>
    <col min="23" max="23" width="9.5703125" style="306" bestFit="1" customWidth="1"/>
    <col min="24" max="24" width="12.5703125" style="306" bestFit="1" customWidth="1"/>
    <col min="25" max="25" width="9.28515625" style="306" bestFit="1" customWidth="1"/>
    <col min="26" max="16384" width="9.140625" style="306"/>
  </cols>
  <sheetData>
    <row r="1" spans="1:26" s="302" customFormat="1" ht="33.75" customHeight="1" x14ac:dyDescent="0.2">
      <c r="A1" s="1198" t="s">
        <v>1942</v>
      </c>
      <c r="B1" s="1199"/>
      <c r="C1" s="1199"/>
      <c r="D1" s="1199"/>
      <c r="E1" s="1199"/>
      <c r="F1" s="1199"/>
      <c r="G1" s="1199"/>
      <c r="H1" s="1199"/>
      <c r="I1" s="1199"/>
      <c r="J1" s="1199"/>
      <c r="K1" s="1199"/>
      <c r="L1" s="1199"/>
      <c r="M1" s="1199"/>
      <c r="N1" s="1199"/>
      <c r="O1" s="1199"/>
      <c r="P1" s="1199"/>
      <c r="Q1" s="1199"/>
      <c r="R1" s="1199"/>
      <c r="S1" s="1199"/>
      <c r="T1" s="1199"/>
      <c r="U1" s="1199"/>
      <c r="V1" s="1199"/>
      <c r="W1" s="1199"/>
      <c r="X1" s="1199"/>
      <c r="Y1" s="1199"/>
      <c r="Z1" s="301"/>
    </row>
    <row r="2" spans="1:26" x14ac:dyDescent="0.2">
      <c r="A2" s="303"/>
      <c r="B2" s="304"/>
      <c r="C2" s="304"/>
      <c r="D2" s="304"/>
      <c r="E2" s="304"/>
      <c r="F2" s="304"/>
      <c r="G2" s="304"/>
      <c r="H2" s="304"/>
      <c r="I2" s="304"/>
      <c r="J2" s="304"/>
      <c r="K2" s="304"/>
      <c r="L2" s="304"/>
      <c r="M2" s="304"/>
      <c r="N2" s="304"/>
      <c r="O2" s="304"/>
      <c r="P2" s="304"/>
      <c r="Q2" s="304"/>
      <c r="R2" s="304"/>
      <c r="S2" s="304"/>
      <c r="T2" s="304"/>
      <c r="U2" s="304"/>
      <c r="V2" s="304"/>
      <c r="W2" s="304"/>
      <c r="X2" s="304"/>
      <c r="Y2" s="304"/>
      <c r="Z2" s="305"/>
    </row>
    <row r="3" spans="1:26" x14ac:dyDescent="0.2">
      <c r="A3" s="303"/>
      <c r="B3" s="307"/>
      <c r="C3" s="304"/>
      <c r="D3" s="304"/>
      <c r="E3" s="304"/>
      <c r="F3" s="304"/>
      <c r="G3" s="304"/>
      <c r="H3" s="304"/>
      <c r="I3" s="304"/>
      <c r="J3" s="304"/>
      <c r="K3" s="304"/>
      <c r="L3" s="304"/>
      <c r="M3" s="304"/>
      <c r="N3" s="304"/>
      <c r="O3" s="304"/>
      <c r="P3" s="304"/>
      <c r="Q3" s="304"/>
      <c r="R3" s="304"/>
      <c r="S3" s="304"/>
      <c r="T3" s="304"/>
      <c r="U3" s="304"/>
      <c r="V3" s="304"/>
      <c r="W3" s="304"/>
      <c r="X3" s="304"/>
      <c r="Y3" s="304"/>
      <c r="Z3" s="305"/>
    </row>
    <row r="4" spans="1:26" ht="18" x14ac:dyDescent="0.2">
      <c r="A4" s="303"/>
      <c r="B4" s="308" t="str">
        <f>Calc1!A22</f>
        <v>SCOPE 1 - DIRECT EMISSIONS FROM SOURCES THAT ARE OWNED AND CONTROLLED BY THE AIRPORT OPERATOR</v>
      </c>
      <c r="C4" s="304"/>
      <c r="D4" s="304"/>
      <c r="E4" s="304"/>
      <c r="F4" s="304"/>
      <c r="G4" s="304"/>
      <c r="H4" s="304"/>
      <c r="I4" s="304"/>
      <c r="J4" s="304"/>
      <c r="K4" s="304"/>
      <c r="L4" s="304"/>
      <c r="M4" s="304"/>
      <c r="N4" s="304"/>
      <c r="O4" s="304"/>
      <c r="P4" s="304"/>
      <c r="Q4" s="304"/>
      <c r="R4" s="304"/>
      <c r="S4" s="304"/>
      <c r="T4" s="304"/>
      <c r="U4" s="304"/>
      <c r="V4" s="304"/>
      <c r="W4" s="304"/>
      <c r="X4" s="304"/>
      <c r="Y4" s="304"/>
      <c r="Z4" s="305"/>
    </row>
    <row r="5" spans="1:26" x14ac:dyDescent="0.2">
      <c r="A5" s="303"/>
      <c r="B5" s="304"/>
      <c r="C5" s="304"/>
      <c r="D5" s="304"/>
      <c r="E5" s="304"/>
      <c r="F5" s="304"/>
      <c r="G5" s="304"/>
      <c r="H5" s="304"/>
      <c r="I5" s="304"/>
      <c r="J5" s="304"/>
      <c r="K5" s="304"/>
      <c r="L5" s="304"/>
      <c r="M5" s="304"/>
      <c r="N5" s="304"/>
      <c r="O5" s="304"/>
      <c r="P5" s="304"/>
      <c r="Q5" s="304"/>
      <c r="R5" s="304"/>
      <c r="S5" s="304"/>
      <c r="T5" s="304"/>
      <c r="U5" s="304"/>
      <c r="V5" s="304"/>
      <c r="W5" s="304"/>
      <c r="X5" s="304"/>
      <c r="Y5" s="304"/>
      <c r="Z5" s="305"/>
    </row>
    <row r="6" spans="1:26" x14ac:dyDescent="0.2">
      <c r="A6" s="303" t="s">
        <v>633</v>
      </c>
      <c r="B6" s="303" t="s">
        <v>632</v>
      </c>
      <c r="C6" s="304"/>
      <c r="D6" s="304"/>
      <c r="E6" s="304"/>
      <c r="F6" s="304"/>
      <c r="G6" s="304"/>
      <c r="H6" s="304"/>
      <c r="I6" s="304"/>
      <c r="J6" s="304"/>
      <c r="K6" s="304"/>
      <c r="L6" s="304"/>
      <c r="M6" s="304"/>
      <c r="N6" s="304"/>
      <c r="O6" s="304"/>
      <c r="P6" s="304"/>
      <c r="Q6" s="304"/>
      <c r="R6" s="304"/>
      <c r="S6" s="304"/>
      <c r="T6" s="304"/>
      <c r="U6" s="304"/>
      <c r="V6" s="304"/>
      <c r="W6" s="304"/>
      <c r="X6" s="304"/>
      <c r="Y6" s="304"/>
      <c r="Z6" s="305"/>
    </row>
    <row r="7" spans="1:26" x14ac:dyDescent="0.2">
      <c r="A7" s="303"/>
      <c r="B7" s="304"/>
      <c r="C7" s="304"/>
      <c r="D7" s="304"/>
      <c r="E7" s="304"/>
      <c r="F7" s="304"/>
      <c r="G7" s="304"/>
      <c r="H7" s="304"/>
      <c r="I7" s="304"/>
      <c r="J7" s="304"/>
      <c r="K7" s="304"/>
      <c r="L7" s="304"/>
      <c r="M7" s="304"/>
      <c r="N7" s="304"/>
      <c r="O7" s="304"/>
      <c r="P7" s="304"/>
      <c r="Q7" s="304"/>
      <c r="R7" s="304"/>
      <c r="S7" s="304"/>
      <c r="T7" s="304"/>
      <c r="U7" s="304"/>
      <c r="V7" s="304"/>
      <c r="W7" s="304"/>
      <c r="X7" s="304"/>
      <c r="Y7" s="304"/>
      <c r="Z7" s="305"/>
    </row>
    <row r="8" spans="1:26" ht="15.75" x14ac:dyDescent="0.3">
      <c r="A8" s="303"/>
      <c r="B8" s="309" t="s">
        <v>102</v>
      </c>
      <c r="C8" s="310" t="s">
        <v>27</v>
      </c>
      <c r="D8" s="310"/>
      <c r="E8" s="310" t="s">
        <v>16</v>
      </c>
      <c r="F8" s="310" t="s">
        <v>17</v>
      </c>
      <c r="G8" s="311" t="s">
        <v>789</v>
      </c>
      <c r="H8" s="312" t="s">
        <v>197</v>
      </c>
      <c r="I8" s="312" t="s">
        <v>180</v>
      </c>
      <c r="J8" s="312" t="s">
        <v>194</v>
      </c>
      <c r="K8" s="312" t="s">
        <v>195</v>
      </c>
      <c r="L8" s="312" t="s">
        <v>196</v>
      </c>
      <c r="M8" s="313" t="s">
        <v>219</v>
      </c>
      <c r="N8" s="304"/>
      <c r="O8" s="304"/>
      <c r="P8" s="304"/>
      <c r="Q8" s="304"/>
      <c r="R8" s="304"/>
      <c r="S8" s="304"/>
      <c r="T8" s="304"/>
      <c r="U8" s="304"/>
      <c r="V8" s="304"/>
      <c r="W8" s="304"/>
      <c r="X8" s="304"/>
      <c r="Y8" s="304"/>
      <c r="Z8" s="305"/>
    </row>
    <row r="9" spans="1:26" x14ac:dyDescent="0.2">
      <c r="A9" s="303"/>
      <c r="B9" s="309" t="s">
        <v>103</v>
      </c>
      <c r="C9" s="314">
        <f>Calc1!J35</f>
        <v>4</v>
      </c>
      <c r="D9" s="310" t="s">
        <v>28</v>
      </c>
      <c r="E9" s="315">
        <v>2.2890000000000001</v>
      </c>
      <c r="F9" s="315">
        <v>5.1999999999999995E-4</v>
      </c>
      <c r="G9" s="316">
        <v>2.0000000000000001E-4</v>
      </c>
      <c r="H9" s="312">
        <f>14.5*730/1000/1000</f>
        <v>1.0585000000000001E-2</v>
      </c>
      <c r="I9" s="312">
        <f>14*730/1000/1000</f>
        <v>1.022E-2</v>
      </c>
      <c r="J9" s="312">
        <f>132*730/1000/1000</f>
        <v>9.6360000000000001E-2</v>
      </c>
      <c r="K9" s="312">
        <f>0.037*730/1000/1000</f>
        <v>2.7010000000000001E-5</v>
      </c>
      <c r="L9" s="312">
        <f>0.04*730/1000/1000</f>
        <v>2.9200000000000002E-5</v>
      </c>
      <c r="M9" s="313">
        <f>3180*730/1000/1000</f>
        <v>2.3214000000000001</v>
      </c>
      <c r="N9" s="304"/>
      <c r="O9" s="304"/>
      <c r="P9" s="304"/>
      <c r="Q9" s="304"/>
      <c r="R9" s="304"/>
      <c r="S9" s="304"/>
      <c r="T9" s="304"/>
      <c r="U9" s="304"/>
      <c r="V9" s="304"/>
      <c r="W9" s="304"/>
      <c r="X9" s="304"/>
      <c r="Y9" s="304"/>
      <c r="Z9" s="305"/>
    </row>
    <row r="10" spans="1:26" x14ac:dyDescent="0.2">
      <c r="A10" s="303"/>
      <c r="B10" s="309" t="s">
        <v>104</v>
      </c>
      <c r="C10" s="314">
        <f>Calc1!J36</f>
        <v>1</v>
      </c>
      <c r="D10" s="310" t="s">
        <v>28</v>
      </c>
      <c r="E10" s="315">
        <v>2.2890000000000001</v>
      </c>
      <c r="F10" s="315">
        <v>4.2999999999999999E-4</v>
      </c>
      <c r="G10" s="316">
        <v>2.0000000000000001E-4</v>
      </c>
      <c r="H10" s="312">
        <f>24*730/1000/1000</f>
        <v>1.7520000000000001E-2</v>
      </c>
      <c r="I10" s="312">
        <f>14*730/1000/1000</f>
        <v>1.022E-2</v>
      </c>
      <c r="J10" s="312">
        <f>155*730/1000/1000</f>
        <v>0.11315</v>
      </c>
      <c r="K10" s="312">
        <f>0.03*730/1000/1000</f>
        <v>2.19E-5</v>
      </c>
      <c r="L10" s="312">
        <f>0.04*730/1000/1000</f>
        <v>2.9200000000000002E-5</v>
      </c>
      <c r="M10" s="313">
        <f>3180*730/1000/1000</f>
        <v>2.3214000000000001</v>
      </c>
      <c r="N10" s="304"/>
      <c r="O10" s="304"/>
      <c r="P10" s="304"/>
      <c r="Q10" s="304"/>
      <c r="R10" s="304"/>
      <c r="S10" s="304"/>
      <c r="T10" s="304"/>
      <c r="U10" s="304"/>
      <c r="V10" s="304"/>
      <c r="W10" s="304"/>
      <c r="X10" s="304"/>
      <c r="Y10" s="304"/>
      <c r="Z10" s="305"/>
    </row>
    <row r="11" spans="1:26" x14ac:dyDescent="0.2">
      <c r="A11" s="303"/>
      <c r="B11" s="309" t="s">
        <v>108</v>
      </c>
      <c r="C11" s="314">
        <f>Calc1!J37</f>
        <v>0</v>
      </c>
      <c r="D11" s="310" t="s">
        <v>28</v>
      </c>
      <c r="E11" s="315">
        <v>2.2890000000000001</v>
      </c>
      <c r="F11" s="315">
        <v>6.8000000000000005E-4</v>
      </c>
      <c r="G11" s="316">
        <v>2.0000000000000001E-4</v>
      </c>
      <c r="H11" s="312">
        <f>Stat!H21*730/1000/1000</f>
        <v>2.7220338983050846E-2</v>
      </c>
      <c r="I11" s="312">
        <f>Stat!I21*730/1000/1000</f>
        <v>2.1652542372881358E-2</v>
      </c>
      <c r="J11" s="312">
        <f>Stat!J21*730/1000/1000</f>
        <v>0.24539548022598873</v>
      </c>
      <c r="K11" s="312">
        <f>Stat!K21*730/1000/1000</f>
        <v>0</v>
      </c>
      <c r="L11" s="312">
        <f>Stat!M21*730/1000/1000</f>
        <v>2.9200000000000002E-5</v>
      </c>
      <c r="M11" s="313"/>
      <c r="N11" s="304"/>
      <c r="O11" s="304"/>
      <c r="P11" s="304"/>
      <c r="Q11" s="304"/>
      <c r="R11" s="304"/>
      <c r="S11" s="304"/>
      <c r="T11" s="304"/>
      <c r="U11" s="304"/>
      <c r="V11" s="304"/>
      <c r="W11" s="304"/>
      <c r="X11" s="304"/>
      <c r="Y11" s="304"/>
      <c r="Z11" s="305"/>
    </row>
    <row r="12" spans="1:26" x14ac:dyDescent="0.2">
      <c r="A12" s="303"/>
      <c r="B12" s="309"/>
      <c r="C12" s="317"/>
      <c r="D12" s="310"/>
      <c r="E12" s="315"/>
      <c r="F12" s="315"/>
      <c r="G12" s="316"/>
      <c r="H12" s="312"/>
      <c r="I12" s="312"/>
      <c r="J12" s="312"/>
      <c r="K12" s="312"/>
      <c r="L12" s="312"/>
      <c r="M12" s="313"/>
      <c r="N12" s="304"/>
      <c r="O12" s="304"/>
      <c r="P12" s="304"/>
      <c r="Q12" s="304"/>
      <c r="R12" s="304"/>
      <c r="S12" s="304"/>
      <c r="T12" s="304"/>
      <c r="U12" s="304"/>
      <c r="V12" s="304"/>
      <c r="W12" s="304"/>
      <c r="X12" s="304"/>
      <c r="Y12" s="304"/>
      <c r="Z12" s="305"/>
    </row>
    <row r="13" spans="1:26" x14ac:dyDescent="0.2">
      <c r="A13" s="303"/>
      <c r="B13" s="309" t="s">
        <v>105</v>
      </c>
      <c r="C13" s="314">
        <f>Calc1!K35</f>
        <v>0</v>
      </c>
      <c r="D13" s="310" t="s">
        <v>29</v>
      </c>
      <c r="E13" s="315">
        <v>2.6629999999999998</v>
      </c>
      <c r="F13" s="315">
        <v>6.7999999999999999E-5</v>
      </c>
      <c r="G13" s="316">
        <v>2.1000000000000001E-4</v>
      </c>
      <c r="H13" s="312">
        <f>11*840/1000/1000</f>
        <v>9.2399999999999999E-3</v>
      </c>
      <c r="I13" s="312">
        <f>1.1*840/1000/1000</f>
        <v>9.2400000000000013E-4</v>
      </c>
      <c r="J13" s="312">
        <f>4.7*840/1000/1000</f>
        <v>3.9480000000000001E-3</v>
      </c>
      <c r="K13" s="312">
        <f>1.7*840/1000/1000</f>
        <v>1.428E-3</v>
      </c>
      <c r="L13" s="312">
        <f>0.008*840/1000/1000</f>
        <v>6.7199999999999992E-6</v>
      </c>
      <c r="M13" s="313">
        <f>3140*840/1000/1000</f>
        <v>2.6375999999999999</v>
      </c>
      <c r="N13" s="304"/>
      <c r="O13" s="304"/>
      <c r="P13" s="304"/>
      <c r="Q13" s="304"/>
      <c r="R13" s="304"/>
      <c r="S13" s="304"/>
      <c r="T13" s="304"/>
      <c r="U13" s="304"/>
      <c r="V13" s="304"/>
      <c r="W13" s="304"/>
      <c r="X13" s="304"/>
      <c r="Y13" s="304"/>
      <c r="Z13" s="305"/>
    </row>
    <row r="14" spans="1:26" x14ac:dyDescent="0.2">
      <c r="A14" s="303"/>
      <c r="B14" s="309" t="s">
        <v>106</v>
      </c>
      <c r="C14" s="314">
        <f>Calc1!K36</f>
        <v>0</v>
      </c>
      <c r="D14" s="310" t="s">
        <v>29</v>
      </c>
      <c r="E14" s="315">
        <v>2.6629999999999998</v>
      </c>
      <c r="F14" s="315">
        <v>6.7999999999999999E-5</v>
      </c>
      <c r="G14" s="316">
        <v>2.1000000000000001E-4</v>
      </c>
      <c r="H14" s="312">
        <f>15*840/1000/1000</f>
        <v>1.26E-2</v>
      </c>
      <c r="I14" s="312">
        <f>1.75*840/1000/1000</f>
        <v>1.47E-3</v>
      </c>
      <c r="J14" s="312">
        <f>11*840/1000/1000</f>
        <v>9.2399999999999999E-3</v>
      </c>
      <c r="K14" s="312">
        <f>2.8*840/1000/1000</f>
        <v>2.3519999999999999E-3</v>
      </c>
      <c r="L14" s="312">
        <f t="shared" ref="L14:L15" si="0">0.008*840/1000/1000</f>
        <v>6.7199999999999992E-6</v>
      </c>
      <c r="M14" s="313"/>
      <c r="N14" s="304"/>
      <c r="O14" s="304"/>
      <c r="P14" s="304"/>
      <c r="Q14" s="304"/>
      <c r="R14" s="304"/>
      <c r="S14" s="304"/>
      <c r="T14" s="304"/>
      <c r="U14" s="304"/>
      <c r="V14" s="304"/>
      <c r="W14" s="304"/>
      <c r="X14" s="304"/>
      <c r="Y14" s="304"/>
      <c r="Z14" s="305"/>
    </row>
    <row r="15" spans="1:26" x14ac:dyDescent="0.2">
      <c r="A15" s="303"/>
      <c r="B15" s="309" t="s">
        <v>109</v>
      </c>
      <c r="C15" s="314">
        <f>Calc1!K37</f>
        <v>0</v>
      </c>
      <c r="D15" s="310" t="s">
        <v>29</v>
      </c>
      <c r="E15" s="315">
        <v>2.6629999999999998</v>
      </c>
      <c r="F15" s="315">
        <v>1.3999999999999999E-4</v>
      </c>
      <c r="G15" s="316">
        <v>8.2000000000000001E-5</v>
      </c>
      <c r="H15" s="312">
        <f>37*840/1000/1000</f>
        <v>3.108E-2</v>
      </c>
      <c r="I15" s="312">
        <f>1.6*840/1000/1000</f>
        <v>1.3440000000000001E-3</v>
      </c>
      <c r="J15" s="312">
        <f>8*840/1000/1000</f>
        <v>6.7199999999999994E-3</v>
      </c>
      <c r="K15" s="312">
        <f>1.2*840/1000/1000</f>
        <v>1.008E-3</v>
      </c>
      <c r="L15" s="312">
        <f t="shared" si="0"/>
        <v>6.7199999999999992E-6</v>
      </c>
      <c r="M15" s="313"/>
      <c r="N15" s="304"/>
      <c r="O15" s="304"/>
      <c r="P15" s="304"/>
      <c r="Q15" s="304"/>
      <c r="R15" s="304"/>
      <c r="S15" s="304"/>
      <c r="T15" s="304"/>
      <c r="U15" s="304"/>
      <c r="V15" s="304"/>
      <c r="W15" s="304"/>
      <c r="X15" s="304"/>
      <c r="Y15" s="304"/>
      <c r="Z15" s="305"/>
    </row>
    <row r="16" spans="1:26" x14ac:dyDescent="0.2">
      <c r="A16" s="303"/>
      <c r="B16" s="309"/>
      <c r="C16" s="309"/>
      <c r="D16" s="310"/>
      <c r="E16" s="310"/>
      <c r="F16" s="310"/>
      <c r="G16" s="311"/>
      <c r="H16" s="312"/>
      <c r="I16" s="312"/>
      <c r="J16" s="312"/>
      <c r="K16" s="312"/>
      <c r="L16" s="312"/>
      <c r="M16" s="313"/>
      <c r="N16" s="304" t="s">
        <v>72</v>
      </c>
      <c r="O16" s="304" t="s">
        <v>73</v>
      </c>
      <c r="P16" s="304"/>
      <c r="Q16" s="304"/>
      <c r="R16" s="304"/>
      <c r="S16" s="304"/>
      <c r="T16" s="304"/>
      <c r="U16" s="304"/>
      <c r="V16" s="304"/>
      <c r="W16" s="304"/>
      <c r="X16" s="304"/>
      <c r="Y16" s="304"/>
      <c r="Z16" s="305"/>
    </row>
    <row r="17" spans="1:26" x14ac:dyDescent="0.2">
      <c r="A17" s="303"/>
      <c r="B17" s="309"/>
      <c r="C17" s="309"/>
      <c r="D17" s="310" t="s">
        <v>32</v>
      </c>
      <c r="E17" s="310">
        <f>SUMPRODUCT($C$9:$C$11,E9:E11)/1000</f>
        <v>1.1445E-2</v>
      </c>
      <c r="F17" s="310">
        <f t="shared" ref="F17:L17" si="1">SUMPRODUCT($C$9:$C$11,F9:F11)/1000</f>
        <v>2.5099999999999997E-6</v>
      </c>
      <c r="G17" s="310">
        <f t="shared" si="1"/>
        <v>9.9999999999999995E-7</v>
      </c>
      <c r="H17" s="310">
        <f t="shared" si="1"/>
        <v>5.9860000000000006E-5</v>
      </c>
      <c r="I17" s="310">
        <f t="shared" si="1"/>
        <v>5.1100000000000002E-5</v>
      </c>
      <c r="J17" s="310">
        <f t="shared" si="1"/>
        <v>4.9858999999999993E-4</v>
      </c>
      <c r="K17" s="310">
        <f t="shared" si="1"/>
        <v>1.2993999999999998E-7</v>
      </c>
      <c r="L17" s="310">
        <f t="shared" si="1"/>
        <v>1.4600000000000001E-7</v>
      </c>
      <c r="M17" s="313"/>
      <c r="N17" s="318">
        <f>E17+F17*21+G17*310</f>
        <v>1.1807709999999999E-2</v>
      </c>
      <c r="O17" s="304"/>
      <c r="P17" s="304"/>
      <c r="Q17" s="304"/>
      <c r="R17" s="304"/>
      <c r="S17" s="304"/>
      <c r="T17" s="304"/>
      <c r="U17" s="304"/>
      <c r="V17" s="304"/>
      <c r="W17" s="304"/>
      <c r="X17" s="304"/>
      <c r="Y17" s="304"/>
      <c r="Z17" s="305"/>
    </row>
    <row r="18" spans="1:26" x14ac:dyDescent="0.2">
      <c r="A18" s="303"/>
      <c r="B18" s="309"/>
      <c r="C18" s="310"/>
      <c r="D18" s="310" t="s">
        <v>31</v>
      </c>
      <c r="E18" s="310">
        <f>SUMPRODUCT($C$13:$C$15,E13:E15)/1000</f>
        <v>0</v>
      </c>
      <c r="F18" s="310">
        <f t="shared" ref="F18:L18" si="2">SUMPRODUCT($C$13:$C$15,F13:F15)/1000</f>
        <v>0</v>
      </c>
      <c r="G18" s="310">
        <f t="shared" si="2"/>
        <v>0</v>
      </c>
      <c r="H18" s="310">
        <f t="shared" si="2"/>
        <v>0</v>
      </c>
      <c r="I18" s="310">
        <f t="shared" si="2"/>
        <v>0</v>
      </c>
      <c r="J18" s="310">
        <f t="shared" si="2"/>
        <v>0</v>
      </c>
      <c r="K18" s="310">
        <f t="shared" si="2"/>
        <v>0</v>
      </c>
      <c r="L18" s="310">
        <f t="shared" si="2"/>
        <v>0</v>
      </c>
      <c r="M18" s="313"/>
      <c r="N18" s="318">
        <f>E18+F18*21+G18*310</f>
        <v>0</v>
      </c>
      <c r="O18" s="319">
        <f>SUM(N17:N18)</f>
        <v>1.1807709999999999E-2</v>
      </c>
      <c r="P18" s="304"/>
      <c r="Q18" s="304"/>
      <c r="R18" s="304"/>
      <c r="S18" s="304"/>
      <c r="T18" s="304"/>
      <c r="U18" s="304"/>
      <c r="V18" s="304"/>
      <c r="W18" s="304"/>
      <c r="X18" s="304"/>
      <c r="Y18" s="304"/>
      <c r="Z18" s="305"/>
    </row>
    <row r="19" spans="1:26" x14ac:dyDescent="0.2">
      <c r="A19" s="303"/>
      <c r="B19" s="309"/>
      <c r="C19" s="310"/>
      <c r="D19" s="310"/>
      <c r="E19" s="310"/>
      <c r="F19" s="310"/>
      <c r="G19" s="311"/>
      <c r="H19" s="312"/>
      <c r="I19" s="312"/>
      <c r="J19" s="312"/>
      <c r="K19" s="312"/>
      <c r="L19" s="312"/>
      <c r="M19" s="313"/>
      <c r="N19" s="304"/>
      <c r="O19" s="304"/>
      <c r="P19" s="304"/>
      <c r="Q19" s="304"/>
      <c r="R19" s="304"/>
      <c r="S19" s="304"/>
      <c r="T19" s="304"/>
      <c r="U19" s="304"/>
      <c r="V19" s="304"/>
      <c r="W19" s="304"/>
      <c r="X19" s="304"/>
      <c r="Y19" s="304"/>
      <c r="Z19" s="305"/>
    </row>
    <row r="20" spans="1:26" x14ac:dyDescent="0.2">
      <c r="A20" s="303"/>
      <c r="B20" s="309"/>
      <c r="C20" s="310"/>
      <c r="D20" s="320" t="s">
        <v>1017</v>
      </c>
      <c r="E20" s="310">
        <f>SUM(E17:E18)</f>
        <v>1.1445E-2</v>
      </c>
      <c r="F20" s="310">
        <f t="shared" ref="F20:L20" si="3">SUM(F17:F18)</f>
        <v>2.5099999999999997E-6</v>
      </c>
      <c r="G20" s="310">
        <f t="shared" si="3"/>
        <v>9.9999999999999995E-7</v>
      </c>
      <c r="H20" s="310">
        <f t="shared" si="3"/>
        <v>5.9860000000000006E-5</v>
      </c>
      <c r="I20" s="310">
        <f t="shared" si="3"/>
        <v>5.1100000000000002E-5</v>
      </c>
      <c r="J20" s="310">
        <f t="shared" si="3"/>
        <v>4.9858999999999993E-4</v>
      </c>
      <c r="K20" s="310">
        <f t="shared" si="3"/>
        <v>1.2993999999999998E-7</v>
      </c>
      <c r="L20" s="310">
        <f t="shared" si="3"/>
        <v>1.4600000000000001E-7</v>
      </c>
      <c r="M20" s="313"/>
      <c r="N20" s="304"/>
      <c r="O20" s="304"/>
      <c r="P20" s="304"/>
      <c r="Q20" s="304"/>
      <c r="R20" s="304"/>
      <c r="S20" s="304"/>
      <c r="T20" s="304"/>
      <c r="U20" s="304"/>
      <c r="V20" s="304"/>
      <c r="W20" s="304"/>
      <c r="X20" s="304"/>
      <c r="Y20" s="304"/>
      <c r="Z20" s="305"/>
    </row>
    <row r="21" spans="1:26" x14ac:dyDescent="0.2">
      <c r="A21" s="303"/>
      <c r="B21" s="321"/>
      <c r="C21" s="322"/>
      <c r="D21" s="322"/>
      <c r="E21" s="322"/>
      <c r="F21" s="322"/>
      <c r="G21" s="322"/>
      <c r="H21" s="312"/>
      <c r="I21" s="312"/>
      <c r="J21" s="312"/>
      <c r="K21" s="312"/>
      <c r="L21" s="312"/>
      <c r="M21" s="313"/>
      <c r="N21" s="304"/>
      <c r="O21" s="304"/>
      <c r="P21" s="304"/>
      <c r="Q21" s="304"/>
      <c r="R21" s="304"/>
      <c r="S21" s="304"/>
      <c r="T21" s="304"/>
      <c r="U21" s="304"/>
      <c r="V21" s="304"/>
      <c r="W21" s="304"/>
      <c r="X21" s="304"/>
      <c r="Y21" s="304"/>
      <c r="Z21" s="305"/>
    </row>
    <row r="22" spans="1:26" ht="15.75" x14ac:dyDescent="0.3">
      <c r="A22" s="303"/>
      <c r="B22" s="309" t="s">
        <v>102</v>
      </c>
      <c r="C22" s="310" t="s">
        <v>737</v>
      </c>
      <c r="D22" s="310"/>
      <c r="E22" s="310" t="s">
        <v>16</v>
      </c>
      <c r="F22" s="310" t="s">
        <v>17</v>
      </c>
      <c r="G22" s="311" t="s">
        <v>789</v>
      </c>
      <c r="H22" s="312" t="s">
        <v>197</v>
      </c>
      <c r="I22" s="312" t="s">
        <v>180</v>
      </c>
      <c r="J22" s="312" t="s">
        <v>194</v>
      </c>
      <c r="K22" s="312" t="s">
        <v>195</v>
      </c>
      <c r="L22" s="312" t="s">
        <v>196</v>
      </c>
      <c r="M22" s="313"/>
      <c r="N22" s="304"/>
      <c r="O22" s="304"/>
      <c r="P22" s="304"/>
      <c r="Q22" s="304"/>
      <c r="R22" s="304"/>
      <c r="S22" s="304"/>
      <c r="T22" s="304"/>
      <c r="U22" s="304"/>
      <c r="V22" s="304"/>
      <c r="W22" s="304"/>
      <c r="X22" s="304"/>
      <c r="Y22" s="304"/>
      <c r="Z22" s="305"/>
    </row>
    <row r="23" spans="1:26" x14ac:dyDescent="0.2">
      <c r="A23" s="303"/>
      <c r="B23" s="309" t="s">
        <v>115</v>
      </c>
      <c r="C23" s="323">
        <f>Calc1!C30/1000</f>
        <v>0</v>
      </c>
      <c r="D23" s="310" t="s">
        <v>740</v>
      </c>
      <c r="E23" s="324">
        <v>148</v>
      </c>
      <c r="F23" s="325">
        <f>1000*0.000009</f>
        <v>9.0000000000000011E-3</v>
      </c>
      <c r="G23" s="326">
        <f>1000*0.00000006</f>
        <v>5.9999999999999995E-5</v>
      </c>
      <c r="H23" s="324">
        <v>5.6000000000000001E-2</v>
      </c>
      <c r="I23" s="324">
        <v>1.4999999999999999E-2</v>
      </c>
      <c r="J23" s="324">
        <v>0.39500000000000002</v>
      </c>
      <c r="K23" s="324">
        <v>2E-3</v>
      </c>
      <c r="L23" s="327">
        <v>0</v>
      </c>
      <c r="M23" s="304"/>
      <c r="N23" s="304"/>
      <c r="O23" s="328"/>
      <c r="P23" s="313"/>
      <c r="Q23" s="313"/>
      <c r="R23" s="304"/>
      <c r="S23" s="304"/>
      <c r="T23" s="304"/>
      <c r="U23" s="304"/>
      <c r="V23" s="304"/>
      <c r="W23" s="304"/>
      <c r="X23" s="304"/>
      <c r="Y23" s="304"/>
      <c r="Z23" s="305"/>
    </row>
    <row r="24" spans="1:26" x14ac:dyDescent="0.2">
      <c r="A24" s="303"/>
      <c r="B24" s="309" t="s">
        <v>116</v>
      </c>
      <c r="C24" s="323">
        <f>Calc1!C31/1000</f>
        <v>0</v>
      </c>
      <c r="D24" s="310" t="s">
        <v>220</v>
      </c>
      <c r="E24" s="315">
        <f>1000*1.51</f>
        <v>1510</v>
      </c>
      <c r="F24" s="315">
        <f>1000*0.00064</f>
        <v>0.64</v>
      </c>
      <c r="G24" s="316">
        <f>1000*0.000028</f>
        <v>2.8000000000000001E-2</v>
      </c>
      <c r="H24" s="312">
        <f>15.5*510/1000</f>
        <v>7.9050000000000002</v>
      </c>
      <c r="I24" s="312">
        <f>10*510/1000</f>
        <v>5.0999999999999996</v>
      </c>
      <c r="J24" s="312">
        <f>68*510/1000</f>
        <v>34.68</v>
      </c>
      <c r="K24" s="312">
        <v>0</v>
      </c>
      <c r="L24" s="312">
        <v>0</v>
      </c>
      <c r="M24" s="328"/>
      <c r="N24" s="304"/>
      <c r="O24" s="328"/>
      <c r="P24" s="313"/>
      <c r="Q24" s="313"/>
      <c r="R24" s="304"/>
      <c r="S24" s="304"/>
      <c r="T24" s="304"/>
      <c r="U24" s="304"/>
      <c r="V24" s="304"/>
      <c r="W24" s="304"/>
      <c r="X24" s="304"/>
      <c r="Y24" s="304"/>
      <c r="Z24" s="305"/>
    </row>
    <row r="25" spans="1:26" x14ac:dyDescent="0.2">
      <c r="A25" s="303"/>
      <c r="B25" s="309"/>
      <c r="C25" s="309"/>
      <c r="D25" s="310"/>
      <c r="E25" s="310"/>
      <c r="F25" s="310"/>
      <c r="G25" s="311"/>
      <c r="H25" s="312"/>
      <c r="I25" s="312"/>
      <c r="J25" s="312"/>
      <c r="K25" s="312"/>
      <c r="L25" s="312"/>
      <c r="M25" s="313"/>
      <c r="N25" s="304"/>
      <c r="O25" s="304"/>
      <c r="P25" s="304"/>
      <c r="Q25" s="304"/>
      <c r="R25" s="304"/>
      <c r="S25" s="304"/>
      <c r="T25" s="304"/>
      <c r="U25" s="304"/>
      <c r="V25" s="304"/>
      <c r="W25" s="304"/>
      <c r="X25" s="304"/>
      <c r="Y25" s="304"/>
      <c r="Z25" s="305"/>
    </row>
    <row r="26" spans="1:26" x14ac:dyDescent="0.2">
      <c r="A26" s="303"/>
      <c r="B26" s="309"/>
      <c r="C26" s="309"/>
      <c r="D26" s="310" t="s">
        <v>739</v>
      </c>
      <c r="E26" s="310">
        <f>$C$23*1000/50*E23/1000/1000</f>
        <v>0</v>
      </c>
      <c r="F26" s="310">
        <f>$C$23/0.714*F23/1000</f>
        <v>0</v>
      </c>
      <c r="G26" s="310">
        <f>$C$23/0.714*G23/1000</f>
        <v>0</v>
      </c>
      <c r="H26" s="310">
        <f t="shared" ref="H26:L26" si="4">$C$23*1000/50*H23/1000/1000</f>
        <v>0</v>
      </c>
      <c r="I26" s="310">
        <f t="shared" si="4"/>
        <v>0</v>
      </c>
      <c r="J26" s="310">
        <f t="shared" si="4"/>
        <v>0</v>
      </c>
      <c r="K26" s="310">
        <f t="shared" si="4"/>
        <v>0</v>
      </c>
      <c r="L26" s="310">
        <f t="shared" si="4"/>
        <v>0</v>
      </c>
      <c r="M26" s="313"/>
      <c r="N26" s="304"/>
      <c r="O26" s="304"/>
      <c r="P26" s="304"/>
      <c r="Q26" s="304"/>
      <c r="R26" s="304"/>
      <c r="S26" s="304"/>
      <c r="T26" s="304"/>
      <c r="U26" s="304"/>
      <c r="V26" s="304"/>
      <c r="W26" s="304"/>
      <c r="X26" s="304"/>
      <c r="Y26" s="304"/>
      <c r="Z26" s="305"/>
    </row>
    <row r="27" spans="1:26" x14ac:dyDescent="0.2">
      <c r="A27" s="303"/>
      <c r="B27" s="309"/>
      <c r="C27" s="309"/>
      <c r="D27" s="310" t="s">
        <v>738</v>
      </c>
      <c r="E27" s="310">
        <f>$C$24*E24/1000</f>
        <v>0</v>
      </c>
      <c r="F27" s="310">
        <f t="shared" ref="F27:L27" si="5">$C$24*F24/1000</f>
        <v>0</v>
      </c>
      <c r="G27" s="310">
        <f t="shared" si="5"/>
        <v>0</v>
      </c>
      <c r="H27" s="310">
        <f t="shared" si="5"/>
        <v>0</v>
      </c>
      <c r="I27" s="310">
        <f t="shared" si="5"/>
        <v>0</v>
      </c>
      <c r="J27" s="310">
        <f t="shared" si="5"/>
        <v>0</v>
      </c>
      <c r="K27" s="310">
        <f t="shared" si="5"/>
        <v>0</v>
      </c>
      <c r="L27" s="310">
        <f t="shared" si="5"/>
        <v>0</v>
      </c>
      <c r="M27" s="313"/>
      <c r="N27" s="304"/>
      <c r="O27" s="304"/>
      <c r="P27" s="304"/>
      <c r="Q27" s="304"/>
      <c r="R27" s="304"/>
      <c r="S27" s="304"/>
      <c r="T27" s="304"/>
      <c r="U27" s="304"/>
      <c r="V27" s="304"/>
      <c r="W27" s="304"/>
      <c r="X27" s="304"/>
      <c r="Y27" s="304"/>
      <c r="Z27" s="305"/>
    </row>
    <row r="28" spans="1:26" x14ac:dyDescent="0.2">
      <c r="A28" s="303"/>
      <c r="B28" s="309"/>
      <c r="C28" s="310"/>
      <c r="D28" s="310"/>
      <c r="E28" s="310"/>
      <c r="F28" s="310"/>
      <c r="G28" s="311"/>
      <c r="H28" s="312"/>
      <c r="I28" s="312"/>
      <c r="J28" s="312"/>
      <c r="K28" s="312"/>
      <c r="L28" s="312"/>
      <c r="M28" s="304"/>
      <c r="N28" s="304"/>
      <c r="O28" s="304"/>
      <c r="P28" s="304"/>
      <c r="Q28" s="304"/>
      <c r="R28" s="304"/>
      <c r="S28" s="304"/>
      <c r="T28" s="304"/>
      <c r="U28" s="304"/>
      <c r="V28" s="304"/>
      <c r="W28" s="304"/>
      <c r="X28" s="304"/>
      <c r="Y28" s="304"/>
      <c r="Z28" s="305"/>
    </row>
    <row r="29" spans="1:26" x14ac:dyDescent="0.2">
      <c r="A29" s="303"/>
      <c r="B29" s="309"/>
      <c r="C29" s="310"/>
      <c r="D29" s="320" t="s">
        <v>186</v>
      </c>
      <c r="E29" s="310">
        <f>SUM(E26:E27)</f>
        <v>0</v>
      </c>
      <c r="F29" s="310">
        <f t="shared" ref="F29:L29" si="6">SUM(F26:F27)</f>
        <v>0</v>
      </c>
      <c r="G29" s="310">
        <f t="shared" si="6"/>
        <v>0</v>
      </c>
      <c r="H29" s="329">
        <f t="shared" si="6"/>
        <v>0</v>
      </c>
      <c r="I29" s="310">
        <f t="shared" si="6"/>
        <v>0</v>
      </c>
      <c r="J29" s="310">
        <f t="shared" si="6"/>
        <v>0</v>
      </c>
      <c r="K29" s="310">
        <f t="shared" si="6"/>
        <v>0</v>
      </c>
      <c r="L29" s="310">
        <f t="shared" si="6"/>
        <v>0</v>
      </c>
      <c r="M29" s="304"/>
      <c r="N29" s="304"/>
      <c r="O29" s="304"/>
      <c r="P29" s="304"/>
      <c r="Q29" s="304"/>
      <c r="R29" s="304"/>
      <c r="S29" s="304"/>
      <c r="T29" s="304"/>
      <c r="U29" s="304"/>
      <c r="V29" s="304"/>
      <c r="W29" s="304"/>
      <c r="X29" s="304"/>
      <c r="Y29" s="304"/>
      <c r="Z29" s="305"/>
    </row>
    <row r="30" spans="1:26" x14ac:dyDescent="0.2">
      <c r="A30" s="303"/>
      <c r="B30" s="321"/>
      <c r="C30" s="322"/>
      <c r="D30" s="322"/>
      <c r="E30" s="322"/>
      <c r="F30" s="322"/>
      <c r="G30" s="322"/>
      <c r="H30" s="330"/>
      <c r="I30" s="322"/>
      <c r="J30" s="322"/>
      <c r="K30" s="322"/>
      <c r="L30" s="322"/>
      <c r="M30" s="304"/>
      <c r="N30" s="304"/>
      <c r="O30" s="304"/>
      <c r="P30" s="304"/>
      <c r="Q30" s="304"/>
      <c r="R30" s="304"/>
      <c r="S30" s="304"/>
      <c r="T30" s="304"/>
      <c r="U30" s="304"/>
      <c r="V30" s="304"/>
      <c r="W30" s="304"/>
      <c r="X30" s="304"/>
      <c r="Y30" s="304"/>
      <c r="Z30" s="305"/>
    </row>
    <row r="31" spans="1:26" ht="15.75" x14ac:dyDescent="0.3">
      <c r="A31" s="303"/>
      <c r="B31" s="309" t="s">
        <v>814</v>
      </c>
      <c r="C31" s="310" t="s">
        <v>816</v>
      </c>
      <c r="D31" s="310"/>
      <c r="E31" s="310" t="s">
        <v>16</v>
      </c>
      <c r="F31" s="310" t="s">
        <v>17</v>
      </c>
      <c r="G31" s="311" t="s">
        <v>789</v>
      </c>
      <c r="H31" s="312" t="s">
        <v>197</v>
      </c>
      <c r="I31" s="312" t="s">
        <v>180</v>
      </c>
      <c r="J31" s="312" t="s">
        <v>194</v>
      </c>
      <c r="K31" s="312" t="s">
        <v>195</v>
      </c>
      <c r="L31" s="312" t="s">
        <v>196</v>
      </c>
      <c r="M31" s="304"/>
      <c r="N31" s="304"/>
      <c r="O31" s="304"/>
      <c r="P31" s="304"/>
      <c r="Q31" s="304"/>
      <c r="R31" s="304"/>
      <c r="S31" s="304"/>
      <c r="T31" s="304"/>
      <c r="U31" s="304"/>
      <c r="V31" s="304"/>
      <c r="W31" s="304"/>
      <c r="X31" s="304"/>
      <c r="Y31" s="304"/>
      <c r="Z31" s="305"/>
    </row>
    <row r="32" spans="1:26" x14ac:dyDescent="0.2">
      <c r="A32" s="303"/>
      <c r="B32" s="309" t="s">
        <v>14</v>
      </c>
      <c r="C32" s="314">
        <f>Calc1!E43</f>
        <v>0</v>
      </c>
      <c r="D32" s="310" t="s">
        <v>28</v>
      </c>
      <c r="E32" s="315">
        <v>2.2890000000000001</v>
      </c>
      <c r="F32" s="315">
        <v>5.1999999999999995E-4</v>
      </c>
      <c r="G32" s="316">
        <v>2.0000000000000001E-4</v>
      </c>
      <c r="H32" s="312">
        <f>14.5*730/1000/1000</f>
        <v>1.0585000000000001E-2</v>
      </c>
      <c r="I32" s="312">
        <f>14*730/1000/1000</f>
        <v>1.022E-2</v>
      </c>
      <c r="J32" s="312">
        <f>132*730/1000/1000</f>
        <v>9.6360000000000001E-2</v>
      </c>
      <c r="K32" s="312">
        <f>0.037*730/1000/1000</f>
        <v>2.7010000000000001E-5</v>
      </c>
      <c r="L32" s="312">
        <f>0.04*730/1000/1000</f>
        <v>2.9200000000000002E-5</v>
      </c>
      <c r="M32" s="304"/>
      <c r="N32" s="304"/>
      <c r="O32" s="304"/>
      <c r="P32" s="304"/>
      <c r="Q32" s="304"/>
      <c r="R32" s="304"/>
      <c r="S32" s="304"/>
      <c r="T32" s="304"/>
      <c r="U32" s="304"/>
      <c r="V32" s="304"/>
      <c r="W32" s="304"/>
      <c r="X32" s="304"/>
      <c r="Y32" s="304"/>
      <c r="Z32" s="305"/>
    </row>
    <row r="33" spans="1:26" x14ac:dyDescent="0.2">
      <c r="A33" s="303"/>
      <c r="B33" s="309" t="s">
        <v>12</v>
      </c>
      <c r="C33" s="314">
        <f>Calc1!F43</f>
        <v>0</v>
      </c>
      <c r="D33" s="310" t="s">
        <v>29</v>
      </c>
      <c r="E33" s="315">
        <v>2.6629999999999998</v>
      </c>
      <c r="F33" s="315">
        <v>6.7999999999999999E-5</v>
      </c>
      <c r="G33" s="316">
        <v>2.1000000000000001E-4</v>
      </c>
      <c r="H33" s="312">
        <f>11*840/1000/1000</f>
        <v>9.2399999999999999E-3</v>
      </c>
      <c r="I33" s="312">
        <f>1.1*840/1000/1000</f>
        <v>9.2400000000000013E-4</v>
      </c>
      <c r="J33" s="312">
        <f>4.7*840/1000/1000</f>
        <v>3.9480000000000001E-3</v>
      </c>
      <c r="K33" s="312">
        <f>1.7*840/1000/1000</f>
        <v>1.428E-3</v>
      </c>
      <c r="L33" s="312">
        <f>0.008*840/1000/1000</f>
        <v>6.7199999999999992E-6</v>
      </c>
      <c r="M33" s="304"/>
      <c r="N33" s="304"/>
      <c r="O33" s="304"/>
      <c r="P33" s="304"/>
      <c r="Q33" s="304"/>
      <c r="R33" s="304"/>
      <c r="S33" s="304"/>
      <c r="T33" s="304"/>
      <c r="U33" s="304"/>
      <c r="V33" s="304"/>
      <c r="W33" s="304"/>
      <c r="X33" s="304"/>
      <c r="Y33" s="304"/>
      <c r="Z33" s="305"/>
    </row>
    <row r="34" spans="1:26" x14ac:dyDescent="0.2">
      <c r="A34" s="303"/>
      <c r="B34" s="309"/>
      <c r="C34" s="317"/>
      <c r="D34" s="320" t="s">
        <v>0</v>
      </c>
      <c r="E34" s="331">
        <f>SUMPRODUCT($C$32:$C$33,E32:E33)/1000</f>
        <v>0</v>
      </c>
      <c r="F34" s="331">
        <f t="shared" ref="F34:L34" si="7">SUMPRODUCT($C$32:$C$33,F32:F33)/1000</f>
        <v>0</v>
      </c>
      <c r="G34" s="331">
        <f t="shared" si="7"/>
        <v>0</v>
      </c>
      <c r="H34" s="331">
        <f t="shared" si="7"/>
        <v>0</v>
      </c>
      <c r="I34" s="331">
        <f t="shared" si="7"/>
        <v>0</v>
      </c>
      <c r="J34" s="331">
        <f t="shared" si="7"/>
        <v>0</v>
      </c>
      <c r="K34" s="331">
        <f t="shared" si="7"/>
        <v>0</v>
      </c>
      <c r="L34" s="331">
        <f t="shared" si="7"/>
        <v>0</v>
      </c>
      <c r="M34" s="304"/>
      <c r="N34" s="304"/>
      <c r="O34" s="304"/>
      <c r="P34" s="304"/>
      <c r="Q34" s="304"/>
      <c r="R34" s="304"/>
      <c r="S34" s="304"/>
      <c r="T34" s="304"/>
      <c r="U34" s="304"/>
      <c r="V34" s="304"/>
      <c r="W34" s="304"/>
      <c r="X34" s="304"/>
      <c r="Y34" s="304"/>
      <c r="Z34" s="305"/>
    </row>
    <row r="35" spans="1:26" x14ac:dyDescent="0.2">
      <c r="A35" s="303"/>
      <c r="B35" s="321"/>
      <c r="C35" s="332"/>
      <c r="D35" s="322"/>
      <c r="E35" s="322"/>
      <c r="F35" s="322"/>
      <c r="G35" s="322"/>
      <c r="H35" s="333"/>
      <c r="I35" s="333"/>
      <c r="J35" s="333"/>
      <c r="K35" s="333"/>
      <c r="L35" s="333"/>
      <c r="M35" s="304"/>
      <c r="N35" s="304"/>
      <c r="O35" s="304"/>
      <c r="P35" s="304"/>
      <c r="Q35" s="304"/>
      <c r="R35" s="304"/>
      <c r="S35" s="304"/>
      <c r="T35" s="304"/>
      <c r="U35" s="304"/>
      <c r="V35" s="304"/>
      <c r="W35" s="304"/>
      <c r="X35" s="304"/>
      <c r="Y35" s="304"/>
      <c r="Z35" s="305"/>
    </row>
    <row r="36" spans="1:26" ht="15.75" x14ac:dyDescent="0.3">
      <c r="A36" s="303"/>
      <c r="B36" s="309" t="s">
        <v>815</v>
      </c>
      <c r="C36" s="317"/>
      <c r="D36" s="310"/>
      <c r="E36" s="310" t="s">
        <v>16</v>
      </c>
      <c r="F36" s="310" t="s">
        <v>17</v>
      </c>
      <c r="G36" s="311" t="s">
        <v>789</v>
      </c>
      <c r="H36" s="312" t="s">
        <v>197</v>
      </c>
      <c r="I36" s="312" t="s">
        <v>180</v>
      </c>
      <c r="J36" s="312" t="s">
        <v>194</v>
      </c>
      <c r="K36" s="312" t="s">
        <v>195</v>
      </c>
      <c r="L36" s="312" t="s">
        <v>196</v>
      </c>
      <c r="M36" s="304"/>
      <c r="N36" s="304"/>
      <c r="O36" s="304"/>
      <c r="P36" s="304"/>
      <c r="Q36" s="304"/>
      <c r="R36" s="304"/>
      <c r="S36" s="304"/>
      <c r="T36" s="304"/>
      <c r="U36" s="304"/>
      <c r="V36" s="304"/>
      <c r="W36" s="304"/>
      <c r="X36" s="304"/>
      <c r="Y36" s="304"/>
      <c r="Z36" s="305"/>
    </row>
    <row r="37" spans="1:26" x14ac:dyDescent="0.2">
      <c r="A37" s="303"/>
      <c r="B37" s="309" t="s">
        <v>14</v>
      </c>
      <c r="C37" s="314">
        <f>Calc1!E44</f>
        <v>0</v>
      </c>
      <c r="D37" s="310" t="s">
        <v>28</v>
      </c>
      <c r="E37" s="315">
        <v>2.2890000000000001</v>
      </c>
      <c r="F37" s="315">
        <v>5.1999999999999995E-4</v>
      </c>
      <c r="G37" s="316">
        <v>2.0000000000000001E-4</v>
      </c>
      <c r="H37" s="312">
        <f>14.5*730/1000/1000</f>
        <v>1.0585000000000001E-2</v>
      </c>
      <c r="I37" s="312">
        <f>14*730/1000/1000</f>
        <v>1.022E-2</v>
      </c>
      <c r="J37" s="312">
        <f>132*730/1000/1000</f>
        <v>9.6360000000000001E-2</v>
      </c>
      <c r="K37" s="312">
        <f>0.037*730/1000/1000</f>
        <v>2.7010000000000001E-5</v>
      </c>
      <c r="L37" s="312">
        <f>0.04*730/1000/1000</f>
        <v>2.9200000000000002E-5</v>
      </c>
      <c r="M37" s="304"/>
      <c r="N37" s="304"/>
      <c r="O37" s="304"/>
      <c r="P37" s="304"/>
      <c r="Q37" s="304"/>
      <c r="R37" s="304"/>
      <c r="S37" s="304"/>
      <c r="T37" s="304"/>
      <c r="U37" s="304"/>
      <c r="V37" s="304"/>
      <c r="W37" s="304"/>
      <c r="X37" s="304"/>
      <c r="Y37" s="304"/>
      <c r="Z37" s="305"/>
    </row>
    <row r="38" spans="1:26" x14ac:dyDescent="0.2">
      <c r="A38" s="303"/>
      <c r="B38" s="309" t="s">
        <v>12</v>
      </c>
      <c r="C38" s="314">
        <f>Calc1!F44</f>
        <v>0</v>
      </c>
      <c r="D38" s="310" t="s">
        <v>29</v>
      </c>
      <c r="E38" s="315">
        <v>2.6629999999999998</v>
      </c>
      <c r="F38" s="315">
        <v>6.7999999999999999E-5</v>
      </c>
      <c r="G38" s="316">
        <v>2.1000000000000001E-4</v>
      </c>
      <c r="H38" s="312">
        <f>11*840/1000/1000</f>
        <v>9.2399999999999999E-3</v>
      </c>
      <c r="I38" s="312">
        <f>1.1*840/1000/1000</f>
        <v>9.2400000000000013E-4</v>
      </c>
      <c r="J38" s="312">
        <f>4.7*840/1000/1000</f>
        <v>3.9480000000000001E-3</v>
      </c>
      <c r="K38" s="312">
        <f>1.7*840/1000/1000</f>
        <v>1.428E-3</v>
      </c>
      <c r="L38" s="312">
        <f>0.008*840/1000/1000</f>
        <v>6.7199999999999992E-6</v>
      </c>
      <c r="M38" s="304"/>
      <c r="N38" s="304"/>
      <c r="O38" s="304"/>
      <c r="P38" s="304"/>
      <c r="Q38" s="304"/>
      <c r="R38" s="304"/>
      <c r="S38" s="304"/>
      <c r="T38" s="304"/>
      <c r="U38" s="304"/>
      <c r="V38" s="304"/>
      <c r="W38" s="304"/>
      <c r="X38" s="304"/>
      <c r="Y38" s="304"/>
      <c r="Z38" s="305"/>
    </row>
    <row r="39" spans="1:26" x14ac:dyDescent="0.2">
      <c r="A39" s="303"/>
      <c r="B39" s="309"/>
      <c r="C39" s="310"/>
      <c r="D39" s="320" t="s">
        <v>0</v>
      </c>
      <c r="E39" s="331">
        <f>SUMPRODUCT($C$37:$C$38,E37:E38)/1000</f>
        <v>0</v>
      </c>
      <c r="F39" s="331">
        <f t="shared" ref="F39:L39" si="8">SUMPRODUCT($C$37:$C$38,F37:F38)/1000</f>
        <v>0</v>
      </c>
      <c r="G39" s="331">
        <f t="shared" si="8"/>
        <v>0</v>
      </c>
      <c r="H39" s="331">
        <f t="shared" si="8"/>
        <v>0</v>
      </c>
      <c r="I39" s="331">
        <f t="shared" si="8"/>
        <v>0</v>
      </c>
      <c r="J39" s="331">
        <f t="shared" si="8"/>
        <v>0</v>
      </c>
      <c r="K39" s="331">
        <f t="shared" si="8"/>
        <v>0</v>
      </c>
      <c r="L39" s="331">
        <f t="shared" si="8"/>
        <v>0</v>
      </c>
      <c r="M39" s="304"/>
      <c r="N39" s="304"/>
      <c r="O39" s="304"/>
      <c r="P39" s="304"/>
      <c r="Q39" s="304"/>
      <c r="R39" s="304"/>
      <c r="S39" s="304"/>
      <c r="T39" s="304"/>
      <c r="U39" s="304"/>
      <c r="V39" s="304"/>
      <c r="W39" s="304"/>
      <c r="X39" s="304"/>
      <c r="Y39" s="304"/>
      <c r="Z39" s="305"/>
    </row>
    <row r="40" spans="1:26" x14ac:dyDescent="0.2">
      <c r="A40" s="303"/>
      <c r="B40" s="321"/>
      <c r="C40" s="322"/>
      <c r="D40" s="322"/>
      <c r="E40" s="322"/>
      <c r="F40" s="322"/>
      <c r="G40" s="322"/>
      <c r="H40" s="313"/>
      <c r="I40" s="313"/>
      <c r="J40" s="313"/>
      <c r="K40" s="313"/>
      <c r="L40" s="313"/>
      <c r="M40" s="304"/>
      <c r="N40" s="304"/>
      <c r="O40" s="304"/>
      <c r="P40" s="304"/>
      <c r="Q40" s="304"/>
      <c r="R40" s="304"/>
      <c r="S40" s="304"/>
      <c r="T40" s="304"/>
      <c r="U40" s="304"/>
      <c r="V40" s="304"/>
      <c r="W40" s="304"/>
      <c r="X40" s="304"/>
      <c r="Y40" s="304"/>
      <c r="Z40" s="305"/>
    </row>
    <row r="41" spans="1:26" x14ac:dyDescent="0.2">
      <c r="A41" s="303"/>
      <c r="B41" s="309"/>
      <c r="C41" s="310"/>
      <c r="D41" s="334" t="s">
        <v>117</v>
      </c>
      <c r="E41" s="310">
        <f>E20+E29+E34+E39</f>
        <v>1.1445E-2</v>
      </c>
      <c r="F41" s="310">
        <f t="shared" ref="F41:L41" si="9">F20+F29+F34+F39</f>
        <v>2.5099999999999997E-6</v>
      </c>
      <c r="G41" s="310">
        <f t="shared" si="9"/>
        <v>9.9999999999999995E-7</v>
      </c>
      <c r="H41" s="310">
        <f t="shared" si="9"/>
        <v>5.9860000000000006E-5</v>
      </c>
      <c r="I41" s="310">
        <f t="shared" si="9"/>
        <v>5.1100000000000002E-5</v>
      </c>
      <c r="J41" s="310">
        <f t="shared" si="9"/>
        <v>4.9858999999999993E-4</v>
      </c>
      <c r="K41" s="310">
        <f t="shared" si="9"/>
        <v>1.2993999999999998E-7</v>
      </c>
      <c r="L41" s="310">
        <f t="shared" si="9"/>
        <v>1.4600000000000001E-7</v>
      </c>
      <c r="M41" s="304"/>
      <c r="N41" s="304"/>
      <c r="O41" s="304"/>
      <c r="P41" s="304"/>
      <c r="Q41" s="304"/>
      <c r="R41" s="304"/>
      <c r="S41" s="304"/>
      <c r="T41" s="304"/>
      <c r="U41" s="304"/>
      <c r="V41" s="304"/>
      <c r="W41" s="304"/>
      <c r="X41" s="304"/>
      <c r="Y41" s="304"/>
      <c r="Z41" s="305"/>
    </row>
    <row r="42" spans="1:26" x14ac:dyDescent="0.2">
      <c r="A42" s="303"/>
      <c r="B42" s="321"/>
      <c r="C42" s="322"/>
      <c r="D42" s="322"/>
      <c r="E42" s="322"/>
      <c r="F42" s="322"/>
      <c r="G42" s="322"/>
      <c r="H42" s="304"/>
      <c r="I42" s="304"/>
      <c r="J42" s="304"/>
      <c r="K42" s="304"/>
      <c r="L42" s="304"/>
      <c r="M42" s="304"/>
      <c r="N42" s="304"/>
      <c r="O42" s="304"/>
      <c r="P42" s="304"/>
      <c r="Q42" s="304"/>
      <c r="R42" s="304"/>
      <c r="S42" s="304"/>
      <c r="T42" s="304"/>
      <c r="U42" s="304"/>
      <c r="V42" s="304"/>
      <c r="W42" s="304"/>
      <c r="X42" s="304"/>
      <c r="Y42" s="304"/>
      <c r="Z42" s="305"/>
    </row>
    <row r="43" spans="1:26" x14ac:dyDescent="0.2">
      <c r="A43" s="303"/>
      <c r="B43" s="335" t="s">
        <v>19</v>
      </c>
      <c r="C43" s="304"/>
      <c r="D43" s="304"/>
      <c r="E43" s="304"/>
      <c r="F43" s="304"/>
      <c r="G43" s="304"/>
      <c r="H43" s="304"/>
      <c r="I43" s="304"/>
      <c r="J43" s="304"/>
      <c r="K43" s="304"/>
      <c r="L43" s="304"/>
      <c r="M43" s="304"/>
      <c r="N43" s="304"/>
      <c r="O43" s="304"/>
      <c r="P43" s="304"/>
      <c r="Q43" s="304"/>
      <c r="R43" s="304"/>
      <c r="S43" s="304"/>
      <c r="T43" s="304"/>
      <c r="U43" s="304"/>
      <c r="V43" s="304"/>
      <c r="W43" s="304"/>
      <c r="X43" s="304"/>
      <c r="Y43" s="304"/>
      <c r="Z43" s="305"/>
    </row>
    <row r="44" spans="1:26" x14ac:dyDescent="0.2">
      <c r="A44" s="303"/>
      <c r="B44" s="335" t="s">
        <v>30</v>
      </c>
      <c r="C44" s="304"/>
      <c r="D44" s="304"/>
      <c r="E44" s="304"/>
      <c r="F44" s="304"/>
      <c r="G44" s="304"/>
      <c r="H44" s="304"/>
      <c r="I44" s="304"/>
      <c r="J44" s="304"/>
      <c r="K44" s="304"/>
      <c r="L44" s="304"/>
      <c r="M44" s="304"/>
      <c r="N44" s="304"/>
      <c r="O44" s="304"/>
      <c r="P44" s="304"/>
      <c r="Q44" s="304"/>
      <c r="R44" s="304"/>
      <c r="S44" s="304"/>
      <c r="T44" s="304"/>
      <c r="U44" s="304"/>
      <c r="V44" s="304"/>
      <c r="W44" s="304"/>
      <c r="X44" s="304"/>
      <c r="Y44" s="304"/>
      <c r="Z44" s="305"/>
    </row>
    <row r="45" spans="1:26" x14ac:dyDescent="0.2">
      <c r="A45" s="303"/>
      <c r="B45" s="336" t="s">
        <v>107</v>
      </c>
      <c r="C45" s="304"/>
      <c r="D45" s="304"/>
      <c r="E45" s="304"/>
      <c r="F45" s="304"/>
      <c r="G45" s="304"/>
      <c r="H45" s="304"/>
      <c r="I45" s="304"/>
      <c r="J45" s="304"/>
      <c r="K45" s="304"/>
      <c r="L45" s="304"/>
      <c r="M45" s="304"/>
      <c r="N45" s="304"/>
      <c r="O45" s="304"/>
      <c r="P45" s="304"/>
      <c r="Q45" s="304"/>
      <c r="R45" s="304"/>
      <c r="S45" s="304"/>
      <c r="T45" s="304"/>
      <c r="U45" s="304"/>
      <c r="V45" s="304"/>
      <c r="W45" s="304"/>
      <c r="X45" s="304"/>
      <c r="Y45" s="304"/>
      <c r="Z45" s="305"/>
    </row>
    <row r="46" spans="1:26" x14ac:dyDescent="0.2">
      <c r="A46" s="303"/>
      <c r="B46" s="336" t="s">
        <v>110</v>
      </c>
      <c r="C46" s="304"/>
      <c r="D46" s="304"/>
      <c r="E46" s="304"/>
      <c r="F46" s="304"/>
      <c r="G46" s="304"/>
      <c r="H46" s="304"/>
      <c r="I46" s="304"/>
      <c r="J46" s="304"/>
      <c r="K46" s="304"/>
      <c r="L46" s="304"/>
      <c r="M46" s="304"/>
      <c r="N46" s="304"/>
      <c r="O46" s="304"/>
      <c r="P46" s="304"/>
      <c r="Q46" s="304"/>
      <c r="R46" s="304"/>
      <c r="S46" s="304"/>
      <c r="T46" s="304"/>
      <c r="U46" s="304"/>
      <c r="V46" s="304"/>
      <c r="W46" s="304"/>
      <c r="X46" s="304"/>
      <c r="Y46" s="304"/>
      <c r="Z46" s="305"/>
    </row>
    <row r="47" spans="1:26" x14ac:dyDescent="0.2">
      <c r="A47" s="303"/>
      <c r="B47" s="336"/>
      <c r="C47" s="304"/>
      <c r="D47" s="304"/>
      <c r="E47" s="304"/>
      <c r="F47" s="304"/>
      <c r="G47" s="304"/>
      <c r="H47" s="304"/>
      <c r="I47" s="304"/>
      <c r="J47" s="304"/>
      <c r="K47" s="304"/>
      <c r="L47" s="304"/>
      <c r="M47" s="304"/>
      <c r="N47" s="304"/>
      <c r="O47" s="304"/>
      <c r="P47" s="304"/>
      <c r="Q47" s="304"/>
      <c r="R47" s="304"/>
      <c r="S47" s="304"/>
      <c r="T47" s="304"/>
      <c r="U47" s="304"/>
      <c r="V47" s="304"/>
      <c r="W47" s="304"/>
      <c r="X47" s="304"/>
      <c r="Y47" s="304"/>
      <c r="Z47" s="305"/>
    </row>
    <row r="48" spans="1:26" x14ac:dyDescent="0.2">
      <c r="A48" s="303" t="s">
        <v>726</v>
      </c>
      <c r="B48" s="303" t="s">
        <v>630</v>
      </c>
      <c r="C48" s="304"/>
      <c r="D48" s="304"/>
      <c r="E48" s="304"/>
      <c r="F48" s="304"/>
      <c r="G48" s="304"/>
      <c r="H48" s="304"/>
      <c r="I48" s="304"/>
      <c r="J48" s="304"/>
      <c r="K48" s="304"/>
      <c r="L48" s="304"/>
      <c r="M48" s="304"/>
      <c r="N48" s="304"/>
      <c r="O48" s="304"/>
      <c r="P48" s="304"/>
      <c r="Q48" s="304"/>
      <c r="R48" s="304"/>
      <c r="S48" s="304"/>
      <c r="T48" s="304"/>
      <c r="U48" s="304"/>
      <c r="V48" s="304"/>
      <c r="W48" s="304"/>
      <c r="X48" s="304"/>
      <c r="Y48" s="304"/>
      <c r="Z48" s="305"/>
    </row>
    <row r="49" spans="1:26" x14ac:dyDescent="0.2">
      <c r="A49" s="303"/>
      <c r="B49" s="303" t="s">
        <v>92</v>
      </c>
      <c r="C49" s="304"/>
      <c r="D49" s="304"/>
      <c r="E49" s="304"/>
      <c r="F49" s="304"/>
      <c r="G49" s="304"/>
      <c r="H49" s="304"/>
      <c r="I49" s="304"/>
      <c r="J49" s="304"/>
      <c r="K49" s="304"/>
      <c r="L49" s="304"/>
      <c r="M49" s="304"/>
      <c r="N49" s="304"/>
      <c r="O49" s="304"/>
      <c r="P49" s="304"/>
      <c r="Q49" s="304"/>
      <c r="R49" s="304"/>
      <c r="S49" s="304"/>
      <c r="T49" s="304"/>
      <c r="U49" s="304"/>
      <c r="V49" s="304"/>
      <c r="W49" s="304"/>
      <c r="X49" s="304"/>
      <c r="Y49" s="304"/>
      <c r="Z49" s="305"/>
    </row>
    <row r="50" spans="1:26" x14ac:dyDescent="0.2">
      <c r="A50" s="303"/>
      <c r="B50" s="309" t="s">
        <v>35</v>
      </c>
      <c r="C50" s="309" t="s">
        <v>651</v>
      </c>
      <c r="D50" s="309" t="s">
        <v>41</v>
      </c>
      <c r="E50" s="309" t="s">
        <v>37</v>
      </c>
      <c r="F50" s="304"/>
      <c r="G50" s="304"/>
      <c r="H50" s="304"/>
      <c r="I50" s="304"/>
      <c r="J50" s="304"/>
      <c r="K50" s="304"/>
      <c r="L50" s="304"/>
      <c r="M50" s="304"/>
      <c r="N50" s="304"/>
      <c r="O50" s="304"/>
      <c r="P50" s="304"/>
      <c r="Q50" s="304"/>
      <c r="R50" s="304"/>
      <c r="S50" s="304"/>
      <c r="T50" s="304"/>
      <c r="U50" s="304"/>
      <c r="V50" s="304"/>
      <c r="W50" s="304"/>
      <c r="X50" s="304"/>
      <c r="Y50" s="304"/>
      <c r="Z50" s="305"/>
    </row>
    <row r="51" spans="1:26" x14ac:dyDescent="0.2">
      <c r="A51" s="303"/>
      <c r="B51" s="309"/>
      <c r="C51" s="337"/>
      <c r="D51" s="309"/>
      <c r="E51" s="309"/>
      <c r="F51" s="304"/>
      <c r="G51" s="304"/>
      <c r="H51" s="304"/>
      <c r="I51" s="304"/>
      <c r="J51" s="304"/>
      <c r="K51" s="304"/>
      <c r="L51" s="304"/>
      <c r="M51" s="304"/>
      <c r="N51" s="304"/>
      <c r="O51" s="304"/>
      <c r="P51" s="304"/>
      <c r="Q51" s="304"/>
      <c r="R51" s="304"/>
      <c r="S51" s="304"/>
      <c r="T51" s="304"/>
      <c r="U51" s="304"/>
      <c r="V51" s="304"/>
      <c r="W51" s="304"/>
      <c r="X51" s="304"/>
      <c r="Y51" s="304"/>
      <c r="Z51" s="305"/>
    </row>
    <row r="52" spans="1:26" x14ac:dyDescent="0.2">
      <c r="A52" s="303"/>
      <c r="B52" s="309"/>
      <c r="C52" s="337"/>
      <c r="D52" s="309"/>
      <c r="E52" s="309"/>
      <c r="F52" s="304">
        <f>SUM(E51:E52)</f>
        <v>0</v>
      </c>
      <c r="G52" s="304"/>
      <c r="H52" s="304"/>
      <c r="I52" s="304"/>
      <c r="J52" s="304"/>
      <c r="K52" s="304"/>
      <c r="L52" s="304"/>
      <c r="M52" s="304"/>
      <c r="N52" s="304"/>
      <c r="O52" s="304"/>
      <c r="P52" s="304"/>
      <c r="Q52" s="304"/>
      <c r="R52" s="304"/>
      <c r="S52" s="304"/>
      <c r="T52" s="304"/>
      <c r="U52" s="304"/>
      <c r="V52" s="304"/>
      <c r="W52" s="304"/>
      <c r="X52" s="304"/>
      <c r="Y52" s="304"/>
      <c r="Z52" s="305"/>
    </row>
    <row r="53" spans="1:26" x14ac:dyDescent="0.2">
      <c r="A53" s="303"/>
      <c r="B53" s="309"/>
      <c r="C53" s="309"/>
      <c r="D53" s="309"/>
      <c r="E53" s="309">
        <f>SUM(E51:E52)</f>
        <v>0</v>
      </c>
      <c r="F53" s="304" t="s">
        <v>51</v>
      </c>
      <c r="G53" s="304"/>
      <c r="H53" s="304"/>
      <c r="I53" s="304"/>
      <c r="J53" s="304"/>
      <c r="K53" s="304"/>
      <c r="L53" s="304"/>
      <c r="M53" s="304"/>
      <c r="N53" s="304"/>
      <c r="O53" s="304"/>
      <c r="P53" s="304"/>
      <c r="Q53" s="304"/>
      <c r="R53" s="304"/>
      <c r="S53" s="304"/>
      <c r="T53" s="304"/>
      <c r="U53" s="304"/>
      <c r="V53" s="304"/>
      <c r="W53" s="304"/>
      <c r="X53" s="304"/>
      <c r="Y53" s="304"/>
      <c r="Z53" s="305"/>
    </row>
    <row r="54" spans="1:26" x14ac:dyDescent="0.2">
      <c r="A54" s="303"/>
      <c r="B54" s="309"/>
      <c r="C54" s="309"/>
      <c r="D54" s="309"/>
      <c r="E54" s="304" t="s">
        <v>1063</v>
      </c>
      <c r="F54" s="304"/>
      <c r="G54" s="304"/>
      <c r="H54" s="304"/>
      <c r="I54" s="304"/>
      <c r="J54" s="304"/>
      <c r="K54" s="304"/>
      <c r="L54" s="304"/>
      <c r="M54" s="304"/>
      <c r="N54" s="304"/>
      <c r="O54" s="304"/>
      <c r="P54" s="304"/>
      <c r="Q54" s="304"/>
      <c r="R54" s="304"/>
      <c r="S54" s="304"/>
      <c r="T54" s="304"/>
      <c r="U54" s="304"/>
      <c r="V54" s="304"/>
      <c r="W54" s="304"/>
      <c r="X54" s="304"/>
      <c r="Y54" s="304"/>
      <c r="Z54" s="305"/>
    </row>
    <row r="55" spans="1:26" x14ac:dyDescent="0.2">
      <c r="A55" s="303"/>
      <c r="B55" s="309" t="s">
        <v>52</v>
      </c>
      <c r="C55" s="309"/>
      <c r="D55" s="309"/>
      <c r="E55" s="338">
        <f>Calc1!C59</f>
        <v>10</v>
      </c>
      <c r="F55" s="339" t="str">
        <f>Calc1!D59</f>
        <v>m3</v>
      </c>
      <c r="G55" s="304"/>
      <c r="H55" s="304"/>
      <c r="I55" s="304"/>
      <c r="J55" s="304"/>
      <c r="K55" s="304"/>
      <c r="L55" s="304"/>
      <c r="M55" s="304"/>
      <c r="N55" s="304"/>
      <c r="O55" s="304"/>
      <c r="P55" s="304"/>
      <c r="Q55" s="304"/>
      <c r="R55" s="304"/>
      <c r="S55" s="304"/>
      <c r="T55" s="304"/>
      <c r="U55" s="304"/>
      <c r="V55" s="304"/>
      <c r="W55" s="304"/>
      <c r="X55" s="304"/>
      <c r="Y55" s="304"/>
      <c r="Z55" s="305"/>
    </row>
    <row r="56" spans="1:26" x14ac:dyDescent="0.2">
      <c r="A56" s="303"/>
      <c r="B56" s="309" t="s">
        <v>649</v>
      </c>
      <c r="C56" s="309"/>
      <c r="D56" s="309"/>
      <c r="E56" s="304">
        <f>IF(F55="GJ",E55,IF(F55="kg",E55*46.5/1000,E55*0.716*46.5/1000))</f>
        <v>0.33294000000000001</v>
      </c>
      <c r="F56" s="304" t="s">
        <v>51</v>
      </c>
      <c r="G56" s="304"/>
      <c r="H56" s="304"/>
      <c r="I56" s="304"/>
      <c r="J56" s="304"/>
      <c r="K56" s="304"/>
      <c r="L56" s="304"/>
      <c r="M56" s="304"/>
      <c r="N56" s="304"/>
      <c r="O56" s="304"/>
      <c r="P56" s="304"/>
      <c r="Q56" s="304"/>
      <c r="R56" s="304"/>
      <c r="S56" s="304"/>
      <c r="T56" s="304"/>
      <c r="U56" s="304"/>
      <c r="V56" s="304"/>
      <c r="W56" s="304"/>
      <c r="X56" s="304"/>
      <c r="Y56" s="304"/>
      <c r="Z56" s="305"/>
    </row>
    <row r="57" spans="1:26" x14ac:dyDescent="0.2">
      <c r="A57" s="303"/>
      <c r="B57" s="309"/>
      <c r="C57" s="309"/>
      <c r="D57" s="309"/>
      <c r="E57" s="309"/>
      <c r="F57" s="304"/>
      <c r="G57" s="304"/>
      <c r="H57" s="304"/>
      <c r="I57" s="304"/>
      <c r="J57" s="304"/>
      <c r="K57" s="304"/>
      <c r="L57" s="304"/>
      <c r="M57" s="304"/>
      <c r="N57" s="304"/>
      <c r="O57" s="304"/>
      <c r="P57" s="304"/>
      <c r="Q57" s="304"/>
      <c r="R57" s="304"/>
      <c r="S57" s="304"/>
      <c r="T57" s="304"/>
      <c r="U57" s="304"/>
      <c r="V57" s="304"/>
      <c r="W57" s="304"/>
      <c r="X57" s="304"/>
      <c r="Y57" s="304"/>
      <c r="Z57" s="305"/>
    </row>
    <row r="58" spans="1:26" x14ac:dyDescent="0.2">
      <c r="A58" s="303"/>
      <c r="B58" s="309"/>
      <c r="C58" s="309"/>
      <c r="D58" s="309"/>
      <c r="E58" s="309"/>
      <c r="F58" s="304"/>
      <c r="G58" s="304"/>
      <c r="H58" s="304"/>
      <c r="I58" s="304"/>
      <c r="J58" s="304"/>
      <c r="K58" s="304"/>
      <c r="L58" s="304"/>
      <c r="M58" s="304"/>
      <c r="N58" s="304"/>
      <c r="O58" s="304"/>
      <c r="P58" s="304"/>
      <c r="Q58" s="304"/>
      <c r="R58" s="304"/>
      <c r="S58" s="304"/>
      <c r="T58" s="304"/>
      <c r="U58" s="304"/>
      <c r="V58" s="304"/>
      <c r="W58" s="304"/>
      <c r="X58" s="304"/>
      <c r="Y58" s="304"/>
      <c r="Z58" s="305"/>
    </row>
    <row r="59" spans="1:26" x14ac:dyDescent="0.2">
      <c r="A59" s="303"/>
      <c r="B59" s="309" t="s">
        <v>40</v>
      </c>
      <c r="C59" s="309"/>
      <c r="D59" s="309"/>
      <c r="E59" s="309">
        <f>E56+E53</f>
        <v>0.33294000000000001</v>
      </c>
      <c r="F59" s="304"/>
      <c r="G59" s="304"/>
      <c r="H59" s="304"/>
      <c r="I59" s="304"/>
      <c r="J59" s="304"/>
      <c r="K59" s="304"/>
      <c r="L59" s="304"/>
      <c r="M59" s="304"/>
      <c r="N59" s="304"/>
      <c r="O59" s="304"/>
      <c r="P59" s="304"/>
      <c r="Q59" s="304"/>
      <c r="R59" s="304"/>
      <c r="S59" s="304"/>
      <c r="T59" s="304"/>
      <c r="U59" s="304"/>
      <c r="V59" s="304"/>
      <c r="W59" s="304"/>
      <c r="X59" s="304"/>
      <c r="Y59" s="304"/>
      <c r="Z59" s="305"/>
    </row>
    <row r="60" spans="1:26" x14ac:dyDescent="0.2">
      <c r="A60" s="303"/>
      <c r="B60" s="309"/>
      <c r="C60" s="309"/>
      <c r="D60" s="309"/>
      <c r="E60" s="309"/>
      <c r="F60" s="304"/>
      <c r="G60" s="304"/>
      <c r="H60" s="304"/>
      <c r="I60" s="304"/>
      <c r="J60" s="304"/>
      <c r="K60" s="304"/>
      <c r="L60" s="304"/>
      <c r="M60" s="304"/>
      <c r="N60" s="304"/>
      <c r="O60" s="304"/>
      <c r="P60" s="304"/>
      <c r="Q60" s="304"/>
      <c r="R60" s="304"/>
      <c r="S60" s="304"/>
      <c r="T60" s="304"/>
      <c r="U60" s="304"/>
      <c r="V60" s="304"/>
      <c r="W60" s="304"/>
      <c r="X60" s="304"/>
      <c r="Y60" s="304"/>
      <c r="Z60" s="305"/>
    </row>
    <row r="61" spans="1:26" ht="15.75" x14ac:dyDescent="0.3">
      <c r="A61" s="303"/>
      <c r="B61" s="309"/>
      <c r="C61" s="310" t="s">
        <v>16</v>
      </c>
      <c r="D61" s="310" t="s">
        <v>17</v>
      </c>
      <c r="E61" s="310" t="s">
        <v>789</v>
      </c>
      <c r="F61" s="312" t="s">
        <v>197</v>
      </c>
      <c r="G61" s="312" t="s">
        <v>180</v>
      </c>
      <c r="H61" s="312" t="s">
        <v>194</v>
      </c>
      <c r="I61" s="312" t="s">
        <v>195</v>
      </c>
      <c r="J61" s="312" t="s">
        <v>196</v>
      </c>
      <c r="K61" s="304"/>
      <c r="L61" s="304"/>
      <c r="M61" s="304"/>
      <c r="N61" s="304"/>
      <c r="O61" s="304"/>
      <c r="P61" s="304"/>
      <c r="Q61" s="304"/>
      <c r="R61" s="304"/>
      <c r="S61" s="304"/>
      <c r="T61" s="304"/>
      <c r="U61" s="304"/>
      <c r="V61" s="304"/>
      <c r="W61" s="304"/>
      <c r="X61" s="304"/>
      <c r="Y61" s="304"/>
      <c r="Z61" s="305"/>
    </row>
    <row r="62" spans="1:26" x14ac:dyDescent="0.2">
      <c r="A62" s="303"/>
      <c r="B62" s="310" t="s">
        <v>38</v>
      </c>
      <c r="C62" s="309">
        <v>5.6099999999999997E-2</v>
      </c>
      <c r="D62" s="340">
        <v>9.9999999999999995E-7</v>
      </c>
      <c r="E62" s="340">
        <v>9.9999999999999995E-8</v>
      </c>
      <c r="F62" s="309">
        <f>70/1000/1000</f>
        <v>7.0000000000000007E-5</v>
      </c>
      <c r="G62" s="309">
        <f>3/1000/1000</f>
        <v>3.0000000000000001E-6</v>
      </c>
      <c r="H62" s="309">
        <f>30/1000/1000</f>
        <v>2.9999999999999997E-5</v>
      </c>
      <c r="I62" s="309">
        <f>0.5/1000/1000</f>
        <v>4.9999999999999998E-7</v>
      </c>
      <c r="J62" s="309">
        <f>0.5/1000/1000</f>
        <v>4.9999999999999998E-7</v>
      </c>
      <c r="K62" s="304"/>
      <c r="L62" s="304"/>
      <c r="M62" s="304"/>
      <c r="N62" s="304"/>
      <c r="O62" s="304"/>
      <c r="P62" s="304"/>
      <c r="Q62" s="304"/>
      <c r="R62" s="304"/>
      <c r="S62" s="304"/>
      <c r="T62" s="304"/>
      <c r="U62" s="304"/>
      <c r="V62" s="304"/>
      <c r="W62" s="304"/>
      <c r="X62" s="304"/>
      <c r="Y62" s="304"/>
      <c r="Z62" s="305"/>
    </row>
    <row r="63" spans="1:26" x14ac:dyDescent="0.2">
      <c r="A63" s="303"/>
      <c r="B63" s="309" t="s">
        <v>39</v>
      </c>
      <c r="C63" s="341">
        <f>$E$59*C62</f>
        <v>1.8677934E-2</v>
      </c>
      <c r="D63" s="341">
        <f t="shared" ref="D63:J63" si="10">$E$59*D62</f>
        <v>3.3294000000000002E-7</v>
      </c>
      <c r="E63" s="341">
        <f t="shared" si="10"/>
        <v>3.3294E-8</v>
      </c>
      <c r="F63" s="341">
        <f t="shared" si="10"/>
        <v>2.3305800000000003E-5</v>
      </c>
      <c r="G63" s="341">
        <f t="shared" si="10"/>
        <v>9.9881999999999999E-7</v>
      </c>
      <c r="H63" s="341">
        <f t="shared" si="10"/>
        <v>9.9882000000000004E-6</v>
      </c>
      <c r="I63" s="341">
        <f t="shared" si="10"/>
        <v>1.6647000000000001E-7</v>
      </c>
      <c r="J63" s="341">
        <f t="shared" si="10"/>
        <v>1.6647000000000001E-7</v>
      </c>
      <c r="K63" s="304"/>
      <c r="L63" s="304"/>
      <c r="M63" s="304"/>
      <c r="N63" s="304"/>
      <c r="O63" s="304"/>
      <c r="P63" s="304"/>
      <c r="Q63" s="304"/>
      <c r="R63" s="304"/>
      <c r="S63" s="304"/>
      <c r="T63" s="304"/>
      <c r="U63" s="304"/>
      <c r="V63" s="304"/>
      <c r="W63" s="304"/>
      <c r="X63" s="304"/>
      <c r="Y63" s="304"/>
      <c r="Z63" s="305"/>
    </row>
    <row r="64" spans="1:26" x14ac:dyDescent="0.2">
      <c r="A64" s="303"/>
      <c r="B64" s="336" t="s">
        <v>113</v>
      </c>
      <c r="C64" s="304"/>
      <c r="D64" s="304"/>
      <c r="E64" s="304"/>
      <c r="F64" s="304"/>
      <c r="G64" s="304"/>
      <c r="H64" s="304"/>
      <c r="I64" s="304"/>
      <c r="J64" s="304"/>
      <c r="K64" s="304"/>
      <c r="L64" s="304"/>
      <c r="M64" s="304"/>
      <c r="N64" s="304"/>
      <c r="O64" s="304"/>
      <c r="P64" s="304"/>
      <c r="Q64" s="304"/>
      <c r="R64" s="304"/>
      <c r="S64" s="304"/>
      <c r="T64" s="304"/>
      <c r="U64" s="304"/>
      <c r="V64" s="304"/>
      <c r="W64" s="304"/>
      <c r="X64" s="304"/>
      <c r="Y64" s="304"/>
      <c r="Z64" s="305"/>
    </row>
    <row r="65" spans="1:26" x14ac:dyDescent="0.2">
      <c r="A65" s="303"/>
      <c r="B65" s="304"/>
      <c r="C65" s="342"/>
      <c r="D65" s="304"/>
      <c r="E65" s="304"/>
      <c r="F65" s="304"/>
      <c r="G65" s="304"/>
      <c r="H65" s="304"/>
      <c r="I65" s="304"/>
      <c r="J65" s="304"/>
      <c r="K65" s="321"/>
      <c r="L65" s="321"/>
      <c r="M65" s="304"/>
      <c r="N65" s="304"/>
      <c r="O65" s="304"/>
      <c r="P65" s="304"/>
      <c r="Q65" s="304"/>
      <c r="R65" s="304"/>
      <c r="S65" s="304"/>
      <c r="T65" s="304"/>
      <c r="U65" s="304"/>
      <c r="V65" s="304"/>
      <c r="W65" s="304"/>
      <c r="X65" s="304"/>
      <c r="Y65" s="304"/>
      <c r="Z65" s="305"/>
    </row>
    <row r="66" spans="1:26" x14ac:dyDescent="0.2">
      <c r="A66" s="303"/>
      <c r="B66" s="303" t="s">
        <v>118</v>
      </c>
      <c r="C66" s="342"/>
      <c r="D66" s="304"/>
      <c r="E66" s="304"/>
      <c r="F66" s="304"/>
      <c r="G66" s="304"/>
      <c r="H66" s="304"/>
      <c r="I66" s="304"/>
      <c r="J66" s="304"/>
      <c r="K66" s="321"/>
      <c r="L66" s="321"/>
      <c r="M66" s="304"/>
      <c r="N66" s="304"/>
      <c r="O66" s="304"/>
      <c r="P66" s="304"/>
      <c r="Q66" s="304"/>
      <c r="R66" s="304"/>
      <c r="S66" s="304"/>
      <c r="T66" s="304"/>
      <c r="U66" s="304"/>
      <c r="V66" s="304"/>
      <c r="W66" s="304"/>
      <c r="X66" s="304"/>
      <c r="Y66" s="304"/>
      <c r="Z66" s="305"/>
    </row>
    <row r="67" spans="1:26" x14ac:dyDescent="0.2">
      <c r="A67" s="303"/>
      <c r="B67" s="309" t="s">
        <v>119</v>
      </c>
      <c r="C67" s="314">
        <f>Calc1!E59</f>
        <v>0</v>
      </c>
      <c r="D67" s="343" t="s">
        <v>1062</v>
      </c>
      <c r="E67" s="344"/>
      <c r="F67" s="304"/>
      <c r="G67" s="304"/>
      <c r="H67" s="304"/>
      <c r="I67" s="304"/>
      <c r="J67" s="304"/>
      <c r="K67" s="321"/>
      <c r="L67" s="321"/>
      <c r="M67" s="304"/>
      <c r="N67" s="304"/>
      <c r="O67" s="304"/>
      <c r="P67" s="304"/>
      <c r="Q67" s="304"/>
      <c r="R67" s="304"/>
      <c r="S67" s="304"/>
      <c r="T67" s="304"/>
      <c r="U67" s="304"/>
      <c r="V67" s="304"/>
      <c r="W67" s="304"/>
      <c r="X67" s="304"/>
      <c r="Y67" s="304"/>
      <c r="Z67" s="305"/>
    </row>
    <row r="68" spans="1:26" ht="15.75" x14ac:dyDescent="0.3">
      <c r="A68" s="303"/>
      <c r="B68" s="309" t="s">
        <v>120</v>
      </c>
      <c r="C68" s="310" t="s">
        <v>16</v>
      </c>
      <c r="D68" s="310" t="s">
        <v>17</v>
      </c>
      <c r="E68" s="310" t="s">
        <v>789</v>
      </c>
      <c r="F68" s="309" t="s">
        <v>197</v>
      </c>
      <c r="G68" s="309" t="s">
        <v>180</v>
      </c>
      <c r="H68" s="309" t="s">
        <v>194</v>
      </c>
      <c r="I68" s="309" t="s">
        <v>195</v>
      </c>
      <c r="J68" s="309" t="s">
        <v>196</v>
      </c>
      <c r="K68" s="321"/>
      <c r="L68" s="321"/>
      <c r="M68" s="304"/>
      <c r="N68" s="304"/>
      <c r="O68" s="304"/>
      <c r="P68" s="304"/>
      <c r="Q68" s="304"/>
      <c r="R68" s="304"/>
      <c r="S68" s="304"/>
      <c r="T68" s="304"/>
      <c r="U68" s="304"/>
      <c r="V68" s="304"/>
      <c r="W68" s="304"/>
      <c r="X68" s="304"/>
      <c r="Y68" s="304"/>
      <c r="Z68" s="305"/>
    </row>
    <row r="69" spans="1:26" x14ac:dyDescent="0.2">
      <c r="A69" s="303"/>
      <c r="B69" s="309" t="s">
        <v>121</v>
      </c>
      <c r="C69" s="345">
        <v>2.725E-3</v>
      </c>
      <c r="D69" s="340">
        <v>2.6000000000000001E-8</v>
      </c>
      <c r="E69" s="340">
        <v>3.1E-8</v>
      </c>
      <c r="F69" s="309">
        <f>398*42.6*0.845/1000/1000/1000</f>
        <v>1.4326806E-5</v>
      </c>
      <c r="G69" s="309">
        <f>0.19*42.6*0.845/1000/1000/1000</f>
        <v>6.8394300000000015E-9</v>
      </c>
      <c r="H69" s="309">
        <f>1.49*42.6*0.845/1000/1000/1000</f>
        <v>5.363553E-8</v>
      </c>
      <c r="I69" s="309">
        <f>3*42.6*0.845/1000/1000/1000</f>
        <v>1.07991E-7</v>
      </c>
      <c r="J69" s="309">
        <f>46.1*42.6*0.845/1000/1000/1000</f>
        <v>1.6594617000000001E-6</v>
      </c>
      <c r="K69" s="304"/>
      <c r="L69" s="321"/>
      <c r="M69" s="304"/>
      <c r="N69" s="304"/>
      <c r="O69" s="304"/>
      <c r="P69" s="304"/>
      <c r="Q69" s="304"/>
      <c r="R69" s="304"/>
      <c r="S69" s="304"/>
      <c r="T69" s="304"/>
      <c r="U69" s="304"/>
      <c r="V69" s="304"/>
      <c r="W69" s="304"/>
      <c r="X69" s="304"/>
      <c r="Y69" s="304"/>
      <c r="Z69" s="305"/>
    </row>
    <row r="70" spans="1:26" x14ac:dyDescent="0.2">
      <c r="A70" s="303"/>
      <c r="B70" s="309" t="s">
        <v>39</v>
      </c>
      <c r="C70" s="341">
        <f>$C$67*C69</f>
        <v>0</v>
      </c>
      <c r="D70" s="341">
        <f t="shared" ref="D70:J70" si="11">$C$67*D69</f>
        <v>0</v>
      </c>
      <c r="E70" s="341">
        <f t="shared" si="11"/>
        <v>0</v>
      </c>
      <c r="F70" s="341">
        <f t="shared" si="11"/>
        <v>0</v>
      </c>
      <c r="G70" s="341">
        <f t="shared" si="11"/>
        <v>0</v>
      </c>
      <c r="H70" s="341">
        <f t="shared" si="11"/>
        <v>0</v>
      </c>
      <c r="I70" s="341">
        <f t="shared" si="11"/>
        <v>0</v>
      </c>
      <c r="J70" s="341">
        <f t="shared" si="11"/>
        <v>0</v>
      </c>
      <c r="K70" s="321"/>
      <c r="L70" s="321"/>
      <c r="M70" s="304"/>
      <c r="N70" s="304"/>
      <c r="O70" s="304"/>
      <c r="P70" s="304"/>
      <c r="Q70" s="304"/>
      <c r="R70" s="304"/>
      <c r="S70" s="304"/>
      <c r="T70" s="304"/>
      <c r="U70" s="304"/>
      <c r="V70" s="304"/>
      <c r="W70" s="304"/>
      <c r="X70" s="304"/>
      <c r="Y70" s="304"/>
      <c r="Z70" s="305"/>
    </row>
    <row r="71" spans="1:26" x14ac:dyDescent="0.2">
      <c r="A71" s="303"/>
      <c r="B71" s="335" t="s">
        <v>122</v>
      </c>
      <c r="C71" s="342"/>
      <c r="D71" s="304"/>
      <c r="E71" s="304"/>
      <c r="F71" s="304"/>
      <c r="G71" s="304"/>
      <c r="H71" s="304"/>
      <c r="I71" s="304"/>
      <c r="J71" s="304"/>
      <c r="K71" s="321"/>
      <c r="L71" s="321"/>
      <c r="M71" s="304"/>
      <c r="N71" s="304"/>
      <c r="O71" s="304"/>
      <c r="P71" s="304"/>
      <c r="Q71" s="304"/>
      <c r="R71" s="304"/>
      <c r="S71" s="304"/>
      <c r="T71" s="304"/>
      <c r="U71" s="304"/>
      <c r="V71" s="304"/>
      <c r="W71" s="304"/>
      <c r="X71" s="304"/>
      <c r="Y71" s="304"/>
      <c r="Z71" s="305"/>
    </row>
    <row r="72" spans="1:26" x14ac:dyDescent="0.2">
      <c r="A72" s="303"/>
      <c r="B72" s="303"/>
      <c r="C72" s="304"/>
      <c r="D72" s="304"/>
      <c r="E72" s="304"/>
      <c r="F72" s="304"/>
      <c r="G72" s="304"/>
      <c r="H72" s="304"/>
      <c r="I72" s="304"/>
      <c r="J72" s="304"/>
      <c r="K72" s="321"/>
      <c r="L72" s="321"/>
      <c r="M72" s="304"/>
      <c r="N72" s="304"/>
      <c r="O72" s="304"/>
      <c r="P72" s="304"/>
      <c r="Q72" s="304"/>
      <c r="R72" s="304"/>
      <c r="S72" s="304"/>
      <c r="T72" s="304"/>
      <c r="U72" s="304"/>
      <c r="V72" s="304"/>
      <c r="W72" s="304"/>
      <c r="X72" s="304"/>
      <c r="Y72" s="304"/>
      <c r="Z72" s="305"/>
    </row>
    <row r="73" spans="1:26" x14ac:dyDescent="0.2">
      <c r="A73" s="303"/>
      <c r="B73" s="303" t="s">
        <v>165</v>
      </c>
      <c r="C73" s="304"/>
      <c r="D73" s="304"/>
      <c r="E73" s="304"/>
      <c r="F73" s="304"/>
      <c r="G73" s="304"/>
      <c r="H73" s="304"/>
      <c r="I73" s="304"/>
      <c r="J73" s="304"/>
      <c r="K73" s="304"/>
      <c r="L73" s="321"/>
      <c r="M73" s="304"/>
      <c r="N73" s="304"/>
      <c r="O73" s="304"/>
      <c r="P73" s="304"/>
      <c r="Q73" s="304"/>
      <c r="R73" s="304"/>
      <c r="S73" s="304"/>
      <c r="T73" s="304"/>
      <c r="U73" s="304"/>
      <c r="V73" s="304"/>
      <c r="W73" s="304"/>
      <c r="X73" s="304"/>
      <c r="Y73" s="304"/>
      <c r="Z73" s="305"/>
    </row>
    <row r="74" spans="1:26" x14ac:dyDescent="0.2">
      <c r="A74" s="303"/>
      <c r="B74" s="309" t="s">
        <v>173</v>
      </c>
      <c r="C74" s="314">
        <f>Calc1!G59*28.1/1000</f>
        <v>0</v>
      </c>
      <c r="D74" s="343" t="s">
        <v>1061</v>
      </c>
      <c r="E74" s="344"/>
      <c r="F74" s="304"/>
      <c r="G74" s="304"/>
      <c r="H74" s="304"/>
      <c r="I74" s="304"/>
      <c r="J74" s="304"/>
      <c r="K74" s="304"/>
      <c r="L74" s="321"/>
      <c r="M74" s="304"/>
      <c r="N74" s="304"/>
      <c r="O74" s="304"/>
      <c r="P74" s="304"/>
      <c r="Q74" s="304"/>
      <c r="R74" s="304"/>
      <c r="S74" s="304"/>
      <c r="T74" s="304"/>
      <c r="U74" s="304"/>
      <c r="V74" s="304"/>
      <c r="W74" s="304"/>
      <c r="X74" s="304"/>
      <c r="Y74" s="304"/>
      <c r="Z74" s="305"/>
    </row>
    <row r="75" spans="1:26" ht="15.75" x14ac:dyDescent="0.3">
      <c r="A75" s="303"/>
      <c r="B75" s="309" t="s">
        <v>120</v>
      </c>
      <c r="C75" s="310" t="s">
        <v>16</v>
      </c>
      <c r="D75" s="310" t="s">
        <v>17</v>
      </c>
      <c r="E75" s="310" t="s">
        <v>789</v>
      </c>
      <c r="F75" s="312" t="s">
        <v>197</v>
      </c>
      <c r="G75" s="312" t="s">
        <v>180</v>
      </c>
      <c r="H75" s="312" t="s">
        <v>194</v>
      </c>
      <c r="I75" s="312" t="s">
        <v>195</v>
      </c>
      <c r="J75" s="312" t="s">
        <v>196</v>
      </c>
      <c r="K75" s="304"/>
      <c r="L75" s="321"/>
      <c r="M75" s="304"/>
      <c r="N75" s="304"/>
      <c r="O75" s="304"/>
      <c r="P75" s="304"/>
      <c r="Q75" s="304"/>
      <c r="R75" s="304"/>
      <c r="S75" s="304"/>
      <c r="T75" s="304"/>
      <c r="U75" s="304"/>
      <c r="V75" s="304"/>
      <c r="W75" s="304"/>
      <c r="X75" s="304"/>
      <c r="Y75" s="304"/>
      <c r="Z75" s="305"/>
    </row>
    <row r="76" spans="1:26" x14ac:dyDescent="0.2">
      <c r="A76" s="303"/>
      <c r="B76" s="309" t="s">
        <v>214</v>
      </c>
      <c r="C76" s="346">
        <v>94000</v>
      </c>
      <c r="D76" s="315">
        <v>10</v>
      </c>
      <c r="E76" s="315">
        <v>1.5</v>
      </c>
      <c r="F76" s="312">
        <v>160</v>
      </c>
      <c r="G76" s="312">
        <v>200</v>
      </c>
      <c r="H76" s="312">
        <v>2000</v>
      </c>
      <c r="I76" s="312">
        <v>190</v>
      </c>
      <c r="J76" s="312">
        <v>900</v>
      </c>
      <c r="K76" s="304"/>
      <c r="L76" s="321"/>
      <c r="M76" s="304"/>
      <c r="N76" s="304"/>
      <c r="O76" s="304"/>
      <c r="P76" s="304"/>
      <c r="Q76" s="304"/>
      <c r="R76" s="304"/>
      <c r="S76" s="304"/>
      <c r="T76" s="304"/>
      <c r="U76" s="304"/>
      <c r="V76" s="304"/>
      <c r="W76" s="304"/>
      <c r="X76" s="304"/>
      <c r="Y76" s="304"/>
      <c r="Z76" s="305"/>
    </row>
    <row r="77" spans="1:26" x14ac:dyDescent="0.2">
      <c r="A77" s="303"/>
      <c r="B77" s="309" t="s">
        <v>39</v>
      </c>
      <c r="C77" s="347">
        <f t="shared" ref="C77:J77" si="12">$C$74*C76/1000/1000</f>
        <v>0</v>
      </c>
      <c r="D77" s="347">
        <f t="shared" si="12"/>
        <v>0</v>
      </c>
      <c r="E77" s="347">
        <f t="shared" si="12"/>
        <v>0</v>
      </c>
      <c r="F77" s="347">
        <f t="shared" si="12"/>
        <v>0</v>
      </c>
      <c r="G77" s="347">
        <f t="shared" si="12"/>
        <v>0</v>
      </c>
      <c r="H77" s="347">
        <f t="shared" si="12"/>
        <v>0</v>
      </c>
      <c r="I77" s="347">
        <f t="shared" si="12"/>
        <v>0</v>
      </c>
      <c r="J77" s="347">
        <f t="shared" si="12"/>
        <v>0</v>
      </c>
      <c r="K77" s="304"/>
      <c r="L77" s="321"/>
      <c r="M77" s="304"/>
      <c r="N77" s="304"/>
      <c r="O77" s="304"/>
      <c r="P77" s="304"/>
      <c r="Q77" s="304"/>
      <c r="R77" s="304"/>
      <c r="S77" s="304"/>
      <c r="T77" s="304"/>
      <c r="U77" s="304"/>
      <c r="V77" s="304"/>
      <c r="W77" s="304"/>
      <c r="X77" s="304"/>
      <c r="Y77" s="304"/>
      <c r="Z77" s="305"/>
    </row>
    <row r="78" spans="1:26" x14ac:dyDescent="0.2">
      <c r="A78" s="303"/>
      <c r="B78" s="336" t="s">
        <v>724</v>
      </c>
      <c r="C78" s="304"/>
      <c r="D78" s="304"/>
      <c r="E78" s="304"/>
      <c r="F78" s="304"/>
      <c r="G78" s="304"/>
      <c r="H78" s="304"/>
      <c r="I78" s="304"/>
      <c r="J78" s="304"/>
      <c r="K78" s="304"/>
      <c r="L78" s="321"/>
      <c r="M78" s="304"/>
      <c r="N78" s="304"/>
      <c r="O78" s="304"/>
      <c r="P78" s="304"/>
      <c r="Q78" s="304"/>
      <c r="R78" s="304"/>
      <c r="S78" s="304"/>
      <c r="T78" s="304"/>
      <c r="U78" s="304"/>
      <c r="V78" s="304"/>
      <c r="W78" s="304"/>
      <c r="X78" s="304"/>
      <c r="Y78" s="304"/>
      <c r="Z78" s="305"/>
    </row>
    <row r="79" spans="1:26" x14ac:dyDescent="0.2">
      <c r="A79" s="303"/>
      <c r="B79" s="303"/>
      <c r="C79" s="304"/>
      <c r="D79" s="304"/>
      <c r="E79" s="304"/>
      <c r="F79" s="304"/>
      <c r="G79" s="304"/>
      <c r="H79" s="304"/>
      <c r="I79" s="304"/>
      <c r="J79" s="304"/>
      <c r="K79" s="321"/>
      <c r="L79" s="321"/>
      <c r="M79" s="304"/>
      <c r="N79" s="304"/>
      <c r="O79" s="304"/>
      <c r="P79" s="304"/>
      <c r="Q79" s="304"/>
      <c r="R79" s="304"/>
      <c r="S79" s="304"/>
      <c r="T79" s="304"/>
      <c r="U79" s="304"/>
      <c r="V79" s="304"/>
      <c r="W79" s="304"/>
      <c r="X79" s="304"/>
      <c r="Y79" s="304"/>
      <c r="Z79" s="305"/>
    </row>
    <row r="80" spans="1:26" x14ac:dyDescent="0.2">
      <c r="A80" s="303"/>
      <c r="B80" s="348" t="s">
        <v>1085</v>
      </c>
      <c r="C80" s="341">
        <f>+C63+C70+C77</f>
        <v>1.8677934E-2</v>
      </c>
      <c r="D80" s="341">
        <f t="shared" ref="D80:J80" si="13">+D63+D70+D77</f>
        <v>3.3294000000000002E-7</v>
      </c>
      <c r="E80" s="341">
        <f t="shared" si="13"/>
        <v>3.3294E-8</v>
      </c>
      <c r="F80" s="341">
        <f t="shared" si="13"/>
        <v>2.3305800000000003E-5</v>
      </c>
      <c r="G80" s="341">
        <f t="shared" si="13"/>
        <v>9.9881999999999999E-7</v>
      </c>
      <c r="H80" s="341">
        <f t="shared" si="13"/>
        <v>9.9882000000000004E-6</v>
      </c>
      <c r="I80" s="341">
        <f t="shared" si="13"/>
        <v>1.6647000000000001E-7</v>
      </c>
      <c r="J80" s="341">
        <f t="shared" si="13"/>
        <v>1.6647000000000001E-7</v>
      </c>
      <c r="K80" s="321"/>
      <c r="L80" s="321"/>
      <c r="M80" s="304"/>
      <c r="N80" s="304"/>
      <c r="O80" s="304"/>
      <c r="P80" s="304"/>
      <c r="Q80" s="304"/>
      <c r="R80" s="304"/>
      <c r="S80" s="304"/>
      <c r="T80" s="304"/>
      <c r="U80" s="304"/>
      <c r="V80" s="304"/>
      <c r="W80" s="304"/>
      <c r="X80" s="304"/>
      <c r="Y80" s="304"/>
      <c r="Z80" s="305"/>
    </row>
    <row r="81" spans="1:26" x14ac:dyDescent="0.2">
      <c r="A81" s="303"/>
      <c r="B81" s="303"/>
      <c r="C81" s="304"/>
      <c r="D81" s="304"/>
      <c r="E81" s="304"/>
      <c r="F81" s="304"/>
      <c r="G81" s="304"/>
      <c r="H81" s="304"/>
      <c r="I81" s="304"/>
      <c r="J81" s="304"/>
      <c r="K81" s="321"/>
      <c r="L81" s="321"/>
      <c r="M81" s="304"/>
      <c r="N81" s="304"/>
      <c r="O81" s="304"/>
      <c r="P81" s="304"/>
      <c r="Q81" s="304"/>
      <c r="R81" s="304"/>
      <c r="S81" s="304"/>
      <c r="T81" s="304"/>
      <c r="U81" s="304"/>
      <c r="V81" s="304"/>
      <c r="W81" s="304"/>
      <c r="X81" s="304"/>
      <c r="Y81" s="304"/>
      <c r="Z81" s="305"/>
    </row>
    <row r="82" spans="1:26" x14ac:dyDescent="0.2">
      <c r="A82" s="303"/>
      <c r="B82" s="303"/>
      <c r="C82" s="304"/>
      <c r="D82" s="304"/>
      <c r="E82" s="304"/>
      <c r="F82" s="304"/>
      <c r="G82" s="304"/>
      <c r="H82" s="304"/>
      <c r="I82" s="304"/>
      <c r="J82" s="304"/>
      <c r="K82" s="321"/>
      <c r="L82" s="321"/>
      <c r="M82" s="304"/>
      <c r="N82" s="304"/>
      <c r="O82" s="304"/>
      <c r="P82" s="304"/>
      <c r="Q82" s="304"/>
      <c r="R82" s="304"/>
      <c r="S82" s="304"/>
      <c r="T82" s="304"/>
      <c r="U82" s="304"/>
      <c r="V82" s="304"/>
      <c r="W82" s="304"/>
      <c r="X82" s="304"/>
      <c r="Y82" s="304"/>
      <c r="Z82" s="305"/>
    </row>
    <row r="83" spans="1:26" x14ac:dyDescent="0.2">
      <c r="A83" s="303" t="s">
        <v>631</v>
      </c>
      <c r="B83" s="303" t="s">
        <v>634</v>
      </c>
      <c r="C83" s="304"/>
      <c r="D83" s="304"/>
      <c r="E83" s="304"/>
      <c r="F83" s="304"/>
      <c r="G83" s="304"/>
      <c r="H83" s="304"/>
      <c r="I83" s="304"/>
      <c r="J83" s="304"/>
      <c r="K83" s="304"/>
      <c r="L83" s="304"/>
      <c r="M83" s="304"/>
      <c r="N83" s="304"/>
      <c r="O83" s="304"/>
      <c r="P83" s="304"/>
      <c r="Q83" s="304"/>
      <c r="R83" s="304"/>
      <c r="S83" s="304"/>
      <c r="T83" s="304"/>
      <c r="U83" s="304"/>
      <c r="V83" s="304"/>
      <c r="W83" s="304"/>
      <c r="X83" s="304"/>
      <c r="Y83" s="304"/>
      <c r="Z83" s="305"/>
    </row>
    <row r="84" spans="1:26" x14ac:dyDescent="0.2">
      <c r="A84" s="303"/>
      <c r="B84" s="304"/>
      <c r="C84" s="304"/>
      <c r="D84" s="304"/>
      <c r="E84" s="304"/>
      <c r="F84" s="304"/>
      <c r="G84" s="304"/>
      <c r="H84" s="304"/>
      <c r="I84" s="304"/>
      <c r="J84" s="304"/>
      <c r="K84" s="304"/>
      <c r="L84" s="304"/>
      <c r="M84" s="304"/>
      <c r="N84" s="304"/>
      <c r="O84" s="304"/>
      <c r="P84" s="304"/>
      <c r="Q84" s="304"/>
      <c r="R84" s="304"/>
      <c r="S84" s="304"/>
      <c r="T84" s="304"/>
      <c r="U84" s="304"/>
      <c r="V84" s="304"/>
      <c r="W84" s="304"/>
      <c r="X84" s="304"/>
      <c r="Y84" s="304"/>
      <c r="Z84" s="305"/>
    </row>
    <row r="85" spans="1:26" ht="15.75" x14ac:dyDescent="0.3">
      <c r="A85" s="303"/>
      <c r="B85" s="304"/>
      <c r="C85" s="310" t="s">
        <v>27</v>
      </c>
      <c r="D85" s="310"/>
      <c r="E85" s="310" t="s">
        <v>16</v>
      </c>
      <c r="F85" s="310" t="s">
        <v>17</v>
      </c>
      <c r="G85" s="310" t="s">
        <v>789</v>
      </c>
      <c r="H85" s="309" t="s">
        <v>197</v>
      </c>
      <c r="I85" s="309" t="s">
        <v>180</v>
      </c>
      <c r="J85" s="309" t="s">
        <v>194</v>
      </c>
      <c r="K85" s="309" t="s">
        <v>195</v>
      </c>
      <c r="L85" s="309" t="s">
        <v>196</v>
      </c>
      <c r="M85" s="304"/>
      <c r="N85" s="304"/>
      <c r="O85" s="304"/>
      <c r="P85" s="304"/>
      <c r="Q85" s="304"/>
      <c r="R85" s="304"/>
      <c r="S85" s="304"/>
      <c r="T85" s="304"/>
      <c r="U85" s="304"/>
      <c r="V85" s="304"/>
      <c r="W85" s="304"/>
      <c r="X85" s="304"/>
      <c r="Y85" s="304"/>
      <c r="Z85" s="305"/>
    </row>
    <row r="86" spans="1:26" ht="14.25" x14ac:dyDescent="0.2">
      <c r="A86" s="303"/>
      <c r="B86" s="349" t="s">
        <v>162</v>
      </c>
      <c r="C86" s="350">
        <f>Calc1!C64</f>
        <v>0</v>
      </c>
      <c r="D86" s="310" t="s">
        <v>166</v>
      </c>
      <c r="E86" s="628">
        <v>3.15</v>
      </c>
      <c r="F86" s="620">
        <v>7.4999999999999997E-3</v>
      </c>
      <c r="G86" s="620">
        <v>3.8800000000000001E-2</v>
      </c>
      <c r="H86" s="309">
        <f>5.04*0.8/1000</f>
        <v>4.032E-3</v>
      </c>
      <c r="I86" s="309">
        <f>20.22*0.8/1000</f>
        <v>1.6175999999999999E-2</v>
      </c>
      <c r="J86" s="309">
        <f>672.08*0.8/1000</f>
        <v>0.53766400000000014</v>
      </c>
      <c r="K86" s="309">
        <f>151.88*0.8/1000</f>
        <v>0.121504</v>
      </c>
      <c r="L86" s="309">
        <f>1.02*0.8/1000</f>
        <v>8.160000000000001E-4</v>
      </c>
      <c r="M86" s="304"/>
      <c r="N86" s="304"/>
      <c r="O86" s="304"/>
      <c r="P86" s="304"/>
      <c r="Q86" s="304"/>
      <c r="R86" s="304"/>
      <c r="S86" s="304"/>
      <c r="T86" s="304"/>
      <c r="U86" s="304"/>
      <c r="V86" s="304"/>
      <c r="W86" s="304"/>
      <c r="X86" s="304"/>
      <c r="Y86" s="304"/>
      <c r="Z86" s="305"/>
    </row>
    <row r="87" spans="1:26" ht="14.25" x14ac:dyDescent="0.2">
      <c r="A87" s="303"/>
      <c r="B87" s="349"/>
      <c r="C87" s="309"/>
      <c r="D87" s="309" t="s">
        <v>39</v>
      </c>
      <c r="E87" s="621">
        <f>$C$86*E86/1000</f>
        <v>0</v>
      </c>
      <c r="F87" s="621">
        <f t="shared" ref="F87:L87" si="14">$C$86*F86/1000</f>
        <v>0</v>
      </c>
      <c r="G87" s="621">
        <f t="shared" si="14"/>
        <v>0</v>
      </c>
      <c r="H87" s="353">
        <f t="shared" si="14"/>
        <v>0</v>
      </c>
      <c r="I87" s="353">
        <f t="shared" si="14"/>
        <v>0</v>
      </c>
      <c r="J87" s="353">
        <f t="shared" si="14"/>
        <v>0</v>
      </c>
      <c r="K87" s="353">
        <f t="shared" si="14"/>
        <v>0</v>
      </c>
      <c r="L87" s="353">
        <f t="shared" si="14"/>
        <v>0</v>
      </c>
      <c r="M87" s="304"/>
      <c r="N87" s="304"/>
      <c r="O87" s="304"/>
      <c r="P87" s="304"/>
      <c r="Q87" s="304"/>
      <c r="R87" s="304"/>
      <c r="S87" s="304"/>
      <c r="T87" s="304"/>
      <c r="U87" s="304"/>
      <c r="V87" s="304"/>
      <c r="W87" s="304"/>
      <c r="X87" s="304"/>
      <c r="Y87" s="304"/>
      <c r="Z87" s="305"/>
    </row>
    <row r="88" spans="1:26" ht="14.25" x14ac:dyDescent="0.2">
      <c r="A88" s="303"/>
      <c r="B88" s="349" t="s">
        <v>163</v>
      </c>
      <c r="C88" s="350">
        <f>Calc1!C65</f>
        <v>0</v>
      </c>
      <c r="D88" s="310" t="s">
        <v>167</v>
      </c>
      <c r="E88" s="622">
        <v>1.73</v>
      </c>
      <c r="F88" s="623">
        <v>2.4000000000000001E-5</v>
      </c>
      <c r="G88" s="623">
        <v>1.08E-4</v>
      </c>
      <c r="H88" s="309">
        <f>H90</f>
        <v>1.32</v>
      </c>
      <c r="I88" s="309">
        <f t="shared" ref="I88:L88" si="15">I90</f>
        <v>6.57</v>
      </c>
      <c r="J88" s="309">
        <f t="shared" si="15"/>
        <v>7.19</v>
      </c>
      <c r="K88" s="309">
        <f t="shared" si="15"/>
        <v>24.21</v>
      </c>
      <c r="L88" s="309">
        <f t="shared" si="15"/>
        <v>0</v>
      </c>
      <c r="M88" s="304"/>
      <c r="N88" s="304"/>
      <c r="O88" s="304"/>
      <c r="P88" s="304"/>
      <c r="Q88" s="304"/>
      <c r="R88" s="304"/>
      <c r="S88" s="304"/>
      <c r="T88" s="304"/>
      <c r="U88" s="304"/>
      <c r="V88" s="304"/>
      <c r="W88" s="304"/>
      <c r="X88" s="304"/>
      <c r="Y88" s="304"/>
      <c r="Z88" s="305"/>
    </row>
    <row r="89" spans="1:26" ht="14.25" x14ac:dyDescent="0.2">
      <c r="A89" s="303"/>
      <c r="B89" s="349"/>
      <c r="C89" s="309"/>
      <c r="D89" s="309" t="s">
        <v>39</v>
      </c>
      <c r="E89" s="624">
        <f>$C$88*E88/1000</f>
        <v>0</v>
      </c>
      <c r="F89" s="624">
        <f t="shared" ref="F89:G89" si="16">$C$88*F88/1000</f>
        <v>0</v>
      </c>
      <c r="G89" s="624">
        <f t="shared" si="16"/>
        <v>0</v>
      </c>
      <c r="H89" s="309"/>
      <c r="I89" s="309"/>
      <c r="J89" s="309"/>
      <c r="K89" s="309"/>
      <c r="L89" s="309"/>
      <c r="M89" s="304"/>
      <c r="N89" s="304"/>
      <c r="O89" s="304"/>
      <c r="P89" s="304"/>
      <c r="Q89" s="304"/>
      <c r="R89" s="304"/>
      <c r="S89" s="304"/>
      <c r="T89" s="304"/>
      <c r="U89" s="304"/>
      <c r="V89" s="304"/>
      <c r="W89" s="304"/>
      <c r="X89" s="304"/>
      <c r="Y89" s="304"/>
      <c r="Z89" s="305"/>
    </row>
    <row r="90" spans="1:26" ht="14.25" x14ac:dyDescent="0.2">
      <c r="A90" s="303"/>
      <c r="B90" s="349" t="s">
        <v>114</v>
      </c>
      <c r="C90" s="356">
        <f xml:space="preserve"> Calc1!C66</f>
        <v>0</v>
      </c>
      <c r="D90" s="310" t="s">
        <v>646</v>
      </c>
      <c r="E90" s="625">
        <v>3030</v>
      </c>
      <c r="F90" s="620">
        <v>5.2999999999999999E-2</v>
      </c>
      <c r="G90" s="620">
        <v>0.2112</v>
      </c>
      <c r="H90" s="309">
        <v>1.32</v>
      </c>
      <c r="I90" s="309">
        <v>6.57</v>
      </c>
      <c r="J90" s="309">
        <v>7.19</v>
      </c>
      <c r="K90" s="309">
        <v>24.21</v>
      </c>
      <c r="L90" s="309">
        <v>0</v>
      </c>
      <c r="M90" s="358" t="s">
        <v>217</v>
      </c>
      <c r="N90" s="359"/>
      <c r="O90" s="359"/>
      <c r="P90" s="359"/>
      <c r="Q90" s="359"/>
      <c r="R90" s="360"/>
      <c r="S90" s="304"/>
      <c r="T90" s="304"/>
      <c r="U90" s="304"/>
      <c r="V90" s="304"/>
      <c r="W90" s="304"/>
      <c r="X90" s="304"/>
      <c r="Y90" s="304"/>
      <c r="Z90" s="305"/>
    </row>
    <row r="91" spans="1:26" ht="14.25" x14ac:dyDescent="0.2">
      <c r="A91" s="303"/>
      <c r="B91" s="349"/>
      <c r="C91" s="309"/>
      <c r="D91" s="309" t="s">
        <v>39</v>
      </c>
      <c r="E91" s="624">
        <f>$C$90*E90/1000/1000</f>
        <v>0</v>
      </c>
      <c r="F91" s="624">
        <f t="shared" ref="F91:L91" si="17">$C$90*F90/1000/1000</f>
        <v>0</v>
      </c>
      <c r="G91" s="624">
        <f t="shared" si="17"/>
        <v>0</v>
      </c>
      <c r="H91" s="341">
        <f t="shared" si="17"/>
        <v>0</v>
      </c>
      <c r="I91" s="341">
        <f t="shared" si="17"/>
        <v>0</v>
      </c>
      <c r="J91" s="341">
        <f t="shared" si="17"/>
        <v>0</v>
      </c>
      <c r="K91" s="341">
        <f t="shared" si="17"/>
        <v>0</v>
      </c>
      <c r="L91" s="341">
        <f t="shared" si="17"/>
        <v>0</v>
      </c>
      <c r="M91" s="361"/>
      <c r="N91" s="321" t="s">
        <v>218</v>
      </c>
      <c r="O91" s="321"/>
      <c r="P91" s="321"/>
      <c r="Q91" s="321"/>
      <c r="R91" s="362"/>
      <c r="S91" s="304"/>
      <c r="T91" s="304"/>
      <c r="U91" s="304"/>
      <c r="V91" s="304"/>
      <c r="W91" s="304"/>
      <c r="X91" s="304"/>
      <c r="Y91" s="304"/>
      <c r="Z91" s="305"/>
    </row>
    <row r="92" spans="1:26" ht="14.25" x14ac:dyDescent="0.2">
      <c r="A92" s="303"/>
      <c r="B92" s="349" t="s">
        <v>184</v>
      </c>
      <c r="C92" s="350">
        <f>Calc1!C67</f>
        <v>0</v>
      </c>
      <c r="D92" s="310" t="s">
        <v>125</v>
      </c>
      <c r="E92" s="624">
        <v>2.5339999999999998</v>
      </c>
      <c r="F92" s="626">
        <v>8.0000000000000007E-5</v>
      </c>
      <c r="G92" s="626">
        <v>2.3000000000000001E-4</v>
      </c>
      <c r="H92" s="309">
        <f>$P$95/10^3*0.1198</f>
        <v>4.03127E-3</v>
      </c>
      <c r="I92" s="309">
        <f>$R$95/10^3*0.1198</f>
        <v>1.6173E-2</v>
      </c>
      <c r="J92" s="309">
        <f>$N$95/10^3*0.1198</f>
        <v>0.53754259999999998</v>
      </c>
      <c r="K92" s="309">
        <f>$O$95/10^3*0.1198</f>
        <v>0.12147720000000001</v>
      </c>
      <c r="L92" s="309">
        <f>$Q$95/10^3*0.1198</f>
        <v>8.1463999999999994E-4</v>
      </c>
      <c r="M92" s="361" t="s">
        <v>23</v>
      </c>
      <c r="N92" s="321" t="s">
        <v>194</v>
      </c>
      <c r="O92" s="321" t="s">
        <v>195</v>
      </c>
      <c r="P92" s="321" t="s">
        <v>210</v>
      </c>
      <c r="Q92" s="321" t="s">
        <v>211</v>
      </c>
      <c r="R92" s="362" t="s">
        <v>180</v>
      </c>
      <c r="S92" s="304"/>
      <c r="T92" s="304"/>
      <c r="U92" s="304"/>
      <c r="V92" s="304"/>
      <c r="W92" s="304"/>
      <c r="X92" s="304"/>
      <c r="Y92" s="304"/>
      <c r="Z92" s="305"/>
    </row>
    <row r="93" spans="1:26" ht="14.25" x14ac:dyDescent="0.2">
      <c r="A93" s="303"/>
      <c r="B93" s="349"/>
      <c r="C93" s="309"/>
      <c r="D93" s="309" t="s">
        <v>39</v>
      </c>
      <c r="E93" s="624">
        <f>$C$92*E92/1000</f>
        <v>0</v>
      </c>
      <c r="F93" s="624">
        <f t="shared" ref="F93:L93" si="18">$C$92*F92/1000</f>
        <v>0</v>
      </c>
      <c r="G93" s="624">
        <f t="shared" si="18"/>
        <v>0</v>
      </c>
      <c r="H93" s="341">
        <f t="shared" si="18"/>
        <v>0</v>
      </c>
      <c r="I93" s="341">
        <f t="shared" si="18"/>
        <v>0</v>
      </c>
      <c r="J93" s="341">
        <f t="shared" si="18"/>
        <v>0</v>
      </c>
      <c r="K93" s="341">
        <f t="shared" si="18"/>
        <v>0</v>
      </c>
      <c r="L93" s="341">
        <f t="shared" si="18"/>
        <v>0</v>
      </c>
      <c r="M93" s="364" t="s">
        <v>209</v>
      </c>
      <c r="N93" s="365">
        <v>34.799999999999997</v>
      </c>
      <c r="O93" s="365">
        <v>117.2</v>
      </c>
      <c r="P93" s="365">
        <v>6.4</v>
      </c>
      <c r="Q93" s="365">
        <v>0.02</v>
      </c>
      <c r="R93" s="366">
        <v>31.8</v>
      </c>
      <c r="S93" s="304"/>
      <c r="T93" s="304"/>
      <c r="U93" s="304"/>
      <c r="V93" s="304"/>
      <c r="W93" s="304"/>
      <c r="X93" s="304"/>
      <c r="Y93" s="304"/>
      <c r="Z93" s="305"/>
    </row>
    <row r="94" spans="1:26" ht="14.25" x14ac:dyDescent="0.2">
      <c r="A94" s="303"/>
      <c r="B94" s="349" t="s">
        <v>185</v>
      </c>
      <c r="C94" s="350">
        <f>Calc1!C68</f>
        <v>0</v>
      </c>
      <c r="D94" s="310" t="s">
        <v>188</v>
      </c>
      <c r="E94" s="624">
        <v>2.5339999999999998</v>
      </c>
      <c r="F94" s="626">
        <v>8.0000000000000007E-5</v>
      </c>
      <c r="G94" s="626">
        <v>2.3000000000000001E-4</v>
      </c>
      <c r="H94" s="309">
        <f>$P$94/10^3*0.1198</f>
        <v>3.2202239999999998E-3</v>
      </c>
      <c r="I94" s="309">
        <f>$R$94/10^3*0.1198</f>
        <v>1.5334400000000002E-2</v>
      </c>
      <c r="J94" s="309">
        <f>$N$94/10^3*0.1198</f>
        <v>0.4293632</v>
      </c>
      <c r="K94" s="309">
        <f>$O$94/10^3*0.1198</f>
        <v>0.115008</v>
      </c>
      <c r="L94" s="309">
        <f>$Q$94/10^3*0.1198</f>
        <v>4.5524000000000004E-4</v>
      </c>
      <c r="M94" s="361" t="s">
        <v>212</v>
      </c>
      <c r="N94" s="321">
        <v>3584</v>
      </c>
      <c r="O94" s="321">
        <v>960</v>
      </c>
      <c r="P94" s="321">
        <v>26.88</v>
      </c>
      <c r="Q94" s="321">
        <v>3.8</v>
      </c>
      <c r="R94" s="362">
        <v>128</v>
      </c>
      <c r="S94" s="304"/>
      <c r="T94" s="304"/>
      <c r="U94" s="304"/>
      <c r="V94" s="304"/>
      <c r="W94" s="304"/>
      <c r="X94" s="304"/>
      <c r="Y94" s="304"/>
      <c r="Z94" s="305"/>
    </row>
    <row r="95" spans="1:26" ht="14.25" x14ac:dyDescent="0.2">
      <c r="A95" s="303"/>
      <c r="B95" s="349"/>
      <c r="C95" s="309"/>
      <c r="D95" s="309" t="s">
        <v>39</v>
      </c>
      <c r="E95" s="624">
        <f>$C$94*E94/1000</f>
        <v>0</v>
      </c>
      <c r="F95" s="624">
        <f t="shared" ref="F95:L95" si="19">$C$94*F94/1000</f>
        <v>0</v>
      </c>
      <c r="G95" s="624">
        <f t="shared" si="19"/>
        <v>0</v>
      </c>
      <c r="H95" s="341">
        <f t="shared" si="19"/>
        <v>0</v>
      </c>
      <c r="I95" s="341">
        <f t="shared" si="19"/>
        <v>0</v>
      </c>
      <c r="J95" s="341">
        <f t="shared" si="19"/>
        <v>0</v>
      </c>
      <c r="K95" s="341">
        <f t="shared" si="19"/>
        <v>0</v>
      </c>
      <c r="L95" s="341">
        <f t="shared" si="19"/>
        <v>0</v>
      </c>
      <c r="M95" s="367" t="s">
        <v>213</v>
      </c>
      <c r="N95" s="368">
        <v>4487</v>
      </c>
      <c r="O95" s="368">
        <v>1014</v>
      </c>
      <c r="P95" s="368">
        <v>33.65</v>
      </c>
      <c r="Q95" s="368">
        <v>6.8</v>
      </c>
      <c r="R95" s="369">
        <v>135</v>
      </c>
      <c r="S95" s="304"/>
      <c r="T95" s="304"/>
      <c r="U95" s="304"/>
      <c r="V95" s="304"/>
      <c r="W95" s="304"/>
      <c r="X95" s="304"/>
      <c r="Y95" s="304"/>
      <c r="Z95" s="305"/>
    </row>
    <row r="96" spans="1:26" ht="14.25" x14ac:dyDescent="0.2">
      <c r="A96" s="303"/>
      <c r="B96" s="349" t="s">
        <v>164</v>
      </c>
      <c r="C96" s="356">
        <f>Calc1!C69</f>
        <v>0</v>
      </c>
      <c r="D96" s="310" t="s">
        <v>216</v>
      </c>
      <c r="E96" s="627">
        <v>950</v>
      </c>
      <c r="F96" s="627">
        <v>0.05</v>
      </c>
      <c r="G96" s="627">
        <v>0.02</v>
      </c>
      <c r="H96" s="370">
        <v>1.72</v>
      </c>
      <c r="I96" s="370">
        <v>4.9800000000000004</v>
      </c>
      <c r="J96" s="370">
        <v>104</v>
      </c>
      <c r="K96" s="370">
        <v>18.8</v>
      </c>
      <c r="L96" s="309"/>
      <c r="M96" s="304"/>
      <c r="N96" s="304"/>
      <c r="O96" s="304"/>
      <c r="P96" s="304"/>
      <c r="Q96" s="304"/>
      <c r="R96" s="304"/>
      <c r="S96" s="304"/>
      <c r="T96" s="304"/>
      <c r="U96" s="304"/>
      <c r="V96" s="304"/>
      <c r="W96" s="304"/>
      <c r="X96" s="304"/>
      <c r="Y96" s="304"/>
      <c r="Z96" s="305"/>
    </row>
    <row r="97" spans="1:26" ht="14.25" x14ac:dyDescent="0.2">
      <c r="A97" s="303"/>
      <c r="B97" s="349"/>
      <c r="C97" s="309"/>
      <c r="D97" s="309" t="s">
        <v>39</v>
      </c>
      <c r="E97" s="626">
        <f t="shared" ref="E97:L97" si="20">$C$96*E96/1000/1000</f>
        <v>0</v>
      </c>
      <c r="F97" s="626">
        <f t="shared" si="20"/>
        <v>0</v>
      </c>
      <c r="G97" s="626">
        <f t="shared" si="20"/>
        <v>0</v>
      </c>
      <c r="H97" s="363">
        <f t="shared" si="20"/>
        <v>0</v>
      </c>
      <c r="I97" s="363">
        <f t="shared" si="20"/>
        <v>0</v>
      </c>
      <c r="J97" s="363">
        <f t="shared" si="20"/>
        <v>0</v>
      </c>
      <c r="K97" s="363">
        <f t="shared" si="20"/>
        <v>0</v>
      </c>
      <c r="L97" s="363">
        <f t="shared" si="20"/>
        <v>0</v>
      </c>
      <c r="M97" s="304"/>
      <c r="N97" s="304"/>
      <c r="O97" s="304"/>
      <c r="P97" s="304"/>
      <c r="Q97" s="304"/>
      <c r="R97" s="304"/>
      <c r="S97" s="304"/>
      <c r="T97" s="304"/>
      <c r="U97" s="304"/>
      <c r="V97" s="304"/>
      <c r="W97" s="304"/>
      <c r="X97" s="304"/>
      <c r="Y97" s="304"/>
      <c r="Z97" s="305"/>
    </row>
    <row r="98" spans="1:26" ht="14.25" x14ac:dyDescent="0.2">
      <c r="A98" s="303"/>
      <c r="B98" s="349"/>
      <c r="C98" s="309"/>
      <c r="D98" s="309"/>
      <c r="E98" s="624"/>
      <c r="F98" s="624"/>
      <c r="G98" s="624"/>
      <c r="H98" s="309"/>
      <c r="I98" s="371"/>
      <c r="J98" s="309"/>
      <c r="K98" s="309"/>
      <c r="L98" s="309"/>
      <c r="M98" s="304"/>
      <c r="N98" s="304"/>
      <c r="O98" s="304"/>
      <c r="P98" s="304"/>
      <c r="Q98" s="304"/>
      <c r="R98" s="304"/>
      <c r="S98" s="304"/>
      <c r="T98" s="304"/>
      <c r="U98" s="304"/>
      <c r="V98" s="304"/>
      <c r="W98" s="304"/>
      <c r="X98" s="304"/>
      <c r="Y98" s="304"/>
      <c r="Z98" s="305"/>
    </row>
    <row r="99" spans="1:26" ht="14.25" x14ac:dyDescent="0.2">
      <c r="A99" s="303"/>
      <c r="B99" s="349"/>
      <c r="C99" s="309"/>
      <c r="D99" s="348" t="s">
        <v>0</v>
      </c>
      <c r="E99" s="624">
        <f>+E87+E89+E91+E93+E95+E97</f>
        <v>0</v>
      </c>
      <c r="F99" s="624">
        <f t="shared" ref="F99:L99" si="21">+F87+F89+F91+F93+F95+F97</f>
        <v>0</v>
      </c>
      <c r="G99" s="624">
        <f t="shared" si="21"/>
        <v>0</v>
      </c>
      <c r="H99" s="341">
        <f t="shared" si="21"/>
        <v>0</v>
      </c>
      <c r="I99" s="341">
        <f t="shared" si="21"/>
        <v>0</v>
      </c>
      <c r="J99" s="341">
        <f t="shared" si="21"/>
        <v>0</v>
      </c>
      <c r="K99" s="341">
        <f t="shared" si="21"/>
        <v>0</v>
      </c>
      <c r="L99" s="341">
        <f t="shared" si="21"/>
        <v>0</v>
      </c>
      <c r="M99" s="304"/>
      <c r="N99" s="304"/>
      <c r="O99" s="304"/>
      <c r="P99" s="304"/>
      <c r="Q99" s="304"/>
      <c r="R99" s="304"/>
      <c r="S99" s="304"/>
      <c r="T99" s="304"/>
      <c r="U99" s="304"/>
      <c r="V99" s="304"/>
      <c r="W99" s="304"/>
      <c r="X99" s="304"/>
      <c r="Y99" s="304"/>
      <c r="Z99" s="305"/>
    </row>
    <row r="100" spans="1:26" x14ac:dyDescent="0.2">
      <c r="A100" s="303"/>
      <c r="B100" s="335" t="s">
        <v>19</v>
      </c>
      <c r="C100" s="304"/>
      <c r="D100" s="304"/>
      <c r="E100" s="304"/>
      <c r="F100" s="304"/>
      <c r="G100" s="304"/>
      <c r="H100" s="304"/>
      <c r="I100" s="304"/>
      <c r="J100" s="304"/>
      <c r="K100" s="304"/>
      <c r="L100" s="304"/>
      <c r="M100" s="304"/>
      <c r="N100" s="304"/>
      <c r="O100" s="304"/>
      <c r="P100" s="304"/>
      <c r="Q100" s="304"/>
      <c r="R100" s="304"/>
      <c r="S100" s="304"/>
      <c r="T100" s="304"/>
      <c r="U100" s="304"/>
      <c r="V100" s="304"/>
      <c r="W100" s="304"/>
      <c r="X100" s="304"/>
      <c r="Y100" s="304"/>
      <c r="Z100" s="305"/>
    </row>
    <row r="101" spans="1:26" x14ac:dyDescent="0.2">
      <c r="A101" s="303"/>
      <c r="B101" s="335" t="s">
        <v>126</v>
      </c>
      <c r="C101" s="304"/>
      <c r="D101" s="304"/>
      <c r="E101" s="304"/>
      <c r="F101" s="304"/>
      <c r="G101" s="304"/>
      <c r="H101" s="304"/>
      <c r="I101" s="304"/>
      <c r="J101" s="304"/>
      <c r="K101" s="304"/>
      <c r="L101" s="304"/>
      <c r="M101" s="304"/>
      <c r="N101" s="304"/>
      <c r="O101" s="304"/>
      <c r="P101" s="304"/>
      <c r="Q101" s="304"/>
      <c r="R101" s="304"/>
      <c r="S101" s="304"/>
      <c r="T101" s="304"/>
      <c r="U101" s="304"/>
      <c r="V101" s="304"/>
      <c r="W101" s="304"/>
      <c r="X101" s="304"/>
      <c r="Y101" s="304"/>
      <c r="Z101" s="305"/>
    </row>
    <row r="102" spans="1:26" x14ac:dyDescent="0.2">
      <c r="A102" s="303"/>
      <c r="B102" s="335" t="s">
        <v>780</v>
      </c>
      <c r="C102" s="304"/>
      <c r="D102" s="304"/>
      <c r="E102" s="304"/>
      <c r="F102" s="304"/>
      <c r="G102" s="304"/>
      <c r="H102" s="304"/>
      <c r="I102" s="304"/>
      <c r="J102" s="304"/>
      <c r="K102" s="304"/>
      <c r="L102" s="304"/>
      <c r="M102" s="304"/>
      <c r="N102" s="304"/>
      <c r="O102" s="304"/>
      <c r="P102" s="304"/>
      <c r="Q102" s="304"/>
      <c r="R102" s="304"/>
      <c r="S102" s="304"/>
      <c r="T102" s="304"/>
      <c r="U102" s="304"/>
      <c r="V102" s="304"/>
      <c r="W102" s="304"/>
      <c r="X102" s="304"/>
      <c r="Y102" s="304"/>
      <c r="Z102" s="305"/>
    </row>
    <row r="103" spans="1:26" x14ac:dyDescent="0.2">
      <c r="A103" s="303"/>
      <c r="B103" s="335" t="s">
        <v>781</v>
      </c>
      <c r="C103" s="304"/>
      <c r="D103" s="304"/>
      <c r="E103" s="304"/>
      <c r="F103" s="304"/>
      <c r="G103" s="304"/>
      <c r="H103" s="304"/>
      <c r="I103" s="304"/>
      <c r="J103" s="304"/>
      <c r="K103" s="304"/>
      <c r="L103" s="304"/>
      <c r="M103" s="304"/>
      <c r="N103" s="304"/>
      <c r="O103" s="304"/>
      <c r="P103" s="304"/>
      <c r="Q103" s="304"/>
      <c r="R103" s="304"/>
      <c r="S103" s="304"/>
      <c r="T103" s="304"/>
      <c r="U103" s="304"/>
      <c r="V103" s="304"/>
      <c r="W103" s="304"/>
      <c r="X103" s="304"/>
      <c r="Y103" s="304"/>
      <c r="Z103" s="305"/>
    </row>
    <row r="104" spans="1:26" x14ac:dyDescent="0.2">
      <c r="A104" s="303"/>
      <c r="B104" s="335" t="s">
        <v>725</v>
      </c>
      <c r="C104" s="304"/>
      <c r="D104" s="304"/>
      <c r="E104" s="304"/>
      <c r="F104" s="304"/>
      <c r="G104" s="304"/>
      <c r="H104" s="304"/>
      <c r="I104" s="304"/>
      <c r="J104" s="304"/>
      <c r="K104" s="304"/>
      <c r="L104" s="304"/>
      <c r="M104" s="304"/>
      <c r="N104" s="304"/>
      <c r="O104" s="304"/>
      <c r="P104" s="304"/>
      <c r="Q104" s="304"/>
      <c r="R104" s="304"/>
      <c r="S104" s="304"/>
      <c r="T104" s="304"/>
      <c r="U104" s="304"/>
      <c r="V104" s="304"/>
      <c r="W104" s="304"/>
      <c r="X104" s="304"/>
      <c r="Y104" s="304"/>
      <c r="Z104" s="305"/>
    </row>
    <row r="105" spans="1:26" x14ac:dyDescent="0.2">
      <c r="A105" s="303"/>
      <c r="B105" s="335" t="s">
        <v>782</v>
      </c>
      <c r="C105" s="304"/>
      <c r="D105" s="304"/>
      <c r="E105" s="304"/>
      <c r="F105" s="304"/>
      <c r="G105" s="304"/>
      <c r="H105" s="304"/>
      <c r="I105" s="304"/>
      <c r="J105" s="304"/>
      <c r="K105" s="304"/>
      <c r="L105" s="304"/>
      <c r="M105" s="304"/>
      <c r="N105" s="304"/>
      <c r="O105" s="304"/>
      <c r="P105" s="304"/>
      <c r="Q105" s="304"/>
      <c r="R105" s="304"/>
      <c r="S105" s="304"/>
      <c r="T105" s="304"/>
      <c r="U105" s="304"/>
      <c r="V105" s="304"/>
      <c r="W105" s="304"/>
      <c r="X105" s="304"/>
      <c r="Y105" s="304"/>
      <c r="Z105" s="305"/>
    </row>
    <row r="106" spans="1:26" x14ac:dyDescent="0.2">
      <c r="A106" s="303"/>
      <c r="B106" s="304"/>
      <c r="C106" s="304"/>
      <c r="D106" s="304"/>
      <c r="E106" s="304"/>
      <c r="F106" s="304"/>
      <c r="G106" s="304"/>
      <c r="H106" s="304"/>
      <c r="I106" s="304"/>
      <c r="J106" s="304"/>
      <c r="K106" s="304"/>
      <c r="L106" s="304"/>
      <c r="M106" s="304"/>
      <c r="N106" s="304"/>
      <c r="O106" s="304"/>
      <c r="P106" s="304"/>
      <c r="Q106" s="304"/>
      <c r="R106" s="304"/>
      <c r="S106" s="304"/>
      <c r="T106" s="304"/>
      <c r="U106" s="304"/>
      <c r="V106" s="304"/>
      <c r="W106" s="304"/>
      <c r="X106" s="304"/>
      <c r="Y106" s="304"/>
      <c r="Z106" s="305"/>
    </row>
    <row r="107" spans="1:26" x14ac:dyDescent="0.2">
      <c r="A107" s="303"/>
      <c r="B107" s="304"/>
      <c r="C107" s="304"/>
      <c r="D107" s="304"/>
      <c r="E107" s="304"/>
      <c r="F107" s="304"/>
      <c r="G107" s="304"/>
      <c r="H107" s="304"/>
      <c r="I107" s="304"/>
      <c r="J107" s="304"/>
      <c r="K107" s="304"/>
      <c r="L107" s="304"/>
      <c r="M107" s="304"/>
      <c r="N107" s="304"/>
      <c r="O107" s="304"/>
      <c r="P107" s="304"/>
      <c r="Q107" s="304"/>
      <c r="R107" s="304"/>
      <c r="S107" s="304"/>
      <c r="T107" s="304"/>
      <c r="U107" s="304"/>
      <c r="V107" s="304"/>
      <c r="W107" s="304"/>
      <c r="X107" s="304"/>
      <c r="Y107" s="304"/>
      <c r="Z107" s="305"/>
    </row>
    <row r="108" spans="1:26" x14ac:dyDescent="0.2">
      <c r="A108" s="303" t="s">
        <v>727</v>
      </c>
      <c r="B108" s="303" t="s">
        <v>43</v>
      </c>
      <c r="C108" s="304"/>
      <c r="D108" s="304"/>
      <c r="E108" s="304"/>
      <c r="F108" s="304"/>
      <c r="G108" s="304"/>
      <c r="H108" s="304"/>
      <c r="I108" s="304"/>
      <c r="J108" s="304"/>
      <c r="K108" s="304"/>
      <c r="L108" s="304"/>
      <c r="M108" s="304"/>
      <c r="N108" s="304"/>
      <c r="O108" s="304"/>
      <c r="P108" s="304"/>
      <c r="Q108" s="304"/>
      <c r="R108" s="304"/>
      <c r="S108" s="304"/>
      <c r="T108" s="304"/>
      <c r="U108" s="304"/>
      <c r="V108" s="304"/>
      <c r="W108" s="304"/>
      <c r="X108" s="304"/>
      <c r="Y108" s="304"/>
      <c r="Z108" s="305"/>
    </row>
    <row r="109" spans="1:26" x14ac:dyDescent="0.2">
      <c r="A109" s="303"/>
      <c r="B109" s="304"/>
      <c r="C109" s="304"/>
      <c r="D109" s="304"/>
      <c r="E109" s="304"/>
      <c r="F109" s="304"/>
      <c r="G109" s="304"/>
      <c r="H109" s="304"/>
      <c r="I109" s="304"/>
      <c r="J109" s="304"/>
      <c r="K109" s="304"/>
      <c r="L109" s="304"/>
      <c r="M109" s="304"/>
      <c r="N109" s="304"/>
      <c r="O109" s="304"/>
      <c r="P109" s="304"/>
      <c r="Q109" s="304"/>
      <c r="R109" s="304"/>
      <c r="S109" s="304"/>
      <c r="T109" s="304"/>
      <c r="U109" s="304"/>
      <c r="V109" s="304"/>
      <c r="W109" s="304"/>
      <c r="X109" s="304"/>
      <c r="Y109" s="304"/>
      <c r="Z109" s="305"/>
    </row>
    <row r="110" spans="1:26" ht="15.75" x14ac:dyDescent="0.3">
      <c r="A110" s="303"/>
      <c r="B110" s="310" t="s">
        <v>27</v>
      </c>
      <c r="C110" s="310"/>
      <c r="D110" s="310" t="s">
        <v>16</v>
      </c>
      <c r="E110" s="310" t="s">
        <v>17</v>
      </c>
      <c r="F110" s="310" t="s">
        <v>789</v>
      </c>
      <c r="G110" s="309" t="s">
        <v>197</v>
      </c>
      <c r="H110" s="309" t="s">
        <v>180</v>
      </c>
      <c r="I110" s="309" t="s">
        <v>194</v>
      </c>
      <c r="J110" s="309" t="s">
        <v>195</v>
      </c>
      <c r="K110" s="309" t="s">
        <v>196</v>
      </c>
      <c r="L110" s="309"/>
      <c r="M110" s="304"/>
      <c r="N110" s="304"/>
      <c r="O110" s="304"/>
      <c r="P110" s="304"/>
      <c r="Q110" s="304"/>
      <c r="R110" s="304"/>
      <c r="S110" s="304"/>
      <c r="T110" s="304"/>
      <c r="U110" s="304"/>
      <c r="V110" s="304"/>
      <c r="W110" s="304"/>
      <c r="X110" s="304"/>
      <c r="Y110" s="304"/>
      <c r="Z110" s="305"/>
    </row>
    <row r="111" spans="1:26" x14ac:dyDescent="0.2">
      <c r="A111" s="303"/>
      <c r="B111" s="372">
        <f>Calc1!C78</f>
        <v>0</v>
      </c>
      <c r="C111" s="311" t="s">
        <v>29</v>
      </c>
      <c r="D111" s="354">
        <v>2.6629999999999998</v>
      </c>
      <c r="E111" s="355">
        <v>1.3300000000000001E-4</v>
      </c>
      <c r="F111" s="352">
        <v>4.0000000000000002E-4</v>
      </c>
      <c r="G111" s="309">
        <f>1400*42.7*0.83/1000/1000</f>
        <v>4.9617400000000006E-2</v>
      </c>
      <c r="H111" s="309">
        <f>70*42.7*0.83/1000/1000</f>
        <v>2.48087E-3</v>
      </c>
      <c r="I111" s="309">
        <f>210*42.7*0.83/1000/1000</f>
        <v>7.4426099999999997E-3</v>
      </c>
      <c r="J111" s="309">
        <f>30*42.7*0.83/1000/1000</f>
        <v>1.0632300000000001E-3</v>
      </c>
      <c r="K111" s="309">
        <f>65*42.7*0.83/1000/1000</f>
        <v>2.3036649999999999E-3</v>
      </c>
      <c r="L111" s="309"/>
      <c r="M111" s="304"/>
      <c r="N111" s="304"/>
      <c r="O111" s="304"/>
      <c r="P111" s="304"/>
      <c r="Q111" s="304"/>
      <c r="R111" s="304"/>
      <c r="S111" s="304"/>
      <c r="T111" s="304"/>
      <c r="U111" s="304"/>
      <c r="V111" s="304"/>
      <c r="W111" s="304"/>
      <c r="X111" s="304"/>
      <c r="Y111" s="304"/>
      <c r="Z111" s="305"/>
    </row>
    <row r="112" spans="1:26" x14ac:dyDescent="0.2">
      <c r="A112" s="303"/>
      <c r="B112" s="311"/>
      <c r="C112" s="311" t="s">
        <v>215</v>
      </c>
      <c r="D112" s="329">
        <f>$B111*D111/1000</f>
        <v>0</v>
      </c>
      <c r="E112" s="329">
        <f>$B111*E111/1000</f>
        <v>0</v>
      </c>
      <c r="F112" s="329">
        <f>$B111*F111/1000</f>
        <v>0</v>
      </c>
      <c r="G112" s="329">
        <f t="shared" ref="G112:K112" si="22">$B111*G111/1000</f>
        <v>0</v>
      </c>
      <c r="H112" s="329">
        <f t="shared" si="22"/>
        <v>0</v>
      </c>
      <c r="I112" s="329">
        <f t="shared" si="22"/>
        <v>0</v>
      </c>
      <c r="J112" s="329">
        <f t="shared" si="22"/>
        <v>0</v>
      </c>
      <c r="K112" s="329">
        <f t="shared" si="22"/>
        <v>0</v>
      </c>
      <c r="L112" s="329"/>
      <c r="M112" s="304"/>
      <c r="N112" s="304"/>
      <c r="O112" s="304"/>
      <c r="P112" s="304"/>
      <c r="Q112" s="304"/>
      <c r="R112" s="304"/>
      <c r="S112" s="304"/>
      <c r="T112" s="304"/>
      <c r="U112" s="304"/>
      <c r="V112" s="304"/>
      <c r="W112" s="304"/>
      <c r="X112" s="304"/>
      <c r="Y112" s="304"/>
      <c r="Z112" s="305"/>
    </row>
    <row r="113" spans="1:26" x14ac:dyDescent="0.2">
      <c r="A113" s="303"/>
      <c r="B113" s="311"/>
      <c r="C113" s="311"/>
      <c r="D113" s="310"/>
      <c r="E113" s="310"/>
      <c r="F113" s="310"/>
      <c r="G113" s="304"/>
      <c r="H113" s="304"/>
      <c r="I113" s="304"/>
      <c r="J113" s="304"/>
      <c r="K113" s="304"/>
      <c r="L113" s="304"/>
      <c r="M113" s="304"/>
      <c r="N113" s="304"/>
      <c r="O113" s="304"/>
      <c r="P113" s="304"/>
      <c r="Q113" s="304"/>
      <c r="R113" s="304"/>
      <c r="S113" s="304"/>
      <c r="T113" s="304"/>
      <c r="U113" s="304"/>
      <c r="V113" s="304"/>
      <c r="W113" s="304"/>
      <c r="X113" s="304"/>
      <c r="Y113" s="304"/>
      <c r="Z113" s="305"/>
    </row>
    <row r="114" spans="1:26" x14ac:dyDescent="0.2">
      <c r="A114" s="303"/>
      <c r="B114" s="372">
        <f>Calc1!D78</f>
        <v>0</v>
      </c>
      <c r="C114" s="311" t="s">
        <v>125</v>
      </c>
      <c r="D114" s="354">
        <v>2.5339999999999998</v>
      </c>
      <c r="E114" s="355">
        <v>8.0000000000000007E-5</v>
      </c>
      <c r="F114" s="352">
        <v>2.3000000000000001E-4</v>
      </c>
      <c r="G114" s="304">
        <f>469/10^3*0.1198</f>
        <v>5.6186199999999999E-2</v>
      </c>
      <c r="H114" s="304">
        <f>32.1/10^3*0.1198</f>
        <v>3.8455800000000004E-3</v>
      </c>
      <c r="I114" s="304">
        <f>102/10^3*0.1198</f>
        <v>1.2219599999999999E-2</v>
      </c>
      <c r="J114" s="304">
        <f>33.5/10^3*0.1198</f>
        <v>4.0133E-3</v>
      </c>
      <c r="K114" s="304">
        <f>128/10^3*0.1198</f>
        <v>1.5334400000000002E-2</v>
      </c>
      <c r="L114" s="304"/>
      <c r="M114" s="304"/>
      <c r="N114" s="304"/>
      <c r="O114" s="304"/>
      <c r="P114" s="304"/>
      <c r="Q114" s="304"/>
      <c r="R114" s="304"/>
      <c r="S114" s="304"/>
      <c r="T114" s="304"/>
      <c r="U114" s="304"/>
      <c r="V114" s="304"/>
      <c r="W114" s="304"/>
      <c r="X114" s="304"/>
      <c r="Y114" s="304"/>
      <c r="Z114" s="305"/>
    </row>
    <row r="115" spans="1:26" x14ac:dyDescent="0.2">
      <c r="A115" s="303"/>
      <c r="B115" s="311"/>
      <c r="C115" s="311" t="s">
        <v>46</v>
      </c>
      <c r="D115" s="310">
        <f>$B114*D114/1000</f>
        <v>0</v>
      </c>
      <c r="E115" s="310">
        <f>$B114*E114/1000</f>
        <v>0</v>
      </c>
      <c r="F115" s="329">
        <f>$B114*F114/1000</f>
        <v>0</v>
      </c>
      <c r="G115" s="329">
        <f t="shared" ref="G115:L115" si="23">$B114*G114/1000</f>
        <v>0</v>
      </c>
      <c r="H115" s="329">
        <f t="shared" si="23"/>
        <v>0</v>
      </c>
      <c r="I115" s="329">
        <f t="shared" si="23"/>
        <v>0</v>
      </c>
      <c r="J115" s="329">
        <f t="shared" si="23"/>
        <v>0</v>
      </c>
      <c r="K115" s="329">
        <f t="shared" si="23"/>
        <v>0</v>
      </c>
      <c r="L115" s="329">
        <f t="shared" si="23"/>
        <v>0</v>
      </c>
      <c r="M115" s="304"/>
      <c r="N115" s="304"/>
      <c r="O115" s="304"/>
      <c r="P115" s="304"/>
      <c r="Q115" s="304"/>
      <c r="R115" s="304"/>
      <c r="S115" s="304"/>
      <c r="T115" s="304"/>
      <c r="U115" s="304"/>
      <c r="V115" s="304"/>
      <c r="W115" s="304"/>
      <c r="X115" s="304"/>
      <c r="Y115" s="304"/>
      <c r="Z115" s="305"/>
    </row>
    <row r="116" spans="1:26" x14ac:dyDescent="0.2">
      <c r="A116" s="303"/>
      <c r="B116" s="311"/>
      <c r="C116" s="311"/>
      <c r="D116" s="310"/>
      <c r="E116" s="310"/>
      <c r="F116" s="310"/>
      <c r="G116" s="304"/>
      <c r="H116" s="304"/>
      <c r="I116" s="304"/>
      <c r="J116" s="304"/>
      <c r="K116" s="304"/>
      <c r="L116" s="304"/>
      <c r="M116" s="304"/>
      <c r="N116" s="304"/>
      <c r="O116" s="304"/>
      <c r="P116" s="304"/>
      <c r="Q116" s="304"/>
      <c r="R116" s="304"/>
      <c r="S116" s="304"/>
      <c r="T116" s="304"/>
      <c r="U116" s="304"/>
      <c r="V116" s="304"/>
      <c r="W116" s="304"/>
      <c r="X116" s="304"/>
      <c r="Y116" s="304"/>
      <c r="Z116" s="305"/>
    </row>
    <row r="117" spans="1:26" x14ac:dyDescent="0.2">
      <c r="A117" s="303"/>
      <c r="B117" s="310"/>
      <c r="C117" s="310" t="s">
        <v>0</v>
      </c>
      <c r="D117" s="354">
        <f>D112+D115</f>
        <v>0</v>
      </c>
      <c r="E117" s="354">
        <f t="shared" ref="E117:K117" si="24">E112+E115</f>
        <v>0</v>
      </c>
      <c r="F117" s="354">
        <f t="shared" si="24"/>
        <v>0</v>
      </c>
      <c r="G117" s="354">
        <f t="shared" si="24"/>
        <v>0</v>
      </c>
      <c r="H117" s="354">
        <f t="shared" si="24"/>
        <v>0</v>
      </c>
      <c r="I117" s="354">
        <f t="shared" si="24"/>
        <v>0</v>
      </c>
      <c r="J117" s="354">
        <f t="shared" si="24"/>
        <v>0</v>
      </c>
      <c r="K117" s="354">
        <f t="shared" si="24"/>
        <v>0</v>
      </c>
      <c r="L117" s="304"/>
      <c r="M117" s="304"/>
      <c r="N117" s="304"/>
      <c r="O117" s="304"/>
      <c r="P117" s="304"/>
      <c r="Q117" s="304"/>
      <c r="R117" s="304"/>
      <c r="S117" s="304"/>
      <c r="T117" s="304"/>
      <c r="U117" s="304"/>
      <c r="V117" s="304"/>
      <c r="W117" s="304"/>
      <c r="X117" s="304"/>
      <c r="Y117" s="304"/>
      <c r="Z117" s="305"/>
    </row>
    <row r="118" spans="1:26" x14ac:dyDescent="0.2">
      <c r="A118" s="303"/>
      <c r="B118" s="304"/>
      <c r="C118" s="304"/>
      <c r="D118" s="304"/>
      <c r="E118" s="304"/>
      <c r="F118" s="304"/>
      <c r="G118" s="304"/>
      <c r="H118" s="304"/>
      <c r="I118" s="304"/>
      <c r="J118" s="304"/>
      <c r="K118" s="304"/>
      <c r="L118" s="304"/>
      <c r="M118" s="304"/>
      <c r="N118" s="304"/>
      <c r="O118" s="304"/>
      <c r="P118" s="304"/>
      <c r="Q118" s="304"/>
      <c r="R118" s="304"/>
      <c r="S118" s="304"/>
      <c r="T118" s="304"/>
      <c r="U118" s="304"/>
      <c r="V118" s="304"/>
      <c r="W118" s="304"/>
      <c r="X118" s="304"/>
      <c r="Y118" s="304"/>
      <c r="Z118" s="305"/>
    </row>
    <row r="119" spans="1:26" x14ac:dyDescent="0.2">
      <c r="A119" s="303"/>
      <c r="B119" s="335" t="s">
        <v>19</v>
      </c>
      <c r="C119" s="304"/>
      <c r="D119" s="304"/>
      <c r="E119" s="304"/>
      <c r="F119" s="304"/>
      <c r="G119" s="304"/>
      <c r="H119" s="304"/>
      <c r="I119" s="304"/>
      <c r="J119" s="304"/>
      <c r="K119" s="304"/>
      <c r="L119" s="304"/>
      <c r="M119" s="304"/>
      <c r="N119" s="304"/>
      <c r="O119" s="304"/>
      <c r="P119" s="304"/>
      <c r="Q119" s="304"/>
      <c r="R119" s="304"/>
      <c r="S119" s="304"/>
      <c r="T119" s="304"/>
      <c r="U119" s="304"/>
      <c r="V119" s="304"/>
      <c r="W119" s="304"/>
      <c r="X119" s="304"/>
      <c r="Y119" s="304"/>
      <c r="Z119" s="305"/>
    </row>
    <row r="120" spans="1:26" x14ac:dyDescent="0.2">
      <c r="A120" s="303"/>
      <c r="B120" s="335" t="s">
        <v>127</v>
      </c>
      <c r="C120" s="304"/>
      <c r="D120" s="304"/>
      <c r="E120" s="304"/>
      <c r="F120" s="304"/>
      <c r="G120" s="304"/>
      <c r="H120" s="304"/>
      <c r="I120" s="304"/>
      <c r="J120" s="304"/>
      <c r="K120" s="304"/>
      <c r="L120" s="304"/>
      <c r="M120" s="304"/>
      <c r="N120" s="304"/>
      <c r="O120" s="304"/>
      <c r="P120" s="304"/>
      <c r="Q120" s="304"/>
      <c r="R120" s="304"/>
      <c r="S120" s="304"/>
      <c r="T120" s="304"/>
      <c r="U120" s="304"/>
      <c r="V120" s="304"/>
      <c r="W120" s="304"/>
      <c r="X120" s="304"/>
      <c r="Y120" s="304"/>
      <c r="Z120" s="305"/>
    </row>
    <row r="121" spans="1:26" x14ac:dyDescent="0.2">
      <c r="A121" s="303"/>
      <c r="B121" s="304"/>
      <c r="C121" s="304"/>
      <c r="D121" s="304"/>
      <c r="E121" s="304"/>
      <c r="F121" s="304"/>
      <c r="G121" s="304"/>
      <c r="H121" s="304"/>
      <c r="I121" s="304"/>
      <c r="J121" s="304"/>
      <c r="K121" s="304"/>
      <c r="L121" s="304"/>
      <c r="M121" s="304"/>
      <c r="N121" s="304"/>
      <c r="O121" s="304"/>
      <c r="P121" s="304"/>
      <c r="Q121" s="304"/>
      <c r="R121" s="304"/>
      <c r="S121" s="304"/>
      <c r="T121" s="304"/>
      <c r="U121" s="304"/>
      <c r="V121" s="304"/>
      <c r="W121" s="304"/>
      <c r="X121" s="304"/>
      <c r="Y121" s="304"/>
      <c r="Z121" s="305"/>
    </row>
    <row r="122" spans="1:26" x14ac:dyDescent="0.2">
      <c r="A122" s="303" t="s">
        <v>1003</v>
      </c>
      <c r="B122" s="303" t="s">
        <v>177</v>
      </c>
      <c r="C122" s="304"/>
      <c r="D122" s="304"/>
      <c r="E122" s="304"/>
      <c r="F122" s="304"/>
      <c r="G122" s="304"/>
      <c r="H122" s="304"/>
      <c r="I122" s="304"/>
      <c r="J122" s="304"/>
      <c r="K122" s="304"/>
      <c r="L122" s="304"/>
      <c r="M122" s="304"/>
      <c r="N122" s="304"/>
      <c r="O122" s="304"/>
      <c r="P122" s="304"/>
      <c r="Q122" s="304"/>
      <c r="R122" s="304"/>
      <c r="S122" s="304"/>
      <c r="T122" s="304"/>
      <c r="U122" s="304"/>
      <c r="V122" s="304"/>
      <c r="W122" s="304"/>
      <c r="X122" s="304"/>
      <c r="Y122" s="304"/>
      <c r="Z122" s="305"/>
    </row>
    <row r="123" spans="1:26" x14ac:dyDescent="0.2">
      <c r="A123" s="303"/>
      <c r="B123" s="304"/>
      <c r="C123" s="304"/>
      <c r="D123" s="304"/>
      <c r="E123" s="304"/>
      <c r="F123" s="304"/>
      <c r="G123" s="304"/>
      <c r="H123" s="304"/>
      <c r="I123" s="304"/>
      <c r="J123" s="304"/>
      <c r="K123" s="304"/>
      <c r="L123" s="304"/>
      <c r="M123" s="304"/>
      <c r="N123" s="304"/>
      <c r="O123" s="304"/>
      <c r="P123" s="304"/>
      <c r="Q123" s="304"/>
      <c r="R123" s="304"/>
      <c r="S123" s="304"/>
      <c r="T123" s="304"/>
      <c r="U123" s="304"/>
      <c r="V123" s="304"/>
      <c r="W123" s="304"/>
      <c r="X123" s="304"/>
      <c r="Y123" s="304"/>
      <c r="Z123" s="305"/>
    </row>
    <row r="124" spans="1:26" ht="15.75" x14ac:dyDescent="0.3">
      <c r="A124" s="303"/>
      <c r="B124" s="310" t="s">
        <v>189</v>
      </c>
      <c r="C124" s="310"/>
      <c r="D124" s="310" t="s">
        <v>16</v>
      </c>
      <c r="E124" s="310" t="s">
        <v>17</v>
      </c>
      <c r="F124" s="310" t="s">
        <v>789</v>
      </c>
      <c r="G124" s="309" t="s">
        <v>197</v>
      </c>
      <c r="H124" s="310" t="s">
        <v>180</v>
      </c>
      <c r="I124" s="309" t="s">
        <v>194</v>
      </c>
      <c r="J124" s="309" t="s">
        <v>195</v>
      </c>
      <c r="K124" s="309" t="s">
        <v>196</v>
      </c>
      <c r="L124" s="304"/>
      <c r="M124" s="304"/>
      <c r="N124" s="304"/>
      <c r="O124" s="304"/>
      <c r="P124" s="304"/>
      <c r="Q124" s="304"/>
      <c r="R124" s="304"/>
      <c r="S124" s="304"/>
      <c r="T124" s="304"/>
      <c r="U124" s="304"/>
      <c r="V124" s="304"/>
      <c r="W124" s="304"/>
      <c r="X124" s="304"/>
      <c r="Y124" s="304"/>
      <c r="Z124" s="305"/>
    </row>
    <row r="125" spans="1:26" x14ac:dyDescent="0.2">
      <c r="A125" s="303"/>
      <c r="B125" s="350">
        <f>+Calc1!C83</f>
        <v>0</v>
      </c>
      <c r="C125" s="310" t="s">
        <v>181</v>
      </c>
      <c r="D125" s="373">
        <f>1.736/2</f>
        <v>0.86799999999999999</v>
      </c>
      <c r="E125" s="315">
        <v>0</v>
      </c>
      <c r="F125" s="315">
        <v>0</v>
      </c>
      <c r="G125" s="309"/>
      <c r="H125" s="374">
        <v>0.11</v>
      </c>
      <c r="I125" s="309"/>
      <c r="J125" s="309"/>
      <c r="K125" s="309"/>
      <c r="L125" s="304"/>
      <c r="M125" s="304"/>
      <c r="N125" s="304"/>
      <c r="O125" s="304"/>
      <c r="P125" s="304"/>
      <c r="Q125" s="304"/>
      <c r="R125" s="304"/>
      <c r="S125" s="304"/>
      <c r="T125" s="304"/>
      <c r="U125" s="304"/>
      <c r="V125" s="304"/>
      <c r="W125" s="304"/>
      <c r="X125" s="304"/>
      <c r="Y125" s="304"/>
      <c r="Z125" s="305"/>
    </row>
    <row r="126" spans="1:26" x14ac:dyDescent="0.2">
      <c r="A126" s="303"/>
      <c r="B126" s="310"/>
      <c r="C126" s="310" t="s">
        <v>178</v>
      </c>
      <c r="D126" s="310">
        <f>$B125*D125/1000</f>
        <v>0</v>
      </c>
      <c r="E126" s="310">
        <f>$B125*E125/1000</f>
        <v>0</v>
      </c>
      <c r="F126" s="310">
        <f>$B125*F125/1000</f>
        <v>0</v>
      </c>
      <c r="G126" s="309"/>
      <c r="H126" s="374">
        <f>$B125/1000*2*H125/1000</f>
        <v>0</v>
      </c>
      <c r="I126" s="309"/>
      <c r="J126" s="309"/>
      <c r="K126" s="375"/>
      <c r="L126" s="376"/>
      <c r="M126" s="304"/>
      <c r="N126" s="304"/>
      <c r="O126" s="304"/>
      <c r="P126" s="304"/>
      <c r="Q126" s="304"/>
      <c r="R126" s="304"/>
      <c r="S126" s="304"/>
      <c r="T126" s="304"/>
      <c r="U126" s="304"/>
      <c r="V126" s="304"/>
      <c r="W126" s="304"/>
      <c r="X126" s="304"/>
      <c r="Y126" s="304"/>
      <c r="Z126" s="305"/>
    </row>
    <row r="127" spans="1:26" x14ac:dyDescent="0.2">
      <c r="A127" s="303"/>
      <c r="B127" s="350">
        <f>+Calc1!C84</f>
        <v>0</v>
      </c>
      <c r="C127" s="310" t="s">
        <v>182</v>
      </c>
      <c r="D127" s="373">
        <f>1.736/2</f>
        <v>0.86799999999999999</v>
      </c>
      <c r="E127" s="315">
        <v>0</v>
      </c>
      <c r="F127" s="315">
        <v>0</v>
      </c>
      <c r="G127" s="309"/>
      <c r="H127" s="374">
        <v>0.11</v>
      </c>
      <c r="I127" s="309"/>
      <c r="J127" s="309"/>
      <c r="K127" s="309"/>
      <c r="L127" s="304"/>
      <c r="M127" s="304"/>
      <c r="N127" s="304"/>
      <c r="O127" s="304"/>
      <c r="P127" s="304"/>
      <c r="Q127" s="304"/>
      <c r="R127" s="304"/>
      <c r="S127" s="304"/>
      <c r="T127" s="304"/>
      <c r="U127" s="304"/>
      <c r="V127" s="304"/>
      <c r="W127" s="304"/>
      <c r="X127" s="304"/>
      <c r="Y127" s="304"/>
      <c r="Z127" s="305"/>
    </row>
    <row r="128" spans="1:26" x14ac:dyDescent="0.2">
      <c r="A128" s="303"/>
      <c r="B128" s="310"/>
      <c r="C128" s="310" t="s">
        <v>179</v>
      </c>
      <c r="D128" s="310">
        <f>D127*$B127/1000</f>
        <v>0</v>
      </c>
      <c r="E128" s="310">
        <f>E127*$B$524/1000</f>
        <v>0</v>
      </c>
      <c r="F128" s="310">
        <f>F127*$B$524/1000</f>
        <v>0</v>
      </c>
      <c r="G128" s="309"/>
      <c r="H128" s="374">
        <f>$B127/1000*2*H127/1000</f>
        <v>0</v>
      </c>
      <c r="I128" s="309"/>
      <c r="J128" s="309"/>
      <c r="K128" s="309"/>
      <c r="L128" s="304"/>
      <c r="M128" s="304"/>
      <c r="N128" s="304"/>
      <c r="O128" s="304"/>
      <c r="P128" s="304"/>
      <c r="Q128" s="304"/>
      <c r="R128" s="304"/>
      <c r="S128" s="304"/>
      <c r="T128" s="304"/>
      <c r="U128" s="304"/>
      <c r="V128" s="304"/>
      <c r="W128" s="304"/>
      <c r="X128" s="304"/>
      <c r="Y128" s="304"/>
      <c r="Z128" s="305"/>
    </row>
    <row r="129" spans="1:26" x14ac:dyDescent="0.2">
      <c r="A129" s="303"/>
      <c r="B129" s="310"/>
      <c r="C129" s="310" t="s">
        <v>584</v>
      </c>
      <c r="D129" s="354">
        <f>D126+D128</f>
        <v>0</v>
      </c>
      <c r="E129" s="354">
        <f t="shared" ref="E129:H129" si="25">E126+E128</f>
        <v>0</v>
      </c>
      <c r="F129" s="354">
        <f t="shared" si="25"/>
        <v>0</v>
      </c>
      <c r="G129" s="354">
        <f t="shared" si="25"/>
        <v>0</v>
      </c>
      <c r="H129" s="354">
        <f t="shared" si="25"/>
        <v>0</v>
      </c>
      <c r="I129" s="354"/>
      <c r="J129" s="354">
        <f t="shared" ref="J129:K129" si="26">J126+J128</f>
        <v>0</v>
      </c>
      <c r="K129" s="354">
        <f t="shared" si="26"/>
        <v>0</v>
      </c>
      <c r="L129" s="304"/>
      <c r="M129" s="304"/>
      <c r="N129" s="304"/>
      <c r="O129" s="304"/>
      <c r="P129" s="304"/>
      <c r="Q129" s="304"/>
      <c r="R129" s="304"/>
      <c r="S129" s="304"/>
      <c r="T129" s="304"/>
      <c r="U129" s="304"/>
      <c r="V129" s="304"/>
      <c r="W129" s="304"/>
      <c r="X129" s="304"/>
      <c r="Y129" s="304"/>
      <c r="Z129" s="305"/>
    </row>
    <row r="130" spans="1:26" x14ac:dyDescent="0.2">
      <c r="A130" s="303"/>
      <c r="B130" s="322"/>
      <c r="C130" s="322"/>
      <c r="D130" s="377"/>
      <c r="E130" s="377"/>
      <c r="F130" s="377"/>
      <c r="G130" s="377"/>
      <c r="H130" s="377"/>
      <c r="I130" s="377"/>
      <c r="J130" s="377"/>
      <c r="K130" s="377"/>
      <c r="L130" s="304"/>
      <c r="M130" s="304"/>
      <c r="N130" s="304"/>
      <c r="O130" s="304"/>
      <c r="P130" s="304"/>
      <c r="Q130" s="304"/>
      <c r="R130" s="304"/>
      <c r="S130" s="304"/>
      <c r="T130" s="304"/>
      <c r="U130" s="304"/>
      <c r="V130" s="304"/>
      <c r="W130" s="304"/>
      <c r="X130" s="304"/>
      <c r="Y130" s="304"/>
      <c r="Z130" s="305"/>
    </row>
    <row r="131" spans="1:26" ht="15.75" x14ac:dyDescent="0.3">
      <c r="A131" s="303"/>
      <c r="B131" s="378" t="s">
        <v>784</v>
      </c>
      <c r="C131" s="322"/>
      <c r="D131" s="377"/>
      <c r="E131" s="377"/>
      <c r="F131" s="377"/>
      <c r="G131" s="377"/>
      <c r="H131" s="377"/>
      <c r="I131" s="377"/>
      <c r="J131" s="377"/>
      <c r="K131" s="377"/>
      <c r="L131" s="304"/>
      <c r="M131" s="304"/>
      <c r="N131" s="304"/>
      <c r="O131" s="304"/>
      <c r="P131" s="304"/>
      <c r="Q131" s="304"/>
      <c r="R131" s="304"/>
      <c r="S131" s="304"/>
      <c r="T131" s="304"/>
      <c r="U131" s="304"/>
      <c r="V131" s="304"/>
      <c r="W131" s="304"/>
      <c r="X131" s="304"/>
      <c r="Y131" s="304"/>
      <c r="Z131" s="305"/>
    </row>
    <row r="132" spans="1:26" x14ac:dyDescent="0.2">
      <c r="A132" s="303"/>
      <c r="B132" s="304"/>
      <c r="C132" s="304"/>
      <c r="D132" s="304"/>
      <c r="E132" s="304"/>
      <c r="F132" s="304"/>
      <c r="G132" s="304"/>
      <c r="H132" s="304"/>
      <c r="I132" s="304"/>
      <c r="J132" s="304"/>
      <c r="K132" s="304"/>
      <c r="L132" s="304"/>
      <c r="M132" s="304"/>
      <c r="N132" s="304"/>
      <c r="O132" s="304"/>
      <c r="P132" s="304"/>
      <c r="Q132" s="304"/>
      <c r="R132" s="304"/>
      <c r="S132" s="304"/>
      <c r="T132" s="304"/>
      <c r="U132" s="304"/>
      <c r="V132" s="304"/>
      <c r="W132" s="304"/>
      <c r="X132" s="304"/>
      <c r="Y132" s="304"/>
      <c r="Z132" s="305"/>
    </row>
    <row r="133" spans="1:26" x14ac:dyDescent="0.2">
      <c r="A133" s="303"/>
      <c r="B133" s="304"/>
      <c r="C133" s="304"/>
      <c r="D133" s="304"/>
      <c r="E133" s="304"/>
      <c r="F133" s="304"/>
      <c r="G133" s="304"/>
      <c r="H133" s="304"/>
      <c r="I133" s="304"/>
      <c r="J133" s="304"/>
      <c r="K133" s="304"/>
      <c r="L133" s="304"/>
      <c r="M133" s="304"/>
      <c r="N133" s="304"/>
      <c r="O133" s="304"/>
      <c r="P133" s="304"/>
      <c r="Q133" s="304"/>
      <c r="R133" s="304"/>
      <c r="S133" s="304"/>
      <c r="T133" s="304"/>
      <c r="U133" s="304"/>
      <c r="V133" s="304"/>
      <c r="W133" s="304"/>
      <c r="X133" s="304"/>
      <c r="Y133" s="304"/>
      <c r="Z133" s="305"/>
    </row>
    <row r="134" spans="1:26" ht="18" x14ac:dyDescent="0.25">
      <c r="A134" s="303"/>
      <c r="B134" s="379" t="str">
        <f>Calc1!A87</f>
        <v>SCOPE 2 - INDIRECT EMISSIONS FROM THE GENERATION OF PURCHASED ELECTRICITY / HEAT CONSUMED BY AIRPORT</v>
      </c>
      <c r="C134" s="304"/>
      <c r="D134" s="304"/>
      <c r="E134" s="304"/>
      <c r="F134" s="304"/>
      <c r="G134" s="304"/>
      <c r="H134" s="304"/>
      <c r="I134" s="304"/>
      <c r="J134" s="304"/>
      <c r="K134" s="304" t="s">
        <v>90</v>
      </c>
      <c r="L134" s="304"/>
      <c r="M134" s="304"/>
      <c r="N134" s="304"/>
      <c r="O134" s="304"/>
      <c r="P134" s="304"/>
      <c r="Q134" s="304"/>
      <c r="R134" s="304"/>
      <c r="S134" s="304"/>
      <c r="T134" s="304"/>
      <c r="U134" s="304"/>
      <c r="V134" s="304"/>
      <c r="W134" s="304"/>
      <c r="X134" s="304"/>
      <c r="Y134" s="304"/>
      <c r="Z134" s="305"/>
    </row>
    <row r="135" spans="1:26" ht="18" x14ac:dyDescent="0.25">
      <c r="A135" s="303"/>
      <c r="B135" s="379"/>
      <c r="C135" s="304"/>
      <c r="D135" s="304"/>
      <c r="E135" s="304"/>
      <c r="F135" s="304"/>
      <c r="G135" s="304"/>
      <c r="H135" s="304"/>
      <c r="I135" s="304"/>
      <c r="J135" s="304"/>
      <c r="K135" s="309" t="s">
        <v>75</v>
      </c>
      <c r="L135" s="309" t="s">
        <v>76</v>
      </c>
      <c r="M135" s="304"/>
      <c r="N135" s="304"/>
      <c r="O135" s="304"/>
      <c r="P135" s="304"/>
      <c r="Q135" s="304"/>
      <c r="R135" s="304"/>
      <c r="S135" s="304"/>
      <c r="T135" s="304"/>
      <c r="U135" s="304"/>
      <c r="V135" s="304"/>
      <c r="W135" s="304"/>
      <c r="X135" s="304"/>
      <c r="Y135" s="304"/>
      <c r="Z135" s="305"/>
    </row>
    <row r="136" spans="1:26" x14ac:dyDescent="0.2">
      <c r="A136" s="303"/>
      <c r="B136" s="303" t="s">
        <v>15</v>
      </c>
      <c r="C136" s="304"/>
      <c r="D136" s="304"/>
      <c r="E136" s="304"/>
      <c r="F136" s="304"/>
      <c r="G136" s="304"/>
      <c r="H136" s="304"/>
      <c r="I136" s="304"/>
      <c r="J136" s="304"/>
      <c r="K136" s="309" t="s">
        <v>77</v>
      </c>
      <c r="L136" s="309">
        <v>9.2400000000000002E-4</v>
      </c>
      <c r="M136" s="304"/>
      <c r="N136" s="304"/>
      <c r="O136" s="304"/>
      <c r="P136" s="304"/>
      <c r="Q136" s="304"/>
      <c r="R136" s="304"/>
      <c r="S136" s="304"/>
      <c r="T136" s="304"/>
      <c r="U136" s="304"/>
      <c r="V136" s="304"/>
      <c r="W136" s="304"/>
      <c r="X136" s="304"/>
      <c r="Y136" s="304"/>
      <c r="Z136" s="305"/>
    </row>
    <row r="137" spans="1:26" x14ac:dyDescent="0.2">
      <c r="A137" s="303"/>
      <c r="B137" s="304" t="s">
        <v>93</v>
      </c>
      <c r="C137" s="380">
        <f>Calc1!F91-Calc1!F93</f>
        <v>5</v>
      </c>
      <c r="D137" s="304" t="s">
        <v>74</v>
      </c>
      <c r="E137" s="304"/>
      <c r="F137" s="304"/>
      <c r="G137" s="304" t="s">
        <v>171</v>
      </c>
      <c r="H137" s="304"/>
      <c r="I137" s="304"/>
      <c r="J137" s="304"/>
      <c r="K137" s="309" t="s">
        <v>78</v>
      </c>
      <c r="L137" s="309">
        <v>3.1000000000000001E-5</v>
      </c>
      <c r="M137" s="304"/>
      <c r="N137" s="304"/>
      <c r="O137" s="304"/>
      <c r="P137" s="304"/>
      <c r="Q137" s="304"/>
      <c r="R137" s="304"/>
      <c r="S137" s="304"/>
      <c r="T137" s="304"/>
      <c r="U137" s="304"/>
      <c r="V137" s="304"/>
      <c r="W137" s="304"/>
      <c r="X137" s="304"/>
      <c r="Y137" s="304"/>
      <c r="Z137" s="305"/>
    </row>
    <row r="138" spans="1:26" x14ac:dyDescent="0.2">
      <c r="A138" s="303"/>
      <c r="B138" s="304" t="s">
        <v>1064</v>
      </c>
      <c r="C138" s="304"/>
      <c r="D138" s="304"/>
      <c r="E138" s="381" t="s">
        <v>1413</v>
      </c>
      <c r="F138" s="382" t="str">
        <f>Calc1!C11</f>
        <v>n/a</v>
      </c>
      <c r="G138" s="304">
        <f>VLOOKUP(F138,K136:L149,2,FALSE)</f>
        <v>0</v>
      </c>
      <c r="H138" s="321" t="s">
        <v>76</v>
      </c>
      <c r="I138" s="304"/>
      <c r="J138" s="304"/>
      <c r="K138" s="309" t="s">
        <v>79</v>
      </c>
      <c r="L138" s="309">
        <v>2.8E-5</v>
      </c>
      <c r="M138" s="304"/>
      <c r="N138" s="304"/>
      <c r="O138" s="383"/>
      <c r="P138" s="304"/>
      <c r="Q138" s="304"/>
      <c r="R138" s="304"/>
      <c r="S138" s="304"/>
      <c r="T138" s="304"/>
      <c r="U138" s="304"/>
      <c r="V138" s="304"/>
      <c r="W138" s="304"/>
      <c r="X138" s="304"/>
      <c r="Y138" s="304"/>
      <c r="Z138" s="305"/>
    </row>
    <row r="139" spans="1:26" ht="18" x14ac:dyDescent="0.25">
      <c r="A139" s="303"/>
      <c r="B139" s="379"/>
      <c r="C139" s="342"/>
      <c r="D139" s="304"/>
      <c r="E139" s="304" t="s">
        <v>190</v>
      </c>
      <c r="F139" s="382" t="str">
        <f>Calc1!C10</f>
        <v xml:space="preserve">Albania </v>
      </c>
      <c r="G139" s="304">
        <f>VLOOKUP(F139,EF!$A$4:$B$145,2)/1000000</f>
        <v>3.4439500000000001E-5</v>
      </c>
      <c r="H139" s="321" t="s">
        <v>790</v>
      </c>
      <c r="I139" s="304"/>
      <c r="J139" s="304"/>
      <c r="K139" s="309" t="s">
        <v>80</v>
      </c>
      <c r="L139" s="309">
        <v>4.55E-4</v>
      </c>
      <c r="M139" s="304"/>
      <c r="N139" s="304"/>
      <c r="O139" s="304"/>
      <c r="P139" s="304"/>
      <c r="Q139" s="304"/>
      <c r="R139" s="304"/>
      <c r="S139" s="304"/>
      <c r="T139" s="304"/>
      <c r="U139" s="304"/>
      <c r="V139" s="304"/>
      <c r="W139" s="304"/>
      <c r="X139" s="304"/>
      <c r="Y139" s="304"/>
      <c r="Z139" s="305"/>
    </row>
    <row r="140" spans="1:26" ht="18" x14ac:dyDescent="0.25">
      <c r="A140" s="303"/>
      <c r="B140" s="379"/>
      <c r="C140" s="304"/>
      <c r="D140" s="304"/>
      <c r="E140" s="304" t="s">
        <v>172</v>
      </c>
      <c r="F140" s="304"/>
      <c r="G140" s="384">
        <f>Calc1!F97/1000000</f>
        <v>0</v>
      </c>
      <c r="H140" s="321" t="s">
        <v>790</v>
      </c>
      <c r="I140" s="304"/>
      <c r="J140" s="304"/>
      <c r="K140" s="309" t="s">
        <v>81</v>
      </c>
      <c r="L140" s="309">
        <v>3.3000000000000003E-5</v>
      </c>
      <c r="M140" s="304"/>
      <c r="N140" s="304"/>
      <c r="O140" s="304"/>
      <c r="P140" s="304"/>
      <c r="Q140" s="304"/>
      <c r="R140" s="304"/>
      <c r="S140" s="304"/>
      <c r="T140" s="304"/>
      <c r="U140" s="304"/>
      <c r="V140" s="304"/>
      <c r="W140" s="304"/>
      <c r="X140" s="304"/>
      <c r="Y140" s="304"/>
      <c r="Z140" s="305"/>
    </row>
    <row r="141" spans="1:26" ht="18" x14ac:dyDescent="0.25">
      <c r="A141" s="303"/>
      <c r="B141" s="379"/>
      <c r="C141" s="304"/>
      <c r="D141" s="304"/>
      <c r="E141" s="304"/>
      <c r="F141" s="304"/>
      <c r="G141" s="304"/>
      <c r="H141" s="304"/>
      <c r="I141" s="304"/>
      <c r="J141" s="304"/>
      <c r="K141" s="309" t="s">
        <v>82</v>
      </c>
      <c r="L141" s="309">
        <v>7.6300000000000001E-4</v>
      </c>
      <c r="M141" s="304"/>
      <c r="N141" s="304"/>
      <c r="O141" s="304"/>
      <c r="P141" s="304"/>
      <c r="Q141" s="304"/>
      <c r="R141" s="304"/>
      <c r="S141" s="304"/>
      <c r="T141" s="304"/>
      <c r="U141" s="304"/>
      <c r="V141" s="304"/>
      <c r="W141" s="304"/>
      <c r="X141" s="304"/>
      <c r="Y141" s="304"/>
      <c r="Z141" s="305"/>
    </row>
    <row r="142" spans="1:26" x14ac:dyDescent="0.2">
      <c r="A142" s="303"/>
      <c r="B142" s="304" t="s">
        <v>94</v>
      </c>
      <c r="C142" s="342">
        <f>IF(G140&gt;0,C137*G140, IF(G138&gt;0,C137*G138,C137*G139))</f>
        <v>1.721975E-4</v>
      </c>
      <c r="D142" s="304" t="s">
        <v>95</v>
      </c>
      <c r="E142" s="537">
        <f>IF(G140&gt;0,G140, IF(G138&gt;0,G138,G139))</f>
        <v>3.4439500000000001E-5</v>
      </c>
      <c r="F142" s="360" t="s">
        <v>790</v>
      </c>
      <c r="G142" s="304" t="s">
        <v>1531</v>
      </c>
      <c r="H142" s="304"/>
      <c r="I142" s="304"/>
      <c r="J142" s="304"/>
      <c r="K142" s="309" t="s">
        <v>83</v>
      </c>
      <c r="L142" s="309">
        <v>2.4899999999999998E-4</v>
      </c>
      <c r="M142" s="304"/>
      <c r="N142" s="304"/>
      <c r="O142" s="304"/>
      <c r="P142" s="304"/>
      <c r="Q142" s="304"/>
      <c r="R142" s="304"/>
      <c r="S142" s="304"/>
      <c r="T142" s="304"/>
      <c r="U142" s="304"/>
      <c r="V142" s="304"/>
      <c r="W142" s="304"/>
      <c r="X142" s="304"/>
      <c r="Y142" s="304"/>
      <c r="Z142" s="305"/>
    </row>
    <row r="143" spans="1:26" ht="18" x14ac:dyDescent="0.25">
      <c r="A143" s="303"/>
      <c r="B143" s="379"/>
      <c r="C143" s="304"/>
      <c r="D143" s="304"/>
      <c r="E143" s="367">
        <f>+E142*1000000</f>
        <v>34.439500000000002</v>
      </c>
      <c r="F143" s="369" t="s">
        <v>962</v>
      </c>
      <c r="G143" s="304"/>
      <c r="H143" s="304"/>
      <c r="I143" s="304"/>
      <c r="J143" s="304"/>
      <c r="K143" s="309" t="s">
        <v>84</v>
      </c>
      <c r="L143" s="309">
        <v>2.4899999999999998E-4</v>
      </c>
      <c r="M143" s="304"/>
      <c r="N143" s="304"/>
      <c r="O143" s="304"/>
      <c r="P143" s="304"/>
      <c r="Q143" s="304"/>
      <c r="R143" s="304"/>
      <c r="S143" s="304"/>
      <c r="T143" s="304"/>
      <c r="U143" s="304"/>
      <c r="V143" s="304"/>
      <c r="W143" s="304"/>
      <c r="X143" s="304"/>
      <c r="Y143" s="304"/>
      <c r="Z143" s="305"/>
    </row>
    <row r="144" spans="1:26" ht="18" x14ac:dyDescent="0.25">
      <c r="A144" s="303"/>
      <c r="B144" s="379"/>
      <c r="C144" s="304"/>
      <c r="D144" s="304"/>
      <c r="E144" s="304"/>
      <c r="F144" s="304"/>
      <c r="G144" s="304"/>
      <c r="H144" s="304"/>
      <c r="I144" s="304"/>
      <c r="J144" s="304"/>
      <c r="K144" s="309" t="s">
        <v>85</v>
      </c>
      <c r="L144" s="309">
        <v>2.41E-4</v>
      </c>
      <c r="M144" s="304"/>
      <c r="N144" s="304"/>
      <c r="O144" s="304"/>
      <c r="P144" s="304"/>
      <c r="Q144" s="304"/>
      <c r="R144" s="304"/>
      <c r="S144" s="304"/>
      <c r="T144" s="304"/>
      <c r="U144" s="304"/>
      <c r="V144" s="304"/>
      <c r="W144" s="304"/>
      <c r="X144" s="304"/>
      <c r="Y144" s="304"/>
      <c r="Z144" s="305"/>
    </row>
    <row r="145" spans="1:26" ht="18" x14ac:dyDescent="0.25">
      <c r="A145" s="303"/>
      <c r="B145" s="379"/>
      <c r="C145" s="304"/>
      <c r="D145" s="304"/>
      <c r="E145" s="304"/>
      <c r="F145" s="304"/>
      <c r="G145" s="304"/>
      <c r="H145" s="304"/>
      <c r="I145" s="304"/>
      <c r="J145" s="304"/>
      <c r="K145" s="309" t="s">
        <v>86</v>
      </c>
      <c r="L145" s="309">
        <v>4.4900000000000002E-4</v>
      </c>
      <c r="M145" s="304"/>
      <c r="N145" s="304"/>
      <c r="O145" s="304"/>
      <c r="P145" s="304"/>
      <c r="Q145" s="304"/>
      <c r="R145" s="304"/>
      <c r="S145" s="304"/>
      <c r="T145" s="304"/>
      <c r="U145" s="304"/>
      <c r="V145" s="304"/>
      <c r="W145" s="304"/>
      <c r="X145" s="304"/>
      <c r="Y145" s="304"/>
      <c r="Z145" s="305"/>
    </row>
    <row r="146" spans="1:26" ht="18" x14ac:dyDescent="0.25">
      <c r="A146" s="303"/>
      <c r="B146" s="379"/>
      <c r="C146" s="304"/>
      <c r="D146" s="304"/>
      <c r="E146" s="304"/>
      <c r="F146" s="304"/>
      <c r="G146" s="304"/>
      <c r="H146" s="304"/>
      <c r="I146" s="304"/>
      <c r="J146" s="304"/>
      <c r="K146" s="309" t="s">
        <v>87</v>
      </c>
      <c r="L146" s="309">
        <v>9.0000000000000002E-6</v>
      </c>
      <c r="M146" s="304"/>
      <c r="N146" s="304"/>
      <c r="O146" s="304"/>
      <c r="P146" s="304"/>
      <c r="Q146" s="304"/>
      <c r="R146" s="304"/>
      <c r="S146" s="304"/>
      <c r="T146" s="304"/>
      <c r="U146" s="304"/>
      <c r="V146" s="304"/>
      <c r="W146" s="304"/>
      <c r="X146" s="304"/>
      <c r="Y146" s="304"/>
      <c r="Z146" s="305"/>
    </row>
    <row r="147" spans="1:26" ht="18" x14ac:dyDescent="0.25">
      <c r="A147" s="303"/>
      <c r="B147" s="379"/>
      <c r="C147" s="304"/>
      <c r="D147" s="304"/>
      <c r="E147" s="304"/>
      <c r="F147" s="304"/>
      <c r="G147" s="304"/>
      <c r="H147" s="304"/>
      <c r="I147" s="304"/>
      <c r="J147" s="304"/>
      <c r="K147" s="309" t="s">
        <v>88</v>
      </c>
      <c r="L147" s="309">
        <v>9.1399999999999999E-4</v>
      </c>
      <c r="M147" s="304"/>
      <c r="N147" s="304"/>
      <c r="O147" s="304"/>
      <c r="P147" s="304"/>
      <c r="Q147" s="304"/>
      <c r="R147" s="304"/>
      <c r="S147" s="304"/>
      <c r="T147" s="304"/>
      <c r="U147" s="304"/>
      <c r="V147" s="304"/>
      <c r="W147" s="304"/>
      <c r="X147" s="304"/>
      <c r="Y147" s="304"/>
      <c r="Z147" s="305"/>
    </row>
    <row r="148" spans="1:26" ht="18" x14ac:dyDescent="0.25">
      <c r="A148" s="303"/>
      <c r="B148" s="379"/>
      <c r="C148" s="304"/>
      <c r="D148" s="304"/>
      <c r="E148" s="304"/>
      <c r="F148" s="304"/>
      <c r="G148" s="304"/>
      <c r="H148" s="304"/>
      <c r="I148" s="304"/>
      <c r="J148" s="304"/>
      <c r="K148" s="309" t="s">
        <v>89</v>
      </c>
      <c r="L148" s="309">
        <v>2.4899999999999998E-4</v>
      </c>
      <c r="M148" s="304"/>
      <c r="N148" s="304"/>
      <c r="O148" s="304"/>
      <c r="P148" s="304"/>
      <c r="Q148" s="304"/>
      <c r="R148" s="304"/>
      <c r="S148" s="304"/>
      <c r="T148" s="304"/>
      <c r="U148" s="304"/>
      <c r="V148" s="304"/>
      <c r="W148" s="304"/>
      <c r="X148" s="304"/>
      <c r="Y148" s="304"/>
      <c r="Z148" s="305"/>
    </row>
    <row r="149" spans="1:26" ht="18" x14ac:dyDescent="0.25">
      <c r="A149" s="303"/>
      <c r="B149" s="379"/>
      <c r="C149" s="304"/>
      <c r="D149" s="304"/>
      <c r="E149" s="304"/>
      <c r="F149" s="304"/>
      <c r="G149" s="304"/>
      <c r="H149" s="304"/>
      <c r="I149" s="304"/>
      <c r="J149" s="304"/>
      <c r="K149" s="309" t="s">
        <v>1429</v>
      </c>
      <c r="L149" s="309"/>
      <c r="M149" s="304"/>
      <c r="N149" s="304"/>
      <c r="O149" s="304"/>
      <c r="P149" s="304"/>
      <c r="Q149" s="304"/>
      <c r="R149" s="304"/>
      <c r="S149" s="304"/>
      <c r="T149" s="304"/>
      <c r="U149" s="304"/>
      <c r="V149" s="304"/>
      <c r="W149" s="304"/>
      <c r="X149" s="304"/>
      <c r="Y149" s="304"/>
      <c r="Z149" s="305"/>
    </row>
    <row r="150" spans="1:26" ht="18" x14ac:dyDescent="0.25">
      <c r="A150" s="303"/>
      <c r="B150" s="379"/>
      <c r="C150" s="304"/>
      <c r="D150" s="304"/>
      <c r="E150" s="304"/>
      <c r="F150" s="304"/>
      <c r="G150" s="304"/>
      <c r="H150" s="304"/>
      <c r="I150" s="304"/>
      <c r="J150" s="304"/>
      <c r="K150" s="321" t="s">
        <v>91</v>
      </c>
      <c r="L150" s="304"/>
      <c r="M150" s="304"/>
      <c r="N150" s="304"/>
      <c r="O150" s="304"/>
      <c r="P150" s="304"/>
      <c r="Q150" s="304"/>
      <c r="R150" s="304"/>
      <c r="S150" s="304"/>
      <c r="T150" s="304"/>
      <c r="U150" s="304"/>
      <c r="V150" s="304"/>
      <c r="W150" s="304"/>
      <c r="X150" s="304"/>
      <c r="Y150" s="304"/>
      <c r="Z150" s="305"/>
    </row>
    <row r="151" spans="1:26" ht="18" x14ac:dyDescent="0.25">
      <c r="A151" s="303"/>
      <c r="B151" s="379"/>
      <c r="C151" s="304"/>
      <c r="D151" s="304"/>
      <c r="E151" s="304"/>
      <c r="F151" s="304"/>
      <c r="G151" s="304"/>
      <c r="H151" s="304"/>
      <c r="I151" s="304"/>
      <c r="J151" s="304"/>
      <c r="K151" s="304"/>
      <c r="L151" s="304"/>
      <c r="M151" s="321"/>
      <c r="N151" s="304"/>
      <c r="O151" s="304"/>
      <c r="P151" s="304"/>
      <c r="Q151" s="304"/>
      <c r="R151" s="304"/>
      <c r="S151" s="304"/>
      <c r="T151" s="304"/>
      <c r="U151" s="304"/>
      <c r="V151" s="304"/>
      <c r="W151" s="304"/>
      <c r="X151" s="304"/>
      <c r="Y151" s="304"/>
      <c r="Z151" s="305"/>
    </row>
    <row r="152" spans="1:26" s="385" customFormat="1" x14ac:dyDescent="0.2">
      <c r="A152" s="304"/>
      <c r="B152" s="303" t="s">
        <v>1028</v>
      </c>
      <c r="C152" s="304"/>
      <c r="D152" s="304"/>
      <c r="E152" s="304"/>
      <c r="F152" s="304"/>
      <c r="G152" s="304"/>
      <c r="H152" s="304"/>
      <c r="I152" s="304"/>
      <c r="J152" s="304"/>
      <c r="K152" s="304"/>
      <c r="L152" s="304"/>
      <c r="M152" s="321"/>
      <c r="N152" s="304"/>
      <c r="O152" s="304"/>
      <c r="P152" s="304"/>
      <c r="Q152" s="304"/>
      <c r="R152" s="304"/>
      <c r="S152" s="304"/>
      <c r="T152" s="304"/>
      <c r="U152" s="304"/>
      <c r="V152" s="304"/>
      <c r="W152" s="304"/>
      <c r="X152" s="304"/>
      <c r="Y152" s="304"/>
      <c r="Z152" s="305"/>
    </row>
    <row r="153" spans="1:26" s="385" customFormat="1" x14ac:dyDescent="0.2">
      <c r="A153" s="304"/>
      <c r="B153" s="386" t="s">
        <v>93</v>
      </c>
      <c r="C153" s="382">
        <f>IF(Calc1!G101="GJ",Calc1!I105,Calc1!I105/277.8)</f>
        <v>0</v>
      </c>
      <c r="D153" s="304" t="s">
        <v>51</v>
      </c>
      <c r="E153" s="304"/>
      <c r="F153" s="304"/>
      <c r="G153" s="304"/>
      <c r="H153" s="304"/>
      <c r="I153" s="304"/>
      <c r="J153" s="304"/>
      <c r="K153" s="304"/>
      <c r="L153" s="304"/>
      <c r="M153" s="321"/>
      <c r="N153" s="304"/>
      <c r="O153" s="304"/>
      <c r="P153" s="304"/>
      <c r="Q153" s="304"/>
      <c r="R153" s="304"/>
      <c r="S153" s="304"/>
      <c r="T153" s="304"/>
      <c r="U153" s="304"/>
      <c r="V153" s="304"/>
      <c r="W153" s="304"/>
      <c r="X153" s="304"/>
      <c r="Y153" s="304"/>
      <c r="Z153" s="305"/>
    </row>
    <row r="154" spans="1:26" s="385" customFormat="1" x14ac:dyDescent="0.2">
      <c r="A154" s="304"/>
      <c r="B154" s="386"/>
      <c r="C154" s="304"/>
      <c r="D154" s="304"/>
      <c r="E154" s="304"/>
      <c r="F154" s="304"/>
      <c r="G154" s="304"/>
      <c r="H154" s="304"/>
      <c r="I154" s="304"/>
      <c r="J154" s="304"/>
      <c r="K154" s="304"/>
      <c r="L154" s="304"/>
      <c r="M154" s="321"/>
      <c r="N154" s="304"/>
      <c r="O154" s="304"/>
      <c r="P154" s="304"/>
      <c r="Q154" s="304"/>
      <c r="R154" s="304"/>
      <c r="S154" s="304"/>
      <c r="T154" s="304"/>
      <c r="U154" s="304"/>
      <c r="V154" s="304"/>
      <c r="W154" s="304"/>
      <c r="X154" s="304"/>
      <c r="Y154" s="304"/>
      <c r="Z154" s="305"/>
    </row>
    <row r="155" spans="1:26" s="385" customFormat="1" x14ac:dyDescent="0.2">
      <c r="A155" s="304"/>
      <c r="B155" s="303" t="s">
        <v>765</v>
      </c>
      <c r="C155" s="304"/>
      <c r="D155" s="304"/>
      <c r="E155" s="304"/>
      <c r="F155" s="304"/>
      <c r="G155" s="304"/>
      <c r="H155" s="304"/>
      <c r="I155" s="304"/>
      <c r="J155" s="304"/>
      <c r="K155" s="304"/>
      <c r="L155" s="304"/>
      <c r="M155" s="321"/>
      <c r="N155" s="304"/>
      <c r="O155" s="304"/>
      <c r="P155" s="304"/>
      <c r="Q155" s="304"/>
      <c r="R155" s="304"/>
      <c r="S155" s="304"/>
      <c r="T155" s="304"/>
      <c r="U155" s="304"/>
      <c r="V155" s="304"/>
      <c r="W155" s="304"/>
      <c r="X155" s="304"/>
      <c r="Y155" s="304"/>
      <c r="Z155" s="305"/>
    </row>
    <row r="156" spans="1:26" s="385" customFormat="1" x14ac:dyDescent="0.2">
      <c r="A156" s="304"/>
      <c r="B156" s="309" t="s">
        <v>173</v>
      </c>
      <c r="C156" s="350">
        <f>IF(Calc1!$F$103="Coal", Calc2!$C$153,0)</f>
        <v>0</v>
      </c>
      <c r="D156" s="343"/>
      <c r="E156" s="344"/>
      <c r="F156" s="304"/>
      <c r="G156" s="304"/>
      <c r="H156" s="304"/>
      <c r="I156" s="304"/>
      <c r="J156" s="304"/>
      <c r="K156" s="304"/>
      <c r="L156" s="304"/>
      <c r="M156" s="321"/>
      <c r="N156" s="304"/>
      <c r="O156" s="304"/>
      <c r="P156" s="304"/>
      <c r="Q156" s="304"/>
      <c r="R156" s="304"/>
      <c r="S156" s="304"/>
      <c r="T156" s="304"/>
      <c r="U156" s="304"/>
      <c r="V156" s="304"/>
      <c r="W156" s="304"/>
      <c r="X156" s="304"/>
      <c r="Y156" s="304"/>
      <c r="Z156" s="305"/>
    </row>
    <row r="157" spans="1:26" s="385" customFormat="1" ht="15.75" x14ac:dyDescent="0.3">
      <c r="A157" s="304"/>
      <c r="B157" s="309" t="s">
        <v>120</v>
      </c>
      <c r="C157" s="310" t="s">
        <v>16</v>
      </c>
      <c r="D157" s="310" t="s">
        <v>17</v>
      </c>
      <c r="E157" s="310" t="s">
        <v>789</v>
      </c>
      <c r="F157" s="312" t="s">
        <v>197</v>
      </c>
      <c r="G157" s="312" t="s">
        <v>180</v>
      </c>
      <c r="H157" s="312" t="s">
        <v>194</v>
      </c>
      <c r="I157" s="312" t="s">
        <v>195</v>
      </c>
      <c r="J157" s="312" t="s">
        <v>196</v>
      </c>
      <c r="K157" s="304"/>
      <c r="L157" s="304"/>
      <c r="M157" s="321"/>
      <c r="N157" s="304"/>
      <c r="O157" s="304"/>
      <c r="P157" s="304"/>
      <c r="Q157" s="304"/>
      <c r="R157" s="304"/>
      <c r="S157" s="304"/>
      <c r="T157" s="304"/>
      <c r="U157" s="304"/>
      <c r="V157" s="304"/>
      <c r="W157" s="304"/>
      <c r="X157" s="304"/>
      <c r="Y157" s="304"/>
      <c r="Z157" s="305"/>
    </row>
    <row r="158" spans="1:26" s="385" customFormat="1" x14ac:dyDescent="0.2">
      <c r="A158" s="304"/>
      <c r="B158" s="309" t="s">
        <v>214</v>
      </c>
      <c r="C158" s="387">
        <v>94000</v>
      </c>
      <c r="D158" s="387">
        <v>10</v>
      </c>
      <c r="E158" s="387">
        <v>1.5</v>
      </c>
      <c r="F158" s="312">
        <v>160</v>
      </c>
      <c r="G158" s="312">
        <v>200</v>
      </c>
      <c r="H158" s="312">
        <v>2000</v>
      </c>
      <c r="I158" s="312">
        <v>190</v>
      </c>
      <c r="J158" s="312">
        <v>900</v>
      </c>
      <c r="K158" s="304"/>
      <c r="L158" s="304"/>
      <c r="M158" s="321"/>
      <c r="N158" s="304"/>
      <c r="O158" s="304"/>
      <c r="P158" s="304"/>
      <c r="Q158" s="304"/>
      <c r="R158" s="304"/>
      <c r="S158" s="304"/>
      <c r="T158" s="304"/>
      <c r="U158" s="304"/>
      <c r="V158" s="304"/>
      <c r="W158" s="304"/>
      <c r="X158" s="304"/>
      <c r="Y158" s="304"/>
      <c r="Z158" s="305"/>
    </row>
    <row r="159" spans="1:26" s="385" customFormat="1" x14ac:dyDescent="0.2">
      <c r="A159" s="304"/>
      <c r="B159" s="309" t="s">
        <v>39</v>
      </c>
      <c r="C159" s="347">
        <f>$C$156*C158/1000/1000</f>
        <v>0</v>
      </c>
      <c r="D159" s="347">
        <f t="shared" ref="D159:J159" si="27">$C$156*D158/1000/1000</f>
        <v>0</v>
      </c>
      <c r="E159" s="347">
        <f t="shared" si="27"/>
        <v>0</v>
      </c>
      <c r="F159" s="347">
        <f t="shared" si="27"/>
        <v>0</v>
      </c>
      <c r="G159" s="347">
        <f t="shared" si="27"/>
        <v>0</v>
      </c>
      <c r="H159" s="347">
        <f t="shared" si="27"/>
        <v>0</v>
      </c>
      <c r="I159" s="347">
        <f t="shared" si="27"/>
        <v>0</v>
      </c>
      <c r="J159" s="347">
        <f t="shared" si="27"/>
        <v>0</v>
      </c>
      <c r="K159" s="304"/>
      <c r="L159" s="304"/>
      <c r="M159" s="321"/>
      <c r="N159" s="304"/>
      <c r="O159" s="304"/>
      <c r="P159" s="304"/>
      <c r="Q159" s="304"/>
      <c r="R159" s="304"/>
      <c r="S159" s="304"/>
      <c r="T159" s="304"/>
      <c r="U159" s="304"/>
      <c r="V159" s="304"/>
      <c r="W159" s="304"/>
      <c r="X159" s="304"/>
      <c r="Y159" s="304"/>
      <c r="Z159" s="305"/>
    </row>
    <row r="160" spans="1:26" s="385" customFormat="1" x14ac:dyDescent="0.2">
      <c r="A160" s="304"/>
      <c r="B160" s="386"/>
      <c r="C160" s="304"/>
      <c r="D160" s="304"/>
      <c r="E160" s="304"/>
      <c r="F160" s="304"/>
      <c r="G160" s="304"/>
      <c r="H160" s="304"/>
      <c r="I160" s="304"/>
      <c r="J160" s="304"/>
      <c r="K160" s="304"/>
      <c r="L160" s="304"/>
      <c r="M160" s="304"/>
      <c r="N160" s="304"/>
      <c r="O160" s="304"/>
      <c r="P160" s="304"/>
      <c r="Q160" s="304"/>
      <c r="R160" s="304"/>
      <c r="S160" s="304"/>
      <c r="T160" s="304"/>
      <c r="U160" s="304"/>
      <c r="V160" s="304"/>
      <c r="W160" s="304"/>
      <c r="X160" s="304"/>
      <c r="Y160" s="304"/>
      <c r="Z160" s="305"/>
    </row>
    <row r="161" spans="1:26" s="385" customFormat="1" x14ac:dyDescent="0.2">
      <c r="A161" s="304"/>
      <c r="B161" s="303" t="s">
        <v>766</v>
      </c>
      <c r="C161" s="304"/>
      <c r="D161" s="304"/>
      <c r="E161" s="304"/>
      <c r="F161" s="304"/>
      <c r="G161" s="304"/>
      <c r="H161" s="304"/>
      <c r="I161" s="304"/>
      <c r="J161" s="304"/>
      <c r="K161" s="304"/>
      <c r="L161" s="304"/>
      <c r="M161" s="321"/>
      <c r="N161" s="304"/>
      <c r="O161" s="304"/>
      <c r="P161" s="304"/>
      <c r="Q161" s="304"/>
      <c r="R161" s="304"/>
      <c r="S161" s="304"/>
      <c r="T161" s="304"/>
      <c r="U161" s="304"/>
      <c r="V161" s="304"/>
      <c r="W161" s="304"/>
      <c r="X161" s="304"/>
      <c r="Y161" s="304"/>
      <c r="Z161" s="305"/>
    </row>
    <row r="162" spans="1:26" s="385" customFormat="1" x14ac:dyDescent="0.2">
      <c r="A162" s="304"/>
      <c r="B162" s="309" t="s">
        <v>844</v>
      </c>
      <c r="C162" s="350">
        <f>IF(Calc1!$F$103="Fuel Oil", Calc2!$C$153,0)</f>
        <v>0</v>
      </c>
      <c r="D162" s="343"/>
      <c r="E162" s="344"/>
      <c r="F162" s="304"/>
      <c r="G162" s="304"/>
      <c r="H162" s="304"/>
      <c r="I162" s="304"/>
      <c r="J162" s="304"/>
      <c r="K162" s="304"/>
      <c r="L162" s="304"/>
      <c r="M162" s="321"/>
      <c r="N162" s="304"/>
      <c r="O162" s="304"/>
      <c r="P162" s="304"/>
      <c r="Q162" s="304"/>
      <c r="R162" s="304"/>
      <c r="S162" s="304"/>
      <c r="T162" s="304"/>
      <c r="U162" s="304"/>
      <c r="V162" s="304"/>
      <c r="W162" s="304"/>
      <c r="X162" s="304"/>
      <c r="Y162" s="304"/>
      <c r="Z162" s="305"/>
    </row>
    <row r="163" spans="1:26" s="385" customFormat="1" ht="15.75" x14ac:dyDescent="0.3">
      <c r="A163" s="304"/>
      <c r="B163" s="309" t="s">
        <v>120</v>
      </c>
      <c r="C163" s="310" t="s">
        <v>16</v>
      </c>
      <c r="D163" s="310" t="s">
        <v>17</v>
      </c>
      <c r="E163" s="310" t="s">
        <v>789</v>
      </c>
      <c r="F163" s="312" t="s">
        <v>197</v>
      </c>
      <c r="G163" s="312" t="s">
        <v>180</v>
      </c>
      <c r="H163" s="312" t="s">
        <v>194</v>
      </c>
      <c r="I163" s="312" t="s">
        <v>195</v>
      </c>
      <c r="J163" s="312" t="s">
        <v>196</v>
      </c>
      <c r="K163" s="304"/>
      <c r="L163" s="304"/>
      <c r="M163" s="321"/>
      <c r="N163" s="304"/>
      <c r="O163" s="304"/>
      <c r="P163" s="304"/>
      <c r="Q163" s="304"/>
      <c r="R163" s="304"/>
      <c r="S163" s="304"/>
      <c r="T163" s="304"/>
      <c r="U163" s="304"/>
      <c r="V163" s="304"/>
      <c r="W163" s="304"/>
      <c r="X163" s="304"/>
      <c r="Y163" s="304"/>
      <c r="Z163" s="305"/>
    </row>
    <row r="164" spans="1:26" s="385" customFormat="1" x14ac:dyDescent="0.2">
      <c r="A164" s="304"/>
      <c r="B164" s="309" t="s">
        <v>214</v>
      </c>
      <c r="C164" s="387">
        <v>77400</v>
      </c>
      <c r="D164" s="387">
        <v>10</v>
      </c>
      <c r="E164" s="387">
        <v>0.6</v>
      </c>
      <c r="F164" s="312">
        <v>398</v>
      </c>
      <c r="G164" s="312">
        <v>0.19</v>
      </c>
      <c r="H164" s="312">
        <v>1.49</v>
      </c>
      <c r="I164" s="312">
        <v>3</v>
      </c>
      <c r="J164" s="312">
        <v>46.1</v>
      </c>
      <c r="K164" s="304"/>
      <c r="L164" s="304"/>
      <c r="M164" s="321"/>
      <c r="N164" s="304"/>
      <c r="O164" s="304"/>
      <c r="P164" s="304"/>
      <c r="Q164" s="304"/>
      <c r="R164" s="304"/>
      <c r="S164" s="304"/>
      <c r="T164" s="304"/>
      <c r="U164" s="304"/>
      <c r="V164" s="304"/>
      <c r="W164" s="304"/>
      <c r="X164" s="304"/>
      <c r="Y164" s="304"/>
      <c r="Z164" s="305"/>
    </row>
    <row r="165" spans="1:26" s="385" customFormat="1" x14ac:dyDescent="0.2">
      <c r="A165" s="304"/>
      <c r="B165" s="309" t="s">
        <v>39</v>
      </c>
      <c r="C165" s="347">
        <f>$C$162*C164/1000/1000</f>
        <v>0</v>
      </c>
      <c r="D165" s="347">
        <f t="shared" ref="D165:J165" si="28">$C$162*D164/1000/1000</f>
        <v>0</v>
      </c>
      <c r="E165" s="347">
        <f t="shared" si="28"/>
        <v>0</v>
      </c>
      <c r="F165" s="347">
        <f t="shared" si="28"/>
        <v>0</v>
      </c>
      <c r="G165" s="347">
        <f t="shared" si="28"/>
        <v>0</v>
      </c>
      <c r="H165" s="347">
        <f t="shared" si="28"/>
        <v>0</v>
      </c>
      <c r="I165" s="347">
        <f t="shared" si="28"/>
        <v>0</v>
      </c>
      <c r="J165" s="347">
        <f t="shared" si="28"/>
        <v>0</v>
      </c>
      <c r="K165" s="304"/>
      <c r="L165" s="304"/>
      <c r="M165" s="321"/>
      <c r="N165" s="304"/>
      <c r="O165" s="304"/>
      <c r="P165" s="304"/>
      <c r="Q165" s="304"/>
      <c r="R165" s="304"/>
      <c r="S165" s="304"/>
      <c r="T165" s="304"/>
      <c r="U165" s="304"/>
      <c r="V165" s="304"/>
      <c r="W165" s="304"/>
      <c r="X165" s="304"/>
      <c r="Y165" s="304"/>
      <c r="Z165" s="305"/>
    </row>
    <row r="166" spans="1:26" s="385" customFormat="1" x14ac:dyDescent="0.2">
      <c r="A166" s="304"/>
      <c r="B166" s="386"/>
      <c r="C166" s="304"/>
      <c r="D166" s="304"/>
      <c r="E166" s="304"/>
      <c r="F166" s="304"/>
      <c r="G166" s="304"/>
      <c r="H166" s="304"/>
      <c r="I166" s="304"/>
      <c r="J166" s="304"/>
      <c r="K166" s="304"/>
      <c r="L166" s="304"/>
      <c r="M166" s="304"/>
      <c r="N166" s="304"/>
      <c r="O166" s="304"/>
      <c r="P166" s="304"/>
      <c r="Q166" s="304"/>
      <c r="R166" s="304"/>
      <c r="S166" s="304"/>
      <c r="T166" s="304"/>
      <c r="U166" s="304"/>
      <c r="V166" s="304"/>
      <c r="W166" s="304"/>
      <c r="X166" s="304"/>
      <c r="Y166" s="304"/>
      <c r="Z166" s="305"/>
    </row>
    <row r="167" spans="1:26" s="385" customFormat="1" x14ac:dyDescent="0.2">
      <c r="A167" s="304"/>
      <c r="B167" s="303" t="s">
        <v>767</v>
      </c>
      <c r="C167" s="304"/>
      <c r="D167" s="304"/>
      <c r="E167" s="304"/>
      <c r="F167" s="304"/>
      <c r="G167" s="304"/>
      <c r="H167" s="304"/>
      <c r="I167" s="304"/>
      <c r="J167" s="304"/>
      <c r="K167" s="304"/>
      <c r="L167" s="304"/>
      <c r="M167" s="321"/>
      <c r="N167" s="304"/>
      <c r="O167" s="304"/>
      <c r="P167" s="304"/>
      <c r="Q167" s="304"/>
      <c r="R167" s="304"/>
      <c r="S167" s="304"/>
      <c r="T167" s="304"/>
      <c r="U167" s="304"/>
      <c r="V167" s="304"/>
      <c r="W167" s="304"/>
      <c r="X167" s="304"/>
      <c r="Y167" s="304"/>
      <c r="Z167" s="305"/>
    </row>
    <row r="168" spans="1:26" s="385" customFormat="1" x14ac:dyDescent="0.2">
      <c r="A168" s="304"/>
      <c r="B168" s="309" t="s">
        <v>768</v>
      </c>
      <c r="C168" s="350">
        <f>IF(Calc1!$F$103="Natural Gas", Calc2!$C$153,0)</f>
        <v>0</v>
      </c>
      <c r="D168" s="343"/>
      <c r="E168" s="344"/>
      <c r="F168" s="304"/>
      <c r="G168" s="304"/>
      <c r="H168" s="304"/>
      <c r="I168" s="304"/>
      <c r="J168" s="304"/>
      <c r="K168" s="304"/>
      <c r="L168" s="304"/>
      <c r="M168" s="321"/>
      <c r="N168" s="304"/>
      <c r="O168" s="304"/>
      <c r="P168" s="304"/>
      <c r="Q168" s="304"/>
      <c r="R168" s="304"/>
      <c r="S168" s="304"/>
      <c r="T168" s="304"/>
      <c r="U168" s="304"/>
      <c r="V168" s="304"/>
      <c r="W168" s="304"/>
      <c r="X168" s="304"/>
      <c r="Y168" s="304"/>
      <c r="Z168" s="305"/>
    </row>
    <row r="169" spans="1:26" s="385" customFormat="1" ht="15.75" x14ac:dyDescent="0.3">
      <c r="A169" s="304"/>
      <c r="B169" s="309" t="s">
        <v>120</v>
      </c>
      <c r="C169" s="310" t="s">
        <v>16</v>
      </c>
      <c r="D169" s="310" t="s">
        <v>17</v>
      </c>
      <c r="E169" s="310" t="s">
        <v>789</v>
      </c>
      <c r="F169" s="312" t="s">
        <v>197</v>
      </c>
      <c r="G169" s="312" t="s">
        <v>180</v>
      </c>
      <c r="H169" s="312" t="s">
        <v>194</v>
      </c>
      <c r="I169" s="312" t="s">
        <v>195</v>
      </c>
      <c r="J169" s="312" t="s">
        <v>196</v>
      </c>
      <c r="K169" s="304"/>
      <c r="L169" s="304"/>
      <c r="M169" s="321"/>
      <c r="N169" s="304"/>
      <c r="O169" s="304"/>
      <c r="P169" s="304"/>
      <c r="Q169" s="304"/>
      <c r="R169" s="304"/>
      <c r="S169" s="304"/>
      <c r="T169" s="304"/>
      <c r="U169" s="304"/>
      <c r="V169" s="304"/>
      <c r="W169" s="304"/>
      <c r="X169" s="304"/>
      <c r="Y169" s="304"/>
      <c r="Z169" s="305"/>
    </row>
    <row r="170" spans="1:26" s="385" customFormat="1" x14ac:dyDescent="0.2">
      <c r="A170" s="304"/>
      <c r="B170" s="388" t="s">
        <v>214</v>
      </c>
      <c r="C170" s="387">
        <v>56100</v>
      </c>
      <c r="D170" s="387">
        <v>1</v>
      </c>
      <c r="E170" s="387">
        <v>0.1</v>
      </c>
      <c r="F170" s="312">
        <f>70</f>
        <v>70</v>
      </c>
      <c r="G170" s="312">
        <f>3</f>
        <v>3</v>
      </c>
      <c r="H170" s="312">
        <f>30</f>
        <v>30</v>
      </c>
      <c r="I170" s="312">
        <f>0.5</f>
        <v>0.5</v>
      </c>
      <c r="J170" s="312">
        <f>0.5</f>
        <v>0.5</v>
      </c>
      <c r="K170" s="304"/>
      <c r="L170" s="304"/>
      <c r="M170" s="321"/>
      <c r="N170" s="304"/>
      <c r="O170" s="304"/>
      <c r="P170" s="304"/>
      <c r="Q170" s="304"/>
      <c r="R170" s="304"/>
      <c r="S170" s="304"/>
      <c r="T170" s="304"/>
      <c r="U170" s="304"/>
      <c r="V170" s="304"/>
      <c r="W170" s="304"/>
      <c r="X170" s="304"/>
      <c r="Y170" s="304"/>
      <c r="Z170" s="305"/>
    </row>
    <row r="171" spans="1:26" s="385" customFormat="1" x14ac:dyDescent="0.2">
      <c r="A171" s="304"/>
      <c r="B171" s="309" t="s">
        <v>39</v>
      </c>
      <c r="C171" s="389">
        <f>$C$168*C170/1000/1000</f>
        <v>0</v>
      </c>
      <c r="D171" s="347">
        <f t="shared" ref="D171:J171" si="29">$C$168*D170/1000/1000</f>
        <v>0</v>
      </c>
      <c r="E171" s="347">
        <f t="shared" si="29"/>
        <v>0</v>
      </c>
      <c r="F171" s="347">
        <f t="shared" si="29"/>
        <v>0</v>
      </c>
      <c r="G171" s="347">
        <f t="shared" si="29"/>
        <v>0</v>
      </c>
      <c r="H171" s="347">
        <f t="shared" si="29"/>
        <v>0</v>
      </c>
      <c r="I171" s="347">
        <f t="shared" si="29"/>
        <v>0</v>
      </c>
      <c r="J171" s="347">
        <f t="shared" si="29"/>
        <v>0</v>
      </c>
      <c r="K171" s="304"/>
      <c r="L171" s="304"/>
      <c r="M171" s="321"/>
      <c r="N171" s="304"/>
      <c r="O171" s="304"/>
      <c r="P171" s="304"/>
      <c r="Q171" s="304"/>
      <c r="R171" s="304"/>
      <c r="S171" s="304"/>
      <c r="T171" s="304"/>
      <c r="U171" s="304"/>
      <c r="V171" s="304"/>
      <c r="W171" s="304"/>
      <c r="X171" s="304"/>
      <c r="Y171" s="304"/>
      <c r="Z171" s="305"/>
    </row>
    <row r="172" spans="1:26" s="385" customFormat="1" x14ac:dyDescent="0.2">
      <c r="A172" s="304"/>
      <c r="B172" s="386"/>
      <c r="C172" s="304"/>
      <c r="D172" s="304"/>
      <c r="E172" s="304"/>
      <c r="F172" s="304"/>
      <c r="G172" s="304"/>
      <c r="H172" s="304"/>
      <c r="I172" s="304"/>
      <c r="J172" s="304"/>
      <c r="K172" s="304"/>
      <c r="L172" s="304"/>
      <c r="M172" s="304"/>
      <c r="N172" s="304"/>
      <c r="O172" s="304"/>
      <c r="P172" s="304"/>
      <c r="Q172" s="304"/>
      <c r="R172" s="304"/>
      <c r="S172" s="304"/>
      <c r="T172" s="304"/>
      <c r="U172" s="304"/>
      <c r="V172" s="304"/>
      <c r="W172" s="304"/>
      <c r="X172" s="304"/>
      <c r="Y172" s="304"/>
      <c r="Z172" s="305"/>
    </row>
    <row r="173" spans="1:26" s="385" customFormat="1" x14ac:dyDescent="0.2">
      <c r="A173" s="304"/>
      <c r="B173" s="386" t="s">
        <v>769</v>
      </c>
      <c r="C173" s="318">
        <f>SUM(C159,C165,C171)</f>
        <v>0</v>
      </c>
      <c r="D173" s="318">
        <f t="shared" ref="D173:J173" si="30">SUM(D159,D165,D171)</f>
        <v>0</v>
      </c>
      <c r="E173" s="318">
        <f t="shared" si="30"/>
        <v>0</v>
      </c>
      <c r="F173" s="318">
        <f t="shared" si="30"/>
        <v>0</v>
      </c>
      <c r="G173" s="318">
        <f t="shared" si="30"/>
        <v>0</v>
      </c>
      <c r="H173" s="318">
        <f t="shared" si="30"/>
        <v>0</v>
      </c>
      <c r="I173" s="318">
        <f t="shared" si="30"/>
        <v>0</v>
      </c>
      <c r="J173" s="318">
        <f t="shared" si="30"/>
        <v>0</v>
      </c>
      <c r="K173" s="304"/>
      <c r="L173" s="304"/>
      <c r="M173" s="304"/>
      <c r="N173" s="304"/>
      <c r="O173" s="304"/>
      <c r="P173" s="304"/>
      <c r="Q173" s="304"/>
      <c r="R173" s="304"/>
      <c r="S173" s="304"/>
      <c r="T173" s="304"/>
      <c r="U173" s="304"/>
      <c r="V173" s="304"/>
      <c r="W173" s="304"/>
      <c r="X173" s="304"/>
      <c r="Y173" s="304"/>
      <c r="Z173" s="305"/>
    </row>
    <row r="174" spans="1:26" s="385" customFormat="1" x14ac:dyDescent="0.2">
      <c r="A174" s="304"/>
      <c r="B174" s="304"/>
      <c r="C174" s="304"/>
      <c r="D174" s="304"/>
      <c r="E174" s="304"/>
      <c r="F174" s="304"/>
      <c r="G174" s="304"/>
      <c r="H174" s="304"/>
      <c r="I174" s="304"/>
      <c r="J174" s="304"/>
      <c r="K174" s="304"/>
      <c r="L174" s="304"/>
      <c r="M174" s="304"/>
      <c r="N174" s="304"/>
      <c r="O174" s="304"/>
      <c r="P174" s="304"/>
      <c r="Q174" s="304"/>
      <c r="R174" s="304"/>
      <c r="S174" s="304"/>
      <c r="T174" s="304"/>
      <c r="U174" s="304"/>
      <c r="V174" s="304"/>
      <c r="W174" s="304"/>
      <c r="X174" s="304"/>
      <c r="Y174" s="304"/>
      <c r="Z174" s="305"/>
    </row>
    <row r="175" spans="1:26" s="385" customFormat="1" x14ac:dyDescent="0.2">
      <c r="A175" s="304"/>
      <c r="B175" s="386"/>
      <c r="C175" s="304"/>
      <c r="D175" s="304"/>
      <c r="E175" s="304"/>
      <c r="F175" s="304"/>
      <c r="G175" s="304"/>
      <c r="H175" s="304"/>
      <c r="I175" s="304"/>
      <c r="J175" s="304"/>
      <c r="K175" s="304"/>
      <c r="L175" s="304"/>
      <c r="M175" s="304"/>
      <c r="N175" s="304"/>
      <c r="O175" s="304"/>
      <c r="P175" s="304"/>
      <c r="Q175" s="304"/>
      <c r="R175" s="304"/>
      <c r="S175" s="304"/>
      <c r="T175" s="304"/>
      <c r="U175" s="304"/>
      <c r="V175" s="304"/>
      <c r="W175" s="304"/>
      <c r="X175" s="304"/>
      <c r="Y175" s="304"/>
      <c r="Z175" s="305"/>
    </row>
    <row r="176" spans="1:26" ht="18" x14ac:dyDescent="0.25">
      <c r="A176" s="303"/>
      <c r="B176" s="379" t="str">
        <f>Calc1!A109</f>
        <v>SCOPE 3 - DIRECT AND INDIRECT EMISSIONS GENERATED BY TENANTS AND PASSENGERS</v>
      </c>
      <c r="C176" s="304"/>
      <c r="D176" s="304"/>
      <c r="E176" s="304"/>
      <c r="F176" s="304"/>
      <c r="G176" s="304"/>
      <c r="H176" s="304"/>
      <c r="I176" s="304"/>
      <c r="J176" s="304"/>
      <c r="K176" s="304"/>
      <c r="L176" s="304"/>
      <c r="M176" s="304"/>
      <c r="N176" s="304"/>
      <c r="O176" s="304"/>
      <c r="P176" s="304"/>
      <c r="Q176" s="304"/>
      <c r="R176" s="304"/>
      <c r="S176" s="304"/>
      <c r="T176" s="304"/>
      <c r="U176" s="304"/>
      <c r="V176" s="304"/>
      <c r="W176" s="304"/>
      <c r="X176" s="304"/>
      <c r="Y176" s="304"/>
      <c r="Z176" s="305"/>
    </row>
    <row r="177" spans="1:26" ht="18" x14ac:dyDescent="0.25">
      <c r="A177" s="303"/>
      <c r="B177" s="379"/>
      <c r="C177" s="304"/>
      <c r="D177" s="304"/>
      <c r="E177" s="304"/>
      <c r="F177" s="304"/>
      <c r="G177" s="304"/>
      <c r="H177" s="304"/>
      <c r="I177" s="304"/>
      <c r="J177" s="304"/>
      <c r="K177" s="304"/>
      <c r="L177" s="304"/>
      <c r="M177" s="304"/>
      <c r="N177" s="304"/>
      <c r="O177" s="304"/>
      <c r="P177" s="304"/>
      <c r="Q177" s="304"/>
      <c r="R177" s="304"/>
      <c r="S177" s="304"/>
      <c r="T177" s="304"/>
      <c r="U177" s="304"/>
      <c r="V177" s="304"/>
      <c r="W177" s="304"/>
      <c r="X177" s="304"/>
      <c r="Y177" s="304"/>
      <c r="Z177" s="305"/>
    </row>
    <row r="178" spans="1:26" x14ac:dyDescent="0.2">
      <c r="A178" s="303"/>
      <c r="B178" s="304"/>
      <c r="C178" s="304"/>
      <c r="D178" s="304"/>
      <c r="E178" s="304"/>
      <c r="F178" s="304"/>
      <c r="G178" s="304"/>
      <c r="H178" s="304"/>
      <c r="I178" s="304"/>
      <c r="J178" s="304"/>
      <c r="K178" s="304"/>
      <c r="L178" s="304"/>
      <c r="M178" s="304"/>
      <c r="N178" s="304"/>
      <c r="O178" s="304"/>
      <c r="P178" s="304"/>
      <c r="Q178" s="304"/>
      <c r="R178" s="304"/>
      <c r="S178" s="304"/>
      <c r="T178" s="304"/>
      <c r="U178" s="304"/>
      <c r="V178" s="304"/>
      <c r="W178" s="304"/>
      <c r="X178" s="304"/>
      <c r="Y178" s="304"/>
      <c r="Z178" s="305"/>
    </row>
    <row r="179" spans="1:26" ht="18" x14ac:dyDescent="0.25">
      <c r="A179" s="303"/>
      <c r="B179" s="390"/>
      <c r="C179" s="304"/>
      <c r="D179" s="304"/>
      <c r="E179" s="304"/>
      <c r="F179" s="304"/>
      <c r="G179" s="304"/>
      <c r="H179" s="304"/>
      <c r="I179" s="304"/>
      <c r="J179" s="304"/>
      <c r="K179" s="304"/>
      <c r="L179" s="304"/>
      <c r="M179" s="304"/>
      <c r="N179" s="304"/>
      <c r="O179" s="304"/>
      <c r="P179" s="304"/>
      <c r="Q179" s="304"/>
      <c r="R179" s="304"/>
      <c r="S179" s="304"/>
      <c r="T179" s="304"/>
      <c r="U179" s="304"/>
      <c r="V179" s="304"/>
      <c r="W179" s="304"/>
      <c r="X179" s="304"/>
      <c r="Y179" s="304"/>
      <c r="Z179" s="305"/>
    </row>
    <row r="180" spans="1:26" x14ac:dyDescent="0.2">
      <c r="A180" s="303" t="s">
        <v>635</v>
      </c>
      <c r="B180" s="303" t="s">
        <v>617</v>
      </c>
      <c r="C180" s="304"/>
      <c r="D180" s="304"/>
      <c r="E180" s="304"/>
      <c r="F180" s="304"/>
      <c r="G180" s="304"/>
      <c r="H180" s="304"/>
      <c r="I180" s="304"/>
      <c r="J180" s="304"/>
      <c r="K180" s="304"/>
      <c r="L180" s="304"/>
      <c r="M180" s="304"/>
      <c r="N180" s="304"/>
      <c r="O180" s="304"/>
      <c r="P180" s="304"/>
      <c r="Q180" s="304"/>
      <c r="R180" s="304"/>
      <c r="S180" s="304"/>
      <c r="T180" s="304"/>
      <c r="U180" s="304"/>
      <c r="V180" s="304"/>
      <c r="W180" s="304"/>
      <c r="X180" s="304"/>
      <c r="Y180" s="304"/>
      <c r="Z180" s="305"/>
    </row>
    <row r="181" spans="1:26" x14ac:dyDescent="0.2">
      <c r="A181" s="303"/>
      <c r="B181" s="391"/>
      <c r="C181" s="391"/>
      <c r="D181" s="391"/>
      <c r="E181" s="304"/>
      <c r="F181" s="304"/>
      <c r="G181" s="304"/>
      <c r="H181" s="304"/>
      <c r="I181" s="304"/>
      <c r="J181" s="304"/>
      <c r="K181" s="304"/>
      <c r="L181" s="304"/>
      <c r="M181" s="304"/>
      <c r="N181" s="304"/>
      <c r="O181" s="304"/>
      <c r="P181" s="304"/>
      <c r="Q181" s="304"/>
      <c r="R181" s="304"/>
      <c r="S181" s="304"/>
      <c r="T181" s="304"/>
      <c r="U181" s="304"/>
      <c r="V181" s="304"/>
      <c r="W181" s="304"/>
      <c r="X181" s="304"/>
      <c r="Y181" s="304"/>
      <c r="Z181" s="305"/>
    </row>
    <row r="182" spans="1:26" x14ac:dyDescent="0.2">
      <c r="A182" s="303"/>
      <c r="B182" s="391"/>
      <c r="C182" s="391"/>
      <c r="D182" s="391"/>
      <c r="E182" s="304"/>
      <c r="F182" s="304" t="s">
        <v>576</v>
      </c>
      <c r="G182" s="304"/>
      <c r="H182" s="304"/>
      <c r="I182" s="304"/>
      <c r="J182" s="304"/>
      <c r="K182" s="304"/>
      <c r="L182" s="304"/>
      <c r="M182" s="304"/>
      <c r="N182" s="304"/>
      <c r="O182" s="304"/>
      <c r="P182" s="304"/>
      <c r="Q182" s="304"/>
      <c r="R182" s="304"/>
      <c r="S182" s="304"/>
      <c r="T182" s="304"/>
      <c r="U182" s="304"/>
      <c r="V182" s="304"/>
      <c r="W182" s="304"/>
      <c r="X182" s="304"/>
      <c r="Y182" s="304"/>
      <c r="Z182" s="305"/>
    </row>
    <row r="183" spans="1:26" ht="13.5" thickBot="1" x14ac:dyDescent="0.25">
      <c r="A183" s="303"/>
      <c r="B183" s="391"/>
      <c r="C183" s="391"/>
      <c r="D183" s="391"/>
      <c r="E183" s="304"/>
      <c r="F183" s="304" t="s">
        <v>577</v>
      </c>
      <c r="G183" s="304"/>
      <c r="H183" s="304"/>
      <c r="I183" s="304"/>
      <c r="J183" s="304"/>
      <c r="K183" s="304"/>
      <c r="L183" s="304"/>
      <c r="M183" s="304"/>
      <c r="N183" s="304"/>
      <c r="O183" s="304"/>
      <c r="P183" s="304"/>
      <c r="Q183" s="304"/>
      <c r="R183" s="304"/>
      <c r="S183" s="304"/>
      <c r="T183" s="304"/>
      <c r="U183" s="304"/>
      <c r="V183" s="304"/>
      <c r="W183" s="304"/>
      <c r="X183" s="304"/>
      <c r="Y183" s="304"/>
      <c r="Z183" s="305"/>
    </row>
    <row r="184" spans="1:26" ht="13.5" thickBot="1" x14ac:dyDescent="0.25">
      <c r="A184" s="303"/>
      <c r="B184" s="391"/>
      <c r="C184" s="391"/>
      <c r="D184" s="1196" t="s">
        <v>612</v>
      </c>
      <c r="E184" s="1191"/>
      <c r="F184" s="1191"/>
      <c r="G184" s="1191"/>
      <c r="H184" s="1191"/>
      <c r="I184" s="1191"/>
      <c r="J184" s="1191"/>
      <c r="K184" s="1191"/>
      <c r="L184" s="1191"/>
      <c r="M184" s="1191"/>
      <c r="N184" s="1191"/>
      <c r="O184" s="1191"/>
      <c r="P184" s="1191"/>
      <c r="Q184" s="1197"/>
      <c r="R184" s="1191" t="s">
        <v>99</v>
      </c>
      <c r="S184" s="1191"/>
      <c r="T184" s="1191"/>
      <c r="U184" s="1191"/>
      <c r="V184" s="1191"/>
      <c r="W184" s="1191"/>
      <c r="X184" s="1191"/>
      <c r="Y184" s="1192"/>
      <c r="Z184" s="305"/>
    </row>
    <row r="185" spans="1:26" x14ac:dyDescent="0.2">
      <c r="A185" s="303"/>
      <c r="B185" s="309"/>
      <c r="C185" s="392"/>
      <c r="D185" s="1193" t="s">
        <v>197</v>
      </c>
      <c r="E185" s="1194"/>
      <c r="F185" s="1194" t="s">
        <v>580</v>
      </c>
      <c r="G185" s="1194"/>
      <c r="H185" s="1194" t="s">
        <v>194</v>
      </c>
      <c r="I185" s="1194"/>
      <c r="J185" s="1194" t="s">
        <v>195</v>
      </c>
      <c r="K185" s="1194"/>
      <c r="L185" s="1194" t="s">
        <v>581</v>
      </c>
      <c r="M185" s="1194"/>
      <c r="N185" s="1194" t="s">
        <v>582</v>
      </c>
      <c r="O185" s="1194"/>
      <c r="P185" s="1194" t="s">
        <v>23</v>
      </c>
      <c r="Q185" s="1195"/>
      <c r="R185" s="369" t="s">
        <v>210</v>
      </c>
      <c r="S185" s="393" t="s">
        <v>580</v>
      </c>
      <c r="T185" s="393" t="s">
        <v>194</v>
      </c>
      <c r="U185" s="393" t="s">
        <v>195</v>
      </c>
      <c r="V185" s="393" t="s">
        <v>581</v>
      </c>
      <c r="W185" s="393" t="s">
        <v>582</v>
      </c>
      <c r="X185" s="393" t="s">
        <v>23</v>
      </c>
      <c r="Y185" s="393" t="s">
        <v>611</v>
      </c>
      <c r="Z185" s="305"/>
    </row>
    <row r="186" spans="1:26" x14ac:dyDescent="0.2">
      <c r="A186" s="303"/>
      <c r="B186" s="312" t="s">
        <v>2</v>
      </c>
      <c r="C186" s="394" t="s">
        <v>575</v>
      </c>
      <c r="D186" s="395" t="s">
        <v>578</v>
      </c>
      <c r="E186" s="312" t="s">
        <v>579</v>
      </c>
      <c r="F186" s="312" t="s">
        <v>578</v>
      </c>
      <c r="G186" s="312" t="s">
        <v>579</v>
      </c>
      <c r="H186" s="312" t="s">
        <v>578</v>
      </c>
      <c r="I186" s="312" t="s">
        <v>579</v>
      </c>
      <c r="J186" s="312" t="s">
        <v>578</v>
      </c>
      <c r="K186" s="312" t="s">
        <v>579</v>
      </c>
      <c r="L186" s="312" t="s">
        <v>578</v>
      </c>
      <c r="M186" s="312" t="s">
        <v>579</v>
      </c>
      <c r="N186" s="312" t="s">
        <v>578</v>
      </c>
      <c r="O186" s="312" t="s">
        <v>579</v>
      </c>
      <c r="P186" s="312" t="s">
        <v>578</v>
      </c>
      <c r="Q186" s="396" t="s">
        <v>599</v>
      </c>
      <c r="R186" s="1190" t="s">
        <v>579</v>
      </c>
      <c r="S186" s="1189"/>
      <c r="T186" s="1189"/>
      <c r="U186" s="1189"/>
      <c r="V186" s="1189"/>
      <c r="W186" s="1189"/>
      <c r="X186" s="309" t="s">
        <v>13</v>
      </c>
      <c r="Y186" s="309" t="s">
        <v>602</v>
      </c>
      <c r="Z186" s="305"/>
    </row>
    <row r="187" spans="1:26" x14ac:dyDescent="0.2">
      <c r="A187" s="303"/>
      <c r="B187" s="309" t="s">
        <v>240</v>
      </c>
      <c r="C187" s="397">
        <f>Calc1!C115</f>
        <v>0</v>
      </c>
      <c r="D187" s="395">
        <f>VLOOKUP($B$187:$B$323,Acraft!$A$3:$R$139,6,FALSE)+Calc1!$C$168*VLOOKUP($B$187:$B$323,Acraft!$A$3:$R$139,13,FALSE)/1000</f>
        <v>0.32145359999999995</v>
      </c>
      <c r="E187" s="398">
        <f t="shared" ref="E187:E218" si="31">$C187*D187/2/1000</f>
        <v>0</v>
      </c>
      <c r="F187" s="312">
        <f>VLOOKUP($B$187:$B$323,Acraft!$A$3:$R$139,7,FALSE)+Calc1!$C$168*VLOOKUP($B$187:$B$323,Acraft!$A$3:$R$139,14,FALSE)/1000</f>
        <v>1.3146353999999998</v>
      </c>
      <c r="G187" s="312">
        <f t="shared" ref="G187:G218" si="32">$C187*F187/2/1000</f>
        <v>0</v>
      </c>
      <c r="H187" s="312">
        <f>VLOOKUP($B$187:$B$323,Acraft!$A$3:$R$139,8,FALSE)+Calc1!$C$168*VLOOKUP($B$187:$B$323,Acraft!$A$3:$R$139,15,FALSE)/1000</f>
        <v>2.3507406</v>
      </c>
      <c r="I187" s="312">
        <f t="shared" ref="I187:I218" si="33">$C187*H187/2/1000</f>
        <v>0</v>
      </c>
      <c r="J187" s="312">
        <f>VLOOKUP($B$187:$B$323,Acraft!$A$3:$R$139,9,FALSE)+Calc1!$C$168*VLOOKUP($B$187:$B$323,Acraft!$A$3:$R$139,16,FALSE)/1000</f>
        <v>4.5183199999999993E-3</v>
      </c>
      <c r="K187" s="312">
        <f t="shared" ref="K187:K218" si="34">$C187*J187/2/1000</f>
        <v>0</v>
      </c>
      <c r="L187" s="312">
        <f>VLOOKUP($B$187:$B$323,Acraft!$A$3:$R$139,10,FALSE)+Calc1!$C$168*VLOOKUP($B$187:$B$323,Acraft!$A$3:$R$139,17,FALSE)/1000</f>
        <v>3.4943999999999996E-2</v>
      </c>
      <c r="M187" s="312">
        <f t="shared" ref="M187:M218" si="35">$C187*L187/2/1000</f>
        <v>0</v>
      </c>
      <c r="N187" s="312">
        <f>VLOOKUP($B$187:$B$323,Acraft!$A$3:$R$139,11,FALSE)+Calc1!$C$168*VLOOKUP($B$187:$B$323,Acraft!$A$3:$R$139,18,FALSE)/1000</f>
        <v>220.1472</v>
      </c>
      <c r="O187" s="398">
        <f t="shared" ref="O187:O218" si="36">$C187*N187/2/1000</f>
        <v>0</v>
      </c>
      <c r="P187" s="312">
        <f>VLOOKUP($B$187:$B$323,Acraft!$A$3:$R$139,5,FALSE)+Calc1!$C$168*VLOOKUP($B$187:$B$323,Acraft!$A$3:$R$139,12,FALSE)/1000</f>
        <v>69.887999999999991</v>
      </c>
      <c r="Q187" s="396">
        <f t="shared" ref="Q187:Q218" si="37">$C187*P187/2</f>
        <v>0</v>
      </c>
      <c r="R187" s="399">
        <f>VLOOKUP($B$187:$B$323,Acraft!$A$3:$Y$139,20,FALSE)*$Y187*Calc2!$C187/2/1000/1000</f>
        <v>0</v>
      </c>
      <c r="S187" s="400">
        <f>VLOOKUP($B$187:$B$323,Acraft!$A$3:$Y$139,21,FALSE)*$Y187*Calc2!$C187/2/1000/1000</f>
        <v>0</v>
      </c>
      <c r="T187" s="400">
        <f>VLOOKUP($B$187:$B$323,Acraft!$A$3:$Y$139,22,FALSE)*$Y187*Calc2!$C187/2/1000/1000</f>
        <v>0</v>
      </c>
      <c r="U187" s="400">
        <f>VLOOKUP($B$187:$B$323,Acraft!$A$3:$Y$139,23,FALSE)*$Y187*Calc2!$C187/2/1000/1000</f>
        <v>0</v>
      </c>
      <c r="V187" s="400">
        <f>VLOOKUP($B$187:$B$323,Acraft!$A$3:$Y$139,24,FALSE)*$Y187*Calc2!$C187/2/1000/1000</f>
        <v>0</v>
      </c>
      <c r="W187" s="398">
        <f>VLOOKUP($B$187:$B$323,Acraft!$A$3:$Y$139,25,FALSE)*$Y187*Calc2!$C187/2/1000/1000</f>
        <v>0</v>
      </c>
      <c r="X187" s="398">
        <f>VLOOKUP($B$187:$B$323,Acraft!$A$3:$Y$139,19,FALSE)*$Y187*Calc2!$C187/2</f>
        <v>0</v>
      </c>
      <c r="Y187" s="309">
        <f>IF(VLOOKUP($B$187:$B$323,Acraft!$A$3:$Y$139,19,FALSE)=4,Calc1!$C$173,IF(VLOOKUP($B$187:$B$323,Acraft!$A$3:$Y$139,19,FALSE)=1.77777777777778,Calc1!$C$172,0))</f>
        <v>0</v>
      </c>
      <c r="Z187" s="305"/>
    </row>
    <row r="188" spans="1:26" x14ac:dyDescent="0.2">
      <c r="A188" s="303"/>
      <c r="B188" s="309" t="s">
        <v>244</v>
      </c>
      <c r="C188" s="397">
        <f>Calc1!C116</f>
        <v>0</v>
      </c>
      <c r="D188" s="395">
        <f>VLOOKUP($B$187:$B$323,Acraft!$A$3:$R$139,6,FALSE)+Calc1!$C$168*VLOOKUP($B$187:$B$323,Acraft!$A$3:$R$139,13,FALSE)/1000</f>
        <v>0.84681479999999998</v>
      </c>
      <c r="E188" s="398">
        <f t="shared" si="31"/>
        <v>0</v>
      </c>
      <c r="F188" s="312">
        <f>VLOOKUP($B$187:$B$323,Acraft!$A$3:$R$139,7,FALSE)+Calc1!$C$168*VLOOKUP($B$187:$B$323,Acraft!$A$3:$R$139,14,FALSE)/1000</f>
        <v>1.0201151999999998</v>
      </c>
      <c r="G188" s="312">
        <f t="shared" si="32"/>
        <v>0</v>
      </c>
      <c r="H188" s="312">
        <f>VLOOKUP($B$187:$B$323,Acraft!$A$3:$R$139,8,FALSE)+Calc1!$C$168*VLOOKUP($B$187:$B$323,Acraft!$A$3:$R$139,15,FALSE)/1000</f>
        <v>1.3058837999999999</v>
      </c>
      <c r="I188" s="312">
        <f t="shared" si="33"/>
        <v>0</v>
      </c>
      <c r="J188" s="312">
        <f>VLOOKUP($B$187:$B$323,Acraft!$A$3:$R$139,9,FALSE)+Calc1!$C$168*VLOOKUP($B$187:$B$323,Acraft!$A$3:$R$139,16,FALSE)/1000</f>
        <v>7.3825200000000001E-3</v>
      </c>
      <c r="K188" s="312">
        <f t="shared" si="34"/>
        <v>0</v>
      </c>
      <c r="L188" s="312">
        <f>VLOOKUP($B$187:$B$323,Acraft!$A$3:$R$139,10,FALSE)+Calc1!$C$168*VLOOKUP($B$187:$B$323,Acraft!$A$3:$R$139,17,FALSE)/1000</f>
        <v>5.7329999999999999E-2</v>
      </c>
      <c r="M188" s="312">
        <f t="shared" si="35"/>
        <v>0</v>
      </c>
      <c r="N188" s="312">
        <f>VLOOKUP($B$187:$B$323,Acraft!$A$3:$R$139,11,FALSE)+Calc1!$C$168*VLOOKUP($B$187:$B$323,Acraft!$A$3:$R$139,18,FALSE)/1000</f>
        <v>361.17899999999997</v>
      </c>
      <c r="O188" s="398">
        <f t="shared" si="36"/>
        <v>0</v>
      </c>
      <c r="P188" s="312">
        <f>VLOOKUP($B$187:$B$323,Acraft!$A$3:$R$139,5,FALSE)+Calc1!$C$168*VLOOKUP($B$187:$B$323,Acraft!$A$3:$R$139,12,FALSE)/1000</f>
        <v>114.66</v>
      </c>
      <c r="Q188" s="396">
        <f t="shared" si="37"/>
        <v>0</v>
      </c>
      <c r="R188" s="399">
        <f>VLOOKUP($B$187:$B$323,Acraft!$A$3:$Y$139,20,FALSE)*$Y188*Calc2!$C188/2/1000/1000</f>
        <v>0</v>
      </c>
      <c r="S188" s="400">
        <f>VLOOKUP($B$187:$B$323,Acraft!$A$3:$Y$139,21,FALSE)*$Y188*Calc2!$C188/2/1000/1000</f>
        <v>0</v>
      </c>
      <c r="T188" s="400">
        <f>VLOOKUP($B$187:$B$323,Acraft!$A$3:$Y$139,22,FALSE)*$Y188*Calc2!$C188/2/1000/1000</f>
        <v>0</v>
      </c>
      <c r="U188" s="400">
        <f>VLOOKUP($B$187:$B$323,Acraft!$A$3:$Y$139,23,FALSE)*$Y188*Calc2!$C188/2/1000/1000</f>
        <v>0</v>
      </c>
      <c r="V188" s="400">
        <f>VLOOKUP($B$187:$B$323,Acraft!$A$3:$Y$139,24,FALSE)*$Y188*Calc2!$C188/2/1000/1000</f>
        <v>0</v>
      </c>
      <c r="W188" s="398">
        <f>VLOOKUP($B$187:$B$323,Acraft!$A$3:$Y$139,25,FALSE)*$Y188*Calc2!$C188/2/1000/1000</f>
        <v>0</v>
      </c>
      <c r="X188" s="398">
        <f>VLOOKUP($B$187:$B$323,Acraft!$A$3:$Y$139,19,FALSE)*$Y188*Calc2!$C188/2</f>
        <v>0</v>
      </c>
      <c r="Y188" s="309">
        <f>IF(VLOOKUP($B$187:$B$323,Acraft!$A$3:$Y$139,19,FALSE)=4,Calc1!$C$173,IF(VLOOKUP($B$187:$B$323,Acraft!$A$3:$Y$139,19,FALSE)=1.77777777777778,Calc1!$C$172,0))</f>
        <v>0</v>
      </c>
      <c r="Z188" s="305"/>
    </row>
    <row r="189" spans="1:26" x14ac:dyDescent="0.2">
      <c r="A189" s="303"/>
      <c r="B189" s="309" t="s">
        <v>247</v>
      </c>
      <c r="C189" s="397">
        <f>Calc1!C117</f>
        <v>0</v>
      </c>
      <c r="D189" s="395">
        <f>VLOOKUP($B$187:$B$323,Acraft!$A$3:$R$139,6,FALSE)+Calc1!$C$168*VLOOKUP($B$187:$B$323,Acraft!$A$3:$R$139,13,FALSE)/1000</f>
        <v>20.637632399999998</v>
      </c>
      <c r="E189" s="398">
        <f t="shared" si="31"/>
        <v>0</v>
      </c>
      <c r="F189" s="312">
        <f>VLOOKUP($B$187:$B$323,Acraft!$A$3:$R$139,7,FALSE)+Calc1!$C$168*VLOOKUP($B$187:$B$323,Acraft!$A$3:$R$139,14,FALSE)/1000</f>
        <v>1.6228507200000002</v>
      </c>
      <c r="G189" s="312">
        <f t="shared" si="32"/>
        <v>0</v>
      </c>
      <c r="H189" s="312">
        <f>VLOOKUP($B$187:$B$323,Acraft!$A$3:$R$139,8,FALSE)+Calc1!$C$168*VLOOKUP($B$187:$B$323,Acraft!$A$3:$R$139,15,FALSE)/1000</f>
        <v>14.310479279999999</v>
      </c>
      <c r="I189" s="312">
        <f t="shared" si="33"/>
        <v>0</v>
      </c>
      <c r="J189" s="312">
        <f>VLOOKUP($B$187:$B$323,Acraft!$A$3:$R$139,9,FALSE)+Calc1!$C$168*VLOOKUP($B$187:$B$323,Acraft!$A$3:$R$139,16,FALSE)/1000</f>
        <v>9.4143193612332615E-2</v>
      </c>
      <c r="K189" s="312">
        <f t="shared" si="34"/>
        <v>0</v>
      </c>
      <c r="L189" s="312">
        <f>VLOOKUP($B$187:$B$323,Acraft!$A$3:$R$139,10,FALSE)+Calc1!$C$168*VLOOKUP($B$187:$B$323,Acraft!$A$3:$R$139,17,FALSE)/1000</f>
        <v>0.7410000000000001</v>
      </c>
      <c r="M189" s="312">
        <f t="shared" si="35"/>
        <v>0</v>
      </c>
      <c r="N189" s="312">
        <f>VLOOKUP($B$187:$B$323,Acraft!$A$3:$R$139,11,FALSE)+Calc1!$C$168*VLOOKUP($B$187:$B$323,Acraft!$A$3:$R$139,18,FALSE)/1000</f>
        <v>4668.3</v>
      </c>
      <c r="O189" s="398">
        <f t="shared" si="36"/>
        <v>0</v>
      </c>
      <c r="P189" s="312">
        <f>VLOOKUP($B$187:$B$323,Acraft!$A$3:$R$139,5,FALSE)+Calc1!$C$168*VLOOKUP($B$187:$B$323,Acraft!$A$3:$R$139,12,FALSE)/1000</f>
        <v>1482.0000000000002</v>
      </c>
      <c r="Q189" s="396">
        <f t="shared" si="37"/>
        <v>0</v>
      </c>
      <c r="R189" s="399">
        <f>VLOOKUP($B$187:$B$323,Acraft!$A$3:$Y$139,20,FALSE)*$Y189*Calc2!$C189/2/1000/1000</f>
        <v>0</v>
      </c>
      <c r="S189" s="400">
        <f>VLOOKUP($B$187:$B$323,Acraft!$A$3:$Y$139,21,FALSE)*$Y189*Calc2!$C189/2/1000/1000</f>
        <v>0</v>
      </c>
      <c r="T189" s="400">
        <f>VLOOKUP($B$187:$B$323,Acraft!$A$3:$Y$139,22,FALSE)*$Y189*Calc2!$C189/2/1000/1000</f>
        <v>0</v>
      </c>
      <c r="U189" s="400">
        <f>VLOOKUP($B$187:$B$323,Acraft!$A$3:$Y$139,23,FALSE)*$Y189*Calc2!$C189/2/1000/1000</f>
        <v>0</v>
      </c>
      <c r="V189" s="400">
        <f>VLOOKUP($B$187:$B$323,Acraft!$A$3:$Y$139,24,FALSE)*$Y189*Calc2!$C189/2/1000/1000</f>
        <v>0</v>
      </c>
      <c r="W189" s="398">
        <f>VLOOKUP($B$187:$B$323,Acraft!$A$3:$Y$139,25,FALSE)*$Y189*Calc2!$C189/2/1000/1000</f>
        <v>0</v>
      </c>
      <c r="X189" s="398">
        <f>VLOOKUP($B$187:$B$323,Acraft!$A$3:$Y$139,19,FALSE)*$Y189*Calc2!$C189/2</f>
        <v>0</v>
      </c>
      <c r="Y189" s="309">
        <f>IF(VLOOKUP($B$187:$B$323,Acraft!$A$3:$Y$139,19,FALSE)=4,Calc1!$C$173,IF(VLOOKUP($B$187:$B$323,Acraft!$A$3:$Y$139,19,FALSE)=1.77777777777778,Calc1!$C$172,0))</f>
        <v>45</v>
      </c>
      <c r="Z189" s="305"/>
    </row>
    <row r="190" spans="1:26" x14ac:dyDescent="0.2">
      <c r="A190" s="303"/>
      <c r="B190" s="309" t="s">
        <v>251</v>
      </c>
      <c r="C190" s="397">
        <f>Calc1!C118</f>
        <v>0</v>
      </c>
      <c r="D190" s="395">
        <f>VLOOKUP($B$187:$B$323,Acraft!$A$3:$R$139,6,FALSE)+Calc1!$C$168*VLOOKUP($B$187:$B$323,Acraft!$A$3:$R$139,13,FALSE)/1000</f>
        <v>22.193652000000004</v>
      </c>
      <c r="E190" s="398">
        <f t="shared" si="31"/>
        <v>0</v>
      </c>
      <c r="F190" s="312">
        <f>VLOOKUP($B$187:$B$323,Acraft!$A$3:$R$139,7,FALSE)+Calc1!$C$168*VLOOKUP($B$187:$B$323,Acraft!$A$3:$R$139,14,FALSE)/1000</f>
        <v>3.3853613999999999</v>
      </c>
      <c r="G190" s="312">
        <f t="shared" si="32"/>
        <v>0</v>
      </c>
      <c r="H190" s="312">
        <f>VLOOKUP($B$187:$B$323,Acraft!$A$3:$R$139,8,FALSE)+Calc1!$C$168*VLOOKUP($B$187:$B$323,Acraft!$A$3:$R$139,15,FALSE)/1000</f>
        <v>15.321767999999999</v>
      </c>
      <c r="I190" s="312">
        <f t="shared" si="33"/>
        <v>0</v>
      </c>
      <c r="J190" s="312">
        <f>VLOOKUP($B$187:$B$323,Acraft!$A$3:$R$139,9,FALSE)+Calc1!$C$168*VLOOKUP($B$187:$B$323,Acraft!$A$3:$R$139,16,FALSE)/1000</f>
        <v>0.10810304376697044</v>
      </c>
      <c r="K190" s="312">
        <f t="shared" si="34"/>
        <v>0</v>
      </c>
      <c r="L190" s="312">
        <f>VLOOKUP($B$187:$B$323,Acraft!$A$3:$R$139,10,FALSE)+Calc1!$C$168*VLOOKUP($B$187:$B$323,Acraft!$A$3:$R$139,17,FALSE)/1000</f>
        <v>0.71762999999999999</v>
      </c>
      <c r="M190" s="312">
        <f t="shared" si="35"/>
        <v>0</v>
      </c>
      <c r="N190" s="312">
        <f>VLOOKUP($B$187:$B$323,Acraft!$A$3:$R$139,11,FALSE)+Calc1!$C$168*VLOOKUP($B$187:$B$323,Acraft!$A$3:$R$139,18,FALSE)/1000</f>
        <v>4521.0690000000004</v>
      </c>
      <c r="O190" s="398">
        <f t="shared" si="36"/>
        <v>0</v>
      </c>
      <c r="P190" s="312">
        <f>VLOOKUP($B$187:$B$323,Acraft!$A$3:$R$139,5,FALSE)+Calc1!$C$168*VLOOKUP($B$187:$B$323,Acraft!$A$3:$R$139,12,FALSE)/1000</f>
        <v>1435.26</v>
      </c>
      <c r="Q190" s="396">
        <f t="shared" si="37"/>
        <v>0</v>
      </c>
      <c r="R190" s="399">
        <f>VLOOKUP($B$187:$B$323,Acraft!$A$3:$Y$139,20,FALSE)*$Y190*Calc2!$C190/2/1000/1000</f>
        <v>0</v>
      </c>
      <c r="S190" s="400">
        <f>VLOOKUP($B$187:$B$323,Acraft!$A$3:$Y$139,21,FALSE)*$Y190*Calc2!$C190/2/1000/1000</f>
        <v>0</v>
      </c>
      <c r="T190" s="400">
        <f>VLOOKUP($B$187:$B$323,Acraft!$A$3:$Y$139,22,FALSE)*$Y190*Calc2!$C190/2/1000/1000</f>
        <v>0</v>
      </c>
      <c r="U190" s="400">
        <f>VLOOKUP($B$187:$B$323,Acraft!$A$3:$Y$139,23,FALSE)*$Y190*Calc2!$C190/2/1000/1000</f>
        <v>0</v>
      </c>
      <c r="V190" s="400">
        <f>VLOOKUP($B$187:$B$323,Acraft!$A$3:$Y$139,24,FALSE)*$Y190*Calc2!$C190/2/1000/1000</f>
        <v>0</v>
      </c>
      <c r="W190" s="398">
        <f>VLOOKUP($B$187:$B$323,Acraft!$A$3:$Y$139,25,FALSE)*$Y190*Calc2!$C190/2/1000/1000</f>
        <v>0</v>
      </c>
      <c r="X190" s="398">
        <f>VLOOKUP($B$187:$B$323,Acraft!$A$3:$Y$139,19,FALSE)*$Y190*Calc2!$C190/2</f>
        <v>0</v>
      </c>
      <c r="Y190" s="309">
        <f>IF(VLOOKUP($B$187:$B$323,Acraft!$A$3:$Y$139,19,FALSE)=4,Calc1!$C$173,IF(VLOOKUP($B$187:$B$323,Acraft!$A$3:$Y$139,19,FALSE)=1.77777777777778,Calc1!$C$172,0))</f>
        <v>45</v>
      </c>
      <c r="Z190" s="305"/>
    </row>
    <row r="191" spans="1:26" x14ac:dyDescent="0.2">
      <c r="A191" s="303"/>
      <c r="B191" s="309" t="s">
        <v>254</v>
      </c>
      <c r="C191" s="397">
        <f>Calc1!C119</f>
        <v>0</v>
      </c>
      <c r="D191" s="395">
        <f>VLOOKUP($B$187:$B$323,Acraft!$A$3:$R$139,6,FALSE)+Calc1!$C$168*VLOOKUP($B$187:$B$323,Acraft!$A$3:$R$139,13,FALSE)/1000</f>
        <v>7.5060995999999998</v>
      </c>
      <c r="E191" s="398">
        <f t="shared" si="31"/>
        <v>0</v>
      </c>
      <c r="F191" s="312">
        <f>VLOOKUP($B$187:$B$323,Acraft!$A$3:$R$139,7,FALSE)+Calc1!$C$168*VLOOKUP($B$187:$B$323,Acraft!$A$3:$R$139,14,FALSE)/1000</f>
        <v>2.0297783999999996</v>
      </c>
      <c r="G191" s="312">
        <f t="shared" si="32"/>
        <v>0</v>
      </c>
      <c r="H191" s="312">
        <f>VLOOKUP($B$187:$B$323,Acraft!$A$3:$R$139,8,FALSE)+Calc1!$C$168*VLOOKUP($B$187:$B$323,Acraft!$A$3:$R$139,15,FALSE)/1000</f>
        <v>9.8243675999999986</v>
      </c>
      <c r="I191" s="312">
        <f t="shared" si="33"/>
        <v>0</v>
      </c>
      <c r="J191" s="312">
        <f>VLOOKUP($B$187:$B$323,Acraft!$A$3:$R$139,9,FALSE)+Calc1!$C$168*VLOOKUP($B$187:$B$323,Acraft!$A$3:$R$139,16,FALSE)/1000</f>
        <v>4.5990897549672588E-2</v>
      </c>
      <c r="K191" s="312">
        <f t="shared" si="34"/>
        <v>0</v>
      </c>
      <c r="L191" s="312">
        <f>VLOOKUP($B$187:$B$323,Acraft!$A$3:$R$139,10,FALSE)+Calc1!$C$168*VLOOKUP($B$187:$B$323,Acraft!$A$3:$R$139,17,FALSE)/1000</f>
        <v>0.35004599999999997</v>
      </c>
      <c r="M191" s="312">
        <f t="shared" si="35"/>
        <v>0</v>
      </c>
      <c r="N191" s="312">
        <f>VLOOKUP($B$187:$B$323,Acraft!$A$3:$R$139,11,FALSE)+Calc1!$C$168*VLOOKUP($B$187:$B$323,Acraft!$A$3:$R$139,18,FALSE)/1000</f>
        <v>2205.2898</v>
      </c>
      <c r="O191" s="398">
        <f t="shared" si="36"/>
        <v>0</v>
      </c>
      <c r="P191" s="312">
        <f>VLOOKUP($B$187:$B$323,Acraft!$A$3:$R$139,5,FALSE)+Calc1!$C$168*VLOOKUP($B$187:$B$323,Acraft!$A$3:$R$139,12,FALSE)/1000</f>
        <v>700.09199999999987</v>
      </c>
      <c r="Q191" s="396">
        <f t="shared" si="37"/>
        <v>0</v>
      </c>
      <c r="R191" s="399">
        <f>VLOOKUP($B$187:$B$323,Acraft!$A$3:$Y$139,20,FALSE)*$Y191*Calc2!$C191/2/1000/1000</f>
        <v>0</v>
      </c>
      <c r="S191" s="400">
        <f>VLOOKUP($B$187:$B$323,Acraft!$A$3:$Y$139,21,FALSE)*$Y191*Calc2!$C191/2/1000/1000</f>
        <v>0</v>
      </c>
      <c r="T191" s="400">
        <f>VLOOKUP($B$187:$B$323,Acraft!$A$3:$Y$139,22,FALSE)*$Y191*Calc2!$C191/2/1000/1000</f>
        <v>0</v>
      </c>
      <c r="U191" s="400">
        <f>VLOOKUP($B$187:$B$323,Acraft!$A$3:$Y$139,23,FALSE)*$Y191*Calc2!$C191/2/1000/1000</f>
        <v>0</v>
      </c>
      <c r="V191" s="400">
        <f>VLOOKUP($B$187:$B$323,Acraft!$A$3:$Y$139,24,FALSE)*$Y191*Calc2!$C191/2/1000/1000</f>
        <v>0</v>
      </c>
      <c r="W191" s="398">
        <f>VLOOKUP($B$187:$B$323,Acraft!$A$3:$Y$139,25,FALSE)*$Y191*Calc2!$C191/2/1000/1000</f>
        <v>0</v>
      </c>
      <c r="X191" s="398">
        <f>VLOOKUP($B$187:$B$323,Acraft!$A$3:$Y$139,19,FALSE)*$Y191*Calc2!$C191/2</f>
        <v>0</v>
      </c>
      <c r="Y191" s="309">
        <f>IF(VLOOKUP($B$187:$B$323,Acraft!$A$3:$Y$139,19,FALSE)=4,Calc1!$C$173,IF(VLOOKUP($B$187:$B$323,Acraft!$A$3:$Y$139,19,FALSE)=1.77777777777778,Calc1!$C$172,0))</f>
        <v>15</v>
      </c>
      <c r="Z191" s="305"/>
    </row>
    <row r="192" spans="1:26" x14ac:dyDescent="0.2">
      <c r="A192" s="303"/>
      <c r="B192" s="309" t="s">
        <v>257</v>
      </c>
      <c r="C192" s="397">
        <f>Calc1!C120</f>
        <v>0</v>
      </c>
      <c r="D192" s="395">
        <f>VLOOKUP($B$187:$B$323,Acraft!$A$3:$R$139,6,FALSE)+Calc1!$C$168*VLOOKUP($B$187:$B$323,Acraft!$A$3:$R$139,13,FALSE)/1000</f>
        <v>11.33568</v>
      </c>
      <c r="E192" s="398">
        <f t="shared" si="31"/>
        <v>0</v>
      </c>
      <c r="F192" s="312">
        <f>VLOOKUP($B$187:$B$323,Acraft!$A$3:$R$139,7,FALSE)+Calc1!$C$168*VLOOKUP($B$187:$B$323,Acraft!$A$3:$R$139,14,FALSE)/1000</f>
        <v>1.6932815999999999</v>
      </c>
      <c r="G192" s="312">
        <f t="shared" si="32"/>
        <v>0</v>
      </c>
      <c r="H192" s="312">
        <f>VLOOKUP($B$187:$B$323,Acraft!$A$3:$R$139,8,FALSE)+Calc1!$C$168*VLOOKUP($B$187:$B$323,Acraft!$A$3:$R$139,15,FALSE)/1000</f>
        <v>8.5370471999999999</v>
      </c>
      <c r="I192" s="312">
        <f t="shared" si="33"/>
        <v>0</v>
      </c>
      <c r="J192" s="312">
        <f>VLOOKUP($B$187:$B$323,Acraft!$A$3:$R$139,9,FALSE)+Calc1!$C$168*VLOOKUP($B$187:$B$323,Acraft!$A$3:$R$139,16,FALSE)/1000</f>
        <v>5.0438358566914039E-2</v>
      </c>
      <c r="K192" s="312">
        <f t="shared" si="34"/>
        <v>0</v>
      </c>
      <c r="L192" s="312">
        <f>VLOOKUP($B$187:$B$323,Acraft!$A$3:$R$139,10,FALSE)+Calc1!$C$168*VLOOKUP($B$187:$B$323,Acraft!$A$3:$R$139,17,FALSE)/1000</f>
        <v>0.41432400000000003</v>
      </c>
      <c r="M192" s="312">
        <f t="shared" si="35"/>
        <v>0</v>
      </c>
      <c r="N192" s="312">
        <f>VLOOKUP($B$187:$B$323,Acraft!$A$3:$R$139,11,FALSE)+Calc1!$C$168*VLOOKUP($B$187:$B$323,Acraft!$A$3:$R$139,18,FALSE)/1000</f>
        <v>2610.2411999999995</v>
      </c>
      <c r="O192" s="398">
        <f t="shared" si="36"/>
        <v>0</v>
      </c>
      <c r="P192" s="312">
        <f>VLOOKUP($B$187:$B$323,Acraft!$A$3:$R$139,5,FALSE)+Calc1!$C$168*VLOOKUP($B$187:$B$323,Acraft!$A$3:$R$139,12,FALSE)/1000</f>
        <v>828.64799999999991</v>
      </c>
      <c r="Q192" s="396">
        <f t="shared" si="37"/>
        <v>0</v>
      </c>
      <c r="R192" s="399">
        <f>VLOOKUP($B$187:$B$323,Acraft!$A$3:$Y$139,20,FALSE)*$Y192*Calc2!$C192/2/1000/1000</f>
        <v>0</v>
      </c>
      <c r="S192" s="400">
        <f>VLOOKUP($B$187:$B$323,Acraft!$A$3:$Y$139,21,FALSE)*$Y192*Calc2!$C192/2/1000/1000</f>
        <v>0</v>
      </c>
      <c r="T192" s="400">
        <f>VLOOKUP($B$187:$B$323,Acraft!$A$3:$Y$139,22,FALSE)*$Y192*Calc2!$C192/2/1000/1000</f>
        <v>0</v>
      </c>
      <c r="U192" s="400">
        <f>VLOOKUP($B$187:$B$323,Acraft!$A$3:$Y$139,23,FALSE)*$Y192*Calc2!$C192/2/1000/1000</f>
        <v>0</v>
      </c>
      <c r="V192" s="400">
        <f>VLOOKUP($B$187:$B$323,Acraft!$A$3:$Y$139,24,FALSE)*$Y192*Calc2!$C192/2/1000/1000</f>
        <v>0</v>
      </c>
      <c r="W192" s="398">
        <f>VLOOKUP($B$187:$B$323,Acraft!$A$3:$Y$139,25,FALSE)*$Y192*Calc2!$C192/2/1000/1000</f>
        <v>0</v>
      </c>
      <c r="X192" s="398">
        <f>VLOOKUP($B$187:$B$323,Acraft!$A$3:$Y$139,19,FALSE)*$Y192*Calc2!$C192/2</f>
        <v>0</v>
      </c>
      <c r="Y192" s="309">
        <f>IF(VLOOKUP($B$187:$B$323,Acraft!$A$3:$Y$139,19,FALSE)=4,Calc1!$C$173,IF(VLOOKUP($B$187:$B$323,Acraft!$A$3:$Y$139,19,FALSE)=1.77777777777778,Calc1!$C$172,0))</f>
        <v>15</v>
      </c>
      <c r="Z192" s="305"/>
    </row>
    <row r="193" spans="1:26" x14ac:dyDescent="0.2">
      <c r="A193" s="303"/>
      <c r="B193" s="309" t="s">
        <v>260</v>
      </c>
      <c r="C193" s="397">
        <f>Calc1!C121</f>
        <v>0</v>
      </c>
      <c r="D193" s="395">
        <f>VLOOKUP($B$187:$B$323,Acraft!$A$3:$R$139,6,FALSE)+Calc1!$C$168*VLOOKUP($B$187:$B$323,Acraft!$A$3:$R$139,13,FALSE)/1000</f>
        <v>14.283434400000001</v>
      </c>
      <c r="E193" s="398">
        <f t="shared" si="31"/>
        <v>0</v>
      </c>
      <c r="F193" s="312">
        <f>VLOOKUP($B$187:$B$323,Acraft!$A$3:$R$139,7,FALSE)+Calc1!$C$168*VLOOKUP($B$187:$B$323,Acraft!$A$3:$R$139,14,FALSE)/1000</f>
        <v>1.4682204000000001</v>
      </c>
      <c r="G193" s="312">
        <f t="shared" si="32"/>
        <v>0</v>
      </c>
      <c r="H193" s="312">
        <f>VLOOKUP($B$187:$B$323,Acraft!$A$3:$R$139,8,FALSE)+Calc1!$C$168*VLOOKUP($B$187:$B$323,Acraft!$A$3:$R$139,15,FALSE)/1000</f>
        <v>7.7372028000000004</v>
      </c>
      <c r="I193" s="312">
        <f t="shared" si="33"/>
        <v>0</v>
      </c>
      <c r="J193" s="312">
        <f>VLOOKUP($B$187:$B$323,Acraft!$A$3:$R$139,9,FALSE)+Calc1!$C$168*VLOOKUP($B$187:$B$323,Acraft!$A$3:$R$139,16,FALSE)/1000</f>
        <v>5.1430258777465987E-2</v>
      </c>
      <c r="K193" s="312">
        <f t="shared" si="34"/>
        <v>0</v>
      </c>
      <c r="L193" s="312">
        <f>VLOOKUP($B$187:$B$323,Acraft!$A$3:$R$139,10,FALSE)+Calc1!$C$168*VLOOKUP($B$187:$B$323,Acraft!$A$3:$R$139,17,FALSE)/1000</f>
        <v>0.45504600000000006</v>
      </c>
      <c r="M193" s="312">
        <f t="shared" si="35"/>
        <v>0</v>
      </c>
      <c r="N193" s="312">
        <f>VLOOKUP($B$187:$B$323,Acraft!$A$3:$R$139,11,FALSE)+Calc1!$C$168*VLOOKUP($B$187:$B$323,Acraft!$A$3:$R$139,18,FALSE)/1000</f>
        <v>2866.7898000000005</v>
      </c>
      <c r="O193" s="398">
        <f t="shared" si="36"/>
        <v>0</v>
      </c>
      <c r="P193" s="312">
        <f>VLOOKUP($B$187:$B$323,Acraft!$A$3:$R$139,5,FALSE)+Calc1!$C$168*VLOOKUP($B$187:$B$323,Acraft!$A$3:$R$139,12,FALSE)/1000</f>
        <v>910.0920000000001</v>
      </c>
      <c r="Q193" s="396">
        <f t="shared" si="37"/>
        <v>0</v>
      </c>
      <c r="R193" s="399">
        <f>VLOOKUP($B$187:$B$323,Acraft!$A$3:$Y$139,20,FALSE)*$Y193*Calc2!$C193/2/1000/1000</f>
        <v>0</v>
      </c>
      <c r="S193" s="400">
        <f>VLOOKUP($B$187:$B$323,Acraft!$A$3:$Y$139,21,FALSE)*$Y193*Calc2!$C193/2/1000/1000</f>
        <v>0</v>
      </c>
      <c r="T193" s="400">
        <f>VLOOKUP($B$187:$B$323,Acraft!$A$3:$Y$139,22,FALSE)*$Y193*Calc2!$C193/2/1000/1000</f>
        <v>0</v>
      </c>
      <c r="U193" s="400">
        <f>VLOOKUP($B$187:$B$323,Acraft!$A$3:$Y$139,23,FALSE)*$Y193*Calc2!$C193/2/1000/1000</f>
        <v>0</v>
      </c>
      <c r="V193" s="400">
        <f>VLOOKUP($B$187:$B$323,Acraft!$A$3:$Y$139,24,FALSE)*$Y193*Calc2!$C193/2/1000/1000</f>
        <v>0</v>
      </c>
      <c r="W193" s="398">
        <f>VLOOKUP($B$187:$B$323,Acraft!$A$3:$Y$139,25,FALSE)*$Y193*Calc2!$C193/2/1000/1000</f>
        <v>0</v>
      </c>
      <c r="X193" s="398">
        <f>VLOOKUP($B$187:$B$323,Acraft!$A$3:$Y$139,19,FALSE)*$Y193*Calc2!$C193/2</f>
        <v>0</v>
      </c>
      <c r="Y193" s="309">
        <f>IF(VLOOKUP($B$187:$B$323,Acraft!$A$3:$Y$139,19,FALSE)=4,Calc1!$C$173,IF(VLOOKUP($B$187:$B$323,Acraft!$A$3:$Y$139,19,FALSE)=1.77777777777778,Calc1!$C$172,0))</f>
        <v>15</v>
      </c>
      <c r="Z193" s="305"/>
    </row>
    <row r="194" spans="1:26" x14ac:dyDescent="0.2">
      <c r="A194" s="303"/>
      <c r="B194" s="309" t="s">
        <v>263</v>
      </c>
      <c r="C194" s="397">
        <f>Calc1!C122</f>
        <v>50</v>
      </c>
      <c r="D194" s="395">
        <f>VLOOKUP($B$187:$B$323,Acraft!$A$3:$R$139,6,FALSE)+Calc1!$C$168*VLOOKUP($B$187:$B$323,Acraft!$A$3:$R$139,13,FALSE)/1000</f>
        <v>29.751799800000001</v>
      </c>
      <c r="E194" s="398">
        <f t="shared" si="31"/>
        <v>0.74379499500000001</v>
      </c>
      <c r="F194" s="312">
        <f>VLOOKUP($B$187:$B$323,Acraft!$A$3:$R$139,7,FALSE)+Calc1!$C$168*VLOOKUP($B$187:$B$323,Acraft!$A$3:$R$139,14,FALSE)/1000</f>
        <v>0.79528799999999999</v>
      </c>
      <c r="G194" s="312">
        <f t="shared" si="32"/>
        <v>1.9882200000000003E-2</v>
      </c>
      <c r="H194" s="312">
        <f>VLOOKUP($B$187:$B$323,Acraft!$A$3:$R$139,8,FALSE)+Calc1!$C$168*VLOOKUP($B$187:$B$323,Acraft!$A$3:$R$139,15,FALSE)/1000</f>
        <v>12.718194120000001</v>
      </c>
      <c r="I194" s="312">
        <f t="shared" si="33"/>
        <v>0.31795485300000004</v>
      </c>
      <c r="J194" s="312">
        <f>VLOOKUP($B$187:$B$323,Acraft!$A$3:$R$139,9,FALSE)+Calc1!$C$168*VLOOKUP($B$187:$B$323,Acraft!$A$3:$R$139,16,FALSE)/1000</f>
        <v>8.8653788046519993E-2</v>
      </c>
      <c r="K194" s="312">
        <f t="shared" si="34"/>
        <v>2.2163447011629999E-3</v>
      </c>
      <c r="L194" s="312">
        <f>VLOOKUP($B$187:$B$323,Acraft!$A$3:$R$139,10,FALSE)+Calc1!$C$168*VLOOKUP($B$187:$B$323,Acraft!$A$3:$R$139,17,FALSE)/1000</f>
        <v>1.0444500000000001</v>
      </c>
      <c r="M194" s="312">
        <f t="shared" si="35"/>
        <v>2.6111250000000003E-2</v>
      </c>
      <c r="N194" s="312">
        <f>VLOOKUP($B$187:$B$323,Acraft!$A$3:$R$139,11,FALSE)+Calc1!$C$168*VLOOKUP($B$187:$B$323,Acraft!$A$3:$R$139,18,FALSE)/1000</f>
        <v>6580.0350000000017</v>
      </c>
      <c r="O194" s="398">
        <f t="shared" si="36"/>
        <v>164.50087500000004</v>
      </c>
      <c r="P194" s="312">
        <f>VLOOKUP($B$187:$B$323,Acraft!$A$3:$R$139,5,FALSE)+Calc1!$C$168*VLOOKUP($B$187:$B$323,Acraft!$A$3:$R$139,12,FALSE)/1000</f>
        <v>2088.9</v>
      </c>
      <c r="Q194" s="396">
        <f t="shared" si="37"/>
        <v>52222.5</v>
      </c>
      <c r="R194" s="399">
        <f>VLOOKUP($B$187:$B$323,Acraft!$A$3:$Y$139,20,FALSE)*$Y194*Calc2!$C194/2/1000/1000</f>
        <v>3.5999999999999997E-2</v>
      </c>
      <c r="S194" s="400">
        <f>VLOOKUP($B$187:$B$323,Acraft!$A$3:$Y$139,21,FALSE)*$Y194*Calc2!$C194/2/1000/1000</f>
        <v>2.3999999999999998E-3</v>
      </c>
      <c r="T194" s="400">
        <f>VLOOKUP($B$187:$B$323,Acraft!$A$3:$Y$139,22,FALSE)*$Y194*Calc2!$C194/2/1000/1000</f>
        <v>3.1499999999999996E-3</v>
      </c>
      <c r="U194" s="400">
        <f>VLOOKUP($B$187:$B$323,Acraft!$A$3:$Y$139,23,FALSE)*$Y194*Calc2!$C194/2/1000/1000</f>
        <v>5.9999999999999995E-4</v>
      </c>
      <c r="V194" s="400">
        <f>VLOOKUP($B$187:$B$323,Acraft!$A$3:$Y$139,24,FALSE)*$Y194*Calc2!$C194/2/1000/1000</f>
        <v>2.2499999999999998E-3</v>
      </c>
      <c r="W194" s="398">
        <f>VLOOKUP($B$187:$B$323,Acraft!$A$3:$Y$139,25,FALSE)*$Y194*Calc2!$C194/2/1000/1000</f>
        <v>14.175000000000001</v>
      </c>
      <c r="X194" s="398">
        <f>VLOOKUP($B$187:$B$323,Acraft!$A$3:$Y$139,19,FALSE)*$Y194*Calc2!$C194/2</f>
        <v>4500</v>
      </c>
      <c r="Y194" s="309">
        <f>IF(VLOOKUP($B$187:$B$323,Acraft!$A$3:$Y$139,19,FALSE)=4,Calc1!$C$173,IF(VLOOKUP($B$187:$B$323,Acraft!$A$3:$Y$139,19,FALSE)=1.77777777777778,Calc1!$C$172,0))</f>
        <v>45</v>
      </c>
      <c r="Z194" s="305"/>
    </row>
    <row r="195" spans="1:26" x14ac:dyDescent="0.2">
      <c r="A195" s="303"/>
      <c r="B195" s="309" t="s">
        <v>266</v>
      </c>
      <c r="C195" s="397">
        <f>Calc1!C123</f>
        <v>0</v>
      </c>
      <c r="D195" s="395">
        <f>VLOOKUP($B$187:$B$323,Acraft!$A$3:$R$139,6,FALSE)+Calc1!$C$168*VLOOKUP($B$187:$B$323,Acraft!$A$3:$R$139,13,FALSE)/1000</f>
        <v>30.677032800000003</v>
      </c>
      <c r="E195" s="398">
        <f t="shared" si="31"/>
        <v>0</v>
      </c>
      <c r="F195" s="312">
        <f>VLOOKUP($B$187:$B$323,Acraft!$A$3:$R$139,7,FALSE)+Calc1!$C$168*VLOOKUP($B$187:$B$323,Acraft!$A$3:$R$139,14,FALSE)/1000</f>
        <v>3.7260000000000009</v>
      </c>
      <c r="G195" s="312">
        <f t="shared" si="32"/>
        <v>0</v>
      </c>
      <c r="H195" s="312">
        <f>VLOOKUP($B$187:$B$323,Acraft!$A$3:$R$139,8,FALSE)+Calc1!$C$168*VLOOKUP($B$187:$B$323,Acraft!$A$3:$R$139,15,FALSE)/1000</f>
        <v>24.726580800000004</v>
      </c>
      <c r="I195" s="312">
        <f t="shared" si="33"/>
        <v>0</v>
      </c>
      <c r="J195" s="312">
        <f>VLOOKUP($B$187:$B$323,Acraft!$A$3:$R$139,9,FALSE)+Calc1!$C$168*VLOOKUP($B$187:$B$323,Acraft!$A$3:$R$139,16,FALSE)/1000</f>
        <v>0.13973614400000001</v>
      </c>
      <c r="K195" s="312">
        <f t="shared" si="34"/>
        <v>0</v>
      </c>
      <c r="L195" s="312">
        <f>VLOOKUP($B$187:$B$323,Acraft!$A$3:$R$139,10,FALSE)+Calc1!$C$168*VLOOKUP($B$187:$B$323,Acraft!$A$3:$R$139,17,FALSE)/1000</f>
        <v>0.96913199999999999</v>
      </c>
      <c r="M195" s="312">
        <f t="shared" si="35"/>
        <v>0</v>
      </c>
      <c r="N195" s="312">
        <f>VLOOKUP($B$187:$B$323,Acraft!$A$3:$R$139,11,FALSE)+Calc1!$C$168*VLOOKUP($B$187:$B$323,Acraft!$A$3:$R$139,18,FALSE)/1000</f>
        <v>6105.5316000000003</v>
      </c>
      <c r="O195" s="398">
        <f t="shared" si="36"/>
        <v>0</v>
      </c>
      <c r="P195" s="312">
        <f>VLOOKUP($B$187:$B$323,Acraft!$A$3:$R$139,5,FALSE)+Calc1!$C$168*VLOOKUP($B$187:$B$323,Acraft!$A$3:$R$139,12,FALSE)/1000</f>
        <v>1938.2640000000001</v>
      </c>
      <c r="Q195" s="396">
        <f t="shared" si="37"/>
        <v>0</v>
      </c>
      <c r="R195" s="399">
        <f>VLOOKUP($B$187:$B$323,Acraft!$A$3:$Y$139,20,FALSE)*$Y195*Calc2!$C195/2/1000/1000</f>
        <v>0</v>
      </c>
      <c r="S195" s="400">
        <f>VLOOKUP($B$187:$B$323,Acraft!$A$3:$Y$139,21,FALSE)*$Y195*Calc2!$C195/2/1000/1000</f>
        <v>0</v>
      </c>
      <c r="T195" s="400">
        <f>VLOOKUP($B$187:$B$323,Acraft!$A$3:$Y$139,22,FALSE)*$Y195*Calc2!$C195/2/1000/1000</f>
        <v>0</v>
      </c>
      <c r="U195" s="400">
        <f>VLOOKUP($B$187:$B$323,Acraft!$A$3:$Y$139,23,FALSE)*$Y195*Calc2!$C195/2/1000/1000</f>
        <v>0</v>
      </c>
      <c r="V195" s="400">
        <f>VLOOKUP($B$187:$B$323,Acraft!$A$3:$Y$139,24,FALSE)*$Y195*Calc2!$C195/2/1000/1000</f>
        <v>0</v>
      </c>
      <c r="W195" s="398">
        <f>VLOOKUP($B$187:$B$323,Acraft!$A$3:$Y$139,25,FALSE)*$Y195*Calc2!$C195/2/1000/1000</f>
        <v>0</v>
      </c>
      <c r="X195" s="398">
        <f>VLOOKUP($B$187:$B$323,Acraft!$A$3:$Y$139,19,FALSE)*$Y195*Calc2!$C195/2</f>
        <v>0</v>
      </c>
      <c r="Y195" s="309">
        <f>IF(VLOOKUP($B$187:$B$323,Acraft!$A$3:$Y$139,19,FALSE)=4,Calc1!$C$173,IF(VLOOKUP($B$187:$B$323,Acraft!$A$3:$Y$139,19,FALSE)=1.77777777777778,Calc1!$C$172,0))</f>
        <v>45</v>
      </c>
      <c r="Z195" s="305"/>
    </row>
    <row r="196" spans="1:26" x14ac:dyDescent="0.2">
      <c r="A196" s="303"/>
      <c r="B196" s="309" t="s">
        <v>270</v>
      </c>
      <c r="C196" s="397">
        <f>Calc1!C124</f>
        <v>0</v>
      </c>
      <c r="D196" s="395">
        <f>VLOOKUP($B$187:$B$323,Acraft!$A$3:$R$139,6,FALSE)+Calc1!$C$168*VLOOKUP($B$187:$B$323,Acraft!$A$3:$R$139,13,FALSE)/1000</f>
        <v>67.626720000000006</v>
      </c>
      <c r="E196" s="398">
        <f t="shared" si="31"/>
        <v>0</v>
      </c>
      <c r="F196" s="312">
        <f>VLOOKUP($B$187:$B$323,Acraft!$A$3:$R$139,7,FALSE)+Calc1!$C$168*VLOOKUP($B$187:$B$323,Acraft!$A$3:$R$139,14,FALSE)/1000</f>
        <v>0.38879999999999998</v>
      </c>
      <c r="G196" s="312">
        <f t="shared" si="32"/>
        <v>0</v>
      </c>
      <c r="H196" s="312">
        <f>VLOOKUP($B$187:$B$323,Acraft!$A$3:$R$139,8,FALSE)+Calc1!$C$168*VLOOKUP($B$187:$B$323,Acraft!$A$3:$R$139,15,FALSE)/1000</f>
        <v>30.702239999999996</v>
      </c>
      <c r="I196" s="312">
        <f t="shared" si="33"/>
        <v>0</v>
      </c>
      <c r="J196" s="312">
        <f>VLOOKUP($B$187:$B$323,Acraft!$A$3:$R$139,9,FALSE)+Calc1!$C$168*VLOOKUP($B$187:$B$323,Acraft!$A$3:$R$139,16,FALSE)/1000</f>
        <v>0.17634782801301976</v>
      </c>
      <c r="K196" s="312">
        <f t="shared" si="34"/>
        <v>0</v>
      </c>
      <c r="L196" s="312">
        <f>VLOOKUP($B$187:$B$323,Acraft!$A$3:$R$139,10,FALSE)+Calc1!$C$168*VLOOKUP($B$187:$B$323,Acraft!$A$3:$R$139,17,FALSE)/1000</f>
        <v>2.1072000000000002</v>
      </c>
      <c r="M196" s="312">
        <f t="shared" si="35"/>
        <v>0</v>
      </c>
      <c r="N196" s="312">
        <f>VLOOKUP($B$187:$B$323,Acraft!$A$3:$R$139,11,FALSE)+Calc1!$C$168*VLOOKUP($B$187:$B$323,Acraft!$A$3:$R$139,18,FALSE)/1000</f>
        <v>13275.36</v>
      </c>
      <c r="O196" s="398">
        <f t="shared" si="36"/>
        <v>0</v>
      </c>
      <c r="P196" s="312">
        <f>VLOOKUP($B$187:$B$323,Acraft!$A$3:$R$139,5,FALSE)+Calc1!$C$168*VLOOKUP($B$187:$B$323,Acraft!$A$3:$R$139,12,FALSE)/1000</f>
        <v>4214.3999999999996</v>
      </c>
      <c r="Q196" s="396">
        <f t="shared" si="37"/>
        <v>0</v>
      </c>
      <c r="R196" s="399">
        <f>VLOOKUP($B$187:$B$323,Acraft!$A$3:$Y$139,20,FALSE)*$Y196*Calc2!$C196/2/1000/1000</f>
        <v>0</v>
      </c>
      <c r="S196" s="400">
        <f>VLOOKUP($B$187:$B$323,Acraft!$A$3:$Y$139,21,FALSE)*$Y196*Calc2!$C196/2/1000/1000</f>
        <v>0</v>
      </c>
      <c r="T196" s="400">
        <f>VLOOKUP($B$187:$B$323,Acraft!$A$3:$Y$139,22,FALSE)*$Y196*Calc2!$C196/2/1000/1000</f>
        <v>0</v>
      </c>
      <c r="U196" s="400">
        <f>VLOOKUP($B$187:$B$323,Acraft!$A$3:$Y$139,23,FALSE)*$Y196*Calc2!$C196/2/1000/1000</f>
        <v>0</v>
      </c>
      <c r="V196" s="400">
        <f>VLOOKUP($B$187:$B$323,Acraft!$A$3:$Y$139,24,FALSE)*$Y196*Calc2!$C196/2/1000/1000</f>
        <v>0</v>
      </c>
      <c r="W196" s="398">
        <f>VLOOKUP($B$187:$B$323,Acraft!$A$3:$Y$139,25,FALSE)*$Y196*Calc2!$C196/2/1000/1000</f>
        <v>0</v>
      </c>
      <c r="X196" s="398">
        <f>VLOOKUP($B$187:$B$323,Acraft!$A$3:$Y$139,19,FALSE)*$Y196*Calc2!$C196/2</f>
        <v>0</v>
      </c>
      <c r="Y196" s="309">
        <f>IF(VLOOKUP($B$187:$B$323,Acraft!$A$3:$Y$139,19,FALSE)=4,Calc1!$C$173,IF(VLOOKUP($B$187:$B$323,Acraft!$A$3:$Y$139,19,FALSE)=1.77777777777778,Calc1!$C$172,0))</f>
        <v>45</v>
      </c>
      <c r="Z196" s="305"/>
    </row>
    <row r="197" spans="1:26" x14ac:dyDescent="0.2">
      <c r="A197" s="303"/>
      <c r="B197" s="309" t="s">
        <v>273</v>
      </c>
      <c r="C197" s="397">
        <f>Calc1!C125</f>
        <v>0</v>
      </c>
      <c r="D197" s="395">
        <f>VLOOKUP($B$187:$B$323,Acraft!$A$3:$R$139,6,FALSE)+Calc1!$C$168*VLOOKUP($B$187:$B$323,Acraft!$A$3:$R$139,13,FALSE)/1000</f>
        <v>49.693867200000007</v>
      </c>
      <c r="E197" s="398">
        <f t="shared" si="31"/>
        <v>0</v>
      </c>
      <c r="F197" s="312">
        <f>VLOOKUP($B$187:$B$323,Acraft!$A$3:$R$139,7,FALSE)+Calc1!$C$168*VLOOKUP($B$187:$B$323,Acraft!$A$3:$R$139,14,FALSE)/1000</f>
        <v>18.918280799999998</v>
      </c>
      <c r="G197" s="312">
        <f t="shared" si="32"/>
        <v>0</v>
      </c>
      <c r="H197" s="312">
        <f>VLOOKUP($B$187:$B$323,Acraft!$A$3:$R$139,8,FALSE)+Calc1!$C$168*VLOOKUP($B$187:$B$323,Acraft!$A$3:$R$139,15,FALSE)/1000</f>
        <v>82.798898399999999</v>
      </c>
      <c r="I197" s="312">
        <f t="shared" si="33"/>
        <v>0</v>
      </c>
      <c r="J197" s="312">
        <f>VLOOKUP($B$187:$B$323,Acraft!$A$3:$R$139,9,FALSE)+Calc1!$C$168*VLOOKUP($B$187:$B$323,Acraft!$A$3:$R$139,16,FALSE)/1000</f>
        <v>0.31455805014571336</v>
      </c>
      <c r="K197" s="312">
        <f t="shared" si="34"/>
        <v>0</v>
      </c>
      <c r="L197" s="312">
        <f>VLOOKUP($B$187:$B$323,Acraft!$A$3:$R$139,10,FALSE)+Calc1!$C$168*VLOOKUP($B$187:$B$323,Acraft!$A$3:$R$139,17,FALSE)/1000</f>
        <v>1.8274860000000004</v>
      </c>
      <c r="M197" s="312">
        <f t="shared" si="35"/>
        <v>0</v>
      </c>
      <c r="N197" s="312">
        <f>VLOOKUP($B$187:$B$323,Acraft!$A$3:$R$139,11,FALSE)+Calc1!$C$168*VLOOKUP($B$187:$B$323,Acraft!$A$3:$R$139,18,FALSE)/1000</f>
        <v>11513.161800000002</v>
      </c>
      <c r="O197" s="398">
        <f t="shared" si="36"/>
        <v>0</v>
      </c>
      <c r="P197" s="312">
        <f>VLOOKUP($B$187:$B$323,Acraft!$A$3:$R$139,5,FALSE)+Calc1!$C$168*VLOOKUP($B$187:$B$323,Acraft!$A$3:$R$139,12,FALSE)/1000</f>
        <v>3654.9720000000002</v>
      </c>
      <c r="Q197" s="396">
        <f t="shared" si="37"/>
        <v>0</v>
      </c>
      <c r="R197" s="399">
        <f>VLOOKUP($B$187:$B$323,Acraft!$A$3:$Y$139,20,FALSE)*$Y197*Calc2!$C197/2/1000/1000</f>
        <v>0</v>
      </c>
      <c r="S197" s="400">
        <f>VLOOKUP($B$187:$B$323,Acraft!$A$3:$Y$139,21,FALSE)*$Y197*Calc2!$C197/2/1000/1000</f>
        <v>0</v>
      </c>
      <c r="T197" s="400">
        <f>VLOOKUP($B$187:$B$323,Acraft!$A$3:$Y$139,22,FALSE)*$Y197*Calc2!$C197/2/1000/1000</f>
        <v>0</v>
      </c>
      <c r="U197" s="400">
        <f>VLOOKUP($B$187:$B$323,Acraft!$A$3:$Y$139,23,FALSE)*$Y197*Calc2!$C197/2/1000/1000</f>
        <v>0</v>
      </c>
      <c r="V197" s="400">
        <f>VLOOKUP($B$187:$B$323,Acraft!$A$3:$Y$139,24,FALSE)*$Y197*Calc2!$C197/2/1000/1000</f>
        <v>0</v>
      </c>
      <c r="W197" s="398">
        <f>VLOOKUP($B$187:$B$323,Acraft!$A$3:$Y$139,25,FALSE)*$Y197*Calc2!$C197/2/1000/1000</f>
        <v>0</v>
      </c>
      <c r="X197" s="398">
        <f>VLOOKUP($B$187:$B$323,Acraft!$A$3:$Y$139,19,FALSE)*$Y197*Calc2!$C197/2</f>
        <v>0</v>
      </c>
      <c r="Y197" s="309">
        <f>IF(VLOOKUP($B$187:$B$323,Acraft!$A$3:$Y$139,19,FALSE)=4,Calc1!$C$173,IF(VLOOKUP($B$187:$B$323,Acraft!$A$3:$Y$139,19,FALSE)=1.77777777777778,Calc1!$C$172,0))</f>
        <v>45</v>
      </c>
      <c r="Z197" s="305"/>
    </row>
    <row r="198" spans="1:26" x14ac:dyDescent="0.2">
      <c r="A198" s="303"/>
      <c r="B198" s="309" t="s">
        <v>276</v>
      </c>
      <c r="C198" s="397">
        <f>Calc1!C126</f>
        <v>0</v>
      </c>
      <c r="D198" s="395">
        <f>VLOOKUP($B$187:$B$323,Acraft!$A$3:$R$139,6,FALSE)+Calc1!$C$168*VLOOKUP($B$187:$B$323,Acraft!$A$3:$R$139,13,FALSE)/1000</f>
        <v>4.7665188000000001</v>
      </c>
      <c r="E198" s="398">
        <f t="shared" si="31"/>
        <v>0</v>
      </c>
      <c r="F198" s="312">
        <f>VLOOKUP($B$187:$B$323,Acraft!$A$3:$R$139,7,FALSE)+Calc1!$C$168*VLOOKUP($B$187:$B$323,Acraft!$A$3:$R$139,14,FALSE)/1000</f>
        <v>9.2371712400000003</v>
      </c>
      <c r="G198" s="312">
        <f t="shared" si="32"/>
        <v>0</v>
      </c>
      <c r="H198" s="312">
        <f>VLOOKUP($B$187:$B$323,Acraft!$A$3:$R$139,8,FALSE)+Calc1!$C$168*VLOOKUP($B$187:$B$323,Acraft!$A$3:$R$139,15,FALSE)/1000</f>
        <v>22.938102000000001</v>
      </c>
      <c r="I198" s="312">
        <f t="shared" si="33"/>
        <v>0</v>
      </c>
      <c r="J198" s="312">
        <f>VLOOKUP($B$187:$B$323,Acraft!$A$3:$R$139,9,FALSE)+Calc1!$C$168*VLOOKUP($B$187:$B$323,Acraft!$A$3:$R$139,16,FALSE)/1000</f>
        <v>0.123748504</v>
      </c>
      <c r="K198" s="312">
        <f t="shared" si="34"/>
        <v>0</v>
      </c>
      <c r="L198" s="312">
        <f>VLOOKUP($B$187:$B$323,Acraft!$A$3:$R$139,10,FALSE)+Calc1!$C$168*VLOOKUP($B$187:$B$323,Acraft!$A$3:$R$139,17,FALSE)/1000</f>
        <v>0.42773399999999995</v>
      </c>
      <c r="M198" s="312">
        <f t="shared" si="35"/>
        <v>0</v>
      </c>
      <c r="N198" s="312">
        <f>VLOOKUP($B$187:$B$323,Acraft!$A$3:$R$139,11,FALSE)+Calc1!$C$168*VLOOKUP($B$187:$B$323,Acraft!$A$3:$R$139,18,FALSE)/1000</f>
        <v>2694.7241999999997</v>
      </c>
      <c r="O198" s="398">
        <f t="shared" si="36"/>
        <v>0</v>
      </c>
      <c r="P198" s="312">
        <f>VLOOKUP($B$187:$B$323,Acraft!$A$3:$R$139,5,FALSE)+Calc1!$C$168*VLOOKUP($B$187:$B$323,Acraft!$A$3:$R$139,12,FALSE)/1000</f>
        <v>855.46799999999996</v>
      </c>
      <c r="Q198" s="396">
        <f t="shared" si="37"/>
        <v>0</v>
      </c>
      <c r="R198" s="399">
        <f>VLOOKUP($B$187:$B$323,Acraft!$A$3:$Y$139,20,FALSE)*$Y198*Calc2!$C198/2/1000/1000</f>
        <v>0</v>
      </c>
      <c r="S198" s="400">
        <f>VLOOKUP($B$187:$B$323,Acraft!$A$3:$Y$139,21,FALSE)*$Y198*Calc2!$C198/2/1000/1000</f>
        <v>0</v>
      </c>
      <c r="T198" s="400">
        <f>VLOOKUP($B$187:$B$323,Acraft!$A$3:$Y$139,22,FALSE)*$Y198*Calc2!$C198/2/1000/1000</f>
        <v>0</v>
      </c>
      <c r="U198" s="400">
        <f>VLOOKUP($B$187:$B$323,Acraft!$A$3:$Y$139,23,FALSE)*$Y198*Calc2!$C198/2/1000/1000</f>
        <v>0</v>
      </c>
      <c r="V198" s="400">
        <f>VLOOKUP($B$187:$B$323,Acraft!$A$3:$Y$139,24,FALSE)*$Y198*Calc2!$C198/2/1000/1000</f>
        <v>0</v>
      </c>
      <c r="W198" s="398">
        <f>VLOOKUP($B$187:$B$323,Acraft!$A$3:$Y$139,25,FALSE)*$Y198*Calc2!$C198/2/1000/1000</f>
        <v>0</v>
      </c>
      <c r="X198" s="398">
        <f>VLOOKUP($B$187:$B$323,Acraft!$A$3:$Y$139,19,FALSE)*$Y198*Calc2!$C198/2</f>
        <v>0</v>
      </c>
      <c r="Y198" s="309">
        <f>IF(VLOOKUP($B$187:$B$323,Acraft!$A$3:$Y$139,19,FALSE)=4,Calc1!$C$173,IF(VLOOKUP($B$187:$B$323,Acraft!$A$3:$Y$139,19,FALSE)=1.77777777777778,Calc1!$C$172,0))</f>
        <v>45</v>
      </c>
      <c r="Z198" s="305"/>
    </row>
    <row r="199" spans="1:26" x14ac:dyDescent="0.2">
      <c r="A199" s="303"/>
      <c r="B199" s="309" t="s">
        <v>280</v>
      </c>
      <c r="C199" s="397">
        <f>Calc1!C127</f>
        <v>0</v>
      </c>
      <c r="D199" s="395">
        <f>VLOOKUP($B$187:$B$323,Acraft!$A$3:$R$139,6,FALSE)+Calc1!$C$168*VLOOKUP($B$187:$B$323,Acraft!$A$3:$R$139,13,FALSE)/1000</f>
        <v>7.1738400000000002</v>
      </c>
      <c r="E199" s="398">
        <f t="shared" si="31"/>
        <v>0</v>
      </c>
      <c r="F199" s="312">
        <f>VLOOKUP($B$187:$B$323,Acraft!$A$3:$R$139,7,FALSE)+Calc1!$C$168*VLOOKUP($B$187:$B$323,Acraft!$A$3:$R$139,14,FALSE)/1000</f>
        <v>1.7496</v>
      </c>
      <c r="G199" s="312">
        <f t="shared" si="32"/>
        <v>0</v>
      </c>
      <c r="H199" s="312">
        <f>VLOOKUP($B$187:$B$323,Acraft!$A$3:$R$139,8,FALSE)+Calc1!$C$168*VLOOKUP($B$187:$B$323,Acraft!$A$3:$R$139,15,FALSE)/1000</f>
        <v>7.0631687999999997</v>
      </c>
      <c r="I199" s="312">
        <f t="shared" si="33"/>
        <v>0</v>
      </c>
      <c r="J199" s="312">
        <f>VLOOKUP($B$187:$B$323,Acraft!$A$3:$R$139,9,FALSE)+Calc1!$C$168*VLOOKUP($B$187:$B$323,Acraft!$A$3:$R$139,16,FALSE)/1000</f>
        <v>5.3526859634452327E-2</v>
      </c>
      <c r="K199" s="312">
        <f t="shared" si="34"/>
        <v>0</v>
      </c>
      <c r="L199" s="312">
        <f>VLOOKUP($B$187:$B$323,Acraft!$A$3:$R$139,10,FALSE)+Calc1!$C$168*VLOOKUP($B$187:$B$323,Acraft!$A$3:$R$139,17,FALSE)/1000</f>
        <v>0.30962400000000001</v>
      </c>
      <c r="M199" s="312">
        <f t="shared" si="35"/>
        <v>0</v>
      </c>
      <c r="N199" s="312">
        <f>VLOOKUP($B$187:$B$323,Acraft!$A$3:$R$139,11,FALSE)+Calc1!$C$168*VLOOKUP($B$187:$B$323,Acraft!$A$3:$R$139,18,FALSE)/1000</f>
        <v>1950.6312000000003</v>
      </c>
      <c r="O199" s="398">
        <f t="shared" si="36"/>
        <v>0</v>
      </c>
      <c r="P199" s="312">
        <f>VLOOKUP($B$187:$B$323,Acraft!$A$3:$R$139,5,FALSE)+Calc1!$C$168*VLOOKUP($B$187:$B$323,Acraft!$A$3:$R$139,12,FALSE)/1000</f>
        <v>619.24800000000005</v>
      </c>
      <c r="Q199" s="396">
        <f t="shared" si="37"/>
        <v>0</v>
      </c>
      <c r="R199" s="399">
        <f>VLOOKUP($B$187:$B$323,Acraft!$A$3:$Y$139,20,FALSE)*$Y199*Calc2!$C199/2/1000/1000</f>
        <v>0</v>
      </c>
      <c r="S199" s="400">
        <f>VLOOKUP($B$187:$B$323,Acraft!$A$3:$Y$139,21,FALSE)*$Y199*Calc2!$C199/2/1000/1000</f>
        <v>0</v>
      </c>
      <c r="T199" s="400">
        <f>VLOOKUP($B$187:$B$323,Acraft!$A$3:$Y$139,22,FALSE)*$Y199*Calc2!$C199/2/1000/1000</f>
        <v>0</v>
      </c>
      <c r="U199" s="400">
        <f>VLOOKUP($B$187:$B$323,Acraft!$A$3:$Y$139,23,FALSE)*$Y199*Calc2!$C199/2/1000/1000</f>
        <v>0</v>
      </c>
      <c r="V199" s="400">
        <f>VLOOKUP($B$187:$B$323,Acraft!$A$3:$Y$139,24,FALSE)*$Y199*Calc2!$C199/2/1000/1000</f>
        <v>0</v>
      </c>
      <c r="W199" s="398">
        <f>VLOOKUP($B$187:$B$323,Acraft!$A$3:$Y$139,25,FALSE)*$Y199*Calc2!$C199/2/1000/1000</f>
        <v>0</v>
      </c>
      <c r="X199" s="398">
        <f>VLOOKUP($B$187:$B$323,Acraft!$A$3:$Y$139,19,FALSE)*$Y199*Calc2!$C199/2</f>
        <v>0</v>
      </c>
      <c r="Y199" s="309">
        <f>IF(VLOOKUP($B$187:$B$323,Acraft!$A$3:$Y$139,19,FALSE)=4,Calc1!$C$173,IF(VLOOKUP($B$187:$B$323,Acraft!$A$3:$Y$139,19,FALSE)=1.77777777777778,Calc1!$C$172,0))</f>
        <v>15</v>
      </c>
      <c r="Z199" s="305"/>
    </row>
    <row r="200" spans="1:26" x14ac:dyDescent="0.2">
      <c r="A200" s="303"/>
      <c r="B200" s="309" t="s">
        <v>283</v>
      </c>
      <c r="C200" s="397">
        <f>Calc1!C128</f>
        <v>0</v>
      </c>
      <c r="D200" s="395">
        <f>VLOOKUP($B$187:$B$323,Acraft!$A$3:$R$139,6,FALSE)+Calc1!$C$168*VLOOKUP($B$187:$B$323,Acraft!$A$3:$R$139,13,FALSE)/1000</f>
        <v>2.450634</v>
      </c>
      <c r="E200" s="398">
        <f t="shared" si="31"/>
        <v>0</v>
      </c>
      <c r="F200" s="312">
        <f>VLOOKUP($B$187:$B$323,Acraft!$A$3:$R$139,7,FALSE)+Calc1!$C$168*VLOOKUP($B$187:$B$323,Acraft!$A$3:$R$139,14,FALSE)/1000</f>
        <v>0</v>
      </c>
      <c r="G200" s="312">
        <f t="shared" si="32"/>
        <v>0</v>
      </c>
      <c r="H200" s="312">
        <f>VLOOKUP($B$187:$B$323,Acraft!$A$3:$R$139,8,FALSE)+Calc1!$C$168*VLOOKUP($B$187:$B$323,Acraft!$A$3:$R$139,15,FALSE)/1000</f>
        <v>1.7753399999999999</v>
      </c>
      <c r="I200" s="312">
        <f t="shared" si="33"/>
        <v>0</v>
      </c>
      <c r="J200" s="312">
        <f>VLOOKUP($B$187:$B$323,Acraft!$A$3:$R$139,9,FALSE)+Calc1!$C$168*VLOOKUP($B$187:$B$323,Acraft!$A$3:$R$139,16,FALSE)/1000</f>
        <v>3.8890520000000005E-2</v>
      </c>
      <c r="K200" s="312">
        <f t="shared" si="34"/>
        <v>0</v>
      </c>
      <c r="L200" s="312">
        <f>VLOOKUP($B$187:$B$323,Acraft!$A$3:$R$139,10,FALSE)+Calc1!$C$168*VLOOKUP($B$187:$B$323,Acraft!$A$3:$R$139,17,FALSE)/1000</f>
        <v>0.13130999999999998</v>
      </c>
      <c r="M200" s="312">
        <f t="shared" si="35"/>
        <v>0</v>
      </c>
      <c r="N200" s="312">
        <f>VLOOKUP($B$187:$B$323,Acraft!$A$3:$R$139,11,FALSE)+Calc1!$C$168*VLOOKUP($B$187:$B$323,Acraft!$A$3:$R$139,18,FALSE)/1000</f>
        <v>827.25299999999993</v>
      </c>
      <c r="O200" s="398">
        <f t="shared" si="36"/>
        <v>0</v>
      </c>
      <c r="P200" s="312">
        <f>VLOOKUP($B$187:$B$323,Acraft!$A$3:$R$139,5,FALSE)+Calc1!$C$168*VLOOKUP($B$187:$B$323,Acraft!$A$3:$R$139,12,FALSE)/1000</f>
        <v>262.62</v>
      </c>
      <c r="Q200" s="396">
        <f t="shared" si="37"/>
        <v>0</v>
      </c>
      <c r="R200" s="399">
        <f>VLOOKUP($B$187:$B$323,Acraft!$A$3:$Y$139,20,FALSE)*$Y200*Calc2!$C200/2/1000/1000</f>
        <v>0</v>
      </c>
      <c r="S200" s="400">
        <f>VLOOKUP($B$187:$B$323,Acraft!$A$3:$Y$139,21,FALSE)*$Y200*Calc2!$C200/2/1000/1000</f>
        <v>0</v>
      </c>
      <c r="T200" s="400">
        <f>VLOOKUP($B$187:$B$323,Acraft!$A$3:$Y$139,22,FALSE)*$Y200*Calc2!$C200/2/1000/1000</f>
        <v>0</v>
      </c>
      <c r="U200" s="400">
        <f>VLOOKUP($B$187:$B$323,Acraft!$A$3:$Y$139,23,FALSE)*$Y200*Calc2!$C200/2/1000/1000</f>
        <v>0</v>
      </c>
      <c r="V200" s="400">
        <f>VLOOKUP($B$187:$B$323,Acraft!$A$3:$Y$139,24,FALSE)*$Y200*Calc2!$C200/2/1000/1000</f>
        <v>0</v>
      </c>
      <c r="W200" s="398">
        <f>VLOOKUP($B$187:$B$323,Acraft!$A$3:$Y$139,25,FALSE)*$Y200*Calc2!$C200/2/1000/1000</f>
        <v>0</v>
      </c>
      <c r="X200" s="398">
        <f>VLOOKUP($B$187:$B$323,Acraft!$A$3:$Y$139,19,FALSE)*$Y200*Calc2!$C200/2</f>
        <v>0</v>
      </c>
      <c r="Y200" s="309">
        <f>IF(VLOOKUP($B$187:$B$323,Acraft!$A$3:$Y$139,19,FALSE)=4,Calc1!$C$173,IF(VLOOKUP($B$187:$B$323,Acraft!$A$3:$Y$139,19,FALSE)=1.77777777777778,Calc1!$C$172,0))</f>
        <v>0</v>
      </c>
      <c r="Z200" s="305"/>
    </row>
    <row r="201" spans="1:26" x14ac:dyDescent="0.2">
      <c r="A201" s="303"/>
      <c r="B201" s="309" t="s">
        <v>287</v>
      </c>
      <c r="C201" s="397">
        <f>Calc1!C129</f>
        <v>0</v>
      </c>
      <c r="D201" s="395">
        <f>VLOOKUP($B$187:$B$323,Acraft!$A$3:$R$139,6,FALSE)+Calc1!$C$168*VLOOKUP($B$187:$B$323,Acraft!$A$3:$R$139,13,FALSE)/1000</f>
        <v>2.450634</v>
      </c>
      <c r="E201" s="398">
        <f t="shared" si="31"/>
        <v>0</v>
      </c>
      <c r="F201" s="312">
        <f>VLOOKUP($B$187:$B$323,Acraft!$A$3:$R$139,7,FALSE)+Calc1!$C$168*VLOOKUP($B$187:$B$323,Acraft!$A$3:$R$139,14,FALSE)/1000</f>
        <v>0</v>
      </c>
      <c r="G201" s="312">
        <f t="shared" si="32"/>
        <v>0</v>
      </c>
      <c r="H201" s="312">
        <f>VLOOKUP($B$187:$B$323,Acraft!$A$3:$R$139,8,FALSE)+Calc1!$C$168*VLOOKUP($B$187:$B$323,Acraft!$A$3:$R$139,15,FALSE)/1000</f>
        <v>1.7753399999999999</v>
      </c>
      <c r="I201" s="312">
        <f t="shared" si="33"/>
        <v>0</v>
      </c>
      <c r="J201" s="312">
        <f>VLOOKUP($B$187:$B$323,Acraft!$A$3:$R$139,9,FALSE)+Calc1!$C$168*VLOOKUP($B$187:$B$323,Acraft!$A$3:$R$139,16,FALSE)/1000</f>
        <v>3.8890520000000005E-2</v>
      </c>
      <c r="K201" s="312">
        <f t="shared" si="34"/>
        <v>0</v>
      </c>
      <c r="L201" s="312">
        <f>VLOOKUP($B$187:$B$323,Acraft!$A$3:$R$139,10,FALSE)+Calc1!$C$168*VLOOKUP($B$187:$B$323,Acraft!$A$3:$R$139,17,FALSE)/1000</f>
        <v>0.13130999999999998</v>
      </c>
      <c r="M201" s="312">
        <f t="shared" si="35"/>
        <v>0</v>
      </c>
      <c r="N201" s="312">
        <f>VLOOKUP($B$187:$B$323,Acraft!$A$3:$R$139,11,FALSE)+Calc1!$C$168*VLOOKUP($B$187:$B$323,Acraft!$A$3:$R$139,18,FALSE)/1000</f>
        <v>827.25299999999993</v>
      </c>
      <c r="O201" s="398">
        <f t="shared" si="36"/>
        <v>0</v>
      </c>
      <c r="P201" s="312">
        <f>VLOOKUP($B$187:$B$323,Acraft!$A$3:$R$139,5,FALSE)+Calc1!$C$168*VLOOKUP($B$187:$B$323,Acraft!$A$3:$R$139,12,FALSE)/1000</f>
        <v>262.62</v>
      </c>
      <c r="Q201" s="396">
        <f t="shared" si="37"/>
        <v>0</v>
      </c>
      <c r="R201" s="399">
        <f>VLOOKUP($B$187:$B$323,Acraft!$A$3:$Y$139,20,FALSE)*$Y201*Calc2!$C201/2/1000/1000</f>
        <v>0</v>
      </c>
      <c r="S201" s="400">
        <f>VLOOKUP($B$187:$B$323,Acraft!$A$3:$Y$139,21,FALSE)*$Y201*Calc2!$C201/2/1000/1000</f>
        <v>0</v>
      </c>
      <c r="T201" s="400">
        <f>VLOOKUP($B$187:$B$323,Acraft!$A$3:$Y$139,22,FALSE)*$Y201*Calc2!$C201/2/1000/1000</f>
        <v>0</v>
      </c>
      <c r="U201" s="400">
        <f>VLOOKUP($B$187:$B$323,Acraft!$A$3:$Y$139,23,FALSE)*$Y201*Calc2!$C201/2/1000/1000</f>
        <v>0</v>
      </c>
      <c r="V201" s="400">
        <f>VLOOKUP($B$187:$B$323,Acraft!$A$3:$Y$139,24,FALSE)*$Y201*Calc2!$C201/2/1000/1000</f>
        <v>0</v>
      </c>
      <c r="W201" s="398">
        <f>VLOOKUP($B$187:$B$323,Acraft!$A$3:$Y$139,25,FALSE)*$Y201*Calc2!$C201/2/1000/1000</f>
        <v>0</v>
      </c>
      <c r="X201" s="398">
        <f>VLOOKUP($B$187:$B$323,Acraft!$A$3:$Y$139,19,FALSE)*$Y201*Calc2!$C201/2</f>
        <v>0</v>
      </c>
      <c r="Y201" s="309">
        <f>IF(VLOOKUP($B$187:$B$323,Acraft!$A$3:$Y$139,19,FALSE)=4,Calc1!$C$173,IF(VLOOKUP($B$187:$B$323,Acraft!$A$3:$Y$139,19,FALSE)=1.77777777777778,Calc1!$C$172,0))</f>
        <v>0</v>
      </c>
      <c r="Z201" s="305"/>
    </row>
    <row r="202" spans="1:26" x14ac:dyDescent="0.2">
      <c r="A202" s="303"/>
      <c r="B202" s="309" t="s">
        <v>289</v>
      </c>
      <c r="C202" s="397">
        <f>Calc1!C130</f>
        <v>0</v>
      </c>
      <c r="D202" s="395">
        <f>VLOOKUP($B$187:$B$323,Acraft!$A$3:$R$139,6,FALSE)+Calc1!$C$168*VLOOKUP($B$187:$B$323,Acraft!$A$3:$R$139,13,FALSE)/1000</f>
        <v>4.3791992639999995</v>
      </c>
      <c r="E202" s="398">
        <f t="shared" si="31"/>
        <v>0</v>
      </c>
      <c r="F202" s="312">
        <f>VLOOKUP($B$187:$B$323,Acraft!$A$3:$R$139,7,FALSE)+Calc1!$C$168*VLOOKUP($B$187:$B$323,Acraft!$A$3:$R$139,14,FALSE)/1000</f>
        <v>1.4001683520000001</v>
      </c>
      <c r="G202" s="312">
        <f t="shared" si="32"/>
        <v>0</v>
      </c>
      <c r="H202" s="312">
        <f>VLOOKUP($B$187:$B$323,Acraft!$A$3:$R$139,8,FALSE)+Calc1!$C$168*VLOOKUP($B$187:$B$323,Acraft!$A$3:$R$139,15,FALSE)/1000</f>
        <v>11.624272080000001</v>
      </c>
      <c r="I202" s="312">
        <f t="shared" si="33"/>
        <v>0</v>
      </c>
      <c r="J202" s="312">
        <f>VLOOKUP($B$187:$B$323,Acraft!$A$3:$R$139,9,FALSE)+Calc1!$C$168*VLOOKUP($B$187:$B$323,Acraft!$A$3:$R$139,16,FALSE)/1000</f>
        <v>5.4617081204987414E-2</v>
      </c>
      <c r="K202" s="312">
        <f t="shared" si="34"/>
        <v>0</v>
      </c>
      <c r="L202" s="312">
        <f>VLOOKUP($B$187:$B$323,Acraft!$A$3:$R$139,10,FALSE)+Calc1!$C$168*VLOOKUP($B$187:$B$323,Acraft!$A$3:$R$139,17,FALSE)/1000</f>
        <v>0.30698160000000002</v>
      </c>
      <c r="M202" s="312">
        <f t="shared" si="35"/>
        <v>0</v>
      </c>
      <c r="N202" s="312">
        <f>VLOOKUP($B$187:$B$323,Acraft!$A$3:$R$139,11,FALSE)+Calc1!$C$168*VLOOKUP($B$187:$B$323,Acraft!$A$3:$R$139,18,FALSE)/1000</f>
        <v>1933.9840800000002</v>
      </c>
      <c r="O202" s="398">
        <f t="shared" si="36"/>
        <v>0</v>
      </c>
      <c r="P202" s="312">
        <f>VLOOKUP($B$187:$B$323,Acraft!$A$3:$R$139,5,FALSE)+Calc1!$C$168*VLOOKUP($B$187:$B$323,Acraft!$A$3:$R$139,12,FALSE)/1000</f>
        <v>613.96320000000003</v>
      </c>
      <c r="Q202" s="396">
        <f t="shared" si="37"/>
        <v>0</v>
      </c>
      <c r="R202" s="399">
        <f>VLOOKUP($B$187:$B$323,Acraft!$A$3:$Y$139,20,FALSE)*$Y202*Calc2!$C202/2/1000/1000</f>
        <v>0</v>
      </c>
      <c r="S202" s="400">
        <f>VLOOKUP($B$187:$B$323,Acraft!$A$3:$Y$139,21,FALSE)*$Y202*Calc2!$C202/2/1000/1000</f>
        <v>0</v>
      </c>
      <c r="T202" s="400">
        <f>VLOOKUP($B$187:$B$323,Acraft!$A$3:$Y$139,22,FALSE)*$Y202*Calc2!$C202/2/1000/1000</f>
        <v>0</v>
      </c>
      <c r="U202" s="400">
        <f>VLOOKUP($B$187:$B$323,Acraft!$A$3:$Y$139,23,FALSE)*$Y202*Calc2!$C202/2/1000/1000</f>
        <v>0</v>
      </c>
      <c r="V202" s="400">
        <f>VLOOKUP($B$187:$B$323,Acraft!$A$3:$Y$139,24,FALSE)*$Y202*Calc2!$C202/2/1000/1000</f>
        <v>0</v>
      </c>
      <c r="W202" s="398">
        <f>VLOOKUP($B$187:$B$323,Acraft!$A$3:$Y$139,25,FALSE)*$Y202*Calc2!$C202/2/1000/1000</f>
        <v>0</v>
      </c>
      <c r="X202" s="398">
        <f>VLOOKUP($B$187:$B$323,Acraft!$A$3:$Y$139,19,FALSE)*$Y202*Calc2!$C202/2</f>
        <v>0</v>
      </c>
      <c r="Y202" s="309">
        <f>IF(VLOOKUP($B$187:$B$323,Acraft!$A$3:$Y$139,19,FALSE)=4,Calc1!$C$173,IF(VLOOKUP($B$187:$B$323,Acraft!$A$3:$Y$139,19,FALSE)=1.77777777777778,Calc1!$C$172,0))</f>
        <v>15</v>
      </c>
      <c r="Z202" s="305"/>
    </row>
    <row r="203" spans="1:26" x14ac:dyDescent="0.2">
      <c r="A203" s="303"/>
      <c r="B203" s="309" t="s">
        <v>292</v>
      </c>
      <c r="C203" s="397">
        <f>Calc1!C131</f>
        <v>0</v>
      </c>
      <c r="D203" s="395">
        <f>VLOOKUP($B$187:$B$323,Acraft!$A$3:$R$139,6,FALSE)+Calc1!$C$168*VLOOKUP($B$187:$B$323,Acraft!$A$3:$R$139,13,FALSE)/1000</f>
        <v>2.450634</v>
      </c>
      <c r="E203" s="398">
        <f t="shared" si="31"/>
        <v>0</v>
      </c>
      <c r="F203" s="312">
        <f>VLOOKUP($B$187:$B$323,Acraft!$A$3:$R$139,7,FALSE)+Calc1!$C$168*VLOOKUP($B$187:$B$323,Acraft!$A$3:$R$139,14,FALSE)/1000</f>
        <v>0</v>
      </c>
      <c r="G203" s="312">
        <f t="shared" si="32"/>
        <v>0</v>
      </c>
      <c r="H203" s="312">
        <f>VLOOKUP($B$187:$B$323,Acraft!$A$3:$R$139,8,FALSE)+Calc1!$C$168*VLOOKUP($B$187:$B$323,Acraft!$A$3:$R$139,15,FALSE)/1000</f>
        <v>1.7753399999999999</v>
      </c>
      <c r="I203" s="312">
        <f t="shared" si="33"/>
        <v>0</v>
      </c>
      <c r="J203" s="312">
        <f>VLOOKUP($B$187:$B$323,Acraft!$A$3:$R$139,9,FALSE)+Calc1!$C$168*VLOOKUP($B$187:$B$323,Acraft!$A$3:$R$139,16,FALSE)/1000</f>
        <v>3.8890520000000005E-2</v>
      </c>
      <c r="K203" s="312">
        <f t="shared" si="34"/>
        <v>0</v>
      </c>
      <c r="L203" s="312">
        <f>VLOOKUP($B$187:$B$323,Acraft!$A$3:$R$139,10,FALSE)+Calc1!$C$168*VLOOKUP($B$187:$B$323,Acraft!$A$3:$R$139,17,FALSE)/1000</f>
        <v>0.13130999999999998</v>
      </c>
      <c r="M203" s="312">
        <f t="shared" si="35"/>
        <v>0</v>
      </c>
      <c r="N203" s="312">
        <f>VLOOKUP($B$187:$B$323,Acraft!$A$3:$R$139,11,FALSE)+Calc1!$C$168*VLOOKUP($B$187:$B$323,Acraft!$A$3:$R$139,18,FALSE)/1000</f>
        <v>827.25299999999993</v>
      </c>
      <c r="O203" s="398">
        <f t="shared" si="36"/>
        <v>0</v>
      </c>
      <c r="P203" s="312">
        <f>VLOOKUP($B$187:$B$323,Acraft!$A$3:$R$139,5,FALSE)+Calc1!$C$168*VLOOKUP($B$187:$B$323,Acraft!$A$3:$R$139,12,FALSE)/1000</f>
        <v>262.62</v>
      </c>
      <c r="Q203" s="396">
        <f t="shared" si="37"/>
        <v>0</v>
      </c>
      <c r="R203" s="399">
        <f>VLOOKUP($B$187:$B$323,Acraft!$A$3:$Y$139,20,FALSE)*$Y203*Calc2!$C203/2/1000/1000</f>
        <v>0</v>
      </c>
      <c r="S203" s="400">
        <f>VLOOKUP($B$187:$B$323,Acraft!$A$3:$Y$139,21,FALSE)*$Y203*Calc2!$C203/2/1000/1000</f>
        <v>0</v>
      </c>
      <c r="T203" s="400">
        <f>VLOOKUP($B$187:$B$323,Acraft!$A$3:$Y$139,22,FALSE)*$Y203*Calc2!$C203/2/1000/1000</f>
        <v>0</v>
      </c>
      <c r="U203" s="400">
        <f>VLOOKUP($B$187:$B$323,Acraft!$A$3:$Y$139,23,FALSE)*$Y203*Calc2!$C203/2/1000/1000</f>
        <v>0</v>
      </c>
      <c r="V203" s="400">
        <f>VLOOKUP($B$187:$B$323,Acraft!$A$3:$Y$139,24,FALSE)*$Y203*Calc2!$C203/2/1000/1000</f>
        <v>0</v>
      </c>
      <c r="W203" s="398">
        <f>VLOOKUP($B$187:$B$323,Acraft!$A$3:$Y$139,25,FALSE)*$Y203*Calc2!$C203/2/1000/1000</f>
        <v>0</v>
      </c>
      <c r="X203" s="398">
        <f>VLOOKUP($B$187:$B$323,Acraft!$A$3:$Y$139,19,FALSE)*$Y203*Calc2!$C203/2</f>
        <v>0</v>
      </c>
      <c r="Y203" s="309">
        <f>IF(VLOOKUP($B$187:$B$323,Acraft!$A$3:$Y$139,19,FALSE)=4,Calc1!$C$173,IF(VLOOKUP($B$187:$B$323,Acraft!$A$3:$Y$139,19,FALSE)=1.77777777777778,Calc1!$C$172,0))</f>
        <v>0</v>
      </c>
      <c r="Z203" s="305"/>
    </row>
    <row r="204" spans="1:26" x14ac:dyDescent="0.2">
      <c r="A204" s="303"/>
      <c r="B204" s="309" t="s">
        <v>294</v>
      </c>
      <c r="C204" s="397">
        <f>Calc1!C132</f>
        <v>0</v>
      </c>
      <c r="D204" s="395">
        <f>VLOOKUP($B$187:$B$323,Acraft!$A$3:$R$139,6,FALSE)+Calc1!$C$168*VLOOKUP($B$187:$B$323,Acraft!$A$3:$R$139,13,FALSE)/1000</f>
        <v>0.52542275999999988</v>
      </c>
      <c r="E204" s="398">
        <f t="shared" si="31"/>
        <v>0</v>
      </c>
      <c r="F204" s="312">
        <f>VLOOKUP($B$187:$B$323,Acraft!$A$3:$R$139,7,FALSE)+Calc1!$C$168*VLOOKUP($B$187:$B$323,Acraft!$A$3:$R$139,14,FALSE)/1000</f>
        <v>3.6276459600000002</v>
      </c>
      <c r="G204" s="312">
        <f t="shared" si="32"/>
        <v>0</v>
      </c>
      <c r="H204" s="312">
        <f>VLOOKUP($B$187:$B$323,Acraft!$A$3:$R$139,8,FALSE)+Calc1!$C$168*VLOOKUP($B$187:$B$323,Acraft!$A$3:$R$139,15,FALSE)/1000</f>
        <v>2.9468556000000001</v>
      </c>
      <c r="I204" s="312">
        <f t="shared" si="33"/>
        <v>0</v>
      </c>
      <c r="J204" s="312">
        <f>VLOOKUP($B$187:$B$323,Acraft!$A$3:$R$139,9,FALSE)+Calc1!$C$168*VLOOKUP($B$187:$B$323,Acraft!$A$3:$R$139,16,FALSE)/1000</f>
        <v>1.143192E-2</v>
      </c>
      <c r="K204" s="312">
        <f t="shared" si="34"/>
        <v>0</v>
      </c>
      <c r="L204" s="312">
        <f>VLOOKUP($B$187:$B$323,Acraft!$A$3:$R$139,10,FALSE)+Calc1!$C$168*VLOOKUP($B$187:$B$323,Acraft!$A$3:$R$139,17,FALSE)/1000</f>
        <v>4.0802999999999992E-2</v>
      </c>
      <c r="M204" s="312">
        <f t="shared" si="35"/>
        <v>0</v>
      </c>
      <c r="N204" s="312">
        <f>VLOOKUP($B$187:$B$323,Acraft!$A$3:$R$139,11,FALSE)+Calc1!$C$168*VLOOKUP($B$187:$B$323,Acraft!$A$3:$R$139,18,FALSE)/1000</f>
        <v>25.705889999999997</v>
      </c>
      <c r="O204" s="398">
        <f t="shared" si="36"/>
        <v>0</v>
      </c>
      <c r="P204" s="312">
        <f>VLOOKUP($B$187:$B$323,Acraft!$A$3:$R$139,5,FALSE)+Calc1!$C$168*VLOOKUP($B$187:$B$323,Acraft!$A$3:$R$139,12,FALSE)/1000</f>
        <v>81.605999999999995</v>
      </c>
      <c r="Q204" s="396">
        <f t="shared" si="37"/>
        <v>0</v>
      </c>
      <c r="R204" s="399">
        <f>VLOOKUP($B$187:$B$323,Acraft!$A$3:$Y$139,20,FALSE)*$Y204*Calc2!$C204/2/1000/1000</f>
        <v>0</v>
      </c>
      <c r="S204" s="400">
        <f>VLOOKUP($B$187:$B$323,Acraft!$A$3:$Y$139,21,FALSE)*$Y204*Calc2!$C204/2/1000/1000</f>
        <v>0</v>
      </c>
      <c r="T204" s="400">
        <f>VLOOKUP($B$187:$B$323,Acraft!$A$3:$Y$139,22,FALSE)*$Y204*Calc2!$C204/2/1000/1000</f>
        <v>0</v>
      </c>
      <c r="U204" s="400">
        <f>VLOOKUP($B$187:$B$323,Acraft!$A$3:$Y$139,23,FALSE)*$Y204*Calc2!$C204/2/1000/1000</f>
        <v>0</v>
      </c>
      <c r="V204" s="400">
        <f>VLOOKUP($B$187:$B$323,Acraft!$A$3:$Y$139,24,FALSE)*$Y204*Calc2!$C204/2/1000/1000</f>
        <v>0</v>
      </c>
      <c r="W204" s="398">
        <f>VLOOKUP($B$187:$B$323,Acraft!$A$3:$Y$139,25,FALSE)*$Y204*Calc2!$C204/2/1000/1000</f>
        <v>0</v>
      </c>
      <c r="X204" s="398">
        <f>VLOOKUP($B$187:$B$323,Acraft!$A$3:$Y$139,19,FALSE)*$Y204*Calc2!$C204/2</f>
        <v>0</v>
      </c>
      <c r="Y204" s="309">
        <f>IF(VLOOKUP($B$187:$B$323,Acraft!$A$3:$Y$139,19,FALSE)=4,Calc1!$C$173,IF(VLOOKUP($B$187:$B$323,Acraft!$A$3:$Y$139,19,FALSE)=1.77777777777778,Calc1!$C$172,0))</f>
        <v>0</v>
      </c>
      <c r="Z204" s="305"/>
    </row>
    <row r="205" spans="1:26" x14ac:dyDescent="0.2">
      <c r="A205" s="303"/>
      <c r="B205" s="309" t="s">
        <v>297</v>
      </c>
      <c r="C205" s="397">
        <f>Calc1!C133</f>
        <v>0</v>
      </c>
      <c r="D205" s="395">
        <f>VLOOKUP($B$187:$B$323,Acraft!$A$3:$R$139,6,FALSE)+Calc1!$C$168*VLOOKUP($B$187:$B$323,Acraft!$A$3:$R$139,13,FALSE)/1000</f>
        <v>0.43582799999999999</v>
      </c>
      <c r="E205" s="398">
        <f t="shared" si="31"/>
        <v>0</v>
      </c>
      <c r="F205" s="312">
        <f>VLOOKUP($B$187:$B$323,Acraft!$A$3:$R$139,7,FALSE)+Calc1!$C$168*VLOOKUP($B$187:$B$323,Acraft!$A$3:$R$139,14,FALSE)/1000</f>
        <v>0.89990999999999999</v>
      </c>
      <c r="G205" s="312">
        <f t="shared" si="32"/>
        <v>0</v>
      </c>
      <c r="H205" s="312">
        <f>VLOOKUP($B$187:$B$323,Acraft!$A$3:$R$139,8,FALSE)+Calc1!$C$168*VLOOKUP($B$187:$B$323,Acraft!$A$3:$R$139,15,FALSE)/1000</f>
        <v>3.2516339999999997</v>
      </c>
      <c r="I205" s="312">
        <f t="shared" si="33"/>
        <v>0</v>
      </c>
      <c r="J205" s="312">
        <f>VLOOKUP($B$187:$B$323,Acraft!$A$3:$R$139,9,FALSE)+Calc1!$C$168*VLOOKUP($B$187:$B$323,Acraft!$A$3:$R$139,16,FALSE)/1000</f>
        <v>1.2853320000000001E-2</v>
      </c>
      <c r="K205" s="312">
        <f t="shared" si="34"/>
        <v>0</v>
      </c>
      <c r="L205" s="312">
        <f>VLOOKUP($B$187:$B$323,Acraft!$A$3:$R$139,10,FALSE)+Calc1!$C$168*VLOOKUP($B$187:$B$323,Acraft!$A$3:$R$139,17,FALSE)/1000</f>
        <v>4.7280000000000003E-2</v>
      </c>
      <c r="M205" s="312">
        <f t="shared" si="35"/>
        <v>0</v>
      </c>
      <c r="N205" s="312">
        <f>VLOOKUP($B$187:$B$323,Acraft!$A$3:$R$139,11,FALSE)+Calc1!$C$168*VLOOKUP($B$187:$B$323,Acraft!$A$3:$R$139,18,FALSE)/1000</f>
        <v>297.86399999999998</v>
      </c>
      <c r="O205" s="398">
        <f t="shared" si="36"/>
        <v>0</v>
      </c>
      <c r="P205" s="312">
        <f>VLOOKUP($B$187:$B$323,Acraft!$A$3:$R$139,5,FALSE)+Calc1!$C$168*VLOOKUP($B$187:$B$323,Acraft!$A$3:$R$139,12,FALSE)/1000</f>
        <v>94.56</v>
      </c>
      <c r="Q205" s="396">
        <f t="shared" si="37"/>
        <v>0</v>
      </c>
      <c r="R205" s="399">
        <f>VLOOKUP($B$187:$B$323,Acraft!$A$3:$Y$139,20,FALSE)*$Y205*Calc2!$C205/2/1000/1000</f>
        <v>0</v>
      </c>
      <c r="S205" s="400">
        <f>VLOOKUP($B$187:$B$323,Acraft!$A$3:$Y$139,21,FALSE)*$Y205*Calc2!$C205/2/1000/1000</f>
        <v>0</v>
      </c>
      <c r="T205" s="400">
        <f>VLOOKUP($B$187:$B$323,Acraft!$A$3:$Y$139,22,FALSE)*$Y205*Calc2!$C205/2/1000/1000</f>
        <v>0</v>
      </c>
      <c r="U205" s="400">
        <f>VLOOKUP($B$187:$B$323,Acraft!$A$3:$Y$139,23,FALSE)*$Y205*Calc2!$C205/2/1000/1000</f>
        <v>0</v>
      </c>
      <c r="V205" s="400">
        <f>VLOOKUP($B$187:$B$323,Acraft!$A$3:$Y$139,24,FALSE)*$Y205*Calc2!$C205/2/1000/1000</f>
        <v>0</v>
      </c>
      <c r="W205" s="398">
        <f>VLOOKUP($B$187:$B$323,Acraft!$A$3:$Y$139,25,FALSE)*$Y205*Calc2!$C205/2/1000/1000</f>
        <v>0</v>
      </c>
      <c r="X205" s="398">
        <f>VLOOKUP($B$187:$B$323,Acraft!$A$3:$Y$139,19,FALSE)*$Y205*Calc2!$C205/2</f>
        <v>0</v>
      </c>
      <c r="Y205" s="309">
        <f>IF(VLOOKUP($B$187:$B$323,Acraft!$A$3:$Y$139,19,FALSE)=4,Calc1!$C$173,IF(VLOOKUP($B$187:$B$323,Acraft!$A$3:$Y$139,19,FALSE)=1.77777777777778,Calc1!$C$172,0))</f>
        <v>0</v>
      </c>
      <c r="Z205" s="305"/>
    </row>
    <row r="206" spans="1:26" x14ac:dyDescent="0.2">
      <c r="A206" s="303"/>
      <c r="B206" s="309" t="s">
        <v>300</v>
      </c>
      <c r="C206" s="397">
        <f>Calc1!C134</f>
        <v>0</v>
      </c>
      <c r="D206" s="395">
        <f>VLOOKUP($B$187:$B$323,Acraft!$A$3:$R$139,6,FALSE)+Calc1!$C$168*VLOOKUP($B$187:$B$323,Acraft!$A$3:$R$139,13,FALSE)/1000</f>
        <v>0.4788348</v>
      </c>
      <c r="E206" s="398">
        <f t="shared" si="31"/>
        <v>0</v>
      </c>
      <c r="F206" s="312">
        <f>VLOOKUP($B$187:$B$323,Acraft!$A$3:$R$139,7,FALSE)+Calc1!$C$168*VLOOKUP($B$187:$B$323,Acraft!$A$3:$R$139,14,FALSE)/1000</f>
        <v>0.17251859999999997</v>
      </c>
      <c r="G206" s="312">
        <f t="shared" si="32"/>
        <v>0</v>
      </c>
      <c r="H206" s="312">
        <f>VLOOKUP($B$187:$B$323,Acraft!$A$3:$R$139,8,FALSE)+Calc1!$C$168*VLOOKUP($B$187:$B$323,Acraft!$A$3:$R$139,15,FALSE)/1000</f>
        <v>2.2842732000000003</v>
      </c>
      <c r="I206" s="312">
        <f t="shared" si="33"/>
        <v>0</v>
      </c>
      <c r="J206" s="312">
        <f>VLOOKUP($B$187:$B$323,Acraft!$A$3:$R$139,9,FALSE)+Calc1!$C$168*VLOOKUP($B$187:$B$323,Acraft!$A$3:$R$139,16,FALSE)/1000</f>
        <v>8.0406308204411421E-3</v>
      </c>
      <c r="K206" s="312">
        <f t="shared" si="34"/>
        <v>0</v>
      </c>
      <c r="L206" s="312">
        <f>VLOOKUP($B$187:$B$323,Acraft!$A$3:$R$139,10,FALSE)+Calc1!$C$168*VLOOKUP($B$187:$B$323,Acraft!$A$3:$R$139,17,FALSE)/1000</f>
        <v>4.6757999999999994E-2</v>
      </c>
      <c r="M206" s="312">
        <f t="shared" si="35"/>
        <v>0</v>
      </c>
      <c r="N206" s="312">
        <f>VLOOKUP($B$187:$B$323,Acraft!$A$3:$R$139,11,FALSE)+Calc1!$C$168*VLOOKUP($B$187:$B$323,Acraft!$A$3:$R$139,18,FALSE)/1000</f>
        <v>294.5754</v>
      </c>
      <c r="O206" s="398">
        <f t="shared" si="36"/>
        <v>0</v>
      </c>
      <c r="P206" s="312">
        <f>VLOOKUP($B$187:$B$323,Acraft!$A$3:$R$139,5,FALSE)+Calc1!$C$168*VLOOKUP($B$187:$B$323,Acraft!$A$3:$R$139,12,FALSE)/1000</f>
        <v>93.515999999999991</v>
      </c>
      <c r="Q206" s="396">
        <f t="shared" si="37"/>
        <v>0</v>
      </c>
      <c r="R206" s="399">
        <f>VLOOKUP($B$187:$B$323,Acraft!$A$3:$Y$139,20,FALSE)*$Y206*Calc2!$C206/2/1000/1000</f>
        <v>0</v>
      </c>
      <c r="S206" s="400">
        <f>VLOOKUP($B$187:$B$323,Acraft!$A$3:$Y$139,21,FALSE)*$Y206*Calc2!$C206/2/1000/1000</f>
        <v>0</v>
      </c>
      <c r="T206" s="400">
        <f>VLOOKUP($B$187:$B$323,Acraft!$A$3:$Y$139,22,FALSE)*$Y206*Calc2!$C206/2/1000/1000</f>
        <v>0</v>
      </c>
      <c r="U206" s="400">
        <f>VLOOKUP($B$187:$B$323,Acraft!$A$3:$Y$139,23,FALSE)*$Y206*Calc2!$C206/2/1000/1000</f>
        <v>0</v>
      </c>
      <c r="V206" s="400">
        <f>VLOOKUP($B$187:$B$323,Acraft!$A$3:$Y$139,24,FALSE)*$Y206*Calc2!$C206/2/1000/1000</f>
        <v>0</v>
      </c>
      <c r="W206" s="398">
        <f>VLOOKUP($B$187:$B$323,Acraft!$A$3:$Y$139,25,FALSE)*$Y206*Calc2!$C206/2/1000/1000</f>
        <v>0</v>
      </c>
      <c r="X206" s="398">
        <f>VLOOKUP($B$187:$B$323,Acraft!$A$3:$Y$139,19,FALSE)*$Y206*Calc2!$C206/2</f>
        <v>0</v>
      </c>
      <c r="Y206" s="309">
        <f>IF(VLOOKUP($B$187:$B$323,Acraft!$A$3:$Y$139,19,FALSE)=4,Calc1!$C$173,IF(VLOOKUP($B$187:$B$323,Acraft!$A$3:$Y$139,19,FALSE)=1.77777777777778,Calc1!$C$172,0))</f>
        <v>15</v>
      </c>
      <c r="Z206" s="305"/>
    </row>
    <row r="207" spans="1:26" x14ac:dyDescent="0.2">
      <c r="A207" s="303"/>
      <c r="B207" s="309" t="s">
        <v>303</v>
      </c>
      <c r="C207" s="397">
        <f>Calc1!C135</f>
        <v>0</v>
      </c>
      <c r="D207" s="395">
        <f>VLOOKUP($B$187:$B$323,Acraft!$A$3:$R$139,6,FALSE)+Calc1!$C$168*VLOOKUP($B$187:$B$323,Acraft!$A$3:$R$139,13,FALSE)/1000</f>
        <v>0.48558299999999999</v>
      </c>
      <c r="E207" s="398">
        <f t="shared" si="31"/>
        <v>0</v>
      </c>
      <c r="F207" s="312">
        <f>VLOOKUP($B$187:$B$323,Acraft!$A$3:$R$139,7,FALSE)+Calc1!$C$168*VLOOKUP($B$187:$B$323,Acraft!$A$3:$R$139,14,FALSE)/1000</f>
        <v>0.86896799999999985</v>
      </c>
      <c r="G207" s="312">
        <f t="shared" si="32"/>
        <v>0</v>
      </c>
      <c r="H207" s="312">
        <f>VLOOKUP($B$187:$B$323,Acraft!$A$3:$R$139,8,FALSE)+Calc1!$C$168*VLOOKUP($B$187:$B$323,Acraft!$A$3:$R$139,15,FALSE)/1000</f>
        <v>2.4273593999999998</v>
      </c>
      <c r="I207" s="312">
        <f t="shared" si="33"/>
        <v>0</v>
      </c>
      <c r="J207" s="312">
        <f>VLOOKUP($B$187:$B$323,Acraft!$A$3:$R$139,9,FALSE)+Calc1!$C$168*VLOOKUP($B$187:$B$323,Acraft!$A$3:$R$139,16,FALSE)/1000</f>
        <v>1.4455572E-2</v>
      </c>
      <c r="K207" s="312">
        <f t="shared" si="34"/>
        <v>0</v>
      </c>
      <c r="L207" s="312">
        <f>VLOOKUP($B$187:$B$323,Acraft!$A$3:$R$139,10,FALSE)+Calc1!$C$168*VLOOKUP($B$187:$B$323,Acraft!$A$3:$R$139,17,FALSE)/1000</f>
        <v>5.0837999999999994E-2</v>
      </c>
      <c r="M207" s="312">
        <f t="shared" si="35"/>
        <v>0</v>
      </c>
      <c r="N207" s="312">
        <f>VLOOKUP($B$187:$B$323,Acraft!$A$3:$R$139,11,FALSE)+Calc1!$C$168*VLOOKUP($B$187:$B$323,Acraft!$A$3:$R$139,18,FALSE)/1000</f>
        <v>320.2793999999999</v>
      </c>
      <c r="O207" s="398">
        <f t="shared" si="36"/>
        <v>0</v>
      </c>
      <c r="P207" s="312">
        <f>VLOOKUP($B$187:$B$323,Acraft!$A$3:$R$139,5,FALSE)+Calc1!$C$168*VLOOKUP($B$187:$B$323,Acraft!$A$3:$R$139,12,FALSE)/1000</f>
        <v>101.67599999999999</v>
      </c>
      <c r="Q207" s="396">
        <f t="shared" si="37"/>
        <v>0</v>
      </c>
      <c r="R207" s="399">
        <f>VLOOKUP($B$187:$B$323,Acraft!$A$3:$Y$139,20,FALSE)*$Y207*Calc2!$C207/2/1000/1000</f>
        <v>0</v>
      </c>
      <c r="S207" s="400">
        <f>VLOOKUP($B$187:$B$323,Acraft!$A$3:$Y$139,21,FALSE)*$Y207*Calc2!$C207/2/1000/1000</f>
        <v>0</v>
      </c>
      <c r="T207" s="400">
        <f>VLOOKUP($B$187:$B$323,Acraft!$A$3:$Y$139,22,FALSE)*$Y207*Calc2!$C207/2/1000/1000</f>
        <v>0</v>
      </c>
      <c r="U207" s="400">
        <f>VLOOKUP($B$187:$B$323,Acraft!$A$3:$Y$139,23,FALSE)*$Y207*Calc2!$C207/2/1000/1000</f>
        <v>0</v>
      </c>
      <c r="V207" s="400">
        <f>VLOOKUP($B$187:$B$323,Acraft!$A$3:$Y$139,24,FALSE)*$Y207*Calc2!$C207/2/1000/1000</f>
        <v>0</v>
      </c>
      <c r="W207" s="398">
        <f>VLOOKUP($B$187:$B$323,Acraft!$A$3:$Y$139,25,FALSE)*$Y207*Calc2!$C207/2/1000/1000</f>
        <v>0</v>
      </c>
      <c r="X207" s="398">
        <f>VLOOKUP($B$187:$B$323,Acraft!$A$3:$Y$139,19,FALSE)*$Y207*Calc2!$C207/2</f>
        <v>0</v>
      </c>
      <c r="Y207" s="309">
        <f>IF(VLOOKUP($B$187:$B$323,Acraft!$A$3:$Y$139,19,FALSE)=4,Calc1!$C$173,IF(VLOOKUP($B$187:$B$323,Acraft!$A$3:$Y$139,19,FALSE)=1.77777777777778,Calc1!$C$172,0))</f>
        <v>0</v>
      </c>
      <c r="Z207" s="305"/>
    </row>
    <row r="208" spans="1:26" x14ac:dyDescent="0.2">
      <c r="A208" s="303"/>
      <c r="B208" s="309" t="s">
        <v>306</v>
      </c>
      <c r="C208" s="397">
        <f>Calc1!C136</f>
        <v>0</v>
      </c>
      <c r="D208" s="395">
        <f>VLOOKUP($B$187:$B$323,Acraft!$A$3:$R$139,6,FALSE)+Calc1!$C$168*VLOOKUP($B$187:$B$323,Acraft!$A$3:$R$139,13,FALSE)/1000</f>
        <v>0.43582799999999999</v>
      </c>
      <c r="E208" s="398">
        <f t="shared" si="31"/>
        <v>0</v>
      </c>
      <c r="F208" s="312">
        <f>VLOOKUP($B$187:$B$323,Acraft!$A$3:$R$139,7,FALSE)+Calc1!$C$168*VLOOKUP($B$187:$B$323,Acraft!$A$3:$R$139,14,FALSE)/1000</f>
        <v>0.89990999999999999</v>
      </c>
      <c r="G208" s="312">
        <f t="shared" si="32"/>
        <v>0</v>
      </c>
      <c r="H208" s="312">
        <f>VLOOKUP($B$187:$B$323,Acraft!$A$3:$R$139,8,FALSE)+Calc1!$C$168*VLOOKUP($B$187:$B$323,Acraft!$A$3:$R$139,15,FALSE)/1000</f>
        <v>3.2516339999999997</v>
      </c>
      <c r="I208" s="312">
        <f t="shared" si="33"/>
        <v>0</v>
      </c>
      <c r="J208" s="312">
        <f>VLOOKUP($B$187:$B$323,Acraft!$A$3:$R$139,9,FALSE)+Calc1!$C$168*VLOOKUP($B$187:$B$323,Acraft!$A$3:$R$139,16,FALSE)/1000</f>
        <v>1.2853320000000001E-2</v>
      </c>
      <c r="K208" s="312">
        <f t="shared" si="34"/>
        <v>0</v>
      </c>
      <c r="L208" s="312">
        <f>VLOOKUP($B$187:$B$323,Acraft!$A$3:$R$139,10,FALSE)+Calc1!$C$168*VLOOKUP($B$187:$B$323,Acraft!$A$3:$R$139,17,FALSE)/1000</f>
        <v>4.7280000000000003E-2</v>
      </c>
      <c r="M208" s="312">
        <f t="shared" si="35"/>
        <v>0</v>
      </c>
      <c r="N208" s="312">
        <f>VLOOKUP($B$187:$B$323,Acraft!$A$3:$R$139,11,FALSE)+Calc1!$C$168*VLOOKUP($B$187:$B$323,Acraft!$A$3:$R$139,18,FALSE)/1000</f>
        <v>297.86399999999998</v>
      </c>
      <c r="O208" s="398">
        <f t="shared" si="36"/>
        <v>0</v>
      </c>
      <c r="P208" s="312">
        <f>VLOOKUP($B$187:$B$323,Acraft!$A$3:$R$139,5,FALSE)+Calc1!$C$168*VLOOKUP($B$187:$B$323,Acraft!$A$3:$R$139,12,FALSE)/1000</f>
        <v>94.56</v>
      </c>
      <c r="Q208" s="396">
        <f t="shared" si="37"/>
        <v>0</v>
      </c>
      <c r="R208" s="399">
        <f>VLOOKUP($B$187:$B$323,Acraft!$A$3:$Y$139,20,FALSE)*$Y208*Calc2!$C208/2/1000/1000</f>
        <v>0</v>
      </c>
      <c r="S208" s="400">
        <f>VLOOKUP($B$187:$B$323,Acraft!$A$3:$Y$139,21,FALSE)*$Y208*Calc2!$C208/2/1000/1000</f>
        <v>0</v>
      </c>
      <c r="T208" s="400">
        <f>VLOOKUP($B$187:$B$323,Acraft!$A$3:$Y$139,22,FALSE)*$Y208*Calc2!$C208/2/1000/1000</f>
        <v>0</v>
      </c>
      <c r="U208" s="400">
        <f>VLOOKUP($B$187:$B$323,Acraft!$A$3:$Y$139,23,FALSE)*$Y208*Calc2!$C208/2/1000/1000</f>
        <v>0</v>
      </c>
      <c r="V208" s="400">
        <f>VLOOKUP($B$187:$B$323,Acraft!$A$3:$Y$139,24,FALSE)*$Y208*Calc2!$C208/2/1000/1000</f>
        <v>0</v>
      </c>
      <c r="W208" s="398">
        <f>VLOOKUP($B$187:$B$323,Acraft!$A$3:$Y$139,25,FALSE)*$Y208*Calc2!$C208/2/1000/1000</f>
        <v>0</v>
      </c>
      <c r="X208" s="398">
        <f>VLOOKUP($B$187:$B$323,Acraft!$A$3:$Y$139,19,FALSE)*$Y208*Calc2!$C208/2</f>
        <v>0</v>
      </c>
      <c r="Y208" s="309">
        <f>IF(VLOOKUP($B$187:$B$323,Acraft!$A$3:$Y$139,19,FALSE)=4,Calc1!$C$173,IF(VLOOKUP($B$187:$B$323,Acraft!$A$3:$Y$139,19,FALSE)=1.77777777777778,Calc1!$C$172,0))</f>
        <v>0</v>
      </c>
      <c r="Z208" s="305"/>
    </row>
    <row r="209" spans="1:26" x14ac:dyDescent="0.2">
      <c r="A209" s="303"/>
      <c r="B209" s="309" t="s">
        <v>308</v>
      </c>
      <c r="C209" s="397">
        <f>Calc1!C137</f>
        <v>0</v>
      </c>
      <c r="D209" s="395">
        <f>VLOOKUP($B$187:$B$323,Acraft!$A$3:$R$139,6,FALSE)+Calc1!$C$168*VLOOKUP($B$187:$B$323,Acraft!$A$3:$R$139,13,FALSE)/1000</f>
        <v>0.43582799999999999</v>
      </c>
      <c r="E209" s="398">
        <f t="shared" si="31"/>
        <v>0</v>
      </c>
      <c r="F209" s="312">
        <f>VLOOKUP($B$187:$B$323,Acraft!$A$3:$R$139,7,FALSE)+Calc1!$C$168*VLOOKUP($B$187:$B$323,Acraft!$A$3:$R$139,14,FALSE)/1000</f>
        <v>0.89990999999999999</v>
      </c>
      <c r="G209" s="312">
        <f t="shared" si="32"/>
        <v>0</v>
      </c>
      <c r="H209" s="312">
        <f>VLOOKUP($B$187:$B$323,Acraft!$A$3:$R$139,8,FALSE)+Calc1!$C$168*VLOOKUP($B$187:$B$323,Acraft!$A$3:$R$139,15,FALSE)/1000</f>
        <v>3.2516339999999997</v>
      </c>
      <c r="I209" s="312">
        <f t="shared" si="33"/>
        <v>0</v>
      </c>
      <c r="J209" s="312">
        <f>VLOOKUP($B$187:$B$323,Acraft!$A$3:$R$139,9,FALSE)+Calc1!$C$168*VLOOKUP($B$187:$B$323,Acraft!$A$3:$R$139,16,FALSE)/1000</f>
        <v>1.2853320000000001E-2</v>
      </c>
      <c r="K209" s="312">
        <f t="shared" si="34"/>
        <v>0</v>
      </c>
      <c r="L209" s="312">
        <f>VLOOKUP($B$187:$B$323,Acraft!$A$3:$R$139,10,FALSE)+Calc1!$C$168*VLOOKUP($B$187:$B$323,Acraft!$A$3:$R$139,17,FALSE)/1000</f>
        <v>4.7280000000000003E-2</v>
      </c>
      <c r="M209" s="312">
        <f t="shared" si="35"/>
        <v>0</v>
      </c>
      <c r="N209" s="312">
        <f>VLOOKUP($B$187:$B$323,Acraft!$A$3:$R$139,11,FALSE)+Calc1!$C$168*VLOOKUP($B$187:$B$323,Acraft!$A$3:$R$139,18,FALSE)/1000</f>
        <v>297.86399999999998</v>
      </c>
      <c r="O209" s="398">
        <f t="shared" si="36"/>
        <v>0</v>
      </c>
      <c r="P209" s="312">
        <f>VLOOKUP($B$187:$B$323,Acraft!$A$3:$R$139,5,FALSE)+Calc1!$C$168*VLOOKUP($B$187:$B$323,Acraft!$A$3:$R$139,12,FALSE)/1000</f>
        <v>94.56</v>
      </c>
      <c r="Q209" s="396">
        <f t="shared" si="37"/>
        <v>0</v>
      </c>
      <c r="R209" s="399">
        <f>VLOOKUP($B$187:$B$323,Acraft!$A$3:$Y$139,20,FALSE)*$Y209*Calc2!$C209/2/1000/1000</f>
        <v>0</v>
      </c>
      <c r="S209" s="400">
        <f>VLOOKUP($B$187:$B$323,Acraft!$A$3:$Y$139,21,FALSE)*$Y209*Calc2!$C209/2/1000/1000</f>
        <v>0</v>
      </c>
      <c r="T209" s="400">
        <f>VLOOKUP($B$187:$B$323,Acraft!$A$3:$Y$139,22,FALSE)*$Y209*Calc2!$C209/2/1000/1000</f>
        <v>0</v>
      </c>
      <c r="U209" s="400">
        <f>VLOOKUP($B$187:$B$323,Acraft!$A$3:$Y$139,23,FALSE)*$Y209*Calc2!$C209/2/1000/1000</f>
        <v>0</v>
      </c>
      <c r="V209" s="400">
        <f>VLOOKUP($B$187:$B$323,Acraft!$A$3:$Y$139,24,FALSE)*$Y209*Calc2!$C209/2/1000/1000</f>
        <v>0</v>
      </c>
      <c r="W209" s="398">
        <f>VLOOKUP($B$187:$B$323,Acraft!$A$3:$Y$139,25,FALSE)*$Y209*Calc2!$C209/2/1000/1000</f>
        <v>0</v>
      </c>
      <c r="X209" s="398">
        <f>VLOOKUP($B$187:$B$323,Acraft!$A$3:$Y$139,19,FALSE)*$Y209*Calc2!$C209/2</f>
        <v>0</v>
      </c>
      <c r="Y209" s="309">
        <f>IF(VLOOKUP($B$187:$B$323,Acraft!$A$3:$Y$139,19,FALSE)=4,Calc1!$C$173,IF(VLOOKUP($B$187:$B$323,Acraft!$A$3:$Y$139,19,FALSE)=1.77777777777778,Calc1!$C$172,0))</f>
        <v>0</v>
      </c>
      <c r="Z209" s="305"/>
    </row>
    <row r="210" spans="1:26" x14ac:dyDescent="0.2">
      <c r="A210" s="303"/>
      <c r="B210" s="309" t="s">
        <v>311</v>
      </c>
      <c r="C210" s="397">
        <f>Calc1!C138</f>
        <v>0</v>
      </c>
      <c r="D210" s="395">
        <f>VLOOKUP($B$187:$B$323,Acraft!$A$3:$R$139,6,FALSE)+Calc1!$C$168*VLOOKUP($B$187:$B$323,Acraft!$A$3:$R$139,13,FALSE)/1000</f>
        <v>0.14275980000000002</v>
      </c>
      <c r="E210" s="398">
        <f t="shared" si="31"/>
        <v>0</v>
      </c>
      <c r="F210" s="312">
        <f>VLOOKUP($B$187:$B$323,Acraft!$A$3:$R$139,7,FALSE)+Calc1!$C$168*VLOOKUP($B$187:$B$323,Acraft!$A$3:$R$139,14,FALSE)/1000</f>
        <v>0.6153204000000001</v>
      </c>
      <c r="G210" s="312">
        <f t="shared" si="32"/>
        <v>0</v>
      </c>
      <c r="H210" s="312">
        <f>VLOOKUP($B$187:$B$323,Acraft!$A$3:$R$139,8,FALSE)+Calc1!$C$168*VLOOKUP($B$187:$B$323,Acraft!$A$3:$R$139,15,FALSE)/1000</f>
        <v>1.0930386000000001</v>
      </c>
      <c r="I210" s="312">
        <f t="shared" si="33"/>
        <v>0</v>
      </c>
      <c r="J210" s="312">
        <f>VLOOKUP($B$187:$B$323,Acraft!$A$3:$R$139,9,FALSE)+Calc1!$C$168*VLOOKUP($B$187:$B$323,Acraft!$A$3:$R$139,16,FALSE)/1000</f>
        <v>2.2722600000000003E-3</v>
      </c>
      <c r="K210" s="312">
        <f t="shared" si="34"/>
        <v>0</v>
      </c>
      <c r="L210" s="312">
        <f>VLOOKUP($B$187:$B$323,Acraft!$A$3:$R$139,10,FALSE)+Calc1!$C$168*VLOOKUP($B$187:$B$323,Acraft!$A$3:$R$139,17,FALSE)/1000</f>
        <v>1.7475000000000001E-2</v>
      </c>
      <c r="M210" s="312">
        <f t="shared" si="35"/>
        <v>0</v>
      </c>
      <c r="N210" s="312">
        <f>VLOOKUP($B$187:$B$323,Acraft!$A$3:$R$139,11,FALSE)+Calc1!$C$168*VLOOKUP($B$187:$B$323,Acraft!$A$3:$R$139,18,FALSE)/1000</f>
        <v>110.0925</v>
      </c>
      <c r="O210" s="398">
        <f t="shared" si="36"/>
        <v>0</v>
      </c>
      <c r="P210" s="312">
        <f>VLOOKUP($B$187:$B$323,Acraft!$A$3:$R$139,5,FALSE)+Calc1!$C$168*VLOOKUP($B$187:$B$323,Acraft!$A$3:$R$139,12,FALSE)/1000</f>
        <v>34.950000000000003</v>
      </c>
      <c r="Q210" s="396">
        <f t="shared" si="37"/>
        <v>0</v>
      </c>
      <c r="R210" s="399">
        <f>VLOOKUP($B$187:$B$323,Acraft!$A$3:$Y$139,20,FALSE)*$Y210*Calc2!$C210/2/1000/1000</f>
        <v>0</v>
      </c>
      <c r="S210" s="400">
        <f>VLOOKUP($B$187:$B$323,Acraft!$A$3:$Y$139,21,FALSE)*$Y210*Calc2!$C210/2/1000/1000</f>
        <v>0</v>
      </c>
      <c r="T210" s="400">
        <f>VLOOKUP($B$187:$B$323,Acraft!$A$3:$Y$139,22,FALSE)*$Y210*Calc2!$C210/2/1000/1000</f>
        <v>0</v>
      </c>
      <c r="U210" s="400">
        <f>VLOOKUP($B$187:$B$323,Acraft!$A$3:$Y$139,23,FALSE)*$Y210*Calc2!$C210/2/1000/1000</f>
        <v>0</v>
      </c>
      <c r="V210" s="400">
        <f>VLOOKUP($B$187:$B$323,Acraft!$A$3:$Y$139,24,FALSE)*$Y210*Calc2!$C210/2/1000/1000</f>
        <v>0</v>
      </c>
      <c r="W210" s="398">
        <f>VLOOKUP($B$187:$B$323,Acraft!$A$3:$Y$139,25,FALSE)*$Y210*Calc2!$C210/2/1000/1000</f>
        <v>0</v>
      </c>
      <c r="X210" s="398">
        <f>VLOOKUP($B$187:$B$323,Acraft!$A$3:$Y$139,19,FALSE)*$Y210*Calc2!$C210/2</f>
        <v>0</v>
      </c>
      <c r="Y210" s="309">
        <f>IF(VLOOKUP($B$187:$B$323,Acraft!$A$3:$Y$139,19,FALSE)=4,Calc1!$C$173,IF(VLOOKUP($B$187:$B$323,Acraft!$A$3:$Y$139,19,FALSE)=1.77777777777778,Calc1!$C$172,0))</f>
        <v>0</v>
      </c>
      <c r="Z210" s="305"/>
    </row>
    <row r="211" spans="1:26" x14ac:dyDescent="0.2">
      <c r="A211" s="303"/>
      <c r="B211" s="309" t="s">
        <v>314</v>
      </c>
      <c r="C211" s="397">
        <f>Calc1!C139</f>
        <v>0</v>
      </c>
      <c r="D211" s="395">
        <f>VLOOKUP($B$187:$B$323,Acraft!$A$3:$R$139,6,FALSE)+Calc1!$C$168*VLOOKUP($B$187:$B$323,Acraft!$A$3:$R$139,13,FALSE)/1000</f>
        <v>0.28551960000000004</v>
      </c>
      <c r="E211" s="398">
        <f t="shared" si="31"/>
        <v>0</v>
      </c>
      <c r="F211" s="312">
        <f>VLOOKUP($B$187:$B$323,Acraft!$A$3:$R$139,7,FALSE)+Calc1!$C$168*VLOOKUP($B$187:$B$323,Acraft!$A$3:$R$139,14,FALSE)/1000</f>
        <v>1.2306408000000002</v>
      </c>
      <c r="G211" s="312">
        <f t="shared" si="32"/>
        <v>0</v>
      </c>
      <c r="H211" s="312">
        <f>VLOOKUP($B$187:$B$323,Acraft!$A$3:$R$139,8,FALSE)+Calc1!$C$168*VLOOKUP($B$187:$B$323,Acraft!$A$3:$R$139,15,FALSE)/1000</f>
        <v>2.1860772000000002</v>
      </c>
      <c r="I211" s="312">
        <f t="shared" si="33"/>
        <v>0</v>
      </c>
      <c r="J211" s="312">
        <f>VLOOKUP($B$187:$B$323,Acraft!$A$3:$R$139,9,FALSE)+Calc1!$C$168*VLOOKUP($B$187:$B$323,Acraft!$A$3:$R$139,16,FALSE)/1000</f>
        <v>4.5445200000000007E-3</v>
      </c>
      <c r="K211" s="312">
        <f t="shared" si="34"/>
        <v>0</v>
      </c>
      <c r="L211" s="312">
        <f>VLOOKUP($B$187:$B$323,Acraft!$A$3:$R$139,10,FALSE)+Calc1!$C$168*VLOOKUP($B$187:$B$323,Acraft!$A$3:$R$139,17,FALSE)/1000</f>
        <v>3.4950000000000002E-2</v>
      </c>
      <c r="M211" s="312">
        <f t="shared" si="35"/>
        <v>0</v>
      </c>
      <c r="N211" s="312">
        <f>VLOOKUP($B$187:$B$323,Acraft!$A$3:$R$139,11,FALSE)+Calc1!$C$168*VLOOKUP($B$187:$B$323,Acraft!$A$3:$R$139,18,FALSE)/1000</f>
        <v>220.185</v>
      </c>
      <c r="O211" s="398">
        <f t="shared" si="36"/>
        <v>0</v>
      </c>
      <c r="P211" s="312">
        <f>VLOOKUP($B$187:$B$323,Acraft!$A$3:$R$139,5,FALSE)+Calc1!$C$168*VLOOKUP($B$187:$B$323,Acraft!$A$3:$R$139,12,FALSE)/1000</f>
        <v>69.900000000000006</v>
      </c>
      <c r="Q211" s="396">
        <f t="shared" si="37"/>
        <v>0</v>
      </c>
      <c r="R211" s="399">
        <f>VLOOKUP($B$187:$B$323,Acraft!$A$3:$Y$139,20,FALSE)*$Y211*Calc2!$C211/2/1000/1000</f>
        <v>0</v>
      </c>
      <c r="S211" s="400">
        <f>VLOOKUP($B$187:$B$323,Acraft!$A$3:$Y$139,21,FALSE)*$Y211*Calc2!$C211/2/1000/1000</f>
        <v>0</v>
      </c>
      <c r="T211" s="400">
        <f>VLOOKUP($B$187:$B$323,Acraft!$A$3:$Y$139,22,FALSE)*$Y211*Calc2!$C211/2/1000/1000</f>
        <v>0</v>
      </c>
      <c r="U211" s="400">
        <f>VLOOKUP($B$187:$B$323,Acraft!$A$3:$Y$139,23,FALSE)*$Y211*Calc2!$C211/2/1000/1000</f>
        <v>0</v>
      </c>
      <c r="V211" s="400">
        <f>VLOOKUP($B$187:$B$323,Acraft!$A$3:$Y$139,24,FALSE)*$Y211*Calc2!$C211/2/1000/1000</f>
        <v>0</v>
      </c>
      <c r="W211" s="398">
        <f>VLOOKUP($B$187:$B$323,Acraft!$A$3:$Y$139,25,FALSE)*$Y211*Calc2!$C211/2/1000/1000</f>
        <v>0</v>
      </c>
      <c r="X211" s="398">
        <f>VLOOKUP($B$187:$B$323,Acraft!$A$3:$Y$139,19,FALSE)*$Y211*Calc2!$C211/2</f>
        <v>0</v>
      </c>
      <c r="Y211" s="309">
        <f>IF(VLOOKUP($B$187:$B$323,Acraft!$A$3:$Y$139,19,FALSE)=4,Calc1!$C$173,IF(VLOOKUP($B$187:$B$323,Acraft!$A$3:$Y$139,19,FALSE)=1.77777777777778,Calc1!$C$172,0))</f>
        <v>0</v>
      </c>
      <c r="Z211" s="305"/>
    </row>
    <row r="212" spans="1:26" x14ac:dyDescent="0.2">
      <c r="A212" s="303"/>
      <c r="B212" s="309" t="s">
        <v>316</v>
      </c>
      <c r="C212" s="397">
        <f>Calc1!C140</f>
        <v>0</v>
      </c>
      <c r="D212" s="395">
        <f>VLOOKUP($B$187:$B$323,Acraft!$A$3:$R$139,6,FALSE)+Calc1!$C$168*VLOOKUP($B$187:$B$323,Acraft!$A$3:$R$139,13,FALSE)/1000</f>
        <v>0.14275980000000002</v>
      </c>
      <c r="E212" s="398">
        <f t="shared" si="31"/>
        <v>0</v>
      </c>
      <c r="F212" s="312">
        <f>VLOOKUP($B$187:$B$323,Acraft!$A$3:$R$139,7,FALSE)+Calc1!$C$168*VLOOKUP($B$187:$B$323,Acraft!$A$3:$R$139,14,FALSE)/1000</f>
        <v>0.6153204000000001</v>
      </c>
      <c r="G212" s="312">
        <f t="shared" si="32"/>
        <v>0</v>
      </c>
      <c r="H212" s="312">
        <f>VLOOKUP($B$187:$B$323,Acraft!$A$3:$R$139,8,FALSE)+Calc1!$C$168*VLOOKUP($B$187:$B$323,Acraft!$A$3:$R$139,15,FALSE)/1000</f>
        <v>1.0930386000000001</v>
      </c>
      <c r="I212" s="312">
        <f t="shared" si="33"/>
        <v>0</v>
      </c>
      <c r="J212" s="312">
        <f>VLOOKUP($B$187:$B$323,Acraft!$A$3:$R$139,9,FALSE)+Calc1!$C$168*VLOOKUP($B$187:$B$323,Acraft!$A$3:$R$139,16,FALSE)/1000</f>
        <v>2.2722600000000003E-3</v>
      </c>
      <c r="K212" s="312">
        <f t="shared" si="34"/>
        <v>0</v>
      </c>
      <c r="L212" s="312">
        <f>VLOOKUP($B$187:$B$323,Acraft!$A$3:$R$139,10,FALSE)+Calc1!$C$168*VLOOKUP($B$187:$B$323,Acraft!$A$3:$R$139,17,FALSE)/1000</f>
        <v>1.7475000000000001E-2</v>
      </c>
      <c r="M212" s="312">
        <f t="shared" si="35"/>
        <v>0</v>
      </c>
      <c r="N212" s="312">
        <f>VLOOKUP($B$187:$B$323,Acraft!$A$3:$R$139,11,FALSE)+Calc1!$C$168*VLOOKUP($B$187:$B$323,Acraft!$A$3:$R$139,18,FALSE)/1000</f>
        <v>110.0925</v>
      </c>
      <c r="O212" s="398">
        <f t="shared" si="36"/>
        <v>0</v>
      </c>
      <c r="P212" s="312">
        <f>VLOOKUP($B$187:$B$323,Acraft!$A$3:$R$139,5,FALSE)+Calc1!$C$168*VLOOKUP($B$187:$B$323,Acraft!$A$3:$R$139,12,FALSE)/1000</f>
        <v>34.950000000000003</v>
      </c>
      <c r="Q212" s="396">
        <f t="shared" si="37"/>
        <v>0</v>
      </c>
      <c r="R212" s="399">
        <f>VLOOKUP($B$187:$B$323,Acraft!$A$3:$Y$139,20,FALSE)*$Y212*Calc2!$C212/2/1000/1000</f>
        <v>0</v>
      </c>
      <c r="S212" s="400">
        <f>VLOOKUP($B$187:$B$323,Acraft!$A$3:$Y$139,21,FALSE)*$Y212*Calc2!$C212/2/1000/1000</f>
        <v>0</v>
      </c>
      <c r="T212" s="400">
        <f>VLOOKUP($B$187:$B$323,Acraft!$A$3:$Y$139,22,FALSE)*$Y212*Calc2!$C212/2/1000/1000</f>
        <v>0</v>
      </c>
      <c r="U212" s="400">
        <f>VLOOKUP($B$187:$B$323,Acraft!$A$3:$Y$139,23,FALSE)*$Y212*Calc2!$C212/2/1000/1000</f>
        <v>0</v>
      </c>
      <c r="V212" s="400">
        <f>VLOOKUP($B$187:$B$323,Acraft!$A$3:$Y$139,24,FALSE)*$Y212*Calc2!$C212/2/1000/1000</f>
        <v>0</v>
      </c>
      <c r="W212" s="398">
        <f>VLOOKUP($B$187:$B$323,Acraft!$A$3:$Y$139,25,FALSE)*$Y212*Calc2!$C212/2/1000/1000</f>
        <v>0</v>
      </c>
      <c r="X212" s="398">
        <f>VLOOKUP($B$187:$B$323,Acraft!$A$3:$Y$139,19,FALSE)*$Y212*Calc2!$C212/2</f>
        <v>0</v>
      </c>
      <c r="Y212" s="309">
        <f>IF(VLOOKUP($B$187:$B$323,Acraft!$A$3:$Y$139,19,FALSE)=4,Calc1!$C$173,IF(VLOOKUP($B$187:$B$323,Acraft!$A$3:$Y$139,19,FALSE)=1.77777777777778,Calc1!$C$172,0))</f>
        <v>0</v>
      </c>
      <c r="Z212" s="305"/>
    </row>
    <row r="213" spans="1:26" x14ac:dyDescent="0.2">
      <c r="A213" s="303"/>
      <c r="B213" s="309" t="s">
        <v>318</v>
      </c>
      <c r="C213" s="397">
        <f>Calc1!C141</f>
        <v>0</v>
      </c>
      <c r="D213" s="395">
        <f>VLOOKUP($B$187:$B$323,Acraft!$A$3:$R$139,6,FALSE)+Calc1!$C$168*VLOOKUP($B$187:$B$323,Acraft!$A$3:$R$139,13,FALSE)/1000</f>
        <v>0.28551960000000004</v>
      </c>
      <c r="E213" s="398">
        <f t="shared" si="31"/>
        <v>0</v>
      </c>
      <c r="F213" s="312">
        <f>VLOOKUP($B$187:$B$323,Acraft!$A$3:$R$139,7,FALSE)+Calc1!$C$168*VLOOKUP($B$187:$B$323,Acraft!$A$3:$R$139,14,FALSE)/1000</f>
        <v>1.2306408000000002</v>
      </c>
      <c r="G213" s="312">
        <f t="shared" si="32"/>
        <v>0</v>
      </c>
      <c r="H213" s="312">
        <f>VLOOKUP($B$187:$B$323,Acraft!$A$3:$R$139,8,FALSE)+Calc1!$C$168*VLOOKUP($B$187:$B$323,Acraft!$A$3:$R$139,15,FALSE)/1000</f>
        <v>2.1860772000000002</v>
      </c>
      <c r="I213" s="312">
        <f t="shared" si="33"/>
        <v>0</v>
      </c>
      <c r="J213" s="312">
        <f>VLOOKUP($B$187:$B$323,Acraft!$A$3:$R$139,9,FALSE)+Calc1!$C$168*VLOOKUP($B$187:$B$323,Acraft!$A$3:$R$139,16,FALSE)/1000</f>
        <v>4.5445200000000007E-3</v>
      </c>
      <c r="K213" s="312">
        <f t="shared" si="34"/>
        <v>0</v>
      </c>
      <c r="L213" s="312">
        <f>VLOOKUP($B$187:$B$323,Acraft!$A$3:$R$139,10,FALSE)+Calc1!$C$168*VLOOKUP($B$187:$B$323,Acraft!$A$3:$R$139,17,FALSE)/1000</f>
        <v>3.4950000000000002E-2</v>
      </c>
      <c r="M213" s="312">
        <f t="shared" si="35"/>
        <v>0</v>
      </c>
      <c r="N213" s="312">
        <f>VLOOKUP($B$187:$B$323,Acraft!$A$3:$R$139,11,FALSE)+Calc1!$C$168*VLOOKUP($B$187:$B$323,Acraft!$A$3:$R$139,18,FALSE)/1000</f>
        <v>220.185</v>
      </c>
      <c r="O213" s="398">
        <f t="shared" si="36"/>
        <v>0</v>
      </c>
      <c r="P213" s="312">
        <f>VLOOKUP($B$187:$B$323,Acraft!$A$3:$R$139,5,FALSE)+Calc1!$C$168*VLOOKUP($B$187:$B$323,Acraft!$A$3:$R$139,12,FALSE)/1000</f>
        <v>69.900000000000006</v>
      </c>
      <c r="Q213" s="396">
        <f t="shared" si="37"/>
        <v>0</v>
      </c>
      <c r="R213" s="399">
        <f>VLOOKUP($B$187:$B$323,Acraft!$A$3:$Y$139,20,FALSE)*$Y213*Calc2!$C213/2/1000/1000</f>
        <v>0</v>
      </c>
      <c r="S213" s="400">
        <f>VLOOKUP($B$187:$B$323,Acraft!$A$3:$Y$139,21,FALSE)*$Y213*Calc2!$C213/2/1000/1000</f>
        <v>0</v>
      </c>
      <c r="T213" s="400">
        <f>VLOOKUP($B$187:$B$323,Acraft!$A$3:$Y$139,22,FALSE)*$Y213*Calc2!$C213/2/1000/1000</f>
        <v>0</v>
      </c>
      <c r="U213" s="400">
        <f>VLOOKUP($B$187:$B$323,Acraft!$A$3:$Y$139,23,FALSE)*$Y213*Calc2!$C213/2/1000/1000</f>
        <v>0</v>
      </c>
      <c r="V213" s="400">
        <f>VLOOKUP($B$187:$B$323,Acraft!$A$3:$Y$139,24,FALSE)*$Y213*Calc2!$C213/2/1000/1000</f>
        <v>0</v>
      </c>
      <c r="W213" s="398">
        <f>VLOOKUP($B$187:$B$323,Acraft!$A$3:$Y$139,25,FALSE)*$Y213*Calc2!$C213/2/1000/1000</f>
        <v>0</v>
      </c>
      <c r="X213" s="398">
        <f>VLOOKUP($B$187:$B$323,Acraft!$A$3:$Y$139,19,FALSE)*$Y213*Calc2!$C213/2</f>
        <v>0</v>
      </c>
      <c r="Y213" s="309">
        <f>IF(VLOOKUP($B$187:$B$323,Acraft!$A$3:$Y$139,19,FALSE)=4,Calc1!$C$173,IF(VLOOKUP($B$187:$B$323,Acraft!$A$3:$Y$139,19,FALSE)=1.77777777777778,Calc1!$C$172,0))</f>
        <v>0</v>
      </c>
      <c r="Z213" s="305"/>
    </row>
    <row r="214" spans="1:26" x14ac:dyDescent="0.2">
      <c r="A214" s="303"/>
      <c r="B214" s="309" t="s">
        <v>320</v>
      </c>
      <c r="C214" s="397">
        <f>Calc1!C142</f>
        <v>0</v>
      </c>
      <c r="D214" s="395">
        <f>VLOOKUP($B$187:$B$323,Acraft!$A$3:$R$139,6,FALSE)+Calc1!$C$168*VLOOKUP($B$187:$B$323,Acraft!$A$3:$R$139,13,FALSE)/1000</f>
        <v>0.84681479999999998</v>
      </c>
      <c r="E214" s="398">
        <f t="shared" si="31"/>
        <v>0</v>
      </c>
      <c r="F214" s="312">
        <f>VLOOKUP($B$187:$B$323,Acraft!$A$3:$R$139,7,FALSE)+Calc1!$C$168*VLOOKUP($B$187:$B$323,Acraft!$A$3:$R$139,14,FALSE)/1000</f>
        <v>1.0201151999999998</v>
      </c>
      <c r="G214" s="312">
        <f t="shared" si="32"/>
        <v>0</v>
      </c>
      <c r="H214" s="312">
        <f>VLOOKUP($B$187:$B$323,Acraft!$A$3:$R$139,8,FALSE)+Calc1!$C$168*VLOOKUP($B$187:$B$323,Acraft!$A$3:$R$139,15,FALSE)/1000</f>
        <v>1.3058837999999999</v>
      </c>
      <c r="I214" s="312">
        <f t="shared" si="33"/>
        <v>0</v>
      </c>
      <c r="J214" s="312">
        <f>VLOOKUP($B$187:$B$323,Acraft!$A$3:$R$139,9,FALSE)+Calc1!$C$168*VLOOKUP($B$187:$B$323,Acraft!$A$3:$R$139,16,FALSE)/1000</f>
        <v>7.3825200000000001E-3</v>
      </c>
      <c r="K214" s="312">
        <f t="shared" si="34"/>
        <v>0</v>
      </c>
      <c r="L214" s="312">
        <f>VLOOKUP($B$187:$B$323,Acraft!$A$3:$R$139,10,FALSE)+Calc1!$C$168*VLOOKUP($B$187:$B$323,Acraft!$A$3:$R$139,17,FALSE)/1000</f>
        <v>5.7329999999999999E-2</v>
      </c>
      <c r="M214" s="312">
        <f t="shared" si="35"/>
        <v>0</v>
      </c>
      <c r="N214" s="312">
        <f>VLOOKUP($B$187:$B$323,Acraft!$A$3:$R$139,11,FALSE)+Calc1!$C$168*VLOOKUP($B$187:$B$323,Acraft!$A$3:$R$139,18,FALSE)/1000</f>
        <v>361.17899999999997</v>
      </c>
      <c r="O214" s="398">
        <f t="shared" si="36"/>
        <v>0</v>
      </c>
      <c r="P214" s="312">
        <f>VLOOKUP($B$187:$B$323,Acraft!$A$3:$R$139,5,FALSE)+Calc1!$C$168*VLOOKUP($B$187:$B$323,Acraft!$A$3:$R$139,12,FALSE)/1000</f>
        <v>114.66</v>
      </c>
      <c r="Q214" s="396">
        <f t="shared" si="37"/>
        <v>0</v>
      </c>
      <c r="R214" s="399">
        <f>VLOOKUP($B$187:$B$323,Acraft!$A$3:$Y$139,20,FALSE)*$Y214*Calc2!$C214/2/1000/1000</f>
        <v>0</v>
      </c>
      <c r="S214" s="400">
        <f>VLOOKUP($B$187:$B$323,Acraft!$A$3:$Y$139,21,FALSE)*$Y214*Calc2!$C214/2/1000/1000</f>
        <v>0</v>
      </c>
      <c r="T214" s="400">
        <f>VLOOKUP($B$187:$B$323,Acraft!$A$3:$Y$139,22,FALSE)*$Y214*Calc2!$C214/2/1000/1000</f>
        <v>0</v>
      </c>
      <c r="U214" s="400">
        <f>VLOOKUP($B$187:$B$323,Acraft!$A$3:$Y$139,23,FALSE)*$Y214*Calc2!$C214/2/1000/1000</f>
        <v>0</v>
      </c>
      <c r="V214" s="400">
        <f>VLOOKUP($B$187:$B$323,Acraft!$A$3:$Y$139,24,FALSE)*$Y214*Calc2!$C214/2/1000/1000</f>
        <v>0</v>
      </c>
      <c r="W214" s="398">
        <f>VLOOKUP($B$187:$B$323,Acraft!$A$3:$Y$139,25,FALSE)*$Y214*Calc2!$C214/2/1000/1000</f>
        <v>0</v>
      </c>
      <c r="X214" s="398">
        <f>VLOOKUP($B$187:$B$323,Acraft!$A$3:$Y$139,19,FALSE)*$Y214*Calc2!$C214/2</f>
        <v>0</v>
      </c>
      <c r="Y214" s="309">
        <f>IF(VLOOKUP($B$187:$B$323,Acraft!$A$3:$Y$139,19,FALSE)=4,Calc1!$C$173,IF(VLOOKUP($B$187:$B$323,Acraft!$A$3:$Y$139,19,FALSE)=1.77777777777778,Calc1!$C$172,0))</f>
        <v>0</v>
      </c>
      <c r="Z214" s="305"/>
    </row>
    <row r="215" spans="1:26" x14ac:dyDescent="0.2">
      <c r="A215" s="303"/>
      <c r="B215" s="309" t="s">
        <v>322</v>
      </c>
      <c r="C215" s="397">
        <f>Calc1!C143</f>
        <v>0</v>
      </c>
      <c r="D215" s="395">
        <f>VLOOKUP($B$187:$B$323,Acraft!$A$3:$R$139,6,FALSE)+Calc1!$C$168*VLOOKUP($B$187:$B$323,Acraft!$A$3:$R$139,13,FALSE)/1000</f>
        <v>8.0667820799999994</v>
      </c>
      <c r="E215" s="398">
        <f t="shared" si="31"/>
        <v>0</v>
      </c>
      <c r="F215" s="312">
        <f>VLOOKUP($B$187:$B$323,Acraft!$A$3:$R$139,7,FALSE)+Calc1!$C$168*VLOOKUP($B$187:$B$323,Acraft!$A$3:$R$139,14,FALSE)/1000</f>
        <v>7.0137600000000008E-2</v>
      </c>
      <c r="G215" s="312">
        <f t="shared" si="32"/>
        <v>0</v>
      </c>
      <c r="H215" s="312">
        <f>VLOOKUP($B$187:$B$323,Acraft!$A$3:$R$139,8,FALSE)+Calc1!$C$168*VLOOKUP($B$187:$B$323,Acraft!$A$3:$R$139,15,FALSE)/1000</f>
        <v>5.6941915199999995</v>
      </c>
      <c r="I215" s="312">
        <f t="shared" si="33"/>
        <v>0</v>
      </c>
      <c r="J215" s="312">
        <f>VLOOKUP($B$187:$B$323,Acraft!$A$3:$R$139,9,FALSE)+Calc1!$C$168*VLOOKUP($B$187:$B$323,Acraft!$A$3:$R$139,16,FALSE)/1000</f>
        <v>2.7574513986361328E-2</v>
      </c>
      <c r="K215" s="312">
        <f t="shared" si="34"/>
        <v>0</v>
      </c>
      <c r="L215" s="312">
        <f>VLOOKUP($B$187:$B$323,Acraft!$A$3:$R$139,10,FALSE)+Calc1!$C$168*VLOOKUP($B$187:$B$323,Acraft!$A$3:$R$139,17,FALSE)/1000</f>
        <v>0.34051199999999998</v>
      </c>
      <c r="M215" s="312">
        <f t="shared" si="35"/>
        <v>0</v>
      </c>
      <c r="N215" s="312">
        <f>VLOOKUP($B$187:$B$323,Acraft!$A$3:$R$139,11,FALSE)+Calc1!$C$168*VLOOKUP($B$187:$B$323,Acraft!$A$3:$R$139,18,FALSE)/1000</f>
        <v>2145.2255999999998</v>
      </c>
      <c r="O215" s="398">
        <f t="shared" si="36"/>
        <v>0</v>
      </c>
      <c r="P215" s="312">
        <f>VLOOKUP($B$187:$B$323,Acraft!$A$3:$R$139,5,FALSE)+Calc1!$C$168*VLOOKUP($B$187:$B$323,Acraft!$A$3:$R$139,12,FALSE)/1000</f>
        <v>681.02399999999989</v>
      </c>
      <c r="Q215" s="396">
        <f t="shared" si="37"/>
        <v>0</v>
      </c>
      <c r="R215" s="399">
        <f>VLOOKUP($B$187:$B$323,Acraft!$A$3:$Y$139,20,FALSE)*$Y215*Calc2!$C215/2/1000/1000</f>
        <v>0</v>
      </c>
      <c r="S215" s="400">
        <f>VLOOKUP($B$187:$B$323,Acraft!$A$3:$Y$139,21,FALSE)*$Y215*Calc2!$C215/2/1000/1000</f>
        <v>0</v>
      </c>
      <c r="T215" s="400">
        <f>VLOOKUP($B$187:$B$323,Acraft!$A$3:$Y$139,22,FALSE)*$Y215*Calc2!$C215/2/1000/1000</f>
        <v>0</v>
      </c>
      <c r="U215" s="400">
        <f>VLOOKUP($B$187:$B$323,Acraft!$A$3:$Y$139,23,FALSE)*$Y215*Calc2!$C215/2/1000/1000</f>
        <v>0</v>
      </c>
      <c r="V215" s="400">
        <f>VLOOKUP($B$187:$B$323,Acraft!$A$3:$Y$139,24,FALSE)*$Y215*Calc2!$C215/2/1000/1000</f>
        <v>0</v>
      </c>
      <c r="W215" s="398">
        <f>VLOOKUP($B$187:$B$323,Acraft!$A$3:$Y$139,25,FALSE)*$Y215*Calc2!$C215/2/1000/1000</f>
        <v>0</v>
      </c>
      <c r="X215" s="398">
        <f>VLOOKUP($B$187:$B$323,Acraft!$A$3:$Y$139,19,FALSE)*$Y215*Calc2!$C215/2</f>
        <v>0</v>
      </c>
      <c r="Y215" s="309">
        <f>IF(VLOOKUP($B$187:$B$323,Acraft!$A$3:$Y$139,19,FALSE)=4,Calc1!$C$173,IF(VLOOKUP($B$187:$B$323,Acraft!$A$3:$Y$139,19,FALSE)=1.77777777777778,Calc1!$C$172,0))</f>
        <v>15</v>
      </c>
      <c r="Z215" s="305"/>
    </row>
    <row r="216" spans="1:26" x14ac:dyDescent="0.2">
      <c r="A216" s="303"/>
      <c r="B216" s="309" t="s">
        <v>325</v>
      </c>
      <c r="C216" s="397">
        <f>Calc1!C144</f>
        <v>0</v>
      </c>
      <c r="D216" s="395">
        <f>VLOOKUP($B$187:$B$323,Acraft!$A$3:$R$139,6,FALSE)+Calc1!$C$168*VLOOKUP($B$187:$B$323,Acraft!$A$3:$R$139,13,FALSE)/1000</f>
        <v>7.2432407999999997</v>
      </c>
      <c r="E216" s="398">
        <f t="shared" si="31"/>
        <v>0</v>
      </c>
      <c r="F216" s="312">
        <f>VLOOKUP($B$187:$B$323,Acraft!$A$3:$R$139,7,FALSE)+Calc1!$C$168*VLOOKUP($B$187:$B$323,Acraft!$A$3:$R$139,14,FALSE)/1000</f>
        <v>0.86690975999999997</v>
      </c>
      <c r="G216" s="312">
        <f t="shared" si="32"/>
        <v>0</v>
      </c>
      <c r="H216" s="312">
        <f>VLOOKUP($B$187:$B$323,Acraft!$A$3:$R$139,8,FALSE)+Calc1!$C$168*VLOOKUP($B$187:$B$323,Acraft!$A$3:$R$139,15,FALSE)/1000</f>
        <v>13.505095200000001</v>
      </c>
      <c r="I216" s="312">
        <f t="shared" si="33"/>
        <v>0</v>
      </c>
      <c r="J216" s="312">
        <f>VLOOKUP($B$187:$B$323,Acraft!$A$3:$R$139,9,FALSE)+Calc1!$C$168*VLOOKUP($B$187:$B$323,Acraft!$A$3:$R$139,16,FALSE)/1000</f>
        <v>4.136742726499569E-2</v>
      </c>
      <c r="K216" s="312">
        <f t="shared" si="34"/>
        <v>0</v>
      </c>
      <c r="L216" s="312">
        <f>VLOOKUP($B$187:$B$323,Acraft!$A$3:$R$139,10,FALSE)+Calc1!$C$168*VLOOKUP($B$187:$B$323,Acraft!$A$3:$R$139,17,FALSE)/1000</f>
        <v>0.39855600000000002</v>
      </c>
      <c r="M216" s="312">
        <f t="shared" si="35"/>
        <v>0</v>
      </c>
      <c r="N216" s="312">
        <f>VLOOKUP($B$187:$B$323,Acraft!$A$3:$R$139,11,FALSE)+Calc1!$C$168*VLOOKUP($B$187:$B$323,Acraft!$A$3:$R$139,18,FALSE)/1000</f>
        <v>2510.9027999999998</v>
      </c>
      <c r="O216" s="398">
        <f t="shared" si="36"/>
        <v>0</v>
      </c>
      <c r="P216" s="312">
        <f>VLOOKUP($B$187:$B$323,Acraft!$A$3:$R$139,5,FALSE)+Calc1!$C$168*VLOOKUP($B$187:$B$323,Acraft!$A$3:$R$139,12,FALSE)/1000</f>
        <v>797.11200000000008</v>
      </c>
      <c r="Q216" s="396">
        <f t="shared" si="37"/>
        <v>0</v>
      </c>
      <c r="R216" s="399">
        <f>VLOOKUP($B$187:$B$323,Acraft!$A$3:$Y$139,20,FALSE)*$Y216*Calc2!$C216/2/1000/1000</f>
        <v>0</v>
      </c>
      <c r="S216" s="400">
        <f>VLOOKUP($B$187:$B$323,Acraft!$A$3:$Y$139,21,FALSE)*$Y216*Calc2!$C216/2/1000/1000</f>
        <v>0</v>
      </c>
      <c r="T216" s="400">
        <f>VLOOKUP($B$187:$B$323,Acraft!$A$3:$Y$139,22,FALSE)*$Y216*Calc2!$C216/2/1000/1000</f>
        <v>0</v>
      </c>
      <c r="U216" s="400">
        <f>VLOOKUP($B$187:$B$323,Acraft!$A$3:$Y$139,23,FALSE)*$Y216*Calc2!$C216/2/1000/1000</f>
        <v>0</v>
      </c>
      <c r="V216" s="400">
        <f>VLOOKUP($B$187:$B$323,Acraft!$A$3:$Y$139,24,FALSE)*$Y216*Calc2!$C216/2/1000/1000</f>
        <v>0</v>
      </c>
      <c r="W216" s="398">
        <f>VLOOKUP($B$187:$B$323,Acraft!$A$3:$Y$139,25,FALSE)*$Y216*Calc2!$C216/2/1000/1000</f>
        <v>0</v>
      </c>
      <c r="X216" s="398">
        <f>VLOOKUP($B$187:$B$323,Acraft!$A$3:$Y$139,19,FALSE)*$Y216*Calc2!$C216/2</f>
        <v>0</v>
      </c>
      <c r="Y216" s="309">
        <f>IF(VLOOKUP($B$187:$B$323,Acraft!$A$3:$Y$139,19,FALSE)=4,Calc1!$C$173,IF(VLOOKUP($B$187:$B$323,Acraft!$A$3:$Y$139,19,FALSE)=1.77777777777778,Calc1!$C$172,0))</f>
        <v>15</v>
      </c>
      <c r="Z216" s="305"/>
    </row>
    <row r="217" spans="1:26" x14ac:dyDescent="0.2">
      <c r="A217" s="303"/>
      <c r="B217" s="309" t="s">
        <v>328</v>
      </c>
      <c r="C217" s="397">
        <f>Calc1!C145</f>
        <v>0</v>
      </c>
      <c r="D217" s="395">
        <f>VLOOKUP($B$187:$B$323,Acraft!$A$3:$R$139,6,FALSE)+Calc1!$C$168*VLOOKUP($B$187:$B$323,Acraft!$A$3:$R$139,13,FALSE)/1000</f>
        <v>10.3548876</v>
      </c>
      <c r="E217" s="398">
        <f t="shared" si="31"/>
        <v>0</v>
      </c>
      <c r="F217" s="312">
        <f>VLOOKUP($B$187:$B$323,Acraft!$A$3:$R$139,7,FALSE)+Calc1!$C$168*VLOOKUP($B$187:$B$323,Acraft!$A$3:$R$139,14,FALSE)/1000</f>
        <v>0.9666731999999999</v>
      </c>
      <c r="G217" s="312">
        <f t="shared" si="32"/>
        <v>0</v>
      </c>
      <c r="H217" s="312">
        <f>VLOOKUP($B$187:$B$323,Acraft!$A$3:$R$139,8,FALSE)+Calc1!$C$168*VLOOKUP($B$187:$B$323,Acraft!$A$3:$R$139,15,FALSE)/1000</f>
        <v>8.2844208000000013</v>
      </c>
      <c r="I217" s="312">
        <f t="shared" si="33"/>
        <v>0</v>
      </c>
      <c r="J217" s="312">
        <f>VLOOKUP($B$187:$B$323,Acraft!$A$3:$R$139,9,FALSE)+Calc1!$C$168*VLOOKUP($B$187:$B$323,Acraft!$A$3:$R$139,16,FALSE)/1000</f>
        <v>6.0090083250046195E-2</v>
      </c>
      <c r="K217" s="312">
        <f t="shared" si="34"/>
        <v>0</v>
      </c>
      <c r="L217" s="312">
        <f>VLOOKUP($B$187:$B$323,Acraft!$A$3:$R$139,10,FALSE)+Calc1!$C$168*VLOOKUP($B$187:$B$323,Acraft!$A$3:$R$139,17,FALSE)/1000</f>
        <v>0.41886600000000002</v>
      </c>
      <c r="M217" s="312">
        <f t="shared" si="35"/>
        <v>0</v>
      </c>
      <c r="N217" s="312">
        <f>VLOOKUP($B$187:$B$323,Acraft!$A$3:$R$139,11,FALSE)+Calc1!$C$168*VLOOKUP($B$187:$B$323,Acraft!$A$3:$R$139,18,FALSE)/1000</f>
        <v>2638.8558000000003</v>
      </c>
      <c r="O217" s="398">
        <f t="shared" si="36"/>
        <v>0</v>
      </c>
      <c r="P217" s="312">
        <f>VLOOKUP($B$187:$B$323,Acraft!$A$3:$R$139,5,FALSE)+Calc1!$C$168*VLOOKUP($B$187:$B$323,Acraft!$A$3:$R$139,12,FALSE)/1000</f>
        <v>837.73199999999997</v>
      </c>
      <c r="Q217" s="396">
        <f t="shared" si="37"/>
        <v>0</v>
      </c>
      <c r="R217" s="399">
        <f>VLOOKUP($B$187:$B$323,Acraft!$A$3:$Y$139,20,FALSE)*$Y217*Calc2!$C217/2/1000/1000</f>
        <v>0</v>
      </c>
      <c r="S217" s="400">
        <f>VLOOKUP($B$187:$B$323,Acraft!$A$3:$Y$139,21,FALSE)*$Y217*Calc2!$C217/2/1000/1000</f>
        <v>0</v>
      </c>
      <c r="T217" s="400">
        <f>VLOOKUP($B$187:$B$323,Acraft!$A$3:$Y$139,22,FALSE)*$Y217*Calc2!$C217/2/1000/1000</f>
        <v>0</v>
      </c>
      <c r="U217" s="400">
        <f>VLOOKUP($B$187:$B$323,Acraft!$A$3:$Y$139,23,FALSE)*$Y217*Calc2!$C217/2/1000/1000</f>
        <v>0</v>
      </c>
      <c r="V217" s="400">
        <f>VLOOKUP($B$187:$B$323,Acraft!$A$3:$Y$139,24,FALSE)*$Y217*Calc2!$C217/2/1000/1000</f>
        <v>0</v>
      </c>
      <c r="W217" s="398">
        <f>VLOOKUP($B$187:$B$323,Acraft!$A$3:$Y$139,25,FALSE)*$Y217*Calc2!$C217/2/1000/1000</f>
        <v>0</v>
      </c>
      <c r="X217" s="398">
        <f>VLOOKUP($B$187:$B$323,Acraft!$A$3:$Y$139,19,FALSE)*$Y217*Calc2!$C217/2</f>
        <v>0</v>
      </c>
      <c r="Y217" s="309">
        <f>IF(VLOOKUP($B$187:$B$323,Acraft!$A$3:$Y$139,19,FALSE)=4,Calc1!$C$173,IF(VLOOKUP($B$187:$B$323,Acraft!$A$3:$Y$139,19,FALSE)=1.77777777777778,Calc1!$C$172,0))</f>
        <v>15</v>
      </c>
      <c r="Z217" s="305"/>
    </row>
    <row r="218" spans="1:26" x14ac:dyDescent="0.2">
      <c r="A218" s="303"/>
      <c r="B218" s="309" t="s">
        <v>331</v>
      </c>
      <c r="C218" s="397">
        <f>Calc1!C146</f>
        <v>0</v>
      </c>
      <c r="D218" s="395">
        <f>VLOOKUP($B$187:$B$323,Acraft!$A$3:$R$139,6,FALSE)+Calc1!$C$168*VLOOKUP($B$187:$B$323,Acraft!$A$3:$R$139,13,FALSE)/1000</f>
        <v>45.128570159999995</v>
      </c>
      <c r="E218" s="398">
        <f t="shared" si="31"/>
        <v>0</v>
      </c>
      <c r="F218" s="312">
        <f>VLOOKUP($B$187:$B$323,Acraft!$A$3:$R$139,7,FALSE)+Calc1!$C$168*VLOOKUP($B$187:$B$323,Acraft!$A$3:$R$139,14,FALSE)/1000</f>
        <v>2.2168980000000005</v>
      </c>
      <c r="G218" s="312">
        <f t="shared" si="32"/>
        <v>0</v>
      </c>
      <c r="H218" s="312">
        <f>VLOOKUP($B$187:$B$323,Acraft!$A$3:$R$139,8,FALSE)+Calc1!$C$168*VLOOKUP($B$187:$B$323,Acraft!$A$3:$R$139,15,FALSE)/1000</f>
        <v>27.103304400000003</v>
      </c>
      <c r="I218" s="312">
        <f t="shared" si="33"/>
        <v>0</v>
      </c>
      <c r="J218" s="312">
        <f>VLOOKUP($B$187:$B$323,Acraft!$A$3:$R$139,9,FALSE)+Calc1!$C$168*VLOOKUP($B$187:$B$323,Acraft!$A$3:$R$139,16,FALSE)/1000</f>
        <v>0.15441269156570603</v>
      </c>
      <c r="K218" s="312">
        <f t="shared" si="34"/>
        <v>0</v>
      </c>
      <c r="L218" s="312">
        <f>VLOOKUP($B$187:$B$323,Acraft!$A$3:$R$139,10,FALSE)+Calc1!$C$168*VLOOKUP($B$187:$B$323,Acraft!$A$3:$R$139,17,FALSE)/1000</f>
        <v>1.6800359999999999</v>
      </c>
      <c r="M218" s="312">
        <f t="shared" si="35"/>
        <v>0</v>
      </c>
      <c r="N218" s="312">
        <f>VLOOKUP($B$187:$B$323,Acraft!$A$3:$R$139,11,FALSE)+Calc1!$C$168*VLOOKUP($B$187:$B$323,Acraft!$A$3:$R$139,18,FALSE)/1000</f>
        <v>10584.2268</v>
      </c>
      <c r="O218" s="398">
        <f t="shared" si="36"/>
        <v>0</v>
      </c>
      <c r="P218" s="312">
        <f>VLOOKUP($B$187:$B$323,Acraft!$A$3:$R$139,5,FALSE)+Calc1!$C$168*VLOOKUP($B$187:$B$323,Acraft!$A$3:$R$139,12,FALSE)/1000</f>
        <v>3360.0720000000001</v>
      </c>
      <c r="Q218" s="396">
        <f t="shared" si="37"/>
        <v>0</v>
      </c>
      <c r="R218" s="399">
        <f>VLOOKUP($B$187:$B$323,Acraft!$A$3:$Y$139,20,FALSE)*$Y218*Calc2!$C218/2/1000/1000</f>
        <v>0</v>
      </c>
      <c r="S218" s="400">
        <f>VLOOKUP($B$187:$B$323,Acraft!$A$3:$Y$139,21,FALSE)*$Y218*Calc2!$C218/2/1000/1000</f>
        <v>0</v>
      </c>
      <c r="T218" s="400">
        <f>VLOOKUP($B$187:$B$323,Acraft!$A$3:$Y$139,22,FALSE)*$Y218*Calc2!$C218/2/1000/1000</f>
        <v>0</v>
      </c>
      <c r="U218" s="400">
        <f>VLOOKUP($B$187:$B$323,Acraft!$A$3:$Y$139,23,FALSE)*$Y218*Calc2!$C218/2/1000/1000</f>
        <v>0</v>
      </c>
      <c r="V218" s="400">
        <f>VLOOKUP($B$187:$B$323,Acraft!$A$3:$Y$139,24,FALSE)*$Y218*Calc2!$C218/2/1000/1000</f>
        <v>0</v>
      </c>
      <c r="W218" s="398">
        <f>VLOOKUP($B$187:$B$323,Acraft!$A$3:$Y$139,25,FALSE)*$Y218*Calc2!$C218/2/1000/1000</f>
        <v>0</v>
      </c>
      <c r="X218" s="398">
        <f>VLOOKUP($B$187:$B$323,Acraft!$A$3:$Y$139,19,FALSE)*$Y218*Calc2!$C218/2</f>
        <v>0</v>
      </c>
      <c r="Y218" s="309">
        <f>IF(VLOOKUP($B$187:$B$323,Acraft!$A$3:$Y$139,19,FALSE)=4,Calc1!$C$173,IF(VLOOKUP($B$187:$B$323,Acraft!$A$3:$Y$139,19,FALSE)=1.77777777777778,Calc1!$C$172,0))</f>
        <v>45</v>
      </c>
      <c r="Z218" s="305"/>
    </row>
    <row r="219" spans="1:26" x14ac:dyDescent="0.2">
      <c r="A219" s="303"/>
      <c r="B219" s="309" t="s">
        <v>334</v>
      </c>
      <c r="C219" s="397">
        <f>Calc1!C147</f>
        <v>0</v>
      </c>
      <c r="D219" s="395">
        <f>VLOOKUP($B$187:$B$323,Acraft!$A$3:$R$139,6,FALSE)+Calc1!$C$168*VLOOKUP($B$187:$B$323,Acraft!$A$3:$R$139,13,FALSE)/1000</f>
        <v>18.636487200000001</v>
      </c>
      <c r="E219" s="398">
        <f t="shared" ref="E219:E250" si="38">$C219*D219/2/1000</f>
        <v>0</v>
      </c>
      <c r="F219" s="312">
        <f>VLOOKUP($B$187:$B$323,Acraft!$A$3:$R$139,7,FALSE)+Calc1!$C$168*VLOOKUP($B$187:$B$323,Acraft!$A$3:$R$139,14,FALSE)/1000</f>
        <v>1.1392991999999997</v>
      </c>
      <c r="G219" s="312">
        <f t="shared" ref="G219:G250" si="39">$C219*F219/2/1000</f>
        <v>0</v>
      </c>
      <c r="H219" s="312">
        <f>VLOOKUP($B$187:$B$323,Acraft!$A$3:$R$139,8,FALSE)+Calc1!$C$168*VLOOKUP($B$187:$B$323,Acraft!$A$3:$R$139,15,FALSE)/1000</f>
        <v>12.510957599999999</v>
      </c>
      <c r="I219" s="312">
        <f t="shared" ref="I219:I250" si="40">$C219*H219/2/1000</f>
        <v>0</v>
      </c>
      <c r="J219" s="312">
        <f>VLOOKUP($B$187:$B$323,Acraft!$A$3:$R$139,9,FALSE)+Calc1!$C$168*VLOOKUP($B$187:$B$323,Acraft!$A$3:$R$139,16,FALSE)/1000</f>
        <v>8.6735393607421052E-2</v>
      </c>
      <c r="K219" s="312">
        <f t="shared" ref="K219:K250" si="41">$C219*J219/2/1000</f>
        <v>0</v>
      </c>
      <c r="L219" s="312">
        <f>VLOOKUP($B$187:$B$323,Acraft!$A$3:$R$139,10,FALSE)+Calc1!$C$168*VLOOKUP($B$187:$B$323,Acraft!$A$3:$R$139,17,FALSE)/1000</f>
        <v>0.72323999999999999</v>
      </c>
      <c r="M219" s="312">
        <f t="shared" ref="M219:M250" si="42">$C219*L219/2/1000</f>
        <v>0</v>
      </c>
      <c r="N219" s="312">
        <f>VLOOKUP($B$187:$B$323,Acraft!$A$3:$R$139,11,FALSE)+Calc1!$C$168*VLOOKUP($B$187:$B$323,Acraft!$A$3:$R$139,18,FALSE)/1000</f>
        <v>4556.4120000000003</v>
      </c>
      <c r="O219" s="398">
        <f t="shared" ref="O219:O250" si="43">$C219*N219/2/1000</f>
        <v>0</v>
      </c>
      <c r="P219" s="312">
        <f>VLOOKUP($B$187:$B$323,Acraft!$A$3:$R$139,5,FALSE)+Calc1!$C$168*VLOOKUP($B$187:$B$323,Acraft!$A$3:$R$139,12,FALSE)/1000</f>
        <v>1446.48</v>
      </c>
      <c r="Q219" s="396">
        <f t="shared" ref="Q219:Q250" si="44">$C219*P219/2</f>
        <v>0</v>
      </c>
      <c r="R219" s="399">
        <f>VLOOKUP($B$187:$B$323,Acraft!$A$3:$Y$139,20,FALSE)*$Y219*Calc2!$C219/2/1000/1000</f>
        <v>0</v>
      </c>
      <c r="S219" s="400">
        <f>VLOOKUP($B$187:$B$323,Acraft!$A$3:$Y$139,21,FALSE)*$Y219*Calc2!$C219/2/1000/1000</f>
        <v>0</v>
      </c>
      <c r="T219" s="400">
        <f>VLOOKUP($B$187:$B$323,Acraft!$A$3:$Y$139,22,FALSE)*$Y219*Calc2!$C219/2/1000/1000</f>
        <v>0</v>
      </c>
      <c r="U219" s="400">
        <f>VLOOKUP($B$187:$B$323,Acraft!$A$3:$Y$139,23,FALSE)*$Y219*Calc2!$C219/2/1000/1000</f>
        <v>0</v>
      </c>
      <c r="V219" s="400">
        <f>VLOOKUP($B$187:$B$323,Acraft!$A$3:$Y$139,24,FALSE)*$Y219*Calc2!$C219/2/1000/1000</f>
        <v>0</v>
      </c>
      <c r="W219" s="398">
        <f>VLOOKUP($B$187:$B$323,Acraft!$A$3:$Y$139,25,FALSE)*$Y219*Calc2!$C219/2/1000/1000</f>
        <v>0</v>
      </c>
      <c r="X219" s="398">
        <f>VLOOKUP($B$187:$B$323,Acraft!$A$3:$Y$139,19,FALSE)*$Y219*Calc2!$C219/2</f>
        <v>0</v>
      </c>
      <c r="Y219" s="309">
        <f>IF(VLOOKUP($B$187:$B$323,Acraft!$A$3:$Y$139,19,FALSE)=4,Calc1!$C$173,IF(VLOOKUP($B$187:$B$323,Acraft!$A$3:$Y$139,19,FALSE)=1.77777777777778,Calc1!$C$172,0))</f>
        <v>15</v>
      </c>
      <c r="Z219" s="305"/>
    </row>
    <row r="220" spans="1:26" x14ac:dyDescent="0.2">
      <c r="A220" s="303"/>
      <c r="B220" s="309" t="s">
        <v>101</v>
      </c>
      <c r="C220" s="397">
        <f>Calc1!C148</f>
        <v>50</v>
      </c>
      <c r="D220" s="395">
        <f>VLOOKUP($B$187:$B$323,Acraft!$A$3:$R$139,6,FALSE)+Calc1!$C$168*VLOOKUP($B$187:$B$323,Acraft!$A$3:$R$139,13,FALSE)/1000</f>
        <v>23.140823399999999</v>
      </c>
      <c r="E220" s="398">
        <f t="shared" si="38"/>
        <v>0.57852058500000003</v>
      </c>
      <c r="F220" s="312">
        <f>VLOOKUP($B$187:$B$323,Acraft!$A$3:$R$139,7,FALSE)+Calc1!$C$168*VLOOKUP($B$187:$B$323,Acraft!$A$3:$R$139,14,FALSE)/1000</f>
        <v>1.1095266000000001</v>
      </c>
      <c r="G220" s="312">
        <f t="shared" si="39"/>
        <v>2.7738165000000002E-2</v>
      </c>
      <c r="H220" s="312">
        <f>VLOOKUP($B$187:$B$323,Acraft!$A$3:$R$139,8,FALSE)+Calc1!$C$168*VLOOKUP($B$187:$B$323,Acraft!$A$3:$R$139,15,FALSE)/1000</f>
        <v>13.540392840000001</v>
      </c>
      <c r="I220" s="312">
        <f t="shared" si="40"/>
        <v>0.33850982100000004</v>
      </c>
      <c r="J220" s="312">
        <f>VLOOKUP($B$187:$B$323,Acraft!$A$3:$R$139,9,FALSE)+Calc1!$C$168*VLOOKUP($B$187:$B$323,Acraft!$A$3:$R$139,16,FALSE)/1000</f>
        <v>7.8220628335879394E-2</v>
      </c>
      <c r="K220" s="312">
        <f t="shared" si="41"/>
        <v>1.9555157083969849E-3</v>
      </c>
      <c r="L220" s="312">
        <f>VLOOKUP($B$187:$B$323,Acraft!$A$3:$R$139,10,FALSE)+Calc1!$C$168*VLOOKUP($B$187:$B$323,Acraft!$A$3:$R$139,17,FALSE)/1000</f>
        <v>0.84743400000000002</v>
      </c>
      <c r="M220" s="312">
        <f t="shared" si="42"/>
        <v>2.1185850000000003E-2</v>
      </c>
      <c r="N220" s="312">
        <f>VLOOKUP($B$187:$B$323,Acraft!$A$3:$R$139,11,FALSE)+Calc1!$C$168*VLOOKUP($B$187:$B$323,Acraft!$A$3:$R$139,18,FALSE)/1000</f>
        <v>5338.8342000000002</v>
      </c>
      <c r="O220" s="398">
        <f t="shared" si="43"/>
        <v>133.470855</v>
      </c>
      <c r="P220" s="312">
        <f>VLOOKUP($B$187:$B$323,Acraft!$A$3:$R$139,5,FALSE)+Calc1!$C$168*VLOOKUP($B$187:$B$323,Acraft!$A$3:$R$139,12,FALSE)/1000</f>
        <v>1694.8679999999999</v>
      </c>
      <c r="Q220" s="396">
        <f t="shared" si="44"/>
        <v>42371.7</v>
      </c>
      <c r="R220" s="399">
        <f>VLOOKUP($B$187:$B$323,Acraft!$A$3:$Y$139,20,FALSE)*$Y220*Calc2!$C220/2/1000/1000</f>
        <v>3.5999999999999997E-2</v>
      </c>
      <c r="S220" s="400">
        <f>VLOOKUP($B$187:$B$323,Acraft!$A$3:$Y$139,21,FALSE)*$Y220*Calc2!$C220/2/1000/1000</f>
        <v>2.3999999999999998E-3</v>
      </c>
      <c r="T220" s="400">
        <f>VLOOKUP($B$187:$B$323,Acraft!$A$3:$Y$139,22,FALSE)*$Y220*Calc2!$C220/2/1000/1000</f>
        <v>3.1499999999999996E-3</v>
      </c>
      <c r="U220" s="400">
        <f>VLOOKUP($B$187:$B$323,Acraft!$A$3:$Y$139,23,FALSE)*$Y220*Calc2!$C220/2/1000/1000</f>
        <v>5.9999999999999995E-4</v>
      </c>
      <c r="V220" s="400">
        <f>VLOOKUP($B$187:$B$323,Acraft!$A$3:$Y$139,24,FALSE)*$Y220*Calc2!$C220/2/1000/1000</f>
        <v>2.2499999999999998E-3</v>
      </c>
      <c r="W220" s="398">
        <f>VLOOKUP($B$187:$B$323,Acraft!$A$3:$Y$139,25,FALSE)*$Y220*Calc2!$C220/2/1000/1000</f>
        <v>14.175000000000001</v>
      </c>
      <c r="X220" s="398">
        <f>VLOOKUP($B$187:$B$323,Acraft!$A$3:$Y$139,19,FALSE)*$Y220*Calc2!$C220/2</f>
        <v>4500</v>
      </c>
      <c r="Y220" s="309">
        <f>IF(VLOOKUP($B$187:$B$323,Acraft!$A$3:$Y$139,19,FALSE)=4,Calc1!$C$173,IF(VLOOKUP($B$187:$B$323,Acraft!$A$3:$Y$139,19,FALSE)=1.77777777777778,Calc1!$C$172,0))</f>
        <v>45</v>
      </c>
      <c r="Z220" s="305"/>
    </row>
    <row r="221" spans="1:26" x14ac:dyDescent="0.2">
      <c r="A221" s="303"/>
      <c r="B221" s="309" t="s">
        <v>339</v>
      </c>
      <c r="C221" s="397">
        <f>Calc1!C149</f>
        <v>0</v>
      </c>
      <c r="D221" s="395">
        <f>VLOOKUP($B$187:$B$323,Acraft!$A$3:$R$139,6,FALSE)+Calc1!$C$168*VLOOKUP($B$187:$B$323,Acraft!$A$3:$R$139,13,FALSE)/1000</f>
        <v>53.001587999999998</v>
      </c>
      <c r="E221" s="398">
        <f t="shared" si="38"/>
        <v>0</v>
      </c>
      <c r="F221" s="312">
        <f>VLOOKUP($B$187:$B$323,Acraft!$A$3:$R$139,7,FALSE)+Calc1!$C$168*VLOOKUP($B$187:$B$323,Acraft!$A$3:$R$139,14,FALSE)/1000</f>
        <v>0.68381423999999991</v>
      </c>
      <c r="G221" s="312">
        <f t="shared" si="39"/>
        <v>0</v>
      </c>
      <c r="H221" s="312">
        <f>VLOOKUP($B$187:$B$323,Acraft!$A$3:$R$139,8,FALSE)+Calc1!$C$168*VLOOKUP($B$187:$B$323,Acraft!$A$3:$R$139,15,FALSE)/1000</f>
        <v>13.233283200000001</v>
      </c>
      <c r="I221" s="312">
        <f t="shared" si="40"/>
        <v>0</v>
      </c>
      <c r="J221" s="312">
        <f>VLOOKUP($B$187:$B$323,Acraft!$A$3:$R$139,9,FALSE)+Calc1!$C$168*VLOOKUP($B$187:$B$323,Acraft!$A$3:$R$139,16,FALSE)/1000</f>
        <v>0.11758833288051065</v>
      </c>
      <c r="K221" s="312">
        <f t="shared" si="41"/>
        <v>0</v>
      </c>
      <c r="L221" s="312">
        <f>VLOOKUP($B$187:$B$323,Acraft!$A$3:$R$139,10,FALSE)+Calc1!$C$168*VLOOKUP($B$187:$B$323,Acraft!$A$3:$R$139,17,FALSE)/1000</f>
        <v>1.29942</v>
      </c>
      <c r="M221" s="312">
        <f t="shared" si="42"/>
        <v>0</v>
      </c>
      <c r="N221" s="312">
        <f>VLOOKUP($B$187:$B$323,Acraft!$A$3:$R$139,11,FALSE)+Calc1!$C$168*VLOOKUP($B$187:$B$323,Acraft!$A$3:$R$139,18,FALSE)/1000</f>
        <v>8186.3459999999995</v>
      </c>
      <c r="O221" s="398">
        <f t="shared" si="43"/>
        <v>0</v>
      </c>
      <c r="P221" s="312">
        <f>VLOOKUP($B$187:$B$323,Acraft!$A$3:$R$139,5,FALSE)+Calc1!$C$168*VLOOKUP($B$187:$B$323,Acraft!$A$3:$R$139,12,FALSE)/1000</f>
        <v>2598.84</v>
      </c>
      <c r="Q221" s="396">
        <f t="shared" si="44"/>
        <v>0</v>
      </c>
      <c r="R221" s="399">
        <f>VLOOKUP($B$187:$B$323,Acraft!$A$3:$Y$139,20,FALSE)*$Y221*Calc2!$C221/2/1000/1000</f>
        <v>0</v>
      </c>
      <c r="S221" s="400">
        <f>VLOOKUP($B$187:$B$323,Acraft!$A$3:$Y$139,21,FALSE)*$Y221*Calc2!$C221/2/1000/1000</f>
        <v>0</v>
      </c>
      <c r="T221" s="400">
        <f>VLOOKUP($B$187:$B$323,Acraft!$A$3:$Y$139,22,FALSE)*$Y221*Calc2!$C221/2/1000/1000</f>
        <v>0</v>
      </c>
      <c r="U221" s="400">
        <f>VLOOKUP($B$187:$B$323,Acraft!$A$3:$Y$139,23,FALSE)*$Y221*Calc2!$C221/2/1000/1000</f>
        <v>0</v>
      </c>
      <c r="V221" s="400">
        <f>VLOOKUP($B$187:$B$323,Acraft!$A$3:$Y$139,24,FALSE)*$Y221*Calc2!$C221/2/1000/1000</f>
        <v>0</v>
      </c>
      <c r="W221" s="398">
        <f>VLOOKUP($B$187:$B$323,Acraft!$A$3:$Y$139,25,FALSE)*$Y221*Calc2!$C221/2/1000/1000</f>
        <v>0</v>
      </c>
      <c r="X221" s="398">
        <f>VLOOKUP($B$187:$B$323,Acraft!$A$3:$Y$139,19,FALSE)*$Y221*Calc2!$C221/2</f>
        <v>0</v>
      </c>
      <c r="Y221" s="309">
        <f>IF(VLOOKUP($B$187:$B$323,Acraft!$A$3:$Y$139,19,FALSE)=4,Calc1!$C$173,IF(VLOOKUP($B$187:$B$323,Acraft!$A$3:$Y$139,19,FALSE)=1.77777777777778,Calc1!$C$172,0))</f>
        <v>45</v>
      </c>
      <c r="Z221" s="305"/>
    </row>
    <row r="222" spans="1:26" x14ac:dyDescent="0.2">
      <c r="A222" s="303"/>
      <c r="B222" s="309" t="s">
        <v>342</v>
      </c>
      <c r="C222" s="397">
        <f>Calc1!C150</f>
        <v>0</v>
      </c>
      <c r="D222" s="395">
        <f>VLOOKUP($B$187:$B$323,Acraft!$A$3:$R$139,6,FALSE)+Calc1!$C$168*VLOOKUP($B$187:$B$323,Acraft!$A$3:$R$139,13,FALSE)/1000</f>
        <v>0</v>
      </c>
      <c r="E222" s="398">
        <f t="shared" si="38"/>
        <v>0</v>
      </c>
      <c r="F222" s="312">
        <f>VLOOKUP($B$187:$B$323,Acraft!$A$3:$R$139,7,FALSE)+Calc1!$C$168*VLOOKUP($B$187:$B$323,Acraft!$A$3:$R$139,14,FALSE)/1000</f>
        <v>0</v>
      </c>
      <c r="G222" s="312">
        <f t="shared" si="39"/>
        <v>0</v>
      </c>
      <c r="H222" s="312">
        <f>VLOOKUP($B$187:$B$323,Acraft!$A$3:$R$139,8,FALSE)+Calc1!$C$168*VLOOKUP($B$187:$B$323,Acraft!$A$3:$R$139,15,FALSE)/1000</f>
        <v>0</v>
      </c>
      <c r="I222" s="312">
        <f t="shared" si="40"/>
        <v>0</v>
      </c>
      <c r="J222" s="312">
        <f>VLOOKUP($B$187:$B$323,Acraft!$A$3:$R$139,9,FALSE)+Calc1!$C$168*VLOOKUP($B$187:$B$323,Acraft!$A$3:$R$139,16,FALSE)/1000</f>
        <v>0</v>
      </c>
      <c r="K222" s="312">
        <f t="shared" si="41"/>
        <v>0</v>
      </c>
      <c r="L222" s="312">
        <f>VLOOKUP($B$187:$B$323,Acraft!$A$3:$R$139,10,FALSE)+Calc1!$C$168*VLOOKUP($B$187:$B$323,Acraft!$A$3:$R$139,17,FALSE)/1000</f>
        <v>0</v>
      </c>
      <c r="M222" s="312">
        <f t="shared" si="42"/>
        <v>0</v>
      </c>
      <c r="N222" s="312">
        <f>VLOOKUP($B$187:$B$323,Acraft!$A$3:$R$139,11,FALSE)+Calc1!$C$168*VLOOKUP($B$187:$B$323,Acraft!$A$3:$R$139,18,FALSE)/1000</f>
        <v>0</v>
      </c>
      <c r="O222" s="398">
        <f t="shared" si="43"/>
        <v>0</v>
      </c>
      <c r="P222" s="312">
        <f>VLOOKUP($B$187:$B$323,Acraft!$A$3:$R$139,5,FALSE)+Calc1!$C$168*VLOOKUP($B$187:$B$323,Acraft!$A$3:$R$139,12,FALSE)/1000</f>
        <v>0</v>
      </c>
      <c r="Q222" s="396">
        <f t="shared" si="44"/>
        <v>0</v>
      </c>
      <c r="R222" s="399">
        <f>VLOOKUP($B$187:$B$323,Acraft!$A$3:$Y$139,20,FALSE)*$Y222*Calc2!$C222/2/1000/1000</f>
        <v>0</v>
      </c>
      <c r="S222" s="400">
        <f>VLOOKUP($B$187:$B$323,Acraft!$A$3:$Y$139,21,FALSE)*$Y222*Calc2!$C222/2/1000/1000</f>
        <v>0</v>
      </c>
      <c r="T222" s="400">
        <f>VLOOKUP($B$187:$B$323,Acraft!$A$3:$Y$139,22,FALSE)*$Y222*Calc2!$C222/2/1000/1000</f>
        <v>0</v>
      </c>
      <c r="U222" s="400">
        <f>VLOOKUP($B$187:$B$323,Acraft!$A$3:$Y$139,23,FALSE)*$Y222*Calc2!$C222/2/1000/1000</f>
        <v>0</v>
      </c>
      <c r="V222" s="400">
        <f>VLOOKUP($B$187:$B$323,Acraft!$A$3:$Y$139,24,FALSE)*$Y222*Calc2!$C222/2/1000/1000</f>
        <v>0</v>
      </c>
      <c r="W222" s="398">
        <f>VLOOKUP($B$187:$B$323,Acraft!$A$3:$Y$139,25,FALSE)*$Y222*Calc2!$C222/2/1000/1000</f>
        <v>0</v>
      </c>
      <c r="X222" s="398">
        <f>VLOOKUP($B$187:$B$323,Acraft!$A$3:$Y$139,19,FALSE)*$Y222*Calc2!$C222/2</f>
        <v>0</v>
      </c>
      <c r="Y222" s="309">
        <f>IF(VLOOKUP($B$187:$B$323,Acraft!$A$3:$Y$139,19,FALSE)=4,Calc1!$C$173,IF(VLOOKUP($B$187:$B$323,Acraft!$A$3:$Y$139,19,FALSE)=1.77777777777778,Calc1!$C$172,0))</f>
        <v>45</v>
      </c>
      <c r="Z222" s="305"/>
    </row>
    <row r="223" spans="1:26" x14ac:dyDescent="0.2">
      <c r="A223" s="303"/>
      <c r="B223" s="309" t="s">
        <v>345</v>
      </c>
      <c r="C223" s="397">
        <f>Calc1!C151</f>
        <v>0</v>
      </c>
      <c r="D223" s="395">
        <f>VLOOKUP($B$187:$B$323,Acraft!$A$3:$R$139,6,FALSE)+Calc1!$C$168*VLOOKUP($B$187:$B$323,Acraft!$A$3:$R$139,13,FALSE)/1000</f>
        <v>3.4122273360000004</v>
      </c>
      <c r="E223" s="398">
        <f t="shared" si="38"/>
        <v>0</v>
      </c>
      <c r="F223" s="312">
        <f>VLOOKUP($B$187:$B$323,Acraft!$A$3:$R$139,7,FALSE)+Calc1!$C$168*VLOOKUP($B$187:$B$323,Acraft!$A$3:$R$139,14,FALSE)/1000</f>
        <v>0.39742797600000002</v>
      </c>
      <c r="G223" s="312">
        <f t="shared" si="39"/>
        <v>0</v>
      </c>
      <c r="H223" s="312">
        <f>VLOOKUP($B$187:$B$323,Acraft!$A$3:$R$139,8,FALSE)+Calc1!$C$168*VLOOKUP($B$187:$B$323,Acraft!$A$3:$R$139,15,FALSE)/1000</f>
        <v>6.7037921760000003</v>
      </c>
      <c r="I223" s="312">
        <f t="shared" si="40"/>
        <v>0</v>
      </c>
      <c r="J223" s="312">
        <f>VLOOKUP($B$187:$B$323,Acraft!$A$3:$R$139,9,FALSE)+Calc1!$C$168*VLOOKUP($B$187:$B$323,Acraft!$A$3:$R$139,16,FALSE)/1000</f>
        <v>8.6150743999999987E-2</v>
      </c>
      <c r="K223" s="312">
        <f t="shared" si="41"/>
        <v>0</v>
      </c>
      <c r="L223" s="312">
        <f>VLOOKUP($B$187:$B$323,Acraft!$A$3:$R$139,10,FALSE)+Calc1!$C$168*VLOOKUP($B$187:$B$323,Acraft!$A$3:$R$139,17,FALSE)/1000</f>
        <v>0.30404399999999998</v>
      </c>
      <c r="M223" s="312">
        <f t="shared" si="42"/>
        <v>0</v>
      </c>
      <c r="N223" s="312">
        <f>VLOOKUP($B$187:$B$323,Acraft!$A$3:$R$139,11,FALSE)+Calc1!$C$168*VLOOKUP($B$187:$B$323,Acraft!$A$3:$R$139,18,FALSE)/1000</f>
        <v>1915.4772000000003</v>
      </c>
      <c r="O223" s="398">
        <f t="shared" si="43"/>
        <v>0</v>
      </c>
      <c r="P223" s="312">
        <f>VLOOKUP($B$187:$B$323,Acraft!$A$3:$R$139,5,FALSE)+Calc1!$C$168*VLOOKUP($B$187:$B$323,Acraft!$A$3:$R$139,12,FALSE)/1000</f>
        <v>608.08799999999997</v>
      </c>
      <c r="Q223" s="396">
        <f t="shared" si="44"/>
        <v>0</v>
      </c>
      <c r="R223" s="399">
        <f>VLOOKUP($B$187:$B$323,Acraft!$A$3:$Y$139,20,FALSE)*$Y223*Calc2!$C223/2/1000/1000</f>
        <v>0</v>
      </c>
      <c r="S223" s="400">
        <f>VLOOKUP($B$187:$B$323,Acraft!$A$3:$Y$139,21,FALSE)*$Y223*Calc2!$C223/2/1000/1000</f>
        <v>0</v>
      </c>
      <c r="T223" s="400">
        <f>VLOOKUP($B$187:$B$323,Acraft!$A$3:$Y$139,22,FALSE)*$Y223*Calc2!$C223/2/1000/1000</f>
        <v>0</v>
      </c>
      <c r="U223" s="400">
        <f>VLOOKUP($B$187:$B$323,Acraft!$A$3:$Y$139,23,FALSE)*$Y223*Calc2!$C223/2/1000/1000</f>
        <v>0</v>
      </c>
      <c r="V223" s="400">
        <f>VLOOKUP($B$187:$B$323,Acraft!$A$3:$Y$139,24,FALSE)*$Y223*Calc2!$C223/2/1000/1000</f>
        <v>0</v>
      </c>
      <c r="W223" s="398">
        <f>VLOOKUP($B$187:$B$323,Acraft!$A$3:$Y$139,25,FALSE)*$Y223*Calc2!$C223/2/1000/1000</f>
        <v>0</v>
      </c>
      <c r="X223" s="398">
        <f>VLOOKUP($B$187:$B$323,Acraft!$A$3:$Y$139,19,FALSE)*$Y223*Calc2!$C223/2</f>
        <v>0</v>
      </c>
      <c r="Y223" s="309">
        <f>IF(VLOOKUP($B$187:$B$323,Acraft!$A$3:$Y$139,19,FALSE)=4,Calc1!$C$173,IF(VLOOKUP($B$187:$B$323,Acraft!$A$3:$Y$139,19,FALSE)=1.77777777777778,Calc1!$C$172,0))</f>
        <v>0</v>
      </c>
      <c r="Z223" s="305"/>
    </row>
    <row r="224" spans="1:26" x14ac:dyDescent="0.2">
      <c r="A224" s="303"/>
      <c r="B224" s="309" t="s">
        <v>348</v>
      </c>
      <c r="C224" s="397">
        <f>Calc1!C152</f>
        <v>0</v>
      </c>
      <c r="D224" s="395">
        <f>VLOOKUP($B$187:$B$323,Acraft!$A$3:$R$139,6,FALSE)+Calc1!$C$168*VLOOKUP($B$187:$B$323,Acraft!$A$3:$R$139,13,FALSE)/1000</f>
        <v>1.7061136680000002</v>
      </c>
      <c r="E224" s="398">
        <f t="shared" si="38"/>
        <v>0</v>
      </c>
      <c r="F224" s="312">
        <f>VLOOKUP($B$187:$B$323,Acraft!$A$3:$R$139,7,FALSE)+Calc1!$C$168*VLOOKUP($B$187:$B$323,Acraft!$A$3:$R$139,14,FALSE)/1000</f>
        <v>0.19871398800000001</v>
      </c>
      <c r="G224" s="312">
        <f t="shared" si="39"/>
        <v>0</v>
      </c>
      <c r="H224" s="312">
        <f>VLOOKUP($B$187:$B$323,Acraft!$A$3:$R$139,8,FALSE)+Calc1!$C$168*VLOOKUP($B$187:$B$323,Acraft!$A$3:$R$139,15,FALSE)/1000</f>
        <v>3.3518960880000002</v>
      </c>
      <c r="I224" s="312">
        <f t="shared" si="40"/>
        <v>0</v>
      </c>
      <c r="J224" s="312">
        <f>VLOOKUP($B$187:$B$323,Acraft!$A$3:$R$139,9,FALSE)+Calc1!$C$168*VLOOKUP($B$187:$B$323,Acraft!$A$3:$R$139,16,FALSE)/1000</f>
        <v>4.3075371999999994E-2</v>
      </c>
      <c r="K224" s="312">
        <f t="shared" si="41"/>
        <v>0</v>
      </c>
      <c r="L224" s="312">
        <f>VLOOKUP($B$187:$B$323,Acraft!$A$3:$R$139,10,FALSE)+Calc1!$C$168*VLOOKUP($B$187:$B$323,Acraft!$A$3:$R$139,17,FALSE)/1000</f>
        <v>0.15202199999999999</v>
      </c>
      <c r="M224" s="312">
        <f t="shared" si="42"/>
        <v>0</v>
      </c>
      <c r="N224" s="312">
        <f>VLOOKUP($B$187:$B$323,Acraft!$A$3:$R$139,11,FALSE)+Calc1!$C$168*VLOOKUP($B$187:$B$323,Acraft!$A$3:$R$139,18,FALSE)/1000</f>
        <v>957.73860000000013</v>
      </c>
      <c r="O224" s="398">
        <f t="shared" si="43"/>
        <v>0</v>
      </c>
      <c r="P224" s="312">
        <f>VLOOKUP($B$187:$B$323,Acraft!$A$3:$R$139,5,FALSE)+Calc1!$C$168*VLOOKUP($B$187:$B$323,Acraft!$A$3:$R$139,12,FALSE)/1000</f>
        <v>304.04399999999998</v>
      </c>
      <c r="Q224" s="396">
        <f t="shared" si="44"/>
        <v>0</v>
      </c>
      <c r="R224" s="399">
        <f>VLOOKUP($B$187:$B$323,Acraft!$A$3:$Y$139,20,FALSE)*$Y224*Calc2!$C224/2/1000/1000</f>
        <v>0</v>
      </c>
      <c r="S224" s="400">
        <f>VLOOKUP($B$187:$B$323,Acraft!$A$3:$Y$139,21,FALSE)*$Y224*Calc2!$C224/2/1000/1000</f>
        <v>0</v>
      </c>
      <c r="T224" s="400">
        <f>VLOOKUP($B$187:$B$323,Acraft!$A$3:$Y$139,22,FALSE)*$Y224*Calc2!$C224/2/1000/1000</f>
        <v>0</v>
      </c>
      <c r="U224" s="400">
        <f>VLOOKUP($B$187:$B$323,Acraft!$A$3:$Y$139,23,FALSE)*$Y224*Calc2!$C224/2/1000/1000</f>
        <v>0</v>
      </c>
      <c r="V224" s="400">
        <f>VLOOKUP($B$187:$B$323,Acraft!$A$3:$Y$139,24,FALSE)*$Y224*Calc2!$C224/2/1000/1000</f>
        <v>0</v>
      </c>
      <c r="W224" s="398">
        <f>VLOOKUP($B$187:$B$323,Acraft!$A$3:$Y$139,25,FALSE)*$Y224*Calc2!$C224/2/1000/1000</f>
        <v>0</v>
      </c>
      <c r="X224" s="398">
        <f>VLOOKUP($B$187:$B$323,Acraft!$A$3:$Y$139,19,FALSE)*$Y224*Calc2!$C224/2</f>
        <v>0</v>
      </c>
      <c r="Y224" s="309">
        <f>IF(VLOOKUP($B$187:$B$323,Acraft!$A$3:$Y$139,19,FALSE)=4,Calc1!$C$173,IF(VLOOKUP($B$187:$B$323,Acraft!$A$3:$Y$139,19,FALSE)=1.77777777777778,Calc1!$C$172,0))</f>
        <v>0</v>
      </c>
      <c r="Z224" s="305"/>
    </row>
    <row r="225" spans="1:26" x14ac:dyDescent="0.2">
      <c r="A225" s="303"/>
      <c r="B225" s="309" t="s">
        <v>349</v>
      </c>
      <c r="C225" s="397">
        <f>Calc1!C153</f>
        <v>0</v>
      </c>
      <c r="D225" s="395">
        <f>VLOOKUP($B$187:$B$323,Acraft!$A$3:$R$139,6,FALSE)+Calc1!$C$168*VLOOKUP($B$187:$B$323,Acraft!$A$3:$R$139,13,FALSE)/1000</f>
        <v>2.3652114599999998</v>
      </c>
      <c r="E225" s="398">
        <f t="shared" si="38"/>
        <v>0</v>
      </c>
      <c r="F225" s="312">
        <f>VLOOKUP($B$187:$B$323,Acraft!$A$3:$R$139,7,FALSE)+Calc1!$C$168*VLOOKUP($B$187:$B$323,Acraft!$A$3:$R$139,14,FALSE)/1000</f>
        <v>1.0406757791999999</v>
      </c>
      <c r="G225" s="312">
        <f t="shared" si="39"/>
        <v>0</v>
      </c>
      <c r="H225" s="312">
        <f>VLOOKUP($B$187:$B$323,Acraft!$A$3:$R$139,8,FALSE)+Calc1!$C$168*VLOOKUP($B$187:$B$323,Acraft!$A$3:$R$139,15,FALSE)/1000</f>
        <v>7.3144273199999983</v>
      </c>
      <c r="I225" s="312">
        <f t="shared" si="40"/>
        <v>0</v>
      </c>
      <c r="J225" s="312">
        <f>VLOOKUP($B$187:$B$323,Acraft!$A$3:$R$139,9,FALSE)+Calc1!$C$168*VLOOKUP($B$187:$B$323,Acraft!$A$3:$R$139,16,FALSE)/1000</f>
        <v>2.5178582935688559E-2</v>
      </c>
      <c r="K225" s="312">
        <f t="shared" si="41"/>
        <v>0</v>
      </c>
      <c r="L225" s="312">
        <f>VLOOKUP($B$187:$B$323,Acraft!$A$3:$R$139,10,FALSE)+Calc1!$C$168*VLOOKUP($B$187:$B$323,Acraft!$A$3:$R$139,17,FALSE)/1000</f>
        <v>0.164913</v>
      </c>
      <c r="M225" s="312">
        <f t="shared" si="42"/>
        <v>0</v>
      </c>
      <c r="N225" s="312">
        <f>VLOOKUP($B$187:$B$323,Acraft!$A$3:$R$139,11,FALSE)+Calc1!$C$168*VLOOKUP($B$187:$B$323,Acraft!$A$3:$R$139,18,FALSE)/1000</f>
        <v>1038.9519</v>
      </c>
      <c r="O225" s="398">
        <f t="shared" si="43"/>
        <v>0</v>
      </c>
      <c r="P225" s="312">
        <f>VLOOKUP($B$187:$B$323,Acraft!$A$3:$R$139,5,FALSE)+Calc1!$C$168*VLOOKUP($B$187:$B$323,Acraft!$A$3:$R$139,12,FALSE)/1000</f>
        <v>329.82600000000002</v>
      </c>
      <c r="Q225" s="396">
        <f t="shared" si="44"/>
        <v>0</v>
      </c>
      <c r="R225" s="399">
        <f>VLOOKUP($B$187:$B$323,Acraft!$A$3:$Y$139,20,FALSE)*$Y225*Calc2!$C225/2/1000/1000</f>
        <v>0</v>
      </c>
      <c r="S225" s="400">
        <f>VLOOKUP($B$187:$B$323,Acraft!$A$3:$Y$139,21,FALSE)*$Y225*Calc2!$C225/2/1000/1000</f>
        <v>0</v>
      </c>
      <c r="T225" s="400">
        <f>VLOOKUP($B$187:$B$323,Acraft!$A$3:$Y$139,22,FALSE)*$Y225*Calc2!$C225/2/1000/1000</f>
        <v>0</v>
      </c>
      <c r="U225" s="400">
        <f>VLOOKUP($B$187:$B$323,Acraft!$A$3:$Y$139,23,FALSE)*$Y225*Calc2!$C225/2/1000/1000</f>
        <v>0</v>
      </c>
      <c r="V225" s="400">
        <f>VLOOKUP($B$187:$B$323,Acraft!$A$3:$Y$139,24,FALSE)*$Y225*Calc2!$C225/2/1000/1000</f>
        <v>0</v>
      </c>
      <c r="W225" s="398">
        <f>VLOOKUP($B$187:$B$323,Acraft!$A$3:$Y$139,25,FALSE)*$Y225*Calc2!$C225/2/1000/1000</f>
        <v>0</v>
      </c>
      <c r="X225" s="398">
        <f>VLOOKUP($B$187:$B$323,Acraft!$A$3:$Y$139,19,FALSE)*$Y225*Calc2!$C225/2</f>
        <v>0</v>
      </c>
      <c r="Y225" s="309">
        <f>IF(VLOOKUP($B$187:$B$323,Acraft!$A$3:$Y$139,19,FALSE)=4,Calc1!$C$173,IF(VLOOKUP($B$187:$B$323,Acraft!$A$3:$Y$139,19,FALSE)=1.77777777777778,Calc1!$C$172,0))</f>
        <v>15</v>
      </c>
      <c r="Z225" s="305"/>
    </row>
    <row r="226" spans="1:26" x14ac:dyDescent="0.2">
      <c r="A226" s="303"/>
      <c r="B226" s="309" t="s">
        <v>352</v>
      </c>
      <c r="C226" s="397">
        <f>Calc1!C154</f>
        <v>0</v>
      </c>
      <c r="D226" s="395">
        <f>VLOOKUP($B$187:$B$323,Acraft!$A$3:$R$139,6,FALSE)+Calc1!$C$168*VLOOKUP($B$187:$B$323,Acraft!$A$3:$R$139,13,FALSE)/1000</f>
        <v>0.52542275999999988</v>
      </c>
      <c r="E226" s="398">
        <f t="shared" si="38"/>
        <v>0</v>
      </c>
      <c r="F226" s="312">
        <f>VLOOKUP($B$187:$B$323,Acraft!$A$3:$R$139,7,FALSE)+Calc1!$C$168*VLOOKUP($B$187:$B$323,Acraft!$A$3:$R$139,14,FALSE)/1000</f>
        <v>3.6276459600000002</v>
      </c>
      <c r="G226" s="312">
        <f t="shared" si="39"/>
        <v>0</v>
      </c>
      <c r="H226" s="312">
        <f>VLOOKUP($B$187:$B$323,Acraft!$A$3:$R$139,8,FALSE)+Calc1!$C$168*VLOOKUP($B$187:$B$323,Acraft!$A$3:$R$139,15,FALSE)/1000</f>
        <v>2.9468556000000001</v>
      </c>
      <c r="I226" s="312">
        <f t="shared" si="40"/>
        <v>0</v>
      </c>
      <c r="J226" s="312">
        <f>VLOOKUP($B$187:$B$323,Acraft!$A$3:$R$139,9,FALSE)+Calc1!$C$168*VLOOKUP($B$187:$B$323,Acraft!$A$3:$R$139,16,FALSE)/1000</f>
        <v>1.143192E-2</v>
      </c>
      <c r="K226" s="312">
        <f t="shared" si="41"/>
        <v>0</v>
      </c>
      <c r="L226" s="312">
        <f>VLOOKUP($B$187:$B$323,Acraft!$A$3:$R$139,10,FALSE)+Calc1!$C$168*VLOOKUP($B$187:$B$323,Acraft!$A$3:$R$139,17,FALSE)/1000</f>
        <v>4.0802999999999992E-2</v>
      </c>
      <c r="M226" s="312">
        <f t="shared" si="42"/>
        <v>0</v>
      </c>
      <c r="N226" s="312">
        <f>VLOOKUP($B$187:$B$323,Acraft!$A$3:$R$139,11,FALSE)+Calc1!$C$168*VLOOKUP($B$187:$B$323,Acraft!$A$3:$R$139,18,FALSE)/1000</f>
        <v>25.705889999999997</v>
      </c>
      <c r="O226" s="398">
        <f t="shared" si="43"/>
        <v>0</v>
      </c>
      <c r="P226" s="312">
        <f>VLOOKUP($B$187:$B$323,Acraft!$A$3:$R$139,5,FALSE)+Calc1!$C$168*VLOOKUP($B$187:$B$323,Acraft!$A$3:$R$139,12,FALSE)/1000</f>
        <v>81.605999999999995</v>
      </c>
      <c r="Q226" s="396">
        <f t="shared" si="44"/>
        <v>0</v>
      </c>
      <c r="R226" s="399">
        <f>VLOOKUP($B$187:$B$323,Acraft!$A$3:$Y$139,20,FALSE)*$Y226*Calc2!$C226/2/1000/1000</f>
        <v>0</v>
      </c>
      <c r="S226" s="400">
        <f>VLOOKUP($B$187:$B$323,Acraft!$A$3:$Y$139,21,FALSE)*$Y226*Calc2!$C226/2/1000/1000</f>
        <v>0</v>
      </c>
      <c r="T226" s="400">
        <f>VLOOKUP($B$187:$B$323,Acraft!$A$3:$Y$139,22,FALSE)*$Y226*Calc2!$C226/2/1000/1000</f>
        <v>0</v>
      </c>
      <c r="U226" s="400">
        <f>VLOOKUP($B$187:$B$323,Acraft!$A$3:$Y$139,23,FALSE)*$Y226*Calc2!$C226/2/1000/1000</f>
        <v>0</v>
      </c>
      <c r="V226" s="400">
        <f>VLOOKUP($B$187:$B$323,Acraft!$A$3:$Y$139,24,FALSE)*$Y226*Calc2!$C226/2/1000/1000</f>
        <v>0</v>
      </c>
      <c r="W226" s="398">
        <f>VLOOKUP($B$187:$B$323,Acraft!$A$3:$Y$139,25,FALSE)*$Y226*Calc2!$C226/2/1000/1000</f>
        <v>0</v>
      </c>
      <c r="X226" s="398">
        <f>VLOOKUP($B$187:$B$323,Acraft!$A$3:$Y$139,19,FALSE)*$Y226*Calc2!$C226/2</f>
        <v>0</v>
      </c>
      <c r="Y226" s="309">
        <f>IF(VLOOKUP($B$187:$B$323,Acraft!$A$3:$Y$139,19,FALSE)=4,Calc1!$C$173,IF(VLOOKUP($B$187:$B$323,Acraft!$A$3:$Y$139,19,FALSE)=1.77777777777778,Calc1!$C$172,0))</f>
        <v>0</v>
      </c>
      <c r="Z226" s="305"/>
    </row>
    <row r="227" spans="1:26" x14ac:dyDescent="0.2">
      <c r="A227" s="303"/>
      <c r="B227" s="309" t="s">
        <v>354</v>
      </c>
      <c r="C227" s="397">
        <f>Calc1!C155</f>
        <v>0</v>
      </c>
      <c r="D227" s="395">
        <f>VLOOKUP($B$187:$B$323,Acraft!$A$3:$R$139,6,FALSE)+Calc1!$C$168*VLOOKUP($B$187:$B$323,Acraft!$A$3:$R$139,13,FALSE)/1000</f>
        <v>0.89775156</v>
      </c>
      <c r="E227" s="398">
        <f t="shared" si="38"/>
        <v>0</v>
      </c>
      <c r="F227" s="312">
        <f>VLOOKUP($B$187:$B$323,Acraft!$A$3:$R$139,7,FALSE)+Calc1!$C$168*VLOOKUP($B$187:$B$323,Acraft!$A$3:$R$139,14,FALSE)/1000</f>
        <v>0.48022307999999991</v>
      </c>
      <c r="G227" s="312">
        <f t="shared" si="39"/>
        <v>0</v>
      </c>
      <c r="H227" s="312">
        <f>VLOOKUP($B$187:$B$323,Acraft!$A$3:$R$139,8,FALSE)+Calc1!$C$168*VLOOKUP($B$187:$B$323,Acraft!$A$3:$R$139,15,FALSE)/1000</f>
        <v>4.6379560199999998</v>
      </c>
      <c r="I227" s="312">
        <f t="shared" si="40"/>
        <v>0</v>
      </c>
      <c r="J227" s="312">
        <f>VLOOKUP($B$187:$B$323,Acraft!$A$3:$R$139,9,FALSE)+Calc1!$C$168*VLOOKUP($B$187:$B$323,Acraft!$A$3:$R$139,16,FALSE)/1000</f>
        <v>2.0671172000000005E-2</v>
      </c>
      <c r="K227" s="312">
        <f t="shared" si="41"/>
        <v>0</v>
      </c>
      <c r="L227" s="312">
        <f>VLOOKUP($B$187:$B$323,Acraft!$A$3:$R$139,10,FALSE)+Calc1!$C$168*VLOOKUP($B$187:$B$323,Acraft!$A$3:$R$139,17,FALSE)/1000</f>
        <v>7.1340000000000001E-2</v>
      </c>
      <c r="M227" s="312">
        <f t="shared" si="42"/>
        <v>0</v>
      </c>
      <c r="N227" s="312">
        <f>VLOOKUP($B$187:$B$323,Acraft!$A$3:$R$139,11,FALSE)+Calc1!$C$168*VLOOKUP($B$187:$B$323,Acraft!$A$3:$R$139,18,FALSE)/1000</f>
        <v>449.44200000000001</v>
      </c>
      <c r="O227" s="398">
        <f t="shared" si="43"/>
        <v>0</v>
      </c>
      <c r="P227" s="312">
        <f>VLOOKUP($B$187:$B$323,Acraft!$A$3:$R$139,5,FALSE)+Calc1!$C$168*VLOOKUP($B$187:$B$323,Acraft!$A$3:$R$139,12,FALSE)/1000</f>
        <v>142.68</v>
      </c>
      <c r="Q227" s="396">
        <f t="shared" si="44"/>
        <v>0</v>
      </c>
      <c r="R227" s="399">
        <f>VLOOKUP($B$187:$B$323,Acraft!$A$3:$Y$139,20,FALSE)*$Y227*Calc2!$C227/2/1000/1000</f>
        <v>0</v>
      </c>
      <c r="S227" s="400">
        <f>VLOOKUP($B$187:$B$323,Acraft!$A$3:$Y$139,21,FALSE)*$Y227*Calc2!$C227/2/1000/1000</f>
        <v>0</v>
      </c>
      <c r="T227" s="400">
        <f>VLOOKUP($B$187:$B$323,Acraft!$A$3:$Y$139,22,FALSE)*$Y227*Calc2!$C227/2/1000/1000</f>
        <v>0</v>
      </c>
      <c r="U227" s="400">
        <f>VLOOKUP($B$187:$B$323,Acraft!$A$3:$Y$139,23,FALSE)*$Y227*Calc2!$C227/2/1000/1000</f>
        <v>0</v>
      </c>
      <c r="V227" s="400">
        <f>VLOOKUP($B$187:$B$323,Acraft!$A$3:$Y$139,24,FALSE)*$Y227*Calc2!$C227/2/1000/1000</f>
        <v>0</v>
      </c>
      <c r="W227" s="398">
        <f>VLOOKUP($B$187:$B$323,Acraft!$A$3:$Y$139,25,FALSE)*$Y227*Calc2!$C227/2/1000/1000</f>
        <v>0</v>
      </c>
      <c r="X227" s="398">
        <f>VLOOKUP($B$187:$B$323,Acraft!$A$3:$Y$139,19,FALSE)*$Y227*Calc2!$C227/2</f>
        <v>0</v>
      </c>
      <c r="Y227" s="309">
        <f>IF(VLOOKUP($B$187:$B$323,Acraft!$A$3:$Y$139,19,FALSE)=4,Calc1!$C$173,IF(VLOOKUP($B$187:$B$323,Acraft!$A$3:$Y$139,19,FALSE)=1.77777777777778,Calc1!$C$172,0))</f>
        <v>0</v>
      </c>
      <c r="Z227" s="305"/>
    </row>
    <row r="228" spans="1:26" x14ac:dyDescent="0.2">
      <c r="A228" s="303"/>
      <c r="B228" s="309" t="s">
        <v>357</v>
      </c>
      <c r="C228" s="397">
        <f>Calc1!C156</f>
        <v>0</v>
      </c>
      <c r="D228" s="395">
        <f>VLOOKUP($B$187:$B$323,Acraft!$A$3:$R$139,6,FALSE)+Calc1!$C$168*VLOOKUP($B$187:$B$323,Acraft!$A$3:$R$139,13,FALSE)/1000</f>
        <v>1.2500304E-2</v>
      </c>
      <c r="E228" s="398">
        <f t="shared" si="38"/>
        <v>0</v>
      </c>
      <c r="F228" s="312">
        <f>VLOOKUP($B$187:$B$323,Acraft!$A$3:$R$139,7,FALSE)+Calc1!$C$168*VLOOKUP($B$187:$B$323,Acraft!$A$3:$R$139,14,FALSE)/1000</f>
        <v>0.212376648</v>
      </c>
      <c r="G228" s="312">
        <f t="shared" si="39"/>
        <v>0</v>
      </c>
      <c r="H228" s="312">
        <f>VLOOKUP($B$187:$B$323,Acraft!$A$3:$R$139,8,FALSE)+Calc1!$C$168*VLOOKUP($B$187:$B$323,Acraft!$A$3:$R$139,15,FALSE)/1000</f>
        <v>9.997577999999999</v>
      </c>
      <c r="I228" s="312">
        <f t="shared" si="40"/>
        <v>0</v>
      </c>
      <c r="J228" s="312">
        <f>VLOOKUP($B$187:$B$323,Acraft!$A$3:$R$139,9,FALSE)+Calc1!$C$168*VLOOKUP($B$187:$B$323,Acraft!$A$3:$R$139,16,FALSE)/1000</f>
        <v>4.3036000000000007E-4</v>
      </c>
      <c r="K228" s="312">
        <f t="shared" si="41"/>
        <v>0</v>
      </c>
      <c r="L228" s="312">
        <f>VLOOKUP($B$187:$B$323,Acraft!$A$3:$R$139,10,FALSE)+Calc1!$C$168*VLOOKUP($B$187:$B$323,Acraft!$A$3:$R$139,17,FALSE)/1000</f>
        <v>3.9623999999999996E-3</v>
      </c>
      <c r="M228" s="312">
        <f t="shared" si="42"/>
        <v>0</v>
      </c>
      <c r="N228" s="312">
        <f>VLOOKUP($B$187:$B$323,Acraft!$A$3:$R$139,11,FALSE)+Calc1!$C$168*VLOOKUP($B$187:$B$323,Acraft!$A$3:$R$139,18,FALSE)/1000</f>
        <v>24.883871999999997</v>
      </c>
      <c r="O228" s="398">
        <f t="shared" si="43"/>
        <v>0</v>
      </c>
      <c r="P228" s="312">
        <f>VLOOKUP($B$187:$B$323,Acraft!$A$3:$R$139,5,FALSE)+Calc1!$C$168*VLOOKUP($B$187:$B$323,Acraft!$A$3:$R$139,12,FALSE)/1000</f>
        <v>7.9247999999999994</v>
      </c>
      <c r="Q228" s="396">
        <f t="shared" si="44"/>
        <v>0</v>
      </c>
      <c r="R228" s="399">
        <f>VLOOKUP($B$187:$B$323,Acraft!$A$3:$Y$139,20,FALSE)*$Y228*Calc2!$C228/2/1000/1000</f>
        <v>0</v>
      </c>
      <c r="S228" s="400">
        <f>VLOOKUP($B$187:$B$323,Acraft!$A$3:$Y$139,21,FALSE)*$Y228*Calc2!$C228/2/1000/1000</f>
        <v>0</v>
      </c>
      <c r="T228" s="400">
        <f>VLOOKUP($B$187:$B$323,Acraft!$A$3:$Y$139,22,FALSE)*$Y228*Calc2!$C228/2/1000/1000</f>
        <v>0</v>
      </c>
      <c r="U228" s="400">
        <f>VLOOKUP($B$187:$B$323,Acraft!$A$3:$Y$139,23,FALSE)*$Y228*Calc2!$C228/2/1000/1000</f>
        <v>0</v>
      </c>
      <c r="V228" s="400">
        <f>VLOOKUP($B$187:$B$323,Acraft!$A$3:$Y$139,24,FALSE)*$Y228*Calc2!$C228/2/1000/1000</f>
        <v>0</v>
      </c>
      <c r="W228" s="398">
        <f>VLOOKUP($B$187:$B$323,Acraft!$A$3:$Y$139,25,FALSE)*$Y228*Calc2!$C228/2/1000/1000</f>
        <v>0</v>
      </c>
      <c r="X228" s="398">
        <f>VLOOKUP($B$187:$B$323,Acraft!$A$3:$Y$139,19,FALSE)*$Y228*Calc2!$C228/2</f>
        <v>0</v>
      </c>
      <c r="Y228" s="309">
        <f>IF(VLOOKUP($B$187:$B$323,Acraft!$A$3:$Y$139,19,FALSE)=4,Calc1!$C$173,IF(VLOOKUP($B$187:$B$323,Acraft!$A$3:$Y$139,19,FALSE)=1.77777777777778,Calc1!$C$172,0))</f>
        <v>0</v>
      </c>
      <c r="Z228" s="305"/>
    </row>
    <row r="229" spans="1:26" x14ac:dyDescent="0.2">
      <c r="A229" s="303"/>
      <c r="B229" s="309" t="s">
        <v>361</v>
      </c>
      <c r="C229" s="397">
        <f>Calc1!C157</f>
        <v>0</v>
      </c>
      <c r="D229" s="395">
        <f>VLOOKUP($B$187:$B$323,Acraft!$A$3:$R$139,6,FALSE)+Calc1!$C$168*VLOOKUP($B$187:$B$323,Acraft!$A$3:$R$139,13,FALSE)/1000</f>
        <v>3.4255800000000003E-2</v>
      </c>
      <c r="E229" s="398">
        <f t="shared" si="38"/>
        <v>0</v>
      </c>
      <c r="F229" s="312">
        <f>VLOOKUP($B$187:$B$323,Acraft!$A$3:$R$139,7,FALSE)+Calc1!$C$168*VLOOKUP($B$187:$B$323,Acraft!$A$3:$R$139,14,FALSE)/1000</f>
        <v>0.29444154</v>
      </c>
      <c r="G229" s="312">
        <f t="shared" si="39"/>
        <v>0</v>
      </c>
      <c r="H229" s="312">
        <f>VLOOKUP($B$187:$B$323,Acraft!$A$3:$R$139,8,FALSE)+Calc1!$C$168*VLOOKUP($B$187:$B$323,Acraft!$A$3:$R$139,15,FALSE)/1000</f>
        <v>10.877742</v>
      </c>
      <c r="I229" s="312">
        <f t="shared" si="40"/>
        <v>0</v>
      </c>
      <c r="J229" s="312">
        <f>VLOOKUP($B$187:$B$323,Acraft!$A$3:$R$139,9,FALSE)+Calc1!$C$168*VLOOKUP($B$187:$B$323,Acraft!$A$3:$R$139,16,FALSE)/1000</f>
        <v>3.5765660000000002E-4</v>
      </c>
      <c r="K229" s="312">
        <f t="shared" si="41"/>
        <v>0</v>
      </c>
      <c r="L229" s="312">
        <f>VLOOKUP($B$187:$B$323,Acraft!$A$3:$R$139,10,FALSE)+Calc1!$C$168*VLOOKUP($B$187:$B$323,Acraft!$A$3:$R$139,17,FALSE)/1000</f>
        <v>5.7273000000000003E-3</v>
      </c>
      <c r="M229" s="312">
        <f t="shared" si="42"/>
        <v>0</v>
      </c>
      <c r="N229" s="312">
        <f>VLOOKUP($B$187:$B$323,Acraft!$A$3:$R$139,11,FALSE)+Calc1!$C$168*VLOOKUP($B$187:$B$323,Acraft!$A$3:$R$139,18,FALSE)/1000</f>
        <v>35.967444</v>
      </c>
      <c r="O229" s="398">
        <f t="shared" si="43"/>
        <v>0</v>
      </c>
      <c r="P229" s="312">
        <f>VLOOKUP($B$187:$B$323,Acraft!$A$3:$R$139,5,FALSE)+Calc1!$C$168*VLOOKUP($B$187:$B$323,Acraft!$A$3:$R$139,12,FALSE)/1000</f>
        <v>11.454600000000001</v>
      </c>
      <c r="Q229" s="396">
        <f t="shared" si="44"/>
        <v>0</v>
      </c>
      <c r="R229" s="399">
        <f>VLOOKUP($B$187:$B$323,Acraft!$A$3:$Y$139,20,FALSE)*$Y229*Calc2!$C229/2/1000/1000</f>
        <v>0</v>
      </c>
      <c r="S229" s="400">
        <f>VLOOKUP($B$187:$B$323,Acraft!$A$3:$Y$139,21,FALSE)*$Y229*Calc2!$C229/2/1000/1000</f>
        <v>0</v>
      </c>
      <c r="T229" s="400">
        <f>VLOOKUP($B$187:$B$323,Acraft!$A$3:$Y$139,22,FALSE)*$Y229*Calc2!$C229/2/1000/1000</f>
        <v>0</v>
      </c>
      <c r="U229" s="400">
        <f>VLOOKUP($B$187:$B$323,Acraft!$A$3:$Y$139,23,FALSE)*$Y229*Calc2!$C229/2/1000/1000</f>
        <v>0</v>
      </c>
      <c r="V229" s="400">
        <f>VLOOKUP($B$187:$B$323,Acraft!$A$3:$Y$139,24,FALSE)*$Y229*Calc2!$C229/2/1000/1000</f>
        <v>0</v>
      </c>
      <c r="W229" s="398">
        <f>VLOOKUP($B$187:$B$323,Acraft!$A$3:$Y$139,25,FALSE)*$Y229*Calc2!$C229/2/1000/1000</f>
        <v>0</v>
      </c>
      <c r="X229" s="398">
        <f>VLOOKUP($B$187:$B$323,Acraft!$A$3:$Y$139,19,FALSE)*$Y229*Calc2!$C229/2</f>
        <v>0</v>
      </c>
      <c r="Y229" s="309">
        <f>IF(VLOOKUP($B$187:$B$323,Acraft!$A$3:$Y$139,19,FALSE)=4,Calc1!$C$173,IF(VLOOKUP($B$187:$B$323,Acraft!$A$3:$Y$139,19,FALSE)=1.77777777777778,Calc1!$C$172,0))</f>
        <v>0</v>
      </c>
      <c r="Z229" s="305"/>
    </row>
    <row r="230" spans="1:26" x14ac:dyDescent="0.2">
      <c r="A230" s="303"/>
      <c r="B230" s="309" t="s">
        <v>364</v>
      </c>
      <c r="C230" s="397">
        <f>Calc1!C158</f>
        <v>0</v>
      </c>
      <c r="D230" s="395">
        <f>VLOOKUP($B$187:$B$323,Acraft!$A$3:$R$139,6,FALSE)+Calc1!$C$168*VLOOKUP($B$187:$B$323,Acraft!$A$3:$R$139,13,FALSE)/1000</f>
        <v>0.18376799999999999</v>
      </c>
      <c r="E230" s="398">
        <f t="shared" si="38"/>
        <v>0</v>
      </c>
      <c r="F230" s="312">
        <f>VLOOKUP($B$187:$B$323,Acraft!$A$3:$R$139,7,FALSE)+Calc1!$C$168*VLOOKUP($B$187:$B$323,Acraft!$A$3:$R$139,14,FALSE)/1000</f>
        <v>4.5221640000000001</v>
      </c>
      <c r="G230" s="312">
        <f t="shared" si="39"/>
        <v>0</v>
      </c>
      <c r="H230" s="312">
        <f>VLOOKUP($B$187:$B$323,Acraft!$A$3:$R$139,8,FALSE)+Calc1!$C$168*VLOOKUP($B$187:$B$323,Acraft!$A$3:$R$139,15,FALSE)/1000</f>
        <v>3.2655120000000002</v>
      </c>
      <c r="I230" s="312">
        <f t="shared" si="40"/>
        <v>0</v>
      </c>
      <c r="J230" s="312">
        <f>VLOOKUP($B$187:$B$323,Acraft!$A$3:$R$139,9,FALSE)+Calc1!$C$168*VLOOKUP($B$187:$B$323,Acraft!$A$3:$R$139,16,FALSE)/1000</f>
        <v>9.7669200000000001E-3</v>
      </c>
      <c r="K230" s="312">
        <f t="shared" si="41"/>
        <v>0</v>
      </c>
      <c r="L230" s="312">
        <f>VLOOKUP($B$187:$B$323,Acraft!$A$3:$R$139,10,FALSE)+Calc1!$C$168*VLOOKUP($B$187:$B$323,Acraft!$A$3:$R$139,17,FALSE)/1000</f>
        <v>3.2892000000000005E-2</v>
      </c>
      <c r="M230" s="312">
        <f t="shared" si="42"/>
        <v>0</v>
      </c>
      <c r="N230" s="312">
        <f>VLOOKUP($B$187:$B$323,Acraft!$A$3:$R$139,11,FALSE)+Calc1!$C$168*VLOOKUP($B$187:$B$323,Acraft!$A$3:$R$139,18,FALSE)/1000</f>
        <v>207.21960000000001</v>
      </c>
      <c r="O230" s="398">
        <f t="shared" si="43"/>
        <v>0</v>
      </c>
      <c r="P230" s="312">
        <f>VLOOKUP($B$187:$B$323,Acraft!$A$3:$R$139,5,FALSE)+Calc1!$C$168*VLOOKUP($B$187:$B$323,Acraft!$A$3:$R$139,12,FALSE)/1000</f>
        <v>65.783999999999992</v>
      </c>
      <c r="Q230" s="396">
        <f t="shared" si="44"/>
        <v>0</v>
      </c>
      <c r="R230" s="399">
        <f>VLOOKUP($B$187:$B$323,Acraft!$A$3:$Y$139,20,FALSE)*$Y230*Calc2!$C230/2/1000/1000</f>
        <v>0</v>
      </c>
      <c r="S230" s="400">
        <f>VLOOKUP($B$187:$B$323,Acraft!$A$3:$Y$139,21,FALSE)*$Y230*Calc2!$C230/2/1000/1000</f>
        <v>0</v>
      </c>
      <c r="T230" s="400">
        <f>VLOOKUP($B$187:$B$323,Acraft!$A$3:$Y$139,22,FALSE)*$Y230*Calc2!$C230/2/1000/1000</f>
        <v>0</v>
      </c>
      <c r="U230" s="400">
        <f>VLOOKUP($B$187:$B$323,Acraft!$A$3:$Y$139,23,FALSE)*$Y230*Calc2!$C230/2/1000/1000</f>
        <v>0</v>
      </c>
      <c r="V230" s="400">
        <f>VLOOKUP($B$187:$B$323,Acraft!$A$3:$Y$139,24,FALSE)*$Y230*Calc2!$C230/2/1000/1000</f>
        <v>0</v>
      </c>
      <c r="W230" s="398">
        <f>VLOOKUP($B$187:$B$323,Acraft!$A$3:$Y$139,25,FALSE)*$Y230*Calc2!$C230/2/1000/1000</f>
        <v>0</v>
      </c>
      <c r="X230" s="398">
        <f>VLOOKUP($B$187:$B$323,Acraft!$A$3:$Y$139,19,FALSE)*$Y230*Calc2!$C230/2</f>
        <v>0</v>
      </c>
      <c r="Y230" s="309">
        <f>IF(VLOOKUP($B$187:$B$323,Acraft!$A$3:$Y$139,19,FALSE)=4,Calc1!$C$173,IF(VLOOKUP($B$187:$B$323,Acraft!$A$3:$Y$139,19,FALSE)=1.77777777777778,Calc1!$C$172,0))</f>
        <v>0</v>
      </c>
      <c r="Z230" s="305"/>
    </row>
    <row r="231" spans="1:26" x14ac:dyDescent="0.2">
      <c r="A231" s="303"/>
      <c r="B231" s="309" t="s">
        <v>367</v>
      </c>
      <c r="C231" s="397">
        <f>Calc1!C159</f>
        <v>0</v>
      </c>
      <c r="D231" s="395">
        <f>VLOOKUP($B$187:$B$323,Acraft!$A$3:$R$139,6,FALSE)+Calc1!$C$168*VLOOKUP($B$187:$B$323,Acraft!$A$3:$R$139,13,FALSE)/1000</f>
        <v>0.11347728000000001</v>
      </c>
      <c r="E231" s="398">
        <f t="shared" si="38"/>
        <v>0</v>
      </c>
      <c r="F231" s="312">
        <f>VLOOKUP($B$187:$B$323,Acraft!$A$3:$R$139,7,FALSE)+Calc1!$C$168*VLOOKUP($B$187:$B$323,Acraft!$A$3:$R$139,14,FALSE)/1000</f>
        <v>0.49121039999999994</v>
      </c>
      <c r="G231" s="312">
        <f t="shared" si="39"/>
        <v>0</v>
      </c>
      <c r="H231" s="312">
        <f>VLOOKUP($B$187:$B$323,Acraft!$A$3:$R$139,8,FALSE)+Calc1!$C$168*VLOOKUP($B$187:$B$323,Acraft!$A$3:$R$139,15,FALSE)/1000</f>
        <v>39.125783999999996</v>
      </c>
      <c r="I231" s="312">
        <f t="shared" si="40"/>
        <v>0</v>
      </c>
      <c r="J231" s="312">
        <f>VLOOKUP($B$187:$B$323,Acraft!$A$3:$R$139,9,FALSE)+Calc1!$C$168*VLOOKUP($B$187:$B$323,Acraft!$A$3:$R$139,16,FALSE)/1000</f>
        <v>1.4699320000000002E-3</v>
      </c>
      <c r="K231" s="312">
        <f t="shared" si="41"/>
        <v>0</v>
      </c>
      <c r="L231" s="312">
        <f>VLOOKUP($B$187:$B$323,Acraft!$A$3:$R$139,10,FALSE)+Calc1!$C$168*VLOOKUP($B$187:$B$323,Acraft!$A$3:$R$139,17,FALSE)/1000</f>
        <v>2.2308000000000001E-2</v>
      </c>
      <c r="M231" s="312">
        <f t="shared" si="42"/>
        <v>0</v>
      </c>
      <c r="N231" s="312">
        <f>VLOOKUP($B$187:$B$323,Acraft!$A$3:$R$139,11,FALSE)+Calc1!$C$168*VLOOKUP($B$187:$B$323,Acraft!$A$3:$R$139,18,FALSE)/1000</f>
        <v>140.09424000000001</v>
      </c>
      <c r="O231" s="398">
        <f t="shared" si="43"/>
        <v>0</v>
      </c>
      <c r="P231" s="312">
        <f>VLOOKUP($B$187:$B$323,Acraft!$A$3:$R$139,5,FALSE)+Calc1!$C$168*VLOOKUP($B$187:$B$323,Acraft!$A$3:$R$139,12,FALSE)/1000</f>
        <v>44.616</v>
      </c>
      <c r="Q231" s="396">
        <f t="shared" si="44"/>
        <v>0</v>
      </c>
      <c r="R231" s="399">
        <f>VLOOKUP($B$187:$B$323,Acraft!$A$3:$Y$139,20,FALSE)*$Y231*Calc2!$C231/2/1000/1000</f>
        <v>0</v>
      </c>
      <c r="S231" s="400">
        <f>VLOOKUP($B$187:$B$323,Acraft!$A$3:$Y$139,21,FALSE)*$Y231*Calc2!$C231/2/1000/1000</f>
        <v>0</v>
      </c>
      <c r="T231" s="400">
        <f>VLOOKUP($B$187:$B$323,Acraft!$A$3:$Y$139,22,FALSE)*$Y231*Calc2!$C231/2/1000/1000</f>
        <v>0</v>
      </c>
      <c r="U231" s="400">
        <f>VLOOKUP($B$187:$B$323,Acraft!$A$3:$Y$139,23,FALSE)*$Y231*Calc2!$C231/2/1000/1000</f>
        <v>0</v>
      </c>
      <c r="V231" s="400">
        <f>VLOOKUP($B$187:$B$323,Acraft!$A$3:$Y$139,24,FALSE)*$Y231*Calc2!$C231/2/1000/1000</f>
        <v>0</v>
      </c>
      <c r="W231" s="398">
        <f>VLOOKUP($B$187:$B$323,Acraft!$A$3:$Y$139,25,FALSE)*$Y231*Calc2!$C231/2/1000/1000</f>
        <v>0</v>
      </c>
      <c r="X231" s="398">
        <f>VLOOKUP($B$187:$B$323,Acraft!$A$3:$Y$139,19,FALSE)*$Y231*Calc2!$C231/2</f>
        <v>0</v>
      </c>
      <c r="Y231" s="309">
        <f>IF(VLOOKUP($B$187:$B$323,Acraft!$A$3:$Y$139,19,FALSE)=4,Calc1!$C$173,IF(VLOOKUP($B$187:$B$323,Acraft!$A$3:$Y$139,19,FALSE)=1.77777777777778,Calc1!$C$172,0))</f>
        <v>0</v>
      </c>
      <c r="Z231" s="305"/>
    </row>
    <row r="232" spans="1:26" x14ac:dyDescent="0.2">
      <c r="A232" s="303"/>
      <c r="B232" s="309" t="s">
        <v>371</v>
      </c>
      <c r="C232" s="397">
        <f>Calc1!C160</f>
        <v>0</v>
      </c>
      <c r="D232" s="395">
        <f>VLOOKUP($B$187:$B$323,Acraft!$A$3:$R$139,6,FALSE)+Calc1!$C$168*VLOOKUP($B$187:$B$323,Acraft!$A$3:$R$139,13,FALSE)/1000</f>
        <v>0.26304240000000001</v>
      </c>
      <c r="E232" s="398">
        <f t="shared" si="38"/>
        <v>0</v>
      </c>
      <c r="F232" s="312">
        <f>VLOOKUP($B$187:$B$323,Acraft!$A$3:$R$139,7,FALSE)+Calc1!$C$168*VLOOKUP($B$187:$B$323,Acraft!$A$3:$R$139,14,FALSE)/1000</f>
        <v>7.0699440000000016E-2</v>
      </c>
      <c r="G232" s="312">
        <f t="shared" si="39"/>
        <v>0</v>
      </c>
      <c r="H232" s="312">
        <f>VLOOKUP($B$187:$B$323,Acraft!$A$3:$R$139,8,FALSE)+Calc1!$C$168*VLOOKUP($B$187:$B$323,Acraft!$A$3:$R$139,15,FALSE)/1000</f>
        <v>2.1620880000000002</v>
      </c>
      <c r="I232" s="312">
        <f t="shared" si="40"/>
        <v>0</v>
      </c>
      <c r="J232" s="312">
        <f>VLOOKUP($B$187:$B$323,Acraft!$A$3:$R$139,9,FALSE)+Calc1!$C$168*VLOOKUP($B$187:$B$323,Acraft!$A$3:$R$139,16,FALSE)/1000</f>
        <v>5.990540643703534E-3</v>
      </c>
      <c r="K232" s="312">
        <f t="shared" si="41"/>
        <v>0</v>
      </c>
      <c r="L232" s="312">
        <f>VLOOKUP($B$187:$B$323,Acraft!$A$3:$R$139,10,FALSE)+Calc1!$C$168*VLOOKUP($B$187:$B$323,Acraft!$A$3:$R$139,17,FALSE)/1000</f>
        <v>3.1595999999999999E-2</v>
      </c>
      <c r="M232" s="312">
        <f t="shared" si="42"/>
        <v>0</v>
      </c>
      <c r="N232" s="312">
        <f>VLOOKUP($B$187:$B$323,Acraft!$A$3:$R$139,11,FALSE)+Calc1!$C$168*VLOOKUP($B$187:$B$323,Acraft!$A$3:$R$139,18,FALSE)/1000</f>
        <v>199.0548</v>
      </c>
      <c r="O232" s="398">
        <f t="shared" si="43"/>
        <v>0</v>
      </c>
      <c r="P232" s="312">
        <f>VLOOKUP($B$187:$B$323,Acraft!$A$3:$R$139,5,FALSE)+Calc1!$C$168*VLOOKUP($B$187:$B$323,Acraft!$A$3:$R$139,12,FALSE)/1000</f>
        <v>63.192</v>
      </c>
      <c r="Q232" s="396">
        <f t="shared" si="44"/>
        <v>0</v>
      </c>
      <c r="R232" s="399">
        <f>VLOOKUP($B$187:$B$323,Acraft!$A$3:$Y$139,20,FALSE)*$Y232*Calc2!$C232/2/1000/1000</f>
        <v>0</v>
      </c>
      <c r="S232" s="400">
        <f>VLOOKUP($B$187:$B$323,Acraft!$A$3:$Y$139,21,FALSE)*$Y232*Calc2!$C232/2/1000/1000</f>
        <v>0</v>
      </c>
      <c r="T232" s="400">
        <f>VLOOKUP($B$187:$B$323,Acraft!$A$3:$Y$139,22,FALSE)*$Y232*Calc2!$C232/2/1000/1000</f>
        <v>0</v>
      </c>
      <c r="U232" s="400">
        <f>VLOOKUP($B$187:$B$323,Acraft!$A$3:$Y$139,23,FALSE)*$Y232*Calc2!$C232/2/1000/1000</f>
        <v>0</v>
      </c>
      <c r="V232" s="400">
        <f>VLOOKUP($B$187:$B$323,Acraft!$A$3:$Y$139,24,FALSE)*$Y232*Calc2!$C232/2/1000/1000</f>
        <v>0</v>
      </c>
      <c r="W232" s="398">
        <f>VLOOKUP($B$187:$B$323,Acraft!$A$3:$Y$139,25,FALSE)*$Y232*Calc2!$C232/2/1000/1000</f>
        <v>0</v>
      </c>
      <c r="X232" s="398">
        <f>VLOOKUP($B$187:$B$323,Acraft!$A$3:$Y$139,19,FALSE)*$Y232*Calc2!$C232/2</f>
        <v>0</v>
      </c>
      <c r="Y232" s="309">
        <f>IF(VLOOKUP($B$187:$B$323,Acraft!$A$3:$Y$139,19,FALSE)=4,Calc1!$C$173,IF(VLOOKUP($B$187:$B$323,Acraft!$A$3:$Y$139,19,FALSE)=1.77777777777778,Calc1!$C$172,0))</f>
        <v>15</v>
      </c>
      <c r="Z232" s="305"/>
    </row>
    <row r="233" spans="1:26" x14ac:dyDescent="0.2">
      <c r="A233" s="303"/>
      <c r="B233" s="309" t="s">
        <v>374</v>
      </c>
      <c r="C233" s="397">
        <f>Calc1!C161</f>
        <v>0</v>
      </c>
      <c r="D233" s="395">
        <f>VLOOKUP($B$187:$B$323,Acraft!$A$3:$R$139,6,FALSE)+Calc1!$C$168*VLOOKUP($B$187:$B$323,Acraft!$A$3:$R$139,13,FALSE)/1000</f>
        <v>0.30556276800000004</v>
      </c>
      <c r="E233" s="398">
        <f t="shared" si="38"/>
        <v>0</v>
      </c>
      <c r="F233" s="312">
        <f>VLOOKUP($B$187:$B$323,Acraft!$A$3:$R$139,7,FALSE)+Calc1!$C$168*VLOOKUP($B$187:$B$323,Acraft!$A$3:$R$139,14,FALSE)/1000</f>
        <v>2.8176613320000001</v>
      </c>
      <c r="G233" s="312">
        <f t="shared" si="39"/>
        <v>0</v>
      </c>
      <c r="H233" s="312">
        <f>VLOOKUP($B$187:$B$323,Acraft!$A$3:$R$139,8,FALSE)+Calc1!$C$168*VLOOKUP($B$187:$B$323,Acraft!$A$3:$R$139,15,FALSE)/1000</f>
        <v>7.2151077480000012</v>
      </c>
      <c r="I233" s="312">
        <f t="shared" si="40"/>
        <v>0</v>
      </c>
      <c r="J233" s="312">
        <f>VLOOKUP($B$187:$B$323,Acraft!$A$3:$R$139,9,FALSE)+Calc1!$C$168*VLOOKUP($B$187:$B$323,Acraft!$A$3:$R$139,16,FALSE)/1000</f>
        <v>2.3282713199999999E-2</v>
      </c>
      <c r="K233" s="312">
        <f t="shared" si="41"/>
        <v>0</v>
      </c>
      <c r="L233" s="312">
        <f>VLOOKUP($B$187:$B$323,Acraft!$A$3:$R$139,10,FALSE)+Calc1!$C$168*VLOOKUP($B$187:$B$323,Acraft!$A$3:$R$139,17,FALSE)/1000</f>
        <v>6.7711800000000003E-2</v>
      </c>
      <c r="M233" s="312">
        <f t="shared" si="42"/>
        <v>0</v>
      </c>
      <c r="N233" s="312">
        <f>VLOOKUP($B$187:$B$323,Acraft!$A$3:$R$139,11,FALSE)+Calc1!$C$168*VLOOKUP($B$187:$B$323,Acraft!$A$3:$R$139,18,FALSE)/1000</f>
        <v>426.58434000000005</v>
      </c>
      <c r="O233" s="398">
        <f t="shared" si="43"/>
        <v>0</v>
      </c>
      <c r="P233" s="312">
        <f>VLOOKUP($B$187:$B$323,Acraft!$A$3:$R$139,5,FALSE)+Calc1!$C$168*VLOOKUP($B$187:$B$323,Acraft!$A$3:$R$139,12,FALSE)/1000</f>
        <v>135.42359999999999</v>
      </c>
      <c r="Q233" s="396">
        <f t="shared" si="44"/>
        <v>0</v>
      </c>
      <c r="R233" s="399">
        <f>VLOOKUP($B$187:$B$323,Acraft!$A$3:$Y$139,20,FALSE)*$Y233*Calc2!$C233/2/1000/1000</f>
        <v>0</v>
      </c>
      <c r="S233" s="400">
        <f>VLOOKUP($B$187:$B$323,Acraft!$A$3:$Y$139,21,FALSE)*$Y233*Calc2!$C233/2/1000/1000</f>
        <v>0</v>
      </c>
      <c r="T233" s="400">
        <f>VLOOKUP($B$187:$B$323,Acraft!$A$3:$Y$139,22,FALSE)*$Y233*Calc2!$C233/2/1000/1000</f>
        <v>0</v>
      </c>
      <c r="U233" s="400">
        <f>VLOOKUP($B$187:$B$323,Acraft!$A$3:$Y$139,23,FALSE)*$Y233*Calc2!$C233/2/1000/1000</f>
        <v>0</v>
      </c>
      <c r="V233" s="400">
        <f>VLOOKUP($B$187:$B$323,Acraft!$A$3:$Y$139,24,FALSE)*$Y233*Calc2!$C233/2/1000/1000</f>
        <v>0</v>
      </c>
      <c r="W233" s="398">
        <f>VLOOKUP($B$187:$B$323,Acraft!$A$3:$Y$139,25,FALSE)*$Y233*Calc2!$C233/2/1000/1000</f>
        <v>0</v>
      </c>
      <c r="X233" s="398">
        <f>VLOOKUP($B$187:$B$323,Acraft!$A$3:$Y$139,19,FALSE)*$Y233*Calc2!$C233/2</f>
        <v>0</v>
      </c>
      <c r="Y233" s="309">
        <f>IF(VLOOKUP($B$187:$B$323,Acraft!$A$3:$Y$139,19,FALSE)=4,Calc1!$C$173,IF(VLOOKUP($B$187:$B$323,Acraft!$A$3:$Y$139,19,FALSE)=1.77777777777778,Calc1!$C$172,0))</f>
        <v>15</v>
      </c>
      <c r="Z233" s="305"/>
    </row>
    <row r="234" spans="1:26" x14ac:dyDescent="0.2">
      <c r="A234" s="303"/>
      <c r="B234" s="309" t="s">
        <v>377</v>
      </c>
      <c r="C234" s="397">
        <f>Calc1!C162</f>
        <v>0</v>
      </c>
      <c r="D234" s="395">
        <f>VLOOKUP($B$187:$B$323,Acraft!$A$3:$R$139,6,FALSE)+Calc1!$C$168*VLOOKUP($B$187:$B$323,Acraft!$A$3:$R$139,13,FALSE)/1000</f>
        <v>3.0151198559999997</v>
      </c>
      <c r="E234" s="398">
        <f t="shared" si="38"/>
        <v>0</v>
      </c>
      <c r="F234" s="312">
        <f>VLOOKUP($B$187:$B$323,Acraft!$A$3:$R$139,7,FALSE)+Calc1!$C$168*VLOOKUP($B$187:$B$323,Acraft!$A$3:$R$139,14,FALSE)/1000</f>
        <v>0.59613408000000012</v>
      </c>
      <c r="G234" s="312">
        <f t="shared" si="39"/>
        <v>0</v>
      </c>
      <c r="H234" s="312">
        <f>VLOOKUP($B$187:$B$323,Acraft!$A$3:$R$139,8,FALSE)+Calc1!$C$168*VLOOKUP($B$187:$B$323,Acraft!$A$3:$R$139,15,FALSE)/1000</f>
        <v>5.537937372</v>
      </c>
      <c r="I234" s="312">
        <f t="shared" si="40"/>
        <v>0</v>
      </c>
      <c r="J234" s="312">
        <f>VLOOKUP($B$187:$B$323,Acraft!$A$3:$R$139,9,FALSE)+Calc1!$C$168*VLOOKUP($B$187:$B$323,Acraft!$A$3:$R$139,16,FALSE)/1000</f>
        <v>2.3441245190179549E-2</v>
      </c>
      <c r="K234" s="312">
        <f t="shared" si="41"/>
        <v>0</v>
      </c>
      <c r="L234" s="312">
        <f>VLOOKUP($B$187:$B$323,Acraft!$A$3:$R$139,10,FALSE)+Calc1!$C$168*VLOOKUP($B$187:$B$323,Acraft!$A$3:$R$139,17,FALSE)/1000</f>
        <v>0.13991939999999997</v>
      </c>
      <c r="M234" s="312">
        <f t="shared" si="42"/>
        <v>0</v>
      </c>
      <c r="N234" s="312">
        <f>VLOOKUP($B$187:$B$323,Acraft!$A$3:$R$139,11,FALSE)+Calc1!$C$168*VLOOKUP($B$187:$B$323,Acraft!$A$3:$R$139,18,FALSE)/1000</f>
        <v>881.49222000000009</v>
      </c>
      <c r="O234" s="398">
        <f t="shared" si="43"/>
        <v>0</v>
      </c>
      <c r="P234" s="312">
        <f>VLOOKUP($B$187:$B$323,Acraft!$A$3:$R$139,5,FALSE)+Calc1!$C$168*VLOOKUP($B$187:$B$323,Acraft!$A$3:$R$139,12,FALSE)/1000</f>
        <v>279.83879999999999</v>
      </c>
      <c r="Q234" s="396">
        <f t="shared" si="44"/>
        <v>0</v>
      </c>
      <c r="R234" s="399">
        <f>VLOOKUP($B$187:$B$323,Acraft!$A$3:$Y$139,20,FALSE)*$Y234*Calc2!$C234/2/1000/1000</f>
        <v>0</v>
      </c>
      <c r="S234" s="400">
        <f>VLOOKUP($B$187:$B$323,Acraft!$A$3:$Y$139,21,FALSE)*$Y234*Calc2!$C234/2/1000/1000</f>
        <v>0</v>
      </c>
      <c r="T234" s="400">
        <f>VLOOKUP($B$187:$B$323,Acraft!$A$3:$Y$139,22,FALSE)*$Y234*Calc2!$C234/2/1000/1000</f>
        <v>0</v>
      </c>
      <c r="U234" s="400">
        <f>VLOOKUP($B$187:$B$323,Acraft!$A$3:$Y$139,23,FALSE)*$Y234*Calc2!$C234/2/1000/1000</f>
        <v>0</v>
      </c>
      <c r="V234" s="400">
        <f>VLOOKUP($B$187:$B$323,Acraft!$A$3:$Y$139,24,FALSE)*$Y234*Calc2!$C234/2/1000/1000</f>
        <v>0</v>
      </c>
      <c r="W234" s="398">
        <f>VLOOKUP($B$187:$B$323,Acraft!$A$3:$Y$139,25,FALSE)*$Y234*Calc2!$C234/2/1000/1000</f>
        <v>0</v>
      </c>
      <c r="X234" s="398">
        <f>VLOOKUP($B$187:$B$323,Acraft!$A$3:$Y$139,19,FALSE)*$Y234*Calc2!$C234/2</f>
        <v>0</v>
      </c>
      <c r="Y234" s="309">
        <f>IF(VLOOKUP($B$187:$B$323,Acraft!$A$3:$Y$139,19,FALSE)=4,Calc1!$C$173,IF(VLOOKUP($B$187:$B$323,Acraft!$A$3:$Y$139,19,FALSE)=1.77777777777778,Calc1!$C$172,0))</f>
        <v>15</v>
      </c>
      <c r="Z234" s="305"/>
    </row>
    <row r="235" spans="1:26" x14ac:dyDescent="0.2">
      <c r="A235" s="303"/>
      <c r="B235" s="309" t="s">
        <v>380</v>
      </c>
      <c r="C235" s="397">
        <f>Calc1!C163</f>
        <v>0</v>
      </c>
      <c r="D235" s="395">
        <f>VLOOKUP($B$187:$B$323,Acraft!$A$3:$R$139,6,FALSE)+Calc1!$C$168*VLOOKUP($B$187:$B$323,Acraft!$A$3:$R$139,13,FALSE)/1000</f>
        <v>2.1161066160000002</v>
      </c>
      <c r="E235" s="398">
        <f t="shared" si="38"/>
        <v>0</v>
      </c>
      <c r="F235" s="312">
        <f>VLOOKUP($B$187:$B$323,Acraft!$A$3:$R$139,7,FALSE)+Calc1!$C$168*VLOOKUP($B$187:$B$323,Acraft!$A$3:$R$139,14,FALSE)/1000</f>
        <v>0.66233834880000009</v>
      </c>
      <c r="G235" s="312">
        <f t="shared" si="39"/>
        <v>0</v>
      </c>
      <c r="H235" s="312">
        <f>VLOOKUP($B$187:$B$323,Acraft!$A$3:$R$139,8,FALSE)+Calc1!$C$168*VLOOKUP($B$187:$B$323,Acraft!$A$3:$R$139,15,FALSE)/1000</f>
        <v>3.5098190879999995</v>
      </c>
      <c r="I235" s="312">
        <f t="shared" si="40"/>
        <v>0</v>
      </c>
      <c r="J235" s="312">
        <f>VLOOKUP($B$187:$B$323,Acraft!$A$3:$R$139,9,FALSE)+Calc1!$C$168*VLOOKUP($B$187:$B$323,Acraft!$A$3:$R$139,16,FALSE)/1000</f>
        <v>1.4909781013123966E-2</v>
      </c>
      <c r="K235" s="312">
        <f t="shared" si="41"/>
        <v>0</v>
      </c>
      <c r="L235" s="312">
        <f>VLOOKUP($B$187:$B$323,Acraft!$A$3:$R$139,10,FALSE)+Calc1!$C$168*VLOOKUP($B$187:$B$323,Acraft!$A$3:$R$139,17,FALSE)/1000</f>
        <v>0.1297044</v>
      </c>
      <c r="M235" s="312">
        <f t="shared" si="42"/>
        <v>0</v>
      </c>
      <c r="N235" s="312">
        <f>VLOOKUP($B$187:$B$323,Acraft!$A$3:$R$139,11,FALSE)+Calc1!$C$168*VLOOKUP($B$187:$B$323,Acraft!$A$3:$R$139,18,FALSE)/1000</f>
        <v>817.13772000000006</v>
      </c>
      <c r="O235" s="398">
        <f t="shared" si="43"/>
        <v>0</v>
      </c>
      <c r="P235" s="312">
        <f>VLOOKUP($B$187:$B$323,Acraft!$A$3:$R$139,5,FALSE)+Calc1!$C$168*VLOOKUP($B$187:$B$323,Acraft!$A$3:$R$139,12,FALSE)/1000</f>
        <v>259.40879999999999</v>
      </c>
      <c r="Q235" s="396">
        <f t="shared" si="44"/>
        <v>0</v>
      </c>
      <c r="R235" s="399">
        <f>VLOOKUP($B$187:$B$323,Acraft!$A$3:$Y$139,20,FALSE)*$Y235*Calc2!$C235/2/1000/1000</f>
        <v>0</v>
      </c>
      <c r="S235" s="400">
        <f>VLOOKUP($B$187:$B$323,Acraft!$A$3:$Y$139,21,FALSE)*$Y235*Calc2!$C235/2/1000/1000</f>
        <v>0</v>
      </c>
      <c r="T235" s="400">
        <f>VLOOKUP($B$187:$B$323,Acraft!$A$3:$Y$139,22,FALSE)*$Y235*Calc2!$C235/2/1000/1000</f>
        <v>0</v>
      </c>
      <c r="U235" s="400">
        <f>VLOOKUP($B$187:$B$323,Acraft!$A$3:$Y$139,23,FALSE)*$Y235*Calc2!$C235/2/1000/1000</f>
        <v>0</v>
      </c>
      <c r="V235" s="400">
        <f>VLOOKUP($B$187:$B$323,Acraft!$A$3:$Y$139,24,FALSE)*$Y235*Calc2!$C235/2/1000/1000</f>
        <v>0</v>
      </c>
      <c r="W235" s="398">
        <f>VLOOKUP($B$187:$B$323,Acraft!$A$3:$Y$139,25,FALSE)*$Y235*Calc2!$C235/2/1000/1000</f>
        <v>0</v>
      </c>
      <c r="X235" s="398">
        <f>VLOOKUP($B$187:$B$323,Acraft!$A$3:$Y$139,19,FALSE)*$Y235*Calc2!$C235/2</f>
        <v>0</v>
      </c>
      <c r="Y235" s="309">
        <f>IF(VLOOKUP($B$187:$B$323,Acraft!$A$3:$Y$139,19,FALSE)=4,Calc1!$C$173,IF(VLOOKUP($B$187:$B$323,Acraft!$A$3:$Y$139,19,FALSE)=1.77777777777778,Calc1!$C$172,0))</f>
        <v>15</v>
      </c>
      <c r="Z235" s="305"/>
    </row>
    <row r="236" spans="1:26" x14ac:dyDescent="0.2">
      <c r="A236" s="303"/>
      <c r="B236" s="309" t="s">
        <v>383</v>
      </c>
      <c r="C236" s="397">
        <f>Calc1!C164</f>
        <v>0</v>
      </c>
      <c r="D236" s="395">
        <f>VLOOKUP($B$187:$B$323,Acraft!$A$3:$R$139,6,FALSE)+Calc1!$C$168*VLOOKUP($B$187:$B$323,Acraft!$A$3:$R$139,13,FALSE)/1000</f>
        <v>0.26845368000000003</v>
      </c>
      <c r="E236" s="398">
        <f t="shared" si="38"/>
        <v>0</v>
      </c>
      <c r="F236" s="312">
        <f>VLOOKUP($B$187:$B$323,Acraft!$A$3:$R$139,7,FALSE)+Calc1!$C$168*VLOOKUP($B$187:$B$323,Acraft!$A$3:$R$139,14,FALSE)/1000</f>
        <v>3.8067840000000004</v>
      </c>
      <c r="G236" s="312">
        <f t="shared" si="39"/>
        <v>0</v>
      </c>
      <c r="H236" s="312">
        <f>VLOOKUP($B$187:$B$323,Acraft!$A$3:$R$139,8,FALSE)+Calc1!$C$168*VLOOKUP($B$187:$B$323,Acraft!$A$3:$R$139,15,FALSE)/1000</f>
        <v>10.2780816</v>
      </c>
      <c r="I236" s="312">
        <f t="shared" si="40"/>
        <v>0</v>
      </c>
      <c r="J236" s="312">
        <f>VLOOKUP($B$187:$B$323,Acraft!$A$3:$R$139,9,FALSE)+Calc1!$C$168*VLOOKUP($B$187:$B$323,Acraft!$A$3:$R$139,16,FALSE)/1000</f>
        <v>2.0900519999999999E-2</v>
      </c>
      <c r="K236" s="312">
        <f t="shared" si="41"/>
        <v>0</v>
      </c>
      <c r="L236" s="312">
        <f>VLOOKUP($B$187:$B$323,Acraft!$A$3:$R$139,10,FALSE)+Calc1!$C$168*VLOOKUP($B$187:$B$323,Acraft!$A$3:$R$139,17,FALSE)/1000</f>
        <v>4.9428E-2</v>
      </c>
      <c r="M236" s="312">
        <f t="shared" si="42"/>
        <v>0</v>
      </c>
      <c r="N236" s="312">
        <f>VLOOKUP($B$187:$B$323,Acraft!$A$3:$R$139,11,FALSE)+Calc1!$C$168*VLOOKUP($B$187:$B$323,Acraft!$A$3:$R$139,18,FALSE)/1000</f>
        <v>311.39640000000003</v>
      </c>
      <c r="O236" s="398">
        <f t="shared" si="43"/>
        <v>0</v>
      </c>
      <c r="P236" s="312">
        <f>VLOOKUP($B$187:$B$323,Acraft!$A$3:$R$139,5,FALSE)+Calc1!$C$168*VLOOKUP($B$187:$B$323,Acraft!$A$3:$R$139,12,FALSE)/1000</f>
        <v>98.856000000000009</v>
      </c>
      <c r="Q236" s="396">
        <f t="shared" si="44"/>
        <v>0</v>
      </c>
      <c r="R236" s="399">
        <f>VLOOKUP($B$187:$B$323,Acraft!$A$3:$Y$139,20,FALSE)*$Y236*Calc2!$C236/2/1000/1000</f>
        <v>0</v>
      </c>
      <c r="S236" s="400">
        <f>VLOOKUP($B$187:$B$323,Acraft!$A$3:$Y$139,21,FALSE)*$Y236*Calc2!$C236/2/1000/1000</f>
        <v>0</v>
      </c>
      <c r="T236" s="400">
        <f>VLOOKUP($B$187:$B$323,Acraft!$A$3:$Y$139,22,FALSE)*$Y236*Calc2!$C236/2/1000/1000</f>
        <v>0</v>
      </c>
      <c r="U236" s="400">
        <f>VLOOKUP($B$187:$B$323,Acraft!$A$3:$Y$139,23,FALSE)*$Y236*Calc2!$C236/2/1000/1000</f>
        <v>0</v>
      </c>
      <c r="V236" s="400">
        <f>VLOOKUP($B$187:$B$323,Acraft!$A$3:$Y$139,24,FALSE)*$Y236*Calc2!$C236/2/1000/1000</f>
        <v>0</v>
      </c>
      <c r="W236" s="398">
        <f>VLOOKUP($B$187:$B$323,Acraft!$A$3:$Y$139,25,FALSE)*$Y236*Calc2!$C236/2/1000/1000</f>
        <v>0</v>
      </c>
      <c r="X236" s="398">
        <f>VLOOKUP($B$187:$B$323,Acraft!$A$3:$Y$139,19,FALSE)*$Y236*Calc2!$C236/2</f>
        <v>0</v>
      </c>
      <c r="Y236" s="309">
        <f>IF(VLOOKUP($B$187:$B$323,Acraft!$A$3:$Y$139,19,FALSE)=4,Calc1!$C$173,IF(VLOOKUP($B$187:$B$323,Acraft!$A$3:$Y$139,19,FALSE)=1.77777777777778,Calc1!$C$172,0))</f>
        <v>15</v>
      </c>
      <c r="Z236" s="305"/>
    </row>
    <row r="237" spans="1:26" x14ac:dyDescent="0.2">
      <c r="A237" s="303"/>
      <c r="B237" s="309" t="s">
        <v>386</v>
      </c>
      <c r="C237" s="397">
        <f>Calc1!F115</f>
        <v>0</v>
      </c>
      <c r="D237" s="395">
        <f>VLOOKUP($B$187:$B$323,Acraft!$A$3:$R$139,6,FALSE)+Calc1!$C$168*VLOOKUP($B$187:$B$323,Acraft!$A$3:$R$139,13,FALSE)/1000</f>
        <v>0.81097140000000001</v>
      </c>
      <c r="E237" s="398">
        <f t="shared" si="38"/>
        <v>0</v>
      </c>
      <c r="F237" s="312">
        <f>VLOOKUP($B$187:$B$323,Acraft!$A$3:$R$139,7,FALSE)+Calc1!$C$168*VLOOKUP($B$187:$B$323,Acraft!$A$3:$R$139,14,FALSE)/1000</f>
        <v>0.1076148</v>
      </c>
      <c r="G237" s="312">
        <f t="shared" si="39"/>
        <v>0</v>
      </c>
      <c r="H237" s="312">
        <f>VLOOKUP($B$187:$B$323,Acraft!$A$3:$R$139,8,FALSE)+Calc1!$C$168*VLOOKUP($B$187:$B$323,Acraft!$A$3:$R$139,15,FALSE)/1000</f>
        <v>1.0661532</v>
      </c>
      <c r="I237" s="312">
        <f t="shared" si="40"/>
        <v>0</v>
      </c>
      <c r="J237" s="312">
        <f>VLOOKUP($B$187:$B$323,Acraft!$A$3:$R$139,9,FALSE)+Calc1!$C$168*VLOOKUP($B$187:$B$323,Acraft!$A$3:$R$139,16,FALSE)/1000</f>
        <v>9.7044920000000021E-3</v>
      </c>
      <c r="K237" s="312">
        <f t="shared" si="41"/>
        <v>0</v>
      </c>
      <c r="L237" s="312">
        <f>VLOOKUP($B$187:$B$323,Acraft!$A$3:$R$139,10,FALSE)+Calc1!$C$168*VLOOKUP($B$187:$B$323,Acraft!$A$3:$R$139,17,FALSE)/1000</f>
        <v>8.0655000000000004E-2</v>
      </c>
      <c r="M237" s="312">
        <f t="shared" si="42"/>
        <v>0</v>
      </c>
      <c r="N237" s="312">
        <f>VLOOKUP($B$187:$B$323,Acraft!$A$3:$R$139,11,FALSE)+Calc1!$C$168*VLOOKUP($B$187:$B$323,Acraft!$A$3:$R$139,18,FALSE)/1000</f>
        <v>508.12649999999996</v>
      </c>
      <c r="O237" s="398">
        <f t="shared" si="43"/>
        <v>0</v>
      </c>
      <c r="P237" s="312">
        <f>VLOOKUP($B$187:$B$323,Acraft!$A$3:$R$139,5,FALSE)+Calc1!$C$168*VLOOKUP($B$187:$B$323,Acraft!$A$3:$R$139,12,FALSE)/1000</f>
        <v>161.31</v>
      </c>
      <c r="Q237" s="396">
        <f t="shared" si="44"/>
        <v>0</v>
      </c>
      <c r="R237" s="399">
        <f>VLOOKUP($B$187:$B$323,Acraft!$A$3:$Y$139,20,FALSE)*$Y237*Calc2!$C237/2/1000/1000</f>
        <v>0</v>
      </c>
      <c r="S237" s="400">
        <f>VLOOKUP($B$187:$B$323,Acraft!$A$3:$Y$139,21,FALSE)*$Y237*Calc2!$C237/2/1000/1000</f>
        <v>0</v>
      </c>
      <c r="T237" s="400">
        <f>VLOOKUP($B$187:$B$323,Acraft!$A$3:$Y$139,22,FALSE)*$Y237*Calc2!$C237/2/1000/1000</f>
        <v>0</v>
      </c>
      <c r="U237" s="400">
        <f>VLOOKUP($B$187:$B$323,Acraft!$A$3:$Y$139,23,FALSE)*$Y237*Calc2!$C237/2/1000/1000</f>
        <v>0</v>
      </c>
      <c r="V237" s="400">
        <f>VLOOKUP($B$187:$B$323,Acraft!$A$3:$Y$139,24,FALSE)*$Y237*Calc2!$C237/2/1000/1000</f>
        <v>0</v>
      </c>
      <c r="W237" s="398">
        <f>VLOOKUP($B$187:$B$323,Acraft!$A$3:$Y$139,25,FALSE)*$Y237*Calc2!$C237/2/1000/1000</f>
        <v>0</v>
      </c>
      <c r="X237" s="398">
        <f>VLOOKUP($B$187:$B$323,Acraft!$A$3:$Y$139,19,FALSE)*$Y237*Calc2!$C237/2</f>
        <v>0</v>
      </c>
      <c r="Y237" s="309">
        <f>IF(VLOOKUP($B$187:$B$323,Acraft!$A$3:$Y$139,19,FALSE)=4,Calc1!$C$173,IF(VLOOKUP($B$187:$B$323,Acraft!$A$3:$Y$139,19,FALSE)=1.77777777777778,Calc1!$C$172,0))</f>
        <v>0</v>
      </c>
      <c r="Z237" s="305"/>
    </row>
    <row r="238" spans="1:26" x14ac:dyDescent="0.2">
      <c r="A238" s="303"/>
      <c r="B238" s="309" t="s">
        <v>389</v>
      </c>
      <c r="C238" s="397">
        <f>Calc1!F116</f>
        <v>0</v>
      </c>
      <c r="D238" s="395">
        <f>VLOOKUP($B$187:$B$323,Acraft!$A$3:$R$139,6,FALSE)+Calc1!$C$168*VLOOKUP($B$187:$B$323,Acraft!$A$3:$R$139,13,FALSE)/1000</f>
        <v>5.4375984000000002E-2</v>
      </c>
      <c r="E238" s="398">
        <f t="shared" si="38"/>
        <v>0</v>
      </c>
      <c r="F238" s="312">
        <f>VLOOKUP($B$187:$B$323,Acraft!$A$3:$R$139,7,FALSE)+Calc1!$C$168*VLOOKUP($B$187:$B$323,Acraft!$A$3:$R$139,14,FALSE)/1000</f>
        <v>0.37368341999999999</v>
      </c>
      <c r="G238" s="312">
        <f t="shared" si="39"/>
        <v>0</v>
      </c>
      <c r="H238" s="312">
        <f>VLOOKUP($B$187:$B$323,Acraft!$A$3:$R$139,8,FALSE)+Calc1!$C$168*VLOOKUP($B$187:$B$323,Acraft!$A$3:$R$139,15,FALSE)/1000</f>
        <v>15.481815084000001</v>
      </c>
      <c r="I238" s="312">
        <f t="shared" si="40"/>
        <v>0</v>
      </c>
      <c r="J238" s="312">
        <f>VLOOKUP($B$187:$B$323,Acraft!$A$3:$R$139,9,FALSE)+Calc1!$C$168*VLOOKUP($B$187:$B$323,Acraft!$A$3:$R$139,16,FALSE)/1000</f>
        <v>4.8159259999999997E-4</v>
      </c>
      <c r="K238" s="312">
        <f t="shared" si="41"/>
        <v>0</v>
      </c>
      <c r="L238" s="312">
        <f>VLOOKUP($B$187:$B$323,Acraft!$A$3:$R$139,10,FALSE)+Calc1!$C$168*VLOOKUP($B$187:$B$323,Acraft!$A$3:$R$139,17,FALSE)/1000</f>
        <v>7.7057999999999988E-3</v>
      </c>
      <c r="M238" s="312">
        <f t="shared" si="42"/>
        <v>0</v>
      </c>
      <c r="N238" s="312">
        <f>VLOOKUP($B$187:$B$323,Acraft!$A$3:$R$139,11,FALSE)+Calc1!$C$168*VLOOKUP($B$187:$B$323,Acraft!$A$3:$R$139,18,FALSE)/1000</f>
        <v>48.392423999999991</v>
      </c>
      <c r="O238" s="398">
        <f t="shared" si="43"/>
        <v>0</v>
      </c>
      <c r="P238" s="312">
        <f>VLOOKUP($B$187:$B$323,Acraft!$A$3:$R$139,5,FALSE)+Calc1!$C$168*VLOOKUP($B$187:$B$323,Acraft!$A$3:$R$139,12,FALSE)/1000</f>
        <v>15.4116</v>
      </c>
      <c r="Q238" s="396">
        <f t="shared" si="44"/>
        <v>0</v>
      </c>
      <c r="R238" s="399">
        <f>VLOOKUP($B$187:$B$323,Acraft!$A$3:$Y$139,20,FALSE)*$Y238*Calc2!$C238/2/1000/1000</f>
        <v>0</v>
      </c>
      <c r="S238" s="400">
        <f>VLOOKUP($B$187:$B$323,Acraft!$A$3:$Y$139,21,FALSE)*$Y238*Calc2!$C238/2/1000/1000</f>
        <v>0</v>
      </c>
      <c r="T238" s="400">
        <f>VLOOKUP($B$187:$B$323,Acraft!$A$3:$Y$139,22,FALSE)*$Y238*Calc2!$C238/2/1000/1000</f>
        <v>0</v>
      </c>
      <c r="U238" s="400">
        <f>VLOOKUP($B$187:$B$323,Acraft!$A$3:$Y$139,23,FALSE)*$Y238*Calc2!$C238/2/1000/1000</f>
        <v>0</v>
      </c>
      <c r="V238" s="400">
        <f>VLOOKUP($B$187:$B$323,Acraft!$A$3:$Y$139,24,FALSE)*$Y238*Calc2!$C238/2/1000/1000</f>
        <v>0</v>
      </c>
      <c r="W238" s="398">
        <f>VLOOKUP($B$187:$B$323,Acraft!$A$3:$Y$139,25,FALSE)*$Y238*Calc2!$C238/2/1000/1000</f>
        <v>0</v>
      </c>
      <c r="X238" s="398">
        <f>VLOOKUP($B$187:$B$323,Acraft!$A$3:$Y$139,19,FALSE)*$Y238*Calc2!$C238/2</f>
        <v>0</v>
      </c>
      <c r="Y238" s="309">
        <f>IF(VLOOKUP($B$187:$B$323,Acraft!$A$3:$Y$139,19,FALSE)=4,Calc1!$C$173,IF(VLOOKUP($B$187:$B$323,Acraft!$A$3:$Y$139,19,FALSE)=1.77777777777778,Calc1!$C$172,0))</f>
        <v>0</v>
      </c>
      <c r="Z238" s="305"/>
    </row>
    <row r="239" spans="1:26" x14ac:dyDescent="0.2">
      <c r="A239" s="303"/>
      <c r="B239" s="309" t="s">
        <v>392</v>
      </c>
      <c r="C239" s="397">
        <f>Calc1!F117</f>
        <v>0</v>
      </c>
      <c r="D239" s="395">
        <f>VLOOKUP($B$187:$B$323,Acraft!$A$3:$R$139,6,FALSE)+Calc1!$C$168*VLOOKUP($B$187:$B$323,Acraft!$A$3:$R$139,13,FALSE)/1000</f>
        <v>0.26860271999999996</v>
      </c>
      <c r="E239" s="398">
        <f t="shared" si="38"/>
        <v>0</v>
      </c>
      <c r="F239" s="312">
        <f>VLOOKUP($B$187:$B$323,Acraft!$A$3:$R$139,7,FALSE)+Calc1!$C$168*VLOOKUP($B$187:$B$323,Acraft!$A$3:$R$139,14,FALSE)/1000</f>
        <v>3.8067742080000002</v>
      </c>
      <c r="G239" s="312">
        <f t="shared" si="39"/>
        <v>0</v>
      </c>
      <c r="H239" s="312">
        <f>VLOOKUP($B$187:$B$323,Acraft!$A$3:$R$139,8,FALSE)+Calc1!$C$168*VLOOKUP($B$187:$B$323,Acraft!$A$3:$R$139,15,FALSE)/1000</f>
        <v>10.27817952</v>
      </c>
      <c r="I239" s="312">
        <f t="shared" si="40"/>
        <v>0</v>
      </c>
      <c r="J239" s="312">
        <f>VLOOKUP($B$187:$B$323,Acraft!$A$3:$R$139,9,FALSE)+Calc1!$C$168*VLOOKUP($B$187:$B$323,Acraft!$A$3:$R$139,16,FALSE)/1000</f>
        <v>2.0900519999999999E-2</v>
      </c>
      <c r="K239" s="312">
        <f t="shared" si="41"/>
        <v>0</v>
      </c>
      <c r="L239" s="312">
        <f>VLOOKUP($B$187:$B$323,Acraft!$A$3:$R$139,10,FALSE)+Calc1!$C$168*VLOOKUP($B$187:$B$323,Acraft!$A$3:$R$139,17,FALSE)/1000</f>
        <v>4.9428E-2</v>
      </c>
      <c r="M239" s="312">
        <f t="shared" si="42"/>
        <v>0</v>
      </c>
      <c r="N239" s="312">
        <f>VLOOKUP($B$187:$B$323,Acraft!$A$3:$R$139,11,FALSE)+Calc1!$C$168*VLOOKUP($B$187:$B$323,Acraft!$A$3:$R$139,18,FALSE)/1000</f>
        <v>311.39640000000003</v>
      </c>
      <c r="O239" s="398">
        <f t="shared" si="43"/>
        <v>0</v>
      </c>
      <c r="P239" s="312">
        <f>VLOOKUP($B$187:$B$323,Acraft!$A$3:$R$139,5,FALSE)+Calc1!$C$168*VLOOKUP($B$187:$B$323,Acraft!$A$3:$R$139,12,FALSE)/1000</f>
        <v>98.856000000000009</v>
      </c>
      <c r="Q239" s="396">
        <f t="shared" si="44"/>
        <v>0</v>
      </c>
      <c r="R239" s="399">
        <f>VLOOKUP($B$187:$B$323,Acraft!$A$3:$Y$139,20,FALSE)*$Y239*Calc2!$C239/2/1000/1000</f>
        <v>0</v>
      </c>
      <c r="S239" s="400">
        <f>VLOOKUP($B$187:$B$323,Acraft!$A$3:$Y$139,21,FALSE)*$Y239*Calc2!$C239/2/1000/1000</f>
        <v>0</v>
      </c>
      <c r="T239" s="400">
        <f>VLOOKUP($B$187:$B$323,Acraft!$A$3:$Y$139,22,FALSE)*$Y239*Calc2!$C239/2/1000/1000</f>
        <v>0</v>
      </c>
      <c r="U239" s="400">
        <f>VLOOKUP($B$187:$B$323,Acraft!$A$3:$Y$139,23,FALSE)*$Y239*Calc2!$C239/2/1000/1000</f>
        <v>0</v>
      </c>
      <c r="V239" s="400">
        <f>VLOOKUP($B$187:$B$323,Acraft!$A$3:$Y$139,24,FALSE)*$Y239*Calc2!$C239/2/1000/1000</f>
        <v>0</v>
      </c>
      <c r="W239" s="398">
        <f>VLOOKUP($B$187:$B$323,Acraft!$A$3:$Y$139,25,FALSE)*$Y239*Calc2!$C239/2/1000/1000</f>
        <v>0</v>
      </c>
      <c r="X239" s="398">
        <f>VLOOKUP($B$187:$B$323,Acraft!$A$3:$Y$139,19,FALSE)*$Y239*Calc2!$C239/2</f>
        <v>0</v>
      </c>
      <c r="Y239" s="309">
        <f>IF(VLOOKUP($B$187:$B$323,Acraft!$A$3:$Y$139,19,FALSE)=4,Calc1!$C$173,IF(VLOOKUP($B$187:$B$323,Acraft!$A$3:$Y$139,19,FALSE)=1.77777777777778,Calc1!$C$172,0))</f>
        <v>15</v>
      </c>
      <c r="Z239" s="305"/>
    </row>
    <row r="240" spans="1:26" x14ac:dyDescent="0.2">
      <c r="A240" s="303"/>
      <c r="B240" s="309" t="s">
        <v>394</v>
      </c>
      <c r="C240" s="397">
        <f>Calc1!F118</f>
        <v>0</v>
      </c>
      <c r="D240" s="395">
        <f>VLOOKUP($B$187:$B$323,Acraft!$A$3:$R$139,6,FALSE)+Calc1!$C$168*VLOOKUP($B$187:$B$323,Acraft!$A$3:$R$139,13,FALSE)/1000</f>
        <v>2.450634</v>
      </c>
      <c r="E240" s="398">
        <f t="shared" si="38"/>
        <v>0</v>
      </c>
      <c r="F240" s="312">
        <f>VLOOKUP($B$187:$B$323,Acraft!$A$3:$R$139,7,FALSE)+Calc1!$C$168*VLOOKUP($B$187:$B$323,Acraft!$A$3:$R$139,14,FALSE)/1000</f>
        <v>0</v>
      </c>
      <c r="G240" s="312">
        <f t="shared" si="39"/>
        <v>0</v>
      </c>
      <c r="H240" s="312">
        <f>VLOOKUP($B$187:$B$323,Acraft!$A$3:$R$139,8,FALSE)+Calc1!$C$168*VLOOKUP($B$187:$B$323,Acraft!$A$3:$R$139,15,FALSE)/1000</f>
        <v>1.7753399999999999</v>
      </c>
      <c r="I240" s="312">
        <f t="shared" si="40"/>
        <v>0</v>
      </c>
      <c r="J240" s="312">
        <f>VLOOKUP($B$187:$B$323,Acraft!$A$3:$R$139,9,FALSE)+Calc1!$C$168*VLOOKUP($B$187:$B$323,Acraft!$A$3:$R$139,16,FALSE)/1000</f>
        <v>3.8890520000000005E-2</v>
      </c>
      <c r="K240" s="312">
        <f t="shared" si="41"/>
        <v>0</v>
      </c>
      <c r="L240" s="312">
        <f>VLOOKUP($B$187:$B$323,Acraft!$A$3:$R$139,10,FALSE)+Calc1!$C$168*VLOOKUP($B$187:$B$323,Acraft!$A$3:$R$139,17,FALSE)/1000</f>
        <v>0.13130999999999998</v>
      </c>
      <c r="M240" s="312">
        <f t="shared" si="42"/>
        <v>0</v>
      </c>
      <c r="N240" s="312">
        <f>VLOOKUP($B$187:$B$323,Acraft!$A$3:$R$139,11,FALSE)+Calc1!$C$168*VLOOKUP($B$187:$B$323,Acraft!$A$3:$R$139,18,FALSE)/1000</f>
        <v>827.25299999999993</v>
      </c>
      <c r="O240" s="398">
        <f t="shared" si="43"/>
        <v>0</v>
      </c>
      <c r="P240" s="312">
        <f>VLOOKUP($B$187:$B$323,Acraft!$A$3:$R$139,5,FALSE)+Calc1!$C$168*VLOOKUP($B$187:$B$323,Acraft!$A$3:$R$139,12,FALSE)/1000</f>
        <v>262.62</v>
      </c>
      <c r="Q240" s="396">
        <f t="shared" si="44"/>
        <v>0</v>
      </c>
      <c r="R240" s="399">
        <f>VLOOKUP($B$187:$B$323,Acraft!$A$3:$Y$139,20,FALSE)*$Y240*Calc2!$C240/2/1000/1000</f>
        <v>0</v>
      </c>
      <c r="S240" s="400">
        <f>VLOOKUP($B$187:$B$323,Acraft!$A$3:$Y$139,21,FALSE)*$Y240*Calc2!$C240/2/1000/1000</f>
        <v>0</v>
      </c>
      <c r="T240" s="400">
        <f>VLOOKUP($B$187:$B$323,Acraft!$A$3:$Y$139,22,FALSE)*$Y240*Calc2!$C240/2/1000/1000</f>
        <v>0</v>
      </c>
      <c r="U240" s="400">
        <f>VLOOKUP($B$187:$B$323,Acraft!$A$3:$Y$139,23,FALSE)*$Y240*Calc2!$C240/2/1000/1000</f>
        <v>0</v>
      </c>
      <c r="V240" s="400">
        <f>VLOOKUP($B$187:$B$323,Acraft!$A$3:$Y$139,24,FALSE)*$Y240*Calc2!$C240/2/1000/1000</f>
        <v>0</v>
      </c>
      <c r="W240" s="398">
        <f>VLOOKUP($B$187:$B$323,Acraft!$A$3:$Y$139,25,FALSE)*$Y240*Calc2!$C240/2/1000/1000</f>
        <v>0</v>
      </c>
      <c r="X240" s="398">
        <f>VLOOKUP($B$187:$B$323,Acraft!$A$3:$Y$139,19,FALSE)*$Y240*Calc2!$C240/2</f>
        <v>0</v>
      </c>
      <c r="Y240" s="309">
        <f>IF(VLOOKUP($B$187:$B$323,Acraft!$A$3:$Y$139,19,FALSE)=4,Calc1!$C$173,IF(VLOOKUP($B$187:$B$323,Acraft!$A$3:$Y$139,19,FALSE)=1.77777777777778,Calc1!$C$172,0))</f>
        <v>0</v>
      </c>
      <c r="Z240" s="305"/>
    </row>
    <row r="241" spans="1:26" x14ac:dyDescent="0.2">
      <c r="A241" s="303"/>
      <c r="B241" s="309" t="s">
        <v>396</v>
      </c>
      <c r="C241" s="397">
        <f>Calc1!F119</f>
        <v>0</v>
      </c>
      <c r="D241" s="395">
        <f>VLOOKUP($B$187:$B$323,Acraft!$A$3:$R$139,6,FALSE)+Calc1!$C$168*VLOOKUP($B$187:$B$323,Acraft!$A$3:$R$139,13,FALSE)/1000</f>
        <v>2.1769505279999999</v>
      </c>
      <c r="E241" s="398">
        <f t="shared" si="38"/>
        <v>0</v>
      </c>
      <c r="F241" s="312">
        <f>VLOOKUP($B$187:$B$323,Acraft!$A$3:$R$139,7,FALSE)+Calc1!$C$168*VLOOKUP($B$187:$B$323,Acraft!$A$3:$R$139,14,FALSE)/1000</f>
        <v>0.75665486400000015</v>
      </c>
      <c r="G241" s="312">
        <f t="shared" si="39"/>
        <v>0</v>
      </c>
      <c r="H241" s="312">
        <f>VLOOKUP($B$187:$B$323,Acraft!$A$3:$R$139,8,FALSE)+Calc1!$C$168*VLOOKUP($B$187:$B$323,Acraft!$A$3:$R$139,15,FALSE)/1000</f>
        <v>7.6446476400000005</v>
      </c>
      <c r="I241" s="312">
        <f t="shared" si="40"/>
        <v>0</v>
      </c>
      <c r="J241" s="312">
        <f>VLOOKUP($B$187:$B$323,Acraft!$A$3:$R$139,9,FALSE)+Calc1!$C$168*VLOOKUP($B$187:$B$323,Acraft!$A$3:$R$139,16,FALSE)/1000</f>
        <v>2.6226264903676546E-2</v>
      </c>
      <c r="K241" s="312">
        <f t="shared" si="41"/>
        <v>0</v>
      </c>
      <c r="L241" s="312">
        <f>VLOOKUP($B$187:$B$323,Acraft!$A$3:$R$139,10,FALSE)+Calc1!$C$168*VLOOKUP($B$187:$B$323,Acraft!$A$3:$R$139,17,FALSE)/1000</f>
        <v>0.1672218</v>
      </c>
      <c r="M241" s="312">
        <f t="shared" si="42"/>
        <v>0</v>
      </c>
      <c r="N241" s="312">
        <f>VLOOKUP($B$187:$B$323,Acraft!$A$3:$R$139,11,FALSE)+Calc1!$C$168*VLOOKUP($B$187:$B$323,Acraft!$A$3:$R$139,18,FALSE)/1000</f>
        <v>1053.4973399999999</v>
      </c>
      <c r="O241" s="398">
        <f t="shared" si="43"/>
        <v>0</v>
      </c>
      <c r="P241" s="312">
        <f>VLOOKUP($B$187:$B$323,Acraft!$A$3:$R$139,5,FALSE)+Calc1!$C$168*VLOOKUP($B$187:$B$323,Acraft!$A$3:$R$139,12,FALSE)/1000</f>
        <v>334.4436</v>
      </c>
      <c r="Q241" s="396">
        <f t="shared" si="44"/>
        <v>0</v>
      </c>
      <c r="R241" s="399">
        <f>VLOOKUP($B$187:$B$323,Acraft!$A$3:$Y$139,20,FALSE)*$Y241*Calc2!$C241/2/1000/1000</f>
        <v>0</v>
      </c>
      <c r="S241" s="400">
        <f>VLOOKUP($B$187:$B$323,Acraft!$A$3:$Y$139,21,FALSE)*$Y241*Calc2!$C241/2/1000/1000</f>
        <v>0</v>
      </c>
      <c r="T241" s="400">
        <f>VLOOKUP($B$187:$B$323,Acraft!$A$3:$Y$139,22,FALSE)*$Y241*Calc2!$C241/2/1000/1000</f>
        <v>0</v>
      </c>
      <c r="U241" s="400">
        <f>VLOOKUP($B$187:$B$323,Acraft!$A$3:$Y$139,23,FALSE)*$Y241*Calc2!$C241/2/1000/1000</f>
        <v>0</v>
      </c>
      <c r="V241" s="400">
        <f>VLOOKUP($B$187:$B$323,Acraft!$A$3:$Y$139,24,FALSE)*$Y241*Calc2!$C241/2/1000/1000</f>
        <v>0</v>
      </c>
      <c r="W241" s="398">
        <f>VLOOKUP($B$187:$B$323,Acraft!$A$3:$Y$139,25,FALSE)*$Y241*Calc2!$C241/2/1000/1000</f>
        <v>0</v>
      </c>
      <c r="X241" s="398">
        <f>VLOOKUP($B$187:$B$323,Acraft!$A$3:$Y$139,19,FALSE)*$Y241*Calc2!$C241/2</f>
        <v>0</v>
      </c>
      <c r="Y241" s="309">
        <f>IF(VLOOKUP($B$187:$B$323,Acraft!$A$3:$Y$139,19,FALSE)=4,Calc1!$C$173,IF(VLOOKUP($B$187:$B$323,Acraft!$A$3:$Y$139,19,FALSE)=1.77777777777778,Calc1!$C$172,0))</f>
        <v>15</v>
      </c>
      <c r="Z241" s="305"/>
    </row>
    <row r="242" spans="1:26" x14ac:dyDescent="0.2">
      <c r="A242" s="303"/>
      <c r="B242" s="309" t="s">
        <v>399</v>
      </c>
      <c r="C242" s="397">
        <f>Calc1!F120</f>
        <v>0</v>
      </c>
      <c r="D242" s="395">
        <f>VLOOKUP($B$187:$B$323,Acraft!$A$3:$R$139,6,FALSE)+Calc1!$C$168*VLOOKUP($B$187:$B$323,Acraft!$A$3:$R$139,13,FALSE)/1000</f>
        <v>2.1769505279999999</v>
      </c>
      <c r="E242" s="398">
        <f t="shared" si="38"/>
        <v>0</v>
      </c>
      <c r="F242" s="312">
        <f>VLOOKUP($B$187:$B$323,Acraft!$A$3:$R$139,7,FALSE)+Calc1!$C$168*VLOOKUP($B$187:$B$323,Acraft!$A$3:$R$139,14,FALSE)/1000</f>
        <v>0.75665486400000015</v>
      </c>
      <c r="G242" s="312">
        <f t="shared" si="39"/>
        <v>0</v>
      </c>
      <c r="H242" s="312">
        <f>VLOOKUP($B$187:$B$323,Acraft!$A$3:$R$139,8,FALSE)+Calc1!$C$168*VLOOKUP($B$187:$B$323,Acraft!$A$3:$R$139,15,FALSE)/1000</f>
        <v>7.6446476400000005</v>
      </c>
      <c r="I242" s="312">
        <f t="shared" si="40"/>
        <v>0</v>
      </c>
      <c r="J242" s="312">
        <f>VLOOKUP($B$187:$B$323,Acraft!$A$3:$R$139,9,FALSE)+Calc1!$C$168*VLOOKUP($B$187:$B$323,Acraft!$A$3:$R$139,16,FALSE)/1000</f>
        <v>2.6226264903676546E-2</v>
      </c>
      <c r="K242" s="312">
        <f t="shared" si="41"/>
        <v>0</v>
      </c>
      <c r="L242" s="312">
        <f>VLOOKUP($B$187:$B$323,Acraft!$A$3:$R$139,10,FALSE)+Calc1!$C$168*VLOOKUP($B$187:$B$323,Acraft!$A$3:$R$139,17,FALSE)/1000</f>
        <v>0.1672218</v>
      </c>
      <c r="M242" s="312">
        <f t="shared" si="42"/>
        <v>0</v>
      </c>
      <c r="N242" s="312">
        <f>VLOOKUP($B$187:$B$323,Acraft!$A$3:$R$139,11,FALSE)+Calc1!$C$168*VLOOKUP($B$187:$B$323,Acraft!$A$3:$R$139,18,FALSE)/1000</f>
        <v>1053.4973399999999</v>
      </c>
      <c r="O242" s="398">
        <f t="shared" si="43"/>
        <v>0</v>
      </c>
      <c r="P242" s="312">
        <f>VLOOKUP($B$187:$B$323,Acraft!$A$3:$R$139,5,FALSE)+Calc1!$C$168*VLOOKUP($B$187:$B$323,Acraft!$A$3:$R$139,12,FALSE)/1000</f>
        <v>334.4436</v>
      </c>
      <c r="Q242" s="396">
        <f t="shared" si="44"/>
        <v>0</v>
      </c>
      <c r="R242" s="399">
        <f>VLOOKUP($B$187:$B$323,Acraft!$A$3:$Y$139,20,FALSE)*$Y242*Calc2!$C242/2/1000/1000</f>
        <v>0</v>
      </c>
      <c r="S242" s="400">
        <f>VLOOKUP($B$187:$B$323,Acraft!$A$3:$Y$139,21,FALSE)*$Y242*Calc2!$C242/2/1000/1000</f>
        <v>0</v>
      </c>
      <c r="T242" s="400">
        <f>VLOOKUP($B$187:$B$323,Acraft!$A$3:$Y$139,22,FALSE)*$Y242*Calc2!$C242/2/1000/1000</f>
        <v>0</v>
      </c>
      <c r="U242" s="400">
        <f>VLOOKUP($B$187:$B$323,Acraft!$A$3:$Y$139,23,FALSE)*$Y242*Calc2!$C242/2/1000/1000</f>
        <v>0</v>
      </c>
      <c r="V242" s="400">
        <f>VLOOKUP($B$187:$B$323,Acraft!$A$3:$Y$139,24,FALSE)*$Y242*Calc2!$C242/2/1000/1000</f>
        <v>0</v>
      </c>
      <c r="W242" s="398">
        <f>VLOOKUP($B$187:$B$323,Acraft!$A$3:$Y$139,25,FALSE)*$Y242*Calc2!$C242/2/1000/1000</f>
        <v>0</v>
      </c>
      <c r="X242" s="398">
        <f>VLOOKUP($B$187:$B$323,Acraft!$A$3:$Y$139,19,FALSE)*$Y242*Calc2!$C242/2</f>
        <v>0</v>
      </c>
      <c r="Y242" s="309">
        <f>IF(VLOOKUP($B$187:$B$323,Acraft!$A$3:$Y$139,19,FALSE)=4,Calc1!$C$173,IF(VLOOKUP($B$187:$B$323,Acraft!$A$3:$Y$139,19,FALSE)=1.77777777777778,Calc1!$C$172,0))</f>
        <v>15</v>
      </c>
      <c r="Z242" s="305"/>
    </row>
    <row r="243" spans="1:26" x14ac:dyDescent="0.2">
      <c r="A243" s="303"/>
      <c r="B243" s="309" t="s">
        <v>400</v>
      </c>
      <c r="C243" s="397">
        <f>Calc1!F121</f>
        <v>0</v>
      </c>
      <c r="D243" s="395">
        <f>VLOOKUP($B$187:$B$323,Acraft!$A$3:$R$139,6,FALSE)+Calc1!$C$168*VLOOKUP($B$187:$B$323,Acraft!$A$3:$R$139,13,FALSE)/1000</f>
        <v>4.2753242665200002</v>
      </c>
      <c r="E243" s="398">
        <f t="shared" si="38"/>
        <v>0</v>
      </c>
      <c r="F243" s="312">
        <f>VLOOKUP($B$187:$B$323,Acraft!$A$3:$R$139,7,FALSE)+Calc1!$C$168*VLOOKUP($B$187:$B$323,Acraft!$A$3:$R$139,14,FALSE)/1000</f>
        <v>2.6341116720000002E-2</v>
      </c>
      <c r="G243" s="312">
        <f t="shared" si="39"/>
        <v>0</v>
      </c>
      <c r="H243" s="312">
        <f>VLOOKUP($B$187:$B$323,Acraft!$A$3:$R$139,8,FALSE)+Calc1!$C$168*VLOOKUP($B$187:$B$323,Acraft!$A$3:$R$139,15,FALSE)/1000</f>
        <v>5.8938773679600018</v>
      </c>
      <c r="I243" s="312">
        <f t="shared" si="40"/>
        <v>0</v>
      </c>
      <c r="J243" s="312">
        <f>VLOOKUP($B$187:$B$323,Acraft!$A$3:$R$139,9,FALSE)+Calc1!$C$168*VLOOKUP($B$187:$B$323,Acraft!$A$3:$R$139,16,FALSE)/1000</f>
        <v>1.9059025223383621E-2</v>
      </c>
      <c r="K243" s="312">
        <f t="shared" si="41"/>
        <v>0</v>
      </c>
      <c r="L243" s="312">
        <f>VLOOKUP($B$187:$B$323,Acraft!$A$3:$R$139,10,FALSE)+Calc1!$C$168*VLOOKUP($B$187:$B$323,Acraft!$A$3:$R$139,17,FALSE)/1000</f>
        <v>0.242661138</v>
      </c>
      <c r="M243" s="312">
        <f t="shared" si="42"/>
        <v>0</v>
      </c>
      <c r="N243" s="312">
        <f>VLOOKUP($B$187:$B$323,Acraft!$A$3:$R$139,11,FALSE)+Calc1!$C$168*VLOOKUP($B$187:$B$323,Acraft!$A$3:$R$139,18,FALSE)/1000</f>
        <v>1528.7651693999999</v>
      </c>
      <c r="O243" s="398">
        <f t="shared" si="43"/>
        <v>0</v>
      </c>
      <c r="P243" s="312">
        <f>VLOOKUP($B$187:$B$323,Acraft!$A$3:$R$139,5,FALSE)+Calc1!$C$168*VLOOKUP($B$187:$B$323,Acraft!$A$3:$R$139,12,FALSE)/1000</f>
        <v>485.32227599999999</v>
      </c>
      <c r="Q243" s="396">
        <f t="shared" si="44"/>
        <v>0</v>
      </c>
      <c r="R243" s="399">
        <f>VLOOKUP($B$187:$B$323,Acraft!$A$3:$Y$139,20,FALSE)*$Y243*Calc2!$C243/2/1000/1000</f>
        <v>0</v>
      </c>
      <c r="S243" s="400">
        <f>VLOOKUP($B$187:$B$323,Acraft!$A$3:$Y$139,21,FALSE)*$Y243*Calc2!$C243/2/1000/1000</f>
        <v>0</v>
      </c>
      <c r="T243" s="400">
        <f>VLOOKUP($B$187:$B$323,Acraft!$A$3:$Y$139,22,FALSE)*$Y243*Calc2!$C243/2/1000/1000</f>
        <v>0</v>
      </c>
      <c r="U243" s="400">
        <f>VLOOKUP($B$187:$B$323,Acraft!$A$3:$Y$139,23,FALSE)*$Y243*Calc2!$C243/2/1000/1000</f>
        <v>0</v>
      </c>
      <c r="V243" s="400">
        <f>VLOOKUP($B$187:$B$323,Acraft!$A$3:$Y$139,24,FALSE)*$Y243*Calc2!$C243/2/1000/1000</f>
        <v>0</v>
      </c>
      <c r="W243" s="398">
        <f>VLOOKUP($B$187:$B$323,Acraft!$A$3:$Y$139,25,FALSE)*$Y243*Calc2!$C243/2/1000/1000</f>
        <v>0</v>
      </c>
      <c r="X243" s="398">
        <f>VLOOKUP($B$187:$B$323,Acraft!$A$3:$Y$139,19,FALSE)*$Y243*Calc2!$C243/2</f>
        <v>0</v>
      </c>
      <c r="Y243" s="309">
        <f>IF(VLOOKUP($B$187:$B$323,Acraft!$A$3:$Y$139,19,FALSE)=4,Calc1!$C$173,IF(VLOOKUP($B$187:$B$323,Acraft!$A$3:$Y$139,19,FALSE)=1.77777777777778,Calc1!$C$172,0))</f>
        <v>15</v>
      </c>
      <c r="Z243" s="305"/>
    </row>
    <row r="244" spans="1:26" x14ac:dyDescent="0.2">
      <c r="A244" s="303"/>
      <c r="B244" s="309" t="s">
        <v>403</v>
      </c>
      <c r="C244" s="397">
        <f>Calc1!F122</f>
        <v>0</v>
      </c>
      <c r="D244" s="395">
        <f>VLOOKUP($B$187:$B$323,Acraft!$A$3:$R$139,6,FALSE)+Calc1!$C$168*VLOOKUP($B$187:$B$323,Acraft!$A$3:$R$139,13,FALSE)/1000</f>
        <v>4.4400940799999997</v>
      </c>
      <c r="E244" s="398">
        <f t="shared" si="38"/>
        <v>0</v>
      </c>
      <c r="F244" s="312">
        <f>VLOOKUP($B$187:$B$323,Acraft!$A$3:$R$139,7,FALSE)+Calc1!$C$168*VLOOKUP($B$187:$B$323,Acraft!$A$3:$R$139,14,FALSE)/1000</f>
        <v>3.5999040000000003E-2</v>
      </c>
      <c r="G244" s="312">
        <f t="shared" si="39"/>
        <v>0</v>
      </c>
      <c r="H244" s="312">
        <f>VLOOKUP($B$187:$B$323,Acraft!$A$3:$R$139,8,FALSE)+Calc1!$C$168*VLOOKUP($B$187:$B$323,Acraft!$A$3:$R$139,15,FALSE)/1000</f>
        <v>4.2632116799999995</v>
      </c>
      <c r="I244" s="312">
        <f t="shared" si="40"/>
        <v>0</v>
      </c>
      <c r="J244" s="312">
        <f>VLOOKUP($B$187:$B$323,Acraft!$A$3:$R$139,9,FALSE)+Calc1!$C$168*VLOOKUP($B$187:$B$323,Acraft!$A$3:$R$139,16,FALSE)/1000</f>
        <v>2.024176558773692E-2</v>
      </c>
      <c r="K244" s="312">
        <f t="shared" si="41"/>
        <v>0</v>
      </c>
      <c r="L244" s="312">
        <f>VLOOKUP($B$187:$B$323,Acraft!$A$3:$R$139,10,FALSE)+Calc1!$C$168*VLOOKUP($B$187:$B$323,Acraft!$A$3:$R$139,17,FALSE)/1000</f>
        <v>0.24381600000000003</v>
      </c>
      <c r="M244" s="312">
        <f t="shared" si="42"/>
        <v>0</v>
      </c>
      <c r="N244" s="312">
        <f>VLOOKUP($B$187:$B$323,Acraft!$A$3:$R$139,11,FALSE)+Calc1!$C$168*VLOOKUP($B$187:$B$323,Acraft!$A$3:$R$139,18,FALSE)/1000</f>
        <v>1536.0408000000002</v>
      </c>
      <c r="O244" s="398">
        <f t="shared" si="43"/>
        <v>0</v>
      </c>
      <c r="P244" s="312">
        <f>VLOOKUP($B$187:$B$323,Acraft!$A$3:$R$139,5,FALSE)+Calc1!$C$168*VLOOKUP($B$187:$B$323,Acraft!$A$3:$R$139,12,FALSE)/1000</f>
        <v>487.63200000000006</v>
      </c>
      <c r="Q244" s="396">
        <f t="shared" si="44"/>
        <v>0</v>
      </c>
      <c r="R244" s="399">
        <f>VLOOKUP($B$187:$B$323,Acraft!$A$3:$Y$139,20,FALSE)*$Y244*Calc2!$C244/2/1000/1000</f>
        <v>0</v>
      </c>
      <c r="S244" s="400">
        <f>VLOOKUP($B$187:$B$323,Acraft!$A$3:$Y$139,21,FALSE)*$Y244*Calc2!$C244/2/1000/1000</f>
        <v>0</v>
      </c>
      <c r="T244" s="400">
        <f>VLOOKUP($B$187:$B$323,Acraft!$A$3:$Y$139,22,FALSE)*$Y244*Calc2!$C244/2/1000/1000</f>
        <v>0</v>
      </c>
      <c r="U244" s="400">
        <f>VLOOKUP($B$187:$B$323,Acraft!$A$3:$Y$139,23,FALSE)*$Y244*Calc2!$C244/2/1000/1000</f>
        <v>0</v>
      </c>
      <c r="V244" s="400">
        <f>VLOOKUP($B$187:$B$323,Acraft!$A$3:$Y$139,24,FALSE)*$Y244*Calc2!$C244/2/1000/1000</f>
        <v>0</v>
      </c>
      <c r="W244" s="398">
        <f>VLOOKUP($B$187:$B$323,Acraft!$A$3:$Y$139,25,FALSE)*$Y244*Calc2!$C244/2/1000/1000</f>
        <v>0</v>
      </c>
      <c r="X244" s="398">
        <f>VLOOKUP($B$187:$B$323,Acraft!$A$3:$Y$139,19,FALSE)*$Y244*Calc2!$C244/2</f>
        <v>0</v>
      </c>
      <c r="Y244" s="309">
        <f>IF(VLOOKUP($B$187:$B$323,Acraft!$A$3:$Y$139,19,FALSE)=4,Calc1!$C$173,IF(VLOOKUP($B$187:$B$323,Acraft!$A$3:$Y$139,19,FALSE)=1.77777777777778,Calc1!$C$172,0))</f>
        <v>15</v>
      </c>
      <c r="Z244" s="305"/>
    </row>
    <row r="245" spans="1:26" x14ac:dyDescent="0.2">
      <c r="A245" s="303"/>
      <c r="B245" s="309" t="s">
        <v>406</v>
      </c>
      <c r="C245" s="397">
        <f>Calc1!F123</f>
        <v>0</v>
      </c>
      <c r="D245" s="395">
        <f>VLOOKUP($B$187:$B$323,Acraft!$A$3:$R$139,6,FALSE)+Calc1!$C$168*VLOOKUP($B$187:$B$323,Acraft!$A$3:$R$139,13,FALSE)/1000</f>
        <v>0.43582799999999999</v>
      </c>
      <c r="E245" s="398">
        <f t="shared" si="38"/>
        <v>0</v>
      </c>
      <c r="F245" s="312">
        <f>VLOOKUP($B$187:$B$323,Acraft!$A$3:$R$139,7,FALSE)+Calc1!$C$168*VLOOKUP($B$187:$B$323,Acraft!$A$3:$R$139,14,FALSE)/1000</f>
        <v>0.89990999999999999</v>
      </c>
      <c r="G245" s="312">
        <f t="shared" si="39"/>
        <v>0</v>
      </c>
      <c r="H245" s="312">
        <f>VLOOKUP($B$187:$B$323,Acraft!$A$3:$R$139,8,FALSE)+Calc1!$C$168*VLOOKUP($B$187:$B$323,Acraft!$A$3:$R$139,15,FALSE)/1000</f>
        <v>3.2516339999999997</v>
      </c>
      <c r="I245" s="312">
        <f t="shared" si="40"/>
        <v>0</v>
      </c>
      <c r="J245" s="312">
        <f>VLOOKUP($B$187:$B$323,Acraft!$A$3:$R$139,9,FALSE)+Calc1!$C$168*VLOOKUP($B$187:$B$323,Acraft!$A$3:$R$139,16,FALSE)/1000</f>
        <v>1.2853320000000001E-2</v>
      </c>
      <c r="K245" s="312">
        <f t="shared" si="41"/>
        <v>0</v>
      </c>
      <c r="L245" s="312">
        <f>VLOOKUP($B$187:$B$323,Acraft!$A$3:$R$139,10,FALSE)+Calc1!$C$168*VLOOKUP($B$187:$B$323,Acraft!$A$3:$R$139,17,FALSE)/1000</f>
        <v>4.7280000000000003E-2</v>
      </c>
      <c r="M245" s="312">
        <f t="shared" si="42"/>
        <v>0</v>
      </c>
      <c r="N245" s="312">
        <f>VLOOKUP($B$187:$B$323,Acraft!$A$3:$R$139,11,FALSE)+Calc1!$C$168*VLOOKUP($B$187:$B$323,Acraft!$A$3:$R$139,18,FALSE)/1000</f>
        <v>297.86399999999998</v>
      </c>
      <c r="O245" s="398">
        <f t="shared" si="43"/>
        <v>0</v>
      </c>
      <c r="P245" s="312">
        <f>VLOOKUP($B$187:$B$323,Acraft!$A$3:$R$139,5,FALSE)+Calc1!$C$168*VLOOKUP($B$187:$B$323,Acraft!$A$3:$R$139,12,FALSE)/1000</f>
        <v>94.56</v>
      </c>
      <c r="Q245" s="396">
        <f t="shared" si="44"/>
        <v>0</v>
      </c>
      <c r="R245" s="399">
        <f>VLOOKUP($B$187:$B$323,Acraft!$A$3:$Y$139,20,FALSE)*$Y245*Calc2!$C245/2/1000/1000</f>
        <v>0</v>
      </c>
      <c r="S245" s="400">
        <f>VLOOKUP($B$187:$B$323,Acraft!$A$3:$Y$139,21,FALSE)*$Y245*Calc2!$C245/2/1000/1000</f>
        <v>0</v>
      </c>
      <c r="T245" s="400">
        <f>VLOOKUP($B$187:$B$323,Acraft!$A$3:$Y$139,22,FALSE)*$Y245*Calc2!$C245/2/1000/1000</f>
        <v>0</v>
      </c>
      <c r="U245" s="400">
        <f>VLOOKUP($B$187:$B$323,Acraft!$A$3:$Y$139,23,FALSE)*$Y245*Calc2!$C245/2/1000/1000</f>
        <v>0</v>
      </c>
      <c r="V245" s="400">
        <f>VLOOKUP($B$187:$B$323,Acraft!$A$3:$Y$139,24,FALSE)*$Y245*Calc2!$C245/2/1000/1000</f>
        <v>0</v>
      </c>
      <c r="W245" s="398">
        <f>VLOOKUP($B$187:$B$323,Acraft!$A$3:$Y$139,25,FALSE)*$Y245*Calc2!$C245/2/1000/1000</f>
        <v>0</v>
      </c>
      <c r="X245" s="398">
        <f>VLOOKUP($B$187:$B$323,Acraft!$A$3:$Y$139,19,FALSE)*$Y245*Calc2!$C245/2</f>
        <v>0</v>
      </c>
      <c r="Y245" s="309">
        <f>IF(VLOOKUP($B$187:$B$323,Acraft!$A$3:$Y$139,19,FALSE)=4,Calc1!$C$173,IF(VLOOKUP($B$187:$B$323,Acraft!$A$3:$Y$139,19,FALSE)=1.77777777777778,Calc1!$C$172,0))</f>
        <v>0</v>
      </c>
      <c r="Z245" s="305"/>
    </row>
    <row r="246" spans="1:26" x14ac:dyDescent="0.2">
      <c r="A246" s="303"/>
      <c r="B246" s="309" t="s">
        <v>408</v>
      </c>
      <c r="C246" s="397">
        <f>Calc1!F124</f>
        <v>0</v>
      </c>
      <c r="D246" s="395">
        <f>VLOOKUP($B$187:$B$323,Acraft!$A$3:$R$139,6,FALSE)+Calc1!$C$168*VLOOKUP($B$187:$B$323,Acraft!$A$3:$R$139,13,FALSE)/1000</f>
        <v>2.450634</v>
      </c>
      <c r="E246" s="398">
        <f t="shared" si="38"/>
        <v>0</v>
      </c>
      <c r="F246" s="312">
        <f>VLOOKUP($B$187:$B$323,Acraft!$A$3:$R$139,7,FALSE)+Calc1!$C$168*VLOOKUP($B$187:$B$323,Acraft!$A$3:$R$139,14,FALSE)/1000</f>
        <v>0</v>
      </c>
      <c r="G246" s="312">
        <f t="shared" si="39"/>
        <v>0</v>
      </c>
      <c r="H246" s="312">
        <f>VLOOKUP($B$187:$B$323,Acraft!$A$3:$R$139,8,FALSE)+Calc1!$C$168*VLOOKUP($B$187:$B$323,Acraft!$A$3:$R$139,15,FALSE)/1000</f>
        <v>1.7753399999999999</v>
      </c>
      <c r="I246" s="312">
        <f t="shared" si="40"/>
        <v>0</v>
      </c>
      <c r="J246" s="312">
        <f>VLOOKUP($B$187:$B$323,Acraft!$A$3:$R$139,9,FALSE)+Calc1!$C$168*VLOOKUP($B$187:$B$323,Acraft!$A$3:$R$139,16,FALSE)/1000</f>
        <v>3.8890520000000005E-2</v>
      </c>
      <c r="K246" s="312">
        <f t="shared" si="41"/>
        <v>0</v>
      </c>
      <c r="L246" s="312">
        <f>VLOOKUP($B$187:$B$323,Acraft!$A$3:$R$139,10,FALSE)+Calc1!$C$168*VLOOKUP($B$187:$B$323,Acraft!$A$3:$R$139,17,FALSE)/1000</f>
        <v>0.13130999999999998</v>
      </c>
      <c r="M246" s="312">
        <f t="shared" si="42"/>
        <v>0</v>
      </c>
      <c r="N246" s="312">
        <f>VLOOKUP($B$187:$B$323,Acraft!$A$3:$R$139,11,FALSE)+Calc1!$C$168*VLOOKUP($B$187:$B$323,Acraft!$A$3:$R$139,18,FALSE)/1000</f>
        <v>827.25299999999993</v>
      </c>
      <c r="O246" s="398">
        <f t="shared" si="43"/>
        <v>0</v>
      </c>
      <c r="P246" s="312">
        <f>VLOOKUP($B$187:$B$323,Acraft!$A$3:$R$139,5,FALSE)+Calc1!$C$168*VLOOKUP($B$187:$B$323,Acraft!$A$3:$R$139,12,FALSE)/1000</f>
        <v>262.62</v>
      </c>
      <c r="Q246" s="396">
        <f t="shared" si="44"/>
        <v>0</v>
      </c>
      <c r="R246" s="399">
        <f>VLOOKUP($B$187:$B$323,Acraft!$A$3:$Y$139,20,FALSE)*$Y246*Calc2!$C246/2/1000/1000</f>
        <v>0</v>
      </c>
      <c r="S246" s="400">
        <f>VLOOKUP($B$187:$B$323,Acraft!$A$3:$Y$139,21,FALSE)*$Y246*Calc2!$C246/2/1000/1000</f>
        <v>0</v>
      </c>
      <c r="T246" s="400">
        <f>VLOOKUP($B$187:$B$323,Acraft!$A$3:$Y$139,22,FALSE)*$Y246*Calc2!$C246/2/1000/1000</f>
        <v>0</v>
      </c>
      <c r="U246" s="400">
        <f>VLOOKUP($B$187:$B$323,Acraft!$A$3:$Y$139,23,FALSE)*$Y246*Calc2!$C246/2/1000/1000</f>
        <v>0</v>
      </c>
      <c r="V246" s="400">
        <f>VLOOKUP($B$187:$B$323,Acraft!$A$3:$Y$139,24,FALSE)*$Y246*Calc2!$C246/2/1000/1000</f>
        <v>0</v>
      </c>
      <c r="W246" s="398">
        <f>VLOOKUP($B$187:$B$323,Acraft!$A$3:$Y$139,25,FALSE)*$Y246*Calc2!$C246/2/1000/1000</f>
        <v>0</v>
      </c>
      <c r="X246" s="398">
        <f>VLOOKUP($B$187:$B$323,Acraft!$A$3:$Y$139,19,FALSE)*$Y246*Calc2!$C246/2</f>
        <v>0</v>
      </c>
      <c r="Y246" s="309">
        <f>IF(VLOOKUP($B$187:$B$323,Acraft!$A$3:$Y$139,19,FALSE)=4,Calc1!$C$173,IF(VLOOKUP($B$187:$B$323,Acraft!$A$3:$Y$139,19,FALSE)=1.77777777777778,Calc1!$C$172,0))</f>
        <v>0</v>
      </c>
      <c r="Z246" s="305"/>
    </row>
    <row r="247" spans="1:26" x14ac:dyDescent="0.2">
      <c r="A247" s="303"/>
      <c r="B247" s="309" t="s">
        <v>410</v>
      </c>
      <c r="C247" s="397">
        <f>Calc1!F125</f>
        <v>0</v>
      </c>
      <c r="D247" s="395">
        <f>VLOOKUP($B$187:$B$323,Acraft!$A$3:$R$139,6,FALSE)+Calc1!$C$168*VLOOKUP($B$187:$B$323,Acraft!$A$3:$R$139,13,FALSE)/1000</f>
        <v>0.48558299999999999</v>
      </c>
      <c r="E247" s="398">
        <f t="shared" si="38"/>
        <v>0</v>
      </c>
      <c r="F247" s="312">
        <f>VLOOKUP($B$187:$B$323,Acraft!$A$3:$R$139,7,FALSE)+Calc1!$C$168*VLOOKUP($B$187:$B$323,Acraft!$A$3:$R$139,14,FALSE)/1000</f>
        <v>0.86896799999999985</v>
      </c>
      <c r="G247" s="312">
        <f t="shared" si="39"/>
        <v>0</v>
      </c>
      <c r="H247" s="312">
        <f>VLOOKUP($B$187:$B$323,Acraft!$A$3:$R$139,8,FALSE)+Calc1!$C$168*VLOOKUP($B$187:$B$323,Acraft!$A$3:$R$139,15,FALSE)/1000</f>
        <v>2.4273593999999998</v>
      </c>
      <c r="I247" s="312">
        <f t="shared" si="40"/>
        <v>0</v>
      </c>
      <c r="J247" s="312">
        <f>VLOOKUP($B$187:$B$323,Acraft!$A$3:$R$139,9,FALSE)+Calc1!$C$168*VLOOKUP($B$187:$B$323,Acraft!$A$3:$R$139,16,FALSE)/1000</f>
        <v>1.4455572E-2</v>
      </c>
      <c r="K247" s="312">
        <f t="shared" si="41"/>
        <v>0</v>
      </c>
      <c r="L247" s="312">
        <f>VLOOKUP($B$187:$B$323,Acraft!$A$3:$R$139,10,FALSE)+Calc1!$C$168*VLOOKUP($B$187:$B$323,Acraft!$A$3:$R$139,17,FALSE)/1000</f>
        <v>5.0837999999999994E-2</v>
      </c>
      <c r="M247" s="312">
        <f t="shared" si="42"/>
        <v>0</v>
      </c>
      <c r="N247" s="312">
        <f>VLOOKUP($B$187:$B$323,Acraft!$A$3:$R$139,11,FALSE)+Calc1!$C$168*VLOOKUP($B$187:$B$323,Acraft!$A$3:$R$139,18,FALSE)/1000</f>
        <v>320.2793999999999</v>
      </c>
      <c r="O247" s="398">
        <f t="shared" si="43"/>
        <v>0</v>
      </c>
      <c r="P247" s="312">
        <f>VLOOKUP($B$187:$B$323,Acraft!$A$3:$R$139,5,FALSE)+Calc1!$C$168*VLOOKUP($B$187:$B$323,Acraft!$A$3:$R$139,12,FALSE)/1000</f>
        <v>101.67599999999999</v>
      </c>
      <c r="Q247" s="396">
        <f t="shared" si="44"/>
        <v>0</v>
      </c>
      <c r="R247" s="399">
        <f>VLOOKUP($B$187:$B$323,Acraft!$A$3:$Y$139,20,FALSE)*$Y247*Calc2!$C247/2/1000/1000</f>
        <v>0</v>
      </c>
      <c r="S247" s="400">
        <f>VLOOKUP($B$187:$B$323,Acraft!$A$3:$Y$139,21,FALSE)*$Y247*Calc2!$C247/2/1000/1000</f>
        <v>0</v>
      </c>
      <c r="T247" s="400">
        <f>VLOOKUP($B$187:$B$323,Acraft!$A$3:$Y$139,22,FALSE)*$Y247*Calc2!$C247/2/1000/1000</f>
        <v>0</v>
      </c>
      <c r="U247" s="400">
        <f>VLOOKUP($B$187:$B$323,Acraft!$A$3:$Y$139,23,FALSE)*$Y247*Calc2!$C247/2/1000/1000</f>
        <v>0</v>
      </c>
      <c r="V247" s="400">
        <f>VLOOKUP($B$187:$B$323,Acraft!$A$3:$Y$139,24,FALSE)*$Y247*Calc2!$C247/2/1000/1000</f>
        <v>0</v>
      </c>
      <c r="W247" s="398">
        <f>VLOOKUP($B$187:$B$323,Acraft!$A$3:$Y$139,25,FALSE)*$Y247*Calc2!$C247/2/1000/1000</f>
        <v>0</v>
      </c>
      <c r="X247" s="398">
        <f>VLOOKUP($B$187:$B$323,Acraft!$A$3:$Y$139,19,FALSE)*$Y247*Calc2!$C247/2</f>
        <v>0</v>
      </c>
      <c r="Y247" s="309">
        <f>IF(VLOOKUP($B$187:$B$323,Acraft!$A$3:$Y$139,19,FALSE)=4,Calc1!$C$173,IF(VLOOKUP($B$187:$B$323,Acraft!$A$3:$Y$139,19,FALSE)=1.77777777777778,Calc1!$C$172,0))</f>
        <v>0</v>
      </c>
      <c r="Z247" s="305"/>
    </row>
    <row r="248" spans="1:26" x14ac:dyDescent="0.2">
      <c r="A248" s="303"/>
      <c r="B248" s="309" t="s">
        <v>412</v>
      </c>
      <c r="C248" s="397">
        <f>Calc1!F126</f>
        <v>0</v>
      </c>
      <c r="D248" s="395">
        <f>VLOOKUP($B$187:$B$323,Acraft!$A$3:$R$139,6,FALSE)+Calc1!$C$168*VLOOKUP($B$187:$B$323,Acraft!$A$3:$R$139,13,FALSE)/1000</f>
        <v>0.13928162400000002</v>
      </c>
      <c r="E248" s="398">
        <f t="shared" si="38"/>
        <v>0</v>
      </c>
      <c r="F248" s="312">
        <f>VLOOKUP($B$187:$B$323,Acraft!$A$3:$R$139,7,FALSE)+Calc1!$C$168*VLOOKUP($B$187:$B$323,Acraft!$A$3:$R$139,14,FALSE)/1000</f>
        <v>1.9495079999999998E-2</v>
      </c>
      <c r="G248" s="312">
        <f t="shared" si="39"/>
        <v>0</v>
      </c>
      <c r="H248" s="312">
        <f>VLOOKUP($B$187:$B$323,Acraft!$A$3:$R$139,8,FALSE)+Calc1!$C$168*VLOOKUP($B$187:$B$323,Acraft!$A$3:$R$139,15,FALSE)/1000</f>
        <v>7.5092904000000016E-2</v>
      </c>
      <c r="I248" s="312">
        <f t="shared" si="40"/>
        <v>0</v>
      </c>
      <c r="J248" s="312">
        <f>VLOOKUP($B$187:$B$323,Acraft!$A$3:$R$139,9,FALSE)+Calc1!$C$168*VLOOKUP($B$187:$B$323,Acraft!$A$3:$R$139,16,FALSE)/1000</f>
        <v>1.6665199999999999E-4</v>
      </c>
      <c r="K248" s="312">
        <f t="shared" si="41"/>
        <v>0</v>
      </c>
      <c r="L248" s="312">
        <f>VLOOKUP($B$187:$B$323,Acraft!$A$3:$R$139,10,FALSE)+Calc1!$C$168*VLOOKUP($B$187:$B$323,Acraft!$A$3:$R$139,17,FALSE)/1000</f>
        <v>3.0312E-3</v>
      </c>
      <c r="M248" s="312">
        <f t="shared" si="42"/>
        <v>0</v>
      </c>
      <c r="N248" s="312">
        <f>VLOOKUP($B$187:$B$323,Acraft!$A$3:$R$139,11,FALSE)+Calc1!$C$168*VLOOKUP($B$187:$B$323,Acraft!$A$3:$R$139,18,FALSE)/1000</f>
        <v>19.035935999999996</v>
      </c>
      <c r="O248" s="398">
        <f t="shared" si="43"/>
        <v>0</v>
      </c>
      <c r="P248" s="312">
        <f>VLOOKUP($B$187:$B$323,Acraft!$A$3:$R$139,5,FALSE)+Calc1!$C$168*VLOOKUP($B$187:$B$323,Acraft!$A$3:$R$139,12,FALSE)/1000</f>
        <v>6.0623999999999993</v>
      </c>
      <c r="Q248" s="396">
        <f t="shared" si="44"/>
        <v>0</v>
      </c>
      <c r="R248" s="399">
        <f>VLOOKUP($B$187:$B$323,Acraft!$A$3:$Y$139,20,FALSE)*$Y248*Calc2!$C248/2/1000/1000</f>
        <v>0</v>
      </c>
      <c r="S248" s="400">
        <f>VLOOKUP($B$187:$B$323,Acraft!$A$3:$Y$139,21,FALSE)*$Y248*Calc2!$C248/2/1000/1000</f>
        <v>0</v>
      </c>
      <c r="T248" s="400">
        <f>VLOOKUP($B$187:$B$323,Acraft!$A$3:$Y$139,22,FALSE)*$Y248*Calc2!$C248/2/1000/1000</f>
        <v>0</v>
      </c>
      <c r="U248" s="400">
        <f>VLOOKUP($B$187:$B$323,Acraft!$A$3:$Y$139,23,FALSE)*$Y248*Calc2!$C248/2/1000/1000</f>
        <v>0</v>
      </c>
      <c r="V248" s="400">
        <f>VLOOKUP($B$187:$B$323,Acraft!$A$3:$Y$139,24,FALSE)*$Y248*Calc2!$C248/2/1000/1000</f>
        <v>0</v>
      </c>
      <c r="W248" s="398">
        <f>VLOOKUP($B$187:$B$323,Acraft!$A$3:$Y$139,25,FALSE)*$Y248*Calc2!$C248/2/1000/1000</f>
        <v>0</v>
      </c>
      <c r="X248" s="398">
        <f>VLOOKUP($B$187:$B$323,Acraft!$A$3:$Y$139,19,FALSE)*$Y248*Calc2!$C248/2</f>
        <v>0</v>
      </c>
      <c r="Y248" s="309">
        <f>IF(VLOOKUP($B$187:$B$323,Acraft!$A$3:$Y$139,19,FALSE)=4,Calc1!$C$173,IF(VLOOKUP($B$187:$B$323,Acraft!$A$3:$Y$139,19,FALSE)=1.77777777777778,Calc1!$C$172,0))</f>
        <v>0</v>
      </c>
      <c r="Z248" s="305"/>
    </row>
    <row r="249" spans="1:26" x14ac:dyDescent="0.2">
      <c r="A249" s="303"/>
      <c r="B249" s="309" t="s">
        <v>415</v>
      </c>
      <c r="C249" s="397">
        <f>Calc1!F127</f>
        <v>0</v>
      </c>
      <c r="D249" s="395">
        <f>VLOOKUP($B$187:$B$323,Acraft!$A$3:$R$139,6,FALSE)+Calc1!$C$168*VLOOKUP($B$187:$B$323,Acraft!$A$3:$R$139,13,FALSE)/1000</f>
        <v>0.52542275999999988</v>
      </c>
      <c r="E249" s="398">
        <f t="shared" si="38"/>
        <v>0</v>
      </c>
      <c r="F249" s="312">
        <f>VLOOKUP($B$187:$B$323,Acraft!$A$3:$R$139,7,FALSE)+Calc1!$C$168*VLOOKUP($B$187:$B$323,Acraft!$A$3:$R$139,14,FALSE)/1000</f>
        <v>3.6276459600000002</v>
      </c>
      <c r="G249" s="312">
        <f t="shared" si="39"/>
        <v>0</v>
      </c>
      <c r="H249" s="312">
        <f>VLOOKUP($B$187:$B$323,Acraft!$A$3:$R$139,8,FALSE)+Calc1!$C$168*VLOOKUP($B$187:$B$323,Acraft!$A$3:$R$139,15,FALSE)/1000</f>
        <v>2.9468556000000001</v>
      </c>
      <c r="I249" s="312">
        <f t="shared" si="40"/>
        <v>0</v>
      </c>
      <c r="J249" s="312">
        <f>VLOOKUP($B$187:$B$323,Acraft!$A$3:$R$139,9,FALSE)+Calc1!$C$168*VLOOKUP($B$187:$B$323,Acraft!$A$3:$R$139,16,FALSE)/1000</f>
        <v>1.143192E-2</v>
      </c>
      <c r="K249" s="312">
        <f t="shared" si="41"/>
        <v>0</v>
      </c>
      <c r="L249" s="312">
        <f>VLOOKUP($B$187:$B$323,Acraft!$A$3:$R$139,10,FALSE)+Calc1!$C$168*VLOOKUP($B$187:$B$323,Acraft!$A$3:$R$139,17,FALSE)/1000</f>
        <v>4.0802999999999992E-2</v>
      </c>
      <c r="M249" s="312">
        <f t="shared" si="42"/>
        <v>0</v>
      </c>
      <c r="N249" s="312">
        <f>VLOOKUP($B$187:$B$323,Acraft!$A$3:$R$139,11,FALSE)+Calc1!$C$168*VLOOKUP($B$187:$B$323,Acraft!$A$3:$R$139,18,FALSE)/1000</f>
        <v>25.705889999999997</v>
      </c>
      <c r="O249" s="398">
        <f t="shared" si="43"/>
        <v>0</v>
      </c>
      <c r="P249" s="312">
        <f>VLOOKUP($B$187:$B$323,Acraft!$A$3:$R$139,5,FALSE)+Calc1!$C$168*VLOOKUP($B$187:$B$323,Acraft!$A$3:$R$139,12,FALSE)/1000</f>
        <v>81.605999999999995</v>
      </c>
      <c r="Q249" s="396">
        <f t="shared" si="44"/>
        <v>0</v>
      </c>
      <c r="R249" s="399">
        <f>VLOOKUP($B$187:$B$323,Acraft!$A$3:$Y$139,20,FALSE)*$Y249*Calc2!$C249/2/1000/1000</f>
        <v>0</v>
      </c>
      <c r="S249" s="400">
        <f>VLOOKUP($B$187:$B$323,Acraft!$A$3:$Y$139,21,FALSE)*$Y249*Calc2!$C249/2/1000/1000</f>
        <v>0</v>
      </c>
      <c r="T249" s="400">
        <f>VLOOKUP($B$187:$B$323,Acraft!$A$3:$Y$139,22,FALSE)*$Y249*Calc2!$C249/2/1000/1000</f>
        <v>0</v>
      </c>
      <c r="U249" s="400">
        <f>VLOOKUP($B$187:$B$323,Acraft!$A$3:$Y$139,23,FALSE)*$Y249*Calc2!$C249/2/1000/1000</f>
        <v>0</v>
      </c>
      <c r="V249" s="400">
        <f>VLOOKUP($B$187:$B$323,Acraft!$A$3:$Y$139,24,FALSE)*$Y249*Calc2!$C249/2/1000/1000</f>
        <v>0</v>
      </c>
      <c r="W249" s="398">
        <f>VLOOKUP($B$187:$B$323,Acraft!$A$3:$Y$139,25,FALSE)*$Y249*Calc2!$C249/2/1000/1000</f>
        <v>0</v>
      </c>
      <c r="X249" s="398">
        <f>VLOOKUP($B$187:$B$323,Acraft!$A$3:$Y$139,19,FALSE)*$Y249*Calc2!$C249/2</f>
        <v>0</v>
      </c>
      <c r="Y249" s="309">
        <f>IF(VLOOKUP($B$187:$B$323,Acraft!$A$3:$Y$139,19,FALSE)=4,Calc1!$C$173,IF(VLOOKUP($B$187:$B$323,Acraft!$A$3:$Y$139,19,FALSE)=1.77777777777778,Calc1!$C$172,0))</f>
        <v>0</v>
      </c>
      <c r="Z249" s="305"/>
    </row>
    <row r="250" spans="1:26" x14ac:dyDescent="0.2">
      <c r="A250" s="303"/>
      <c r="B250" s="309" t="s">
        <v>417</v>
      </c>
      <c r="C250" s="397">
        <f>Calc1!F128</f>
        <v>0</v>
      </c>
      <c r="D250" s="395">
        <f>VLOOKUP($B$187:$B$323,Acraft!$A$3:$R$139,6,FALSE)+Calc1!$C$168*VLOOKUP($B$187:$B$323,Acraft!$A$3:$R$139,13,FALSE)/1000</f>
        <v>3.0151198559999997</v>
      </c>
      <c r="E250" s="398">
        <f t="shared" si="38"/>
        <v>0</v>
      </c>
      <c r="F250" s="312">
        <f>VLOOKUP($B$187:$B$323,Acraft!$A$3:$R$139,7,FALSE)+Calc1!$C$168*VLOOKUP($B$187:$B$323,Acraft!$A$3:$R$139,14,FALSE)/1000</f>
        <v>0.59613408000000012</v>
      </c>
      <c r="G250" s="312">
        <f t="shared" si="39"/>
        <v>0</v>
      </c>
      <c r="H250" s="312">
        <f>VLOOKUP($B$187:$B$323,Acraft!$A$3:$R$139,8,FALSE)+Calc1!$C$168*VLOOKUP($B$187:$B$323,Acraft!$A$3:$R$139,15,FALSE)/1000</f>
        <v>5.537937372</v>
      </c>
      <c r="I250" s="312">
        <f t="shared" si="40"/>
        <v>0</v>
      </c>
      <c r="J250" s="312">
        <f>VLOOKUP($B$187:$B$323,Acraft!$A$3:$R$139,9,FALSE)+Calc1!$C$168*VLOOKUP($B$187:$B$323,Acraft!$A$3:$R$139,16,FALSE)/1000</f>
        <v>2.3441245190179549E-2</v>
      </c>
      <c r="K250" s="312">
        <f t="shared" si="41"/>
        <v>0</v>
      </c>
      <c r="L250" s="312">
        <f>VLOOKUP($B$187:$B$323,Acraft!$A$3:$R$139,10,FALSE)+Calc1!$C$168*VLOOKUP($B$187:$B$323,Acraft!$A$3:$R$139,17,FALSE)/1000</f>
        <v>0.13991939999999997</v>
      </c>
      <c r="M250" s="312">
        <f t="shared" si="42"/>
        <v>0</v>
      </c>
      <c r="N250" s="312">
        <f>VLOOKUP($B$187:$B$323,Acraft!$A$3:$R$139,11,FALSE)+Calc1!$C$168*VLOOKUP($B$187:$B$323,Acraft!$A$3:$R$139,18,FALSE)/1000</f>
        <v>881.49222000000009</v>
      </c>
      <c r="O250" s="398">
        <f t="shared" si="43"/>
        <v>0</v>
      </c>
      <c r="P250" s="312">
        <f>VLOOKUP($B$187:$B$323,Acraft!$A$3:$R$139,5,FALSE)+Calc1!$C$168*VLOOKUP($B$187:$B$323,Acraft!$A$3:$R$139,12,FALSE)/1000</f>
        <v>279.83879999999999</v>
      </c>
      <c r="Q250" s="396">
        <f t="shared" si="44"/>
        <v>0</v>
      </c>
      <c r="R250" s="399">
        <f>VLOOKUP($B$187:$B$323,Acraft!$A$3:$Y$139,20,FALSE)*$Y250*Calc2!$C250/2/1000/1000</f>
        <v>0</v>
      </c>
      <c r="S250" s="400">
        <f>VLOOKUP($B$187:$B$323,Acraft!$A$3:$Y$139,21,FALSE)*$Y250*Calc2!$C250/2/1000/1000</f>
        <v>0</v>
      </c>
      <c r="T250" s="400">
        <f>VLOOKUP($B$187:$B$323,Acraft!$A$3:$Y$139,22,FALSE)*$Y250*Calc2!$C250/2/1000/1000</f>
        <v>0</v>
      </c>
      <c r="U250" s="400">
        <f>VLOOKUP($B$187:$B$323,Acraft!$A$3:$Y$139,23,FALSE)*$Y250*Calc2!$C250/2/1000/1000</f>
        <v>0</v>
      </c>
      <c r="V250" s="400">
        <f>VLOOKUP($B$187:$B$323,Acraft!$A$3:$Y$139,24,FALSE)*$Y250*Calc2!$C250/2/1000/1000</f>
        <v>0</v>
      </c>
      <c r="W250" s="398">
        <f>VLOOKUP($B$187:$B$323,Acraft!$A$3:$Y$139,25,FALSE)*$Y250*Calc2!$C250/2/1000/1000</f>
        <v>0</v>
      </c>
      <c r="X250" s="398">
        <f>VLOOKUP($B$187:$B$323,Acraft!$A$3:$Y$139,19,FALSE)*$Y250*Calc2!$C250/2</f>
        <v>0</v>
      </c>
      <c r="Y250" s="309">
        <f>IF(VLOOKUP($B$187:$B$323,Acraft!$A$3:$Y$139,19,FALSE)=4,Calc1!$C$173,IF(VLOOKUP($B$187:$B$323,Acraft!$A$3:$Y$139,19,FALSE)=1.77777777777778,Calc1!$C$172,0))</f>
        <v>15</v>
      </c>
      <c r="Z250" s="305"/>
    </row>
    <row r="251" spans="1:26" x14ac:dyDescent="0.2">
      <c r="A251" s="303"/>
      <c r="B251" s="309" t="s">
        <v>419</v>
      </c>
      <c r="C251" s="397">
        <f>Calc1!F129</f>
        <v>0</v>
      </c>
      <c r="D251" s="395">
        <f>VLOOKUP($B$187:$B$323,Acraft!$A$3:$R$139,6,FALSE)+Calc1!$C$168*VLOOKUP($B$187:$B$323,Acraft!$A$3:$R$139,13,FALSE)/1000</f>
        <v>2.3870087999999998</v>
      </c>
      <c r="E251" s="398">
        <f t="shared" ref="E251:E282" si="45">$C251*D251/2/1000</f>
        <v>0</v>
      </c>
      <c r="F251" s="312">
        <f>VLOOKUP($B$187:$B$323,Acraft!$A$3:$R$139,7,FALSE)+Calc1!$C$168*VLOOKUP($B$187:$B$323,Acraft!$A$3:$R$139,14,FALSE)/1000</f>
        <v>0</v>
      </c>
      <c r="G251" s="312">
        <f t="shared" ref="G251:G282" si="46">$C251*F251/2/1000</f>
        <v>0</v>
      </c>
      <c r="H251" s="312">
        <f>VLOOKUP($B$187:$B$323,Acraft!$A$3:$R$139,8,FALSE)+Calc1!$C$168*VLOOKUP($B$187:$B$323,Acraft!$A$3:$R$139,15,FALSE)/1000</f>
        <v>1.7512631999999999</v>
      </c>
      <c r="I251" s="312">
        <f t="shared" ref="I251:I282" si="47">$C251*H251/2/1000</f>
        <v>0</v>
      </c>
      <c r="J251" s="312">
        <f>VLOOKUP($B$187:$B$323,Acraft!$A$3:$R$139,9,FALSE)+Calc1!$C$168*VLOOKUP($B$187:$B$323,Acraft!$A$3:$R$139,16,FALSE)/1000</f>
        <v>4.0917719999999998E-2</v>
      </c>
      <c r="K251" s="312">
        <f t="shared" ref="K251:K282" si="48">$C251*J251/2/1000</f>
        <v>0</v>
      </c>
      <c r="L251" s="312">
        <f>VLOOKUP($B$187:$B$323,Acraft!$A$3:$R$139,10,FALSE)+Calc1!$C$168*VLOOKUP($B$187:$B$323,Acraft!$A$3:$R$139,17,FALSE)/1000</f>
        <v>0.133992</v>
      </c>
      <c r="M251" s="312">
        <f t="shared" ref="M251:M282" si="49">$C251*L251/2/1000</f>
        <v>0</v>
      </c>
      <c r="N251" s="312">
        <f>VLOOKUP($B$187:$B$323,Acraft!$A$3:$R$139,11,FALSE)+Calc1!$C$168*VLOOKUP($B$187:$B$323,Acraft!$A$3:$R$139,18,FALSE)/1000</f>
        <v>844.14959999999996</v>
      </c>
      <c r="O251" s="398">
        <f t="shared" ref="O251:O282" si="50">$C251*N251/2/1000</f>
        <v>0</v>
      </c>
      <c r="P251" s="312">
        <f>VLOOKUP($B$187:$B$323,Acraft!$A$3:$R$139,5,FALSE)+Calc1!$C$168*VLOOKUP($B$187:$B$323,Acraft!$A$3:$R$139,12,FALSE)/1000</f>
        <v>267.98400000000004</v>
      </c>
      <c r="Q251" s="396">
        <f t="shared" ref="Q251:Q282" si="51">$C251*P251/2</f>
        <v>0</v>
      </c>
      <c r="R251" s="399">
        <f>VLOOKUP($B$187:$B$323,Acraft!$A$3:$Y$139,20,FALSE)*$Y251*Calc2!$C251/2/1000/1000</f>
        <v>0</v>
      </c>
      <c r="S251" s="400">
        <f>VLOOKUP($B$187:$B$323,Acraft!$A$3:$Y$139,21,FALSE)*$Y251*Calc2!$C251/2/1000/1000</f>
        <v>0</v>
      </c>
      <c r="T251" s="400">
        <f>VLOOKUP($B$187:$B$323,Acraft!$A$3:$Y$139,22,FALSE)*$Y251*Calc2!$C251/2/1000/1000</f>
        <v>0</v>
      </c>
      <c r="U251" s="400">
        <f>VLOOKUP($B$187:$B$323,Acraft!$A$3:$Y$139,23,FALSE)*$Y251*Calc2!$C251/2/1000/1000</f>
        <v>0</v>
      </c>
      <c r="V251" s="400">
        <f>VLOOKUP($B$187:$B$323,Acraft!$A$3:$Y$139,24,FALSE)*$Y251*Calc2!$C251/2/1000/1000</f>
        <v>0</v>
      </c>
      <c r="W251" s="398">
        <f>VLOOKUP($B$187:$B$323,Acraft!$A$3:$Y$139,25,FALSE)*$Y251*Calc2!$C251/2/1000/1000</f>
        <v>0</v>
      </c>
      <c r="X251" s="398">
        <f>VLOOKUP($B$187:$B$323,Acraft!$A$3:$Y$139,19,FALSE)*$Y251*Calc2!$C251/2</f>
        <v>0</v>
      </c>
      <c r="Y251" s="309">
        <f>IF(VLOOKUP($B$187:$B$323,Acraft!$A$3:$Y$139,19,FALSE)=4,Calc1!$C$173,IF(VLOOKUP($B$187:$B$323,Acraft!$A$3:$Y$139,19,FALSE)=1.77777777777778,Calc1!$C$172,0))</f>
        <v>0</v>
      </c>
      <c r="Z251" s="305"/>
    </row>
    <row r="252" spans="1:26" x14ac:dyDescent="0.2">
      <c r="A252" s="303"/>
      <c r="B252" s="309" t="s">
        <v>422</v>
      </c>
      <c r="C252" s="397">
        <f>Calc1!F130</f>
        <v>0</v>
      </c>
      <c r="D252" s="395">
        <f>VLOOKUP($B$187:$B$323,Acraft!$A$3:$R$139,6,FALSE)+Calc1!$C$168*VLOOKUP($B$187:$B$323,Acraft!$A$3:$R$139,13,FALSE)/1000</f>
        <v>0.26860271999999996</v>
      </c>
      <c r="E252" s="398">
        <f t="shared" si="45"/>
        <v>0</v>
      </c>
      <c r="F252" s="312">
        <f>VLOOKUP($B$187:$B$323,Acraft!$A$3:$R$139,7,FALSE)+Calc1!$C$168*VLOOKUP($B$187:$B$323,Acraft!$A$3:$R$139,14,FALSE)/1000</f>
        <v>3.8067742080000002</v>
      </c>
      <c r="G252" s="312">
        <f t="shared" si="46"/>
        <v>0</v>
      </c>
      <c r="H252" s="312">
        <f>VLOOKUP($B$187:$B$323,Acraft!$A$3:$R$139,8,FALSE)+Calc1!$C$168*VLOOKUP($B$187:$B$323,Acraft!$A$3:$R$139,15,FALSE)/1000</f>
        <v>10.27817952</v>
      </c>
      <c r="I252" s="312">
        <f t="shared" si="47"/>
        <v>0</v>
      </c>
      <c r="J252" s="312">
        <f>VLOOKUP($B$187:$B$323,Acraft!$A$3:$R$139,9,FALSE)+Calc1!$C$168*VLOOKUP($B$187:$B$323,Acraft!$A$3:$R$139,16,FALSE)/1000</f>
        <v>2.0900519999999999E-2</v>
      </c>
      <c r="K252" s="312">
        <f t="shared" si="48"/>
        <v>0</v>
      </c>
      <c r="L252" s="312">
        <f>VLOOKUP($B$187:$B$323,Acraft!$A$3:$R$139,10,FALSE)+Calc1!$C$168*VLOOKUP($B$187:$B$323,Acraft!$A$3:$R$139,17,FALSE)/1000</f>
        <v>4.9428E-2</v>
      </c>
      <c r="M252" s="312">
        <f t="shared" si="49"/>
        <v>0</v>
      </c>
      <c r="N252" s="312">
        <f>VLOOKUP($B$187:$B$323,Acraft!$A$3:$R$139,11,FALSE)+Calc1!$C$168*VLOOKUP($B$187:$B$323,Acraft!$A$3:$R$139,18,FALSE)/1000</f>
        <v>311.39640000000003</v>
      </c>
      <c r="O252" s="398">
        <f t="shared" si="50"/>
        <v>0</v>
      </c>
      <c r="P252" s="312">
        <f>VLOOKUP($B$187:$B$323,Acraft!$A$3:$R$139,5,FALSE)+Calc1!$C$168*VLOOKUP($B$187:$B$323,Acraft!$A$3:$R$139,12,FALSE)/1000</f>
        <v>98.856000000000009</v>
      </c>
      <c r="Q252" s="396">
        <f t="shared" si="51"/>
        <v>0</v>
      </c>
      <c r="R252" s="399">
        <f>VLOOKUP($B$187:$B$323,Acraft!$A$3:$Y$139,20,FALSE)*$Y252*Calc2!$C252/2/1000/1000</f>
        <v>0</v>
      </c>
      <c r="S252" s="400">
        <f>VLOOKUP($B$187:$B$323,Acraft!$A$3:$Y$139,21,FALSE)*$Y252*Calc2!$C252/2/1000/1000</f>
        <v>0</v>
      </c>
      <c r="T252" s="400">
        <f>VLOOKUP($B$187:$B$323,Acraft!$A$3:$Y$139,22,FALSE)*$Y252*Calc2!$C252/2/1000/1000</f>
        <v>0</v>
      </c>
      <c r="U252" s="400">
        <f>VLOOKUP($B$187:$B$323,Acraft!$A$3:$Y$139,23,FALSE)*$Y252*Calc2!$C252/2/1000/1000</f>
        <v>0</v>
      </c>
      <c r="V252" s="400">
        <f>VLOOKUP($B$187:$B$323,Acraft!$A$3:$Y$139,24,FALSE)*$Y252*Calc2!$C252/2/1000/1000</f>
        <v>0</v>
      </c>
      <c r="W252" s="398">
        <f>VLOOKUP($B$187:$B$323,Acraft!$A$3:$Y$139,25,FALSE)*$Y252*Calc2!$C252/2/1000/1000</f>
        <v>0</v>
      </c>
      <c r="X252" s="398">
        <f>VLOOKUP($B$187:$B$323,Acraft!$A$3:$Y$139,19,FALSE)*$Y252*Calc2!$C252/2</f>
        <v>0</v>
      </c>
      <c r="Y252" s="309">
        <f>IF(VLOOKUP($B$187:$B$323,Acraft!$A$3:$Y$139,19,FALSE)=4,Calc1!$C$173,IF(VLOOKUP($B$187:$B$323,Acraft!$A$3:$Y$139,19,FALSE)=1.77777777777778,Calc1!$C$172,0))</f>
        <v>0</v>
      </c>
      <c r="Z252" s="305"/>
    </row>
    <row r="253" spans="1:26" x14ac:dyDescent="0.2">
      <c r="A253" s="303"/>
      <c r="B253" s="309" t="s">
        <v>424</v>
      </c>
      <c r="C253" s="397">
        <f>Calc1!F131</f>
        <v>0</v>
      </c>
      <c r="D253" s="395">
        <f>VLOOKUP($B$187:$B$323,Acraft!$A$3:$R$139,6,FALSE)+Calc1!$C$168*VLOOKUP($B$187:$B$323,Acraft!$A$3:$R$139,13,FALSE)/1000</f>
        <v>1.2164571</v>
      </c>
      <c r="E253" s="398">
        <f t="shared" si="45"/>
        <v>0</v>
      </c>
      <c r="F253" s="312">
        <f>VLOOKUP($B$187:$B$323,Acraft!$A$3:$R$139,7,FALSE)+Calc1!$C$168*VLOOKUP($B$187:$B$323,Acraft!$A$3:$R$139,14,FALSE)/1000</f>
        <v>0.16142219999999999</v>
      </c>
      <c r="G253" s="312">
        <f t="shared" si="46"/>
        <v>0</v>
      </c>
      <c r="H253" s="312">
        <f>VLOOKUP($B$187:$B$323,Acraft!$A$3:$R$139,8,FALSE)+Calc1!$C$168*VLOOKUP($B$187:$B$323,Acraft!$A$3:$R$139,15,FALSE)/1000</f>
        <v>1.5992297999999998</v>
      </c>
      <c r="I253" s="312">
        <f t="shared" si="47"/>
        <v>0</v>
      </c>
      <c r="J253" s="312">
        <f>VLOOKUP($B$187:$B$323,Acraft!$A$3:$R$139,9,FALSE)+Calc1!$C$168*VLOOKUP($B$187:$B$323,Acraft!$A$3:$R$139,16,FALSE)/1000</f>
        <v>1.4556738E-2</v>
      </c>
      <c r="K253" s="312">
        <f t="shared" si="48"/>
        <v>0</v>
      </c>
      <c r="L253" s="312">
        <f>VLOOKUP($B$187:$B$323,Acraft!$A$3:$R$139,10,FALSE)+Calc1!$C$168*VLOOKUP($B$187:$B$323,Acraft!$A$3:$R$139,17,FALSE)/1000</f>
        <v>0.12098250000000001</v>
      </c>
      <c r="M253" s="312">
        <f t="shared" si="49"/>
        <v>0</v>
      </c>
      <c r="N253" s="312">
        <f>VLOOKUP($B$187:$B$323,Acraft!$A$3:$R$139,11,FALSE)+Calc1!$C$168*VLOOKUP($B$187:$B$323,Acraft!$A$3:$R$139,18,FALSE)/1000</f>
        <v>762.18975</v>
      </c>
      <c r="O253" s="398">
        <f t="shared" si="50"/>
        <v>0</v>
      </c>
      <c r="P253" s="312">
        <f>VLOOKUP($B$187:$B$323,Acraft!$A$3:$R$139,5,FALSE)+Calc1!$C$168*VLOOKUP($B$187:$B$323,Acraft!$A$3:$R$139,12,FALSE)/1000</f>
        <v>241.965</v>
      </c>
      <c r="Q253" s="396">
        <f t="shared" si="51"/>
        <v>0</v>
      </c>
      <c r="R253" s="399">
        <f>VLOOKUP($B$187:$B$323,Acraft!$A$3:$Y$139,20,FALSE)*$Y253*Calc2!$C253/2/1000/1000</f>
        <v>0</v>
      </c>
      <c r="S253" s="400">
        <f>VLOOKUP($B$187:$B$323,Acraft!$A$3:$Y$139,21,FALSE)*$Y253*Calc2!$C253/2/1000/1000</f>
        <v>0</v>
      </c>
      <c r="T253" s="400">
        <f>VLOOKUP($B$187:$B$323,Acraft!$A$3:$Y$139,22,FALSE)*$Y253*Calc2!$C253/2/1000/1000</f>
        <v>0</v>
      </c>
      <c r="U253" s="400">
        <f>VLOOKUP($B$187:$B$323,Acraft!$A$3:$Y$139,23,FALSE)*$Y253*Calc2!$C253/2/1000/1000</f>
        <v>0</v>
      </c>
      <c r="V253" s="400">
        <f>VLOOKUP($B$187:$B$323,Acraft!$A$3:$Y$139,24,FALSE)*$Y253*Calc2!$C253/2/1000/1000</f>
        <v>0</v>
      </c>
      <c r="W253" s="398">
        <f>VLOOKUP($B$187:$B$323,Acraft!$A$3:$Y$139,25,FALSE)*$Y253*Calc2!$C253/2/1000/1000</f>
        <v>0</v>
      </c>
      <c r="X253" s="398">
        <f>VLOOKUP($B$187:$B$323,Acraft!$A$3:$Y$139,19,FALSE)*$Y253*Calc2!$C253/2</f>
        <v>0</v>
      </c>
      <c r="Y253" s="309">
        <f>IF(VLOOKUP($B$187:$B$323,Acraft!$A$3:$Y$139,19,FALSE)=4,Calc1!$C$173,IF(VLOOKUP($B$187:$B$323,Acraft!$A$3:$Y$139,19,FALSE)=1.77777777777778,Calc1!$C$172,0))</f>
        <v>0</v>
      </c>
      <c r="Z253" s="305"/>
    </row>
    <row r="254" spans="1:26" x14ac:dyDescent="0.2">
      <c r="A254" s="303"/>
      <c r="B254" s="309" t="s">
        <v>427</v>
      </c>
      <c r="C254" s="397">
        <f>Calc1!F132</f>
        <v>0</v>
      </c>
      <c r="D254" s="395">
        <f>VLOOKUP($B$187:$B$323,Acraft!$A$3:$R$139,6,FALSE)+Calc1!$C$168*VLOOKUP($B$187:$B$323,Acraft!$A$3:$R$139,13,FALSE)/1000</f>
        <v>2.3870087999999998</v>
      </c>
      <c r="E254" s="398">
        <f t="shared" si="45"/>
        <v>0</v>
      </c>
      <c r="F254" s="312">
        <f>VLOOKUP($B$187:$B$323,Acraft!$A$3:$R$139,7,FALSE)+Calc1!$C$168*VLOOKUP($B$187:$B$323,Acraft!$A$3:$R$139,14,FALSE)/1000</f>
        <v>0</v>
      </c>
      <c r="G254" s="312">
        <f t="shared" si="46"/>
        <v>0</v>
      </c>
      <c r="H254" s="312">
        <f>VLOOKUP($B$187:$B$323,Acraft!$A$3:$R$139,8,FALSE)+Calc1!$C$168*VLOOKUP($B$187:$B$323,Acraft!$A$3:$R$139,15,FALSE)/1000</f>
        <v>1.7512631999999999</v>
      </c>
      <c r="I254" s="312">
        <f t="shared" si="47"/>
        <v>0</v>
      </c>
      <c r="J254" s="312">
        <f>VLOOKUP($B$187:$B$323,Acraft!$A$3:$R$139,9,FALSE)+Calc1!$C$168*VLOOKUP($B$187:$B$323,Acraft!$A$3:$R$139,16,FALSE)/1000</f>
        <v>4.0917719999999998E-2</v>
      </c>
      <c r="K254" s="312">
        <f t="shared" si="48"/>
        <v>0</v>
      </c>
      <c r="L254" s="312">
        <f>VLOOKUP($B$187:$B$323,Acraft!$A$3:$R$139,10,FALSE)+Calc1!$C$168*VLOOKUP($B$187:$B$323,Acraft!$A$3:$R$139,17,FALSE)/1000</f>
        <v>0.133992</v>
      </c>
      <c r="M254" s="312">
        <f t="shared" si="49"/>
        <v>0</v>
      </c>
      <c r="N254" s="312">
        <f>VLOOKUP($B$187:$B$323,Acraft!$A$3:$R$139,11,FALSE)+Calc1!$C$168*VLOOKUP($B$187:$B$323,Acraft!$A$3:$R$139,18,FALSE)/1000</f>
        <v>844.14959999999996</v>
      </c>
      <c r="O254" s="398">
        <f t="shared" si="50"/>
        <v>0</v>
      </c>
      <c r="P254" s="312">
        <f>VLOOKUP($B$187:$B$323,Acraft!$A$3:$R$139,5,FALSE)+Calc1!$C$168*VLOOKUP($B$187:$B$323,Acraft!$A$3:$R$139,12,FALSE)/1000</f>
        <v>267.98400000000004</v>
      </c>
      <c r="Q254" s="396">
        <f t="shared" si="51"/>
        <v>0</v>
      </c>
      <c r="R254" s="399">
        <f>VLOOKUP($B$187:$B$323,Acraft!$A$3:$Y$139,20,FALSE)*$Y254*Calc2!$C254/2/1000/1000</f>
        <v>0</v>
      </c>
      <c r="S254" s="400">
        <f>VLOOKUP($B$187:$B$323,Acraft!$A$3:$Y$139,21,FALSE)*$Y254*Calc2!$C254/2/1000/1000</f>
        <v>0</v>
      </c>
      <c r="T254" s="400">
        <f>VLOOKUP($B$187:$B$323,Acraft!$A$3:$Y$139,22,FALSE)*$Y254*Calc2!$C254/2/1000/1000</f>
        <v>0</v>
      </c>
      <c r="U254" s="400">
        <f>VLOOKUP($B$187:$B$323,Acraft!$A$3:$Y$139,23,FALSE)*$Y254*Calc2!$C254/2/1000/1000</f>
        <v>0</v>
      </c>
      <c r="V254" s="400">
        <f>VLOOKUP($B$187:$B$323,Acraft!$A$3:$Y$139,24,FALSE)*$Y254*Calc2!$C254/2/1000/1000</f>
        <v>0</v>
      </c>
      <c r="W254" s="398">
        <f>VLOOKUP($B$187:$B$323,Acraft!$A$3:$Y$139,25,FALSE)*$Y254*Calc2!$C254/2/1000/1000</f>
        <v>0</v>
      </c>
      <c r="X254" s="398">
        <f>VLOOKUP($B$187:$B$323,Acraft!$A$3:$Y$139,19,FALSE)*$Y254*Calc2!$C254/2</f>
        <v>0</v>
      </c>
      <c r="Y254" s="309">
        <f>IF(VLOOKUP($B$187:$B$323,Acraft!$A$3:$Y$139,19,FALSE)=4,Calc1!$C$173,IF(VLOOKUP($B$187:$B$323,Acraft!$A$3:$Y$139,19,FALSE)=1.77777777777778,Calc1!$C$172,0))</f>
        <v>0</v>
      </c>
      <c r="Z254" s="305"/>
    </row>
    <row r="255" spans="1:26" x14ac:dyDescent="0.2">
      <c r="A255" s="303"/>
      <c r="B255" s="309" t="s">
        <v>429</v>
      </c>
      <c r="C255" s="397">
        <f>Calc1!F133</f>
        <v>0</v>
      </c>
      <c r="D255" s="395">
        <f>VLOOKUP($B$187:$B$323,Acraft!$A$3:$R$139,6,FALSE)+Calc1!$C$168*VLOOKUP($B$187:$B$323,Acraft!$A$3:$R$139,13,FALSE)/1000</f>
        <v>3.1488031200000006</v>
      </c>
      <c r="E255" s="398">
        <f t="shared" si="45"/>
        <v>0</v>
      </c>
      <c r="F255" s="312">
        <f>VLOOKUP($B$187:$B$323,Acraft!$A$3:$R$139,7,FALSE)+Calc1!$C$168*VLOOKUP($B$187:$B$323,Acraft!$A$3:$R$139,14,FALSE)/1000</f>
        <v>0.46646339999999997</v>
      </c>
      <c r="G255" s="312">
        <f t="shared" si="46"/>
        <v>0</v>
      </c>
      <c r="H255" s="312">
        <f>VLOOKUP($B$187:$B$323,Acraft!$A$3:$R$139,8,FALSE)+Calc1!$C$168*VLOOKUP($B$187:$B$323,Acraft!$A$3:$R$139,15,FALSE)/1000</f>
        <v>3.0389490000000001</v>
      </c>
      <c r="I255" s="312">
        <f t="shared" si="47"/>
        <v>0</v>
      </c>
      <c r="J255" s="312">
        <f>VLOOKUP($B$187:$B$323,Acraft!$A$3:$R$139,9,FALSE)+Calc1!$C$168*VLOOKUP($B$187:$B$323,Acraft!$A$3:$R$139,16,FALSE)/1000</f>
        <v>1.6757683200561719E-2</v>
      </c>
      <c r="K255" s="312">
        <f t="shared" si="48"/>
        <v>0</v>
      </c>
      <c r="L255" s="312">
        <f>VLOOKUP($B$187:$B$323,Acraft!$A$3:$R$139,10,FALSE)+Calc1!$C$168*VLOOKUP($B$187:$B$323,Acraft!$A$3:$R$139,17,FALSE)/1000</f>
        <v>0.16487399999999999</v>
      </c>
      <c r="M255" s="312">
        <f t="shared" si="49"/>
        <v>0</v>
      </c>
      <c r="N255" s="312">
        <f>VLOOKUP($B$187:$B$323,Acraft!$A$3:$R$139,11,FALSE)+Calc1!$C$168*VLOOKUP($B$187:$B$323,Acraft!$A$3:$R$139,18,FALSE)/1000</f>
        <v>1038.7062000000001</v>
      </c>
      <c r="O255" s="398">
        <f t="shared" si="50"/>
        <v>0</v>
      </c>
      <c r="P255" s="312">
        <f>VLOOKUP($B$187:$B$323,Acraft!$A$3:$R$139,5,FALSE)+Calc1!$C$168*VLOOKUP($B$187:$B$323,Acraft!$A$3:$R$139,12,FALSE)/1000</f>
        <v>329.74799999999999</v>
      </c>
      <c r="Q255" s="396">
        <f t="shared" si="51"/>
        <v>0</v>
      </c>
      <c r="R255" s="399">
        <f>VLOOKUP($B$187:$B$323,Acraft!$A$3:$Y$139,20,FALSE)*$Y255*Calc2!$C255/2/1000/1000</f>
        <v>0</v>
      </c>
      <c r="S255" s="400">
        <f>VLOOKUP($B$187:$B$323,Acraft!$A$3:$Y$139,21,FALSE)*$Y255*Calc2!$C255/2/1000/1000</f>
        <v>0</v>
      </c>
      <c r="T255" s="400">
        <f>VLOOKUP($B$187:$B$323,Acraft!$A$3:$Y$139,22,FALSE)*$Y255*Calc2!$C255/2/1000/1000</f>
        <v>0</v>
      </c>
      <c r="U255" s="400">
        <f>VLOOKUP($B$187:$B$323,Acraft!$A$3:$Y$139,23,FALSE)*$Y255*Calc2!$C255/2/1000/1000</f>
        <v>0</v>
      </c>
      <c r="V255" s="400">
        <f>VLOOKUP($B$187:$B$323,Acraft!$A$3:$Y$139,24,FALSE)*$Y255*Calc2!$C255/2/1000/1000</f>
        <v>0</v>
      </c>
      <c r="W255" s="398">
        <f>VLOOKUP($B$187:$B$323,Acraft!$A$3:$Y$139,25,FALSE)*$Y255*Calc2!$C255/2/1000/1000</f>
        <v>0</v>
      </c>
      <c r="X255" s="398">
        <f>VLOOKUP($B$187:$B$323,Acraft!$A$3:$Y$139,19,FALSE)*$Y255*Calc2!$C255/2</f>
        <v>0</v>
      </c>
      <c r="Y255" s="309">
        <f>IF(VLOOKUP($B$187:$B$323,Acraft!$A$3:$Y$139,19,FALSE)=4,Calc1!$C$173,IF(VLOOKUP($B$187:$B$323,Acraft!$A$3:$Y$139,19,FALSE)=1.77777777777778,Calc1!$C$172,0))</f>
        <v>15</v>
      </c>
      <c r="Z255" s="305"/>
    </row>
    <row r="256" spans="1:26" x14ac:dyDescent="0.2">
      <c r="A256" s="303"/>
      <c r="B256" s="309" t="s">
        <v>432</v>
      </c>
      <c r="C256" s="397">
        <f>Calc1!F134</f>
        <v>0</v>
      </c>
      <c r="D256" s="395">
        <f>VLOOKUP($B$187:$B$323,Acraft!$A$3:$R$139,6,FALSE)+Calc1!$C$168*VLOOKUP($B$187:$B$323,Acraft!$A$3:$R$139,13,FALSE)/1000</f>
        <v>3.9122928000000008</v>
      </c>
      <c r="E256" s="398">
        <f t="shared" si="45"/>
        <v>0</v>
      </c>
      <c r="F256" s="312">
        <f>VLOOKUP($B$187:$B$323,Acraft!$A$3:$R$139,7,FALSE)+Calc1!$C$168*VLOOKUP($B$187:$B$323,Acraft!$A$3:$R$139,14,FALSE)/1000</f>
        <v>4.261968E-2</v>
      </c>
      <c r="G256" s="312">
        <f t="shared" si="46"/>
        <v>0</v>
      </c>
      <c r="H256" s="312">
        <f>VLOOKUP($B$187:$B$323,Acraft!$A$3:$R$139,8,FALSE)+Calc1!$C$168*VLOOKUP($B$187:$B$323,Acraft!$A$3:$R$139,15,FALSE)/1000</f>
        <v>4.4876547599999999</v>
      </c>
      <c r="I256" s="312">
        <f t="shared" si="47"/>
        <v>0</v>
      </c>
      <c r="J256" s="312">
        <f>VLOOKUP($B$187:$B$323,Acraft!$A$3:$R$139,9,FALSE)+Calc1!$C$168*VLOOKUP($B$187:$B$323,Acraft!$A$3:$R$139,16,FALSE)/1000</f>
        <v>1.7586761779152721E-2</v>
      </c>
      <c r="K256" s="312">
        <f t="shared" si="48"/>
        <v>0</v>
      </c>
      <c r="L256" s="312">
        <f>VLOOKUP($B$187:$B$323,Acraft!$A$3:$R$139,10,FALSE)+Calc1!$C$168*VLOOKUP($B$187:$B$323,Acraft!$A$3:$R$139,17,FALSE)/1000</f>
        <v>0.22960199999999997</v>
      </c>
      <c r="M256" s="312">
        <f t="shared" si="49"/>
        <v>0</v>
      </c>
      <c r="N256" s="312">
        <f>VLOOKUP($B$187:$B$323,Acraft!$A$3:$R$139,11,FALSE)+Calc1!$C$168*VLOOKUP($B$187:$B$323,Acraft!$A$3:$R$139,18,FALSE)/1000</f>
        <v>1446.4925999999998</v>
      </c>
      <c r="O256" s="398">
        <f t="shared" si="50"/>
        <v>0</v>
      </c>
      <c r="P256" s="312">
        <f>VLOOKUP($B$187:$B$323,Acraft!$A$3:$R$139,5,FALSE)+Calc1!$C$168*VLOOKUP($B$187:$B$323,Acraft!$A$3:$R$139,12,FALSE)/1000</f>
        <v>459.20399999999995</v>
      </c>
      <c r="Q256" s="396">
        <f t="shared" si="51"/>
        <v>0</v>
      </c>
      <c r="R256" s="399">
        <f>VLOOKUP($B$187:$B$323,Acraft!$A$3:$Y$139,20,FALSE)*$Y256*Calc2!$C256/2/1000/1000</f>
        <v>0</v>
      </c>
      <c r="S256" s="400">
        <f>VLOOKUP($B$187:$B$323,Acraft!$A$3:$Y$139,21,FALSE)*$Y256*Calc2!$C256/2/1000/1000</f>
        <v>0</v>
      </c>
      <c r="T256" s="400">
        <f>VLOOKUP($B$187:$B$323,Acraft!$A$3:$Y$139,22,FALSE)*$Y256*Calc2!$C256/2/1000/1000</f>
        <v>0</v>
      </c>
      <c r="U256" s="400">
        <f>VLOOKUP($B$187:$B$323,Acraft!$A$3:$Y$139,23,FALSE)*$Y256*Calc2!$C256/2/1000/1000</f>
        <v>0</v>
      </c>
      <c r="V256" s="400">
        <f>VLOOKUP($B$187:$B$323,Acraft!$A$3:$Y$139,24,FALSE)*$Y256*Calc2!$C256/2/1000/1000</f>
        <v>0</v>
      </c>
      <c r="W256" s="398">
        <f>VLOOKUP($B$187:$B$323,Acraft!$A$3:$Y$139,25,FALSE)*$Y256*Calc2!$C256/2/1000/1000</f>
        <v>0</v>
      </c>
      <c r="X256" s="398">
        <f>VLOOKUP($B$187:$B$323,Acraft!$A$3:$Y$139,19,FALSE)*$Y256*Calc2!$C256/2</f>
        <v>0</v>
      </c>
      <c r="Y256" s="309">
        <f>IF(VLOOKUP($B$187:$B$323,Acraft!$A$3:$Y$139,19,FALSE)=4,Calc1!$C$173,IF(VLOOKUP($B$187:$B$323,Acraft!$A$3:$Y$139,19,FALSE)=1.77777777777778,Calc1!$C$172,0))</f>
        <v>15</v>
      </c>
      <c r="Z256" s="305"/>
    </row>
    <row r="257" spans="1:26" x14ac:dyDescent="0.2">
      <c r="A257" s="303"/>
      <c r="B257" s="309" t="s">
        <v>435</v>
      </c>
      <c r="C257" s="397">
        <f>Calc1!F135</f>
        <v>0</v>
      </c>
      <c r="D257" s="395">
        <f>VLOOKUP($B$187:$B$323,Acraft!$A$3:$R$139,6,FALSE)+Calc1!$C$168*VLOOKUP($B$187:$B$323,Acraft!$A$3:$R$139,13,FALSE)/1000</f>
        <v>5.5227736800000002</v>
      </c>
      <c r="E257" s="398">
        <f t="shared" si="45"/>
        <v>0</v>
      </c>
      <c r="F257" s="312">
        <f>VLOOKUP($B$187:$B$323,Acraft!$A$3:$R$139,7,FALSE)+Calc1!$C$168*VLOOKUP($B$187:$B$323,Acraft!$A$3:$R$139,14,FALSE)/1000</f>
        <v>1.5022382400000003</v>
      </c>
      <c r="G257" s="312">
        <f t="shared" si="46"/>
        <v>0</v>
      </c>
      <c r="H257" s="312">
        <f>VLOOKUP($B$187:$B$323,Acraft!$A$3:$R$139,8,FALSE)+Calc1!$C$168*VLOOKUP($B$187:$B$323,Acraft!$A$3:$R$139,15,FALSE)/1000</f>
        <v>14.394396360000002</v>
      </c>
      <c r="I257" s="312">
        <f t="shared" si="47"/>
        <v>0</v>
      </c>
      <c r="J257" s="312">
        <f>VLOOKUP($B$187:$B$323,Acraft!$A$3:$R$139,9,FALSE)+Calc1!$C$168*VLOOKUP($B$187:$B$323,Acraft!$A$3:$R$139,16,FALSE)/1000</f>
        <v>3.3534779269242962E-2</v>
      </c>
      <c r="K257" s="312">
        <f t="shared" si="48"/>
        <v>0</v>
      </c>
      <c r="L257" s="312">
        <f>VLOOKUP($B$187:$B$323,Acraft!$A$3:$R$139,10,FALSE)+Calc1!$C$168*VLOOKUP($B$187:$B$323,Acraft!$A$3:$R$139,17,FALSE)/1000</f>
        <v>0.30613799999999997</v>
      </c>
      <c r="M257" s="312">
        <f t="shared" si="49"/>
        <v>0</v>
      </c>
      <c r="N257" s="312">
        <f>VLOOKUP($B$187:$B$323,Acraft!$A$3:$R$139,11,FALSE)+Calc1!$C$168*VLOOKUP($B$187:$B$323,Acraft!$A$3:$R$139,18,FALSE)/1000</f>
        <v>1928.6693999999998</v>
      </c>
      <c r="O257" s="398">
        <f t="shared" si="50"/>
        <v>0</v>
      </c>
      <c r="P257" s="312">
        <f>VLOOKUP($B$187:$B$323,Acraft!$A$3:$R$139,5,FALSE)+Calc1!$C$168*VLOOKUP($B$187:$B$323,Acraft!$A$3:$R$139,12,FALSE)/1000</f>
        <v>612.27599999999995</v>
      </c>
      <c r="Q257" s="396">
        <f t="shared" si="51"/>
        <v>0</v>
      </c>
      <c r="R257" s="399">
        <f>VLOOKUP($B$187:$B$323,Acraft!$A$3:$Y$139,20,FALSE)*$Y257*Calc2!$C257/2/1000/1000</f>
        <v>0</v>
      </c>
      <c r="S257" s="400">
        <f>VLOOKUP($B$187:$B$323,Acraft!$A$3:$Y$139,21,FALSE)*$Y257*Calc2!$C257/2/1000/1000</f>
        <v>0</v>
      </c>
      <c r="T257" s="400">
        <f>VLOOKUP($B$187:$B$323,Acraft!$A$3:$Y$139,22,FALSE)*$Y257*Calc2!$C257/2/1000/1000</f>
        <v>0</v>
      </c>
      <c r="U257" s="400">
        <f>VLOOKUP($B$187:$B$323,Acraft!$A$3:$Y$139,23,FALSE)*$Y257*Calc2!$C257/2/1000/1000</f>
        <v>0</v>
      </c>
      <c r="V257" s="400">
        <f>VLOOKUP($B$187:$B$323,Acraft!$A$3:$Y$139,24,FALSE)*$Y257*Calc2!$C257/2/1000/1000</f>
        <v>0</v>
      </c>
      <c r="W257" s="398">
        <f>VLOOKUP($B$187:$B$323,Acraft!$A$3:$Y$139,25,FALSE)*$Y257*Calc2!$C257/2/1000/1000</f>
        <v>0</v>
      </c>
      <c r="X257" s="398">
        <f>VLOOKUP($B$187:$B$323,Acraft!$A$3:$Y$139,19,FALSE)*$Y257*Calc2!$C257/2</f>
        <v>0</v>
      </c>
      <c r="Y257" s="309">
        <f>IF(VLOOKUP($B$187:$B$323,Acraft!$A$3:$Y$139,19,FALSE)=4,Calc1!$C$173,IF(VLOOKUP($B$187:$B$323,Acraft!$A$3:$Y$139,19,FALSE)=1.77777777777778,Calc1!$C$172,0))</f>
        <v>15</v>
      </c>
      <c r="Z257" s="305"/>
    </row>
    <row r="258" spans="1:26" x14ac:dyDescent="0.2">
      <c r="A258" s="303"/>
      <c r="B258" s="309" t="s">
        <v>438</v>
      </c>
      <c r="C258" s="397">
        <f>Calc1!F136</f>
        <v>0</v>
      </c>
      <c r="D258" s="395">
        <f>VLOOKUP($B$187:$B$323,Acraft!$A$3:$R$139,6,FALSE)+Calc1!$C$168*VLOOKUP($B$187:$B$323,Acraft!$A$3:$R$139,13,FALSE)/1000</f>
        <v>0.43582799999999999</v>
      </c>
      <c r="E258" s="398">
        <f t="shared" si="45"/>
        <v>0</v>
      </c>
      <c r="F258" s="312">
        <f>VLOOKUP($B$187:$B$323,Acraft!$A$3:$R$139,7,FALSE)+Calc1!$C$168*VLOOKUP($B$187:$B$323,Acraft!$A$3:$R$139,14,FALSE)/1000</f>
        <v>0.89990999999999999</v>
      </c>
      <c r="G258" s="312">
        <f t="shared" si="46"/>
        <v>0</v>
      </c>
      <c r="H258" s="312">
        <f>VLOOKUP($B$187:$B$323,Acraft!$A$3:$R$139,8,FALSE)+Calc1!$C$168*VLOOKUP($B$187:$B$323,Acraft!$A$3:$R$139,15,FALSE)/1000</f>
        <v>3.2516339999999997</v>
      </c>
      <c r="I258" s="312">
        <f t="shared" si="47"/>
        <v>0</v>
      </c>
      <c r="J258" s="312">
        <f>VLOOKUP($B$187:$B$323,Acraft!$A$3:$R$139,9,FALSE)+Calc1!$C$168*VLOOKUP($B$187:$B$323,Acraft!$A$3:$R$139,16,FALSE)/1000</f>
        <v>1.2853320000000001E-2</v>
      </c>
      <c r="K258" s="312">
        <f t="shared" si="48"/>
        <v>0</v>
      </c>
      <c r="L258" s="312">
        <f>VLOOKUP($B$187:$B$323,Acraft!$A$3:$R$139,10,FALSE)+Calc1!$C$168*VLOOKUP($B$187:$B$323,Acraft!$A$3:$R$139,17,FALSE)/1000</f>
        <v>4.7280000000000003E-2</v>
      </c>
      <c r="M258" s="312">
        <f t="shared" si="49"/>
        <v>0</v>
      </c>
      <c r="N258" s="312">
        <f>VLOOKUP($B$187:$B$323,Acraft!$A$3:$R$139,11,FALSE)+Calc1!$C$168*VLOOKUP($B$187:$B$323,Acraft!$A$3:$R$139,18,FALSE)/1000</f>
        <v>297.86399999999998</v>
      </c>
      <c r="O258" s="398">
        <f t="shared" si="50"/>
        <v>0</v>
      </c>
      <c r="P258" s="312">
        <f>VLOOKUP($B$187:$B$323,Acraft!$A$3:$R$139,5,FALSE)+Calc1!$C$168*VLOOKUP($B$187:$B$323,Acraft!$A$3:$R$139,12,FALSE)/1000</f>
        <v>94.56</v>
      </c>
      <c r="Q258" s="396">
        <f t="shared" si="51"/>
        <v>0</v>
      </c>
      <c r="R258" s="399">
        <f>VLOOKUP($B$187:$B$323,Acraft!$A$3:$Y$139,20,FALSE)*$Y258*Calc2!$C258/2/1000/1000</f>
        <v>0</v>
      </c>
      <c r="S258" s="400">
        <f>VLOOKUP($B$187:$B$323,Acraft!$A$3:$Y$139,21,FALSE)*$Y258*Calc2!$C258/2/1000/1000</f>
        <v>0</v>
      </c>
      <c r="T258" s="400">
        <f>VLOOKUP($B$187:$B$323,Acraft!$A$3:$Y$139,22,FALSE)*$Y258*Calc2!$C258/2/1000/1000</f>
        <v>0</v>
      </c>
      <c r="U258" s="400">
        <f>VLOOKUP($B$187:$B$323,Acraft!$A$3:$Y$139,23,FALSE)*$Y258*Calc2!$C258/2/1000/1000</f>
        <v>0</v>
      </c>
      <c r="V258" s="400">
        <f>VLOOKUP($B$187:$B$323,Acraft!$A$3:$Y$139,24,FALSE)*$Y258*Calc2!$C258/2/1000/1000</f>
        <v>0</v>
      </c>
      <c r="W258" s="398">
        <f>VLOOKUP($B$187:$B$323,Acraft!$A$3:$Y$139,25,FALSE)*$Y258*Calc2!$C258/2/1000/1000</f>
        <v>0</v>
      </c>
      <c r="X258" s="398">
        <f>VLOOKUP($B$187:$B$323,Acraft!$A$3:$Y$139,19,FALSE)*$Y258*Calc2!$C258/2</f>
        <v>0</v>
      </c>
      <c r="Y258" s="309">
        <f>IF(VLOOKUP($B$187:$B$323,Acraft!$A$3:$Y$139,19,FALSE)=4,Calc1!$C$173,IF(VLOOKUP($B$187:$B$323,Acraft!$A$3:$Y$139,19,FALSE)=1.77777777777778,Calc1!$C$172,0))</f>
        <v>0</v>
      </c>
      <c r="Z258" s="305"/>
    </row>
    <row r="259" spans="1:26" x14ac:dyDescent="0.2">
      <c r="A259" s="303"/>
      <c r="B259" s="309" t="s">
        <v>439</v>
      </c>
      <c r="C259" s="397">
        <f>Calc1!F137</f>
        <v>0</v>
      </c>
      <c r="D259" s="395">
        <f>VLOOKUP($B$187:$B$323,Acraft!$A$3:$R$139,6,FALSE)+Calc1!$C$168*VLOOKUP($B$187:$B$323,Acraft!$A$3:$R$139,13,FALSE)/1000</f>
        <v>3.15173784</v>
      </c>
      <c r="E259" s="398">
        <f t="shared" si="45"/>
        <v>0</v>
      </c>
      <c r="F259" s="312">
        <f>VLOOKUP($B$187:$B$323,Acraft!$A$3:$R$139,7,FALSE)+Calc1!$C$168*VLOOKUP($B$187:$B$323,Acraft!$A$3:$R$139,14,FALSE)/1000</f>
        <v>0.7644115199999999</v>
      </c>
      <c r="G259" s="312">
        <f t="shared" si="46"/>
        <v>0</v>
      </c>
      <c r="H259" s="312">
        <f>VLOOKUP($B$187:$B$323,Acraft!$A$3:$R$139,8,FALSE)+Calc1!$C$168*VLOOKUP($B$187:$B$323,Acraft!$A$3:$R$139,15,FALSE)/1000</f>
        <v>4.9522396799999999</v>
      </c>
      <c r="I259" s="312">
        <f t="shared" si="47"/>
        <v>0</v>
      </c>
      <c r="J259" s="312">
        <f>VLOOKUP($B$187:$B$323,Acraft!$A$3:$R$139,9,FALSE)+Calc1!$C$168*VLOOKUP($B$187:$B$323,Acraft!$A$3:$R$139,16,FALSE)/1000</f>
        <v>1.5635702488239693E-2</v>
      </c>
      <c r="K259" s="312">
        <f t="shared" si="48"/>
        <v>0</v>
      </c>
      <c r="L259" s="312">
        <f>VLOOKUP($B$187:$B$323,Acraft!$A$3:$R$139,10,FALSE)+Calc1!$C$168*VLOOKUP($B$187:$B$323,Acraft!$A$3:$R$139,17,FALSE)/1000</f>
        <v>0.1592808</v>
      </c>
      <c r="M259" s="312">
        <f t="shared" si="49"/>
        <v>0</v>
      </c>
      <c r="N259" s="312">
        <f>VLOOKUP($B$187:$B$323,Acraft!$A$3:$R$139,11,FALSE)+Calc1!$C$168*VLOOKUP($B$187:$B$323,Acraft!$A$3:$R$139,18,FALSE)/1000</f>
        <v>1003.4690400000002</v>
      </c>
      <c r="O259" s="398">
        <f t="shared" si="50"/>
        <v>0</v>
      </c>
      <c r="P259" s="312">
        <f>VLOOKUP($B$187:$B$323,Acraft!$A$3:$R$139,5,FALSE)+Calc1!$C$168*VLOOKUP($B$187:$B$323,Acraft!$A$3:$R$139,12,FALSE)/1000</f>
        <v>318.56160000000006</v>
      </c>
      <c r="Q259" s="396">
        <f t="shared" si="51"/>
        <v>0</v>
      </c>
      <c r="R259" s="399">
        <f>VLOOKUP($B$187:$B$323,Acraft!$A$3:$Y$139,20,FALSE)*$Y259*Calc2!$C259/2/1000/1000</f>
        <v>0</v>
      </c>
      <c r="S259" s="400">
        <f>VLOOKUP($B$187:$B$323,Acraft!$A$3:$Y$139,21,FALSE)*$Y259*Calc2!$C259/2/1000/1000</f>
        <v>0</v>
      </c>
      <c r="T259" s="400">
        <f>VLOOKUP($B$187:$B$323,Acraft!$A$3:$Y$139,22,FALSE)*$Y259*Calc2!$C259/2/1000/1000</f>
        <v>0</v>
      </c>
      <c r="U259" s="400">
        <f>VLOOKUP($B$187:$B$323,Acraft!$A$3:$Y$139,23,FALSE)*$Y259*Calc2!$C259/2/1000/1000</f>
        <v>0</v>
      </c>
      <c r="V259" s="400">
        <f>VLOOKUP($B$187:$B$323,Acraft!$A$3:$Y$139,24,FALSE)*$Y259*Calc2!$C259/2/1000/1000</f>
        <v>0</v>
      </c>
      <c r="W259" s="398">
        <f>VLOOKUP($B$187:$B$323,Acraft!$A$3:$Y$139,25,FALSE)*$Y259*Calc2!$C259/2/1000/1000</f>
        <v>0</v>
      </c>
      <c r="X259" s="398">
        <f>VLOOKUP($B$187:$B$323,Acraft!$A$3:$Y$139,19,FALSE)*$Y259*Calc2!$C259/2</f>
        <v>0</v>
      </c>
      <c r="Y259" s="309">
        <f>IF(VLOOKUP($B$187:$B$323,Acraft!$A$3:$Y$139,19,FALSE)=4,Calc1!$C$173,IF(VLOOKUP($B$187:$B$323,Acraft!$A$3:$Y$139,19,FALSE)=1.77777777777778,Calc1!$C$172,0))</f>
        <v>15</v>
      </c>
      <c r="Z259" s="305"/>
    </row>
    <row r="260" spans="1:26" x14ac:dyDescent="0.2">
      <c r="A260" s="303"/>
      <c r="B260" s="309" t="s">
        <v>442</v>
      </c>
      <c r="C260" s="397">
        <f>Calc1!F138</f>
        <v>0</v>
      </c>
      <c r="D260" s="395">
        <f>VLOOKUP($B$187:$B$323,Acraft!$A$3:$R$139,6,FALSE)+Calc1!$C$168*VLOOKUP($B$187:$B$323,Acraft!$A$3:$R$139,13,FALSE)/1000</f>
        <v>0.81097140000000001</v>
      </c>
      <c r="E260" s="398">
        <f t="shared" si="45"/>
        <v>0</v>
      </c>
      <c r="F260" s="312">
        <f>VLOOKUP($B$187:$B$323,Acraft!$A$3:$R$139,7,FALSE)+Calc1!$C$168*VLOOKUP($B$187:$B$323,Acraft!$A$3:$R$139,14,FALSE)/1000</f>
        <v>0.1076148</v>
      </c>
      <c r="G260" s="312">
        <f t="shared" si="46"/>
        <v>0</v>
      </c>
      <c r="H260" s="312">
        <f>VLOOKUP($B$187:$B$323,Acraft!$A$3:$R$139,8,FALSE)+Calc1!$C$168*VLOOKUP($B$187:$B$323,Acraft!$A$3:$R$139,15,FALSE)/1000</f>
        <v>1.0661532</v>
      </c>
      <c r="I260" s="312">
        <f t="shared" si="47"/>
        <v>0</v>
      </c>
      <c r="J260" s="312">
        <f>VLOOKUP($B$187:$B$323,Acraft!$A$3:$R$139,9,FALSE)+Calc1!$C$168*VLOOKUP($B$187:$B$323,Acraft!$A$3:$R$139,16,FALSE)/1000</f>
        <v>9.7044920000000021E-3</v>
      </c>
      <c r="K260" s="312">
        <f t="shared" si="48"/>
        <v>0</v>
      </c>
      <c r="L260" s="312">
        <f>VLOOKUP($B$187:$B$323,Acraft!$A$3:$R$139,10,FALSE)+Calc1!$C$168*VLOOKUP($B$187:$B$323,Acraft!$A$3:$R$139,17,FALSE)/1000</f>
        <v>8.0655000000000004E-2</v>
      </c>
      <c r="M260" s="312">
        <f t="shared" si="49"/>
        <v>0</v>
      </c>
      <c r="N260" s="312">
        <f>VLOOKUP($B$187:$B$323,Acraft!$A$3:$R$139,11,FALSE)+Calc1!$C$168*VLOOKUP($B$187:$B$323,Acraft!$A$3:$R$139,18,FALSE)/1000</f>
        <v>508.12649999999996</v>
      </c>
      <c r="O260" s="398">
        <f t="shared" si="50"/>
        <v>0</v>
      </c>
      <c r="P260" s="312">
        <f>VLOOKUP($B$187:$B$323,Acraft!$A$3:$R$139,5,FALSE)+Calc1!$C$168*VLOOKUP($B$187:$B$323,Acraft!$A$3:$R$139,12,FALSE)/1000</f>
        <v>161.31</v>
      </c>
      <c r="Q260" s="396">
        <f t="shared" si="51"/>
        <v>0</v>
      </c>
      <c r="R260" s="399">
        <f>VLOOKUP($B$187:$B$323,Acraft!$A$3:$Y$139,20,FALSE)*$Y260*Calc2!$C260/2/1000/1000</f>
        <v>0</v>
      </c>
      <c r="S260" s="400">
        <f>VLOOKUP($B$187:$B$323,Acraft!$A$3:$Y$139,21,FALSE)*$Y260*Calc2!$C260/2/1000/1000</f>
        <v>0</v>
      </c>
      <c r="T260" s="400">
        <f>VLOOKUP($B$187:$B$323,Acraft!$A$3:$Y$139,22,FALSE)*$Y260*Calc2!$C260/2/1000/1000</f>
        <v>0</v>
      </c>
      <c r="U260" s="400">
        <f>VLOOKUP($B$187:$B$323,Acraft!$A$3:$Y$139,23,FALSE)*$Y260*Calc2!$C260/2/1000/1000</f>
        <v>0</v>
      </c>
      <c r="V260" s="400">
        <f>VLOOKUP($B$187:$B$323,Acraft!$A$3:$Y$139,24,FALSE)*$Y260*Calc2!$C260/2/1000/1000</f>
        <v>0</v>
      </c>
      <c r="W260" s="398">
        <f>VLOOKUP($B$187:$B$323,Acraft!$A$3:$Y$139,25,FALSE)*$Y260*Calc2!$C260/2/1000/1000</f>
        <v>0</v>
      </c>
      <c r="X260" s="398">
        <f>VLOOKUP($B$187:$B$323,Acraft!$A$3:$Y$139,19,FALSE)*$Y260*Calc2!$C260/2</f>
        <v>0</v>
      </c>
      <c r="Y260" s="309">
        <f>IF(VLOOKUP($B$187:$B$323,Acraft!$A$3:$Y$139,19,FALSE)=4,Calc1!$C$173,IF(VLOOKUP($B$187:$B$323,Acraft!$A$3:$Y$139,19,FALSE)=1.77777777777778,Calc1!$C$172,0))</f>
        <v>0</v>
      </c>
      <c r="Z260" s="305"/>
    </row>
    <row r="261" spans="1:26" x14ac:dyDescent="0.2">
      <c r="A261" s="303"/>
      <c r="B261" s="309" t="s">
        <v>444</v>
      </c>
      <c r="C261" s="397">
        <f>Calc1!F139</f>
        <v>0</v>
      </c>
      <c r="D261" s="395">
        <f>VLOOKUP($B$187:$B$323,Acraft!$A$3:$R$139,6,FALSE)+Calc1!$C$168*VLOOKUP($B$187:$B$323,Acraft!$A$3:$R$139,13,FALSE)/1000</f>
        <v>0.14275980000000002</v>
      </c>
      <c r="E261" s="398">
        <f t="shared" si="45"/>
        <v>0</v>
      </c>
      <c r="F261" s="312">
        <f>VLOOKUP($B$187:$B$323,Acraft!$A$3:$R$139,7,FALSE)+Calc1!$C$168*VLOOKUP($B$187:$B$323,Acraft!$A$3:$R$139,14,FALSE)/1000</f>
        <v>0.6153204000000001</v>
      </c>
      <c r="G261" s="312">
        <f t="shared" si="46"/>
        <v>0</v>
      </c>
      <c r="H261" s="312">
        <f>VLOOKUP($B$187:$B$323,Acraft!$A$3:$R$139,8,FALSE)+Calc1!$C$168*VLOOKUP($B$187:$B$323,Acraft!$A$3:$R$139,15,FALSE)/1000</f>
        <v>1.0930386000000001</v>
      </c>
      <c r="I261" s="312">
        <f t="shared" si="47"/>
        <v>0</v>
      </c>
      <c r="J261" s="312">
        <f>VLOOKUP($B$187:$B$323,Acraft!$A$3:$R$139,9,FALSE)+Calc1!$C$168*VLOOKUP($B$187:$B$323,Acraft!$A$3:$R$139,16,FALSE)/1000</f>
        <v>2.2722600000000003E-3</v>
      </c>
      <c r="K261" s="312">
        <f t="shared" si="48"/>
        <v>0</v>
      </c>
      <c r="L261" s="312">
        <f>VLOOKUP($B$187:$B$323,Acraft!$A$3:$R$139,10,FALSE)+Calc1!$C$168*VLOOKUP($B$187:$B$323,Acraft!$A$3:$R$139,17,FALSE)/1000</f>
        <v>1.7475000000000001E-2</v>
      </c>
      <c r="M261" s="312">
        <f t="shared" si="49"/>
        <v>0</v>
      </c>
      <c r="N261" s="312">
        <f>VLOOKUP($B$187:$B$323,Acraft!$A$3:$R$139,11,FALSE)+Calc1!$C$168*VLOOKUP($B$187:$B$323,Acraft!$A$3:$R$139,18,FALSE)/1000</f>
        <v>110.0925</v>
      </c>
      <c r="O261" s="398">
        <f t="shared" si="50"/>
        <v>0</v>
      </c>
      <c r="P261" s="312">
        <f>VLOOKUP($B$187:$B$323,Acraft!$A$3:$R$139,5,FALSE)+Calc1!$C$168*VLOOKUP($B$187:$B$323,Acraft!$A$3:$R$139,12,FALSE)/1000</f>
        <v>34.950000000000003</v>
      </c>
      <c r="Q261" s="396">
        <f t="shared" si="51"/>
        <v>0</v>
      </c>
      <c r="R261" s="399">
        <f>VLOOKUP($B$187:$B$323,Acraft!$A$3:$Y$139,20,FALSE)*$Y261*Calc2!$C261/2/1000/1000</f>
        <v>0</v>
      </c>
      <c r="S261" s="400">
        <f>VLOOKUP($B$187:$B$323,Acraft!$A$3:$Y$139,21,FALSE)*$Y261*Calc2!$C261/2/1000/1000</f>
        <v>0</v>
      </c>
      <c r="T261" s="400">
        <f>VLOOKUP($B$187:$B$323,Acraft!$A$3:$Y$139,22,FALSE)*$Y261*Calc2!$C261/2/1000/1000</f>
        <v>0</v>
      </c>
      <c r="U261" s="400">
        <f>VLOOKUP($B$187:$B$323,Acraft!$A$3:$Y$139,23,FALSE)*$Y261*Calc2!$C261/2/1000/1000</f>
        <v>0</v>
      </c>
      <c r="V261" s="400">
        <f>VLOOKUP($B$187:$B$323,Acraft!$A$3:$Y$139,24,FALSE)*$Y261*Calc2!$C261/2/1000/1000</f>
        <v>0</v>
      </c>
      <c r="W261" s="398">
        <f>VLOOKUP($B$187:$B$323,Acraft!$A$3:$Y$139,25,FALSE)*$Y261*Calc2!$C261/2/1000/1000</f>
        <v>0</v>
      </c>
      <c r="X261" s="398">
        <f>VLOOKUP($B$187:$B$323,Acraft!$A$3:$Y$139,19,FALSE)*$Y261*Calc2!$C261/2</f>
        <v>0</v>
      </c>
      <c r="Y261" s="309">
        <f>IF(VLOOKUP($B$187:$B$323,Acraft!$A$3:$Y$139,19,FALSE)=4,Calc1!$C$173,IF(VLOOKUP($B$187:$B$323,Acraft!$A$3:$Y$139,19,FALSE)=1.77777777777778,Calc1!$C$172,0))</f>
        <v>0</v>
      </c>
      <c r="Z261" s="305"/>
    </row>
    <row r="262" spans="1:26" x14ac:dyDescent="0.2">
      <c r="A262" s="303"/>
      <c r="B262" s="309" t="s">
        <v>446</v>
      </c>
      <c r="C262" s="397">
        <f>Calc1!F140</f>
        <v>0</v>
      </c>
      <c r="D262" s="395">
        <f>VLOOKUP($B$187:$B$323,Acraft!$A$3:$R$139,6,FALSE)+Calc1!$C$168*VLOOKUP($B$187:$B$323,Acraft!$A$3:$R$139,13,FALSE)/1000</f>
        <v>0.28551960000000004</v>
      </c>
      <c r="E262" s="398">
        <f t="shared" si="45"/>
        <v>0</v>
      </c>
      <c r="F262" s="312">
        <f>VLOOKUP($B$187:$B$323,Acraft!$A$3:$R$139,7,FALSE)+Calc1!$C$168*VLOOKUP($B$187:$B$323,Acraft!$A$3:$R$139,14,FALSE)/1000</f>
        <v>1.2306408000000002</v>
      </c>
      <c r="G262" s="312">
        <f t="shared" si="46"/>
        <v>0</v>
      </c>
      <c r="H262" s="312">
        <f>VLOOKUP($B$187:$B$323,Acraft!$A$3:$R$139,8,FALSE)+Calc1!$C$168*VLOOKUP($B$187:$B$323,Acraft!$A$3:$R$139,15,FALSE)/1000</f>
        <v>2.1860772000000002</v>
      </c>
      <c r="I262" s="312">
        <f t="shared" si="47"/>
        <v>0</v>
      </c>
      <c r="J262" s="312">
        <f>VLOOKUP($B$187:$B$323,Acraft!$A$3:$R$139,9,FALSE)+Calc1!$C$168*VLOOKUP($B$187:$B$323,Acraft!$A$3:$R$139,16,FALSE)/1000</f>
        <v>4.5445200000000007E-3</v>
      </c>
      <c r="K262" s="312">
        <f t="shared" si="48"/>
        <v>0</v>
      </c>
      <c r="L262" s="312">
        <f>VLOOKUP($B$187:$B$323,Acraft!$A$3:$R$139,10,FALSE)+Calc1!$C$168*VLOOKUP($B$187:$B$323,Acraft!$A$3:$R$139,17,FALSE)/1000</f>
        <v>3.4950000000000002E-2</v>
      </c>
      <c r="M262" s="312">
        <f t="shared" si="49"/>
        <v>0</v>
      </c>
      <c r="N262" s="312">
        <f>VLOOKUP($B$187:$B$323,Acraft!$A$3:$R$139,11,FALSE)+Calc1!$C$168*VLOOKUP($B$187:$B$323,Acraft!$A$3:$R$139,18,FALSE)/1000</f>
        <v>220.185</v>
      </c>
      <c r="O262" s="398">
        <f t="shared" si="50"/>
        <v>0</v>
      </c>
      <c r="P262" s="312">
        <f>VLOOKUP($B$187:$B$323,Acraft!$A$3:$R$139,5,FALSE)+Calc1!$C$168*VLOOKUP($B$187:$B$323,Acraft!$A$3:$R$139,12,FALSE)/1000</f>
        <v>69.900000000000006</v>
      </c>
      <c r="Q262" s="396">
        <f t="shared" si="51"/>
        <v>0</v>
      </c>
      <c r="R262" s="399">
        <f>VLOOKUP($B$187:$B$323,Acraft!$A$3:$Y$139,20,FALSE)*$Y262*Calc2!$C262/2/1000/1000</f>
        <v>0</v>
      </c>
      <c r="S262" s="400">
        <f>VLOOKUP($B$187:$B$323,Acraft!$A$3:$Y$139,21,FALSE)*$Y262*Calc2!$C262/2/1000/1000</f>
        <v>0</v>
      </c>
      <c r="T262" s="400">
        <f>VLOOKUP($B$187:$B$323,Acraft!$A$3:$Y$139,22,FALSE)*$Y262*Calc2!$C262/2/1000/1000</f>
        <v>0</v>
      </c>
      <c r="U262" s="400">
        <f>VLOOKUP($B$187:$B$323,Acraft!$A$3:$Y$139,23,FALSE)*$Y262*Calc2!$C262/2/1000/1000</f>
        <v>0</v>
      </c>
      <c r="V262" s="400">
        <f>VLOOKUP($B$187:$B$323,Acraft!$A$3:$Y$139,24,FALSE)*$Y262*Calc2!$C262/2/1000/1000</f>
        <v>0</v>
      </c>
      <c r="W262" s="398">
        <f>VLOOKUP($B$187:$B$323,Acraft!$A$3:$Y$139,25,FALSE)*$Y262*Calc2!$C262/2/1000/1000</f>
        <v>0</v>
      </c>
      <c r="X262" s="398">
        <f>VLOOKUP($B$187:$B$323,Acraft!$A$3:$Y$139,19,FALSE)*$Y262*Calc2!$C262/2</f>
        <v>0</v>
      </c>
      <c r="Y262" s="309">
        <f>IF(VLOOKUP($B$187:$B$323,Acraft!$A$3:$Y$139,19,FALSE)=4,Calc1!$C$173,IF(VLOOKUP($B$187:$B$323,Acraft!$A$3:$Y$139,19,FALSE)=1.77777777777778,Calc1!$C$172,0))</f>
        <v>0</v>
      </c>
      <c r="Z262" s="305"/>
    </row>
    <row r="263" spans="1:26" x14ac:dyDescent="0.2">
      <c r="A263" s="303"/>
      <c r="B263" s="309" t="s">
        <v>448</v>
      </c>
      <c r="C263" s="397">
        <f>Calc1!F141</f>
        <v>0</v>
      </c>
      <c r="D263" s="395">
        <f>VLOOKUP($B$187:$B$323,Acraft!$A$3:$R$139,6,FALSE)+Calc1!$C$168*VLOOKUP($B$187:$B$323,Acraft!$A$3:$R$139,13,FALSE)/1000</f>
        <v>0.28551960000000004</v>
      </c>
      <c r="E263" s="398">
        <f t="shared" si="45"/>
        <v>0</v>
      </c>
      <c r="F263" s="312">
        <f>VLOOKUP($B$187:$B$323,Acraft!$A$3:$R$139,7,FALSE)+Calc1!$C$168*VLOOKUP($B$187:$B$323,Acraft!$A$3:$R$139,14,FALSE)/1000</f>
        <v>1.2306408000000002</v>
      </c>
      <c r="G263" s="312">
        <f t="shared" si="46"/>
        <v>0</v>
      </c>
      <c r="H263" s="312">
        <f>VLOOKUP($B$187:$B$323,Acraft!$A$3:$R$139,8,FALSE)+Calc1!$C$168*VLOOKUP($B$187:$B$323,Acraft!$A$3:$R$139,15,FALSE)/1000</f>
        <v>2.1860772000000002</v>
      </c>
      <c r="I263" s="312">
        <f t="shared" si="47"/>
        <v>0</v>
      </c>
      <c r="J263" s="312">
        <f>VLOOKUP($B$187:$B$323,Acraft!$A$3:$R$139,9,FALSE)+Calc1!$C$168*VLOOKUP($B$187:$B$323,Acraft!$A$3:$R$139,16,FALSE)/1000</f>
        <v>4.5445200000000007E-3</v>
      </c>
      <c r="K263" s="312">
        <f t="shared" si="48"/>
        <v>0</v>
      </c>
      <c r="L263" s="312">
        <f>VLOOKUP($B$187:$B$323,Acraft!$A$3:$R$139,10,FALSE)+Calc1!$C$168*VLOOKUP($B$187:$B$323,Acraft!$A$3:$R$139,17,FALSE)/1000</f>
        <v>3.4950000000000002E-2</v>
      </c>
      <c r="M263" s="312">
        <f t="shared" si="49"/>
        <v>0</v>
      </c>
      <c r="N263" s="312">
        <f>VLOOKUP($B$187:$B$323,Acraft!$A$3:$R$139,11,FALSE)+Calc1!$C$168*VLOOKUP($B$187:$B$323,Acraft!$A$3:$R$139,18,FALSE)/1000</f>
        <v>220.185</v>
      </c>
      <c r="O263" s="398">
        <f t="shared" si="50"/>
        <v>0</v>
      </c>
      <c r="P263" s="312">
        <f>VLOOKUP($B$187:$B$323,Acraft!$A$3:$R$139,5,FALSE)+Calc1!$C$168*VLOOKUP($B$187:$B$323,Acraft!$A$3:$R$139,12,FALSE)/1000</f>
        <v>69.900000000000006</v>
      </c>
      <c r="Q263" s="396">
        <f t="shared" si="51"/>
        <v>0</v>
      </c>
      <c r="R263" s="399">
        <f>VLOOKUP($B$187:$B$323,Acraft!$A$3:$Y$139,20,FALSE)*$Y263*Calc2!$C263/2/1000/1000</f>
        <v>0</v>
      </c>
      <c r="S263" s="400">
        <f>VLOOKUP($B$187:$B$323,Acraft!$A$3:$Y$139,21,FALSE)*$Y263*Calc2!$C263/2/1000/1000</f>
        <v>0</v>
      </c>
      <c r="T263" s="400">
        <f>VLOOKUP($B$187:$B$323,Acraft!$A$3:$Y$139,22,FALSE)*$Y263*Calc2!$C263/2/1000/1000</f>
        <v>0</v>
      </c>
      <c r="U263" s="400">
        <f>VLOOKUP($B$187:$B$323,Acraft!$A$3:$Y$139,23,FALSE)*$Y263*Calc2!$C263/2/1000/1000</f>
        <v>0</v>
      </c>
      <c r="V263" s="400">
        <f>VLOOKUP($B$187:$B$323,Acraft!$A$3:$Y$139,24,FALSE)*$Y263*Calc2!$C263/2/1000/1000</f>
        <v>0</v>
      </c>
      <c r="W263" s="398">
        <f>VLOOKUP($B$187:$B$323,Acraft!$A$3:$Y$139,25,FALSE)*$Y263*Calc2!$C263/2/1000/1000</f>
        <v>0</v>
      </c>
      <c r="X263" s="398">
        <f>VLOOKUP($B$187:$B$323,Acraft!$A$3:$Y$139,19,FALSE)*$Y263*Calc2!$C263/2</f>
        <v>0</v>
      </c>
      <c r="Y263" s="309">
        <f>IF(VLOOKUP($B$187:$B$323,Acraft!$A$3:$Y$139,19,FALSE)=4,Calc1!$C$173,IF(VLOOKUP($B$187:$B$323,Acraft!$A$3:$Y$139,19,FALSE)=1.77777777777778,Calc1!$C$172,0))</f>
        <v>0</v>
      </c>
      <c r="Z263" s="305"/>
    </row>
    <row r="264" spans="1:26" x14ac:dyDescent="0.2">
      <c r="A264" s="303"/>
      <c r="B264" s="309" t="s">
        <v>450</v>
      </c>
      <c r="C264" s="397">
        <f>Calc1!F142</f>
        <v>0</v>
      </c>
      <c r="D264" s="395">
        <f>VLOOKUP($B$187:$B$323,Acraft!$A$3:$R$139,6,FALSE)+Calc1!$C$168*VLOOKUP($B$187:$B$323,Acraft!$A$3:$R$139,13,FALSE)/1000</f>
        <v>0.28551960000000004</v>
      </c>
      <c r="E264" s="398">
        <f t="shared" si="45"/>
        <v>0</v>
      </c>
      <c r="F264" s="312">
        <f>VLOOKUP($B$187:$B$323,Acraft!$A$3:$R$139,7,FALSE)+Calc1!$C$168*VLOOKUP($B$187:$B$323,Acraft!$A$3:$R$139,14,FALSE)/1000</f>
        <v>1.2306408000000002</v>
      </c>
      <c r="G264" s="312">
        <f t="shared" si="46"/>
        <v>0</v>
      </c>
      <c r="H264" s="312">
        <f>VLOOKUP($B$187:$B$323,Acraft!$A$3:$R$139,8,FALSE)+Calc1!$C$168*VLOOKUP($B$187:$B$323,Acraft!$A$3:$R$139,15,FALSE)/1000</f>
        <v>2.1860772000000002</v>
      </c>
      <c r="I264" s="312">
        <f t="shared" si="47"/>
        <v>0</v>
      </c>
      <c r="J264" s="312">
        <f>VLOOKUP($B$187:$B$323,Acraft!$A$3:$R$139,9,FALSE)+Calc1!$C$168*VLOOKUP($B$187:$B$323,Acraft!$A$3:$R$139,16,FALSE)/1000</f>
        <v>4.5445200000000007E-3</v>
      </c>
      <c r="K264" s="312">
        <f t="shared" si="48"/>
        <v>0</v>
      </c>
      <c r="L264" s="312">
        <f>VLOOKUP($B$187:$B$323,Acraft!$A$3:$R$139,10,FALSE)+Calc1!$C$168*VLOOKUP($B$187:$B$323,Acraft!$A$3:$R$139,17,FALSE)/1000</f>
        <v>3.4950000000000002E-2</v>
      </c>
      <c r="M264" s="312">
        <f t="shared" si="49"/>
        <v>0</v>
      </c>
      <c r="N264" s="312">
        <f>VLOOKUP($B$187:$B$323,Acraft!$A$3:$R$139,11,FALSE)+Calc1!$C$168*VLOOKUP($B$187:$B$323,Acraft!$A$3:$R$139,18,FALSE)/1000</f>
        <v>220.185</v>
      </c>
      <c r="O264" s="398">
        <f t="shared" si="50"/>
        <v>0</v>
      </c>
      <c r="P264" s="312">
        <f>VLOOKUP($B$187:$B$323,Acraft!$A$3:$R$139,5,FALSE)+Calc1!$C$168*VLOOKUP($B$187:$B$323,Acraft!$A$3:$R$139,12,FALSE)/1000</f>
        <v>69.900000000000006</v>
      </c>
      <c r="Q264" s="396">
        <f t="shared" si="51"/>
        <v>0</v>
      </c>
      <c r="R264" s="399">
        <f>VLOOKUP($B$187:$B$323,Acraft!$A$3:$Y$139,20,FALSE)*$Y264*Calc2!$C264/2/1000/1000</f>
        <v>0</v>
      </c>
      <c r="S264" s="400">
        <f>VLOOKUP($B$187:$B$323,Acraft!$A$3:$Y$139,21,FALSE)*$Y264*Calc2!$C264/2/1000/1000</f>
        <v>0</v>
      </c>
      <c r="T264" s="400">
        <f>VLOOKUP($B$187:$B$323,Acraft!$A$3:$Y$139,22,FALSE)*$Y264*Calc2!$C264/2/1000/1000</f>
        <v>0</v>
      </c>
      <c r="U264" s="400">
        <f>VLOOKUP($B$187:$B$323,Acraft!$A$3:$Y$139,23,FALSE)*$Y264*Calc2!$C264/2/1000/1000</f>
        <v>0</v>
      </c>
      <c r="V264" s="400">
        <f>VLOOKUP($B$187:$B$323,Acraft!$A$3:$Y$139,24,FALSE)*$Y264*Calc2!$C264/2/1000/1000</f>
        <v>0</v>
      </c>
      <c r="W264" s="398">
        <f>VLOOKUP($B$187:$B$323,Acraft!$A$3:$Y$139,25,FALSE)*$Y264*Calc2!$C264/2/1000/1000</f>
        <v>0</v>
      </c>
      <c r="X264" s="398">
        <f>VLOOKUP($B$187:$B$323,Acraft!$A$3:$Y$139,19,FALSE)*$Y264*Calc2!$C264/2</f>
        <v>0</v>
      </c>
      <c r="Y264" s="309">
        <f>IF(VLOOKUP($B$187:$B$323,Acraft!$A$3:$Y$139,19,FALSE)=4,Calc1!$C$173,IF(VLOOKUP($B$187:$B$323,Acraft!$A$3:$Y$139,19,FALSE)=1.77777777777778,Calc1!$C$172,0))</f>
        <v>0</v>
      </c>
      <c r="Z264" s="305"/>
    </row>
    <row r="265" spans="1:26" x14ac:dyDescent="0.2">
      <c r="A265" s="303"/>
      <c r="B265" s="309" t="s">
        <v>100</v>
      </c>
      <c r="C265" s="397">
        <f>Calc1!F143</f>
        <v>0</v>
      </c>
      <c r="D265" s="395">
        <f>VLOOKUP($B$187:$B$323,Acraft!$A$3:$R$139,6,FALSE)+Calc1!$C$168*VLOOKUP($B$187:$B$323,Acraft!$A$3:$R$139,13,FALSE)/1000</f>
        <v>0.79463808000000014</v>
      </c>
      <c r="E265" s="398">
        <f t="shared" si="45"/>
        <v>0</v>
      </c>
      <c r="F265" s="312">
        <f>VLOOKUP($B$187:$B$323,Acraft!$A$3:$R$139,7,FALSE)+Calc1!$C$168*VLOOKUP($B$187:$B$323,Acraft!$A$3:$R$139,14,FALSE)/1000</f>
        <v>0.78249455999999984</v>
      </c>
      <c r="G265" s="312">
        <f t="shared" si="46"/>
        <v>0</v>
      </c>
      <c r="H265" s="312">
        <f>VLOOKUP($B$187:$B$323,Acraft!$A$3:$R$139,8,FALSE)+Calc1!$C$168*VLOOKUP($B$187:$B$323,Acraft!$A$3:$R$139,15,FALSE)/1000</f>
        <v>4.2636326399999991</v>
      </c>
      <c r="I265" s="312">
        <f t="shared" si="47"/>
        <v>0</v>
      </c>
      <c r="J265" s="312">
        <f>VLOOKUP($B$187:$B$323,Acraft!$A$3:$R$139,9,FALSE)+Calc1!$C$168*VLOOKUP($B$187:$B$323,Acraft!$A$3:$R$139,16,FALSE)/1000</f>
        <v>2.6116919999999998E-2</v>
      </c>
      <c r="K265" s="312">
        <f t="shared" si="48"/>
        <v>0</v>
      </c>
      <c r="L265" s="312">
        <f>VLOOKUP($B$187:$B$323,Acraft!$A$3:$R$139,10,FALSE)+Calc1!$C$168*VLOOKUP($B$187:$B$323,Acraft!$A$3:$R$139,17,FALSE)/1000</f>
        <v>6.0011999999999989E-2</v>
      </c>
      <c r="M265" s="312">
        <f t="shared" si="49"/>
        <v>0</v>
      </c>
      <c r="N265" s="312">
        <f>VLOOKUP($B$187:$B$323,Acraft!$A$3:$R$139,11,FALSE)+Calc1!$C$168*VLOOKUP($B$187:$B$323,Acraft!$A$3:$R$139,18,FALSE)/1000</f>
        <v>378.07559999999989</v>
      </c>
      <c r="O265" s="398">
        <f t="shared" si="50"/>
        <v>0</v>
      </c>
      <c r="P265" s="312">
        <f>VLOOKUP($B$187:$B$323,Acraft!$A$3:$R$139,5,FALSE)+Calc1!$C$168*VLOOKUP($B$187:$B$323,Acraft!$A$3:$R$139,12,FALSE)/1000</f>
        <v>120.02399999999999</v>
      </c>
      <c r="Q265" s="396">
        <f t="shared" si="51"/>
        <v>0</v>
      </c>
      <c r="R265" s="399">
        <f>VLOOKUP($B$187:$B$323,Acraft!$A$3:$Y$139,20,FALSE)*$Y265*Calc2!$C265/2/1000/1000</f>
        <v>0</v>
      </c>
      <c r="S265" s="400">
        <f>VLOOKUP($B$187:$B$323,Acraft!$A$3:$Y$139,21,FALSE)*$Y265*Calc2!$C265/2/1000/1000</f>
        <v>0</v>
      </c>
      <c r="T265" s="400">
        <f>VLOOKUP($B$187:$B$323,Acraft!$A$3:$Y$139,22,FALSE)*$Y265*Calc2!$C265/2/1000/1000</f>
        <v>0</v>
      </c>
      <c r="U265" s="400">
        <f>VLOOKUP($B$187:$B$323,Acraft!$A$3:$Y$139,23,FALSE)*$Y265*Calc2!$C265/2/1000/1000</f>
        <v>0</v>
      </c>
      <c r="V265" s="400">
        <f>VLOOKUP($B$187:$B$323,Acraft!$A$3:$Y$139,24,FALSE)*$Y265*Calc2!$C265/2/1000/1000</f>
        <v>0</v>
      </c>
      <c r="W265" s="398">
        <f>VLOOKUP($B$187:$B$323,Acraft!$A$3:$Y$139,25,FALSE)*$Y265*Calc2!$C265/2/1000/1000</f>
        <v>0</v>
      </c>
      <c r="X265" s="398">
        <f>VLOOKUP($B$187:$B$323,Acraft!$A$3:$Y$139,19,FALSE)*$Y265*Calc2!$C265/2</f>
        <v>0</v>
      </c>
      <c r="Y265" s="309">
        <f>IF(VLOOKUP($B$187:$B$323,Acraft!$A$3:$Y$139,19,FALSE)=4,Calc1!$C$173,IF(VLOOKUP($B$187:$B$323,Acraft!$A$3:$Y$139,19,FALSE)=1.77777777777778,Calc1!$C$172,0))</f>
        <v>15</v>
      </c>
      <c r="Z265" s="305"/>
    </row>
    <row r="266" spans="1:26" x14ac:dyDescent="0.2">
      <c r="A266" s="303"/>
      <c r="B266" s="309" t="s">
        <v>454</v>
      </c>
      <c r="C266" s="397">
        <f>Calc1!F144</f>
        <v>0</v>
      </c>
      <c r="D266" s="395">
        <f>VLOOKUP($B$187:$B$323,Acraft!$A$3:$R$139,6,FALSE)+Calc1!$C$168*VLOOKUP($B$187:$B$323,Acraft!$A$3:$R$139,13,FALSE)/1000</f>
        <v>0.79463808000000014</v>
      </c>
      <c r="E266" s="398">
        <f t="shared" si="45"/>
        <v>0</v>
      </c>
      <c r="F266" s="312">
        <f>VLOOKUP($B$187:$B$323,Acraft!$A$3:$R$139,7,FALSE)+Calc1!$C$168*VLOOKUP($B$187:$B$323,Acraft!$A$3:$R$139,14,FALSE)/1000</f>
        <v>0.78249455999999984</v>
      </c>
      <c r="G266" s="312">
        <f t="shared" si="46"/>
        <v>0</v>
      </c>
      <c r="H266" s="312">
        <f>VLOOKUP($B$187:$B$323,Acraft!$A$3:$R$139,8,FALSE)+Calc1!$C$168*VLOOKUP($B$187:$B$323,Acraft!$A$3:$R$139,15,FALSE)/1000</f>
        <v>4.2636326399999991</v>
      </c>
      <c r="I266" s="312">
        <f t="shared" si="47"/>
        <v>0</v>
      </c>
      <c r="J266" s="312">
        <f>VLOOKUP($B$187:$B$323,Acraft!$A$3:$R$139,9,FALSE)+Calc1!$C$168*VLOOKUP($B$187:$B$323,Acraft!$A$3:$R$139,16,FALSE)/1000</f>
        <v>2.6116919999999998E-2</v>
      </c>
      <c r="K266" s="312">
        <f t="shared" si="48"/>
        <v>0</v>
      </c>
      <c r="L266" s="312">
        <f>VLOOKUP($B$187:$B$323,Acraft!$A$3:$R$139,10,FALSE)+Calc1!$C$168*VLOOKUP($B$187:$B$323,Acraft!$A$3:$R$139,17,FALSE)/1000</f>
        <v>6.0011999999999989E-2</v>
      </c>
      <c r="M266" s="312">
        <f t="shared" si="49"/>
        <v>0</v>
      </c>
      <c r="N266" s="312">
        <f>VLOOKUP($B$187:$B$323,Acraft!$A$3:$R$139,11,FALSE)+Calc1!$C$168*VLOOKUP($B$187:$B$323,Acraft!$A$3:$R$139,18,FALSE)/1000</f>
        <v>378.07559999999989</v>
      </c>
      <c r="O266" s="398">
        <f t="shared" si="50"/>
        <v>0</v>
      </c>
      <c r="P266" s="312">
        <f>VLOOKUP($B$187:$B$323,Acraft!$A$3:$R$139,5,FALSE)+Calc1!$C$168*VLOOKUP($B$187:$B$323,Acraft!$A$3:$R$139,12,FALSE)/1000</f>
        <v>120.02399999999999</v>
      </c>
      <c r="Q266" s="396">
        <f t="shared" si="51"/>
        <v>0</v>
      </c>
      <c r="R266" s="399">
        <f>VLOOKUP($B$187:$B$323,Acraft!$A$3:$Y$139,20,FALSE)*$Y266*Calc2!$C266/2/1000/1000</f>
        <v>0</v>
      </c>
      <c r="S266" s="400">
        <f>VLOOKUP($B$187:$B$323,Acraft!$A$3:$Y$139,21,FALSE)*$Y266*Calc2!$C266/2/1000/1000</f>
        <v>0</v>
      </c>
      <c r="T266" s="400">
        <f>VLOOKUP($B$187:$B$323,Acraft!$A$3:$Y$139,22,FALSE)*$Y266*Calc2!$C266/2/1000/1000</f>
        <v>0</v>
      </c>
      <c r="U266" s="400">
        <f>VLOOKUP($B$187:$B$323,Acraft!$A$3:$Y$139,23,FALSE)*$Y266*Calc2!$C266/2/1000/1000</f>
        <v>0</v>
      </c>
      <c r="V266" s="400">
        <f>VLOOKUP($B$187:$B$323,Acraft!$A$3:$Y$139,24,FALSE)*$Y266*Calc2!$C266/2/1000/1000</f>
        <v>0</v>
      </c>
      <c r="W266" s="398">
        <f>VLOOKUP($B$187:$B$323,Acraft!$A$3:$Y$139,25,FALSE)*$Y266*Calc2!$C266/2/1000/1000</f>
        <v>0</v>
      </c>
      <c r="X266" s="398">
        <f>VLOOKUP($B$187:$B$323,Acraft!$A$3:$Y$139,19,FALSE)*$Y266*Calc2!$C266/2</f>
        <v>0</v>
      </c>
      <c r="Y266" s="309">
        <f>IF(VLOOKUP($B$187:$B$323,Acraft!$A$3:$Y$139,19,FALSE)=4,Calc1!$C$173,IF(VLOOKUP($B$187:$B$323,Acraft!$A$3:$Y$139,19,FALSE)=1.77777777777778,Calc1!$C$172,0))</f>
        <v>15</v>
      </c>
      <c r="Z266" s="305"/>
    </row>
    <row r="267" spans="1:26" x14ac:dyDescent="0.2">
      <c r="A267" s="303"/>
      <c r="B267" s="309" t="s">
        <v>456</v>
      </c>
      <c r="C267" s="397">
        <f>Calc1!F145</f>
        <v>0</v>
      </c>
      <c r="D267" s="395">
        <f>VLOOKUP($B$187:$B$323,Acraft!$A$3:$R$139,6,FALSE)+Calc1!$C$168*VLOOKUP($B$187:$B$323,Acraft!$A$3:$R$139,13,FALSE)/1000</f>
        <v>0.79463808000000014</v>
      </c>
      <c r="E267" s="398">
        <f t="shared" si="45"/>
        <v>0</v>
      </c>
      <c r="F267" s="312">
        <f>VLOOKUP($B$187:$B$323,Acraft!$A$3:$R$139,7,FALSE)+Calc1!$C$168*VLOOKUP($B$187:$B$323,Acraft!$A$3:$R$139,14,FALSE)/1000</f>
        <v>0.78249455999999984</v>
      </c>
      <c r="G267" s="312">
        <f t="shared" si="46"/>
        <v>0</v>
      </c>
      <c r="H267" s="312">
        <f>VLOOKUP($B$187:$B$323,Acraft!$A$3:$R$139,8,FALSE)+Calc1!$C$168*VLOOKUP($B$187:$B$323,Acraft!$A$3:$R$139,15,FALSE)/1000</f>
        <v>4.2636326399999991</v>
      </c>
      <c r="I267" s="312">
        <f t="shared" si="47"/>
        <v>0</v>
      </c>
      <c r="J267" s="312">
        <f>VLOOKUP($B$187:$B$323,Acraft!$A$3:$R$139,9,FALSE)+Calc1!$C$168*VLOOKUP($B$187:$B$323,Acraft!$A$3:$R$139,16,FALSE)/1000</f>
        <v>2.6116919999999998E-2</v>
      </c>
      <c r="K267" s="312">
        <f t="shared" si="48"/>
        <v>0</v>
      </c>
      <c r="L267" s="312">
        <f>VLOOKUP($B$187:$B$323,Acraft!$A$3:$R$139,10,FALSE)+Calc1!$C$168*VLOOKUP($B$187:$B$323,Acraft!$A$3:$R$139,17,FALSE)/1000</f>
        <v>6.0011999999999989E-2</v>
      </c>
      <c r="M267" s="312">
        <f t="shared" si="49"/>
        <v>0</v>
      </c>
      <c r="N267" s="312">
        <f>VLOOKUP($B$187:$B$323,Acraft!$A$3:$R$139,11,FALSE)+Calc1!$C$168*VLOOKUP($B$187:$B$323,Acraft!$A$3:$R$139,18,FALSE)/1000</f>
        <v>378.07559999999989</v>
      </c>
      <c r="O267" s="398">
        <f t="shared" si="50"/>
        <v>0</v>
      </c>
      <c r="P267" s="312">
        <f>VLOOKUP($B$187:$B$323,Acraft!$A$3:$R$139,5,FALSE)+Calc1!$C$168*VLOOKUP($B$187:$B$323,Acraft!$A$3:$R$139,12,FALSE)/1000</f>
        <v>120.02399999999999</v>
      </c>
      <c r="Q267" s="396">
        <f t="shared" si="51"/>
        <v>0</v>
      </c>
      <c r="R267" s="399">
        <f>VLOOKUP($B$187:$B$323,Acraft!$A$3:$Y$139,20,FALSE)*$Y267*Calc2!$C267/2/1000/1000</f>
        <v>0</v>
      </c>
      <c r="S267" s="400">
        <f>VLOOKUP($B$187:$B$323,Acraft!$A$3:$Y$139,21,FALSE)*$Y267*Calc2!$C267/2/1000/1000</f>
        <v>0</v>
      </c>
      <c r="T267" s="400">
        <f>VLOOKUP($B$187:$B$323,Acraft!$A$3:$Y$139,22,FALSE)*$Y267*Calc2!$C267/2/1000/1000</f>
        <v>0</v>
      </c>
      <c r="U267" s="400">
        <f>VLOOKUP($B$187:$B$323,Acraft!$A$3:$Y$139,23,FALSE)*$Y267*Calc2!$C267/2/1000/1000</f>
        <v>0</v>
      </c>
      <c r="V267" s="400">
        <f>VLOOKUP($B$187:$B$323,Acraft!$A$3:$Y$139,24,FALSE)*$Y267*Calc2!$C267/2/1000/1000</f>
        <v>0</v>
      </c>
      <c r="W267" s="398">
        <f>VLOOKUP($B$187:$B$323,Acraft!$A$3:$Y$139,25,FALSE)*$Y267*Calc2!$C267/2/1000/1000</f>
        <v>0</v>
      </c>
      <c r="X267" s="398">
        <f>VLOOKUP($B$187:$B$323,Acraft!$A$3:$Y$139,19,FALSE)*$Y267*Calc2!$C267/2</f>
        <v>0</v>
      </c>
      <c r="Y267" s="309">
        <f>IF(VLOOKUP($B$187:$B$323,Acraft!$A$3:$Y$139,19,FALSE)=4,Calc1!$C$173,IF(VLOOKUP($B$187:$B$323,Acraft!$A$3:$Y$139,19,FALSE)=1.77777777777778,Calc1!$C$172,0))</f>
        <v>15</v>
      </c>
      <c r="Z267" s="305"/>
    </row>
    <row r="268" spans="1:26" x14ac:dyDescent="0.2">
      <c r="A268" s="303"/>
      <c r="B268" s="309" t="s">
        <v>459</v>
      </c>
      <c r="C268" s="397">
        <f>Calc1!F146</f>
        <v>0</v>
      </c>
      <c r="D268" s="395">
        <f>VLOOKUP($B$187:$B$323,Acraft!$A$3:$R$139,6,FALSE)+Calc1!$C$168*VLOOKUP($B$187:$B$323,Acraft!$A$3:$R$139,13,FALSE)/1000</f>
        <v>5.6614800000000001</v>
      </c>
      <c r="E268" s="398">
        <f t="shared" si="45"/>
        <v>0</v>
      </c>
      <c r="F268" s="312">
        <f>VLOOKUP($B$187:$B$323,Acraft!$A$3:$R$139,7,FALSE)+Calc1!$C$168*VLOOKUP($B$187:$B$323,Acraft!$A$3:$R$139,14,FALSE)/1000</f>
        <v>1.4120880000000002</v>
      </c>
      <c r="G268" s="312">
        <f t="shared" si="46"/>
        <v>0</v>
      </c>
      <c r="H268" s="312">
        <f>VLOOKUP($B$187:$B$323,Acraft!$A$3:$R$139,8,FALSE)+Calc1!$C$168*VLOOKUP($B$187:$B$323,Acraft!$A$3:$R$139,15,FALSE)/1000</f>
        <v>9.1975440000000024</v>
      </c>
      <c r="I268" s="312">
        <f t="shared" si="47"/>
        <v>0</v>
      </c>
      <c r="J268" s="312">
        <f>VLOOKUP($B$187:$B$323,Acraft!$A$3:$R$139,9,FALSE)+Calc1!$C$168*VLOOKUP($B$187:$B$323,Acraft!$A$3:$R$139,16,FALSE)/1000</f>
        <v>0.19062447476113337</v>
      </c>
      <c r="K268" s="312">
        <f t="shared" si="48"/>
        <v>0</v>
      </c>
      <c r="L268" s="312">
        <f>VLOOKUP($B$187:$B$323,Acraft!$A$3:$R$139,10,FALSE)+Calc1!$C$168*VLOOKUP($B$187:$B$323,Acraft!$A$3:$R$139,17,FALSE)/1000</f>
        <v>0.34848000000000001</v>
      </c>
      <c r="M268" s="312">
        <f t="shared" si="49"/>
        <v>0</v>
      </c>
      <c r="N268" s="312">
        <f>VLOOKUP($B$187:$B$323,Acraft!$A$3:$R$139,11,FALSE)+Calc1!$C$168*VLOOKUP($B$187:$B$323,Acraft!$A$3:$R$139,18,FALSE)/1000</f>
        <v>2195.424</v>
      </c>
      <c r="O268" s="398">
        <f t="shared" si="50"/>
        <v>0</v>
      </c>
      <c r="P268" s="312">
        <f>VLOOKUP($B$187:$B$323,Acraft!$A$3:$R$139,5,FALSE)+Calc1!$C$168*VLOOKUP($B$187:$B$323,Acraft!$A$3:$R$139,12,FALSE)/1000</f>
        <v>696.96</v>
      </c>
      <c r="Q268" s="396">
        <f t="shared" si="51"/>
        <v>0</v>
      </c>
      <c r="R268" s="399">
        <f>VLOOKUP($B$187:$B$323,Acraft!$A$3:$Y$139,20,FALSE)*$Y268*Calc2!$C268/2/1000/1000</f>
        <v>0</v>
      </c>
      <c r="S268" s="400">
        <f>VLOOKUP($B$187:$B$323,Acraft!$A$3:$Y$139,21,FALSE)*$Y268*Calc2!$C268/2/1000/1000</f>
        <v>0</v>
      </c>
      <c r="T268" s="400">
        <f>VLOOKUP($B$187:$B$323,Acraft!$A$3:$Y$139,22,FALSE)*$Y268*Calc2!$C268/2/1000/1000</f>
        <v>0</v>
      </c>
      <c r="U268" s="400">
        <f>VLOOKUP($B$187:$B$323,Acraft!$A$3:$Y$139,23,FALSE)*$Y268*Calc2!$C268/2/1000/1000</f>
        <v>0</v>
      </c>
      <c r="V268" s="400">
        <f>VLOOKUP($B$187:$B$323,Acraft!$A$3:$Y$139,24,FALSE)*$Y268*Calc2!$C268/2/1000/1000</f>
        <v>0</v>
      </c>
      <c r="W268" s="398">
        <f>VLOOKUP($B$187:$B$323,Acraft!$A$3:$Y$139,25,FALSE)*$Y268*Calc2!$C268/2/1000/1000</f>
        <v>0</v>
      </c>
      <c r="X268" s="398">
        <f>VLOOKUP($B$187:$B$323,Acraft!$A$3:$Y$139,19,FALSE)*$Y268*Calc2!$C268/2</f>
        <v>0</v>
      </c>
      <c r="Y268" s="309">
        <f>IF(VLOOKUP($B$187:$B$323,Acraft!$A$3:$Y$139,19,FALSE)=4,Calc1!$C$173,IF(VLOOKUP($B$187:$B$323,Acraft!$A$3:$Y$139,19,FALSE)=1.77777777777778,Calc1!$C$172,0))</f>
        <v>15</v>
      </c>
      <c r="Z268" s="305"/>
    </row>
    <row r="269" spans="1:26" x14ac:dyDescent="0.2">
      <c r="A269" s="303"/>
      <c r="B269" s="309" t="s">
        <v>462</v>
      </c>
      <c r="C269" s="397">
        <f>Calc1!F147</f>
        <v>0</v>
      </c>
      <c r="D269" s="395">
        <f>VLOOKUP($B$187:$B$323,Acraft!$A$3:$R$139,6,FALSE)+Calc1!$C$168*VLOOKUP($B$187:$B$323,Acraft!$A$3:$R$139,13,FALSE)/1000</f>
        <v>0.42857400000000012</v>
      </c>
      <c r="E269" s="398">
        <f t="shared" si="45"/>
        <v>0</v>
      </c>
      <c r="F269" s="312">
        <f>VLOOKUP($B$187:$B$323,Acraft!$A$3:$R$139,7,FALSE)+Calc1!$C$168*VLOOKUP($B$187:$B$323,Acraft!$A$3:$R$139,14,FALSE)/1000</f>
        <v>4.1977991999999995</v>
      </c>
      <c r="G269" s="312">
        <f t="shared" si="46"/>
        <v>0</v>
      </c>
      <c r="H269" s="312">
        <f>VLOOKUP($B$187:$B$323,Acraft!$A$3:$R$139,8,FALSE)+Calc1!$C$168*VLOOKUP($B$187:$B$323,Acraft!$A$3:$R$139,15,FALSE)/1000</f>
        <v>16.972992000000001</v>
      </c>
      <c r="I269" s="312">
        <f t="shared" si="47"/>
        <v>0</v>
      </c>
      <c r="J269" s="312">
        <f>VLOOKUP($B$187:$B$323,Acraft!$A$3:$R$139,9,FALSE)+Calc1!$C$168*VLOOKUP($B$187:$B$323,Acraft!$A$3:$R$139,16,FALSE)/1000</f>
        <v>4.0333372000000006E-2</v>
      </c>
      <c r="K269" s="312">
        <f t="shared" si="48"/>
        <v>0</v>
      </c>
      <c r="L269" s="312">
        <f>VLOOKUP($B$187:$B$323,Acraft!$A$3:$R$139,10,FALSE)+Calc1!$C$168*VLOOKUP($B$187:$B$323,Acraft!$A$3:$R$139,17,FALSE)/1000</f>
        <v>0.13462200000000002</v>
      </c>
      <c r="M269" s="312">
        <f t="shared" si="49"/>
        <v>0</v>
      </c>
      <c r="N269" s="312">
        <f>VLOOKUP($B$187:$B$323,Acraft!$A$3:$R$139,11,FALSE)+Calc1!$C$168*VLOOKUP($B$187:$B$323,Acraft!$A$3:$R$139,18,FALSE)/1000</f>
        <v>848.11860000000001</v>
      </c>
      <c r="O269" s="398">
        <f t="shared" si="50"/>
        <v>0</v>
      </c>
      <c r="P269" s="312">
        <f>VLOOKUP($B$187:$B$323,Acraft!$A$3:$R$139,5,FALSE)+Calc1!$C$168*VLOOKUP($B$187:$B$323,Acraft!$A$3:$R$139,12,FALSE)/1000</f>
        <v>269.24400000000003</v>
      </c>
      <c r="Q269" s="396">
        <f t="shared" si="51"/>
        <v>0</v>
      </c>
      <c r="R269" s="399">
        <f>VLOOKUP($B$187:$B$323,Acraft!$A$3:$Y$139,20,FALSE)*$Y269*Calc2!$C269/2/1000/1000</f>
        <v>0</v>
      </c>
      <c r="S269" s="400">
        <f>VLOOKUP($B$187:$B$323,Acraft!$A$3:$Y$139,21,FALSE)*$Y269*Calc2!$C269/2/1000/1000</f>
        <v>0</v>
      </c>
      <c r="T269" s="400">
        <f>VLOOKUP($B$187:$B$323,Acraft!$A$3:$Y$139,22,FALSE)*$Y269*Calc2!$C269/2/1000/1000</f>
        <v>0</v>
      </c>
      <c r="U269" s="400">
        <f>VLOOKUP($B$187:$B$323,Acraft!$A$3:$Y$139,23,FALSE)*$Y269*Calc2!$C269/2/1000/1000</f>
        <v>0</v>
      </c>
      <c r="V269" s="400">
        <f>VLOOKUP($B$187:$B$323,Acraft!$A$3:$Y$139,24,FALSE)*$Y269*Calc2!$C269/2/1000/1000</f>
        <v>0</v>
      </c>
      <c r="W269" s="398">
        <f>VLOOKUP($B$187:$B$323,Acraft!$A$3:$Y$139,25,FALSE)*$Y269*Calc2!$C269/2/1000/1000</f>
        <v>0</v>
      </c>
      <c r="X269" s="398">
        <f>VLOOKUP($B$187:$B$323,Acraft!$A$3:$Y$139,19,FALSE)*$Y269*Calc2!$C269/2</f>
        <v>0</v>
      </c>
      <c r="Y269" s="309">
        <f>IF(VLOOKUP($B$187:$B$323,Acraft!$A$3:$Y$139,19,FALSE)=4,Calc1!$C$173,IF(VLOOKUP($B$187:$B$323,Acraft!$A$3:$Y$139,19,FALSE)=1.77777777777778,Calc1!$C$172,0))</f>
        <v>0</v>
      </c>
      <c r="Z269" s="305"/>
    </row>
    <row r="270" spans="1:26" x14ac:dyDescent="0.2">
      <c r="A270" s="303"/>
      <c r="B270" s="309" t="s">
        <v>465</v>
      </c>
      <c r="C270" s="397">
        <f>Calc1!F148</f>
        <v>0</v>
      </c>
      <c r="D270" s="395">
        <f>VLOOKUP($B$187:$B$323,Acraft!$A$3:$R$139,6,FALSE)+Calc1!$C$168*VLOOKUP($B$187:$B$323,Acraft!$A$3:$R$139,13,FALSE)/1000</f>
        <v>4.3467365999999998</v>
      </c>
      <c r="E270" s="398">
        <f t="shared" si="45"/>
        <v>0</v>
      </c>
      <c r="F270" s="312">
        <f>VLOOKUP($B$187:$B$323,Acraft!$A$3:$R$139,7,FALSE)+Calc1!$C$168*VLOOKUP($B$187:$B$323,Acraft!$A$3:$R$139,14,FALSE)/1000</f>
        <v>1.1437746</v>
      </c>
      <c r="G270" s="312">
        <f t="shared" si="46"/>
        <v>0</v>
      </c>
      <c r="H270" s="312">
        <f>VLOOKUP($B$187:$B$323,Acraft!$A$3:$R$139,8,FALSE)+Calc1!$C$168*VLOOKUP($B$187:$B$323,Acraft!$A$3:$R$139,15,FALSE)/1000</f>
        <v>10.76623992</v>
      </c>
      <c r="I270" s="312">
        <f t="shared" si="47"/>
        <v>0</v>
      </c>
      <c r="J270" s="312">
        <f>VLOOKUP($B$187:$B$323,Acraft!$A$3:$R$139,9,FALSE)+Calc1!$C$168*VLOOKUP($B$187:$B$323,Acraft!$A$3:$R$139,16,FALSE)/1000</f>
        <v>0.12699225142042139</v>
      </c>
      <c r="K270" s="312">
        <f t="shared" si="48"/>
        <v>0</v>
      </c>
      <c r="L270" s="312">
        <f>VLOOKUP($B$187:$B$323,Acraft!$A$3:$R$139,10,FALSE)+Calc1!$C$168*VLOOKUP($B$187:$B$323,Acraft!$A$3:$R$139,17,FALSE)/1000</f>
        <v>0.31835399999999997</v>
      </c>
      <c r="M270" s="312">
        <f t="shared" si="49"/>
        <v>0</v>
      </c>
      <c r="N270" s="312">
        <f>VLOOKUP($B$187:$B$323,Acraft!$A$3:$R$139,11,FALSE)+Calc1!$C$168*VLOOKUP($B$187:$B$323,Acraft!$A$3:$R$139,18,FALSE)/1000</f>
        <v>2005.6301999999996</v>
      </c>
      <c r="O270" s="398">
        <f t="shared" si="50"/>
        <v>0</v>
      </c>
      <c r="P270" s="312">
        <f>VLOOKUP($B$187:$B$323,Acraft!$A$3:$R$139,5,FALSE)+Calc1!$C$168*VLOOKUP($B$187:$B$323,Acraft!$A$3:$R$139,12,FALSE)/1000</f>
        <v>636.70799999999986</v>
      </c>
      <c r="Q270" s="396">
        <f t="shared" si="51"/>
        <v>0</v>
      </c>
      <c r="R270" s="399">
        <f>VLOOKUP($B$187:$B$323,Acraft!$A$3:$Y$139,20,FALSE)*$Y270*Calc2!$C270/2/1000/1000</f>
        <v>0</v>
      </c>
      <c r="S270" s="400">
        <f>VLOOKUP($B$187:$B$323,Acraft!$A$3:$Y$139,21,FALSE)*$Y270*Calc2!$C270/2/1000/1000</f>
        <v>0</v>
      </c>
      <c r="T270" s="400">
        <f>VLOOKUP($B$187:$B$323,Acraft!$A$3:$Y$139,22,FALSE)*$Y270*Calc2!$C270/2/1000/1000</f>
        <v>0</v>
      </c>
      <c r="U270" s="400">
        <f>VLOOKUP($B$187:$B$323,Acraft!$A$3:$Y$139,23,FALSE)*$Y270*Calc2!$C270/2/1000/1000</f>
        <v>0</v>
      </c>
      <c r="V270" s="400">
        <f>VLOOKUP($B$187:$B$323,Acraft!$A$3:$Y$139,24,FALSE)*$Y270*Calc2!$C270/2/1000/1000</f>
        <v>0</v>
      </c>
      <c r="W270" s="398">
        <f>VLOOKUP($B$187:$B$323,Acraft!$A$3:$Y$139,25,FALSE)*$Y270*Calc2!$C270/2/1000/1000</f>
        <v>0</v>
      </c>
      <c r="X270" s="398">
        <f>VLOOKUP($B$187:$B$323,Acraft!$A$3:$Y$139,19,FALSE)*$Y270*Calc2!$C270/2</f>
        <v>0</v>
      </c>
      <c r="Y270" s="309">
        <f>IF(VLOOKUP($B$187:$B$323,Acraft!$A$3:$Y$139,19,FALSE)=4,Calc1!$C$173,IF(VLOOKUP($B$187:$B$323,Acraft!$A$3:$Y$139,19,FALSE)=1.77777777777778,Calc1!$C$172,0))</f>
        <v>15</v>
      </c>
      <c r="Z270" s="305"/>
    </row>
    <row r="271" spans="1:26" x14ac:dyDescent="0.2">
      <c r="A271" s="303"/>
      <c r="B271" s="309" t="s">
        <v>468</v>
      </c>
      <c r="C271" s="397">
        <f>Calc1!F149</f>
        <v>0</v>
      </c>
      <c r="D271" s="395">
        <f>VLOOKUP($B$187:$B$323,Acraft!$A$3:$R$139,6,FALSE)+Calc1!$C$168*VLOOKUP($B$187:$B$323,Acraft!$A$3:$R$139,13,FALSE)/1000</f>
        <v>2.450634</v>
      </c>
      <c r="E271" s="398">
        <f t="shared" si="45"/>
        <v>0</v>
      </c>
      <c r="F271" s="312">
        <f>VLOOKUP($B$187:$B$323,Acraft!$A$3:$R$139,7,FALSE)+Calc1!$C$168*VLOOKUP($B$187:$B$323,Acraft!$A$3:$R$139,14,FALSE)/1000</f>
        <v>0</v>
      </c>
      <c r="G271" s="312">
        <f t="shared" si="46"/>
        <v>0</v>
      </c>
      <c r="H271" s="312">
        <f>VLOOKUP($B$187:$B$323,Acraft!$A$3:$R$139,8,FALSE)+Calc1!$C$168*VLOOKUP($B$187:$B$323,Acraft!$A$3:$R$139,15,FALSE)/1000</f>
        <v>1.7753399999999999</v>
      </c>
      <c r="I271" s="312">
        <f t="shared" si="47"/>
        <v>0</v>
      </c>
      <c r="J271" s="312">
        <f>VLOOKUP($B$187:$B$323,Acraft!$A$3:$R$139,9,FALSE)+Calc1!$C$168*VLOOKUP($B$187:$B$323,Acraft!$A$3:$R$139,16,FALSE)/1000</f>
        <v>3.8890520000000005E-2</v>
      </c>
      <c r="K271" s="312">
        <f t="shared" si="48"/>
        <v>0</v>
      </c>
      <c r="L271" s="312">
        <f>VLOOKUP($B$187:$B$323,Acraft!$A$3:$R$139,10,FALSE)+Calc1!$C$168*VLOOKUP($B$187:$B$323,Acraft!$A$3:$R$139,17,FALSE)/1000</f>
        <v>0.13130999999999998</v>
      </c>
      <c r="M271" s="312">
        <f t="shared" si="49"/>
        <v>0</v>
      </c>
      <c r="N271" s="312">
        <f>VLOOKUP($B$187:$B$323,Acraft!$A$3:$R$139,11,FALSE)+Calc1!$C$168*VLOOKUP($B$187:$B$323,Acraft!$A$3:$R$139,18,FALSE)/1000</f>
        <v>827.25299999999993</v>
      </c>
      <c r="O271" s="398">
        <f t="shared" si="50"/>
        <v>0</v>
      </c>
      <c r="P271" s="312">
        <f>VLOOKUP($B$187:$B$323,Acraft!$A$3:$R$139,5,FALSE)+Calc1!$C$168*VLOOKUP($B$187:$B$323,Acraft!$A$3:$R$139,12,FALSE)/1000</f>
        <v>262.62</v>
      </c>
      <c r="Q271" s="396">
        <f t="shared" si="51"/>
        <v>0</v>
      </c>
      <c r="R271" s="399">
        <f>VLOOKUP($B$187:$B$323,Acraft!$A$3:$Y$139,20,FALSE)*$Y271*Calc2!$C271/2/1000/1000</f>
        <v>0</v>
      </c>
      <c r="S271" s="400">
        <f>VLOOKUP($B$187:$B$323,Acraft!$A$3:$Y$139,21,FALSE)*$Y271*Calc2!$C271/2/1000/1000</f>
        <v>0</v>
      </c>
      <c r="T271" s="400">
        <f>VLOOKUP($B$187:$B$323,Acraft!$A$3:$Y$139,22,FALSE)*$Y271*Calc2!$C271/2/1000/1000</f>
        <v>0</v>
      </c>
      <c r="U271" s="400">
        <f>VLOOKUP($B$187:$B$323,Acraft!$A$3:$Y$139,23,FALSE)*$Y271*Calc2!$C271/2/1000/1000</f>
        <v>0</v>
      </c>
      <c r="V271" s="400">
        <f>VLOOKUP($B$187:$B$323,Acraft!$A$3:$Y$139,24,FALSE)*$Y271*Calc2!$C271/2/1000/1000</f>
        <v>0</v>
      </c>
      <c r="W271" s="398">
        <f>VLOOKUP($B$187:$B$323,Acraft!$A$3:$Y$139,25,FALSE)*$Y271*Calc2!$C271/2/1000/1000</f>
        <v>0</v>
      </c>
      <c r="X271" s="398">
        <f>VLOOKUP($B$187:$B$323,Acraft!$A$3:$Y$139,19,FALSE)*$Y271*Calc2!$C271/2</f>
        <v>0</v>
      </c>
      <c r="Y271" s="309">
        <f>IF(VLOOKUP($B$187:$B$323,Acraft!$A$3:$Y$139,19,FALSE)=4,Calc1!$C$173,IF(VLOOKUP($B$187:$B$323,Acraft!$A$3:$Y$139,19,FALSE)=1.77777777777778,Calc1!$C$172,0))</f>
        <v>0</v>
      </c>
      <c r="Z271" s="305"/>
    </row>
    <row r="272" spans="1:26" x14ac:dyDescent="0.2">
      <c r="A272" s="303"/>
      <c r="B272" s="309" t="s">
        <v>470</v>
      </c>
      <c r="C272" s="397">
        <f>Calc1!F150</f>
        <v>0</v>
      </c>
      <c r="D272" s="395">
        <f>VLOOKUP($B$187:$B$323,Acraft!$A$3:$R$139,6,FALSE)+Calc1!$C$168*VLOOKUP($B$187:$B$323,Acraft!$A$3:$R$139,13,FALSE)/1000</f>
        <v>5.6614800000000001</v>
      </c>
      <c r="E272" s="398">
        <f t="shared" si="45"/>
        <v>0</v>
      </c>
      <c r="F272" s="312">
        <f>VLOOKUP($B$187:$B$323,Acraft!$A$3:$R$139,7,FALSE)+Calc1!$C$168*VLOOKUP($B$187:$B$323,Acraft!$A$3:$R$139,14,FALSE)/1000</f>
        <v>1.4120880000000002</v>
      </c>
      <c r="G272" s="312">
        <f t="shared" si="46"/>
        <v>0</v>
      </c>
      <c r="H272" s="312">
        <f>VLOOKUP($B$187:$B$323,Acraft!$A$3:$R$139,8,FALSE)+Calc1!$C$168*VLOOKUP($B$187:$B$323,Acraft!$A$3:$R$139,15,FALSE)/1000</f>
        <v>9.1975440000000024</v>
      </c>
      <c r="I272" s="312">
        <f t="shared" si="47"/>
        <v>0</v>
      </c>
      <c r="J272" s="312">
        <f>VLOOKUP($B$187:$B$323,Acraft!$A$3:$R$139,9,FALSE)+Calc1!$C$168*VLOOKUP($B$187:$B$323,Acraft!$A$3:$R$139,16,FALSE)/1000</f>
        <v>0.19062447476113337</v>
      </c>
      <c r="K272" s="312">
        <f t="shared" si="48"/>
        <v>0</v>
      </c>
      <c r="L272" s="312">
        <f>VLOOKUP($B$187:$B$323,Acraft!$A$3:$R$139,10,FALSE)+Calc1!$C$168*VLOOKUP($B$187:$B$323,Acraft!$A$3:$R$139,17,FALSE)/1000</f>
        <v>0.34848000000000001</v>
      </c>
      <c r="M272" s="312">
        <f t="shared" si="49"/>
        <v>0</v>
      </c>
      <c r="N272" s="312">
        <f>VLOOKUP($B$187:$B$323,Acraft!$A$3:$R$139,11,FALSE)+Calc1!$C$168*VLOOKUP($B$187:$B$323,Acraft!$A$3:$R$139,18,FALSE)/1000</f>
        <v>2195.424</v>
      </c>
      <c r="O272" s="398">
        <f t="shared" si="50"/>
        <v>0</v>
      </c>
      <c r="P272" s="312">
        <f>VLOOKUP($B$187:$B$323,Acraft!$A$3:$R$139,5,FALSE)+Calc1!$C$168*VLOOKUP($B$187:$B$323,Acraft!$A$3:$R$139,12,FALSE)/1000</f>
        <v>696.96</v>
      </c>
      <c r="Q272" s="396">
        <f t="shared" si="51"/>
        <v>0</v>
      </c>
      <c r="R272" s="399">
        <f>VLOOKUP($B$187:$B$323,Acraft!$A$3:$Y$139,20,FALSE)*$Y272*Calc2!$C272/2/1000/1000</f>
        <v>0</v>
      </c>
      <c r="S272" s="400">
        <f>VLOOKUP($B$187:$B$323,Acraft!$A$3:$Y$139,21,FALSE)*$Y272*Calc2!$C272/2/1000/1000</f>
        <v>0</v>
      </c>
      <c r="T272" s="400">
        <f>VLOOKUP($B$187:$B$323,Acraft!$A$3:$Y$139,22,FALSE)*$Y272*Calc2!$C272/2/1000/1000</f>
        <v>0</v>
      </c>
      <c r="U272" s="400">
        <f>VLOOKUP($B$187:$B$323,Acraft!$A$3:$Y$139,23,FALSE)*$Y272*Calc2!$C272/2/1000/1000</f>
        <v>0</v>
      </c>
      <c r="V272" s="400">
        <f>VLOOKUP($B$187:$B$323,Acraft!$A$3:$Y$139,24,FALSE)*$Y272*Calc2!$C272/2/1000/1000</f>
        <v>0</v>
      </c>
      <c r="W272" s="398">
        <f>VLOOKUP($B$187:$B$323,Acraft!$A$3:$Y$139,25,FALSE)*$Y272*Calc2!$C272/2/1000/1000</f>
        <v>0</v>
      </c>
      <c r="X272" s="398">
        <f>VLOOKUP($B$187:$B$323,Acraft!$A$3:$Y$139,19,FALSE)*$Y272*Calc2!$C272/2</f>
        <v>0</v>
      </c>
      <c r="Y272" s="309">
        <f>IF(VLOOKUP($B$187:$B$323,Acraft!$A$3:$Y$139,19,FALSE)=4,Calc1!$C$173,IF(VLOOKUP($B$187:$B$323,Acraft!$A$3:$Y$139,19,FALSE)=1.77777777777778,Calc1!$C$172,0))</f>
        <v>15</v>
      </c>
      <c r="Z272" s="305"/>
    </row>
    <row r="273" spans="1:26" x14ac:dyDescent="0.2">
      <c r="A273" s="303"/>
      <c r="B273" s="309" t="s">
        <v>471</v>
      </c>
      <c r="C273" s="397">
        <f>Calc1!F151</f>
        <v>0</v>
      </c>
      <c r="D273" s="395">
        <f>VLOOKUP($B$187:$B$323,Acraft!$A$3:$R$139,6,FALSE)+Calc1!$C$168*VLOOKUP($B$187:$B$323,Acraft!$A$3:$R$139,13,FALSE)/1000</f>
        <v>3.0151198559999997</v>
      </c>
      <c r="E273" s="398">
        <f t="shared" si="45"/>
        <v>0</v>
      </c>
      <c r="F273" s="312">
        <f>VLOOKUP($B$187:$B$323,Acraft!$A$3:$R$139,7,FALSE)+Calc1!$C$168*VLOOKUP($B$187:$B$323,Acraft!$A$3:$R$139,14,FALSE)/1000</f>
        <v>0.59613408000000012</v>
      </c>
      <c r="G273" s="312">
        <f t="shared" si="46"/>
        <v>0</v>
      </c>
      <c r="H273" s="312">
        <f>VLOOKUP($B$187:$B$323,Acraft!$A$3:$R$139,8,FALSE)+Calc1!$C$168*VLOOKUP($B$187:$B$323,Acraft!$A$3:$R$139,15,FALSE)/1000</f>
        <v>5.537937372</v>
      </c>
      <c r="I273" s="312">
        <f t="shared" si="47"/>
        <v>0</v>
      </c>
      <c r="J273" s="312">
        <f>VLOOKUP($B$187:$B$323,Acraft!$A$3:$R$139,9,FALSE)+Calc1!$C$168*VLOOKUP($B$187:$B$323,Acraft!$A$3:$R$139,16,FALSE)/1000</f>
        <v>2.3441245190179549E-2</v>
      </c>
      <c r="K273" s="312">
        <f t="shared" si="48"/>
        <v>0</v>
      </c>
      <c r="L273" s="312">
        <f>VLOOKUP($B$187:$B$323,Acraft!$A$3:$R$139,10,FALSE)+Calc1!$C$168*VLOOKUP($B$187:$B$323,Acraft!$A$3:$R$139,17,FALSE)/1000</f>
        <v>0.13991939999999997</v>
      </c>
      <c r="M273" s="312">
        <f t="shared" si="49"/>
        <v>0</v>
      </c>
      <c r="N273" s="312">
        <f>VLOOKUP($B$187:$B$323,Acraft!$A$3:$R$139,11,FALSE)+Calc1!$C$168*VLOOKUP($B$187:$B$323,Acraft!$A$3:$R$139,18,FALSE)/1000</f>
        <v>881.49222000000009</v>
      </c>
      <c r="O273" s="398">
        <f t="shared" si="50"/>
        <v>0</v>
      </c>
      <c r="P273" s="312">
        <f>VLOOKUP($B$187:$B$323,Acraft!$A$3:$R$139,5,FALSE)+Calc1!$C$168*VLOOKUP($B$187:$B$323,Acraft!$A$3:$R$139,12,FALSE)/1000</f>
        <v>279.83879999999999</v>
      </c>
      <c r="Q273" s="396">
        <f t="shared" si="51"/>
        <v>0</v>
      </c>
      <c r="R273" s="399">
        <f>VLOOKUP($B$187:$B$323,Acraft!$A$3:$Y$139,20,FALSE)*$Y273*Calc2!$C273/2/1000/1000</f>
        <v>0</v>
      </c>
      <c r="S273" s="400">
        <f>VLOOKUP($B$187:$B$323,Acraft!$A$3:$Y$139,21,FALSE)*$Y273*Calc2!$C273/2/1000/1000</f>
        <v>0</v>
      </c>
      <c r="T273" s="400">
        <f>VLOOKUP($B$187:$B$323,Acraft!$A$3:$Y$139,22,FALSE)*$Y273*Calc2!$C273/2/1000/1000</f>
        <v>0</v>
      </c>
      <c r="U273" s="400">
        <f>VLOOKUP($B$187:$B$323,Acraft!$A$3:$Y$139,23,FALSE)*$Y273*Calc2!$C273/2/1000/1000</f>
        <v>0</v>
      </c>
      <c r="V273" s="400">
        <f>VLOOKUP($B$187:$B$323,Acraft!$A$3:$Y$139,24,FALSE)*$Y273*Calc2!$C273/2/1000/1000</f>
        <v>0</v>
      </c>
      <c r="W273" s="398">
        <f>VLOOKUP($B$187:$B$323,Acraft!$A$3:$Y$139,25,FALSE)*$Y273*Calc2!$C273/2/1000/1000</f>
        <v>0</v>
      </c>
      <c r="X273" s="398">
        <f>VLOOKUP($B$187:$B$323,Acraft!$A$3:$Y$139,19,FALSE)*$Y273*Calc2!$C273/2</f>
        <v>0</v>
      </c>
      <c r="Y273" s="309">
        <f>IF(VLOOKUP($B$187:$B$323,Acraft!$A$3:$Y$139,19,FALSE)=4,Calc1!$C$173,IF(VLOOKUP($B$187:$B$323,Acraft!$A$3:$Y$139,19,FALSE)=1.77777777777778,Calc1!$C$172,0))</f>
        <v>15</v>
      </c>
      <c r="Z273" s="305"/>
    </row>
    <row r="274" spans="1:26" x14ac:dyDescent="0.2">
      <c r="A274" s="303"/>
      <c r="B274" s="309" t="s">
        <v>474</v>
      </c>
      <c r="C274" s="397">
        <f>Calc1!F152</f>
        <v>0</v>
      </c>
      <c r="D274" s="395">
        <f>VLOOKUP($B$187:$B$323,Acraft!$A$3:$R$139,6,FALSE)+Calc1!$C$168*VLOOKUP($B$187:$B$323,Acraft!$A$3:$R$139,13,FALSE)/1000</f>
        <v>5.6187664800000006</v>
      </c>
      <c r="E274" s="398">
        <f t="shared" si="45"/>
        <v>0</v>
      </c>
      <c r="F274" s="312">
        <f>VLOOKUP($B$187:$B$323,Acraft!$A$3:$R$139,7,FALSE)+Calc1!$C$168*VLOOKUP($B$187:$B$323,Acraft!$A$3:$R$139,14,FALSE)/1000</f>
        <v>0.33244032000000001</v>
      </c>
      <c r="G274" s="312">
        <f t="shared" si="46"/>
        <v>0</v>
      </c>
      <c r="H274" s="312">
        <f>VLOOKUP($B$187:$B$323,Acraft!$A$3:$R$139,8,FALSE)+Calc1!$C$168*VLOOKUP($B$187:$B$323,Acraft!$A$3:$R$139,15,FALSE)/1000</f>
        <v>8.7766226400000011</v>
      </c>
      <c r="I274" s="312">
        <f t="shared" si="47"/>
        <v>0</v>
      </c>
      <c r="J274" s="312">
        <f>VLOOKUP($B$187:$B$323,Acraft!$A$3:$R$139,9,FALSE)+Calc1!$C$168*VLOOKUP($B$187:$B$323,Acraft!$A$3:$R$139,16,FALSE)/1000</f>
        <v>3.4084996433040526E-2</v>
      </c>
      <c r="K274" s="312">
        <f t="shared" si="48"/>
        <v>0</v>
      </c>
      <c r="L274" s="312">
        <f>VLOOKUP($B$187:$B$323,Acraft!$A$3:$R$139,10,FALSE)+Calc1!$C$168*VLOOKUP($B$187:$B$323,Acraft!$A$3:$R$139,17,FALSE)/1000</f>
        <v>0.304068</v>
      </c>
      <c r="M274" s="312">
        <f t="shared" si="49"/>
        <v>0</v>
      </c>
      <c r="N274" s="312">
        <f>VLOOKUP($B$187:$B$323,Acraft!$A$3:$R$139,11,FALSE)+Calc1!$C$168*VLOOKUP($B$187:$B$323,Acraft!$A$3:$R$139,18,FALSE)/1000</f>
        <v>1915.6283999999998</v>
      </c>
      <c r="O274" s="398">
        <f t="shared" si="50"/>
        <v>0</v>
      </c>
      <c r="P274" s="312">
        <f>VLOOKUP($B$187:$B$323,Acraft!$A$3:$R$139,5,FALSE)+Calc1!$C$168*VLOOKUP($B$187:$B$323,Acraft!$A$3:$R$139,12,FALSE)/1000</f>
        <v>608.13599999999997</v>
      </c>
      <c r="Q274" s="396">
        <f t="shared" si="51"/>
        <v>0</v>
      </c>
      <c r="R274" s="399">
        <f>VLOOKUP($B$187:$B$323,Acraft!$A$3:$Y$139,20,FALSE)*$Y274*Calc2!$C274/2/1000/1000</f>
        <v>0</v>
      </c>
      <c r="S274" s="400">
        <f>VLOOKUP($B$187:$B$323,Acraft!$A$3:$Y$139,21,FALSE)*$Y274*Calc2!$C274/2/1000/1000</f>
        <v>0</v>
      </c>
      <c r="T274" s="400">
        <f>VLOOKUP($B$187:$B$323,Acraft!$A$3:$Y$139,22,FALSE)*$Y274*Calc2!$C274/2/1000/1000</f>
        <v>0</v>
      </c>
      <c r="U274" s="400">
        <f>VLOOKUP($B$187:$B$323,Acraft!$A$3:$Y$139,23,FALSE)*$Y274*Calc2!$C274/2/1000/1000</f>
        <v>0</v>
      </c>
      <c r="V274" s="400">
        <f>VLOOKUP($B$187:$B$323,Acraft!$A$3:$Y$139,24,FALSE)*$Y274*Calc2!$C274/2/1000/1000</f>
        <v>0</v>
      </c>
      <c r="W274" s="398">
        <f>VLOOKUP($B$187:$B$323,Acraft!$A$3:$Y$139,25,FALSE)*$Y274*Calc2!$C274/2/1000/1000</f>
        <v>0</v>
      </c>
      <c r="X274" s="398">
        <f>VLOOKUP($B$187:$B$323,Acraft!$A$3:$Y$139,19,FALSE)*$Y274*Calc2!$C274/2</f>
        <v>0</v>
      </c>
      <c r="Y274" s="309">
        <f>IF(VLOOKUP($B$187:$B$323,Acraft!$A$3:$Y$139,19,FALSE)=4,Calc1!$C$173,IF(VLOOKUP($B$187:$B$323,Acraft!$A$3:$Y$139,19,FALSE)=1.77777777777778,Calc1!$C$172,0))</f>
        <v>15</v>
      </c>
      <c r="Z274" s="305"/>
    </row>
    <row r="275" spans="1:26" x14ac:dyDescent="0.2">
      <c r="A275" s="303"/>
      <c r="B275" s="309" t="s">
        <v>477</v>
      </c>
      <c r="C275" s="397">
        <f>Calc1!F153</f>
        <v>0</v>
      </c>
      <c r="D275" s="395">
        <f>VLOOKUP($B$187:$B$323,Acraft!$A$3:$R$139,6,FALSE)+Calc1!$C$168*VLOOKUP($B$187:$B$323,Acraft!$A$3:$R$139,13,FALSE)/1000</f>
        <v>5.6187664800000006</v>
      </c>
      <c r="E275" s="398">
        <f t="shared" si="45"/>
        <v>0</v>
      </c>
      <c r="F275" s="312">
        <f>VLOOKUP($B$187:$B$323,Acraft!$A$3:$R$139,7,FALSE)+Calc1!$C$168*VLOOKUP($B$187:$B$323,Acraft!$A$3:$R$139,14,FALSE)/1000</f>
        <v>0.33244032000000001</v>
      </c>
      <c r="G275" s="312">
        <f t="shared" si="46"/>
        <v>0</v>
      </c>
      <c r="H275" s="312">
        <f>VLOOKUP($B$187:$B$323,Acraft!$A$3:$R$139,8,FALSE)+Calc1!$C$168*VLOOKUP($B$187:$B$323,Acraft!$A$3:$R$139,15,FALSE)/1000</f>
        <v>8.7766226400000011</v>
      </c>
      <c r="I275" s="312">
        <f t="shared" si="47"/>
        <v>0</v>
      </c>
      <c r="J275" s="312">
        <f>VLOOKUP($B$187:$B$323,Acraft!$A$3:$R$139,9,FALSE)+Calc1!$C$168*VLOOKUP($B$187:$B$323,Acraft!$A$3:$R$139,16,FALSE)/1000</f>
        <v>3.4084996433040526E-2</v>
      </c>
      <c r="K275" s="312">
        <f t="shared" si="48"/>
        <v>0</v>
      </c>
      <c r="L275" s="312">
        <f>VLOOKUP($B$187:$B$323,Acraft!$A$3:$R$139,10,FALSE)+Calc1!$C$168*VLOOKUP($B$187:$B$323,Acraft!$A$3:$R$139,17,FALSE)/1000</f>
        <v>0.304068</v>
      </c>
      <c r="M275" s="312">
        <f t="shared" si="49"/>
        <v>0</v>
      </c>
      <c r="N275" s="312">
        <f>VLOOKUP($B$187:$B$323,Acraft!$A$3:$R$139,11,FALSE)+Calc1!$C$168*VLOOKUP($B$187:$B$323,Acraft!$A$3:$R$139,18,FALSE)/1000</f>
        <v>1915.6283999999998</v>
      </c>
      <c r="O275" s="398">
        <f t="shared" si="50"/>
        <v>0</v>
      </c>
      <c r="P275" s="312">
        <f>VLOOKUP($B$187:$B$323,Acraft!$A$3:$R$139,5,FALSE)+Calc1!$C$168*VLOOKUP($B$187:$B$323,Acraft!$A$3:$R$139,12,FALSE)/1000</f>
        <v>608.13599999999997</v>
      </c>
      <c r="Q275" s="396">
        <f t="shared" si="51"/>
        <v>0</v>
      </c>
      <c r="R275" s="399">
        <f>VLOOKUP($B$187:$B$323,Acraft!$A$3:$Y$139,20,FALSE)*$Y275*Calc2!$C275/2/1000/1000</f>
        <v>0</v>
      </c>
      <c r="S275" s="400">
        <f>VLOOKUP($B$187:$B$323,Acraft!$A$3:$Y$139,21,FALSE)*$Y275*Calc2!$C275/2/1000/1000</f>
        <v>0</v>
      </c>
      <c r="T275" s="400">
        <f>VLOOKUP($B$187:$B$323,Acraft!$A$3:$Y$139,22,FALSE)*$Y275*Calc2!$C275/2/1000/1000</f>
        <v>0</v>
      </c>
      <c r="U275" s="400">
        <f>VLOOKUP($B$187:$B$323,Acraft!$A$3:$Y$139,23,FALSE)*$Y275*Calc2!$C275/2/1000/1000</f>
        <v>0</v>
      </c>
      <c r="V275" s="400">
        <f>VLOOKUP($B$187:$B$323,Acraft!$A$3:$Y$139,24,FALSE)*$Y275*Calc2!$C275/2/1000/1000</f>
        <v>0</v>
      </c>
      <c r="W275" s="398">
        <f>VLOOKUP($B$187:$B$323,Acraft!$A$3:$Y$139,25,FALSE)*$Y275*Calc2!$C275/2/1000/1000</f>
        <v>0</v>
      </c>
      <c r="X275" s="398">
        <f>VLOOKUP($B$187:$B$323,Acraft!$A$3:$Y$139,19,FALSE)*$Y275*Calc2!$C275/2</f>
        <v>0</v>
      </c>
      <c r="Y275" s="309">
        <f>IF(VLOOKUP($B$187:$B$323,Acraft!$A$3:$Y$139,19,FALSE)=4,Calc1!$C$173,IF(VLOOKUP($B$187:$B$323,Acraft!$A$3:$Y$139,19,FALSE)=1.77777777777778,Calc1!$C$172,0))</f>
        <v>15</v>
      </c>
      <c r="Z275" s="305"/>
    </row>
    <row r="276" spans="1:26" x14ac:dyDescent="0.2">
      <c r="A276" s="303"/>
      <c r="B276" s="309" t="s">
        <v>479</v>
      </c>
      <c r="C276" s="397">
        <f>Calc1!F154</f>
        <v>0</v>
      </c>
      <c r="D276" s="395">
        <f>VLOOKUP($B$187:$B$323,Acraft!$A$3:$R$139,6,FALSE)+Calc1!$C$168*VLOOKUP($B$187:$B$323,Acraft!$A$3:$R$139,13,FALSE)/1000</f>
        <v>3.0151198559999997</v>
      </c>
      <c r="E276" s="398">
        <f t="shared" si="45"/>
        <v>0</v>
      </c>
      <c r="F276" s="312">
        <f>VLOOKUP($B$187:$B$323,Acraft!$A$3:$R$139,7,FALSE)+Calc1!$C$168*VLOOKUP($B$187:$B$323,Acraft!$A$3:$R$139,14,FALSE)/1000</f>
        <v>0.59613408000000012</v>
      </c>
      <c r="G276" s="312">
        <f t="shared" si="46"/>
        <v>0</v>
      </c>
      <c r="H276" s="312">
        <f>VLOOKUP($B$187:$B$323,Acraft!$A$3:$R$139,8,FALSE)+Calc1!$C$168*VLOOKUP($B$187:$B$323,Acraft!$A$3:$R$139,15,FALSE)/1000</f>
        <v>5.537937372</v>
      </c>
      <c r="I276" s="312">
        <f t="shared" si="47"/>
        <v>0</v>
      </c>
      <c r="J276" s="312">
        <f>VLOOKUP($B$187:$B$323,Acraft!$A$3:$R$139,9,FALSE)+Calc1!$C$168*VLOOKUP($B$187:$B$323,Acraft!$A$3:$R$139,16,FALSE)/1000</f>
        <v>2.3441245190179549E-2</v>
      </c>
      <c r="K276" s="312">
        <f t="shared" si="48"/>
        <v>0</v>
      </c>
      <c r="L276" s="312">
        <f>VLOOKUP($B$187:$B$323,Acraft!$A$3:$R$139,10,FALSE)+Calc1!$C$168*VLOOKUP($B$187:$B$323,Acraft!$A$3:$R$139,17,FALSE)/1000</f>
        <v>0.13991939999999997</v>
      </c>
      <c r="M276" s="312">
        <f t="shared" si="49"/>
        <v>0</v>
      </c>
      <c r="N276" s="312">
        <f>VLOOKUP($B$187:$B$323,Acraft!$A$3:$R$139,11,FALSE)+Calc1!$C$168*VLOOKUP($B$187:$B$323,Acraft!$A$3:$R$139,18,FALSE)/1000</f>
        <v>881.49222000000009</v>
      </c>
      <c r="O276" s="398">
        <f t="shared" si="50"/>
        <v>0</v>
      </c>
      <c r="P276" s="312">
        <f>VLOOKUP($B$187:$B$323,Acraft!$A$3:$R$139,5,FALSE)+Calc1!$C$168*VLOOKUP($B$187:$B$323,Acraft!$A$3:$R$139,12,FALSE)/1000</f>
        <v>279.83879999999999</v>
      </c>
      <c r="Q276" s="396">
        <f t="shared" si="51"/>
        <v>0</v>
      </c>
      <c r="R276" s="399">
        <f>VLOOKUP($B$187:$B$323,Acraft!$A$3:$Y$139,20,FALSE)*$Y276*Calc2!$C276/2/1000/1000</f>
        <v>0</v>
      </c>
      <c r="S276" s="400">
        <f>VLOOKUP($B$187:$B$323,Acraft!$A$3:$Y$139,21,FALSE)*$Y276*Calc2!$C276/2/1000/1000</f>
        <v>0</v>
      </c>
      <c r="T276" s="400">
        <f>VLOOKUP($B$187:$B$323,Acraft!$A$3:$Y$139,22,FALSE)*$Y276*Calc2!$C276/2/1000/1000</f>
        <v>0</v>
      </c>
      <c r="U276" s="400">
        <f>VLOOKUP($B$187:$B$323,Acraft!$A$3:$Y$139,23,FALSE)*$Y276*Calc2!$C276/2/1000/1000</f>
        <v>0</v>
      </c>
      <c r="V276" s="400">
        <f>VLOOKUP($B$187:$B$323,Acraft!$A$3:$Y$139,24,FALSE)*$Y276*Calc2!$C276/2/1000/1000</f>
        <v>0</v>
      </c>
      <c r="W276" s="398">
        <f>VLOOKUP($B$187:$B$323,Acraft!$A$3:$Y$139,25,FALSE)*$Y276*Calc2!$C276/2/1000/1000</f>
        <v>0</v>
      </c>
      <c r="X276" s="398">
        <f>VLOOKUP($B$187:$B$323,Acraft!$A$3:$Y$139,19,FALSE)*$Y276*Calc2!$C276/2</f>
        <v>0</v>
      </c>
      <c r="Y276" s="309">
        <f>IF(VLOOKUP($B$187:$B$323,Acraft!$A$3:$Y$139,19,FALSE)=4,Calc1!$C$173,IF(VLOOKUP($B$187:$B$323,Acraft!$A$3:$Y$139,19,FALSE)=1.77777777777778,Calc1!$C$172,0))</f>
        <v>15</v>
      </c>
      <c r="Z276" s="305"/>
    </row>
    <row r="277" spans="1:26" x14ac:dyDescent="0.2">
      <c r="A277" s="303"/>
      <c r="B277" s="309" t="s">
        <v>480</v>
      </c>
      <c r="C277" s="397">
        <f>Calc1!F155</f>
        <v>0</v>
      </c>
      <c r="D277" s="395">
        <f>VLOOKUP($B$187:$B$323,Acraft!$A$3:$R$139,6,FALSE)+Calc1!$C$168*VLOOKUP($B$187:$B$323,Acraft!$A$3:$R$139,13,FALSE)/1000</f>
        <v>5.6187664800000006</v>
      </c>
      <c r="E277" s="398">
        <f t="shared" si="45"/>
        <v>0</v>
      </c>
      <c r="F277" s="312">
        <f>VLOOKUP($B$187:$B$323,Acraft!$A$3:$R$139,7,FALSE)+Calc1!$C$168*VLOOKUP($B$187:$B$323,Acraft!$A$3:$R$139,14,FALSE)/1000</f>
        <v>0.33244032000000001</v>
      </c>
      <c r="G277" s="312">
        <f t="shared" si="46"/>
        <v>0</v>
      </c>
      <c r="H277" s="312">
        <f>VLOOKUP($B$187:$B$323,Acraft!$A$3:$R$139,8,FALSE)+Calc1!$C$168*VLOOKUP($B$187:$B$323,Acraft!$A$3:$R$139,15,FALSE)/1000</f>
        <v>8.7766226400000011</v>
      </c>
      <c r="I277" s="312">
        <f t="shared" si="47"/>
        <v>0</v>
      </c>
      <c r="J277" s="312">
        <f>VLOOKUP($B$187:$B$323,Acraft!$A$3:$R$139,9,FALSE)+Calc1!$C$168*VLOOKUP($B$187:$B$323,Acraft!$A$3:$R$139,16,FALSE)/1000</f>
        <v>3.4084996433040526E-2</v>
      </c>
      <c r="K277" s="312">
        <f t="shared" si="48"/>
        <v>0</v>
      </c>
      <c r="L277" s="312">
        <f>VLOOKUP($B$187:$B$323,Acraft!$A$3:$R$139,10,FALSE)+Calc1!$C$168*VLOOKUP($B$187:$B$323,Acraft!$A$3:$R$139,17,FALSE)/1000</f>
        <v>0.304068</v>
      </c>
      <c r="M277" s="312">
        <f t="shared" si="49"/>
        <v>0</v>
      </c>
      <c r="N277" s="312">
        <f>VLOOKUP($B$187:$B$323,Acraft!$A$3:$R$139,11,FALSE)+Calc1!$C$168*VLOOKUP($B$187:$B$323,Acraft!$A$3:$R$139,18,FALSE)/1000</f>
        <v>1915.6283999999998</v>
      </c>
      <c r="O277" s="398">
        <f t="shared" si="50"/>
        <v>0</v>
      </c>
      <c r="P277" s="312">
        <f>VLOOKUP($B$187:$B$323,Acraft!$A$3:$R$139,5,FALSE)+Calc1!$C$168*VLOOKUP($B$187:$B$323,Acraft!$A$3:$R$139,12,FALSE)/1000</f>
        <v>608.13599999999997</v>
      </c>
      <c r="Q277" s="396">
        <f t="shared" si="51"/>
        <v>0</v>
      </c>
      <c r="R277" s="399">
        <f>VLOOKUP($B$187:$B$323,Acraft!$A$3:$Y$139,20,FALSE)*$Y277*Calc2!$C277/2/1000/1000</f>
        <v>0</v>
      </c>
      <c r="S277" s="400">
        <f>VLOOKUP($B$187:$B$323,Acraft!$A$3:$Y$139,21,FALSE)*$Y277*Calc2!$C277/2/1000/1000</f>
        <v>0</v>
      </c>
      <c r="T277" s="400">
        <f>VLOOKUP($B$187:$B$323,Acraft!$A$3:$Y$139,22,FALSE)*$Y277*Calc2!$C277/2/1000/1000</f>
        <v>0</v>
      </c>
      <c r="U277" s="400">
        <f>VLOOKUP($B$187:$B$323,Acraft!$A$3:$Y$139,23,FALSE)*$Y277*Calc2!$C277/2/1000/1000</f>
        <v>0</v>
      </c>
      <c r="V277" s="400">
        <f>VLOOKUP($B$187:$B$323,Acraft!$A$3:$Y$139,24,FALSE)*$Y277*Calc2!$C277/2/1000/1000</f>
        <v>0</v>
      </c>
      <c r="W277" s="398">
        <f>VLOOKUP($B$187:$B$323,Acraft!$A$3:$Y$139,25,FALSE)*$Y277*Calc2!$C277/2/1000/1000</f>
        <v>0</v>
      </c>
      <c r="X277" s="398">
        <f>VLOOKUP($B$187:$B$323,Acraft!$A$3:$Y$139,19,FALSE)*$Y277*Calc2!$C277/2</f>
        <v>0</v>
      </c>
      <c r="Y277" s="309">
        <f>IF(VLOOKUP($B$187:$B$323,Acraft!$A$3:$Y$139,19,FALSE)=4,Calc1!$C$173,IF(VLOOKUP($B$187:$B$323,Acraft!$A$3:$Y$139,19,FALSE)=1.77777777777778,Calc1!$C$172,0))</f>
        <v>15</v>
      </c>
      <c r="Z277" s="305"/>
    </row>
    <row r="278" spans="1:26" x14ac:dyDescent="0.2">
      <c r="A278" s="303"/>
      <c r="B278" s="309" t="s">
        <v>481</v>
      </c>
      <c r="C278" s="397">
        <f>Calc1!F156</f>
        <v>0</v>
      </c>
      <c r="D278" s="395">
        <f>VLOOKUP($B$187:$B$323,Acraft!$A$3:$R$139,6,FALSE)+Calc1!$C$168*VLOOKUP($B$187:$B$323,Acraft!$A$3:$R$139,13,FALSE)/1000</f>
        <v>0.79463808000000014</v>
      </c>
      <c r="E278" s="398">
        <f t="shared" si="45"/>
        <v>0</v>
      </c>
      <c r="F278" s="312">
        <f>VLOOKUP($B$187:$B$323,Acraft!$A$3:$R$139,7,FALSE)+Calc1!$C$168*VLOOKUP($B$187:$B$323,Acraft!$A$3:$R$139,14,FALSE)/1000</f>
        <v>0.78249455999999984</v>
      </c>
      <c r="G278" s="312">
        <f t="shared" si="46"/>
        <v>0</v>
      </c>
      <c r="H278" s="312">
        <f>VLOOKUP($B$187:$B$323,Acraft!$A$3:$R$139,8,FALSE)+Calc1!$C$168*VLOOKUP($B$187:$B$323,Acraft!$A$3:$R$139,15,FALSE)/1000</f>
        <v>4.2636326399999991</v>
      </c>
      <c r="I278" s="312">
        <f t="shared" si="47"/>
        <v>0</v>
      </c>
      <c r="J278" s="312">
        <f>VLOOKUP($B$187:$B$323,Acraft!$A$3:$R$139,9,FALSE)+Calc1!$C$168*VLOOKUP($B$187:$B$323,Acraft!$A$3:$R$139,16,FALSE)/1000</f>
        <v>2.6116919999999998E-2</v>
      </c>
      <c r="K278" s="312">
        <f t="shared" si="48"/>
        <v>0</v>
      </c>
      <c r="L278" s="312">
        <f>VLOOKUP($B$187:$B$323,Acraft!$A$3:$R$139,10,FALSE)+Calc1!$C$168*VLOOKUP($B$187:$B$323,Acraft!$A$3:$R$139,17,FALSE)/1000</f>
        <v>6.0011999999999989E-2</v>
      </c>
      <c r="M278" s="312">
        <f t="shared" si="49"/>
        <v>0</v>
      </c>
      <c r="N278" s="312">
        <f>VLOOKUP($B$187:$B$323,Acraft!$A$3:$R$139,11,FALSE)+Calc1!$C$168*VLOOKUP($B$187:$B$323,Acraft!$A$3:$R$139,18,FALSE)/1000</f>
        <v>378.07559999999989</v>
      </c>
      <c r="O278" s="398">
        <f t="shared" si="50"/>
        <v>0</v>
      </c>
      <c r="P278" s="312">
        <f>VLOOKUP($B$187:$B$323,Acraft!$A$3:$R$139,5,FALSE)+Calc1!$C$168*VLOOKUP($B$187:$B$323,Acraft!$A$3:$R$139,12,FALSE)/1000</f>
        <v>120.02399999999999</v>
      </c>
      <c r="Q278" s="396">
        <f t="shared" si="51"/>
        <v>0</v>
      </c>
      <c r="R278" s="399">
        <f>VLOOKUP($B$187:$B$323,Acraft!$A$3:$Y$139,20,FALSE)*$Y278*Calc2!$C278/2/1000/1000</f>
        <v>0</v>
      </c>
      <c r="S278" s="400">
        <f>VLOOKUP($B$187:$B$323,Acraft!$A$3:$Y$139,21,FALSE)*$Y278*Calc2!$C278/2/1000/1000</f>
        <v>0</v>
      </c>
      <c r="T278" s="400">
        <f>VLOOKUP($B$187:$B$323,Acraft!$A$3:$Y$139,22,FALSE)*$Y278*Calc2!$C278/2/1000/1000</f>
        <v>0</v>
      </c>
      <c r="U278" s="400">
        <f>VLOOKUP($B$187:$B$323,Acraft!$A$3:$Y$139,23,FALSE)*$Y278*Calc2!$C278/2/1000/1000</f>
        <v>0</v>
      </c>
      <c r="V278" s="400">
        <f>VLOOKUP($B$187:$B$323,Acraft!$A$3:$Y$139,24,FALSE)*$Y278*Calc2!$C278/2/1000/1000</f>
        <v>0</v>
      </c>
      <c r="W278" s="398">
        <f>VLOOKUP($B$187:$B$323,Acraft!$A$3:$Y$139,25,FALSE)*$Y278*Calc2!$C278/2/1000/1000</f>
        <v>0</v>
      </c>
      <c r="X278" s="398">
        <f>VLOOKUP($B$187:$B$323,Acraft!$A$3:$Y$139,19,FALSE)*$Y278*Calc2!$C278/2</f>
        <v>0</v>
      </c>
      <c r="Y278" s="309">
        <f>IF(VLOOKUP($B$187:$B$323,Acraft!$A$3:$Y$139,19,FALSE)=4,Calc1!$C$173,IF(VLOOKUP($B$187:$B$323,Acraft!$A$3:$Y$139,19,FALSE)=1.77777777777778,Calc1!$C$172,0))</f>
        <v>15</v>
      </c>
      <c r="Z278" s="305"/>
    </row>
    <row r="279" spans="1:26" x14ac:dyDescent="0.2">
      <c r="A279" s="303"/>
      <c r="B279" s="309" t="s">
        <v>483</v>
      </c>
      <c r="C279" s="397">
        <f>Calc1!F157</f>
        <v>0</v>
      </c>
      <c r="D279" s="395">
        <f>VLOOKUP($B$187:$B$323,Acraft!$A$3:$R$139,6,FALSE)+Calc1!$C$168*VLOOKUP($B$187:$B$323,Acraft!$A$3:$R$139,13,FALSE)/1000</f>
        <v>2.6192668079999999</v>
      </c>
      <c r="E279" s="398">
        <f t="shared" si="45"/>
        <v>0</v>
      </c>
      <c r="F279" s="312">
        <f>VLOOKUP($B$187:$B$323,Acraft!$A$3:$R$139,7,FALSE)+Calc1!$C$168*VLOOKUP($B$187:$B$323,Acraft!$A$3:$R$139,14,FALSE)/1000</f>
        <v>0.9556572000000001</v>
      </c>
      <c r="G279" s="312">
        <f t="shared" si="46"/>
        <v>0</v>
      </c>
      <c r="H279" s="312">
        <f>VLOOKUP($B$187:$B$323,Acraft!$A$3:$R$139,8,FALSE)+Calc1!$C$168*VLOOKUP($B$187:$B$323,Acraft!$A$3:$R$139,15,FALSE)/1000</f>
        <v>5.8598074320000002</v>
      </c>
      <c r="I279" s="312">
        <f t="shared" si="47"/>
        <v>0</v>
      </c>
      <c r="J279" s="312">
        <f>VLOOKUP($B$187:$B$323,Acraft!$A$3:$R$139,9,FALSE)+Calc1!$C$168*VLOOKUP($B$187:$B$323,Acraft!$A$3:$R$139,16,FALSE)/1000</f>
        <v>7.0468575975567049E-2</v>
      </c>
      <c r="K279" s="312">
        <f t="shared" si="48"/>
        <v>0</v>
      </c>
      <c r="L279" s="312">
        <f>VLOOKUP($B$187:$B$323,Acraft!$A$3:$R$139,10,FALSE)+Calc1!$C$168*VLOOKUP($B$187:$B$323,Acraft!$A$3:$R$139,17,FALSE)/1000</f>
        <v>0.15634799999999999</v>
      </c>
      <c r="M279" s="312">
        <f t="shared" si="49"/>
        <v>0</v>
      </c>
      <c r="N279" s="312">
        <f>VLOOKUP($B$187:$B$323,Acraft!$A$3:$R$139,11,FALSE)+Calc1!$C$168*VLOOKUP($B$187:$B$323,Acraft!$A$3:$R$139,18,FALSE)/1000</f>
        <v>984.99239999999998</v>
      </c>
      <c r="O279" s="398">
        <f t="shared" si="50"/>
        <v>0</v>
      </c>
      <c r="P279" s="312">
        <f>VLOOKUP($B$187:$B$323,Acraft!$A$3:$R$139,5,FALSE)+Calc1!$C$168*VLOOKUP($B$187:$B$323,Acraft!$A$3:$R$139,12,FALSE)/1000</f>
        <v>312.69600000000003</v>
      </c>
      <c r="Q279" s="396">
        <f t="shared" si="51"/>
        <v>0</v>
      </c>
      <c r="R279" s="399">
        <f>VLOOKUP($B$187:$B$323,Acraft!$A$3:$Y$139,20,FALSE)*$Y279*Calc2!$C279/2/1000/1000</f>
        <v>0</v>
      </c>
      <c r="S279" s="400">
        <f>VLOOKUP($B$187:$B$323,Acraft!$A$3:$Y$139,21,FALSE)*$Y279*Calc2!$C279/2/1000/1000</f>
        <v>0</v>
      </c>
      <c r="T279" s="400">
        <f>VLOOKUP($B$187:$B$323,Acraft!$A$3:$Y$139,22,FALSE)*$Y279*Calc2!$C279/2/1000/1000</f>
        <v>0</v>
      </c>
      <c r="U279" s="400">
        <f>VLOOKUP($B$187:$B$323,Acraft!$A$3:$Y$139,23,FALSE)*$Y279*Calc2!$C279/2/1000/1000</f>
        <v>0</v>
      </c>
      <c r="V279" s="400">
        <f>VLOOKUP($B$187:$B$323,Acraft!$A$3:$Y$139,24,FALSE)*$Y279*Calc2!$C279/2/1000/1000</f>
        <v>0</v>
      </c>
      <c r="W279" s="398">
        <f>VLOOKUP($B$187:$B$323,Acraft!$A$3:$Y$139,25,FALSE)*$Y279*Calc2!$C279/2/1000/1000</f>
        <v>0</v>
      </c>
      <c r="X279" s="398">
        <f>VLOOKUP($B$187:$B$323,Acraft!$A$3:$Y$139,19,FALSE)*$Y279*Calc2!$C279/2</f>
        <v>0</v>
      </c>
      <c r="Y279" s="309">
        <f>IF(VLOOKUP($B$187:$B$323,Acraft!$A$3:$Y$139,19,FALSE)=4,Calc1!$C$173,IF(VLOOKUP($B$187:$B$323,Acraft!$A$3:$Y$139,19,FALSE)=1.77777777777778,Calc1!$C$172,0))</f>
        <v>15</v>
      </c>
      <c r="Z279" s="305"/>
    </row>
    <row r="280" spans="1:26" x14ac:dyDescent="0.2">
      <c r="A280" s="303"/>
      <c r="B280" s="309" t="s">
        <v>486</v>
      </c>
      <c r="C280" s="397">
        <f>Calc1!F158</f>
        <v>0</v>
      </c>
      <c r="D280" s="395">
        <f>VLOOKUP($B$187:$B$323,Acraft!$A$3:$R$139,6,FALSE)+Calc1!$C$168*VLOOKUP($B$187:$B$323,Acraft!$A$3:$R$139,13,FALSE)/1000</f>
        <v>0.79463808000000014</v>
      </c>
      <c r="E280" s="398">
        <f t="shared" si="45"/>
        <v>0</v>
      </c>
      <c r="F280" s="312">
        <f>VLOOKUP($B$187:$B$323,Acraft!$A$3:$R$139,7,FALSE)+Calc1!$C$168*VLOOKUP($B$187:$B$323,Acraft!$A$3:$R$139,14,FALSE)/1000</f>
        <v>0.78249455999999984</v>
      </c>
      <c r="G280" s="312">
        <f t="shared" si="46"/>
        <v>0</v>
      </c>
      <c r="H280" s="312">
        <f>VLOOKUP($B$187:$B$323,Acraft!$A$3:$R$139,8,FALSE)+Calc1!$C$168*VLOOKUP($B$187:$B$323,Acraft!$A$3:$R$139,15,FALSE)/1000</f>
        <v>4.2636326399999991</v>
      </c>
      <c r="I280" s="312">
        <f t="shared" si="47"/>
        <v>0</v>
      </c>
      <c r="J280" s="312">
        <f>VLOOKUP($B$187:$B$323,Acraft!$A$3:$R$139,9,FALSE)+Calc1!$C$168*VLOOKUP($B$187:$B$323,Acraft!$A$3:$R$139,16,FALSE)/1000</f>
        <v>2.6116919999999998E-2</v>
      </c>
      <c r="K280" s="312">
        <f t="shared" si="48"/>
        <v>0</v>
      </c>
      <c r="L280" s="312">
        <f>VLOOKUP($B$187:$B$323,Acraft!$A$3:$R$139,10,FALSE)+Calc1!$C$168*VLOOKUP($B$187:$B$323,Acraft!$A$3:$R$139,17,FALSE)/1000</f>
        <v>6.0011999999999989E-2</v>
      </c>
      <c r="M280" s="312">
        <f t="shared" si="49"/>
        <v>0</v>
      </c>
      <c r="N280" s="312">
        <f>VLOOKUP($B$187:$B$323,Acraft!$A$3:$R$139,11,FALSE)+Calc1!$C$168*VLOOKUP($B$187:$B$323,Acraft!$A$3:$R$139,18,FALSE)/1000</f>
        <v>378.07559999999989</v>
      </c>
      <c r="O280" s="398">
        <f t="shared" si="50"/>
        <v>0</v>
      </c>
      <c r="P280" s="312">
        <f>VLOOKUP($B$187:$B$323,Acraft!$A$3:$R$139,5,FALSE)+Calc1!$C$168*VLOOKUP($B$187:$B$323,Acraft!$A$3:$R$139,12,FALSE)/1000</f>
        <v>120.02399999999999</v>
      </c>
      <c r="Q280" s="396">
        <f t="shared" si="51"/>
        <v>0</v>
      </c>
      <c r="R280" s="399">
        <f>VLOOKUP($B$187:$B$323,Acraft!$A$3:$Y$139,20,FALSE)*$Y280*Calc2!$C280/2/1000/1000</f>
        <v>0</v>
      </c>
      <c r="S280" s="400">
        <f>VLOOKUP($B$187:$B$323,Acraft!$A$3:$Y$139,21,FALSE)*$Y280*Calc2!$C280/2/1000/1000</f>
        <v>0</v>
      </c>
      <c r="T280" s="400">
        <f>VLOOKUP($B$187:$B$323,Acraft!$A$3:$Y$139,22,FALSE)*$Y280*Calc2!$C280/2/1000/1000</f>
        <v>0</v>
      </c>
      <c r="U280" s="400">
        <f>VLOOKUP($B$187:$B$323,Acraft!$A$3:$Y$139,23,FALSE)*$Y280*Calc2!$C280/2/1000/1000</f>
        <v>0</v>
      </c>
      <c r="V280" s="400">
        <f>VLOOKUP($B$187:$B$323,Acraft!$A$3:$Y$139,24,FALSE)*$Y280*Calc2!$C280/2/1000/1000</f>
        <v>0</v>
      </c>
      <c r="W280" s="398">
        <f>VLOOKUP($B$187:$B$323,Acraft!$A$3:$Y$139,25,FALSE)*$Y280*Calc2!$C280/2/1000/1000</f>
        <v>0</v>
      </c>
      <c r="X280" s="398">
        <f>VLOOKUP($B$187:$B$323,Acraft!$A$3:$Y$139,19,FALSE)*$Y280*Calc2!$C280/2</f>
        <v>0</v>
      </c>
      <c r="Y280" s="309">
        <f>IF(VLOOKUP($B$187:$B$323,Acraft!$A$3:$Y$139,19,FALSE)=4,Calc1!$C$173,IF(VLOOKUP($B$187:$B$323,Acraft!$A$3:$Y$139,19,FALSE)=1.77777777777778,Calc1!$C$172,0))</f>
        <v>15</v>
      </c>
      <c r="Z280" s="305"/>
    </row>
    <row r="281" spans="1:26" x14ac:dyDescent="0.2">
      <c r="A281" s="303"/>
      <c r="B281" s="309" t="s">
        <v>488</v>
      </c>
      <c r="C281" s="397">
        <f>Calc1!F159</f>
        <v>0</v>
      </c>
      <c r="D281" s="395">
        <f>VLOOKUP($B$187:$B$323,Acraft!$A$3:$R$139,6,FALSE)+Calc1!$C$168*VLOOKUP($B$187:$B$323,Acraft!$A$3:$R$139,13,FALSE)/1000</f>
        <v>46.839360000000006</v>
      </c>
      <c r="E281" s="398">
        <f t="shared" si="45"/>
        <v>0</v>
      </c>
      <c r="F281" s="312">
        <f>VLOOKUP($B$187:$B$323,Acraft!$A$3:$R$139,7,FALSE)+Calc1!$C$168*VLOOKUP($B$187:$B$323,Acraft!$A$3:$R$139,14,FALSE)/1000</f>
        <v>0.56564639999999999</v>
      </c>
      <c r="G281" s="312">
        <f t="shared" si="46"/>
        <v>0</v>
      </c>
      <c r="H281" s="312">
        <f>VLOOKUP($B$187:$B$323,Acraft!$A$3:$R$139,8,FALSE)+Calc1!$C$168*VLOOKUP($B$187:$B$323,Acraft!$A$3:$R$139,15,FALSE)/1000</f>
        <v>8.7857123999999995</v>
      </c>
      <c r="I281" s="312">
        <f t="shared" si="47"/>
        <v>0</v>
      </c>
      <c r="J281" s="312">
        <f>VLOOKUP($B$187:$B$323,Acraft!$A$3:$R$139,9,FALSE)+Calc1!$C$168*VLOOKUP($B$187:$B$323,Acraft!$A$3:$R$139,16,FALSE)/1000</f>
        <v>0.58698506342857959</v>
      </c>
      <c r="K281" s="312">
        <f t="shared" si="48"/>
        <v>0</v>
      </c>
      <c r="L281" s="312">
        <f>VLOOKUP($B$187:$B$323,Acraft!$A$3:$R$139,10,FALSE)+Calc1!$C$168*VLOOKUP($B$187:$B$323,Acraft!$A$3:$R$139,17,FALSE)/1000</f>
        <v>1.3353000000000002</v>
      </c>
      <c r="M281" s="312">
        <f t="shared" si="49"/>
        <v>0</v>
      </c>
      <c r="N281" s="312">
        <f>VLOOKUP($B$187:$B$323,Acraft!$A$3:$R$139,11,FALSE)+Calc1!$C$168*VLOOKUP($B$187:$B$323,Acraft!$A$3:$R$139,18,FALSE)/1000</f>
        <v>8412.39</v>
      </c>
      <c r="O281" s="398">
        <f t="shared" si="50"/>
        <v>0</v>
      </c>
      <c r="P281" s="312">
        <f>VLOOKUP($B$187:$B$323,Acraft!$A$3:$R$139,5,FALSE)+Calc1!$C$168*VLOOKUP($B$187:$B$323,Acraft!$A$3:$R$139,12,FALSE)/1000</f>
        <v>2670.6000000000004</v>
      </c>
      <c r="Q281" s="396">
        <f t="shared" si="51"/>
        <v>0</v>
      </c>
      <c r="R281" s="399">
        <f>VLOOKUP($B$187:$B$323,Acraft!$A$3:$Y$139,20,FALSE)*$Y281*Calc2!$C281/2/1000/1000</f>
        <v>0</v>
      </c>
      <c r="S281" s="400">
        <f>VLOOKUP($B$187:$B$323,Acraft!$A$3:$Y$139,21,FALSE)*$Y281*Calc2!$C281/2/1000/1000</f>
        <v>0</v>
      </c>
      <c r="T281" s="400">
        <f>VLOOKUP($B$187:$B$323,Acraft!$A$3:$Y$139,22,FALSE)*$Y281*Calc2!$C281/2/1000/1000</f>
        <v>0</v>
      </c>
      <c r="U281" s="400">
        <f>VLOOKUP($B$187:$B$323,Acraft!$A$3:$Y$139,23,FALSE)*$Y281*Calc2!$C281/2/1000/1000</f>
        <v>0</v>
      </c>
      <c r="V281" s="400">
        <f>VLOOKUP($B$187:$B$323,Acraft!$A$3:$Y$139,24,FALSE)*$Y281*Calc2!$C281/2/1000/1000</f>
        <v>0</v>
      </c>
      <c r="W281" s="398">
        <f>VLOOKUP($B$187:$B$323,Acraft!$A$3:$Y$139,25,FALSE)*$Y281*Calc2!$C281/2/1000/1000</f>
        <v>0</v>
      </c>
      <c r="X281" s="398">
        <f>VLOOKUP($B$187:$B$323,Acraft!$A$3:$Y$139,19,FALSE)*$Y281*Calc2!$C281/2</f>
        <v>0</v>
      </c>
      <c r="Y281" s="309">
        <f>IF(VLOOKUP($B$187:$B$323,Acraft!$A$3:$Y$139,19,FALSE)=4,Calc1!$C$173,IF(VLOOKUP($B$187:$B$323,Acraft!$A$3:$Y$139,19,FALSE)=1.77777777777778,Calc1!$C$172,0))</f>
        <v>45</v>
      </c>
      <c r="Z281" s="305"/>
    </row>
    <row r="282" spans="1:26" x14ac:dyDescent="0.2">
      <c r="A282" s="303"/>
      <c r="B282" s="309" t="s">
        <v>3</v>
      </c>
      <c r="C282" s="397">
        <f>Calc1!F160</f>
        <v>0</v>
      </c>
      <c r="D282" s="395">
        <f>VLOOKUP($B$187:$B$323,Acraft!$A$3:$R$139,6,FALSE)+Calc1!$C$168*VLOOKUP($B$187:$B$323,Acraft!$A$3:$R$139,13,FALSE)/1000</f>
        <v>0.58101120000000006</v>
      </c>
      <c r="E282" s="398">
        <f t="shared" si="45"/>
        <v>0</v>
      </c>
      <c r="F282" s="312">
        <f>VLOOKUP($B$187:$B$323,Acraft!$A$3:$R$139,7,FALSE)+Calc1!$C$168*VLOOKUP($B$187:$B$323,Acraft!$A$3:$R$139,14,FALSE)/1000</f>
        <v>1.61556144</v>
      </c>
      <c r="G282" s="312">
        <f t="shared" si="46"/>
        <v>0</v>
      </c>
      <c r="H282" s="312">
        <f>VLOOKUP($B$187:$B$323,Acraft!$A$3:$R$139,8,FALSE)+Calc1!$C$168*VLOOKUP($B$187:$B$323,Acraft!$A$3:$R$139,15,FALSE)/1000</f>
        <v>4.8793813200000002</v>
      </c>
      <c r="I282" s="312">
        <f t="shared" si="47"/>
        <v>0</v>
      </c>
      <c r="J282" s="312">
        <f>VLOOKUP($B$187:$B$323,Acraft!$A$3:$R$139,9,FALSE)+Calc1!$C$168*VLOOKUP($B$187:$B$323,Acraft!$A$3:$R$139,16,FALSE)/1000</f>
        <v>2.4074920000000003E-2</v>
      </c>
      <c r="K282" s="312">
        <f t="shared" si="48"/>
        <v>0</v>
      </c>
      <c r="L282" s="312">
        <f>VLOOKUP($B$187:$B$323,Acraft!$A$3:$R$139,10,FALSE)+Calc1!$C$168*VLOOKUP($B$187:$B$323,Acraft!$A$3:$R$139,17,FALSE)/1000</f>
        <v>5.5421999999999999E-2</v>
      </c>
      <c r="M282" s="312">
        <f t="shared" si="49"/>
        <v>0</v>
      </c>
      <c r="N282" s="312">
        <f>VLOOKUP($B$187:$B$323,Acraft!$A$3:$R$139,11,FALSE)+Calc1!$C$168*VLOOKUP($B$187:$B$323,Acraft!$A$3:$R$139,18,FALSE)/1000</f>
        <v>349.15860000000004</v>
      </c>
      <c r="O282" s="398">
        <f t="shared" si="50"/>
        <v>0</v>
      </c>
      <c r="P282" s="312">
        <f>VLOOKUP($B$187:$B$323,Acraft!$A$3:$R$139,5,FALSE)+Calc1!$C$168*VLOOKUP($B$187:$B$323,Acraft!$A$3:$R$139,12,FALSE)/1000</f>
        <v>110.84399999999999</v>
      </c>
      <c r="Q282" s="396">
        <f t="shared" si="51"/>
        <v>0</v>
      </c>
      <c r="R282" s="399">
        <f>VLOOKUP($B$187:$B$323,Acraft!$A$3:$Y$139,20,FALSE)*$Y282*Calc2!$C282/2/1000/1000</f>
        <v>0</v>
      </c>
      <c r="S282" s="400">
        <f>VLOOKUP($B$187:$B$323,Acraft!$A$3:$Y$139,21,FALSE)*$Y282*Calc2!$C282/2/1000/1000</f>
        <v>0</v>
      </c>
      <c r="T282" s="400">
        <f>VLOOKUP($B$187:$B$323,Acraft!$A$3:$Y$139,22,FALSE)*$Y282*Calc2!$C282/2/1000/1000</f>
        <v>0</v>
      </c>
      <c r="U282" s="400">
        <f>VLOOKUP($B$187:$B$323,Acraft!$A$3:$Y$139,23,FALSE)*$Y282*Calc2!$C282/2/1000/1000</f>
        <v>0</v>
      </c>
      <c r="V282" s="400">
        <f>VLOOKUP($B$187:$B$323,Acraft!$A$3:$Y$139,24,FALSE)*$Y282*Calc2!$C282/2/1000/1000</f>
        <v>0</v>
      </c>
      <c r="W282" s="398">
        <f>VLOOKUP($B$187:$B$323,Acraft!$A$3:$Y$139,25,FALSE)*$Y282*Calc2!$C282/2/1000/1000</f>
        <v>0</v>
      </c>
      <c r="X282" s="398">
        <f>VLOOKUP($B$187:$B$323,Acraft!$A$3:$Y$139,19,FALSE)*$Y282*Calc2!$C282/2</f>
        <v>0</v>
      </c>
      <c r="Y282" s="309">
        <f>IF(VLOOKUP($B$187:$B$323,Acraft!$A$3:$Y$139,19,FALSE)=4,Calc1!$C$173,IF(VLOOKUP($B$187:$B$323,Acraft!$A$3:$Y$139,19,FALSE)=1.77777777777778,Calc1!$C$172,0))</f>
        <v>15</v>
      </c>
      <c r="Z282" s="305"/>
    </row>
    <row r="283" spans="1:26" x14ac:dyDescent="0.2">
      <c r="A283" s="303"/>
      <c r="B283" s="309" t="s">
        <v>4</v>
      </c>
      <c r="C283" s="397">
        <f>Calc1!F161</f>
        <v>0</v>
      </c>
      <c r="D283" s="395">
        <f>VLOOKUP($B$187:$B$323,Acraft!$A$3:$R$139,6,FALSE)+Calc1!$C$168*VLOOKUP($B$187:$B$323,Acraft!$A$3:$R$139,13,FALSE)/1000</f>
        <v>0.98726568000000015</v>
      </c>
      <c r="E283" s="398">
        <f t="shared" ref="E283:E313" si="52">$C283*D283/2/1000</f>
        <v>0</v>
      </c>
      <c r="F283" s="312">
        <f>VLOOKUP($B$187:$B$323,Acraft!$A$3:$R$139,7,FALSE)+Calc1!$C$168*VLOOKUP($B$187:$B$323,Acraft!$A$3:$R$139,14,FALSE)/1000</f>
        <v>0.57858744000000006</v>
      </c>
      <c r="G283" s="312">
        <f t="shared" ref="G283:G313" si="53">$C283*F283/2/1000</f>
        <v>0</v>
      </c>
      <c r="H283" s="312">
        <f>VLOOKUP($B$187:$B$323,Acraft!$A$3:$R$139,8,FALSE)+Calc1!$C$168*VLOOKUP($B$187:$B$323,Acraft!$A$3:$R$139,15,FALSE)/1000</f>
        <v>5.2264572000000022</v>
      </c>
      <c r="I283" s="312">
        <f t="shared" ref="I283:I313" si="54">$C283*H283/2/1000</f>
        <v>0</v>
      </c>
      <c r="J283" s="312">
        <f>VLOOKUP($B$187:$B$323,Acraft!$A$3:$R$139,9,FALSE)+Calc1!$C$168*VLOOKUP($B$187:$B$323,Acraft!$A$3:$R$139,16,FALSE)/1000</f>
        <v>3.2481320000000001E-2</v>
      </c>
      <c r="K283" s="312">
        <f t="shared" ref="K283:K313" si="55">$C283*J283/2/1000</f>
        <v>0</v>
      </c>
      <c r="L283" s="312">
        <f>VLOOKUP($B$187:$B$323,Acraft!$A$3:$R$139,10,FALSE)+Calc1!$C$168*VLOOKUP($B$187:$B$323,Acraft!$A$3:$R$139,17,FALSE)/1000</f>
        <v>7.5563999999999992E-2</v>
      </c>
      <c r="M283" s="312">
        <f t="shared" ref="M283:M313" si="56">$C283*L283/2/1000</f>
        <v>0</v>
      </c>
      <c r="N283" s="312">
        <f>VLOOKUP($B$187:$B$323,Acraft!$A$3:$R$139,11,FALSE)+Calc1!$C$168*VLOOKUP($B$187:$B$323,Acraft!$A$3:$R$139,18,FALSE)/1000</f>
        <v>476.0532</v>
      </c>
      <c r="O283" s="398">
        <f t="shared" ref="O283:O313" si="57">$C283*N283/2/1000</f>
        <v>0</v>
      </c>
      <c r="P283" s="312">
        <f>VLOOKUP($B$187:$B$323,Acraft!$A$3:$R$139,5,FALSE)+Calc1!$C$168*VLOOKUP($B$187:$B$323,Acraft!$A$3:$R$139,12,FALSE)/1000</f>
        <v>151.12799999999999</v>
      </c>
      <c r="Q283" s="396">
        <f t="shared" ref="Q283:Q314" si="58">$C283*P283/2</f>
        <v>0</v>
      </c>
      <c r="R283" s="399">
        <f>VLOOKUP($B$187:$B$323,Acraft!$A$3:$Y$139,20,FALSE)*$Y283*Calc2!$C283/2/1000/1000</f>
        <v>0</v>
      </c>
      <c r="S283" s="400">
        <f>VLOOKUP($B$187:$B$323,Acraft!$A$3:$Y$139,21,FALSE)*$Y283*Calc2!$C283/2/1000/1000</f>
        <v>0</v>
      </c>
      <c r="T283" s="400">
        <f>VLOOKUP($B$187:$B$323,Acraft!$A$3:$Y$139,22,FALSE)*$Y283*Calc2!$C283/2/1000/1000</f>
        <v>0</v>
      </c>
      <c r="U283" s="400">
        <f>VLOOKUP($B$187:$B$323,Acraft!$A$3:$Y$139,23,FALSE)*$Y283*Calc2!$C283/2/1000/1000</f>
        <v>0</v>
      </c>
      <c r="V283" s="400">
        <f>VLOOKUP($B$187:$B$323,Acraft!$A$3:$Y$139,24,FALSE)*$Y283*Calc2!$C283/2/1000/1000</f>
        <v>0</v>
      </c>
      <c r="W283" s="398">
        <f>VLOOKUP($B$187:$B$323,Acraft!$A$3:$Y$139,25,FALSE)*$Y283*Calc2!$C283/2/1000/1000</f>
        <v>0</v>
      </c>
      <c r="X283" s="398">
        <f>VLOOKUP($B$187:$B$323,Acraft!$A$3:$Y$139,19,FALSE)*$Y283*Calc2!$C283/2</f>
        <v>0</v>
      </c>
      <c r="Y283" s="309">
        <f>IF(VLOOKUP($B$187:$B$323,Acraft!$A$3:$Y$139,19,FALSE)=4,Calc1!$C$173,IF(VLOOKUP($B$187:$B$323,Acraft!$A$3:$Y$139,19,FALSE)=1.77777777777778,Calc1!$C$172,0))</f>
        <v>15</v>
      </c>
      <c r="Z283" s="305"/>
    </row>
    <row r="284" spans="1:26" x14ac:dyDescent="0.2">
      <c r="A284" s="303"/>
      <c r="B284" s="309" t="s">
        <v>495</v>
      </c>
      <c r="C284" s="397">
        <f>Calc1!F162</f>
        <v>0</v>
      </c>
      <c r="D284" s="395">
        <f>VLOOKUP($B$187:$B$323,Acraft!$A$3:$R$139,6,FALSE)+Calc1!$C$168*VLOOKUP($B$187:$B$323,Acraft!$A$3:$R$139,13,FALSE)/1000</f>
        <v>0.28551960000000004</v>
      </c>
      <c r="E284" s="398">
        <f t="shared" si="52"/>
        <v>0</v>
      </c>
      <c r="F284" s="312">
        <f>VLOOKUP($B$187:$B$323,Acraft!$A$3:$R$139,7,FALSE)+Calc1!$C$168*VLOOKUP($B$187:$B$323,Acraft!$A$3:$R$139,14,FALSE)/1000</f>
        <v>1.2306408000000002</v>
      </c>
      <c r="G284" s="312">
        <f t="shared" si="53"/>
        <v>0</v>
      </c>
      <c r="H284" s="312">
        <f>VLOOKUP($B$187:$B$323,Acraft!$A$3:$R$139,8,FALSE)+Calc1!$C$168*VLOOKUP($B$187:$B$323,Acraft!$A$3:$R$139,15,FALSE)/1000</f>
        <v>2.1860772000000002</v>
      </c>
      <c r="I284" s="312">
        <f t="shared" si="54"/>
        <v>0</v>
      </c>
      <c r="J284" s="312">
        <f>VLOOKUP($B$187:$B$323,Acraft!$A$3:$R$139,9,FALSE)+Calc1!$C$168*VLOOKUP($B$187:$B$323,Acraft!$A$3:$R$139,16,FALSE)/1000</f>
        <v>4.5445200000000007E-3</v>
      </c>
      <c r="K284" s="312">
        <f t="shared" si="55"/>
        <v>0</v>
      </c>
      <c r="L284" s="312">
        <f>VLOOKUP($B$187:$B$323,Acraft!$A$3:$R$139,10,FALSE)+Calc1!$C$168*VLOOKUP($B$187:$B$323,Acraft!$A$3:$R$139,17,FALSE)/1000</f>
        <v>3.4950000000000002E-2</v>
      </c>
      <c r="M284" s="312">
        <f t="shared" si="56"/>
        <v>0</v>
      </c>
      <c r="N284" s="312">
        <f>VLOOKUP($B$187:$B$323,Acraft!$A$3:$R$139,11,FALSE)+Calc1!$C$168*VLOOKUP($B$187:$B$323,Acraft!$A$3:$R$139,18,FALSE)/1000</f>
        <v>220.185</v>
      </c>
      <c r="O284" s="398">
        <f t="shared" si="57"/>
        <v>0</v>
      </c>
      <c r="P284" s="312">
        <f>VLOOKUP($B$187:$B$323,Acraft!$A$3:$R$139,5,FALSE)+Calc1!$C$168*VLOOKUP($B$187:$B$323,Acraft!$A$3:$R$139,12,FALSE)/1000</f>
        <v>69.900000000000006</v>
      </c>
      <c r="Q284" s="396">
        <f t="shared" si="58"/>
        <v>0</v>
      </c>
      <c r="R284" s="399">
        <f>VLOOKUP($B$187:$B$323,Acraft!$A$3:$Y$139,20,FALSE)*$Y284*Calc2!$C284/2/1000/1000</f>
        <v>0</v>
      </c>
      <c r="S284" s="400">
        <f>VLOOKUP($B$187:$B$323,Acraft!$A$3:$Y$139,21,FALSE)*$Y284*Calc2!$C284/2/1000/1000</f>
        <v>0</v>
      </c>
      <c r="T284" s="400">
        <f>VLOOKUP($B$187:$B$323,Acraft!$A$3:$Y$139,22,FALSE)*$Y284*Calc2!$C284/2/1000/1000</f>
        <v>0</v>
      </c>
      <c r="U284" s="400">
        <f>VLOOKUP($B$187:$B$323,Acraft!$A$3:$Y$139,23,FALSE)*$Y284*Calc2!$C284/2/1000/1000</f>
        <v>0</v>
      </c>
      <c r="V284" s="400">
        <f>VLOOKUP($B$187:$B$323,Acraft!$A$3:$Y$139,24,FALSE)*$Y284*Calc2!$C284/2/1000/1000</f>
        <v>0</v>
      </c>
      <c r="W284" s="398">
        <f>VLOOKUP($B$187:$B$323,Acraft!$A$3:$Y$139,25,FALSE)*$Y284*Calc2!$C284/2/1000/1000</f>
        <v>0</v>
      </c>
      <c r="X284" s="398">
        <f>VLOOKUP($B$187:$B$323,Acraft!$A$3:$Y$139,19,FALSE)*$Y284*Calc2!$C284/2</f>
        <v>0</v>
      </c>
      <c r="Y284" s="309">
        <f>IF(VLOOKUP($B$187:$B$323,Acraft!$A$3:$Y$139,19,FALSE)=4,Calc1!$C$173,IF(VLOOKUP($B$187:$B$323,Acraft!$A$3:$Y$139,19,FALSE)=1.77777777777778,Calc1!$C$172,0))</f>
        <v>0</v>
      </c>
      <c r="Z284" s="305"/>
    </row>
    <row r="285" spans="1:26" x14ac:dyDescent="0.2">
      <c r="A285" s="303"/>
      <c r="B285" s="309" t="s">
        <v>497</v>
      </c>
      <c r="C285" s="397">
        <f>Calc1!F163</f>
        <v>0</v>
      </c>
      <c r="D285" s="395">
        <f>VLOOKUP($B$187:$B$323,Acraft!$A$3:$R$139,6,FALSE)+Calc1!$C$168*VLOOKUP($B$187:$B$323,Acraft!$A$3:$R$139,13,FALSE)/1000</f>
        <v>0.25393199999999999</v>
      </c>
      <c r="E285" s="398">
        <f t="shared" si="52"/>
        <v>0</v>
      </c>
      <c r="F285" s="312">
        <f>VLOOKUP($B$187:$B$323,Acraft!$A$3:$R$139,7,FALSE)+Calc1!$C$168*VLOOKUP($B$187:$B$323,Acraft!$A$3:$R$139,14,FALSE)/1000</f>
        <v>1.6257048000000001</v>
      </c>
      <c r="G285" s="312">
        <f t="shared" si="53"/>
        <v>0</v>
      </c>
      <c r="H285" s="312">
        <f>VLOOKUP($B$187:$B$323,Acraft!$A$3:$R$139,8,FALSE)+Calc1!$C$168*VLOOKUP($B$187:$B$323,Acraft!$A$3:$R$139,15,FALSE)/1000</f>
        <v>2.4922104000000003</v>
      </c>
      <c r="I285" s="312">
        <f t="shared" si="54"/>
        <v>0</v>
      </c>
      <c r="J285" s="312">
        <f>VLOOKUP($B$187:$B$323,Acraft!$A$3:$R$139,9,FALSE)+Calc1!$C$168*VLOOKUP($B$187:$B$323,Acraft!$A$3:$R$139,16,FALSE)/1000</f>
        <v>3.9098520000000001E-3</v>
      </c>
      <c r="K285" s="312">
        <f t="shared" si="55"/>
        <v>0</v>
      </c>
      <c r="L285" s="312">
        <f>VLOOKUP($B$187:$B$323,Acraft!$A$3:$R$139,10,FALSE)+Calc1!$C$168*VLOOKUP($B$187:$B$323,Acraft!$A$3:$R$139,17,FALSE)/1000</f>
        <v>3.0221999999999999E-2</v>
      </c>
      <c r="M285" s="312">
        <f t="shared" si="56"/>
        <v>0</v>
      </c>
      <c r="N285" s="312">
        <f>VLOOKUP($B$187:$B$323,Acraft!$A$3:$R$139,11,FALSE)+Calc1!$C$168*VLOOKUP($B$187:$B$323,Acraft!$A$3:$R$139,18,FALSE)/1000</f>
        <v>190.39859999999999</v>
      </c>
      <c r="O285" s="398">
        <f t="shared" si="57"/>
        <v>0</v>
      </c>
      <c r="P285" s="312">
        <f>VLOOKUP($B$187:$B$323,Acraft!$A$3:$R$139,5,FALSE)+Calc1!$C$168*VLOOKUP($B$187:$B$323,Acraft!$A$3:$R$139,12,FALSE)/1000</f>
        <v>60.443999999999996</v>
      </c>
      <c r="Q285" s="396">
        <f t="shared" si="58"/>
        <v>0</v>
      </c>
      <c r="R285" s="399">
        <f>VLOOKUP($B$187:$B$323,Acraft!$A$3:$Y$139,20,FALSE)*$Y285*Calc2!$C285/2/1000/1000</f>
        <v>0</v>
      </c>
      <c r="S285" s="400">
        <f>VLOOKUP($B$187:$B$323,Acraft!$A$3:$Y$139,21,FALSE)*$Y285*Calc2!$C285/2/1000/1000</f>
        <v>0</v>
      </c>
      <c r="T285" s="400">
        <f>VLOOKUP($B$187:$B$323,Acraft!$A$3:$Y$139,22,FALSE)*$Y285*Calc2!$C285/2/1000/1000</f>
        <v>0</v>
      </c>
      <c r="U285" s="400">
        <f>VLOOKUP($B$187:$B$323,Acraft!$A$3:$Y$139,23,FALSE)*$Y285*Calc2!$C285/2/1000/1000</f>
        <v>0</v>
      </c>
      <c r="V285" s="400">
        <f>VLOOKUP($B$187:$B$323,Acraft!$A$3:$Y$139,24,FALSE)*$Y285*Calc2!$C285/2/1000/1000</f>
        <v>0</v>
      </c>
      <c r="W285" s="398">
        <f>VLOOKUP($B$187:$B$323,Acraft!$A$3:$Y$139,25,FALSE)*$Y285*Calc2!$C285/2/1000/1000</f>
        <v>0</v>
      </c>
      <c r="X285" s="398">
        <f>VLOOKUP($B$187:$B$323,Acraft!$A$3:$Y$139,19,FALSE)*$Y285*Calc2!$C285/2</f>
        <v>0</v>
      </c>
      <c r="Y285" s="309">
        <f>IF(VLOOKUP($B$187:$B$323,Acraft!$A$3:$Y$139,19,FALSE)=4,Calc1!$C$173,IF(VLOOKUP($B$187:$B$323,Acraft!$A$3:$Y$139,19,FALSE)=1.77777777777778,Calc1!$C$172,0))</f>
        <v>0</v>
      </c>
      <c r="Z285" s="305"/>
    </row>
    <row r="286" spans="1:26" x14ac:dyDescent="0.2">
      <c r="A286" s="303"/>
      <c r="B286" s="309" t="s">
        <v>499</v>
      </c>
      <c r="C286" s="397">
        <f>Calc1!F164</f>
        <v>0</v>
      </c>
      <c r="D286" s="395">
        <f>VLOOKUP($B$187:$B$323,Acraft!$A$3:$R$139,6,FALSE)+Calc1!$C$168*VLOOKUP($B$187:$B$323,Acraft!$A$3:$R$139,13,FALSE)/1000</f>
        <v>42.479625599999991</v>
      </c>
      <c r="E286" s="398">
        <f t="shared" si="52"/>
        <v>0</v>
      </c>
      <c r="F286" s="312">
        <f>VLOOKUP($B$187:$B$323,Acraft!$A$3:$R$139,7,FALSE)+Calc1!$C$168*VLOOKUP($B$187:$B$323,Acraft!$A$3:$R$139,14,FALSE)/1000</f>
        <v>1.8473831999999999</v>
      </c>
      <c r="G286" s="312">
        <f t="shared" si="53"/>
        <v>0</v>
      </c>
      <c r="H286" s="312">
        <f>VLOOKUP($B$187:$B$323,Acraft!$A$3:$R$139,8,FALSE)+Calc1!$C$168*VLOOKUP($B$187:$B$323,Acraft!$A$3:$R$139,15,FALSE)/1000</f>
        <v>22.480312140000002</v>
      </c>
      <c r="I286" s="312">
        <f t="shared" si="54"/>
        <v>0</v>
      </c>
      <c r="J286" s="312">
        <f>VLOOKUP($B$187:$B$323,Acraft!$A$3:$R$139,9,FALSE)+Calc1!$C$168*VLOOKUP($B$187:$B$323,Acraft!$A$3:$R$139,16,FALSE)/1000</f>
        <v>0.15365018315402029</v>
      </c>
      <c r="K286" s="312">
        <f t="shared" si="55"/>
        <v>0</v>
      </c>
      <c r="L286" s="312">
        <f>VLOOKUP($B$187:$B$323,Acraft!$A$3:$R$139,10,FALSE)+Calc1!$C$168*VLOOKUP($B$187:$B$323,Acraft!$A$3:$R$139,17,FALSE)/1000</f>
        <v>1.3502609999999997</v>
      </c>
      <c r="M286" s="312">
        <f t="shared" si="56"/>
        <v>0</v>
      </c>
      <c r="N286" s="312">
        <f>VLOOKUP($B$187:$B$323,Acraft!$A$3:$R$139,11,FALSE)+Calc1!$C$168*VLOOKUP($B$187:$B$323,Acraft!$A$3:$R$139,18,FALSE)/1000</f>
        <v>8506.6442999999981</v>
      </c>
      <c r="O286" s="398">
        <f t="shared" si="57"/>
        <v>0</v>
      </c>
      <c r="P286" s="312">
        <f>VLOOKUP($B$187:$B$323,Acraft!$A$3:$R$139,5,FALSE)+Calc1!$C$168*VLOOKUP($B$187:$B$323,Acraft!$A$3:$R$139,12,FALSE)/1000</f>
        <v>2700.5219999999999</v>
      </c>
      <c r="Q286" s="396">
        <f t="shared" si="58"/>
        <v>0</v>
      </c>
      <c r="R286" s="399">
        <f>VLOOKUP($B$187:$B$323,Acraft!$A$3:$Y$139,20,FALSE)*$Y286*Calc2!$C286/2/1000/1000</f>
        <v>0</v>
      </c>
      <c r="S286" s="400">
        <f>VLOOKUP($B$187:$B$323,Acraft!$A$3:$Y$139,21,FALSE)*$Y286*Calc2!$C286/2/1000/1000</f>
        <v>0</v>
      </c>
      <c r="T286" s="400">
        <f>VLOOKUP($B$187:$B$323,Acraft!$A$3:$Y$139,22,FALSE)*$Y286*Calc2!$C286/2/1000/1000</f>
        <v>0</v>
      </c>
      <c r="U286" s="400">
        <f>VLOOKUP($B$187:$B$323,Acraft!$A$3:$Y$139,23,FALSE)*$Y286*Calc2!$C286/2/1000/1000</f>
        <v>0</v>
      </c>
      <c r="V286" s="400">
        <f>VLOOKUP($B$187:$B$323,Acraft!$A$3:$Y$139,24,FALSE)*$Y286*Calc2!$C286/2/1000/1000</f>
        <v>0</v>
      </c>
      <c r="W286" s="398">
        <f>VLOOKUP($B$187:$B$323,Acraft!$A$3:$Y$139,25,FALSE)*$Y286*Calc2!$C286/2/1000/1000</f>
        <v>0</v>
      </c>
      <c r="X286" s="398">
        <f>VLOOKUP($B$187:$B$323,Acraft!$A$3:$Y$139,19,FALSE)*$Y286*Calc2!$C286/2</f>
        <v>0</v>
      </c>
      <c r="Y286" s="309">
        <f>IF(VLOOKUP($B$187:$B$323,Acraft!$A$3:$Y$139,19,FALSE)=4,Calc1!$C$173,IF(VLOOKUP($B$187:$B$323,Acraft!$A$3:$Y$139,19,FALSE)=1.77777777777778,Calc1!$C$172,0))</f>
        <v>45</v>
      </c>
      <c r="Z286" s="305"/>
    </row>
    <row r="287" spans="1:26" x14ac:dyDescent="0.2">
      <c r="A287" s="303"/>
      <c r="B287" s="309" t="s">
        <v>502</v>
      </c>
      <c r="C287" s="397">
        <f>Calc1!I115</f>
        <v>0</v>
      </c>
      <c r="D287" s="395">
        <f>VLOOKUP($B$187:$B$323,Acraft!$A$3:$R$139,6,FALSE)+Calc1!$C$168*VLOOKUP($B$187:$B$323,Acraft!$A$3:$R$139,13,FALSE)/1000</f>
        <v>9.2750584799999984</v>
      </c>
      <c r="E287" s="398">
        <f t="shared" si="52"/>
        <v>0</v>
      </c>
      <c r="F287" s="312">
        <f>VLOOKUP($B$187:$B$323,Acraft!$A$3:$R$139,7,FALSE)+Calc1!$C$168*VLOOKUP($B$187:$B$323,Acraft!$A$3:$R$139,14,FALSE)/1000</f>
        <v>0</v>
      </c>
      <c r="G287" s="312">
        <f t="shared" si="53"/>
        <v>0</v>
      </c>
      <c r="H287" s="312">
        <f>VLOOKUP($B$187:$B$323,Acraft!$A$3:$R$139,8,FALSE)+Calc1!$C$168*VLOOKUP($B$187:$B$323,Acraft!$A$3:$R$139,15,FALSE)/1000</f>
        <v>8.3191012799999999</v>
      </c>
      <c r="I287" s="312">
        <f t="shared" si="54"/>
        <v>0</v>
      </c>
      <c r="J287" s="312">
        <f>VLOOKUP($B$187:$B$323,Acraft!$A$3:$R$139,9,FALSE)+Calc1!$C$168*VLOOKUP($B$187:$B$323,Acraft!$A$3:$R$139,16,FALSE)/1000</f>
        <v>5.2605441304603595E-2</v>
      </c>
      <c r="K287" s="312">
        <f t="shared" si="55"/>
        <v>0</v>
      </c>
      <c r="L287" s="312">
        <f>VLOOKUP($B$187:$B$323,Acraft!$A$3:$R$139,10,FALSE)+Calc1!$C$168*VLOOKUP($B$187:$B$323,Acraft!$A$3:$R$139,17,FALSE)/1000</f>
        <v>0.50942399999999999</v>
      </c>
      <c r="M287" s="312">
        <f t="shared" si="56"/>
        <v>0</v>
      </c>
      <c r="N287" s="312">
        <f>VLOOKUP($B$187:$B$323,Acraft!$A$3:$R$139,11,FALSE)+Calc1!$C$168*VLOOKUP($B$187:$B$323,Acraft!$A$3:$R$139,18,FALSE)/1000</f>
        <v>3209.3712</v>
      </c>
      <c r="O287" s="398">
        <f t="shared" si="57"/>
        <v>0</v>
      </c>
      <c r="P287" s="312">
        <f>VLOOKUP($B$187:$B$323,Acraft!$A$3:$R$139,5,FALSE)+Calc1!$C$168*VLOOKUP($B$187:$B$323,Acraft!$A$3:$R$139,12,FALSE)/1000</f>
        <v>1018.848</v>
      </c>
      <c r="Q287" s="396">
        <f t="shared" si="58"/>
        <v>0</v>
      </c>
      <c r="R287" s="399">
        <f>VLOOKUP($B$187:$B$323,Acraft!$A$3:$Y$139,20,FALSE)*$Y287*Calc2!$C287/2/1000/1000</f>
        <v>0</v>
      </c>
      <c r="S287" s="400">
        <f>VLOOKUP($B$187:$B$323,Acraft!$A$3:$Y$139,21,FALSE)*$Y287*Calc2!$C287/2/1000/1000</f>
        <v>0</v>
      </c>
      <c r="T287" s="400">
        <f>VLOOKUP($B$187:$B$323,Acraft!$A$3:$Y$139,22,FALSE)*$Y287*Calc2!$C287/2/1000/1000</f>
        <v>0</v>
      </c>
      <c r="U287" s="400">
        <f>VLOOKUP($B$187:$B$323,Acraft!$A$3:$Y$139,23,FALSE)*$Y287*Calc2!$C287/2/1000/1000</f>
        <v>0</v>
      </c>
      <c r="V287" s="400">
        <f>VLOOKUP($B$187:$B$323,Acraft!$A$3:$Y$139,24,FALSE)*$Y287*Calc2!$C287/2/1000/1000</f>
        <v>0</v>
      </c>
      <c r="W287" s="398">
        <f>VLOOKUP($B$187:$B$323,Acraft!$A$3:$Y$139,25,FALSE)*$Y287*Calc2!$C287/2/1000/1000</f>
        <v>0</v>
      </c>
      <c r="X287" s="398">
        <f>VLOOKUP($B$187:$B$323,Acraft!$A$3:$Y$139,19,FALSE)*$Y287*Calc2!$C287/2</f>
        <v>0</v>
      </c>
      <c r="Y287" s="309">
        <f>IF(VLOOKUP($B$187:$B$323,Acraft!$A$3:$Y$139,19,FALSE)=4,Calc1!$C$173,IF(VLOOKUP($B$187:$B$323,Acraft!$A$3:$Y$139,19,FALSE)=1.77777777777778,Calc1!$C$172,0))</f>
        <v>15</v>
      </c>
      <c r="Z287" s="305"/>
    </row>
    <row r="288" spans="1:26" x14ac:dyDescent="0.2">
      <c r="A288" s="303"/>
      <c r="B288" s="309" t="s">
        <v>505</v>
      </c>
      <c r="C288" s="397">
        <f>Calc1!I116</f>
        <v>0</v>
      </c>
      <c r="D288" s="395">
        <f>VLOOKUP($B$187:$B$323,Acraft!$A$3:$R$139,6,FALSE)+Calc1!$C$168*VLOOKUP($B$187:$B$323,Acraft!$A$3:$R$139,13,FALSE)/1000</f>
        <v>10.836665999999999</v>
      </c>
      <c r="E288" s="398">
        <f t="shared" si="52"/>
        <v>0</v>
      </c>
      <c r="F288" s="312">
        <f>VLOOKUP($B$187:$B$323,Acraft!$A$3:$R$139,7,FALSE)+Calc1!$C$168*VLOOKUP($B$187:$B$323,Acraft!$A$3:$R$139,14,FALSE)/1000</f>
        <v>6.6037572000000003E-2</v>
      </c>
      <c r="G288" s="312">
        <f t="shared" si="53"/>
        <v>0</v>
      </c>
      <c r="H288" s="312">
        <f>VLOOKUP($B$187:$B$323,Acraft!$A$3:$R$139,8,FALSE)+Calc1!$C$168*VLOOKUP($B$187:$B$323,Acraft!$A$3:$R$139,15,FALSE)/1000</f>
        <v>5.7195003599999996</v>
      </c>
      <c r="I288" s="312">
        <f t="shared" si="54"/>
        <v>0</v>
      </c>
      <c r="J288" s="312">
        <f>VLOOKUP($B$187:$B$323,Acraft!$A$3:$R$139,9,FALSE)+Calc1!$C$168*VLOOKUP($B$187:$B$323,Acraft!$A$3:$R$139,16,FALSE)/1000</f>
        <v>0.12679442133298549</v>
      </c>
      <c r="K288" s="312">
        <f t="shared" si="55"/>
        <v>0</v>
      </c>
      <c r="L288" s="312">
        <f>VLOOKUP($B$187:$B$323,Acraft!$A$3:$R$139,10,FALSE)+Calc1!$C$168*VLOOKUP($B$187:$B$323,Acraft!$A$3:$R$139,17,FALSE)/1000</f>
        <v>0.44430599999999998</v>
      </c>
      <c r="M288" s="312">
        <f t="shared" si="56"/>
        <v>0</v>
      </c>
      <c r="N288" s="312">
        <f>VLOOKUP($B$187:$B$323,Acraft!$A$3:$R$139,11,FALSE)+Calc1!$C$168*VLOOKUP($B$187:$B$323,Acraft!$A$3:$R$139,18,FALSE)/1000</f>
        <v>2799.1278000000002</v>
      </c>
      <c r="O288" s="398">
        <f t="shared" si="57"/>
        <v>0</v>
      </c>
      <c r="P288" s="312">
        <f>VLOOKUP($B$187:$B$323,Acraft!$A$3:$R$139,5,FALSE)+Calc1!$C$168*VLOOKUP($B$187:$B$323,Acraft!$A$3:$R$139,12,FALSE)/1000</f>
        <v>888.61200000000008</v>
      </c>
      <c r="Q288" s="396">
        <f t="shared" si="58"/>
        <v>0</v>
      </c>
      <c r="R288" s="399">
        <f>VLOOKUP($B$187:$B$323,Acraft!$A$3:$Y$139,20,FALSE)*$Y288*Calc2!$C288/2/1000/1000</f>
        <v>0</v>
      </c>
      <c r="S288" s="400">
        <f>VLOOKUP($B$187:$B$323,Acraft!$A$3:$Y$139,21,FALSE)*$Y288*Calc2!$C288/2/1000/1000</f>
        <v>0</v>
      </c>
      <c r="T288" s="400">
        <f>VLOOKUP($B$187:$B$323,Acraft!$A$3:$Y$139,22,FALSE)*$Y288*Calc2!$C288/2/1000/1000</f>
        <v>0</v>
      </c>
      <c r="U288" s="400">
        <f>VLOOKUP($B$187:$B$323,Acraft!$A$3:$Y$139,23,FALSE)*$Y288*Calc2!$C288/2/1000/1000</f>
        <v>0</v>
      </c>
      <c r="V288" s="400">
        <f>VLOOKUP($B$187:$B$323,Acraft!$A$3:$Y$139,24,FALSE)*$Y288*Calc2!$C288/2/1000/1000</f>
        <v>0</v>
      </c>
      <c r="W288" s="398">
        <f>VLOOKUP($B$187:$B$323,Acraft!$A$3:$Y$139,25,FALSE)*$Y288*Calc2!$C288/2/1000/1000</f>
        <v>0</v>
      </c>
      <c r="X288" s="398">
        <f>VLOOKUP($B$187:$B$323,Acraft!$A$3:$Y$139,19,FALSE)*$Y288*Calc2!$C288/2</f>
        <v>0</v>
      </c>
      <c r="Y288" s="309">
        <f>IF(VLOOKUP($B$187:$B$323,Acraft!$A$3:$Y$139,19,FALSE)=4,Calc1!$C$173,IF(VLOOKUP($B$187:$B$323,Acraft!$A$3:$Y$139,19,FALSE)=1.77777777777778,Calc1!$C$172,0))</f>
        <v>15</v>
      </c>
      <c r="Z288" s="305"/>
    </row>
    <row r="289" spans="1:26" x14ac:dyDescent="0.2">
      <c r="A289" s="303"/>
      <c r="B289" s="309" t="s">
        <v>508</v>
      </c>
      <c r="C289" s="397">
        <f>Calc1!I117</f>
        <v>0</v>
      </c>
      <c r="D289" s="395">
        <f>VLOOKUP($B$187:$B$323,Acraft!$A$3:$R$139,6,FALSE)+Calc1!$C$168*VLOOKUP($B$187:$B$323,Acraft!$A$3:$R$139,13,FALSE)/1000</f>
        <v>0.43582799999999999</v>
      </c>
      <c r="E289" s="398">
        <f t="shared" si="52"/>
        <v>0</v>
      </c>
      <c r="F289" s="312">
        <f>VLOOKUP($B$187:$B$323,Acraft!$A$3:$R$139,7,FALSE)+Calc1!$C$168*VLOOKUP($B$187:$B$323,Acraft!$A$3:$R$139,14,FALSE)/1000</f>
        <v>0.89990999999999999</v>
      </c>
      <c r="G289" s="312">
        <f t="shared" si="53"/>
        <v>0</v>
      </c>
      <c r="H289" s="312">
        <f>VLOOKUP($B$187:$B$323,Acraft!$A$3:$R$139,8,FALSE)+Calc1!$C$168*VLOOKUP($B$187:$B$323,Acraft!$A$3:$R$139,15,FALSE)/1000</f>
        <v>3.2516339999999997</v>
      </c>
      <c r="I289" s="312">
        <f t="shared" si="54"/>
        <v>0</v>
      </c>
      <c r="J289" s="312">
        <f>VLOOKUP($B$187:$B$323,Acraft!$A$3:$R$139,9,FALSE)+Calc1!$C$168*VLOOKUP($B$187:$B$323,Acraft!$A$3:$R$139,16,FALSE)/1000</f>
        <v>1.2853320000000001E-2</v>
      </c>
      <c r="K289" s="312">
        <f t="shared" si="55"/>
        <v>0</v>
      </c>
      <c r="L289" s="312">
        <f>VLOOKUP($B$187:$B$323,Acraft!$A$3:$R$139,10,FALSE)+Calc1!$C$168*VLOOKUP($B$187:$B$323,Acraft!$A$3:$R$139,17,FALSE)/1000</f>
        <v>4.7280000000000003E-2</v>
      </c>
      <c r="M289" s="312">
        <f t="shared" si="56"/>
        <v>0</v>
      </c>
      <c r="N289" s="312">
        <f>VLOOKUP($B$187:$B$323,Acraft!$A$3:$R$139,11,FALSE)+Calc1!$C$168*VLOOKUP($B$187:$B$323,Acraft!$A$3:$R$139,18,FALSE)/1000</f>
        <v>297.86399999999998</v>
      </c>
      <c r="O289" s="398">
        <f t="shared" si="57"/>
        <v>0</v>
      </c>
      <c r="P289" s="312">
        <f>VLOOKUP($B$187:$B$323,Acraft!$A$3:$R$139,5,FALSE)+Calc1!$C$168*VLOOKUP($B$187:$B$323,Acraft!$A$3:$R$139,12,FALSE)/1000</f>
        <v>94.56</v>
      </c>
      <c r="Q289" s="396">
        <f t="shared" si="58"/>
        <v>0</v>
      </c>
      <c r="R289" s="399">
        <f>VLOOKUP($B$187:$B$323,Acraft!$A$3:$Y$139,20,FALSE)*$Y289*Calc2!$C289/2/1000/1000</f>
        <v>0</v>
      </c>
      <c r="S289" s="400">
        <f>VLOOKUP($B$187:$B$323,Acraft!$A$3:$Y$139,21,FALSE)*$Y289*Calc2!$C289/2/1000/1000</f>
        <v>0</v>
      </c>
      <c r="T289" s="400">
        <f>VLOOKUP($B$187:$B$323,Acraft!$A$3:$Y$139,22,FALSE)*$Y289*Calc2!$C289/2/1000/1000</f>
        <v>0</v>
      </c>
      <c r="U289" s="400">
        <f>VLOOKUP($B$187:$B$323,Acraft!$A$3:$Y$139,23,FALSE)*$Y289*Calc2!$C289/2/1000/1000</f>
        <v>0</v>
      </c>
      <c r="V289" s="400">
        <f>VLOOKUP($B$187:$B$323,Acraft!$A$3:$Y$139,24,FALSE)*$Y289*Calc2!$C289/2/1000/1000</f>
        <v>0</v>
      </c>
      <c r="W289" s="398">
        <f>VLOOKUP($B$187:$B$323,Acraft!$A$3:$Y$139,25,FALSE)*$Y289*Calc2!$C289/2/1000/1000</f>
        <v>0</v>
      </c>
      <c r="X289" s="398">
        <f>VLOOKUP($B$187:$B$323,Acraft!$A$3:$Y$139,19,FALSE)*$Y289*Calc2!$C289/2</f>
        <v>0</v>
      </c>
      <c r="Y289" s="309">
        <f>IF(VLOOKUP($B$187:$B$323,Acraft!$A$3:$Y$139,19,FALSE)=4,Calc1!$C$173,IF(VLOOKUP($B$187:$B$323,Acraft!$A$3:$Y$139,19,FALSE)=1.77777777777778,Calc1!$C$172,0))</f>
        <v>0</v>
      </c>
      <c r="Z289" s="305"/>
    </row>
    <row r="290" spans="1:26" x14ac:dyDescent="0.2">
      <c r="A290" s="303"/>
      <c r="B290" s="309" t="s">
        <v>510</v>
      </c>
      <c r="C290" s="397">
        <f>Calc1!I118</f>
        <v>0</v>
      </c>
      <c r="D290" s="395">
        <f>VLOOKUP($B$187:$B$323,Acraft!$A$3:$R$139,6,FALSE)+Calc1!$C$168*VLOOKUP($B$187:$B$323,Acraft!$A$3:$R$139,13,FALSE)/1000</f>
        <v>0.43582799999999999</v>
      </c>
      <c r="E290" s="398">
        <f t="shared" si="52"/>
        <v>0</v>
      </c>
      <c r="F290" s="312">
        <f>VLOOKUP($B$187:$B$323,Acraft!$A$3:$R$139,7,FALSE)+Calc1!$C$168*VLOOKUP($B$187:$B$323,Acraft!$A$3:$R$139,14,FALSE)/1000</f>
        <v>0.89990999999999999</v>
      </c>
      <c r="G290" s="312">
        <f t="shared" si="53"/>
        <v>0</v>
      </c>
      <c r="H290" s="312">
        <f>VLOOKUP($B$187:$B$323,Acraft!$A$3:$R$139,8,FALSE)+Calc1!$C$168*VLOOKUP($B$187:$B$323,Acraft!$A$3:$R$139,15,FALSE)/1000</f>
        <v>3.2516339999999997</v>
      </c>
      <c r="I290" s="312">
        <f t="shared" si="54"/>
        <v>0</v>
      </c>
      <c r="J290" s="312">
        <f>VLOOKUP($B$187:$B$323,Acraft!$A$3:$R$139,9,FALSE)+Calc1!$C$168*VLOOKUP($B$187:$B$323,Acraft!$A$3:$R$139,16,FALSE)/1000</f>
        <v>1.2853320000000001E-2</v>
      </c>
      <c r="K290" s="312">
        <f t="shared" si="55"/>
        <v>0</v>
      </c>
      <c r="L290" s="312">
        <f>VLOOKUP($B$187:$B$323,Acraft!$A$3:$R$139,10,FALSE)+Calc1!$C$168*VLOOKUP($B$187:$B$323,Acraft!$A$3:$R$139,17,FALSE)/1000</f>
        <v>4.7280000000000003E-2</v>
      </c>
      <c r="M290" s="312">
        <f t="shared" si="56"/>
        <v>0</v>
      </c>
      <c r="N290" s="312">
        <f>VLOOKUP($B$187:$B$323,Acraft!$A$3:$R$139,11,FALSE)+Calc1!$C$168*VLOOKUP($B$187:$B$323,Acraft!$A$3:$R$139,18,FALSE)/1000</f>
        <v>297.86399999999998</v>
      </c>
      <c r="O290" s="398">
        <f t="shared" si="57"/>
        <v>0</v>
      </c>
      <c r="P290" s="312">
        <f>VLOOKUP($B$187:$B$323,Acraft!$A$3:$R$139,5,FALSE)+Calc1!$C$168*VLOOKUP($B$187:$B$323,Acraft!$A$3:$R$139,12,FALSE)/1000</f>
        <v>94.56</v>
      </c>
      <c r="Q290" s="396">
        <f t="shared" si="58"/>
        <v>0</v>
      </c>
      <c r="R290" s="399">
        <f>VLOOKUP($B$187:$B$323,Acraft!$A$3:$Y$139,20,FALSE)*$Y290*Calc2!$C290/2/1000/1000</f>
        <v>0</v>
      </c>
      <c r="S290" s="400">
        <f>VLOOKUP($B$187:$B$323,Acraft!$A$3:$Y$139,21,FALSE)*$Y290*Calc2!$C290/2/1000/1000</f>
        <v>0</v>
      </c>
      <c r="T290" s="400">
        <f>VLOOKUP($B$187:$B$323,Acraft!$A$3:$Y$139,22,FALSE)*$Y290*Calc2!$C290/2/1000/1000</f>
        <v>0</v>
      </c>
      <c r="U290" s="400">
        <f>VLOOKUP($B$187:$B$323,Acraft!$A$3:$Y$139,23,FALSE)*$Y290*Calc2!$C290/2/1000/1000</f>
        <v>0</v>
      </c>
      <c r="V290" s="400">
        <f>VLOOKUP($B$187:$B$323,Acraft!$A$3:$Y$139,24,FALSE)*$Y290*Calc2!$C290/2/1000/1000</f>
        <v>0</v>
      </c>
      <c r="W290" s="398">
        <f>VLOOKUP($B$187:$B$323,Acraft!$A$3:$Y$139,25,FALSE)*$Y290*Calc2!$C290/2/1000/1000</f>
        <v>0</v>
      </c>
      <c r="X290" s="398">
        <f>VLOOKUP($B$187:$B$323,Acraft!$A$3:$Y$139,19,FALSE)*$Y290*Calc2!$C290/2</f>
        <v>0</v>
      </c>
      <c r="Y290" s="309">
        <f>IF(VLOOKUP($B$187:$B$323,Acraft!$A$3:$Y$139,19,FALSE)=4,Calc1!$C$173,IF(VLOOKUP($B$187:$B$323,Acraft!$A$3:$Y$139,19,FALSE)=1.77777777777778,Calc1!$C$172,0))</f>
        <v>0</v>
      </c>
      <c r="Z290" s="305"/>
    </row>
    <row r="291" spans="1:26" x14ac:dyDescent="0.2">
      <c r="A291" s="303"/>
      <c r="B291" s="309" t="s">
        <v>512</v>
      </c>
      <c r="C291" s="397">
        <f>Calc1!I119</f>
        <v>0</v>
      </c>
      <c r="D291" s="395">
        <f>VLOOKUP($B$187:$B$323,Acraft!$A$3:$R$139,6,FALSE)+Calc1!$C$168*VLOOKUP($B$187:$B$323,Acraft!$A$3:$R$139,13,FALSE)/1000</f>
        <v>0.43582799999999999</v>
      </c>
      <c r="E291" s="398">
        <f t="shared" si="52"/>
        <v>0</v>
      </c>
      <c r="F291" s="312">
        <f>VLOOKUP($B$187:$B$323,Acraft!$A$3:$R$139,7,FALSE)+Calc1!$C$168*VLOOKUP($B$187:$B$323,Acraft!$A$3:$R$139,14,FALSE)/1000</f>
        <v>0.89990999999999999</v>
      </c>
      <c r="G291" s="312">
        <f t="shared" si="53"/>
        <v>0</v>
      </c>
      <c r="H291" s="312">
        <f>VLOOKUP($B$187:$B$323,Acraft!$A$3:$R$139,8,FALSE)+Calc1!$C$168*VLOOKUP($B$187:$B$323,Acraft!$A$3:$R$139,15,FALSE)/1000</f>
        <v>3.2516339999999997</v>
      </c>
      <c r="I291" s="312">
        <f t="shared" si="54"/>
        <v>0</v>
      </c>
      <c r="J291" s="312">
        <f>VLOOKUP($B$187:$B$323,Acraft!$A$3:$R$139,9,FALSE)+Calc1!$C$168*VLOOKUP($B$187:$B$323,Acraft!$A$3:$R$139,16,FALSE)/1000</f>
        <v>1.2853320000000001E-2</v>
      </c>
      <c r="K291" s="312">
        <f t="shared" si="55"/>
        <v>0</v>
      </c>
      <c r="L291" s="312">
        <f>VLOOKUP($B$187:$B$323,Acraft!$A$3:$R$139,10,FALSE)+Calc1!$C$168*VLOOKUP($B$187:$B$323,Acraft!$A$3:$R$139,17,FALSE)/1000</f>
        <v>4.7280000000000003E-2</v>
      </c>
      <c r="M291" s="312">
        <f t="shared" si="56"/>
        <v>0</v>
      </c>
      <c r="N291" s="312">
        <f>VLOOKUP($B$187:$B$323,Acraft!$A$3:$R$139,11,FALSE)+Calc1!$C$168*VLOOKUP($B$187:$B$323,Acraft!$A$3:$R$139,18,FALSE)/1000</f>
        <v>297.86399999999998</v>
      </c>
      <c r="O291" s="398">
        <f t="shared" si="57"/>
        <v>0</v>
      </c>
      <c r="P291" s="312">
        <f>VLOOKUP($B$187:$B$323,Acraft!$A$3:$R$139,5,FALSE)+Calc1!$C$168*VLOOKUP($B$187:$B$323,Acraft!$A$3:$R$139,12,FALSE)/1000</f>
        <v>94.56</v>
      </c>
      <c r="Q291" s="396">
        <f t="shared" si="58"/>
        <v>0</v>
      </c>
      <c r="R291" s="399">
        <f>VLOOKUP($B$187:$B$323,Acraft!$A$3:$Y$139,20,FALSE)*$Y291*Calc2!$C291/2/1000/1000</f>
        <v>0</v>
      </c>
      <c r="S291" s="400">
        <f>VLOOKUP($B$187:$B$323,Acraft!$A$3:$Y$139,21,FALSE)*$Y291*Calc2!$C291/2/1000/1000</f>
        <v>0</v>
      </c>
      <c r="T291" s="400">
        <f>VLOOKUP($B$187:$B$323,Acraft!$A$3:$Y$139,22,FALSE)*$Y291*Calc2!$C291/2/1000/1000</f>
        <v>0</v>
      </c>
      <c r="U291" s="400">
        <f>VLOOKUP($B$187:$B$323,Acraft!$A$3:$Y$139,23,FALSE)*$Y291*Calc2!$C291/2/1000/1000</f>
        <v>0</v>
      </c>
      <c r="V291" s="400">
        <f>VLOOKUP($B$187:$B$323,Acraft!$A$3:$Y$139,24,FALSE)*$Y291*Calc2!$C291/2/1000/1000</f>
        <v>0</v>
      </c>
      <c r="W291" s="398">
        <f>VLOOKUP($B$187:$B$323,Acraft!$A$3:$Y$139,25,FALSE)*$Y291*Calc2!$C291/2/1000/1000</f>
        <v>0</v>
      </c>
      <c r="X291" s="398">
        <f>VLOOKUP($B$187:$B$323,Acraft!$A$3:$Y$139,19,FALSE)*$Y291*Calc2!$C291/2</f>
        <v>0</v>
      </c>
      <c r="Y291" s="309">
        <f>IF(VLOOKUP($B$187:$B$323,Acraft!$A$3:$Y$139,19,FALSE)=4,Calc1!$C$173,IF(VLOOKUP($B$187:$B$323,Acraft!$A$3:$Y$139,19,FALSE)=1.77777777777778,Calc1!$C$172,0))</f>
        <v>0</v>
      </c>
      <c r="Z291" s="305"/>
    </row>
    <row r="292" spans="1:26" x14ac:dyDescent="0.2">
      <c r="A292" s="303"/>
      <c r="B292" s="309" t="s">
        <v>514</v>
      </c>
      <c r="C292" s="397">
        <f>Calc1!I120</f>
        <v>0</v>
      </c>
      <c r="D292" s="395">
        <f>VLOOKUP($B$187:$B$323,Acraft!$A$3:$R$139,6,FALSE)+Calc1!$C$168*VLOOKUP($B$187:$B$323,Acraft!$A$3:$R$139,13,FALSE)/1000</f>
        <v>0.43582799999999999</v>
      </c>
      <c r="E292" s="398">
        <f t="shared" si="52"/>
        <v>0</v>
      </c>
      <c r="F292" s="312">
        <f>VLOOKUP($B$187:$B$323,Acraft!$A$3:$R$139,7,FALSE)+Calc1!$C$168*VLOOKUP($B$187:$B$323,Acraft!$A$3:$R$139,14,FALSE)/1000</f>
        <v>0.89990999999999999</v>
      </c>
      <c r="G292" s="312">
        <f t="shared" si="53"/>
        <v>0</v>
      </c>
      <c r="H292" s="312">
        <f>VLOOKUP($B$187:$B$323,Acraft!$A$3:$R$139,8,FALSE)+Calc1!$C$168*VLOOKUP($B$187:$B$323,Acraft!$A$3:$R$139,15,FALSE)/1000</f>
        <v>3.2516339999999997</v>
      </c>
      <c r="I292" s="312">
        <f t="shared" si="54"/>
        <v>0</v>
      </c>
      <c r="J292" s="312">
        <f>VLOOKUP($B$187:$B$323,Acraft!$A$3:$R$139,9,FALSE)+Calc1!$C$168*VLOOKUP($B$187:$B$323,Acraft!$A$3:$R$139,16,FALSE)/1000</f>
        <v>1.2853320000000001E-2</v>
      </c>
      <c r="K292" s="312">
        <f t="shared" si="55"/>
        <v>0</v>
      </c>
      <c r="L292" s="312">
        <f>VLOOKUP($B$187:$B$323,Acraft!$A$3:$R$139,10,FALSE)+Calc1!$C$168*VLOOKUP($B$187:$B$323,Acraft!$A$3:$R$139,17,FALSE)/1000</f>
        <v>4.7280000000000003E-2</v>
      </c>
      <c r="M292" s="312">
        <f t="shared" si="56"/>
        <v>0</v>
      </c>
      <c r="N292" s="312">
        <f>VLOOKUP($B$187:$B$323,Acraft!$A$3:$R$139,11,FALSE)+Calc1!$C$168*VLOOKUP($B$187:$B$323,Acraft!$A$3:$R$139,18,FALSE)/1000</f>
        <v>297.86399999999998</v>
      </c>
      <c r="O292" s="398">
        <f t="shared" si="57"/>
        <v>0</v>
      </c>
      <c r="P292" s="312">
        <f>VLOOKUP($B$187:$B$323,Acraft!$A$3:$R$139,5,FALSE)+Calc1!$C$168*VLOOKUP($B$187:$B$323,Acraft!$A$3:$R$139,12,FALSE)/1000</f>
        <v>94.56</v>
      </c>
      <c r="Q292" s="396">
        <f t="shared" si="58"/>
        <v>0</v>
      </c>
      <c r="R292" s="399">
        <f>VLOOKUP($B$187:$B$323,Acraft!$A$3:$Y$139,20,FALSE)*$Y292*Calc2!$C292/2/1000/1000</f>
        <v>0</v>
      </c>
      <c r="S292" s="400">
        <f>VLOOKUP($B$187:$B$323,Acraft!$A$3:$Y$139,21,FALSE)*$Y292*Calc2!$C292/2/1000/1000</f>
        <v>0</v>
      </c>
      <c r="T292" s="400">
        <f>VLOOKUP($B$187:$B$323,Acraft!$A$3:$Y$139,22,FALSE)*$Y292*Calc2!$C292/2/1000/1000</f>
        <v>0</v>
      </c>
      <c r="U292" s="400">
        <f>VLOOKUP($B$187:$B$323,Acraft!$A$3:$Y$139,23,FALSE)*$Y292*Calc2!$C292/2/1000/1000</f>
        <v>0</v>
      </c>
      <c r="V292" s="400">
        <f>VLOOKUP($B$187:$B$323,Acraft!$A$3:$Y$139,24,FALSE)*$Y292*Calc2!$C292/2/1000/1000</f>
        <v>0</v>
      </c>
      <c r="W292" s="398">
        <f>VLOOKUP($B$187:$B$323,Acraft!$A$3:$Y$139,25,FALSE)*$Y292*Calc2!$C292/2/1000/1000</f>
        <v>0</v>
      </c>
      <c r="X292" s="398">
        <f>VLOOKUP($B$187:$B$323,Acraft!$A$3:$Y$139,19,FALSE)*$Y292*Calc2!$C292/2</f>
        <v>0</v>
      </c>
      <c r="Y292" s="309">
        <f>IF(VLOOKUP($B$187:$B$323,Acraft!$A$3:$Y$139,19,FALSE)=4,Calc1!$C$173,IF(VLOOKUP($B$187:$B$323,Acraft!$A$3:$Y$139,19,FALSE)=1.77777777777778,Calc1!$C$172,0))</f>
        <v>0</v>
      </c>
      <c r="Z292" s="305"/>
    </row>
    <row r="293" spans="1:26" x14ac:dyDescent="0.2">
      <c r="A293" s="303"/>
      <c r="B293" s="309" t="s">
        <v>516</v>
      </c>
      <c r="C293" s="397">
        <f>Calc1!I121</f>
        <v>0</v>
      </c>
      <c r="D293" s="395">
        <f>VLOOKUP($B$187:$B$323,Acraft!$A$3:$R$139,6,FALSE)+Calc1!$C$168*VLOOKUP($B$187:$B$323,Acraft!$A$3:$R$139,13,FALSE)/1000</f>
        <v>0.48558299999999999</v>
      </c>
      <c r="E293" s="398">
        <f t="shared" si="52"/>
        <v>0</v>
      </c>
      <c r="F293" s="312">
        <f>VLOOKUP($B$187:$B$323,Acraft!$A$3:$R$139,7,FALSE)+Calc1!$C$168*VLOOKUP($B$187:$B$323,Acraft!$A$3:$R$139,14,FALSE)/1000</f>
        <v>0.86896799999999985</v>
      </c>
      <c r="G293" s="312">
        <f t="shared" si="53"/>
        <v>0</v>
      </c>
      <c r="H293" s="312">
        <f>VLOOKUP($B$187:$B$323,Acraft!$A$3:$R$139,8,FALSE)+Calc1!$C$168*VLOOKUP($B$187:$B$323,Acraft!$A$3:$R$139,15,FALSE)/1000</f>
        <v>2.4273593999999998</v>
      </c>
      <c r="I293" s="312">
        <f t="shared" si="54"/>
        <v>0</v>
      </c>
      <c r="J293" s="312">
        <f>VLOOKUP($B$187:$B$323,Acraft!$A$3:$R$139,9,FALSE)+Calc1!$C$168*VLOOKUP($B$187:$B$323,Acraft!$A$3:$R$139,16,FALSE)/1000</f>
        <v>1.4455572E-2</v>
      </c>
      <c r="K293" s="312">
        <f t="shared" si="55"/>
        <v>0</v>
      </c>
      <c r="L293" s="312">
        <f>VLOOKUP($B$187:$B$323,Acraft!$A$3:$R$139,10,FALSE)+Calc1!$C$168*VLOOKUP($B$187:$B$323,Acraft!$A$3:$R$139,17,FALSE)/1000</f>
        <v>5.0837999999999994E-2</v>
      </c>
      <c r="M293" s="312">
        <f t="shared" si="56"/>
        <v>0</v>
      </c>
      <c r="N293" s="312">
        <f>VLOOKUP($B$187:$B$323,Acraft!$A$3:$R$139,11,FALSE)+Calc1!$C$168*VLOOKUP($B$187:$B$323,Acraft!$A$3:$R$139,18,FALSE)/1000</f>
        <v>320.2793999999999</v>
      </c>
      <c r="O293" s="398">
        <f t="shared" si="57"/>
        <v>0</v>
      </c>
      <c r="P293" s="312">
        <f>VLOOKUP($B$187:$B$323,Acraft!$A$3:$R$139,5,FALSE)+Calc1!$C$168*VLOOKUP($B$187:$B$323,Acraft!$A$3:$R$139,12,FALSE)/1000</f>
        <v>101.67599999999999</v>
      </c>
      <c r="Q293" s="396">
        <f t="shared" si="58"/>
        <v>0</v>
      </c>
      <c r="R293" s="399">
        <f>VLOOKUP($B$187:$B$323,Acraft!$A$3:$Y$139,20,FALSE)*$Y293*Calc2!$C293/2/1000/1000</f>
        <v>0</v>
      </c>
      <c r="S293" s="400">
        <f>VLOOKUP($B$187:$B$323,Acraft!$A$3:$Y$139,21,FALSE)*$Y293*Calc2!$C293/2/1000/1000</f>
        <v>0</v>
      </c>
      <c r="T293" s="400">
        <f>VLOOKUP($B$187:$B$323,Acraft!$A$3:$Y$139,22,FALSE)*$Y293*Calc2!$C293/2/1000/1000</f>
        <v>0</v>
      </c>
      <c r="U293" s="400">
        <f>VLOOKUP($B$187:$B$323,Acraft!$A$3:$Y$139,23,FALSE)*$Y293*Calc2!$C293/2/1000/1000</f>
        <v>0</v>
      </c>
      <c r="V293" s="400">
        <f>VLOOKUP($B$187:$B$323,Acraft!$A$3:$Y$139,24,FALSE)*$Y293*Calc2!$C293/2/1000/1000</f>
        <v>0</v>
      </c>
      <c r="W293" s="398">
        <f>VLOOKUP($B$187:$B$323,Acraft!$A$3:$Y$139,25,FALSE)*$Y293*Calc2!$C293/2/1000/1000</f>
        <v>0</v>
      </c>
      <c r="X293" s="398">
        <f>VLOOKUP($B$187:$B$323,Acraft!$A$3:$Y$139,19,FALSE)*$Y293*Calc2!$C293/2</f>
        <v>0</v>
      </c>
      <c r="Y293" s="309">
        <f>IF(VLOOKUP($B$187:$B$323,Acraft!$A$3:$Y$139,19,FALSE)=4,Calc1!$C$173,IF(VLOOKUP($B$187:$B$323,Acraft!$A$3:$Y$139,19,FALSE)=1.77777777777778,Calc1!$C$172,0))</f>
        <v>0</v>
      </c>
      <c r="Z293" s="305"/>
    </row>
    <row r="294" spans="1:26" x14ac:dyDescent="0.2">
      <c r="A294" s="303"/>
      <c r="B294" s="309" t="s">
        <v>518</v>
      </c>
      <c r="C294" s="397">
        <f>Calc1!I122</f>
        <v>0</v>
      </c>
      <c r="D294" s="395">
        <f>VLOOKUP($B$187:$B$323,Acraft!$A$3:$R$139,6,FALSE)+Calc1!$C$168*VLOOKUP($B$187:$B$323,Acraft!$A$3:$R$139,13,FALSE)/1000</f>
        <v>3.4255800000000003E-2</v>
      </c>
      <c r="E294" s="398">
        <f t="shared" si="52"/>
        <v>0</v>
      </c>
      <c r="F294" s="312">
        <f>VLOOKUP($B$187:$B$323,Acraft!$A$3:$R$139,7,FALSE)+Calc1!$C$168*VLOOKUP($B$187:$B$323,Acraft!$A$3:$R$139,14,FALSE)/1000</f>
        <v>0.29444154</v>
      </c>
      <c r="G294" s="312">
        <f t="shared" si="53"/>
        <v>0</v>
      </c>
      <c r="H294" s="312">
        <f>VLOOKUP($B$187:$B$323,Acraft!$A$3:$R$139,8,FALSE)+Calc1!$C$168*VLOOKUP($B$187:$B$323,Acraft!$A$3:$R$139,15,FALSE)/1000</f>
        <v>10.877742</v>
      </c>
      <c r="I294" s="312">
        <f t="shared" si="54"/>
        <v>0</v>
      </c>
      <c r="J294" s="312">
        <f>VLOOKUP($B$187:$B$323,Acraft!$A$3:$R$139,9,FALSE)+Calc1!$C$168*VLOOKUP($B$187:$B$323,Acraft!$A$3:$R$139,16,FALSE)/1000</f>
        <v>3.5765660000000002E-4</v>
      </c>
      <c r="K294" s="312">
        <f t="shared" si="55"/>
        <v>0</v>
      </c>
      <c r="L294" s="312">
        <f>VLOOKUP($B$187:$B$323,Acraft!$A$3:$R$139,10,FALSE)+Calc1!$C$168*VLOOKUP($B$187:$B$323,Acraft!$A$3:$R$139,17,FALSE)/1000</f>
        <v>5.7273000000000003E-3</v>
      </c>
      <c r="M294" s="312">
        <f t="shared" si="56"/>
        <v>0</v>
      </c>
      <c r="N294" s="312">
        <f>VLOOKUP($B$187:$B$323,Acraft!$A$3:$R$139,11,FALSE)+Calc1!$C$168*VLOOKUP($B$187:$B$323,Acraft!$A$3:$R$139,18,FALSE)/1000</f>
        <v>35.967444</v>
      </c>
      <c r="O294" s="398">
        <f t="shared" si="57"/>
        <v>0</v>
      </c>
      <c r="P294" s="312">
        <f>VLOOKUP($B$187:$B$323,Acraft!$A$3:$R$139,5,FALSE)+Calc1!$C$168*VLOOKUP($B$187:$B$323,Acraft!$A$3:$R$139,12,FALSE)/1000</f>
        <v>11.454600000000001</v>
      </c>
      <c r="Q294" s="396">
        <f t="shared" si="58"/>
        <v>0</v>
      </c>
      <c r="R294" s="399">
        <f>VLOOKUP($B$187:$B$323,Acraft!$A$3:$Y$139,20,FALSE)*$Y294*Calc2!$C294/2/1000/1000</f>
        <v>0</v>
      </c>
      <c r="S294" s="400">
        <f>VLOOKUP($B$187:$B$323,Acraft!$A$3:$Y$139,21,FALSE)*$Y294*Calc2!$C294/2/1000/1000</f>
        <v>0</v>
      </c>
      <c r="T294" s="400">
        <f>VLOOKUP($B$187:$B$323,Acraft!$A$3:$Y$139,22,FALSE)*$Y294*Calc2!$C294/2/1000/1000</f>
        <v>0</v>
      </c>
      <c r="U294" s="400">
        <f>VLOOKUP($B$187:$B$323,Acraft!$A$3:$Y$139,23,FALSE)*$Y294*Calc2!$C294/2/1000/1000</f>
        <v>0</v>
      </c>
      <c r="V294" s="400">
        <f>VLOOKUP($B$187:$B$323,Acraft!$A$3:$Y$139,24,FALSE)*$Y294*Calc2!$C294/2/1000/1000</f>
        <v>0</v>
      </c>
      <c r="W294" s="398">
        <f>VLOOKUP($B$187:$B$323,Acraft!$A$3:$Y$139,25,FALSE)*$Y294*Calc2!$C294/2/1000/1000</f>
        <v>0</v>
      </c>
      <c r="X294" s="398">
        <f>VLOOKUP($B$187:$B$323,Acraft!$A$3:$Y$139,19,FALSE)*$Y294*Calc2!$C294/2</f>
        <v>0</v>
      </c>
      <c r="Y294" s="309">
        <f>IF(VLOOKUP($B$187:$B$323,Acraft!$A$3:$Y$139,19,FALSE)=4,Calc1!$C$173,IF(VLOOKUP($B$187:$B$323,Acraft!$A$3:$Y$139,19,FALSE)=1.77777777777778,Calc1!$C$172,0))</f>
        <v>0</v>
      </c>
      <c r="Z294" s="305"/>
    </row>
    <row r="295" spans="1:26" x14ac:dyDescent="0.2">
      <c r="A295" s="303"/>
      <c r="B295" s="309" t="s">
        <v>520</v>
      </c>
      <c r="C295" s="397">
        <f>Calc1!I123</f>
        <v>0</v>
      </c>
      <c r="D295" s="395">
        <f>VLOOKUP($B$187:$B$323,Acraft!$A$3:$R$139,6,FALSE)+Calc1!$C$168*VLOOKUP($B$187:$B$323,Acraft!$A$3:$R$139,13,FALSE)/1000</f>
        <v>6.3603648000000013E-2</v>
      </c>
      <c r="E295" s="398">
        <f t="shared" si="52"/>
        <v>0</v>
      </c>
      <c r="F295" s="312">
        <f>VLOOKUP($B$187:$B$323,Acraft!$A$3:$R$139,7,FALSE)+Calc1!$C$168*VLOOKUP($B$187:$B$323,Acraft!$A$3:$R$139,14,FALSE)/1000</f>
        <v>0.76702101599999994</v>
      </c>
      <c r="G295" s="312">
        <f t="shared" si="53"/>
        <v>0</v>
      </c>
      <c r="H295" s="312">
        <f>VLOOKUP($B$187:$B$323,Acraft!$A$3:$R$139,8,FALSE)+Calc1!$C$168*VLOOKUP($B$187:$B$323,Acraft!$A$3:$R$139,15,FALSE)/1000</f>
        <v>16.063447199999999</v>
      </c>
      <c r="I295" s="312">
        <f t="shared" si="54"/>
        <v>0</v>
      </c>
      <c r="J295" s="312">
        <f>VLOOKUP($B$187:$B$323,Acraft!$A$3:$R$139,9,FALSE)+Calc1!$C$168*VLOOKUP($B$187:$B$323,Acraft!$A$3:$R$139,16,FALSE)/1000</f>
        <v>5.2561719999999999E-4</v>
      </c>
      <c r="K295" s="312">
        <f t="shared" si="55"/>
        <v>0</v>
      </c>
      <c r="L295" s="312">
        <f>VLOOKUP($B$187:$B$323,Acraft!$A$3:$R$139,10,FALSE)+Calc1!$C$168*VLOOKUP($B$187:$B$323,Acraft!$A$3:$R$139,17,FALSE)/1000</f>
        <v>9.0924000000000005E-3</v>
      </c>
      <c r="M295" s="312">
        <f t="shared" si="56"/>
        <v>0</v>
      </c>
      <c r="N295" s="312">
        <f>VLOOKUP($B$187:$B$323,Acraft!$A$3:$R$139,11,FALSE)+Calc1!$C$168*VLOOKUP($B$187:$B$323,Acraft!$A$3:$R$139,18,FALSE)/1000</f>
        <v>57.10027199999999</v>
      </c>
      <c r="O295" s="398">
        <f t="shared" si="57"/>
        <v>0</v>
      </c>
      <c r="P295" s="312">
        <f>VLOOKUP($B$187:$B$323,Acraft!$A$3:$R$139,5,FALSE)+Calc1!$C$168*VLOOKUP($B$187:$B$323,Acraft!$A$3:$R$139,12,FALSE)/1000</f>
        <v>18.184799999999999</v>
      </c>
      <c r="Q295" s="396">
        <f t="shared" si="58"/>
        <v>0</v>
      </c>
      <c r="R295" s="399">
        <f>VLOOKUP($B$187:$B$323,Acraft!$A$3:$Y$139,20,FALSE)*$Y295*Calc2!$C295/2/1000/1000</f>
        <v>0</v>
      </c>
      <c r="S295" s="400">
        <f>VLOOKUP($B$187:$B$323,Acraft!$A$3:$Y$139,21,FALSE)*$Y295*Calc2!$C295/2/1000/1000</f>
        <v>0</v>
      </c>
      <c r="T295" s="400">
        <f>VLOOKUP($B$187:$B$323,Acraft!$A$3:$Y$139,22,FALSE)*$Y295*Calc2!$C295/2/1000/1000</f>
        <v>0</v>
      </c>
      <c r="U295" s="400">
        <f>VLOOKUP($B$187:$B$323,Acraft!$A$3:$Y$139,23,FALSE)*$Y295*Calc2!$C295/2/1000/1000</f>
        <v>0</v>
      </c>
      <c r="V295" s="400">
        <f>VLOOKUP($B$187:$B$323,Acraft!$A$3:$Y$139,24,FALSE)*$Y295*Calc2!$C295/2/1000/1000</f>
        <v>0</v>
      </c>
      <c r="W295" s="398">
        <f>VLOOKUP($B$187:$B$323,Acraft!$A$3:$Y$139,25,FALSE)*$Y295*Calc2!$C295/2/1000/1000</f>
        <v>0</v>
      </c>
      <c r="X295" s="398">
        <f>VLOOKUP($B$187:$B$323,Acraft!$A$3:$Y$139,19,FALSE)*$Y295*Calc2!$C295/2</f>
        <v>0</v>
      </c>
      <c r="Y295" s="309">
        <f>IF(VLOOKUP($B$187:$B$323,Acraft!$A$3:$Y$139,19,FALSE)=4,Calc1!$C$173,IF(VLOOKUP($B$187:$B$323,Acraft!$A$3:$Y$139,19,FALSE)=1.77777777777778,Calc1!$C$172,0))</f>
        <v>0</v>
      </c>
      <c r="Z295" s="305"/>
    </row>
    <row r="296" spans="1:26" x14ac:dyDescent="0.2">
      <c r="A296" s="303"/>
      <c r="B296" s="309" t="s">
        <v>523</v>
      </c>
      <c r="C296" s="397">
        <f>Calc1!I124</f>
        <v>0</v>
      </c>
      <c r="D296" s="395">
        <f>VLOOKUP($B$187:$B$323,Acraft!$A$3:$R$139,6,FALSE)+Calc1!$C$168*VLOOKUP($B$187:$B$323,Acraft!$A$3:$R$139,13,FALSE)/1000</f>
        <v>0.48558299999999999</v>
      </c>
      <c r="E296" s="398">
        <f t="shared" si="52"/>
        <v>0</v>
      </c>
      <c r="F296" s="312">
        <f>VLOOKUP($B$187:$B$323,Acraft!$A$3:$R$139,7,FALSE)+Calc1!$C$168*VLOOKUP($B$187:$B$323,Acraft!$A$3:$R$139,14,FALSE)/1000</f>
        <v>0.86896799999999985</v>
      </c>
      <c r="G296" s="312">
        <f t="shared" si="53"/>
        <v>0</v>
      </c>
      <c r="H296" s="312">
        <f>VLOOKUP($B$187:$B$323,Acraft!$A$3:$R$139,8,FALSE)+Calc1!$C$168*VLOOKUP($B$187:$B$323,Acraft!$A$3:$R$139,15,FALSE)/1000</f>
        <v>2.4273593999999998</v>
      </c>
      <c r="I296" s="312">
        <f t="shared" si="54"/>
        <v>0</v>
      </c>
      <c r="J296" s="312">
        <f>VLOOKUP($B$187:$B$323,Acraft!$A$3:$R$139,9,FALSE)+Calc1!$C$168*VLOOKUP($B$187:$B$323,Acraft!$A$3:$R$139,16,FALSE)/1000</f>
        <v>1.4455572E-2</v>
      </c>
      <c r="K296" s="312">
        <f t="shared" si="55"/>
        <v>0</v>
      </c>
      <c r="L296" s="312">
        <f>VLOOKUP($B$187:$B$323,Acraft!$A$3:$R$139,10,FALSE)+Calc1!$C$168*VLOOKUP($B$187:$B$323,Acraft!$A$3:$R$139,17,FALSE)/1000</f>
        <v>5.0837999999999994E-2</v>
      </c>
      <c r="M296" s="312">
        <f t="shared" si="56"/>
        <v>0</v>
      </c>
      <c r="N296" s="312">
        <f>VLOOKUP($B$187:$B$323,Acraft!$A$3:$R$139,11,FALSE)+Calc1!$C$168*VLOOKUP($B$187:$B$323,Acraft!$A$3:$R$139,18,FALSE)/1000</f>
        <v>320.2793999999999</v>
      </c>
      <c r="O296" s="398">
        <f t="shared" si="57"/>
        <v>0</v>
      </c>
      <c r="P296" s="312">
        <f>VLOOKUP($B$187:$B$323,Acraft!$A$3:$R$139,5,FALSE)+Calc1!$C$168*VLOOKUP($B$187:$B$323,Acraft!$A$3:$R$139,12,FALSE)/1000</f>
        <v>101.67599999999999</v>
      </c>
      <c r="Q296" s="396">
        <f t="shared" si="58"/>
        <v>0</v>
      </c>
      <c r="R296" s="399">
        <f>VLOOKUP($B$187:$B$323,Acraft!$A$3:$Y$139,20,FALSE)*$Y296*Calc2!$C296/2/1000/1000</f>
        <v>0</v>
      </c>
      <c r="S296" s="400">
        <f>VLOOKUP($B$187:$B$323,Acraft!$A$3:$Y$139,21,FALSE)*$Y296*Calc2!$C296/2/1000/1000</f>
        <v>0</v>
      </c>
      <c r="T296" s="400">
        <f>VLOOKUP($B$187:$B$323,Acraft!$A$3:$Y$139,22,FALSE)*$Y296*Calc2!$C296/2/1000/1000</f>
        <v>0</v>
      </c>
      <c r="U296" s="400">
        <f>VLOOKUP($B$187:$B$323,Acraft!$A$3:$Y$139,23,FALSE)*$Y296*Calc2!$C296/2/1000/1000</f>
        <v>0</v>
      </c>
      <c r="V296" s="400">
        <f>VLOOKUP($B$187:$B$323,Acraft!$A$3:$Y$139,24,FALSE)*$Y296*Calc2!$C296/2/1000/1000</f>
        <v>0</v>
      </c>
      <c r="W296" s="398">
        <f>VLOOKUP($B$187:$B$323,Acraft!$A$3:$Y$139,25,FALSE)*$Y296*Calc2!$C296/2/1000/1000</f>
        <v>0</v>
      </c>
      <c r="X296" s="398">
        <f>VLOOKUP($B$187:$B$323,Acraft!$A$3:$Y$139,19,FALSE)*$Y296*Calc2!$C296/2</f>
        <v>0</v>
      </c>
      <c r="Y296" s="309">
        <f>IF(VLOOKUP($B$187:$B$323,Acraft!$A$3:$Y$139,19,FALSE)=4,Calc1!$C$173,IF(VLOOKUP($B$187:$B$323,Acraft!$A$3:$Y$139,19,FALSE)=1.77777777777778,Calc1!$C$172,0))</f>
        <v>0</v>
      </c>
      <c r="Z296" s="305"/>
    </row>
    <row r="297" spans="1:26" x14ac:dyDescent="0.2">
      <c r="A297" s="303"/>
      <c r="B297" s="309" t="s">
        <v>524</v>
      </c>
      <c r="C297" s="397">
        <f>Calc1!I125</f>
        <v>0</v>
      </c>
      <c r="D297" s="395">
        <f>VLOOKUP($B$187:$B$323,Acraft!$A$3:$R$139,6,FALSE)+Calc1!$C$168*VLOOKUP($B$187:$B$323,Acraft!$A$3:$R$139,13,FALSE)/1000</f>
        <v>0.18376799999999999</v>
      </c>
      <c r="E297" s="398">
        <f t="shared" si="52"/>
        <v>0</v>
      </c>
      <c r="F297" s="312">
        <f>VLOOKUP($B$187:$B$323,Acraft!$A$3:$R$139,7,FALSE)+Calc1!$C$168*VLOOKUP($B$187:$B$323,Acraft!$A$3:$R$139,14,FALSE)/1000</f>
        <v>4.5221640000000001</v>
      </c>
      <c r="G297" s="312">
        <f t="shared" si="53"/>
        <v>0</v>
      </c>
      <c r="H297" s="312">
        <f>VLOOKUP($B$187:$B$323,Acraft!$A$3:$R$139,8,FALSE)+Calc1!$C$168*VLOOKUP($B$187:$B$323,Acraft!$A$3:$R$139,15,FALSE)/1000</f>
        <v>3.2655120000000002</v>
      </c>
      <c r="I297" s="312">
        <f t="shared" si="54"/>
        <v>0</v>
      </c>
      <c r="J297" s="312">
        <f>VLOOKUP($B$187:$B$323,Acraft!$A$3:$R$139,9,FALSE)+Calc1!$C$168*VLOOKUP($B$187:$B$323,Acraft!$A$3:$R$139,16,FALSE)/1000</f>
        <v>9.7669200000000001E-3</v>
      </c>
      <c r="K297" s="312">
        <f t="shared" si="55"/>
        <v>0</v>
      </c>
      <c r="L297" s="312">
        <f>VLOOKUP($B$187:$B$323,Acraft!$A$3:$R$139,10,FALSE)+Calc1!$C$168*VLOOKUP($B$187:$B$323,Acraft!$A$3:$R$139,17,FALSE)/1000</f>
        <v>3.2892000000000005E-2</v>
      </c>
      <c r="M297" s="312">
        <f t="shared" si="56"/>
        <v>0</v>
      </c>
      <c r="N297" s="312">
        <f>VLOOKUP($B$187:$B$323,Acraft!$A$3:$R$139,11,FALSE)+Calc1!$C$168*VLOOKUP($B$187:$B$323,Acraft!$A$3:$R$139,18,FALSE)/1000</f>
        <v>207.21960000000001</v>
      </c>
      <c r="O297" s="398">
        <f t="shared" si="57"/>
        <v>0</v>
      </c>
      <c r="P297" s="312">
        <f>VLOOKUP($B$187:$B$323,Acraft!$A$3:$R$139,5,FALSE)+Calc1!$C$168*VLOOKUP($B$187:$B$323,Acraft!$A$3:$R$139,12,FALSE)/1000</f>
        <v>65.783999999999992</v>
      </c>
      <c r="Q297" s="396">
        <f t="shared" si="58"/>
        <v>0</v>
      </c>
      <c r="R297" s="399">
        <f>VLOOKUP($B$187:$B$323,Acraft!$A$3:$Y$139,20,FALSE)*$Y297*Calc2!$C297/2/1000/1000</f>
        <v>0</v>
      </c>
      <c r="S297" s="400">
        <f>VLOOKUP($B$187:$B$323,Acraft!$A$3:$Y$139,21,FALSE)*$Y297*Calc2!$C297/2/1000/1000</f>
        <v>0</v>
      </c>
      <c r="T297" s="400">
        <f>VLOOKUP($B$187:$B$323,Acraft!$A$3:$Y$139,22,FALSE)*$Y297*Calc2!$C297/2/1000/1000</f>
        <v>0</v>
      </c>
      <c r="U297" s="400">
        <f>VLOOKUP($B$187:$B$323,Acraft!$A$3:$Y$139,23,FALSE)*$Y297*Calc2!$C297/2/1000/1000</f>
        <v>0</v>
      </c>
      <c r="V297" s="400">
        <f>VLOOKUP($B$187:$B$323,Acraft!$A$3:$Y$139,24,FALSE)*$Y297*Calc2!$C297/2/1000/1000</f>
        <v>0</v>
      </c>
      <c r="W297" s="398">
        <f>VLOOKUP($B$187:$B$323,Acraft!$A$3:$Y$139,25,FALSE)*$Y297*Calc2!$C297/2/1000/1000</f>
        <v>0</v>
      </c>
      <c r="X297" s="398">
        <f>VLOOKUP($B$187:$B$323,Acraft!$A$3:$Y$139,19,FALSE)*$Y297*Calc2!$C297/2</f>
        <v>0</v>
      </c>
      <c r="Y297" s="309">
        <f>IF(VLOOKUP($B$187:$B$323,Acraft!$A$3:$Y$139,19,FALSE)=4,Calc1!$C$173,IF(VLOOKUP($B$187:$B$323,Acraft!$A$3:$Y$139,19,FALSE)=1.77777777777778,Calc1!$C$172,0))</f>
        <v>0</v>
      </c>
      <c r="Z297" s="305"/>
    </row>
    <row r="298" spans="1:26" x14ac:dyDescent="0.2">
      <c r="A298" s="303"/>
      <c r="B298" s="309" t="s">
        <v>526</v>
      </c>
      <c r="C298" s="397">
        <f>Calc1!I126</f>
        <v>0</v>
      </c>
      <c r="D298" s="395">
        <f>VLOOKUP($B$187:$B$323,Acraft!$A$3:$R$139,6,FALSE)+Calc1!$C$168*VLOOKUP($B$187:$B$323,Acraft!$A$3:$R$139,13,FALSE)/1000</f>
        <v>4.3791992639999995</v>
      </c>
      <c r="E298" s="398">
        <f t="shared" si="52"/>
        <v>0</v>
      </c>
      <c r="F298" s="312">
        <f>VLOOKUP($B$187:$B$323,Acraft!$A$3:$R$139,7,FALSE)+Calc1!$C$168*VLOOKUP($B$187:$B$323,Acraft!$A$3:$R$139,14,FALSE)/1000</f>
        <v>1.4001683520000001</v>
      </c>
      <c r="G298" s="312">
        <f t="shared" si="53"/>
        <v>0</v>
      </c>
      <c r="H298" s="312">
        <f>VLOOKUP($B$187:$B$323,Acraft!$A$3:$R$139,8,FALSE)+Calc1!$C$168*VLOOKUP($B$187:$B$323,Acraft!$A$3:$R$139,15,FALSE)/1000</f>
        <v>11.624272080000001</v>
      </c>
      <c r="I298" s="312">
        <f t="shared" si="54"/>
        <v>0</v>
      </c>
      <c r="J298" s="312">
        <f>VLOOKUP($B$187:$B$323,Acraft!$A$3:$R$139,9,FALSE)+Calc1!$C$168*VLOOKUP($B$187:$B$323,Acraft!$A$3:$R$139,16,FALSE)/1000</f>
        <v>5.4617081204987414E-2</v>
      </c>
      <c r="K298" s="312">
        <f t="shared" si="55"/>
        <v>0</v>
      </c>
      <c r="L298" s="312">
        <f>VLOOKUP($B$187:$B$323,Acraft!$A$3:$R$139,10,FALSE)+Calc1!$C$168*VLOOKUP($B$187:$B$323,Acraft!$A$3:$R$139,17,FALSE)/1000</f>
        <v>0.30698160000000002</v>
      </c>
      <c r="M298" s="312">
        <f t="shared" si="56"/>
        <v>0</v>
      </c>
      <c r="N298" s="312">
        <f>VLOOKUP($B$187:$B$323,Acraft!$A$3:$R$139,11,FALSE)+Calc1!$C$168*VLOOKUP($B$187:$B$323,Acraft!$A$3:$R$139,18,FALSE)/1000</f>
        <v>1933.9840800000002</v>
      </c>
      <c r="O298" s="398">
        <f t="shared" si="57"/>
        <v>0</v>
      </c>
      <c r="P298" s="312">
        <f>VLOOKUP($B$187:$B$323,Acraft!$A$3:$R$139,5,FALSE)+Calc1!$C$168*VLOOKUP($B$187:$B$323,Acraft!$A$3:$R$139,12,FALSE)/1000</f>
        <v>613.96320000000003</v>
      </c>
      <c r="Q298" s="396">
        <f t="shared" si="58"/>
        <v>0</v>
      </c>
      <c r="R298" s="399">
        <f>VLOOKUP($B$187:$B$323,Acraft!$A$3:$Y$139,20,FALSE)*$Y298*Calc2!$C298/2/1000/1000</f>
        <v>0</v>
      </c>
      <c r="S298" s="400">
        <f>VLOOKUP($B$187:$B$323,Acraft!$A$3:$Y$139,21,FALSE)*$Y298*Calc2!$C298/2/1000/1000</f>
        <v>0</v>
      </c>
      <c r="T298" s="400">
        <f>VLOOKUP($B$187:$B$323,Acraft!$A$3:$Y$139,22,FALSE)*$Y298*Calc2!$C298/2/1000/1000</f>
        <v>0</v>
      </c>
      <c r="U298" s="400">
        <f>VLOOKUP($B$187:$B$323,Acraft!$A$3:$Y$139,23,FALSE)*$Y298*Calc2!$C298/2/1000/1000</f>
        <v>0</v>
      </c>
      <c r="V298" s="400">
        <f>VLOOKUP($B$187:$B$323,Acraft!$A$3:$Y$139,24,FALSE)*$Y298*Calc2!$C298/2/1000/1000</f>
        <v>0</v>
      </c>
      <c r="W298" s="398">
        <f>VLOOKUP($B$187:$B$323,Acraft!$A$3:$Y$139,25,FALSE)*$Y298*Calc2!$C298/2/1000/1000</f>
        <v>0</v>
      </c>
      <c r="X298" s="398">
        <f>VLOOKUP($B$187:$B$323,Acraft!$A$3:$Y$139,19,FALSE)*$Y298*Calc2!$C298/2</f>
        <v>0</v>
      </c>
      <c r="Y298" s="309">
        <f>IF(VLOOKUP($B$187:$B$323,Acraft!$A$3:$Y$139,19,FALSE)=4,Calc1!$C$173,IF(VLOOKUP($B$187:$B$323,Acraft!$A$3:$Y$139,19,FALSE)=1.77777777777778,Calc1!$C$172,0))</f>
        <v>15</v>
      </c>
      <c r="Z298" s="305"/>
    </row>
    <row r="299" spans="1:26" x14ac:dyDescent="0.2">
      <c r="A299" s="303"/>
      <c r="B299" s="309" t="s">
        <v>527</v>
      </c>
      <c r="C299" s="397">
        <f>Calc1!I127</f>
        <v>0</v>
      </c>
      <c r="D299" s="395">
        <f>VLOOKUP($B$187:$B$323,Acraft!$A$3:$R$139,6,FALSE)+Calc1!$C$168*VLOOKUP($B$187:$B$323,Acraft!$A$3:$R$139,13,FALSE)/1000</f>
        <v>1.4277E-2</v>
      </c>
      <c r="E299" s="398">
        <f t="shared" si="52"/>
        <v>0</v>
      </c>
      <c r="F299" s="312">
        <f>VLOOKUP($B$187:$B$323,Acraft!$A$3:$R$139,7,FALSE)+Calc1!$C$168*VLOOKUP($B$187:$B$323,Acraft!$A$3:$R$139,14,FALSE)/1000</f>
        <v>0.12996630000000001</v>
      </c>
      <c r="G299" s="312">
        <f t="shared" si="53"/>
        <v>0</v>
      </c>
      <c r="H299" s="312">
        <f>VLOOKUP($B$187:$B$323,Acraft!$A$3:$R$139,8,FALSE)+Calc1!$C$168*VLOOKUP($B$187:$B$323,Acraft!$A$3:$R$139,15,FALSE)/1000</f>
        <v>7.6079999999999997</v>
      </c>
      <c r="I299" s="312">
        <f t="shared" si="54"/>
        <v>0</v>
      </c>
      <c r="J299" s="312">
        <f>VLOOKUP($B$187:$B$323,Acraft!$A$3:$R$139,9,FALSE)+Calc1!$C$168*VLOOKUP($B$187:$B$323,Acraft!$A$3:$R$139,16,FALSE)/1000</f>
        <v>1.3912860000000002E-4</v>
      </c>
      <c r="K299" s="312">
        <f t="shared" si="55"/>
        <v>0</v>
      </c>
      <c r="L299" s="312">
        <f>VLOOKUP($B$187:$B$323,Acraft!$A$3:$R$139,10,FALSE)+Calc1!$C$168*VLOOKUP($B$187:$B$323,Acraft!$A$3:$R$139,17,FALSE)/1000</f>
        <v>3.8039999999999997E-3</v>
      </c>
      <c r="M299" s="312">
        <f t="shared" si="56"/>
        <v>0</v>
      </c>
      <c r="N299" s="312">
        <f>VLOOKUP($B$187:$B$323,Acraft!$A$3:$R$139,11,FALSE)+Calc1!$C$168*VLOOKUP($B$187:$B$323,Acraft!$A$3:$R$139,18,FALSE)/1000</f>
        <v>23.889119999999998</v>
      </c>
      <c r="O299" s="398">
        <f t="shared" si="57"/>
        <v>0</v>
      </c>
      <c r="P299" s="312">
        <f>VLOOKUP($B$187:$B$323,Acraft!$A$3:$R$139,5,FALSE)+Calc1!$C$168*VLOOKUP($B$187:$B$323,Acraft!$A$3:$R$139,12,FALSE)/1000</f>
        <v>7.6079999999999997</v>
      </c>
      <c r="Q299" s="396">
        <f t="shared" si="58"/>
        <v>0</v>
      </c>
      <c r="R299" s="399">
        <f>VLOOKUP($B$187:$B$323,Acraft!$A$3:$Y$139,20,FALSE)*$Y299*Calc2!$C299/2/1000/1000</f>
        <v>0</v>
      </c>
      <c r="S299" s="400">
        <f>VLOOKUP($B$187:$B$323,Acraft!$A$3:$Y$139,21,FALSE)*$Y299*Calc2!$C299/2/1000/1000</f>
        <v>0</v>
      </c>
      <c r="T299" s="400">
        <f>VLOOKUP($B$187:$B$323,Acraft!$A$3:$Y$139,22,FALSE)*$Y299*Calc2!$C299/2/1000/1000</f>
        <v>0</v>
      </c>
      <c r="U299" s="400">
        <f>VLOOKUP($B$187:$B$323,Acraft!$A$3:$Y$139,23,FALSE)*$Y299*Calc2!$C299/2/1000/1000</f>
        <v>0</v>
      </c>
      <c r="V299" s="400">
        <f>VLOOKUP($B$187:$B$323,Acraft!$A$3:$Y$139,24,FALSE)*$Y299*Calc2!$C299/2/1000/1000</f>
        <v>0</v>
      </c>
      <c r="W299" s="398">
        <f>VLOOKUP($B$187:$B$323,Acraft!$A$3:$Y$139,25,FALSE)*$Y299*Calc2!$C299/2/1000/1000</f>
        <v>0</v>
      </c>
      <c r="X299" s="398">
        <f>VLOOKUP($B$187:$B$323,Acraft!$A$3:$Y$139,19,FALSE)*$Y299*Calc2!$C299/2</f>
        <v>0</v>
      </c>
      <c r="Y299" s="309">
        <f>IF(VLOOKUP($B$187:$B$323,Acraft!$A$3:$Y$139,19,FALSE)=4,Calc1!$C$173,IF(VLOOKUP($B$187:$B$323,Acraft!$A$3:$Y$139,19,FALSE)=1.77777777777778,Calc1!$C$172,0))</f>
        <v>0</v>
      </c>
      <c r="Z299" s="305"/>
    </row>
    <row r="300" spans="1:26" x14ac:dyDescent="0.2">
      <c r="A300" s="303"/>
      <c r="B300" s="309" t="s">
        <v>530</v>
      </c>
      <c r="C300" s="397">
        <f>Calc1!I128</f>
        <v>0</v>
      </c>
      <c r="D300" s="395">
        <f>VLOOKUP($B$187:$B$323,Acraft!$A$3:$R$139,6,FALSE)+Calc1!$C$168*VLOOKUP($B$187:$B$323,Acraft!$A$3:$R$139,13,FALSE)/1000</f>
        <v>0.81097140000000001</v>
      </c>
      <c r="E300" s="398">
        <f t="shared" si="52"/>
        <v>0</v>
      </c>
      <c r="F300" s="312">
        <f>VLOOKUP($B$187:$B$323,Acraft!$A$3:$R$139,7,FALSE)+Calc1!$C$168*VLOOKUP($B$187:$B$323,Acraft!$A$3:$R$139,14,FALSE)/1000</f>
        <v>0.1076148</v>
      </c>
      <c r="G300" s="312">
        <f t="shared" si="53"/>
        <v>0</v>
      </c>
      <c r="H300" s="312">
        <f>VLOOKUP($B$187:$B$323,Acraft!$A$3:$R$139,8,FALSE)+Calc1!$C$168*VLOOKUP($B$187:$B$323,Acraft!$A$3:$R$139,15,FALSE)/1000</f>
        <v>1.0661532</v>
      </c>
      <c r="I300" s="312">
        <f t="shared" si="54"/>
        <v>0</v>
      </c>
      <c r="J300" s="312">
        <f>VLOOKUP($B$187:$B$323,Acraft!$A$3:$R$139,9,FALSE)+Calc1!$C$168*VLOOKUP($B$187:$B$323,Acraft!$A$3:$R$139,16,FALSE)/1000</f>
        <v>9.7044920000000021E-3</v>
      </c>
      <c r="K300" s="312">
        <f t="shared" si="55"/>
        <v>0</v>
      </c>
      <c r="L300" s="312">
        <f>VLOOKUP($B$187:$B$323,Acraft!$A$3:$R$139,10,FALSE)+Calc1!$C$168*VLOOKUP($B$187:$B$323,Acraft!$A$3:$R$139,17,FALSE)/1000</f>
        <v>8.0655000000000004E-2</v>
      </c>
      <c r="M300" s="312">
        <f t="shared" si="56"/>
        <v>0</v>
      </c>
      <c r="N300" s="312">
        <f>VLOOKUP($B$187:$B$323,Acraft!$A$3:$R$139,11,FALSE)+Calc1!$C$168*VLOOKUP($B$187:$B$323,Acraft!$A$3:$R$139,18,FALSE)/1000</f>
        <v>508.12649999999996</v>
      </c>
      <c r="O300" s="398">
        <f t="shared" si="57"/>
        <v>0</v>
      </c>
      <c r="P300" s="312">
        <f>VLOOKUP($B$187:$B$323,Acraft!$A$3:$R$139,5,FALSE)+Calc1!$C$168*VLOOKUP($B$187:$B$323,Acraft!$A$3:$R$139,12,FALSE)/1000</f>
        <v>161.31</v>
      </c>
      <c r="Q300" s="396">
        <f t="shared" si="58"/>
        <v>0</v>
      </c>
      <c r="R300" s="399">
        <f>VLOOKUP($B$187:$B$323,Acraft!$A$3:$Y$139,20,FALSE)*$Y300*Calc2!$C300/2/1000/1000</f>
        <v>0</v>
      </c>
      <c r="S300" s="400">
        <f>VLOOKUP($B$187:$B$323,Acraft!$A$3:$Y$139,21,FALSE)*$Y300*Calc2!$C300/2/1000/1000</f>
        <v>0</v>
      </c>
      <c r="T300" s="400">
        <f>VLOOKUP($B$187:$B$323,Acraft!$A$3:$Y$139,22,FALSE)*$Y300*Calc2!$C300/2/1000/1000</f>
        <v>0</v>
      </c>
      <c r="U300" s="400">
        <f>VLOOKUP($B$187:$B$323,Acraft!$A$3:$Y$139,23,FALSE)*$Y300*Calc2!$C300/2/1000/1000</f>
        <v>0</v>
      </c>
      <c r="V300" s="400">
        <f>VLOOKUP($B$187:$B$323,Acraft!$A$3:$Y$139,24,FALSE)*$Y300*Calc2!$C300/2/1000/1000</f>
        <v>0</v>
      </c>
      <c r="W300" s="398">
        <f>VLOOKUP($B$187:$B$323,Acraft!$A$3:$Y$139,25,FALSE)*$Y300*Calc2!$C300/2/1000/1000</f>
        <v>0</v>
      </c>
      <c r="X300" s="398">
        <f>VLOOKUP($B$187:$B$323,Acraft!$A$3:$Y$139,19,FALSE)*$Y300*Calc2!$C300/2</f>
        <v>0</v>
      </c>
      <c r="Y300" s="309">
        <f>IF(VLOOKUP($B$187:$B$323,Acraft!$A$3:$Y$139,19,FALSE)=4,Calc1!$C$173,IF(VLOOKUP($B$187:$B$323,Acraft!$A$3:$Y$139,19,FALSE)=1.77777777777778,Calc1!$C$172,0))</f>
        <v>0</v>
      </c>
      <c r="Z300" s="305"/>
    </row>
    <row r="301" spans="1:26" x14ac:dyDescent="0.2">
      <c r="A301" s="303"/>
      <c r="B301" s="309" t="s">
        <v>532</v>
      </c>
      <c r="C301" s="397">
        <f>Calc1!I129</f>
        <v>0</v>
      </c>
      <c r="D301" s="395">
        <f>VLOOKUP($B$187:$B$323,Acraft!$A$3:$R$139,6,FALSE)+Calc1!$C$168*VLOOKUP($B$187:$B$323,Acraft!$A$3:$R$139,13,FALSE)/1000</f>
        <v>0.84681479999999998</v>
      </c>
      <c r="E301" s="398">
        <f t="shared" si="52"/>
        <v>0</v>
      </c>
      <c r="F301" s="312">
        <f>VLOOKUP($B$187:$B$323,Acraft!$A$3:$R$139,7,FALSE)+Calc1!$C$168*VLOOKUP($B$187:$B$323,Acraft!$A$3:$R$139,14,FALSE)/1000</f>
        <v>1.0201151999999998</v>
      </c>
      <c r="G301" s="312">
        <f t="shared" si="53"/>
        <v>0</v>
      </c>
      <c r="H301" s="312">
        <f>VLOOKUP($B$187:$B$323,Acraft!$A$3:$R$139,8,FALSE)+Calc1!$C$168*VLOOKUP($B$187:$B$323,Acraft!$A$3:$R$139,15,FALSE)/1000</f>
        <v>1.3058837999999999</v>
      </c>
      <c r="I301" s="312">
        <f t="shared" si="54"/>
        <v>0</v>
      </c>
      <c r="J301" s="312">
        <f>VLOOKUP($B$187:$B$323,Acraft!$A$3:$R$139,9,FALSE)+Calc1!$C$168*VLOOKUP($B$187:$B$323,Acraft!$A$3:$R$139,16,FALSE)/1000</f>
        <v>7.3825200000000001E-3</v>
      </c>
      <c r="K301" s="312">
        <f t="shared" si="55"/>
        <v>0</v>
      </c>
      <c r="L301" s="312">
        <f>VLOOKUP($B$187:$B$323,Acraft!$A$3:$R$139,10,FALSE)+Calc1!$C$168*VLOOKUP($B$187:$B$323,Acraft!$A$3:$R$139,17,FALSE)/1000</f>
        <v>5.7329999999999999E-2</v>
      </c>
      <c r="M301" s="312">
        <f t="shared" si="56"/>
        <v>0</v>
      </c>
      <c r="N301" s="312">
        <f>VLOOKUP($B$187:$B$323,Acraft!$A$3:$R$139,11,FALSE)+Calc1!$C$168*VLOOKUP($B$187:$B$323,Acraft!$A$3:$R$139,18,FALSE)/1000</f>
        <v>361.17899999999997</v>
      </c>
      <c r="O301" s="398">
        <f t="shared" si="57"/>
        <v>0</v>
      </c>
      <c r="P301" s="312">
        <f>VLOOKUP($B$187:$B$323,Acraft!$A$3:$R$139,5,FALSE)+Calc1!$C$168*VLOOKUP($B$187:$B$323,Acraft!$A$3:$R$139,12,FALSE)/1000</f>
        <v>114.66</v>
      </c>
      <c r="Q301" s="396">
        <f t="shared" si="58"/>
        <v>0</v>
      </c>
      <c r="R301" s="399">
        <f>VLOOKUP($B$187:$B$323,Acraft!$A$3:$Y$139,20,FALSE)*$Y301*Calc2!$C301/2/1000/1000</f>
        <v>0</v>
      </c>
      <c r="S301" s="400">
        <f>VLOOKUP($B$187:$B$323,Acraft!$A$3:$Y$139,21,FALSE)*$Y301*Calc2!$C301/2/1000/1000</f>
        <v>0</v>
      </c>
      <c r="T301" s="400">
        <f>VLOOKUP($B$187:$B$323,Acraft!$A$3:$Y$139,22,FALSE)*$Y301*Calc2!$C301/2/1000/1000</f>
        <v>0</v>
      </c>
      <c r="U301" s="400">
        <f>VLOOKUP($B$187:$B$323,Acraft!$A$3:$Y$139,23,FALSE)*$Y301*Calc2!$C301/2/1000/1000</f>
        <v>0</v>
      </c>
      <c r="V301" s="400">
        <f>VLOOKUP($B$187:$B$323,Acraft!$A$3:$Y$139,24,FALSE)*$Y301*Calc2!$C301/2/1000/1000</f>
        <v>0</v>
      </c>
      <c r="W301" s="398">
        <f>VLOOKUP($B$187:$B$323,Acraft!$A$3:$Y$139,25,FALSE)*$Y301*Calc2!$C301/2/1000/1000</f>
        <v>0</v>
      </c>
      <c r="X301" s="398">
        <f>VLOOKUP($B$187:$B$323,Acraft!$A$3:$Y$139,19,FALSE)*$Y301*Calc2!$C301/2</f>
        <v>0</v>
      </c>
      <c r="Y301" s="309">
        <f>IF(VLOOKUP($B$187:$B$323,Acraft!$A$3:$Y$139,19,FALSE)=4,Calc1!$C$173,IF(VLOOKUP($B$187:$B$323,Acraft!$A$3:$Y$139,19,FALSE)=1.77777777777778,Calc1!$C$172,0))</f>
        <v>0</v>
      </c>
      <c r="Z301" s="305"/>
    </row>
    <row r="302" spans="1:26" x14ac:dyDescent="0.2">
      <c r="A302" s="303"/>
      <c r="B302" s="309" t="s">
        <v>534</v>
      </c>
      <c r="C302" s="397">
        <f>Calc1!I130</f>
        <v>0</v>
      </c>
      <c r="D302" s="395">
        <f>VLOOKUP($B$187:$B$323,Acraft!$A$3:$R$139,6,FALSE)+Calc1!$C$168*VLOOKUP($B$187:$B$323,Acraft!$A$3:$R$139,13,FALSE)/1000</f>
        <v>1.7061136680000002</v>
      </c>
      <c r="E302" s="398">
        <f t="shared" si="52"/>
        <v>0</v>
      </c>
      <c r="F302" s="312">
        <f>VLOOKUP($B$187:$B$323,Acraft!$A$3:$R$139,7,FALSE)+Calc1!$C$168*VLOOKUP($B$187:$B$323,Acraft!$A$3:$R$139,14,FALSE)/1000</f>
        <v>0.19871398800000001</v>
      </c>
      <c r="G302" s="312">
        <f t="shared" si="53"/>
        <v>0</v>
      </c>
      <c r="H302" s="312">
        <f>VLOOKUP($B$187:$B$323,Acraft!$A$3:$R$139,8,FALSE)+Calc1!$C$168*VLOOKUP($B$187:$B$323,Acraft!$A$3:$R$139,15,FALSE)/1000</f>
        <v>3.3518960880000002</v>
      </c>
      <c r="I302" s="312">
        <f t="shared" si="54"/>
        <v>0</v>
      </c>
      <c r="J302" s="312">
        <f>VLOOKUP($B$187:$B$323,Acraft!$A$3:$R$139,9,FALSE)+Calc1!$C$168*VLOOKUP($B$187:$B$323,Acraft!$A$3:$R$139,16,FALSE)/1000</f>
        <v>4.3075371999999994E-2</v>
      </c>
      <c r="K302" s="312">
        <f t="shared" si="55"/>
        <v>0</v>
      </c>
      <c r="L302" s="312">
        <f>VLOOKUP($B$187:$B$323,Acraft!$A$3:$R$139,10,FALSE)+Calc1!$C$168*VLOOKUP($B$187:$B$323,Acraft!$A$3:$R$139,17,FALSE)/1000</f>
        <v>0.15202199999999999</v>
      </c>
      <c r="M302" s="312">
        <f t="shared" si="56"/>
        <v>0</v>
      </c>
      <c r="N302" s="312">
        <f>VLOOKUP($B$187:$B$323,Acraft!$A$3:$R$139,11,FALSE)+Calc1!$C$168*VLOOKUP($B$187:$B$323,Acraft!$A$3:$R$139,18,FALSE)/1000</f>
        <v>957.73860000000013</v>
      </c>
      <c r="O302" s="398">
        <f t="shared" si="57"/>
        <v>0</v>
      </c>
      <c r="P302" s="312">
        <f>VLOOKUP($B$187:$B$323,Acraft!$A$3:$R$139,5,FALSE)+Calc1!$C$168*VLOOKUP($B$187:$B$323,Acraft!$A$3:$R$139,12,FALSE)/1000</f>
        <v>304.04399999999998</v>
      </c>
      <c r="Q302" s="396">
        <f t="shared" si="58"/>
        <v>0</v>
      </c>
      <c r="R302" s="399">
        <f>VLOOKUP($B$187:$B$323,Acraft!$A$3:$Y$139,20,FALSE)*$Y302*Calc2!$C302/2/1000/1000</f>
        <v>0</v>
      </c>
      <c r="S302" s="400">
        <f>VLOOKUP($B$187:$B$323,Acraft!$A$3:$Y$139,21,FALSE)*$Y302*Calc2!$C302/2/1000/1000</f>
        <v>0</v>
      </c>
      <c r="T302" s="400">
        <f>VLOOKUP($B$187:$B$323,Acraft!$A$3:$Y$139,22,FALSE)*$Y302*Calc2!$C302/2/1000/1000</f>
        <v>0</v>
      </c>
      <c r="U302" s="400">
        <f>VLOOKUP($B$187:$B$323,Acraft!$A$3:$Y$139,23,FALSE)*$Y302*Calc2!$C302/2/1000/1000</f>
        <v>0</v>
      </c>
      <c r="V302" s="400">
        <f>VLOOKUP($B$187:$B$323,Acraft!$A$3:$Y$139,24,FALSE)*$Y302*Calc2!$C302/2/1000/1000</f>
        <v>0</v>
      </c>
      <c r="W302" s="398">
        <f>VLOOKUP($B$187:$B$323,Acraft!$A$3:$Y$139,25,FALSE)*$Y302*Calc2!$C302/2/1000/1000</f>
        <v>0</v>
      </c>
      <c r="X302" s="398">
        <f>VLOOKUP($B$187:$B$323,Acraft!$A$3:$Y$139,19,FALSE)*$Y302*Calc2!$C302/2</f>
        <v>0</v>
      </c>
      <c r="Y302" s="309">
        <f>IF(VLOOKUP($B$187:$B$323,Acraft!$A$3:$Y$139,19,FALSE)=4,Calc1!$C$173,IF(VLOOKUP($B$187:$B$323,Acraft!$A$3:$Y$139,19,FALSE)=1.77777777777778,Calc1!$C$172,0))</f>
        <v>0</v>
      </c>
      <c r="Z302" s="305"/>
    </row>
    <row r="303" spans="1:26" x14ac:dyDescent="0.2">
      <c r="A303" s="303"/>
      <c r="B303" s="309" t="s">
        <v>536</v>
      </c>
      <c r="C303" s="397">
        <f>Calc1!I131</f>
        <v>0</v>
      </c>
      <c r="D303" s="395">
        <f>VLOOKUP($B$187:$B$323,Acraft!$A$3:$R$139,6,FALSE)+Calc1!$C$168*VLOOKUP($B$187:$B$323,Acraft!$A$3:$R$139,13,FALSE)/1000</f>
        <v>0.89775156</v>
      </c>
      <c r="E303" s="398">
        <f t="shared" si="52"/>
        <v>0</v>
      </c>
      <c r="F303" s="312">
        <f>VLOOKUP($B$187:$B$323,Acraft!$A$3:$R$139,7,FALSE)+Calc1!$C$168*VLOOKUP($B$187:$B$323,Acraft!$A$3:$R$139,14,FALSE)/1000</f>
        <v>0.48022307999999991</v>
      </c>
      <c r="G303" s="312">
        <f t="shared" si="53"/>
        <v>0</v>
      </c>
      <c r="H303" s="312">
        <f>VLOOKUP($B$187:$B$323,Acraft!$A$3:$R$139,8,FALSE)+Calc1!$C$168*VLOOKUP($B$187:$B$323,Acraft!$A$3:$R$139,15,FALSE)/1000</f>
        <v>4.6379560199999998</v>
      </c>
      <c r="I303" s="312">
        <f t="shared" si="54"/>
        <v>0</v>
      </c>
      <c r="J303" s="312">
        <f>VLOOKUP($B$187:$B$323,Acraft!$A$3:$R$139,9,FALSE)+Calc1!$C$168*VLOOKUP($B$187:$B$323,Acraft!$A$3:$R$139,16,FALSE)/1000</f>
        <v>2.0671172000000005E-2</v>
      </c>
      <c r="K303" s="312">
        <f t="shared" si="55"/>
        <v>0</v>
      </c>
      <c r="L303" s="312">
        <f>VLOOKUP($B$187:$B$323,Acraft!$A$3:$R$139,10,FALSE)+Calc1!$C$168*VLOOKUP($B$187:$B$323,Acraft!$A$3:$R$139,17,FALSE)/1000</f>
        <v>7.1340000000000001E-2</v>
      </c>
      <c r="M303" s="312">
        <f t="shared" si="56"/>
        <v>0</v>
      </c>
      <c r="N303" s="312">
        <f>VLOOKUP($B$187:$B$323,Acraft!$A$3:$R$139,11,FALSE)+Calc1!$C$168*VLOOKUP($B$187:$B$323,Acraft!$A$3:$R$139,18,FALSE)/1000</f>
        <v>449.44200000000001</v>
      </c>
      <c r="O303" s="398">
        <f t="shared" si="57"/>
        <v>0</v>
      </c>
      <c r="P303" s="312">
        <f>VLOOKUP($B$187:$B$323,Acraft!$A$3:$R$139,5,FALSE)+Calc1!$C$168*VLOOKUP($B$187:$B$323,Acraft!$A$3:$R$139,12,FALSE)/1000</f>
        <v>142.68</v>
      </c>
      <c r="Q303" s="396">
        <f t="shared" si="58"/>
        <v>0</v>
      </c>
      <c r="R303" s="399">
        <f>VLOOKUP($B$187:$B$323,Acraft!$A$3:$Y$139,20,FALSE)*$Y303*Calc2!$C303/2/1000/1000</f>
        <v>0</v>
      </c>
      <c r="S303" s="400">
        <f>VLOOKUP($B$187:$B$323,Acraft!$A$3:$Y$139,21,FALSE)*$Y303*Calc2!$C303/2/1000/1000</f>
        <v>0</v>
      </c>
      <c r="T303" s="400">
        <f>VLOOKUP($B$187:$B$323,Acraft!$A$3:$Y$139,22,FALSE)*$Y303*Calc2!$C303/2/1000/1000</f>
        <v>0</v>
      </c>
      <c r="U303" s="400">
        <f>VLOOKUP($B$187:$B$323,Acraft!$A$3:$Y$139,23,FALSE)*$Y303*Calc2!$C303/2/1000/1000</f>
        <v>0</v>
      </c>
      <c r="V303" s="400">
        <f>VLOOKUP($B$187:$B$323,Acraft!$A$3:$Y$139,24,FALSE)*$Y303*Calc2!$C303/2/1000/1000</f>
        <v>0</v>
      </c>
      <c r="W303" s="398">
        <f>VLOOKUP($B$187:$B$323,Acraft!$A$3:$Y$139,25,FALSE)*$Y303*Calc2!$C303/2/1000/1000</f>
        <v>0</v>
      </c>
      <c r="X303" s="398">
        <f>VLOOKUP($B$187:$B$323,Acraft!$A$3:$Y$139,19,FALSE)*$Y303*Calc2!$C303/2</f>
        <v>0</v>
      </c>
      <c r="Y303" s="309">
        <f>IF(VLOOKUP($B$187:$B$323,Acraft!$A$3:$Y$139,19,FALSE)=4,Calc1!$C$173,IF(VLOOKUP($B$187:$B$323,Acraft!$A$3:$Y$139,19,FALSE)=1.77777777777778,Calc1!$C$172,0))</f>
        <v>0</v>
      </c>
      <c r="Z303" s="305"/>
    </row>
    <row r="304" spans="1:26" x14ac:dyDescent="0.2">
      <c r="A304" s="303"/>
      <c r="B304" s="309" t="s">
        <v>538</v>
      </c>
      <c r="C304" s="397">
        <f>Calc1!I132</f>
        <v>0</v>
      </c>
      <c r="D304" s="395">
        <f>VLOOKUP($B$187:$B$323,Acraft!$A$3:$R$139,6,FALSE)+Calc1!$C$168*VLOOKUP($B$187:$B$323,Acraft!$A$3:$R$139,13,FALSE)/1000</f>
        <v>0.81097140000000001</v>
      </c>
      <c r="E304" s="398">
        <f t="shared" si="52"/>
        <v>0</v>
      </c>
      <c r="F304" s="312">
        <f>VLOOKUP($B$187:$B$323,Acraft!$A$3:$R$139,7,FALSE)+Calc1!$C$168*VLOOKUP($B$187:$B$323,Acraft!$A$3:$R$139,14,FALSE)/1000</f>
        <v>0.1076148</v>
      </c>
      <c r="G304" s="312">
        <f t="shared" si="53"/>
        <v>0</v>
      </c>
      <c r="H304" s="312">
        <f>VLOOKUP($B$187:$B$323,Acraft!$A$3:$R$139,8,FALSE)+Calc1!$C$168*VLOOKUP($B$187:$B$323,Acraft!$A$3:$R$139,15,FALSE)/1000</f>
        <v>1.0661532</v>
      </c>
      <c r="I304" s="312">
        <f t="shared" si="54"/>
        <v>0</v>
      </c>
      <c r="J304" s="312">
        <f>VLOOKUP($B$187:$B$323,Acraft!$A$3:$R$139,9,FALSE)+Calc1!$C$168*VLOOKUP($B$187:$B$323,Acraft!$A$3:$R$139,16,FALSE)/1000</f>
        <v>9.7044920000000021E-3</v>
      </c>
      <c r="K304" s="312">
        <f t="shared" si="55"/>
        <v>0</v>
      </c>
      <c r="L304" s="312">
        <f>VLOOKUP($B$187:$B$323,Acraft!$A$3:$R$139,10,FALSE)+Calc1!$C$168*VLOOKUP($B$187:$B$323,Acraft!$A$3:$R$139,17,FALSE)/1000</f>
        <v>8.0655000000000004E-2</v>
      </c>
      <c r="M304" s="312">
        <f t="shared" si="56"/>
        <v>0</v>
      </c>
      <c r="N304" s="312">
        <f>VLOOKUP($B$187:$B$323,Acraft!$A$3:$R$139,11,FALSE)+Calc1!$C$168*VLOOKUP($B$187:$B$323,Acraft!$A$3:$R$139,18,FALSE)/1000</f>
        <v>508.12649999999996</v>
      </c>
      <c r="O304" s="398">
        <f t="shared" si="57"/>
        <v>0</v>
      </c>
      <c r="P304" s="312">
        <f>VLOOKUP($B$187:$B$323,Acraft!$A$3:$R$139,5,FALSE)+Calc1!$C$168*VLOOKUP($B$187:$B$323,Acraft!$A$3:$R$139,12,FALSE)/1000</f>
        <v>161.31</v>
      </c>
      <c r="Q304" s="396">
        <f t="shared" si="58"/>
        <v>0</v>
      </c>
      <c r="R304" s="399">
        <f>VLOOKUP($B$187:$B$323,Acraft!$A$3:$Y$139,20,FALSE)*$Y304*Calc2!$C304/2/1000/1000</f>
        <v>0</v>
      </c>
      <c r="S304" s="400">
        <f>VLOOKUP($B$187:$B$323,Acraft!$A$3:$Y$139,21,FALSE)*$Y304*Calc2!$C304/2/1000/1000</f>
        <v>0</v>
      </c>
      <c r="T304" s="400">
        <f>VLOOKUP($B$187:$B$323,Acraft!$A$3:$Y$139,22,FALSE)*$Y304*Calc2!$C304/2/1000/1000</f>
        <v>0</v>
      </c>
      <c r="U304" s="400">
        <f>VLOOKUP($B$187:$B$323,Acraft!$A$3:$Y$139,23,FALSE)*$Y304*Calc2!$C304/2/1000/1000</f>
        <v>0</v>
      </c>
      <c r="V304" s="400">
        <f>VLOOKUP($B$187:$B$323,Acraft!$A$3:$Y$139,24,FALSE)*$Y304*Calc2!$C304/2/1000/1000</f>
        <v>0</v>
      </c>
      <c r="W304" s="398">
        <f>VLOOKUP($B$187:$B$323,Acraft!$A$3:$Y$139,25,FALSE)*$Y304*Calc2!$C304/2/1000/1000</f>
        <v>0</v>
      </c>
      <c r="X304" s="398">
        <f>VLOOKUP($B$187:$B$323,Acraft!$A$3:$Y$139,19,FALSE)*$Y304*Calc2!$C304/2</f>
        <v>0</v>
      </c>
      <c r="Y304" s="309">
        <f>IF(VLOOKUP($B$187:$B$323,Acraft!$A$3:$Y$139,19,FALSE)=4,Calc1!$C$173,IF(VLOOKUP($B$187:$B$323,Acraft!$A$3:$Y$139,19,FALSE)=1.77777777777778,Calc1!$C$172,0))</f>
        <v>0</v>
      </c>
      <c r="Z304" s="305"/>
    </row>
    <row r="305" spans="1:26" x14ac:dyDescent="0.2">
      <c r="A305" s="303"/>
      <c r="B305" s="309" t="s">
        <v>540</v>
      </c>
      <c r="C305" s="397">
        <f>Calc1!I133</f>
        <v>0</v>
      </c>
      <c r="D305" s="395">
        <f>VLOOKUP($B$187:$B$323,Acraft!$A$3:$R$139,6,FALSE)+Calc1!$C$168*VLOOKUP($B$187:$B$323,Acraft!$A$3:$R$139,13,FALSE)/1000</f>
        <v>0.48558299999999999</v>
      </c>
      <c r="E305" s="398">
        <f t="shared" si="52"/>
        <v>0</v>
      </c>
      <c r="F305" s="312">
        <f>VLOOKUP($B$187:$B$323,Acraft!$A$3:$R$139,7,FALSE)+Calc1!$C$168*VLOOKUP($B$187:$B$323,Acraft!$A$3:$R$139,14,FALSE)/1000</f>
        <v>0.86896799999999985</v>
      </c>
      <c r="G305" s="312">
        <f t="shared" si="53"/>
        <v>0</v>
      </c>
      <c r="H305" s="312">
        <f>VLOOKUP($B$187:$B$323,Acraft!$A$3:$R$139,8,FALSE)+Calc1!$C$168*VLOOKUP($B$187:$B$323,Acraft!$A$3:$R$139,15,FALSE)/1000</f>
        <v>2.4273593999999998</v>
      </c>
      <c r="I305" s="312">
        <f t="shared" si="54"/>
        <v>0</v>
      </c>
      <c r="J305" s="312">
        <f>VLOOKUP($B$187:$B$323,Acraft!$A$3:$R$139,9,FALSE)+Calc1!$C$168*VLOOKUP($B$187:$B$323,Acraft!$A$3:$R$139,16,FALSE)/1000</f>
        <v>1.4455572E-2</v>
      </c>
      <c r="K305" s="312">
        <f t="shared" si="55"/>
        <v>0</v>
      </c>
      <c r="L305" s="312">
        <f>VLOOKUP($B$187:$B$323,Acraft!$A$3:$R$139,10,FALSE)+Calc1!$C$168*VLOOKUP($B$187:$B$323,Acraft!$A$3:$R$139,17,FALSE)/1000</f>
        <v>5.0837999999999994E-2</v>
      </c>
      <c r="M305" s="312">
        <f t="shared" si="56"/>
        <v>0</v>
      </c>
      <c r="N305" s="312">
        <f>VLOOKUP($B$187:$B$323,Acraft!$A$3:$R$139,11,FALSE)+Calc1!$C$168*VLOOKUP($B$187:$B$323,Acraft!$A$3:$R$139,18,FALSE)/1000</f>
        <v>320.2793999999999</v>
      </c>
      <c r="O305" s="398">
        <f t="shared" si="57"/>
        <v>0</v>
      </c>
      <c r="P305" s="312">
        <f>VLOOKUP($B$187:$B$323,Acraft!$A$3:$R$139,5,FALSE)+Calc1!$C$168*VLOOKUP($B$187:$B$323,Acraft!$A$3:$R$139,12,FALSE)/1000</f>
        <v>101.67599999999999</v>
      </c>
      <c r="Q305" s="396">
        <f t="shared" si="58"/>
        <v>0</v>
      </c>
      <c r="R305" s="399">
        <f>VLOOKUP($B$187:$B$323,Acraft!$A$3:$Y$139,20,FALSE)*$Y305*Calc2!$C305/2/1000/1000</f>
        <v>0</v>
      </c>
      <c r="S305" s="400">
        <f>VLOOKUP($B$187:$B$323,Acraft!$A$3:$Y$139,21,FALSE)*$Y305*Calc2!$C305/2/1000/1000</f>
        <v>0</v>
      </c>
      <c r="T305" s="400">
        <f>VLOOKUP($B$187:$B$323,Acraft!$A$3:$Y$139,22,FALSE)*$Y305*Calc2!$C305/2/1000/1000</f>
        <v>0</v>
      </c>
      <c r="U305" s="400">
        <f>VLOOKUP($B$187:$B$323,Acraft!$A$3:$Y$139,23,FALSE)*$Y305*Calc2!$C305/2/1000/1000</f>
        <v>0</v>
      </c>
      <c r="V305" s="400">
        <f>VLOOKUP($B$187:$B$323,Acraft!$A$3:$Y$139,24,FALSE)*$Y305*Calc2!$C305/2/1000/1000</f>
        <v>0</v>
      </c>
      <c r="W305" s="398">
        <f>VLOOKUP($B$187:$B$323,Acraft!$A$3:$Y$139,25,FALSE)*$Y305*Calc2!$C305/2/1000/1000</f>
        <v>0</v>
      </c>
      <c r="X305" s="398">
        <f>VLOOKUP($B$187:$B$323,Acraft!$A$3:$Y$139,19,FALSE)*$Y305*Calc2!$C305/2</f>
        <v>0</v>
      </c>
      <c r="Y305" s="309">
        <f>IF(VLOOKUP($B$187:$B$323,Acraft!$A$3:$Y$139,19,FALSE)=4,Calc1!$C$173,IF(VLOOKUP($B$187:$B$323,Acraft!$A$3:$Y$139,19,FALSE)=1.77777777777778,Calc1!$C$172,0))</f>
        <v>0</v>
      </c>
      <c r="Z305" s="305"/>
    </row>
    <row r="306" spans="1:26" x14ac:dyDescent="0.2">
      <c r="A306" s="303"/>
      <c r="B306" s="309" t="s">
        <v>542</v>
      </c>
      <c r="C306" s="397">
        <f>Calc1!I134</f>
        <v>0</v>
      </c>
      <c r="D306" s="395">
        <f>VLOOKUP($B$187:$B$323,Acraft!$A$3:$R$139,6,FALSE)+Calc1!$C$168*VLOOKUP($B$187:$B$323,Acraft!$A$3:$R$139,13,FALSE)/1000</f>
        <v>0.43582799999999999</v>
      </c>
      <c r="E306" s="398">
        <f t="shared" si="52"/>
        <v>0</v>
      </c>
      <c r="F306" s="312">
        <f>VLOOKUP($B$187:$B$323,Acraft!$A$3:$R$139,7,FALSE)+Calc1!$C$168*VLOOKUP($B$187:$B$323,Acraft!$A$3:$R$139,14,FALSE)/1000</f>
        <v>0.89990999999999999</v>
      </c>
      <c r="G306" s="312">
        <f t="shared" si="53"/>
        <v>0</v>
      </c>
      <c r="H306" s="312">
        <f>VLOOKUP($B$187:$B$323,Acraft!$A$3:$R$139,8,FALSE)+Calc1!$C$168*VLOOKUP($B$187:$B$323,Acraft!$A$3:$R$139,15,FALSE)/1000</f>
        <v>3.2516339999999997</v>
      </c>
      <c r="I306" s="312">
        <f t="shared" si="54"/>
        <v>0</v>
      </c>
      <c r="J306" s="312">
        <f>VLOOKUP($B$187:$B$323,Acraft!$A$3:$R$139,9,FALSE)+Calc1!$C$168*VLOOKUP($B$187:$B$323,Acraft!$A$3:$R$139,16,FALSE)/1000</f>
        <v>1.2853320000000001E-2</v>
      </c>
      <c r="K306" s="312">
        <f t="shared" si="55"/>
        <v>0</v>
      </c>
      <c r="L306" s="312">
        <f>VLOOKUP($B$187:$B$323,Acraft!$A$3:$R$139,10,FALSE)+Calc1!$C$168*VLOOKUP($B$187:$B$323,Acraft!$A$3:$R$139,17,FALSE)/1000</f>
        <v>4.7280000000000003E-2</v>
      </c>
      <c r="M306" s="312">
        <f t="shared" si="56"/>
        <v>0</v>
      </c>
      <c r="N306" s="312">
        <f>VLOOKUP($B$187:$B$323,Acraft!$A$3:$R$139,11,FALSE)+Calc1!$C$168*VLOOKUP($B$187:$B$323,Acraft!$A$3:$R$139,18,FALSE)/1000</f>
        <v>297.86399999999998</v>
      </c>
      <c r="O306" s="398">
        <f t="shared" si="57"/>
        <v>0</v>
      </c>
      <c r="P306" s="312">
        <f>VLOOKUP($B$187:$B$323,Acraft!$A$3:$R$139,5,FALSE)+Calc1!$C$168*VLOOKUP($B$187:$B$323,Acraft!$A$3:$R$139,12,FALSE)/1000</f>
        <v>94.56</v>
      </c>
      <c r="Q306" s="396">
        <f t="shared" si="58"/>
        <v>0</v>
      </c>
      <c r="R306" s="399">
        <f>VLOOKUP($B$187:$B$323,Acraft!$A$3:$Y$139,20,FALSE)*$Y306*Calc2!$C306/2/1000/1000</f>
        <v>0</v>
      </c>
      <c r="S306" s="400">
        <f>VLOOKUP($B$187:$B$323,Acraft!$A$3:$Y$139,21,FALSE)*$Y306*Calc2!$C306/2/1000/1000</f>
        <v>0</v>
      </c>
      <c r="T306" s="400">
        <f>VLOOKUP($B$187:$B$323,Acraft!$A$3:$Y$139,22,FALSE)*$Y306*Calc2!$C306/2/1000/1000</f>
        <v>0</v>
      </c>
      <c r="U306" s="400">
        <f>VLOOKUP($B$187:$B$323,Acraft!$A$3:$Y$139,23,FALSE)*$Y306*Calc2!$C306/2/1000/1000</f>
        <v>0</v>
      </c>
      <c r="V306" s="400">
        <f>VLOOKUP($B$187:$B$323,Acraft!$A$3:$Y$139,24,FALSE)*$Y306*Calc2!$C306/2/1000/1000</f>
        <v>0</v>
      </c>
      <c r="W306" s="398">
        <f>VLOOKUP($B$187:$B$323,Acraft!$A$3:$Y$139,25,FALSE)*$Y306*Calc2!$C306/2/1000/1000</f>
        <v>0</v>
      </c>
      <c r="X306" s="398">
        <f>VLOOKUP($B$187:$B$323,Acraft!$A$3:$Y$139,19,FALSE)*$Y306*Calc2!$C306/2</f>
        <v>0</v>
      </c>
      <c r="Y306" s="309">
        <f>IF(VLOOKUP($B$187:$B$323,Acraft!$A$3:$Y$139,19,FALSE)=4,Calc1!$C$173,IF(VLOOKUP($B$187:$B$323,Acraft!$A$3:$Y$139,19,FALSE)=1.77777777777778,Calc1!$C$172,0))</f>
        <v>0</v>
      </c>
      <c r="Z306" s="305"/>
    </row>
    <row r="307" spans="1:26" x14ac:dyDescent="0.2">
      <c r="A307" s="303"/>
      <c r="B307" s="309" t="s">
        <v>544</v>
      </c>
      <c r="C307" s="397">
        <f>Calc1!I135</f>
        <v>0</v>
      </c>
      <c r="D307" s="395">
        <f>VLOOKUP($B$187:$B$323,Acraft!$A$3:$R$139,6,FALSE)+Calc1!$C$168*VLOOKUP($B$187:$B$323,Acraft!$A$3:$R$139,13,FALSE)/1000</f>
        <v>0.81097140000000001</v>
      </c>
      <c r="E307" s="398">
        <f t="shared" si="52"/>
        <v>0</v>
      </c>
      <c r="F307" s="312">
        <f>VLOOKUP($B$187:$B$323,Acraft!$A$3:$R$139,7,FALSE)+Calc1!$C$168*VLOOKUP($B$187:$B$323,Acraft!$A$3:$R$139,14,FALSE)/1000</f>
        <v>0.1076148</v>
      </c>
      <c r="G307" s="312">
        <f t="shared" si="53"/>
        <v>0</v>
      </c>
      <c r="H307" s="312">
        <f>VLOOKUP($B$187:$B$323,Acraft!$A$3:$R$139,8,FALSE)+Calc1!$C$168*VLOOKUP($B$187:$B$323,Acraft!$A$3:$R$139,15,FALSE)/1000</f>
        <v>1.0661532</v>
      </c>
      <c r="I307" s="312">
        <f t="shared" si="54"/>
        <v>0</v>
      </c>
      <c r="J307" s="312">
        <f>VLOOKUP($B$187:$B$323,Acraft!$A$3:$R$139,9,FALSE)+Calc1!$C$168*VLOOKUP($B$187:$B$323,Acraft!$A$3:$R$139,16,FALSE)/1000</f>
        <v>9.7044920000000021E-3</v>
      </c>
      <c r="K307" s="312">
        <f t="shared" si="55"/>
        <v>0</v>
      </c>
      <c r="L307" s="312">
        <f>VLOOKUP($B$187:$B$323,Acraft!$A$3:$R$139,10,FALSE)+Calc1!$C$168*VLOOKUP($B$187:$B$323,Acraft!$A$3:$R$139,17,FALSE)/1000</f>
        <v>8.0655000000000004E-2</v>
      </c>
      <c r="M307" s="312">
        <f t="shared" si="56"/>
        <v>0</v>
      </c>
      <c r="N307" s="312">
        <f>VLOOKUP($B$187:$B$323,Acraft!$A$3:$R$139,11,FALSE)+Calc1!$C$168*VLOOKUP($B$187:$B$323,Acraft!$A$3:$R$139,18,FALSE)/1000</f>
        <v>508.12649999999996</v>
      </c>
      <c r="O307" s="398">
        <f t="shared" si="57"/>
        <v>0</v>
      </c>
      <c r="P307" s="312">
        <f>VLOOKUP($B$187:$B$323,Acraft!$A$3:$R$139,5,FALSE)+Calc1!$C$168*VLOOKUP($B$187:$B$323,Acraft!$A$3:$R$139,12,FALSE)/1000</f>
        <v>161.31</v>
      </c>
      <c r="Q307" s="396">
        <f t="shared" si="58"/>
        <v>0</v>
      </c>
      <c r="R307" s="399">
        <f>VLOOKUP($B$187:$B$323,Acraft!$A$3:$Y$139,20,FALSE)*$Y307*Calc2!$C307/2/1000/1000</f>
        <v>0</v>
      </c>
      <c r="S307" s="400">
        <f>VLOOKUP($B$187:$B$323,Acraft!$A$3:$Y$139,21,FALSE)*$Y307*Calc2!$C307/2/1000/1000</f>
        <v>0</v>
      </c>
      <c r="T307" s="400">
        <f>VLOOKUP($B$187:$B$323,Acraft!$A$3:$Y$139,22,FALSE)*$Y307*Calc2!$C307/2/1000/1000</f>
        <v>0</v>
      </c>
      <c r="U307" s="400">
        <f>VLOOKUP($B$187:$B$323,Acraft!$A$3:$Y$139,23,FALSE)*$Y307*Calc2!$C307/2/1000/1000</f>
        <v>0</v>
      </c>
      <c r="V307" s="400">
        <f>VLOOKUP($B$187:$B$323,Acraft!$A$3:$Y$139,24,FALSE)*$Y307*Calc2!$C307/2/1000/1000</f>
        <v>0</v>
      </c>
      <c r="W307" s="398">
        <f>VLOOKUP($B$187:$B$323,Acraft!$A$3:$Y$139,25,FALSE)*$Y307*Calc2!$C307/2/1000/1000</f>
        <v>0</v>
      </c>
      <c r="X307" s="398">
        <f>VLOOKUP($B$187:$B$323,Acraft!$A$3:$Y$139,19,FALSE)*$Y307*Calc2!$C307/2</f>
        <v>0</v>
      </c>
      <c r="Y307" s="309">
        <f>IF(VLOOKUP($B$187:$B$323,Acraft!$A$3:$Y$139,19,FALSE)=4,Calc1!$C$173,IF(VLOOKUP($B$187:$B$323,Acraft!$A$3:$Y$139,19,FALSE)=1.77777777777778,Calc1!$C$172,0))</f>
        <v>15</v>
      </c>
      <c r="Z307" s="305"/>
    </row>
    <row r="308" spans="1:26" x14ac:dyDescent="0.2">
      <c r="A308" s="303"/>
      <c r="B308" s="309" t="s">
        <v>546</v>
      </c>
      <c r="C308" s="397">
        <f>Calc1!I136</f>
        <v>0</v>
      </c>
      <c r="D308" s="395">
        <f>VLOOKUP($B$187:$B$323,Acraft!$A$3:$R$139,6,FALSE)+Calc1!$C$168*VLOOKUP($B$187:$B$323,Acraft!$A$3:$R$139,13,FALSE)/1000</f>
        <v>0.26304240000000001</v>
      </c>
      <c r="E308" s="398">
        <f t="shared" si="52"/>
        <v>0</v>
      </c>
      <c r="F308" s="312">
        <f>VLOOKUP($B$187:$B$323,Acraft!$A$3:$R$139,7,FALSE)+Calc1!$C$168*VLOOKUP($B$187:$B$323,Acraft!$A$3:$R$139,14,FALSE)/1000</f>
        <v>7.0699440000000016E-2</v>
      </c>
      <c r="G308" s="312">
        <f t="shared" si="53"/>
        <v>0</v>
      </c>
      <c r="H308" s="312">
        <f>VLOOKUP($B$187:$B$323,Acraft!$A$3:$R$139,8,FALSE)+Calc1!$C$168*VLOOKUP($B$187:$B$323,Acraft!$A$3:$R$139,15,FALSE)/1000</f>
        <v>2.1620880000000002</v>
      </c>
      <c r="I308" s="312">
        <f t="shared" si="54"/>
        <v>0</v>
      </c>
      <c r="J308" s="312">
        <f>VLOOKUP($B$187:$B$323,Acraft!$A$3:$R$139,9,FALSE)+Calc1!$C$168*VLOOKUP($B$187:$B$323,Acraft!$A$3:$R$139,16,FALSE)/1000</f>
        <v>5.990540643703534E-3</v>
      </c>
      <c r="K308" s="312">
        <f t="shared" si="55"/>
        <v>0</v>
      </c>
      <c r="L308" s="312">
        <f>VLOOKUP($B$187:$B$323,Acraft!$A$3:$R$139,10,FALSE)+Calc1!$C$168*VLOOKUP($B$187:$B$323,Acraft!$A$3:$R$139,17,FALSE)/1000</f>
        <v>3.1595999999999999E-2</v>
      </c>
      <c r="M308" s="312">
        <f t="shared" si="56"/>
        <v>0</v>
      </c>
      <c r="N308" s="312">
        <f>VLOOKUP($B$187:$B$323,Acraft!$A$3:$R$139,11,FALSE)+Calc1!$C$168*VLOOKUP($B$187:$B$323,Acraft!$A$3:$R$139,18,FALSE)/1000</f>
        <v>199.0548</v>
      </c>
      <c r="O308" s="398">
        <f t="shared" si="57"/>
        <v>0</v>
      </c>
      <c r="P308" s="312">
        <f>VLOOKUP($B$187:$B$323,Acraft!$A$3:$R$139,5,FALSE)+Calc1!$C$168*VLOOKUP($B$187:$B$323,Acraft!$A$3:$R$139,12,FALSE)/1000</f>
        <v>63.192</v>
      </c>
      <c r="Q308" s="396">
        <f t="shared" si="58"/>
        <v>0</v>
      </c>
      <c r="R308" s="399">
        <f>VLOOKUP($B$187:$B$323,Acraft!$A$3:$Y$139,20,FALSE)*$Y308*Calc2!$C308/2/1000/1000</f>
        <v>0</v>
      </c>
      <c r="S308" s="400">
        <f>VLOOKUP($B$187:$B$323,Acraft!$A$3:$Y$139,21,FALSE)*$Y308*Calc2!$C308/2/1000/1000</f>
        <v>0</v>
      </c>
      <c r="T308" s="400">
        <f>VLOOKUP($B$187:$B$323,Acraft!$A$3:$Y$139,22,FALSE)*$Y308*Calc2!$C308/2/1000/1000</f>
        <v>0</v>
      </c>
      <c r="U308" s="400">
        <f>VLOOKUP($B$187:$B$323,Acraft!$A$3:$Y$139,23,FALSE)*$Y308*Calc2!$C308/2/1000/1000</f>
        <v>0</v>
      </c>
      <c r="V308" s="400">
        <f>VLOOKUP($B$187:$B$323,Acraft!$A$3:$Y$139,24,FALSE)*$Y308*Calc2!$C308/2/1000/1000</f>
        <v>0</v>
      </c>
      <c r="W308" s="398">
        <f>VLOOKUP($B$187:$B$323,Acraft!$A$3:$Y$139,25,FALSE)*$Y308*Calc2!$C308/2/1000/1000</f>
        <v>0</v>
      </c>
      <c r="X308" s="398">
        <f>VLOOKUP($B$187:$B$323,Acraft!$A$3:$Y$139,19,FALSE)*$Y308*Calc2!$C308/2</f>
        <v>0</v>
      </c>
      <c r="Y308" s="309">
        <f>IF(VLOOKUP($B$187:$B$323,Acraft!$A$3:$Y$139,19,FALSE)=4,Calc1!$C$173,IF(VLOOKUP($B$187:$B$323,Acraft!$A$3:$Y$139,19,FALSE)=1.77777777777778,Calc1!$C$172,0))</f>
        <v>15</v>
      </c>
      <c r="Z308" s="305"/>
    </row>
    <row r="309" spans="1:26" x14ac:dyDescent="0.2">
      <c r="A309" s="303"/>
      <c r="B309" s="309" t="s">
        <v>549</v>
      </c>
      <c r="C309" s="397">
        <f>Calc1!I137</f>
        <v>0</v>
      </c>
      <c r="D309" s="395">
        <f>VLOOKUP($B$187:$B$323,Acraft!$A$3:$R$139,6,FALSE)+Calc1!$C$168*VLOOKUP($B$187:$B$323,Acraft!$A$3:$R$139,13,FALSE)/1000</f>
        <v>1.2500304E-2</v>
      </c>
      <c r="E309" s="398">
        <f t="shared" si="52"/>
        <v>0</v>
      </c>
      <c r="F309" s="312">
        <f>VLOOKUP($B$187:$B$323,Acraft!$A$3:$R$139,7,FALSE)+Calc1!$C$168*VLOOKUP($B$187:$B$323,Acraft!$A$3:$R$139,14,FALSE)/1000</f>
        <v>0.212376648</v>
      </c>
      <c r="G309" s="312">
        <f t="shared" si="53"/>
        <v>0</v>
      </c>
      <c r="H309" s="312">
        <f>VLOOKUP($B$187:$B$323,Acraft!$A$3:$R$139,8,FALSE)+Calc1!$C$168*VLOOKUP($B$187:$B$323,Acraft!$A$3:$R$139,15,FALSE)/1000</f>
        <v>9.997577999999999</v>
      </c>
      <c r="I309" s="312">
        <f t="shared" si="54"/>
        <v>0</v>
      </c>
      <c r="J309" s="312">
        <f>VLOOKUP($B$187:$B$323,Acraft!$A$3:$R$139,9,FALSE)+Calc1!$C$168*VLOOKUP($B$187:$B$323,Acraft!$A$3:$R$139,16,FALSE)/1000</f>
        <v>4.3036000000000007E-4</v>
      </c>
      <c r="K309" s="312">
        <f t="shared" si="55"/>
        <v>0</v>
      </c>
      <c r="L309" s="312">
        <f>VLOOKUP($B$187:$B$323,Acraft!$A$3:$R$139,10,FALSE)+Calc1!$C$168*VLOOKUP($B$187:$B$323,Acraft!$A$3:$R$139,17,FALSE)/1000</f>
        <v>3.9623999999999996E-3</v>
      </c>
      <c r="M309" s="312">
        <f t="shared" si="56"/>
        <v>0</v>
      </c>
      <c r="N309" s="312">
        <f>VLOOKUP($B$187:$B$323,Acraft!$A$3:$R$139,11,FALSE)+Calc1!$C$168*VLOOKUP($B$187:$B$323,Acraft!$A$3:$R$139,18,FALSE)/1000</f>
        <v>24.883871999999997</v>
      </c>
      <c r="O309" s="398">
        <f t="shared" si="57"/>
        <v>0</v>
      </c>
      <c r="P309" s="312">
        <f>VLOOKUP($B$187:$B$323,Acraft!$A$3:$R$139,5,FALSE)+Calc1!$C$168*VLOOKUP($B$187:$B$323,Acraft!$A$3:$R$139,12,FALSE)/1000</f>
        <v>7.9247999999999994</v>
      </c>
      <c r="Q309" s="396">
        <f t="shared" si="58"/>
        <v>0</v>
      </c>
      <c r="R309" s="399">
        <f>VLOOKUP($B$187:$B$323,Acraft!$A$3:$Y$139,20,FALSE)*$Y309*Calc2!$C309/2/1000/1000</f>
        <v>0</v>
      </c>
      <c r="S309" s="400">
        <f>VLOOKUP($B$187:$B$323,Acraft!$A$3:$Y$139,21,FALSE)*$Y309*Calc2!$C309/2/1000/1000</f>
        <v>0</v>
      </c>
      <c r="T309" s="400">
        <f>VLOOKUP($B$187:$B$323,Acraft!$A$3:$Y$139,22,FALSE)*$Y309*Calc2!$C309/2/1000/1000</f>
        <v>0</v>
      </c>
      <c r="U309" s="400">
        <f>VLOOKUP($B$187:$B$323,Acraft!$A$3:$Y$139,23,FALSE)*$Y309*Calc2!$C309/2/1000/1000</f>
        <v>0</v>
      </c>
      <c r="V309" s="400">
        <f>VLOOKUP($B$187:$B$323,Acraft!$A$3:$Y$139,24,FALSE)*$Y309*Calc2!$C309/2/1000/1000</f>
        <v>0</v>
      </c>
      <c r="W309" s="398">
        <f>VLOOKUP($B$187:$B$323,Acraft!$A$3:$Y$139,25,FALSE)*$Y309*Calc2!$C309/2/1000/1000</f>
        <v>0</v>
      </c>
      <c r="X309" s="398">
        <f>VLOOKUP($B$187:$B$323,Acraft!$A$3:$Y$139,19,FALSE)*$Y309*Calc2!$C309/2</f>
        <v>0</v>
      </c>
      <c r="Y309" s="309">
        <f>IF(VLOOKUP($B$187:$B$323,Acraft!$A$3:$Y$139,19,FALSE)=4,Calc1!$C$173,IF(VLOOKUP($B$187:$B$323,Acraft!$A$3:$Y$139,19,FALSE)=1.77777777777778,Calc1!$C$172,0))</f>
        <v>0</v>
      </c>
      <c r="Z309" s="305"/>
    </row>
    <row r="310" spans="1:26" x14ac:dyDescent="0.2">
      <c r="A310" s="303"/>
      <c r="B310" s="309" t="s">
        <v>551</v>
      </c>
      <c r="C310" s="397">
        <f>Calc1!I138</f>
        <v>0</v>
      </c>
      <c r="D310" s="395">
        <f>VLOOKUP($B$187:$B$323,Acraft!$A$3:$R$139,6,FALSE)+Calc1!$C$168*VLOOKUP($B$187:$B$323,Acraft!$A$3:$R$139,13,FALSE)/1000</f>
        <v>0.10971312</v>
      </c>
      <c r="E310" s="398">
        <f t="shared" si="52"/>
        <v>0</v>
      </c>
      <c r="F310" s="312">
        <f>VLOOKUP($B$187:$B$323,Acraft!$A$3:$R$139,7,FALSE)+Calc1!$C$168*VLOOKUP($B$187:$B$323,Acraft!$A$3:$R$139,14,FALSE)/1000</f>
        <v>0.19132164000000002</v>
      </c>
      <c r="G310" s="312">
        <f t="shared" si="53"/>
        <v>0</v>
      </c>
      <c r="H310" s="312">
        <f>VLOOKUP($B$187:$B$323,Acraft!$A$3:$R$139,8,FALSE)+Calc1!$C$168*VLOOKUP($B$187:$B$323,Acraft!$A$3:$R$139,15,FALSE)/1000</f>
        <v>9.6178487999999991</v>
      </c>
      <c r="I310" s="312">
        <f t="shared" si="54"/>
        <v>0</v>
      </c>
      <c r="J310" s="312">
        <f>VLOOKUP($B$187:$B$323,Acraft!$A$3:$R$139,9,FALSE)+Calc1!$C$168*VLOOKUP($B$187:$B$323,Acraft!$A$3:$R$139,16,FALSE)/1000</f>
        <v>3.903852E-4</v>
      </c>
      <c r="K310" s="312">
        <f t="shared" si="55"/>
        <v>0</v>
      </c>
      <c r="L310" s="312">
        <f>VLOOKUP($B$187:$B$323,Acraft!$A$3:$R$139,10,FALSE)+Calc1!$C$168*VLOOKUP($B$187:$B$323,Acraft!$A$3:$R$139,17,FALSE)/1000</f>
        <v>6.4139999999999996E-3</v>
      </c>
      <c r="M310" s="312">
        <f t="shared" si="56"/>
        <v>0</v>
      </c>
      <c r="N310" s="312">
        <f>VLOOKUP($B$187:$B$323,Acraft!$A$3:$R$139,11,FALSE)+Calc1!$C$168*VLOOKUP($B$187:$B$323,Acraft!$A$3:$R$139,18,FALSE)/1000</f>
        <v>40.279920000000004</v>
      </c>
      <c r="O310" s="398">
        <f t="shared" si="57"/>
        <v>0</v>
      </c>
      <c r="P310" s="312">
        <f>VLOOKUP($B$187:$B$323,Acraft!$A$3:$R$139,5,FALSE)+Calc1!$C$168*VLOOKUP($B$187:$B$323,Acraft!$A$3:$R$139,12,FALSE)/1000</f>
        <v>12.827999999999999</v>
      </c>
      <c r="Q310" s="396">
        <f t="shared" si="58"/>
        <v>0</v>
      </c>
      <c r="R310" s="399">
        <f>VLOOKUP($B$187:$B$323,Acraft!$A$3:$Y$139,20,FALSE)*$Y310*Calc2!$C310/2/1000/1000</f>
        <v>0</v>
      </c>
      <c r="S310" s="400">
        <f>VLOOKUP($B$187:$B$323,Acraft!$A$3:$Y$139,21,FALSE)*$Y310*Calc2!$C310/2/1000/1000</f>
        <v>0</v>
      </c>
      <c r="T310" s="400">
        <f>VLOOKUP($B$187:$B$323,Acraft!$A$3:$Y$139,22,FALSE)*$Y310*Calc2!$C310/2/1000/1000</f>
        <v>0</v>
      </c>
      <c r="U310" s="400">
        <f>VLOOKUP($B$187:$B$323,Acraft!$A$3:$Y$139,23,FALSE)*$Y310*Calc2!$C310/2/1000/1000</f>
        <v>0</v>
      </c>
      <c r="V310" s="400">
        <f>VLOOKUP($B$187:$B$323,Acraft!$A$3:$Y$139,24,FALSE)*$Y310*Calc2!$C310/2/1000/1000</f>
        <v>0</v>
      </c>
      <c r="W310" s="398">
        <f>VLOOKUP($B$187:$B$323,Acraft!$A$3:$Y$139,25,FALSE)*$Y310*Calc2!$C310/2/1000/1000</f>
        <v>0</v>
      </c>
      <c r="X310" s="398">
        <f>VLOOKUP($B$187:$B$323,Acraft!$A$3:$Y$139,19,FALSE)*$Y310*Calc2!$C310/2</f>
        <v>0</v>
      </c>
      <c r="Y310" s="309">
        <f>IF(VLOOKUP($B$187:$B$323,Acraft!$A$3:$Y$139,19,FALSE)=4,Calc1!$C$173,IF(VLOOKUP($B$187:$B$323,Acraft!$A$3:$Y$139,19,FALSE)=1.77777777777778,Calc1!$C$172,0))</f>
        <v>0</v>
      </c>
      <c r="Z310" s="305"/>
    </row>
    <row r="311" spans="1:26" x14ac:dyDescent="0.2">
      <c r="A311" s="303"/>
      <c r="B311" s="309" t="s">
        <v>554</v>
      </c>
      <c r="C311" s="397">
        <f>Calc1!I139</f>
        <v>0</v>
      </c>
      <c r="D311" s="395">
        <f>VLOOKUP($B$187:$B$323,Acraft!$A$3:$R$139,6,FALSE)+Calc1!$C$168*VLOOKUP($B$187:$B$323,Acraft!$A$3:$R$139,13,FALSE)/1000</f>
        <v>0.43582799999999999</v>
      </c>
      <c r="E311" s="398">
        <f t="shared" si="52"/>
        <v>0</v>
      </c>
      <c r="F311" s="312">
        <f>VLOOKUP($B$187:$B$323,Acraft!$A$3:$R$139,7,FALSE)+Calc1!$C$168*VLOOKUP($B$187:$B$323,Acraft!$A$3:$R$139,14,FALSE)/1000</f>
        <v>0.89990999999999999</v>
      </c>
      <c r="G311" s="312">
        <f t="shared" si="53"/>
        <v>0</v>
      </c>
      <c r="H311" s="312">
        <f>VLOOKUP($B$187:$B$323,Acraft!$A$3:$R$139,8,FALSE)+Calc1!$C$168*VLOOKUP($B$187:$B$323,Acraft!$A$3:$R$139,15,FALSE)/1000</f>
        <v>3.2516339999999997</v>
      </c>
      <c r="I311" s="312">
        <f t="shared" si="54"/>
        <v>0</v>
      </c>
      <c r="J311" s="312">
        <f>VLOOKUP($B$187:$B$323,Acraft!$A$3:$R$139,9,FALSE)+Calc1!$C$168*VLOOKUP($B$187:$B$323,Acraft!$A$3:$R$139,16,FALSE)/1000</f>
        <v>1.2853320000000001E-2</v>
      </c>
      <c r="K311" s="312">
        <f t="shared" si="55"/>
        <v>0</v>
      </c>
      <c r="L311" s="312">
        <f>VLOOKUP($B$187:$B$323,Acraft!$A$3:$R$139,10,FALSE)+Calc1!$C$168*VLOOKUP($B$187:$B$323,Acraft!$A$3:$R$139,17,FALSE)/1000</f>
        <v>4.7280000000000003E-2</v>
      </c>
      <c r="M311" s="312">
        <f t="shared" si="56"/>
        <v>0</v>
      </c>
      <c r="N311" s="312">
        <f>VLOOKUP($B$187:$B$323,Acraft!$A$3:$R$139,11,FALSE)+Calc1!$C$168*VLOOKUP($B$187:$B$323,Acraft!$A$3:$R$139,18,FALSE)/1000</f>
        <v>297.86399999999998</v>
      </c>
      <c r="O311" s="398">
        <f t="shared" si="57"/>
        <v>0</v>
      </c>
      <c r="P311" s="312">
        <f>VLOOKUP($B$187:$B$323,Acraft!$A$3:$R$139,5,FALSE)+Calc1!$C$168*VLOOKUP($B$187:$B$323,Acraft!$A$3:$R$139,12,FALSE)/1000</f>
        <v>94.56</v>
      </c>
      <c r="Q311" s="396">
        <f t="shared" si="58"/>
        <v>0</v>
      </c>
      <c r="R311" s="399">
        <f>VLOOKUP($B$187:$B$323,Acraft!$A$3:$Y$139,20,FALSE)*$Y311*Calc2!$C311/2/1000/1000</f>
        <v>0</v>
      </c>
      <c r="S311" s="400">
        <f>VLOOKUP($B$187:$B$323,Acraft!$A$3:$Y$139,21,FALSE)*$Y311*Calc2!$C311/2/1000/1000</f>
        <v>0</v>
      </c>
      <c r="T311" s="400">
        <f>VLOOKUP($B$187:$B$323,Acraft!$A$3:$Y$139,22,FALSE)*$Y311*Calc2!$C311/2/1000/1000</f>
        <v>0</v>
      </c>
      <c r="U311" s="400">
        <f>VLOOKUP($B$187:$B$323,Acraft!$A$3:$Y$139,23,FALSE)*$Y311*Calc2!$C311/2/1000/1000</f>
        <v>0</v>
      </c>
      <c r="V311" s="400">
        <f>VLOOKUP($B$187:$B$323,Acraft!$A$3:$Y$139,24,FALSE)*$Y311*Calc2!$C311/2/1000/1000</f>
        <v>0</v>
      </c>
      <c r="W311" s="398">
        <f>VLOOKUP($B$187:$B$323,Acraft!$A$3:$Y$139,25,FALSE)*$Y311*Calc2!$C311/2/1000/1000</f>
        <v>0</v>
      </c>
      <c r="X311" s="398">
        <f>VLOOKUP($B$187:$B$323,Acraft!$A$3:$Y$139,19,FALSE)*$Y311*Calc2!$C311/2</f>
        <v>0</v>
      </c>
      <c r="Y311" s="309">
        <f>IF(VLOOKUP($B$187:$B$323,Acraft!$A$3:$Y$139,19,FALSE)=4,Calc1!$C$173,IF(VLOOKUP($B$187:$B$323,Acraft!$A$3:$Y$139,19,FALSE)=1.77777777777778,Calc1!$C$172,0))</f>
        <v>0</v>
      </c>
      <c r="Z311" s="305"/>
    </row>
    <row r="312" spans="1:26" x14ac:dyDescent="0.2">
      <c r="A312" s="303"/>
      <c r="B312" s="309" t="s">
        <v>556</v>
      </c>
      <c r="C312" s="397">
        <f>Calc1!I140</f>
        <v>0</v>
      </c>
      <c r="D312" s="395">
        <f>VLOOKUP($B$187:$B$323,Acraft!$A$3:$R$139,6,FALSE)+Calc1!$C$168*VLOOKUP($B$187:$B$323,Acraft!$A$3:$R$139,13,FALSE)/1000</f>
        <v>23.502609600000003</v>
      </c>
      <c r="E312" s="398">
        <f t="shared" si="52"/>
        <v>0</v>
      </c>
      <c r="F312" s="312">
        <f>VLOOKUP($B$187:$B$323,Acraft!$A$3:$R$139,7,FALSE)+Calc1!$C$168*VLOOKUP($B$187:$B$323,Acraft!$A$3:$R$139,14,FALSE)/1000</f>
        <v>0.22975439999999997</v>
      </c>
      <c r="G312" s="312">
        <f t="shared" si="53"/>
        <v>0</v>
      </c>
      <c r="H312" s="312">
        <f>VLOOKUP($B$187:$B$323,Acraft!$A$3:$R$139,8,FALSE)+Calc1!$C$168*VLOOKUP($B$187:$B$323,Acraft!$A$3:$R$139,15,FALSE)/1000</f>
        <v>8.3665607999999985</v>
      </c>
      <c r="I312" s="312">
        <f t="shared" si="54"/>
        <v>0</v>
      </c>
      <c r="J312" s="312">
        <f>VLOOKUP($B$187:$B$323,Acraft!$A$3:$R$139,9,FALSE)+Calc1!$C$168*VLOOKUP($B$187:$B$323,Acraft!$A$3:$R$139,16,FALSE)/1000</f>
        <v>6.6788141512990659E-2</v>
      </c>
      <c r="K312" s="312">
        <f t="shared" si="55"/>
        <v>0</v>
      </c>
      <c r="L312" s="312">
        <f>VLOOKUP($B$187:$B$323,Acraft!$A$3:$R$139,10,FALSE)+Calc1!$C$168*VLOOKUP($B$187:$B$323,Acraft!$A$3:$R$139,17,FALSE)/1000</f>
        <v>0.69384000000000001</v>
      </c>
      <c r="M312" s="312">
        <f t="shared" si="56"/>
        <v>0</v>
      </c>
      <c r="N312" s="312">
        <f>VLOOKUP($B$187:$B$323,Acraft!$A$3:$R$139,11,FALSE)+Calc1!$C$168*VLOOKUP($B$187:$B$323,Acraft!$A$3:$R$139,18,FALSE)/1000</f>
        <v>4371.192</v>
      </c>
      <c r="O312" s="398">
        <f t="shared" si="57"/>
        <v>0</v>
      </c>
      <c r="P312" s="312">
        <f>VLOOKUP($B$187:$B$323,Acraft!$A$3:$R$139,5,FALSE)+Calc1!$C$168*VLOOKUP($B$187:$B$323,Acraft!$A$3:$R$139,12,FALSE)/1000</f>
        <v>1387.68</v>
      </c>
      <c r="Q312" s="396">
        <f t="shared" si="58"/>
        <v>0</v>
      </c>
      <c r="R312" s="399">
        <f>VLOOKUP($B$187:$B$323,Acraft!$A$3:$Y$139,20,FALSE)*$Y312*Calc2!$C312/2/1000/1000</f>
        <v>0</v>
      </c>
      <c r="S312" s="400">
        <f>VLOOKUP($B$187:$B$323,Acraft!$A$3:$Y$139,21,FALSE)*$Y312*Calc2!$C312/2/1000/1000</f>
        <v>0</v>
      </c>
      <c r="T312" s="400">
        <f>VLOOKUP($B$187:$B$323,Acraft!$A$3:$Y$139,22,FALSE)*$Y312*Calc2!$C312/2/1000/1000</f>
        <v>0</v>
      </c>
      <c r="U312" s="400">
        <f>VLOOKUP($B$187:$B$323,Acraft!$A$3:$Y$139,23,FALSE)*$Y312*Calc2!$C312/2/1000/1000</f>
        <v>0</v>
      </c>
      <c r="V312" s="400">
        <f>VLOOKUP($B$187:$B$323,Acraft!$A$3:$Y$139,24,FALSE)*$Y312*Calc2!$C312/2/1000/1000</f>
        <v>0</v>
      </c>
      <c r="W312" s="398">
        <f>VLOOKUP($B$187:$B$323,Acraft!$A$3:$Y$139,25,FALSE)*$Y312*Calc2!$C312/2/1000/1000</f>
        <v>0</v>
      </c>
      <c r="X312" s="398">
        <f>VLOOKUP($B$187:$B$323,Acraft!$A$3:$Y$139,19,FALSE)*$Y312*Calc2!$C312/2</f>
        <v>0</v>
      </c>
      <c r="Y312" s="309">
        <f>IF(VLOOKUP($B$187:$B$323,Acraft!$A$3:$Y$139,19,FALSE)=4,Calc1!$C$173,IF(VLOOKUP($B$187:$B$323,Acraft!$A$3:$Y$139,19,FALSE)=1.77777777777778,Calc1!$C$172,0))</f>
        <v>15</v>
      </c>
      <c r="Z312" s="305"/>
    </row>
    <row r="313" spans="1:26" x14ac:dyDescent="0.2">
      <c r="A313" s="303"/>
      <c r="B313" s="309" t="s">
        <v>559</v>
      </c>
      <c r="C313" s="397">
        <f>Calc1!I141</f>
        <v>0</v>
      </c>
      <c r="D313" s="395">
        <f>VLOOKUP($B$187:$B$323,Acraft!$A$3:$R$139,6,FALSE)+Calc1!$C$168*VLOOKUP($B$187:$B$323,Acraft!$A$3:$R$139,13,FALSE)/1000</f>
        <v>10.760759999999999</v>
      </c>
      <c r="E313" s="398">
        <f t="shared" si="52"/>
        <v>0</v>
      </c>
      <c r="F313" s="312">
        <f>VLOOKUP($B$187:$B$323,Acraft!$A$3:$R$139,7,FALSE)+Calc1!$C$168*VLOOKUP($B$187:$B$323,Acraft!$A$3:$R$139,14,FALSE)/1000</f>
        <v>2.6244000000000001</v>
      </c>
      <c r="G313" s="312">
        <f t="shared" si="53"/>
        <v>0</v>
      </c>
      <c r="H313" s="312">
        <f>VLOOKUP($B$187:$B$323,Acraft!$A$3:$R$139,8,FALSE)+Calc1!$C$168*VLOOKUP($B$187:$B$323,Acraft!$A$3:$R$139,15,FALSE)/1000</f>
        <v>10.594753199999998</v>
      </c>
      <c r="I313" s="312">
        <f t="shared" si="54"/>
        <v>0</v>
      </c>
      <c r="J313" s="312">
        <f>VLOOKUP($B$187:$B$323,Acraft!$A$3:$R$139,9,FALSE)+Calc1!$C$168*VLOOKUP($B$187:$B$323,Acraft!$A$3:$R$139,16,FALSE)/1000</f>
        <v>8.0290289451678487E-2</v>
      </c>
      <c r="K313" s="312">
        <f t="shared" si="55"/>
        <v>0</v>
      </c>
      <c r="L313" s="312">
        <f>VLOOKUP($B$187:$B$323,Acraft!$A$3:$R$139,10,FALSE)+Calc1!$C$168*VLOOKUP($B$187:$B$323,Acraft!$A$3:$R$139,17,FALSE)/1000</f>
        <v>0.46443600000000007</v>
      </c>
      <c r="M313" s="312">
        <f t="shared" si="56"/>
        <v>0</v>
      </c>
      <c r="N313" s="312">
        <f>VLOOKUP($B$187:$B$323,Acraft!$A$3:$R$139,11,FALSE)+Calc1!$C$168*VLOOKUP($B$187:$B$323,Acraft!$A$3:$R$139,18,FALSE)/1000</f>
        <v>2925.9468000000006</v>
      </c>
      <c r="O313" s="398">
        <f t="shared" si="57"/>
        <v>0</v>
      </c>
      <c r="P313" s="312">
        <f>VLOOKUP($B$187:$B$323,Acraft!$A$3:$R$139,5,FALSE)+Calc1!$C$168*VLOOKUP($B$187:$B$323,Acraft!$A$3:$R$139,12,FALSE)/1000</f>
        <v>928.87200000000007</v>
      </c>
      <c r="Q313" s="396">
        <f t="shared" si="58"/>
        <v>0</v>
      </c>
      <c r="R313" s="399">
        <f>VLOOKUP($B$187:$B$323,Acraft!$A$3:$Y$139,20,FALSE)*$Y313*Calc2!$C313/2/1000/1000</f>
        <v>0</v>
      </c>
      <c r="S313" s="400">
        <f>VLOOKUP($B$187:$B$323,Acraft!$A$3:$Y$139,21,FALSE)*$Y313*Calc2!$C313/2/1000/1000</f>
        <v>0</v>
      </c>
      <c r="T313" s="400">
        <f>VLOOKUP($B$187:$B$323,Acraft!$A$3:$Y$139,22,FALSE)*$Y313*Calc2!$C313/2/1000/1000</f>
        <v>0</v>
      </c>
      <c r="U313" s="400">
        <f>VLOOKUP($B$187:$B$323,Acraft!$A$3:$Y$139,23,FALSE)*$Y313*Calc2!$C313/2/1000/1000</f>
        <v>0</v>
      </c>
      <c r="V313" s="400">
        <f>VLOOKUP($B$187:$B$323,Acraft!$A$3:$Y$139,24,FALSE)*$Y313*Calc2!$C313/2/1000/1000</f>
        <v>0</v>
      </c>
      <c r="W313" s="398">
        <f>VLOOKUP($B$187:$B$323,Acraft!$A$3:$Y$139,25,FALSE)*$Y313*Calc2!$C313/2/1000/1000</f>
        <v>0</v>
      </c>
      <c r="X313" s="398">
        <f>VLOOKUP($B$187:$B$323,Acraft!$A$3:$Y$139,19,FALSE)*$Y313*Calc2!$C313/2</f>
        <v>0</v>
      </c>
      <c r="Y313" s="309">
        <f>IF(VLOOKUP($B$187:$B$323,Acraft!$A$3:$Y$139,19,FALSE)=4,Calc1!$C$173,IF(VLOOKUP($B$187:$B$323,Acraft!$A$3:$Y$139,19,FALSE)=1.77777777777778,Calc1!$C$172,0))</f>
        <v>15</v>
      </c>
      <c r="Z313" s="305"/>
    </row>
    <row r="314" spans="1:26" x14ac:dyDescent="0.2">
      <c r="A314" s="303"/>
      <c r="B314" s="309"/>
      <c r="C314" s="397"/>
      <c r="D314" s="395"/>
      <c r="E314" s="398"/>
      <c r="F314" s="312"/>
      <c r="G314" s="312"/>
      <c r="H314" s="312"/>
      <c r="I314" s="312"/>
      <c r="J314" s="312"/>
      <c r="K314" s="312"/>
      <c r="L314" s="312"/>
      <c r="M314" s="312"/>
      <c r="N314" s="312"/>
      <c r="O314" s="398"/>
      <c r="P314" s="312"/>
      <c r="Q314" s="396">
        <f t="shared" si="58"/>
        <v>0</v>
      </c>
      <c r="R314" s="399"/>
      <c r="S314" s="400"/>
      <c r="T314" s="400"/>
      <c r="U314" s="400"/>
      <c r="V314" s="400"/>
      <c r="W314" s="398"/>
      <c r="X314" s="398"/>
      <c r="Y314" s="309"/>
      <c r="Z314" s="305"/>
    </row>
    <row r="315" spans="1:26" x14ac:dyDescent="0.2">
      <c r="A315" s="303"/>
      <c r="B315" s="309" t="s">
        <v>560</v>
      </c>
      <c r="C315" s="397">
        <f>Calc1!I143</f>
        <v>0</v>
      </c>
      <c r="D315" s="395">
        <f>VLOOKUP($B$187:$B$323,Acraft!$A$3:$R$139,6,FALSE)+Calc1!$C$168*VLOOKUP($B$187:$B$323,Acraft!$A$3:$R$139,13,FALSE)/1000</f>
        <v>2.4521999999999999E-2</v>
      </c>
      <c r="E315" s="398">
        <f t="shared" ref="E315:E323" si="59">$C315*D315/2/1000</f>
        <v>0</v>
      </c>
      <c r="F315" s="312">
        <f>VLOOKUP($B$187:$B$323,Acraft!$A$3:$R$139,7,FALSE)+Calc1!$C$168*VLOOKUP($B$187:$B$323,Acraft!$A$3:$R$139,14,FALSE)/1000</f>
        <v>0.18540480000000001</v>
      </c>
      <c r="G315" s="312">
        <f t="shared" ref="G315:G323" si="60">$C315*F315/2/1000</f>
        <v>0</v>
      </c>
      <c r="H315" s="312">
        <f>VLOOKUP($B$187:$B$323,Acraft!$A$3:$R$139,8,FALSE)+Calc1!$C$168*VLOOKUP($B$187:$B$323,Acraft!$A$3:$R$139,15,FALSE)/1000</f>
        <v>13.055999999999999</v>
      </c>
      <c r="I315" s="312">
        <f t="shared" ref="I315:I323" si="61">$C315*H315/2/1000</f>
        <v>0</v>
      </c>
      <c r="J315" s="312">
        <f>VLOOKUP($B$187:$B$323,Acraft!$A$3:$R$139,9,FALSE)+Calc1!$C$168*VLOOKUP($B$187:$B$323,Acraft!$A$3:$R$139,16,FALSE)/1000</f>
        <v>4.4116000000000001E-4</v>
      </c>
      <c r="K315" s="312">
        <f t="shared" ref="K315:K323" si="62">$C315*J315/2/1000</f>
        <v>0</v>
      </c>
      <c r="L315" s="312">
        <f>VLOOKUP($B$187:$B$323,Acraft!$A$3:$R$139,10,FALSE)+Calc1!$C$168*VLOOKUP($B$187:$B$323,Acraft!$A$3:$R$139,17,FALSE)/1000</f>
        <v>6.5279999999999991E-3</v>
      </c>
      <c r="M315" s="312">
        <f t="shared" ref="M315:M323" si="63">$C315*L315/2/1000</f>
        <v>0</v>
      </c>
      <c r="N315" s="312">
        <f>VLOOKUP($B$187:$B$323,Acraft!$A$3:$R$139,11,FALSE)+Calc1!$C$168*VLOOKUP($B$187:$B$323,Acraft!$A$3:$R$139,18,FALSE)/1000</f>
        <v>40.995839999999994</v>
      </c>
      <c r="O315" s="398">
        <f t="shared" ref="O315:O323" si="64">$C315*N315/2/1000</f>
        <v>0</v>
      </c>
      <c r="P315" s="312">
        <f>VLOOKUP($B$187:$B$323,Acraft!$A$3:$R$139,5,FALSE)+Calc1!$C$168*VLOOKUP($B$187:$B$323,Acraft!$A$3:$R$139,12,FALSE)/1000</f>
        <v>13.055999999999999</v>
      </c>
      <c r="Q315" s="396">
        <f t="shared" ref="Q315:Q323" si="65">$C315*P315/2</f>
        <v>0</v>
      </c>
      <c r="R315" s="399">
        <f>VLOOKUP($B$187:$B$323,Acraft!$A$3:$Y$139,20,FALSE)*$Y315*Calc2!$C315/2/1000/1000</f>
        <v>0</v>
      </c>
      <c r="S315" s="400">
        <f>VLOOKUP($B$187:$B$323,Acraft!$A$3:$Y$139,21,FALSE)*$Y315*Calc2!$C315/2/1000/1000</f>
        <v>0</v>
      </c>
      <c r="T315" s="400">
        <f>VLOOKUP($B$187:$B$323,Acraft!$A$3:$Y$139,22,FALSE)*$Y315*Calc2!$C315/2/1000/1000</f>
        <v>0</v>
      </c>
      <c r="U315" s="400">
        <f>VLOOKUP($B$187:$B$323,Acraft!$A$3:$Y$139,23,FALSE)*$Y315*Calc2!$C315/2/1000/1000</f>
        <v>0</v>
      </c>
      <c r="V315" s="400">
        <f>VLOOKUP($B$187:$B$323,Acraft!$A$3:$Y$139,24,FALSE)*$Y315*Calc2!$C315/2/1000/1000</f>
        <v>0</v>
      </c>
      <c r="W315" s="398">
        <f>VLOOKUP($B$187:$B$323,Acraft!$A$3:$Y$139,25,FALSE)*$Y315*Calc2!$C315/2/1000/1000</f>
        <v>0</v>
      </c>
      <c r="X315" s="398">
        <f>VLOOKUP($B$187:$B$323,Acraft!$A$3:$Y$139,19,FALSE)*$Y315*Calc2!$C315/2</f>
        <v>0</v>
      </c>
      <c r="Y315" s="309">
        <f>IF(VLOOKUP($B$187:$B$323,Acraft!$A$3:$Y$139,19,FALSE)=4,Calc1!$C$173,IF(VLOOKUP($B$187:$B$323,Acraft!$A$3:$Y$139,19,FALSE)=1.77777777777778,Calc1!$C$172,0))</f>
        <v>0</v>
      </c>
      <c r="Z315" s="305"/>
    </row>
    <row r="316" spans="1:26" x14ac:dyDescent="0.2">
      <c r="A316" s="303"/>
      <c r="B316" s="309" t="s">
        <v>562</v>
      </c>
      <c r="C316" s="397">
        <f>Calc1!I145</f>
        <v>0</v>
      </c>
      <c r="D316" s="395">
        <f>VLOOKUP($B$187:$B$323,Acraft!$A$3:$R$139,6,FALSE)+Calc1!$C$168*VLOOKUP($B$187:$B$323,Acraft!$A$3:$R$139,13,FALSE)/1000</f>
        <v>3.4255800000000003E-2</v>
      </c>
      <c r="E316" s="398">
        <f t="shared" si="59"/>
        <v>0</v>
      </c>
      <c r="F316" s="312">
        <f>VLOOKUP($B$187:$B$323,Acraft!$A$3:$R$139,7,FALSE)+Calc1!$C$168*VLOOKUP($B$187:$B$323,Acraft!$A$3:$R$139,14,FALSE)/1000</f>
        <v>0.29444154</v>
      </c>
      <c r="G316" s="312">
        <f t="shared" si="60"/>
        <v>0</v>
      </c>
      <c r="H316" s="312">
        <f>VLOOKUP($B$187:$B$323,Acraft!$A$3:$R$139,8,FALSE)+Calc1!$C$168*VLOOKUP($B$187:$B$323,Acraft!$A$3:$R$139,15,FALSE)/1000</f>
        <v>10.877742</v>
      </c>
      <c r="I316" s="312">
        <f t="shared" si="61"/>
        <v>0</v>
      </c>
      <c r="J316" s="312">
        <f>VLOOKUP($B$187:$B$323,Acraft!$A$3:$R$139,9,FALSE)+Calc1!$C$168*VLOOKUP($B$187:$B$323,Acraft!$A$3:$R$139,16,FALSE)/1000</f>
        <v>3.5765660000000002E-4</v>
      </c>
      <c r="K316" s="312">
        <f t="shared" si="62"/>
        <v>0</v>
      </c>
      <c r="L316" s="312">
        <f>VLOOKUP($B$187:$B$323,Acraft!$A$3:$R$139,10,FALSE)+Calc1!$C$168*VLOOKUP($B$187:$B$323,Acraft!$A$3:$R$139,17,FALSE)/1000</f>
        <v>5.7273000000000003E-3</v>
      </c>
      <c r="M316" s="312">
        <f t="shared" si="63"/>
        <v>0</v>
      </c>
      <c r="N316" s="312">
        <f>VLOOKUP($B$187:$B$323,Acraft!$A$3:$R$139,11,FALSE)+Calc1!$C$168*VLOOKUP($B$187:$B$323,Acraft!$A$3:$R$139,18,FALSE)/1000</f>
        <v>35.967444</v>
      </c>
      <c r="O316" s="398">
        <f t="shared" si="64"/>
        <v>0</v>
      </c>
      <c r="P316" s="312">
        <f>VLOOKUP($B$187:$B$323,Acraft!$A$3:$R$139,5,FALSE)+Calc1!$C$168*VLOOKUP($B$187:$B$323,Acraft!$A$3:$R$139,12,FALSE)/1000</f>
        <v>11.454600000000001</v>
      </c>
      <c r="Q316" s="396">
        <f t="shared" si="65"/>
        <v>0</v>
      </c>
      <c r="R316" s="399">
        <f>VLOOKUP($B$187:$B$323,Acraft!$A$3:$Y$139,20,FALSE)*$Y316*Calc2!$C316/2/1000/1000</f>
        <v>0</v>
      </c>
      <c r="S316" s="400">
        <f>VLOOKUP($B$187:$B$323,Acraft!$A$3:$Y$139,21,FALSE)*$Y316*Calc2!$C316/2/1000/1000</f>
        <v>0</v>
      </c>
      <c r="T316" s="400">
        <f>VLOOKUP($B$187:$B$323,Acraft!$A$3:$Y$139,22,FALSE)*$Y316*Calc2!$C316/2/1000/1000</f>
        <v>0</v>
      </c>
      <c r="U316" s="400">
        <f>VLOOKUP($B$187:$B$323,Acraft!$A$3:$Y$139,23,FALSE)*$Y316*Calc2!$C316/2/1000/1000</f>
        <v>0</v>
      </c>
      <c r="V316" s="400">
        <f>VLOOKUP($B$187:$B$323,Acraft!$A$3:$Y$139,24,FALSE)*$Y316*Calc2!$C316/2/1000/1000</f>
        <v>0</v>
      </c>
      <c r="W316" s="398">
        <f>VLOOKUP($B$187:$B$323,Acraft!$A$3:$Y$139,25,FALSE)*$Y316*Calc2!$C316/2/1000/1000</f>
        <v>0</v>
      </c>
      <c r="X316" s="398">
        <f>VLOOKUP($B$187:$B$323,Acraft!$A$3:$Y$139,19,FALSE)*$Y316*Calc2!$C316/2</f>
        <v>0</v>
      </c>
      <c r="Y316" s="309">
        <f>IF(VLOOKUP($B$187:$B$323,Acraft!$A$3:$Y$139,19,FALSE)=4,Calc1!$C$173,IF(VLOOKUP($B$187:$B$323,Acraft!$A$3:$Y$139,19,FALSE)=1.77777777777778,Calc1!$C$172,0))</f>
        <v>0</v>
      </c>
      <c r="Z316" s="305"/>
    </row>
    <row r="317" spans="1:26" x14ac:dyDescent="0.2">
      <c r="A317" s="303"/>
      <c r="B317" s="309" t="s">
        <v>563</v>
      </c>
      <c r="C317" s="397">
        <f>Calc1!I148</f>
        <v>0</v>
      </c>
      <c r="D317" s="395">
        <f>VLOOKUP($B$187:$B$323,Acraft!$A$3:$R$139,6,FALSE)+Calc1!$C$168*VLOOKUP($B$187:$B$323,Acraft!$A$3:$R$139,13,FALSE)/1000</f>
        <v>0.26271137999999994</v>
      </c>
      <c r="E317" s="398">
        <f t="shared" si="59"/>
        <v>0</v>
      </c>
      <c r="F317" s="312">
        <f>VLOOKUP($B$187:$B$323,Acraft!$A$3:$R$139,7,FALSE)+Calc1!$C$168*VLOOKUP($B$187:$B$323,Acraft!$A$3:$R$139,14,FALSE)/1000</f>
        <v>1.8138229800000001</v>
      </c>
      <c r="G317" s="312">
        <f t="shared" si="60"/>
        <v>0</v>
      </c>
      <c r="H317" s="312">
        <f>VLOOKUP($B$187:$B$323,Acraft!$A$3:$R$139,8,FALSE)+Calc1!$C$168*VLOOKUP($B$187:$B$323,Acraft!$A$3:$R$139,15,FALSE)/1000</f>
        <v>1.4734278000000001</v>
      </c>
      <c r="I317" s="312">
        <f t="shared" si="61"/>
        <v>0</v>
      </c>
      <c r="J317" s="312">
        <f>VLOOKUP($B$187:$B$323,Acraft!$A$3:$R$139,9,FALSE)+Calc1!$C$168*VLOOKUP($B$187:$B$323,Acraft!$A$3:$R$139,16,FALSE)/1000</f>
        <v>5.71596E-3</v>
      </c>
      <c r="K317" s="312">
        <f t="shared" si="62"/>
        <v>0</v>
      </c>
      <c r="L317" s="312">
        <f>VLOOKUP($B$187:$B$323,Acraft!$A$3:$R$139,10,FALSE)+Calc1!$C$168*VLOOKUP($B$187:$B$323,Acraft!$A$3:$R$139,17,FALSE)/1000</f>
        <v>2.0401499999999996E-2</v>
      </c>
      <c r="M317" s="312">
        <f t="shared" si="63"/>
        <v>0</v>
      </c>
      <c r="N317" s="312">
        <f>VLOOKUP($B$187:$B$323,Acraft!$A$3:$R$139,11,FALSE)+Calc1!$C$168*VLOOKUP($B$187:$B$323,Acraft!$A$3:$R$139,18,FALSE)/1000</f>
        <v>12.852944999999998</v>
      </c>
      <c r="O317" s="398">
        <f t="shared" si="64"/>
        <v>0</v>
      </c>
      <c r="P317" s="312">
        <f>VLOOKUP($B$187:$B$323,Acraft!$A$3:$R$139,5,FALSE)+Calc1!$C$168*VLOOKUP($B$187:$B$323,Acraft!$A$3:$R$139,12,FALSE)/1000</f>
        <v>40.802999999999997</v>
      </c>
      <c r="Q317" s="396">
        <f t="shared" si="65"/>
        <v>0</v>
      </c>
      <c r="R317" s="399">
        <f>VLOOKUP($B$187:$B$323,Acraft!$A$3:$Y$139,20,FALSE)*$Y317*Calc2!$C317/2/1000/1000</f>
        <v>0</v>
      </c>
      <c r="S317" s="400">
        <f>VLOOKUP($B$187:$B$323,Acraft!$A$3:$Y$139,21,FALSE)*$Y317*Calc2!$C317/2/1000/1000</f>
        <v>0</v>
      </c>
      <c r="T317" s="400">
        <f>VLOOKUP($B$187:$B$323,Acraft!$A$3:$Y$139,22,FALSE)*$Y317*Calc2!$C317/2/1000/1000</f>
        <v>0</v>
      </c>
      <c r="U317" s="400">
        <f>VLOOKUP($B$187:$B$323,Acraft!$A$3:$Y$139,23,FALSE)*$Y317*Calc2!$C317/2/1000/1000</f>
        <v>0</v>
      </c>
      <c r="V317" s="400">
        <f>VLOOKUP($B$187:$B$323,Acraft!$A$3:$Y$139,24,FALSE)*$Y317*Calc2!$C317/2/1000/1000</f>
        <v>0</v>
      </c>
      <c r="W317" s="398">
        <f>VLOOKUP($B$187:$B$323,Acraft!$A$3:$Y$139,25,FALSE)*$Y317*Calc2!$C317/2/1000/1000</f>
        <v>0</v>
      </c>
      <c r="X317" s="398">
        <f>VLOOKUP($B$187:$B$323,Acraft!$A$3:$Y$139,19,FALSE)*$Y317*Calc2!$C317/2</f>
        <v>0</v>
      </c>
      <c r="Y317" s="309">
        <f>IF(VLOOKUP($B$187:$B$323,Acraft!$A$3:$Y$139,19,FALSE)=4,Calc1!$C$173,IF(VLOOKUP($B$187:$B$323,Acraft!$A$3:$Y$139,19,FALSE)=1.77777777777778,Calc1!$C$172,0))</f>
        <v>0</v>
      </c>
      <c r="Z317" s="305"/>
    </row>
    <row r="318" spans="1:26" x14ac:dyDescent="0.2">
      <c r="A318" s="303"/>
      <c r="B318" s="309" t="s">
        <v>564</v>
      </c>
      <c r="C318" s="397">
        <f>Calc1!I147</f>
        <v>0</v>
      </c>
      <c r="D318" s="395">
        <f>VLOOKUP($B$187:$B$323,Acraft!$A$3:$R$139,6,FALSE)+Calc1!$C$168*VLOOKUP($B$187:$B$323,Acraft!$A$3:$R$139,13,FALSE)/1000</f>
        <v>0.26860271999999996</v>
      </c>
      <c r="E318" s="398">
        <f t="shared" si="59"/>
        <v>0</v>
      </c>
      <c r="F318" s="312">
        <f>VLOOKUP($B$187:$B$323,Acraft!$A$3:$R$139,7,FALSE)+Calc1!$C$168*VLOOKUP($B$187:$B$323,Acraft!$A$3:$R$139,14,FALSE)/1000</f>
        <v>3.8067742080000002</v>
      </c>
      <c r="G318" s="312">
        <f t="shared" si="60"/>
        <v>0</v>
      </c>
      <c r="H318" s="312">
        <f>VLOOKUP($B$187:$B$323,Acraft!$A$3:$R$139,8,FALSE)+Calc1!$C$168*VLOOKUP($B$187:$B$323,Acraft!$A$3:$R$139,15,FALSE)/1000</f>
        <v>10.27817952</v>
      </c>
      <c r="I318" s="312">
        <f t="shared" si="61"/>
        <v>0</v>
      </c>
      <c r="J318" s="312">
        <f>VLOOKUP($B$187:$B$323,Acraft!$A$3:$R$139,9,FALSE)+Calc1!$C$168*VLOOKUP($B$187:$B$323,Acraft!$A$3:$R$139,16,FALSE)/1000</f>
        <v>2.0900519999999999E-2</v>
      </c>
      <c r="K318" s="312">
        <f t="shared" si="62"/>
        <v>0</v>
      </c>
      <c r="L318" s="312">
        <f>VLOOKUP($B$187:$B$323,Acraft!$A$3:$R$139,10,FALSE)+Calc1!$C$168*VLOOKUP($B$187:$B$323,Acraft!$A$3:$R$139,17,FALSE)/1000</f>
        <v>4.9428E-2</v>
      </c>
      <c r="M318" s="312">
        <f t="shared" si="63"/>
        <v>0</v>
      </c>
      <c r="N318" s="312">
        <f>VLOOKUP($B$187:$B$323,Acraft!$A$3:$R$139,11,FALSE)+Calc1!$C$168*VLOOKUP($B$187:$B$323,Acraft!$A$3:$R$139,18,FALSE)/1000</f>
        <v>311.39640000000003</v>
      </c>
      <c r="O318" s="398">
        <f t="shared" si="64"/>
        <v>0</v>
      </c>
      <c r="P318" s="312">
        <f>VLOOKUP($B$187:$B$323,Acraft!$A$3:$R$139,5,FALSE)+Calc1!$C$168*VLOOKUP($B$187:$B$323,Acraft!$A$3:$R$139,12,FALSE)/1000</f>
        <v>98.856000000000009</v>
      </c>
      <c r="Q318" s="396">
        <f t="shared" si="65"/>
        <v>0</v>
      </c>
      <c r="R318" s="399">
        <f>VLOOKUP($B$187:$B$323,Acraft!$A$3:$Y$139,20,FALSE)*$Y318*Calc2!$C318/2/1000/1000</f>
        <v>0</v>
      </c>
      <c r="S318" s="400">
        <f>VLOOKUP($B$187:$B$323,Acraft!$A$3:$Y$139,21,FALSE)*$Y318*Calc2!$C318/2/1000/1000</f>
        <v>0</v>
      </c>
      <c r="T318" s="400">
        <f>VLOOKUP($B$187:$B$323,Acraft!$A$3:$Y$139,22,FALSE)*$Y318*Calc2!$C318/2/1000/1000</f>
        <v>0</v>
      </c>
      <c r="U318" s="400">
        <f>VLOOKUP($B$187:$B$323,Acraft!$A$3:$Y$139,23,FALSE)*$Y318*Calc2!$C318/2/1000/1000</f>
        <v>0</v>
      </c>
      <c r="V318" s="400">
        <f>VLOOKUP($B$187:$B$323,Acraft!$A$3:$Y$139,24,FALSE)*$Y318*Calc2!$C318/2/1000/1000</f>
        <v>0</v>
      </c>
      <c r="W318" s="398">
        <f>VLOOKUP($B$187:$B$323,Acraft!$A$3:$Y$139,25,FALSE)*$Y318*Calc2!$C318/2/1000/1000</f>
        <v>0</v>
      </c>
      <c r="X318" s="398">
        <f>VLOOKUP($B$187:$B$323,Acraft!$A$3:$Y$139,19,FALSE)*$Y318*Calc2!$C318/2</f>
        <v>0</v>
      </c>
      <c r="Y318" s="309">
        <f>IF(VLOOKUP($B$187:$B$323,Acraft!$A$3:$Y$139,19,FALSE)=4,Calc1!$C$173,IF(VLOOKUP($B$187:$B$323,Acraft!$A$3:$Y$139,19,FALSE)=1.77777777777778,Calc1!$C$172,0))</f>
        <v>15</v>
      </c>
      <c r="Z318" s="305"/>
    </row>
    <row r="319" spans="1:26" x14ac:dyDescent="0.2">
      <c r="A319" s="303"/>
      <c r="B319" s="309" t="s">
        <v>565</v>
      </c>
      <c r="C319" s="397">
        <f>Calc1!I144</f>
        <v>0</v>
      </c>
      <c r="D319" s="395">
        <f>VLOOKUP($B$187:$B$323,Acraft!$A$3:$R$139,6,FALSE)+Calc1!$C$168*VLOOKUP($B$187:$B$323,Acraft!$A$3:$R$139,13,FALSE)/1000</f>
        <v>4.9043999999999997E-2</v>
      </c>
      <c r="E319" s="398">
        <f t="shared" si="59"/>
        <v>0</v>
      </c>
      <c r="F319" s="312">
        <f>VLOOKUP($B$187:$B$323,Acraft!$A$3:$R$139,7,FALSE)+Calc1!$C$168*VLOOKUP($B$187:$B$323,Acraft!$A$3:$R$139,14,FALSE)/1000</f>
        <v>0.37080960000000002</v>
      </c>
      <c r="G319" s="312">
        <f t="shared" si="60"/>
        <v>0</v>
      </c>
      <c r="H319" s="312">
        <f>VLOOKUP($B$187:$B$323,Acraft!$A$3:$R$139,8,FALSE)+Calc1!$C$168*VLOOKUP($B$187:$B$323,Acraft!$A$3:$R$139,15,FALSE)/1000</f>
        <v>26.111999999999998</v>
      </c>
      <c r="I319" s="312">
        <f t="shared" si="61"/>
        <v>0</v>
      </c>
      <c r="J319" s="312">
        <f>VLOOKUP($B$187:$B$323,Acraft!$A$3:$R$139,9,FALSE)+Calc1!$C$168*VLOOKUP($B$187:$B$323,Acraft!$A$3:$R$139,16,FALSE)/1000</f>
        <v>8.8232000000000002E-4</v>
      </c>
      <c r="K319" s="312">
        <f t="shared" si="62"/>
        <v>0</v>
      </c>
      <c r="L319" s="312">
        <f>VLOOKUP($B$187:$B$323,Acraft!$A$3:$R$139,10,FALSE)+Calc1!$C$168*VLOOKUP($B$187:$B$323,Acraft!$A$3:$R$139,17,FALSE)/1000</f>
        <v>1.3055999999999998E-2</v>
      </c>
      <c r="M319" s="312">
        <f t="shared" si="63"/>
        <v>0</v>
      </c>
      <c r="N319" s="312">
        <f>VLOOKUP($B$187:$B$323,Acraft!$A$3:$R$139,11,FALSE)+Calc1!$C$168*VLOOKUP($B$187:$B$323,Acraft!$A$3:$R$139,18,FALSE)/1000</f>
        <v>81.991679999999988</v>
      </c>
      <c r="O319" s="398">
        <f t="shared" si="64"/>
        <v>0</v>
      </c>
      <c r="P319" s="312">
        <f>VLOOKUP($B$187:$B$323,Acraft!$A$3:$R$139,5,FALSE)+Calc1!$C$168*VLOOKUP($B$187:$B$323,Acraft!$A$3:$R$139,12,FALSE)/1000</f>
        <v>26.111999999999998</v>
      </c>
      <c r="Q319" s="396">
        <f t="shared" si="65"/>
        <v>0</v>
      </c>
      <c r="R319" s="399">
        <f>VLOOKUP($B$187:$B$323,Acraft!$A$3:$Y$139,20,FALSE)*$Y319*Calc2!$C319/2/1000/1000</f>
        <v>0</v>
      </c>
      <c r="S319" s="400">
        <f>VLOOKUP($B$187:$B$323,Acraft!$A$3:$Y$139,21,FALSE)*$Y319*Calc2!$C319/2/1000/1000</f>
        <v>0</v>
      </c>
      <c r="T319" s="400">
        <f>VLOOKUP($B$187:$B$323,Acraft!$A$3:$Y$139,22,FALSE)*$Y319*Calc2!$C319/2/1000/1000</f>
        <v>0</v>
      </c>
      <c r="U319" s="400">
        <f>VLOOKUP($B$187:$B$323,Acraft!$A$3:$Y$139,23,FALSE)*$Y319*Calc2!$C319/2/1000/1000</f>
        <v>0</v>
      </c>
      <c r="V319" s="400">
        <f>VLOOKUP($B$187:$B$323,Acraft!$A$3:$Y$139,24,FALSE)*$Y319*Calc2!$C319/2/1000/1000</f>
        <v>0</v>
      </c>
      <c r="W319" s="398">
        <f>VLOOKUP($B$187:$B$323,Acraft!$A$3:$Y$139,25,FALSE)*$Y319*Calc2!$C319/2/1000/1000</f>
        <v>0</v>
      </c>
      <c r="X319" s="398">
        <f>VLOOKUP($B$187:$B$323,Acraft!$A$3:$Y$139,19,FALSE)*$Y319*Calc2!$C319/2</f>
        <v>0</v>
      </c>
      <c r="Y319" s="309">
        <f>IF(VLOOKUP($B$187:$B$323,Acraft!$A$3:$Y$139,19,FALSE)=4,Calc1!$C$173,IF(VLOOKUP($B$187:$B$323,Acraft!$A$3:$Y$139,19,FALSE)=1.77777777777778,Calc1!$C$172,0))</f>
        <v>0</v>
      </c>
      <c r="Z319" s="305"/>
    </row>
    <row r="320" spans="1:26" x14ac:dyDescent="0.2">
      <c r="A320" s="303"/>
      <c r="B320" s="309" t="s">
        <v>566</v>
      </c>
      <c r="C320" s="397">
        <f>Calc1!I146</f>
        <v>0</v>
      </c>
      <c r="D320" s="395">
        <f>VLOOKUP($B$187:$B$323,Acraft!$A$3:$R$139,6,FALSE)+Calc1!$C$168*VLOOKUP($B$187:$B$323,Acraft!$A$3:$R$139,13,FALSE)/1000</f>
        <v>7.1531320000000004E-4</v>
      </c>
      <c r="E320" s="398">
        <f t="shared" si="59"/>
        <v>0</v>
      </c>
      <c r="F320" s="312">
        <f>VLOOKUP($B$187:$B$323,Acraft!$A$3:$R$139,7,FALSE)+Calc1!$C$168*VLOOKUP($B$187:$B$323,Acraft!$A$3:$R$139,14,FALSE)/1000</f>
        <v>1.1454600000000001E-2</v>
      </c>
      <c r="G320" s="312">
        <f t="shared" si="60"/>
        <v>0</v>
      </c>
      <c r="H320" s="312">
        <f>VLOOKUP($B$187:$B$323,Acraft!$A$3:$R$139,8,FALSE)+Calc1!$C$168*VLOOKUP($B$187:$B$323,Acraft!$A$3:$R$139,15,FALSE)/1000</f>
        <v>71.934888000000001</v>
      </c>
      <c r="I320" s="312">
        <f t="shared" si="61"/>
        <v>0</v>
      </c>
      <c r="J320" s="312">
        <f>VLOOKUP($B$187:$B$323,Acraft!$A$3:$R$139,9,FALSE)+Calc1!$C$168*VLOOKUP($B$187:$B$323,Acraft!$A$3:$R$139,16,FALSE)/1000</f>
        <v>2.4840000000000001E-3</v>
      </c>
      <c r="K320" s="312">
        <f t="shared" si="62"/>
        <v>0</v>
      </c>
      <c r="L320" s="312">
        <f>VLOOKUP($B$187:$B$323,Acraft!$A$3:$R$139,10,FALSE)+Calc1!$C$168*VLOOKUP($B$187:$B$323,Acraft!$A$3:$R$139,17,FALSE)/1000</f>
        <v>0.30218400000000001</v>
      </c>
      <c r="M320" s="312">
        <f t="shared" si="63"/>
        <v>0</v>
      </c>
      <c r="N320" s="312">
        <f>VLOOKUP($B$187:$B$323,Acraft!$A$3:$R$139,11,FALSE)+Calc1!$C$168*VLOOKUP($B$187:$B$323,Acraft!$A$3:$R$139,18,FALSE)/1000</f>
        <v>27.395519999999998</v>
      </c>
      <c r="O320" s="398">
        <f t="shared" si="64"/>
        <v>0</v>
      </c>
      <c r="P320" s="312">
        <f>VLOOKUP($B$187:$B$323,Acraft!$A$3:$R$139,5,FALSE)+Calc1!$C$168*VLOOKUP($B$187:$B$323,Acraft!$A$3:$R$139,12,FALSE)/1000</f>
        <v>21.755483999999999</v>
      </c>
      <c r="Q320" s="396">
        <f t="shared" si="65"/>
        <v>0</v>
      </c>
      <c r="R320" s="399">
        <f>VLOOKUP($B$187:$B$323,Acraft!$A$3:$Y$139,20,FALSE)*$Y320*Calc2!$C320/2/1000/1000</f>
        <v>0</v>
      </c>
      <c r="S320" s="400">
        <f>VLOOKUP($B$187:$B$323,Acraft!$A$3:$Y$139,21,FALSE)*$Y320*Calc2!$C320/2/1000/1000</f>
        <v>0</v>
      </c>
      <c r="T320" s="400">
        <f>VLOOKUP($B$187:$B$323,Acraft!$A$3:$Y$139,22,FALSE)*$Y320*Calc2!$C320/2/1000/1000</f>
        <v>0</v>
      </c>
      <c r="U320" s="400">
        <f>VLOOKUP($B$187:$B$323,Acraft!$A$3:$Y$139,23,FALSE)*$Y320*Calc2!$C320/2/1000/1000</f>
        <v>0</v>
      </c>
      <c r="V320" s="400">
        <f>VLOOKUP($B$187:$B$323,Acraft!$A$3:$Y$139,24,FALSE)*$Y320*Calc2!$C320/2/1000/1000</f>
        <v>0</v>
      </c>
      <c r="W320" s="398">
        <f>VLOOKUP($B$187:$B$323,Acraft!$A$3:$Y$139,25,FALSE)*$Y320*Calc2!$C320/2/1000/1000</f>
        <v>0</v>
      </c>
      <c r="X320" s="398">
        <f>VLOOKUP($B$187:$B$323,Acraft!$A$3:$Y$139,19,FALSE)*$Y320*Calc2!$C320/2</f>
        <v>0</v>
      </c>
      <c r="Y320" s="309">
        <f>IF(VLOOKUP($B$187:$B$323,Acraft!$A$3:$Y$139,19,FALSE)=4,Calc1!$C$173,IF(VLOOKUP($B$187:$B$323,Acraft!$A$3:$Y$139,19,FALSE)=1.77777777777778,Calc1!$C$172,0))</f>
        <v>0</v>
      </c>
      <c r="Z320" s="305"/>
    </row>
    <row r="321" spans="1:26" x14ac:dyDescent="0.2">
      <c r="A321" s="303"/>
      <c r="B321" s="309" t="s">
        <v>567</v>
      </c>
      <c r="C321" s="397">
        <f>Calc1!I149</f>
        <v>0</v>
      </c>
      <c r="D321" s="395">
        <f>VLOOKUP($B$187:$B$323,Acraft!$A$3:$R$139,6,FALSE)+Calc1!$C$168*VLOOKUP($B$187:$B$323,Acraft!$A$3:$R$139,13,FALSE)/1000</f>
        <v>0.52542275999999988</v>
      </c>
      <c r="E321" s="398">
        <f t="shared" si="59"/>
        <v>0</v>
      </c>
      <c r="F321" s="312">
        <f>VLOOKUP($B$187:$B$323,Acraft!$A$3:$R$139,7,FALSE)+Calc1!$C$168*VLOOKUP($B$187:$B$323,Acraft!$A$3:$R$139,14,FALSE)/1000</f>
        <v>3.6276459600000002</v>
      </c>
      <c r="G321" s="312">
        <f t="shared" si="60"/>
        <v>0</v>
      </c>
      <c r="H321" s="312">
        <f>VLOOKUP($B$187:$B$323,Acraft!$A$3:$R$139,8,FALSE)+Calc1!$C$168*VLOOKUP($B$187:$B$323,Acraft!$A$3:$R$139,15,FALSE)/1000</f>
        <v>2.9468556000000001</v>
      </c>
      <c r="I321" s="312">
        <f t="shared" si="61"/>
        <v>0</v>
      </c>
      <c r="J321" s="312">
        <f>VLOOKUP($B$187:$B$323,Acraft!$A$3:$R$139,9,FALSE)+Calc1!$C$168*VLOOKUP($B$187:$B$323,Acraft!$A$3:$R$139,16,FALSE)/1000</f>
        <v>1.143192E-2</v>
      </c>
      <c r="K321" s="312">
        <f t="shared" si="62"/>
        <v>0</v>
      </c>
      <c r="L321" s="312">
        <f>VLOOKUP($B$187:$B$323,Acraft!$A$3:$R$139,10,FALSE)+Calc1!$C$168*VLOOKUP($B$187:$B$323,Acraft!$A$3:$R$139,17,FALSE)/1000</f>
        <v>4.0802999999999992E-2</v>
      </c>
      <c r="M321" s="312">
        <f t="shared" si="63"/>
        <v>0</v>
      </c>
      <c r="N321" s="312">
        <f>VLOOKUP($B$187:$B$323,Acraft!$A$3:$R$139,11,FALSE)+Calc1!$C$168*VLOOKUP($B$187:$B$323,Acraft!$A$3:$R$139,18,FALSE)/1000</f>
        <v>25.705889999999997</v>
      </c>
      <c r="O321" s="398">
        <f t="shared" si="64"/>
        <v>0</v>
      </c>
      <c r="P321" s="312">
        <f>VLOOKUP($B$187:$B$323,Acraft!$A$3:$R$139,5,FALSE)+Calc1!$C$168*VLOOKUP($B$187:$B$323,Acraft!$A$3:$R$139,12,FALSE)/1000</f>
        <v>81.605999999999995</v>
      </c>
      <c r="Q321" s="396">
        <f t="shared" si="65"/>
        <v>0</v>
      </c>
      <c r="R321" s="399">
        <f>VLOOKUP($B$187:$B$323,Acraft!$A$3:$Y$139,20,FALSE)*$Y321*Calc2!$C321/2/1000/1000</f>
        <v>0</v>
      </c>
      <c r="S321" s="400">
        <f>VLOOKUP($B$187:$B$323,Acraft!$A$3:$Y$139,21,FALSE)*$Y321*Calc2!$C321/2/1000/1000</f>
        <v>0</v>
      </c>
      <c r="T321" s="400">
        <f>VLOOKUP($B$187:$B$323,Acraft!$A$3:$Y$139,22,FALSE)*$Y321*Calc2!$C321/2/1000/1000</f>
        <v>0</v>
      </c>
      <c r="U321" s="400">
        <f>VLOOKUP($B$187:$B$323,Acraft!$A$3:$Y$139,23,FALSE)*$Y321*Calc2!$C321/2/1000/1000</f>
        <v>0</v>
      </c>
      <c r="V321" s="400">
        <f>VLOOKUP($B$187:$B$323,Acraft!$A$3:$Y$139,24,FALSE)*$Y321*Calc2!$C321/2/1000/1000</f>
        <v>0</v>
      </c>
      <c r="W321" s="398">
        <f>VLOOKUP($B$187:$B$323,Acraft!$A$3:$Y$139,25,FALSE)*$Y321*Calc2!$C321/2/1000/1000</f>
        <v>0</v>
      </c>
      <c r="X321" s="398">
        <f>VLOOKUP($B$187:$B$323,Acraft!$A$3:$Y$139,19,FALSE)*$Y321*Calc2!$C321/2</f>
        <v>0</v>
      </c>
      <c r="Y321" s="309">
        <f>IF(VLOOKUP($B$187:$B$323,Acraft!$A$3:$Y$139,19,FALSE)=4,Calc1!$C$173,IF(VLOOKUP($B$187:$B$323,Acraft!$A$3:$Y$139,19,FALSE)=1.77777777777778,Calc1!$C$172,0))</f>
        <v>0</v>
      </c>
      <c r="Z321" s="305"/>
    </row>
    <row r="322" spans="1:26" x14ac:dyDescent="0.2">
      <c r="A322" s="303"/>
      <c r="B322" s="309" t="s">
        <v>568</v>
      </c>
      <c r="C322" s="397">
        <f>Calc1!I150</f>
        <v>0</v>
      </c>
      <c r="D322" s="395">
        <f>VLOOKUP($B$187:$B$323,Acraft!$A$3:$R$139,6,FALSE)+Calc1!$C$168*VLOOKUP($B$187:$B$323,Acraft!$A$3:$R$139,13,FALSE)/1000</f>
        <v>0.78813413999999993</v>
      </c>
      <c r="E322" s="398">
        <f t="shared" si="59"/>
        <v>0</v>
      </c>
      <c r="F322" s="312">
        <f>VLOOKUP($B$187:$B$323,Acraft!$A$3:$R$139,7,FALSE)+Calc1!$C$168*VLOOKUP($B$187:$B$323,Acraft!$A$3:$R$139,14,FALSE)/1000</f>
        <v>5.4414689400000009</v>
      </c>
      <c r="G322" s="312">
        <f t="shared" si="60"/>
        <v>0</v>
      </c>
      <c r="H322" s="312">
        <f>VLOOKUP($B$187:$B$323,Acraft!$A$3:$R$139,8,FALSE)+Calc1!$C$168*VLOOKUP($B$187:$B$323,Acraft!$A$3:$R$139,15,FALSE)/1000</f>
        <v>4.4202833999999998</v>
      </c>
      <c r="I322" s="312">
        <f t="shared" si="61"/>
        <v>0</v>
      </c>
      <c r="J322" s="312">
        <f>VLOOKUP($B$187:$B$323,Acraft!$A$3:$R$139,9,FALSE)+Calc1!$C$168*VLOOKUP($B$187:$B$323,Acraft!$A$3:$R$139,16,FALSE)/1000</f>
        <v>1.7147879999999997E-2</v>
      </c>
      <c r="K322" s="312">
        <f t="shared" si="62"/>
        <v>0</v>
      </c>
      <c r="L322" s="312">
        <f>VLOOKUP($B$187:$B$323,Acraft!$A$3:$R$139,10,FALSE)+Calc1!$C$168*VLOOKUP($B$187:$B$323,Acraft!$A$3:$R$139,17,FALSE)/1000</f>
        <v>6.1204499999999995E-2</v>
      </c>
      <c r="M322" s="312">
        <f t="shared" si="63"/>
        <v>0</v>
      </c>
      <c r="N322" s="312">
        <f>VLOOKUP($B$187:$B$323,Acraft!$A$3:$R$139,11,FALSE)+Calc1!$C$168*VLOOKUP($B$187:$B$323,Acraft!$A$3:$R$139,18,FALSE)/1000</f>
        <v>38.558835000000002</v>
      </c>
      <c r="O322" s="398">
        <f t="shared" si="64"/>
        <v>0</v>
      </c>
      <c r="P322" s="312">
        <f>VLOOKUP($B$187:$B$323,Acraft!$A$3:$R$139,5,FALSE)+Calc1!$C$168*VLOOKUP($B$187:$B$323,Acraft!$A$3:$R$139,12,FALSE)/1000</f>
        <v>122.40899999999999</v>
      </c>
      <c r="Q322" s="396">
        <f t="shared" si="65"/>
        <v>0</v>
      </c>
      <c r="R322" s="399">
        <f>VLOOKUP($B$187:$B$323,Acraft!$A$3:$Y$139,20,FALSE)*$Y322*Calc2!$C322/2/1000/1000</f>
        <v>0</v>
      </c>
      <c r="S322" s="400">
        <f>VLOOKUP($B$187:$B$323,Acraft!$A$3:$Y$139,21,FALSE)*$Y322*Calc2!$C322/2/1000/1000</f>
        <v>0</v>
      </c>
      <c r="T322" s="400">
        <f>VLOOKUP($B$187:$B$323,Acraft!$A$3:$Y$139,22,FALSE)*$Y322*Calc2!$C322/2/1000/1000</f>
        <v>0</v>
      </c>
      <c r="U322" s="400">
        <f>VLOOKUP($B$187:$B$323,Acraft!$A$3:$Y$139,23,FALSE)*$Y322*Calc2!$C322/2/1000/1000</f>
        <v>0</v>
      </c>
      <c r="V322" s="400">
        <f>VLOOKUP($B$187:$B$323,Acraft!$A$3:$Y$139,24,FALSE)*$Y322*Calc2!$C322/2/1000/1000</f>
        <v>0</v>
      </c>
      <c r="W322" s="398">
        <f>VLOOKUP($B$187:$B$323,Acraft!$A$3:$Y$139,25,FALSE)*$Y322*Calc2!$C322/2/1000/1000</f>
        <v>0</v>
      </c>
      <c r="X322" s="398">
        <f>VLOOKUP($B$187:$B$323,Acraft!$A$3:$Y$139,19,FALSE)*$Y322*Calc2!$C322/2</f>
        <v>0</v>
      </c>
      <c r="Y322" s="309">
        <f>IF(VLOOKUP($B$187:$B$323,Acraft!$A$3:$Y$139,19,FALSE)=4,Calc1!$C$173,IF(VLOOKUP($B$187:$B$323,Acraft!$A$3:$Y$139,19,FALSE)=1.77777777777778,Calc1!$C$172,0))</f>
        <v>0</v>
      </c>
      <c r="Z322" s="305"/>
    </row>
    <row r="323" spans="1:26" ht="13.5" thickBot="1" x14ac:dyDescent="0.25">
      <c r="A323" s="303"/>
      <c r="B323" s="401" t="s">
        <v>570</v>
      </c>
      <c r="C323" s="402">
        <f>Calc1!I151</f>
        <v>0</v>
      </c>
      <c r="D323" s="403">
        <f>VLOOKUP($B$187:$B$323,Acraft!$A$3:$R$139,6,FALSE)+Calc1!$C$168*VLOOKUP($B$187:$B$323,Acraft!$A$3:$R$139,13,FALSE)/1000</f>
        <v>4.7665188000000001</v>
      </c>
      <c r="E323" s="404">
        <f t="shared" si="59"/>
        <v>0</v>
      </c>
      <c r="F323" s="405">
        <f>VLOOKUP($B$187:$B$323,Acraft!$A$3:$R$139,7,FALSE)+Calc1!$C$168*VLOOKUP($B$187:$B$323,Acraft!$A$3:$R$139,14,FALSE)/1000</f>
        <v>9.2371712400000003</v>
      </c>
      <c r="G323" s="405">
        <f t="shared" si="60"/>
        <v>0</v>
      </c>
      <c r="H323" s="405">
        <f>VLOOKUP($B$187:$B$323,Acraft!$A$3:$R$139,8,FALSE)+Calc1!$C$168*VLOOKUP($B$187:$B$323,Acraft!$A$3:$R$139,15,FALSE)/1000</f>
        <v>22.938102000000001</v>
      </c>
      <c r="I323" s="405">
        <f t="shared" si="61"/>
        <v>0</v>
      </c>
      <c r="J323" s="405">
        <f>VLOOKUP($B$187:$B$323,Acraft!$A$3:$R$139,9,FALSE)+Calc1!$C$168*VLOOKUP($B$187:$B$323,Acraft!$A$3:$R$139,16,FALSE)/1000</f>
        <v>0.123748504</v>
      </c>
      <c r="K323" s="405">
        <f t="shared" si="62"/>
        <v>0</v>
      </c>
      <c r="L323" s="405">
        <f>VLOOKUP($B$187:$B$323,Acraft!$A$3:$R$139,10,FALSE)+Calc1!$C$168*VLOOKUP($B$187:$B$323,Acraft!$A$3:$R$139,17,FALSE)/1000</f>
        <v>0.42773399999999995</v>
      </c>
      <c r="M323" s="405">
        <f t="shared" si="63"/>
        <v>0</v>
      </c>
      <c r="N323" s="405">
        <f>VLOOKUP($B$187:$B$323,Acraft!$A$3:$R$139,11,FALSE)+Calc1!$C$168*VLOOKUP($B$187:$B$323,Acraft!$A$3:$R$139,18,FALSE)/1000</f>
        <v>2694.7241999999997</v>
      </c>
      <c r="O323" s="404">
        <f t="shared" si="64"/>
        <v>0</v>
      </c>
      <c r="P323" s="405">
        <f>VLOOKUP($B$187:$B$323,Acraft!$A$3:$R$139,5,FALSE)+Calc1!$C$168*VLOOKUP($B$187:$B$323,Acraft!$A$3:$R$139,12,FALSE)/1000</f>
        <v>855.46799999999996</v>
      </c>
      <c r="Q323" s="406">
        <f t="shared" si="65"/>
        <v>0</v>
      </c>
      <c r="R323" s="399">
        <f>VLOOKUP($B$187:$B$323,Acraft!$A$3:$Y$139,20,FALSE)*$Y323*Calc2!$C323/2/1000/1000</f>
        <v>0</v>
      </c>
      <c r="S323" s="400">
        <f>VLOOKUP($B$187:$B$323,Acraft!$A$3:$Y$139,21,FALSE)*$Y323*Calc2!$C323/2/1000/1000</f>
        <v>0</v>
      </c>
      <c r="T323" s="400">
        <f>VLOOKUP($B$187:$B$323,Acraft!$A$3:$Y$139,22,FALSE)*$Y323*Calc2!$C323/2/1000/1000</f>
        <v>0</v>
      </c>
      <c r="U323" s="400">
        <f>VLOOKUP($B$187:$B$323,Acraft!$A$3:$Y$139,23,FALSE)*$Y323*Calc2!$C323/2/1000/1000</f>
        <v>0</v>
      </c>
      <c r="V323" s="400">
        <f>VLOOKUP($B$187:$B$323,Acraft!$A$3:$Y$139,24,FALSE)*$Y323*Calc2!$C323/2/1000/1000</f>
        <v>0</v>
      </c>
      <c r="W323" s="398">
        <f>VLOOKUP($B$187:$B$323,Acraft!$A$3:$Y$139,25,FALSE)*$Y323*Calc2!$C323/2/1000/1000</f>
        <v>0</v>
      </c>
      <c r="X323" s="398">
        <f>VLOOKUP($B$187:$B$323,Acraft!$A$3:$Y$139,19,FALSE)*$Y323*Calc2!$C323/2</f>
        <v>0</v>
      </c>
      <c r="Y323" s="309">
        <f>IF(VLOOKUP($B$187:$B$323,Acraft!$A$3:$Y$139,19,FALSE)=4,Calc1!$C$173,IF(VLOOKUP($B$187:$B$323,Acraft!$A$3:$Y$139,19,FALSE)=1.77777777777778,Calc1!$C$172,0))</f>
        <v>0</v>
      </c>
      <c r="Z323" s="305"/>
    </row>
    <row r="324" spans="1:26" ht="13.5" thickBot="1" x14ac:dyDescent="0.25">
      <c r="A324" s="303"/>
      <c r="B324" s="407" t="s">
        <v>583</v>
      </c>
      <c r="C324" s="408"/>
      <c r="D324" s="408"/>
      <c r="E324" s="409">
        <f>SUM(E187:E323)</f>
        <v>1.3223155800000002</v>
      </c>
      <c r="F324" s="410"/>
      <c r="G324" s="410">
        <f>SUM(G187:G323)</f>
        <v>4.7620365000000005E-2</v>
      </c>
      <c r="H324" s="410"/>
      <c r="I324" s="410">
        <f>SUM(I187:I323)</f>
        <v>0.65646467400000008</v>
      </c>
      <c r="J324" s="410"/>
      <c r="K324" s="410">
        <f>SUM(K187:K323)</f>
        <v>4.1718604095599843E-3</v>
      </c>
      <c r="L324" s="410"/>
      <c r="M324" s="410">
        <f>SUM(M187:M323)</f>
        <v>4.7297100000000009E-2</v>
      </c>
      <c r="N324" s="410"/>
      <c r="O324" s="410">
        <f>SUM(O187:O323)</f>
        <v>297.97173000000004</v>
      </c>
      <c r="P324" s="410"/>
      <c r="Q324" s="411">
        <f t="shared" ref="Q324:X324" si="66">SUM(Q187:Q323)</f>
        <v>94594.2</v>
      </c>
      <c r="R324" s="412">
        <f t="shared" si="66"/>
        <v>7.1999999999999995E-2</v>
      </c>
      <c r="S324" s="412">
        <f t="shared" si="66"/>
        <v>4.7999999999999996E-3</v>
      </c>
      <c r="T324" s="412">
        <f t="shared" si="66"/>
        <v>6.2999999999999992E-3</v>
      </c>
      <c r="U324" s="412">
        <f t="shared" si="66"/>
        <v>1.1999999999999999E-3</v>
      </c>
      <c r="V324" s="412">
        <f t="shared" si="66"/>
        <v>4.4999999999999997E-3</v>
      </c>
      <c r="W324" s="412">
        <f t="shared" si="66"/>
        <v>28.35</v>
      </c>
      <c r="X324" s="412">
        <f t="shared" si="66"/>
        <v>9000</v>
      </c>
      <c r="Y324" s="304"/>
      <c r="Z324" s="305"/>
    </row>
    <row r="325" spans="1:26" ht="13.5" thickBot="1" x14ac:dyDescent="0.25">
      <c r="A325" s="303"/>
      <c r="B325" s="391"/>
      <c r="C325" s="391"/>
      <c r="D325" s="1196" t="s">
        <v>612</v>
      </c>
      <c r="E325" s="1191"/>
      <c r="F325" s="1191"/>
      <c r="G325" s="1191"/>
      <c r="H325" s="1191"/>
      <c r="I325" s="1191"/>
      <c r="J325" s="1191"/>
      <c r="K325" s="1191"/>
      <c r="L325" s="1191"/>
      <c r="M325" s="1191"/>
      <c r="N325" s="1191"/>
      <c r="O325" s="1191"/>
      <c r="P325" s="1191"/>
      <c r="Q325" s="1197"/>
      <c r="R325" s="1191" t="s">
        <v>99</v>
      </c>
      <c r="S325" s="1191"/>
      <c r="T325" s="1191"/>
      <c r="U325" s="1191"/>
      <c r="V325" s="1191"/>
      <c r="W325" s="1191"/>
      <c r="X325" s="1191"/>
      <c r="Y325" s="1192"/>
      <c r="Z325" s="305"/>
    </row>
    <row r="326" spans="1:26" x14ac:dyDescent="0.2">
      <c r="A326" s="303"/>
      <c r="B326" s="309"/>
      <c r="C326" s="392"/>
      <c r="D326" s="1193" t="s">
        <v>197</v>
      </c>
      <c r="E326" s="1194"/>
      <c r="F326" s="1194" t="s">
        <v>580</v>
      </c>
      <c r="G326" s="1194"/>
      <c r="H326" s="1194" t="s">
        <v>194</v>
      </c>
      <c r="I326" s="1194"/>
      <c r="J326" s="1194" t="s">
        <v>195</v>
      </c>
      <c r="K326" s="1194"/>
      <c r="L326" s="1194" t="s">
        <v>581</v>
      </c>
      <c r="M326" s="1194"/>
      <c r="N326" s="1194" t="s">
        <v>582</v>
      </c>
      <c r="O326" s="1194"/>
      <c r="P326" s="1194" t="s">
        <v>23</v>
      </c>
      <c r="Q326" s="1195"/>
      <c r="R326" s="369" t="s">
        <v>210</v>
      </c>
      <c r="S326" s="393" t="s">
        <v>580</v>
      </c>
      <c r="T326" s="393" t="s">
        <v>194</v>
      </c>
      <c r="U326" s="393" t="s">
        <v>195</v>
      </c>
      <c r="V326" s="393" t="s">
        <v>581</v>
      </c>
      <c r="W326" s="393" t="s">
        <v>582</v>
      </c>
      <c r="X326" s="393" t="s">
        <v>23</v>
      </c>
      <c r="Y326" s="393" t="s">
        <v>611</v>
      </c>
      <c r="Z326" s="305"/>
    </row>
    <row r="327" spans="1:26" x14ac:dyDescent="0.2">
      <c r="A327" s="303"/>
      <c r="B327" s="312" t="s">
        <v>2</v>
      </c>
      <c r="C327" s="394" t="s">
        <v>575</v>
      </c>
      <c r="D327" s="395" t="s">
        <v>578</v>
      </c>
      <c r="E327" s="312" t="s">
        <v>579</v>
      </c>
      <c r="F327" s="312" t="s">
        <v>578</v>
      </c>
      <c r="G327" s="312" t="s">
        <v>579</v>
      </c>
      <c r="H327" s="312" t="s">
        <v>578</v>
      </c>
      <c r="I327" s="312" t="s">
        <v>579</v>
      </c>
      <c r="J327" s="312" t="s">
        <v>578</v>
      </c>
      <c r="K327" s="312" t="s">
        <v>579</v>
      </c>
      <c r="L327" s="312" t="s">
        <v>578</v>
      </c>
      <c r="M327" s="312" t="s">
        <v>579</v>
      </c>
      <c r="N327" s="312" t="s">
        <v>578</v>
      </c>
      <c r="O327" s="312" t="s">
        <v>579</v>
      </c>
      <c r="P327" s="312" t="s">
        <v>578</v>
      </c>
      <c r="Q327" s="396" t="s">
        <v>599</v>
      </c>
      <c r="R327" s="1190" t="s">
        <v>579</v>
      </c>
      <c r="S327" s="1189"/>
      <c r="T327" s="1189"/>
      <c r="U327" s="1189"/>
      <c r="V327" s="1189"/>
      <c r="W327" s="1189"/>
      <c r="X327" s="309" t="s">
        <v>13</v>
      </c>
      <c r="Y327" s="309" t="s">
        <v>602</v>
      </c>
      <c r="Z327" s="305"/>
    </row>
    <row r="328" spans="1:26" x14ac:dyDescent="0.2">
      <c r="A328" s="303"/>
      <c r="B328" s="304"/>
      <c r="C328" s="304"/>
      <c r="D328" s="304"/>
      <c r="E328" s="304"/>
      <c r="F328" s="304"/>
      <c r="G328" s="304"/>
      <c r="H328" s="304"/>
      <c r="I328" s="304"/>
      <c r="J328" s="304"/>
      <c r="K328" s="304"/>
      <c r="L328" s="304"/>
      <c r="M328" s="304"/>
      <c r="N328" s="304"/>
      <c r="O328" s="304"/>
      <c r="P328" s="304"/>
      <c r="Q328" s="304"/>
      <c r="R328" s="304"/>
      <c r="S328" s="304"/>
      <c r="T328" s="304"/>
      <c r="U328" s="304"/>
      <c r="V328" s="304"/>
      <c r="W328" s="304"/>
      <c r="X328" s="304"/>
      <c r="Y328" s="304"/>
      <c r="Z328" s="305"/>
    </row>
    <row r="329" spans="1:26" x14ac:dyDescent="0.2">
      <c r="A329" s="303"/>
      <c r="B329" s="304"/>
      <c r="C329" s="304"/>
      <c r="D329" s="304"/>
      <c r="E329" s="304"/>
      <c r="F329" s="304"/>
      <c r="G329" s="304"/>
      <c r="H329" s="304"/>
      <c r="I329" s="304"/>
      <c r="J329" s="304"/>
      <c r="K329" s="413"/>
      <c r="L329" s="413"/>
      <c r="M329" s="413"/>
      <c r="N329" s="414"/>
      <c r="O329" s="414"/>
      <c r="P329" s="414"/>
      <c r="Q329" s="414"/>
      <c r="R329" s="304"/>
      <c r="S329" s="304"/>
      <c r="T329" s="304"/>
      <c r="U329" s="304"/>
      <c r="V329" s="304"/>
      <c r="W329" s="304"/>
      <c r="X329" s="304"/>
      <c r="Y329" s="304"/>
      <c r="Z329" s="305"/>
    </row>
    <row r="330" spans="1:26" x14ac:dyDescent="0.2">
      <c r="A330" s="303"/>
      <c r="B330" s="303" t="s">
        <v>18</v>
      </c>
      <c r="C330" s="304"/>
      <c r="D330" s="304"/>
      <c r="E330" s="304"/>
      <c r="F330" s="304"/>
      <c r="G330" s="304"/>
      <c r="H330" s="304"/>
      <c r="I330" s="304"/>
      <c r="J330" s="304"/>
      <c r="K330" s="304"/>
      <c r="L330" s="304"/>
      <c r="M330" s="304"/>
      <c r="N330" s="304"/>
      <c r="O330" s="304"/>
      <c r="P330" s="304"/>
      <c r="Q330" s="304"/>
      <c r="R330" s="304"/>
      <c r="S330" s="304"/>
      <c r="T330" s="304"/>
      <c r="U330" s="304"/>
      <c r="V330" s="304"/>
      <c r="W330" s="304"/>
      <c r="X330" s="304"/>
      <c r="Y330" s="304"/>
      <c r="Z330" s="305"/>
    </row>
    <row r="331" spans="1:26" x14ac:dyDescent="0.2">
      <c r="A331" s="303"/>
      <c r="B331" s="309"/>
      <c r="C331" s="312" t="s">
        <v>5</v>
      </c>
      <c r="D331" s="312" t="s">
        <v>21</v>
      </c>
      <c r="E331" s="312" t="s">
        <v>1</v>
      </c>
      <c r="F331" s="312" t="s">
        <v>6</v>
      </c>
      <c r="G331" s="304" t="s">
        <v>600</v>
      </c>
      <c r="H331" s="304" t="s">
        <v>601</v>
      </c>
      <c r="I331" s="304"/>
      <c r="J331" s="304"/>
      <c r="K331" s="304"/>
      <c r="L331" s="304"/>
      <c r="M331" s="304"/>
      <c r="N331" s="304"/>
      <c r="O331" s="304"/>
      <c r="P331" s="304"/>
      <c r="Q331" s="304"/>
      <c r="R331" s="304"/>
      <c r="S331" s="304"/>
      <c r="T331" s="304"/>
      <c r="U331" s="304"/>
      <c r="V331" s="304"/>
      <c r="W331" s="304"/>
      <c r="X331" s="304"/>
      <c r="Y331" s="304"/>
      <c r="Z331" s="305"/>
    </row>
    <row r="332" spans="1:26" x14ac:dyDescent="0.2">
      <c r="A332" s="303"/>
      <c r="B332" s="309" t="s">
        <v>599</v>
      </c>
      <c r="C332" s="312">
        <f>SUMIF(Acraft!$B$3:$B$139,"*J",$Q$187:$Q$323)</f>
        <v>94594.2</v>
      </c>
      <c r="D332" s="312">
        <f>SUMIF(Acraft!$B$3:$B$139,"*T",$Q$187:$Q$323)</f>
        <v>0</v>
      </c>
      <c r="E332" s="312">
        <f>SUMIF(Acraft!$B$3:$B$139,"*P",$Q$187:$Q$323)</f>
        <v>0</v>
      </c>
      <c r="F332" s="312">
        <f>SUMIF(Acraft!$B$3:$B$139,"*H",$Q$187:$Q$323)</f>
        <v>0</v>
      </c>
      <c r="G332" s="304"/>
      <c r="H332" s="304">
        <f>SUM(C332:F332)</f>
        <v>94594.2</v>
      </c>
      <c r="I332" s="304" t="s">
        <v>13</v>
      </c>
      <c r="J332" s="304"/>
      <c r="K332" s="304"/>
      <c r="L332" s="304"/>
      <c r="M332" s="304"/>
      <c r="N332" s="304"/>
      <c r="O332" s="304"/>
      <c r="P332" s="304"/>
      <c r="Q332" s="304"/>
      <c r="R332" s="304"/>
      <c r="S332" s="304"/>
      <c r="T332" s="304"/>
      <c r="U332" s="304"/>
      <c r="V332" s="304"/>
      <c r="W332" s="304"/>
      <c r="X332" s="304"/>
      <c r="Y332" s="304"/>
      <c r="Z332" s="305"/>
    </row>
    <row r="333" spans="1:26" ht="15.75" x14ac:dyDescent="0.3">
      <c r="A333" s="303"/>
      <c r="B333" s="309" t="s">
        <v>16</v>
      </c>
      <c r="C333" s="348">
        <v>3.1379999999999999</v>
      </c>
      <c r="D333" s="348">
        <v>3.1379999999999999</v>
      </c>
      <c r="E333" s="348">
        <v>3.2530000000000001</v>
      </c>
      <c r="F333" s="348">
        <v>3.1379999999999999</v>
      </c>
      <c r="G333" s="303">
        <f>SUMPRODUCT(C333:F333,$C$332:$F$332)/1000</f>
        <v>296.83659959999994</v>
      </c>
      <c r="H333" s="415">
        <f>G333/O324</f>
        <v>0.99619047619047585</v>
      </c>
      <c r="I333" s="304"/>
      <c r="J333" s="304"/>
      <c r="K333" s="304"/>
      <c r="L333" s="304"/>
      <c r="M333" s="304"/>
      <c r="N333" s="304"/>
      <c r="O333" s="304"/>
      <c r="P333" s="304"/>
      <c r="Q333" s="304"/>
      <c r="R333" s="304"/>
      <c r="S333" s="304"/>
      <c r="T333" s="304"/>
      <c r="U333" s="304"/>
      <c r="V333" s="304"/>
      <c r="W333" s="304"/>
      <c r="X333" s="304"/>
      <c r="Y333" s="304"/>
      <c r="Z333" s="305"/>
    </row>
    <row r="334" spans="1:26" ht="15.75" x14ac:dyDescent="0.3">
      <c r="A334" s="303"/>
      <c r="B334" s="309" t="s">
        <v>17</v>
      </c>
      <c r="C334" s="416">
        <v>9.8999999999999994E-5</v>
      </c>
      <c r="D334" s="416">
        <v>9.8999999999999994E-5</v>
      </c>
      <c r="E334" s="416">
        <v>3.0599999999999998E-3</v>
      </c>
      <c r="F334" s="416">
        <v>9.8999999999999994E-5</v>
      </c>
      <c r="G334" s="303">
        <f>SUMPRODUCT(C334:F334,$C$332:$F$332)/1000</f>
        <v>9.3648257999999988E-3</v>
      </c>
      <c r="H334" s="304"/>
      <c r="I334" s="304"/>
      <c r="J334" s="304"/>
      <c r="K334" s="304"/>
      <c r="L334" s="304"/>
      <c r="M334" s="304"/>
      <c r="N334" s="304"/>
      <c r="O334" s="304"/>
      <c r="P334" s="304"/>
      <c r="Q334" s="304"/>
      <c r="R334" s="304"/>
      <c r="S334" s="304"/>
      <c r="T334" s="304"/>
      <c r="U334" s="304"/>
      <c r="V334" s="304"/>
      <c r="W334" s="304"/>
      <c r="X334" s="304"/>
      <c r="Y334" s="304"/>
      <c r="Z334" s="305"/>
    </row>
    <row r="335" spans="1:26" ht="15.75" x14ac:dyDescent="0.3">
      <c r="A335" s="303"/>
      <c r="B335" s="309" t="s">
        <v>789</v>
      </c>
      <c r="C335" s="416">
        <v>2.8499999999999999E-4</v>
      </c>
      <c r="D335" s="416">
        <v>2.8499999999999999E-4</v>
      </c>
      <c r="E335" s="416">
        <v>2.8499999999999999E-4</v>
      </c>
      <c r="F335" s="416">
        <v>2.8499999999999999E-4</v>
      </c>
      <c r="G335" s="303">
        <f>SUMPRODUCT(C335:F335,$C$332:$F$332)/1000</f>
        <v>2.6959346999999998E-2</v>
      </c>
      <c r="H335" s="304"/>
      <c r="I335" s="304"/>
      <c r="J335" s="304"/>
      <c r="K335" s="304"/>
      <c r="L335" s="304"/>
      <c r="M335" s="304"/>
      <c r="N335" s="304"/>
      <c r="O335" s="304"/>
      <c r="P335" s="304"/>
      <c r="Q335" s="304"/>
      <c r="R335" s="304"/>
      <c r="S335" s="304"/>
      <c r="T335" s="304"/>
      <c r="U335" s="304"/>
      <c r="V335" s="304"/>
      <c r="W335" s="304"/>
      <c r="X335" s="304"/>
      <c r="Y335" s="304"/>
      <c r="Z335" s="305"/>
    </row>
    <row r="336" spans="1:26" x14ac:dyDescent="0.2">
      <c r="A336" s="303"/>
      <c r="B336" s="335" t="s">
        <v>19</v>
      </c>
      <c r="C336" s="304"/>
      <c r="D336" s="304"/>
      <c r="E336" s="304"/>
      <c r="F336" s="304"/>
      <c r="G336" s="304"/>
      <c r="H336" s="304"/>
      <c r="I336" s="304"/>
      <c r="J336" s="304"/>
      <c r="K336" s="304"/>
      <c r="L336" s="304"/>
      <c r="M336" s="304"/>
      <c r="N336" s="304"/>
      <c r="O336" s="304"/>
      <c r="P336" s="304"/>
      <c r="Q336" s="304"/>
      <c r="R336" s="304"/>
      <c r="S336" s="304"/>
      <c r="T336" s="304"/>
      <c r="U336" s="304"/>
      <c r="V336" s="304"/>
      <c r="W336" s="304"/>
      <c r="X336" s="304"/>
      <c r="Y336" s="304"/>
      <c r="Z336" s="305"/>
    </row>
    <row r="337" spans="1:26" x14ac:dyDescent="0.2">
      <c r="A337" s="303"/>
      <c r="B337" s="335" t="s">
        <v>20</v>
      </c>
      <c r="C337" s="304"/>
      <c r="D337" s="304"/>
      <c r="E337" s="304"/>
      <c r="F337" s="304"/>
      <c r="G337" s="304"/>
      <c r="H337" s="304"/>
      <c r="I337" s="304"/>
      <c r="J337" s="304"/>
      <c r="K337" s="304"/>
      <c r="L337" s="304"/>
      <c r="M337" s="304"/>
      <c r="N337" s="304"/>
      <c r="O337" s="304"/>
      <c r="P337" s="304"/>
      <c r="Q337" s="304"/>
      <c r="R337" s="304"/>
      <c r="S337" s="304"/>
      <c r="T337" s="304"/>
      <c r="U337" s="304"/>
      <c r="V337" s="304"/>
      <c r="W337" s="304"/>
      <c r="X337" s="304"/>
      <c r="Y337" s="304"/>
      <c r="Z337" s="305"/>
    </row>
    <row r="338" spans="1:26" x14ac:dyDescent="0.2">
      <c r="A338" s="303"/>
      <c r="B338" s="335" t="s">
        <v>22</v>
      </c>
      <c r="C338" s="304"/>
      <c r="D338" s="304"/>
      <c r="E338" s="304"/>
      <c r="F338" s="304"/>
      <c r="G338" s="304"/>
      <c r="H338" s="304"/>
      <c r="I338" s="304"/>
      <c r="J338" s="304"/>
      <c r="K338" s="304"/>
      <c r="L338" s="304"/>
      <c r="M338" s="304"/>
      <c r="N338" s="304"/>
      <c r="O338" s="304"/>
      <c r="P338" s="304"/>
      <c r="Q338" s="304"/>
      <c r="R338" s="304"/>
      <c r="S338" s="304"/>
      <c r="T338" s="304"/>
      <c r="U338" s="304"/>
      <c r="V338" s="304"/>
      <c r="W338" s="304"/>
      <c r="X338" s="304"/>
      <c r="Y338" s="304"/>
      <c r="Z338" s="305"/>
    </row>
    <row r="339" spans="1:26" x14ac:dyDescent="0.2">
      <c r="A339" s="303"/>
      <c r="B339" s="321"/>
      <c r="C339" s="304"/>
      <c r="D339" s="304"/>
      <c r="E339" s="304"/>
      <c r="F339" s="304"/>
      <c r="G339" s="304"/>
      <c r="H339" s="304"/>
      <c r="I339" s="304"/>
      <c r="J339" s="304"/>
      <c r="K339" s="304"/>
      <c r="L339" s="304"/>
      <c r="M339" s="304"/>
      <c r="N339" s="304"/>
      <c r="O339" s="304"/>
      <c r="P339" s="304"/>
      <c r="Q339" s="304"/>
      <c r="R339" s="304"/>
      <c r="S339" s="304"/>
      <c r="T339" s="304"/>
      <c r="U339" s="304"/>
      <c r="V339" s="304"/>
      <c r="W339" s="304"/>
      <c r="X339" s="304"/>
      <c r="Y339" s="304"/>
      <c r="Z339" s="305"/>
    </row>
    <row r="340" spans="1:26" x14ac:dyDescent="0.2">
      <c r="A340" s="303"/>
      <c r="B340" s="321"/>
      <c r="C340" s="304"/>
      <c r="D340" s="304"/>
      <c r="E340" s="304"/>
      <c r="F340" s="304"/>
      <c r="G340" s="304"/>
      <c r="H340" s="304"/>
      <c r="I340" s="304"/>
      <c r="J340" s="304"/>
      <c r="K340" s="304"/>
      <c r="L340" s="304"/>
      <c r="M340" s="304"/>
      <c r="N340" s="304"/>
      <c r="O340" s="304"/>
      <c r="P340" s="304"/>
      <c r="Q340" s="304"/>
      <c r="R340" s="304"/>
      <c r="S340" s="304"/>
      <c r="T340" s="304"/>
      <c r="U340" s="304"/>
      <c r="V340" s="304"/>
      <c r="W340" s="304"/>
      <c r="X340" s="304"/>
      <c r="Y340" s="304"/>
      <c r="Z340" s="305"/>
    </row>
    <row r="341" spans="1:26" x14ac:dyDescent="0.2">
      <c r="A341" s="303" t="s">
        <v>636</v>
      </c>
      <c r="B341" s="303" t="s">
        <v>610</v>
      </c>
      <c r="C341" s="304"/>
      <c r="D341" s="304"/>
      <c r="E341" s="304"/>
      <c r="F341" s="304"/>
      <c r="G341" s="304"/>
      <c r="H341" s="304"/>
      <c r="I341" s="304"/>
      <c r="J341" s="304"/>
      <c r="K341" s="304"/>
      <c r="L341" s="304"/>
      <c r="M341" s="304"/>
      <c r="N341" s="304"/>
      <c r="O341" s="304"/>
      <c r="P341" s="304"/>
      <c r="Q341" s="304"/>
      <c r="R341" s="304"/>
      <c r="S341" s="304"/>
      <c r="T341" s="304"/>
      <c r="U341" s="304"/>
      <c r="V341" s="304"/>
      <c r="W341" s="304"/>
      <c r="X341" s="304"/>
      <c r="Y341" s="304"/>
      <c r="Z341" s="305"/>
    </row>
    <row r="342" spans="1:26" x14ac:dyDescent="0.2">
      <c r="A342" s="303"/>
      <c r="B342" s="309"/>
      <c r="C342" s="312" t="s">
        <v>5</v>
      </c>
      <c r="D342" s="312" t="s">
        <v>21</v>
      </c>
      <c r="E342" s="312" t="s">
        <v>1</v>
      </c>
      <c r="F342" s="312" t="s">
        <v>6</v>
      </c>
      <c r="G342" s="304" t="s">
        <v>600</v>
      </c>
      <c r="H342" s="304"/>
      <c r="I342" s="304"/>
      <c r="J342" s="304"/>
      <c r="K342" s="304"/>
      <c r="L342" s="304"/>
      <c r="M342" s="304"/>
      <c r="N342" s="304"/>
      <c r="O342" s="304"/>
      <c r="P342" s="304"/>
      <c r="Q342" s="304"/>
      <c r="R342" s="304"/>
      <c r="S342" s="304"/>
      <c r="T342" s="304"/>
      <c r="U342" s="304"/>
      <c r="V342" s="304"/>
      <c r="W342" s="304"/>
      <c r="X342" s="304"/>
      <c r="Y342" s="304"/>
      <c r="Z342" s="305"/>
    </row>
    <row r="343" spans="1:26" x14ac:dyDescent="0.2">
      <c r="A343" s="303"/>
      <c r="B343" s="309" t="s">
        <v>599</v>
      </c>
      <c r="C343" s="312">
        <f>SUMIF(Acraft!$B$3:$B$139,"*J",$X$187:$X$323)</f>
        <v>9000</v>
      </c>
      <c r="D343" s="312">
        <f>SUMIF(Acraft!$B$3:$B$139,"*T",$X$187:$X$323)</f>
        <v>0</v>
      </c>
      <c r="E343" s="312">
        <f>SUMIF(Acraft!$B$3:$B$139,"*P",$X$187:$X$323)</f>
        <v>0</v>
      </c>
      <c r="F343" s="312">
        <f>SUMIF(Acraft!$B$3:$B$139,"*H",$X$187:$X$323)</f>
        <v>0</v>
      </c>
      <c r="G343" s="304"/>
      <c r="H343" s="304"/>
      <c r="I343" s="304"/>
      <c r="J343" s="304"/>
      <c r="K343" s="304"/>
      <c r="L343" s="304"/>
      <c r="M343" s="304"/>
      <c r="N343" s="304"/>
      <c r="O343" s="304"/>
      <c r="P343" s="304"/>
      <c r="Q343" s="304"/>
      <c r="R343" s="304"/>
      <c r="S343" s="304"/>
      <c r="T343" s="304"/>
      <c r="U343" s="304"/>
      <c r="V343" s="304"/>
      <c r="W343" s="304"/>
      <c r="X343" s="304"/>
      <c r="Y343" s="304"/>
      <c r="Z343" s="305"/>
    </row>
    <row r="344" spans="1:26" ht="15.75" x14ac:dyDescent="0.3">
      <c r="A344" s="303"/>
      <c r="B344" s="309" t="s">
        <v>16</v>
      </c>
      <c r="C344" s="348">
        <v>3.1379999999999999</v>
      </c>
      <c r="D344" s="348">
        <v>3.1379999999999999</v>
      </c>
      <c r="E344" s="348">
        <v>3.2530000000000001</v>
      </c>
      <c r="F344" s="348">
        <v>3.1379999999999999</v>
      </c>
      <c r="G344" s="303">
        <f>SUMPRODUCT(C344:F344,$C$343:$F$343)/1000</f>
        <v>28.242000000000001</v>
      </c>
      <c r="H344" s="415">
        <f>G344/W324</f>
        <v>0.99619047619047618</v>
      </c>
      <c r="I344" s="304"/>
      <c r="J344" s="304"/>
      <c r="K344" s="304"/>
      <c r="L344" s="304"/>
      <c r="M344" s="304"/>
      <c r="N344" s="304"/>
      <c r="O344" s="304"/>
      <c r="P344" s="304"/>
      <c r="Q344" s="304"/>
      <c r="R344" s="304"/>
      <c r="S344" s="304"/>
      <c r="T344" s="304"/>
      <c r="U344" s="304"/>
      <c r="V344" s="304"/>
      <c r="W344" s="304"/>
      <c r="X344" s="304"/>
      <c r="Y344" s="304"/>
      <c r="Z344" s="305"/>
    </row>
    <row r="345" spans="1:26" ht="15.75" x14ac:dyDescent="0.3">
      <c r="A345" s="303"/>
      <c r="B345" s="309" t="s">
        <v>17</v>
      </c>
      <c r="C345" s="416">
        <v>9.8999999999999994E-5</v>
      </c>
      <c r="D345" s="416">
        <v>9.8999999999999994E-5</v>
      </c>
      <c r="E345" s="416">
        <v>3.0599999999999998E-3</v>
      </c>
      <c r="F345" s="416">
        <v>9.8999999999999994E-5</v>
      </c>
      <c r="G345" s="303">
        <f>SUMPRODUCT(C345:F345,$C$343:$F$343)/1000</f>
        <v>8.9099999999999987E-4</v>
      </c>
      <c r="H345" s="304"/>
      <c r="I345" s="304"/>
      <c r="J345" s="304"/>
      <c r="K345" s="304"/>
      <c r="L345" s="304"/>
      <c r="M345" s="304"/>
      <c r="N345" s="304"/>
      <c r="O345" s="304"/>
      <c r="P345" s="304"/>
      <c r="Q345" s="304"/>
      <c r="R345" s="304"/>
      <c r="S345" s="304"/>
      <c r="T345" s="304"/>
      <c r="U345" s="304"/>
      <c r="V345" s="304"/>
      <c r="W345" s="304"/>
      <c r="X345" s="304"/>
      <c r="Y345" s="304"/>
      <c r="Z345" s="305"/>
    </row>
    <row r="346" spans="1:26" ht="15.75" x14ac:dyDescent="0.3">
      <c r="A346" s="303"/>
      <c r="B346" s="309" t="s">
        <v>789</v>
      </c>
      <c r="C346" s="416">
        <v>2.8499999999999999E-4</v>
      </c>
      <c r="D346" s="416">
        <v>2.8499999999999999E-4</v>
      </c>
      <c r="E346" s="416">
        <v>2.8499999999999999E-4</v>
      </c>
      <c r="F346" s="416">
        <v>2.8499999999999999E-4</v>
      </c>
      <c r="G346" s="303">
        <f>SUMPRODUCT(C346:F346,$C$343:$F$343)/1000</f>
        <v>2.565E-3</v>
      </c>
      <c r="H346" s="304"/>
      <c r="I346" s="304"/>
      <c r="J346" s="304"/>
      <c r="K346" s="304"/>
      <c r="L346" s="304"/>
      <c r="M346" s="304"/>
      <c r="N346" s="304"/>
      <c r="O346" s="304"/>
      <c r="P346" s="304"/>
      <c r="Q346" s="304"/>
      <c r="R346" s="304"/>
      <c r="S346" s="304"/>
      <c r="T346" s="304"/>
      <c r="U346" s="304"/>
      <c r="V346" s="304"/>
      <c r="W346" s="304"/>
      <c r="X346" s="304"/>
      <c r="Y346" s="304"/>
      <c r="Z346" s="305"/>
    </row>
    <row r="347" spans="1:26" x14ac:dyDescent="0.2">
      <c r="A347" s="303"/>
      <c r="B347" s="321"/>
      <c r="C347" s="304"/>
      <c r="D347" s="304"/>
      <c r="E347" s="304"/>
      <c r="F347" s="304"/>
      <c r="G347" s="304"/>
      <c r="H347" s="304"/>
      <c r="I347" s="304"/>
      <c r="J347" s="304"/>
      <c r="K347" s="304"/>
      <c r="L347" s="304"/>
      <c r="M347" s="304"/>
      <c r="N347" s="304"/>
      <c r="O347" s="304"/>
      <c r="P347" s="304"/>
      <c r="Q347" s="304"/>
      <c r="R347" s="304"/>
      <c r="S347" s="304"/>
      <c r="T347" s="304"/>
      <c r="U347" s="304"/>
      <c r="V347" s="304"/>
      <c r="W347" s="304"/>
      <c r="X347" s="304"/>
      <c r="Y347" s="304"/>
      <c r="Z347" s="305"/>
    </row>
    <row r="348" spans="1:26" ht="18" x14ac:dyDescent="0.25">
      <c r="A348" s="303"/>
      <c r="B348" s="379"/>
      <c r="C348" s="304"/>
      <c r="D348" s="304"/>
      <c r="E348" s="304"/>
      <c r="F348" s="304"/>
      <c r="G348" s="304"/>
      <c r="H348" s="304"/>
      <c r="I348" s="304"/>
      <c r="J348" s="304"/>
      <c r="K348" s="304"/>
      <c r="L348" s="304"/>
      <c r="M348" s="321"/>
      <c r="N348" s="304"/>
      <c r="O348" s="304"/>
      <c r="P348" s="304"/>
      <c r="Q348" s="304"/>
      <c r="R348" s="304"/>
      <c r="S348" s="304"/>
      <c r="T348" s="304"/>
      <c r="U348" s="304"/>
      <c r="V348" s="304"/>
      <c r="W348" s="304"/>
      <c r="X348" s="304"/>
      <c r="Y348" s="304"/>
      <c r="Z348" s="305"/>
    </row>
    <row r="349" spans="1:26" x14ac:dyDescent="0.2">
      <c r="A349" s="303" t="s">
        <v>637</v>
      </c>
      <c r="B349" s="303" t="s">
        <v>26</v>
      </c>
      <c r="C349" s="304"/>
      <c r="D349" s="304"/>
      <c r="E349" s="304"/>
      <c r="F349" s="304"/>
      <c r="G349" s="304"/>
      <c r="H349" s="304"/>
      <c r="I349" s="304"/>
      <c r="J349" s="304"/>
      <c r="K349" s="304"/>
      <c r="L349" s="304"/>
      <c r="M349" s="304"/>
      <c r="N349" s="304"/>
      <c r="O349" s="304"/>
      <c r="P349" s="304"/>
      <c r="Q349" s="304"/>
      <c r="R349" s="304"/>
      <c r="S349" s="304"/>
      <c r="T349" s="304"/>
      <c r="U349" s="304"/>
      <c r="V349" s="304"/>
      <c r="W349" s="304"/>
      <c r="X349" s="304"/>
      <c r="Y349" s="304"/>
      <c r="Z349" s="305"/>
    </row>
    <row r="350" spans="1:26" x14ac:dyDescent="0.2">
      <c r="A350" s="303"/>
      <c r="B350" s="304"/>
      <c r="C350" s="304"/>
      <c r="D350" s="304"/>
      <c r="E350" s="304"/>
      <c r="F350" s="304"/>
      <c r="G350" s="304"/>
      <c r="H350" s="304"/>
      <c r="I350" s="304"/>
      <c r="J350" s="304"/>
      <c r="K350" s="304"/>
      <c r="L350" s="304"/>
      <c r="M350" s="304"/>
      <c r="N350" s="304"/>
      <c r="O350" s="304"/>
      <c r="P350" s="304"/>
      <c r="Q350" s="304"/>
      <c r="R350" s="304"/>
      <c r="S350" s="304"/>
      <c r="T350" s="304"/>
      <c r="U350" s="304"/>
      <c r="V350" s="304"/>
      <c r="W350" s="304"/>
      <c r="X350" s="304"/>
      <c r="Y350" s="304"/>
      <c r="Z350" s="305"/>
    </row>
    <row r="351" spans="1:26" ht="15.75" x14ac:dyDescent="0.3">
      <c r="A351" s="303"/>
      <c r="B351" s="309" t="s">
        <v>102</v>
      </c>
      <c r="C351" s="310" t="s">
        <v>27</v>
      </c>
      <c r="D351" s="310"/>
      <c r="E351" s="310" t="s">
        <v>16</v>
      </c>
      <c r="F351" s="310" t="s">
        <v>17</v>
      </c>
      <c r="G351" s="311" t="s">
        <v>789</v>
      </c>
      <c r="H351" s="312" t="s">
        <v>197</v>
      </c>
      <c r="I351" s="312" t="s">
        <v>180</v>
      </c>
      <c r="J351" s="312" t="s">
        <v>194</v>
      </c>
      <c r="K351" s="312" t="s">
        <v>195</v>
      </c>
      <c r="L351" s="312" t="s">
        <v>196</v>
      </c>
      <c r="M351" s="304"/>
      <c r="N351" s="304"/>
      <c r="O351" s="304"/>
      <c r="P351" s="304"/>
      <c r="Q351" s="304"/>
      <c r="R351" s="304"/>
      <c r="S351" s="304"/>
      <c r="T351" s="304"/>
      <c r="U351" s="304"/>
      <c r="V351" s="304"/>
      <c r="W351" s="304"/>
      <c r="X351" s="304"/>
      <c r="Y351" s="304"/>
      <c r="Z351" s="305"/>
    </row>
    <row r="352" spans="1:26" x14ac:dyDescent="0.2">
      <c r="A352" s="303"/>
      <c r="B352" s="309" t="s">
        <v>103</v>
      </c>
      <c r="C352" s="350">
        <f>Calc1!J186</f>
        <v>0</v>
      </c>
      <c r="D352" s="310" t="s">
        <v>28</v>
      </c>
      <c r="E352" s="315">
        <v>2.2890000000000001</v>
      </c>
      <c r="F352" s="315">
        <v>5.1999999999999995E-4</v>
      </c>
      <c r="G352" s="316">
        <v>2.0000000000000001E-4</v>
      </c>
      <c r="H352" s="312">
        <f>14.5*730/1000/1000</f>
        <v>1.0585000000000001E-2</v>
      </c>
      <c r="I352" s="312">
        <f>14*730/1000/1000</f>
        <v>1.022E-2</v>
      </c>
      <c r="J352" s="312">
        <f>132*730/1000/1000</f>
        <v>9.6360000000000001E-2</v>
      </c>
      <c r="K352" s="312">
        <f>0.037*730/1000/1000</f>
        <v>2.7010000000000001E-5</v>
      </c>
      <c r="L352" s="312">
        <f>0.04*730/1000/1000</f>
        <v>2.9200000000000002E-5</v>
      </c>
      <c r="M352" s="304"/>
      <c r="N352" s="304"/>
      <c r="O352" s="304"/>
      <c r="P352" s="304"/>
      <c r="Q352" s="304"/>
      <c r="R352" s="304"/>
      <c r="S352" s="304"/>
      <c r="T352" s="304"/>
      <c r="U352" s="304"/>
      <c r="V352" s="304"/>
      <c r="W352" s="304"/>
      <c r="X352" s="304"/>
      <c r="Y352" s="304"/>
      <c r="Z352" s="305"/>
    </row>
    <row r="353" spans="1:26" x14ac:dyDescent="0.2">
      <c r="A353" s="303"/>
      <c r="B353" s="309" t="s">
        <v>104</v>
      </c>
      <c r="C353" s="350">
        <f>Calc1!J187</f>
        <v>0</v>
      </c>
      <c r="D353" s="310" t="s">
        <v>28</v>
      </c>
      <c r="E353" s="315">
        <v>2.2890000000000001</v>
      </c>
      <c r="F353" s="315">
        <v>4.2999999999999999E-4</v>
      </c>
      <c r="G353" s="316">
        <v>2.0000000000000001E-4</v>
      </c>
      <c r="H353" s="312">
        <f>24*730/1000/1000</f>
        <v>1.7520000000000001E-2</v>
      </c>
      <c r="I353" s="312">
        <f>14*730/1000/1000</f>
        <v>1.022E-2</v>
      </c>
      <c r="J353" s="312">
        <f>155*730/1000/1000</f>
        <v>0.11315</v>
      </c>
      <c r="K353" s="312">
        <f>0.03*730/1000/1000</f>
        <v>2.19E-5</v>
      </c>
      <c r="L353" s="312">
        <f>0.04*730/1000/1000</f>
        <v>2.9200000000000002E-5</v>
      </c>
      <c r="M353" s="304"/>
      <c r="N353" s="304"/>
      <c r="O353" s="304"/>
      <c r="P353" s="304"/>
      <c r="Q353" s="304"/>
      <c r="R353" s="304"/>
      <c r="S353" s="304"/>
      <c r="T353" s="304"/>
      <c r="U353" s="304"/>
      <c r="V353" s="304"/>
      <c r="W353" s="304"/>
      <c r="X353" s="304"/>
      <c r="Y353" s="304"/>
      <c r="Z353" s="305"/>
    </row>
    <row r="354" spans="1:26" x14ac:dyDescent="0.2">
      <c r="A354" s="303"/>
      <c r="B354" s="309" t="s">
        <v>108</v>
      </c>
      <c r="C354" s="350">
        <f>Calc1!J188</f>
        <v>0</v>
      </c>
      <c r="D354" s="310" t="s">
        <v>28</v>
      </c>
      <c r="E354" s="315">
        <v>2.2890000000000001</v>
      </c>
      <c r="F354" s="315">
        <v>6.8000000000000005E-4</v>
      </c>
      <c r="G354" s="316">
        <v>2.0000000000000001E-4</v>
      </c>
      <c r="H354" s="312">
        <f>H11</f>
        <v>2.7220338983050846E-2</v>
      </c>
      <c r="I354" s="312">
        <f>I11</f>
        <v>2.1652542372881358E-2</v>
      </c>
      <c r="J354" s="312">
        <f>J11</f>
        <v>0.24539548022598873</v>
      </c>
      <c r="K354" s="312">
        <f>K11</f>
        <v>0</v>
      </c>
      <c r="L354" s="312">
        <f>L11</f>
        <v>2.9200000000000002E-5</v>
      </c>
      <c r="M354" s="304"/>
      <c r="N354" s="304"/>
      <c r="O354" s="304"/>
      <c r="P354" s="304"/>
      <c r="Q354" s="304"/>
      <c r="R354" s="304"/>
      <c r="S354" s="304"/>
      <c r="T354" s="304"/>
      <c r="U354" s="304"/>
      <c r="V354" s="304"/>
      <c r="W354" s="304"/>
      <c r="X354" s="304"/>
      <c r="Y354" s="304"/>
      <c r="Z354" s="305"/>
    </row>
    <row r="355" spans="1:26" x14ac:dyDescent="0.2">
      <c r="A355" s="303"/>
      <c r="B355" s="309"/>
      <c r="C355" s="310"/>
      <c r="D355" s="310"/>
      <c r="E355" s="315"/>
      <c r="F355" s="315"/>
      <c r="G355" s="316"/>
      <c r="H355" s="312"/>
      <c r="I355" s="312"/>
      <c r="J355" s="312"/>
      <c r="K355" s="312"/>
      <c r="L355" s="312"/>
      <c r="M355" s="304"/>
      <c r="N355" s="304"/>
      <c r="O355" s="304"/>
      <c r="P355" s="304"/>
      <c r="Q355" s="304"/>
      <c r="R355" s="304"/>
      <c r="S355" s="304"/>
      <c r="T355" s="304"/>
      <c r="U355" s="304"/>
      <c r="V355" s="304"/>
      <c r="W355" s="304"/>
      <c r="X355" s="304"/>
      <c r="Y355" s="304"/>
      <c r="Z355" s="305"/>
    </row>
    <row r="356" spans="1:26" x14ac:dyDescent="0.2">
      <c r="A356" s="303"/>
      <c r="B356" s="309" t="s">
        <v>105</v>
      </c>
      <c r="C356" s="350">
        <f>Calc1!K186</f>
        <v>0</v>
      </c>
      <c r="D356" s="310" t="s">
        <v>29</v>
      </c>
      <c r="E356" s="315">
        <v>2.6629999999999998</v>
      </c>
      <c r="F356" s="315">
        <v>6.7999999999999999E-5</v>
      </c>
      <c r="G356" s="316">
        <v>2.1000000000000001E-4</v>
      </c>
      <c r="H356" s="312">
        <f>11*840/1000/1000</f>
        <v>9.2399999999999999E-3</v>
      </c>
      <c r="I356" s="312">
        <f>1.1*840/1000/1000</f>
        <v>9.2400000000000013E-4</v>
      </c>
      <c r="J356" s="312">
        <f>4.7*840/1000/1000</f>
        <v>3.9480000000000001E-3</v>
      </c>
      <c r="K356" s="312">
        <f>1.7*840/1000/1000</f>
        <v>1.428E-3</v>
      </c>
      <c r="L356" s="312">
        <f>0.008*840/1000/1000</f>
        <v>6.7199999999999992E-6</v>
      </c>
      <c r="M356" s="304"/>
      <c r="N356" s="304"/>
      <c r="O356" s="304"/>
      <c r="P356" s="304"/>
      <c r="Q356" s="304"/>
      <c r="R356" s="304"/>
      <c r="S356" s="304"/>
      <c r="T356" s="304"/>
      <c r="U356" s="304"/>
      <c r="V356" s="304"/>
      <c r="W356" s="304"/>
      <c r="X356" s="304"/>
      <c r="Y356" s="304"/>
      <c r="Z356" s="305"/>
    </row>
    <row r="357" spans="1:26" x14ac:dyDescent="0.2">
      <c r="A357" s="303"/>
      <c r="B357" s="309" t="s">
        <v>106</v>
      </c>
      <c r="C357" s="350">
        <f>Calc1!K187</f>
        <v>0</v>
      </c>
      <c r="D357" s="310" t="s">
        <v>29</v>
      </c>
      <c r="E357" s="315">
        <v>2.6629999999999998</v>
      </c>
      <c r="F357" s="315">
        <v>6.7999999999999999E-5</v>
      </c>
      <c r="G357" s="316">
        <v>2.1000000000000001E-4</v>
      </c>
      <c r="H357" s="312">
        <f>15*840/1000/1000</f>
        <v>1.26E-2</v>
      </c>
      <c r="I357" s="312">
        <f>1.75*840/1000/1000</f>
        <v>1.47E-3</v>
      </c>
      <c r="J357" s="312">
        <f>11*840/1000/1000</f>
        <v>9.2399999999999999E-3</v>
      </c>
      <c r="K357" s="312">
        <f>2.8*840/1000/1000</f>
        <v>2.3519999999999999E-3</v>
      </c>
      <c r="L357" s="312">
        <f t="shared" ref="L357:L358" si="67">0.008*840/1000/1000</f>
        <v>6.7199999999999992E-6</v>
      </c>
      <c r="M357" s="304"/>
      <c r="N357" s="304"/>
      <c r="O357" s="304"/>
      <c r="P357" s="304"/>
      <c r="Q357" s="304"/>
      <c r="R357" s="304"/>
      <c r="S357" s="304"/>
      <c r="T357" s="304"/>
      <c r="U357" s="304"/>
      <c r="V357" s="304"/>
      <c r="W357" s="304"/>
      <c r="X357" s="304"/>
      <c r="Y357" s="304"/>
      <c r="Z357" s="305"/>
    </row>
    <row r="358" spans="1:26" x14ac:dyDescent="0.2">
      <c r="A358" s="303"/>
      <c r="B358" s="309" t="s">
        <v>109</v>
      </c>
      <c r="C358" s="350">
        <f>Calc1!K188</f>
        <v>0</v>
      </c>
      <c r="D358" s="310" t="s">
        <v>29</v>
      </c>
      <c r="E358" s="315">
        <v>2.6629999999999998</v>
      </c>
      <c r="F358" s="315">
        <v>1.3999999999999999E-4</v>
      </c>
      <c r="G358" s="316">
        <v>8.2000000000000001E-5</v>
      </c>
      <c r="H358" s="312">
        <f>37*840/1000/1000</f>
        <v>3.108E-2</v>
      </c>
      <c r="I358" s="312">
        <f>1.6*840/1000/1000</f>
        <v>1.3440000000000001E-3</v>
      </c>
      <c r="J358" s="312">
        <f>8*840/1000/1000</f>
        <v>6.7199999999999994E-3</v>
      </c>
      <c r="K358" s="312">
        <f>1.2*840/1000/1000</f>
        <v>1.008E-3</v>
      </c>
      <c r="L358" s="312">
        <f t="shared" si="67"/>
        <v>6.7199999999999992E-6</v>
      </c>
      <c r="M358" s="304"/>
      <c r="N358" s="304"/>
      <c r="O358" s="304"/>
      <c r="P358" s="304"/>
      <c r="Q358" s="304"/>
      <c r="R358" s="304"/>
      <c r="S358" s="304"/>
      <c r="T358" s="304"/>
      <c r="U358" s="304"/>
      <c r="V358" s="304"/>
      <c r="W358" s="304"/>
      <c r="X358" s="304"/>
      <c r="Y358" s="304"/>
      <c r="Z358" s="305"/>
    </row>
    <row r="359" spans="1:26" x14ac:dyDescent="0.2">
      <c r="A359" s="303"/>
      <c r="B359" s="309"/>
      <c r="C359" s="309"/>
      <c r="D359" s="310"/>
      <c r="E359" s="310"/>
      <c r="F359" s="310"/>
      <c r="G359" s="311"/>
      <c r="H359" s="312"/>
      <c r="I359" s="312"/>
      <c r="J359" s="312"/>
      <c r="K359" s="312"/>
      <c r="L359" s="312"/>
      <c r="M359" s="304" t="s">
        <v>72</v>
      </c>
      <c r="N359" s="304" t="s">
        <v>73</v>
      </c>
      <c r="O359" s="304"/>
      <c r="P359" s="304"/>
      <c r="Q359" s="304"/>
      <c r="R359" s="304"/>
      <c r="S359" s="304"/>
      <c r="T359" s="304"/>
      <c r="U359" s="304"/>
      <c r="V359" s="304"/>
      <c r="W359" s="304"/>
      <c r="X359" s="304"/>
      <c r="Y359" s="304"/>
      <c r="Z359" s="305"/>
    </row>
    <row r="360" spans="1:26" x14ac:dyDescent="0.2">
      <c r="A360" s="303"/>
      <c r="B360" s="309"/>
      <c r="C360" s="309"/>
      <c r="D360" s="310" t="s">
        <v>32</v>
      </c>
      <c r="E360" s="310">
        <f>SUMPRODUCT($C$352:$C$354,E352:E354)/1000</f>
        <v>0</v>
      </c>
      <c r="F360" s="310">
        <f t="shared" ref="F360:L360" si="68">SUMPRODUCT($C$352:$C$354,F352:F354)/1000</f>
        <v>0</v>
      </c>
      <c r="G360" s="311">
        <f t="shared" si="68"/>
        <v>0</v>
      </c>
      <c r="H360" s="310">
        <f t="shared" si="68"/>
        <v>0</v>
      </c>
      <c r="I360" s="310">
        <f t="shared" si="68"/>
        <v>0</v>
      </c>
      <c r="J360" s="310">
        <f t="shared" si="68"/>
        <v>0</v>
      </c>
      <c r="K360" s="310">
        <f t="shared" si="68"/>
        <v>0</v>
      </c>
      <c r="L360" s="310">
        <f t="shared" si="68"/>
        <v>0</v>
      </c>
      <c r="M360" s="318">
        <f>E360+F360*21+G360*310</f>
        <v>0</v>
      </c>
      <c r="N360" s="304"/>
      <c r="O360" s="304"/>
      <c r="P360" s="304"/>
      <c r="Q360" s="304"/>
      <c r="R360" s="304"/>
      <c r="S360" s="304"/>
      <c r="T360" s="304"/>
      <c r="U360" s="304"/>
      <c r="V360" s="304"/>
      <c r="W360" s="304"/>
      <c r="X360" s="304"/>
      <c r="Y360" s="304"/>
      <c r="Z360" s="305"/>
    </row>
    <row r="361" spans="1:26" x14ac:dyDescent="0.2">
      <c r="A361" s="303"/>
      <c r="B361" s="309"/>
      <c r="C361" s="310"/>
      <c r="D361" s="310" t="s">
        <v>31</v>
      </c>
      <c r="E361" s="310">
        <f>SUMPRODUCT($C$356:$C$358,E356:E358)/1000</f>
        <v>0</v>
      </c>
      <c r="F361" s="310">
        <f t="shared" ref="F361:L361" si="69">SUMPRODUCT($C$356:$C$358,F356:F358)/1000</f>
        <v>0</v>
      </c>
      <c r="G361" s="311">
        <f t="shared" si="69"/>
        <v>0</v>
      </c>
      <c r="H361" s="310">
        <f t="shared" si="69"/>
        <v>0</v>
      </c>
      <c r="I361" s="310">
        <f t="shared" si="69"/>
        <v>0</v>
      </c>
      <c r="J361" s="310">
        <f t="shared" si="69"/>
        <v>0</v>
      </c>
      <c r="K361" s="310">
        <f t="shared" si="69"/>
        <v>0</v>
      </c>
      <c r="L361" s="310">
        <f t="shared" si="69"/>
        <v>0</v>
      </c>
      <c r="M361" s="318">
        <f>E361+F361*21+G361*310</f>
        <v>0</v>
      </c>
      <c r="N361" s="319">
        <f>SUM(M360:M361)</f>
        <v>0</v>
      </c>
      <c r="O361" s="304"/>
      <c r="P361" s="304"/>
      <c r="Q361" s="304"/>
      <c r="R361" s="304"/>
      <c r="S361" s="304"/>
      <c r="T361" s="304"/>
      <c r="U361" s="304"/>
      <c r="V361" s="304"/>
      <c r="W361" s="304"/>
      <c r="X361" s="304"/>
      <c r="Y361" s="304"/>
      <c r="Z361" s="305"/>
    </row>
    <row r="362" spans="1:26" x14ac:dyDescent="0.2">
      <c r="A362" s="303"/>
      <c r="B362" s="309"/>
      <c r="C362" s="310"/>
      <c r="D362" s="310"/>
      <c r="E362" s="310"/>
      <c r="F362" s="310"/>
      <c r="G362" s="311"/>
      <c r="H362" s="312"/>
      <c r="I362" s="312"/>
      <c r="J362" s="312"/>
      <c r="K362" s="312"/>
      <c r="L362" s="312"/>
      <c r="M362" s="304"/>
      <c r="N362" s="304"/>
      <c r="O362" s="304"/>
      <c r="P362" s="304"/>
      <c r="Q362" s="304"/>
      <c r="R362" s="304"/>
      <c r="S362" s="304"/>
      <c r="T362" s="304"/>
      <c r="U362" s="304"/>
      <c r="V362" s="304"/>
      <c r="W362" s="304"/>
      <c r="X362" s="304"/>
      <c r="Y362" s="304"/>
      <c r="Z362" s="305"/>
    </row>
    <row r="363" spans="1:26" x14ac:dyDescent="0.2">
      <c r="A363" s="303"/>
      <c r="B363" s="309"/>
      <c r="C363" s="310"/>
      <c r="D363" s="320" t="s">
        <v>0</v>
      </c>
      <c r="E363" s="310">
        <f>SUM(E360:E361)</f>
        <v>0</v>
      </c>
      <c r="F363" s="310">
        <f>SUM(F360:F361)</f>
        <v>0</v>
      </c>
      <c r="G363" s="311">
        <f>SUM(G360:G361)</f>
        <v>0</v>
      </c>
      <c r="H363" s="310">
        <f t="shared" ref="H363:L363" si="70">SUM(H360:H361)</f>
        <v>0</v>
      </c>
      <c r="I363" s="310">
        <f t="shared" si="70"/>
        <v>0</v>
      </c>
      <c r="J363" s="310">
        <f t="shared" si="70"/>
        <v>0</v>
      </c>
      <c r="K363" s="310">
        <f t="shared" si="70"/>
        <v>0</v>
      </c>
      <c r="L363" s="310">
        <f t="shared" si="70"/>
        <v>0</v>
      </c>
      <c r="M363" s="304"/>
      <c r="N363" s="304"/>
      <c r="O363" s="304"/>
      <c r="P363" s="304"/>
      <c r="Q363" s="304"/>
      <c r="R363" s="304"/>
      <c r="S363" s="304"/>
      <c r="T363" s="304"/>
      <c r="U363" s="304"/>
      <c r="V363" s="304"/>
      <c r="W363" s="304"/>
      <c r="X363" s="304"/>
      <c r="Y363" s="304"/>
      <c r="Z363" s="305"/>
    </row>
    <row r="364" spans="1:26" x14ac:dyDescent="0.2">
      <c r="A364" s="303"/>
      <c r="B364" s="321"/>
      <c r="C364" s="322"/>
      <c r="D364" s="322"/>
      <c r="E364" s="322"/>
      <c r="F364" s="322"/>
      <c r="G364" s="322"/>
      <c r="H364" s="312"/>
      <c r="I364" s="312"/>
      <c r="J364" s="312"/>
      <c r="K364" s="312"/>
      <c r="L364" s="312"/>
      <c r="M364" s="304"/>
      <c r="N364" s="304"/>
      <c r="O364" s="304"/>
      <c r="P364" s="304"/>
      <c r="Q364" s="304"/>
      <c r="R364" s="304"/>
      <c r="S364" s="304"/>
      <c r="T364" s="304"/>
      <c r="U364" s="304"/>
      <c r="V364" s="304"/>
      <c r="W364" s="304"/>
      <c r="X364" s="304"/>
      <c r="Y364" s="304"/>
      <c r="Z364" s="305"/>
    </row>
    <row r="365" spans="1:26" ht="15.75" x14ac:dyDescent="0.3">
      <c r="A365" s="303"/>
      <c r="B365" s="309" t="s">
        <v>102</v>
      </c>
      <c r="C365" s="310" t="s">
        <v>737</v>
      </c>
      <c r="D365" s="310"/>
      <c r="E365" s="310" t="s">
        <v>16</v>
      </c>
      <c r="F365" s="310" t="s">
        <v>17</v>
      </c>
      <c r="G365" s="311" t="s">
        <v>789</v>
      </c>
      <c r="H365" s="312" t="s">
        <v>197</v>
      </c>
      <c r="I365" s="312" t="s">
        <v>180</v>
      </c>
      <c r="J365" s="312" t="s">
        <v>194</v>
      </c>
      <c r="K365" s="312" t="s">
        <v>195</v>
      </c>
      <c r="L365" s="312" t="s">
        <v>196</v>
      </c>
      <c r="M365" s="304"/>
      <c r="N365" s="304"/>
      <c r="O365" s="304"/>
      <c r="P365" s="304"/>
      <c r="Q365" s="304"/>
      <c r="R365" s="304"/>
      <c r="S365" s="304"/>
      <c r="T365" s="304"/>
      <c r="U365" s="304"/>
      <c r="V365" s="304"/>
      <c r="W365" s="304"/>
      <c r="X365" s="304"/>
      <c r="Y365" s="304"/>
      <c r="Z365" s="305"/>
    </row>
    <row r="366" spans="1:26" x14ac:dyDescent="0.2">
      <c r="A366" s="303"/>
      <c r="B366" s="309" t="s">
        <v>115</v>
      </c>
      <c r="C366" s="356">
        <f>Calc1!C181</f>
        <v>0</v>
      </c>
      <c r="D366" s="310" t="s">
        <v>740</v>
      </c>
      <c r="E366" s="324">
        <v>148</v>
      </c>
      <c r="F366" s="325">
        <f>1000*0.000009</f>
        <v>9.0000000000000011E-3</v>
      </c>
      <c r="G366" s="326">
        <f>1000*0.00000006</f>
        <v>5.9999999999999995E-5</v>
      </c>
      <c r="H366" s="324">
        <v>5.6000000000000001E-2</v>
      </c>
      <c r="I366" s="324">
        <v>1.4999999999999999E-2</v>
      </c>
      <c r="J366" s="324">
        <v>0.39500000000000002</v>
      </c>
      <c r="K366" s="324">
        <v>2E-3</v>
      </c>
      <c r="L366" s="327">
        <v>0</v>
      </c>
      <c r="M366" s="304"/>
      <c r="N366" s="304"/>
      <c r="O366" s="304"/>
      <c r="P366" s="304"/>
      <c r="Q366" s="304"/>
      <c r="R366" s="304"/>
      <c r="S366" s="304"/>
      <c r="T366" s="304"/>
      <c r="U366" s="304"/>
      <c r="V366" s="304"/>
      <c r="W366" s="304"/>
      <c r="X366" s="304"/>
      <c r="Y366" s="304"/>
      <c r="Z366" s="305"/>
    </row>
    <row r="367" spans="1:26" x14ac:dyDescent="0.2">
      <c r="A367" s="303"/>
      <c r="B367" s="309" t="s">
        <v>116</v>
      </c>
      <c r="C367" s="323">
        <f>Calc1!C182/1000</f>
        <v>0</v>
      </c>
      <c r="D367" s="310" t="s">
        <v>220</v>
      </c>
      <c r="E367" s="315">
        <f>1000*1.51</f>
        <v>1510</v>
      </c>
      <c r="F367" s="315">
        <f>1000*0.00064</f>
        <v>0.64</v>
      </c>
      <c r="G367" s="316">
        <f>1000*0.000028</f>
        <v>2.8000000000000001E-2</v>
      </c>
      <c r="H367" s="312">
        <f>15.5*510/1000</f>
        <v>7.9050000000000002</v>
      </c>
      <c r="I367" s="312">
        <f>10*510/1000</f>
        <v>5.0999999999999996</v>
      </c>
      <c r="J367" s="312">
        <f>68*510/1000</f>
        <v>34.68</v>
      </c>
      <c r="K367" s="312">
        <f>0*510/1000</f>
        <v>0</v>
      </c>
      <c r="L367" s="312">
        <f>0*510/1000</f>
        <v>0</v>
      </c>
      <c r="M367" s="304"/>
      <c r="N367" s="304"/>
      <c r="O367" s="304"/>
      <c r="P367" s="304"/>
      <c r="Q367" s="304"/>
      <c r="R367" s="304"/>
      <c r="S367" s="304"/>
      <c r="T367" s="304"/>
      <c r="U367" s="304"/>
      <c r="V367" s="304"/>
      <c r="W367" s="304"/>
      <c r="X367" s="304"/>
      <c r="Y367" s="304"/>
      <c r="Z367" s="305"/>
    </row>
    <row r="368" spans="1:26" x14ac:dyDescent="0.2">
      <c r="A368" s="303"/>
      <c r="B368" s="309"/>
      <c r="C368" s="309"/>
      <c r="D368" s="310"/>
      <c r="E368" s="310"/>
      <c r="F368" s="310"/>
      <c r="G368" s="311"/>
      <c r="H368" s="312"/>
      <c r="I368" s="312"/>
      <c r="J368" s="312"/>
      <c r="K368" s="312"/>
      <c r="L368" s="312"/>
      <c r="M368" s="304"/>
      <c r="N368" s="304"/>
      <c r="O368" s="304"/>
      <c r="P368" s="304"/>
      <c r="Q368" s="304"/>
      <c r="R368" s="304"/>
      <c r="S368" s="304"/>
      <c r="T368" s="304"/>
      <c r="U368" s="304"/>
      <c r="V368" s="304"/>
      <c r="W368" s="304"/>
      <c r="X368" s="304"/>
      <c r="Y368" s="304"/>
      <c r="Z368" s="305"/>
    </row>
    <row r="369" spans="1:26" x14ac:dyDescent="0.2">
      <c r="A369" s="303"/>
      <c r="B369" s="309"/>
      <c r="C369" s="309"/>
      <c r="D369" s="310" t="s">
        <v>739</v>
      </c>
      <c r="E369" s="310">
        <f>$C$366*1000/50*E366/1000/1000</f>
        <v>0</v>
      </c>
      <c r="F369" s="310">
        <f>$C$366/0.714*F366/1000</f>
        <v>0</v>
      </c>
      <c r="G369" s="310">
        <f>$C$366/0.714*G366/1000</f>
        <v>0</v>
      </c>
      <c r="H369" s="310">
        <f>$C$366*1000/50*H366/1000/1000</f>
        <v>0</v>
      </c>
      <c r="I369" s="310">
        <f t="shared" ref="I369:L369" si="71">$C$366*1000/50*I366/1000/1000</f>
        <v>0</v>
      </c>
      <c r="J369" s="310">
        <f t="shared" si="71"/>
        <v>0</v>
      </c>
      <c r="K369" s="310">
        <f t="shared" si="71"/>
        <v>0</v>
      </c>
      <c r="L369" s="310">
        <f t="shared" si="71"/>
        <v>0</v>
      </c>
      <c r="M369" s="304"/>
      <c r="N369" s="304"/>
      <c r="O369" s="304"/>
      <c r="P369" s="304"/>
      <c r="Q369" s="304"/>
      <c r="R369" s="304"/>
      <c r="S369" s="304"/>
      <c r="T369" s="304"/>
      <c r="U369" s="304"/>
      <c r="V369" s="304"/>
      <c r="W369" s="304"/>
      <c r="X369" s="304"/>
      <c r="Y369" s="304"/>
      <c r="Z369" s="305"/>
    </row>
    <row r="370" spans="1:26" x14ac:dyDescent="0.2">
      <c r="A370" s="303"/>
      <c r="B370" s="309"/>
      <c r="C370" s="309"/>
      <c r="D370" s="310" t="s">
        <v>738</v>
      </c>
      <c r="E370" s="310">
        <f>$C$367*E367/1000</f>
        <v>0</v>
      </c>
      <c r="F370" s="310">
        <f t="shared" ref="F370:L370" si="72">$C$367*F367/1000</f>
        <v>0</v>
      </c>
      <c r="G370" s="310">
        <f t="shared" si="72"/>
        <v>0</v>
      </c>
      <c r="H370" s="310">
        <f t="shared" si="72"/>
        <v>0</v>
      </c>
      <c r="I370" s="310">
        <f t="shared" si="72"/>
        <v>0</v>
      </c>
      <c r="J370" s="310">
        <f t="shared" si="72"/>
        <v>0</v>
      </c>
      <c r="K370" s="310">
        <f t="shared" si="72"/>
        <v>0</v>
      </c>
      <c r="L370" s="310">
        <f t="shared" si="72"/>
        <v>0</v>
      </c>
      <c r="M370" s="304"/>
      <c r="N370" s="304"/>
      <c r="O370" s="304"/>
      <c r="P370" s="304"/>
      <c r="Q370" s="304"/>
      <c r="R370" s="304"/>
      <c r="S370" s="304"/>
      <c r="T370" s="304"/>
      <c r="U370" s="304"/>
      <c r="V370" s="304"/>
      <c r="W370" s="304"/>
      <c r="X370" s="304"/>
      <c r="Y370" s="304"/>
      <c r="Z370" s="305"/>
    </row>
    <row r="371" spans="1:26" x14ac:dyDescent="0.2">
      <c r="A371" s="303"/>
      <c r="B371" s="309"/>
      <c r="C371" s="310"/>
      <c r="D371" s="310"/>
      <c r="E371" s="310"/>
      <c r="F371" s="310"/>
      <c r="G371" s="311"/>
      <c r="H371" s="312"/>
      <c r="I371" s="312"/>
      <c r="J371" s="312"/>
      <c r="K371" s="312"/>
      <c r="L371" s="312"/>
      <c r="M371" s="304"/>
      <c r="N371" s="304"/>
      <c r="O371" s="304"/>
      <c r="P371" s="304"/>
      <c r="Q371" s="304"/>
      <c r="R371" s="304"/>
      <c r="S371" s="304"/>
      <c r="T371" s="304"/>
      <c r="U371" s="304"/>
      <c r="V371" s="304"/>
      <c r="W371" s="304"/>
      <c r="X371" s="304"/>
      <c r="Y371" s="304"/>
      <c r="Z371" s="305"/>
    </row>
    <row r="372" spans="1:26" x14ac:dyDescent="0.2">
      <c r="A372" s="303"/>
      <c r="B372" s="309"/>
      <c r="C372" s="310"/>
      <c r="D372" s="320" t="s">
        <v>0</v>
      </c>
      <c r="E372" s="310">
        <f>SUM(E369:E370)</f>
        <v>0</v>
      </c>
      <c r="F372" s="310">
        <f t="shared" ref="F372:L372" si="73">SUM(F369:F370)</f>
        <v>0</v>
      </c>
      <c r="G372" s="310">
        <f t="shared" si="73"/>
        <v>0</v>
      </c>
      <c r="H372" s="310">
        <f t="shared" si="73"/>
        <v>0</v>
      </c>
      <c r="I372" s="310">
        <f t="shared" si="73"/>
        <v>0</v>
      </c>
      <c r="J372" s="310">
        <f t="shared" si="73"/>
        <v>0</v>
      </c>
      <c r="K372" s="310">
        <f t="shared" si="73"/>
        <v>0</v>
      </c>
      <c r="L372" s="310">
        <f t="shared" si="73"/>
        <v>0</v>
      </c>
      <c r="M372" s="304"/>
      <c r="N372" s="304"/>
      <c r="O372" s="304"/>
      <c r="P372" s="304"/>
      <c r="Q372" s="304"/>
      <c r="R372" s="304"/>
      <c r="S372" s="304"/>
      <c r="T372" s="304"/>
      <c r="U372" s="304"/>
      <c r="V372" s="304"/>
      <c r="W372" s="304"/>
      <c r="X372" s="304"/>
      <c r="Y372" s="304"/>
      <c r="Z372" s="305"/>
    </row>
    <row r="373" spans="1:26" x14ac:dyDescent="0.2">
      <c r="A373" s="303"/>
      <c r="B373" s="321"/>
      <c r="C373" s="322"/>
      <c r="D373" s="322"/>
      <c r="E373" s="310"/>
      <c r="F373" s="310"/>
      <c r="G373" s="311"/>
      <c r="H373" s="310"/>
      <c r="I373" s="310"/>
      <c r="J373" s="310"/>
      <c r="K373" s="310"/>
      <c r="L373" s="310"/>
      <c r="M373" s="304"/>
      <c r="N373" s="304"/>
      <c r="O373" s="304"/>
      <c r="P373" s="304"/>
      <c r="Q373" s="304"/>
      <c r="R373" s="304"/>
      <c r="S373" s="304"/>
      <c r="T373" s="304"/>
      <c r="U373" s="304"/>
      <c r="V373" s="304"/>
      <c r="W373" s="304"/>
      <c r="X373" s="304"/>
      <c r="Y373" s="304"/>
      <c r="Z373" s="305"/>
    </row>
    <row r="374" spans="1:26" ht="15.75" x14ac:dyDescent="0.3">
      <c r="A374" s="303"/>
      <c r="B374" s="309" t="s">
        <v>814</v>
      </c>
      <c r="C374" s="310" t="s">
        <v>816</v>
      </c>
      <c r="D374" s="310"/>
      <c r="E374" s="310" t="s">
        <v>16</v>
      </c>
      <c r="F374" s="310" t="s">
        <v>17</v>
      </c>
      <c r="G374" s="311" t="s">
        <v>789</v>
      </c>
      <c r="H374" s="312" t="s">
        <v>197</v>
      </c>
      <c r="I374" s="312" t="s">
        <v>180</v>
      </c>
      <c r="J374" s="312" t="s">
        <v>194</v>
      </c>
      <c r="K374" s="312" t="s">
        <v>195</v>
      </c>
      <c r="L374" s="312" t="s">
        <v>196</v>
      </c>
      <c r="M374" s="304"/>
      <c r="N374" s="304"/>
      <c r="O374" s="304"/>
      <c r="P374" s="304"/>
      <c r="Q374" s="304"/>
      <c r="R374" s="304"/>
      <c r="S374" s="304"/>
      <c r="T374" s="304"/>
      <c r="U374" s="304"/>
      <c r="V374" s="304"/>
      <c r="W374" s="304"/>
      <c r="X374" s="304"/>
      <c r="Y374" s="304"/>
      <c r="Z374" s="305"/>
    </row>
    <row r="375" spans="1:26" x14ac:dyDescent="0.2">
      <c r="A375" s="303"/>
      <c r="B375" s="309" t="s">
        <v>14</v>
      </c>
      <c r="C375" s="350">
        <f>Calc1!E194</f>
        <v>0</v>
      </c>
      <c r="D375" s="310" t="s">
        <v>28</v>
      </c>
      <c r="E375" s="315">
        <v>2.2890000000000001</v>
      </c>
      <c r="F375" s="315">
        <v>5.1999999999999995E-4</v>
      </c>
      <c r="G375" s="316">
        <v>2.0000000000000001E-4</v>
      </c>
      <c r="H375" s="312">
        <f>14.5*730/1000/1000</f>
        <v>1.0585000000000001E-2</v>
      </c>
      <c r="I375" s="312">
        <f>14*730/1000/1000</f>
        <v>1.022E-2</v>
      </c>
      <c r="J375" s="312">
        <f>132*730/1000/1000</f>
        <v>9.6360000000000001E-2</v>
      </c>
      <c r="K375" s="312">
        <f>0.037*730/1000/1000</f>
        <v>2.7010000000000001E-5</v>
      </c>
      <c r="L375" s="312">
        <f>0.04*730/1000/1000</f>
        <v>2.9200000000000002E-5</v>
      </c>
      <c r="M375" s="304"/>
      <c r="N375" s="304"/>
      <c r="O375" s="304"/>
      <c r="P375" s="304"/>
      <c r="Q375" s="304"/>
      <c r="R375" s="304"/>
      <c r="S375" s="304"/>
      <c r="T375" s="304"/>
      <c r="U375" s="304"/>
      <c r="V375" s="304"/>
      <c r="W375" s="304"/>
      <c r="X375" s="304"/>
      <c r="Y375" s="304"/>
      <c r="Z375" s="305"/>
    </row>
    <row r="376" spans="1:26" x14ac:dyDescent="0.2">
      <c r="A376" s="303"/>
      <c r="B376" s="309" t="s">
        <v>12</v>
      </c>
      <c r="C376" s="350">
        <f>Calc1!F194</f>
        <v>0</v>
      </c>
      <c r="D376" s="310" t="s">
        <v>29</v>
      </c>
      <c r="E376" s="315">
        <v>2.6629999999999998</v>
      </c>
      <c r="F376" s="315">
        <v>6.7999999999999999E-5</v>
      </c>
      <c r="G376" s="316">
        <v>2.1000000000000001E-4</v>
      </c>
      <c r="H376" s="312">
        <f>11*840/1000/1000</f>
        <v>9.2399999999999999E-3</v>
      </c>
      <c r="I376" s="312">
        <f>1.1*840/1000/1000</f>
        <v>9.2400000000000013E-4</v>
      </c>
      <c r="J376" s="312">
        <f>4.7*840/1000/1000</f>
        <v>3.9480000000000001E-3</v>
      </c>
      <c r="K376" s="312">
        <f>1.7*840/1000/1000</f>
        <v>1.428E-3</v>
      </c>
      <c r="L376" s="312">
        <f>0.008*840/1000/1000</f>
        <v>6.7199999999999992E-6</v>
      </c>
      <c r="M376" s="304"/>
      <c r="N376" s="304"/>
      <c r="O376" s="304"/>
      <c r="P376" s="304"/>
      <c r="Q376" s="304"/>
      <c r="R376" s="304"/>
      <c r="S376" s="304"/>
      <c r="T376" s="304"/>
      <c r="U376" s="304"/>
      <c r="V376" s="304"/>
      <c r="W376" s="304"/>
      <c r="X376" s="304"/>
      <c r="Y376" s="304"/>
      <c r="Z376" s="305"/>
    </row>
    <row r="377" spans="1:26" x14ac:dyDescent="0.2">
      <c r="A377" s="303"/>
      <c r="B377" s="309"/>
      <c r="C377" s="310"/>
      <c r="D377" s="320" t="s">
        <v>0</v>
      </c>
      <c r="E377" s="331">
        <f>SUMPRODUCT($C$375:$C$376,E375:E376)/1000</f>
        <v>0</v>
      </c>
      <c r="F377" s="331">
        <f t="shared" ref="F377:L377" si="74">SUMPRODUCT($C$375:$C$376,F375:F376)/1000</f>
        <v>0</v>
      </c>
      <c r="G377" s="331">
        <f t="shared" si="74"/>
        <v>0</v>
      </c>
      <c r="H377" s="331">
        <f t="shared" si="74"/>
        <v>0</v>
      </c>
      <c r="I377" s="331">
        <f t="shared" si="74"/>
        <v>0</v>
      </c>
      <c r="J377" s="331">
        <f t="shared" si="74"/>
        <v>0</v>
      </c>
      <c r="K377" s="331">
        <f t="shared" si="74"/>
        <v>0</v>
      </c>
      <c r="L377" s="331">
        <f t="shared" si="74"/>
        <v>0</v>
      </c>
      <c r="M377" s="304"/>
      <c r="N377" s="304"/>
      <c r="O377" s="304"/>
      <c r="P377" s="304"/>
      <c r="Q377" s="304"/>
      <c r="R377" s="304"/>
      <c r="S377" s="304"/>
      <c r="T377" s="304"/>
      <c r="U377" s="304"/>
      <c r="V377" s="304"/>
      <c r="W377" s="304"/>
      <c r="X377" s="304"/>
      <c r="Y377" s="304"/>
      <c r="Z377" s="305"/>
    </row>
    <row r="378" spans="1:26" x14ac:dyDescent="0.2">
      <c r="A378" s="303"/>
      <c r="B378" s="321"/>
      <c r="C378" s="322"/>
      <c r="D378" s="322"/>
      <c r="E378" s="322"/>
      <c r="F378" s="322"/>
      <c r="G378" s="322"/>
      <c r="H378" s="333"/>
      <c r="I378" s="333"/>
      <c r="J378" s="333"/>
      <c r="K378" s="333"/>
      <c r="L378" s="333"/>
      <c r="M378" s="304"/>
      <c r="N378" s="304"/>
      <c r="O378" s="304"/>
      <c r="P378" s="304"/>
      <c r="Q378" s="304"/>
      <c r="R378" s="304"/>
      <c r="S378" s="304"/>
      <c r="T378" s="304"/>
      <c r="U378" s="304"/>
      <c r="V378" s="304"/>
      <c r="W378" s="304"/>
      <c r="X378" s="304"/>
      <c r="Y378" s="304"/>
      <c r="Z378" s="305"/>
    </row>
    <row r="379" spans="1:26" ht="15.75" x14ac:dyDescent="0.3">
      <c r="A379" s="303"/>
      <c r="B379" s="309" t="s">
        <v>815</v>
      </c>
      <c r="C379" s="310"/>
      <c r="D379" s="310"/>
      <c r="E379" s="310" t="s">
        <v>16</v>
      </c>
      <c r="F379" s="310" t="s">
        <v>17</v>
      </c>
      <c r="G379" s="311" t="s">
        <v>789</v>
      </c>
      <c r="H379" s="312" t="s">
        <v>197</v>
      </c>
      <c r="I379" s="312" t="s">
        <v>180</v>
      </c>
      <c r="J379" s="312" t="s">
        <v>194</v>
      </c>
      <c r="K379" s="312" t="s">
        <v>195</v>
      </c>
      <c r="L379" s="312" t="s">
        <v>196</v>
      </c>
      <c r="M379" s="304"/>
      <c r="N379" s="304"/>
      <c r="O379" s="304"/>
      <c r="P379" s="304"/>
      <c r="Q379" s="304"/>
      <c r="R379" s="304"/>
      <c r="S379" s="304"/>
      <c r="T379" s="304"/>
      <c r="U379" s="304"/>
      <c r="V379" s="304"/>
      <c r="W379" s="304"/>
      <c r="X379" s="304"/>
      <c r="Y379" s="304"/>
      <c r="Z379" s="305"/>
    </row>
    <row r="380" spans="1:26" x14ac:dyDescent="0.2">
      <c r="A380" s="303"/>
      <c r="B380" s="309" t="s">
        <v>14</v>
      </c>
      <c r="C380" s="350">
        <f>Calc1!E195</f>
        <v>0</v>
      </c>
      <c r="D380" s="310" t="s">
        <v>28</v>
      </c>
      <c r="E380" s="315">
        <v>2.2890000000000001</v>
      </c>
      <c r="F380" s="315">
        <v>5.1999999999999995E-4</v>
      </c>
      <c r="G380" s="316">
        <v>2.0000000000000001E-4</v>
      </c>
      <c r="H380" s="312">
        <f>14.5*730/1000/1000</f>
        <v>1.0585000000000001E-2</v>
      </c>
      <c r="I380" s="312">
        <f>14*730/1000/1000</f>
        <v>1.022E-2</v>
      </c>
      <c r="J380" s="312">
        <f>132*730/1000/1000</f>
        <v>9.6360000000000001E-2</v>
      </c>
      <c r="K380" s="312">
        <f>0.037*730/1000/1000</f>
        <v>2.7010000000000001E-5</v>
      </c>
      <c r="L380" s="312">
        <f>0.04*730/1000/1000</f>
        <v>2.9200000000000002E-5</v>
      </c>
      <c r="M380" s="304"/>
      <c r="N380" s="304"/>
      <c r="O380" s="304"/>
      <c r="P380" s="304"/>
      <c r="Q380" s="304"/>
      <c r="R380" s="304"/>
      <c r="S380" s="304"/>
      <c r="T380" s="304"/>
      <c r="U380" s="304"/>
      <c r="V380" s="304"/>
      <c r="W380" s="304"/>
      <c r="X380" s="304"/>
      <c r="Y380" s="304"/>
      <c r="Z380" s="305"/>
    </row>
    <row r="381" spans="1:26" x14ac:dyDescent="0.2">
      <c r="A381" s="303"/>
      <c r="B381" s="309" t="s">
        <v>12</v>
      </c>
      <c r="C381" s="350">
        <f>Calc1!F195</f>
        <v>0</v>
      </c>
      <c r="D381" s="310" t="s">
        <v>29</v>
      </c>
      <c r="E381" s="315">
        <v>2.6629999999999998</v>
      </c>
      <c r="F381" s="315">
        <v>6.7999999999999999E-5</v>
      </c>
      <c r="G381" s="316">
        <v>2.1000000000000001E-4</v>
      </c>
      <c r="H381" s="312">
        <f>11*840/1000/1000</f>
        <v>9.2399999999999999E-3</v>
      </c>
      <c r="I381" s="312">
        <f>1.1*840/1000/1000</f>
        <v>9.2400000000000013E-4</v>
      </c>
      <c r="J381" s="312">
        <f>4.7*840/1000/1000</f>
        <v>3.9480000000000001E-3</v>
      </c>
      <c r="K381" s="312">
        <f>1.7*840/1000/1000</f>
        <v>1.428E-3</v>
      </c>
      <c r="L381" s="312">
        <f>0.008*840/1000/1000</f>
        <v>6.7199999999999992E-6</v>
      </c>
      <c r="M381" s="304"/>
      <c r="N381" s="304"/>
      <c r="O381" s="304"/>
      <c r="P381" s="304"/>
      <c r="Q381" s="304"/>
      <c r="R381" s="304"/>
      <c r="S381" s="304"/>
      <c r="T381" s="304"/>
      <c r="U381" s="304"/>
      <c r="V381" s="304"/>
      <c r="W381" s="304"/>
      <c r="X381" s="304"/>
      <c r="Y381" s="304"/>
      <c r="Z381" s="305"/>
    </row>
    <row r="382" spans="1:26" x14ac:dyDescent="0.2">
      <c r="A382" s="303"/>
      <c r="B382" s="309"/>
      <c r="C382" s="310"/>
      <c r="D382" s="320" t="s">
        <v>0</v>
      </c>
      <c r="E382" s="331">
        <f>SUMPRODUCT($C$380:$C$381,E380:E381)/1000</f>
        <v>0</v>
      </c>
      <c r="F382" s="331">
        <f t="shared" ref="F382:L382" si="75">SUMPRODUCT($C$380:$C$381,F380:F381)/1000</f>
        <v>0</v>
      </c>
      <c r="G382" s="331">
        <f t="shared" si="75"/>
        <v>0</v>
      </c>
      <c r="H382" s="331">
        <f t="shared" si="75"/>
        <v>0</v>
      </c>
      <c r="I382" s="331">
        <f t="shared" si="75"/>
        <v>0</v>
      </c>
      <c r="J382" s="331">
        <f t="shared" si="75"/>
        <v>0</v>
      </c>
      <c r="K382" s="331">
        <f t="shared" si="75"/>
        <v>0</v>
      </c>
      <c r="L382" s="331">
        <f t="shared" si="75"/>
        <v>0</v>
      </c>
      <c r="M382" s="304"/>
      <c r="N382" s="304"/>
      <c r="O382" s="304"/>
      <c r="P382" s="304"/>
      <c r="Q382" s="304"/>
      <c r="R382" s="304"/>
      <c r="S382" s="304"/>
      <c r="T382" s="304"/>
      <c r="U382" s="304"/>
      <c r="V382" s="304"/>
      <c r="W382" s="304"/>
      <c r="X382" s="304"/>
      <c r="Y382" s="304"/>
      <c r="Z382" s="305"/>
    </row>
    <row r="383" spans="1:26" x14ac:dyDescent="0.2">
      <c r="A383" s="303"/>
      <c r="B383" s="321"/>
      <c r="C383" s="322"/>
      <c r="D383" s="322"/>
      <c r="E383" s="322"/>
      <c r="F383" s="322"/>
      <c r="G383" s="322"/>
      <c r="H383" s="312"/>
      <c r="I383" s="315"/>
      <c r="J383" s="312"/>
      <c r="K383" s="312"/>
      <c r="L383" s="312"/>
      <c r="M383" s="304"/>
      <c r="N383" s="304"/>
      <c r="O383" s="304"/>
      <c r="P383" s="304"/>
      <c r="Q383" s="304"/>
      <c r="R383" s="304"/>
      <c r="S383" s="304"/>
      <c r="T383" s="304"/>
      <c r="U383" s="304"/>
      <c r="V383" s="304"/>
      <c r="W383" s="304"/>
      <c r="X383" s="304"/>
      <c r="Y383" s="304"/>
      <c r="Z383" s="305"/>
    </row>
    <row r="384" spans="1:26" x14ac:dyDescent="0.2">
      <c r="A384" s="303"/>
      <c r="B384" s="309"/>
      <c r="C384" s="310"/>
      <c r="D384" s="334" t="s">
        <v>117</v>
      </c>
      <c r="E384" s="310">
        <f>E363+E372+E377+E382</f>
        <v>0</v>
      </c>
      <c r="F384" s="310">
        <f t="shared" ref="F384:L384" si="76">F363+F372+F377+F382</f>
        <v>0</v>
      </c>
      <c r="G384" s="310">
        <f t="shared" si="76"/>
        <v>0</v>
      </c>
      <c r="H384" s="310">
        <f t="shared" si="76"/>
        <v>0</v>
      </c>
      <c r="I384" s="310">
        <f t="shared" si="76"/>
        <v>0</v>
      </c>
      <c r="J384" s="310">
        <f t="shared" si="76"/>
        <v>0</v>
      </c>
      <c r="K384" s="310">
        <f t="shared" si="76"/>
        <v>0</v>
      </c>
      <c r="L384" s="310">
        <f t="shared" si="76"/>
        <v>0</v>
      </c>
      <c r="M384" s="304"/>
      <c r="N384" s="304"/>
      <c r="O384" s="304"/>
      <c r="P384" s="304"/>
      <c r="Q384" s="304"/>
      <c r="R384" s="304"/>
      <c r="S384" s="304"/>
      <c r="T384" s="304"/>
      <c r="U384" s="304"/>
      <c r="V384" s="304"/>
      <c r="W384" s="304"/>
      <c r="X384" s="304"/>
      <c r="Y384" s="304"/>
      <c r="Z384" s="305"/>
    </row>
    <row r="385" spans="1:26" x14ac:dyDescent="0.2">
      <c r="A385" s="303"/>
      <c r="B385" s="321"/>
      <c r="C385" s="322"/>
      <c r="D385" s="322"/>
      <c r="E385" s="322"/>
      <c r="F385" s="322"/>
      <c r="G385" s="322"/>
      <c r="H385" s="304"/>
      <c r="I385" s="304"/>
      <c r="J385" s="304"/>
      <c r="K385" s="304"/>
      <c r="L385" s="304"/>
      <c r="M385" s="304"/>
      <c r="N385" s="304"/>
      <c r="O385" s="304"/>
      <c r="P385" s="304"/>
      <c r="Q385" s="304"/>
      <c r="R385" s="304"/>
      <c r="S385" s="304"/>
      <c r="T385" s="304"/>
      <c r="U385" s="304"/>
      <c r="V385" s="304"/>
      <c r="W385" s="304"/>
      <c r="X385" s="304"/>
      <c r="Y385" s="304"/>
      <c r="Z385" s="305"/>
    </row>
    <row r="386" spans="1:26" x14ac:dyDescent="0.2">
      <c r="A386" s="303"/>
      <c r="B386" s="335" t="s">
        <v>19</v>
      </c>
      <c r="C386" s="304"/>
      <c r="D386" s="304"/>
      <c r="E386" s="304"/>
      <c r="F386" s="304"/>
      <c r="G386" s="304"/>
      <c r="H386" s="304"/>
      <c r="I386" s="304"/>
      <c r="J386" s="304"/>
      <c r="K386" s="304"/>
      <c r="L386" s="304"/>
      <c r="M386" s="304"/>
      <c r="N386" s="304"/>
      <c r="O386" s="304"/>
      <c r="P386" s="304"/>
      <c r="Q386" s="304"/>
      <c r="R386" s="304"/>
      <c r="S386" s="304"/>
      <c r="T386" s="304"/>
      <c r="U386" s="304"/>
      <c r="V386" s="304"/>
      <c r="W386" s="304"/>
      <c r="X386" s="304"/>
      <c r="Y386" s="304"/>
      <c r="Z386" s="305"/>
    </row>
    <row r="387" spans="1:26" x14ac:dyDescent="0.2">
      <c r="A387" s="303"/>
      <c r="B387" s="335" t="s">
        <v>30</v>
      </c>
      <c r="C387" s="304"/>
      <c r="D387" s="304"/>
      <c r="E387" s="304"/>
      <c r="F387" s="304"/>
      <c r="G387" s="304"/>
      <c r="H387" s="304"/>
      <c r="I387" s="304"/>
      <c r="J387" s="304"/>
      <c r="K387" s="304"/>
      <c r="L387" s="304"/>
      <c r="M387" s="304"/>
      <c r="N387" s="304"/>
      <c r="O387" s="304"/>
      <c r="P387" s="304"/>
      <c r="Q387" s="304"/>
      <c r="R387" s="304"/>
      <c r="S387" s="304"/>
      <c r="T387" s="304"/>
      <c r="U387" s="304"/>
      <c r="V387" s="304"/>
      <c r="W387" s="304"/>
      <c r="X387" s="304"/>
      <c r="Y387" s="304"/>
      <c r="Z387" s="305"/>
    </row>
    <row r="388" spans="1:26" x14ac:dyDescent="0.2">
      <c r="A388" s="303"/>
      <c r="B388" s="336" t="s">
        <v>107</v>
      </c>
      <c r="C388" s="304"/>
      <c r="D388" s="304"/>
      <c r="E388" s="304"/>
      <c r="F388" s="304"/>
      <c r="G388" s="304"/>
      <c r="H388" s="304"/>
      <c r="I388" s="304"/>
      <c r="J388" s="304"/>
      <c r="K388" s="304"/>
      <c r="L388" s="304"/>
      <c r="M388" s="304"/>
      <c r="N388" s="304"/>
      <c r="O388" s="304"/>
      <c r="P388" s="304"/>
      <c r="Q388" s="304"/>
      <c r="R388" s="304"/>
      <c r="S388" s="304"/>
      <c r="T388" s="304"/>
      <c r="U388" s="304"/>
      <c r="V388" s="304"/>
      <c r="W388" s="304"/>
      <c r="X388" s="304"/>
      <c r="Y388" s="304"/>
      <c r="Z388" s="305"/>
    </row>
    <row r="389" spans="1:26" x14ac:dyDescent="0.2">
      <c r="A389" s="303"/>
      <c r="B389" s="336" t="s">
        <v>110</v>
      </c>
      <c r="C389" s="304"/>
      <c r="D389" s="304"/>
      <c r="E389" s="304"/>
      <c r="F389" s="304"/>
      <c r="G389" s="304"/>
      <c r="H389" s="304"/>
      <c r="I389" s="304"/>
      <c r="J389" s="304"/>
      <c r="K389" s="304"/>
      <c r="L389" s="304"/>
      <c r="M389" s="304"/>
      <c r="N389" s="304"/>
      <c r="O389" s="304"/>
      <c r="P389" s="304"/>
      <c r="Q389" s="304"/>
      <c r="R389" s="304"/>
      <c r="S389" s="304"/>
      <c r="T389" s="304"/>
      <c r="U389" s="304"/>
      <c r="V389" s="304"/>
      <c r="W389" s="304"/>
      <c r="X389" s="304"/>
      <c r="Y389" s="304"/>
      <c r="Z389" s="305"/>
    </row>
    <row r="390" spans="1:26" x14ac:dyDescent="0.2">
      <c r="A390" s="303"/>
      <c r="B390" s="336"/>
      <c r="C390" s="304"/>
      <c r="D390" s="304"/>
      <c r="E390" s="304"/>
      <c r="F390" s="304"/>
      <c r="G390" s="304"/>
      <c r="Q390" s="304"/>
      <c r="R390" s="304"/>
      <c r="S390" s="304"/>
      <c r="T390" s="304"/>
      <c r="U390" s="304"/>
      <c r="V390" s="304"/>
      <c r="W390" s="304"/>
      <c r="X390" s="304"/>
      <c r="Y390" s="304"/>
      <c r="Z390" s="305"/>
    </row>
    <row r="391" spans="1:26" x14ac:dyDescent="0.2">
      <c r="A391" s="303" t="s">
        <v>639</v>
      </c>
      <c r="B391" s="303" t="s">
        <v>34</v>
      </c>
      <c r="C391" s="304"/>
      <c r="D391" s="304"/>
      <c r="E391" s="304"/>
      <c r="F391" s="304"/>
      <c r="G391" s="304"/>
      <c r="Q391" s="304"/>
      <c r="R391" s="304"/>
      <c r="S391" s="304"/>
      <c r="T391" s="304"/>
      <c r="U391" s="304"/>
      <c r="V391" s="304"/>
      <c r="W391" s="304"/>
      <c r="X391" s="304"/>
      <c r="Y391" s="304"/>
      <c r="Z391" s="305"/>
    </row>
    <row r="392" spans="1:26" x14ac:dyDescent="0.2">
      <c r="A392" s="303"/>
      <c r="B392" s="303" t="s">
        <v>92</v>
      </c>
      <c r="C392" s="304"/>
      <c r="D392" s="304"/>
      <c r="E392" s="304"/>
      <c r="F392" s="304"/>
      <c r="G392" s="304"/>
      <c r="Q392" s="304"/>
      <c r="R392" s="304"/>
      <c r="S392" s="304"/>
      <c r="T392" s="304"/>
      <c r="U392" s="304"/>
      <c r="V392" s="304"/>
      <c r="W392" s="304"/>
      <c r="X392" s="304"/>
      <c r="Y392" s="304"/>
      <c r="Z392" s="305"/>
    </row>
    <row r="393" spans="1:26" x14ac:dyDescent="0.2">
      <c r="A393" s="303"/>
      <c r="B393" s="309" t="s">
        <v>35</v>
      </c>
      <c r="C393" s="309" t="s">
        <v>651</v>
      </c>
      <c r="D393" s="309" t="s">
        <v>650</v>
      </c>
      <c r="E393" s="309" t="s">
        <v>37</v>
      </c>
      <c r="F393" s="304"/>
      <c r="G393" s="304"/>
      <c r="Q393" s="304"/>
      <c r="R393" s="304"/>
      <c r="S393" s="304"/>
      <c r="T393" s="304"/>
      <c r="U393" s="304"/>
      <c r="V393" s="304"/>
      <c r="W393" s="304"/>
      <c r="X393" s="304"/>
      <c r="Y393" s="304"/>
      <c r="Z393" s="305"/>
    </row>
    <row r="394" spans="1:26" x14ac:dyDescent="0.2">
      <c r="A394" s="303"/>
      <c r="B394" s="309" t="s">
        <v>36</v>
      </c>
      <c r="C394" s="846">
        <f>Calc1!C222</f>
        <v>0</v>
      </c>
      <c r="D394" s="629">
        <f>Calc1!E224</f>
        <v>0</v>
      </c>
      <c r="E394" s="309">
        <f>C394*D394</f>
        <v>0</v>
      </c>
      <c r="F394" s="304"/>
      <c r="G394" s="847" t="s">
        <v>1913</v>
      </c>
      <c r="Q394" s="304"/>
      <c r="R394" s="304"/>
      <c r="S394" s="304"/>
      <c r="T394" s="304"/>
      <c r="U394" s="304"/>
      <c r="V394" s="304"/>
      <c r="W394" s="304"/>
      <c r="X394" s="304"/>
      <c r="Y394" s="304"/>
      <c r="Z394" s="305"/>
    </row>
    <row r="395" spans="1:26" x14ac:dyDescent="0.2">
      <c r="A395" s="303"/>
      <c r="B395" s="309" t="s">
        <v>33</v>
      </c>
      <c r="C395" s="846">
        <f>Calc1!D222</f>
        <v>0</v>
      </c>
      <c r="D395" s="629">
        <f>Calc1!E225</f>
        <v>0</v>
      </c>
      <c r="E395" s="309">
        <f>C395*D395</f>
        <v>0</v>
      </c>
      <c r="F395" s="309">
        <f>SUM(E394:E395)</f>
        <v>0</v>
      </c>
      <c r="G395" s="304"/>
      <c r="Q395" s="304"/>
      <c r="R395" s="304"/>
      <c r="S395" s="304"/>
      <c r="T395" s="304"/>
      <c r="U395" s="304"/>
      <c r="V395" s="304"/>
      <c r="W395" s="304"/>
      <c r="X395" s="304"/>
      <c r="Y395" s="304"/>
      <c r="Z395" s="305"/>
    </row>
    <row r="396" spans="1:26" x14ac:dyDescent="0.2">
      <c r="A396" s="303"/>
      <c r="B396" s="309"/>
      <c r="C396" s="309"/>
      <c r="D396" s="309"/>
      <c r="E396" s="401"/>
      <c r="F396" s="304"/>
      <c r="G396" s="304"/>
      <c r="Q396" s="304"/>
      <c r="R396" s="304"/>
      <c r="S396" s="304"/>
      <c r="T396" s="304"/>
      <c r="U396" s="304"/>
      <c r="V396" s="304"/>
      <c r="W396" s="304"/>
      <c r="X396" s="304"/>
      <c r="Y396" s="304"/>
      <c r="Z396" s="305"/>
    </row>
    <row r="397" spans="1:26" x14ac:dyDescent="0.2">
      <c r="A397" s="303"/>
      <c r="B397" s="309" t="s">
        <v>52</v>
      </c>
      <c r="C397" s="309"/>
      <c r="D397" s="309"/>
      <c r="E397" s="417">
        <f>Calc1!C209</f>
        <v>0</v>
      </c>
      <c r="F397" s="339" t="str">
        <f>Calc1!D201</f>
        <v>m3</v>
      </c>
      <c r="G397" s="304"/>
      <c r="Q397" s="304"/>
      <c r="R397" s="304"/>
      <c r="S397" s="304"/>
      <c r="T397" s="304"/>
      <c r="U397" s="304"/>
      <c r="V397" s="304"/>
      <c r="W397" s="304"/>
      <c r="X397" s="304"/>
      <c r="Y397" s="304"/>
      <c r="Z397" s="305"/>
    </row>
    <row r="398" spans="1:26" x14ac:dyDescent="0.2">
      <c r="A398" s="303"/>
      <c r="B398" s="309" t="s">
        <v>649</v>
      </c>
      <c r="C398" s="309"/>
      <c r="D398" s="309"/>
      <c r="E398" s="304">
        <f>IF(F397="GJ",E397,IF(F397="kg",E397*46.5/1000,E397*0.716*46.5/1000))</f>
        <v>0</v>
      </c>
      <c r="F398" s="304" t="s">
        <v>51</v>
      </c>
      <c r="G398" s="304"/>
      <c r="Q398" s="304"/>
      <c r="R398" s="304"/>
      <c r="S398" s="304"/>
      <c r="T398" s="304"/>
      <c r="U398" s="304"/>
      <c r="V398" s="304"/>
      <c r="W398" s="304"/>
      <c r="X398" s="304"/>
      <c r="Y398" s="304"/>
      <c r="Z398" s="305"/>
    </row>
    <row r="399" spans="1:26" x14ac:dyDescent="0.2">
      <c r="A399" s="303"/>
      <c r="B399" s="309" t="s">
        <v>40</v>
      </c>
      <c r="C399" s="309"/>
      <c r="D399" s="309"/>
      <c r="E399" s="309">
        <f>E394+E395+E398</f>
        <v>0</v>
      </c>
      <c r="F399" s="304"/>
      <c r="G399" s="304"/>
      <c r="Q399" s="304"/>
      <c r="R399" s="304"/>
      <c r="S399" s="304"/>
      <c r="T399" s="304"/>
      <c r="U399" s="304"/>
      <c r="V399" s="304"/>
      <c r="W399" s="304"/>
      <c r="X399" s="304"/>
      <c r="Y399" s="304"/>
      <c r="Z399" s="305"/>
    </row>
    <row r="400" spans="1:26" x14ac:dyDescent="0.2">
      <c r="A400" s="303"/>
      <c r="B400" s="309"/>
      <c r="C400" s="309"/>
      <c r="D400" s="309"/>
      <c r="E400" s="309"/>
      <c r="F400" s="304"/>
      <c r="G400" s="304"/>
      <c r="H400" s="304"/>
      <c r="I400" s="304"/>
      <c r="J400" s="304"/>
      <c r="K400" s="304"/>
      <c r="L400" s="304"/>
      <c r="M400" s="304"/>
      <c r="N400" s="304"/>
      <c r="O400" s="304"/>
      <c r="P400" s="304"/>
      <c r="Q400" s="304"/>
      <c r="R400" s="304"/>
      <c r="S400" s="304"/>
      <c r="T400" s="304"/>
      <c r="U400" s="304"/>
      <c r="V400" s="304"/>
      <c r="W400" s="304"/>
      <c r="X400" s="304"/>
      <c r="Y400" s="304"/>
      <c r="Z400" s="305"/>
    </row>
    <row r="401" spans="1:26" ht="15.75" x14ac:dyDescent="0.3">
      <c r="A401" s="303"/>
      <c r="B401" s="309"/>
      <c r="C401" s="310" t="s">
        <v>16</v>
      </c>
      <c r="D401" s="310" t="s">
        <v>17</v>
      </c>
      <c r="E401" s="310" t="s">
        <v>789</v>
      </c>
      <c r="F401" s="312" t="s">
        <v>197</v>
      </c>
      <c r="G401" s="312" t="s">
        <v>180</v>
      </c>
      <c r="H401" s="312" t="s">
        <v>194</v>
      </c>
      <c r="I401" s="312" t="s">
        <v>195</v>
      </c>
      <c r="J401" s="312" t="s">
        <v>196</v>
      </c>
      <c r="K401" s="304"/>
      <c r="L401" s="304"/>
      <c r="M401" s="304"/>
      <c r="N401" s="304"/>
      <c r="O401" s="304"/>
      <c r="P401" s="304"/>
      <c r="Q401" s="304"/>
      <c r="R401" s="304"/>
      <c r="S401" s="304"/>
      <c r="T401" s="304"/>
      <c r="U401" s="304"/>
      <c r="V401" s="304"/>
      <c r="W401" s="304"/>
      <c r="X401" s="304"/>
      <c r="Y401" s="304"/>
      <c r="Z401" s="305"/>
    </row>
    <row r="402" spans="1:26" x14ac:dyDescent="0.2">
      <c r="A402" s="303"/>
      <c r="B402" s="310" t="s">
        <v>38</v>
      </c>
      <c r="C402" s="309">
        <v>5.6099999999999997E-2</v>
      </c>
      <c r="D402" s="340">
        <v>9.9999999999999995E-7</v>
      </c>
      <c r="E402" s="340">
        <v>9.9999999999999995E-8</v>
      </c>
      <c r="F402" s="309">
        <f>70/1000/1000</f>
        <v>7.0000000000000007E-5</v>
      </c>
      <c r="G402" s="309">
        <f>3/1000/1000</f>
        <v>3.0000000000000001E-6</v>
      </c>
      <c r="H402" s="309">
        <f>30/1000/1000</f>
        <v>2.9999999999999997E-5</v>
      </c>
      <c r="I402" s="309">
        <f>0.5/1000/1000</f>
        <v>4.9999999999999998E-7</v>
      </c>
      <c r="J402" s="309">
        <f>0.5/1000/1000</f>
        <v>4.9999999999999998E-7</v>
      </c>
      <c r="K402" s="304"/>
      <c r="L402" s="304"/>
      <c r="M402" s="304"/>
      <c r="N402" s="304"/>
      <c r="O402" s="304"/>
      <c r="P402" s="304"/>
      <c r="Q402" s="304"/>
      <c r="R402" s="304"/>
      <c r="S402" s="304"/>
      <c r="T402" s="304"/>
      <c r="U402" s="304"/>
      <c r="V402" s="304"/>
      <c r="W402" s="304"/>
      <c r="X402" s="304"/>
      <c r="Y402" s="304"/>
      <c r="Z402" s="305"/>
    </row>
    <row r="403" spans="1:26" x14ac:dyDescent="0.2">
      <c r="A403" s="303"/>
      <c r="B403" s="309" t="s">
        <v>39</v>
      </c>
      <c r="C403" s="341">
        <f>$E$399*C402</f>
        <v>0</v>
      </c>
      <c r="D403" s="341">
        <f t="shared" ref="D403:E403" si="77">$E$399*D402</f>
        <v>0</v>
      </c>
      <c r="E403" s="341">
        <f t="shared" si="77"/>
        <v>0</v>
      </c>
      <c r="F403" s="341">
        <f>$E$399*F402</f>
        <v>0</v>
      </c>
      <c r="G403" s="341">
        <f t="shared" ref="G403:J403" si="78">$E$399*G402</f>
        <v>0</v>
      </c>
      <c r="H403" s="341">
        <f t="shared" si="78"/>
        <v>0</v>
      </c>
      <c r="I403" s="341">
        <f t="shared" si="78"/>
        <v>0</v>
      </c>
      <c r="J403" s="341">
        <f t="shared" si="78"/>
        <v>0</v>
      </c>
      <c r="K403" s="304"/>
      <c r="L403" s="304"/>
      <c r="M403" s="304"/>
      <c r="N403" s="304"/>
      <c r="O403" s="304"/>
      <c r="P403" s="304"/>
      <c r="Q403" s="304"/>
      <c r="R403" s="304"/>
      <c r="S403" s="304"/>
      <c r="T403" s="304"/>
      <c r="U403" s="304"/>
      <c r="V403" s="304"/>
      <c r="W403" s="304"/>
      <c r="X403" s="304"/>
      <c r="Y403" s="304"/>
      <c r="Z403" s="305"/>
    </row>
    <row r="404" spans="1:26" x14ac:dyDescent="0.2">
      <c r="A404" s="303"/>
      <c r="B404" s="336" t="s">
        <v>113</v>
      </c>
      <c r="C404" s="304"/>
      <c r="D404" s="304"/>
      <c r="E404" s="304"/>
      <c r="F404" s="304"/>
      <c r="G404" s="304"/>
      <c r="H404" s="304"/>
      <c r="I404" s="304"/>
      <c r="J404" s="304"/>
      <c r="K404" s="304"/>
      <c r="L404" s="304"/>
      <c r="M404" s="304"/>
      <c r="N404" s="304"/>
      <c r="O404" s="304"/>
      <c r="P404" s="304"/>
      <c r="Q404" s="304"/>
      <c r="R404" s="304"/>
      <c r="S404" s="304"/>
      <c r="T404" s="304"/>
      <c r="U404" s="304"/>
      <c r="V404" s="304"/>
      <c r="W404" s="304"/>
      <c r="X404" s="304"/>
      <c r="Y404" s="304"/>
      <c r="Z404" s="305"/>
    </row>
    <row r="405" spans="1:26" x14ac:dyDescent="0.2">
      <c r="A405" s="303"/>
      <c r="B405" s="304"/>
      <c r="C405" s="342"/>
      <c r="D405" s="304"/>
      <c r="E405" s="304"/>
      <c r="F405" s="304"/>
      <c r="G405" s="304"/>
      <c r="H405" s="304"/>
      <c r="I405" s="304"/>
      <c r="J405" s="304"/>
      <c r="K405" s="321"/>
      <c r="L405" s="321"/>
      <c r="M405" s="304"/>
      <c r="N405" s="304"/>
      <c r="O405" s="304"/>
      <c r="P405" s="304"/>
      <c r="Q405" s="304"/>
      <c r="R405" s="304"/>
      <c r="S405" s="304"/>
      <c r="T405" s="304"/>
      <c r="U405" s="304"/>
      <c r="V405" s="304"/>
      <c r="W405" s="304"/>
      <c r="X405" s="304"/>
      <c r="Y405" s="304"/>
      <c r="Z405" s="305"/>
    </row>
    <row r="406" spans="1:26" x14ac:dyDescent="0.2">
      <c r="A406" s="303"/>
      <c r="B406" s="303" t="s">
        <v>118</v>
      </c>
      <c r="C406" s="342"/>
      <c r="D406" s="304"/>
      <c r="E406" s="304"/>
      <c r="F406" s="304"/>
      <c r="G406" s="304"/>
      <c r="H406" s="304"/>
      <c r="I406" s="304"/>
      <c r="J406" s="304"/>
      <c r="K406" s="321"/>
      <c r="L406" s="321"/>
      <c r="M406" s="304"/>
      <c r="N406" s="304"/>
      <c r="O406" s="304"/>
      <c r="P406" s="304"/>
      <c r="Q406" s="304"/>
      <c r="R406" s="304"/>
      <c r="S406" s="304"/>
      <c r="T406" s="304"/>
      <c r="U406" s="304"/>
      <c r="V406" s="304"/>
      <c r="W406" s="304"/>
      <c r="X406" s="304"/>
      <c r="Y406" s="304"/>
      <c r="Z406" s="305"/>
    </row>
    <row r="407" spans="1:26" x14ac:dyDescent="0.2">
      <c r="A407" s="303"/>
      <c r="B407" s="309" t="s">
        <v>35</v>
      </c>
      <c r="C407" s="309" t="s">
        <v>651</v>
      </c>
      <c r="D407" s="309" t="s">
        <v>830</v>
      </c>
      <c r="E407" s="309" t="s">
        <v>827</v>
      </c>
      <c r="F407" s="304"/>
      <c r="G407" s="304"/>
      <c r="H407" s="304"/>
      <c r="I407" s="304"/>
      <c r="J407" s="304"/>
      <c r="K407" s="321"/>
      <c r="L407" s="321"/>
      <c r="M407" s="304"/>
      <c r="N407" s="304"/>
      <c r="O407" s="304"/>
      <c r="P407" s="304"/>
      <c r="Q407" s="304"/>
      <c r="R407" s="304"/>
      <c r="S407" s="304"/>
      <c r="T407" s="304"/>
      <c r="U407" s="304"/>
      <c r="V407" s="304"/>
      <c r="W407" s="304"/>
      <c r="X407" s="304"/>
      <c r="Y407" s="304"/>
      <c r="Z407" s="305"/>
    </row>
    <row r="408" spans="1:26" x14ac:dyDescent="0.2">
      <c r="A408" s="303"/>
      <c r="B408" s="309" t="s">
        <v>36</v>
      </c>
      <c r="C408" s="846">
        <f>Calc1!E222</f>
        <v>0</v>
      </c>
      <c r="D408" s="629">
        <f>Calc1!E226</f>
        <v>0</v>
      </c>
      <c r="E408" s="309">
        <f>C408*D408</f>
        <v>0</v>
      </c>
      <c r="F408" s="304"/>
      <c r="G408" s="304"/>
      <c r="H408" s="304"/>
      <c r="I408" s="304"/>
      <c r="J408" s="304"/>
      <c r="K408" s="321"/>
      <c r="L408" s="321"/>
      <c r="M408" s="304"/>
      <c r="N408" s="304"/>
      <c r="O408" s="304"/>
      <c r="P408" s="304"/>
      <c r="Q408" s="304"/>
      <c r="R408" s="304"/>
      <c r="S408" s="304"/>
      <c r="T408" s="304"/>
      <c r="U408" s="304"/>
      <c r="V408" s="304"/>
      <c r="W408" s="304"/>
      <c r="X408" s="304"/>
      <c r="Y408" s="304"/>
      <c r="Z408" s="305"/>
    </row>
    <row r="409" spans="1:26" x14ac:dyDescent="0.2">
      <c r="A409" s="303"/>
      <c r="B409" s="309" t="s">
        <v>33</v>
      </c>
      <c r="C409" s="846">
        <f>Calc1!F222</f>
        <v>0</v>
      </c>
      <c r="D409" s="629">
        <f>Calc1!E227</f>
        <v>0</v>
      </c>
      <c r="E409" s="309">
        <f>C409*D409</f>
        <v>0</v>
      </c>
      <c r="F409" s="304"/>
      <c r="G409" s="304"/>
      <c r="H409" s="304"/>
      <c r="I409" s="304"/>
      <c r="J409" s="304"/>
      <c r="K409" s="321"/>
      <c r="L409" s="321"/>
      <c r="M409" s="304"/>
      <c r="N409" s="304"/>
      <c r="O409" s="304"/>
      <c r="P409" s="304"/>
      <c r="Q409" s="304"/>
      <c r="R409" s="304"/>
      <c r="S409" s="304"/>
      <c r="T409" s="304"/>
      <c r="U409" s="304"/>
      <c r="V409" s="304"/>
      <c r="W409" s="304"/>
      <c r="X409" s="304"/>
      <c r="Y409" s="304"/>
      <c r="Z409" s="305"/>
    </row>
    <row r="410" spans="1:26" x14ac:dyDescent="0.2">
      <c r="A410" s="303"/>
      <c r="B410" s="304"/>
      <c r="C410" s="342"/>
      <c r="D410" s="304"/>
      <c r="E410" s="309">
        <f>SUM(E408:E409)</f>
        <v>0</v>
      </c>
      <c r="F410" s="304"/>
      <c r="G410" s="304"/>
      <c r="H410" s="418"/>
      <c r="I410" s="304"/>
      <c r="J410" s="304"/>
      <c r="K410" s="321"/>
      <c r="L410" s="321"/>
      <c r="M410" s="304"/>
      <c r="N410" s="304"/>
      <c r="O410" s="304"/>
      <c r="P410" s="304"/>
      <c r="Q410" s="304"/>
      <c r="R410" s="304"/>
      <c r="S410" s="304"/>
      <c r="T410" s="304"/>
      <c r="U410" s="304"/>
      <c r="V410" s="304"/>
      <c r="W410" s="304"/>
      <c r="X410" s="304"/>
      <c r="Y410" s="304"/>
      <c r="Z410" s="305"/>
    </row>
    <row r="411" spans="1:26" x14ac:dyDescent="0.2">
      <c r="A411" s="303"/>
      <c r="B411" s="309" t="s">
        <v>828</v>
      </c>
      <c r="C411" s="314">
        <f>Calc1!E209</f>
        <v>0</v>
      </c>
      <c r="D411" s="304"/>
      <c r="E411" s="304"/>
      <c r="F411" s="304"/>
      <c r="G411" s="304"/>
      <c r="H411" s="304"/>
      <c r="I411" s="304"/>
      <c r="J411" s="304"/>
      <c r="K411" s="321"/>
      <c r="L411" s="321"/>
      <c r="M411" s="304"/>
      <c r="N411" s="304"/>
      <c r="O411" s="304"/>
      <c r="P411" s="304"/>
      <c r="Q411" s="304"/>
      <c r="R411" s="304"/>
      <c r="S411" s="304"/>
      <c r="T411" s="304"/>
      <c r="U411" s="304"/>
      <c r="V411" s="304"/>
      <c r="W411" s="304"/>
      <c r="X411" s="304"/>
      <c r="Y411" s="304"/>
      <c r="Z411" s="305"/>
    </row>
    <row r="412" spans="1:26" x14ac:dyDescent="0.2">
      <c r="A412" s="303"/>
      <c r="B412" s="381"/>
      <c r="C412" s="342"/>
      <c r="D412" s="304"/>
      <c r="E412" s="304"/>
      <c r="F412" s="304"/>
      <c r="G412" s="304"/>
      <c r="H412" s="304"/>
      <c r="I412" s="304"/>
      <c r="J412" s="304"/>
      <c r="K412" s="321"/>
      <c r="L412" s="321"/>
      <c r="M412" s="304"/>
      <c r="N412" s="304"/>
      <c r="O412" s="304"/>
      <c r="P412" s="304"/>
      <c r="Q412" s="304"/>
      <c r="R412" s="304"/>
      <c r="S412" s="304"/>
      <c r="T412" s="304"/>
      <c r="U412" s="304"/>
      <c r="V412" s="304"/>
      <c r="W412" s="304"/>
      <c r="X412" s="304"/>
      <c r="Y412" s="304"/>
      <c r="Z412" s="305"/>
    </row>
    <row r="413" spans="1:26" x14ac:dyDescent="0.2">
      <c r="A413" s="303"/>
      <c r="B413" s="309" t="s">
        <v>829</v>
      </c>
      <c r="C413" s="845">
        <f>E410+C411</f>
        <v>0</v>
      </c>
      <c r="D413" s="343"/>
      <c r="E413" s="344"/>
      <c r="F413" s="304"/>
      <c r="G413" s="304"/>
      <c r="H413" s="304"/>
      <c r="I413" s="304"/>
      <c r="J413" s="304"/>
      <c r="K413" s="321"/>
      <c r="L413" s="321"/>
      <c r="M413" s="304"/>
      <c r="N413" s="304"/>
      <c r="O413" s="304"/>
      <c r="P413" s="304"/>
      <c r="Q413" s="304"/>
      <c r="R413" s="304"/>
      <c r="S413" s="304"/>
      <c r="T413" s="304"/>
      <c r="U413" s="304"/>
      <c r="V413" s="304"/>
      <c r="W413" s="304"/>
      <c r="X413" s="304"/>
      <c r="Y413" s="304"/>
      <c r="Z413" s="305"/>
    </row>
    <row r="414" spans="1:26" ht="15.75" x14ac:dyDescent="0.3">
      <c r="A414" s="303"/>
      <c r="B414" s="309" t="s">
        <v>120</v>
      </c>
      <c r="C414" s="310" t="s">
        <v>16</v>
      </c>
      <c r="D414" s="310" t="s">
        <v>17</v>
      </c>
      <c r="E414" s="310" t="s">
        <v>789</v>
      </c>
      <c r="F414" s="309" t="s">
        <v>197</v>
      </c>
      <c r="G414" s="309" t="s">
        <v>180</v>
      </c>
      <c r="H414" s="309" t="s">
        <v>194</v>
      </c>
      <c r="I414" s="309" t="s">
        <v>195</v>
      </c>
      <c r="J414" s="309" t="s">
        <v>196</v>
      </c>
      <c r="K414" s="321"/>
      <c r="L414" s="321"/>
      <c r="M414" s="304"/>
      <c r="N414" s="304"/>
      <c r="O414" s="304"/>
      <c r="P414" s="304"/>
      <c r="Q414" s="304"/>
      <c r="R414" s="304"/>
      <c r="S414" s="304"/>
      <c r="T414" s="304"/>
      <c r="U414" s="304"/>
      <c r="V414" s="304"/>
      <c r="W414" s="304"/>
      <c r="X414" s="304"/>
      <c r="Y414" s="304"/>
      <c r="Z414" s="305"/>
    </row>
    <row r="415" spans="1:26" x14ac:dyDescent="0.2">
      <c r="A415" s="303"/>
      <c r="B415" s="309" t="s">
        <v>121</v>
      </c>
      <c r="C415" s="345">
        <v>2.725E-3</v>
      </c>
      <c r="D415" s="340">
        <v>2.6000000000000001E-8</v>
      </c>
      <c r="E415" s="340">
        <v>3.1E-8</v>
      </c>
      <c r="F415" s="309">
        <f>398*42.6*0.845/1000/1000/1000</f>
        <v>1.4326806E-5</v>
      </c>
      <c r="G415" s="309">
        <f>0.19*42.6*0.845/1000/1000/1000</f>
        <v>6.8394300000000015E-9</v>
      </c>
      <c r="H415" s="309">
        <f>1.49*42.6*0.845/1000/1000/1000</f>
        <v>5.363553E-8</v>
      </c>
      <c r="I415" s="309">
        <f>3*42.6*0.845/1000/1000/1000</f>
        <v>1.07991E-7</v>
      </c>
      <c r="J415" s="309">
        <f>46.1*42.6*0.845/1000/1000/1000</f>
        <v>1.6594617000000001E-6</v>
      </c>
      <c r="K415" s="304"/>
      <c r="L415" s="321"/>
      <c r="M415" s="304"/>
      <c r="N415" s="304"/>
      <c r="O415" s="304"/>
      <c r="P415" s="304"/>
      <c r="Q415" s="304"/>
      <c r="R415" s="304"/>
      <c r="S415" s="304"/>
      <c r="T415" s="304"/>
      <c r="U415" s="304"/>
      <c r="V415" s="304"/>
      <c r="W415" s="304"/>
      <c r="X415" s="304"/>
      <c r="Y415" s="304"/>
      <c r="Z415" s="305"/>
    </row>
    <row r="416" spans="1:26" x14ac:dyDescent="0.2">
      <c r="A416" s="303"/>
      <c r="B416" s="309" t="s">
        <v>39</v>
      </c>
      <c r="C416" s="341">
        <f t="shared" ref="C416:J416" si="79">$C$411*C415</f>
        <v>0</v>
      </c>
      <c r="D416" s="341">
        <f t="shared" si="79"/>
        <v>0</v>
      </c>
      <c r="E416" s="341">
        <f t="shared" si="79"/>
        <v>0</v>
      </c>
      <c r="F416" s="341">
        <f t="shared" si="79"/>
        <v>0</v>
      </c>
      <c r="G416" s="341">
        <f t="shared" si="79"/>
        <v>0</v>
      </c>
      <c r="H416" s="341">
        <f t="shared" si="79"/>
        <v>0</v>
      </c>
      <c r="I416" s="341">
        <f t="shared" si="79"/>
        <v>0</v>
      </c>
      <c r="J416" s="341">
        <f t="shared" si="79"/>
        <v>0</v>
      </c>
      <c r="K416" s="321"/>
      <c r="L416" s="321"/>
      <c r="M416" s="304"/>
      <c r="N416" s="304"/>
      <c r="O416" s="304"/>
      <c r="P416" s="304"/>
      <c r="Q416" s="304"/>
      <c r="R416" s="304"/>
      <c r="S416" s="304"/>
      <c r="T416" s="304"/>
      <c r="U416" s="304"/>
      <c r="V416" s="304"/>
      <c r="W416" s="304"/>
      <c r="X416" s="304"/>
      <c r="Y416" s="304"/>
      <c r="Z416" s="305"/>
    </row>
    <row r="417" spans="1:26" x14ac:dyDescent="0.2">
      <c r="A417" s="303"/>
      <c r="B417" s="335" t="s">
        <v>122</v>
      </c>
      <c r="C417" s="342"/>
      <c r="D417" s="304"/>
      <c r="E417" s="304"/>
      <c r="F417" s="304"/>
      <c r="G417" s="304"/>
      <c r="H417" s="304"/>
      <c r="I417" s="304"/>
      <c r="J417" s="304"/>
      <c r="K417" s="321"/>
      <c r="L417" s="321"/>
      <c r="M417" s="304"/>
      <c r="N417" s="304"/>
      <c r="O417" s="304"/>
      <c r="P417" s="304"/>
      <c r="Q417" s="304"/>
      <c r="R417" s="304"/>
      <c r="S417" s="304"/>
      <c r="T417" s="304"/>
      <c r="U417" s="304"/>
      <c r="V417" s="304"/>
      <c r="W417" s="304"/>
      <c r="X417" s="304"/>
      <c r="Y417" s="304"/>
      <c r="Z417" s="305"/>
    </row>
    <row r="418" spans="1:26" x14ac:dyDescent="0.2">
      <c r="A418" s="303"/>
      <c r="B418" s="335"/>
      <c r="C418" s="342"/>
      <c r="D418" s="304"/>
      <c r="E418" s="304"/>
      <c r="F418" s="304"/>
      <c r="G418" s="304"/>
      <c r="H418" s="304"/>
      <c r="I418" s="304"/>
      <c r="J418" s="304"/>
      <c r="K418" s="321"/>
      <c r="L418" s="321"/>
      <c r="M418" s="304"/>
      <c r="N418" s="304"/>
      <c r="O418" s="304"/>
      <c r="P418" s="304"/>
      <c r="Q418" s="304"/>
      <c r="R418" s="304"/>
      <c r="S418" s="304"/>
      <c r="T418" s="304"/>
      <c r="U418" s="304"/>
      <c r="V418" s="304"/>
      <c r="W418" s="304"/>
      <c r="X418" s="304"/>
      <c r="Y418" s="304"/>
      <c r="Z418" s="305"/>
    </row>
    <row r="419" spans="1:26" x14ac:dyDescent="0.2">
      <c r="A419" s="303"/>
      <c r="B419" s="303" t="s">
        <v>165</v>
      </c>
      <c r="C419" s="342"/>
      <c r="D419" s="304"/>
      <c r="E419" s="304"/>
      <c r="F419" s="304"/>
      <c r="G419" s="304"/>
      <c r="H419" s="304"/>
      <c r="I419" s="304"/>
      <c r="J419" s="304"/>
      <c r="K419" s="321"/>
      <c r="L419" s="321"/>
      <c r="M419" s="304"/>
      <c r="N419" s="304"/>
      <c r="O419" s="304"/>
      <c r="P419" s="304"/>
      <c r="Q419" s="304"/>
      <c r="R419" s="304"/>
      <c r="S419" s="304"/>
      <c r="T419" s="304"/>
      <c r="U419" s="304"/>
      <c r="V419" s="304"/>
      <c r="W419" s="304"/>
      <c r="X419" s="304"/>
      <c r="Y419" s="304"/>
      <c r="Z419" s="305"/>
    </row>
    <row r="420" spans="1:26" x14ac:dyDescent="0.2">
      <c r="A420" s="303"/>
      <c r="B420" s="309" t="s">
        <v>35</v>
      </c>
      <c r="C420" s="309" t="s">
        <v>651</v>
      </c>
      <c r="D420" s="309" t="s">
        <v>826</v>
      </c>
      <c r="E420" s="309" t="s">
        <v>833</v>
      </c>
      <c r="F420" s="304"/>
      <c r="G420" s="304"/>
      <c r="H420" s="304"/>
      <c r="I420" s="304"/>
      <c r="J420" s="304"/>
      <c r="K420" s="321"/>
      <c r="L420" s="321"/>
      <c r="M420" s="304"/>
      <c r="N420" s="304"/>
      <c r="O420" s="304"/>
      <c r="P420" s="304"/>
      <c r="Q420" s="304"/>
      <c r="R420" s="304"/>
      <c r="S420" s="304"/>
      <c r="T420" s="304"/>
      <c r="U420" s="304"/>
      <c r="V420" s="304"/>
      <c r="W420" s="304"/>
      <c r="X420" s="304"/>
      <c r="Y420" s="304"/>
      <c r="Z420" s="305"/>
    </row>
    <row r="421" spans="1:26" x14ac:dyDescent="0.2">
      <c r="A421" s="303"/>
      <c r="B421" s="309" t="s">
        <v>36</v>
      </c>
      <c r="C421" s="846">
        <f>Calc1!G222</f>
        <v>0</v>
      </c>
      <c r="D421" s="629">
        <f>Calc1!E228</f>
        <v>0</v>
      </c>
      <c r="E421" s="309">
        <f>C421*D421*28.1/1000</f>
        <v>0</v>
      </c>
      <c r="F421" s="381"/>
      <c r="G421" s="381"/>
      <c r="H421" s="381"/>
      <c r="I421" s="381"/>
      <c r="J421" s="381"/>
      <c r="K421" s="321"/>
      <c r="L421" s="321"/>
      <c r="M421" s="304"/>
      <c r="N421" s="304"/>
      <c r="O421" s="304"/>
      <c r="P421" s="304"/>
      <c r="Q421" s="304"/>
      <c r="R421" s="304"/>
      <c r="S421" s="304"/>
      <c r="T421" s="304"/>
      <c r="U421" s="304"/>
      <c r="V421" s="304"/>
      <c r="W421" s="304"/>
      <c r="X421" s="304"/>
      <c r="Y421" s="304"/>
      <c r="Z421" s="305"/>
    </row>
    <row r="422" spans="1:26" x14ac:dyDescent="0.2">
      <c r="A422" s="303"/>
      <c r="B422" s="309" t="s">
        <v>33</v>
      </c>
      <c r="C422" s="846">
        <f>Calc1!H222</f>
        <v>0</v>
      </c>
      <c r="D422" s="629">
        <f>Calc1!E229</f>
        <v>0</v>
      </c>
      <c r="E422" s="309">
        <f>C422*D422*28.1/1000</f>
        <v>0</v>
      </c>
      <c r="F422" s="381"/>
      <c r="G422" s="381"/>
      <c r="H422" s="381"/>
      <c r="I422" s="381"/>
      <c r="J422" s="381"/>
      <c r="K422" s="321"/>
      <c r="L422" s="321"/>
      <c r="M422" s="304"/>
      <c r="N422" s="304"/>
      <c r="O422" s="304"/>
      <c r="P422" s="304"/>
      <c r="Q422" s="304"/>
      <c r="R422" s="304"/>
      <c r="S422" s="304"/>
      <c r="T422" s="304"/>
      <c r="U422" s="304"/>
      <c r="V422" s="304"/>
      <c r="W422" s="304"/>
      <c r="X422" s="304"/>
      <c r="Y422" s="304"/>
      <c r="Z422" s="305"/>
    </row>
    <row r="423" spans="1:26" x14ac:dyDescent="0.2">
      <c r="A423" s="303"/>
      <c r="B423" s="304"/>
      <c r="C423" s="342"/>
      <c r="D423" s="304"/>
      <c r="E423" s="309">
        <f>SUM(E421:E422)</f>
        <v>0</v>
      </c>
      <c r="F423" s="304"/>
      <c r="G423" s="304"/>
      <c r="H423" s="304"/>
      <c r="I423" s="304"/>
      <c r="J423" s="304"/>
      <c r="K423" s="321"/>
      <c r="L423" s="321"/>
      <c r="M423" s="304"/>
      <c r="N423" s="304"/>
      <c r="O423" s="304"/>
      <c r="P423" s="304"/>
      <c r="Q423" s="304"/>
      <c r="R423" s="304"/>
      <c r="S423" s="304"/>
      <c r="T423" s="304"/>
      <c r="U423" s="304"/>
      <c r="V423" s="304"/>
      <c r="W423" s="304"/>
      <c r="X423" s="304"/>
      <c r="Y423" s="304"/>
      <c r="Z423" s="305"/>
    </row>
    <row r="424" spans="1:26" x14ac:dyDescent="0.2">
      <c r="A424" s="303"/>
      <c r="B424" s="420" t="s">
        <v>831</v>
      </c>
      <c r="C424" s="350">
        <f>Calc1!G209*28.1/1000</f>
        <v>0</v>
      </c>
      <c r="D424" s="381"/>
      <c r="E424" s="381"/>
      <c r="F424" s="381"/>
      <c r="G424" s="381"/>
      <c r="H424" s="381"/>
      <c r="I424" s="381"/>
      <c r="J424" s="381"/>
      <c r="K424" s="321"/>
      <c r="L424" s="321"/>
      <c r="M424" s="304"/>
      <c r="N424" s="304"/>
      <c r="O424" s="304"/>
      <c r="P424" s="304"/>
      <c r="Q424" s="304"/>
      <c r="R424" s="304"/>
      <c r="S424" s="304"/>
      <c r="T424" s="304"/>
      <c r="U424" s="304"/>
      <c r="V424" s="304"/>
      <c r="W424" s="304"/>
      <c r="X424" s="304"/>
      <c r="Y424" s="304"/>
      <c r="Z424" s="305"/>
    </row>
    <row r="425" spans="1:26" x14ac:dyDescent="0.2">
      <c r="A425" s="303"/>
      <c r="B425" s="309" t="s">
        <v>832</v>
      </c>
      <c r="C425" s="419">
        <f>E423+C424</f>
        <v>0</v>
      </c>
      <c r="D425" s="343"/>
      <c r="E425" s="344"/>
      <c r="F425" s="304"/>
      <c r="G425" s="304"/>
      <c r="H425" s="304"/>
      <c r="I425" s="304"/>
      <c r="J425" s="304"/>
      <c r="K425" s="321"/>
      <c r="L425" s="321"/>
      <c r="M425" s="304"/>
      <c r="N425" s="304"/>
      <c r="O425" s="304"/>
      <c r="P425" s="304"/>
      <c r="Q425" s="304"/>
      <c r="R425" s="304"/>
      <c r="S425" s="304"/>
      <c r="T425" s="304"/>
      <c r="U425" s="304"/>
      <c r="V425" s="304"/>
      <c r="W425" s="304"/>
      <c r="X425" s="304"/>
      <c r="Y425" s="304"/>
      <c r="Z425" s="305"/>
    </row>
    <row r="426" spans="1:26" ht="15.75" x14ac:dyDescent="0.3">
      <c r="A426" s="303"/>
      <c r="B426" s="309" t="s">
        <v>120</v>
      </c>
      <c r="C426" s="310" t="s">
        <v>16</v>
      </c>
      <c r="D426" s="310" t="s">
        <v>17</v>
      </c>
      <c r="E426" s="310" t="s">
        <v>789</v>
      </c>
      <c r="F426" s="312" t="s">
        <v>197</v>
      </c>
      <c r="G426" s="312" t="s">
        <v>180</v>
      </c>
      <c r="H426" s="312" t="s">
        <v>194</v>
      </c>
      <c r="I426" s="312" t="s">
        <v>195</v>
      </c>
      <c r="J426" s="312" t="s">
        <v>196</v>
      </c>
      <c r="K426" s="321"/>
      <c r="L426" s="321"/>
      <c r="M426" s="304"/>
      <c r="N426" s="304"/>
      <c r="O426" s="304"/>
      <c r="P426" s="304"/>
      <c r="Q426" s="304"/>
      <c r="R426" s="304"/>
      <c r="S426" s="304"/>
      <c r="T426" s="304"/>
      <c r="U426" s="304"/>
      <c r="V426" s="304"/>
      <c r="W426" s="304"/>
      <c r="X426" s="304"/>
      <c r="Y426" s="304"/>
      <c r="Z426" s="305"/>
    </row>
    <row r="427" spans="1:26" x14ac:dyDescent="0.2">
      <c r="A427" s="303"/>
      <c r="B427" s="309" t="s">
        <v>214</v>
      </c>
      <c r="C427" s="346">
        <v>94000</v>
      </c>
      <c r="D427" s="315">
        <v>10</v>
      </c>
      <c r="E427" s="315">
        <v>1.5</v>
      </c>
      <c r="F427" s="312">
        <v>160</v>
      </c>
      <c r="G427" s="312">
        <v>200</v>
      </c>
      <c r="H427" s="312">
        <v>2000</v>
      </c>
      <c r="I427" s="312">
        <v>190</v>
      </c>
      <c r="J427" s="312">
        <v>900</v>
      </c>
      <c r="K427" s="321"/>
      <c r="L427" s="321"/>
      <c r="M427" s="304"/>
      <c r="N427" s="304"/>
      <c r="O427" s="304"/>
      <c r="P427" s="304"/>
      <c r="Q427" s="304"/>
      <c r="R427" s="304"/>
      <c r="S427" s="304"/>
      <c r="T427" s="304"/>
      <c r="U427" s="304"/>
      <c r="V427" s="304"/>
      <c r="W427" s="304"/>
      <c r="X427" s="304"/>
      <c r="Y427" s="304"/>
      <c r="Z427" s="305"/>
    </row>
    <row r="428" spans="1:26" x14ac:dyDescent="0.2">
      <c r="A428" s="303"/>
      <c r="B428" s="309" t="s">
        <v>39</v>
      </c>
      <c r="C428" s="347">
        <f t="shared" ref="C428:J428" si="80">$C$424*C427/1000/1000</f>
        <v>0</v>
      </c>
      <c r="D428" s="347">
        <f t="shared" si="80"/>
        <v>0</v>
      </c>
      <c r="E428" s="347">
        <f t="shared" si="80"/>
        <v>0</v>
      </c>
      <c r="F428" s="347">
        <f t="shared" si="80"/>
        <v>0</v>
      </c>
      <c r="G428" s="347">
        <f t="shared" si="80"/>
        <v>0</v>
      </c>
      <c r="H428" s="347">
        <f t="shared" si="80"/>
        <v>0</v>
      </c>
      <c r="I428" s="347">
        <f t="shared" si="80"/>
        <v>0</v>
      </c>
      <c r="J428" s="347">
        <f t="shared" si="80"/>
        <v>0</v>
      </c>
      <c r="K428" s="321"/>
      <c r="L428" s="321"/>
      <c r="M428" s="304"/>
      <c r="N428" s="304"/>
      <c r="O428" s="304"/>
      <c r="P428" s="304"/>
      <c r="Q428" s="304"/>
      <c r="R428" s="304"/>
      <c r="S428" s="304"/>
      <c r="T428" s="304"/>
      <c r="U428" s="304"/>
      <c r="V428" s="304"/>
      <c r="W428" s="304"/>
      <c r="X428" s="304"/>
      <c r="Y428" s="304"/>
      <c r="Z428" s="305"/>
    </row>
    <row r="429" spans="1:26" x14ac:dyDescent="0.2">
      <c r="A429" s="303"/>
      <c r="B429" s="335"/>
      <c r="C429" s="342"/>
      <c r="D429" s="304"/>
      <c r="E429" s="304"/>
      <c r="F429" s="304"/>
      <c r="G429" s="304"/>
      <c r="H429" s="304"/>
      <c r="I429" s="304"/>
      <c r="J429" s="304"/>
      <c r="K429" s="321"/>
      <c r="L429" s="321"/>
      <c r="M429" s="304"/>
      <c r="N429" s="304"/>
      <c r="O429" s="304"/>
      <c r="P429" s="304"/>
      <c r="Q429" s="304"/>
      <c r="R429" s="304"/>
      <c r="S429" s="304"/>
      <c r="T429" s="304"/>
      <c r="U429" s="304"/>
      <c r="V429" s="304"/>
      <c r="W429" s="304"/>
      <c r="X429" s="304"/>
      <c r="Y429" s="304"/>
      <c r="Z429" s="305"/>
    </row>
    <row r="430" spans="1:26" x14ac:dyDescent="0.2">
      <c r="A430" s="303"/>
      <c r="B430" s="348" t="s">
        <v>1085</v>
      </c>
      <c r="C430" s="341">
        <f t="shared" ref="C430:J430" si="81">+C403+C416+C428</f>
        <v>0</v>
      </c>
      <c r="D430" s="341">
        <f t="shared" si="81"/>
        <v>0</v>
      </c>
      <c r="E430" s="341">
        <f t="shared" si="81"/>
        <v>0</v>
      </c>
      <c r="F430" s="341">
        <f t="shared" si="81"/>
        <v>0</v>
      </c>
      <c r="G430" s="341">
        <f t="shared" si="81"/>
        <v>0</v>
      </c>
      <c r="H430" s="341">
        <f t="shared" si="81"/>
        <v>0</v>
      </c>
      <c r="I430" s="341">
        <f t="shared" si="81"/>
        <v>0</v>
      </c>
      <c r="J430" s="341">
        <f t="shared" si="81"/>
        <v>0</v>
      </c>
      <c r="K430" s="321"/>
      <c r="L430" s="321"/>
      <c r="M430" s="304"/>
      <c r="N430" s="304"/>
      <c r="O430" s="304"/>
      <c r="P430" s="304"/>
      <c r="Q430" s="304"/>
      <c r="R430" s="304"/>
      <c r="S430" s="304"/>
      <c r="T430" s="304"/>
      <c r="U430" s="304"/>
      <c r="V430" s="304"/>
      <c r="W430" s="304"/>
      <c r="X430" s="304"/>
      <c r="Y430" s="304"/>
      <c r="Z430" s="305"/>
    </row>
    <row r="431" spans="1:26" x14ac:dyDescent="0.2">
      <c r="A431" s="303"/>
      <c r="B431" s="335"/>
      <c r="C431" s="342"/>
      <c r="D431" s="304"/>
      <c r="E431" s="304"/>
      <c r="F431" s="304"/>
      <c r="G431" s="304"/>
      <c r="H431" s="304"/>
      <c r="I431" s="304"/>
      <c r="J431" s="304"/>
      <c r="K431" s="321"/>
      <c r="L431" s="321"/>
      <c r="M431" s="304"/>
      <c r="N431" s="304"/>
      <c r="O431" s="304"/>
      <c r="P431" s="304"/>
      <c r="Q431" s="304"/>
      <c r="R431" s="304"/>
      <c r="S431" s="304"/>
      <c r="T431" s="304"/>
      <c r="U431" s="304"/>
      <c r="V431" s="304"/>
      <c r="W431" s="304"/>
      <c r="X431" s="304"/>
      <c r="Y431" s="304"/>
      <c r="Z431" s="305"/>
    </row>
    <row r="432" spans="1:26" x14ac:dyDescent="0.2">
      <c r="A432" s="303" t="s">
        <v>1031</v>
      </c>
      <c r="B432" s="335"/>
      <c r="C432" s="342"/>
      <c r="D432" s="304"/>
      <c r="E432" s="304"/>
      <c r="F432" s="304"/>
      <c r="G432" s="304"/>
      <c r="H432" s="304"/>
      <c r="I432" s="304"/>
      <c r="J432" s="304"/>
      <c r="K432" s="321"/>
      <c r="L432" s="321"/>
      <c r="M432" s="304"/>
      <c r="N432" s="304"/>
      <c r="O432" s="304"/>
      <c r="P432" s="304"/>
      <c r="Q432" s="304"/>
      <c r="R432" s="304"/>
      <c r="S432" s="304"/>
      <c r="T432" s="304"/>
      <c r="U432" s="304"/>
      <c r="V432" s="304"/>
      <c r="W432" s="304"/>
      <c r="X432" s="304"/>
      <c r="Y432" s="304"/>
      <c r="Z432" s="305"/>
    </row>
    <row r="433" spans="1:26" x14ac:dyDescent="0.2">
      <c r="A433" s="303"/>
      <c r="B433" s="303" t="s">
        <v>1032</v>
      </c>
      <c r="C433" s="304"/>
      <c r="D433" s="304"/>
      <c r="E433" s="304"/>
      <c r="F433" s="304"/>
      <c r="G433" s="304"/>
      <c r="H433" s="304"/>
      <c r="I433" s="304"/>
      <c r="J433" s="304"/>
      <c r="K433" s="321"/>
      <c r="L433" s="321"/>
      <c r="M433" s="304"/>
      <c r="N433" s="304"/>
      <c r="O433" s="304"/>
      <c r="P433" s="304"/>
      <c r="Q433" s="304"/>
      <c r="R433" s="304"/>
      <c r="S433" s="304"/>
      <c r="T433" s="304"/>
      <c r="U433" s="304"/>
      <c r="V433" s="304"/>
      <c r="W433" s="304"/>
      <c r="X433" s="304"/>
      <c r="Y433" s="304"/>
      <c r="Z433" s="305"/>
    </row>
    <row r="434" spans="1:26" x14ac:dyDescent="0.2">
      <c r="A434" s="303"/>
      <c r="B434" s="304" t="s">
        <v>93</v>
      </c>
      <c r="C434" s="380">
        <f>Calc1!G235</f>
        <v>0</v>
      </c>
      <c r="D434" s="304" t="s">
        <v>74</v>
      </c>
      <c r="E434" s="382" t="str">
        <f>Calc1!C11</f>
        <v>n/a</v>
      </c>
      <c r="F434" s="304">
        <f>VLOOKUP(E434,K136:L149,2,FALSE)</f>
        <v>0</v>
      </c>
      <c r="G434" s="304" t="s">
        <v>76</v>
      </c>
      <c r="H434" s="304"/>
      <c r="I434" s="304"/>
      <c r="J434" s="304"/>
      <c r="K434" s="321"/>
      <c r="L434" s="321"/>
      <c r="M434" s="304"/>
      <c r="N434" s="304"/>
      <c r="O434" s="304"/>
      <c r="P434" s="304"/>
      <c r="Q434" s="304"/>
      <c r="R434" s="304"/>
      <c r="S434" s="304"/>
      <c r="T434" s="304"/>
      <c r="U434" s="304"/>
      <c r="V434" s="304"/>
      <c r="W434" s="304"/>
      <c r="X434" s="304"/>
      <c r="Y434" s="304"/>
      <c r="Z434" s="305"/>
    </row>
    <row r="435" spans="1:26" x14ac:dyDescent="0.2">
      <c r="A435" s="303"/>
      <c r="B435" s="304" t="s">
        <v>94</v>
      </c>
      <c r="C435" s="342">
        <f>IF(F436&gt;0,C434*F436, IF(F434&gt;0,C434*F434,C434*F435))</f>
        <v>0</v>
      </c>
      <c r="D435" s="304" t="s">
        <v>95</v>
      </c>
      <c r="E435" s="382" t="str">
        <f>Calc1!C10</f>
        <v xml:space="preserve">Albania </v>
      </c>
      <c r="F435" s="304">
        <f>VLOOKUP(Calc1!C10,EF!$A$4:$B$145,2)/1000000</f>
        <v>3.4439500000000001E-5</v>
      </c>
      <c r="G435" s="304" t="s">
        <v>791</v>
      </c>
      <c r="H435" s="304"/>
      <c r="I435" s="304"/>
      <c r="J435" s="304"/>
      <c r="K435" s="321"/>
      <c r="L435" s="321"/>
      <c r="M435" s="304"/>
      <c r="N435" s="304"/>
      <c r="O435" s="304"/>
      <c r="P435" s="304"/>
      <c r="Q435" s="304"/>
      <c r="R435" s="304"/>
      <c r="S435" s="304"/>
      <c r="T435" s="304"/>
      <c r="U435" s="304"/>
      <c r="V435" s="304"/>
      <c r="W435" s="304"/>
      <c r="X435" s="304"/>
      <c r="Y435" s="304"/>
      <c r="Z435" s="305"/>
    </row>
    <row r="436" spans="1:26" x14ac:dyDescent="0.2">
      <c r="A436" s="303"/>
      <c r="B436" s="304"/>
      <c r="C436" s="342"/>
      <c r="D436" s="304"/>
      <c r="E436" s="304" t="s">
        <v>175</v>
      </c>
      <c r="F436" s="421">
        <f>Calc1!G236/1000000</f>
        <v>3.4439500000000001E-5</v>
      </c>
      <c r="G436" s="304" t="s">
        <v>791</v>
      </c>
      <c r="H436" s="304"/>
      <c r="I436" s="304"/>
      <c r="J436" s="304"/>
      <c r="K436" s="321"/>
      <c r="L436" s="321"/>
      <c r="M436" s="304"/>
      <c r="N436" s="304"/>
      <c r="O436" s="304"/>
      <c r="P436" s="304"/>
      <c r="Q436" s="304"/>
      <c r="R436" s="304"/>
      <c r="S436" s="304"/>
      <c r="T436" s="304"/>
      <c r="U436" s="304"/>
      <c r="V436" s="304"/>
      <c r="W436" s="304"/>
      <c r="X436" s="304"/>
      <c r="Y436" s="304"/>
      <c r="Z436" s="305"/>
    </row>
    <row r="437" spans="1:26" x14ac:dyDescent="0.2">
      <c r="A437" s="303"/>
      <c r="B437" s="335"/>
      <c r="C437" s="342"/>
      <c r="D437" s="304"/>
      <c r="E437" s="304"/>
      <c r="F437" s="304"/>
      <c r="G437" s="304"/>
      <c r="H437" s="304"/>
      <c r="I437" s="304"/>
      <c r="J437" s="304"/>
      <c r="K437" s="321"/>
      <c r="L437" s="321"/>
      <c r="M437" s="304"/>
      <c r="N437" s="304"/>
      <c r="O437" s="304"/>
      <c r="P437" s="304"/>
      <c r="Q437" s="304"/>
      <c r="R437" s="304"/>
      <c r="S437" s="304"/>
      <c r="T437" s="304"/>
      <c r="U437" s="304"/>
      <c r="V437" s="304"/>
      <c r="W437" s="304"/>
      <c r="X437" s="304"/>
      <c r="Y437" s="304"/>
      <c r="Z437" s="305"/>
    </row>
    <row r="438" spans="1:26" ht="18" x14ac:dyDescent="0.25">
      <c r="A438" s="303" t="s">
        <v>1030</v>
      </c>
      <c r="B438" s="379"/>
      <c r="C438" s="304"/>
      <c r="D438" s="304"/>
      <c r="E438" s="304"/>
      <c r="F438" s="304"/>
      <c r="G438" s="304"/>
      <c r="H438" s="304"/>
      <c r="I438" s="304"/>
      <c r="J438" s="304"/>
      <c r="K438" s="304"/>
      <c r="L438" s="304"/>
      <c r="M438" s="321"/>
      <c r="N438" s="304"/>
      <c r="O438" s="304"/>
      <c r="P438" s="304"/>
      <c r="Q438" s="304"/>
      <c r="R438" s="304"/>
      <c r="S438" s="304"/>
      <c r="T438" s="304"/>
      <c r="U438" s="304"/>
      <c r="V438" s="304"/>
      <c r="W438" s="304"/>
      <c r="X438" s="304"/>
      <c r="Y438" s="304"/>
      <c r="Z438" s="305"/>
    </row>
    <row r="439" spans="1:26" s="385" customFormat="1" x14ac:dyDescent="0.2">
      <c r="A439" s="304"/>
      <c r="B439" s="303" t="s">
        <v>1029</v>
      </c>
      <c r="C439" s="304"/>
      <c r="D439" s="304"/>
      <c r="E439" s="304"/>
      <c r="F439" s="304"/>
      <c r="G439" s="304"/>
      <c r="H439" s="304"/>
      <c r="I439" s="304"/>
      <c r="J439" s="304"/>
      <c r="K439" s="304"/>
      <c r="L439" s="304"/>
      <c r="M439" s="321"/>
      <c r="N439" s="304"/>
      <c r="O439" s="304"/>
      <c r="P439" s="304"/>
      <c r="Q439" s="304"/>
      <c r="R439" s="304"/>
      <c r="S439" s="304"/>
      <c r="T439" s="304"/>
      <c r="U439" s="304"/>
      <c r="V439" s="304"/>
      <c r="W439" s="304"/>
      <c r="X439" s="304"/>
      <c r="Y439" s="304"/>
      <c r="Z439" s="305"/>
    </row>
    <row r="440" spans="1:26" s="385" customFormat="1" x14ac:dyDescent="0.2">
      <c r="A440" s="304"/>
      <c r="B440" s="386" t="s">
        <v>93</v>
      </c>
      <c r="C440" s="382">
        <f>IF(Calc1!G101="GJ",Calc1!G243,Calc1!G243/277.8)</f>
        <v>0</v>
      </c>
      <c r="D440" s="304" t="s">
        <v>51</v>
      </c>
      <c r="E440" s="304"/>
      <c r="F440" s="304"/>
      <c r="G440" s="304"/>
      <c r="H440" s="304"/>
      <c r="I440" s="304"/>
      <c r="J440" s="304"/>
      <c r="K440" s="304"/>
      <c r="L440" s="304"/>
      <c r="M440" s="321"/>
      <c r="N440" s="304"/>
      <c r="O440" s="304"/>
      <c r="P440" s="304"/>
      <c r="Q440" s="304"/>
      <c r="R440" s="304"/>
      <c r="S440" s="304"/>
      <c r="T440" s="304"/>
      <c r="U440" s="304"/>
      <c r="V440" s="304"/>
      <c r="W440" s="304"/>
      <c r="X440" s="304"/>
      <c r="Y440" s="304"/>
      <c r="Z440" s="305"/>
    </row>
    <row r="441" spans="1:26" s="385" customFormat="1" x14ac:dyDescent="0.2">
      <c r="A441" s="304"/>
      <c r="B441" s="386"/>
      <c r="C441" s="304"/>
      <c r="D441" s="304"/>
      <c r="E441" s="304"/>
      <c r="F441" s="304"/>
      <c r="G441" s="304"/>
      <c r="H441" s="304"/>
      <c r="I441" s="304"/>
      <c r="J441" s="304"/>
      <c r="K441" s="304"/>
      <c r="L441" s="304"/>
      <c r="M441" s="321"/>
      <c r="N441" s="304"/>
      <c r="O441" s="304"/>
      <c r="P441" s="304"/>
      <c r="Q441" s="304"/>
      <c r="R441" s="304"/>
      <c r="S441" s="304"/>
      <c r="T441" s="304"/>
      <c r="U441" s="304"/>
      <c r="V441" s="304"/>
      <c r="W441" s="304"/>
      <c r="X441" s="304"/>
      <c r="Y441" s="304"/>
      <c r="Z441" s="305"/>
    </row>
    <row r="442" spans="1:26" s="385" customFormat="1" x14ac:dyDescent="0.2">
      <c r="A442" s="304"/>
      <c r="B442" s="303" t="s">
        <v>765</v>
      </c>
      <c r="C442" s="304"/>
      <c r="D442" s="304"/>
      <c r="E442" s="304"/>
      <c r="F442" s="304"/>
      <c r="G442" s="304"/>
      <c r="H442" s="304"/>
      <c r="I442" s="304"/>
      <c r="J442" s="304"/>
      <c r="K442" s="304"/>
      <c r="L442" s="304"/>
      <c r="M442" s="321"/>
      <c r="N442" s="304"/>
      <c r="O442" s="304"/>
      <c r="P442" s="304"/>
      <c r="Q442" s="304"/>
      <c r="R442" s="304"/>
      <c r="S442" s="304"/>
      <c r="T442" s="304"/>
      <c r="U442" s="304"/>
      <c r="V442" s="304"/>
      <c r="W442" s="304"/>
      <c r="X442" s="304"/>
      <c r="Y442" s="304"/>
      <c r="Z442" s="305"/>
    </row>
    <row r="443" spans="1:26" s="385" customFormat="1" x14ac:dyDescent="0.2">
      <c r="A443" s="304"/>
      <c r="B443" s="309" t="s">
        <v>173</v>
      </c>
      <c r="C443" s="350">
        <f>IF(Calc1!$F$103="Coal", Calc2!$C$440,0)</f>
        <v>0</v>
      </c>
      <c r="D443" s="343"/>
      <c r="E443" s="344"/>
      <c r="F443" s="304"/>
      <c r="G443" s="304"/>
      <c r="H443" s="304"/>
      <c r="I443" s="304"/>
      <c r="J443" s="304"/>
      <c r="K443" s="304"/>
      <c r="L443" s="304"/>
      <c r="M443" s="321"/>
      <c r="N443" s="304"/>
      <c r="O443" s="304"/>
      <c r="P443" s="304"/>
      <c r="Q443" s="304"/>
      <c r="R443" s="304"/>
      <c r="S443" s="304"/>
      <c r="T443" s="304"/>
      <c r="U443" s="304"/>
      <c r="V443" s="304"/>
      <c r="W443" s="304"/>
      <c r="X443" s="304"/>
      <c r="Y443" s="304"/>
      <c r="Z443" s="305"/>
    </row>
    <row r="444" spans="1:26" s="385" customFormat="1" ht="15.75" x14ac:dyDescent="0.3">
      <c r="A444" s="304"/>
      <c r="B444" s="309" t="s">
        <v>120</v>
      </c>
      <c r="C444" s="310" t="s">
        <v>16</v>
      </c>
      <c r="D444" s="310" t="s">
        <v>17</v>
      </c>
      <c r="E444" s="310" t="s">
        <v>789</v>
      </c>
      <c r="F444" s="312" t="s">
        <v>197</v>
      </c>
      <c r="G444" s="312" t="s">
        <v>180</v>
      </c>
      <c r="H444" s="312" t="s">
        <v>194</v>
      </c>
      <c r="I444" s="312" t="s">
        <v>195</v>
      </c>
      <c r="J444" s="312" t="s">
        <v>196</v>
      </c>
      <c r="K444" s="304"/>
      <c r="L444" s="304"/>
      <c r="M444" s="321"/>
      <c r="N444" s="304"/>
      <c r="O444" s="304"/>
      <c r="P444" s="304"/>
      <c r="Q444" s="304"/>
      <c r="R444" s="304"/>
      <c r="S444" s="304"/>
      <c r="T444" s="304"/>
      <c r="U444" s="304"/>
      <c r="V444" s="304"/>
      <c r="W444" s="304"/>
      <c r="X444" s="304"/>
      <c r="Y444" s="304"/>
      <c r="Z444" s="305"/>
    </row>
    <row r="445" spans="1:26" s="385" customFormat="1" x14ac:dyDescent="0.2">
      <c r="A445" s="304"/>
      <c r="B445" s="309" t="s">
        <v>214</v>
      </c>
      <c r="C445" s="387">
        <v>94000</v>
      </c>
      <c r="D445" s="387">
        <v>10</v>
      </c>
      <c r="E445" s="387">
        <v>1.5</v>
      </c>
      <c r="F445" s="312">
        <v>160</v>
      </c>
      <c r="G445" s="312">
        <v>200</v>
      </c>
      <c r="H445" s="312">
        <v>2000</v>
      </c>
      <c r="I445" s="312">
        <v>190</v>
      </c>
      <c r="J445" s="312">
        <v>900</v>
      </c>
      <c r="K445" s="304"/>
      <c r="L445" s="304"/>
      <c r="M445" s="321"/>
      <c r="N445" s="304"/>
      <c r="O445" s="304"/>
      <c r="P445" s="304"/>
      <c r="Q445" s="304"/>
      <c r="R445" s="304"/>
      <c r="S445" s="304"/>
      <c r="T445" s="304"/>
      <c r="U445" s="304"/>
      <c r="V445" s="304"/>
      <c r="W445" s="304"/>
      <c r="X445" s="304"/>
      <c r="Y445" s="304"/>
      <c r="Z445" s="305"/>
    </row>
    <row r="446" spans="1:26" s="385" customFormat="1" x14ac:dyDescent="0.2">
      <c r="A446" s="304"/>
      <c r="B446" s="309" t="s">
        <v>39</v>
      </c>
      <c r="C446" s="347">
        <f>$C$443*C445/1000/1000</f>
        <v>0</v>
      </c>
      <c r="D446" s="347">
        <f t="shared" ref="D446:J446" si="82">$C$443*D445/1000/1000</f>
        <v>0</v>
      </c>
      <c r="E446" s="347">
        <f t="shared" si="82"/>
        <v>0</v>
      </c>
      <c r="F446" s="347">
        <f t="shared" si="82"/>
        <v>0</v>
      </c>
      <c r="G446" s="347">
        <f t="shared" si="82"/>
        <v>0</v>
      </c>
      <c r="H446" s="347">
        <f t="shared" si="82"/>
        <v>0</v>
      </c>
      <c r="I446" s="347">
        <f t="shared" si="82"/>
        <v>0</v>
      </c>
      <c r="J446" s="347">
        <f t="shared" si="82"/>
        <v>0</v>
      </c>
      <c r="K446" s="304"/>
      <c r="L446" s="304"/>
      <c r="M446" s="321"/>
      <c r="N446" s="304"/>
      <c r="O446" s="304"/>
      <c r="P446" s="304"/>
      <c r="Q446" s="304"/>
      <c r="R446" s="304"/>
      <c r="S446" s="304"/>
      <c r="T446" s="304"/>
      <c r="U446" s="304"/>
      <c r="V446" s="304"/>
      <c r="W446" s="304"/>
      <c r="X446" s="304"/>
      <c r="Y446" s="304"/>
      <c r="Z446" s="305"/>
    </row>
    <row r="447" spans="1:26" s="385" customFormat="1" x14ac:dyDescent="0.2">
      <c r="A447" s="304"/>
      <c r="B447" s="386"/>
      <c r="C447" s="304"/>
      <c r="D447" s="304"/>
      <c r="E447" s="304"/>
      <c r="F447" s="304"/>
      <c r="G447" s="304"/>
      <c r="H447" s="304"/>
      <c r="I447" s="304"/>
      <c r="J447" s="304"/>
      <c r="K447" s="304"/>
      <c r="L447" s="304"/>
      <c r="M447" s="304"/>
      <c r="N447" s="304"/>
      <c r="O447" s="304"/>
      <c r="P447" s="304"/>
      <c r="Q447" s="304"/>
      <c r="R447" s="304"/>
      <c r="S447" s="304"/>
      <c r="T447" s="304"/>
      <c r="U447" s="304"/>
      <c r="V447" s="304"/>
      <c r="W447" s="304"/>
      <c r="X447" s="304"/>
      <c r="Y447" s="304"/>
      <c r="Z447" s="305"/>
    </row>
    <row r="448" spans="1:26" s="385" customFormat="1" x14ac:dyDescent="0.2">
      <c r="A448" s="304"/>
      <c r="B448" s="303" t="s">
        <v>766</v>
      </c>
      <c r="C448" s="304"/>
      <c r="D448" s="304"/>
      <c r="E448" s="304"/>
      <c r="F448" s="304"/>
      <c r="G448" s="304"/>
      <c r="H448" s="304"/>
      <c r="I448" s="304"/>
      <c r="J448" s="304"/>
      <c r="K448" s="304"/>
      <c r="L448" s="304"/>
      <c r="M448" s="321"/>
      <c r="N448" s="304"/>
      <c r="O448" s="304"/>
      <c r="P448" s="304"/>
      <c r="Q448" s="304"/>
      <c r="R448" s="304"/>
      <c r="S448" s="304"/>
      <c r="T448" s="304"/>
      <c r="U448" s="304"/>
      <c r="V448" s="304"/>
      <c r="W448" s="304"/>
      <c r="X448" s="304"/>
      <c r="Y448" s="304"/>
      <c r="Z448" s="305"/>
    </row>
    <row r="449" spans="1:26" s="385" customFormat="1" x14ac:dyDescent="0.2">
      <c r="A449" s="304"/>
      <c r="B449" s="309" t="s">
        <v>844</v>
      </c>
      <c r="C449" s="350">
        <f>IF(Calc1!$F$103="Fuel Oil", Calc2!$C$440,0)</f>
        <v>0</v>
      </c>
      <c r="D449" s="343"/>
      <c r="E449" s="344"/>
      <c r="F449" s="304"/>
      <c r="G449" s="304"/>
      <c r="H449" s="304"/>
      <c r="I449" s="304"/>
      <c r="J449" s="304"/>
      <c r="K449" s="304"/>
      <c r="L449" s="304"/>
      <c r="M449" s="321"/>
      <c r="N449" s="304"/>
      <c r="O449" s="304"/>
      <c r="P449" s="304"/>
      <c r="Q449" s="304"/>
      <c r="R449" s="304"/>
      <c r="S449" s="304"/>
      <c r="T449" s="304"/>
      <c r="U449" s="304"/>
      <c r="V449" s="304"/>
      <c r="W449" s="304"/>
      <c r="X449" s="304"/>
      <c r="Y449" s="304"/>
      <c r="Z449" s="305"/>
    </row>
    <row r="450" spans="1:26" s="385" customFormat="1" ht="15.75" x14ac:dyDescent="0.3">
      <c r="A450" s="304"/>
      <c r="B450" s="309" t="s">
        <v>120</v>
      </c>
      <c r="C450" s="310" t="s">
        <v>16</v>
      </c>
      <c r="D450" s="310" t="s">
        <v>17</v>
      </c>
      <c r="E450" s="310" t="s">
        <v>789</v>
      </c>
      <c r="F450" s="312" t="s">
        <v>197</v>
      </c>
      <c r="G450" s="312" t="s">
        <v>180</v>
      </c>
      <c r="H450" s="312" t="s">
        <v>194</v>
      </c>
      <c r="I450" s="312" t="s">
        <v>195</v>
      </c>
      <c r="J450" s="312" t="s">
        <v>196</v>
      </c>
      <c r="K450" s="304"/>
      <c r="L450" s="304"/>
      <c r="M450" s="321"/>
      <c r="N450" s="304"/>
      <c r="O450" s="304"/>
      <c r="P450" s="304"/>
      <c r="Q450" s="304"/>
      <c r="R450" s="304"/>
      <c r="S450" s="304"/>
      <c r="T450" s="304"/>
      <c r="U450" s="304"/>
      <c r="V450" s="304"/>
      <c r="W450" s="304"/>
      <c r="X450" s="304"/>
      <c r="Y450" s="304"/>
      <c r="Z450" s="305"/>
    </row>
    <row r="451" spans="1:26" s="385" customFormat="1" x14ac:dyDescent="0.2">
      <c r="A451" s="304"/>
      <c r="B451" s="309" t="s">
        <v>214</v>
      </c>
      <c r="C451" s="387">
        <v>77400</v>
      </c>
      <c r="D451" s="387">
        <v>10</v>
      </c>
      <c r="E451" s="387">
        <v>0.6</v>
      </c>
      <c r="F451" s="312">
        <v>398</v>
      </c>
      <c r="G451" s="312">
        <v>0.19</v>
      </c>
      <c r="H451" s="312">
        <v>1.49</v>
      </c>
      <c r="I451" s="312">
        <v>3</v>
      </c>
      <c r="J451" s="312">
        <v>46.1</v>
      </c>
      <c r="K451" s="304"/>
      <c r="L451" s="304"/>
      <c r="M451" s="321"/>
      <c r="N451" s="304"/>
      <c r="O451" s="304"/>
      <c r="P451" s="304"/>
      <c r="Q451" s="304"/>
      <c r="R451" s="304"/>
      <c r="S451" s="304"/>
      <c r="T451" s="304"/>
      <c r="U451" s="304"/>
      <c r="V451" s="304"/>
      <c r="W451" s="304"/>
      <c r="X451" s="304"/>
      <c r="Y451" s="304"/>
      <c r="Z451" s="305"/>
    </row>
    <row r="452" spans="1:26" s="385" customFormat="1" x14ac:dyDescent="0.2">
      <c r="A452" s="304"/>
      <c r="B452" s="309" t="s">
        <v>39</v>
      </c>
      <c r="C452" s="347">
        <f>$C$449*C451/1000/1000</f>
        <v>0</v>
      </c>
      <c r="D452" s="347">
        <f t="shared" ref="D452:J452" si="83">$C$449*D451/1000/1000</f>
        <v>0</v>
      </c>
      <c r="E452" s="347">
        <f t="shared" si="83"/>
        <v>0</v>
      </c>
      <c r="F452" s="347">
        <f t="shared" si="83"/>
        <v>0</v>
      </c>
      <c r="G452" s="347">
        <f t="shared" si="83"/>
        <v>0</v>
      </c>
      <c r="H452" s="347">
        <f t="shared" si="83"/>
        <v>0</v>
      </c>
      <c r="I452" s="347">
        <f t="shared" si="83"/>
        <v>0</v>
      </c>
      <c r="J452" s="347">
        <f t="shared" si="83"/>
        <v>0</v>
      </c>
      <c r="K452" s="304"/>
      <c r="L452" s="304"/>
      <c r="M452" s="321"/>
      <c r="N452" s="304"/>
      <c r="O452" s="304"/>
      <c r="P452" s="304"/>
      <c r="Q452" s="304"/>
      <c r="R452" s="304"/>
      <c r="S452" s="304"/>
      <c r="T452" s="304"/>
      <c r="U452" s="304"/>
      <c r="V452" s="304"/>
      <c r="W452" s="304"/>
      <c r="X452" s="304"/>
      <c r="Y452" s="304"/>
      <c r="Z452" s="305"/>
    </row>
    <row r="453" spans="1:26" s="385" customFormat="1" x14ac:dyDescent="0.2">
      <c r="A453" s="304"/>
      <c r="B453" s="386"/>
      <c r="C453" s="304"/>
      <c r="D453" s="304"/>
      <c r="E453" s="304"/>
      <c r="F453" s="304"/>
      <c r="G453" s="304"/>
      <c r="H453" s="304"/>
      <c r="I453" s="304"/>
      <c r="J453" s="304"/>
      <c r="K453" s="304"/>
      <c r="L453" s="304"/>
      <c r="M453" s="304"/>
      <c r="N453" s="304"/>
      <c r="O453" s="304"/>
      <c r="P453" s="304"/>
      <c r="Q453" s="304"/>
      <c r="R453" s="304"/>
      <c r="S453" s="304"/>
      <c r="T453" s="304"/>
      <c r="U453" s="304"/>
      <c r="V453" s="304"/>
      <c r="W453" s="304"/>
      <c r="X453" s="304"/>
      <c r="Y453" s="304"/>
      <c r="Z453" s="305"/>
    </row>
    <row r="454" spans="1:26" s="385" customFormat="1" x14ac:dyDescent="0.2">
      <c r="A454" s="304"/>
      <c r="B454" s="303" t="s">
        <v>767</v>
      </c>
      <c r="C454" s="304"/>
      <c r="D454" s="304"/>
      <c r="E454" s="304"/>
      <c r="F454" s="304"/>
      <c r="G454" s="304"/>
      <c r="H454" s="304"/>
      <c r="I454" s="304"/>
      <c r="J454" s="304"/>
      <c r="K454" s="304"/>
      <c r="L454" s="304"/>
      <c r="M454" s="321"/>
      <c r="N454" s="304"/>
      <c r="O454" s="304"/>
      <c r="P454" s="304"/>
      <c r="Q454" s="304"/>
      <c r="R454" s="304"/>
      <c r="S454" s="304"/>
      <c r="T454" s="304"/>
      <c r="U454" s="304"/>
      <c r="V454" s="304"/>
      <c r="W454" s="304"/>
      <c r="X454" s="304"/>
      <c r="Y454" s="304"/>
      <c r="Z454" s="305"/>
    </row>
    <row r="455" spans="1:26" s="385" customFormat="1" x14ac:dyDescent="0.2">
      <c r="A455" s="304"/>
      <c r="B455" s="309" t="s">
        <v>768</v>
      </c>
      <c r="C455" s="350">
        <f>IF(Calc1!$F$103="Natural Gas", Calc2!$C$440,0)</f>
        <v>0</v>
      </c>
      <c r="D455" s="343"/>
      <c r="E455" s="344"/>
      <c r="F455" s="304"/>
      <c r="G455" s="304"/>
      <c r="H455" s="304"/>
      <c r="I455" s="304"/>
      <c r="J455" s="304"/>
      <c r="K455" s="304"/>
      <c r="L455" s="304"/>
      <c r="M455" s="321"/>
      <c r="N455" s="304"/>
      <c r="O455" s="304"/>
      <c r="P455" s="304"/>
      <c r="Q455" s="304"/>
      <c r="R455" s="304"/>
      <c r="S455" s="304"/>
      <c r="T455" s="304"/>
      <c r="U455" s="304"/>
      <c r="V455" s="304"/>
      <c r="W455" s="304"/>
      <c r="X455" s="304"/>
      <c r="Y455" s="304"/>
      <c r="Z455" s="305"/>
    </row>
    <row r="456" spans="1:26" s="385" customFormat="1" ht="15.75" x14ac:dyDescent="0.3">
      <c r="A456" s="304"/>
      <c r="B456" s="309" t="s">
        <v>120</v>
      </c>
      <c r="C456" s="310" t="s">
        <v>16</v>
      </c>
      <c r="D456" s="310" t="s">
        <v>17</v>
      </c>
      <c r="E456" s="310" t="s">
        <v>789</v>
      </c>
      <c r="F456" s="312" t="s">
        <v>197</v>
      </c>
      <c r="G456" s="312" t="s">
        <v>180</v>
      </c>
      <c r="H456" s="312" t="s">
        <v>194</v>
      </c>
      <c r="I456" s="312" t="s">
        <v>195</v>
      </c>
      <c r="J456" s="312" t="s">
        <v>196</v>
      </c>
      <c r="K456" s="304"/>
      <c r="L456" s="304"/>
      <c r="M456" s="321"/>
      <c r="N456" s="304"/>
      <c r="O456" s="304"/>
      <c r="P456" s="304"/>
      <c r="Q456" s="304"/>
      <c r="R456" s="304"/>
      <c r="S456" s="304"/>
      <c r="T456" s="304"/>
      <c r="U456" s="304"/>
      <c r="V456" s="304"/>
      <c r="W456" s="304"/>
      <c r="X456" s="304"/>
      <c r="Y456" s="304"/>
      <c r="Z456" s="305"/>
    </row>
    <row r="457" spans="1:26" s="385" customFormat="1" x14ac:dyDescent="0.2">
      <c r="A457" s="304"/>
      <c r="B457" s="388" t="s">
        <v>214</v>
      </c>
      <c r="C457" s="387">
        <v>56100</v>
      </c>
      <c r="D457" s="387">
        <v>1</v>
      </c>
      <c r="E457" s="387">
        <v>0.1</v>
      </c>
      <c r="F457" s="312">
        <f>70</f>
        <v>70</v>
      </c>
      <c r="G457" s="312">
        <f>3</f>
        <v>3</v>
      </c>
      <c r="H457" s="312">
        <f>30</f>
        <v>30</v>
      </c>
      <c r="I457" s="312">
        <f>0.5</f>
        <v>0.5</v>
      </c>
      <c r="J457" s="312">
        <f>0.5</f>
        <v>0.5</v>
      </c>
      <c r="K457" s="304"/>
      <c r="L457" s="304"/>
      <c r="M457" s="321"/>
      <c r="N457" s="304"/>
      <c r="O457" s="304"/>
      <c r="P457" s="304"/>
      <c r="Q457" s="304"/>
      <c r="R457" s="304"/>
      <c r="S457" s="304"/>
      <c r="T457" s="304"/>
      <c r="U457" s="304"/>
      <c r="V457" s="304"/>
      <c r="W457" s="304"/>
      <c r="X457" s="304"/>
      <c r="Y457" s="304"/>
      <c r="Z457" s="305"/>
    </row>
    <row r="458" spans="1:26" s="385" customFormat="1" x14ac:dyDescent="0.2">
      <c r="A458" s="304"/>
      <c r="B458" s="309" t="s">
        <v>39</v>
      </c>
      <c r="C458" s="347">
        <f>$C$455*C457/1000/1000</f>
        <v>0</v>
      </c>
      <c r="D458" s="347">
        <f t="shared" ref="D458:J458" si="84">$C$455*D457/1000/1000</f>
        <v>0</v>
      </c>
      <c r="E458" s="347">
        <f t="shared" si="84"/>
        <v>0</v>
      </c>
      <c r="F458" s="347">
        <f t="shared" si="84"/>
        <v>0</v>
      </c>
      <c r="G458" s="347">
        <f t="shared" si="84"/>
        <v>0</v>
      </c>
      <c r="H458" s="347">
        <f t="shared" si="84"/>
        <v>0</v>
      </c>
      <c r="I458" s="347">
        <f t="shared" si="84"/>
        <v>0</v>
      </c>
      <c r="J458" s="347">
        <f t="shared" si="84"/>
        <v>0</v>
      </c>
      <c r="K458" s="304"/>
      <c r="L458" s="304"/>
      <c r="M458" s="321"/>
      <c r="N458" s="304"/>
      <c r="O458" s="304"/>
      <c r="P458" s="304"/>
      <c r="Q458" s="304"/>
      <c r="R458" s="304"/>
      <c r="S458" s="304"/>
      <c r="T458" s="304"/>
      <c r="U458" s="304"/>
      <c r="V458" s="304"/>
      <c r="W458" s="304"/>
      <c r="X458" s="304"/>
      <c r="Y458" s="304"/>
      <c r="Z458" s="305"/>
    </row>
    <row r="459" spans="1:26" s="385" customFormat="1" x14ac:dyDescent="0.2">
      <c r="A459" s="304"/>
      <c r="B459" s="386"/>
      <c r="C459" s="304"/>
      <c r="D459" s="304"/>
      <c r="E459" s="304"/>
      <c r="F459" s="304"/>
      <c r="G459" s="304"/>
      <c r="H459" s="304"/>
      <c r="I459" s="304"/>
      <c r="J459" s="304"/>
      <c r="K459" s="304"/>
      <c r="L459" s="304"/>
      <c r="M459" s="304"/>
      <c r="N459" s="304"/>
      <c r="O459" s="304"/>
      <c r="P459" s="304"/>
      <c r="Q459" s="304"/>
      <c r="R459" s="304"/>
      <c r="S459" s="304"/>
      <c r="T459" s="304"/>
      <c r="U459" s="304"/>
      <c r="V459" s="304"/>
      <c r="W459" s="304"/>
      <c r="X459" s="304"/>
      <c r="Y459" s="304"/>
      <c r="Z459" s="305"/>
    </row>
    <row r="460" spans="1:26" s="385" customFormat="1" x14ac:dyDescent="0.2">
      <c r="A460" s="304"/>
      <c r="B460" s="386" t="s">
        <v>769</v>
      </c>
      <c r="C460" s="318">
        <f t="shared" ref="C460:J460" si="85">SUM(C446,C452,C458)</f>
        <v>0</v>
      </c>
      <c r="D460" s="318">
        <f t="shared" si="85"/>
        <v>0</v>
      </c>
      <c r="E460" s="318">
        <f t="shared" si="85"/>
        <v>0</v>
      </c>
      <c r="F460" s="318">
        <f t="shared" si="85"/>
        <v>0</v>
      </c>
      <c r="G460" s="318">
        <f t="shared" si="85"/>
        <v>0</v>
      </c>
      <c r="H460" s="318">
        <f t="shared" si="85"/>
        <v>0</v>
      </c>
      <c r="I460" s="318">
        <f t="shared" si="85"/>
        <v>0</v>
      </c>
      <c r="J460" s="318">
        <f t="shared" si="85"/>
        <v>0</v>
      </c>
      <c r="K460" s="304"/>
      <c r="L460" s="304"/>
      <c r="M460" s="304"/>
      <c r="N460" s="304"/>
      <c r="O460" s="304"/>
      <c r="P460" s="304"/>
      <c r="Q460" s="304"/>
      <c r="R460" s="304"/>
      <c r="S460" s="304"/>
      <c r="T460" s="304"/>
      <c r="U460" s="304"/>
      <c r="V460" s="304"/>
      <c r="W460" s="304"/>
      <c r="X460" s="304"/>
      <c r="Y460" s="304"/>
      <c r="Z460" s="305"/>
    </row>
    <row r="461" spans="1:26" x14ac:dyDescent="0.2">
      <c r="A461" s="303"/>
      <c r="B461" s="303"/>
      <c r="C461" s="304"/>
      <c r="D461" s="304"/>
      <c r="E461" s="304"/>
      <c r="F461" s="304"/>
      <c r="G461" s="304"/>
      <c r="H461" s="304"/>
      <c r="I461" s="304"/>
      <c r="J461" s="304"/>
      <c r="K461" s="321"/>
      <c r="L461" s="321"/>
      <c r="M461" s="304"/>
      <c r="N461" s="304"/>
      <c r="O461" s="304"/>
      <c r="P461" s="304"/>
      <c r="Q461" s="304"/>
      <c r="R461" s="304"/>
      <c r="S461" s="304"/>
      <c r="T461" s="304"/>
      <c r="U461" s="304"/>
      <c r="V461" s="304"/>
      <c r="W461" s="304"/>
      <c r="X461" s="304"/>
      <c r="Y461" s="304"/>
      <c r="Z461" s="305"/>
    </row>
    <row r="462" spans="1:26" x14ac:dyDescent="0.2">
      <c r="A462" s="303" t="s">
        <v>640</v>
      </c>
      <c r="B462" s="303" t="s">
        <v>42</v>
      </c>
      <c r="C462" s="304"/>
      <c r="D462" s="304"/>
      <c r="E462" s="304"/>
      <c r="F462" s="304"/>
      <c r="G462" s="304"/>
      <c r="H462" s="304"/>
      <c r="I462" s="304"/>
      <c r="J462" s="304"/>
      <c r="K462" s="321"/>
      <c r="L462" s="321"/>
      <c r="M462" s="304"/>
      <c r="N462" s="304"/>
      <c r="O462" s="304"/>
      <c r="P462" s="304"/>
      <c r="Q462" s="304"/>
      <c r="R462" s="304"/>
      <c r="S462" s="304"/>
      <c r="T462" s="304"/>
      <c r="U462" s="304"/>
      <c r="V462" s="304"/>
      <c r="W462" s="304"/>
      <c r="X462" s="304"/>
      <c r="Y462" s="304"/>
      <c r="Z462" s="305"/>
    </row>
    <row r="463" spans="1:26" x14ac:dyDescent="0.2">
      <c r="A463" s="303"/>
      <c r="B463" s="304"/>
      <c r="C463" s="304"/>
      <c r="D463" s="304"/>
      <c r="E463" s="304"/>
      <c r="F463" s="304"/>
      <c r="G463" s="304"/>
      <c r="H463" s="304"/>
      <c r="I463" s="304"/>
      <c r="J463" s="304"/>
      <c r="K463" s="321"/>
      <c r="L463" s="321"/>
      <c r="M463" s="304"/>
      <c r="N463" s="304"/>
      <c r="O463" s="304"/>
      <c r="P463" s="304"/>
      <c r="Q463" s="304"/>
      <c r="R463" s="304"/>
      <c r="S463" s="304"/>
      <c r="T463" s="304"/>
      <c r="U463" s="304"/>
      <c r="V463" s="304"/>
      <c r="W463" s="304"/>
      <c r="X463" s="304"/>
      <c r="Y463" s="304"/>
      <c r="Z463" s="305"/>
    </row>
    <row r="464" spans="1:26" ht="15.75" x14ac:dyDescent="0.3">
      <c r="A464" s="303"/>
      <c r="B464" s="304"/>
      <c r="C464" s="310" t="s">
        <v>27</v>
      </c>
      <c r="D464" s="310"/>
      <c r="E464" s="310" t="s">
        <v>16</v>
      </c>
      <c r="F464" s="310" t="s">
        <v>17</v>
      </c>
      <c r="G464" s="310" t="s">
        <v>789</v>
      </c>
      <c r="H464" s="309" t="s">
        <v>197</v>
      </c>
      <c r="I464" s="309" t="s">
        <v>180</v>
      </c>
      <c r="J464" s="309" t="s">
        <v>194</v>
      </c>
      <c r="K464" s="309" t="s">
        <v>195</v>
      </c>
      <c r="L464" s="309" t="s">
        <v>196</v>
      </c>
      <c r="M464" s="304"/>
      <c r="N464" s="304"/>
      <c r="O464" s="304"/>
      <c r="P464" s="304"/>
      <c r="Q464" s="304"/>
      <c r="R464" s="304"/>
      <c r="S464" s="304"/>
      <c r="T464" s="304"/>
      <c r="U464" s="304"/>
      <c r="V464" s="304"/>
      <c r="W464" s="304"/>
      <c r="X464" s="304"/>
      <c r="Y464" s="304"/>
      <c r="Z464" s="305"/>
    </row>
    <row r="465" spans="1:26" ht="14.25" x14ac:dyDescent="0.2">
      <c r="A465" s="303"/>
      <c r="B465" s="349" t="s">
        <v>162</v>
      </c>
      <c r="C465" s="350">
        <f>Calc1!C248</f>
        <v>0</v>
      </c>
      <c r="D465" s="310" t="s">
        <v>166</v>
      </c>
      <c r="E465" s="629">
        <v>3.15</v>
      </c>
      <c r="F465" s="352">
        <v>7.4999999999999997E-3</v>
      </c>
      <c r="G465" s="352">
        <v>3.8800000000000001E-2</v>
      </c>
      <c r="H465" s="309">
        <f>5.04*0.8/1000</f>
        <v>4.032E-3</v>
      </c>
      <c r="I465" s="309">
        <f>20.22*0.8/1000</f>
        <v>1.6175999999999999E-2</v>
      </c>
      <c r="J465" s="309">
        <f>672.08*0.8/1000</f>
        <v>0.53766400000000014</v>
      </c>
      <c r="K465" s="309">
        <f>151.88*0.8/1000</f>
        <v>0.121504</v>
      </c>
      <c r="L465" s="309">
        <f>1.02*0.8/1000</f>
        <v>8.160000000000001E-4</v>
      </c>
      <c r="M465" s="304"/>
      <c r="N465" s="304"/>
      <c r="O465" s="304"/>
      <c r="P465" s="304"/>
      <c r="Q465" s="304"/>
      <c r="R465" s="304"/>
      <c r="S465" s="304"/>
      <c r="T465" s="304"/>
      <c r="U465" s="304"/>
      <c r="V465" s="304"/>
      <c r="W465" s="304"/>
      <c r="X465" s="304"/>
      <c r="Y465" s="304"/>
      <c r="Z465" s="305"/>
    </row>
    <row r="466" spans="1:26" ht="14.25" x14ac:dyDescent="0.2">
      <c r="A466" s="303"/>
      <c r="B466" s="349"/>
      <c r="C466" s="309"/>
      <c r="D466" s="309" t="s">
        <v>39</v>
      </c>
      <c r="E466" s="353">
        <f>$C$465*E465/1000</f>
        <v>0</v>
      </c>
      <c r="F466" s="353">
        <f t="shared" ref="F466:L466" si="86">$C$465*F465/1000</f>
        <v>0</v>
      </c>
      <c r="G466" s="353">
        <f t="shared" si="86"/>
        <v>0</v>
      </c>
      <c r="H466" s="353">
        <f t="shared" si="86"/>
        <v>0</v>
      </c>
      <c r="I466" s="353">
        <f t="shared" si="86"/>
        <v>0</v>
      </c>
      <c r="J466" s="353">
        <f t="shared" si="86"/>
        <v>0</v>
      </c>
      <c r="K466" s="353">
        <f t="shared" si="86"/>
        <v>0</v>
      </c>
      <c r="L466" s="353">
        <f t="shared" si="86"/>
        <v>0</v>
      </c>
      <c r="M466" s="304"/>
      <c r="N466" s="304"/>
      <c r="O466" s="304"/>
      <c r="P466" s="304"/>
      <c r="Q466" s="304"/>
      <c r="R466" s="304"/>
      <c r="S466" s="304"/>
      <c r="T466" s="304"/>
      <c r="U466" s="304"/>
      <c r="V466" s="304"/>
      <c r="W466" s="304"/>
      <c r="X466" s="304"/>
      <c r="Y466" s="304"/>
      <c r="Z466" s="305"/>
    </row>
    <row r="467" spans="1:26" ht="14.25" x14ac:dyDescent="0.2">
      <c r="A467" s="303"/>
      <c r="B467" s="349" t="s">
        <v>163</v>
      </c>
      <c r="C467" s="350">
        <f>Calc1!C249</f>
        <v>0</v>
      </c>
      <c r="D467" s="310" t="s">
        <v>167</v>
      </c>
      <c r="E467" s="354">
        <v>1.73</v>
      </c>
      <c r="F467" s="355">
        <v>2.4000000000000001E-5</v>
      </c>
      <c r="G467" s="355">
        <v>1.08E-4</v>
      </c>
      <c r="H467" s="309">
        <v>1.32</v>
      </c>
      <c r="I467" s="309">
        <v>6.57</v>
      </c>
      <c r="J467" s="309">
        <v>7.19</v>
      </c>
      <c r="K467" s="309">
        <v>24.21</v>
      </c>
      <c r="L467" s="309">
        <v>0</v>
      </c>
      <c r="M467" s="361"/>
      <c r="N467" s="304"/>
      <c r="O467" s="304"/>
      <c r="P467" s="304"/>
      <c r="Q467" s="304"/>
      <c r="R467" s="304"/>
      <c r="S467" s="304"/>
      <c r="T467" s="304"/>
      <c r="U467" s="304"/>
      <c r="V467" s="304"/>
      <c r="W467" s="304"/>
      <c r="X467" s="304"/>
      <c r="Y467" s="304"/>
      <c r="Z467" s="305"/>
    </row>
    <row r="468" spans="1:26" ht="14.25" x14ac:dyDescent="0.2">
      <c r="A468" s="303"/>
      <c r="B468" s="349"/>
      <c r="C468" s="309"/>
      <c r="D468" s="309" t="s">
        <v>39</v>
      </c>
      <c r="E468" s="341">
        <f t="shared" ref="E468:L468" si="87">$C$467*E467/1000</f>
        <v>0</v>
      </c>
      <c r="F468" s="341">
        <f t="shared" si="87"/>
        <v>0</v>
      </c>
      <c r="G468" s="341">
        <f t="shared" si="87"/>
        <v>0</v>
      </c>
      <c r="H468" s="341">
        <f t="shared" si="87"/>
        <v>0</v>
      </c>
      <c r="I468" s="341">
        <f t="shared" si="87"/>
        <v>0</v>
      </c>
      <c r="J468" s="341">
        <f t="shared" si="87"/>
        <v>0</v>
      </c>
      <c r="K468" s="341">
        <f t="shared" si="87"/>
        <v>0</v>
      </c>
      <c r="L468" s="341">
        <f t="shared" si="87"/>
        <v>0</v>
      </c>
      <c r="M468" s="304"/>
      <c r="N468" s="304"/>
      <c r="O468" s="304"/>
      <c r="P468" s="304"/>
      <c r="Q468" s="304"/>
      <c r="R468" s="304"/>
      <c r="S468" s="304"/>
      <c r="T468" s="304"/>
      <c r="U468" s="304"/>
      <c r="V468" s="304"/>
      <c r="W468" s="304"/>
      <c r="X468" s="304"/>
      <c r="Y468" s="304"/>
      <c r="Z468" s="305"/>
    </row>
    <row r="469" spans="1:26" ht="14.25" x14ac:dyDescent="0.2">
      <c r="A469" s="303"/>
      <c r="B469" s="349" t="s">
        <v>114</v>
      </c>
      <c r="C469" s="350">
        <f>Calc1!C250</f>
        <v>0</v>
      </c>
      <c r="D469" s="310" t="s">
        <v>646</v>
      </c>
      <c r="E469" s="357">
        <v>3030</v>
      </c>
      <c r="F469" s="352">
        <v>5.2999999999999999E-2</v>
      </c>
      <c r="G469" s="352">
        <v>0.2112</v>
      </c>
      <c r="H469" s="309">
        <v>1.32</v>
      </c>
      <c r="I469" s="309">
        <v>6.57</v>
      </c>
      <c r="J469" s="309">
        <v>7.19</v>
      </c>
      <c r="K469" s="309">
        <v>24.21</v>
      </c>
      <c r="L469" s="309">
        <v>0</v>
      </c>
      <c r="M469" s="304"/>
      <c r="N469" s="304"/>
      <c r="O469" s="304"/>
      <c r="P469" s="304"/>
      <c r="Q469" s="304"/>
      <c r="R469" s="304"/>
      <c r="S469" s="304"/>
      <c r="T469" s="304"/>
      <c r="U469" s="304"/>
      <c r="V469" s="304"/>
      <c r="W469" s="304"/>
      <c r="X469" s="304"/>
      <c r="Y469" s="304"/>
      <c r="Z469" s="305"/>
    </row>
    <row r="470" spans="1:26" ht="14.25" x14ac:dyDescent="0.2">
      <c r="A470" s="303"/>
      <c r="B470" s="349"/>
      <c r="C470" s="309"/>
      <c r="D470" s="309" t="s">
        <v>39</v>
      </c>
      <c r="E470" s="341">
        <f>$C$90*E469/1000/1000</f>
        <v>0</v>
      </c>
      <c r="F470" s="341">
        <f t="shared" ref="F470" si="88">$C$90*F469/1000/1000</f>
        <v>0</v>
      </c>
      <c r="G470" s="341">
        <f t="shared" ref="G470" si="89">$C$90*G469/1000/1000</f>
        <v>0</v>
      </c>
      <c r="H470" s="341">
        <f t="shared" ref="H470" si="90">$C$90*H469/1000/1000</f>
        <v>0</v>
      </c>
      <c r="I470" s="341">
        <f t="shared" ref="I470" si="91">$C$90*I469/1000/1000</f>
        <v>0</v>
      </c>
      <c r="J470" s="341">
        <f t="shared" ref="J470" si="92">$C$90*J469/1000/1000</f>
        <v>0</v>
      </c>
      <c r="K470" s="341">
        <f t="shared" ref="K470" si="93">$C$90*K469/1000/1000</f>
        <v>0</v>
      </c>
      <c r="L470" s="341">
        <f t="shared" ref="L470" si="94">$C$90*L469/1000/1000</f>
        <v>0</v>
      </c>
      <c r="M470" s="304"/>
      <c r="N470" s="304"/>
      <c r="O470" s="304"/>
      <c r="P470" s="304"/>
      <c r="Q470" s="304"/>
      <c r="R470" s="304"/>
      <c r="S470" s="304"/>
      <c r="T470" s="304"/>
      <c r="U470" s="304"/>
      <c r="V470" s="304"/>
      <c r="W470" s="304"/>
      <c r="X470" s="304"/>
      <c r="Y470" s="304"/>
      <c r="Z470" s="305"/>
    </row>
    <row r="471" spans="1:26" ht="14.25" x14ac:dyDescent="0.2">
      <c r="A471" s="303"/>
      <c r="B471" s="349" t="s">
        <v>184</v>
      </c>
      <c r="C471" s="350">
        <f>Calc1!C251</f>
        <v>0</v>
      </c>
      <c r="D471" s="310" t="s">
        <v>125</v>
      </c>
      <c r="E471" s="341">
        <v>2.5339999999999998</v>
      </c>
      <c r="F471" s="363">
        <v>8.0000000000000007E-5</v>
      </c>
      <c r="G471" s="363">
        <v>2.3000000000000001E-4</v>
      </c>
      <c r="H471" s="309">
        <f>$P$95/10^3*0.1198</f>
        <v>4.03127E-3</v>
      </c>
      <c r="I471" s="309">
        <f>$R$95/10^3*0.1198</f>
        <v>1.6173E-2</v>
      </c>
      <c r="J471" s="309">
        <f>$N$95/10^3*0.1198</f>
        <v>0.53754259999999998</v>
      </c>
      <c r="K471" s="309">
        <f>$O$95/10^3*0.1198</f>
        <v>0.12147720000000001</v>
      </c>
      <c r="L471" s="309">
        <f>$Q$95/10^3*0.1198</f>
        <v>8.1463999999999994E-4</v>
      </c>
      <c r="M471" s="304"/>
      <c r="N471" s="304"/>
      <c r="O471" s="304"/>
      <c r="P471" s="304"/>
      <c r="Q471" s="304"/>
      <c r="R471" s="304"/>
      <c r="S471" s="304"/>
      <c r="T471" s="304"/>
      <c r="U471" s="304"/>
      <c r="V471" s="304"/>
      <c r="W471" s="304"/>
      <c r="X471" s="304"/>
      <c r="Y471" s="304"/>
      <c r="Z471" s="305"/>
    </row>
    <row r="472" spans="1:26" ht="14.25" x14ac:dyDescent="0.2">
      <c r="A472" s="303"/>
      <c r="B472" s="349"/>
      <c r="C472" s="309"/>
      <c r="D472" s="309" t="s">
        <v>39</v>
      </c>
      <c r="E472" s="341">
        <f t="shared" ref="E472:L472" si="95">$C$471*E471/1000</f>
        <v>0</v>
      </c>
      <c r="F472" s="341">
        <f t="shared" si="95"/>
        <v>0</v>
      </c>
      <c r="G472" s="341">
        <f t="shared" si="95"/>
        <v>0</v>
      </c>
      <c r="H472" s="341">
        <f t="shared" si="95"/>
        <v>0</v>
      </c>
      <c r="I472" s="341">
        <f t="shared" si="95"/>
        <v>0</v>
      </c>
      <c r="J472" s="341">
        <f t="shared" si="95"/>
        <v>0</v>
      </c>
      <c r="K472" s="341">
        <f t="shared" si="95"/>
        <v>0</v>
      </c>
      <c r="L472" s="341">
        <f t="shared" si="95"/>
        <v>0</v>
      </c>
      <c r="M472" s="304"/>
      <c r="N472" s="304"/>
      <c r="O472" s="304"/>
      <c r="P472" s="304"/>
      <c r="Q472" s="304"/>
      <c r="R472" s="304"/>
      <c r="S472" s="304"/>
      <c r="T472" s="304"/>
      <c r="U472" s="304"/>
      <c r="V472" s="304"/>
      <c r="W472" s="304"/>
      <c r="X472" s="304"/>
      <c r="Y472" s="304"/>
      <c r="Z472" s="305"/>
    </row>
    <row r="473" spans="1:26" ht="14.25" x14ac:dyDescent="0.2">
      <c r="A473" s="303"/>
      <c r="B473" s="349" t="s">
        <v>185</v>
      </c>
      <c r="C473" s="350">
        <f>Calc1!C252</f>
        <v>0</v>
      </c>
      <c r="D473" s="310" t="s">
        <v>188</v>
      </c>
      <c r="E473" s="341">
        <v>2.5339999999999998</v>
      </c>
      <c r="F473" s="363">
        <v>8.0000000000000007E-5</v>
      </c>
      <c r="G473" s="363">
        <v>2.3000000000000001E-4</v>
      </c>
      <c r="H473" s="309">
        <f>$P$94/10^3*0.1198</f>
        <v>3.2202239999999998E-3</v>
      </c>
      <c r="I473" s="309">
        <f>$R$94/10^3*0.1198</f>
        <v>1.5334400000000002E-2</v>
      </c>
      <c r="J473" s="309">
        <f>$N$94/10^3*0.1198</f>
        <v>0.4293632</v>
      </c>
      <c r="K473" s="309">
        <f>$O$94/10^3*0.1198</f>
        <v>0.115008</v>
      </c>
      <c r="L473" s="309">
        <f>$Q$94/10^3*0.1198</f>
        <v>4.5524000000000004E-4</v>
      </c>
      <c r="M473" s="304"/>
      <c r="N473" s="304"/>
      <c r="O473" s="304"/>
      <c r="P473" s="304"/>
      <c r="Q473" s="304"/>
      <c r="R473" s="304"/>
      <c r="S473" s="304"/>
      <c r="T473" s="304"/>
      <c r="U473" s="304"/>
      <c r="V473" s="304"/>
      <c r="W473" s="304"/>
      <c r="X473" s="304"/>
      <c r="Y473" s="304"/>
      <c r="Z473" s="305"/>
    </row>
    <row r="474" spans="1:26" ht="14.25" x14ac:dyDescent="0.2">
      <c r="A474" s="303"/>
      <c r="B474" s="349"/>
      <c r="C474" s="309"/>
      <c r="D474" s="309" t="s">
        <v>39</v>
      </c>
      <c r="E474" s="341">
        <f t="shared" ref="E474:L474" si="96">$C$473*E473/1000</f>
        <v>0</v>
      </c>
      <c r="F474" s="341">
        <f t="shared" si="96"/>
        <v>0</v>
      </c>
      <c r="G474" s="341">
        <f t="shared" si="96"/>
        <v>0</v>
      </c>
      <c r="H474" s="341">
        <f t="shared" si="96"/>
        <v>0</v>
      </c>
      <c r="I474" s="341">
        <f t="shared" si="96"/>
        <v>0</v>
      </c>
      <c r="J474" s="341">
        <f t="shared" si="96"/>
        <v>0</v>
      </c>
      <c r="K474" s="341">
        <f t="shared" si="96"/>
        <v>0</v>
      </c>
      <c r="L474" s="341">
        <f t="shared" si="96"/>
        <v>0</v>
      </c>
      <c r="M474" s="304"/>
      <c r="N474" s="304"/>
      <c r="O474" s="304"/>
      <c r="P474" s="304"/>
      <c r="Q474" s="304"/>
      <c r="R474" s="304"/>
      <c r="S474" s="304"/>
      <c r="T474" s="304"/>
      <c r="U474" s="304"/>
      <c r="V474" s="304"/>
      <c r="W474" s="304"/>
      <c r="X474" s="304"/>
      <c r="Y474" s="304"/>
      <c r="Z474" s="305"/>
    </row>
    <row r="475" spans="1:26" ht="14.25" x14ac:dyDescent="0.2">
      <c r="A475" s="303"/>
      <c r="B475" s="349" t="s">
        <v>164</v>
      </c>
      <c r="C475" s="350">
        <f>Calc1!C253</f>
        <v>0</v>
      </c>
      <c r="D475" s="310" t="s">
        <v>216</v>
      </c>
      <c r="E475" s="309">
        <v>950</v>
      </c>
      <c r="F475" s="309">
        <v>0.05</v>
      </c>
      <c r="G475" s="309">
        <v>0.02</v>
      </c>
      <c r="H475" s="370">
        <v>1.72</v>
      </c>
      <c r="I475" s="370">
        <v>4.9800000000000004</v>
      </c>
      <c r="J475" s="370">
        <v>104</v>
      </c>
      <c r="K475" s="370">
        <v>18.8</v>
      </c>
      <c r="L475" s="309"/>
      <c r="M475" s="304"/>
      <c r="N475" s="304"/>
      <c r="O475" s="304"/>
      <c r="P475" s="304"/>
      <c r="Q475" s="304"/>
      <c r="R475" s="304"/>
      <c r="S475" s="304"/>
      <c r="T475" s="304"/>
      <c r="U475" s="304"/>
      <c r="V475" s="304"/>
      <c r="W475" s="304"/>
      <c r="X475" s="304"/>
      <c r="Y475" s="304"/>
      <c r="Z475" s="305"/>
    </row>
    <row r="476" spans="1:26" ht="14.25" x14ac:dyDescent="0.2">
      <c r="A476" s="303"/>
      <c r="B476" s="349"/>
      <c r="C476" s="309"/>
      <c r="D476" s="309" t="s">
        <v>39</v>
      </c>
      <c r="E476" s="363">
        <f t="shared" ref="E476:L476" si="97">$C$475*E475/1000/1000</f>
        <v>0</v>
      </c>
      <c r="F476" s="363">
        <f t="shared" si="97"/>
        <v>0</v>
      </c>
      <c r="G476" s="363">
        <f t="shared" si="97"/>
        <v>0</v>
      </c>
      <c r="H476" s="363">
        <f t="shared" si="97"/>
        <v>0</v>
      </c>
      <c r="I476" s="363">
        <f t="shared" si="97"/>
        <v>0</v>
      </c>
      <c r="J476" s="363">
        <f t="shared" si="97"/>
        <v>0</v>
      </c>
      <c r="K476" s="363">
        <f t="shared" si="97"/>
        <v>0</v>
      </c>
      <c r="L476" s="363">
        <f t="shared" si="97"/>
        <v>0</v>
      </c>
      <c r="M476" s="304"/>
      <c r="N476" s="304"/>
      <c r="O476" s="304"/>
      <c r="P476" s="304"/>
      <c r="Q476" s="304"/>
      <c r="R476" s="304"/>
      <c r="S476" s="304"/>
      <c r="T476" s="304"/>
      <c r="U476" s="304"/>
      <c r="V476" s="304"/>
      <c r="W476" s="304"/>
      <c r="X476" s="304"/>
      <c r="Y476" s="304"/>
      <c r="Z476" s="305"/>
    </row>
    <row r="477" spans="1:26" ht="14.25" x14ac:dyDescent="0.2">
      <c r="A477" s="303"/>
      <c r="B477" s="422"/>
      <c r="C477" s="321"/>
      <c r="D477" s="321"/>
      <c r="E477" s="423"/>
      <c r="F477" s="423"/>
      <c r="G477" s="423"/>
      <c r="H477" s="304"/>
      <c r="I477" s="304"/>
      <c r="J477" s="304"/>
      <c r="K477" s="321"/>
      <c r="L477" s="321"/>
      <c r="M477" s="304"/>
      <c r="N477" s="304"/>
      <c r="O477" s="304"/>
      <c r="P477" s="304"/>
      <c r="Q477" s="304"/>
      <c r="R477" s="304"/>
      <c r="S477" s="304"/>
      <c r="T477" s="304"/>
      <c r="U477" s="304"/>
      <c r="V477" s="304"/>
      <c r="W477" s="304"/>
      <c r="X477" s="304"/>
      <c r="Y477" s="304"/>
      <c r="Z477" s="305"/>
    </row>
    <row r="478" spans="1:26" ht="14.25" x14ac:dyDescent="0.2">
      <c r="A478" s="303"/>
      <c r="B478" s="349"/>
      <c r="C478" s="309"/>
      <c r="D478" s="348" t="s">
        <v>0</v>
      </c>
      <c r="E478" s="351">
        <f>+E466+E468+E470+E472+E474+E476</f>
        <v>0</v>
      </c>
      <c r="F478" s="351">
        <f t="shared" ref="F478:L478" si="98">+F466+F468+F470+F472+F474+F476</f>
        <v>0</v>
      </c>
      <c r="G478" s="351">
        <f t="shared" si="98"/>
        <v>0</v>
      </c>
      <c r="H478" s="351">
        <f t="shared" si="98"/>
        <v>0</v>
      </c>
      <c r="I478" s="351">
        <f t="shared" si="98"/>
        <v>0</v>
      </c>
      <c r="J478" s="351">
        <f t="shared" si="98"/>
        <v>0</v>
      </c>
      <c r="K478" s="351">
        <f t="shared" si="98"/>
        <v>0</v>
      </c>
      <c r="L478" s="351">
        <f t="shared" si="98"/>
        <v>0</v>
      </c>
      <c r="M478" s="304"/>
      <c r="N478" s="304"/>
      <c r="O478" s="304"/>
      <c r="P478" s="304"/>
      <c r="Q478" s="304"/>
      <c r="R478" s="304"/>
      <c r="S478" s="304"/>
      <c r="T478" s="304"/>
      <c r="U478" s="304"/>
      <c r="V478" s="304"/>
      <c r="W478" s="304"/>
      <c r="X478" s="304"/>
      <c r="Y478" s="304"/>
      <c r="Z478" s="305"/>
    </row>
    <row r="479" spans="1:26" x14ac:dyDescent="0.2">
      <c r="A479" s="303"/>
      <c r="B479" s="335" t="s">
        <v>19</v>
      </c>
      <c r="C479" s="304"/>
      <c r="D479" s="304"/>
      <c r="E479" s="304"/>
      <c r="F479" s="304"/>
      <c r="G479" s="304"/>
      <c r="H479" s="304"/>
      <c r="I479" s="304"/>
      <c r="J479" s="304"/>
      <c r="K479" s="321"/>
      <c r="L479" s="321"/>
      <c r="M479" s="304"/>
      <c r="N479" s="304"/>
      <c r="O479" s="304"/>
      <c r="P479" s="304"/>
      <c r="Q479" s="304"/>
      <c r="R479" s="304"/>
      <c r="S479" s="304"/>
      <c r="T479" s="304"/>
      <c r="U479" s="304"/>
      <c r="V479" s="304"/>
      <c r="W479" s="304"/>
      <c r="X479" s="304"/>
      <c r="Y479" s="304"/>
      <c r="Z479" s="305"/>
    </row>
    <row r="480" spans="1:26" x14ac:dyDescent="0.2">
      <c r="A480" s="303"/>
      <c r="B480" s="335" t="s">
        <v>126</v>
      </c>
      <c r="C480" s="304"/>
      <c r="D480" s="304"/>
      <c r="E480" s="304"/>
      <c r="F480" s="304"/>
      <c r="G480" s="304"/>
      <c r="H480" s="304"/>
      <c r="I480" s="304"/>
      <c r="J480" s="304"/>
      <c r="K480" s="304"/>
      <c r="L480" s="304"/>
      <c r="M480" s="304"/>
      <c r="N480" s="304"/>
      <c r="O480" s="304"/>
      <c r="P480" s="304"/>
      <c r="Q480" s="304"/>
      <c r="R480" s="304"/>
      <c r="S480" s="304"/>
      <c r="T480" s="304"/>
      <c r="U480" s="304"/>
      <c r="V480" s="304"/>
      <c r="W480" s="304"/>
      <c r="X480" s="304"/>
      <c r="Y480" s="304"/>
      <c r="Z480" s="305"/>
    </row>
    <row r="481" spans="1:26" x14ac:dyDescent="0.2">
      <c r="A481" s="303"/>
      <c r="B481" s="335" t="s">
        <v>780</v>
      </c>
      <c r="C481" s="304"/>
      <c r="D481" s="304"/>
      <c r="E481" s="304"/>
      <c r="F481" s="304"/>
      <c r="G481" s="304"/>
      <c r="H481" s="304"/>
      <c r="I481" s="304"/>
      <c r="J481" s="304"/>
      <c r="K481" s="304"/>
      <c r="L481" s="304"/>
      <c r="M481" s="304"/>
      <c r="N481" s="304"/>
      <c r="O481" s="304"/>
      <c r="P481" s="304"/>
      <c r="Q481" s="304"/>
      <c r="R481" s="304"/>
      <c r="S481" s="304"/>
      <c r="T481" s="304"/>
      <c r="U481" s="304"/>
      <c r="V481" s="304"/>
      <c r="W481" s="304"/>
      <c r="X481" s="304"/>
      <c r="Y481" s="304"/>
      <c r="Z481" s="305"/>
    </row>
    <row r="482" spans="1:26" x14ac:dyDescent="0.2">
      <c r="A482" s="303"/>
      <c r="B482" s="335" t="s">
        <v>781</v>
      </c>
      <c r="C482" s="304"/>
      <c r="D482" s="304"/>
      <c r="E482" s="304"/>
      <c r="F482" s="304"/>
      <c r="G482" s="304"/>
      <c r="H482" s="304"/>
      <c r="I482" s="304"/>
      <c r="J482" s="304"/>
      <c r="K482" s="304"/>
      <c r="L482" s="304"/>
      <c r="M482" s="304"/>
      <c r="N482" s="304"/>
      <c r="O482" s="304"/>
      <c r="P482" s="304"/>
      <c r="Q482" s="304"/>
      <c r="R482" s="304"/>
      <c r="S482" s="304"/>
      <c r="T482" s="304"/>
      <c r="U482" s="304"/>
      <c r="V482" s="304"/>
      <c r="W482" s="304"/>
      <c r="X482" s="304"/>
      <c r="Y482" s="304"/>
      <c r="Z482" s="305"/>
    </row>
    <row r="483" spans="1:26" x14ac:dyDescent="0.2">
      <c r="A483" s="303"/>
      <c r="B483" s="335" t="s">
        <v>725</v>
      </c>
      <c r="C483" s="304"/>
      <c r="D483" s="304"/>
      <c r="E483" s="304"/>
      <c r="F483" s="304"/>
      <c r="G483" s="304"/>
      <c r="H483" s="304"/>
      <c r="I483" s="304"/>
      <c r="J483" s="304"/>
      <c r="K483" s="304"/>
      <c r="L483" s="304"/>
      <c r="M483" s="304"/>
      <c r="N483" s="304"/>
      <c r="O483" s="304"/>
      <c r="P483" s="304"/>
      <c r="Q483" s="304"/>
      <c r="R483" s="304"/>
      <c r="S483" s="304"/>
      <c r="T483" s="304"/>
      <c r="U483" s="304"/>
      <c r="V483" s="304"/>
      <c r="W483" s="304"/>
      <c r="X483" s="304"/>
      <c r="Y483" s="304"/>
      <c r="Z483" s="305"/>
    </row>
    <row r="484" spans="1:26" x14ac:dyDescent="0.2">
      <c r="A484" s="303"/>
      <c r="B484" s="335" t="s">
        <v>782</v>
      </c>
      <c r="C484" s="304"/>
      <c r="D484" s="304"/>
      <c r="E484" s="304"/>
      <c r="F484" s="304"/>
      <c r="G484" s="304"/>
      <c r="H484" s="304"/>
      <c r="I484" s="304"/>
      <c r="J484" s="304"/>
      <c r="K484" s="304"/>
      <c r="L484" s="304"/>
      <c r="M484" s="304"/>
      <c r="N484" s="304"/>
      <c r="O484" s="304"/>
      <c r="P484" s="304"/>
      <c r="Q484" s="304"/>
      <c r="R484" s="304"/>
      <c r="S484" s="304"/>
      <c r="T484" s="304"/>
      <c r="U484" s="304"/>
      <c r="V484" s="304"/>
      <c r="W484" s="304"/>
      <c r="X484" s="304"/>
      <c r="Y484" s="304"/>
      <c r="Z484" s="305"/>
    </row>
    <row r="485" spans="1:26" x14ac:dyDescent="0.2">
      <c r="A485" s="303"/>
      <c r="B485" s="335"/>
      <c r="C485" s="304"/>
      <c r="D485" s="304"/>
      <c r="E485" s="304"/>
      <c r="F485" s="304"/>
      <c r="G485" s="304"/>
      <c r="H485" s="304"/>
      <c r="I485" s="304"/>
      <c r="J485" s="304"/>
      <c r="K485" s="304"/>
      <c r="L485" s="304"/>
      <c r="M485" s="304"/>
      <c r="N485" s="304"/>
      <c r="O485" s="304"/>
      <c r="P485" s="304"/>
      <c r="Q485" s="304"/>
      <c r="R485" s="304"/>
      <c r="S485" s="304"/>
      <c r="T485" s="304"/>
      <c r="U485" s="304"/>
      <c r="V485" s="304"/>
      <c r="W485" s="304"/>
      <c r="X485" s="304"/>
      <c r="Y485" s="304"/>
      <c r="Z485" s="305"/>
    </row>
    <row r="486" spans="1:26" x14ac:dyDescent="0.2">
      <c r="A486" s="303" t="s">
        <v>641</v>
      </c>
      <c r="B486" s="303" t="s">
        <v>43</v>
      </c>
      <c r="C486" s="304"/>
      <c r="D486" s="304"/>
      <c r="E486" s="304"/>
      <c r="F486" s="304"/>
      <c r="G486" s="304"/>
      <c r="H486" s="304"/>
      <c r="I486" s="304"/>
      <c r="J486" s="304"/>
      <c r="K486" s="304"/>
      <c r="L486" s="304"/>
      <c r="M486" s="304"/>
      <c r="N486" s="304"/>
      <c r="O486" s="304"/>
      <c r="P486" s="304"/>
      <c r="Q486" s="304"/>
      <c r="R486" s="304"/>
      <c r="S486" s="304"/>
      <c r="T486" s="304"/>
      <c r="U486" s="304"/>
      <c r="V486" s="304"/>
      <c r="W486" s="304"/>
      <c r="X486" s="304"/>
      <c r="Y486" s="304"/>
      <c r="Z486" s="305"/>
    </row>
    <row r="487" spans="1:26" x14ac:dyDescent="0.2">
      <c r="A487" s="303"/>
      <c r="B487" s="304"/>
      <c r="C487" s="304"/>
      <c r="D487" s="304"/>
      <c r="E487" s="304"/>
      <c r="F487" s="304"/>
      <c r="G487" s="304"/>
      <c r="H487" s="304"/>
      <c r="I487" s="304"/>
      <c r="J487" s="304"/>
      <c r="K487" s="304"/>
      <c r="L487" s="304"/>
      <c r="M487" s="304"/>
      <c r="N487" s="304"/>
      <c r="O487" s="304"/>
      <c r="P487" s="304"/>
      <c r="Q487" s="304"/>
      <c r="R487" s="304"/>
      <c r="S487" s="304"/>
      <c r="T487" s="304"/>
      <c r="U487" s="304"/>
      <c r="V487" s="304"/>
      <c r="W487" s="304"/>
      <c r="X487" s="304"/>
      <c r="Y487" s="304"/>
      <c r="Z487" s="305"/>
    </row>
    <row r="488" spans="1:26" ht="15.75" x14ac:dyDescent="0.3">
      <c r="A488" s="303"/>
      <c r="B488" s="310" t="s">
        <v>27</v>
      </c>
      <c r="C488" s="310"/>
      <c r="D488" s="310" t="s">
        <v>16</v>
      </c>
      <c r="E488" s="310" t="s">
        <v>17</v>
      </c>
      <c r="F488" s="310" t="s">
        <v>789</v>
      </c>
      <c r="G488" s="309" t="s">
        <v>197</v>
      </c>
      <c r="H488" s="309" t="s">
        <v>180</v>
      </c>
      <c r="I488" s="309" t="s">
        <v>194</v>
      </c>
      <c r="J488" s="309" t="s">
        <v>195</v>
      </c>
      <c r="K488" s="309" t="s">
        <v>196</v>
      </c>
      <c r="L488" s="309"/>
      <c r="M488" s="304"/>
      <c r="N488" s="304"/>
      <c r="O488" s="304"/>
      <c r="P488" s="304"/>
      <c r="Q488" s="304"/>
      <c r="R488" s="304"/>
      <c r="S488" s="304"/>
      <c r="T488" s="304"/>
      <c r="U488" s="304"/>
      <c r="V488" s="304"/>
      <c r="W488" s="304"/>
      <c r="X488" s="304"/>
      <c r="Y488" s="304"/>
      <c r="Z488" s="305"/>
    </row>
    <row r="489" spans="1:26" x14ac:dyDescent="0.2">
      <c r="A489" s="303"/>
      <c r="B489" s="372">
        <f>Calc1!C262</f>
        <v>0</v>
      </c>
      <c r="C489" s="311" t="s">
        <v>29</v>
      </c>
      <c r="D489" s="354">
        <v>2.6629999999999998</v>
      </c>
      <c r="E489" s="355">
        <v>1.3300000000000001E-4</v>
      </c>
      <c r="F489" s="352">
        <v>4.0000000000000002E-4</v>
      </c>
      <c r="G489" s="309">
        <f>1400*42.7*0.83/1000/1000</f>
        <v>4.9617400000000006E-2</v>
      </c>
      <c r="H489" s="309">
        <f>70*42.7*0.83/1000/1000</f>
        <v>2.48087E-3</v>
      </c>
      <c r="I489" s="309">
        <f>210*42.7*0.83/1000/1000</f>
        <v>7.4426099999999997E-3</v>
      </c>
      <c r="J489" s="309">
        <f>30*42.7*0.83/1000/1000</f>
        <v>1.0632300000000001E-3</v>
      </c>
      <c r="K489" s="309">
        <f>65*42.7*0.83/1000/1000</f>
        <v>2.3036649999999999E-3</v>
      </c>
      <c r="L489" s="309"/>
      <c r="M489" s="304"/>
      <c r="N489" s="304"/>
      <c r="O489" s="304"/>
      <c r="P489" s="304"/>
      <c r="Q489" s="304"/>
      <c r="R489" s="304"/>
      <c r="S489" s="304"/>
      <c r="T489" s="304"/>
      <c r="U489" s="304"/>
      <c r="V489" s="304"/>
      <c r="W489" s="304"/>
      <c r="X489" s="304"/>
      <c r="Y489" s="304"/>
      <c r="Z489" s="305"/>
    </row>
    <row r="490" spans="1:26" x14ac:dyDescent="0.2">
      <c r="A490" s="303"/>
      <c r="B490" s="311"/>
      <c r="C490" s="311" t="s">
        <v>215</v>
      </c>
      <c r="D490" s="329">
        <f>$B489*D489/1000</f>
        <v>0</v>
      </c>
      <c r="E490" s="329">
        <f>$B489*E489/1000</f>
        <v>0</v>
      </c>
      <c r="F490" s="329">
        <f>$B489*F489/1000</f>
        <v>0</v>
      </c>
      <c r="G490" s="329">
        <f t="shared" ref="G490:K490" si="99">$B489*G489/1000</f>
        <v>0</v>
      </c>
      <c r="H490" s="329">
        <f t="shared" si="99"/>
        <v>0</v>
      </c>
      <c r="I490" s="329">
        <f t="shared" si="99"/>
        <v>0</v>
      </c>
      <c r="J490" s="329">
        <f t="shared" si="99"/>
        <v>0</v>
      </c>
      <c r="K490" s="329">
        <f t="shared" si="99"/>
        <v>0</v>
      </c>
      <c r="L490" s="329"/>
      <c r="M490" s="304"/>
      <c r="N490" s="304"/>
      <c r="O490" s="304"/>
      <c r="P490" s="304"/>
      <c r="Q490" s="304"/>
      <c r="R490" s="304"/>
      <c r="S490" s="304"/>
      <c r="T490" s="304"/>
      <c r="U490" s="304"/>
      <c r="V490" s="304"/>
      <c r="W490" s="304"/>
      <c r="X490" s="304"/>
      <c r="Y490" s="304"/>
      <c r="Z490" s="305"/>
    </row>
    <row r="491" spans="1:26" x14ac:dyDescent="0.2">
      <c r="A491" s="303"/>
      <c r="B491" s="311"/>
      <c r="C491" s="311"/>
      <c r="D491" s="310"/>
      <c r="E491" s="310"/>
      <c r="F491" s="310"/>
      <c r="G491" s="304"/>
      <c r="H491" s="304"/>
      <c r="I491" s="304"/>
      <c r="J491" s="304"/>
      <c r="K491" s="304"/>
      <c r="L491" s="304"/>
      <c r="M491" s="304"/>
      <c r="N491" s="304"/>
      <c r="O491" s="304"/>
      <c r="P491" s="304"/>
      <c r="Q491" s="304"/>
      <c r="R491" s="304"/>
      <c r="S491" s="304"/>
      <c r="T491" s="304"/>
      <c r="U491" s="304"/>
      <c r="V491" s="304"/>
      <c r="W491" s="304"/>
      <c r="X491" s="304"/>
      <c r="Y491" s="304"/>
      <c r="Z491" s="305"/>
    </row>
    <row r="492" spans="1:26" x14ac:dyDescent="0.2">
      <c r="A492" s="303"/>
      <c r="B492" s="372">
        <f>Calc1!D262</f>
        <v>0</v>
      </c>
      <c r="C492" s="311" t="s">
        <v>125</v>
      </c>
      <c r="D492" s="354">
        <v>2.5339999999999998</v>
      </c>
      <c r="E492" s="355">
        <v>8.0000000000000007E-5</v>
      </c>
      <c r="F492" s="352">
        <v>2.3000000000000001E-4</v>
      </c>
      <c r="G492" s="309">
        <f>469/10^3*0.1198</f>
        <v>5.6186199999999999E-2</v>
      </c>
      <c r="H492" s="309">
        <f>32.1/10^3*0.1198</f>
        <v>3.8455800000000004E-3</v>
      </c>
      <c r="I492" s="309">
        <f>102/10^3*0.1198</f>
        <v>1.2219599999999999E-2</v>
      </c>
      <c r="J492" s="309">
        <f>33.5/10^3*0.1198</f>
        <v>4.0133E-3</v>
      </c>
      <c r="K492" s="309">
        <f>128/10^3*0.1198</f>
        <v>1.5334400000000002E-2</v>
      </c>
      <c r="L492" s="309"/>
      <c r="M492" s="304"/>
      <c r="N492" s="304"/>
      <c r="O492" s="304"/>
      <c r="P492" s="304"/>
      <c r="Q492" s="304"/>
      <c r="R492" s="304"/>
      <c r="S492" s="304"/>
      <c r="T492" s="304"/>
      <c r="U492" s="304"/>
      <c r="V492" s="304"/>
      <c r="W492" s="304"/>
      <c r="X492" s="304"/>
      <c r="Y492" s="304"/>
      <c r="Z492" s="305"/>
    </row>
    <row r="493" spans="1:26" x14ac:dyDescent="0.2">
      <c r="A493" s="303"/>
      <c r="B493" s="311"/>
      <c r="C493" s="311" t="s">
        <v>46</v>
      </c>
      <c r="D493" s="310">
        <f>$B492*D492/1000</f>
        <v>0</v>
      </c>
      <c r="E493" s="310">
        <f>$B492*E492/1000</f>
        <v>0</v>
      </c>
      <c r="F493" s="329">
        <f>$B492*F492/1000</f>
        <v>0</v>
      </c>
      <c r="G493" s="329">
        <f t="shared" ref="G493:L493" si="100">$B492*G492/1000</f>
        <v>0</v>
      </c>
      <c r="H493" s="329">
        <f t="shared" si="100"/>
        <v>0</v>
      </c>
      <c r="I493" s="329">
        <f t="shared" si="100"/>
        <v>0</v>
      </c>
      <c r="J493" s="329">
        <f t="shared" si="100"/>
        <v>0</v>
      </c>
      <c r="K493" s="329">
        <f t="shared" si="100"/>
        <v>0</v>
      </c>
      <c r="L493" s="329">
        <f t="shared" si="100"/>
        <v>0</v>
      </c>
      <c r="M493" s="304"/>
      <c r="N493" s="304"/>
      <c r="O493" s="304"/>
      <c r="P493" s="304"/>
      <c r="Q493" s="304"/>
      <c r="R493" s="304"/>
      <c r="S493" s="304"/>
      <c r="T493" s="304"/>
      <c r="U493" s="304"/>
      <c r="V493" s="304"/>
      <c r="W493" s="304"/>
      <c r="X493" s="304"/>
      <c r="Y493" s="304"/>
      <c r="Z493" s="305"/>
    </row>
    <row r="494" spans="1:26" x14ac:dyDescent="0.2">
      <c r="A494" s="303"/>
      <c r="B494" s="311"/>
      <c r="C494" s="311"/>
      <c r="D494" s="310"/>
      <c r="E494" s="310"/>
      <c r="F494" s="310"/>
      <c r="G494" s="304"/>
      <c r="H494" s="304"/>
      <c r="I494" s="304"/>
      <c r="J494" s="304"/>
      <c r="K494" s="304"/>
      <c r="L494" s="304"/>
      <c r="M494" s="304"/>
      <c r="N494" s="304"/>
      <c r="O494" s="304"/>
      <c r="P494" s="304"/>
      <c r="Q494" s="304"/>
      <c r="R494" s="304"/>
      <c r="S494" s="304"/>
      <c r="T494" s="304"/>
      <c r="U494" s="304"/>
      <c r="V494" s="304"/>
      <c r="W494" s="304"/>
      <c r="X494" s="304"/>
      <c r="Y494" s="304"/>
      <c r="Z494" s="305"/>
    </row>
    <row r="495" spans="1:26" x14ac:dyDescent="0.2">
      <c r="A495" s="303"/>
      <c r="B495" s="310"/>
      <c r="C495" s="424" t="s">
        <v>0</v>
      </c>
      <c r="D495" s="354">
        <f>D490+D493</f>
        <v>0</v>
      </c>
      <c r="E495" s="354">
        <f t="shared" ref="E495:K495" si="101">E490+E493</f>
        <v>0</v>
      </c>
      <c r="F495" s="354">
        <f t="shared" si="101"/>
        <v>0</v>
      </c>
      <c r="G495" s="354">
        <f t="shared" si="101"/>
        <v>0</v>
      </c>
      <c r="H495" s="354">
        <f t="shared" si="101"/>
        <v>0</v>
      </c>
      <c r="I495" s="354">
        <f t="shared" si="101"/>
        <v>0</v>
      </c>
      <c r="J495" s="354">
        <f t="shared" si="101"/>
        <v>0</v>
      </c>
      <c r="K495" s="354">
        <f t="shared" si="101"/>
        <v>0</v>
      </c>
      <c r="L495" s="304"/>
      <c r="M495" s="304"/>
      <c r="N495" s="304"/>
      <c r="O495" s="304"/>
      <c r="P495" s="304"/>
      <c r="Q495" s="304"/>
      <c r="R495" s="304"/>
      <c r="S495" s="304"/>
      <c r="T495" s="304"/>
      <c r="U495" s="304"/>
      <c r="V495" s="304"/>
      <c r="W495" s="304"/>
      <c r="X495" s="304"/>
      <c r="Y495" s="304"/>
      <c r="Z495" s="305"/>
    </row>
    <row r="496" spans="1:26" x14ac:dyDescent="0.2">
      <c r="A496" s="303"/>
      <c r="B496" s="335"/>
      <c r="C496" s="304"/>
      <c r="D496" s="304"/>
      <c r="E496" s="304"/>
      <c r="F496" s="304"/>
      <c r="G496" s="304"/>
      <c r="H496" s="304"/>
      <c r="I496" s="304"/>
      <c r="J496" s="304"/>
      <c r="K496" s="304"/>
      <c r="L496" s="304"/>
      <c r="M496" s="304"/>
      <c r="N496" s="304"/>
      <c r="O496" s="304"/>
      <c r="P496" s="304"/>
      <c r="Q496" s="304"/>
      <c r="R496" s="304"/>
      <c r="S496" s="304"/>
      <c r="T496" s="304"/>
      <c r="U496" s="304"/>
      <c r="V496" s="304"/>
      <c r="W496" s="304"/>
      <c r="X496" s="304"/>
      <c r="Y496" s="304"/>
      <c r="Z496" s="305"/>
    </row>
    <row r="497" spans="1:26" x14ac:dyDescent="0.2">
      <c r="A497" s="303"/>
      <c r="B497" s="336" t="s">
        <v>783</v>
      </c>
      <c r="C497" s="304"/>
      <c r="D497" s="304"/>
      <c r="E497" s="304"/>
      <c r="F497" s="304"/>
      <c r="G497" s="304"/>
      <c r="H497" s="304"/>
      <c r="I497" s="304"/>
      <c r="J497" s="304"/>
      <c r="K497" s="304"/>
      <c r="L497" s="304"/>
      <c r="M497" s="304"/>
      <c r="N497" s="304"/>
      <c r="O497" s="304"/>
      <c r="P497" s="304"/>
      <c r="Q497" s="304"/>
      <c r="R497" s="304"/>
      <c r="S497" s="304"/>
      <c r="T497" s="304"/>
      <c r="U497" s="304"/>
      <c r="V497" s="304"/>
      <c r="W497" s="304"/>
      <c r="X497" s="304"/>
      <c r="Y497" s="304"/>
      <c r="Z497" s="305"/>
    </row>
    <row r="498" spans="1:26" x14ac:dyDescent="0.2">
      <c r="A498" s="303"/>
      <c r="B498" s="335"/>
      <c r="C498" s="304"/>
      <c r="D498" s="304"/>
      <c r="E498" s="304"/>
      <c r="F498" s="304"/>
      <c r="G498" s="304"/>
      <c r="H498" s="304"/>
      <c r="I498" s="304"/>
      <c r="J498" s="304"/>
      <c r="K498" s="304"/>
      <c r="L498" s="304"/>
      <c r="M498" s="304"/>
      <c r="N498" s="304"/>
      <c r="O498" s="304"/>
      <c r="P498" s="304"/>
      <c r="Q498" s="304"/>
      <c r="R498" s="304"/>
      <c r="S498" s="304"/>
      <c r="T498" s="304"/>
      <c r="U498" s="304"/>
      <c r="V498" s="304"/>
      <c r="W498" s="304"/>
      <c r="X498" s="304"/>
      <c r="Y498" s="304"/>
      <c r="Z498" s="305"/>
    </row>
    <row r="499" spans="1:26" x14ac:dyDescent="0.2">
      <c r="A499" s="303"/>
      <c r="B499" s="335"/>
      <c r="C499" s="304"/>
      <c r="D499" s="304"/>
      <c r="E499" s="304"/>
      <c r="F499" s="304"/>
      <c r="G499" s="304"/>
      <c r="H499" s="304"/>
      <c r="I499" s="304"/>
      <c r="J499" s="304"/>
      <c r="K499" s="304"/>
      <c r="L499" s="304"/>
      <c r="M499" s="304"/>
      <c r="N499" s="304"/>
      <c r="O499" s="304"/>
      <c r="P499" s="304"/>
      <c r="Q499" s="304"/>
      <c r="R499" s="304"/>
      <c r="S499" s="304"/>
      <c r="T499" s="304"/>
      <c r="U499" s="304"/>
      <c r="V499" s="304"/>
      <c r="W499" s="304"/>
      <c r="X499" s="304"/>
      <c r="Y499" s="304"/>
      <c r="Z499" s="305"/>
    </row>
    <row r="500" spans="1:26" x14ac:dyDescent="0.2">
      <c r="A500" s="303" t="s">
        <v>787</v>
      </c>
      <c r="B500" s="303" t="s">
        <v>45</v>
      </c>
      <c r="C500" s="304"/>
      <c r="D500" s="304"/>
      <c r="E500" s="304"/>
      <c r="F500" s="304"/>
      <c r="G500" s="304"/>
      <c r="H500" s="304"/>
      <c r="I500" s="304"/>
      <c r="J500" s="304"/>
      <c r="K500" s="304"/>
      <c r="L500" s="304"/>
      <c r="M500" s="304"/>
      <c r="N500" s="304"/>
      <c r="O500" s="304"/>
      <c r="P500" s="304"/>
      <c r="Q500" s="304"/>
      <c r="R500" s="304"/>
      <c r="S500" s="304"/>
      <c r="T500" s="304"/>
      <c r="U500" s="304"/>
      <c r="V500" s="304"/>
      <c r="W500" s="304"/>
      <c r="X500" s="304"/>
      <c r="Y500" s="304"/>
      <c r="Z500" s="305"/>
    </row>
    <row r="501" spans="1:26" x14ac:dyDescent="0.2">
      <c r="A501" s="303"/>
      <c r="B501" s="304"/>
      <c r="C501" s="304"/>
      <c r="D501" s="304"/>
      <c r="E501" s="304"/>
      <c r="F501" s="304"/>
      <c r="G501" s="304"/>
      <c r="H501" s="304"/>
      <c r="I501" s="304"/>
      <c r="J501" s="304"/>
      <c r="K501" s="304"/>
      <c r="L501" s="304"/>
      <c r="M501" s="304"/>
      <c r="N501" s="304"/>
      <c r="O501" s="304"/>
      <c r="P501" s="304"/>
      <c r="Q501" s="304"/>
      <c r="R501" s="304"/>
      <c r="S501" s="304"/>
      <c r="T501" s="304"/>
      <c r="U501" s="304"/>
      <c r="V501" s="304"/>
      <c r="W501" s="304"/>
      <c r="X501" s="304"/>
      <c r="Y501" s="304"/>
      <c r="Z501" s="305"/>
    </row>
    <row r="502" spans="1:26" x14ac:dyDescent="0.2">
      <c r="A502" s="303"/>
      <c r="B502" s="425" t="s">
        <v>1407</v>
      </c>
      <c r="C502" s="350">
        <f>Calc1!C268</f>
        <v>0</v>
      </c>
      <c r="D502" s="310" t="s">
        <v>759</v>
      </c>
      <c r="E502" s="350">
        <f>Calc1!D268</f>
        <v>393.91</v>
      </c>
      <c r="F502" s="304"/>
      <c r="G502" s="304"/>
      <c r="H502" s="304"/>
      <c r="I502" s="304"/>
      <c r="J502" s="304"/>
      <c r="K502" s="304"/>
      <c r="L502" s="304"/>
      <c r="M502" s="304"/>
      <c r="N502" s="304"/>
      <c r="O502" s="304"/>
      <c r="P502" s="304"/>
      <c r="Q502" s="304"/>
      <c r="R502" s="304"/>
      <c r="S502" s="304"/>
      <c r="T502" s="304"/>
      <c r="U502" s="304"/>
      <c r="V502" s="304"/>
      <c r="W502" s="304"/>
      <c r="X502" s="304"/>
      <c r="Y502" s="304"/>
      <c r="Z502" s="305"/>
    </row>
    <row r="503" spans="1:26" x14ac:dyDescent="0.2">
      <c r="A503" s="303"/>
      <c r="B503" s="425" t="s">
        <v>1408</v>
      </c>
      <c r="C503" s="350">
        <f>Calc1!C269</f>
        <v>0</v>
      </c>
      <c r="D503" s="426" t="s">
        <v>759</v>
      </c>
      <c r="E503" s="350">
        <f>Calc1!D269</f>
        <v>500</v>
      </c>
      <c r="F503" s="304"/>
      <c r="G503" s="304"/>
      <c r="H503" s="304"/>
      <c r="I503" s="304"/>
      <c r="J503" s="304"/>
      <c r="K503" s="304"/>
      <c r="L503" s="304"/>
      <c r="M503" s="304"/>
      <c r="N503" s="304"/>
      <c r="O503" s="304"/>
      <c r="P503" s="304"/>
      <c r="Q503" s="304"/>
      <c r="R503" s="304"/>
      <c r="S503" s="304"/>
      <c r="T503" s="304"/>
      <c r="U503" s="304"/>
      <c r="V503" s="304"/>
      <c r="W503" s="304"/>
      <c r="X503" s="304"/>
      <c r="Y503" s="304"/>
      <c r="Z503" s="305"/>
    </row>
    <row r="504" spans="1:26" x14ac:dyDescent="0.2">
      <c r="A504" s="303"/>
      <c r="B504" s="311" t="s">
        <v>749</v>
      </c>
      <c r="C504" s="350">
        <f>Calc1!C267</f>
        <v>1</v>
      </c>
      <c r="D504" s="310" t="s">
        <v>760</v>
      </c>
      <c r="E504" s="350">
        <f>Calc1!D267</f>
        <v>1.45</v>
      </c>
      <c r="F504" s="304"/>
      <c r="G504" s="304"/>
      <c r="H504" s="304"/>
      <c r="I504" s="304"/>
      <c r="J504" s="304"/>
      <c r="K504" s="304"/>
      <c r="L504" s="304"/>
      <c r="M504" s="304"/>
      <c r="N504" s="304"/>
      <c r="O504" s="304"/>
      <c r="P504" s="304"/>
      <c r="Q504" s="304"/>
      <c r="R504" s="304"/>
      <c r="S504" s="304"/>
      <c r="T504" s="304"/>
      <c r="U504" s="304"/>
      <c r="V504" s="304"/>
      <c r="W504" s="304"/>
      <c r="X504" s="304"/>
      <c r="Y504" s="304"/>
      <c r="Z504" s="305"/>
    </row>
    <row r="505" spans="1:26" ht="15.75" x14ac:dyDescent="0.3">
      <c r="A505" s="303"/>
      <c r="B505" s="310"/>
      <c r="C505" s="310" t="s">
        <v>16</v>
      </c>
      <c r="D505" s="310" t="s">
        <v>17</v>
      </c>
      <c r="E505" s="310" t="s">
        <v>789</v>
      </c>
      <c r="F505" s="304" t="s">
        <v>197</v>
      </c>
      <c r="G505" s="304" t="s">
        <v>180</v>
      </c>
      <c r="H505" s="304" t="s">
        <v>194</v>
      </c>
      <c r="I505" s="304" t="s">
        <v>195</v>
      </c>
      <c r="J505" s="304" t="s">
        <v>196</v>
      </c>
      <c r="K505" s="304"/>
      <c r="L505" s="304"/>
      <c r="M505" s="304"/>
      <c r="N505" s="304"/>
      <c r="O505" s="304"/>
      <c r="P505" s="304"/>
      <c r="Q505" s="304"/>
      <c r="R505" s="304"/>
      <c r="S505" s="304"/>
      <c r="T505" s="304"/>
      <c r="U505" s="304"/>
      <c r="V505" s="304"/>
      <c r="W505" s="304"/>
      <c r="X505" s="304"/>
      <c r="Y505" s="304"/>
      <c r="Z505" s="305"/>
    </row>
    <row r="506" spans="1:26" x14ac:dyDescent="0.2">
      <c r="A506" s="303"/>
      <c r="B506" s="311" t="s">
        <v>757</v>
      </c>
      <c r="C506" s="310">
        <v>1236.06</v>
      </c>
      <c r="D506" s="427">
        <v>9.8999999999999994E-5</v>
      </c>
      <c r="E506" s="427">
        <v>2.8499999999999999E-4</v>
      </c>
      <c r="F506" s="331">
        <v>4.3</v>
      </c>
      <c r="G506" s="310">
        <v>1.0202399999999998</v>
      </c>
      <c r="H506" s="331">
        <v>7</v>
      </c>
      <c r="I506" s="310">
        <v>3.7187967140642771E-2</v>
      </c>
      <c r="J506" s="310">
        <v>0.19619999999999999</v>
      </c>
      <c r="K506" s="304"/>
      <c r="L506" s="304"/>
      <c r="M506" s="304"/>
      <c r="N506" s="304"/>
      <c r="O506" s="304"/>
      <c r="P506" s="304"/>
      <c r="Q506" s="304"/>
      <c r="R506" s="304"/>
      <c r="S506" s="304"/>
      <c r="T506" s="304"/>
      <c r="U506" s="304"/>
      <c r="V506" s="304"/>
      <c r="W506" s="304"/>
      <c r="X506" s="304"/>
      <c r="Y506" s="304"/>
      <c r="Z506" s="305"/>
    </row>
    <row r="507" spans="1:26" x14ac:dyDescent="0.2">
      <c r="A507" s="303"/>
      <c r="B507" s="311" t="s">
        <v>757</v>
      </c>
      <c r="C507" s="310">
        <v>1575</v>
      </c>
      <c r="D507" s="427">
        <v>9.8999999999999994E-5</v>
      </c>
      <c r="E507" s="427">
        <v>2.8499999999999999E-4</v>
      </c>
      <c r="F507" s="331">
        <v>6.8</v>
      </c>
      <c r="G507" s="310">
        <v>0.73584000000000005</v>
      </c>
      <c r="H507" s="310">
        <v>9.04176</v>
      </c>
      <c r="I507" s="310">
        <v>3.8468934413227504E-2</v>
      </c>
      <c r="J507" s="310">
        <v>0.25</v>
      </c>
      <c r="K507" s="304"/>
      <c r="L507" s="304"/>
      <c r="M507" s="304"/>
      <c r="N507" s="304"/>
      <c r="O507" s="304"/>
      <c r="P507" s="304"/>
      <c r="Q507" s="304"/>
      <c r="R507" s="304"/>
      <c r="S507" s="304"/>
      <c r="T507" s="304"/>
      <c r="U507" s="304"/>
      <c r="V507" s="304"/>
      <c r="W507" s="304"/>
      <c r="X507" s="304"/>
      <c r="Y507" s="304"/>
      <c r="Z507" s="305"/>
    </row>
    <row r="508" spans="1:26" x14ac:dyDescent="0.2">
      <c r="A508" s="303"/>
      <c r="B508" s="311" t="s">
        <v>758</v>
      </c>
      <c r="C508" s="310">
        <v>4.71</v>
      </c>
      <c r="D508" s="427">
        <v>3.0599999999999998E-3</v>
      </c>
      <c r="E508" s="427">
        <v>2.8499999999999999E-4</v>
      </c>
      <c r="F508" s="310">
        <v>1.5E-3</v>
      </c>
      <c r="G508" s="310">
        <v>6.8400000000000002E-2</v>
      </c>
      <c r="H508" s="310">
        <v>1.5</v>
      </c>
      <c r="I508" s="310">
        <v>7.4999999999999993E-5</v>
      </c>
      <c r="J508" s="310">
        <v>7.5000000000000002E-4</v>
      </c>
      <c r="K508" s="304"/>
      <c r="L508" s="304"/>
      <c r="M508" s="304"/>
      <c r="N508" s="304"/>
      <c r="O508" s="304"/>
      <c r="P508" s="304"/>
      <c r="Q508" s="304"/>
      <c r="R508" s="304"/>
      <c r="S508" s="304"/>
      <c r="T508" s="304"/>
      <c r="U508" s="304"/>
      <c r="V508" s="304"/>
      <c r="W508" s="304"/>
      <c r="X508" s="304"/>
      <c r="Y508" s="304"/>
      <c r="Z508" s="305"/>
    </row>
    <row r="509" spans="1:26" x14ac:dyDescent="0.2">
      <c r="A509" s="303"/>
      <c r="B509" s="311"/>
      <c r="C509" s="310"/>
      <c r="D509" s="310"/>
      <c r="E509" s="310"/>
      <c r="F509" s="304" t="s">
        <v>72</v>
      </c>
      <c r="G509" s="304" t="s">
        <v>73</v>
      </c>
      <c r="H509" s="304"/>
      <c r="I509" s="304"/>
      <c r="J509" s="304"/>
      <c r="K509" s="304"/>
      <c r="L509" s="304"/>
      <c r="M509" s="304"/>
      <c r="N509" s="304"/>
      <c r="O509" s="304"/>
      <c r="P509" s="304"/>
      <c r="Q509" s="304"/>
      <c r="R509" s="304"/>
      <c r="S509" s="304"/>
      <c r="T509" s="304"/>
      <c r="U509" s="304"/>
      <c r="V509" s="304"/>
      <c r="W509" s="304"/>
      <c r="X509" s="304"/>
      <c r="Y509" s="304"/>
      <c r="Z509" s="305"/>
    </row>
    <row r="510" spans="1:26" x14ac:dyDescent="0.2">
      <c r="A510" s="303"/>
      <c r="B510" s="311" t="s">
        <v>46</v>
      </c>
      <c r="C510" s="310">
        <f>$C502*C506/1000+$C503*C507/1000</f>
        <v>0</v>
      </c>
      <c r="D510" s="354">
        <f>$C502*E502*D506/1000+$C503*E503*D507/1000</f>
        <v>0</v>
      </c>
      <c r="E510" s="354">
        <f>$C502*E502*E506/1000+$C503*E503*E507/1000</f>
        <v>0</v>
      </c>
      <c r="F510" s="354">
        <f>$C502*F506/1000+$C503*F507/1000</f>
        <v>0</v>
      </c>
      <c r="G510" s="354">
        <f t="shared" ref="G510:J510" si="102">$C502*G506/1000+$C503*G507/1000</f>
        <v>0</v>
      </c>
      <c r="H510" s="354">
        <f t="shared" si="102"/>
        <v>0</v>
      </c>
      <c r="I510" s="354">
        <f t="shared" si="102"/>
        <v>0</v>
      </c>
      <c r="J510" s="354">
        <f t="shared" si="102"/>
        <v>0</v>
      </c>
      <c r="K510" s="304"/>
      <c r="L510" s="304"/>
      <c r="M510" s="304"/>
      <c r="N510" s="304"/>
      <c r="O510" s="304"/>
      <c r="P510" s="304"/>
      <c r="Q510" s="304"/>
      <c r="R510" s="304"/>
      <c r="S510" s="304"/>
      <c r="T510" s="304"/>
      <c r="U510" s="304"/>
      <c r="V510" s="304"/>
      <c r="W510" s="304"/>
      <c r="X510" s="304"/>
      <c r="Y510" s="304"/>
      <c r="Z510" s="305"/>
    </row>
    <row r="511" spans="1:26" x14ac:dyDescent="0.2">
      <c r="A511" s="303"/>
      <c r="B511" s="311" t="s">
        <v>47</v>
      </c>
      <c r="C511" s="310">
        <f>C504*C508/1000</f>
        <v>4.7099999999999998E-3</v>
      </c>
      <c r="D511" s="354">
        <f>$C504*E504*D508/1000</f>
        <v>4.437E-6</v>
      </c>
      <c r="E511" s="354">
        <f>$C504*E504*E508/1000</f>
        <v>4.1324999999999997E-7</v>
      </c>
      <c r="F511" s="354">
        <f t="shared" ref="F511:J511" si="103">$C504*F508/1000</f>
        <v>1.5E-6</v>
      </c>
      <c r="G511" s="354">
        <f t="shared" si="103"/>
        <v>6.8400000000000009E-5</v>
      </c>
      <c r="H511" s="354">
        <f t="shared" si="103"/>
        <v>1.5E-3</v>
      </c>
      <c r="I511" s="354">
        <f t="shared" si="103"/>
        <v>7.4999999999999997E-8</v>
      </c>
      <c r="J511" s="354">
        <f t="shared" si="103"/>
        <v>7.5000000000000002E-7</v>
      </c>
      <c r="K511" s="304"/>
      <c r="L511" s="304"/>
      <c r="M511" s="304"/>
      <c r="N511" s="304"/>
      <c r="O511" s="304"/>
      <c r="P511" s="304"/>
      <c r="Q511" s="304"/>
      <c r="R511" s="304"/>
      <c r="S511" s="304"/>
      <c r="T511" s="304"/>
      <c r="U511" s="304"/>
      <c r="V511" s="304"/>
      <c r="W511" s="304"/>
      <c r="X511" s="304"/>
      <c r="Y511" s="304"/>
      <c r="Z511" s="305"/>
    </row>
    <row r="512" spans="1:26" x14ac:dyDescent="0.2">
      <c r="A512" s="303"/>
      <c r="B512" s="310"/>
      <c r="C512" s="310"/>
      <c r="D512" s="310"/>
      <c r="E512" s="310"/>
      <c r="F512" s="304"/>
      <c r="G512" s="304"/>
      <c r="H512" s="304"/>
      <c r="I512" s="304"/>
      <c r="J512" s="304"/>
      <c r="K512" s="304"/>
      <c r="L512" s="304"/>
      <c r="M512" s="304"/>
      <c r="N512" s="304"/>
      <c r="O512" s="304"/>
      <c r="P512" s="304"/>
      <c r="Q512" s="304"/>
      <c r="R512" s="304"/>
      <c r="S512" s="304"/>
      <c r="T512" s="304"/>
      <c r="U512" s="304"/>
      <c r="V512" s="304"/>
      <c r="W512" s="304"/>
      <c r="X512" s="304"/>
      <c r="Y512" s="304"/>
      <c r="Z512" s="305"/>
    </row>
    <row r="513" spans="1:26" x14ac:dyDescent="0.2">
      <c r="A513" s="303"/>
      <c r="B513" s="424" t="s">
        <v>0</v>
      </c>
      <c r="C513" s="310">
        <f>SUM(C510:C511)</f>
        <v>4.7099999999999998E-3</v>
      </c>
      <c r="D513" s="310">
        <f>SUM(D510:D511)</f>
        <v>4.437E-6</v>
      </c>
      <c r="E513" s="310">
        <f>SUM(E510:E511)</f>
        <v>4.1324999999999997E-7</v>
      </c>
      <c r="F513" s="310">
        <f t="shared" ref="F513:J513" si="104">SUM(F510:F511)</f>
        <v>1.5E-6</v>
      </c>
      <c r="G513" s="310">
        <f t="shared" si="104"/>
        <v>6.8400000000000009E-5</v>
      </c>
      <c r="H513" s="310">
        <f t="shared" si="104"/>
        <v>1.5E-3</v>
      </c>
      <c r="I513" s="310">
        <f t="shared" si="104"/>
        <v>7.4999999999999997E-8</v>
      </c>
      <c r="J513" s="310">
        <f t="shared" si="104"/>
        <v>7.5000000000000002E-7</v>
      </c>
      <c r="K513" s="304"/>
      <c r="L513" s="304"/>
      <c r="M513" s="304"/>
      <c r="N513" s="304"/>
      <c r="O513" s="304"/>
      <c r="P513" s="304"/>
      <c r="Q513" s="304"/>
      <c r="R513" s="304"/>
      <c r="S513" s="304"/>
      <c r="T513" s="304"/>
      <c r="U513" s="304"/>
      <c r="V513" s="304"/>
      <c r="W513" s="304"/>
      <c r="X513" s="304"/>
      <c r="Y513" s="304"/>
      <c r="Z513" s="305"/>
    </row>
    <row r="514" spans="1:26" x14ac:dyDescent="0.2">
      <c r="A514" s="303"/>
      <c r="B514" s="304"/>
      <c r="C514" s="304"/>
      <c r="D514" s="304"/>
      <c r="E514" s="304"/>
      <c r="F514" s="304"/>
      <c r="G514" s="304"/>
      <c r="H514" s="304"/>
      <c r="I514" s="304"/>
      <c r="J514" s="304"/>
      <c r="K514" s="304"/>
      <c r="L514" s="304"/>
      <c r="M514" s="304"/>
      <c r="N514" s="304"/>
      <c r="O514" s="304"/>
      <c r="P514" s="304"/>
      <c r="Q514" s="304"/>
      <c r="R514" s="304"/>
      <c r="S514" s="304"/>
      <c r="T514" s="304"/>
      <c r="U514" s="304"/>
      <c r="V514" s="304"/>
      <c r="W514" s="304"/>
      <c r="X514" s="304"/>
      <c r="Y514" s="304"/>
      <c r="Z514" s="305"/>
    </row>
    <row r="515" spans="1:26" x14ac:dyDescent="0.2">
      <c r="A515" s="303"/>
      <c r="B515" s="304" t="s">
        <v>775</v>
      </c>
      <c r="C515" s="304" t="s">
        <v>184</v>
      </c>
      <c r="D515" s="304" t="s">
        <v>770</v>
      </c>
      <c r="E515" s="304"/>
      <c r="F515" s="304" t="s">
        <v>774</v>
      </c>
      <c r="G515" s="304" t="s">
        <v>771</v>
      </c>
      <c r="H515" s="304"/>
      <c r="I515" s="304"/>
      <c r="J515" s="304"/>
      <c r="K515" s="304"/>
      <c r="L515" s="304"/>
      <c r="M515" s="304"/>
      <c r="N515" s="304"/>
      <c r="O515" s="304"/>
      <c r="P515" s="304"/>
      <c r="Q515" s="304"/>
      <c r="R515" s="304"/>
      <c r="S515" s="304"/>
      <c r="T515" s="304"/>
      <c r="U515" s="304"/>
      <c r="V515" s="304"/>
      <c r="W515" s="304"/>
      <c r="X515" s="304"/>
      <c r="Y515" s="304"/>
      <c r="Z515" s="305"/>
    </row>
    <row r="516" spans="1:26" x14ac:dyDescent="0.2">
      <c r="A516" s="303"/>
      <c r="B516" s="304"/>
      <c r="C516" s="304" t="s">
        <v>44</v>
      </c>
      <c r="D516" s="304" t="s">
        <v>772</v>
      </c>
      <c r="E516" s="304"/>
      <c r="F516" s="304" t="s">
        <v>774</v>
      </c>
      <c r="G516" s="304" t="s">
        <v>773</v>
      </c>
      <c r="H516" s="304"/>
      <c r="I516" s="304"/>
      <c r="J516" s="304"/>
      <c r="K516" s="304"/>
      <c r="L516" s="304"/>
      <c r="M516" s="304"/>
      <c r="N516" s="304"/>
      <c r="O516" s="304"/>
      <c r="P516" s="304"/>
      <c r="Q516" s="304"/>
      <c r="R516" s="304"/>
      <c r="S516" s="304"/>
      <c r="T516" s="304"/>
      <c r="U516" s="304"/>
      <c r="V516" s="304"/>
      <c r="W516" s="304"/>
      <c r="X516" s="304"/>
      <c r="Y516" s="304"/>
      <c r="Z516" s="305"/>
    </row>
    <row r="517" spans="1:26" x14ac:dyDescent="0.2">
      <c r="A517" s="303"/>
      <c r="B517" s="304"/>
      <c r="C517" s="304"/>
      <c r="D517" s="304"/>
      <c r="E517" s="304"/>
      <c r="F517" s="304"/>
      <c r="G517" s="304"/>
      <c r="H517" s="304"/>
      <c r="I517" s="304"/>
      <c r="J517" s="304"/>
      <c r="K517" s="304"/>
      <c r="L517" s="304"/>
      <c r="M517" s="304"/>
      <c r="N517" s="304"/>
      <c r="O517" s="304"/>
      <c r="P517" s="304"/>
      <c r="Q517" s="304"/>
      <c r="R517" s="304"/>
      <c r="S517" s="304"/>
      <c r="T517" s="304"/>
      <c r="U517" s="304"/>
      <c r="V517" s="304"/>
      <c r="W517" s="304"/>
      <c r="X517" s="304"/>
      <c r="Y517" s="304"/>
      <c r="Z517" s="305"/>
    </row>
    <row r="518" spans="1:26" x14ac:dyDescent="0.2">
      <c r="A518" s="303"/>
      <c r="B518" s="304"/>
      <c r="C518" s="304"/>
      <c r="D518" s="304"/>
      <c r="E518" s="304"/>
      <c r="F518" s="304"/>
      <c r="G518" s="304"/>
      <c r="H518" s="304"/>
      <c r="I518" s="304"/>
      <c r="J518" s="304"/>
      <c r="K518" s="304"/>
      <c r="L518" s="304"/>
      <c r="M518" s="304"/>
      <c r="N518" s="304"/>
      <c r="O518" s="304"/>
      <c r="P518" s="304"/>
      <c r="Q518" s="304"/>
      <c r="R518" s="304"/>
      <c r="S518" s="304"/>
      <c r="T518" s="304"/>
      <c r="U518" s="304"/>
      <c r="V518" s="304"/>
      <c r="W518" s="304"/>
      <c r="X518" s="304"/>
      <c r="Y518" s="304"/>
      <c r="Z518" s="305"/>
    </row>
    <row r="519" spans="1:26" x14ac:dyDescent="0.2">
      <c r="A519" s="303" t="s">
        <v>785</v>
      </c>
      <c r="B519" s="303" t="s">
        <v>177</v>
      </c>
      <c r="C519" s="304"/>
      <c r="D519" s="304"/>
      <c r="E519" s="304"/>
      <c r="F519" s="304"/>
      <c r="G519" s="304"/>
      <c r="H519" s="304"/>
      <c r="I519" s="304"/>
      <c r="J519" s="304"/>
      <c r="K519" s="304"/>
      <c r="L519" s="304"/>
      <c r="M519" s="304"/>
      <c r="N519" s="304"/>
      <c r="O519" s="304"/>
      <c r="P519" s="304"/>
      <c r="Q519" s="304"/>
      <c r="R519" s="304"/>
      <c r="S519" s="304"/>
      <c r="T519" s="304"/>
      <c r="U519" s="304"/>
      <c r="V519" s="304"/>
      <c r="W519" s="304"/>
      <c r="X519" s="304"/>
      <c r="Y519" s="304"/>
      <c r="Z519" s="305"/>
    </row>
    <row r="520" spans="1:26" x14ac:dyDescent="0.2">
      <c r="A520" s="303"/>
      <c r="B520" s="304"/>
      <c r="C520" s="304"/>
      <c r="D520" s="304"/>
      <c r="E520" s="304"/>
      <c r="F520" s="304"/>
      <c r="G520" s="304"/>
      <c r="H520" s="304"/>
      <c r="I520" s="304"/>
      <c r="J520" s="304"/>
      <c r="K520" s="304"/>
      <c r="L520" s="304"/>
      <c r="M520" s="304"/>
      <c r="N520" s="304"/>
      <c r="O520" s="304"/>
      <c r="P520" s="304"/>
      <c r="Q520" s="304"/>
      <c r="R520" s="304"/>
      <c r="S520" s="304"/>
      <c r="T520" s="304"/>
      <c r="U520" s="304"/>
      <c r="V520" s="304"/>
      <c r="W520" s="304"/>
      <c r="X520" s="304"/>
      <c r="Y520" s="304"/>
      <c r="Z520" s="305"/>
    </row>
    <row r="521" spans="1:26" ht="15.75" x14ac:dyDescent="0.3">
      <c r="A521" s="303"/>
      <c r="B521" s="310" t="s">
        <v>189</v>
      </c>
      <c r="C521" s="310"/>
      <c r="D521" s="310" t="s">
        <v>16</v>
      </c>
      <c r="E521" s="310" t="s">
        <v>17</v>
      </c>
      <c r="F521" s="310" t="s">
        <v>789</v>
      </c>
      <c r="G521" s="309" t="s">
        <v>197</v>
      </c>
      <c r="H521" s="310" t="s">
        <v>180</v>
      </c>
      <c r="I521" s="309" t="s">
        <v>194</v>
      </c>
      <c r="J521" s="309" t="s">
        <v>195</v>
      </c>
      <c r="K521" s="309" t="s">
        <v>196</v>
      </c>
      <c r="L521" s="304"/>
      <c r="M521" s="304"/>
      <c r="N521" s="304"/>
      <c r="O521" s="304"/>
      <c r="P521" s="304"/>
      <c r="Q521" s="304"/>
      <c r="R521" s="304"/>
      <c r="S521" s="304"/>
      <c r="T521" s="304"/>
      <c r="U521" s="304"/>
      <c r="V521" s="304"/>
      <c r="W521" s="304"/>
      <c r="X521" s="304"/>
      <c r="Y521" s="304"/>
      <c r="Z521" s="305"/>
    </row>
    <row r="522" spans="1:26" x14ac:dyDescent="0.2">
      <c r="A522" s="303"/>
      <c r="B522" s="350">
        <f>Calc1!C274/2</f>
        <v>0</v>
      </c>
      <c r="C522" s="310" t="s">
        <v>181</v>
      </c>
      <c r="D522" s="373">
        <f>1.736/2</f>
        <v>0.86799999999999999</v>
      </c>
      <c r="E522" s="315">
        <v>0</v>
      </c>
      <c r="F522" s="315">
        <v>0</v>
      </c>
      <c r="G522" s="309"/>
      <c r="H522" s="374">
        <v>0.11</v>
      </c>
      <c r="I522" s="309"/>
      <c r="J522" s="309"/>
      <c r="K522" s="309"/>
      <c r="L522" s="304"/>
      <c r="M522" s="304"/>
      <c r="N522" s="304"/>
      <c r="O522" s="304"/>
      <c r="P522" s="304"/>
      <c r="Q522" s="304"/>
      <c r="R522" s="304"/>
      <c r="S522" s="304"/>
      <c r="T522" s="304"/>
      <c r="U522" s="304"/>
      <c r="V522" s="304"/>
      <c r="W522" s="304"/>
      <c r="X522" s="304"/>
      <c r="Y522" s="304"/>
      <c r="Z522" s="305"/>
    </row>
    <row r="523" spans="1:26" x14ac:dyDescent="0.2">
      <c r="A523" s="303"/>
      <c r="B523" s="310"/>
      <c r="C523" s="310" t="s">
        <v>178</v>
      </c>
      <c r="D523" s="310">
        <f>$B522*D522/1000</f>
        <v>0</v>
      </c>
      <c r="E523" s="310">
        <f>$B522*E522/1000</f>
        <v>0</v>
      </c>
      <c r="F523" s="310">
        <f>$B522*F522/1000</f>
        <v>0</v>
      </c>
      <c r="G523" s="309"/>
      <c r="H523" s="428">
        <f>$B522/1000*2*H522/1000</f>
        <v>0</v>
      </c>
      <c r="I523" s="309"/>
      <c r="J523" s="309"/>
      <c r="K523" s="375"/>
      <c r="L523" s="376"/>
      <c r="M523" s="304"/>
      <c r="N523" s="304"/>
      <c r="O523" s="304"/>
      <c r="P523" s="304"/>
      <c r="Q523" s="304"/>
      <c r="R523" s="304"/>
      <c r="S523" s="304"/>
      <c r="T523" s="304"/>
      <c r="U523" s="304"/>
      <c r="V523" s="304"/>
      <c r="W523" s="304"/>
      <c r="X523" s="304"/>
      <c r="Y523" s="304"/>
      <c r="Z523" s="305"/>
    </row>
    <row r="524" spans="1:26" x14ac:dyDescent="0.2">
      <c r="A524" s="303"/>
      <c r="B524" s="350">
        <f>Calc1!C275/2</f>
        <v>0</v>
      </c>
      <c r="C524" s="310" t="s">
        <v>182</v>
      </c>
      <c r="D524" s="373">
        <f>1.736/2</f>
        <v>0.86799999999999999</v>
      </c>
      <c r="E524" s="315">
        <v>0</v>
      </c>
      <c r="F524" s="315">
        <v>0</v>
      </c>
      <c r="G524" s="309"/>
      <c r="H524" s="374">
        <v>0.11</v>
      </c>
      <c r="I524" s="309"/>
      <c r="J524" s="309"/>
      <c r="K524" s="309"/>
      <c r="L524" s="304"/>
      <c r="M524" s="304"/>
      <c r="N524" s="304"/>
      <c r="O524" s="304"/>
      <c r="P524" s="304"/>
      <c r="Q524" s="304"/>
      <c r="R524" s="304"/>
      <c r="S524" s="304"/>
      <c r="T524" s="304"/>
      <c r="U524" s="304"/>
      <c r="V524" s="304"/>
      <c r="W524" s="304"/>
      <c r="X524" s="304"/>
      <c r="Y524" s="304"/>
      <c r="Z524" s="305"/>
    </row>
    <row r="525" spans="1:26" x14ac:dyDescent="0.2">
      <c r="A525" s="303"/>
      <c r="B525" s="310"/>
      <c r="C525" s="310" t="s">
        <v>179</v>
      </c>
      <c r="D525" s="310">
        <f>D524*$B524/1000</f>
        <v>0</v>
      </c>
      <c r="E525" s="310">
        <f t="shared" ref="E525:F525" si="105">E524*$B$524/1000</f>
        <v>0</v>
      </c>
      <c r="F525" s="310">
        <f t="shared" si="105"/>
        <v>0</v>
      </c>
      <c r="G525" s="309"/>
      <c r="H525" s="428">
        <f>$B524/1000*2*H524/1000</f>
        <v>0</v>
      </c>
      <c r="I525" s="309"/>
      <c r="J525" s="309"/>
      <c r="K525" s="309"/>
      <c r="L525" s="304"/>
      <c r="M525" s="304"/>
      <c r="N525" s="304"/>
      <c r="O525" s="304"/>
      <c r="P525" s="304"/>
      <c r="Q525" s="304"/>
      <c r="R525" s="304"/>
      <c r="S525" s="304"/>
      <c r="T525" s="304"/>
      <c r="U525" s="304"/>
      <c r="V525" s="304"/>
      <c r="W525" s="304"/>
      <c r="X525" s="304"/>
      <c r="Y525" s="304"/>
      <c r="Z525" s="305"/>
    </row>
    <row r="526" spans="1:26" x14ac:dyDescent="0.2">
      <c r="A526" s="303"/>
      <c r="B526" s="310"/>
      <c r="C526" s="310" t="s">
        <v>584</v>
      </c>
      <c r="D526" s="354">
        <f>D523+D525</f>
        <v>0</v>
      </c>
      <c r="E526" s="354">
        <f t="shared" ref="E526:H526" si="106">E523+E525</f>
        <v>0</v>
      </c>
      <c r="F526" s="354">
        <f t="shared" si="106"/>
        <v>0</v>
      </c>
      <c r="G526" s="354">
        <f t="shared" si="106"/>
        <v>0</v>
      </c>
      <c r="H526" s="354">
        <f t="shared" si="106"/>
        <v>0</v>
      </c>
      <c r="I526" s="354"/>
      <c r="J526" s="354">
        <f t="shared" ref="J526" si="107">J523+J525</f>
        <v>0</v>
      </c>
      <c r="K526" s="354">
        <f t="shared" ref="K526" si="108">K523+K525</f>
        <v>0</v>
      </c>
      <c r="L526" s="304"/>
      <c r="M526" s="304"/>
      <c r="N526" s="304"/>
      <c r="O526" s="304"/>
      <c r="P526" s="304"/>
      <c r="Q526" s="304"/>
      <c r="R526" s="304"/>
      <c r="S526" s="304"/>
      <c r="T526" s="304"/>
      <c r="U526" s="304"/>
      <c r="V526" s="304"/>
      <c r="W526" s="304"/>
      <c r="X526" s="304"/>
      <c r="Y526" s="304"/>
      <c r="Z526" s="305"/>
    </row>
    <row r="527" spans="1:26" x14ac:dyDescent="0.2">
      <c r="A527" s="303"/>
      <c r="B527" s="322"/>
      <c r="C527" s="322"/>
      <c r="D527" s="377"/>
      <c r="E527" s="377"/>
      <c r="F527" s="377"/>
      <c r="G527" s="377"/>
      <c r="H527" s="377"/>
      <c r="I527" s="377"/>
      <c r="J527" s="377"/>
      <c r="K527" s="377"/>
      <c r="L527" s="304"/>
      <c r="M527" s="304"/>
      <c r="N527" s="304"/>
      <c r="O527" s="304"/>
      <c r="P527" s="304"/>
      <c r="Q527" s="304"/>
      <c r="R527" s="304"/>
      <c r="S527" s="304"/>
      <c r="T527" s="304"/>
      <c r="U527" s="304"/>
      <c r="V527" s="304"/>
      <c r="W527" s="304"/>
      <c r="X527" s="304"/>
      <c r="Y527" s="304"/>
      <c r="Z527" s="305"/>
    </row>
    <row r="528" spans="1:26" ht="15.75" x14ac:dyDescent="0.3">
      <c r="A528" s="303"/>
      <c r="B528" s="378" t="s">
        <v>784</v>
      </c>
      <c r="C528" s="322"/>
      <c r="D528" s="377"/>
      <c r="E528" s="377"/>
      <c r="F528" s="377"/>
      <c r="G528" s="377"/>
      <c r="H528" s="377"/>
      <c r="I528" s="377"/>
      <c r="J528" s="377"/>
      <c r="K528" s="377"/>
      <c r="L528" s="304"/>
      <c r="M528" s="304"/>
      <c r="N528" s="304"/>
      <c r="O528" s="304"/>
      <c r="P528" s="304"/>
      <c r="Q528" s="304"/>
      <c r="R528" s="304"/>
      <c r="S528" s="304"/>
      <c r="T528" s="304"/>
      <c r="U528" s="304"/>
      <c r="V528" s="304"/>
      <c r="W528" s="304"/>
      <c r="X528" s="304"/>
      <c r="Y528" s="304"/>
      <c r="Z528" s="305"/>
    </row>
    <row r="529" spans="1:26" x14ac:dyDescent="0.2">
      <c r="A529" s="303"/>
      <c r="B529" s="304"/>
      <c r="C529" s="304"/>
      <c r="D529" s="304"/>
      <c r="E529" s="304"/>
      <c r="F529" s="304"/>
      <c r="G529" s="304"/>
      <c r="H529" s="304"/>
      <c r="I529" s="304"/>
      <c r="J529" s="304"/>
      <c r="K529" s="304"/>
      <c r="L529" s="304"/>
      <c r="M529" s="304"/>
      <c r="N529" s="304"/>
      <c r="O529" s="304"/>
      <c r="P529" s="304"/>
      <c r="Q529" s="304"/>
      <c r="R529" s="304"/>
      <c r="S529" s="304"/>
      <c r="T529" s="304"/>
      <c r="U529" s="304"/>
      <c r="V529" s="304"/>
      <c r="W529" s="304"/>
      <c r="X529" s="304"/>
      <c r="Y529" s="304"/>
      <c r="Z529" s="305"/>
    </row>
    <row r="530" spans="1:26" x14ac:dyDescent="0.2">
      <c r="A530" s="303"/>
      <c r="B530" s="304"/>
      <c r="C530" s="304"/>
      <c r="D530" s="304"/>
      <c r="E530" s="304"/>
      <c r="F530" s="304"/>
      <c r="G530" s="304"/>
      <c r="H530" s="304"/>
      <c r="I530" s="304"/>
      <c r="J530" s="304"/>
      <c r="K530" s="304"/>
      <c r="L530" s="304"/>
      <c r="M530" s="304"/>
      <c r="N530" s="304"/>
      <c r="O530" s="304"/>
      <c r="P530" s="304"/>
      <c r="Q530" s="304"/>
      <c r="R530" s="304"/>
      <c r="S530" s="304"/>
      <c r="T530" s="304"/>
      <c r="U530" s="304"/>
      <c r="V530" s="304"/>
      <c r="W530" s="304"/>
      <c r="X530" s="304"/>
      <c r="Y530" s="304"/>
      <c r="Z530" s="305"/>
    </row>
    <row r="531" spans="1:26" x14ac:dyDescent="0.2">
      <c r="A531" s="303" t="s">
        <v>788</v>
      </c>
      <c r="B531" s="303" t="s">
        <v>147</v>
      </c>
      <c r="C531" s="304"/>
      <c r="D531" s="429"/>
      <c r="E531" s="430"/>
      <c r="F531" s="431"/>
      <c r="G531" s="431"/>
      <c r="H531" s="429"/>
      <c r="I531" s="304"/>
      <c r="J531" s="304"/>
      <c r="K531" s="304"/>
      <c r="L531" s="304"/>
      <c r="M531" s="304"/>
      <c r="N531" s="304"/>
      <c r="O531" s="304"/>
      <c r="P531" s="304"/>
      <c r="Q531" s="304"/>
      <c r="R531" s="304"/>
      <c r="S531" s="304"/>
      <c r="T531" s="304"/>
      <c r="U531" s="304"/>
      <c r="V531" s="304"/>
      <c r="W531" s="304"/>
      <c r="X531" s="304"/>
      <c r="Y531" s="304"/>
      <c r="Z531" s="305"/>
    </row>
    <row r="532" spans="1:26" x14ac:dyDescent="0.2">
      <c r="A532" s="303"/>
      <c r="B532" s="303"/>
      <c r="C532" s="304"/>
      <c r="D532" s="429"/>
      <c r="E532" s="430"/>
      <c r="F532" s="431"/>
      <c r="G532" s="431"/>
      <c r="H532" s="429"/>
      <c r="I532" s="304"/>
      <c r="J532" s="304"/>
      <c r="K532" s="304"/>
      <c r="L532" s="304"/>
      <c r="M532" s="304"/>
      <c r="N532" s="304"/>
      <c r="O532" s="304"/>
      <c r="P532" s="304"/>
      <c r="Q532" s="304"/>
      <c r="R532" s="304"/>
      <c r="S532" s="304"/>
      <c r="T532" s="304"/>
      <c r="U532" s="304"/>
      <c r="V532" s="304"/>
      <c r="W532" s="304"/>
      <c r="X532" s="304"/>
      <c r="Y532" s="304"/>
      <c r="Z532" s="305"/>
    </row>
    <row r="533" spans="1:26" s="759" customFormat="1" x14ac:dyDescent="0.2">
      <c r="A533" s="777" t="s">
        <v>644</v>
      </c>
      <c r="B533" s="778"/>
      <c r="C533" s="779"/>
      <c r="D533" s="779"/>
      <c r="E533" s="779"/>
      <c r="F533" s="779"/>
      <c r="G533" s="779"/>
      <c r="H533" s="779"/>
      <c r="I533" s="779"/>
      <c r="J533" s="779"/>
      <c r="K533" s="779"/>
      <c r="L533" s="779"/>
      <c r="M533" s="779"/>
      <c r="N533" s="779"/>
      <c r="O533" s="779"/>
      <c r="P533" s="779"/>
      <c r="Q533" s="779"/>
      <c r="R533" s="779"/>
      <c r="S533" s="779"/>
      <c r="T533" s="779"/>
      <c r="U533" s="779"/>
      <c r="V533" s="779"/>
      <c r="W533" s="779"/>
      <c r="X533" s="779"/>
      <c r="Y533" s="779"/>
      <c r="Z533" s="779"/>
    </row>
    <row r="534" spans="1:26" x14ac:dyDescent="0.2">
      <c r="A534" s="303"/>
      <c r="B534" s="304"/>
      <c r="C534" s="304"/>
      <c r="D534" s="429"/>
      <c r="E534" s="430"/>
      <c r="F534" s="431"/>
      <c r="G534" s="431"/>
      <c r="H534" s="429"/>
      <c r="I534" s="304"/>
      <c r="J534" s="304"/>
      <c r="K534" s="304"/>
      <c r="L534" s="304"/>
      <c r="M534" s="304"/>
      <c r="N534" s="304"/>
      <c r="O534" s="304"/>
      <c r="P534" s="304"/>
      <c r="Q534" s="304"/>
      <c r="R534" s="304"/>
      <c r="S534" s="304"/>
      <c r="T534" s="304"/>
      <c r="U534" s="304"/>
      <c r="V534" s="304"/>
      <c r="W534" s="304"/>
      <c r="X534" s="304"/>
      <c r="Y534" s="304"/>
      <c r="Z534" s="305"/>
    </row>
    <row r="535" spans="1:26" s="437" customFormat="1" x14ac:dyDescent="0.2">
      <c r="A535" s="432"/>
      <c r="B535" s="375"/>
      <c r="C535" s="375"/>
      <c r="D535" s="433"/>
      <c r="E535" s="434" t="s">
        <v>799</v>
      </c>
      <c r="F535" s="435" t="s">
        <v>61</v>
      </c>
      <c r="G535" s="435" t="s">
        <v>59</v>
      </c>
      <c r="H535" s="433" t="s">
        <v>60</v>
      </c>
      <c r="I535" s="376"/>
      <c r="J535" s="304"/>
      <c r="K535" s="304"/>
      <c r="L535" s="376"/>
      <c r="M535" s="376"/>
      <c r="N535" s="376"/>
      <c r="O535" s="376"/>
      <c r="P535" s="376"/>
      <c r="Q535" s="376"/>
      <c r="R535" s="304"/>
      <c r="S535" s="376"/>
      <c r="T535" s="376"/>
      <c r="U535" s="376"/>
      <c r="V535" s="376"/>
      <c r="W535" s="376"/>
      <c r="X535" s="376"/>
      <c r="Y535" s="376"/>
      <c r="Z535" s="436"/>
    </row>
    <row r="536" spans="1:26" s="437" customFormat="1" x14ac:dyDescent="0.2">
      <c r="A536" s="432"/>
      <c r="B536" s="309">
        <v>1</v>
      </c>
      <c r="C536" s="309" t="s">
        <v>62</v>
      </c>
      <c r="D536" s="438"/>
      <c r="E536" s="439">
        <f>Calc1!E361</f>
        <v>100</v>
      </c>
      <c r="F536" s="440">
        <v>332</v>
      </c>
      <c r="G536" s="440">
        <v>2</v>
      </c>
      <c r="H536" s="438">
        <f>SUM(E536*F536*G536)</f>
        <v>66400</v>
      </c>
      <c r="I536" s="376"/>
      <c r="J536" s="304"/>
      <c r="K536" s="304"/>
      <c r="L536" s="376"/>
      <c r="M536" s="376"/>
      <c r="N536" s="376"/>
      <c r="O536" s="376"/>
      <c r="P536" s="376"/>
      <c r="Q536" s="376"/>
      <c r="R536" s="304"/>
      <c r="S536" s="376"/>
      <c r="T536" s="376"/>
      <c r="U536" s="376"/>
      <c r="V536" s="376"/>
      <c r="W536" s="376"/>
      <c r="X536" s="376"/>
      <c r="Y536" s="376"/>
      <c r="Z536" s="436"/>
    </row>
    <row r="537" spans="1:26" s="437" customFormat="1" x14ac:dyDescent="0.2">
      <c r="A537" s="432"/>
      <c r="B537" s="375"/>
      <c r="C537" s="375"/>
      <c r="D537" s="433"/>
      <c r="E537" s="434"/>
      <c r="F537" s="435"/>
      <c r="G537" s="435"/>
      <c r="H537" s="433"/>
      <c r="I537" s="376"/>
      <c r="J537" s="304"/>
      <c r="K537" s="304"/>
      <c r="L537" s="376"/>
      <c r="M537" s="376"/>
      <c r="N537" s="376"/>
      <c r="O537" s="376"/>
      <c r="P537" s="376"/>
      <c r="Q537" s="376"/>
      <c r="R537" s="304"/>
      <c r="S537" s="376"/>
      <c r="T537" s="376"/>
      <c r="U537" s="376"/>
      <c r="V537" s="376"/>
      <c r="W537" s="376"/>
      <c r="X537" s="376"/>
      <c r="Y537" s="376"/>
      <c r="Z537" s="436"/>
    </row>
    <row r="538" spans="1:26" s="441" customFormat="1" x14ac:dyDescent="0.2">
      <c r="A538" s="303"/>
      <c r="B538" s="309">
        <v>1</v>
      </c>
      <c r="C538" s="309" t="s">
        <v>777</v>
      </c>
      <c r="D538" s="438"/>
      <c r="E538" s="439">
        <f>Calc1!E380</f>
        <v>1000</v>
      </c>
      <c r="F538" s="440">
        <v>332</v>
      </c>
      <c r="G538" s="440">
        <v>2</v>
      </c>
      <c r="H538" s="438">
        <f>SUM(E538*F538*G538)</f>
        <v>664000</v>
      </c>
      <c r="I538" s="304"/>
      <c r="J538" s="304"/>
      <c r="K538" s="304"/>
      <c r="L538" s="304"/>
      <c r="M538" s="304"/>
      <c r="N538" s="304"/>
      <c r="O538" s="304"/>
      <c r="P538" s="304"/>
      <c r="Q538" s="304"/>
      <c r="R538" s="304"/>
      <c r="S538" s="304"/>
      <c r="T538" s="304"/>
      <c r="U538" s="304"/>
      <c r="V538" s="304"/>
      <c r="W538" s="304"/>
      <c r="X538" s="304"/>
      <c r="Y538" s="304"/>
      <c r="Z538" s="305"/>
    </row>
    <row r="539" spans="1:26" s="441" customFormat="1" x14ac:dyDescent="0.2">
      <c r="A539" s="303"/>
      <c r="B539" s="309"/>
      <c r="C539" s="309"/>
      <c r="D539" s="438"/>
      <c r="E539" s="442"/>
      <c r="F539" s="443"/>
      <c r="G539" s="443"/>
      <c r="H539" s="438"/>
      <c r="I539" s="304"/>
      <c r="J539" s="304"/>
      <c r="K539" s="304"/>
      <c r="L539" s="304"/>
      <c r="M539" s="304"/>
      <c r="N539" s="304"/>
      <c r="O539" s="304"/>
      <c r="P539" s="304"/>
      <c r="Q539" s="304"/>
      <c r="R539" s="376"/>
      <c r="S539" s="304"/>
      <c r="T539" s="304"/>
      <c r="U539" s="304"/>
      <c r="V539" s="304"/>
      <c r="W539" s="304"/>
      <c r="X539" s="304"/>
      <c r="Y539" s="304"/>
      <c r="Z539" s="305"/>
    </row>
    <row r="540" spans="1:26" s="437" customFormat="1" x14ac:dyDescent="0.2">
      <c r="A540" s="432"/>
      <c r="B540" s="375"/>
      <c r="C540" s="375"/>
      <c r="D540" s="433" t="s">
        <v>63</v>
      </c>
      <c r="E540" s="434" t="s">
        <v>64</v>
      </c>
      <c r="F540" s="435" t="s">
        <v>65</v>
      </c>
      <c r="G540" s="435" t="s">
        <v>59</v>
      </c>
      <c r="H540" s="433" t="s">
        <v>60</v>
      </c>
      <c r="I540" s="376"/>
      <c r="J540" s="304"/>
      <c r="K540" s="304"/>
      <c r="L540" s="376"/>
      <c r="M540" s="376"/>
      <c r="N540" s="376"/>
      <c r="O540" s="376"/>
      <c r="P540" s="304"/>
      <c r="Q540" s="304"/>
      <c r="R540" s="304"/>
      <c r="S540" s="376"/>
      <c r="T540" s="376"/>
      <c r="U540" s="376"/>
      <c r="V540" s="376"/>
      <c r="W540" s="376"/>
      <c r="X540" s="376"/>
      <c r="Y540" s="376"/>
      <c r="Z540" s="436"/>
    </row>
    <row r="541" spans="1:26" s="441" customFormat="1" x14ac:dyDescent="0.2">
      <c r="A541" s="303"/>
      <c r="B541" s="309">
        <v>2</v>
      </c>
      <c r="C541" s="309" t="s">
        <v>149</v>
      </c>
      <c r="D541" s="444">
        <f>Calc1!E399</f>
        <v>20</v>
      </c>
      <c r="E541" s="444">
        <f>Calc1!E400</f>
        <v>2</v>
      </c>
      <c r="F541" s="440">
        <v>260</v>
      </c>
      <c r="G541" s="440">
        <v>2</v>
      </c>
      <c r="H541" s="438">
        <f>SUM(D541*E541*F541*G541)</f>
        <v>20800</v>
      </c>
      <c r="I541" s="304"/>
      <c r="J541" s="304"/>
      <c r="K541" s="304"/>
      <c r="L541" s="304"/>
      <c r="M541" s="304"/>
      <c r="N541" s="304"/>
      <c r="O541" s="304"/>
      <c r="P541" s="304"/>
      <c r="Q541" s="304"/>
      <c r="R541" s="304"/>
      <c r="S541" s="304"/>
      <c r="T541" s="304"/>
      <c r="U541" s="304"/>
      <c r="V541" s="304"/>
      <c r="W541" s="304"/>
      <c r="X541" s="304"/>
      <c r="Y541" s="304"/>
      <c r="Z541" s="305"/>
    </row>
    <row r="542" spans="1:26" s="441" customFormat="1" x14ac:dyDescent="0.2">
      <c r="A542" s="303"/>
      <c r="B542" s="309"/>
      <c r="C542" s="309"/>
      <c r="D542" s="438"/>
      <c r="E542" s="442"/>
      <c r="F542" s="443"/>
      <c r="G542" s="443"/>
      <c r="H542" s="438"/>
      <c r="I542" s="304"/>
      <c r="J542" s="304"/>
      <c r="K542" s="304"/>
      <c r="L542" s="304"/>
      <c r="M542" s="304"/>
      <c r="N542" s="304"/>
      <c r="O542" s="304"/>
      <c r="P542" s="304"/>
      <c r="Q542" s="304"/>
      <c r="R542" s="304"/>
      <c r="S542" s="304"/>
      <c r="T542" s="304"/>
      <c r="U542" s="304"/>
      <c r="V542" s="304"/>
      <c r="W542" s="304"/>
      <c r="X542" s="304"/>
      <c r="Y542" s="304"/>
      <c r="Z542" s="305"/>
    </row>
    <row r="543" spans="1:26" x14ac:dyDescent="0.2">
      <c r="A543" s="303"/>
      <c r="B543" s="304"/>
      <c r="C543" s="304"/>
      <c r="D543" s="429"/>
      <c r="E543" s="430"/>
      <c r="F543" s="431"/>
      <c r="G543" s="431"/>
      <c r="H543" s="429"/>
      <c r="I543" s="304"/>
      <c r="J543" s="304"/>
      <c r="K543" s="304"/>
      <c r="L543" s="304"/>
      <c r="M543" s="304"/>
      <c r="N543" s="304"/>
      <c r="O543" s="304"/>
      <c r="P543" s="304"/>
      <c r="Q543" s="304"/>
      <c r="R543" s="304"/>
      <c r="S543" s="304"/>
      <c r="T543" s="304"/>
      <c r="U543" s="304"/>
      <c r="V543" s="304"/>
      <c r="W543" s="304"/>
      <c r="X543" s="304"/>
      <c r="Y543" s="304"/>
      <c r="Z543" s="305"/>
    </row>
    <row r="544" spans="1:26" x14ac:dyDescent="0.2">
      <c r="A544" s="303"/>
      <c r="B544" s="304"/>
      <c r="C544" s="304"/>
      <c r="D544" s="429"/>
      <c r="E544" s="430"/>
      <c r="F544" s="431"/>
      <c r="G544" s="431"/>
      <c r="H544" s="445">
        <f>SUM(H538:H542)</f>
        <v>684800</v>
      </c>
      <c r="I544" s="303" t="s">
        <v>66</v>
      </c>
      <c r="J544" s="304"/>
      <c r="K544" s="304"/>
      <c r="L544" s="304"/>
      <c r="M544" s="304"/>
      <c r="N544" s="304"/>
      <c r="O544" s="304"/>
      <c r="P544" s="304"/>
      <c r="Q544" s="304"/>
      <c r="R544" s="304"/>
      <c r="S544" s="304"/>
      <c r="T544" s="304"/>
      <c r="U544" s="304"/>
      <c r="V544" s="304"/>
      <c r="W544" s="304"/>
      <c r="X544" s="304"/>
      <c r="Y544" s="304"/>
      <c r="Z544" s="305"/>
    </row>
    <row r="545" spans="1:26" x14ac:dyDescent="0.2">
      <c r="A545" s="303"/>
      <c r="B545" s="304"/>
      <c r="C545" s="304"/>
      <c r="D545" s="429"/>
      <c r="E545" s="430"/>
      <c r="F545" s="431"/>
      <c r="G545" s="431"/>
      <c r="H545" s="445"/>
      <c r="I545" s="303"/>
      <c r="J545" s="304"/>
      <c r="K545" s="304"/>
      <c r="L545" s="304"/>
      <c r="M545" s="304"/>
      <c r="N545" s="304"/>
      <c r="O545" s="304"/>
      <c r="P545" s="304"/>
      <c r="Q545" s="304"/>
      <c r="R545" s="304"/>
      <c r="S545" s="304"/>
      <c r="T545" s="304"/>
      <c r="U545" s="304"/>
      <c r="V545" s="304"/>
      <c r="W545" s="304"/>
      <c r="X545" s="304"/>
      <c r="Y545" s="304"/>
      <c r="Z545" s="305"/>
    </row>
    <row r="546" spans="1:26" x14ac:dyDescent="0.2">
      <c r="A546" s="303"/>
      <c r="B546" s="304"/>
      <c r="C546" s="446" t="s">
        <v>801</v>
      </c>
      <c r="D546" s="429"/>
      <c r="E546" s="304"/>
      <c r="F546" s="304"/>
      <c r="G546" s="431"/>
      <c r="H546" s="1185" t="s">
        <v>224</v>
      </c>
      <c r="I546" s="1186"/>
      <c r="J546" s="1187"/>
      <c r="K546" s="304"/>
      <c r="L546" s="304"/>
      <c r="M546" s="304"/>
      <c r="N546" s="304"/>
      <c r="O546" s="304"/>
      <c r="P546" s="304"/>
      <c r="Q546" s="304"/>
      <c r="R546" s="304"/>
      <c r="S546" s="304"/>
      <c r="T546" s="304"/>
      <c r="U546" s="304"/>
      <c r="V546" s="304"/>
      <c r="W546" s="304"/>
      <c r="X546" s="304"/>
      <c r="Y546" s="304"/>
      <c r="Z546" s="305"/>
    </row>
    <row r="547" spans="1:26" ht="25.5" x14ac:dyDescent="0.2">
      <c r="A547" s="303"/>
      <c r="B547" s="304"/>
      <c r="C547" s="309"/>
      <c r="D547" s="438" t="s">
        <v>205</v>
      </c>
      <c r="E547" s="442" t="s">
        <v>206</v>
      </c>
      <c r="F547" s="443" t="s">
        <v>207</v>
      </c>
      <c r="G547" s="443" t="s">
        <v>208</v>
      </c>
      <c r="H547" s="312" t="s">
        <v>221</v>
      </c>
      <c r="I547" s="447" t="s">
        <v>222</v>
      </c>
      <c r="J547" s="447" t="s">
        <v>223</v>
      </c>
      <c r="K547" s="322"/>
      <c r="L547" s="304"/>
      <c r="M547" s="304"/>
      <c r="N547" s="304"/>
      <c r="O547" s="304"/>
      <c r="P547" s="304"/>
      <c r="Q547" s="304"/>
      <c r="R547" s="304"/>
      <c r="S547" s="304"/>
      <c r="T547" s="304"/>
      <c r="U547" s="304"/>
      <c r="V547" s="304"/>
      <c r="W547" s="304"/>
      <c r="X547" s="304"/>
      <c r="Y547" s="304"/>
      <c r="Z547" s="305"/>
    </row>
    <row r="548" spans="1:26" x14ac:dyDescent="0.2">
      <c r="A548" s="303"/>
      <c r="B548" s="304"/>
      <c r="C548" s="1179" t="s">
        <v>204</v>
      </c>
      <c r="D548" s="438" t="s">
        <v>14</v>
      </c>
      <c r="E548" s="442">
        <f>$H$536*Calc1!$E$364*Calc1!E371</f>
        <v>59760</v>
      </c>
      <c r="F548" s="440">
        <f>Calc1!$G$285</f>
        <v>30</v>
      </c>
      <c r="G548" s="443">
        <f>E548*F548</f>
        <v>1792800</v>
      </c>
      <c r="H548" s="309">
        <v>70</v>
      </c>
      <c r="I548" s="309">
        <f t="shared" ref="I548:I554" si="109">H548*G548/1000</f>
        <v>125496</v>
      </c>
      <c r="J548" s="351">
        <f>I548*1000/730</f>
        <v>171912.32876712328</v>
      </c>
      <c r="K548" s="304"/>
      <c r="L548" s="304"/>
      <c r="M548" s="304"/>
      <c r="N548" s="304"/>
      <c r="O548" s="304"/>
      <c r="P548" s="304"/>
      <c r="Q548" s="304"/>
      <c r="R548" s="304"/>
      <c r="S548" s="304"/>
      <c r="T548" s="304"/>
      <c r="U548" s="304"/>
      <c r="V548" s="304"/>
      <c r="W548" s="304"/>
      <c r="X548" s="304"/>
      <c r="Y548" s="304"/>
      <c r="Z548" s="305"/>
    </row>
    <row r="549" spans="1:26" x14ac:dyDescent="0.2">
      <c r="A549" s="303"/>
      <c r="B549" s="304"/>
      <c r="C549" s="1179"/>
      <c r="D549" s="438" t="s">
        <v>12</v>
      </c>
      <c r="E549" s="442">
        <f>$H$536*Calc1!$E$364*Calc1!E372</f>
        <v>6640</v>
      </c>
      <c r="F549" s="443">
        <f>Calc1!$G$285</f>
        <v>30</v>
      </c>
      <c r="G549" s="443">
        <f t="shared" ref="G549:G554" si="110">E549*F549</f>
        <v>199200</v>
      </c>
      <c r="H549" s="309">
        <v>60</v>
      </c>
      <c r="I549" s="309">
        <f t="shared" si="109"/>
        <v>11952</v>
      </c>
      <c r="J549" s="351">
        <f t="shared" ref="J549" si="111">I549*1000/840</f>
        <v>14228.571428571429</v>
      </c>
      <c r="K549" s="304"/>
      <c r="L549" s="304"/>
      <c r="M549" s="304"/>
      <c r="N549" s="304"/>
      <c r="O549" s="304"/>
      <c r="P549" s="304"/>
      <c r="Q549" s="304"/>
      <c r="R549" s="304"/>
      <c r="S549" s="304"/>
      <c r="T549" s="304"/>
      <c r="U549" s="304"/>
      <c r="V549" s="304"/>
      <c r="W549" s="304"/>
      <c r="X549" s="304"/>
      <c r="Y549" s="304"/>
      <c r="Z549" s="305"/>
    </row>
    <row r="550" spans="1:26" x14ac:dyDescent="0.2">
      <c r="A550" s="303"/>
      <c r="B550" s="304"/>
      <c r="C550" s="1179"/>
      <c r="D550" s="438" t="s">
        <v>50</v>
      </c>
      <c r="E550" s="442">
        <f>$H$536*Calc1!$E$364*Calc1!E373</f>
        <v>0</v>
      </c>
      <c r="F550" s="443">
        <f>Calc1!$G$285</f>
        <v>30</v>
      </c>
      <c r="G550" s="443">
        <f t="shared" si="110"/>
        <v>0</v>
      </c>
      <c r="H550" s="309">
        <v>50</v>
      </c>
      <c r="I550" s="309">
        <f t="shared" si="109"/>
        <v>0</v>
      </c>
      <c r="J550" s="351">
        <f>I550*1000/0.714</f>
        <v>0</v>
      </c>
      <c r="K550" s="304"/>
      <c r="L550" s="304"/>
      <c r="M550" s="304"/>
      <c r="N550" s="304"/>
      <c r="O550" s="304"/>
      <c r="P550" s="304"/>
      <c r="Q550" s="304"/>
      <c r="R550" s="304"/>
      <c r="S550" s="304"/>
      <c r="T550" s="304"/>
      <c r="U550" s="304"/>
      <c r="V550" s="304"/>
      <c r="W550" s="304"/>
      <c r="X550" s="304"/>
      <c r="Y550" s="304"/>
      <c r="Z550" s="305"/>
    </row>
    <row r="551" spans="1:26" x14ac:dyDescent="0.2">
      <c r="A551" s="303"/>
      <c r="B551" s="304"/>
      <c r="C551" s="1179" t="s">
        <v>696</v>
      </c>
      <c r="D551" s="438" t="s">
        <v>14</v>
      </c>
      <c r="E551" s="442">
        <f>$H$536*Calc1!$E$365*Calc1!E371</f>
        <v>0</v>
      </c>
      <c r="F551" s="443">
        <f>Calc1!$G$285</f>
        <v>30</v>
      </c>
      <c r="G551" s="443">
        <f t="shared" si="110"/>
        <v>0</v>
      </c>
      <c r="H551" s="309">
        <v>100</v>
      </c>
      <c r="I551" s="309">
        <f t="shared" si="109"/>
        <v>0</v>
      </c>
      <c r="J551" s="351">
        <f>I551*1000/730</f>
        <v>0</v>
      </c>
      <c r="K551" s="304"/>
      <c r="L551" s="304"/>
      <c r="M551" s="304"/>
      <c r="N551" s="304"/>
      <c r="O551" s="304"/>
      <c r="P551" s="304"/>
      <c r="Q551" s="304"/>
      <c r="R551" s="304"/>
      <c r="S551" s="304"/>
      <c r="T551" s="304"/>
      <c r="U551" s="304"/>
      <c r="V551" s="304"/>
      <c r="W551" s="304"/>
      <c r="X551" s="304"/>
      <c r="Y551" s="304"/>
      <c r="Z551" s="305"/>
    </row>
    <row r="552" spans="1:26" x14ac:dyDescent="0.2">
      <c r="A552" s="303"/>
      <c r="B552" s="304"/>
      <c r="C552" s="1179"/>
      <c r="D552" s="438" t="s">
        <v>12</v>
      </c>
      <c r="E552" s="442">
        <f>$H$536*Calc1!$E$365*Calc1!E372</f>
        <v>0</v>
      </c>
      <c r="F552" s="443">
        <f>Calc1!$G$285</f>
        <v>30</v>
      </c>
      <c r="G552" s="443">
        <f t="shared" si="110"/>
        <v>0</v>
      </c>
      <c r="H552" s="309">
        <v>80</v>
      </c>
      <c r="I552" s="309">
        <f t="shared" si="109"/>
        <v>0</v>
      </c>
      <c r="J552" s="351">
        <f>I552*1000/840</f>
        <v>0</v>
      </c>
      <c r="K552" s="304"/>
      <c r="L552" s="304"/>
      <c r="M552" s="304"/>
      <c r="N552" s="304"/>
      <c r="O552" s="304"/>
      <c r="P552" s="304"/>
      <c r="Q552" s="304"/>
      <c r="R552" s="304"/>
      <c r="S552" s="304"/>
      <c r="T552" s="304"/>
      <c r="U552" s="304"/>
      <c r="V552" s="304"/>
      <c r="W552" s="304"/>
      <c r="X552" s="304"/>
      <c r="Y552" s="304"/>
      <c r="Z552" s="305"/>
    </row>
    <row r="553" spans="1:26" x14ac:dyDescent="0.2">
      <c r="A553" s="303"/>
      <c r="B553" s="304"/>
      <c r="C553" s="1179"/>
      <c r="D553" s="438" t="s">
        <v>50</v>
      </c>
      <c r="E553" s="442">
        <f>$H$536*Calc1!$E$365*Calc1!E373</f>
        <v>0</v>
      </c>
      <c r="F553" s="443">
        <f>Calc1!$G$285</f>
        <v>30</v>
      </c>
      <c r="G553" s="443">
        <f t="shared" si="110"/>
        <v>0</v>
      </c>
      <c r="H553" s="309">
        <v>50</v>
      </c>
      <c r="I553" s="309">
        <f t="shared" si="109"/>
        <v>0</v>
      </c>
      <c r="J553" s="351">
        <f>I553*1000/0.714</f>
        <v>0</v>
      </c>
      <c r="K553" s="304"/>
      <c r="L553" s="304"/>
      <c r="M553" s="304"/>
      <c r="N553" s="304"/>
      <c r="O553" s="304"/>
      <c r="P553" s="304"/>
      <c r="Q553" s="304"/>
      <c r="R553" s="304"/>
      <c r="S553" s="304"/>
      <c r="T553" s="304"/>
      <c r="U553" s="304"/>
      <c r="V553" s="304"/>
      <c r="W553" s="304"/>
      <c r="X553" s="304"/>
      <c r="Y553" s="304"/>
      <c r="Z553" s="305"/>
    </row>
    <row r="554" spans="1:26" x14ac:dyDescent="0.2">
      <c r="A554" s="303"/>
      <c r="B554" s="304"/>
      <c r="C554" s="312" t="s">
        <v>834</v>
      </c>
      <c r="D554" s="438" t="s">
        <v>14</v>
      </c>
      <c r="E554" s="442">
        <f>Calc1!E366*H536</f>
        <v>0</v>
      </c>
      <c r="F554" s="443">
        <f>Calc1!$G$285</f>
        <v>30</v>
      </c>
      <c r="G554" s="443">
        <f t="shared" si="110"/>
        <v>0</v>
      </c>
      <c r="H554" s="438">
        <v>35</v>
      </c>
      <c r="I554" s="309">
        <f t="shared" si="109"/>
        <v>0</v>
      </c>
      <c r="J554" s="351">
        <f>I554*1000/730</f>
        <v>0</v>
      </c>
      <c r="K554" s="304"/>
      <c r="L554" s="304"/>
      <c r="M554" s="304"/>
      <c r="N554" s="304"/>
      <c r="O554" s="304"/>
      <c r="P554" s="304"/>
      <c r="Q554" s="304"/>
      <c r="R554" s="304"/>
      <c r="S554" s="304"/>
      <c r="T554" s="304"/>
      <c r="U554" s="304"/>
      <c r="V554" s="304"/>
      <c r="W554" s="304"/>
      <c r="X554" s="304"/>
      <c r="Y554" s="304"/>
      <c r="Z554" s="305"/>
    </row>
    <row r="555" spans="1:26" x14ac:dyDescent="0.2">
      <c r="A555" s="303"/>
      <c r="B555" s="304"/>
      <c r="C555" s="304"/>
      <c r="D555" s="429"/>
      <c r="E555" s="430">
        <f>SUM(E548:E554)</f>
        <v>66400</v>
      </c>
      <c r="F555" s="431"/>
      <c r="G555" s="431"/>
      <c r="H555" s="445"/>
      <c r="I555" s="303"/>
      <c r="J555" s="304"/>
      <c r="K555" s="304"/>
      <c r="L555" s="304"/>
      <c r="M555" s="304"/>
      <c r="N555" s="304"/>
      <c r="O555" s="304"/>
      <c r="P555" s="304"/>
      <c r="Q555" s="304"/>
      <c r="R555" s="304"/>
      <c r="S555" s="304"/>
      <c r="T555" s="304"/>
      <c r="U555" s="304"/>
      <c r="V555" s="304"/>
      <c r="W555" s="304"/>
      <c r="X555" s="304"/>
      <c r="Y555" s="304"/>
      <c r="Z555" s="305"/>
    </row>
    <row r="556" spans="1:26" ht="13.5" thickBot="1" x14ac:dyDescent="0.25">
      <c r="A556" s="303"/>
      <c r="B556" s="304"/>
      <c r="C556" s="304"/>
      <c r="D556" s="429"/>
      <c r="E556" s="430"/>
      <c r="F556" s="431"/>
      <c r="G556" s="431"/>
      <c r="H556" s="321"/>
      <c r="I556" s="391"/>
      <c r="J556" s="322"/>
      <c r="K556" s="322"/>
      <c r="L556" s="322"/>
      <c r="M556" s="304"/>
      <c r="N556" s="304"/>
      <c r="O556" s="304"/>
      <c r="P556" s="304"/>
      <c r="Q556" s="304"/>
      <c r="R556" s="304"/>
      <c r="S556" s="304"/>
      <c r="T556" s="304"/>
      <c r="U556" s="304"/>
      <c r="V556" s="304"/>
      <c r="W556" s="304"/>
      <c r="X556" s="304"/>
      <c r="Y556" s="304"/>
      <c r="Z556" s="305"/>
    </row>
    <row r="557" spans="1:26" ht="15.75" x14ac:dyDescent="0.3">
      <c r="A557" s="303"/>
      <c r="B557" s="304"/>
      <c r="C557" s="309"/>
      <c r="D557" s="438" t="s">
        <v>205</v>
      </c>
      <c r="E557" s="442"/>
      <c r="F557" s="448" t="s">
        <v>225</v>
      </c>
      <c r="G557" s="310" t="s">
        <v>17</v>
      </c>
      <c r="H557" s="311" t="s">
        <v>789</v>
      </c>
      <c r="I557" s="449" t="s">
        <v>197</v>
      </c>
      <c r="J557" s="450" t="s">
        <v>180</v>
      </c>
      <c r="K557" s="450" t="s">
        <v>194</v>
      </c>
      <c r="L557" s="450" t="s">
        <v>195</v>
      </c>
      <c r="M557" s="450" t="s">
        <v>196</v>
      </c>
      <c r="N557" s="304"/>
      <c r="O557" s="304"/>
      <c r="P557" s="304"/>
      <c r="Q557" s="304"/>
      <c r="R557" s="304"/>
      <c r="S557" s="304"/>
      <c r="T557" s="304"/>
      <c r="U557" s="304"/>
      <c r="V557" s="304"/>
      <c r="W557" s="304"/>
      <c r="X557" s="304"/>
      <c r="Y557" s="304"/>
      <c r="Z557" s="305"/>
    </row>
    <row r="558" spans="1:26" x14ac:dyDescent="0.2">
      <c r="A558" s="303"/>
      <c r="B558" s="304"/>
      <c r="C558" s="1179" t="s">
        <v>204</v>
      </c>
      <c r="D558" s="438" t="s">
        <v>14</v>
      </c>
      <c r="E558" s="451" t="s">
        <v>28</v>
      </c>
      <c r="F558" s="452">
        <v>3180</v>
      </c>
      <c r="G558" s="373">
        <v>5.1999999999999995E-4</v>
      </c>
      <c r="H558" s="453">
        <v>2.0000000000000001E-4</v>
      </c>
      <c r="I558" s="454">
        <v>14.5</v>
      </c>
      <c r="J558" s="455">
        <v>14</v>
      </c>
      <c r="K558" s="455">
        <v>132</v>
      </c>
      <c r="L558" s="455">
        <v>3.6999999999999998E-2</v>
      </c>
      <c r="M558" s="455">
        <v>0.04</v>
      </c>
      <c r="N558" s="304"/>
      <c r="O558" s="304"/>
      <c r="P558" s="304"/>
      <c r="Q558" s="304"/>
      <c r="R558" s="304"/>
      <c r="S558" s="304"/>
      <c r="T558" s="304"/>
      <c r="U558" s="304"/>
      <c r="V558" s="304"/>
      <c r="W558" s="304"/>
      <c r="X558" s="304"/>
      <c r="Y558" s="304"/>
      <c r="Z558" s="305"/>
    </row>
    <row r="559" spans="1:26" x14ac:dyDescent="0.2">
      <c r="A559" s="303"/>
      <c r="B559" s="304"/>
      <c r="C559" s="1179"/>
      <c r="D559" s="438"/>
      <c r="E559" s="451" t="s">
        <v>67</v>
      </c>
      <c r="F559" s="456">
        <f>$I$548*F558/1000/1000</f>
        <v>399.07728000000003</v>
      </c>
      <c r="G559" s="457">
        <f>$J$548*G558/1000</f>
        <v>8.9394410958904102E-2</v>
      </c>
      <c r="H559" s="457">
        <f>$J$548*H558/1000</f>
        <v>3.4382465753424664E-2</v>
      </c>
      <c r="I559" s="458">
        <f>$I$548*I558/1000/1000</f>
        <v>1.8196920000000001</v>
      </c>
      <c r="J559" s="457">
        <f>$I$548*J558/1000/1000</f>
        <v>1.7569440000000001</v>
      </c>
      <c r="K559" s="457">
        <f>$I$548*K558/1000/1000</f>
        <v>16.565472000000003</v>
      </c>
      <c r="L559" s="457">
        <f>$I$548*L558/1000/1000</f>
        <v>4.6433519999999999E-3</v>
      </c>
      <c r="M559" s="457">
        <f>$I$548*M558/1000/1000</f>
        <v>5.0198400000000002E-3</v>
      </c>
      <c r="N559" s="304"/>
      <c r="O559" s="304"/>
      <c r="P559" s="304"/>
      <c r="Q559" s="304"/>
      <c r="R559" s="304"/>
      <c r="S559" s="304"/>
      <c r="T559" s="304"/>
      <c r="U559" s="304"/>
      <c r="V559" s="304"/>
      <c r="W559" s="304"/>
      <c r="X559" s="304"/>
      <c r="Y559" s="304"/>
      <c r="Z559" s="305"/>
    </row>
    <row r="560" spans="1:26" x14ac:dyDescent="0.2">
      <c r="A560" s="303"/>
      <c r="B560" s="304"/>
      <c r="C560" s="1179"/>
      <c r="D560" s="438" t="s">
        <v>12</v>
      </c>
      <c r="E560" s="451" t="s">
        <v>29</v>
      </c>
      <c r="F560" s="452">
        <v>3140</v>
      </c>
      <c r="G560" s="373">
        <v>6.7999999999999999E-5</v>
      </c>
      <c r="H560" s="453">
        <v>2.1000000000000001E-4</v>
      </c>
      <c r="I560" s="454">
        <v>11</v>
      </c>
      <c r="J560" s="455">
        <v>1.1000000000000001</v>
      </c>
      <c r="K560" s="455">
        <v>4.7</v>
      </c>
      <c r="L560" s="455">
        <v>1.7</v>
      </c>
      <c r="M560" s="455">
        <v>8.0000000000000002E-3</v>
      </c>
      <c r="N560" s="304"/>
      <c r="O560" s="304"/>
      <c r="P560" s="304"/>
      <c r="Q560" s="304"/>
      <c r="R560" s="304"/>
      <c r="S560" s="304"/>
      <c r="T560" s="304"/>
      <c r="U560" s="304"/>
      <c r="V560" s="304"/>
      <c r="W560" s="304"/>
      <c r="X560" s="304"/>
      <c r="Y560" s="304"/>
      <c r="Z560" s="305"/>
    </row>
    <row r="561" spans="1:26" x14ac:dyDescent="0.2">
      <c r="A561" s="303"/>
      <c r="B561" s="304"/>
      <c r="C561" s="1179"/>
      <c r="D561" s="438"/>
      <c r="E561" s="451" t="s">
        <v>67</v>
      </c>
      <c r="F561" s="456">
        <f>$I$549*F560/1000/1000</f>
        <v>37.52928</v>
      </c>
      <c r="G561" s="459">
        <f>$J$549*G560/1000</f>
        <v>9.6754285714285718E-4</v>
      </c>
      <c r="H561" s="460">
        <f>$J$549*H560/1000</f>
        <v>2.9880000000000006E-3</v>
      </c>
      <c r="I561" s="458">
        <f>$I$549*I560/1000/1000</f>
        <v>0.13147200000000001</v>
      </c>
      <c r="J561" s="457">
        <f>$I$549*J560/1000/1000</f>
        <v>1.3147200000000001E-2</v>
      </c>
      <c r="K561" s="457">
        <f>$I$549*K560/1000/1000</f>
        <v>5.6174399999999999E-2</v>
      </c>
      <c r="L561" s="457">
        <f>$I$549*L560/1000/1000</f>
        <v>2.0318399999999997E-2</v>
      </c>
      <c r="M561" s="457">
        <f>$I$549*M560/1000/1000</f>
        <v>9.5616000000000001E-5</v>
      </c>
      <c r="N561" s="304"/>
      <c r="O561" s="304"/>
      <c r="P561" s="304"/>
      <c r="Q561" s="304"/>
      <c r="R561" s="304"/>
      <c r="S561" s="304"/>
      <c r="T561" s="304"/>
      <c r="U561" s="304"/>
      <c r="V561" s="304"/>
      <c r="W561" s="304"/>
      <c r="X561" s="304"/>
      <c r="Y561" s="304"/>
      <c r="Z561" s="305"/>
    </row>
    <row r="562" spans="1:26" x14ac:dyDescent="0.2">
      <c r="A562" s="303"/>
      <c r="B562" s="304"/>
      <c r="C562" s="1179"/>
      <c r="D562" s="438" t="s">
        <v>50</v>
      </c>
      <c r="E562" s="451" t="s">
        <v>193</v>
      </c>
      <c r="F562" s="461">
        <v>148</v>
      </c>
      <c r="G562" s="373">
        <v>9.0000000000000002E-6</v>
      </c>
      <c r="H562" s="453">
        <v>5.9999999999999995E-8</v>
      </c>
      <c r="I562" s="462">
        <v>5.6000000000000001E-2</v>
      </c>
      <c r="J562" s="324">
        <v>1.4999999999999999E-2</v>
      </c>
      <c r="K562" s="324">
        <v>0.39500000000000002</v>
      </c>
      <c r="L562" s="324">
        <v>2E-3</v>
      </c>
      <c r="M562" s="463">
        <v>0</v>
      </c>
      <c r="N562" s="304"/>
      <c r="O562" s="304"/>
      <c r="P562" s="304"/>
      <c r="Q562" s="304"/>
      <c r="R562" s="304"/>
      <c r="S562" s="304"/>
      <c r="T562" s="304"/>
      <c r="U562" s="304"/>
      <c r="V562" s="304"/>
      <c r="W562" s="304"/>
      <c r="X562" s="304"/>
      <c r="Y562" s="304"/>
      <c r="Z562" s="305"/>
    </row>
    <row r="563" spans="1:26" x14ac:dyDescent="0.2">
      <c r="A563" s="303"/>
      <c r="B563" s="304"/>
      <c r="C563" s="1179"/>
      <c r="D563" s="438"/>
      <c r="E563" s="451" t="s">
        <v>67</v>
      </c>
      <c r="F563" s="464">
        <f>F562*$G$550/1000/1000</f>
        <v>0</v>
      </c>
      <c r="G563" s="457">
        <f>$J$550*G562/1000</f>
        <v>0</v>
      </c>
      <c r="H563" s="465">
        <f>$J$550*H562/1000</f>
        <v>0</v>
      </c>
      <c r="I563" s="466">
        <f>I562*$G$550/1000/1000</f>
        <v>0</v>
      </c>
      <c r="J563" s="467">
        <f>J562*$G$550/1000/1000</f>
        <v>0</v>
      </c>
      <c r="K563" s="467">
        <f>K562*$G$550/1000/1000</f>
        <v>0</v>
      </c>
      <c r="L563" s="467">
        <f>L562*$G$550/1000/1000</f>
        <v>0</v>
      </c>
      <c r="M563" s="467">
        <f>M562*$G$550/1000/1000</f>
        <v>0</v>
      </c>
      <c r="N563" s="304"/>
      <c r="O563" s="304"/>
      <c r="P563" s="304"/>
      <c r="Q563" s="304"/>
      <c r="R563" s="304"/>
      <c r="S563" s="304"/>
      <c r="T563" s="304"/>
      <c r="U563" s="304"/>
      <c r="V563" s="304"/>
      <c r="W563" s="304"/>
      <c r="X563" s="304"/>
      <c r="Y563" s="304"/>
      <c r="Z563" s="305"/>
    </row>
    <row r="564" spans="1:26" x14ac:dyDescent="0.2">
      <c r="A564" s="303"/>
      <c r="B564" s="304"/>
      <c r="C564" s="1179" t="s">
        <v>696</v>
      </c>
      <c r="D564" s="438" t="s">
        <v>14</v>
      </c>
      <c r="E564" s="451" t="s">
        <v>28</v>
      </c>
      <c r="F564" s="452">
        <v>3180</v>
      </c>
      <c r="G564" s="373">
        <v>6.7999999999999999E-5</v>
      </c>
      <c r="H564" s="453">
        <v>2.1000000000000001E-4</v>
      </c>
      <c r="I564" s="454">
        <v>24</v>
      </c>
      <c r="J564" s="455">
        <v>14</v>
      </c>
      <c r="K564" s="455">
        <v>155</v>
      </c>
      <c r="L564" s="455">
        <v>0.03</v>
      </c>
      <c r="M564" s="455">
        <v>0.04</v>
      </c>
      <c r="N564" s="304"/>
      <c r="O564" s="304"/>
      <c r="P564" s="304"/>
      <c r="Q564" s="304"/>
      <c r="R564" s="304"/>
      <c r="S564" s="304"/>
      <c r="T564" s="304"/>
      <c r="U564" s="304"/>
      <c r="V564" s="304"/>
      <c r="W564" s="304"/>
      <c r="X564" s="304"/>
      <c r="Y564" s="304"/>
      <c r="Z564" s="305"/>
    </row>
    <row r="565" spans="1:26" x14ac:dyDescent="0.2">
      <c r="A565" s="303"/>
      <c r="B565" s="304"/>
      <c r="C565" s="1179"/>
      <c r="D565" s="438"/>
      <c r="E565" s="451" t="s">
        <v>67</v>
      </c>
      <c r="F565" s="456">
        <f>$I$551*F564/1000/1000</f>
        <v>0</v>
      </c>
      <c r="G565" s="457">
        <f>$J$551*G564/1000</f>
        <v>0</v>
      </c>
      <c r="H565" s="457">
        <f>$J$551*H564/1000</f>
        <v>0</v>
      </c>
      <c r="I565" s="458">
        <f>$I$551*I564/1000/1000</f>
        <v>0</v>
      </c>
      <c r="J565" s="457">
        <f>$I$551*J564/1000/1000</f>
        <v>0</v>
      </c>
      <c r="K565" s="457">
        <f>$I$551*K564/1000/1000</f>
        <v>0</v>
      </c>
      <c r="L565" s="457">
        <f>$I$551*L564/1000/1000</f>
        <v>0</v>
      </c>
      <c r="M565" s="457">
        <f>$I$551*M564/1000/1000</f>
        <v>0</v>
      </c>
      <c r="N565" s="304"/>
      <c r="O565" s="304"/>
      <c r="P565" s="304"/>
      <c r="Q565" s="304"/>
      <c r="R565" s="304"/>
      <c r="S565" s="304"/>
      <c r="T565" s="304"/>
      <c r="U565" s="304"/>
      <c r="V565" s="304"/>
      <c r="W565" s="304"/>
      <c r="X565" s="304"/>
      <c r="Y565" s="304"/>
      <c r="Z565" s="305"/>
    </row>
    <row r="566" spans="1:26" x14ac:dyDescent="0.2">
      <c r="A566" s="303"/>
      <c r="B566" s="304"/>
      <c r="C566" s="1179"/>
      <c r="D566" s="438" t="s">
        <v>12</v>
      </c>
      <c r="E566" s="451" t="s">
        <v>29</v>
      </c>
      <c r="F566" s="452">
        <v>3140</v>
      </c>
      <c r="G566" s="373">
        <v>6.7999999999999999E-5</v>
      </c>
      <c r="H566" s="453">
        <v>2.1000000000000001E-4</v>
      </c>
      <c r="I566" s="454">
        <v>15</v>
      </c>
      <c r="J566" s="455">
        <v>1.75</v>
      </c>
      <c r="K566" s="455">
        <v>11</v>
      </c>
      <c r="L566" s="455">
        <v>2.8</v>
      </c>
      <c r="M566" s="455">
        <v>8.0000000000000002E-3</v>
      </c>
      <c r="N566" s="304"/>
      <c r="O566" s="304"/>
      <c r="P566" s="304"/>
      <c r="Q566" s="304"/>
      <c r="R566" s="304"/>
      <c r="S566" s="304"/>
      <c r="T566" s="304"/>
      <c r="U566" s="304"/>
      <c r="V566" s="304"/>
      <c r="W566" s="304"/>
      <c r="X566" s="304"/>
      <c r="Y566" s="304"/>
      <c r="Z566" s="305"/>
    </row>
    <row r="567" spans="1:26" x14ac:dyDescent="0.2">
      <c r="A567" s="303"/>
      <c r="B567" s="304"/>
      <c r="C567" s="1179"/>
      <c r="D567" s="438"/>
      <c r="E567" s="451" t="s">
        <v>67</v>
      </c>
      <c r="F567" s="456">
        <f>$I$552*F566/1000/1000</f>
        <v>0</v>
      </c>
      <c r="G567" s="457">
        <f>$J$552*G566/1000</f>
        <v>0</v>
      </c>
      <c r="H567" s="465">
        <f>$J$552*H566/1000</f>
        <v>0</v>
      </c>
      <c r="I567" s="458">
        <f>$I$552*I566/1000/1000</f>
        <v>0</v>
      </c>
      <c r="J567" s="457">
        <f>$I$552*J566/1000/1000</f>
        <v>0</v>
      </c>
      <c r="K567" s="457">
        <f>$I$552*K566/1000/1000</f>
        <v>0</v>
      </c>
      <c r="L567" s="457">
        <f>$I$552*L566/1000/1000</f>
        <v>0</v>
      </c>
      <c r="M567" s="457">
        <f>$I$552*M566/1000/1000</f>
        <v>0</v>
      </c>
      <c r="N567" s="304"/>
      <c r="O567" s="304"/>
      <c r="P567" s="304"/>
      <c r="Q567" s="304"/>
      <c r="R567" s="304"/>
      <c r="S567" s="304"/>
      <c r="T567" s="304"/>
      <c r="U567" s="304"/>
      <c r="V567" s="304"/>
      <c r="W567" s="304"/>
      <c r="X567" s="304"/>
      <c r="Y567" s="304"/>
      <c r="Z567" s="305"/>
    </row>
    <row r="568" spans="1:26" x14ac:dyDescent="0.2">
      <c r="A568" s="303"/>
      <c r="B568" s="304"/>
      <c r="C568" s="1179"/>
      <c r="D568" s="438" t="s">
        <v>50</v>
      </c>
      <c r="E568" s="451" t="s">
        <v>193</v>
      </c>
      <c r="F568" s="461">
        <v>148</v>
      </c>
      <c r="G568" s="373">
        <v>9.0000000000000002E-6</v>
      </c>
      <c r="H568" s="453">
        <v>5.9999999999999995E-8</v>
      </c>
      <c r="I568" s="462">
        <v>5.6000000000000001E-2</v>
      </c>
      <c r="J568" s="324">
        <v>1.4999999999999999E-2</v>
      </c>
      <c r="K568" s="324">
        <v>0.39500000000000002</v>
      </c>
      <c r="L568" s="324">
        <v>2E-3</v>
      </c>
      <c r="M568" s="463">
        <v>0</v>
      </c>
      <c r="N568" s="304"/>
      <c r="O568" s="304"/>
      <c r="P568" s="304"/>
      <c r="Q568" s="304"/>
      <c r="R568" s="304"/>
      <c r="S568" s="304"/>
      <c r="T568" s="304"/>
      <c r="U568" s="304"/>
      <c r="V568" s="304"/>
      <c r="W568" s="304"/>
      <c r="X568" s="304"/>
      <c r="Y568" s="304"/>
      <c r="Z568" s="305"/>
    </row>
    <row r="569" spans="1:26" x14ac:dyDescent="0.2">
      <c r="A569" s="303"/>
      <c r="B569" s="304"/>
      <c r="C569" s="1179"/>
      <c r="D569" s="438"/>
      <c r="E569" s="451" t="s">
        <v>67</v>
      </c>
      <c r="F569" s="468">
        <f>F568*$G$553/1000/1000</f>
        <v>0</v>
      </c>
      <c r="G569" s="457">
        <f>$J$553*G568/1000</f>
        <v>0</v>
      </c>
      <c r="H569" s="465">
        <f>$J$553*H568/1000</f>
        <v>0</v>
      </c>
      <c r="I569" s="466">
        <f>I568*$G$553/1000/1000</f>
        <v>0</v>
      </c>
      <c r="J569" s="466">
        <f>J568*$G$553/1000/1000</f>
        <v>0</v>
      </c>
      <c r="K569" s="466">
        <f>K568*$G$553/1000/1000</f>
        <v>0</v>
      </c>
      <c r="L569" s="466">
        <f>L568*$G$553/1000/1000</f>
        <v>0</v>
      </c>
      <c r="M569" s="468">
        <f>M568*$G$553/1000/1000</f>
        <v>0</v>
      </c>
      <c r="N569" s="304"/>
      <c r="O569" s="304"/>
      <c r="P569" s="304"/>
      <c r="Q569" s="304"/>
      <c r="R569" s="304"/>
      <c r="S569" s="304"/>
      <c r="T569" s="304"/>
      <c r="U569" s="304"/>
      <c r="V569" s="304"/>
      <c r="W569" s="304"/>
      <c r="X569" s="304"/>
      <c r="Y569" s="304"/>
      <c r="Z569" s="305"/>
    </row>
    <row r="570" spans="1:26" x14ac:dyDescent="0.2">
      <c r="A570" s="303"/>
      <c r="B570" s="304"/>
      <c r="C570" s="1177" t="s">
        <v>834</v>
      </c>
      <c r="D570" s="438" t="s">
        <v>14</v>
      </c>
      <c r="E570" s="451" t="s">
        <v>839</v>
      </c>
      <c r="F570" s="455">
        <v>3180</v>
      </c>
      <c r="G570" s="469">
        <v>2.2999999999999998</v>
      </c>
      <c r="H570" s="455">
        <v>5.8999999999999997E-2</v>
      </c>
      <c r="I570" s="455">
        <v>9.5</v>
      </c>
      <c r="J570" s="455">
        <v>114</v>
      </c>
      <c r="K570" s="455">
        <v>490</v>
      </c>
      <c r="L570" s="455">
        <v>2.7</v>
      </c>
      <c r="M570" s="455">
        <v>0.04</v>
      </c>
      <c r="N570" s="470"/>
      <c r="O570" s="304"/>
      <c r="P570" s="304"/>
      <c r="Q570" s="304"/>
      <c r="R570" s="304"/>
      <c r="S570" s="304"/>
      <c r="T570" s="304"/>
      <c r="U570" s="304"/>
      <c r="V570" s="304"/>
      <c r="W570" s="304"/>
      <c r="X570" s="304"/>
      <c r="Y570" s="304"/>
      <c r="Z570" s="305"/>
    </row>
    <row r="571" spans="1:26" x14ac:dyDescent="0.2">
      <c r="A571" s="303"/>
      <c r="B571" s="304"/>
      <c r="C571" s="1178"/>
      <c r="D571" s="438"/>
      <c r="E571" s="451" t="s">
        <v>67</v>
      </c>
      <c r="F571" s="457">
        <f>$I$554*F570/1000/1000</f>
        <v>0</v>
      </c>
      <c r="G571" s="457">
        <f>$J$554*G570/1000/1000</f>
        <v>0</v>
      </c>
      <c r="H571" s="457">
        <f t="shared" ref="H571:M571" si="112">$I$554*H570/1000/1000</f>
        <v>0</v>
      </c>
      <c r="I571" s="457">
        <f t="shared" si="112"/>
        <v>0</v>
      </c>
      <c r="J571" s="457">
        <f t="shared" si="112"/>
        <v>0</v>
      </c>
      <c r="K571" s="457">
        <f t="shared" si="112"/>
        <v>0</v>
      </c>
      <c r="L571" s="457">
        <f t="shared" si="112"/>
        <v>0</v>
      </c>
      <c r="M571" s="457">
        <f t="shared" si="112"/>
        <v>0</v>
      </c>
      <c r="N571" s="470"/>
      <c r="O571" s="304"/>
      <c r="P571" s="304"/>
      <c r="Q571" s="304"/>
      <c r="R571" s="304"/>
      <c r="S571" s="304"/>
      <c r="T571" s="304"/>
      <c r="U571" s="304"/>
      <c r="V571" s="304"/>
      <c r="W571" s="304"/>
      <c r="X571" s="304"/>
      <c r="Y571" s="304"/>
      <c r="Z571" s="305"/>
    </row>
    <row r="572" spans="1:26" x14ac:dyDescent="0.2">
      <c r="A572" s="303"/>
      <c r="B572" s="304"/>
      <c r="C572" s="309"/>
      <c r="D572" s="438"/>
      <c r="E572" s="471" t="s">
        <v>0</v>
      </c>
      <c r="F572" s="788">
        <f>F559+F561+F563+F565+F567+F569+F571</f>
        <v>436.60656000000006</v>
      </c>
      <c r="G572" s="467">
        <f t="shared" ref="G572:M572" si="113">G559+G561+G563+G565+G567+G569+G571</f>
        <v>9.0361953816046961E-2</v>
      </c>
      <c r="H572" s="467">
        <f t="shared" si="113"/>
        <v>3.7370465753424661E-2</v>
      </c>
      <c r="I572" s="467">
        <f t="shared" si="113"/>
        <v>1.9511640000000001</v>
      </c>
      <c r="J572" s="467">
        <f t="shared" si="113"/>
        <v>1.7700912</v>
      </c>
      <c r="K572" s="467">
        <f t="shared" si="113"/>
        <v>16.621646400000003</v>
      </c>
      <c r="L572" s="467">
        <f t="shared" si="113"/>
        <v>2.4961751999999997E-2</v>
      </c>
      <c r="M572" s="467">
        <f t="shared" si="113"/>
        <v>5.115456E-3</v>
      </c>
      <c r="N572" s="304"/>
      <c r="O572" s="304"/>
      <c r="P572" s="304"/>
      <c r="Q572" s="304"/>
      <c r="R572" s="304"/>
      <c r="S572" s="304"/>
      <c r="T572" s="304"/>
      <c r="U572" s="304"/>
      <c r="V572" s="304"/>
      <c r="W572" s="304"/>
      <c r="X572" s="304"/>
      <c r="Y572" s="304"/>
      <c r="Z572" s="305"/>
    </row>
    <row r="573" spans="1:26" x14ac:dyDescent="0.2">
      <c r="A573" s="303"/>
      <c r="B573" s="304"/>
      <c r="C573" s="472" t="s">
        <v>68</v>
      </c>
      <c r="D573" s="429"/>
      <c r="E573" s="430"/>
      <c r="F573" s="431"/>
      <c r="G573" s="431"/>
      <c r="H573" s="445"/>
      <c r="I573" s="303"/>
      <c r="J573" s="304"/>
      <c r="K573" s="304"/>
      <c r="L573" s="304"/>
      <c r="M573" s="304"/>
      <c r="N573" s="304"/>
      <c r="O573" s="304"/>
      <c r="P573" s="304"/>
      <c r="Q573" s="304"/>
      <c r="R573" s="304"/>
      <c r="S573" s="304"/>
      <c r="T573" s="304"/>
      <c r="U573" s="304"/>
      <c r="V573" s="304"/>
      <c r="W573" s="304"/>
      <c r="X573" s="304"/>
      <c r="Y573" s="304"/>
      <c r="Z573" s="305"/>
    </row>
    <row r="574" spans="1:26" x14ac:dyDescent="0.2">
      <c r="A574" s="303"/>
      <c r="B574" s="304"/>
      <c r="C574" s="472"/>
      <c r="D574" s="429"/>
      <c r="E574" s="430"/>
      <c r="F574" s="431"/>
      <c r="G574" s="431"/>
      <c r="H574" s="445"/>
      <c r="I574" s="303"/>
      <c r="J574" s="304"/>
      <c r="K574" s="304"/>
      <c r="L574" s="304"/>
      <c r="M574" s="304"/>
      <c r="N574" s="304"/>
      <c r="O574" s="304"/>
      <c r="P574" s="304"/>
      <c r="Q574" s="304"/>
      <c r="R574" s="304"/>
      <c r="S574" s="304"/>
      <c r="T574" s="304"/>
      <c r="U574" s="304"/>
      <c r="V574" s="304"/>
      <c r="W574" s="304"/>
      <c r="X574" s="304"/>
      <c r="Y574" s="304"/>
      <c r="Z574" s="305"/>
    </row>
    <row r="575" spans="1:26" x14ac:dyDescent="0.2">
      <c r="A575" s="303"/>
      <c r="B575" s="304"/>
      <c r="C575" s="304"/>
      <c r="D575" s="429"/>
      <c r="E575" s="430"/>
      <c r="F575" s="431"/>
      <c r="G575" s="431"/>
      <c r="H575" s="445"/>
      <c r="I575" s="303"/>
      <c r="J575" s="304"/>
      <c r="K575" s="304"/>
      <c r="L575" s="304"/>
      <c r="M575" s="304"/>
      <c r="N575" s="304"/>
      <c r="O575" s="304"/>
      <c r="P575" s="304"/>
      <c r="Q575" s="304"/>
      <c r="R575" s="304"/>
      <c r="S575" s="304"/>
      <c r="T575" s="304"/>
      <c r="U575" s="304"/>
      <c r="V575" s="304"/>
      <c r="W575" s="304"/>
      <c r="X575" s="304"/>
      <c r="Y575" s="304"/>
      <c r="Z575" s="305"/>
    </row>
    <row r="576" spans="1:26" x14ac:dyDescent="0.2">
      <c r="A576" s="303"/>
      <c r="B576" s="304"/>
      <c r="C576" s="446" t="s">
        <v>800</v>
      </c>
      <c r="D576" s="429"/>
      <c r="E576" s="304"/>
      <c r="F576" s="304"/>
      <c r="G576" s="431"/>
      <c r="H576" s="1185" t="s">
        <v>224</v>
      </c>
      <c r="I576" s="1186"/>
      <c r="J576" s="1187"/>
      <c r="K576" s="304"/>
      <c r="L576" s="304"/>
      <c r="M576" s="304"/>
      <c r="N576" s="304"/>
      <c r="O576" s="304"/>
      <c r="P576" s="304"/>
      <c r="Q576" s="304"/>
      <c r="R576" s="304"/>
      <c r="S576" s="304"/>
      <c r="T576" s="304"/>
      <c r="U576" s="304"/>
      <c r="V576" s="304"/>
      <c r="W576" s="304"/>
      <c r="X576" s="304"/>
      <c r="Y576" s="304"/>
      <c r="Z576" s="305"/>
    </row>
    <row r="577" spans="1:26" ht="25.5" x14ac:dyDescent="0.2">
      <c r="A577" s="303"/>
      <c r="B577" s="304"/>
      <c r="C577" s="309"/>
      <c r="D577" s="438" t="s">
        <v>205</v>
      </c>
      <c r="E577" s="442" t="s">
        <v>206</v>
      </c>
      <c r="F577" s="443" t="s">
        <v>207</v>
      </c>
      <c r="G577" s="443" t="s">
        <v>208</v>
      </c>
      <c r="H577" s="312" t="s">
        <v>221</v>
      </c>
      <c r="I577" s="447" t="s">
        <v>222</v>
      </c>
      <c r="J577" s="447" t="s">
        <v>223</v>
      </c>
      <c r="K577" s="322"/>
      <c r="L577" s="304"/>
      <c r="M577" s="304"/>
      <c r="N577" s="304"/>
      <c r="O577" s="304"/>
      <c r="P577" s="304"/>
      <c r="Q577" s="304"/>
      <c r="R577" s="304"/>
      <c r="S577" s="304"/>
      <c r="T577" s="304"/>
      <c r="U577" s="304"/>
      <c r="V577" s="304"/>
      <c r="W577" s="304"/>
      <c r="X577" s="304"/>
      <c r="Y577" s="304"/>
      <c r="Z577" s="305"/>
    </row>
    <row r="578" spans="1:26" x14ac:dyDescent="0.2">
      <c r="A578" s="303"/>
      <c r="B578" s="304"/>
      <c r="C578" s="1179" t="s">
        <v>204</v>
      </c>
      <c r="D578" s="438" t="s">
        <v>14</v>
      </c>
      <c r="E578" s="442">
        <f>Calc1!$E$383*Calc1!E390*Calc2!$H$538</f>
        <v>597600</v>
      </c>
      <c r="F578" s="443">
        <f>Calc1!$G$285</f>
        <v>30</v>
      </c>
      <c r="G578" s="443">
        <f>E578*F578</f>
        <v>17928000</v>
      </c>
      <c r="H578" s="309">
        <v>70</v>
      </c>
      <c r="I578" s="309">
        <f t="shared" ref="I578:I584" si="114">H578*G578/1000</f>
        <v>1254960</v>
      </c>
      <c r="J578" s="351">
        <f>I578*1000/730</f>
        <v>1719123.2876712328</v>
      </c>
      <c r="K578" s="304"/>
      <c r="L578" s="304"/>
      <c r="M578" s="304"/>
      <c r="N578" s="304"/>
      <c r="O578" s="304"/>
      <c r="P578" s="304"/>
      <c r="Q578" s="304"/>
      <c r="R578" s="304"/>
      <c r="S578" s="304"/>
      <c r="T578" s="304"/>
      <c r="U578" s="304"/>
      <c r="V578" s="304"/>
      <c r="W578" s="304"/>
      <c r="X578" s="304"/>
      <c r="Y578" s="304"/>
      <c r="Z578" s="305"/>
    </row>
    <row r="579" spans="1:26" x14ac:dyDescent="0.2">
      <c r="A579" s="303"/>
      <c r="B579" s="304"/>
      <c r="C579" s="1179"/>
      <c r="D579" s="438" t="s">
        <v>12</v>
      </c>
      <c r="E579" s="442">
        <f>Calc1!$E$383*Calc1!E391*Calc2!$H$538</f>
        <v>66400</v>
      </c>
      <c r="F579" s="443">
        <f>Calc1!$G$285</f>
        <v>30</v>
      </c>
      <c r="G579" s="443">
        <f t="shared" ref="G579:G584" si="115">E579*F579</f>
        <v>1992000</v>
      </c>
      <c r="H579" s="309">
        <v>60</v>
      </c>
      <c r="I579" s="309">
        <f t="shared" si="114"/>
        <v>119520</v>
      </c>
      <c r="J579" s="351">
        <f t="shared" ref="J579" si="116">I579*1000/840</f>
        <v>142285.71428571429</v>
      </c>
      <c r="K579" s="304"/>
      <c r="L579" s="304"/>
      <c r="M579" s="304"/>
      <c r="N579" s="304"/>
      <c r="O579" s="304"/>
      <c r="P579" s="304"/>
      <c r="Q579" s="304"/>
      <c r="R579" s="304"/>
      <c r="S579" s="304"/>
      <c r="T579" s="304"/>
      <c r="U579" s="304"/>
      <c r="V579" s="304"/>
      <c r="W579" s="304"/>
      <c r="X579" s="304"/>
      <c r="Y579" s="304"/>
      <c r="Z579" s="305"/>
    </row>
    <row r="580" spans="1:26" x14ac:dyDescent="0.2">
      <c r="A580" s="303"/>
      <c r="B580" s="304"/>
      <c r="C580" s="1179"/>
      <c r="D580" s="438" t="s">
        <v>50</v>
      </c>
      <c r="E580" s="442">
        <f>Calc1!$E$383*Calc1!E392*Calc2!$H$538</f>
        <v>0</v>
      </c>
      <c r="F580" s="443">
        <f>Calc1!$G$285</f>
        <v>30</v>
      </c>
      <c r="G580" s="443">
        <f t="shared" si="115"/>
        <v>0</v>
      </c>
      <c r="H580" s="309">
        <v>50</v>
      </c>
      <c r="I580" s="309">
        <f t="shared" si="114"/>
        <v>0</v>
      </c>
      <c r="J580" s="351">
        <f>I580*1000/0.714</f>
        <v>0</v>
      </c>
      <c r="K580" s="304"/>
      <c r="L580" s="304"/>
      <c r="M580" s="304"/>
      <c r="N580" s="304"/>
      <c r="O580" s="304"/>
      <c r="P580" s="304"/>
      <c r="Q580" s="304"/>
      <c r="R580" s="304"/>
      <c r="S580" s="304"/>
      <c r="T580" s="304"/>
      <c r="U580" s="304"/>
      <c r="V580" s="304"/>
      <c r="W580" s="304"/>
      <c r="X580" s="304"/>
      <c r="Y580" s="304"/>
      <c r="Z580" s="305"/>
    </row>
    <row r="581" spans="1:26" x14ac:dyDescent="0.2">
      <c r="A581" s="303"/>
      <c r="B581" s="304"/>
      <c r="C581" s="1179" t="s">
        <v>696</v>
      </c>
      <c r="D581" s="438" t="s">
        <v>14</v>
      </c>
      <c r="E581" s="442">
        <f>$H$538*Calc1!$E$384*Calc1!G390</f>
        <v>0</v>
      </c>
      <c r="F581" s="443">
        <f>Calc1!$G$285</f>
        <v>30</v>
      </c>
      <c r="G581" s="443">
        <f t="shared" si="115"/>
        <v>0</v>
      </c>
      <c r="H581" s="309">
        <v>100</v>
      </c>
      <c r="I581" s="309">
        <f t="shared" si="114"/>
        <v>0</v>
      </c>
      <c r="J581" s="351">
        <f>I581*1000/730</f>
        <v>0</v>
      </c>
      <c r="K581" s="304"/>
      <c r="L581" s="304"/>
      <c r="M581" s="304"/>
      <c r="N581" s="304"/>
      <c r="O581" s="304"/>
      <c r="P581" s="304"/>
      <c r="Q581" s="304"/>
      <c r="R581" s="304"/>
      <c r="S581" s="304"/>
      <c r="T581" s="304"/>
      <c r="U581" s="304"/>
      <c r="V581" s="304"/>
      <c r="W581" s="304"/>
      <c r="X581" s="304"/>
      <c r="Y581" s="304"/>
      <c r="Z581" s="305"/>
    </row>
    <row r="582" spans="1:26" x14ac:dyDescent="0.2">
      <c r="A582" s="303"/>
      <c r="B582" s="304"/>
      <c r="C582" s="1179"/>
      <c r="D582" s="438" t="s">
        <v>12</v>
      </c>
      <c r="E582" s="442">
        <f>$H$538*Calc1!$E$384*Calc1!G391</f>
        <v>0</v>
      </c>
      <c r="F582" s="443">
        <f>Calc1!$G$285</f>
        <v>30</v>
      </c>
      <c r="G582" s="443">
        <f t="shared" si="115"/>
        <v>0</v>
      </c>
      <c r="H582" s="309">
        <v>80</v>
      </c>
      <c r="I582" s="309">
        <f t="shared" si="114"/>
        <v>0</v>
      </c>
      <c r="J582" s="351">
        <f>I582*1000/840</f>
        <v>0</v>
      </c>
      <c r="K582" s="304"/>
      <c r="L582" s="304"/>
      <c r="M582" s="304"/>
      <c r="N582" s="304"/>
      <c r="O582" s="304"/>
      <c r="P582" s="304"/>
      <c r="Q582" s="304"/>
      <c r="R582" s="304"/>
      <c r="S582" s="304"/>
      <c r="T582" s="304"/>
      <c r="U582" s="304"/>
      <c r="V582" s="304"/>
      <c r="W582" s="304"/>
      <c r="X582" s="304"/>
      <c r="Y582" s="304"/>
      <c r="Z582" s="305"/>
    </row>
    <row r="583" spans="1:26" x14ac:dyDescent="0.2">
      <c r="A583" s="303"/>
      <c r="B583" s="304"/>
      <c r="C583" s="1179"/>
      <c r="D583" s="438" t="s">
        <v>50</v>
      </c>
      <c r="E583" s="442">
        <f>$H$538*Calc1!$E$384*Calc1!G392</f>
        <v>0</v>
      </c>
      <c r="F583" s="443">
        <f>Calc1!$G$285</f>
        <v>30</v>
      </c>
      <c r="G583" s="443">
        <f t="shared" si="115"/>
        <v>0</v>
      </c>
      <c r="H583" s="309">
        <v>50</v>
      </c>
      <c r="I583" s="309">
        <f t="shared" si="114"/>
        <v>0</v>
      </c>
      <c r="J583" s="351">
        <f>I583*1000/0.714</f>
        <v>0</v>
      </c>
      <c r="K583" s="304"/>
      <c r="L583" s="304"/>
      <c r="M583" s="304"/>
      <c r="N583" s="304"/>
      <c r="O583" s="304"/>
      <c r="P583" s="304"/>
      <c r="Q583" s="304"/>
      <c r="R583" s="304"/>
      <c r="S583" s="304"/>
      <c r="T583" s="304"/>
      <c r="U583" s="304"/>
      <c r="V583" s="304"/>
      <c r="W583" s="304"/>
      <c r="X583" s="304"/>
      <c r="Y583" s="304"/>
      <c r="Z583" s="305"/>
    </row>
    <row r="584" spans="1:26" x14ac:dyDescent="0.2">
      <c r="A584" s="303"/>
      <c r="B584" s="304"/>
      <c r="C584" s="312" t="s">
        <v>834</v>
      </c>
      <c r="D584" s="438" t="s">
        <v>14</v>
      </c>
      <c r="E584" s="442">
        <f>$H$538*Calc1!E385</f>
        <v>0</v>
      </c>
      <c r="F584" s="443">
        <f>Calc1!$G$285</f>
        <v>30</v>
      </c>
      <c r="G584" s="443">
        <f t="shared" si="115"/>
        <v>0</v>
      </c>
      <c r="H584" s="438">
        <v>35</v>
      </c>
      <c r="I584" s="309">
        <f t="shared" si="114"/>
        <v>0</v>
      </c>
      <c r="J584" s="351">
        <f>I584*1000/730</f>
        <v>0</v>
      </c>
      <c r="K584" s="304"/>
      <c r="L584" s="304"/>
      <c r="M584" s="304"/>
      <c r="N584" s="304"/>
      <c r="O584" s="304"/>
      <c r="P584" s="304"/>
      <c r="Q584" s="304"/>
      <c r="R584" s="304"/>
      <c r="S584" s="304"/>
      <c r="T584" s="304"/>
      <c r="U584" s="304"/>
      <c r="V584" s="304"/>
      <c r="W584" s="304"/>
      <c r="X584" s="304"/>
      <c r="Y584" s="304"/>
      <c r="Z584" s="305"/>
    </row>
    <row r="585" spans="1:26" x14ac:dyDescent="0.2">
      <c r="A585" s="303"/>
      <c r="B585" s="304"/>
      <c r="C585" s="304"/>
      <c r="D585" s="429"/>
      <c r="E585" s="430"/>
      <c r="F585" s="431"/>
      <c r="G585" s="431"/>
      <c r="H585" s="445"/>
      <c r="I585" s="303"/>
      <c r="J585" s="304"/>
      <c r="K585" s="304"/>
      <c r="L585" s="304"/>
      <c r="M585" s="304"/>
      <c r="N585" s="304"/>
      <c r="O585" s="304"/>
      <c r="P585" s="304"/>
      <c r="Q585" s="304"/>
      <c r="R585" s="304"/>
      <c r="S585" s="304"/>
      <c r="T585" s="304"/>
      <c r="U585" s="304"/>
      <c r="V585" s="304"/>
      <c r="W585" s="304"/>
      <c r="X585" s="304"/>
      <c r="Y585" s="304"/>
      <c r="Z585" s="305"/>
    </row>
    <row r="586" spans="1:26" ht="13.5" thickBot="1" x14ac:dyDescent="0.25">
      <c r="A586" s="303"/>
      <c r="B586" s="304"/>
      <c r="C586" s="304"/>
      <c r="D586" s="429"/>
      <c r="E586" s="430"/>
      <c r="F586" s="431"/>
      <c r="G586" s="431"/>
      <c r="H586" s="321"/>
      <c r="I586" s="391"/>
      <c r="J586" s="322"/>
      <c r="K586" s="322"/>
      <c r="L586" s="322"/>
      <c r="M586" s="304"/>
      <c r="N586" s="304"/>
      <c r="O586" s="304"/>
      <c r="P586" s="304"/>
      <c r="Q586" s="304"/>
      <c r="R586" s="304"/>
      <c r="S586" s="304"/>
      <c r="T586" s="304"/>
      <c r="U586" s="304"/>
      <c r="V586" s="304"/>
      <c r="W586" s="304"/>
      <c r="X586" s="304"/>
      <c r="Y586" s="304"/>
      <c r="Z586" s="305"/>
    </row>
    <row r="587" spans="1:26" ht="15.75" x14ac:dyDescent="0.3">
      <c r="A587" s="303"/>
      <c r="B587" s="304"/>
      <c r="C587" s="309"/>
      <c r="D587" s="438" t="s">
        <v>205</v>
      </c>
      <c r="E587" s="442"/>
      <c r="F587" s="310" t="s">
        <v>16</v>
      </c>
      <c r="G587" s="310" t="s">
        <v>17</v>
      </c>
      <c r="H587" s="311" t="s">
        <v>789</v>
      </c>
      <c r="I587" s="449" t="s">
        <v>197</v>
      </c>
      <c r="J587" s="450" t="s">
        <v>180</v>
      </c>
      <c r="K587" s="450" t="s">
        <v>194</v>
      </c>
      <c r="L587" s="450" t="s">
        <v>195</v>
      </c>
      <c r="M587" s="450" t="s">
        <v>196</v>
      </c>
      <c r="N587" s="448"/>
      <c r="O587" s="304"/>
      <c r="P587" s="304"/>
      <c r="Q587" s="304"/>
      <c r="R587" s="304"/>
      <c r="S587" s="304"/>
      <c r="T587" s="304"/>
      <c r="U587" s="304"/>
      <c r="V587" s="304"/>
      <c r="W587" s="304"/>
      <c r="X587" s="304"/>
      <c r="Y587" s="304"/>
      <c r="Z587" s="305"/>
    </row>
    <row r="588" spans="1:26" x14ac:dyDescent="0.2">
      <c r="A588" s="303"/>
      <c r="B588" s="304"/>
      <c r="C588" s="1179" t="s">
        <v>204</v>
      </c>
      <c r="D588" s="438" t="s">
        <v>14</v>
      </c>
      <c r="E588" s="451" t="s">
        <v>28</v>
      </c>
      <c r="F588" s="373">
        <v>2.2890000000000001</v>
      </c>
      <c r="G588" s="373">
        <v>5.1999999999999995E-4</v>
      </c>
      <c r="H588" s="453">
        <v>2.0000000000000001E-4</v>
      </c>
      <c r="I588" s="454">
        <v>14.5</v>
      </c>
      <c r="J588" s="455">
        <v>14</v>
      </c>
      <c r="K588" s="455">
        <v>132</v>
      </c>
      <c r="L588" s="455">
        <v>3.6999999999999998E-2</v>
      </c>
      <c r="M588" s="455">
        <v>0.04</v>
      </c>
      <c r="N588" s="452">
        <v>3180</v>
      </c>
      <c r="O588" s="304"/>
      <c r="P588" s="304"/>
      <c r="Q588" s="304"/>
      <c r="R588" s="304"/>
      <c r="S588" s="304"/>
      <c r="T588" s="304"/>
      <c r="U588" s="304"/>
      <c r="V588" s="304"/>
      <c r="W588" s="304"/>
      <c r="X588" s="304"/>
      <c r="Y588" s="304"/>
      <c r="Z588" s="305"/>
    </row>
    <row r="589" spans="1:26" x14ac:dyDescent="0.2">
      <c r="A589" s="303"/>
      <c r="B589" s="304"/>
      <c r="C589" s="1179"/>
      <c r="D589" s="438"/>
      <c r="E589" s="451" t="s">
        <v>67</v>
      </c>
      <c r="F589" s="457">
        <f>$J$578*F588/1000</f>
        <v>3935.0732054794526</v>
      </c>
      <c r="G589" s="457">
        <f>$J$578*G588/1000</f>
        <v>0.89394410958904102</v>
      </c>
      <c r="H589" s="457">
        <f>$J$578*H588/1000</f>
        <v>0.34382465753424657</v>
      </c>
      <c r="I589" s="458">
        <f t="shared" ref="I589:N589" si="117">$I$578*I588/1000/1000</f>
        <v>18.196919999999999</v>
      </c>
      <c r="J589" s="457">
        <f t="shared" si="117"/>
        <v>17.56944</v>
      </c>
      <c r="K589" s="457">
        <f t="shared" si="117"/>
        <v>165.65472</v>
      </c>
      <c r="L589" s="457">
        <f t="shared" si="117"/>
        <v>4.6433519999999992E-2</v>
      </c>
      <c r="M589" s="457">
        <f t="shared" si="117"/>
        <v>5.0198399999999997E-2</v>
      </c>
      <c r="N589" s="456">
        <f t="shared" si="117"/>
        <v>3990.7727999999997</v>
      </c>
      <c r="O589" s="304"/>
      <c r="P589" s="304"/>
      <c r="Q589" s="304"/>
      <c r="R589" s="304"/>
      <c r="S589" s="304"/>
      <c r="T589" s="304"/>
      <c r="U589" s="304"/>
      <c r="V589" s="304"/>
      <c r="W589" s="304"/>
      <c r="X589" s="304"/>
      <c r="Y589" s="304"/>
      <c r="Z589" s="305"/>
    </row>
    <row r="590" spans="1:26" x14ac:dyDescent="0.2">
      <c r="A590" s="303"/>
      <c r="B590" s="304"/>
      <c r="C590" s="1179"/>
      <c r="D590" s="438" t="s">
        <v>12</v>
      </c>
      <c r="E590" s="451" t="s">
        <v>29</v>
      </c>
      <c r="F590" s="373">
        <v>2.6629999999999998</v>
      </c>
      <c r="G590" s="373">
        <v>6.7999999999999999E-5</v>
      </c>
      <c r="H590" s="453">
        <v>2.1000000000000001E-4</v>
      </c>
      <c r="I590" s="454">
        <v>11</v>
      </c>
      <c r="J590" s="455">
        <v>1.1000000000000001</v>
      </c>
      <c r="K590" s="455">
        <v>4.7</v>
      </c>
      <c r="L590" s="455">
        <v>1.7</v>
      </c>
      <c r="M590" s="455">
        <v>8.0000000000000002E-3</v>
      </c>
      <c r="N590" s="452">
        <v>3140</v>
      </c>
      <c r="O590" s="304"/>
      <c r="P590" s="304"/>
      <c r="Q590" s="304"/>
      <c r="R590" s="304"/>
      <c r="S590" s="304"/>
      <c r="T590" s="304"/>
      <c r="U590" s="304"/>
      <c r="V590" s="304"/>
      <c r="W590" s="304"/>
      <c r="X590" s="304"/>
      <c r="Y590" s="304"/>
      <c r="Z590" s="305"/>
    </row>
    <row r="591" spans="1:26" x14ac:dyDescent="0.2">
      <c r="A591" s="303"/>
      <c r="B591" s="304"/>
      <c r="C591" s="1179"/>
      <c r="D591" s="438"/>
      <c r="E591" s="451" t="s">
        <v>67</v>
      </c>
      <c r="F591" s="459">
        <f>$J$579*F590/1000</f>
        <v>378.90685714285712</v>
      </c>
      <c r="G591" s="459">
        <f>$J$579*G590/1000</f>
        <v>9.6754285714285727E-3</v>
      </c>
      <c r="H591" s="460">
        <f>$J$579*H590/1000</f>
        <v>2.9880000000000004E-2</v>
      </c>
      <c r="I591" s="458">
        <f t="shared" ref="I591:N591" si="118">$I$579*I590/1000/1000</f>
        <v>1.3147200000000001</v>
      </c>
      <c r="J591" s="457">
        <f t="shared" si="118"/>
        <v>0.13147200000000001</v>
      </c>
      <c r="K591" s="457">
        <f t="shared" si="118"/>
        <v>0.56174400000000002</v>
      </c>
      <c r="L591" s="457">
        <f t="shared" si="118"/>
        <v>0.203184</v>
      </c>
      <c r="M591" s="457">
        <f t="shared" si="118"/>
        <v>9.5616000000000006E-4</v>
      </c>
      <c r="N591" s="456">
        <f t="shared" si="118"/>
        <v>375.2928</v>
      </c>
      <c r="O591" s="304"/>
      <c r="P591" s="304"/>
      <c r="Q591" s="304"/>
      <c r="R591" s="304"/>
      <c r="S591" s="304"/>
      <c r="T591" s="304"/>
      <c r="U591" s="304"/>
      <c r="V591" s="304"/>
      <c r="W591" s="304"/>
      <c r="X591" s="304"/>
      <c r="Y591" s="304"/>
      <c r="Z591" s="305"/>
    </row>
    <row r="592" spans="1:26" x14ac:dyDescent="0.2">
      <c r="A592" s="303"/>
      <c r="B592" s="304"/>
      <c r="C592" s="1179"/>
      <c r="D592" s="438" t="s">
        <v>50</v>
      </c>
      <c r="E592" s="451" t="s">
        <v>193</v>
      </c>
      <c r="F592" s="373">
        <v>1.89E-3</v>
      </c>
      <c r="G592" s="373">
        <v>9.0000000000000002E-6</v>
      </c>
      <c r="H592" s="453">
        <v>5.9999999999999995E-8</v>
      </c>
      <c r="I592" s="462">
        <v>5.6000000000000001E-2</v>
      </c>
      <c r="J592" s="324">
        <v>1.4999999999999999E-2</v>
      </c>
      <c r="K592" s="324">
        <v>0.39500000000000002</v>
      </c>
      <c r="L592" s="324">
        <v>2E-3</v>
      </c>
      <c r="M592" s="463">
        <v>0</v>
      </c>
      <c r="N592" s="461">
        <v>148</v>
      </c>
      <c r="O592" s="304"/>
      <c r="P592" s="304"/>
      <c r="Q592" s="304"/>
      <c r="R592" s="304"/>
      <c r="S592" s="304"/>
      <c r="T592" s="304"/>
      <c r="U592" s="304"/>
      <c r="V592" s="304"/>
      <c r="W592" s="304"/>
      <c r="X592" s="304"/>
      <c r="Y592" s="304"/>
      <c r="Z592" s="305"/>
    </row>
    <row r="593" spans="1:26" x14ac:dyDescent="0.2">
      <c r="A593" s="303"/>
      <c r="B593" s="473"/>
      <c r="C593" s="1179"/>
      <c r="D593" s="438"/>
      <c r="E593" s="451" t="s">
        <v>67</v>
      </c>
      <c r="F593" s="457">
        <f>$J$580*F592/1000</f>
        <v>0</v>
      </c>
      <c r="G593" s="457">
        <f>$J$580*G592/1000</f>
        <v>0</v>
      </c>
      <c r="H593" s="457">
        <f>$J$580*H592/1000</f>
        <v>0</v>
      </c>
      <c r="I593" s="458">
        <f>I592*$G$580/1000/1000</f>
        <v>0</v>
      </c>
      <c r="J593" s="457">
        <f t="shared" ref="J593:N593" si="119">J592*$G$580/1000/1000</f>
        <v>0</v>
      </c>
      <c r="K593" s="457">
        <f t="shared" si="119"/>
        <v>0</v>
      </c>
      <c r="L593" s="457">
        <f t="shared" si="119"/>
        <v>0</v>
      </c>
      <c r="M593" s="457">
        <f t="shared" si="119"/>
        <v>0</v>
      </c>
      <c r="N593" s="456">
        <f t="shared" si="119"/>
        <v>0</v>
      </c>
      <c r="O593" s="304"/>
      <c r="P593" s="304"/>
      <c r="Q593" s="304"/>
      <c r="R593" s="304"/>
      <c r="S593" s="304"/>
      <c r="T593" s="304"/>
      <c r="U593" s="304"/>
      <c r="V593" s="304"/>
      <c r="W593" s="304"/>
      <c r="X593" s="304"/>
      <c r="Y593" s="304"/>
      <c r="Z593" s="305"/>
    </row>
    <row r="594" spans="1:26" x14ac:dyDescent="0.2">
      <c r="A594" s="303"/>
      <c r="B594" s="473"/>
      <c r="C594" s="1179" t="s">
        <v>696</v>
      </c>
      <c r="D594" s="438" t="s">
        <v>14</v>
      </c>
      <c r="E594" s="451" t="s">
        <v>28</v>
      </c>
      <c r="F594" s="373">
        <v>2.6629999999999998</v>
      </c>
      <c r="G594" s="373">
        <v>6.7999999999999999E-5</v>
      </c>
      <c r="H594" s="453">
        <v>2.1000000000000001E-4</v>
      </c>
      <c r="I594" s="454">
        <v>24</v>
      </c>
      <c r="J594" s="455">
        <v>14</v>
      </c>
      <c r="K594" s="455">
        <v>155</v>
      </c>
      <c r="L594" s="455">
        <v>0.03</v>
      </c>
      <c r="M594" s="455">
        <v>0.04</v>
      </c>
      <c r="N594" s="452">
        <v>3180</v>
      </c>
      <c r="O594" s="304"/>
      <c r="P594" s="304"/>
      <c r="Q594" s="304"/>
      <c r="R594" s="304"/>
      <c r="S594" s="304"/>
      <c r="T594" s="304"/>
      <c r="U594" s="304"/>
      <c r="V594" s="304"/>
      <c r="W594" s="304"/>
      <c r="X594" s="304"/>
      <c r="Y594" s="304"/>
      <c r="Z594" s="305"/>
    </row>
    <row r="595" spans="1:26" x14ac:dyDescent="0.2">
      <c r="A595" s="303"/>
      <c r="B595" s="304"/>
      <c r="C595" s="1179"/>
      <c r="D595" s="438"/>
      <c r="E595" s="451" t="s">
        <v>67</v>
      </c>
      <c r="F595" s="457">
        <f>$J$581*F594/1000</f>
        <v>0</v>
      </c>
      <c r="G595" s="457">
        <f>$J$581*G594/1000</f>
        <v>0</v>
      </c>
      <c r="H595" s="457">
        <f>$J$581*H594/1000</f>
        <v>0</v>
      </c>
      <c r="I595" s="458">
        <f t="shared" ref="I595:N595" si="120">$I$581*I594/1000/1000</f>
        <v>0</v>
      </c>
      <c r="J595" s="457">
        <f t="shared" si="120"/>
        <v>0</v>
      </c>
      <c r="K595" s="457">
        <f t="shared" si="120"/>
        <v>0</v>
      </c>
      <c r="L595" s="457">
        <f t="shared" si="120"/>
        <v>0</v>
      </c>
      <c r="M595" s="457">
        <f t="shared" si="120"/>
        <v>0</v>
      </c>
      <c r="N595" s="456">
        <f t="shared" si="120"/>
        <v>0</v>
      </c>
      <c r="O595" s="304"/>
      <c r="P595" s="304"/>
      <c r="Q595" s="304"/>
      <c r="R595" s="304"/>
      <c r="S595" s="304"/>
      <c r="T595" s="304"/>
      <c r="U595" s="304"/>
      <c r="V595" s="304"/>
      <c r="W595" s="304"/>
      <c r="X595" s="304"/>
      <c r="Y595" s="304"/>
      <c r="Z595" s="305"/>
    </row>
    <row r="596" spans="1:26" x14ac:dyDescent="0.2">
      <c r="A596" s="303"/>
      <c r="B596" s="304"/>
      <c r="C596" s="1179"/>
      <c r="D596" s="438" t="s">
        <v>12</v>
      </c>
      <c r="E596" s="451" t="s">
        <v>29</v>
      </c>
      <c r="F596" s="373">
        <v>2.6629999999999998</v>
      </c>
      <c r="G596" s="373">
        <v>6.7999999999999999E-5</v>
      </c>
      <c r="H596" s="453">
        <v>2.1000000000000001E-4</v>
      </c>
      <c r="I596" s="454">
        <v>15</v>
      </c>
      <c r="J596" s="455">
        <v>1.75</v>
      </c>
      <c r="K596" s="455">
        <v>11</v>
      </c>
      <c r="L596" s="455">
        <v>2.8</v>
      </c>
      <c r="M596" s="455">
        <v>8.0000000000000002E-3</v>
      </c>
      <c r="N596" s="452">
        <v>3140</v>
      </c>
      <c r="O596" s="304"/>
      <c r="P596" s="304"/>
      <c r="Q596" s="304"/>
      <c r="R596" s="304"/>
      <c r="S596" s="304"/>
      <c r="T596" s="304"/>
      <c r="U596" s="304"/>
      <c r="V596" s="304"/>
      <c r="W596" s="304"/>
      <c r="X596" s="304"/>
      <c r="Y596" s="304"/>
      <c r="Z596" s="305"/>
    </row>
    <row r="597" spans="1:26" x14ac:dyDescent="0.2">
      <c r="A597" s="303"/>
      <c r="B597" s="304"/>
      <c r="C597" s="1179"/>
      <c r="D597" s="438"/>
      <c r="E597" s="451" t="s">
        <v>67</v>
      </c>
      <c r="F597" s="457">
        <f>$J$582*F596/1000</f>
        <v>0</v>
      </c>
      <c r="G597" s="457">
        <f>$J$582*G596/1000</f>
        <v>0</v>
      </c>
      <c r="H597" s="457">
        <f>$J$582*H596/1000</f>
        <v>0</v>
      </c>
      <c r="I597" s="458">
        <f t="shared" ref="I597:N597" si="121">$I$582*I596/1000/1000</f>
        <v>0</v>
      </c>
      <c r="J597" s="457">
        <f t="shared" si="121"/>
        <v>0</v>
      </c>
      <c r="K597" s="457">
        <f t="shared" si="121"/>
        <v>0</v>
      </c>
      <c r="L597" s="457">
        <f t="shared" si="121"/>
        <v>0</v>
      </c>
      <c r="M597" s="457">
        <f t="shared" si="121"/>
        <v>0</v>
      </c>
      <c r="N597" s="456">
        <f t="shared" si="121"/>
        <v>0</v>
      </c>
      <c r="O597" s="304"/>
      <c r="P597" s="304"/>
      <c r="Q597" s="304"/>
      <c r="R597" s="304"/>
      <c r="S597" s="304"/>
      <c r="T597" s="304"/>
      <c r="U597" s="304"/>
      <c r="V597" s="304"/>
      <c r="W597" s="304"/>
      <c r="X597" s="304"/>
      <c r="Y597" s="304"/>
      <c r="Z597" s="305"/>
    </row>
    <row r="598" spans="1:26" x14ac:dyDescent="0.2">
      <c r="A598" s="303"/>
      <c r="B598" s="304"/>
      <c r="C598" s="1179"/>
      <c r="D598" s="438" t="s">
        <v>50</v>
      </c>
      <c r="E598" s="451" t="s">
        <v>193</v>
      </c>
      <c r="F598" s="373">
        <v>1.89E-3</v>
      </c>
      <c r="G598" s="373">
        <v>9.0000000000000002E-6</v>
      </c>
      <c r="H598" s="453">
        <v>5.9999999999999995E-8</v>
      </c>
      <c r="I598" s="462">
        <v>5.6000000000000001E-2</v>
      </c>
      <c r="J598" s="324">
        <v>1.4999999999999999E-2</v>
      </c>
      <c r="K598" s="324">
        <v>0.39500000000000002</v>
      </c>
      <c r="L598" s="324">
        <v>2E-3</v>
      </c>
      <c r="M598" s="463">
        <v>0</v>
      </c>
      <c r="N598" s="461">
        <v>148</v>
      </c>
      <c r="O598" s="304"/>
      <c r="P598" s="304"/>
      <c r="Q598" s="304"/>
      <c r="R598" s="304"/>
      <c r="S598" s="304"/>
      <c r="T598" s="304"/>
      <c r="U598" s="304"/>
      <c r="V598" s="304"/>
      <c r="W598" s="304"/>
      <c r="X598" s="304"/>
      <c r="Y598" s="304"/>
      <c r="Z598" s="305"/>
    </row>
    <row r="599" spans="1:26" x14ac:dyDescent="0.2">
      <c r="A599" s="303"/>
      <c r="B599" s="304"/>
      <c r="C599" s="1179"/>
      <c r="D599" s="438"/>
      <c r="E599" s="451" t="s">
        <v>67</v>
      </c>
      <c r="F599" s="457">
        <f>$J$583*F598/1000</f>
        <v>0</v>
      </c>
      <c r="G599" s="457">
        <f>$J$583*G598/1000</f>
        <v>0</v>
      </c>
      <c r="H599" s="457">
        <f>$J$583*H598/1000</f>
        <v>0</v>
      </c>
      <c r="I599" s="466">
        <f>I598*$G$583/1000/1000</f>
        <v>0</v>
      </c>
      <c r="J599" s="466">
        <f t="shared" ref="J599:N599" si="122">J598*$G$583/1000/1000</f>
        <v>0</v>
      </c>
      <c r="K599" s="466">
        <f t="shared" si="122"/>
        <v>0</v>
      </c>
      <c r="L599" s="466">
        <f t="shared" si="122"/>
        <v>0</v>
      </c>
      <c r="M599" s="466">
        <f t="shared" si="122"/>
        <v>0</v>
      </c>
      <c r="N599" s="466">
        <f t="shared" si="122"/>
        <v>0</v>
      </c>
      <c r="O599" s="304"/>
      <c r="P599" s="304"/>
      <c r="Q599" s="304"/>
      <c r="R599" s="304"/>
      <c r="S599" s="304"/>
      <c r="T599" s="304"/>
      <c r="U599" s="304"/>
      <c r="V599" s="304"/>
      <c r="W599" s="304"/>
      <c r="X599" s="304"/>
      <c r="Y599" s="304"/>
      <c r="Z599" s="305"/>
    </row>
    <row r="600" spans="1:26" x14ac:dyDescent="0.2">
      <c r="A600" s="303"/>
      <c r="B600" s="304"/>
      <c r="C600" s="1177" t="s">
        <v>834</v>
      </c>
      <c r="D600" s="438" t="s">
        <v>14</v>
      </c>
      <c r="E600" s="451" t="s">
        <v>839</v>
      </c>
      <c r="F600" s="455">
        <v>3180</v>
      </c>
      <c r="G600" s="469">
        <v>2.2999999999999998</v>
      </c>
      <c r="H600" s="455">
        <v>5.8999999999999997E-2</v>
      </c>
      <c r="I600" s="455">
        <v>9.5</v>
      </c>
      <c r="J600" s="455">
        <v>114</v>
      </c>
      <c r="K600" s="455">
        <v>490</v>
      </c>
      <c r="L600" s="455">
        <v>2.7</v>
      </c>
      <c r="M600" s="455">
        <v>0.04</v>
      </c>
      <c r="N600" s="470"/>
      <c r="O600" s="304"/>
      <c r="P600" s="304"/>
      <c r="Q600" s="304"/>
      <c r="R600" s="304"/>
      <c r="S600" s="304"/>
      <c r="T600" s="304"/>
      <c r="U600" s="304"/>
      <c r="V600" s="304"/>
      <c r="W600" s="304"/>
      <c r="X600" s="304"/>
      <c r="Y600" s="304"/>
      <c r="Z600" s="305"/>
    </row>
    <row r="601" spans="1:26" x14ac:dyDescent="0.2">
      <c r="A601" s="303"/>
      <c r="B601" s="304"/>
      <c r="C601" s="1178"/>
      <c r="D601" s="438"/>
      <c r="E601" s="451" t="s">
        <v>67</v>
      </c>
      <c r="F601" s="457">
        <f>$I$584*F600/1000/1000</f>
        <v>0</v>
      </c>
      <c r="G601" s="457">
        <f>$J$584*G600/1000/1000</f>
        <v>0</v>
      </c>
      <c r="H601" s="457">
        <f t="shared" ref="H601:N601" si="123">$I$584*H600/1000/1000</f>
        <v>0</v>
      </c>
      <c r="I601" s="457">
        <f t="shared" si="123"/>
        <v>0</v>
      </c>
      <c r="J601" s="457">
        <f t="shared" si="123"/>
        <v>0</v>
      </c>
      <c r="K601" s="457">
        <f t="shared" si="123"/>
        <v>0</v>
      </c>
      <c r="L601" s="457">
        <f t="shared" si="123"/>
        <v>0</v>
      </c>
      <c r="M601" s="457">
        <f t="shared" si="123"/>
        <v>0</v>
      </c>
      <c r="N601" s="457">
        <f t="shared" si="123"/>
        <v>0</v>
      </c>
      <c r="O601" s="304"/>
      <c r="P601" s="304"/>
      <c r="Q601" s="304"/>
      <c r="R601" s="304"/>
      <c r="S601" s="304"/>
      <c r="T601" s="304"/>
      <c r="U601" s="304"/>
      <c r="V601" s="304"/>
      <c r="W601" s="304"/>
      <c r="X601" s="304"/>
      <c r="Y601" s="304"/>
      <c r="Z601" s="305"/>
    </row>
    <row r="602" spans="1:26" x14ac:dyDescent="0.2">
      <c r="A602" s="303"/>
      <c r="B602" s="304"/>
      <c r="C602" s="309"/>
      <c r="D602" s="438"/>
      <c r="E602" s="471" t="s">
        <v>0</v>
      </c>
      <c r="F602" s="787">
        <f>F589+F591+F593+F595+F597+F599+F601</f>
        <v>4313.9800626223096</v>
      </c>
      <c r="G602" s="474">
        <f t="shared" ref="G602:N602" si="124">G589+G591+G593+G595+G597+G599+G601</f>
        <v>0.90361953816046958</v>
      </c>
      <c r="H602" s="474">
        <f t="shared" si="124"/>
        <v>0.37370465753424659</v>
      </c>
      <c r="I602" s="474">
        <f t="shared" si="124"/>
        <v>19.51164</v>
      </c>
      <c r="J602" s="474">
        <f t="shared" si="124"/>
        <v>17.700911999999999</v>
      </c>
      <c r="K602" s="474">
        <f t="shared" si="124"/>
        <v>166.216464</v>
      </c>
      <c r="L602" s="474">
        <f t="shared" si="124"/>
        <v>0.24961751999999998</v>
      </c>
      <c r="M602" s="474">
        <f t="shared" si="124"/>
        <v>5.1154559999999995E-2</v>
      </c>
      <c r="N602" s="474">
        <f t="shared" si="124"/>
        <v>4366.0655999999999</v>
      </c>
      <c r="O602" s="304"/>
      <c r="P602" s="304"/>
      <c r="Q602" s="304"/>
      <c r="R602" s="304"/>
      <c r="S602" s="304"/>
      <c r="T602" s="304"/>
      <c r="U602" s="304"/>
      <c r="V602" s="304"/>
      <c r="W602" s="304"/>
      <c r="X602" s="304"/>
      <c r="Y602" s="304"/>
      <c r="Z602" s="305"/>
    </row>
    <row r="603" spans="1:26" x14ac:dyDescent="0.2">
      <c r="A603" s="303"/>
      <c r="B603" s="304"/>
      <c r="C603" s="472" t="s">
        <v>68</v>
      </c>
      <c r="D603" s="429"/>
      <c r="E603" s="430"/>
      <c r="F603" s="431"/>
      <c r="G603" s="431"/>
      <c r="H603" s="445"/>
      <c r="I603" s="303"/>
      <c r="J603" s="304"/>
      <c r="K603" s="304"/>
      <c r="L603" s="304"/>
      <c r="M603" s="304"/>
      <c r="N603" s="304"/>
      <c r="O603" s="304"/>
      <c r="P603" s="304"/>
      <c r="Q603" s="304"/>
      <c r="R603" s="304"/>
      <c r="S603" s="304"/>
      <c r="T603" s="304"/>
      <c r="U603" s="304"/>
      <c r="V603" s="304"/>
      <c r="W603" s="304"/>
      <c r="X603" s="304"/>
      <c r="Y603" s="304"/>
      <c r="Z603" s="305"/>
    </row>
    <row r="604" spans="1:26" x14ac:dyDescent="0.2">
      <c r="A604" s="303"/>
      <c r="B604" s="304"/>
      <c r="C604" s="304"/>
      <c r="D604" s="429"/>
      <c r="E604" s="430"/>
      <c r="F604" s="431"/>
      <c r="G604" s="431"/>
      <c r="H604" s="445"/>
      <c r="I604" s="303"/>
      <c r="J604" s="304"/>
      <c r="K604" s="304"/>
      <c r="L604" s="304"/>
      <c r="M604" s="304"/>
      <c r="N604" s="304"/>
      <c r="O604" s="304"/>
      <c r="P604" s="304"/>
      <c r="Q604" s="304"/>
      <c r="R604" s="304"/>
      <c r="S604" s="304"/>
      <c r="T604" s="304"/>
      <c r="U604" s="304"/>
      <c r="V604" s="304"/>
      <c r="W604" s="304"/>
      <c r="X604" s="304"/>
      <c r="Y604" s="304"/>
      <c r="Z604" s="305"/>
    </row>
    <row r="605" spans="1:26" x14ac:dyDescent="0.2">
      <c r="A605" s="303"/>
      <c r="B605" s="304"/>
      <c r="C605" s="304"/>
      <c r="D605" s="429"/>
      <c r="E605" s="430"/>
      <c r="F605" s="431"/>
      <c r="G605" s="431"/>
      <c r="H605" s="445"/>
      <c r="I605" s="303"/>
      <c r="J605" s="304"/>
      <c r="K605" s="304"/>
      <c r="L605" s="304"/>
      <c r="M605" s="304"/>
      <c r="N605" s="304"/>
      <c r="O605" s="304"/>
      <c r="P605" s="304"/>
      <c r="Q605" s="304"/>
      <c r="R605" s="304"/>
      <c r="S605" s="304"/>
      <c r="T605" s="304"/>
      <c r="U605" s="304"/>
      <c r="V605" s="304"/>
      <c r="W605" s="304"/>
      <c r="X605" s="304"/>
      <c r="Y605" s="304"/>
      <c r="Z605" s="305"/>
    </row>
    <row r="606" spans="1:26" x14ac:dyDescent="0.2">
      <c r="A606" s="303"/>
      <c r="B606" s="304"/>
      <c r="C606" s="304"/>
      <c r="D606" s="429"/>
      <c r="E606" s="430"/>
      <c r="F606" s="431"/>
      <c r="G606" s="431"/>
      <c r="H606" s="445"/>
      <c r="I606" s="303"/>
      <c r="J606" s="304"/>
      <c r="K606" s="304"/>
      <c r="L606" s="304"/>
      <c r="M606" s="304"/>
      <c r="N606" s="304"/>
      <c r="O606" s="304"/>
      <c r="P606" s="304"/>
      <c r="Q606" s="304"/>
      <c r="R606" s="304"/>
      <c r="S606" s="304"/>
      <c r="T606" s="304"/>
      <c r="U606" s="304"/>
      <c r="V606" s="304"/>
      <c r="W606" s="304"/>
      <c r="X606" s="304"/>
      <c r="Y606" s="304"/>
      <c r="Z606" s="305"/>
    </row>
    <row r="607" spans="1:26" x14ac:dyDescent="0.2">
      <c r="A607" s="303"/>
      <c r="B607" s="304"/>
      <c r="C607" s="446" t="s">
        <v>792</v>
      </c>
      <c r="D607" s="429"/>
      <c r="E607" s="430"/>
      <c r="F607" s="304"/>
      <c r="G607" s="431"/>
      <c r="H607" s="1185" t="s">
        <v>224</v>
      </c>
      <c r="I607" s="1186"/>
      <c r="J607" s="1187"/>
      <c r="K607" s="304"/>
      <c r="L607" s="304"/>
      <c r="M607" s="304"/>
      <c r="N607" s="304"/>
      <c r="O607" s="304"/>
      <c r="P607" s="304"/>
      <c r="Q607" s="304"/>
      <c r="R607" s="304"/>
      <c r="S607" s="304"/>
      <c r="T607" s="304"/>
      <c r="U607" s="304"/>
      <c r="V607" s="304"/>
      <c r="W607" s="304"/>
      <c r="X607" s="304"/>
      <c r="Y607" s="304"/>
      <c r="Z607" s="305"/>
    </row>
    <row r="608" spans="1:26" ht="25.5" x14ac:dyDescent="0.2">
      <c r="A608" s="303"/>
      <c r="B608" s="304"/>
      <c r="C608" s="309"/>
      <c r="D608" s="438" t="s">
        <v>205</v>
      </c>
      <c r="E608" s="442" t="s">
        <v>206</v>
      </c>
      <c r="F608" s="443" t="s">
        <v>207</v>
      </c>
      <c r="G608" s="443" t="s">
        <v>208</v>
      </c>
      <c r="H608" s="312" t="s">
        <v>221</v>
      </c>
      <c r="I608" s="447" t="s">
        <v>222</v>
      </c>
      <c r="J608" s="447" t="s">
        <v>223</v>
      </c>
      <c r="K608" s="322"/>
      <c r="L608" s="304"/>
      <c r="M608" s="304"/>
      <c r="N608" s="304"/>
      <c r="O608" s="304"/>
      <c r="P608" s="304"/>
      <c r="Q608" s="304"/>
      <c r="R608" s="304"/>
      <c r="S608" s="304"/>
      <c r="T608" s="304"/>
      <c r="U608" s="304"/>
      <c r="V608" s="304"/>
      <c r="W608" s="304"/>
      <c r="X608" s="304"/>
      <c r="Y608" s="304"/>
      <c r="Z608" s="305"/>
    </row>
    <row r="609" spans="1:26" x14ac:dyDescent="0.2">
      <c r="A609" s="303"/>
      <c r="B609" s="304"/>
      <c r="C609" s="1179" t="s">
        <v>204</v>
      </c>
      <c r="D609" s="438" t="s">
        <v>14</v>
      </c>
      <c r="E609" s="442">
        <f>Calc1!E403*Calc1!E410*Calc2!$H$541</f>
        <v>9360</v>
      </c>
      <c r="F609" s="443">
        <f>Calc1!$G$285</f>
        <v>30</v>
      </c>
      <c r="G609" s="443">
        <f>E609*F609</f>
        <v>280800</v>
      </c>
      <c r="H609" s="309">
        <v>70</v>
      </c>
      <c r="I609" s="309">
        <f t="shared" ref="I609:I615" si="125">H609*G609/1000</f>
        <v>19656</v>
      </c>
      <c r="J609" s="351">
        <f>I609*1000/730</f>
        <v>26926.027397260274</v>
      </c>
      <c r="K609" s="304"/>
      <c r="L609" s="304"/>
      <c r="M609" s="304"/>
      <c r="N609" s="304"/>
      <c r="O609" s="304"/>
      <c r="P609" s="304"/>
      <c r="Q609" s="304"/>
      <c r="R609" s="304"/>
      <c r="S609" s="304"/>
      <c r="T609" s="304"/>
      <c r="U609" s="304"/>
      <c r="V609" s="304"/>
      <c r="W609" s="304"/>
      <c r="X609" s="304"/>
      <c r="Y609" s="304"/>
      <c r="Z609" s="305"/>
    </row>
    <row r="610" spans="1:26" x14ac:dyDescent="0.2">
      <c r="A610" s="303"/>
      <c r="B610" s="304"/>
      <c r="C610" s="1179"/>
      <c r="D610" s="438" t="s">
        <v>12</v>
      </c>
      <c r="E610" s="442">
        <f>Calc1!E403*Calc1!E411*Calc2!$H$541</f>
        <v>1040</v>
      </c>
      <c r="F610" s="443">
        <f>Calc1!$G$285</f>
        <v>30</v>
      </c>
      <c r="G610" s="443">
        <f t="shared" ref="G610:G615" si="126">E610*F610</f>
        <v>31200</v>
      </c>
      <c r="H610" s="309">
        <v>60</v>
      </c>
      <c r="I610" s="309">
        <f t="shared" si="125"/>
        <v>1872</v>
      </c>
      <c r="J610" s="351">
        <f t="shared" ref="J610" si="127">I610*1000/840</f>
        <v>2228.5714285714284</v>
      </c>
      <c r="K610" s="304"/>
      <c r="L610" s="304"/>
      <c r="M610" s="304"/>
      <c r="N610" s="304"/>
      <c r="O610" s="304"/>
      <c r="P610" s="304"/>
      <c r="Q610" s="304"/>
      <c r="R610" s="304"/>
      <c r="S610" s="304"/>
      <c r="T610" s="304"/>
      <c r="U610" s="304"/>
      <c r="V610" s="304"/>
      <c r="W610" s="304"/>
      <c r="X610" s="304"/>
      <c r="Y610" s="304"/>
      <c r="Z610" s="305"/>
    </row>
    <row r="611" spans="1:26" x14ac:dyDescent="0.2">
      <c r="A611" s="303"/>
      <c r="B611" s="304"/>
      <c r="C611" s="1179"/>
      <c r="D611" s="438" t="s">
        <v>50</v>
      </c>
      <c r="E611" s="442">
        <f>Calc1!E403*Calc1!E412*Calc2!$H$541</f>
        <v>0</v>
      </c>
      <c r="F611" s="443">
        <f>Calc1!$G$285</f>
        <v>30</v>
      </c>
      <c r="G611" s="443">
        <f t="shared" si="126"/>
        <v>0</v>
      </c>
      <c r="H611" s="309">
        <v>50</v>
      </c>
      <c r="I611" s="309">
        <f t="shared" si="125"/>
        <v>0</v>
      </c>
      <c r="J611" s="351">
        <f>I611*1000/0.714</f>
        <v>0</v>
      </c>
      <c r="K611" s="304"/>
      <c r="L611" s="304"/>
      <c r="M611" s="304"/>
      <c r="N611" s="304"/>
      <c r="O611" s="304"/>
      <c r="P611" s="304"/>
      <c r="Q611" s="304"/>
      <c r="R611" s="304"/>
      <c r="S611" s="304"/>
      <c r="T611" s="304"/>
      <c r="U611" s="304"/>
      <c r="V611" s="304"/>
      <c r="W611" s="304"/>
      <c r="X611" s="304"/>
      <c r="Y611" s="304"/>
      <c r="Z611" s="305"/>
    </row>
    <row r="612" spans="1:26" x14ac:dyDescent="0.2">
      <c r="A612" s="303"/>
      <c r="B612" s="304"/>
      <c r="C612" s="1179" t="s">
        <v>696</v>
      </c>
      <c r="D612" s="438" t="s">
        <v>14</v>
      </c>
      <c r="E612" s="442">
        <f>Calc1!E404*Calc1!G410*Calc2!$H$541</f>
        <v>2080</v>
      </c>
      <c r="F612" s="443">
        <f>Calc1!$G$285</f>
        <v>30</v>
      </c>
      <c r="G612" s="443">
        <f t="shared" si="126"/>
        <v>62400</v>
      </c>
      <c r="H612" s="309">
        <v>100</v>
      </c>
      <c r="I612" s="309">
        <f t="shared" si="125"/>
        <v>6240</v>
      </c>
      <c r="J612" s="351">
        <f>I612*1000/730</f>
        <v>8547.9452054794529</v>
      </c>
      <c r="K612" s="304"/>
      <c r="L612" s="304"/>
      <c r="M612" s="304"/>
      <c r="N612" s="304"/>
      <c r="O612" s="304"/>
      <c r="P612" s="304"/>
      <c r="Q612" s="304"/>
      <c r="R612" s="304"/>
      <c r="S612" s="304"/>
      <c r="T612" s="304"/>
      <c r="U612" s="304"/>
      <c r="V612" s="304"/>
      <c r="W612" s="304"/>
      <c r="X612" s="304"/>
      <c r="Y612" s="304"/>
      <c r="Z612" s="305"/>
    </row>
    <row r="613" spans="1:26" x14ac:dyDescent="0.2">
      <c r="A613" s="303"/>
      <c r="B613" s="304"/>
      <c r="C613" s="1179"/>
      <c r="D613" s="438" t="s">
        <v>12</v>
      </c>
      <c r="E613" s="442">
        <f>Calc1!E404*Calc1!G411*Calc2!$H$541</f>
        <v>8320</v>
      </c>
      <c r="F613" s="443">
        <f>Calc1!$G$285</f>
        <v>30</v>
      </c>
      <c r="G613" s="443">
        <f t="shared" si="126"/>
        <v>249600</v>
      </c>
      <c r="H613" s="309">
        <v>80</v>
      </c>
      <c r="I613" s="309">
        <f t="shared" si="125"/>
        <v>19968</v>
      </c>
      <c r="J613" s="351">
        <f>I613*1000/840</f>
        <v>23771.428571428572</v>
      </c>
      <c r="K613" s="304"/>
      <c r="L613" s="304"/>
      <c r="M613" s="304"/>
      <c r="N613" s="304"/>
      <c r="O613" s="304"/>
      <c r="P613" s="304"/>
      <c r="Q613" s="304"/>
      <c r="R613" s="304"/>
      <c r="S613" s="304"/>
      <c r="T613" s="304"/>
      <c r="U613" s="304"/>
      <c r="V613" s="304"/>
      <c r="W613" s="304"/>
      <c r="X613" s="304"/>
      <c r="Y613" s="304"/>
      <c r="Z613" s="305"/>
    </row>
    <row r="614" spans="1:26" x14ac:dyDescent="0.2">
      <c r="A614" s="303"/>
      <c r="B614" s="304"/>
      <c r="C614" s="1179"/>
      <c r="D614" s="438" t="s">
        <v>50</v>
      </c>
      <c r="E614" s="442">
        <f>Calc1!E404*Calc1!G412*Calc2!$H$541</f>
        <v>0</v>
      </c>
      <c r="F614" s="443">
        <f>Calc1!$G$285</f>
        <v>30</v>
      </c>
      <c r="G614" s="443">
        <f t="shared" si="126"/>
        <v>0</v>
      </c>
      <c r="H614" s="309">
        <v>50</v>
      </c>
      <c r="I614" s="309">
        <f t="shared" si="125"/>
        <v>0</v>
      </c>
      <c r="J614" s="351">
        <f>I614*1000/0.714</f>
        <v>0</v>
      </c>
      <c r="K614" s="304"/>
      <c r="L614" s="304"/>
      <c r="M614" s="304"/>
      <c r="N614" s="304"/>
      <c r="O614" s="304"/>
      <c r="P614" s="304"/>
      <c r="Q614" s="304"/>
      <c r="R614" s="304"/>
      <c r="S614" s="304"/>
      <c r="T614" s="304"/>
      <c r="U614" s="304"/>
      <c r="V614" s="304"/>
      <c r="W614" s="304"/>
      <c r="X614" s="304"/>
      <c r="Y614" s="304"/>
      <c r="Z614" s="305"/>
    </row>
    <row r="615" spans="1:26" x14ac:dyDescent="0.2">
      <c r="A615" s="303"/>
      <c r="B615" s="304"/>
      <c r="C615" s="312" t="s">
        <v>834</v>
      </c>
      <c r="D615" s="438" t="s">
        <v>14</v>
      </c>
      <c r="E615" s="442">
        <f>$H$541*Calc1!E405</f>
        <v>0</v>
      </c>
      <c r="F615" s="443">
        <f>Calc1!$G$285</f>
        <v>30</v>
      </c>
      <c r="G615" s="443">
        <f t="shared" si="126"/>
        <v>0</v>
      </c>
      <c r="H615" s="438">
        <v>35</v>
      </c>
      <c r="I615" s="309">
        <f t="shared" si="125"/>
        <v>0</v>
      </c>
      <c r="J615" s="351">
        <f>I615*1000/730</f>
        <v>0</v>
      </c>
      <c r="K615" s="304"/>
      <c r="L615" s="304"/>
      <c r="M615" s="304"/>
      <c r="N615" s="304"/>
      <c r="O615" s="304"/>
      <c r="P615" s="304"/>
      <c r="Q615" s="304"/>
      <c r="R615" s="304"/>
      <c r="S615" s="304"/>
      <c r="T615" s="304"/>
      <c r="U615" s="304"/>
      <c r="V615" s="304"/>
      <c r="W615" s="304"/>
      <c r="X615" s="304"/>
      <c r="Y615" s="304"/>
      <c r="Z615" s="305"/>
    </row>
    <row r="616" spans="1:26" x14ac:dyDescent="0.2">
      <c r="A616" s="303"/>
      <c r="B616" s="304"/>
      <c r="C616" s="304"/>
      <c r="D616" s="429"/>
      <c r="E616" s="430"/>
      <c r="F616" s="431"/>
      <c r="G616" s="431"/>
      <c r="H616" s="445"/>
      <c r="I616" s="303"/>
      <c r="J616" s="304"/>
      <c r="K616" s="304"/>
      <c r="L616" s="304"/>
      <c r="M616" s="304"/>
      <c r="N616" s="304"/>
      <c r="O616" s="304"/>
      <c r="P616" s="304"/>
      <c r="Q616" s="304"/>
      <c r="R616" s="304"/>
      <c r="S616" s="304"/>
      <c r="T616" s="304"/>
      <c r="U616" s="304"/>
      <c r="V616" s="304"/>
      <c r="W616" s="304"/>
      <c r="X616" s="304"/>
      <c r="Y616" s="304"/>
      <c r="Z616" s="305"/>
    </row>
    <row r="617" spans="1:26" ht="13.5" thickBot="1" x14ac:dyDescent="0.25">
      <c r="A617" s="303"/>
      <c r="B617" s="304"/>
      <c r="C617" s="304"/>
      <c r="D617" s="429"/>
      <c r="E617" s="430"/>
      <c r="F617" s="431"/>
      <c r="G617" s="431"/>
      <c r="H617" s="321"/>
      <c r="I617" s="391"/>
      <c r="J617" s="322"/>
      <c r="K617" s="322"/>
      <c r="L617" s="322"/>
      <c r="M617" s="304"/>
      <c r="N617" s="304"/>
      <c r="O617" s="304"/>
      <c r="P617" s="304"/>
      <c r="Q617" s="304"/>
      <c r="R617" s="304"/>
      <c r="S617" s="304"/>
      <c r="T617" s="304"/>
      <c r="U617" s="304"/>
      <c r="V617" s="304"/>
      <c r="W617" s="304"/>
      <c r="X617" s="304"/>
      <c r="Y617" s="304"/>
      <c r="Z617" s="305"/>
    </row>
    <row r="618" spans="1:26" ht="15.75" x14ac:dyDescent="0.3">
      <c r="A618" s="303"/>
      <c r="B618" s="304"/>
      <c r="C618" s="309"/>
      <c r="D618" s="438" t="s">
        <v>205</v>
      </c>
      <c r="E618" s="442"/>
      <c r="F618" s="310" t="s">
        <v>16</v>
      </c>
      <c r="G618" s="310" t="s">
        <v>17</v>
      </c>
      <c r="H618" s="311" t="s">
        <v>789</v>
      </c>
      <c r="I618" s="449" t="s">
        <v>197</v>
      </c>
      <c r="J618" s="450" t="s">
        <v>180</v>
      </c>
      <c r="K618" s="450" t="s">
        <v>194</v>
      </c>
      <c r="L618" s="450" t="s">
        <v>195</v>
      </c>
      <c r="M618" s="450" t="s">
        <v>196</v>
      </c>
      <c r="N618" s="448"/>
      <c r="O618" s="304"/>
      <c r="P618" s="304"/>
      <c r="Q618" s="304"/>
      <c r="R618" s="304"/>
      <c r="S618" s="304"/>
      <c r="T618" s="304"/>
      <c r="U618" s="304"/>
      <c r="V618" s="304"/>
      <c r="W618" s="304"/>
      <c r="X618" s="304"/>
      <c r="Y618" s="304"/>
      <c r="Z618" s="305"/>
    </row>
    <row r="619" spans="1:26" x14ac:dyDescent="0.2">
      <c r="A619" s="303"/>
      <c r="B619" s="304"/>
      <c r="C619" s="1179" t="s">
        <v>204</v>
      </c>
      <c r="D619" s="438" t="s">
        <v>14</v>
      </c>
      <c r="E619" s="451" t="s">
        <v>28</v>
      </c>
      <c r="F619" s="373">
        <v>2.2890000000000001</v>
      </c>
      <c r="G619" s="373">
        <v>5.1999999999999995E-4</v>
      </c>
      <c r="H619" s="453">
        <v>2.0000000000000001E-4</v>
      </c>
      <c r="I619" s="454">
        <v>14.5</v>
      </c>
      <c r="J619" s="455">
        <v>14</v>
      </c>
      <c r="K619" s="455">
        <v>132</v>
      </c>
      <c r="L619" s="455">
        <v>3.6999999999999998E-2</v>
      </c>
      <c r="M619" s="455">
        <v>0.04</v>
      </c>
      <c r="N619" s="452">
        <v>3180</v>
      </c>
      <c r="O619" s="304"/>
      <c r="P619" s="304"/>
      <c r="Q619" s="304"/>
      <c r="R619" s="304"/>
      <c r="S619" s="304"/>
      <c r="T619" s="304"/>
      <c r="U619" s="304"/>
      <c r="V619" s="304"/>
      <c r="W619" s="304"/>
      <c r="X619" s="304"/>
      <c r="Y619" s="304"/>
      <c r="Z619" s="305"/>
    </row>
    <row r="620" spans="1:26" x14ac:dyDescent="0.2">
      <c r="A620" s="303"/>
      <c r="B620" s="304"/>
      <c r="C620" s="1179"/>
      <c r="D620" s="438"/>
      <c r="E620" s="451" t="s">
        <v>67</v>
      </c>
      <c r="F620" s="457">
        <f>$J$609*F619/1000</f>
        <v>61.633676712328771</v>
      </c>
      <c r="G620" s="457">
        <f>$J$609*G619/1000</f>
        <v>1.4001534246575341E-2</v>
      </c>
      <c r="H620" s="465">
        <f>$J$609*H619/1000</f>
        <v>5.385205479452055E-3</v>
      </c>
      <c r="I620" s="458">
        <f t="shared" ref="I620:N620" si="128">$I$609*I619/1000/1000</f>
        <v>0.28501199999999999</v>
      </c>
      <c r="J620" s="457">
        <f t="shared" si="128"/>
        <v>0.27518400000000004</v>
      </c>
      <c r="K620" s="457">
        <f t="shared" si="128"/>
        <v>2.594592</v>
      </c>
      <c r="L620" s="457">
        <f t="shared" si="128"/>
        <v>7.2727199999999994E-4</v>
      </c>
      <c r="M620" s="457">
        <f t="shared" si="128"/>
        <v>7.8624000000000001E-4</v>
      </c>
      <c r="N620" s="456">
        <f t="shared" si="128"/>
        <v>62.506080000000004</v>
      </c>
      <c r="O620" s="304"/>
      <c r="P620" s="304"/>
      <c r="Q620" s="304"/>
      <c r="R620" s="304"/>
      <c r="S620" s="304"/>
      <c r="T620" s="304"/>
      <c r="U620" s="304"/>
      <c r="V620" s="304"/>
      <c r="W620" s="304"/>
      <c r="X620" s="304"/>
      <c r="Y620" s="304"/>
      <c r="Z620" s="305"/>
    </row>
    <row r="621" spans="1:26" x14ac:dyDescent="0.2">
      <c r="A621" s="303"/>
      <c r="B621" s="304"/>
      <c r="C621" s="1179"/>
      <c r="D621" s="438" t="s">
        <v>12</v>
      </c>
      <c r="E621" s="451" t="s">
        <v>29</v>
      </c>
      <c r="F621" s="373">
        <v>2.6629999999999998</v>
      </c>
      <c r="G621" s="373">
        <v>6.7999999999999999E-5</v>
      </c>
      <c r="H621" s="453">
        <v>2.1000000000000001E-4</v>
      </c>
      <c r="I621" s="454">
        <v>11</v>
      </c>
      <c r="J621" s="455">
        <v>1.1000000000000001</v>
      </c>
      <c r="K621" s="455">
        <v>4.7</v>
      </c>
      <c r="L621" s="455">
        <v>1.7</v>
      </c>
      <c r="M621" s="455">
        <v>8.0000000000000002E-3</v>
      </c>
      <c r="N621" s="452">
        <v>3140</v>
      </c>
      <c r="O621" s="304"/>
      <c r="P621" s="304"/>
      <c r="Q621" s="304"/>
      <c r="R621" s="304"/>
      <c r="S621" s="304"/>
      <c r="T621" s="304"/>
      <c r="U621" s="304"/>
      <c r="V621" s="304"/>
      <c r="W621" s="304"/>
      <c r="X621" s="304"/>
      <c r="Y621" s="304"/>
      <c r="Z621" s="305"/>
    </row>
    <row r="622" spans="1:26" x14ac:dyDescent="0.2">
      <c r="A622" s="303"/>
      <c r="B622" s="304"/>
      <c r="C622" s="1179"/>
      <c r="D622" s="438"/>
      <c r="E622" s="451" t="s">
        <v>67</v>
      </c>
      <c r="F622" s="459">
        <f>$J$610*F621/1000</f>
        <v>5.9346857142857132</v>
      </c>
      <c r="G622" s="459">
        <f>$J$610*G621/1000</f>
        <v>1.5154285714285713E-4</v>
      </c>
      <c r="H622" s="460">
        <f>$J$610*H621/1000</f>
        <v>4.6799999999999999E-4</v>
      </c>
      <c r="I622" s="458">
        <f t="shared" ref="I622:N622" si="129">$I$610*I621/1000/1000</f>
        <v>2.0591999999999999E-2</v>
      </c>
      <c r="J622" s="457">
        <f t="shared" si="129"/>
        <v>2.0592000000000002E-3</v>
      </c>
      <c r="K622" s="457">
        <f t="shared" si="129"/>
        <v>8.7983999999999996E-3</v>
      </c>
      <c r="L622" s="457">
        <f t="shared" si="129"/>
        <v>3.1823999999999997E-3</v>
      </c>
      <c r="M622" s="457">
        <f t="shared" si="129"/>
        <v>1.4976000000000002E-5</v>
      </c>
      <c r="N622" s="456">
        <f t="shared" si="129"/>
        <v>5.8780799999999997</v>
      </c>
      <c r="O622" s="304"/>
      <c r="P622" s="304"/>
      <c r="Q622" s="304"/>
      <c r="R622" s="304"/>
      <c r="S622" s="304"/>
      <c r="T622" s="304"/>
      <c r="U622" s="304"/>
      <c r="V622" s="304"/>
      <c r="W622" s="304"/>
      <c r="X622" s="304"/>
      <c r="Y622" s="304"/>
      <c r="Z622" s="305"/>
    </row>
    <row r="623" spans="1:26" x14ac:dyDescent="0.2">
      <c r="A623" s="303"/>
      <c r="B623" s="304"/>
      <c r="C623" s="1179"/>
      <c r="D623" s="438" t="s">
        <v>50</v>
      </c>
      <c r="E623" s="451" t="s">
        <v>193</v>
      </c>
      <c r="F623" s="373">
        <v>1.89E-3</v>
      </c>
      <c r="G623" s="373">
        <v>9.0000000000000002E-6</v>
      </c>
      <c r="H623" s="453">
        <v>5.9999999999999995E-8</v>
      </c>
      <c r="I623" s="462">
        <v>5.6000000000000001E-2</v>
      </c>
      <c r="J623" s="324">
        <v>1.4999999999999999E-2</v>
      </c>
      <c r="K623" s="324">
        <v>0.39500000000000002</v>
      </c>
      <c r="L623" s="324">
        <v>2E-3</v>
      </c>
      <c r="M623" s="463">
        <v>0</v>
      </c>
      <c r="N623" s="461">
        <v>148</v>
      </c>
      <c r="O623" s="304"/>
      <c r="P623" s="304"/>
      <c r="Q623" s="304"/>
      <c r="R623" s="304"/>
      <c r="S623" s="304"/>
      <c r="T623" s="304"/>
      <c r="U623" s="304"/>
      <c r="V623" s="304"/>
      <c r="W623" s="304"/>
      <c r="X623" s="304"/>
      <c r="Y623" s="304"/>
      <c r="Z623" s="305"/>
    </row>
    <row r="624" spans="1:26" x14ac:dyDescent="0.2">
      <c r="A624" s="303"/>
      <c r="B624" s="304"/>
      <c r="C624" s="1179"/>
      <c r="D624" s="438"/>
      <c r="E624" s="451" t="s">
        <v>67</v>
      </c>
      <c r="F624" s="457">
        <f>$J$611*F623/1000</f>
        <v>0</v>
      </c>
      <c r="G624" s="457">
        <f>$J$611*G623/1000</f>
        <v>0</v>
      </c>
      <c r="H624" s="457">
        <f>$J$611*H623/1000</f>
        <v>0</v>
      </c>
      <c r="I624" s="475">
        <f>I623*$G$611/1000/1000</f>
        <v>0</v>
      </c>
      <c r="J624" s="476">
        <f t="shared" ref="J624:N624" si="130">J623*$G$611/1000/1000</f>
        <v>0</v>
      </c>
      <c r="K624" s="476">
        <f t="shared" si="130"/>
        <v>0</v>
      </c>
      <c r="L624" s="476">
        <f t="shared" si="130"/>
        <v>0</v>
      </c>
      <c r="M624" s="476">
        <f t="shared" si="130"/>
        <v>0</v>
      </c>
      <c r="N624" s="477">
        <f t="shared" si="130"/>
        <v>0</v>
      </c>
      <c r="O624" s="304"/>
      <c r="P624" s="304"/>
      <c r="Q624" s="304"/>
      <c r="R624" s="304"/>
      <c r="S624" s="304"/>
      <c r="T624" s="304"/>
      <c r="U624" s="304"/>
      <c r="V624" s="304"/>
      <c r="W624" s="304"/>
      <c r="X624" s="304"/>
      <c r="Y624" s="304"/>
      <c r="Z624" s="305"/>
    </row>
    <row r="625" spans="1:26" x14ac:dyDescent="0.2">
      <c r="A625" s="303"/>
      <c r="B625" s="304"/>
      <c r="C625" s="1179" t="s">
        <v>696</v>
      </c>
      <c r="D625" s="438" t="s">
        <v>14</v>
      </c>
      <c r="E625" s="451" t="s">
        <v>28</v>
      </c>
      <c r="F625" s="373">
        <v>2.6629999999999998</v>
      </c>
      <c r="G625" s="373">
        <v>6.7999999999999999E-5</v>
      </c>
      <c r="H625" s="453">
        <v>2.1000000000000001E-4</v>
      </c>
      <c r="I625" s="454">
        <v>24</v>
      </c>
      <c r="J625" s="455">
        <v>14</v>
      </c>
      <c r="K625" s="455">
        <v>155</v>
      </c>
      <c r="L625" s="455">
        <v>0.03</v>
      </c>
      <c r="M625" s="455">
        <v>0.04</v>
      </c>
      <c r="N625" s="452">
        <v>3180</v>
      </c>
      <c r="O625" s="304"/>
      <c r="P625" s="304"/>
      <c r="Q625" s="304"/>
      <c r="R625" s="304"/>
      <c r="S625" s="304"/>
      <c r="T625" s="304"/>
      <c r="U625" s="304"/>
      <c r="V625" s="304"/>
      <c r="W625" s="304"/>
      <c r="X625" s="304"/>
      <c r="Y625" s="304"/>
      <c r="Z625" s="305"/>
    </row>
    <row r="626" spans="1:26" x14ac:dyDescent="0.2">
      <c r="A626" s="303"/>
      <c r="B626" s="304"/>
      <c r="C626" s="1179"/>
      <c r="D626" s="438"/>
      <c r="E626" s="451" t="s">
        <v>67</v>
      </c>
      <c r="F626" s="457">
        <f>$J$612*F625/1000</f>
        <v>22.763178082191782</v>
      </c>
      <c r="G626" s="457">
        <f>$J$612*G625/1000</f>
        <v>5.8126027397260285E-4</v>
      </c>
      <c r="H626" s="465">
        <f>$J$612*H625/1000</f>
        <v>1.7950684931506851E-3</v>
      </c>
      <c r="I626" s="458">
        <f t="shared" ref="I626:N626" si="131">$I$612*I625/1000/1000</f>
        <v>0.14976</v>
      </c>
      <c r="J626" s="457">
        <f t="shared" si="131"/>
        <v>8.7359999999999993E-2</v>
      </c>
      <c r="K626" s="457">
        <f t="shared" si="131"/>
        <v>0.96720000000000006</v>
      </c>
      <c r="L626" s="457">
        <f t="shared" si="131"/>
        <v>1.8719999999999997E-4</v>
      </c>
      <c r="M626" s="457">
        <f t="shared" si="131"/>
        <v>2.496E-4</v>
      </c>
      <c r="N626" s="456">
        <f t="shared" si="131"/>
        <v>19.8432</v>
      </c>
      <c r="O626" s="304"/>
      <c r="P626" s="304"/>
      <c r="Q626" s="304"/>
      <c r="R626" s="304"/>
      <c r="S626" s="304"/>
      <c r="T626" s="304"/>
      <c r="U626" s="304"/>
      <c r="V626" s="304"/>
      <c r="W626" s="304"/>
      <c r="X626" s="304"/>
      <c r="Y626" s="304"/>
      <c r="Z626" s="305"/>
    </row>
    <row r="627" spans="1:26" x14ac:dyDescent="0.2">
      <c r="A627" s="303"/>
      <c r="B627" s="304"/>
      <c r="C627" s="1179"/>
      <c r="D627" s="438" t="s">
        <v>12</v>
      </c>
      <c r="E627" s="451" t="s">
        <v>29</v>
      </c>
      <c r="F627" s="373">
        <v>2.6629999999999998</v>
      </c>
      <c r="G627" s="373">
        <v>6.7999999999999999E-5</v>
      </c>
      <c r="H627" s="453">
        <v>2.1000000000000001E-4</v>
      </c>
      <c r="I627" s="454">
        <v>15</v>
      </c>
      <c r="J627" s="455">
        <v>1.75</v>
      </c>
      <c r="K627" s="455">
        <v>11</v>
      </c>
      <c r="L627" s="455">
        <v>2.8</v>
      </c>
      <c r="M627" s="455">
        <v>8.0000000000000002E-3</v>
      </c>
      <c r="N627" s="452">
        <v>3140</v>
      </c>
      <c r="O627" s="304"/>
      <c r="P627" s="304"/>
      <c r="Q627" s="304"/>
      <c r="R627" s="304"/>
      <c r="S627" s="304"/>
      <c r="T627" s="304"/>
      <c r="U627" s="304"/>
      <c r="V627" s="304"/>
      <c r="W627" s="304"/>
      <c r="X627" s="304"/>
      <c r="Y627" s="304"/>
      <c r="Z627" s="305"/>
    </row>
    <row r="628" spans="1:26" x14ac:dyDescent="0.2">
      <c r="A628" s="303"/>
      <c r="B628" s="304"/>
      <c r="C628" s="1179"/>
      <c r="D628" s="438"/>
      <c r="E628" s="451" t="s">
        <v>67</v>
      </c>
      <c r="F628" s="457">
        <f>$J$613*F627/1000</f>
        <v>63.303314285714279</v>
      </c>
      <c r="G628" s="457">
        <f>$J$613*G627/1000</f>
        <v>1.6164571428571427E-3</v>
      </c>
      <c r="H628" s="465">
        <f>$J$613*H627/1000</f>
        <v>4.9919999999999999E-3</v>
      </c>
      <c r="I628" s="458">
        <f t="shared" ref="I628:N628" si="132">$I$613*I627/1000/1000</f>
        <v>0.29952000000000001</v>
      </c>
      <c r="J628" s="457">
        <f t="shared" si="132"/>
        <v>3.4944000000000003E-2</v>
      </c>
      <c r="K628" s="457">
        <f t="shared" si="132"/>
        <v>0.21964800000000001</v>
      </c>
      <c r="L628" s="457">
        <f t="shared" si="132"/>
        <v>5.5910399999999999E-2</v>
      </c>
      <c r="M628" s="457">
        <f t="shared" si="132"/>
        <v>1.5974399999999999E-4</v>
      </c>
      <c r="N628" s="456">
        <f t="shared" si="132"/>
        <v>62.69952</v>
      </c>
      <c r="O628" s="304"/>
      <c r="P628" s="304"/>
      <c r="Q628" s="304"/>
      <c r="R628" s="304"/>
      <c r="S628" s="304"/>
      <c r="T628" s="304"/>
      <c r="U628" s="304"/>
      <c r="V628" s="304"/>
      <c r="W628" s="304"/>
      <c r="X628" s="304"/>
      <c r="Y628" s="304"/>
      <c r="Z628" s="305"/>
    </row>
    <row r="629" spans="1:26" x14ac:dyDescent="0.2">
      <c r="A629" s="303"/>
      <c r="B629" s="304"/>
      <c r="C629" s="1179"/>
      <c r="D629" s="438" t="s">
        <v>50</v>
      </c>
      <c r="E629" s="451" t="s">
        <v>193</v>
      </c>
      <c r="F629" s="373">
        <v>1.89E-3</v>
      </c>
      <c r="G629" s="373">
        <v>9.0000000000000002E-6</v>
      </c>
      <c r="H629" s="453">
        <v>5.9999999999999995E-8</v>
      </c>
      <c r="I629" s="462">
        <v>5.6000000000000001E-2</v>
      </c>
      <c r="J629" s="324">
        <v>1.4999999999999999E-2</v>
      </c>
      <c r="K629" s="324">
        <v>0.39500000000000002</v>
      </c>
      <c r="L629" s="324">
        <v>2E-3</v>
      </c>
      <c r="M629" s="463">
        <v>0</v>
      </c>
      <c r="N629" s="461">
        <v>148</v>
      </c>
      <c r="O629" s="304"/>
      <c r="P629" s="304"/>
      <c r="Q629" s="304"/>
      <c r="R629" s="304"/>
      <c r="S629" s="304"/>
      <c r="T629" s="304"/>
      <c r="U629" s="304"/>
      <c r="V629" s="304"/>
      <c r="W629" s="304"/>
      <c r="X629" s="304"/>
      <c r="Y629" s="304"/>
      <c r="Z629" s="305"/>
    </row>
    <row r="630" spans="1:26" x14ac:dyDescent="0.2">
      <c r="A630" s="303"/>
      <c r="B630" s="304"/>
      <c r="C630" s="1179"/>
      <c r="D630" s="438"/>
      <c r="E630" s="451" t="s">
        <v>67</v>
      </c>
      <c r="F630" s="457">
        <f>$J$614*F629/1000</f>
        <v>0</v>
      </c>
      <c r="G630" s="457">
        <f>$J$614*G629/1000</f>
        <v>0</v>
      </c>
      <c r="H630" s="457">
        <f>$J$614*H629/1000</f>
        <v>0</v>
      </c>
      <c r="I630" s="475">
        <f>I629*$G$614/1000/1000</f>
        <v>0</v>
      </c>
      <c r="J630" s="475">
        <f t="shared" ref="J630:N630" si="133">J629*$G$614/1000/1000</f>
        <v>0</v>
      </c>
      <c r="K630" s="475">
        <f t="shared" si="133"/>
        <v>0</v>
      </c>
      <c r="L630" s="475">
        <f t="shared" si="133"/>
        <v>0</v>
      </c>
      <c r="M630" s="475">
        <f t="shared" si="133"/>
        <v>0</v>
      </c>
      <c r="N630" s="475">
        <f t="shared" si="133"/>
        <v>0</v>
      </c>
      <c r="O630" s="304"/>
      <c r="P630" s="304"/>
      <c r="Q630" s="304"/>
      <c r="R630" s="304"/>
      <c r="S630" s="304"/>
      <c r="T630" s="304"/>
      <c r="U630" s="304"/>
      <c r="V630" s="304"/>
      <c r="W630" s="304"/>
      <c r="X630" s="304"/>
      <c r="Y630" s="304"/>
      <c r="Z630" s="305"/>
    </row>
    <row r="631" spans="1:26" x14ac:dyDescent="0.2">
      <c r="A631" s="303"/>
      <c r="B631" s="304"/>
      <c r="C631" s="1177" t="s">
        <v>834</v>
      </c>
      <c r="D631" s="438" t="s">
        <v>14</v>
      </c>
      <c r="E631" s="451" t="s">
        <v>839</v>
      </c>
      <c r="F631" s="455">
        <v>3180</v>
      </c>
      <c r="G631" s="469">
        <v>2.2999999999999998</v>
      </c>
      <c r="H631" s="455">
        <v>5.8999999999999997E-2</v>
      </c>
      <c r="I631" s="455">
        <v>9.5</v>
      </c>
      <c r="J631" s="455">
        <v>114</v>
      </c>
      <c r="K631" s="455">
        <v>490</v>
      </c>
      <c r="L631" s="455">
        <v>2.7</v>
      </c>
      <c r="M631" s="455">
        <v>0.04</v>
      </c>
      <c r="N631" s="470"/>
      <c r="O631" s="304"/>
      <c r="P631" s="304"/>
      <c r="Q631" s="304"/>
      <c r="R631" s="304"/>
      <c r="S631" s="304"/>
      <c r="T631" s="304"/>
      <c r="U631" s="304"/>
      <c r="V631" s="304"/>
      <c r="W631" s="304"/>
      <c r="X631" s="304"/>
      <c r="Y631" s="304"/>
      <c r="Z631" s="305"/>
    </row>
    <row r="632" spans="1:26" x14ac:dyDescent="0.2">
      <c r="A632" s="303"/>
      <c r="B632" s="304"/>
      <c r="C632" s="1178"/>
      <c r="D632" s="438"/>
      <c r="E632" s="451" t="s">
        <v>67</v>
      </c>
      <c r="F632" s="457">
        <f>$I$615*F631/1000/1000</f>
        <v>0</v>
      </c>
      <c r="G632" s="457">
        <f>$J$615*G631/1000/1000</f>
        <v>0</v>
      </c>
      <c r="H632" s="457">
        <f t="shared" ref="H632:N632" si="134">$I$615*H631/1000/1000</f>
        <v>0</v>
      </c>
      <c r="I632" s="457">
        <f t="shared" si="134"/>
        <v>0</v>
      </c>
      <c r="J632" s="457">
        <f t="shared" si="134"/>
        <v>0</v>
      </c>
      <c r="K632" s="457">
        <f t="shared" si="134"/>
        <v>0</v>
      </c>
      <c r="L632" s="457">
        <f t="shared" si="134"/>
        <v>0</v>
      </c>
      <c r="M632" s="457">
        <f t="shared" si="134"/>
        <v>0</v>
      </c>
      <c r="N632" s="457">
        <f t="shared" si="134"/>
        <v>0</v>
      </c>
      <c r="O632" s="304"/>
      <c r="P632" s="304"/>
      <c r="Q632" s="304"/>
      <c r="R632" s="304"/>
      <c r="S632" s="304"/>
      <c r="T632" s="304"/>
      <c r="U632" s="304"/>
      <c r="V632" s="304"/>
      <c r="W632" s="304"/>
      <c r="X632" s="304"/>
      <c r="Y632" s="304"/>
      <c r="Z632" s="305"/>
    </row>
    <row r="633" spans="1:26" x14ac:dyDescent="0.2">
      <c r="A633" s="303"/>
      <c r="B633" s="304"/>
      <c r="C633" s="309"/>
      <c r="D633" s="438"/>
      <c r="E633" s="471" t="s">
        <v>0</v>
      </c>
      <c r="F633" s="787">
        <f>F620+F622+F624+F626+F628+F630+F632</f>
        <v>153.63485479452055</v>
      </c>
      <c r="G633" s="474">
        <f t="shared" ref="G633:N633" si="135">G620+G622+G624+G626+G628+G630+G632</f>
        <v>1.6350794520547947E-2</v>
      </c>
      <c r="H633" s="474">
        <f t="shared" si="135"/>
        <v>1.264027397260274E-2</v>
      </c>
      <c r="I633" s="474">
        <f t="shared" si="135"/>
        <v>0.754884</v>
      </c>
      <c r="J633" s="474">
        <f t="shared" si="135"/>
        <v>0.39954719999999999</v>
      </c>
      <c r="K633" s="474">
        <f t="shared" si="135"/>
        <v>3.7902383999999998</v>
      </c>
      <c r="L633" s="474">
        <f t="shared" si="135"/>
        <v>6.0007272E-2</v>
      </c>
      <c r="M633" s="474">
        <f t="shared" si="135"/>
        <v>1.2105600000000001E-3</v>
      </c>
      <c r="N633" s="474">
        <f t="shared" si="135"/>
        <v>150.92688000000001</v>
      </c>
      <c r="O633" s="304"/>
      <c r="P633" s="304"/>
      <c r="Q633" s="304"/>
      <c r="R633" s="304"/>
      <c r="S633" s="304"/>
      <c r="T633" s="304"/>
      <c r="U633" s="304"/>
      <c r="V633" s="304"/>
      <c r="W633" s="304"/>
      <c r="X633" s="304"/>
      <c r="Y633" s="304"/>
      <c r="Z633" s="305"/>
    </row>
    <row r="634" spans="1:26" x14ac:dyDescent="0.2">
      <c r="A634" s="303"/>
      <c r="B634" s="304"/>
      <c r="C634" s="472" t="s">
        <v>68</v>
      </c>
      <c r="D634" s="429"/>
      <c r="E634" s="430"/>
      <c r="F634" s="431"/>
      <c r="G634" s="431"/>
      <c r="H634" s="445"/>
      <c r="I634" s="303"/>
      <c r="J634" s="304"/>
      <c r="K634" s="304"/>
      <c r="L634" s="304"/>
      <c r="M634" s="304"/>
      <c r="N634" s="304"/>
      <c r="O634" s="304"/>
      <c r="P634" s="304"/>
      <c r="Q634" s="304"/>
      <c r="R634" s="304"/>
      <c r="S634" s="304"/>
      <c r="T634" s="304"/>
      <c r="U634" s="304"/>
      <c r="V634" s="304"/>
      <c r="W634" s="304"/>
      <c r="X634" s="304"/>
      <c r="Y634" s="304"/>
      <c r="Z634" s="305"/>
    </row>
    <row r="635" spans="1:26" x14ac:dyDescent="0.2">
      <c r="A635" s="303"/>
      <c r="B635" s="304"/>
      <c r="C635" s="304"/>
      <c r="D635" s="429"/>
      <c r="E635" s="430"/>
      <c r="F635" s="431"/>
      <c r="G635" s="431"/>
      <c r="H635" s="445"/>
      <c r="I635" s="303"/>
      <c r="J635" s="304"/>
      <c r="K635" s="304"/>
      <c r="L635" s="304"/>
      <c r="M635" s="304"/>
      <c r="N635" s="304"/>
      <c r="O635" s="304"/>
      <c r="P635" s="304"/>
      <c r="Q635" s="304"/>
      <c r="R635" s="304"/>
      <c r="S635" s="304"/>
      <c r="T635" s="304"/>
      <c r="U635" s="304"/>
      <c r="V635" s="304"/>
      <c r="W635" s="304"/>
      <c r="X635" s="304"/>
      <c r="Y635" s="304"/>
      <c r="Z635" s="305"/>
    </row>
    <row r="636" spans="1:26" x14ac:dyDescent="0.2">
      <c r="A636" s="303"/>
      <c r="B636" s="304"/>
      <c r="C636" s="304"/>
      <c r="D636" s="304"/>
      <c r="E636" s="304"/>
      <c r="F636" s="304"/>
      <c r="G636" s="304"/>
      <c r="H636" s="304"/>
      <c r="I636" s="304"/>
      <c r="J636" s="304"/>
      <c r="K636" s="304"/>
      <c r="L636" s="304"/>
      <c r="M636" s="304"/>
      <c r="N636" s="304"/>
      <c r="O636" s="304"/>
      <c r="P636" s="304"/>
      <c r="Q636" s="304"/>
      <c r="R636" s="304"/>
      <c r="S636" s="304"/>
      <c r="T636" s="304"/>
      <c r="U636" s="304"/>
      <c r="V636" s="304"/>
      <c r="W636" s="304"/>
      <c r="X636" s="304"/>
      <c r="Y636" s="304"/>
      <c r="Z636" s="305"/>
    </row>
    <row r="637" spans="1:26" x14ac:dyDescent="0.2">
      <c r="A637" s="303"/>
      <c r="B637" s="303" t="s">
        <v>148</v>
      </c>
      <c r="C637" s="304"/>
      <c r="D637" s="429"/>
      <c r="E637" s="430"/>
      <c r="F637" s="431"/>
      <c r="G637" s="431"/>
      <c r="H637" s="429"/>
      <c r="I637" s="304"/>
      <c r="J637" s="304"/>
      <c r="K637" s="304"/>
      <c r="L637" s="304"/>
      <c r="M637" s="304"/>
      <c r="N637" s="304"/>
      <c r="O637" s="304"/>
      <c r="P637" s="304"/>
      <c r="Q637" s="304"/>
      <c r="R637" s="304"/>
      <c r="S637" s="304"/>
      <c r="T637" s="304"/>
      <c r="U637" s="304"/>
      <c r="V637" s="304"/>
      <c r="W637" s="304"/>
      <c r="X637" s="304"/>
      <c r="Y637" s="304"/>
      <c r="Z637" s="305"/>
    </row>
    <row r="638" spans="1:26" x14ac:dyDescent="0.2">
      <c r="A638" s="303"/>
      <c r="B638" s="303"/>
      <c r="C638" s="304"/>
      <c r="D638" s="429"/>
      <c r="E638" s="430"/>
      <c r="F638" s="431"/>
      <c r="G638" s="431"/>
      <c r="H638" s="429"/>
      <c r="I638" s="304"/>
      <c r="J638" s="304"/>
      <c r="K638" s="304"/>
      <c r="L638" s="304"/>
      <c r="M638" s="304"/>
      <c r="N638" s="304"/>
      <c r="O638" s="304"/>
      <c r="P638" s="304"/>
      <c r="Q638" s="304"/>
      <c r="R638" s="304"/>
      <c r="S638" s="304"/>
      <c r="T638" s="304"/>
      <c r="U638" s="304"/>
      <c r="V638" s="304"/>
      <c r="W638" s="304"/>
      <c r="X638" s="304"/>
      <c r="Y638" s="304"/>
      <c r="Z638" s="305"/>
    </row>
    <row r="639" spans="1:26" x14ac:dyDescent="0.2">
      <c r="A639" s="303"/>
      <c r="B639" s="303" t="s">
        <v>618</v>
      </c>
      <c r="C639" s="304"/>
      <c r="D639" s="429"/>
      <c r="E639" s="430"/>
      <c r="F639" s="431"/>
      <c r="G639" s="431"/>
      <c r="H639" s="429"/>
      <c r="I639" s="304"/>
      <c r="J639" s="304"/>
      <c r="K639" s="304"/>
      <c r="L639" s="304"/>
      <c r="M639" s="304"/>
      <c r="N639" s="304"/>
      <c r="O639" s="304"/>
      <c r="P639" s="304"/>
      <c r="Q639" s="304"/>
      <c r="R639" s="304"/>
      <c r="S639" s="304"/>
      <c r="T639" s="304"/>
      <c r="U639" s="304"/>
      <c r="V639" s="304"/>
      <c r="W639" s="304"/>
      <c r="X639" s="304"/>
      <c r="Y639" s="304"/>
      <c r="Z639" s="305"/>
    </row>
    <row r="640" spans="1:26" ht="25.5" x14ac:dyDescent="0.2">
      <c r="A640" s="303"/>
      <c r="B640" s="304"/>
      <c r="C640" s="309"/>
      <c r="D640" s="478" t="s">
        <v>1065</v>
      </c>
      <c r="E640" s="447" t="s">
        <v>53</v>
      </c>
      <c r="F640" s="443"/>
      <c r="G640" s="431"/>
      <c r="H640" s="429"/>
      <c r="I640" s="304"/>
      <c r="J640" s="304"/>
      <c r="K640" s="304"/>
      <c r="L640" s="304"/>
      <c r="M640" s="304"/>
      <c r="N640" s="304"/>
      <c r="O640" s="304"/>
      <c r="P640" s="304"/>
      <c r="Q640" s="304"/>
      <c r="R640" s="304"/>
      <c r="S640" s="304"/>
      <c r="T640" s="304"/>
      <c r="U640" s="304"/>
      <c r="V640" s="304"/>
      <c r="W640" s="304"/>
      <c r="X640" s="304"/>
      <c r="Y640" s="304"/>
      <c r="Z640" s="305"/>
    </row>
    <row r="641" spans="1:26" s="441" customFormat="1" x14ac:dyDescent="0.2">
      <c r="A641" s="303"/>
      <c r="B641" s="304"/>
      <c r="C641" s="312" t="s">
        <v>993</v>
      </c>
      <c r="D641" s="479">
        <f>Calc1!K298</f>
        <v>56</v>
      </c>
      <c r="E641" s="480">
        <f>Calc1!F302</f>
        <v>0.5</v>
      </c>
      <c r="F641" s="481">
        <f>SUM(D641*E641)</f>
        <v>28</v>
      </c>
      <c r="G641" s="431"/>
      <c r="H641" s="429"/>
      <c r="I641" s="304"/>
      <c r="J641" s="376"/>
      <c r="K641" s="376"/>
      <c r="L641" s="304"/>
      <c r="M641" s="304"/>
      <c r="N641" s="304"/>
      <c r="O641" s="304"/>
      <c r="P641" s="376"/>
      <c r="Q641" s="376"/>
      <c r="R641" s="304"/>
      <c r="S641" s="304"/>
      <c r="T641" s="304"/>
      <c r="U641" s="304"/>
      <c r="V641" s="304"/>
      <c r="W641" s="304"/>
      <c r="X641" s="304"/>
      <c r="Y641" s="304"/>
      <c r="Z641" s="305"/>
    </row>
    <row r="642" spans="1:26" s="441" customFormat="1" x14ac:dyDescent="0.2">
      <c r="A642" s="303"/>
      <c r="B642" s="304"/>
      <c r="C642" s="312" t="s">
        <v>994</v>
      </c>
      <c r="D642" s="478">
        <f>Calc1!$K298</f>
        <v>56</v>
      </c>
      <c r="E642" s="480">
        <f>Calc1!H302</f>
        <v>0.5</v>
      </c>
      <c r="F642" s="481">
        <f>SUM(D642*E642)</f>
        <v>28</v>
      </c>
      <c r="G642" s="431"/>
      <c r="H642" s="429"/>
      <c r="I642" s="304"/>
      <c r="J642" s="304"/>
      <c r="K642" s="304"/>
      <c r="L642" s="304"/>
      <c r="M642" s="304"/>
      <c r="N642" s="304"/>
      <c r="O642" s="304"/>
      <c r="P642" s="304"/>
      <c r="Q642" s="304"/>
      <c r="R642" s="304"/>
      <c r="S642" s="304"/>
      <c r="T642" s="304"/>
      <c r="U642" s="304"/>
      <c r="V642" s="304"/>
      <c r="W642" s="304"/>
      <c r="X642" s="304"/>
      <c r="Y642" s="304"/>
      <c r="Z642" s="305"/>
    </row>
    <row r="643" spans="1:26" s="441" customFormat="1" x14ac:dyDescent="0.2">
      <c r="A643" s="303"/>
      <c r="B643" s="304"/>
      <c r="C643" s="309"/>
      <c r="D643" s="478"/>
      <c r="E643" s="447"/>
      <c r="F643" s="481">
        <f>SUM(F640:F642)</f>
        <v>56</v>
      </c>
      <c r="G643" s="431"/>
      <c r="H643" s="429"/>
      <c r="I643" s="304"/>
      <c r="J643" s="304"/>
      <c r="K643" s="304"/>
      <c r="L643" s="304"/>
      <c r="M643" s="304"/>
      <c r="N643" s="304"/>
      <c r="O643" s="304"/>
      <c r="P643" s="304"/>
      <c r="Q643" s="304"/>
      <c r="R643" s="304"/>
      <c r="S643" s="304"/>
      <c r="T643" s="304"/>
      <c r="U643" s="304"/>
      <c r="V643" s="304"/>
      <c r="W643" s="304"/>
      <c r="X643" s="304"/>
      <c r="Y643" s="304"/>
      <c r="Z643" s="305"/>
    </row>
    <row r="644" spans="1:26" s="441" customFormat="1" x14ac:dyDescent="0.2">
      <c r="A644" s="303"/>
      <c r="B644" s="304"/>
      <c r="C644" s="304"/>
      <c r="D644" s="429"/>
      <c r="E644" s="430"/>
      <c r="F644" s="304"/>
      <c r="G644" s="431"/>
      <c r="H644" s="429"/>
      <c r="I644" s="304"/>
      <c r="J644" s="304"/>
      <c r="K644" s="304"/>
      <c r="L644" s="304"/>
      <c r="M644" s="304"/>
      <c r="N644" s="304"/>
      <c r="O644" s="304"/>
      <c r="P644" s="304"/>
      <c r="Q644" s="304"/>
      <c r="R644" s="376"/>
      <c r="S644" s="304"/>
      <c r="T644" s="304"/>
      <c r="U644" s="304"/>
      <c r="V644" s="304"/>
      <c r="W644" s="304"/>
      <c r="X644" s="304"/>
      <c r="Y644" s="304"/>
      <c r="Z644" s="305"/>
    </row>
    <row r="645" spans="1:26" s="437" customFormat="1" ht="25.5" x14ac:dyDescent="0.2">
      <c r="A645" s="432"/>
      <c r="B645" s="375"/>
      <c r="C645" s="375"/>
      <c r="D645" s="433" t="s">
        <v>56</v>
      </c>
      <c r="E645" s="434" t="s">
        <v>57</v>
      </c>
      <c r="F645" s="435" t="s">
        <v>58</v>
      </c>
      <c r="G645" s="435" t="s">
        <v>59</v>
      </c>
      <c r="H645" s="433" t="s">
        <v>60</v>
      </c>
      <c r="I645" s="376"/>
      <c r="J645" s="376"/>
      <c r="K645" s="376"/>
      <c r="L645" s="376"/>
      <c r="M645" s="376"/>
      <c r="N645" s="376"/>
      <c r="O645" s="376"/>
      <c r="P645" s="304"/>
      <c r="Q645" s="304"/>
      <c r="R645" s="304"/>
      <c r="S645" s="376"/>
      <c r="T645" s="376"/>
      <c r="U645" s="376"/>
      <c r="V645" s="376"/>
      <c r="W645" s="376"/>
      <c r="X645" s="376"/>
      <c r="Y645" s="376"/>
      <c r="Z645" s="436"/>
    </row>
    <row r="646" spans="1:26" s="441" customFormat="1" x14ac:dyDescent="0.2">
      <c r="A646" s="303"/>
      <c r="B646" s="309">
        <v>1</v>
      </c>
      <c r="C646" s="312" t="s">
        <v>54</v>
      </c>
      <c r="D646" s="478">
        <f>SUM(F641)</f>
        <v>28</v>
      </c>
      <c r="E646" s="447">
        <f>SUM(D646/3)</f>
        <v>9.3333333333333339</v>
      </c>
      <c r="F646" s="482">
        <f>Calc1!F306</f>
        <v>0.5</v>
      </c>
      <c r="G646" s="481">
        <v>1</v>
      </c>
      <c r="H646" s="478">
        <f>SUM(E646*F646*G646)</f>
        <v>4.666666666666667</v>
      </c>
      <c r="I646" s="304"/>
      <c r="J646" s="304"/>
      <c r="K646" s="304"/>
      <c r="L646" s="304"/>
      <c r="M646" s="304"/>
      <c r="N646" s="304"/>
      <c r="O646" s="304"/>
      <c r="P646" s="304"/>
      <c r="Q646" s="304"/>
      <c r="R646" s="304"/>
      <c r="S646" s="304"/>
      <c r="T646" s="304"/>
      <c r="U646" s="304"/>
      <c r="V646" s="304"/>
      <c r="W646" s="304"/>
      <c r="X646" s="304"/>
      <c r="Y646" s="304"/>
      <c r="Z646" s="305"/>
    </row>
    <row r="647" spans="1:26" s="441" customFormat="1" x14ac:dyDescent="0.2">
      <c r="A647" s="303"/>
      <c r="B647" s="309">
        <v>2</v>
      </c>
      <c r="C647" s="312" t="s">
        <v>54</v>
      </c>
      <c r="D647" s="478">
        <f>SUM(F641)</f>
        <v>28</v>
      </c>
      <c r="E647" s="447">
        <f>SUM(D647/3)</f>
        <v>9.3333333333333339</v>
      </c>
      <c r="F647" s="482">
        <f>Calc1!H306</f>
        <v>0.5</v>
      </c>
      <c r="G647" s="481">
        <v>2</v>
      </c>
      <c r="H647" s="478">
        <f>SUM(E647*F647*G647)</f>
        <v>9.3333333333333339</v>
      </c>
      <c r="I647" s="304"/>
      <c r="J647" s="304"/>
      <c r="K647" s="304"/>
      <c r="L647" s="304"/>
      <c r="M647" s="304"/>
      <c r="N647" s="304"/>
      <c r="O647" s="304"/>
      <c r="P647" s="304"/>
      <c r="Q647" s="304"/>
      <c r="R647" s="304"/>
      <c r="S647" s="304"/>
      <c r="T647" s="304"/>
      <c r="U647" s="304"/>
      <c r="V647" s="304"/>
      <c r="W647" s="304"/>
      <c r="X647" s="304"/>
      <c r="Y647" s="304"/>
      <c r="Z647" s="305"/>
    </row>
    <row r="648" spans="1:26" s="441" customFormat="1" x14ac:dyDescent="0.2">
      <c r="A648" s="303"/>
      <c r="B648" s="309"/>
      <c r="C648" s="312"/>
      <c r="D648" s="478"/>
      <c r="E648" s="447"/>
      <c r="F648" s="481"/>
      <c r="G648" s="481"/>
      <c r="H648" s="478"/>
      <c r="I648" s="304"/>
      <c r="J648" s="304"/>
      <c r="K648" s="304"/>
      <c r="L648" s="304"/>
      <c r="M648" s="304"/>
      <c r="N648" s="304"/>
      <c r="O648" s="304"/>
      <c r="P648" s="304"/>
      <c r="Q648" s="304"/>
      <c r="R648" s="304"/>
      <c r="S648" s="304"/>
      <c r="T648" s="304"/>
      <c r="U648" s="304"/>
      <c r="V648" s="304"/>
      <c r="W648" s="304"/>
      <c r="X648" s="304"/>
      <c r="Y648" s="304"/>
      <c r="Z648" s="305"/>
    </row>
    <row r="649" spans="1:26" s="441" customFormat="1" x14ac:dyDescent="0.2">
      <c r="A649" s="303"/>
      <c r="B649" s="309">
        <v>3</v>
      </c>
      <c r="C649" s="312" t="s">
        <v>55</v>
      </c>
      <c r="D649" s="478">
        <f>SUM(F642)</f>
        <v>28</v>
      </c>
      <c r="E649" s="447">
        <f>SUM(D649)</f>
        <v>28</v>
      </c>
      <c r="F649" s="482">
        <f>Calc1!F309</f>
        <v>0.2</v>
      </c>
      <c r="G649" s="481">
        <v>1</v>
      </c>
      <c r="H649" s="478">
        <f>SUM(E649*F649*G649)</f>
        <v>5.6000000000000005</v>
      </c>
      <c r="I649" s="304"/>
      <c r="J649" s="304"/>
      <c r="K649" s="304"/>
      <c r="L649" s="304"/>
      <c r="M649" s="304"/>
      <c r="N649" s="304"/>
      <c r="O649" s="304"/>
      <c r="P649" s="376"/>
      <c r="Q649" s="376"/>
      <c r="R649" s="304"/>
      <c r="S649" s="304"/>
      <c r="T649" s="304"/>
      <c r="U649" s="304"/>
      <c r="V649" s="304"/>
      <c r="W649" s="304"/>
      <c r="X649" s="304"/>
      <c r="Y649" s="304"/>
      <c r="Z649" s="305"/>
    </row>
    <row r="650" spans="1:26" s="441" customFormat="1" x14ac:dyDescent="0.2">
      <c r="A650" s="303"/>
      <c r="B650" s="309">
        <v>4</v>
      </c>
      <c r="C650" s="312" t="s">
        <v>55</v>
      </c>
      <c r="D650" s="478">
        <f>SUM(F642)</f>
        <v>28</v>
      </c>
      <c r="E650" s="447">
        <f>SUM(D650)</f>
        <v>28</v>
      </c>
      <c r="F650" s="482">
        <f>Calc1!H309</f>
        <v>0.8</v>
      </c>
      <c r="G650" s="481">
        <v>2</v>
      </c>
      <c r="H650" s="478">
        <f>SUM(E650*F650*G650)</f>
        <v>44.800000000000004</v>
      </c>
      <c r="I650" s="304"/>
      <c r="J650" s="336"/>
      <c r="K650" s="336"/>
      <c r="L650" s="304"/>
      <c r="M650" s="304"/>
      <c r="N650" s="304"/>
      <c r="O650" s="304"/>
      <c r="P650" s="304"/>
      <c r="Q650" s="304"/>
      <c r="R650" s="304"/>
      <c r="S650" s="304"/>
      <c r="T650" s="304"/>
      <c r="U650" s="304"/>
      <c r="V650" s="304"/>
      <c r="W650" s="304"/>
      <c r="X650" s="304"/>
      <c r="Y650" s="304"/>
      <c r="Z650" s="305"/>
    </row>
    <row r="651" spans="1:26" x14ac:dyDescent="0.2">
      <c r="A651" s="303"/>
      <c r="B651" s="304"/>
      <c r="C651" s="304"/>
      <c r="D651" s="429"/>
      <c r="E651" s="430"/>
      <c r="F651" s="431"/>
      <c r="G651" s="431"/>
      <c r="H651" s="429"/>
      <c r="I651" s="304"/>
      <c r="J651" s="304"/>
      <c r="K651" s="304"/>
      <c r="L651" s="304"/>
      <c r="M651" s="304"/>
      <c r="N651" s="304"/>
      <c r="O651" s="304"/>
      <c r="P651" s="304"/>
      <c r="Q651" s="304"/>
      <c r="R651" s="304"/>
      <c r="S651" s="304"/>
      <c r="T651" s="304"/>
      <c r="U651" s="304"/>
      <c r="V651" s="304"/>
      <c r="W651" s="304"/>
      <c r="X651" s="304"/>
      <c r="Y651" s="304"/>
      <c r="Z651" s="305"/>
    </row>
    <row r="652" spans="1:26" x14ac:dyDescent="0.2">
      <c r="A652" s="303"/>
      <c r="B652" s="304"/>
      <c r="C652" s="304"/>
      <c r="D652" s="429"/>
      <c r="E652" s="430"/>
      <c r="F652" s="431"/>
      <c r="G652" s="431"/>
      <c r="H652" s="483">
        <f>IF(Calc1!E279="No.",SUM(H646:H650),0)</f>
        <v>64.400000000000006</v>
      </c>
      <c r="I652" s="303" t="s">
        <v>66</v>
      </c>
      <c r="J652" s="304"/>
      <c r="K652" s="304"/>
      <c r="L652" s="304"/>
      <c r="M652" s="304"/>
      <c r="N652" s="304"/>
      <c r="O652" s="304"/>
      <c r="P652" s="304"/>
      <c r="Q652" s="304"/>
      <c r="R652" s="304"/>
      <c r="S652" s="304"/>
      <c r="T652" s="304"/>
      <c r="U652" s="304"/>
      <c r="V652" s="304"/>
      <c r="W652" s="304"/>
      <c r="X652" s="304"/>
      <c r="Y652" s="304"/>
      <c r="Z652" s="305"/>
    </row>
    <row r="653" spans="1:26" x14ac:dyDescent="0.2">
      <c r="A653" s="303"/>
      <c r="B653" s="304"/>
      <c r="C653" s="304"/>
      <c r="D653" s="429"/>
      <c r="E653" s="430"/>
      <c r="F653" s="431"/>
      <c r="G653" s="431"/>
      <c r="H653" s="445"/>
      <c r="I653" s="303"/>
      <c r="J653" s="304"/>
      <c r="K653" s="304"/>
      <c r="L653" s="304"/>
      <c r="M653" s="304"/>
      <c r="N653" s="304"/>
      <c r="O653" s="304"/>
      <c r="P653" s="304"/>
      <c r="Q653" s="304"/>
      <c r="R653" s="304"/>
      <c r="S653" s="304"/>
      <c r="T653" s="304"/>
      <c r="U653" s="304"/>
      <c r="V653" s="304"/>
      <c r="W653" s="304"/>
      <c r="X653" s="304"/>
      <c r="Y653" s="304"/>
      <c r="Z653" s="305"/>
    </row>
    <row r="654" spans="1:26" x14ac:dyDescent="0.2">
      <c r="A654" s="303"/>
      <c r="B654" s="304"/>
      <c r="C654" s="446" t="s">
        <v>793</v>
      </c>
      <c r="D654" s="429"/>
      <c r="E654" s="430"/>
      <c r="F654" s="304"/>
      <c r="G654" s="431"/>
      <c r="H654" s="1185" t="s">
        <v>224</v>
      </c>
      <c r="I654" s="1186"/>
      <c r="J654" s="1187"/>
      <c r="K654" s="304"/>
      <c r="L654" s="304"/>
      <c r="M654" s="304"/>
      <c r="N654" s="304"/>
      <c r="O654" s="304"/>
      <c r="P654" s="304"/>
      <c r="Q654" s="304"/>
      <c r="R654" s="304"/>
      <c r="S654" s="304"/>
      <c r="T654" s="304"/>
      <c r="U654" s="304"/>
      <c r="V654" s="304"/>
      <c r="W654" s="304"/>
      <c r="X654" s="304"/>
      <c r="Y654" s="304"/>
      <c r="Z654" s="305"/>
    </row>
    <row r="655" spans="1:26" ht="25.5" x14ac:dyDescent="0.2">
      <c r="A655" s="303"/>
      <c r="B655" s="304"/>
      <c r="C655" s="309"/>
      <c r="D655" s="438" t="s">
        <v>205</v>
      </c>
      <c r="E655" s="442" t="s">
        <v>206</v>
      </c>
      <c r="F655" s="443" t="s">
        <v>207</v>
      </c>
      <c r="G655" s="443" t="s">
        <v>208</v>
      </c>
      <c r="H655" s="312" t="s">
        <v>221</v>
      </c>
      <c r="I655" s="447" t="s">
        <v>222</v>
      </c>
      <c r="J655" s="447" t="s">
        <v>223</v>
      </c>
      <c r="K655" s="322"/>
      <c r="L655" s="304"/>
      <c r="M655" s="304"/>
      <c r="N655" s="304"/>
      <c r="O655" s="304"/>
      <c r="P655" s="304"/>
      <c r="Q655" s="304"/>
      <c r="R655" s="304"/>
      <c r="S655" s="304"/>
      <c r="T655" s="304"/>
      <c r="U655" s="304"/>
      <c r="V655" s="304"/>
      <c r="W655" s="304"/>
      <c r="X655" s="304"/>
      <c r="Y655" s="304"/>
      <c r="Z655" s="305"/>
    </row>
    <row r="656" spans="1:26" x14ac:dyDescent="0.2">
      <c r="A656" s="303"/>
      <c r="B656" s="304"/>
      <c r="C656" s="1179" t="s">
        <v>204</v>
      </c>
      <c r="D656" s="438" t="s">
        <v>14</v>
      </c>
      <c r="E656" s="442">
        <f>Calc2!$H$652*Calc1!$F$312*Calc1!F318</f>
        <v>52.164000000000009</v>
      </c>
      <c r="F656" s="484">
        <f>Calc1!$G$285</f>
        <v>30</v>
      </c>
      <c r="G656" s="443">
        <f>E656*F656</f>
        <v>1564.9200000000003</v>
      </c>
      <c r="H656" s="312">
        <v>70</v>
      </c>
      <c r="I656" s="309">
        <f t="shared" ref="I656:I662" si="136">H656*G656/1000</f>
        <v>109.54440000000002</v>
      </c>
      <c r="J656" s="351">
        <f>I656*1000/730</f>
        <v>150.06082191780825</v>
      </c>
      <c r="K656" s="304"/>
      <c r="L656" s="304"/>
      <c r="M656" s="304"/>
      <c r="N656" s="304"/>
      <c r="O656" s="304"/>
      <c r="P656" s="304"/>
      <c r="Q656" s="304"/>
      <c r="R656" s="304"/>
      <c r="S656" s="304"/>
      <c r="T656" s="304"/>
      <c r="U656" s="304"/>
      <c r="V656" s="304"/>
      <c r="W656" s="304"/>
      <c r="X656" s="304"/>
      <c r="Y656" s="304"/>
      <c r="Z656" s="305"/>
    </row>
    <row r="657" spans="1:26" x14ac:dyDescent="0.2">
      <c r="A657" s="303"/>
      <c r="B657" s="304"/>
      <c r="C657" s="1179"/>
      <c r="D657" s="438" t="s">
        <v>12</v>
      </c>
      <c r="E657" s="442">
        <f>Calc2!$H$652*Calc1!$F$312*Calc1!F319</f>
        <v>5.7960000000000012</v>
      </c>
      <c r="F657" s="481">
        <f>Calc1!$G$285</f>
        <v>30</v>
      </c>
      <c r="G657" s="443">
        <f t="shared" ref="G657:G662" si="137">E657*F657</f>
        <v>173.88000000000002</v>
      </c>
      <c r="H657" s="312">
        <v>60</v>
      </c>
      <c r="I657" s="309">
        <f t="shared" si="136"/>
        <v>10.4328</v>
      </c>
      <c r="J657" s="351">
        <f t="shared" ref="J657" si="138">I657*1000/840</f>
        <v>12.420000000000002</v>
      </c>
      <c r="K657" s="304"/>
      <c r="L657" s="304"/>
      <c r="M657" s="304"/>
      <c r="N657" s="304"/>
      <c r="O657" s="304"/>
      <c r="P657" s="304"/>
      <c r="Q657" s="304"/>
      <c r="R657" s="304"/>
      <c r="S657" s="304"/>
      <c r="T657" s="304"/>
      <c r="U657" s="304"/>
      <c r="V657" s="304"/>
      <c r="W657" s="304"/>
      <c r="X657" s="304"/>
      <c r="Y657" s="304"/>
      <c r="Z657" s="305"/>
    </row>
    <row r="658" spans="1:26" x14ac:dyDescent="0.2">
      <c r="A658" s="303"/>
      <c r="B658" s="304"/>
      <c r="C658" s="1179"/>
      <c r="D658" s="438" t="s">
        <v>50</v>
      </c>
      <c r="E658" s="442">
        <f>Calc2!$H$652*Calc1!$F$312*Calc1!F320</f>
        <v>0</v>
      </c>
      <c r="F658" s="481">
        <f>Calc1!$G$285</f>
        <v>30</v>
      </c>
      <c r="G658" s="443">
        <f t="shared" si="137"/>
        <v>0</v>
      </c>
      <c r="H658" s="312">
        <v>50</v>
      </c>
      <c r="I658" s="309">
        <f t="shared" si="136"/>
        <v>0</v>
      </c>
      <c r="J658" s="351">
        <f>I658*1000/0.714</f>
        <v>0</v>
      </c>
      <c r="K658" s="304"/>
      <c r="L658" s="304"/>
      <c r="M658" s="304"/>
      <c r="N658" s="304"/>
      <c r="O658" s="304"/>
      <c r="P658" s="304"/>
      <c r="Q658" s="304"/>
      <c r="R658" s="304"/>
      <c r="S658" s="304"/>
      <c r="T658" s="304"/>
      <c r="U658" s="304"/>
      <c r="V658" s="304"/>
      <c r="W658" s="304"/>
      <c r="X658" s="304"/>
      <c r="Y658" s="304"/>
      <c r="Z658" s="305"/>
    </row>
    <row r="659" spans="1:26" x14ac:dyDescent="0.2">
      <c r="A659" s="303"/>
      <c r="B659" s="304"/>
      <c r="C659" s="1179" t="s">
        <v>696</v>
      </c>
      <c r="D659" s="438" t="s">
        <v>14</v>
      </c>
      <c r="E659" s="442">
        <f>$H$652*Calc1!$F$313*Calc1!H318</f>
        <v>1.2880000000000003</v>
      </c>
      <c r="F659" s="481">
        <f>Calc1!$G$285</f>
        <v>30</v>
      </c>
      <c r="G659" s="443">
        <f t="shared" si="137"/>
        <v>38.640000000000008</v>
      </c>
      <c r="H659" s="312">
        <v>100</v>
      </c>
      <c r="I659" s="309">
        <f t="shared" si="136"/>
        <v>3.8640000000000008</v>
      </c>
      <c r="J659" s="351">
        <f>I659*1000/730</f>
        <v>5.2931506849315078</v>
      </c>
      <c r="K659" s="304"/>
      <c r="L659" s="304"/>
      <c r="M659" s="304"/>
      <c r="N659" s="304"/>
      <c r="O659" s="304"/>
      <c r="P659" s="304"/>
      <c r="Q659" s="304"/>
      <c r="R659" s="304"/>
      <c r="S659" s="304"/>
      <c r="T659" s="304"/>
      <c r="U659" s="304"/>
      <c r="V659" s="304"/>
      <c r="W659" s="304"/>
      <c r="X659" s="304"/>
      <c r="Y659" s="304"/>
      <c r="Z659" s="305"/>
    </row>
    <row r="660" spans="1:26" x14ac:dyDescent="0.2">
      <c r="A660" s="303"/>
      <c r="B660" s="304"/>
      <c r="C660" s="1179"/>
      <c r="D660" s="438" t="s">
        <v>12</v>
      </c>
      <c r="E660" s="442">
        <f>$H$652*Calc1!$F$313*Calc1!H319</f>
        <v>5.152000000000001</v>
      </c>
      <c r="F660" s="481">
        <f>Calc1!$G$285</f>
        <v>30</v>
      </c>
      <c r="G660" s="443">
        <f t="shared" si="137"/>
        <v>154.56000000000003</v>
      </c>
      <c r="H660" s="312">
        <v>80</v>
      </c>
      <c r="I660" s="309">
        <f t="shared" si="136"/>
        <v>12.364800000000002</v>
      </c>
      <c r="J660" s="351">
        <f>I660*1000/840</f>
        <v>14.720000000000004</v>
      </c>
      <c r="K660" s="304"/>
      <c r="L660" s="304"/>
      <c r="M660" s="304"/>
      <c r="N660" s="304"/>
      <c r="O660" s="304"/>
      <c r="P660" s="304"/>
      <c r="Q660" s="304"/>
      <c r="R660" s="304"/>
      <c r="S660" s="304"/>
      <c r="T660" s="304"/>
      <c r="U660" s="304"/>
      <c r="V660" s="304"/>
      <c r="W660" s="304"/>
      <c r="X660" s="304"/>
      <c r="Y660" s="304"/>
      <c r="Z660" s="305"/>
    </row>
    <row r="661" spans="1:26" x14ac:dyDescent="0.2">
      <c r="A661" s="303"/>
      <c r="B661" s="304"/>
      <c r="C661" s="1179"/>
      <c r="D661" s="438" t="s">
        <v>50</v>
      </c>
      <c r="E661" s="442">
        <f>$H$652*Calc1!$F$313*Calc1!H320</f>
        <v>0</v>
      </c>
      <c r="F661" s="481">
        <f>Calc1!$G$285</f>
        <v>30</v>
      </c>
      <c r="G661" s="443">
        <f t="shared" si="137"/>
        <v>0</v>
      </c>
      <c r="H661" s="312">
        <v>50</v>
      </c>
      <c r="I661" s="309">
        <f t="shared" si="136"/>
        <v>0</v>
      </c>
      <c r="J661" s="351">
        <f>I661*1000/0.714</f>
        <v>0</v>
      </c>
      <c r="K661" s="304"/>
      <c r="L661" s="304"/>
      <c r="M661" s="304"/>
      <c r="N661" s="304"/>
      <c r="O661" s="304"/>
      <c r="P661" s="304"/>
      <c r="Q661" s="304"/>
      <c r="R661" s="304"/>
      <c r="S661" s="304"/>
      <c r="T661" s="304"/>
      <c r="U661" s="304"/>
      <c r="V661" s="304"/>
      <c r="W661" s="304"/>
      <c r="X661" s="304"/>
      <c r="Y661" s="304"/>
      <c r="Z661" s="305"/>
    </row>
    <row r="662" spans="1:26" x14ac:dyDescent="0.2">
      <c r="A662" s="303"/>
      <c r="B662" s="304"/>
      <c r="C662" s="312" t="s">
        <v>834</v>
      </c>
      <c r="D662" s="438" t="s">
        <v>14</v>
      </c>
      <c r="E662" s="442">
        <f>H652*Calc1!F314</f>
        <v>0</v>
      </c>
      <c r="F662" s="481">
        <f>Calc1!$G$285</f>
        <v>30</v>
      </c>
      <c r="G662" s="443">
        <f t="shared" si="137"/>
        <v>0</v>
      </c>
      <c r="H662" s="478">
        <v>35</v>
      </c>
      <c r="I662" s="309">
        <f t="shared" si="136"/>
        <v>0</v>
      </c>
      <c r="J662" s="351">
        <f>I662*1000/730</f>
        <v>0</v>
      </c>
      <c r="K662" s="304"/>
      <c r="L662" s="304"/>
      <c r="M662" s="304"/>
      <c r="N662" s="304"/>
      <c r="O662" s="304"/>
      <c r="P662" s="304"/>
      <c r="Q662" s="304"/>
      <c r="R662" s="304"/>
      <c r="S662" s="304"/>
      <c r="T662" s="304"/>
      <c r="U662" s="304"/>
      <c r="V662" s="304"/>
      <c r="W662" s="304"/>
      <c r="X662" s="304"/>
      <c r="Y662" s="304"/>
      <c r="Z662" s="305"/>
    </row>
    <row r="663" spans="1:26" x14ac:dyDescent="0.2">
      <c r="A663" s="303"/>
      <c r="B663" s="304"/>
      <c r="C663" s="304"/>
      <c r="D663" s="429"/>
      <c r="E663" s="485">
        <f>SUM(E656:E662)</f>
        <v>64.400000000000006</v>
      </c>
      <c r="F663" s="431"/>
      <c r="G663" s="431"/>
      <c r="H663" s="445"/>
      <c r="I663" s="303"/>
      <c r="J663" s="304"/>
      <c r="K663" s="304"/>
      <c r="L663" s="304"/>
      <c r="M663" s="304"/>
      <c r="N663" s="304"/>
      <c r="O663" s="304"/>
      <c r="P663" s="304"/>
      <c r="Q663" s="304"/>
      <c r="R663" s="304"/>
      <c r="S663" s="304"/>
      <c r="T663" s="304"/>
      <c r="U663" s="304"/>
      <c r="V663" s="304"/>
      <c r="W663" s="304"/>
      <c r="X663" s="304"/>
      <c r="Y663" s="304"/>
      <c r="Z663" s="305"/>
    </row>
    <row r="664" spans="1:26" ht="13.5" thickBot="1" x14ac:dyDescent="0.25">
      <c r="A664" s="303"/>
      <c r="B664" s="304"/>
      <c r="C664" s="304"/>
      <c r="D664" s="429"/>
      <c r="E664" s="430"/>
      <c r="F664" s="431"/>
      <c r="G664" s="431"/>
      <c r="H664" s="321"/>
      <c r="I664" s="391"/>
      <c r="J664" s="322"/>
      <c r="K664" s="322"/>
      <c r="L664" s="322"/>
      <c r="M664" s="304"/>
      <c r="N664" s="304"/>
      <c r="O664" s="304"/>
      <c r="P664" s="304"/>
      <c r="Q664" s="304"/>
      <c r="R664" s="304"/>
      <c r="S664" s="304"/>
      <c r="T664" s="304"/>
      <c r="U664" s="304"/>
      <c r="V664" s="304"/>
      <c r="W664" s="304"/>
      <c r="X664" s="304"/>
      <c r="Y664" s="304"/>
      <c r="Z664" s="305"/>
    </row>
    <row r="665" spans="1:26" ht="15.75" x14ac:dyDescent="0.3">
      <c r="A665" s="303"/>
      <c r="B665" s="304"/>
      <c r="C665" s="309"/>
      <c r="D665" s="438" t="s">
        <v>205</v>
      </c>
      <c r="E665" s="442"/>
      <c r="F665" s="310" t="s">
        <v>16</v>
      </c>
      <c r="G665" s="310" t="s">
        <v>17</v>
      </c>
      <c r="H665" s="311" t="s">
        <v>789</v>
      </c>
      <c r="I665" s="449" t="s">
        <v>197</v>
      </c>
      <c r="J665" s="450" t="s">
        <v>180</v>
      </c>
      <c r="K665" s="450" t="s">
        <v>194</v>
      </c>
      <c r="L665" s="450" t="s">
        <v>195</v>
      </c>
      <c r="M665" s="450" t="s">
        <v>196</v>
      </c>
      <c r="N665" s="448"/>
      <c r="O665" s="304"/>
      <c r="P665" s="304"/>
      <c r="Q665" s="304"/>
      <c r="R665" s="304"/>
      <c r="S665" s="304"/>
      <c r="T665" s="304"/>
      <c r="U665" s="304"/>
      <c r="V665" s="304"/>
      <c r="W665" s="304"/>
      <c r="X665" s="304"/>
      <c r="Y665" s="304"/>
      <c r="Z665" s="305"/>
    </row>
    <row r="666" spans="1:26" x14ac:dyDescent="0.2">
      <c r="A666" s="303"/>
      <c r="B666" s="304"/>
      <c r="C666" s="1179" t="s">
        <v>204</v>
      </c>
      <c r="D666" s="438" t="s">
        <v>14</v>
      </c>
      <c r="E666" s="451" t="s">
        <v>836</v>
      </c>
      <c r="F666" s="373">
        <v>2.2890000000000001</v>
      </c>
      <c r="G666" s="373">
        <v>5.1999999999999995E-4</v>
      </c>
      <c r="H666" s="453">
        <v>2.0000000000000001E-4</v>
      </c>
      <c r="I666" s="454">
        <v>14.5</v>
      </c>
      <c r="J666" s="455">
        <v>14</v>
      </c>
      <c r="K666" s="455">
        <v>132</v>
      </c>
      <c r="L666" s="455">
        <v>3.6999999999999998E-2</v>
      </c>
      <c r="M666" s="455">
        <v>0.04</v>
      </c>
      <c r="N666" s="452">
        <v>3180</v>
      </c>
      <c r="O666" s="304"/>
      <c r="P666" s="304"/>
      <c r="Q666" s="304"/>
      <c r="R666" s="304"/>
      <c r="S666" s="304"/>
      <c r="T666" s="304"/>
      <c r="U666" s="304"/>
      <c r="V666" s="304"/>
      <c r="W666" s="304"/>
      <c r="X666" s="304"/>
      <c r="Y666" s="304"/>
      <c r="Z666" s="305"/>
    </row>
    <row r="667" spans="1:26" x14ac:dyDescent="0.2">
      <c r="A667" s="303"/>
      <c r="B667" s="304"/>
      <c r="C667" s="1179"/>
      <c r="D667" s="438"/>
      <c r="E667" s="451" t="s">
        <v>67</v>
      </c>
      <c r="F667" s="486">
        <f>$J$656*F666/1000</f>
        <v>0.3434892213698631</v>
      </c>
      <c r="G667" s="486">
        <f>$J$656*G666/1000</f>
        <v>7.8031627397260283E-5</v>
      </c>
      <c r="H667" s="486">
        <f>$J$656*H666/1000</f>
        <v>3.0012164383561654E-5</v>
      </c>
      <c r="I667" s="486">
        <f t="shared" ref="I667:N667" si="139">$I$656*I666/1000/1000</f>
        <v>1.5883938000000003E-3</v>
      </c>
      <c r="J667" s="486">
        <f t="shared" si="139"/>
        <v>1.5336216000000004E-3</v>
      </c>
      <c r="K667" s="486">
        <f t="shared" si="139"/>
        <v>1.4459860800000005E-2</v>
      </c>
      <c r="L667" s="486">
        <f t="shared" si="139"/>
        <v>4.0531428000000005E-6</v>
      </c>
      <c r="M667" s="486">
        <f t="shared" si="139"/>
        <v>4.3817760000000012E-6</v>
      </c>
      <c r="N667" s="486">
        <f t="shared" si="139"/>
        <v>0.34835119200000009</v>
      </c>
      <c r="O667" s="304"/>
      <c r="P667" s="304"/>
      <c r="Q667" s="304"/>
      <c r="R667" s="304"/>
      <c r="S667" s="304"/>
      <c r="T667" s="304"/>
      <c r="U667" s="304"/>
      <c r="V667" s="304"/>
      <c r="W667" s="304"/>
      <c r="X667" s="304"/>
      <c r="Y667" s="304"/>
      <c r="Z667" s="305"/>
    </row>
    <row r="668" spans="1:26" x14ac:dyDescent="0.2">
      <c r="A668" s="303"/>
      <c r="B668" s="304"/>
      <c r="C668" s="1179"/>
      <c r="D668" s="438" t="s">
        <v>12</v>
      </c>
      <c r="E668" s="451" t="s">
        <v>837</v>
      </c>
      <c r="F668" s="373">
        <v>2.6629999999999998</v>
      </c>
      <c r="G668" s="373">
        <v>6.7999999999999999E-5</v>
      </c>
      <c r="H668" s="453">
        <v>2.1000000000000001E-4</v>
      </c>
      <c r="I668" s="454">
        <v>11</v>
      </c>
      <c r="J668" s="455">
        <v>1.1000000000000001</v>
      </c>
      <c r="K668" s="455">
        <v>4.7</v>
      </c>
      <c r="L668" s="455">
        <v>1.7</v>
      </c>
      <c r="M668" s="455">
        <v>8.0000000000000002E-3</v>
      </c>
      <c r="N668" s="452">
        <v>3140</v>
      </c>
      <c r="O668" s="304"/>
      <c r="P668" s="304"/>
      <c r="Q668" s="304"/>
      <c r="R668" s="304"/>
      <c r="S668" s="304"/>
      <c r="T668" s="304"/>
      <c r="U668" s="304"/>
      <c r="V668" s="304"/>
      <c r="W668" s="304"/>
      <c r="X668" s="304"/>
      <c r="Y668" s="304"/>
      <c r="Z668" s="305"/>
    </row>
    <row r="669" spans="1:26" x14ac:dyDescent="0.2">
      <c r="A669" s="303"/>
      <c r="B669" s="304"/>
      <c r="C669" s="1179"/>
      <c r="D669" s="438"/>
      <c r="E669" s="451" t="s">
        <v>67</v>
      </c>
      <c r="F669" s="486">
        <f>$J$657*F668/1000</f>
        <v>3.307446E-2</v>
      </c>
      <c r="G669" s="486">
        <f>$J$657*G668/1000</f>
        <v>8.4456000000000009E-7</v>
      </c>
      <c r="H669" s="486">
        <f>$J$657*H668/1000</f>
        <v>2.6082000000000007E-6</v>
      </c>
      <c r="I669" s="486">
        <f t="shared" ref="I669:N669" si="140">$I$657*I668/1000/1000</f>
        <v>1.1476080000000001E-4</v>
      </c>
      <c r="J669" s="486">
        <f t="shared" si="140"/>
        <v>1.1476080000000002E-5</v>
      </c>
      <c r="K669" s="486">
        <f t="shared" si="140"/>
        <v>4.9034160000000003E-5</v>
      </c>
      <c r="L669" s="486">
        <f t="shared" si="140"/>
        <v>1.7735760000000001E-5</v>
      </c>
      <c r="M669" s="486">
        <f t="shared" si="140"/>
        <v>8.3462400000000005E-8</v>
      </c>
      <c r="N669" s="486">
        <f t="shared" si="140"/>
        <v>3.2758992000000001E-2</v>
      </c>
      <c r="O669" s="304"/>
      <c r="P669" s="304"/>
      <c r="Q669" s="304"/>
      <c r="R669" s="304"/>
      <c r="S669" s="304"/>
      <c r="T669" s="304"/>
      <c r="U669" s="304"/>
      <c r="V669" s="304"/>
      <c r="W669" s="304"/>
      <c r="X669" s="304"/>
      <c r="Y669" s="304"/>
      <c r="Z669" s="305"/>
    </row>
    <row r="670" spans="1:26" x14ac:dyDescent="0.2">
      <c r="A670" s="303"/>
      <c r="B670" s="304"/>
      <c r="C670" s="1179"/>
      <c r="D670" s="438" t="s">
        <v>50</v>
      </c>
      <c r="E670" s="451" t="s">
        <v>838</v>
      </c>
      <c r="F670" s="373">
        <v>1.89E-3</v>
      </c>
      <c r="G670" s="373">
        <v>9.0000000000000002E-6</v>
      </c>
      <c r="H670" s="453">
        <v>5.9999999999999995E-8</v>
      </c>
      <c r="I670" s="462">
        <v>5.6000000000000001E-2</v>
      </c>
      <c r="J670" s="324">
        <v>1.4999999999999999E-2</v>
      </c>
      <c r="K670" s="324">
        <v>0.39500000000000002</v>
      </c>
      <c r="L670" s="324">
        <v>2E-3</v>
      </c>
      <c r="M670" s="463">
        <v>0</v>
      </c>
      <c r="N670" s="461">
        <v>148</v>
      </c>
      <c r="O670" s="304"/>
      <c r="P670" s="304"/>
      <c r="Q670" s="304"/>
      <c r="R670" s="304"/>
      <c r="S670" s="304"/>
      <c r="T670" s="304"/>
      <c r="U670" s="304"/>
      <c r="V670" s="304"/>
      <c r="W670" s="304"/>
      <c r="X670" s="304"/>
      <c r="Y670" s="304"/>
      <c r="Z670" s="305"/>
    </row>
    <row r="671" spans="1:26" x14ac:dyDescent="0.2">
      <c r="A671" s="303"/>
      <c r="B671" s="473"/>
      <c r="C671" s="1179"/>
      <c r="D671" s="438"/>
      <c r="E671" s="451" t="s">
        <v>67</v>
      </c>
      <c r="F671" s="457">
        <f>$J$658*F670/1000</f>
        <v>0</v>
      </c>
      <c r="G671" s="457">
        <f>$J$658*G670/1000</f>
        <v>0</v>
      </c>
      <c r="H671" s="457">
        <f>$J$658*H670/1000</f>
        <v>0</v>
      </c>
      <c r="I671" s="487">
        <f>I670*$G$658/1000/1000</f>
        <v>0</v>
      </c>
      <c r="J671" s="487">
        <f t="shared" ref="J671:N671" si="141">J670*$G$658/1000/1000</f>
        <v>0</v>
      </c>
      <c r="K671" s="487">
        <f t="shared" si="141"/>
        <v>0</v>
      </c>
      <c r="L671" s="487">
        <f t="shared" si="141"/>
        <v>0</v>
      </c>
      <c r="M671" s="487">
        <f t="shared" si="141"/>
        <v>0</v>
      </c>
      <c r="N671" s="487">
        <f t="shared" si="141"/>
        <v>0</v>
      </c>
      <c r="O671" s="304"/>
      <c r="P671" s="304"/>
      <c r="Q671" s="304"/>
      <c r="R671" s="304"/>
      <c r="S671" s="304"/>
      <c r="T671" s="304"/>
      <c r="U671" s="304"/>
      <c r="V671" s="304"/>
      <c r="W671" s="304"/>
      <c r="X671" s="304"/>
      <c r="Y671" s="304"/>
      <c r="Z671" s="305"/>
    </row>
    <row r="672" spans="1:26" x14ac:dyDescent="0.2">
      <c r="A672" s="303"/>
      <c r="B672" s="473"/>
      <c r="C672" s="1179" t="s">
        <v>696</v>
      </c>
      <c r="D672" s="438" t="s">
        <v>14</v>
      </c>
      <c r="E672" s="451" t="s">
        <v>839</v>
      </c>
      <c r="F672" s="373">
        <v>2.6629999999999998</v>
      </c>
      <c r="G672" s="373">
        <v>6.7999999999999999E-5</v>
      </c>
      <c r="H672" s="453">
        <v>2.1000000000000001E-4</v>
      </c>
      <c r="I672" s="454">
        <v>24</v>
      </c>
      <c r="J672" s="455">
        <v>14</v>
      </c>
      <c r="K672" s="455">
        <v>155</v>
      </c>
      <c r="L672" s="455">
        <v>0.03</v>
      </c>
      <c r="M672" s="455">
        <v>0.04</v>
      </c>
      <c r="N672" s="452">
        <v>3180</v>
      </c>
      <c r="O672" s="304"/>
      <c r="P672" s="304"/>
      <c r="Q672" s="304"/>
      <c r="R672" s="304"/>
      <c r="S672" s="304"/>
      <c r="T672" s="304"/>
      <c r="U672" s="304"/>
      <c r="V672" s="304"/>
      <c r="W672" s="304"/>
      <c r="X672" s="304"/>
      <c r="Y672" s="304"/>
      <c r="Z672" s="305"/>
    </row>
    <row r="673" spans="1:26" x14ac:dyDescent="0.2">
      <c r="A673" s="303"/>
      <c r="B673" s="304"/>
      <c r="C673" s="1179"/>
      <c r="D673" s="438"/>
      <c r="E673" s="451" t="s">
        <v>67</v>
      </c>
      <c r="F673" s="486">
        <f>$J$659*F672/1000</f>
        <v>1.4095660273972603E-2</v>
      </c>
      <c r="G673" s="486">
        <f>$J$659*G672/1000</f>
        <v>3.5993424657534249E-7</v>
      </c>
      <c r="H673" s="486">
        <f>$J$659*H672/1000</f>
        <v>1.1115616438356166E-6</v>
      </c>
      <c r="I673" s="486">
        <f t="shared" ref="I673:N673" si="142">$I$659*I672/1000/1000</f>
        <v>9.2736000000000015E-5</v>
      </c>
      <c r="J673" s="486">
        <f t="shared" si="142"/>
        <v>5.4096000000000012E-5</v>
      </c>
      <c r="K673" s="486">
        <f t="shared" si="142"/>
        <v>5.9892000000000007E-4</v>
      </c>
      <c r="L673" s="486">
        <f t="shared" si="142"/>
        <v>1.1592000000000003E-7</v>
      </c>
      <c r="M673" s="486">
        <f t="shared" si="142"/>
        <v>1.5456000000000003E-7</v>
      </c>
      <c r="N673" s="486">
        <f t="shared" si="142"/>
        <v>1.2287520000000003E-2</v>
      </c>
      <c r="O673" s="304"/>
      <c r="P673" s="304"/>
      <c r="Q673" s="304"/>
      <c r="R673" s="304"/>
      <c r="S673" s="304"/>
      <c r="T673" s="304"/>
      <c r="U673" s="304"/>
      <c r="V673" s="304"/>
      <c r="W673" s="304"/>
      <c r="X673" s="304"/>
      <c r="Y673" s="304"/>
      <c r="Z673" s="305"/>
    </row>
    <row r="674" spans="1:26" x14ac:dyDescent="0.2">
      <c r="A674" s="303"/>
      <c r="B674" s="304"/>
      <c r="C674" s="1179"/>
      <c r="D674" s="438" t="s">
        <v>12</v>
      </c>
      <c r="E674" s="451" t="s">
        <v>837</v>
      </c>
      <c r="F674" s="373">
        <v>2.6629999999999998</v>
      </c>
      <c r="G674" s="373">
        <v>6.7999999999999999E-5</v>
      </c>
      <c r="H674" s="453">
        <v>2.1000000000000001E-4</v>
      </c>
      <c r="I674" s="454">
        <v>15</v>
      </c>
      <c r="J674" s="455">
        <v>1.75</v>
      </c>
      <c r="K674" s="455">
        <v>11</v>
      </c>
      <c r="L674" s="455">
        <v>2.8</v>
      </c>
      <c r="M674" s="455">
        <v>8.0000000000000002E-3</v>
      </c>
      <c r="N674" s="452">
        <v>3140</v>
      </c>
      <c r="O674" s="304"/>
      <c r="P674" s="304"/>
      <c r="Q674" s="304"/>
      <c r="R674" s="304"/>
      <c r="S674" s="304"/>
      <c r="T674" s="304"/>
      <c r="U674" s="304"/>
      <c r="V674" s="304"/>
      <c r="W674" s="304"/>
      <c r="X674" s="304"/>
      <c r="Y674" s="304"/>
      <c r="Z674" s="305"/>
    </row>
    <row r="675" spans="1:26" x14ac:dyDescent="0.2">
      <c r="A675" s="303"/>
      <c r="B675" s="304"/>
      <c r="C675" s="1179"/>
      <c r="D675" s="438"/>
      <c r="E675" s="451" t="s">
        <v>67</v>
      </c>
      <c r="F675" s="486">
        <f>$J$660*F674/1000</f>
        <v>3.9199360000000003E-2</v>
      </c>
      <c r="G675" s="486">
        <f>$J$660*G674/1000</f>
        <v>1.0009600000000002E-6</v>
      </c>
      <c r="H675" s="486">
        <f>$J$660*H674/1000</f>
        <v>3.091200000000001E-6</v>
      </c>
      <c r="I675" s="486">
        <f t="shared" ref="I675:N675" si="143">$I$660*I674/1000/1000</f>
        <v>1.8547200000000003E-4</v>
      </c>
      <c r="J675" s="486">
        <f t="shared" si="143"/>
        <v>2.1638400000000006E-5</v>
      </c>
      <c r="K675" s="486">
        <f t="shared" si="143"/>
        <v>1.3601280000000003E-4</v>
      </c>
      <c r="L675" s="486">
        <f t="shared" si="143"/>
        <v>3.462144000000001E-5</v>
      </c>
      <c r="M675" s="486">
        <f t="shared" si="143"/>
        <v>9.8918400000000021E-8</v>
      </c>
      <c r="N675" s="486">
        <f t="shared" si="143"/>
        <v>3.8825472000000014E-2</v>
      </c>
      <c r="O675" s="304"/>
      <c r="P675" s="304"/>
      <c r="Q675" s="304"/>
      <c r="R675" s="304"/>
      <c r="S675" s="304"/>
      <c r="T675" s="304"/>
      <c r="U675" s="304"/>
      <c r="V675" s="304"/>
      <c r="W675" s="304"/>
      <c r="X675" s="304"/>
      <c r="Y675" s="304"/>
      <c r="Z675" s="305"/>
    </row>
    <row r="676" spans="1:26" x14ac:dyDescent="0.2">
      <c r="A676" s="303"/>
      <c r="B676" s="304"/>
      <c r="C676" s="1179"/>
      <c r="D676" s="438" t="s">
        <v>50</v>
      </c>
      <c r="E676" s="451" t="s">
        <v>838</v>
      </c>
      <c r="F676" s="373">
        <v>1.89E-3</v>
      </c>
      <c r="G676" s="373">
        <v>9.0000000000000002E-6</v>
      </c>
      <c r="H676" s="453">
        <v>5.9999999999999995E-8</v>
      </c>
      <c r="I676" s="462">
        <v>5.6000000000000001E-2</v>
      </c>
      <c r="J676" s="324">
        <v>1.4999999999999999E-2</v>
      </c>
      <c r="K676" s="324">
        <v>0.39500000000000002</v>
      </c>
      <c r="L676" s="324">
        <v>2E-3</v>
      </c>
      <c r="M676" s="463">
        <v>0</v>
      </c>
      <c r="N676" s="461">
        <v>148</v>
      </c>
      <c r="O676" s="304"/>
      <c r="P676" s="304"/>
      <c r="Q676" s="304"/>
      <c r="R676" s="304"/>
      <c r="S676" s="304"/>
      <c r="T676" s="304"/>
      <c r="U676" s="304"/>
      <c r="V676" s="304"/>
      <c r="W676" s="304"/>
      <c r="X676" s="304"/>
      <c r="Y676" s="304"/>
      <c r="Z676" s="305"/>
    </row>
    <row r="677" spans="1:26" x14ac:dyDescent="0.2">
      <c r="A677" s="303"/>
      <c r="B677" s="304"/>
      <c r="C677" s="1179"/>
      <c r="D677" s="438"/>
      <c r="E677" s="451" t="s">
        <v>67</v>
      </c>
      <c r="F677" s="457">
        <f>$J$661*F676/1000</f>
        <v>0</v>
      </c>
      <c r="G677" s="457">
        <f>$J$661*G676/1000</f>
        <v>0</v>
      </c>
      <c r="H677" s="457">
        <f>$J$661*H676/1000</f>
        <v>0</v>
      </c>
      <c r="I677" s="487">
        <f>I676*$G$661/1000/1000</f>
        <v>0</v>
      </c>
      <c r="J677" s="487">
        <f t="shared" ref="J677:N677" si="144">J676*$G$661/1000/1000</f>
        <v>0</v>
      </c>
      <c r="K677" s="487">
        <f t="shared" si="144"/>
        <v>0</v>
      </c>
      <c r="L677" s="487">
        <f t="shared" si="144"/>
        <v>0</v>
      </c>
      <c r="M677" s="487">
        <f t="shared" si="144"/>
        <v>0</v>
      </c>
      <c r="N677" s="487">
        <f t="shared" si="144"/>
        <v>0</v>
      </c>
      <c r="O677" s="304"/>
      <c r="P677" s="304"/>
      <c r="Q677" s="304"/>
      <c r="R677" s="304"/>
      <c r="S677" s="304"/>
      <c r="T677" s="304"/>
      <c r="U677" s="304"/>
      <c r="V677" s="304"/>
      <c r="W677" s="304"/>
      <c r="X677" s="304"/>
      <c r="Y677" s="304"/>
      <c r="Z677" s="305"/>
    </row>
    <row r="678" spans="1:26" x14ac:dyDescent="0.2">
      <c r="A678" s="303"/>
      <c r="B678" s="304"/>
      <c r="C678" s="1177" t="s">
        <v>834</v>
      </c>
      <c r="D678" s="438" t="s">
        <v>14</v>
      </c>
      <c r="E678" s="451" t="s">
        <v>839</v>
      </c>
      <c r="F678" s="455">
        <v>3180</v>
      </c>
      <c r="G678" s="469">
        <v>2.2999999999999998</v>
      </c>
      <c r="H678" s="455">
        <v>5.8999999999999997E-2</v>
      </c>
      <c r="I678" s="455">
        <v>9.5</v>
      </c>
      <c r="J678" s="455">
        <v>114</v>
      </c>
      <c r="K678" s="455">
        <v>490</v>
      </c>
      <c r="L678" s="455">
        <v>2.7</v>
      </c>
      <c r="M678" s="455">
        <v>0.04</v>
      </c>
      <c r="N678" s="470"/>
      <c r="O678" s="304"/>
      <c r="P678" s="304"/>
      <c r="Q678" s="304"/>
      <c r="R678" s="304"/>
      <c r="S678" s="304"/>
      <c r="T678" s="304"/>
      <c r="U678" s="304"/>
      <c r="V678" s="304"/>
      <c r="W678" s="304"/>
      <c r="X678" s="304"/>
      <c r="Y678" s="304"/>
      <c r="Z678" s="305"/>
    </row>
    <row r="679" spans="1:26" x14ac:dyDescent="0.2">
      <c r="A679" s="303"/>
      <c r="B679" s="304"/>
      <c r="C679" s="1178"/>
      <c r="D679" s="438"/>
      <c r="E679" s="451" t="s">
        <v>67</v>
      </c>
      <c r="F679" s="457">
        <f>$I$662*F678/1000/1000</f>
        <v>0</v>
      </c>
      <c r="G679" s="457">
        <f>$J$662*G678/1000/1000</f>
        <v>0</v>
      </c>
      <c r="H679" s="457">
        <f t="shared" ref="H679:M679" si="145">$I$662*H678/1000/1000</f>
        <v>0</v>
      </c>
      <c r="I679" s="457">
        <f t="shared" si="145"/>
        <v>0</v>
      </c>
      <c r="J679" s="457">
        <f t="shared" si="145"/>
        <v>0</v>
      </c>
      <c r="K679" s="457">
        <f t="shared" si="145"/>
        <v>0</v>
      </c>
      <c r="L679" s="457">
        <f t="shared" si="145"/>
        <v>0</v>
      </c>
      <c r="M679" s="457">
        <f t="shared" si="145"/>
        <v>0</v>
      </c>
      <c r="N679" s="470"/>
      <c r="O679" s="304"/>
      <c r="P679" s="304"/>
      <c r="Q679" s="304"/>
      <c r="R679" s="304"/>
      <c r="S679" s="304"/>
      <c r="T679" s="304"/>
      <c r="U679" s="304"/>
      <c r="V679" s="304"/>
      <c r="W679" s="304"/>
      <c r="X679" s="304"/>
      <c r="Y679" s="304"/>
      <c r="Z679" s="305"/>
    </row>
    <row r="680" spans="1:26" x14ac:dyDescent="0.2">
      <c r="A680" s="303"/>
      <c r="B680" s="304"/>
      <c r="C680" s="309"/>
      <c r="D680" s="438"/>
      <c r="E680" s="471" t="s">
        <v>0</v>
      </c>
      <c r="F680" s="786">
        <f>F667+F669+F671+F673+F675+F677+F679</f>
        <v>0.42985870164383566</v>
      </c>
      <c r="G680" s="486">
        <f t="shared" ref="G680:N680" si="146">G667+G669+G671+G673+G675+G677+G679</f>
        <v>8.0237081643835624E-5</v>
      </c>
      <c r="H680" s="486">
        <f t="shared" si="146"/>
        <v>3.6823126027397275E-5</v>
      </c>
      <c r="I680" s="486">
        <f t="shared" si="146"/>
        <v>1.9813626000000002E-3</v>
      </c>
      <c r="J680" s="486">
        <f t="shared" si="146"/>
        <v>1.6208320800000003E-3</v>
      </c>
      <c r="K680" s="486">
        <f t="shared" si="146"/>
        <v>1.5243827760000004E-2</v>
      </c>
      <c r="L680" s="486">
        <f t="shared" si="146"/>
        <v>5.6526262800000017E-5</v>
      </c>
      <c r="M680" s="486">
        <f t="shared" si="146"/>
        <v>4.718716800000001E-6</v>
      </c>
      <c r="N680" s="486">
        <f t="shared" si="146"/>
        <v>0.4322231760000001</v>
      </c>
      <c r="O680" s="304"/>
      <c r="P680" s="304"/>
      <c r="Q680" s="304"/>
      <c r="R680" s="304"/>
      <c r="S680" s="304"/>
      <c r="T680" s="304"/>
      <c r="U680" s="304"/>
      <c r="V680" s="304"/>
      <c r="W680" s="304"/>
      <c r="X680" s="304"/>
      <c r="Y680" s="304"/>
      <c r="Z680" s="305"/>
    </row>
    <row r="681" spans="1:26" x14ac:dyDescent="0.2">
      <c r="A681" s="303"/>
      <c r="B681" s="304"/>
      <c r="C681" s="472" t="s">
        <v>68</v>
      </c>
      <c r="D681" s="429"/>
      <c r="E681" s="430"/>
      <c r="F681" s="431"/>
      <c r="G681" s="431"/>
      <c r="H681" s="445"/>
      <c r="I681" s="303"/>
      <c r="J681" s="304"/>
      <c r="K681" s="304"/>
      <c r="L681" s="304"/>
      <c r="M681" s="304"/>
      <c r="N681" s="304"/>
      <c r="O681" s="304"/>
      <c r="P681" s="304"/>
      <c r="Q681" s="304"/>
      <c r="R681" s="304"/>
      <c r="S681" s="304"/>
      <c r="T681" s="304"/>
      <c r="U681" s="304"/>
      <c r="V681" s="304"/>
      <c r="W681" s="304"/>
      <c r="X681" s="304"/>
      <c r="Y681" s="304"/>
      <c r="Z681" s="305"/>
    </row>
    <row r="682" spans="1:26" x14ac:dyDescent="0.2">
      <c r="A682" s="303"/>
      <c r="B682" s="304"/>
      <c r="C682" s="304" t="s">
        <v>835</v>
      </c>
      <c r="D682" s="429"/>
      <c r="E682" s="430"/>
      <c r="F682" s="431"/>
      <c r="G682" s="431"/>
      <c r="H682" s="445"/>
      <c r="I682" s="303"/>
      <c r="J682" s="304"/>
      <c r="K682" s="304"/>
      <c r="L682" s="304"/>
      <c r="M682" s="304"/>
      <c r="N682" s="304"/>
      <c r="O682" s="304"/>
      <c r="P682" s="304"/>
      <c r="Q682" s="304"/>
      <c r="R682" s="304"/>
      <c r="S682" s="304"/>
      <c r="T682" s="304"/>
      <c r="U682" s="304"/>
      <c r="V682" s="304"/>
      <c r="W682" s="304"/>
      <c r="X682" s="304"/>
      <c r="Y682" s="304"/>
      <c r="Z682" s="305"/>
    </row>
    <row r="683" spans="1:26" x14ac:dyDescent="0.2">
      <c r="A683" s="303"/>
      <c r="B683" s="303" t="s">
        <v>620</v>
      </c>
      <c r="C683" s="304"/>
      <c r="D683" s="429"/>
      <c r="E683" s="430"/>
      <c r="F683" s="431"/>
      <c r="G683" s="431"/>
      <c r="H683" s="445"/>
      <c r="I683" s="303"/>
      <c r="J683" s="304"/>
      <c r="K683" s="304"/>
      <c r="L683" s="304"/>
      <c r="M683" s="304"/>
      <c r="N683" s="304"/>
      <c r="O683" s="304"/>
      <c r="P683" s="304"/>
      <c r="Q683" s="304"/>
      <c r="R683" s="304"/>
      <c r="S683" s="304"/>
      <c r="T683" s="304"/>
      <c r="U683" s="304"/>
      <c r="V683" s="304"/>
      <c r="W683" s="304"/>
      <c r="X683" s="304"/>
      <c r="Y683" s="304"/>
      <c r="Z683" s="305"/>
    </row>
    <row r="684" spans="1:26" x14ac:dyDescent="0.2">
      <c r="A684" s="303"/>
      <c r="B684" s="303"/>
      <c r="C684" s="304"/>
      <c r="D684" s="429"/>
      <c r="E684" s="430"/>
      <c r="F684" s="431"/>
      <c r="G684" s="431"/>
      <c r="H684" s="445"/>
      <c r="I684" s="303"/>
      <c r="J684" s="304"/>
      <c r="K684" s="304"/>
      <c r="L684" s="304"/>
      <c r="M684" s="304"/>
      <c r="N684" s="304"/>
      <c r="O684" s="304"/>
      <c r="P684" s="304"/>
      <c r="Q684" s="304"/>
      <c r="R684" s="304"/>
      <c r="S684" s="304"/>
      <c r="T684" s="304"/>
      <c r="U684" s="304"/>
      <c r="V684" s="304"/>
      <c r="W684" s="304"/>
      <c r="X684" s="304"/>
      <c r="Y684" s="304"/>
      <c r="Z684" s="305"/>
    </row>
    <row r="685" spans="1:26" x14ac:dyDescent="0.2">
      <c r="A685" s="303"/>
      <c r="B685" s="303"/>
      <c r="C685" s="312" t="s">
        <v>613</v>
      </c>
      <c r="D685" s="312" t="s">
        <v>621</v>
      </c>
      <c r="E685" s="420" t="s">
        <v>1066</v>
      </c>
      <c r="F685" s="312" t="s">
        <v>622</v>
      </c>
      <c r="G685" s="312" t="s">
        <v>615</v>
      </c>
      <c r="H685" s="488" t="s">
        <v>206</v>
      </c>
      <c r="I685" s="430"/>
      <c r="J685" s="431"/>
      <c r="K685" s="431"/>
      <c r="L685" s="445"/>
      <c r="M685" s="303"/>
      <c r="N685" s="304"/>
      <c r="O685" s="304"/>
      <c r="P685" s="304"/>
      <c r="Q685" s="304"/>
      <c r="R685" s="304"/>
      <c r="S685" s="304"/>
      <c r="T685" s="304"/>
      <c r="U685" s="304"/>
      <c r="V685" s="304"/>
      <c r="W685" s="304"/>
      <c r="X685" s="304"/>
      <c r="Y685" s="304"/>
      <c r="Z685" s="305"/>
    </row>
    <row r="686" spans="1:26" x14ac:dyDescent="0.2">
      <c r="A686" s="303"/>
      <c r="B686" s="303"/>
      <c r="C686" s="312" t="s">
        <v>619</v>
      </c>
      <c r="D686" s="489">
        <f>Calc1!F328</f>
        <v>1</v>
      </c>
      <c r="E686" s="490">
        <f>Calc1!G328</f>
        <v>1</v>
      </c>
      <c r="F686" s="312">
        <f>E686*2</f>
        <v>2</v>
      </c>
      <c r="G686" s="489">
        <f>Calc1!I328</f>
        <v>365</v>
      </c>
      <c r="H686" s="488">
        <f>D686*F686*G686*2</f>
        <v>1460</v>
      </c>
      <c r="I686" s="430"/>
      <c r="J686" s="431"/>
      <c r="K686" s="431"/>
      <c r="L686" s="445"/>
      <c r="M686" s="303"/>
      <c r="N686" s="304"/>
      <c r="O686" s="304"/>
      <c r="P686" s="304"/>
      <c r="Q686" s="304"/>
      <c r="R686" s="304"/>
      <c r="S686" s="304"/>
      <c r="T686" s="304"/>
      <c r="U686" s="304"/>
      <c r="V686" s="304"/>
      <c r="W686" s="304"/>
      <c r="X686" s="304"/>
      <c r="Y686" s="304"/>
      <c r="Z686" s="305"/>
    </row>
    <row r="687" spans="1:26" x14ac:dyDescent="0.2">
      <c r="A687" s="303"/>
      <c r="B687" s="303"/>
      <c r="C687" s="312" t="s">
        <v>616</v>
      </c>
      <c r="D687" s="489">
        <f>Calc1!F329</f>
        <v>1</v>
      </c>
      <c r="E687" s="490">
        <f>Calc1!G329</f>
        <v>1</v>
      </c>
      <c r="F687" s="312">
        <f>E687*2</f>
        <v>2</v>
      </c>
      <c r="G687" s="489">
        <f>Calc1!I329</f>
        <v>365</v>
      </c>
      <c r="H687" s="488">
        <f>D687*F687*G687*2</f>
        <v>1460</v>
      </c>
      <c r="I687" s="430"/>
      <c r="J687" s="431"/>
      <c r="K687" s="431"/>
      <c r="L687" s="445"/>
      <c r="M687" s="303"/>
      <c r="N687" s="304"/>
      <c r="O687" s="304"/>
      <c r="P687" s="304"/>
      <c r="Q687" s="304"/>
      <c r="R687" s="304"/>
      <c r="S687" s="304"/>
      <c r="T687" s="304"/>
      <c r="U687" s="304"/>
      <c r="V687" s="304"/>
      <c r="W687" s="304"/>
      <c r="X687" s="304"/>
      <c r="Y687" s="304"/>
      <c r="Z687" s="305"/>
    </row>
    <row r="688" spans="1:26" x14ac:dyDescent="0.2">
      <c r="A688" s="303"/>
      <c r="B688" s="304"/>
      <c r="C688" s="304"/>
      <c r="D688" s="429"/>
      <c r="E688" s="430"/>
      <c r="F688" s="431"/>
      <c r="G688" s="431"/>
      <c r="H688" s="445"/>
      <c r="I688" s="303"/>
      <c r="J688" s="304"/>
      <c r="K688" s="304"/>
      <c r="L688" s="304"/>
      <c r="M688" s="304"/>
      <c r="N688" s="304"/>
      <c r="O688" s="304"/>
      <c r="P688" s="304"/>
      <c r="Q688" s="304"/>
      <c r="R688" s="304"/>
      <c r="S688" s="304"/>
      <c r="T688" s="304"/>
      <c r="U688" s="304"/>
      <c r="V688" s="304"/>
      <c r="W688" s="304"/>
      <c r="X688" s="304"/>
      <c r="Y688" s="304"/>
      <c r="Z688" s="305"/>
    </row>
    <row r="689" spans="1:26" x14ac:dyDescent="0.2">
      <c r="A689" s="303"/>
      <c r="B689" s="304"/>
      <c r="C689" s="446" t="s">
        <v>623</v>
      </c>
      <c r="D689" s="429"/>
      <c r="E689" s="430"/>
      <c r="F689" s="304"/>
      <c r="G689" s="431"/>
      <c r="H689" s="1185" t="s">
        <v>224</v>
      </c>
      <c r="I689" s="1186"/>
      <c r="J689" s="1187"/>
      <c r="K689" s="304"/>
      <c r="L689" s="304"/>
      <c r="M689" s="304"/>
      <c r="N689" s="304"/>
      <c r="O689" s="304"/>
      <c r="P689" s="304"/>
      <c r="Q689" s="304"/>
      <c r="R689" s="304"/>
      <c r="S689" s="304"/>
      <c r="T689" s="304"/>
      <c r="U689" s="304"/>
      <c r="V689" s="304"/>
      <c r="W689" s="304"/>
      <c r="X689" s="304"/>
      <c r="Y689" s="304"/>
      <c r="Z689" s="305"/>
    </row>
    <row r="690" spans="1:26" ht="25.5" x14ac:dyDescent="0.2">
      <c r="A690" s="303"/>
      <c r="B690" s="304"/>
      <c r="C690" s="309"/>
      <c r="D690" s="438" t="s">
        <v>205</v>
      </c>
      <c r="E690" s="442" t="s">
        <v>206</v>
      </c>
      <c r="F690" s="443" t="s">
        <v>207</v>
      </c>
      <c r="G690" s="443" t="s">
        <v>208</v>
      </c>
      <c r="H690" s="312" t="s">
        <v>221</v>
      </c>
      <c r="I690" s="447" t="s">
        <v>222</v>
      </c>
      <c r="J690" s="447" t="s">
        <v>223</v>
      </c>
      <c r="K690" s="322"/>
      <c r="L690" s="304"/>
      <c r="M690" s="303"/>
      <c r="N690" s="304"/>
      <c r="O690" s="304"/>
      <c r="P690" s="304"/>
      <c r="Q690" s="304"/>
      <c r="R690" s="304"/>
      <c r="S690" s="304"/>
      <c r="T690" s="304"/>
      <c r="U690" s="304"/>
      <c r="V690" s="304"/>
      <c r="W690" s="304"/>
      <c r="X690" s="304"/>
      <c r="Y690" s="304"/>
      <c r="Z690" s="305"/>
    </row>
    <row r="691" spans="1:26" x14ac:dyDescent="0.2">
      <c r="A691" s="303"/>
      <c r="B691" s="304"/>
      <c r="C691" s="1188" t="s">
        <v>624</v>
      </c>
      <c r="D691" s="438" t="s">
        <v>14</v>
      </c>
      <c r="E691" s="442">
        <f>$H$686*Calc1!F336</f>
        <v>730</v>
      </c>
      <c r="F691" s="438">
        <f>Calc1!$H$328</f>
        <v>5</v>
      </c>
      <c r="G691" s="443">
        <f>E691*F691</f>
        <v>3650</v>
      </c>
      <c r="H691" s="309">
        <v>100</v>
      </c>
      <c r="I691" s="309">
        <f t="shared" ref="I691:I696" si="147">H691*G691/1000</f>
        <v>365</v>
      </c>
      <c r="J691" s="351">
        <f>I691*1000/730</f>
        <v>500</v>
      </c>
      <c r="K691" s="304"/>
      <c r="L691" s="304"/>
      <c r="M691" s="304"/>
      <c r="N691" s="304"/>
      <c r="O691" s="304"/>
      <c r="P691" s="304"/>
      <c r="Q691" s="304"/>
      <c r="R691" s="304"/>
      <c r="S691" s="304"/>
      <c r="T691" s="304"/>
      <c r="U691" s="304"/>
      <c r="V691" s="304"/>
      <c r="W691" s="304"/>
      <c r="X691" s="304"/>
      <c r="Y691" s="304"/>
      <c r="Z691" s="305"/>
    </row>
    <row r="692" spans="1:26" x14ac:dyDescent="0.2">
      <c r="A692" s="303"/>
      <c r="B692" s="304"/>
      <c r="C692" s="1188"/>
      <c r="D692" s="438" t="s">
        <v>12</v>
      </c>
      <c r="E692" s="442">
        <f>$H$686*Calc1!F337</f>
        <v>730</v>
      </c>
      <c r="F692" s="438">
        <f>Calc1!$H$328</f>
        <v>5</v>
      </c>
      <c r="G692" s="443">
        <f t="shared" ref="G692:G696" si="148">E692*F692</f>
        <v>3650</v>
      </c>
      <c r="H692" s="309">
        <v>80</v>
      </c>
      <c r="I692" s="309">
        <f t="shared" si="147"/>
        <v>292</v>
      </c>
      <c r="J692" s="351">
        <f t="shared" ref="J692" si="149">I692*1000/840</f>
        <v>347.61904761904759</v>
      </c>
      <c r="K692" s="304"/>
      <c r="L692" s="304"/>
      <c r="M692" s="304"/>
      <c r="N692" s="304"/>
      <c r="O692" s="304"/>
      <c r="P692" s="304"/>
      <c r="Q692" s="304"/>
      <c r="R692" s="304"/>
      <c r="S692" s="304"/>
      <c r="T692" s="304"/>
      <c r="U692" s="304"/>
      <c r="V692" s="304"/>
      <c r="W692" s="304"/>
      <c r="X692" s="304"/>
      <c r="Y692" s="304"/>
      <c r="Z692" s="305"/>
    </row>
    <row r="693" spans="1:26" x14ac:dyDescent="0.2">
      <c r="A693" s="303"/>
      <c r="B693" s="304"/>
      <c r="C693" s="1188"/>
      <c r="D693" s="438" t="s">
        <v>50</v>
      </c>
      <c r="E693" s="442">
        <f>$H$686*Calc1!F338</f>
        <v>0</v>
      </c>
      <c r="F693" s="438">
        <f>Calc1!$H$328</f>
        <v>5</v>
      </c>
      <c r="G693" s="443">
        <f t="shared" si="148"/>
        <v>0</v>
      </c>
      <c r="H693" s="309">
        <v>50</v>
      </c>
      <c r="I693" s="309">
        <f t="shared" si="147"/>
        <v>0</v>
      </c>
      <c r="J693" s="351">
        <f>I693*1000/0.714</f>
        <v>0</v>
      </c>
      <c r="K693" s="304"/>
      <c r="L693" s="304"/>
      <c r="M693" s="303"/>
      <c r="N693" s="304"/>
      <c r="O693" s="304"/>
      <c r="P693" s="304"/>
      <c r="Q693" s="304"/>
      <c r="R693" s="304"/>
      <c r="S693" s="304"/>
      <c r="T693" s="304"/>
      <c r="U693" s="304"/>
      <c r="V693" s="304"/>
      <c r="W693" s="304"/>
      <c r="X693" s="304"/>
      <c r="Y693" s="304"/>
      <c r="Z693" s="305"/>
    </row>
    <row r="694" spans="1:26" x14ac:dyDescent="0.2">
      <c r="A694" s="303"/>
      <c r="B694" s="304"/>
      <c r="C694" s="1188" t="s">
        <v>625</v>
      </c>
      <c r="D694" s="438" t="s">
        <v>14</v>
      </c>
      <c r="E694" s="442">
        <f>$H$687*Calc1!H336</f>
        <v>292</v>
      </c>
      <c r="F694" s="438">
        <f>Calc1!$H$329</f>
        <v>30</v>
      </c>
      <c r="G694" s="443">
        <f t="shared" si="148"/>
        <v>8760</v>
      </c>
      <c r="H694" s="309">
        <v>300</v>
      </c>
      <c r="I694" s="309">
        <f t="shared" si="147"/>
        <v>2628</v>
      </c>
      <c r="J694" s="351">
        <f>I694*1000/730</f>
        <v>3600</v>
      </c>
      <c r="K694" s="304"/>
      <c r="L694" s="304"/>
      <c r="M694" s="304"/>
      <c r="N694" s="304"/>
      <c r="O694" s="304"/>
      <c r="P694" s="304"/>
      <c r="Q694" s="304"/>
      <c r="R694" s="304"/>
      <c r="S694" s="304"/>
      <c r="T694" s="304"/>
      <c r="U694" s="304"/>
      <c r="V694" s="304"/>
      <c r="W694" s="304"/>
      <c r="X694" s="304"/>
      <c r="Y694" s="304"/>
      <c r="Z694" s="305"/>
    </row>
    <row r="695" spans="1:26" x14ac:dyDescent="0.2">
      <c r="A695" s="303"/>
      <c r="B695" s="304"/>
      <c r="C695" s="1188"/>
      <c r="D695" s="438" t="s">
        <v>12</v>
      </c>
      <c r="E695" s="442">
        <f>$H$687*Calc1!H337</f>
        <v>1168</v>
      </c>
      <c r="F695" s="438">
        <f>Calc1!$H$329</f>
        <v>30</v>
      </c>
      <c r="G695" s="443">
        <f t="shared" si="148"/>
        <v>35040</v>
      </c>
      <c r="H695" s="309">
        <v>240</v>
      </c>
      <c r="I695" s="309">
        <f t="shared" si="147"/>
        <v>8409.6</v>
      </c>
      <c r="J695" s="351">
        <f>I695*1000/840</f>
        <v>10011.428571428571</v>
      </c>
      <c r="K695" s="304"/>
      <c r="L695" s="304"/>
      <c r="M695" s="304"/>
      <c r="N695" s="304"/>
      <c r="O695" s="304"/>
      <c r="P695" s="304"/>
      <c r="Q695" s="304"/>
      <c r="R695" s="304"/>
      <c r="S695" s="304"/>
      <c r="T695" s="304"/>
      <c r="U695" s="304"/>
      <c r="V695" s="304"/>
      <c r="W695" s="304"/>
      <c r="X695" s="304"/>
      <c r="Y695" s="304"/>
      <c r="Z695" s="305"/>
    </row>
    <row r="696" spans="1:26" x14ac:dyDescent="0.2">
      <c r="A696" s="303"/>
      <c r="B696" s="304"/>
      <c r="C696" s="1188"/>
      <c r="D696" s="438" t="s">
        <v>50</v>
      </c>
      <c r="E696" s="442">
        <f>$H$687*Calc1!H338</f>
        <v>0</v>
      </c>
      <c r="F696" s="438">
        <f>Calc1!$H$329</f>
        <v>30</v>
      </c>
      <c r="G696" s="443">
        <f t="shared" si="148"/>
        <v>0</v>
      </c>
      <c r="H696" s="309">
        <v>500</v>
      </c>
      <c r="I696" s="309">
        <f t="shared" si="147"/>
        <v>0</v>
      </c>
      <c r="J696" s="351">
        <f>I696*1000/0.714</f>
        <v>0</v>
      </c>
      <c r="K696" s="304"/>
      <c r="L696" s="304"/>
      <c r="M696" s="304"/>
      <c r="N696" s="304"/>
      <c r="O696" s="304"/>
      <c r="P696" s="304"/>
      <c r="Q696" s="304"/>
      <c r="R696" s="304"/>
      <c r="S696" s="304"/>
      <c r="T696" s="304"/>
      <c r="U696" s="304"/>
      <c r="V696" s="304"/>
      <c r="W696" s="304"/>
      <c r="X696" s="304"/>
      <c r="Y696" s="304"/>
      <c r="Z696" s="305"/>
    </row>
    <row r="697" spans="1:26" x14ac:dyDescent="0.2">
      <c r="A697" s="303"/>
      <c r="B697" s="304"/>
      <c r="C697" s="304"/>
      <c r="D697" s="429"/>
      <c r="E697" s="430"/>
      <c r="F697" s="431"/>
      <c r="G697" s="431"/>
      <c r="H697" s="445"/>
      <c r="I697" s="303"/>
      <c r="J697" s="304"/>
      <c r="K697" s="304"/>
      <c r="L697" s="304"/>
      <c r="M697" s="304"/>
      <c r="N697" s="304"/>
      <c r="O697" s="304"/>
      <c r="P697" s="304"/>
      <c r="Q697" s="304"/>
      <c r="R697" s="304"/>
      <c r="S697" s="304"/>
      <c r="T697" s="304"/>
      <c r="U697" s="304"/>
      <c r="V697" s="304"/>
      <c r="W697" s="304"/>
      <c r="X697" s="304"/>
      <c r="Y697" s="304"/>
      <c r="Z697" s="305"/>
    </row>
    <row r="698" spans="1:26" ht="13.5" thickBot="1" x14ac:dyDescent="0.25">
      <c r="A698" s="303"/>
      <c r="B698" s="304"/>
      <c r="C698" s="304"/>
      <c r="D698" s="429"/>
      <c r="E698" s="430"/>
      <c r="F698" s="431"/>
      <c r="G698" s="431"/>
      <c r="H698" s="321"/>
      <c r="I698" s="391"/>
      <c r="J698" s="322"/>
      <c r="K698" s="322"/>
      <c r="L698" s="322"/>
      <c r="M698" s="304"/>
      <c r="N698" s="304"/>
      <c r="O698" s="304"/>
      <c r="P698" s="304"/>
      <c r="Q698" s="304"/>
      <c r="R698" s="304"/>
      <c r="S698" s="304"/>
      <c r="T698" s="304"/>
      <c r="U698" s="304"/>
      <c r="V698" s="304"/>
      <c r="W698" s="304"/>
      <c r="X698" s="304"/>
      <c r="Y698" s="304"/>
      <c r="Z698" s="305"/>
    </row>
    <row r="699" spans="1:26" ht="15.75" x14ac:dyDescent="0.3">
      <c r="A699" s="303"/>
      <c r="B699" s="304"/>
      <c r="C699" s="309"/>
      <c r="D699" s="438" t="s">
        <v>205</v>
      </c>
      <c r="E699" s="442"/>
      <c r="F699" s="310" t="s">
        <v>16</v>
      </c>
      <c r="G699" s="310" t="s">
        <v>17</v>
      </c>
      <c r="H699" s="311" t="s">
        <v>789</v>
      </c>
      <c r="I699" s="449" t="s">
        <v>197</v>
      </c>
      <c r="J699" s="450" t="s">
        <v>180</v>
      </c>
      <c r="K699" s="450" t="s">
        <v>194</v>
      </c>
      <c r="L699" s="450" t="s">
        <v>195</v>
      </c>
      <c r="M699" s="450" t="s">
        <v>196</v>
      </c>
      <c r="N699" s="491" t="s">
        <v>582</v>
      </c>
      <c r="O699" s="321"/>
      <c r="P699" s="304"/>
      <c r="Q699" s="304"/>
      <c r="R699" s="304"/>
      <c r="S699" s="304"/>
      <c r="T699" s="304"/>
      <c r="U699" s="304"/>
      <c r="V699" s="304"/>
      <c r="W699" s="304"/>
      <c r="X699" s="304"/>
      <c r="Y699" s="304"/>
      <c r="Z699" s="305"/>
    </row>
    <row r="700" spans="1:26" ht="13.15" customHeight="1" x14ac:dyDescent="0.2">
      <c r="A700" s="303"/>
      <c r="B700" s="304"/>
      <c r="C700" s="1180" t="s">
        <v>652</v>
      </c>
      <c r="D700" s="438" t="s">
        <v>14</v>
      </c>
      <c r="E700" s="451" t="s">
        <v>28</v>
      </c>
      <c r="F700" s="373">
        <v>2.2890000000000001</v>
      </c>
      <c r="G700" s="373">
        <v>5.1999999999999995E-4</v>
      </c>
      <c r="H700" s="453">
        <v>2.0000000000000001E-4</v>
      </c>
      <c r="I700" s="455">
        <v>24</v>
      </c>
      <c r="J700" s="455">
        <v>14</v>
      </c>
      <c r="K700" s="455">
        <v>155</v>
      </c>
      <c r="L700" s="455">
        <v>0.03</v>
      </c>
      <c r="M700" s="455">
        <v>0.04</v>
      </c>
      <c r="N700" s="455">
        <v>3180</v>
      </c>
      <c r="O700" s="304"/>
      <c r="P700" s="304"/>
      <c r="Q700" s="304"/>
      <c r="R700" s="304"/>
      <c r="S700" s="304"/>
      <c r="T700" s="304"/>
      <c r="U700" s="304"/>
      <c r="V700" s="304"/>
      <c r="W700" s="304"/>
      <c r="X700" s="304"/>
      <c r="Y700" s="304"/>
      <c r="Z700" s="305"/>
    </row>
    <row r="701" spans="1:26" x14ac:dyDescent="0.2">
      <c r="A701" s="303"/>
      <c r="B701" s="304"/>
      <c r="C701" s="1184"/>
      <c r="D701" s="438"/>
      <c r="E701" s="451" t="s">
        <v>67</v>
      </c>
      <c r="F701" s="492">
        <f>$J$691*F700/1000</f>
        <v>1.1445000000000001</v>
      </c>
      <c r="G701" s="492">
        <f>$J$691*G700/1000</f>
        <v>2.5999999999999998E-4</v>
      </c>
      <c r="H701" s="492">
        <f>$J$691*H700/1000</f>
        <v>1E-4</v>
      </c>
      <c r="I701" s="492">
        <f t="shared" ref="I701:N701" si="150">$I$691*I700/1000/1000</f>
        <v>8.7600000000000004E-3</v>
      </c>
      <c r="J701" s="492">
        <f t="shared" si="150"/>
        <v>5.11E-3</v>
      </c>
      <c r="K701" s="492">
        <f t="shared" si="150"/>
        <v>5.6575E-2</v>
      </c>
      <c r="L701" s="492">
        <f t="shared" si="150"/>
        <v>1.095E-5</v>
      </c>
      <c r="M701" s="492">
        <f t="shared" si="150"/>
        <v>1.4600000000000001E-5</v>
      </c>
      <c r="N701" s="492">
        <f t="shared" si="150"/>
        <v>1.1607000000000001</v>
      </c>
      <c r="O701" s="304"/>
      <c r="P701" s="304"/>
      <c r="Q701" s="304"/>
      <c r="R701" s="304"/>
      <c r="S701" s="304"/>
      <c r="T701" s="304"/>
      <c r="U701" s="304"/>
      <c r="V701" s="304"/>
      <c r="W701" s="304"/>
      <c r="X701" s="304"/>
      <c r="Y701" s="304"/>
      <c r="Z701" s="305"/>
    </row>
    <row r="702" spans="1:26" x14ac:dyDescent="0.2">
      <c r="A702" s="303"/>
      <c r="B702" s="304"/>
      <c r="C702" s="1184"/>
      <c r="D702" s="438" t="s">
        <v>12</v>
      </c>
      <c r="E702" s="451" t="s">
        <v>29</v>
      </c>
      <c r="F702" s="373">
        <v>2.6629999999999998</v>
      </c>
      <c r="G702" s="493">
        <v>6.7999999999999999E-5</v>
      </c>
      <c r="H702" s="453">
        <v>2.1000000000000001E-4</v>
      </c>
      <c r="I702" s="454">
        <v>15</v>
      </c>
      <c r="J702" s="455">
        <v>1.75</v>
      </c>
      <c r="K702" s="455">
        <v>11</v>
      </c>
      <c r="L702" s="455">
        <v>2.8</v>
      </c>
      <c r="M702" s="455">
        <v>8.0000000000000002E-3</v>
      </c>
      <c r="N702" s="452">
        <v>3140</v>
      </c>
      <c r="O702" s="304"/>
      <c r="P702" s="304"/>
      <c r="Q702" s="304"/>
      <c r="R702" s="304"/>
      <c r="S702" s="304"/>
      <c r="T702" s="304"/>
      <c r="U702" s="304"/>
      <c r="V702" s="304"/>
      <c r="W702" s="304"/>
      <c r="X702" s="304"/>
      <c r="Y702" s="304"/>
      <c r="Z702" s="305"/>
    </row>
    <row r="703" spans="1:26" ht="13.15" customHeight="1" x14ac:dyDescent="0.2">
      <c r="A703" s="303"/>
      <c r="B703" s="304"/>
      <c r="C703" s="1184"/>
      <c r="D703" s="438"/>
      <c r="E703" s="451" t="s">
        <v>67</v>
      </c>
      <c r="F703" s="492">
        <f>$J$692*F702/1000</f>
        <v>0.92570952380952376</v>
      </c>
      <c r="G703" s="492">
        <f>$J$692*G702/1000</f>
        <v>2.3638095238095235E-5</v>
      </c>
      <c r="H703" s="492">
        <f>$J$692*H702/1000</f>
        <v>7.2999999999999999E-5</v>
      </c>
      <c r="I703" s="492">
        <f t="shared" ref="I703:N703" si="151">$I$692*I702/1000/1000</f>
        <v>4.3800000000000002E-3</v>
      </c>
      <c r="J703" s="492">
        <f t="shared" si="151"/>
        <v>5.1100000000000006E-4</v>
      </c>
      <c r="K703" s="492">
        <f t="shared" si="151"/>
        <v>3.212E-3</v>
      </c>
      <c r="L703" s="492">
        <f t="shared" si="151"/>
        <v>8.1759999999999992E-4</v>
      </c>
      <c r="M703" s="492">
        <f t="shared" si="151"/>
        <v>2.3360000000000002E-6</v>
      </c>
      <c r="N703" s="492">
        <f t="shared" si="151"/>
        <v>0.91688000000000003</v>
      </c>
      <c r="O703" s="304"/>
      <c r="P703" s="304"/>
      <c r="Q703" s="304"/>
      <c r="R703" s="304"/>
      <c r="S703" s="304"/>
      <c r="T703" s="304"/>
      <c r="U703" s="304"/>
      <c r="V703" s="304"/>
      <c r="W703" s="304"/>
      <c r="X703" s="304"/>
      <c r="Y703" s="304"/>
      <c r="Z703" s="305"/>
    </row>
    <row r="704" spans="1:26" x14ac:dyDescent="0.2">
      <c r="A704" s="303"/>
      <c r="B704" s="304"/>
      <c r="C704" s="1184"/>
      <c r="D704" s="438" t="s">
        <v>50</v>
      </c>
      <c r="E704" s="451" t="s">
        <v>193</v>
      </c>
      <c r="F704" s="373">
        <v>1.89E-3</v>
      </c>
      <c r="G704" s="373">
        <v>9.0000000000000002E-6</v>
      </c>
      <c r="H704" s="453">
        <v>5.9999999999999995E-8</v>
      </c>
      <c r="I704" s="462">
        <v>5.6000000000000001E-2</v>
      </c>
      <c r="J704" s="324">
        <v>1.4999999999999999E-2</v>
      </c>
      <c r="K704" s="324">
        <v>0.39500000000000002</v>
      </c>
      <c r="L704" s="324">
        <v>2E-3</v>
      </c>
      <c r="M704" s="463">
        <v>0</v>
      </c>
      <c r="N704" s="461">
        <v>148</v>
      </c>
      <c r="O704" s="304"/>
      <c r="P704" s="304"/>
      <c r="Q704" s="304"/>
      <c r="R704" s="304"/>
      <c r="S704" s="304"/>
      <c r="T704" s="304"/>
      <c r="U704" s="304"/>
      <c r="V704" s="304"/>
      <c r="W704" s="304"/>
      <c r="X704" s="304"/>
      <c r="Y704" s="304"/>
      <c r="Z704" s="305"/>
    </row>
    <row r="705" spans="1:26" x14ac:dyDescent="0.2">
      <c r="A705" s="303"/>
      <c r="B705" s="473"/>
      <c r="C705" s="1178"/>
      <c r="D705" s="438"/>
      <c r="E705" s="451" t="s">
        <v>67</v>
      </c>
      <c r="F705" s="492">
        <f>$J$693*F704/1000</f>
        <v>0</v>
      </c>
      <c r="G705" s="492">
        <f>$J$693*G704/1000</f>
        <v>0</v>
      </c>
      <c r="H705" s="492">
        <f>$J$693*H704/1000</f>
        <v>0</v>
      </c>
      <c r="I705" s="492">
        <f>I704*$G$693/1000/1000</f>
        <v>0</v>
      </c>
      <c r="J705" s="492">
        <f t="shared" ref="J705:N705" si="152">J704*$G$693/1000/1000</f>
        <v>0</v>
      </c>
      <c r="K705" s="492">
        <f t="shared" si="152"/>
        <v>0</v>
      </c>
      <c r="L705" s="492">
        <f t="shared" si="152"/>
        <v>0</v>
      </c>
      <c r="M705" s="492">
        <f t="shared" si="152"/>
        <v>0</v>
      </c>
      <c r="N705" s="492">
        <f t="shared" si="152"/>
        <v>0</v>
      </c>
      <c r="O705" s="304"/>
      <c r="P705" s="304"/>
      <c r="Q705" s="304"/>
      <c r="R705" s="304"/>
      <c r="S705" s="304"/>
      <c r="T705" s="304"/>
      <c r="U705" s="304"/>
      <c r="V705" s="304"/>
      <c r="W705" s="304"/>
      <c r="X705" s="304"/>
      <c r="Y705" s="304"/>
      <c r="Z705" s="305"/>
    </row>
    <row r="706" spans="1:26" ht="13.15" customHeight="1" x14ac:dyDescent="0.2">
      <c r="A706" s="303"/>
      <c r="B706" s="473"/>
      <c r="C706" s="1180" t="s">
        <v>653</v>
      </c>
      <c r="D706" s="438" t="s">
        <v>14</v>
      </c>
      <c r="E706" s="451" t="s">
        <v>28</v>
      </c>
      <c r="F706" s="373">
        <v>2.6629999999999998</v>
      </c>
      <c r="G706" s="373">
        <v>6.7999999999999999E-5</v>
      </c>
      <c r="H706" s="453">
        <v>2.1000000000000001E-4</v>
      </c>
      <c r="I706" s="454">
        <v>24</v>
      </c>
      <c r="J706" s="455">
        <v>14</v>
      </c>
      <c r="K706" s="455">
        <v>155</v>
      </c>
      <c r="L706" s="455">
        <v>0.03</v>
      </c>
      <c r="M706" s="455">
        <v>0.04</v>
      </c>
      <c r="N706" s="452">
        <v>3180</v>
      </c>
      <c r="O706" s="304"/>
      <c r="P706" s="304"/>
      <c r="Q706" s="304"/>
      <c r="R706" s="304"/>
      <c r="S706" s="304"/>
      <c r="T706" s="304"/>
      <c r="U706" s="304"/>
      <c r="V706" s="304"/>
      <c r="W706" s="304"/>
      <c r="X706" s="304"/>
      <c r="Y706" s="304"/>
      <c r="Z706" s="305"/>
    </row>
    <row r="707" spans="1:26" x14ac:dyDescent="0.2">
      <c r="A707" s="303"/>
      <c r="B707" s="304"/>
      <c r="C707" s="1184"/>
      <c r="D707" s="438"/>
      <c r="E707" s="451" t="s">
        <v>67</v>
      </c>
      <c r="F707" s="492">
        <f>$J$694*F706/1000</f>
        <v>9.5867999999999984</v>
      </c>
      <c r="G707" s="492">
        <f>$J$694*G706/1000</f>
        <v>2.4479999999999999E-4</v>
      </c>
      <c r="H707" s="492">
        <f>$J$694*H706/1000</f>
        <v>7.5600000000000005E-4</v>
      </c>
      <c r="I707" s="492">
        <f t="shared" ref="I707:N707" si="153">$I$694*I706/1000/1000</f>
        <v>6.3072000000000003E-2</v>
      </c>
      <c r="J707" s="492">
        <f t="shared" si="153"/>
        <v>3.6791999999999998E-2</v>
      </c>
      <c r="K707" s="492">
        <f t="shared" si="153"/>
        <v>0.40733999999999998</v>
      </c>
      <c r="L707" s="492">
        <f t="shared" si="153"/>
        <v>7.8840000000000011E-5</v>
      </c>
      <c r="M707" s="492">
        <f t="shared" si="153"/>
        <v>1.0512000000000001E-4</v>
      </c>
      <c r="N707" s="492">
        <f t="shared" si="153"/>
        <v>8.3570400000000014</v>
      </c>
      <c r="O707" s="304"/>
      <c r="P707" s="304"/>
      <c r="Q707" s="304"/>
      <c r="R707" s="304"/>
      <c r="S707" s="304"/>
      <c r="T707" s="304"/>
      <c r="U707" s="304"/>
      <c r="V707" s="304"/>
      <c r="W707" s="304"/>
      <c r="X707" s="304"/>
      <c r="Y707" s="304"/>
      <c r="Z707" s="305"/>
    </row>
    <row r="708" spans="1:26" x14ac:dyDescent="0.2">
      <c r="A708" s="303"/>
      <c r="B708" s="304"/>
      <c r="C708" s="1184"/>
      <c r="D708" s="438" t="s">
        <v>12</v>
      </c>
      <c r="E708" s="451" t="s">
        <v>29</v>
      </c>
      <c r="F708" s="373">
        <v>2.6629999999999998</v>
      </c>
      <c r="G708" s="373">
        <v>6.7999999999999999E-5</v>
      </c>
      <c r="H708" s="453">
        <v>2.1000000000000001E-4</v>
      </c>
      <c r="I708" s="454">
        <v>37</v>
      </c>
      <c r="J708" s="454">
        <v>1.6</v>
      </c>
      <c r="K708" s="454">
        <v>8</v>
      </c>
      <c r="L708" s="454">
        <v>1.2</v>
      </c>
      <c r="M708" s="454">
        <v>8.0000000000000002E-3</v>
      </c>
      <c r="N708" s="454">
        <v>3140</v>
      </c>
      <c r="O708" s="304"/>
      <c r="P708" s="304"/>
      <c r="Q708" s="304"/>
      <c r="R708" s="304"/>
      <c r="S708" s="304"/>
      <c r="T708" s="304"/>
      <c r="U708" s="304"/>
      <c r="V708" s="304"/>
      <c r="W708" s="304"/>
      <c r="X708" s="304"/>
      <c r="Y708" s="304"/>
      <c r="Z708" s="305"/>
    </row>
    <row r="709" spans="1:26" ht="13.15" customHeight="1" x14ac:dyDescent="0.2">
      <c r="A709" s="303"/>
      <c r="B709" s="304"/>
      <c r="C709" s="1184"/>
      <c r="D709" s="438"/>
      <c r="E709" s="451" t="s">
        <v>67</v>
      </c>
      <c r="F709" s="492">
        <f>$J$695*F708/1000</f>
        <v>26.660434285714281</v>
      </c>
      <c r="G709" s="492">
        <f>$J$695*G708/1000</f>
        <v>6.807771428571427E-4</v>
      </c>
      <c r="H709" s="492">
        <f>$J$695*H708/1000</f>
        <v>2.1023999999999999E-3</v>
      </c>
      <c r="I709" s="492">
        <f t="shared" ref="I709:N709" si="154">$I$695*I708/1000/1000</f>
        <v>0.31115520000000002</v>
      </c>
      <c r="J709" s="492">
        <f t="shared" si="154"/>
        <v>1.3455360000000001E-2</v>
      </c>
      <c r="K709" s="492">
        <f t="shared" si="154"/>
        <v>6.7276800000000012E-2</v>
      </c>
      <c r="L709" s="492">
        <f t="shared" si="154"/>
        <v>1.0091520000000001E-2</v>
      </c>
      <c r="M709" s="492">
        <f t="shared" si="154"/>
        <v>6.7276800000000013E-5</v>
      </c>
      <c r="N709" s="492">
        <f t="shared" si="154"/>
        <v>26.406144000000001</v>
      </c>
      <c r="O709" s="304"/>
      <c r="P709" s="304"/>
      <c r="Q709" s="304"/>
      <c r="R709" s="304"/>
      <c r="S709" s="304"/>
      <c r="T709" s="304"/>
      <c r="U709" s="304"/>
      <c r="V709" s="304"/>
      <c r="W709" s="304"/>
      <c r="X709" s="304"/>
      <c r="Y709" s="304"/>
      <c r="Z709" s="305"/>
    </row>
    <row r="710" spans="1:26" x14ac:dyDescent="0.2">
      <c r="A710" s="303"/>
      <c r="B710" s="304"/>
      <c r="C710" s="1184"/>
      <c r="D710" s="438" t="s">
        <v>50</v>
      </c>
      <c r="E710" s="451" t="s">
        <v>193</v>
      </c>
      <c r="F710" s="373">
        <v>1.89E-3</v>
      </c>
      <c r="G710" s="373">
        <v>9.0000000000000002E-6</v>
      </c>
      <c r="H710" s="453">
        <v>5.9999999999999995E-8</v>
      </c>
      <c r="I710" s="454">
        <v>13</v>
      </c>
      <c r="J710" s="454">
        <v>0.26</v>
      </c>
      <c r="K710" s="454">
        <v>5.7</v>
      </c>
      <c r="L710" s="454">
        <v>0.02</v>
      </c>
      <c r="M710" s="454">
        <v>8.0000000000000002E-3</v>
      </c>
      <c r="N710" s="454">
        <v>2750</v>
      </c>
      <c r="O710" s="304"/>
      <c r="P710" s="304"/>
      <c r="Q710" s="304"/>
      <c r="R710" s="304"/>
      <c r="S710" s="304"/>
      <c r="T710" s="304"/>
      <c r="U710" s="304"/>
      <c r="V710" s="304"/>
      <c r="W710" s="304"/>
      <c r="X710" s="304"/>
      <c r="Y710" s="304"/>
      <c r="Z710" s="305"/>
    </row>
    <row r="711" spans="1:26" x14ac:dyDescent="0.2">
      <c r="A711" s="303"/>
      <c r="B711" s="304"/>
      <c r="C711" s="1178"/>
      <c r="D711" s="438"/>
      <c r="E711" s="451" t="s">
        <v>67</v>
      </c>
      <c r="F711" s="492">
        <f>$J$696*F710/1000</f>
        <v>0</v>
      </c>
      <c r="G711" s="492">
        <f>$J$696*G710/1000</f>
        <v>0</v>
      </c>
      <c r="H711" s="492">
        <f>$J$696*H710/1000</f>
        <v>0</v>
      </c>
      <c r="I711" s="492">
        <f t="shared" ref="I711:N711" si="155">$I$696*I710/1000/1000</f>
        <v>0</v>
      </c>
      <c r="J711" s="492">
        <f t="shared" si="155"/>
        <v>0</v>
      </c>
      <c r="K711" s="492">
        <f t="shared" si="155"/>
        <v>0</v>
      </c>
      <c r="L711" s="492">
        <f t="shared" si="155"/>
        <v>0</v>
      </c>
      <c r="M711" s="492">
        <f t="shared" si="155"/>
        <v>0</v>
      </c>
      <c r="N711" s="492">
        <f t="shared" si="155"/>
        <v>0</v>
      </c>
      <c r="O711" s="304"/>
      <c r="P711" s="304"/>
      <c r="Q711" s="304"/>
      <c r="R711" s="304"/>
      <c r="S711" s="304"/>
      <c r="T711" s="304"/>
      <c r="U711" s="304"/>
      <c r="V711" s="304"/>
      <c r="W711" s="304"/>
      <c r="X711" s="304"/>
      <c r="Y711" s="304"/>
      <c r="Z711" s="305"/>
    </row>
    <row r="712" spans="1:26" x14ac:dyDescent="0.2">
      <c r="A712" s="303"/>
      <c r="B712" s="304"/>
      <c r="C712" s="309"/>
      <c r="D712" s="438"/>
      <c r="E712" s="471" t="s">
        <v>0</v>
      </c>
      <c r="F712" s="785">
        <f>F701+F703+F705+F707+F709+F711</f>
        <v>38.317443809523802</v>
      </c>
      <c r="G712" s="492">
        <f t="shared" ref="G712:N712" si="156">G701+G703+G705+G707+G709+G711</f>
        <v>1.209215238095238E-3</v>
      </c>
      <c r="H712" s="492">
        <f t="shared" si="156"/>
        <v>3.0314000000000001E-3</v>
      </c>
      <c r="I712" s="492">
        <f t="shared" si="156"/>
        <v>0.38736720000000002</v>
      </c>
      <c r="J712" s="492">
        <f t="shared" si="156"/>
        <v>5.5868359999999999E-2</v>
      </c>
      <c r="K712" s="492">
        <f t="shared" si="156"/>
        <v>0.53440379999999998</v>
      </c>
      <c r="L712" s="492">
        <f t="shared" si="156"/>
        <v>1.0998910000000001E-2</v>
      </c>
      <c r="M712" s="492">
        <f t="shared" si="156"/>
        <v>1.8933280000000001E-4</v>
      </c>
      <c r="N712" s="492">
        <f t="shared" si="156"/>
        <v>36.840764000000007</v>
      </c>
      <c r="O712" s="304"/>
      <c r="P712" s="304"/>
      <c r="Q712" s="304"/>
      <c r="R712" s="304"/>
      <c r="S712" s="304"/>
      <c r="T712" s="304"/>
      <c r="U712" s="304"/>
      <c r="V712" s="304"/>
      <c r="W712" s="304"/>
      <c r="X712" s="304"/>
      <c r="Y712" s="304"/>
      <c r="Z712" s="305"/>
    </row>
    <row r="713" spans="1:26" x14ac:dyDescent="0.2">
      <c r="A713" s="303"/>
      <c r="B713" s="304"/>
      <c r="C713" s="472" t="s">
        <v>68</v>
      </c>
      <c r="D713" s="429"/>
      <c r="E713" s="430"/>
      <c r="F713" s="431"/>
      <c r="G713" s="431"/>
      <c r="H713" s="445"/>
      <c r="I713" s="303"/>
      <c r="J713" s="304"/>
      <c r="K713" s="304"/>
      <c r="L713" s="304"/>
      <c r="M713" s="304"/>
      <c r="N713" s="304"/>
      <c r="O713" s="304"/>
      <c r="P713" s="304"/>
      <c r="Q713" s="304"/>
      <c r="R713" s="304"/>
      <c r="S713" s="304"/>
      <c r="T713" s="304"/>
      <c r="U713" s="304"/>
      <c r="V713" s="304"/>
      <c r="W713" s="304"/>
      <c r="X713" s="304"/>
      <c r="Y713" s="304"/>
      <c r="Z713" s="305"/>
    </row>
    <row r="714" spans="1:26" x14ac:dyDescent="0.2">
      <c r="A714" s="303"/>
      <c r="B714" s="303"/>
      <c r="C714" s="304"/>
      <c r="D714" s="429"/>
      <c r="E714" s="430"/>
      <c r="F714" s="431"/>
      <c r="G714" s="431"/>
      <c r="H714" s="445"/>
      <c r="I714" s="303"/>
      <c r="J714" s="304"/>
      <c r="K714" s="304"/>
      <c r="L714" s="304"/>
      <c r="M714" s="304"/>
      <c r="N714" s="304"/>
      <c r="O714" s="304"/>
      <c r="P714" s="304"/>
      <c r="Q714" s="304"/>
      <c r="R714" s="304"/>
      <c r="S714" s="304"/>
      <c r="T714" s="304"/>
      <c r="U714" s="304"/>
      <c r="V714" s="304"/>
      <c r="W714" s="304"/>
      <c r="X714" s="304"/>
      <c r="Y714" s="304"/>
      <c r="Z714" s="305"/>
    </row>
    <row r="715" spans="1:26" x14ac:dyDescent="0.2">
      <c r="A715" s="303"/>
      <c r="B715" s="303" t="s">
        <v>654</v>
      </c>
      <c r="C715" s="304"/>
      <c r="D715" s="429"/>
      <c r="E715" s="430"/>
      <c r="F715" s="431"/>
      <c r="G715" s="431"/>
      <c r="H715" s="445"/>
      <c r="I715" s="303"/>
      <c r="J715" s="304"/>
      <c r="K715" s="304"/>
      <c r="L715" s="304"/>
      <c r="M715" s="304"/>
      <c r="N715" s="304"/>
      <c r="O715" s="304"/>
      <c r="P715" s="304"/>
      <c r="Q715" s="304"/>
      <c r="R715" s="304"/>
      <c r="S715" s="304"/>
      <c r="T715" s="304"/>
      <c r="U715" s="304"/>
      <c r="V715" s="304"/>
      <c r="W715" s="304"/>
      <c r="X715" s="304"/>
      <c r="Y715" s="304"/>
      <c r="Z715" s="305"/>
    </row>
    <row r="716" spans="1:26" x14ac:dyDescent="0.2">
      <c r="A716" s="303"/>
      <c r="B716" s="303"/>
      <c r="C716" s="304"/>
      <c r="D716" s="538" t="s">
        <v>1532</v>
      </c>
      <c r="E716" s="430"/>
      <c r="F716" s="431"/>
      <c r="G716" s="431"/>
      <c r="H716" s="445"/>
      <c r="I716" s="303"/>
      <c r="J716" s="304"/>
      <c r="K716" s="304"/>
      <c r="L716" s="304"/>
      <c r="M716" s="304"/>
      <c r="N716" s="304"/>
      <c r="O716" s="304"/>
      <c r="P716" s="304"/>
      <c r="Q716" s="304"/>
      <c r="R716" s="304"/>
      <c r="S716" s="304"/>
      <c r="T716" s="304"/>
      <c r="U716" s="304"/>
      <c r="V716" s="304"/>
      <c r="W716" s="304"/>
      <c r="X716" s="304"/>
      <c r="Y716" s="304"/>
      <c r="Z716" s="305"/>
    </row>
    <row r="717" spans="1:26" ht="14.25" x14ac:dyDescent="0.2">
      <c r="A717" s="303"/>
      <c r="B717" s="303"/>
      <c r="C717" s="349" t="s">
        <v>647</v>
      </c>
      <c r="D717" s="312" t="s">
        <v>621</v>
      </c>
      <c r="E717" s="420" t="s">
        <v>1066</v>
      </c>
      <c r="F717" s="312" t="s">
        <v>622</v>
      </c>
      <c r="G717" s="510" t="s">
        <v>1530</v>
      </c>
      <c r="H717" s="312" t="s">
        <v>615</v>
      </c>
      <c r="I717" s="478" t="s">
        <v>730</v>
      </c>
      <c r="J717" s="518" t="s">
        <v>1507</v>
      </c>
      <c r="K717" s="518" t="s">
        <v>1506</v>
      </c>
      <c r="L717" s="445"/>
      <c r="M717" s="303"/>
      <c r="N717" s="304"/>
      <c r="O717" s="304"/>
      <c r="P717" s="304"/>
      <c r="Q717" s="304"/>
      <c r="R717" s="304"/>
      <c r="S717" s="304"/>
      <c r="T717" s="304"/>
      <c r="U717" s="304"/>
      <c r="V717" s="304"/>
      <c r="W717" s="304"/>
      <c r="X717" s="304"/>
      <c r="Y717" s="304"/>
      <c r="Z717" s="305"/>
    </row>
    <row r="718" spans="1:26" ht="14.25" x14ac:dyDescent="0.2">
      <c r="A718" s="303"/>
      <c r="B718" s="303"/>
      <c r="C718" s="349" t="s">
        <v>733</v>
      </c>
      <c r="D718" s="535">
        <v>1</v>
      </c>
      <c r="E718" s="490">
        <f>+Calc1!F345</f>
        <v>1</v>
      </c>
      <c r="F718" s="312">
        <f>E718*2</f>
        <v>2</v>
      </c>
      <c r="G718" s="489">
        <f>Calc1!J345</f>
        <v>0.16666666666666666</v>
      </c>
      <c r="H718" s="536">
        <f>Calc1!I345</f>
        <v>365</v>
      </c>
      <c r="I718" s="478">
        <f>D718*F718*H718*2*G718</f>
        <v>243.33333333333331</v>
      </c>
      <c r="J718" s="444">
        <f>Calc1!G345</f>
        <v>5</v>
      </c>
      <c r="K718" s="443">
        <f>D718*E718*H718*(2*J718)</f>
        <v>3650</v>
      </c>
      <c r="L718" s="445"/>
      <c r="M718" s="303"/>
      <c r="N718" s="304"/>
      <c r="O718" s="304"/>
      <c r="P718" s="304"/>
      <c r="Q718" s="304"/>
      <c r="R718" s="304"/>
      <c r="S718" s="304"/>
      <c r="T718" s="304"/>
      <c r="U718" s="304"/>
      <c r="V718" s="304"/>
      <c r="W718" s="304"/>
      <c r="X718" s="304"/>
      <c r="Y718" s="304"/>
      <c r="Z718" s="305"/>
    </row>
    <row r="719" spans="1:26" ht="14.25" x14ac:dyDescent="0.2">
      <c r="A719" s="303"/>
      <c r="B719" s="303"/>
      <c r="C719" s="349" t="s">
        <v>729</v>
      </c>
      <c r="D719" s="535">
        <v>1</v>
      </c>
      <c r="E719" s="490">
        <f>+Calc1!F346</f>
        <v>1</v>
      </c>
      <c r="F719" s="312">
        <f>E719*2</f>
        <v>2</v>
      </c>
      <c r="G719" s="489">
        <f>Calc1!J346</f>
        <v>0.22222222222222221</v>
      </c>
      <c r="H719" s="536">
        <f>Calc1!I346</f>
        <v>365</v>
      </c>
      <c r="I719" s="478">
        <f>D719*F719*H719*2*G719</f>
        <v>324.4444444444444</v>
      </c>
      <c r="J719" s="444">
        <f>Calc1!G346</f>
        <v>5</v>
      </c>
      <c r="K719" s="443">
        <f>D719*E719*H719*(2*J719)</f>
        <v>3650</v>
      </c>
      <c r="L719" s="445"/>
      <c r="M719" s="303"/>
      <c r="N719" s="304"/>
      <c r="O719" s="304"/>
      <c r="P719" s="304"/>
      <c r="Q719" s="304"/>
      <c r="R719" s="304"/>
      <c r="S719" s="304"/>
      <c r="T719" s="304"/>
      <c r="U719" s="304"/>
      <c r="V719" s="304"/>
      <c r="W719" s="304"/>
      <c r="X719" s="304"/>
      <c r="Y719" s="304"/>
      <c r="Z719" s="305"/>
    </row>
    <row r="720" spans="1:26" x14ac:dyDescent="0.2">
      <c r="A720" s="303"/>
      <c r="B720" s="304"/>
      <c r="C720" s="304"/>
      <c r="D720" s="429"/>
      <c r="E720" s="430"/>
      <c r="F720" s="431"/>
      <c r="G720" s="431"/>
      <c r="H720" s="445"/>
      <c r="I720" s="303"/>
      <c r="J720" s="304"/>
      <c r="K720" s="304"/>
      <c r="L720" s="304"/>
      <c r="M720" s="304"/>
      <c r="N720" s="304"/>
      <c r="O720" s="304"/>
      <c r="P720" s="304"/>
      <c r="Q720" s="304"/>
      <c r="R720" s="304"/>
      <c r="S720" s="304"/>
      <c r="T720" s="304"/>
      <c r="U720" s="304"/>
      <c r="V720" s="304"/>
      <c r="W720" s="304"/>
      <c r="X720" s="304"/>
      <c r="Y720" s="304"/>
      <c r="Z720" s="305"/>
    </row>
    <row r="721" spans="1:26" x14ac:dyDescent="0.2">
      <c r="A721" s="303"/>
      <c r="B721" s="304"/>
      <c r="C721" s="446" t="s">
        <v>655</v>
      </c>
      <c r="D721" s="429"/>
      <c r="E721" s="430"/>
      <c r="F721" s="304"/>
      <c r="G721" s="431"/>
      <c r="H721" s="445"/>
      <c r="I721" s="303" t="s">
        <v>1535</v>
      </c>
      <c r="J721" s="499"/>
      <c r="K721" s="499"/>
      <c r="L721" s="499"/>
      <c r="M721" s="304"/>
      <c r="N721" s="304"/>
      <c r="O721" s="304"/>
      <c r="P721" s="304"/>
      <c r="Q721" s="304"/>
      <c r="R721" s="304"/>
      <c r="S721" s="304"/>
      <c r="T721" s="304"/>
      <c r="U721" s="304"/>
      <c r="V721" s="304"/>
      <c r="W721" s="304"/>
      <c r="X721" s="304"/>
      <c r="Y721" s="304"/>
      <c r="Z721" s="305"/>
    </row>
    <row r="722" spans="1:26" ht="25.5" x14ac:dyDescent="0.2">
      <c r="A722" s="303"/>
      <c r="B722" s="304"/>
      <c r="C722" s="309"/>
      <c r="D722" s="438" t="s">
        <v>205</v>
      </c>
      <c r="E722" s="525" t="s">
        <v>730</v>
      </c>
      <c r="F722" s="526" t="s">
        <v>731</v>
      </c>
      <c r="G722" s="526" t="s">
        <v>734</v>
      </c>
      <c r="H722" s="429"/>
      <c r="I722" s="309"/>
      <c r="J722" s="520" t="s">
        <v>1511</v>
      </c>
      <c r="K722" s="521" t="s">
        <v>1512</v>
      </c>
      <c r="L722" s="521" t="s">
        <v>1513</v>
      </c>
      <c r="M722" s="426" t="s">
        <v>1514</v>
      </c>
      <c r="N722" s="304"/>
      <c r="O722" s="304"/>
      <c r="P722" s="304"/>
      <c r="Q722" s="304"/>
      <c r="R722" s="304"/>
      <c r="S722" s="304"/>
      <c r="T722" s="304"/>
      <c r="U722" s="304"/>
      <c r="V722" s="304"/>
      <c r="W722" s="304"/>
      <c r="X722" s="304"/>
      <c r="Y722" s="304"/>
      <c r="Z722" s="305"/>
    </row>
    <row r="723" spans="1:26" x14ac:dyDescent="0.2">
      <c r="A723" s="303"/>
      <c r="B723" s="304"/>
      <c r="C723" s="494" t="str">
        <f>C718</f>
        <v>Line Haul</v>
      </c>
      <c r="D723" s="438" t="s">
        <v>12</v>
      </c>
      <c r="E723" s="442">
        <f>$I$718*Calc1!F352</f>
        <v>0</v>
      </c>
      <c r="F723" s="443">
        <v>219</v>
      </c>
      <c r="G723" s="443">
        <f>E723*F723/1000</f>
        <v>0</v>
      </c>
      <c r="H723" s="429"/>
      <c r="I723" s="420" t="s">
        <v>1509</v>
      </c>
      <c r="J723" s="527">
        <f>Stat!$I$49</f>
        <v>13.6122</v>
      </c>
      <c r="K723" s="522">
        <f>J723*K718</f>
        <v>49684.53</v>
      </c>
      <c r="L723" s="523">
        <f>$E$142</f>
        <v>3.4439500000000001E-5</v>
      </c>
      <c r="M723" s="524">
        <f>L723*K723</f>
        <v>1.711110370935</v>
      </c>
      <c r="N723" s="304"/>
      <c r="O723" s="304"/>
      <c r="P723" s="304"/>
      <c r="Q723" s="304"/>
      <c r="R723" s="304"/>
      <c r="S723" s="304"/>
      <c r="T723" s="304"/>
      <c r="U723" s="304"/>
      <c r="V723" s="304"/>
      <c r="W723" s="304"/>
      <c r="X723" s="304"/>
      <c r="Y723" s="304"/>
      <c r="Z723" s="305"/>
    </row>
    <row r="724" spans="1:26" x14ac:dyDescent="0.2">
      <c r="A724" s="303"/>
      <c r="B724" s="304"/>
      <c r="C724" s="535" t="s">
        <v>729</v>
      </c>
      <c r="D724" s="438" t="s">
        <v>12</v>
      </c>
      <c r="E724" s="442">
        <f>$I$719*Calc1!F356</f>
        <v>0</v>
      </c>
      <c r="F724" s="443">
        <v>53.6</v>
      </c>
      <c r="G724" s="443">
        <f t="shared" ref="G724" si="157">E724*F724/1000</f>
        <v>0</v>
      </c>
      <c r="H724" s="429"/>
      <c r="I724" s="420" t="s">
        <v>1510</v>
      </c>
      <c r="J724" s="527">
        <f>Stat!$I$48</f>
        <v>4.2503400000000005</v>
      </c>
      <c r="K724" s="522">
        <f>J724*K719</f>
        <v>15513.741000000002</v>
      </c>
      <c r="L724" s="523">
        <f>$E$142</f>
        <v>3.4439500000000001E-5</v>
      </c>
      <c r="M724" s="524">
        <f>L724*K724</f>
        <v>0.53428548316950009</v>
      </c>
      <c r="N724" s="304"/>
      <c r="O724" s="304"/>
      <c r="P724" s="304"/>
      <c r="Q724" s="304"/>
      <c r="R724" s="304"/>
      <c r="S724" s="304"/>
      <c r="T724" s="304"/>
      <c r="U724" s="304"/>
      <c r="V724" s="304"/>
      <c r="W724" s="304"/>
      <c r="X724" s="304"/>
      <c r="Y724" s="304"/>
      <c r="Z724" s="305"/>
    </row>
    <row r="725" spans="1:26" x14ac:dyDescent="0.2">
      <c r="A725" s="303"/>
      <c r="B725" s="304"/>
      <c r="C725" s="304" t="s">
        <v>736</v>
      </c>
      <c r="D725" s="429"/>
      <c r="E725" s="430"/>
      <c r="F725" s="431"/>
      <c r="G725" s="431"/>
      <c r="H725" s="445"/>
      <c r="I725" s="303"/>
      <c r="J725" s="304"/>
      <c r="K725" s="304"/>
      <c r="L725" s="304"/>
      <c r="M725" s="304"/>
      <c r="N725" s="304"/>
      <c r="O725" s="304"/>
      <c r="P725" s="304"/>
      <c r="Q725" s="304"/>
      <c r="R725" s="304"/>
      <c r="S725" s="304"/>
      <c r="T725" s="304"/>
      <c r="U725" s="304"/>
      <c r="V725" s="304"/>
      <c r="W725" s="304"/>
      <c r="X725" s="304"/>
      <c r="Y725" s="304"/>
      <c r="Z725" s="305"/>
    </row>
    <row r="726" spans="1:26" ht="13.5" thickBot="1" x14ac:dyDescent="0.25">
      <c r="A726" s="303"/>
      <c r="B726" s="304"/>
      <c r="C726" s="304"/>
      <c r="D726" s="429"/>
      <c r="E726" s="430"/>
      <c r="F726" s="431"/>
      <c r="G726" s="431"/>
      <c r="H726" s="321"/>
      <c r="I726" s="391"/>
      <c r="J726" s="322"/>
      <c r="K726" s="322"/>
      <c r="L726" s="322"/>
      <c r="M726" s="304"/>
      <c r="N726" s="304"/>
      <c r="O726" s="304"/>
      <c r="P726" s="304"/>
      <c r="Q726" s="304"/>
      <c r="R726" s="304"/>
      <c r="S726" s="304"/>
      <c r="T726" s="304"/>
      <c r="U726" s="304"/>
      <c r="V726" s="304"/>
      <c r="W726" s="304"/>
      <c r="X726" s="304"/>
      <c r="Y726" s="304"/>
      <c r="Z726" s="305"/>
    </row>
    <row r="727" spans="1:26" ht="13.15" customHeight="1" x14ac:dyDescent="0.3">
      <c r="A727" s="303"/>
      <c r="B727" s="304"/>
      <c r="C727" s="309"/>
      <c r="D727" s="438" t="s">
        <v>205</v>
      </c>
      <c r="E727" s="442"/>
      <c r="F727" s="310" t="s">
        <v>16</v>
      </c>
      <c r="G727" s="310" t="s">
        <v>17</v>
      </c>
      <c r="H727" s="311" t="s">
        <v>789</v>
      </c>
      <c r="I727" s="449" t="s">
        <v>197</v>
      </c>
      <c r="J727" s="450" t="s">
        <v>180</v>
      </c>
      <c r="K727" s="450" t="s">
        <v>194</v>
      </c>
      <c r="L727" s="450" t="s">
        <v>195</v>
      </c>
      <c r="M727" s="450" t="s">
        <v>196</v>
      </c>
      <c r="N727" s="448"/>
      <c r="O727" s="304"/>
      <c r="P727" s="304"/>
      <c r="Q727" s="304"/>
      <c r="R727" s="304"/>
      <c r="S727" s="304"/>
      <c r="T727" s="304"/>
      <c r="U727" s="304"/>
      <c r="V727" s="304"/>
      <c r="W727" s="304"/>
      <c r="X727" s="304"/>
      <c r="Y727" s="304"/>
      <c r="Z727" s="305"/>
    </row>
    <row r="728" spans="1:26" x14ac:dyDescent="0.2">
      <c r="A728" s="303"/>
      <c r="B728" s="304"/>
      <c r="C728" s="1184" t="str">
        <f>C723</f>
        <v>Line Haul</v>
      </c>
      <c r="D728" s="438" t="s">
        <v>12</v>
      </c>
      <c r="E728" s="451" t="s">
        <v>735</v>
      </c>
      <c r="F728" s="387">
        <v>3140</v>
      </c>
      <c r="G728" s="387">
        <f>182/1000</f>
        <v>0.182</v>
      </c>
      <c r="H728" s="495">
        <f>24/1000</f>
        <v>2.4E-2</v>
      </c>
      <c r="I728" s="496">
        <v>63</v>
      </c>
      <c r="J728" s="387">
        <v>4.8</v>
      </c>
      <c r="K728" s="387">
        <v>18</v>
      </c>
      <c r="L728" s="387">
        <v>1.2</v>
      </c>
      <c r="M728" s="387"/>
      <c r="N728" s="497"/>
      <c r="O728" s="304"/>
      <c r="P728" s="304"/>
      <c r="Q728" s="304"/>
      <c r="R728" s="304"/>
      <c r="S728" s="304"/>
      <c r="T728" s="304"/>
      <c r="U728" s="304"/>
      <c r="V728" s="304"/>
      <c r="W728" s="304"/>
      <c r="X728" s="304"/>
      <c r="Y728" s="304"/>
      <c r="Z728" s="305"/>
    </row>
    <row r="729" spans="1:26" x14ac:dyDescent="0.2">
      <c r="A729" s="303"/>
      <c r="B729" s="304"/>
      <c r="C729" s="1184"/>
      <c r="D729" s="438"/>
      <c r="E729" s="451" t="s">
        <v>67</v>
      </c>
      <c r="F729" s="467">
        <f>$G$723*F728/1000</f>
        <v>0</v>
      </c>
      <c r="G729" s="467">
        <f t="shared" ref="G729:M729" si="158">$G$723*G728/1000</f>
        <v>0</v>
      </c>
      <c r="H729" s="467">
        <f t="shared" si="158"/>
        <v>0</v>
      </c>
      <c r="I729" s="467">
        <f t="shared" si="158"/>
        <v>0</v>
      </c>
      <c r="J729" s="467">
        <f t="shared" si="158"/>
        <v>0</v>
      </c>
      <c r="K729" s="467">
        <f t="shared" si="158"/>
        <v>0</v>
      </c>
      <c r="L729" s="467">
        <f t="shared" si="158"/>
        <v>0</v>
      </c>
      <c r="M729" s="467">
        <f t="shared" si="158"/>
        <v>0</v>
      </c>
      <c r="N729" s="467">
        <f>$I$692*N728/1000/1000</f>
        <v>0</v>
      </c>
      <c r="O729" s="304"/>
      <c r="P729" s="304"/>
      <c r="Q729" s="304"/>
      <c r="R729" s="304"/>
      <c r="S729" s="304"/>
      <c r="T729" s="304"/>
      <c r="U729" s="304"/>
      <c r="V729" s="304"/>
      <c r="W729" s="304"/>
      <c r="X729" s="304"/>
      <c r="Y729" s="304"/>
      <c r="Z729" s="305"/>
    </row>
    <row r="730" spans="1:26" ht="13.9" customHeight="1" x14ac:dyDescent="0.2">
      <c r="A730" s="303"/>
      <c r="B730" s="304"/>
      <c r="C730" s="1183" t="s">
        <v>729</v>
      </c>
      <c r="D730" s="438" t="s">
        <v>12</v>
      </c>
      <c r="E730" s="451" t="s">
        <v>735</v>
      </c>
      <c r="F730" s="498">
        <v>3140</v>
      </c>
      <c r="G730" s="498">
        <f>179/1000</f>
        <v>0.17899999999999999</v>
      </c>
      <c r="H730" s="498">
        <f>24/1000</f>
        <v>2.4E-2</v>
      </c>
      <c r="I730" s="498">
        <v>39.9</v>
      </c>
      <c r="J730" s="498">
        <v>4.7</v>
      </c>
      <c r="K730" s="498">
        <v>10.8</v>
      </c>
      <c r="L730" s="498">
        <v>1.1000000000000001</v>
      </c>
      <c r="M730" s="467"/>
      <c r="N730" s="467"/>
      <c r="O730" s="304"/>
      <c r="P730" s="304"/>
      <c r="Q730" s="304"/>
      <c r="R730" s="304"/>
      <c r="S730" s="304"/>
      <c r="T730" s="304"/>
      <c r="U730" s="304"/>
      <c r="V730" s="304"/>
      <c r="W730" s="304"/>
      <c r="X730" s="304"/>
      <c r="Y730" s="304"/>
      <c r="Z730" s="305"/>
    </row>
    <row r="731" spans="1:26" x14ac:dyDescent="0.2">
      <c r="A731" s="303"/>
      <c r="B731" s="304"/>
      <c r="C731" s="1183"/>
      <c r="D731" s="438"/>
      <c r="E731" s="451" t="s">
        <v>67</v>
      </c>
      <c r="F731" s="467">
        <f>$G$724*F730/1000</f>
        <v>0</v>
      </c>
      <c r="G731" s="467">
        <f t="shared" ref="G731:L731" si="159">$G$724*G730/1000</f>
        <v>0</v>
      </c>
      <c r="H731" s="467">
        <f t="shared" si="159"/>
        <v>0</v>
      </c>
      <c r="I731" s="467">
        <f t="shared" si="159"/>
        <v>0</v>
      </c>
      <c r="J731" s="467">
        <f t="shared" si="159"/>
        <v>0</v>
      </c>
      <c r="K731" s="467">
        <f t="shared" si="159"/>
        <v>0</v>
      </c>
      <c r="L731" s="467">
        <f t="shared" si="159"/>
        <v>0</v>
      </c>
      <c r="M731" s="467"/>
      <c r="N731" s="467"/>
      <c r="O731" s="304"/>
      <c r="P731" s="304"/>
      <c r="Q731" s="304"/>
      <c r="R731" s="304"/>
      <c r="S731" s="304"/>
      <c r="T731" s="304"/>
      <c r="U731" s="304"/>
      <c r="V731" s="304"/>
      <c r="W731" s="304"/>
      <c r="X731" s="304"/>
      <c r="Y731" s="304"/>
      <c r="Z731" s="305"/>
    </row>
    <row r="732" spans="1:26" x14ac:dyDescent="0.2">
      <c r="A732" s="303"/>
      <c r="B732" s="304"/>
      <c r="C732" s="309"/>
      <c r="D732" s="438"/>
      <c r="E732" s="471" t="s">
        <v>0</v>
      </c>
      <c r="F732" s="784">
        <f>F729+F731+M723+M724</f>
        <v>2.2453958541045003</v>
      </c>
      <c r="G732" s="492">
        <f t="shared" ref="G732:M732" si="160">G729+G731</f>
        <v>0</v>
      </c>
      <c r="H732" s="492">
        <f t="shared" si="160"/>
        <v>0</v>
      </c>
      <c r="I732" s="492">
        <f t="shared" si="160"/>
        <v>0</v>
      </c>
      <c r="J732" s="492">
        <f t="shared" si="160"/>
        <v>0</v>
      </c>
      <c r="K732" s="492">
        <f t="shared" si="160"/>
        <v>0</v>
      </c>
      <c r="L732" s="492">
        <f t="shared" si="160"/>
        <v>0</v>
      </c>
      <c r="M732" s="492">
        <f t="shared" si="160"/>
        <v>0</v>
      </c>
      <c r="N732" s="492"/>
      <c r="O732" s="304"/>
      <c r="P732" s="304"/>
      <c r="Q732" s="304"/>
      <c r="R732" s="304"/>
      <c r="S732" s="304"/>
      <c r="T732" s="304"/>
      <c r="U732" s="304"/>
      <c r="V732" s="304"/>
      <c r="W732" s="304"/>
      <c r="X732" s="304"/>
      <c r="Y732" s="304"/>
      <c r="Z732" s="305"/>
    </row>
    <row r="733" spans="1:26" x14ac:dyDescent="0.2">
      <c r="A733" s="303"/>
      <c r="B733" s="303"/>
      <c r="C733" s="304" t="s">
        <v>732</v>
      </c>
      <c r="D733" s="429"/>
      <c r="E733" s="430"/>
      <c r="F733" s="431"/>
      <c r="G733" s="431"/>
      <c r="H733" s="445"/>
      <c r="I733" s="303"/>
      <c r="J733" s="304"/>
      <c r="K733" s="304"/>
      <c r="L733" s="304"/>
      <c r="M733" s="304"/>
      <c r="N733" s="304"/>
      <c r="O733" s="304"/>
      <c r="P733" s="304"/>
      <c r="Q733" s="304"/>
      <c r="R733" s="304"/>
      <c r="S733" s="304"/>
      <c r="T733" s="304"/>
      <c r="U733" s="304"/>
      <c r="V733" s="304"/>
      <c r="W733" s="304"/>
      <c r="X733" s="304"/>
      <c r="Y733" s="304"/>
      <c r="Z733" s="305"/>
    </row>
    <row r="734" spans="1:26" x14ac:dyDescent="0.2">
      <c r="A734" s="303"/>
      <c r="B734" s="321"/>
      <c r="C734" s="304"/>
      <c r="D734" s="304"/>
      <c r="E734" s="304"/>
      <c r="F734" s="304"/>
      <c r="G734" s="304"/>
      <c r="H734" s="304"/>
      <c r="I734" s="304"/>
      <c r="J734" s="304"/>
      <c r="K734" s="304"/>
      <c r="L734" s="304"/>
      <c r="M734" s="304"/>
      <c r="N734" s="304"/>
      <c r="O734" s="304"/>
      <c r="P734" s="304"/>
      <c r="Q734" s="304"/>
      <c r="R734" s="304"/>
      <c r="S734" s="304"/>
      <c r="T734" s="304"/>
      <c r="U734" s="304"/>
      <c r="V734" s="304"/>
      <c r="W734" s="304"/>
      <c r="X734" s="304"/>
      <c r="Y734" s="304"/>
      <c r="Z734" s="305"/>
    </row>
    <row r="735" spans="1:26" s="759" customFormat="1" x14ac:dyDescent="0.2">
      <c r="A735" s="777" t="s">
        <v>643</v>
      </c>
      <c r="B735" s="778"/>
      <c r="C735" s="779"/>
      <c r="D735" s="779"/>
      <c r="E735" s="779"/>
      <c r="F735" s="779"/>
      <c r="G735" s="779"/>
      <c r="H735" s="779"/>
      <c r="I735" s="779"/>
      <c r="J735" s="779"/>
      <c r="K735" s="779"/>
      <c r="L735" s="779"/>
      <c r="M735" s="779"/>
      <c r="N735" s="779"/>
      <c r="O735" s="779"/>
      <c r="P735" s="779"/>
      <c r="Q735" s="779"/>
      <c r="R735" s="779"/>
      <c r="S735" s="779"/>
      <c r="T735" s="779"/>
      <c r="U735" s="779"/>
      <c r="V735" s="779"/>
      <c r="W735" s="779"/>
      <c r="X735" s="779"/>
      <c r="Y735" s="779"/>
      <c r="Z735" s="779"/>
    </row>
    <row r="736" spans="1:26" x14ac:dyDescent="0.2">
      <c r="A736" s="303"/>
      <c r="B736" s="321" t="s">
        <v>806</v>
      </c>
      <c r="C736" s="304"/>
      <c r="D736" s="304"/>
      <c r="E736" s="304"/>
      <c r="F736" s="304"/>
      <c r="G736" s="304"/>
      <c r="H736" s="304"/>
      <c r="I736" s="304"/>
      <c r="J736" s="304"/>
      <c r="K736" s="304"/>
      <c r="L736" s="304"/>
      <c r="M736" s="304"/>
      <c r="N736" s="304"/>
      <c r="O736" s="304"/>
      <c r="P736" s="304"/>
      <c r="Q736" s="304"/>
      <c r="R736" s="304"/>
      <c r="S736" s="304"/>
      <c r="T736" s="304"/>
      <c r="U736" s="304"/>
      <c r="V736" s="304"/>
      <c r="W736" s="304"/>
      <c r="X736" s="304"/>
      <c r="Y736" s="304"/>
      <c r="Z736" s="305"/>
    </row>
    <row r="737" spans="1:26" x14ac:dyDescent="0.2">
      <c r="A737" s="303"/>
      <c r="B737" s="321"/>
      <c r="C737" s="446" t="s">
        <v>808</v>
      </c>
      <c r="D737" s="429"/>
      <c r="E737" s="430"/>
      <c r="F737" s="1189" t="s">
        <v>224</v>
      </c>
      <c r="G737" s="1189"/>
      <c r="H737" s="1189"/>
      <c r="I737" s="499"/>
      <c r="J737" s="499"/>
      <c r="K737" s="304"/>
      <c r="L737" s="304"/>
      <c r="M737" s="304"/>
      <c r="N737" s="304"/>
      <c r="O737" s="304"/>
      <c r="P737" s="304"/>
      <c r="Q737" s="304"/>
      <c r="R737" s="304"/>
      <c r="S737" s="304"/>
      <c r="T737" s="304"/>
      <c r="U737" s="304"/>
      <c r="V737" s="304"/>
      <c r="W737" s="304"/>
      <c r="X737" s="304"/>
      <c r="Y737" s="304"/>
      <c r="Z737" s="305"/>
    </row>
    <row r="738" spans="1:26" ht="25.5" x14ac:dyDescent="0.2">
      <c r="A738" s="303"/>
      <c r="B738" s="321"/>
      <c r="C738" s="309"/>
      <c r="D738" s="438" t="s">
        <v>205</v>
      </c>
      <c r="E738" s="443" t="s">
        <v>843</v>
      </c>
      <c r="F738" s="312" t="s">
        <v>221</v>
      </c>
      <c r="G738" s="447" t="s">
        <v>222</v>
      </c>
      <c r="H738" s="447" t="s">
        <v>223</v>
      </c>
      <c r="I738" s="322"/>
      <c r="J738" s="304"/>
      <c r="K738" s="304"/>
      <c r="L738" s="304"/>
      <c r="M738" s="304"/>
      <c r="N738" s="304"/>
      <c r="O738" s="304"/>
      <c r="P738" s="304"/>
      <c r="Q738" s="304"/>
      <c r="R738" s="304"/>
      <c r="S738" s="304"/>
      <c r="T738" s="304"/>
      <c r="U738" s="304"/>
      <c r="V738" s="304"/>
      <c r="W738" s="304"/>
      <c r="X738" s="305"/>
    </row>
    <row r="739" spans="1:26" x14ac:dyDescent="0.2">
      <c r="A739" s="303"/>
      <c r="B739" s="321"/>
      <c r="C739" s="1179" t="s">
        <v>204</v>
      </c>
      <c r="D739" s="438" t="s">
        <v>14</v>
      </c>
      <c r="E739" s="440">
        <f>Calc1!$F$422*Calc1!E441</f>
        <v>0</v>
      </c>
      <c r="F739" s="309">
        <v>70</v>
      </c>
      <c r="G739" s="309">
        <f t="shared" ref="G739:G744" si="161">F739*E739/1000</f>
        <v>0</v>
      </c>
      <c r="H739" s="351">
        <f>G739*1000/730</f>
        <v>0</v>
      </c>
      <c r="I739" s="304"/>
      <c r="J739" s="304"/>
      <c r="K739" s="304"/>
      <c r="L739" s="304"/>
      <c r="M739" s="304"/>
      <c r="N739" s="304"/>
      <c r="O739" s="304"/>
      <c r="P739" s="304"/>
      <c r="Q739" s="304"/>
      <c r="R739" s="304"/>
      <c r="S739" s="304"/>
      <c r="T739" s="304"/>
      <c r="U739" s="304"/>
      <c r="V739" s="304"/>
      <c r="W739" s="304"/>
      <c r="X739" s="305"/>
    </row>
    <row r="740" spans="1:26" x14ac:dyDescent="0.2">
      <c r="A740" s="303"/>
      <c r="B740" s="321"/>
      <c r="C740" s="1179"/>
      <c r="D740" s="438" t="s">
        <v>12</v>
      </c>
      <c r="E740" s="440">
        <f>Calc1!$F$422*Calc1!E442</f>
        <v>0</v>
      </c>
      <c r="F740" s="309">
        <v>60</v>
      </c>
      <c r="G740" s="309">
        <f t="shared" si="161"/>
        <v>0</v>
      </c>
      <c r="H740" s="351">
        <f t="shared" ref="H740" si="162">G740*1000/840</f>
        <v>0</v>
      </c>
      <c r="I740" s="304"/>
      <c r="J740" s="304"/>
      <c r="K740" s="304"/>
      <c r="L740" s="304"/>
      <c r="M740" s="304"/>
      <c r="N740" s="304"/>
      <c r="O740" s="304"/>
      <c r="P740" s="304"/>
      <c r="Q740" s="304"/>
      <c r="R740" s="304"/>
      <c r="S740" s="304"/>
      <c r="T740" s="304"/>
      <c r="U740" s="304"/>
      <c r="V740" s="304"/>
      <c r="W740" s="304"/>
      <c r="X740" s="305"/>
    </row>
    <row r="741" spans="1:26" x14ac:dyDescent="0.2">
      <c r="A741" s="303"/>
      <c r="B741" s="321"/>
      <c r="C741" s="1179"/>
      <c r="D741" s="438" t="s">
        <v>50</v>
      </c>
      <c r="E741" s="440">
        <f>Calc1!$F$422*Calc1!E443</f>
        <v>0</v>
      </c>
      <c r="F741" s="309">
        <v>50</v>
      </c>
      <c r="G741" s="309">
        <f t="shared" si="161"/>
        <v>0</v>
      </c>
      <c r="H741" s="351">
        <f>G741*1000/0.714</f>
        <v>0</v>
      </c>
      <c r="I741" s="304"/>
      <c r="J741" s="304"/>
      <c r="K741" s="304"/>
      <c r="L741" s="304"/>
      <c r="M741" s="304"/>
      <c r="N741" s="304"/>
      <c r="O741" s="304"/>
      <c r="P741" s="304"/>
      <c r="Q741" s="304"/>
      <c r="R741" s="304"/>
      <c r="S741" s="304"/>
      <c r="T741" s="304"/>
      <c r="U741" s="304"/>
      <c r="V741" s="304"/>
      <c r="W741" s="304"/>
      <c r="X741" s="305"/>
    </row>
    <row r="742" spans="1:26" x14ac:dyDescent="0.2">
      <c r="A742" s="303"/>
      <c r="B742" s="321"/>
      <c r="C742" s="1179" t="s">
        <v>696</v>
      </c>
      <c r="D742" s="438" t="s">
        <v>14</v>
      </c>
      <c r="E742" s="440">
        <f>Calc1!$F$423*Calc1!F441</f>
        <v>0</v>
      </c>
      <c r="F742" s="309">
        <v>100</v>
      </c>
      <c r="G742" s="309">
        <f t="shared" si="161"/>
        <v>0</v>
      </c>
      <c r="H742" s="351">
        <f>G742*1000/730</f>
        <v>0</v>
      </c>
      <c r="I742" s="304"/>
      <c r="J742" s="304"/>
      <c r="K742" s="304"/>
      <c r="L742" s="304"/>
      <c r="M742" s="304"/>
      <c r="N742" s="304"/>
      <c r="O742" s="304"/>
      <c r="P742" s="304"/>
      <c r="Q742" s="304"/>
      <c r="R742" s="304"/>
      <c r="S742" s="304"/>
      <c r="T742" s="304"/>
      <c r="U742" s="304"/>
      <c r="V742" s="304"/>
      <c r="W742" s="304"/>
      <c r="X742" s="305"/>
    </row>
    <row r="743" spans="1:26" x14ac:dyDescent="0.2">
      <c r="A743" s="303"/>
      <c r="B743" s="321"/>
      <c r="C743" s="1179"/>
      <c r="D743" s="438" t="s">
        <v>12</v>
      </c>
      <c r="E743" s="440">
        <f>Calc1!$F$423*Calc1!F442</f>
        <v>0</v>
      </c>
      <c r="F743" s="309">
        <v>80</v>
      </c>
      <c r="G743" s="309">
        <f t="shared" si="161"/>
        <v>0</v>
      </c>
      <c r="H743" s="351">
        <f>G743*1000/840</f>
        <v>0</v>
      </c>
      <c r="I743" s="304"/>
      <c r="J743" s="304"/>
      <c r="K743" s="304"/>
      <c r="L743" s="304"/>
      <c r="M743" s="304"/>
      <c r="N743" s="304"/>
      <c r="O743" s="304"/>
      <c r="P743" s="304"/>
      <c r="Q743" s="304"/>
      <c r="R743" s="304"/>
      <c r="S743" s="304"/>
      <c r="T743" s="304"/>
      <c r="U743" s="304"/>
      <c r="V743" s="304"/>
      <c r="W743" s="304"/>
      <c r="X743" s="305"/>
    </row>
    <row r="744" spans="1:26" x14ac:dyDescent="0.2">
      <c r="A744" s="303"/>
      <c r="B744" s="321"/>
      <c r="C744" s="1179"/>
      <c r="D744" s="438" t="s">
        <v>50</v>
      </c>
      <c r="E744" s="440">
        <f>Calc1!$F$423*Calc1!F443</f>
        <v>0</v>
      </c>
      <c r="F744" s="309">
        <v>50</v>
      </c>
      <c r="G744" s="309">
        <f t="shared" si="161"/>
        <v>0</v>
      </c>
      <c r="H744" s="351">
        <f>G744*1000/0.714</f>
        <v>0</v>
      </c>
      <c r="I744" s="304"/>
      <c r="J744" s="304"/>
      <c r="K744" s="304"/>
      <c r="L744" s="304"/>
      <c r="M744" s="304"/>
      <c r="N744" s="304"/>
      <c r="O744" s="304"/>
      <c r="P744" s="304"/>
      <c r="Q744" s="304"/>
      <c r="R744" s="304"/>
      <c r="S744" s="304"/>
      <c r="T744" s="304"/>
      <c r="U744" s="304"/>
      <c r="V744" s="304"/>
      <c r="W744" s="304"/>
      <c r="X744" s="305"/>
    </row>
    <row r="745" spans="1:26" x14ac:dyDescent="0.2">
      <c r="A745" s="303"/>
      <c r="B745" s="321"/>
      <c r="C745" s="309" t="s">
        <v>834</v>
      </c>
      <c r="D745" s="438" t="s">
        <v>14</v>
      </c>
      <c r="E745" s="439">
        <f>Calc1!F424</f>
        <v>0</v>
      </c>
      <c r="F745" s="443">
        <v>35</v>
      </c>
      <c r="G745" s="309">
        <f t="shared" ref="G745" si="163">F745*E745/1000</f>
        <v>0</v>
      </c>
      <c r="H745" s="351">
        <f>G745*1000/730</f>
        <v>0</v>
      </c>
      <c r="I745" s="303"/>
      <c r="J745" s="304"/>
      <c r="K745" s="304"/>
      <c r="L745" s="304"/>
      <c r="M745" s="304"/>
      <c r="N745" s="304"/>
      <c r="O745" s="304"/>
      <c r="P745" s="304"/>
      <c r="Q745" s="304"/>
      <c r="R745" s="304"/>
      <c r="S745" s="304"/>
      <c r="T745" s="304"/>
      <c r="U745" s="304"/>
      <c r="V745" s="304"/>
      <c r="W745" s="304"/>
      <c r="X745" s="304"/>
      <c r="Y745" s="304"/>
      <c r="Z745" s="305"/>
    </row>
    <row r="746" spans="1:26" ht="13.5" thickBot="1" x14ac:dyDescent="0.25">
      <c r="A746" s="303"/>
      <c r="B746" s="321"/>
      <c r="C746" s="304"/>
      <c r="D746" s="429"/>
      <c r="E746" s="430"/>
      <c r="F746" s="431"/>
      <c r="G746" s="431"/>
      <c r="H746" s="321"/>
      <c r="I746" s="391"/>
      <c r="J746" s="322"/>
      <c r="K746" s="322"/>
      <c r="L746" s="322"/>
      <c r="M746" s="304"/>
      <c r="N746" s="304"/>
      <c r="O746" s="304"/>
      <c r="P746" s="304"/>
      <c r="Q746" s="304"/>
      <c r="R746" s="304"/>
      <c r="S746" s="304"/>
      <c r="T746" s="304"/>
      <c r="U746" s="304"/>
      <c r="V746" s="304"/>
      <c r="W746" s="304"/>
      <c r="X746" s="304"/>
      <c r="Y746" s="304"/>
      <c r="Z746" s="305"/>
    </row>
    <row r="747" spans="1:26" ht="15.75" x14ac:dyDescent="0.3">
      <c r="A747" s="303"/>
      <c r="B747" s="321"/>
      <c r="C747" s="309"/>
      <c r="D747" s="438" t="s">
        <v>205</v>
      </c>
      <c r="E747" s="442"/>
      <c r="F747" s="310" t="s">
        <v>16</v>
      </c>
      <c r="G747" s="310" t="s">
        <v>17</v>
      </c>
      <c r="H747" s="311" t="s">
        <v>789</v>
      </c>
      <c r="I747" s="449" t="s">
        <v>197</v>
      </c>
      <c r="J747" s="450" t="s">
        <v>180</v>
      </c>
      <c r="K747" s="450" t="s">
        <v>194</v>
      </c>
      <c r="L747" s="450" t="s">
        <v>195</v>
      </c>
      <c r="M747" s="450" t="s">
        <v>196</v>
      </c>
      <c r="N747" s="448"/>
      <c r="O747" s="304"/>
      <c r="P747" s="304"/>
      <c r="Q747" s="304"/>
      <c r="R747" s="304"/>
      <c r="S747" s="304"/>
      <c r="T747" s="304"/>
      <c r="U747" s="304"/>
      <c r="V747" s="304"/>
      <c r="W747" s="304"/>
      <c r="X747" s="304"/>
      <c r="Y747" s="304"/>
      <c r="Z747" s="305"/>
    </row>
    <row r="748" spans="1:26" x14ac:dyDescent="0.2">
      <c r="A748" s="303"/>
      <c r="B748" s="321"/>
      <c r="C748" s="1179" t="s">
        <v>204</v>
      </c>
      <c r="D748" s="438" t="s">
        <v>14</v>
      </c>
      <c r="E748" s="451" t="s">
        <v>28</v>
      </c>
      <c r="F748" s="373">
        <v>2.2890000000000001</v>
      </c>
      <c r="G748" s="373">
        <v>5.1999999999999995E-4</v>
      </c>
      <c r="H748" s="453">
        <v>2.0000000000000001E-4</v>
      </c>
      <c r="I748" s="454">
        <v>14.5</v>
      </c>
      <c r="J748" s="455">
        <v>14</v>
      </c>
      <c r="K748" s="455">
        <v>132</v>
      </c>
      <c r="L748" s="455">
        <v>3.6999999999999998E-2</v>
      </c>
      <c r="M748" s="455">
        <v>0.04</v>
      </c>
      <c r="N748" s="452">
        <v>3180</v>
      </c>
      <c r="O748" s="304"/>
      <c r="P748" s="304"/>
      <c r="Q748" s="304"/>
      <c r="R748" s="304"/>
      <c r="S748" s="304"/>
      <c r="T748" s="304"/>
      <c r="U748" s="304"/>
      <c r="V748" s="304"/>
      <c r="W748" s="304"/>
      <c r="X748" s="304"/>
      <c r="Y748" s="304"/>
      <c r="Z748" s="305"/>
    </row>
    <row r="749" spans="1:26" x14ac:dyDescent="0.2">
      <c r="A749" s="303"/>
      <c r="B749" s="321"/>
      <c r="C749" s="1179"/>
      <c r="D749" s="438"/>
      <c r="E749" s="451" t="s">
        <v>67</v>
      </c>
      <c r="F749" s="486">
        <f>$H$739*F748/1000</f>
        <v>0</v>
      </c>
      <c r="G749" s="486">
        <f t="shared" ref="G749:H749" si="164">$H$739*G748/1000</f>
        <v>0</v>
      </c>
      <c r="H749" s="486">
        <f t="shared" si="164"/>
        <v>0</v>
      </c>
      <c r="I749" s="486">
        <f>$G$739*I748/1000/1000</f>
        <v>0</v>
      </c>
      <c r="J749" s="486">
        <f t="shared" ref="J749:N749" si="165">$G$739*J748/1000/1000</f>
        <v>0</v>
      </c>
      <c r="K749" s="486">
        <f t="shared" si="165"/>
        <v>0</v>
      </c>
      <c r="L749" s="486">
        <f t="shared" si="165"/>
        <v>0</v>
      </c>
      <c r="M749" s="486">
        <f t="shared" si="165"/>
        <v>0</v>
      </c>
      <c r="N749" s="486">
        <f t="shared" si="165"/>
        <v>0</v>
      </c>
      <c r="O749" s="304"/>
      <c r="P749" s="304"/>
      <c r="Q749" s="304"/>
      <c r="R749" s="304"/>
      <c r="S749" s="304"/>
      <c r="T749" s="304"/>
      <c r="U749" s="304"/>
      <c r="V749" s="304"/>
      <c r="W749" s="304"/>
      <c r="X749" s="304"/>
      <c r="Y749" s="304"/>
      <c r="Z749" s="305"/>
    </row>
    <row r="750" spans="1:26" x14ac:dyDescent="0.2">
      <c r="A750" s="303"/>
      <c r="B750" s="321"/>
      <c r="C750" s="1179"/>
      <c r="D750" s="438" t="s">
        <v>12</v>
      </c>
      <c r="E750" s="451" t="s">
        <v>29</v>
      </c>
      <c r="F750" s="373">
        <v>2.6629999999999998</v>
      </c>
      <c r="G750" s="373">
        <v>6.7999999999999999E-5</v>
      </c>
      <c r="H750" s="453">
        <v>2.1000000000000001E-4</v>
      </c>
      <c r="I750" s="454">
        <v>11</v>
      </c>
      <c r="J750" s="455">
        <v>1.1000000000000001</v>
      </c>
      <c r="K750" s="455">
        <v>4.7</v>
      </c>
      <c r="L750" s="455">
        <v>1.7</v>
      </c>
      <c r="M750" s="455">
        <v>8.0000000000000002E-3</v>
      </c>
      <c r="N750" s="452">
        <v>3140</v>
      </c>
      <c r="O750" s="304"/>
      <c r="P750" s="304"/>
      <c r="Q750" s="304"/>
      <c r="R750" s="304"/>
      <c r="S750" s="304"/>
      <c r="T750" s="304"/>
      <c r="U750" s="304"/>
      <c r="V750" s="304"/>
      <c r="W750" s="304"/>
      <c r="X750" s="304"/>
      <c r="Y750" s="304"/>
      <c r="Z750" s="305"/>
    </row>
    <row r="751" spans="1:26" x14ac:dyDescent="0.2">
      <c r="A751" s="303"/>
      <c r="B751" s="321"/>
      <c r="C751" s="1179"/>
      <c r="D751" s="438"/>
      <c r="E751" s="451" t="s">
        <v>67</v>
      </c>
      <c r="F751" s="486">
        <f>$H$740*F750/1000</f>
        <v>0</v>
      </c>
      <c r="G751" s="486">
        <f t="shared" ref="G751:H751" si="166">$H$740*G750/1000</f>
        <v>0</v>
      </c>
      <c r="H751" s="486">
        <f t="shared" si="166"/>
        <v>0</v>
      </c>
      <c r="I751" s="486">
        <f>$G$740*I750/1000/1000</f>
        <v>0</v>
      </c>
      <c r="J751" s="486">
        <f t="shared" ref="J751:N751" si="167">$G$740*J750/1000/1000</f>
        <v>0</v>
      </c>
      <c r="K751" s="486">
        <f t="shared" si="167"/>
        <v>0</v>
      </c>
      <c r="L751" s="486">
        <f t="shared" si="167"/>
        <v>0</v>
      </c>
      <c r="M751" s="486">
        <f t="shared" si="167"/>
        <v>0</v>
      </c>
      <c r="N751" s="486">
        <f t="shared" si="167"/>
        <v>0</v>
      </c>
      <c r="O751" s="304"/>
      <c r="P751" s="304"/>
      <c r="Q751" s="304"/>
      <c r="R751" s="304"/>
      <c r="S751" s="304"/>
      <c r="T751" s="304"/>
      <c r="U751" s="304"/>
      <c r="V751" s="304"/>
      <c r="W751" s="304"/>
      <c r="X751" s="304"/>
      <c r="Y751" s="304"/>
      <c r="Z751" s="305"/>
    </row>
    <row r="752" spans="1:26" x14ac:dyDescent="0.2">
      <c r="A752" s="303"/>
      <c r="B752" s="321"/>
      <c r="C752" s="1179"/>
      <c r="D752" s="438" t="s">
        <v>50</v>
      </c>
      <c r="E752" s="451" t="s">
        <v>193</v>
      </c>
      <c r="F752" s="373">
        <v>1.89E-3</v>
      </c>
      <c r="G752" s="373">
        <v>9.0000000000000002E-6</v>
      </c>
      <c r="H752" s="453">
        <v>5.9999999999999995E-8</v>
      </c>
      <c r="I752" s="462">
        <v>5.6000000000000001E-2</v>
      </c>
      <c r="J752" s="324">
        <v>1.4999999999999999E-2</v>
      </c>
      <c r="K752" s="324">
        <v>0.39500000000000002</v>
      </c>
      <c r="L752" s="324">
        <v>2E-3</v>
      </c>
      <c r="M752" s="463">
        <v>0</v>
      </c>
      <c r="N752" s="461">
        <v>148</v>
      </c>
      <c r="O752" s="304"/>
      <c r="P752" s="304"/>
      <c r="Q752" s="304"/>
      <c r="R752" s="304"/>
      <c r="S752" s="304"/>
      <c r="T752" s="304"/>
      <c r="U752" s="304"/>
      <c r="V752" s="304"/>
      <c r="W752" s="304"/>
      <c r="X752" s="304"/>
      <c r="Y752" s="304"/>
      <c r="Z752" s="305"/>
    </row>
    <row r="753" spans="1:26" x14ac:dyDescent="0.2">
      <c r="A753" s="303"/>
      <c r="B753" s="321"/>
      <c r="C753" s="1179"/>
      <c r="D753" s="438"/>
      <c r="E753" s="451" t="s">
        <v>67</v>
      </c>
      <c r="F753" s="457">
        <f>$H$741*F752/1000</f>
        <v>0</v>
      </c>
      <c r="G753" s="457">
        <f t="shared" ref="G753:H753" si="168">$H$741*G752/1000</f>
        <v>0</v>
      </c>
      <c r="H753" s="457">
        <f t="shared" si="168"/>
        <v>0</v>
      </c>
      <c r="I753" s="487">
        <f>I752*$E$741/1000/1000</f>
        <v>0</v>
      </c>
      <c r="J753" s="487">
        <f t="shared" ref="J753:N753" si="169">J752*$E$741/1000/1000</f>
        <v>0</v>
      </c>
      <c r="K753" s="487">
        <f t="shared" si="169"/>
        <v>0</v>
      </c>
      <c r="L753" s="487">
        <f t="shared" si="169"/>
        <v>0</v>
      </c>
      <c r="M753" s="487">
        <f t="shared" si="169"/>
        <v>0</v>
      </c>
      <c r="N753" s="487">
        <f t="shared" si="169"/>
        <v>0</v>
      </c>
      <c r="O753" s="304"/>
      <c r="P753" s="304"/>
      <c r="Q753" s="304"/>
      <c r="R753" s="304"/>
      <c r="S753" s="304"/>
      <c r="T753" s="304"/>
      <c r="U753" s="304"/>
      <c r="V753" s="304"/>
      <c r="W753" s="304"/>
      <c r="X753" s="304"/>
      <c r="Y753" s="304"/>
      <c r="Z753" s="305"/>
    </row>
    <row r="754" spans="1:26" x14ac:dyDescent="0.2">
      <c r="A754" s="303"/>
      <c r="B754" s="321"/>
      <c r="C754" s="1179" t="s">
        <v>696</v>
      </c>
      <c r="D754" s="438" t="s">
        <v>14</v>
      </c>
      <c r="E754" s="451" t="s">
        <v>28</v>
      </c>
      <c r="F754" s="373">
        <v>2.6629999999999998</v>
      </c>
      <c r="G754" s="373">
        <v>6.7999999999999999E-5</v>
      </c>
      <c r="H754" s="453">
        <v>2.1000000000000001E-4</v>
      </c>
      <c r="I754" s="454">
        <v>24</v>
      </c>
      <c r="J754" s="455">
        <v>14</v>
      </c>
      <c r="K754" s="455">
        <v>155</v>
      </c>
      <c r="L754" s="455">
        <v>0.03</v>
      </c>
      <c r="M754" s="455">
        <v>0.04</v>
      </c>
      <c r="N754" s="452">
        <v>3180</v>
      </c>
      <c r="O754" s="304"/>
      <c r="P754" s="304"/>
      <c r="Q754" s="304"/>
      <c r="R754" s="304"/>
      <c r="S754" s="304"/>
      <c r="T754" s="304"/>
      <c r="U754" s="304"/>
      <c r="V754" s="304"/>
      <c r="W754" s="304"/>
      <c r="X754" s="304"/>
      <c r="Y754" s="304"/>
      <c r="Z754" s="305"/>
    </row>
    <row r="755" spans="1:26" x14ac:dyDescent="0.2">
      <c r="A755" s="303"/>
      <c r="B755" s="321"/>
      <c r="C755" s="1179"/>
      <c r="D755" s="438"/>
      <c r="E755" s="451" t="s">
        <v>67</v>
      </c>
      <c r="F755" s="486">
        <f>$H$742*F754/1000</f>
        <v>0</v>
      </c>
      <c r="G755" s="486">
        <f t="shared" ref="G755:H755" si="170">$H$742*G754/1000</f>
        <v>0</v>
      </c>
      <c r="H755" s="486">
        <f t="shared" si="170"/>
        <v>0</v>
      </c>
      <c r="I755" s="486">
        <f>$G$742*I754/1000/1000</f>
        <v>0</v>
      </c>
      <c r="J755" s="486">
        <f t="shared" ref="J755:N755" si="171">$G$742*J754/1000/1000</f>
        <v>0</v>
      </c>
      <c r="K755" s="486">
        <f t="shared" si="171"/>
        <v>0</v>
      </c>
      <c r="L755" s="486">
        <f t="shared" si="171"/>
        <v>0</v>
      </c>
      <c r="M755" s="486">
        <f t="shared" si="171"/>
        <v>0</v>
      </c>
      <c r="N755" s="486">
        <f t="shared" si="171"/>
        <v>0</v>
      </c>
      <c r="O755" s="304"/>
      <c r="P755" s="304"/>
      <c r="Q755" s="304"/>
      <c r="R755" s="304"/>
      <c r="S755" s="304"/>
      <c r="T755" s="304"/>
      <c r="U755" s="304"/>
      <c r="V755" s="304"/>
      <c r="W755" s="304"/>
      <c r="X755" s="304"/>
      <c r="Y755" s="304"/>
      <c r="Z755" s="305"/>
    </row>
    <row r="756" spans="1:26" x14ac:dyDescent="0.2">
      <c r="A756" s="303"/>
      <c r="B756" s="321"/>
      <c r="C756" s="1179"/>
      <c r="D756" s="438" t="s">
        <v>12</v>
      </c>
      <c r="E756" s="451" t="s">
        <v>29</v>
      </c>
      <c r="F756" s="373">
        <v>2.6629999999999998</v>
      </c>
      <c r="G756" s="373">
        <v>6.7999999999999999E-5</v>
      </c>
      <c r="H756" s="453">
        <v>2.1000000000000001E-4</v>
      </c>
      <c r="I756" s="454">
        <v>15</v>
      </c>
      <c r="J756" s="455">
        <v>1.75</v>
      </c>
      <c r="K756" s="455">
        <v>11</v>
      </c>
      <c r="L756" s="455">
        <v>2.8</v>
      </c>
      <c r="M756" s="455">
        <v>8.0000000000000002E-3</v>
      </c>
      <c r="N756" s="452">
        <v>3140</v>
      </c>
      <c r="O756" s="304"/>
      <c r="P756" s="304"/>
      <c r="Q756" s="304"/>
      <c r="R756" s="304"/>
      <c r="S756" s="304"/>
      <c r="T756" s="304"/>
      <c r="U756" s="304"/>
      <c r="V756" s="304"/>
      <c r="W756" s="304"/>
      <c r="X756" s="304"/>
      <c r="Y756" s="304"/>
      <c r="Z756" s="305"/>
    </row>
    <row r="757" spans="1:26" x14ac:dyDescent="0.2">
      <c r="A757" s="303"/>
      <c r="B757" s="321"/>
      <c r="C757" s="1179"/>
      <c r="D757" s="438"/>
      <c r="E757" s="451" t="s">
        <v>67</v>
      </c>
      <c r="F757" s="486">
        <f>$H$743*F756/1000</f>
        <v>0</v>
      </c>
      <c r="G757" s="486">
        <f t="shared" ref="G757:H757" si="172">$H$743*G756/1000</f>
        <v>0</v>
      </c>
      <c r="H757" s="486">
        <f t="shared" si="172"/>
        <v>0</v>
      </c>
      <c r="I757" s="486">
        <f>$G$743*I756/1000/1000</f>
        <v>0</v>
      </c>
      <c r="J757" s="486">
        <f t="shared" ref="J757:N757" si="173">$G$743*J756/1000/1000</f>
        <v>0</v>
      </c>
      <c r="K757" s="486">
        <f t="shared" si="173"/>
        <v>0</v>
      </c>
      <c r="L757" s="486">
        <f t="shared" si="173"/>
        <v>0</v>
      </c>
      <c r="M757" s="486">
        <f t="shared" si="173"/>
        <v>0</v>
      </c>
      <c r="N757" s="486">
        <f t="shared" si="173"/>
        <v>0</v>
      </c>
      <c r="O757" s="304"/>
      <c r="P757" s="304"/>
      <c r="Q757" s="304"/>
      <c r="R757" s="304"/>
      <c r="S757" s="304"/>
      <c r="T757" s="304"/>
      <c r="U757" s="304"/>
      <c r="V757" s="304"/>
      <c r="W757" s="304"/>
      <c r="X757" s="304"/>
      <c r="Y757" s="304"/>
      <c r="Z757" s="305"/>
    </row>
    <row r="758" spans="1:26" x14ac:dyDescent="0.2">
      <c r="A758" s="303"/>
      <c r="B758" s="321"/>
      <c r="C758" s="1179"/>
      <c r="D758" s="438" t="s">
        <v>50</v>
      </c>
      <c r="E758" s="451" t="s">
        <v>193</v>
      </c>
      <c r="F758" s="373">
        <v>1.89E-3</v>
      </c>
      <c r="G758" s="373">
        <v>9.0000000000000002E-6</v>
      </c>
      <c r="H758" s="453">
        <v>5.9999999999999995E-8</v>
      </c>
      <c r="I758" s="462">
        <v>5.6000000000000001E-2</v>
      </c>
      <c r="J758" s="324">
        <v>1.4999999999999999E-2</v>
      </c>
      <c r="K758" s="324">
        <v>0.39500000000000002</v>
      </c>
      <c r="L758" s="324">
        <v>2E-3</v>
      </c>
      <c r="M758" s="463">
        <v>0</v>
      </c>
      <c r="N758" s="461">
        <v>148</v>
      </c>
      <c r="O758" s="304"/>
      <c r="P758" s="304"/>
      <c r="Q758" s="304"/>
      <c r="R758" s="304"/>
      <c r="S758" s="304"/>
      <c r="T758" s="304"/>
      <c r="U758" s="304"/>
      <c r="V758" s="304"/>
      <c r="W758" s="304"/>
      <c r="X758" s="304"/>
      <c r="Y758" s="304"/>
      <c r="Z758" s="305"/>
    </row>
    <row r="759" spans="1:26" x14ac:dyDescent="0.2">
      <c r="A759" s="303"/>
      <c r="B759" s="321"/>
      <c r="C759" s="1179"/>
      <c r="D759" s="438"/>
      <c r="E759" s="451" t="s">
        <v>67</v>
      </c>
      <c r="F759" s="457">
        <f>$H$744*F758/1000</f>
        <v>0</v>
      </c>
      <c r="G759" s="457">
        <f t="shared" ref="G759:H759" si="174">$H$744*G758/1000</f>
        <v>0</v>
      </c>
      <c r="H759" s="457">
        <f t="shared" si="174"/>
        <v>0</v>
      </c>
      <c r="I759" s="487">
        <f>I758*$E$744/1000/1000</f>
        <v>0</v>
      </c>
      <c r="J759" s="487">
        <f t="shared" ref="J759:N759" si="175">J758*$E$744/1000/1000</f>
        <v>0</v>
      </c>
      <c r="K759" s="487">
        <f t="shared" si="175"/>
        <v>0</v>
      </c>
      <c r="L759" s="487">
        <f t="shared" si="175"/>
        <v>0</v>
      </c>
      <c r="M759" s="487">
        <f t="shared" si="175"/>
        <v>0</v>
      </c>
      <c r="N759" s="487">
        <f t="shared" si="175"/>
        <v>0</v>
      </c>
      <c r="O759" s="304"/>
      <c r="P759" s="304"/>
      <c r="Q759" s="304"/>
      <c r="R759" s="304"/>
      <c r="S759" s="304"/>
      <c r="T759" s="304"/>
      <c r="U759" s="304"/>
      <c r="V759" s="304"/>
      <c r="W759" s="304"/>
      <c r="X759" s="304"/>
      <c r="Y759" s="304"/>
      <c r="Z759" s="305"/>
    </row>
    <row r="760" spans="1:26" x14ac:dyDescent="0.2">
      <c r="A760" s="303"/>
      <c r="B760" s="321"/>
      <c r="C760" s="1177" t="s">
        <v>834</v>
      </c>
      <c r="D760" s="438" t="s">
        <v>14</v>
      </c>
      <c r="E760" s="451" t="s">
        <v>839</v>
      </c>
      <c r="F760" s="455">
        <v>3180</v>
      </c>
      <c r="G760" s="469">
        <v>2.2999999999999998</v>
      </c>
      <c r="H760" s="455">
        <v>5.8999999999999997E-2</v>
      </c>
      <c r="I760" s="455">
        <v>9.5</v>
      </c>
      <c r="J760" s="455">
        <v>114</v>
      </c>
      <c r="K760" s="455">
        <v>490</v>
      </c>
      <c r="L760" s="455">
        <v>2.7</v>
      </c>
      <c r="M760" s="455">
        <v>0.04</v>
      </c>
      <c r="N760" s="500"/>
      <c r="O760" s="501"/>
      <c r="P760" s="304"/>
      <c r="Q760" s="304"/>
      <c r="R760" s="304"/>
      <c r="S760" s="304"/>
      <c r="T760" s="304"/>
      <c r="U760" s="304"/>
      <c r="V760" s="304"/>
      <c r="W760" s="304"/>
      <c r="X760" s="304"/>
      <c r="Y760" s="304"/>
      <c r="Z760" s="305"/>
    </row>
    <row r="761" spans="1:26" x14ac:dyDescent="0.2">
      <c r="A761" s="303"/>
      <c r="B761" s="321"/>
      <c r="C761" s="1178"/>
      <c r="D761" s="438"/>
      <c r="E761" s="451" t="s">
        <v>67</v>
      </c>
      <c r="F761" s="457">
        <f>$G$745*F760/1000/1000</f>
        <v>0</v>
      </c>
      <c r="G761" s="457">
        <f>$H$745*G760/1000/1000</f>
        <v>0</v>
      </c>
      <c r="H761" s="457">
        <f t="shared" ref="H761:N761" si="176">$G$745*H760/1000/1000</f>
        <v>0</v>
      </c>
      <c r="I761" s="457">
        <f t="shared" si="176"/>
        <v>0</v>
      </c>
      <c r="J761" s="457">
        <f t="shared" si="176"/>
        <v>0</v>
      </c>
      <c r="K761" s="457">
        <f t="shared" si="176"/>
        <v>0</v>
      </c>
      <c r="L761" s="457">
        <f t="shared" si="176"/>
        <v>0</v>
      </c>
      <c r="M761" s="457">
        <f t="shared" si="176"/>
        <v>0</v>
      </c>
      <c r="N761" s="457">
        <f t="shared" si="176"/>
        <v>0</v>
      </c>
      <c r="O761" s="501"/>
      <c r="P761" s="304"/>
      <c r="Q761" s="304"/>
      <c r="R761" s="304"/>
      <c r="S761" s="304"/>
      <c r="T761" s="304"/>
      <c r="U761" s="304"/>
      <c r="V761" s="304"/>
      <c r="W761" s="304"/>
      <c r="X761" s="304"/>
      <c r="Y761" s="304"/>
      <c r="Z761" s="305"/>
    </row>
    <row r="762" spans="1:26" x14ac:dyDescent="0.2">
      <c r="A762" s="303"/>
      <c r="B762" s="321"/>
      <c r="C762" s="309"/>
      <c r="D762" s="438"/>
      <c r="E762" s="471" t="s">
        <v>0</v>
      </c>
      <c r="F762" s="486">
        <f>F749+F751+F753+F755+F757+F759+F761</f>
        <v>0</v>
      </c>
      <c r="G762" s="486">
        <f t="shared" ref="G762:N762" si="177">G749+G751+G753+G755+G757+G759+G761</f>
        <v>0</v>
      </c>
      <c r="H762" s="486">
        <f t="shared" si="177"/>
        <v>0</v>
      </c>
      <c r="I762" s="486">
        <f t="shared" si="177"/>
        <v>0</v>
      </c>
      <c r="J762" s="486">
        <f t="shared" si="177"/>
        <v>0</v>
      </c>
      <c r="K762" s="486">
        <f t="shared" si="177"/>
        <v>0</v>
      </c>
      <c r="L762" s="486">
        <f t="shared" si="177"/>
        <v>0</v>
      </c>
      <c r="M762" s="486">
        <f t="shared" si="177"/>
        <v>0</v>
      </c>
      <c r="N762" s="486">
        <f t="shared" si="177"/>
        <v>0</v>
      </c>
      <c r="O762" s="361"/>
      <c r="P762" s="304"/>
      <c r="Q762" s="304"/>
      <c r="R762" s="304"/>
      <c r="S762" s="304"/>
      <c r="T762" s="304"/>
      <c r="U762" s="304"/>
      <c r="V762" s="304"/>
      <c r="W762" s="304"/>
      <c r="X762" s="304"/>
      <c r="Y762" s="304"/>
      <c r="Z762" s="305"/>
    </row>
    <row r="763" spans="1:26" x14ac:dyDescent="0.2">
      <c r="A763" s="303"/>
      <c r="B763" s="321"/>
      <c r="C763" s="472" t="s">
        <v>68</v>
      </c>
      <c r="D763" s="429"/>
      <c r="E763" s="430"/>
      <c r="F763" s="431"/>
      <c r="G763" s="431"/>
      <c r="H763" s="445"/>
      <c r="I763" s="303"/>
      <c r="J763" s="304"/>
      <c r="K763" s="304"/>
      <c r="L763" s="304"/>
      <c r="M763" s="304"/>
      <c r="N763" s="304"/>
      <c r="O763" s="304"/>
      <c r="P763" s="304"/>
      <c r="Q763" s="304"/>
      <c r="R763" s="304"/>
      <c r="S763" s="304"/>
      <c r="T763" s="304"/>
      <c r="U763" s="304"/>
      <c r="V763" s="304"/>
      <c r="W763" s="304"/>
      <c r="X763" s="304"/>
      <c r="Y763" s="304"/>
      <c r="Z763" s="305"/>
    </row>
    <row r="764" spans="1:26" x14ac:dyDescent="0.2">
      <c r="A764" s="303"/>
      <c r="B764" s="321"/>
      <c r="C764" s="304"/>
      <c r="D764" s="304"/>
      <c r="E764" s="304"/>
      <c r="F764" s="304"/>
      <c r="G764" s="304"/>
      <c r="H764" s="304"/>
      <c r="I764" s="304"/>
      <c r="J764" s="304"/>
      <c r="K764" s="304"/>
      <c r="L764" s="304"/>
      <c r="M764" s="304"/>
      <c r="N764" s="304"/>
      <c r="O764" s="304"/>
      <c r="P764" s="304"/>
      <c r="Q764" s="304"/>
      <c r="R764" s="304"/>
      <c r="S764" s="304"/>
      <c r="T764" s="304"/>
      <c r="U764" s="304"/>
      <c r="V764" s="304"/>
      <c r="W764" s="304"/>
      <c r="X764" s="304"/>
      <c r="Y764" s="304"/>
      <c r="Z764" s="305"/>
    </row>
    <row r="765" spans="1:26" x14ac:dyDescent="0.2">
      <c r="A765" s="303"/>
      <c r="B765" s="321"/>
      <c r="C765" s="304"/>
      <c r="D765" s="304"/>
      <c r="E765" s="304"/>
      <c r="F765" s="304"/>
      <c r="G765" s="304"/>
      <c r="H765" s="304"/>
      <c r="I765" s="304"/>
      <c r="J765" s="304"/>
      <c r="K765" s="304"/>
      <c r="L765" s="304"/>
      <c r="M765" s="304"/>
      <c r="N765" s="304"/>
      <c r="O765" s="304"/>
      <c r="P765" s="304"/>
      <c r="Q765" s="304"/>
      <c r="R765" s="304"/>
      <c r="S765" s="304"/>
      <c r="T765" s="304"/>
      <c r="U765" s="304"/>
      <c r="V765" s="304"/>
      <c r="W765" s="304"/>
      <c r="X765" s="304"/>
      <c r="Y765" s="304"/>
      <c r="Z765" s="305"/>
    </row>
    <row r="766" spans="1:26" x14ac:dyDescent="0.2">
      <c r="A766" s="303"/>
      <c r="B766" s="321" t="s">
        <v>807</v>
      </c>
      <c r="C766" s="304"/>
      <c r="D766" s="304"/>
      <c r="E766" s="304"/>
      <c r="F766" s="304"/>
      <c r="G766" s="304"/>
      <c r="H766" s="304"/>
      <c r="I766" s="304"/>
      <c r="J766" s="304"/>
      <c r="K766" s="304"/>
      <c r="L766" s="304"/>
      <c r="M766" s="304"/>
      <c r="N766" s="304"/>
      <c r="O766" s="304"/>
      <c r="P766" s="304"/>
      <c r="Q766" s="304"/>
      <c r="R766" s="304"/>
      <c r="S766" s="304"/>
      <c r="T766" s="304"/>
      <c r="U766" s="304"/>
      <c r="V766" s="304"/>
      <c r="W766" s="304"/>
      <c r="X766" s="304"/>
      <c r="Y766" s="304"/>
      <c r="Z766" s="305"/>
    </row>
    <row r="767" spans="1:26" x14ac:dyDescent="0.2">
      <c r="A767" s="303"/>
      <c r="B767" s="321"/>
      <c r="C767" s="446" t="s">
        <v>809</v>
      </c>
      <c r="D767" s="429"/>
      <c r="E767" s="430"/>
      <c r="F767" s="1189" t="s">
        <v>224</v>
      </c>
      <c r="G767" s="1189"/>
      <c r="H767" s="1189"/>
      <c r="I767" s="499"/>
      <c r="J767" s="499"/>
      <c r="K767" s="304"/>
      <c r="L767" s="304"/>
      <c r="M767" s="304"/>
      <c r="N767" s="304"/>
      <c r="O767" s="304"/>
      <c r="P767" s="304"/>
      <c r="Q767" s="304"/>
      <c r="R767" s="304"/>
      <c r="S767" s="304"/>
      <c r="T767" s="304"/>
      <c r="U767" s="304"/>
      <c r="V767" s="304"/>
      <c r="W767" s="304"/>
      <c r="X767" s="304"/>
      <c r="Y767" s="304"/>
      <c r="Z767" s="305"/>
    </row>
    <row r="768" spans="1:26" ht="25.5" x14ac:dyDescent="0.2">
      <c r="A768" s="303"/>
      <c r="B768" s="321"/>
      <c r="C768" s="309"/>
      <c r="D768" s="438" t="s">
        <v>205</v>
      </c>
      <c r="E768" s="443" t="s">
        <v>208</v>
      </c>
      <c r="F768" s="312" t="s">
        <v>221</v>
      </c>
      <c r="G768" s="447" t="s">
        <v>222</v>
      </c>
      <c r="H768" s="447" t="s">
        <v>223</v>
      </c>
      <c r="I768" s="322"/>
      <c r="J768" s="304"/>
      <c r="K768" s="304"/>
      <c r="L768" s="304"/>
      <c r="M768" s="304"/>
      <c r="N768" s="304"/>
      <c r="O768" s="304"/>
      <c r="P768" s="304"/>
      <c r="Q768" s="304"/>
      <c r="R768" s="304"/>
      <c r="S768" s="304"/>
      <c r="T768" s="304"/>
      <c r="U768" s="304"/>
      <c r="V768" s="304"/>
      <c r="W768" s="304"/>
      <c r="X768" s="304"/>
      <c r="Y768" s="304"/>
      <c r="Z768" s="305"/>
    </row>
    <row r="769" spans="1:26" x14ac:dyDescent="0.2">
      <c r="A769" s="303"/>
      <c r="B769" s="321"/>
      <c r="C769" s="1179" t="s">
        <v>204</v>
      </c>
      <c r="D769" s="438" t="s">
        <v>14</v>
      </c>
      <c r="E769" s="440">
        <f>Calc1!$F$425*Calc1!E441</f>
        <v>0</v>
      </c>
      <c r="F769" s="309">
        <v>70</v>
      </c>
      <c r="G769" s="309">
        <f t="shared" ref="G769:G775" si="178">F769*E769/1000</f>
        <v>0</v>
      </c>
      <c r="H769" s="351">
        <f>G769*1000/730</f>
        <v>0</v>
      </c>
      <c r="I769" s="304"/>
      <c r="J769" s="304"/>
      <c r="K769" s="304"/>
      <c r="L769" s="304"/>
      <c r="M769" s="304"/>
      <c r="N769" s="304"/>
      <c r="O769" s="304"/>
      <c r="P769" s="304"/>
      <c r="Q769" s="304"/>
      <c r="R769" s="304"/>
      <c r="S769" s="304"/>
      <c r="T769" s="304"/>
      <c r="U769" s="304"/>
      <c r="V769" s="304"/>
      <c r="W769" s="304"/>
      <c r="X769" s="304"/>
      <c r="Y769" s="304"/>
      <c r="Z769" s="305"/>
    </row>
    <row r="770" spans="1:26" x14ac:dyDescent="0.2">
      <c r="A770" s="303"/>
      <c r="B770" s="321"/>
      <c r="C770" s="1179"/>
      <c r="D770" s="438" t="s">
        <v>12</v>
      </c>
      <c r="E770" s="440">
        <f>Calc1!$F$425*Calc1!E442</f>
        <v>0</v>
      </c>
      <c r="F770" s="309">
        <v>60</v>
      </c>
      <c r="G770" s="309">
        <f t="shared" si="178"/>
        <v>0</v>
      </c>
      <c r="H770" s="351">
        <f t="shared" ref="H770" si="179">G770*1000/840</f>
        <v>0</v>
      </c>
      <c r="I770" s="304"/>
      <c r="J770" s="304"/>
      <c r="K770" s="304"/>
      <c r="L770" s="304"/>
      <c r="M770" s="304"/>
      <c r="N770" s="304"/>
      <c r="O770" s="304"/>
      <c r="P770" s="304"/>
      <c r="Q770" s="304"/>
      <c r="R770" s="304"/>
      <c r="S770" s="304"/>
      <c r="T770" s="304"/>
      <c r="U770" s="304"/>
      <c r="V770" s="304"/>
      <c r="W770" s="304"/>
      <c r="X770" s="304"/>
      <c r="Y770" s="304"/>
      <c r="Z770" s="305"/>
    </row>
    <row r="771" spans="1:26" x14ac:dyDescent="0.2">
      <c r="A771" s="303"/>
      <c r="B771" s="321"/>
      <c r="C771" s="1179"/>
      <c r="D771" s="438" t="s">
        <v>50</v>
      </c>
      <c r="E771" s="440">
        <f>Calc1!$F$425*Calc1!E443</f>
        <v>0</v>
      </c>
      <c r="F771" s="309">
        <v>50</v>
      </c>
      <c r="G771" s="309">
        <f t="shared" si="178"/>
        <v>0</v>
      </c>
      <c r="H771" s="351">
        <f>G771*1000/0.714</f>
        <v>0</v>
      </c>
      <c r="I771" s="304"/>
      <c r="J771" s="304"/>
      <c r="K771" s="304"/>
      <c r="L771" s="304"/>
      <c r="M771" s="304"/>
      <c r="N771" s="304"/>
      <c r="O771" s="304"/>
      <c r="P771" s="304"/>
      <c r="Q771" s="304"/>
      <c r="R771" s="304"/>
      <c r="S771" s="304"/>
      <c r="T771" s="304"/>
      <c r="U771" s="304"/>
      <c r="V771" s="304"/>
      <c r="W771" s="304"/>
      <c r="X771" s="304"/>
      <c r="Y771" s="304"/>
      <c r="Z771" s="305"/>
    </row>
    <row r="772" spans="1:26" x14ac:dyDescent="0.2">
      <c r="A772" s="303"/>
      <c r="B772" s="321"/>
      <c r="C772" s="1179" t="s">
        <v>696</v>
      </c>
      <c r="D772" s="438" t="s">
        <v>14</v>
      </c>
      <c r="E772" s="440">
        <f>Calc1!$F$426*Calc1!F441</f>
        <v>0</v>
      </c>
      <c r="F772" s="309">
        <v>100</v>
      </c>
      <c r="G772" s="309">
        <f t="shared" si="178"/>
        <v>0</v>
      </c>
      <c r="H772" s="351">
        <f>G772*1000/730</f>
        <v>0</v>
      </c>
      <c r="I772" s="304"/>
      <c r="J772" s="304"/>
      <c r="K772" s="304"/>
      <c r="L772" s="304"/>
      <c r="M772" s="304"/>
      <c r="N772" s="304"/>
      <c r="O772" s="304"/>
      <c r="P772" s="304"/>
      <c r="Q772" s="304"/>
      <c r="R772" s="304"/>
      <c r="S772" s="304"/>
      <c r="T772" s="304"/>
      <c r="U772" s="304"/>
      <c r="V772" s="304"/>
      <c r="W772" s="304"/>
      <c r="X772" s="304"/>
      <c r="Y772" s="304"/>
      <c r="Z772" s="305"/>
    </row>
    <row r="773" spans="1:26" x14ac:dyDescent="0.2">
      <c r="A773" s="303"/>
      <c r="B773" s="321"/>
      <c r="C773" s="1179"/>
      <c r="D773" s="438" t="s">
        <v>12</v>
      </c>
      <c r="E773" s="440">
        <f>Calc1!$F$426*Calc1!F442</f>
        <v>0</v>
      </c>
      <c r="F773" s="309">
        <v>80</v>
      </c>
      <c r="G773" s="309">
        <f t="shared" si="178"/>
        <v>0</v>
      </c>
      <c r="H773" s="351">
        <f>G773*1000/840</f>
        <v>0</v>
      </c>
      <c r="I773" s="304"/>
      <c r="J773" s="304"/>
      <c r="K773" s="304"/>
      <c r="L773" s="304"/>
      <c r="M773" s="304"/>
      <c r="N773" s="304"/>
      <c r="O773" s="304"/>
      <c r="P773" s="304"/>
      <c r="Q773" s="304"/>
      <c r="R773" s="304"/>
      <c r="S773" s="304"/>
      <c r="T773" s="304"/>
      <c r="U773" s="304"/>
      <c r="V773" s="304"/>
      <c r="W773" s="304"/>
      <c r="X773" s="304"/>
      <c r="Y773" s="304"/>
      <c r="Z773" s="305"/>
    </row>
    <row r="774" spans="1:26" x14ac:dyDescent="0.2">
      <c r="A774" s="303"/>
      <c r="B774" s="321"/>
      <c r="C774" s="1179"/>
      <c r="D774" s="438" t="s">
        <v>50</v>
      </c>
      <c r="E774" s="440">
        <f>Calc1!$F$426*Calc1!F443</f>
        <v>0</v>
      </c>
      <c r="F774" s="309">
        <v>50</v>
      </c>
      <c r="G774" s="309">
        <f t="shared" si="178"/>
        <v>0</v>
      </c>
      <c r="H774" s="351">
        <f>G774*1000/0.714</f>
        <v>0</v>
      </c>
      <c r="I774" s="304"/>
      <c r="J774" s="304"/>
      <c r="K774" s="304"/>
      <c r="L774" s="304"/>
      <c r="M774" s="304"/>
      <c r="N774" s="304"/>
      <c r="O774" s="304"/>
      <c r="P774" s="304"/>
      <c r="Q774" s="304"/>
      <c r="R774" s="304"/>
      <c r="S774" s="304"/>
      <c r="T774" s="304"/>
      <c r="U774" s="304"/>
      <c r="V774" s="304"/>
      <c r="W774" s="304"/>
      <c r="X774" s="304"/>
      <c r="Y774" s="304"/>
      <c r="Z774" s="305"/>
    </row>
    <row r="775" spans="1:26" x14ac:dyDescent="0.2">
      <c r="A775" s="303"/>
      <c r="B775" s="321"/>
      <c r="C775" s="309" t="s">
        <v>834</v>
      </c>
      <c r="D775" s="438" t="s">
        <v>14</v>
      </c>
      <c r="E775" s="439">
        <f>Calc1!F427</f>
        <v>0</v>
      </c>
      <c r="F775" s="443">
        <v>35</v>
      </c>
      <c r="G775" s="309">
        <f t="shared" si="178"/>
        <v>0</v>
      </c>
      <c r="H775" s="351">
        <f>G775*1000/730</f>
        <v>0</v>
      </c>
      <c r="I775" s="303"/>
      <c r="J775" s="304"/>
      <c r="K775" s="304"/>
      <c r="L775" s="304"/>
      <c r="M775" s="304"/>
      <c r="N775" s="304"/>
      <c r="O775" s="304"/>
      <c r="P775" s="304"/>
      <c r="Q775" s="304"/>
      <c r="R775" s="304"/>
      <c r="S775" s="304"/>
      <c r="T775" s="304"/>
      <c r="U775" s="304"/>
      <c r="V775" s="304"/>
      <c r="W775" s="304"/>
      <c r="X775" s="304"/>
      <c r="Y775" s="304"/>
      <c r="Z775" s="305"/>
    </row>
    <row r="776" spans="1:26" ht="13.5" thickBot="1" x14ac:dyDescent="0.25">
      <c r="A776" s="303"/>
      <c r="B776" s="321"/>
      <c r="C776" s="304"/>
      <c r="D776" s="429"/>
      <c r="E776" s="430"/>
      <c r="F776" s="431"/>
      <c r="G776" s="431"/>
      <c r="H776" s="321"/>
      <c r="I776" s="391"/>
      <c r="J776" s="322"/>
      <c r="K776" s="322"/>
      <c r="L776" s="322"/>
      <c r="M776" s="304"/>
      <c r="N776" s="304"/>
      <c r="O776" s="304"/>
      <c r="P776" s="304"/>
      <c r="Q776" s="304"/>
      <c r="R776" s="304"/>
      <c r="S776" s="304"/>
      <c r="T776" s="304"/>
      <c r="U776" s="304"/>
      <c r="V776" s="304"/>
      <c r="W776" s="304"/>
      <c r="X776" s="304"/>
      <c r="Y776" s="304"/>
      <c r="Z776" s="305"/>
    </row>
    <row r="777" spans="1:26" ht="15.75" x14ac:dyDescent="0.3">
      <c r="A777" s="303"/>
      <c r="B777" s="321"/>
      <c r="C777" s="309"/>
      <c r="D777" s="438" t="s">
        <v>205</v>
      </c>
      <c r="E777" s="442"/>
      <c r="F777" s="310" t="s">
        <v>16</v>
      </c>
      <c r="G777" s="310" t="s">
        <v>17</v>
      </c>
      <c r="H777" s="311" t="s">
        <v>789</v>
      </c>
      <c r="I777" s="449" t="s">
        <v>197</v>
      </c>
      <c r="J777" s="450" t="s">
        <v>180</v>
      </c>
      <c r="K777" s="450" t="s">
        <v>194</v>
      </c>
      <c r="L777" s="450" t="s">
        <v>195</v>
      </c>
      <c r="M777" s="450" t="s">
        <v>196</v>
      </c>
      <c r="N777" s="448"/>
      <c r="O777" s="304"/>
      <c r="P777" s="304"/>
      <c r="Q777" s="304"/>
      <c r="R777" s="304"/>
      <c r="S777" s="304"/>
      <c r="T777" s="304"/>
      <c r="U777" s="304"/>
      <c r="V777" s="304"/>
      <c r="W777" s="304"/>
      <c r="X777" s="304"/>
      <c r="Y777" s="304"/>
      <c r="Z777" s="305"/>
    </row>
    <row r="778" spans="1:26" x14ac:dyDescent="0.2">
      <c r="A778" s="303"/>
      <c r="B778" s="321"/>
      <c r="C778" s="1179" t="s">
        <v>204</v>
      </c>
      <c r="D778" s="438" t="s">
        <v>14</v>
      </c>
      <c r="E778" s="451" t="s">
        <v>28</v>
      </c>
      <c r="F778" s="373">
        <v>2.2890000000000001</v>
      </c>
      <c r="G778" s="373">
        <v>5.1999999999999995E-4</v>
      </c>
      <c r="H778" s="453">
        <v>2.0000000000000001E-4</v>
      </c>
      <c r="I778" s="454">
        <v>14.5</v>
      </c>
      <c r="J778" s="455">
        <v>14</v>
      </c>
      <c r="K778" s="455">
        <v>132</v>
      </c>
      <c r="L778" s="455">
        <v>3.6999999999999998E-2</v>
      </c>
      <c r="M778" s="455">
        <v>0.04</v>
      </c>
      <c r="N778" s="452">
        <v>3180</v>
      </c>
      <c r="O778" s="304"/>
      <c r="P778" s="304"/>
      <c r="Q778" s="304"/>
      <c r="R778" s="304"/>
      <c r="S778" s="304"/>
      <c r="T778" s="304"/>
      <c r="U778" s="304"/>
      <c r="V778" s="304"/>
      <c r="W778" s="304"/>
      <c r="X778" s="304"/>
      <c r="Y778" s="304"/>
      <c r="Z778" s="305"/>
    </row>
    <row r="779" spans="1:26" x14ac:dyDescent="0.2">
      <c r="A779" s="303"/>
      <c r="B779" s="321"/>
      <c r="C779" s="1179"/>
      <c r="D779" s="438"/>
      <c r="E779" s="451" t="s">
        <v>67</v>
      </c>
      <c r="F779" s="486">
        <f>$H$769*F778/1000</f>
        <v>0</v>
      </c>
      <c r="G779" s="486">
        <f t="shared" ref="G779:H779" si="180">$H$769*G778/1000</f>
        <v>0</v>
      </c>
      <c r="H779" s="486">
        <f t="shared" si="180"/>
        <v>0</v>
      </c>
      <c r="I779" s="486">
        <f>$G$769*I778/1000/1000</f>
        <v>0</v>
      </c>
      <c r="J779" s="486">
        <f t="shared" ref="J779:N779" si="181">$G$769*J778/1000/1000</f>
        <v>0</v>
      </c>
      <c r="K779" s="486">
        <f t="shared" si="181"/>
        <v>0</v>
      </c>
      <c r="L779" s="486">
        <f t="shared" si="181"/>
        <v>0</v>
      </c>
      <c r="M779" s="486">
        <f t="shared" si="181"/>
        <v>0</v>
      </c>
      <c r="N779" s="486">
        <f t="shared" si="181"/>
        <v>0</v>
      </c>
      <c r="O779" s="304"/>
      <c r="P779" s="304"/>
      <c r="Q779" s="304"/>
      <c r="R779" s="304"/>
      <c r="S779" s="304"/>
      <c r="T779" s="304"/>
      <c r="U779" s="304"/>
      <c r="V779" s="304"/>
      <c r="W779" s="304"/>
      <c r="X779" s="304"/>
      <c r="Y779" s="304"/>
      <c r="Z779" s="305"/>
    </row>
    <row r="780" spans="1:26" x14ac:dyDescent="0.2">
      <c r="A780" s="303"/>
      <c r="B780" s="321"/>
      <c r="C780" s="1179"/>
      <c r="D780" s="438" t="s">
        <v>12</v>
      </c>
      <c r="E780" s="451" t="s">
        <v>29</v>
      </c>
      <c r="F780" s="373">
        <v>2.6629999999999998</v>
      </c>
      <c r="G780" s="373">
        <v>6.7999999999999999E-5</v>
      </c>
      <c r="H780" s="453">
        <v>2.1000000000000001E-4</v>
      </c>
      <c r="I780" s="454">
        <v>11</v>
      </c>
      <c r="J780" s="455">
        <v>1.1000000000000001</v>
      </c>
      <c r="K780" s="455">
        <v>4.7</v>
      </c>
      <c r="L780" s="455">
        <v>1.7</v>
      </c>
      <c r="M780" s="455">
        <v>8.0000000000000002E-3</v>
      </c>
      <c r="N780" s="452">
        <v>3140</v>
      </c>
      <c r="O780" s="304"/>
      <c r="P780" s="304"/>
      <c r="Q780" s="304"/>
      <c r="R780" s="304"/>
      <c r="S780" s="304"/>
      <c r="T780" s="304"/>
      <c r="U780" s="304"/>
      <c r="V780" s="304"/>
      <c r="W780" s="304"/>
      <c r="X780" s="304"/>
      <c r="Y780" s="304"/>
      <c r="Z780" s="305"/>
    </row>
    <row r="781" spans="1:26" x14ac:dyDescent="0.2">
      <c r="A781" s="303"/>
      <c r="B781" s="321"/>
      <c r="C781" s="1179"/>
      <c r="D781" s="438"/>
      <c r="E781" s="451" t="s">
        <v>67</v>
      </c>
      <c r="F781" s="486">
        <f>$H$770*F780/1000</f>
        <v>0</v>
      </c>
      <c r="G781" s="486">
        <f t="shared" ref="G781:H781" si="182">$H$770*G780/1000</f>
        <v>0</v>
      </c>
      <c r="H781" s="486">
        <f t="shared" si="182"/>
        <v>0</v>
      </c>
      <c r="I781" s="486">
        <f>$G$770*I780/1000/1000</f>
        <v>0</v>
      </c>
      <c r="J781" s="486">
        <f t="shared" ref="J781:N781" si="183">$G$770*J780/1000/1000</f>
        <v>0</v>
      </c>
      <c r="K781" s="486">
        <f t="shared" si="183"/>
        <v>0</v>
      </c>
      <c r="L781" s="486">
        <f t="shared" si="183"/>
        <v>0</v>
      </c>
      <c r="M781" s="486">
        <f t="shared" si="183"/>
        <v>0</v>
      </c>
      <c r="N781" s="486">
        <f t="shared" si="183"/>
        <v>0</v>
      </c>
      <c r="O781" s="304"/>
      <c r="P781" s="304"/>
      <c r="Q781" s="304"/>
      <c r="R781" s="304"/>
      <c r="S781" s="304"/>
      <c r="T781" s="304"/>
      <c r="U781" s="304"/>
      <c r="V781" s="304"/>
      <c r="W781" s="304"/>
      <c r="X781" s="304"/>
      <c r="Y781" s="304"/>
      <c r="Z781" s="305"/>
    </row>
    <row r="782" spans="1:26" x14ac:dyDescent="0.2">
      <c r="A782" s="303"/>
      <c r="B782" s="321"/>
      <c r="C782" s="1179"/>
      <c r="D782" s="438" t="s">
        <v>50</v>
      </c>
      <c r="E782" s="451" t="s">
        <v>193</v>
      </c>
      <c r="F782" s="373">
        <v>1.89E-3</v>
      </c>
      <c r="G782" s="373">
        <v>9.0000000000000002E-6</v>
      </c>
      <c r="H782" s="453">
        <v>5.9999999999999995E-8</v>
      </c>
      <c r="I782" s="462">
        <v>5.6000000000000001E-2</v>
      </c>
      <c r="J782" s="324">
        <v>1.4999999999999999E-2</v>
      </c>
      <c r="K782" s="324">
        <v>0.39500000000000002</v>
      </c>
      <c r="L782" s="324">
        <v>2E-3</v>
      </c>
      <c r="M782" s="463">
        <v>0</v>
      </c>
      <c r="N782" s="461">
        <v>148</v>
      </c>
      <c r="O782" s="304"/>
      <c r="P782" s="304"/>
      <c r="Q782" s="304"/>
      <c r="R782" s="304"/>
      <c r="S782" s="304"/>
      <c r="T782" s="304"/>
      <c r="U782" s="304"/>
      <c r="V782" s="304"/>
      <c r="W782" s="304"/>
      <c r="X782" s="304"/>
      <c r="Y782" s="304"/>
      <c r="Z782" s="305"/>
    </row>
    <row r="783" spans="1:26" x14ac:dyDescent="0.2">
      <c r="A783" s="303"/>
      <c r="B783" s="321"/>
      <c r="C783" s="1179"/>
      <c r="D783" s="438"/>
      <c r="E783" s="451" t="s">
        <v>67</v>
      </c>
      <c r="F783" s="457">
        <f>$H$771*F782/1000</f>
        <v>0</v>
      </c>
      <c r="G783" s="457">
        <f t="shared" ref="G783:H783" si="184">$H$771*G782/1000</f>
        <v>0</v>
      </c>
      <c r="H783" s="457">
        <f t="shared" si="184"/>
        <v>0</v>
      </c>
      <c r="I783" s="487">
        <f>I782*$E$771/1000/1000</f>
        <v>0</v>
      </c>
      <c r="J783" s="487">
        <f t="shared" ref="J783:N783" si="185">J782*$E$771/1000/1000</f>
        <v>0</v>
      </c>
      <c r="K783" s="487">
        <f t="shared" si="185"/>
        <v>0</v>
      </c>
      <c r="L783" s="487">
        <f t="shared" si="185"/>
        <v>0</v>
      </c>
      <c r="M783" s="487">
        <f t="shared" si="185"/>
        <v>0</v>
      </c>
      <c r="N783" s="487">
        <f t="shared" si="185"/>
        <v>0</v>
      </c>
      <c r="O783" s="304"/>
      <c r="P783" s="304"/>
      <c r="Q783" s="304"/>
      <c r="R783" s="304"/>
      <c r="S783" s="304"/>
      <c r="T783" s="304"/>
      <c r="U783" s="304"/>
      <c r="V783" s="304"/>
      <c r="W783" s="304"/>
      <c r="X783" s="304"/>
      <c r="Y783" s="304"/>
      <c r="Z783" s="305"/>
    </row>
    <row r="784" spans="1:26" x14ac:dyDescent="0.2">
      <c r="A784" s="303"/>
      <c r="B784" s="321"/>
      <c r="C784" s="1179" t="s">
        <v>696</v>
      </c>
      <c r="D784" s="438" t="s">
        <v>14</v>
      </c>
      <c r="E784" s="451" t="s">
        <v>28</v>
      </c>
      <c r="F784" s="373">
        <v>2.6629999999999998</v>
      </c>
      <c r="G784" s="373">
        <v>6.7999999999999999E-5</v>
      </c>
      <c r="H784" s="453">
        <v>2.1000000000000001E-4</v>
      </c>
      <c r="I784" s="454">
        <v>24</v>
      </c>
      <c r="J784" s="455">
        <v>14</v>
      </c>
      <c r="K784" s="455">
        <v>155</v>
      </c>
      <c r="L784" s="455">
        <v>0.03</v>
      </c>
      <c r="M784" s="455">
        <v>0.04</v>
      </c>
      <c r="N784" s="452">
        <v>3180</v>
      </c>
      <c r="O784" s="304"/>
      <c r="P784" s="304"/>
      <c r="Q784" s="304"/>
      <c r="R784" s="304"/>
      <c r="S784" s="304"/>
      <c r="T784" s="304"/>
      <c r="U784" s="304"/>
      <c r="V784" s="304"/>
      <c r="W784" s="304"/>
      <c r="X784" s="304"/>
      <c r="Y784" s="304"/>
      <c r="Z784" s="305"/>
    </row>
    <row r="785" spans="1:26" x14ac:dyDescent="0.2">
      <c r="A785" s="303"/>
      <c r="B785" s="321"/>
      <c r="C785" s="1179"/>
      <c r="D785" s="438"/>
      <c r="E785" s="451" t="s">
        <v>67</v>
      </c>
      <c r="F785" s="486">
        <f>$H$772*F784/1000</f>
        <v>0</v>
      </c>
      <c r="G785" s="486">
        <f t="shared" ref="G785:H785" si="186">$H$772*G784/1000</f>
        <v>0</v>
      </c>
      <c r="H785" s="486">
        <f t="shared" si="186"/>
        <v>0</v>
      </c>
      <c r="I785" s="486">
        <f>$G$772*I784/1000/1000</f>
        <v>0</v>
      </c>
      <c r="J785" s="486">
        <f t="shared" ref="J785:N785" si="187">$G$772*J784/1000/1000</f>
        <v>0</v>
      </c>
      <c r="K785" s="486">
        <f t="shared" si="187"/>
        <v>0</v>
      </c>
      <c r="L785" s="486">
        <f t="shared" si="187"/>
        <v>0</v>
      </c>
      <c r="M785" s="486">
        <f t="shared" si="187"/>
        <v>0</v>
      </c>
      <c r="N785" s="486">
        <f t="shared" si="187"/>
        <v>0</v>
      </c>
      <c r="O785" s="304"/>
      <c r="P785" s="304"/>
      <c r="Q785" s="304"/>
      <c r="R785" s="304"/>
      <c r="S785" s="304"/>
      <c r="T785" s="304"/>
      <c r="U785" s="304"/>
      <c r="V785" s="304"/>
      <c r="W785" s="304"/>
      <c r="X785" s="304"/>
      <c r="Y785" s="304"/>
      <c r="Z785" s="305"/>
    </row>
    <row r="786" spans="1:26" x14ac:dyDescent="0.2">
      <c r="A786" s="303"/>
      <c r="B786" s="321"/>
      <c r="C786" s="1179"/>
      <c r="D786" s="438" t="s">
        <v>12</v>
      </c>
      <c r="E786" s="451" t="s">
        <v>29</v>
      </c>
      <c r="F786" s="373">
        <v>2.6629999999999998</v>
      </c>
      <c r="G786" s="373">
        <v>6.7999999999999999E-5</v>
      </c>
      <c r="H786" s="453">
        <v>2.1000000000000001E-4</v>
      </c>
      <c r="I786" s="454">
        <v>15</v>
      </c>
      <c r="J786" s="455">
        <v>1.75</v>
      </c>
      <c r="K786" s="455">
        <v>11</v>
      </c>
      <c r="L786" s="455">
        <v>2.8</v>
      </c>
      <c r="M786" s="455">
        <v>8.0000000000000002E-3</v>
      </c>
      <c r="N786" s="452">
        <v>3140</v>
      </c>
      <c r="O786" s="304"/>
      <c r="P786" s="304"/>
      <c r="Q786" s="304"/>
      <c r="R786" s="304"/>
      <c r="S786" s="304"/>
      <c r="T786" s="304"/>
      <c r="U786" s="304"/>
      <c r="V786" s="304"/>
      <c r="W786" s="304"/>
      <c r="X786" s="304"/>
      <c r="Y786" s="304"/>
      <c r="Z786" s="305"/>
    </row>
    <row r="787" spans="1:26" x14ac:dyDescent="0.2">
      <c r="A787" s="303"/>
      <c r="B787" s="321"/>
      <c r="C787" s="1179"/>
      <c r="D787" s="438"/>
      <c r="E787" s="451" t="s">
        <v>67</v>
      </c>
      <c r="F787" s="486">
        <f>$H$773*F786/1000</f>
        <v>0</v>
      </c>
      <c r="G787" s="486">
        <f t="shared" ref="G787:H787" si="188">$H$773*G786/1000</f>
        <v>0</v>
      </c>
      <c r="H787" s="486">
        <f t="shared" si="188"/>
        <v>0</v>
      </c>
      <c r="I787" s="486">
        <f>$G$773*I786/1000/1000</f>
        <v>0</v>
      </c>
      <c r="J787" s="486">
        <f t="shared" ref="J787:N787" si="189">$G$773*J786/1000/1000</f>
        <v>0</v>
      </c>
      <c r="K787" s="486">
        <f t="shared" si="189"/>
        <v>0</v>
      </c>
      <c r="L787" s="486">
        <f t="shared" si="189"/>
        <v>0</v>
      </c>
      <c r="M787" s="486">
        <f t="shared" si="189"/>
        <v>0</v>
      </c>
      <c r="N787" s="486">
        <f t="shared" si="189"/>
        <v>0</v>
      </c>
      <c r="O787" s="304"/>
      <c r="P787" s="304"/>
      <c r="Q787" s="304"/>
      <c r="R787" s="304"/>
      <c r="S787" s="304"/>
      <c r="T787" s="304"/>
      <c r="U787" s="304"/>
      <c r="V787" s="304"/>
      <c r="W787" s="304"/>
      <c r="X787" s="304"/>
      <c r="Y787" s="304"/>
      <c r="Z787" s="305"/>
    </row>
    <row r="788" spans="1:26" x14ac:dyDescent="0.2">
      <c r="A788" s="303"/>
      <c r="B788" s="321"/>
      <c r="C788" s="1179"/>
      <c r="D788" s="438" t="s">
        <v>50</v>
      </c>
      <c r="E788" s="451" t="s">
        <v>193</v>
      </c>
      <c r="F788" s="373">
        <v>1.89E-3</v>
      </c>
      <c r="G788" s="373">
        <v>9.0000000000000002E-6</v>
      </c>
      <c r="H788" s="453">
        <v>5.9999999999999995E-8</v>
      </c>
      <c r="I788" s="462">
        <v>5.6000000000000001E-2</v>
      </c>
      <c r="J788" s="324">
        <v>1.4999999999999999E-2</v>
      </c>
      <c r="K788" s="324">
        <v>0.39500000000000002</v>
      </c>
      <c r="L788" s="324">
        <v>2E-3</v>
      </c>
      <c r="M788" s="463">
        <v>0</v>
      </c>
      <c r="N788" s="461">
        <v>148</v>
      </c>
      <c r="O788" s="304"/>
      <c r="P788" s="304"/>
      <c r="Q788" s="304"/>
      <c r="R788" s="304"/>
      <c r="S788" s="304"/>
      <c r="T788" s="304"/>
      <c r="U788" s="304"/>
      <c r="V788" s="304"/>
      <c r="W788" s="304"/>
      <c r="X788" s="304"/>
      <c r="Y788" s="304"/>
      <c r="Z788" s="305"/>
    </row>
    <row r="789" spans="1:26" x14ac:dyDescent="0.2">
      <c r="A789" s="303"/>
      <c r="B789" s="321"/>
      <c r="C789" s="1179"/>
      <c r="D789" s="438"/>
      <c r="E789" s="451" t="s">
        <v>67</v>
      </c>
      <c r="F789" s="457">
        <f>$H$774*F788/1000</f>
        <v>0</v>
      </c>
      <c r="G789" s="457">
        <f t="shared" ref="G789:H789" si="190">$H$774*G788/1000</f>
        <v>0</v>
      </c>
      <c r="H789" s="457">
        <f t="shared" si="190"/>
        <v>0</v>
      </c>
      <c r="I789" s="487">
        <f>I788*$E$774/1000/1000</f>
        <v>0</v>
      </c>
      <c r="J789" s="487">
        <f t="shared" ref="J789:N789" si="191">J788*$E$774/1000/1000</f>
        <v>0</v>
      </c>
      <c r="K789" s="487">
        <f t="shared" si="191"/>
        <v>0</v>
      </c>
      <c r="L789" s="487">
        <f t="shared" si="191"/>
        <v>0</v>
      </c>
      <c r="M789" s="487">
        <f t="shared" si="191"/>
        <v>0</v>
      </c>
      <c r="N789" s="487">
        <f t="shared" si="191"/>
        <v>0</v>
      </c>
      <c r="O789" s="304"/>
      <c r="P789" s="304"/>
      <c r="Q789" s="304"/>
      <c r="R789" s="304"/>
      <c r="S789" s="304"/>
      <c r="T789" s="304"/>
      <c r="U789" s="304"/>
      <c r="V789" s="304"/>
      <c r="W789" s="304"/>
      <c r="X789" s="304"/>
      <c r="Y789" s="304"/>
      <c r="Z789" s="305"/>
    </row>
    <row r="790" spans="1:26" x14ac:dyDescent="0.2">
      <c r="A790" s="303"/>
      <c r="B790" s="321"/>
      <c r="C790" s="1177" t="s">
        <v>834</v>
      </c>
      <c r="D790" s="438" t="s">
        <v>14</v>
      </c>
      <c r="E790" s="451" t="s">
        <v>839</v>
      </c>
      <c r="F790" s="455">
        <v>3180</v>
      </c>
      <c r="G790" s="469">
        <v>2.2999999999999998</v>
      </c>
      <c r="H790" s="455">
        <v>5.8999999999999997E-2</v>
      </c>
      <c r="I790" s="455">
        <v>9.5</v>
      </c>
      <c r="J790" s="455">
        <v>114</v>
      </c>
      <c r="K790" s="455">
        <v>490</v>
      </c>
      <c r="L790" s="455">
        <v>2.7</v>
      </c>
      <c r="M790" s="455">
        <v>0.04</v>
      </c>
      <c r="N790" s="500"/>
      <c r="O790" s="304"/>
      <c r="P790" s="304"/>
      <c r="Q790" s="304"/>
      <c r="R790" s="304"/>
      <c r="S790" s="304"/>
      <c r="T790" s="304"/>
      <c r="U790" s="304"/>
      <c r="V790" s="304"/>
      <c r="W790" s="304"/>
      <c r="X790" s="304"/>
      <c r="Y790" s="304"/>
      <c r="Z790" s="305"/>
    </row>
    <row r="791" spans="1:26" x14ac:dyDescent="0.2">
      <c r="A791" s="303"/>
      <c r="B791" s="321"/>
      <c r="C791" s="1178"/>
      <c r="D791" s="438"/>
      <c r="E791" s="451" t="s">
        <v>67</v>
      </c>
      <c r="F791" s="457">
        <f>$G$775*F790/1000/1000</f>
        <v>0</v>
      </c>
      <c r="G791" s="457">
        <f>$H$775*G790/1000/1000</f>
        <v>0</v>
      </c>
      <c r="H791" s="457">
        <f t="shared" ref="H791:N791" si="192">$G$775*H790/1000/1000</f>
        <v>0</v>
      </c>
      <c r="I791" s="457">
        <f t="shared" si="192"/>
        <v>0</v>
      </c>
      <c r="J791" s="457">
        <f t="shared" si="192"/>
        <v>0</v>
      </c>
      <c r="K791" s="457">
        <f t="shared" si="192"/>
        <v>0</v>
      </c>
      <c r="L791" s="457">
        <f t="shared" si="192"/>
        <v>0</v>
      </c>
      <c r="M791" s="457">
        <f t="shared" si="192"/>
        <v>0</v>
      </c>
      <c r="N791" s="457">
        <f t="shared" si="192"/>
        <v>0</v>
      </c>
      <c r="O791" s="304"/>
      <c r="P791" s="304"/>
      <c r="Q791" s="304"/>
      <c r="R791" s="304"/>
      <c r="S791" s="304"/>
      <c r="T791" s="304"/>
      <c r="U791" s="304"/>
      <c r="V791" s="304"/>
      <c r="W791" s="304"/>
      <c r="X791" s="304"/>
      <c r="Y791" s="304"/>
      <c r="Z791" s="305"/>
    </row>
    <row r="792" spans="1:26" x14ac:dyDescent="0.2">
      <c r="A792" s="303"/>
      <c r="B792" s="321"/>
      <c r="C792" s="309"/>
      <c r="D792" s="438"/>
      <c r="E792" s="471" t="s">
        <v>0</v>
      </c>
      <c r="F792" s="486">
        <f>F779+F781+F783+F785+F787+F789+F791</f>
        <v>0</v>
      </c>
      <c r="G792" s="486">
        <f t="shared" ref="G792:N792" si="193">G779+G781+G783+G785+G787+G789+G791</f>
        <v>0</v>
      </c>
      <c r="H792" s="486">
        <f t="shared" si="193"/>
        <v>0</v>
      </c>
      <c r="I792" s="486">
        <f t="shared" si="193"/>
        <v>0</v>
      </c>
      <c r="J792" s="486">
        <f t="shared" si="193"/>
        <v>0</v>
      </c>
      <c r="K792" s="486">
        <f t="shared" si="193"/>
        <v>0</v>
      </c>
      <c r="L792" s="486">
        <f t="shared" si="193"/>
        <v>0</v>
      </c>
      <c r="M792" s="486">
        <f t="shared" si="193"/>
        <v>0</v>
      </c>
      <c r="N792" s="486">
        <f t="shared" si="193"/>
        <v>0</v>
      </c>
      <c r="O792" s="304"/>
      <c r="P792" s="304"/>
      <c r="Q792" s="304"/>
      <c r="R792" s="304"/>
      <c r="S792" s="304"/>
      <c r="T792" s="304"/>
      <c r="U792" s="304"/>
      <c r="V792" s="304"/>
      <c r="W792" s="304"/>
      <c r="X792" s="304"/>
      <c r="Y792" s="304"/>
      <c r="Z792" s="305"/>
    </row>
    <row r="793" spans="1:26" x14ac:dyDescent="0.2">
      <c r="A793" s="303"/>
      <c r="B793" s="321"/>
      <c r="C793" s="472" t="s">
        <v>68</v>
      </c>
      <c r="D793" s="429"/>
      <c r="E793" s="430"/>
      <c r="F793" s="431"/>
      <c r="G793" s="431"/>
      <c r="H793" s="445"/>
      <c r="I793" s="303"/>
      <c r="J793" s="304"/>
      <c r="K793" s="304"/>
      <c r="L793" s="304"/>
      <c r="M793" s="304"/>
      <c r="N793" s="304"/>
      <c r="O793" s="304"/>
      <c r="P793" s="304"/>
      <c r="Q793" s="304"/>
      <c r="R793" s="304"/>
      <c r="S793" s="304"/>
      <c r="T793" s="304"/>
      <c r="U793" s="304"/>
      <c r="V793" s="304"/>
      <c r="W793" s="304"/>
      <c r="X793" s="304"/>
      <c r="Y793" s="304"/>
      <c r="Z793" s="305"/>
    </row>
    <row r="794" spans="1:26" x14ac:dyDescent="0.2">
      <c r="A794" s="303"/>
      <c r="B794" s="321"/>
      <c r="C794" s="304"/>
      <c r="D794" s="304"/>
      <c r="E794" s="304"/>
      <c r="F794" s="304"/>
      <c r="G794" s="304"/>
      <c r="H794" s="304"/>
      <c r="I794" s="304"/>
      <c r="J794" s="304"/>
      <c r="K794" s="304"/>
      <c r="L794" s="304"/>
      <c r="M794" s="304"/>
      <c r="N794" s="304"/>
      <c r="O794" s="304"/>
      <c r="P794" s="304"/>
      <c r="Q794" s="304"/>
      <c r="R794" s="304"/>
      <c r="S794" s="304"/>
      <c r="T794" s="304"/>
      <c r="U794" s="304"/>
      <c r="V794" s="304"/>
      <c r="W794" s="304"/>
      <c r="X794" s="304"/>
      <c r="Y794" s="304"/>
      <c r="Z794" s="305"/>
    </row>
    <row r="795" spans="1:26" x14ac:dyDescent="0.2">
      <c r="A795" s="303"/>
      <c r="B795" s="321"/>
      <c r="C795" s="304"/>
      <c r="D795" s="304"/>
      <c r="E795" s="304"/>
      <c r="F795" s="304"/>
      <c r="G795" s="304"/>
      <c r="H795" s="304"/>
      <c r="I795" s="304"/>
      <c r="J795" s="304"/>
      <c r="K795" s="304"/>
      <c r="L795" s="304"/>
      <c r="M795" s="304"/>
      <c r="N795" s="304"/>
      <c r="O795" s="304"/>
      <c r="P795" s="304"/>
      <c r="Q795" s="304"/>
      <c r="R795" s="304"/>
      <c r="S795" s="304"/>
      <c r="T795" s="304"/>
      <c r="U795" s="304"/>
      <c r="V795" s="304"/>
      <c r="W795" s="304"/>
      <c r="X795" s="304"/>
      <c r="Y795" s="304"/>
      <c r="Z795" s="305"/>
    </row>
    <row r="796" spans="1:26" x14ac:dyDescent="0.2">
      <c r="A796" s="303"/>
      <c r="B796" s="321" t="s">
        <v>628</v>
      </c>
      <c r="C796" s="304"/>
      <c r="D796" s="304"/>
      <c r="E796" s="304"/>
      <c r="F796" s="304"/>
      <c r="G796" s="304"/>
      <c r="H796" s="304"/>
      <c r="I796" s="304"/>
      <c r="J796" s="304"/>
      <c r="K796" s="304"/>
      <c r="L796" s="304"/>
      <c r="M796" s="304"/>
      <c r="N796" s="304"/>
      <c r="O796" s="304"/>
      <c r="P796" s="304"/>
      <c r="Q796" s="304"/>
      <c r="R796" s="304"/>
      <c r="S796" s="304"/>
      <c r="T796" s="304"/>
      <c r="U796" s="304"/>
      <c r="V796" s="304"/>
      <c r="W796" s="304"/>
      <c r="X796" s="304"/>
      <c r="Y796" s="304"/>
      <c r="Z796" s="305"/>
    </row>
    <row r="797" spans="1:26" x14ac:dyDescent="0.2">
      <c r="A797" s="303"/>
      <c r="B797" s="321"/>
      <c r="C797" s="446" t="s">
        <v>810</v>
      </c>
      <c r="D797" s="429"/>
      <c r="E797" s="430"/>
      <c r="F797" s="1189" t="s">
        <v>224</v>
      </c>
      <c r="G797" s="1189"/>
      <c r="H797" s="1189"/>
      <c r="I797" s="499"/>
      <c r="J797" s="499"/>
      <c r="K797" s="304"/>
      <c r="L797" s="304"/>
      <c r="M797" s="304"/>
      <c r="N797" s="304"/>
      <c r="O797" s="304"/>
      <c r="P797" s="304"/>
      <c r="Q797" s="304"/>
      <c r="R797" s="304"/>
      <c r="S797" s="304"/>
      <c r="T797" s="304"/>
      <c r="U797" s="304"/>
      <c r="V797" s="304"/>
      <c r="W797" s="304"/>
      <c r="X797" s="304"/>
      <c r="Y797" s="304"/>
      <c r="Z797" s="305"/>
    </row>
    <row r="798" spans="1:26" ht="25.5" x14ac:dyDescent="0.2">
      <c r="A798" s="303"/>
      <c r="B798" s="321"/>
      <c r="C798" s="309"/>
      <c r="D798" s="438" t="s">
        <v>205</v>
      </c>
      <c r="E798" s="443" t="s">
        <v>208</v>
      </c>
      <c r="F798" s="312" t="s">
        <v>221</v>
      </c>
      <c r="G798" s="447" t="s">
        <v>222</v>
      </c>
      <c r="H798" s="447" t="s">
        <v>223</v>
      </c>
      <c r="I798" s="322"/>
      <c r="J798" s="304"/>
      <c r="K798" s="304"/>
      <c r="L798" s="304"/>
      <c r="M798" s="304"/>
      <c r="N798" s="304"/>
      <c r="O798" s="304"/>
      <c r="P798" s="304"/>
      <c r="Q798" s="304"/>
      <c r="R798" s="304"/>
      <c r="S798" s="304"/>
      <c r="T798" s="304"/>
      <c r="U798" s="304"/>
      <c r="V798" s="304"/>
      <c r="W798" s="304"/>
      <c r="X798" s="304"/>
      <c r="Y798" s="304"/>
      <c r="Z798" s="305"/>
    </row>
    <row r="799" spans="1:26" x14ac:dyDescent="0.2">
      <c r="A799" s="303"/>
      <c r="B799" s="321"/>
      <c r="C799" s="1179" t="s">
        <v>204</v>
      </c>
      <c r="D799" s="438" t="s">
        <v>14</v>
      </c>
      <c r="E799" s="440">
        <f>Calc1!$F$428*Calc1!E441</f>
        <v>0</v>
      </c>
      <c r="F799" s="309">
        <v>70</v>
      </c>
      <c r="G799" s="309">
        <f t="shared" ref="G799:G805" si="194">F799*E799/1000</f>
        <v>0</v>
      </c>
      <c r="H799" s="351">
        <f>G799*1000/730</f>
        <v>0</v>
      </c>
      <c r="I799" s="304"/>
      <c r="J799" s="304"/>
      <c r="K799" s="304"/>
      <c r="L799" s="304"/>
      <c r="M799" s="304"/>
      <c r="N799" s="304"/>
      <c r="O799" s="304"/>
      <c r="P799" s="304"/>
      <c r="Q799" s="304"/>
      <c r="R799" s="304"/>
      <c r="S799" s="304"/>
      <c r="T799" s="304"/>
      <c r="U799" s="304"/>
      <c r="V799" s="304"/>
      <c r="W799" s="304"/>
      <c r="X799" s="304"/>
      <c r="Y799" s="304"/>
      <c r="Z799" s="305"/>
    </row>
    <row r="800" spans="1:26" x14ac:dyDescent="0.2">
      <c r="A800" s="303"/>
      <c r="B800" s="321"/>
      <c r="C800" s="1179"/>
      <c r="D800" s="438" t="s">
        <v>12</v>
      </c>
      <c r="E800" s="440">
        <f>Calc1!$F$428*Calc1!E442</f>
        <v>0</v>
      </c>
      <c r="F800" s="309">
        <v>60</v>
      </c>
      <c r="G800" s="309">
        <f t="shared" si="194"/>
        <v>0</v>
      </c>
      <c r="H800" s="351">
        <f t="shared" ref="H800" si="195">G800*1000/840</f>
        <v>0</v>
      </c>
      <c r="I800" s="304"/>
      <c r="J800" s="304"/>
      <c r="K800" s="304"/>
      <c r="L800" s="304"/>
      <c r="M800" s="304"/>
      <c r="N800" s="304"/>
      <c r="O800" s="304"/>
      <c r="P800" s="304"/>
      <c r="Q800" s="304"/>
      <c r="R800" s="304"/>
      <c r="S800" s="304"/>
      <c r="T800" s="304"/>
      <c r="U800" s="304"/>
      <c r="V800" s="304"/>
      <c r="W800" s="304"/>
      <c r="X800" s="304"/>
      <c r="Y800" s="304"/>
      <c r="Z800" s="305"/>
    </row>
    <row r="801" spans="1:26" x14ac:dyDescent="0.2">
      <c r="A801" s="303"/>
      <c r="B801" s="321"/>
      <c r="C801" s="1179"/>
      <c r="D801" s="438" t="s">
        <v>50</v>
      </c>
      <c r="E801" s="440">
        <f>Calc1!$F$428*Calc1!E443</f>
        <v>0</v>
      </c>
      <c r="F801" s="309">
        <v>50</v>
      </c>
      <c r="G801" s="309">
        <f t="shared" si="194"/>
        <v>0</v>
      </c>
      <c r="H801" s="351">
        <f>G801*1000/0.714</f>
        <v>0</v>
      </c>
      <c r="I801" s="304"/>
      <c r="J801" s="304"/>
      <c r="K801" s="304"/>
      <c r="L801" s="304"/>
      <c r="M801" s="304"/>
      <c r="N801" s="304"/>
      <c r="O801" s="304"/>
      <c r="P801" s="304"/>
      <c r="Q801" s="304"/>
      <c r="R801" s="304"/>
      <c r="S801" s="304"/>
      <c r="T801" s="304"/>
      <c r="U801" s="304"/>
      <c r="V801" s="304"/>
      <c r="W801" s="304"/>
      <c r="X801" s="304"/>
      <c r="Y801" s="304"/>
      <c r="Z801" s="305"/>
    </row>
    <row r="802" spans="1:26" x14ac:dyDescent="0.2">
      <c r="A802" s="303"/>
      <c r="B802" s="321"/>
      <c r="C802" s="1180" t="s">
        <v>802</v>
      </c>
      <c r="D802" s="438" t="s">
        <v>14</v>
      </c>
      <c r="E802" s="440">
        <f>Calc1!$F$429*Calc1!F441</f>
        <v>0</v>
      </c>
      <c r="F802" s="309">
        <v>100</v>
      </c>
      <c r="G802" s="309">
        <f t="shared" si="194"/>
        <v>0</v>
      </c>
      <c r="H802" s="351">
        <f>G802*1000/730</f>
        <v>0</v>
      </c>
      <c r="I802" s="304"/>
      <c r="J802" s="304"/>
      <c r="K802" s="304"/>
      <c r="L802" s="304"/>
      <c r="M802" s="304"/>
      <c r="N802" s="304"/>
      <c r="O802" s="304"/>
      <c r="P802" s="304"/>
      <c r="Q802" s="304"/>
      <c r="R802" s="304"/>
      <c r="S802" s="304"/>
      <c r="T802" s="304"/>
      <c r="U802" s="304"/>
      <c r="V802" s="304"/>
      <c r="W802" s="304"/>
      <c r="X802" s="304"/>
      <c r="Y802" s="304"/>
      <c r="Z802" s="305"/>
    </row>
    <row r="803" spans="1:26" x14ac:dyDescent="0.2">
      <c r="A803" s="303"/>
      <c r="B803" s="321"/>
      <c r="C803" s="1181"/>
      <c r="D803" s="438" t="s">
        <v>12</v>
      </c>
      <c r="E803" s="440">
        <f>Calc1!$F$429*Calc1!F442</f>
        <v>0</v>
      </c>
      <c r="F803" s="309">
        <v>80</v>
      </c>
      <c r="G803" s="309">
        <f t="shared" si="194"/>
        <v>0</v>
      </c>
      <c r="H803" s="351">
        <f>G803*1000/840</f>
        <v>0</v>
      </c>
      <c r="I803" s="304"/>
      <c r="J803" s="304"/>
      <c r="K803" s="304"/>
      <c r="L803" s="304"/>
      <c r="M803" s="304"/>
      <c r="N803" s="304"/>
      <c r="O803" s="304"/>
      <c r="P803" s="304"/>
      <c r="Q803" s="304"/>
      <c r="R803" s="304"/>
      <c r="S803" s="304"/>
      <c r="T803" s="304"/>
      <c r="U803" s="304"/>
      <c r="V803" s="304"/>
      <c r="W803" s="304"/>
      <c r="X803" s="304"/>
      <c r="Y803" s="304"/>
      <c r="Z803" s="305"/>
    </row>
    <row r="804" spans="1:26" x14ac:dyDescent="0.2">
      <c r="A804" s="303"/>
      <c r="B804" s="321"/>
      <c r="C804" s="1182"/>
      <c r="D804" s="438" t="s">
        <v>50</v>
      </c>
      <c r="E804" s="440">
        <f>Calc1!$F$429*Calc1!F443</f>
        <v>0</v>
      </c>
      <c r="F804" s="309">
        <v>50</v>
      </c>
      <c r="G804" s="309">
        <f t="shared" si="194"/>
        <v>0</v>
      </c>
      <c r="H804" s="351">
        <f>G804*1000/0.714</f>
        <v>0</v>
      </c>
      <c r="I804" s="304"/>
      <c r="J804" s="304"/>
      <c r="K804" s="304"/>
      <c r="L804" s="304"/>
      <c r="M804" s="304"/>
      <c r="N804" s="304"/>
      <c r="O804" s="304"/>
      <c r="P804" s="304"/>
      <c r="Q804" s="304"/>
      <c r="R804" s="304"/>
      <c r="S804" s="304"/>
      <c r="T804" s="304"/>
      <c r="U804" s="304"/>
      <c r="V804" s="304"/>
      <c r="W804" s="304"/>
      <c r="X804" s="304"/>
      <c r="Y804" s="304"/>
      <c r="Z804" s="305"/>
    </row>
    <row r="805" spans="1:26" x14ac:dyDescent="0.2">
      <c r="A805" s="303"/>
      <c r="B805" s="321"/>
      <c r="C805" s="309" t="s">
        <v>834</v>
      </c>
      <c r="D805" s="438" t="s">
        <v>14</v>
      </c>
      <c r="E805" s="439">
        <f>Calc1!F430</f>
        <v>0</v>
      </c>
      <c r="F805" s="443">
        <v>35</v>
      </c>
      <c r="G805" s="309">
        <f t="shared" si="194"/>
        <v>0</v>
      </c>
      <c r="H805" s="351">
        <f>G805*1000/730</f>
        <v>0</v>
      </c>
      <c r="I805" s="303"/>
      <c r="J805" s="304"/>
      <c r="K805" s="304"/>
      <c r="L805" s="304"/>
      <c r="M805" s="304"/>
      <c r="N805" s="304"/>
      <c r="O805" s="304"/>
      <c r="P805" s="304"/>
      <c r="Q805" s="304"/>
      <c r="R805" s="304"/>
      <c r="S805" s="304"/>
      <c r="T805" s="304"/>
      <c r="U805" s="304"/>
      <c r="V805" s="304"/>
      <c r="W805" s="304"/>
      <c r="X805" s="304"/>
      <c r="Y805" s="304"/>
      <c r="Z805" s="305"/>
    </row>
    <row r="806" spans="1:26" ht="13.5" thickBot="1" x14ac:dyDescent="0.25">
      <c r="A806" s="303"/>
      <c r="B806" s="321"/>
      <c r="C806" s="304"/>
      <c r="D806" s="429"/>
      <c r="E806" s="430"/>
      <c r="F806" s="431"/>
      <c r="G806" s="431"/>
      <c r="H806" s="321"/>
      <c r="I806" s="391"/>
      <c r="J806" s="322"/>
      <c r="K806" s="322"/>
      <c r="L806" s="322"/>
      <c r="M806" s="304"/>
      <c r="N806" s="304"/>
      <c r="O806" s="304"/>
      <c r="P806" s="304"/>
      <c r="Q806" s="304"/>
      <c r="R806" s="304"/>
      <c r="S806" s="304"/>
      <c r="T806" s="304"/>
      <c r="U806" s="304"/>
      <c r="V806" s="304"/>
      <c r="W806" s="304"/>
      <c r="X806" s="304"/>
      <c r="Y806" s="304"/>
      <c r="Z806" s="305"/>
    </row>
    <row r="807" spans="1:26" ht="15.75" x14ac:dyDescent="0.3">
      <c r="A807" s="303"/>
      <c r="B807" s="321"/>
      <c r="C807" s="309"/>
      <c r="D807" s="438" t="s">
        <v>205</v>
      </c>
      <c r="E807" s="442"/>
      <c r="F807" s="310" t="s">
        <v>16</v>
      </c>
      <c r="G807" s="310" t="s">
        <v>17</v>
      </c>
      <c r="H807" s="311" t="s">
        <v>789</v>
      </c>
      <c r="I807" s="449" t="s">
        <v>197</v>
      </c>
      <c r="J807" s="450" t="s">
        <v>180</v>
      </c>
      <c r="K807" s="450" t="s">
        <v>194</v>
      </c>
      <c r="L807" s="450" t="s">
        <v>195</v>
      </c>
      <c r="M807" s="450" t="s">
        <v>196</v>
      </c>
      <c r="N807" s="448"/>
      <c r="O807" s="304"/>
      <c r="P807" s="304"/>
      <c r="Q807" s="304"/>
      <c r="R807" s="304"/>
      <c r="S807" s="304"/>
      <c r="T807" s="304"/>
      <c r="U807" s="304"/>
      <c r="V807" s="304"/>
      <c r="W807" s="304"/>
      <c r="X807" s="304"/>
      <c r="Y807" s="304"/>
      <c r="Z807" s="305"/>
    </row>
    <row r="808" spans="1:26" x14ac:dyDescent="0.2">
      <c r="A808" s="303"/>
      <c r="B808" s="321"/>
      <c r="C808" s="1179" t="s">
        <v>204</v>
      </c>
      <c r="D808" s="438" t="s">
        <v>14</v>
      </c>
      <c r="E808" s="451" t="s">
        <v>28</v>
      </c>
      <c r="F808" s="373">
        <v>2.2890000000000001</v>
      </c>
      <c r="G808" s="373">
        <v>5.1999999999999995E-4</v>
      </c>
      <c r="H808" s="453">
        <v>2.0000000000000001E-4</v>
      </c>
      <c r="I808" s="454">
        <v>14.5</v>
      </c>
      <c r="J808" s="455">
        <v>14</v>
      </c>
      <c r="K808" s="455">
        <v>132</v>
      </c>
      <c r="L808" s="455">
        <v>3.6999999999999998E-2</v>
      </c>
      <c r="M808" s="455">
        <v>0.04</v>
      </c>
      <c r="N808" s="452">
        <v>3180</v>
      </c>
      <c r="O808" s="304"/>
      <c r="P808" s="304"/>
      <c r="Q808" s="304"/>
      <c r="R808" s="304"/>
      <c r="S808" s="304"/>
      <c r="T808" s="304"/>
      <c r="U808" s="304"/>
      <c r="V808" s="304"/>
      <c r="W808" s="304"/>
      <c r="X808" s="304"/>
      <c r="Y808" s="304"/>
      <c r="Z808" s="305"/>
    </row>
    <row r="809" spans="1:26" x14ac:dyDescent="0.2">
      <c r="A809" s="303"/>
      <c r="B809" s="321"/>
      <c r="C809" s="1179"/>
      <c r="D809" s="438"/>
      <c r="E809" s="451" t="s">
        <v>67</v>
      </c>
      <c r="F809" s="486">
        <f>$H$799*F808/1000</f>
        <v>0</v>
      </c>
      <c r="G809" s="486">
        <f t="shared" ref="G809:H809" si="196">$H$799*G808/1000</f>
        <v>0</v>
      </c>
      <c r="H809" s="486">
        <f t="shared" si="196"/>
        <v>0</v>
      </c>
      <c r="I809" s="486">
        <f>$G$799*I808/1000/1000</f>
        <v>0</v>
      </c>
      <c r="J809" s="486">
        <f t="shared" ref="J809:N809" si="197">$G$799*J808/1000/1000</f>
        <v>0</v>
      </c>
      <c r="K809" s="486">
        <f t="shared" si="197"/>
        <v>0</v>
      </c>
      <c r="L809" s="486">
        <f t="shared" si="197"/>
        <v>0</v>
      </c>
      <c r="M809" s="486">
        <f t="shared" si="197"/>
        <v>0</v>
      </c>
      <c r="N809" s="486">
        <f t="shared" si="197"/>
        <v>0</v>
      </c>
      <c r="O809" s="304"/>
      <c r="P809" s="304"/>
      <c r="Q809" s="304"/>
      <c r="R809" s="304"/>
      <c r="S809" s="304"/>
      <c r="T809" s="304"/>
      <c r="U809" s="304"/>
      <c r="V809" s="304"/>
      <c r="W809" s="304"/>
      <c r="X809" s="304"/>
      <c r="Y809" s="304"/>
      <c r="Z809" s="305"/>
    </row>
    <row r="810" spans="1:26" x14ac:dyDescent="0.2">
      <c r="A810" s="303"/>
      <c r="B810" s="321"/>
      <c r="C810" s="1179"/>
      <c r="D810" s="438" t="s">
        <v>12</v>
      </c>
      <c r="E810" s="451" t="s">
        <v>29</v>
      </c>
      <c r="F810" s="373">
        <v>2.6629999999999998</v>
      </c>
      <c r="G810" s="373">
        <v>6.7999999999999999E-5</v>
      </c>
      <c r="H810" s="453">
        <v>2.1000000000000001E-4</v>
      </c>
      <c r="I810" s="454">
        <v>11</v>
      </c>
      <c r="J810" s="455">
        <v>1.1000000000000001</v>
      </c>
      <c r="K810" s="455">
        <v>4.7</v>
      </c>
      <c r="L810" s="455">
        <v>1.7</v>
      </c>
      <c r="M810" s="455">
        <v>8.0000000000000002E-3</v>
      </c>
      <c r="N810" s="452">
        <v>3140</v>
      </c>
      <c r="O810" s="304"/>
      <c r="P810" s="304"/>
      <c r="Q810" s="304"/>
      <c r="R810" s="304"/>
      <c r="S810" s="304"/>
      <c r="T810" s="304"/>
      <c r="U810" s="304"/>
      <c r="V810" s="304"/>
      <c r="W810" s="304"/>
      <c r="X810" s="304"/>
      <c r="Y810" s="304"/>
      <c r="Z810" s="305"/>
    </row>
    <row r="811" spans="1:26" x14ac:dyDescent="0.2">
      <c r="A811" s="303"/>
      <c r="B811" s="321"/>
      <c r="C811" s="1179"/>
      <c r="D811" s="438"/>
      <c r="E811" s="451" t="s">
        <v>67</v>
      </c>
      <c r="F811" s="486">
        <f>$H$800*F810/1000</f>
        <v>0</v>
      </c>
      <c r="G811" s="486">
        <f t="shared" ref="G811:H811" si="198">$H$800*G810/1000</f>
        <v>0</v>
      </c>
      <c r="H811" s="486">
        <f t="shared" si="198"/>
        <v>0</v>
      </c>
      <c r="I811" s="486">
        <f>$G$800*I810/1000/1000</f>
        <v>0</v>
      </c>
      <c r="J811" s="486">
        <f t="shared" ref="J811:N811" si="199">$G$800*J810/1000/1000</f>
        <v>0</v>
      </c>
      <c r="K811" s="486">
        <f t="shared" si="199"/>
        <v>0</v>
      </c>
      <c r="L811" s="486">
        <f t="shared" si="199"/>
        <v>0</v>
      </c>
      <c r="M811" s="486">
        <f t="shared" si="199"/>
        <v>0</v>
      </c>
      <c r="N811" s="486">
        <f t="shared" si="199"/>
        <v>0</v>
      </c>
      <c r="O811" s="304"/>
      <c r="P811" s="304"/>
      <c r="Q811" s="304"/>
      <c r="R811" s="304"/>
      <c r="S811" s="304"/>
      <c r="T811" s="304"/>
      <c r="U811" s="304"/>
      <c r="V811" s="304"/>
      <c r="W811" s="304"/>
      <c r="X811" s="304"/>
      <c r="Y811" s="304"/>
      <c r="Z811" s="305"/>
    </row>
    <row r="812" spans="1:26" x14ac:dyDescent="0.2">
      <c r="A812" s="303"/>
      <c r="B812" s="321"/>
      <c r="C812" s="1179"/>
      <c r="D812" s="438" t="s">
        <v>50</v>
      </c>
      <c r="E812" s="451" t="s">
        <v>193</v>
      </c>
      <c r="F812" s="373">
        <v>1.89E-3</v>
      </c>
      <c r="G812" s="373">
        <v>9.0000000000000002E-6</v>
      </c>
      <c r="H812" s="453">
        <v>5.9999999999999995E-8</v>
      </c>
      <c r="I812" s="462">
        <v>5.6000000000000001E-2</v>
      </c>
      <c r="J812" s="324">
        <v>1.4999999999999999E-2</v>
      </c>
      <c r="K812" s="324">
        <v>0.39500000000000002</v>
      </c>
      <c r="L812" s="324">
        <v>2E-3</v>
      </c>
      <c r="M812" s="463">
        <v>0</v>
      </c>
      <c r="N812" s="461">
        <v>148</v>
      </c>
      <c r="O812" s="304"/>
      <c r="P812" s="304"/>
      <c r="Q812" s="304"/>
      <c r="R812" s="304"/>
      <c r="S812" s="304"/>
      <c r="T812" s="304"/>
      <c r="U812" s="304"/>
      <c r="V812" s="304"/>
      <c r="W812" s="304"/>
      <c r="X812" s="304"/>
      <c r="Y812" s="304"/>
      <c r="Z812" s="305"/>
    </row>
    <row r="813" spans="1:26" x14ac:dyDescent="0.2">
      <c r="A813" s="303"/>
      <c r="B813" s="321"/>
      <c r="C813" s="1179"/>
      <c r="D813" s="438"/>
      <c r="E813" s="451" t="s">
        <v>67</v>
      </c>
      <c r="F813" s="457">
        <f>$H$801*F812/1000</f>
        <v>0</v>
      </c>
      <c r="G813" s="457">
        <f t="shared" ref="G813:H813" si="200">$H$801*G812/1000</f>
        <v>0</v>
      </c>
      <c r="H813" s="457">
        <f t="shared" si="200"/>
        <v>0</v>
      </c>
      <c r="I813" s="487">
        <f>I812*$E$801/1000/1000</f>
        <v>0</v>
      </c>
      <c r="J813" s="487">
        <f t="shared" ref="J813:N813" si="201">J812*$E$801/1000/1000</f>
        <v>0</v>
      </c>
      <c r="K813" s="487">
        <f t="shared" si="201"/>
        <v>0</v>
      </c>
      <c r="L813" s="487">
        <f t="shared" si="201"/>
        <v>0</v>
      </c>
      <c r="M813" s="487">
        <f t="shared" si="201"/>
        <v>0</v>
      </c>
      <c r="N813" s="487">
        <f t="shared" si="201"/>
        <v>0</v>
      </c>
      <c r="O813" s="304"/>
      <c r="P813" s="304"/>
      <c r="Q813" s="304"/>
      <c r="R813" s="304"/>
      <c r="S813" s="304"/>
      <c r="T813" s="304"/>
      <c r="U813" s="304"/>
      <c r="V813" s="304"/>
      <c r="W813" s="304"/>
      <c r="X813" s="304"/>
      <c r="Y813" s="304"/>
      <c r="Z813" s="305"/>
    </row>
    <row r="814" spans="1:26" x14ac:dyDescent="0.2">
      <c r="A814" s="303"/>
      <c r="B814" s="321"/>
      <c r="C814" s="1180" t="s">
        <v>802</v>
      </c>
      <c r="D814" s="438" t="s">
        <v>14</v>
      </c>
      <c r="E814" s="451" t="s">
        <v>28</v>
      </c>
      <c r="F814" s="373">
        <v>2.6629999999999998</v>
      </c>
      <c r="G814" s="373">
        <v>6.7999999999999999E-5</v>
      </c>
      <c r="H814" s="453">
        <v>2.1000000000000001E-4</v>
      </c>
      <c r="I814" s="454">
        <v>24</v>
      </c>
      <c r="J814" s="455">
        <v>14</v>
      </c>
      <c r="K814" s="455">
        <v>155</v>
      </c>
      <c r="L814" s="455">
        <v>0.03</v>
      </c>
      <c r="M814" s="455">
        <v>0.04</v>
      </c>
      <c r="N814" s="452">
        <v>3180</v>
      </c>
      <c r="O814" s="304"/>
      <c r="P814" s="304"/>
      <c r="Q814" s="304"/>
      <c r="R814" s="304"/>
      <c r="S814" s="304"/>
      <c r="T814" s="304"/>
      <c r="U814" s="304"/>
      <c r="V814" s="304"/>
      <c r="W814" s="304"/>
      <c r="X814" s="304"/>
      <c r="Y814" s="304"/>
      <c r="Z814" s="305"/>
    </row>
    <row r="815" spans="1:26" x14ac:dyDescent="0.2">
      <c r="A815" s="303"/>
      <c r="B815" s="321"/>
      <c r="C815" s="1181"/>
      <c r="D815" s="438"/>
      <c r="E815" s="451" t="s">
        <v>67</v>
      </c>
      <c r="F815" s="486">
        <f>$H$802*F814/1000</f>
        <v>0</v>
      </c>
      <c r="G815" s="486">
        <f t="shared" ref="G815:H815" si="202">$H$802*G814/1000</f>
        <v>0</v>
      </c>
      <c r="H815" s="486">
        <f t="shared" si="202"/>
        <v>0</v>
      </c>
      <c r="I815" s="486">
        <f>$G$802*I814/1000/1000</f>
        <v>0</v>
      </c>
      <c r="J815" s="486">
        <f t="shared" ref="J815:N815" si="203">$G$802*J814/1000/1000</f>
        <v>0</v>
      </c>
      <c r="K815" s="486">
        <f t="shared" si="203"/>
        <v>0</v>
      </c>
      <c r="L815" s="486">
        <f t="shared" si="203"/>
        <v>0</v>
      </c>
      <c r="M815" s="486">
        <f t="shared" si="203"/>
        <v>0</v>
      </c>
      <c r="N815" s="486">
        <f t="shared" si="203"/>
        <v>0</v>
      </c>
      <c r="O815" s="304"/>
      <c r="P815" s="304"/>
      <c r="Q815" s="304"/>
      <c r="R815" s="304"/>
      <c r="S815" s="304"/>
      <c r="T815" s="304"/>
      <c r="U815" s="304"/>
      <c r="V815" s="304"/>
      <c r="W815" s="304"/>
      <c r="X815" s="304"/>
      <c r="Y815" s="304"/>
      <c r="Z815" s="305"/>
    </row>
    <row r="816" spans="1:26" x14ac:dyDescent="0.2">
      <c r="A816" s="303"/>
      <c r="B816" s="321"/>
      <c r="C816" s="1181"/>
      <c r="D816" s="438" t="s">
        <v>12</v>
      </c>
      <c r="E816" s="451" t="s">
        <v>29</v>
      </c>
      <c r="F816" s="373">
        <v>2.6629999999999998</v>
      </c>
      <c r="G816" s="373">
        <v>6.7999999999999999E-5</v>
      </c>
      <c r="H816" s="453">
        <v>2.1000000000000001E-4</v>
      </c>
      <c r="I816" s="454">
        <v>15</v>
      </c>
      <c r="J816" s="455">
        <v>1.75</v>
      </c>
      <c r="K816" s="455">
        <v>11</v>
      </c>
      <c r="L816" s="455">
        <v>2.8</v>
      </c>
      <c r="M816" s="455">
        <v>8.0000000000000002E-3</v>
      </c>
      <c r="N816" s="452">
        <v>3140</v>
      </c>
      <c r="O816" s="304"/>
      <c r="P816" s="304"/>
      <c r="Q816" s="304"/>
      <c r="R816" s="304"/>
      <c r="S816" s="304"/>
      <c r="T816" s="304"/>
      <c r="U816" s="304"/>
      <c r="V816" s="304"/>
      <c r="W816" s="304"/>
      <c r="X816" s="304"/>
      <c r="Y816" s="304"/>
      <c r="Z816" s="305"/>
    </row>
    <row r="817" spans="1:26" x14ac:dyDescent="0.2">
      <c r="A817" s="303"/>
      <c r="B817" s="321"/>
      <c r="C817" s="1181"/>
      <c r="D817" s="438"/>
      <c r="E817" s="451" t="s">
        <v>67</v>
      </c>
      <c r="F817" s="486">
        <f>$H$803*F816/1000</f>
        <v>0</v>
      </c>
      <c r="G817" s="486">
        <f t="shared" ref="G817:H817" si="204">$H$803*G816/1000</f>
        <v>0</v>
      </c>
      <c r="H817" s="486">
        <f t="shared" si="204"/>
        <v>0</v>
      </c>
      <c r="I817" s="486">
        <f>$G$803*I816/1000/1000</f>
        <v>0</v>
      </c>
      <c r="J817" s="486">
        <f t="shared" ref="J817:N817" si="205">$G$803*J816/1000/1000</f>
        <v>0</v>
      </c>
      <c r="K817" s="486">
        <f t="shared" si="205"/>
        <v>0</v>
      </c>
      <c r="L817" s="486">
        <f t="shared" si="205"/>
        <v>0</v>
      </c>
      <c r="M817" s="486">
        <f t="shared" si="205"/>
        <v>0</v>
      </c>
      <c r="N817" s="486">
        <f t="shared" si="205"/>
        <v>0</v>
      </c>
      <c r="O817" s="304"/>
      <c r="P817" s="304"/>
      <c r="Q817" s="304"/>
      <c r="R817" s="304"/>
      <c r="S817" s="304"/>
      <c r="T817" s="304"/>
      <c r="U817" s="304"/>
      <c r="V817" s="304"/>
      <c r="W817" s="304"/>
      <c r="X817" s="304"/>
      <c r="Y817" s="304"/>
      <c r="Z817" s="305"/>
    </row>
    <row r="818" spans="1:26" x14ac:dyDescent="0.2">
      <c r="A818" s="303"/>
      <c r="B818" s="321"/>
      <c r="C818" s="1181"/>
      <c r="D818" s="438" t="s">
        <v>50</v>
      </c>
      <c r="E818" s="451" t="s">
        <v>193</v>
      </c>
      <c r="F818" s="373">
        <v>1.89E-3</v>
      </c>
      <c r="G818" s="373">
        <v>9.0000000000000002E-6</v>
      </c>
      <c r="H818" s="453">
        <v>5.9999999999999995E-8</v>
      </c>
      <c r="I818" s="462">
        <v>5.6000000000000001E-2</v>
      </c>
      <c r="J818" s="324">
        <v>1.4999999999999999E-2</v>
      </c>
      <c r="K818" s="324">
        <v>0.39500000000000002</v>
      </c>
      <c r="L818" s="324">
        <v>2E-3</v>
      </c>
      <c r="M818" s="463">
        <v>0</v>
      </c>
      <c r="N818" s="461">
        <v>148</v>
      </c>
      <c r="O818" s="304"/>
      <c r="P818" s="304"/>
      <c r="Q818" s="304"/>
      <c r="R818" s="304"/>
      <c r="S818" s="304"/>
      <c r="T818" s="304"/>
      <c r="U818" s="304"/>
      <c r="V818" s="304"/>
      <c r="W818" s="304"/>
      <c r="X818" s="304"/>
      <c r="Y818" s="304"/>
      <c r="Z818" s="305"/>
    </row>
    <row r="819" spans="1:26" x14ac:dyDescent="0.2">
      <c r="A819" s="303"/>
      <c r="B819" s="321"/>
      <c r="C819" s="1182"/>
      <c r="D819" s="438"/>
      <c r="E819" s="451" t="s">
        <v>67</v>
      </c>
      <c r="F819" s="457">
        <f>$H$804*F818/1000</f>
        <v>0</v>
      </c>
      <c r="G819" s="457">
        <f t="shared" ref="G819:H819" si="206">$H$804*G818/1000</f>
        <v>0</v>
      </c>
      <c r="H819" s="457">
        <f t="shared" si="206"/>
        <v>0</v>
      </c>
      <c r="I819" s="487">
        <f>I818*$E$804/1000/1000</f>
        <v>0</v>
      </c>
      <c r="J819" s="487">
        <f t="shared" ref="J819:N819" si="207">J818*$E$804/1000/1000</f>
        <v>0</v>
      </c>
      <c r="K819" s="487">
        <f t="shared" si="207"/>
        <v>0</v>
      </c>
      <c r="L819" s="487">
        <f t="shared" si="207"/>
        <v>0</v>
      </c>
      <c r="M819" s="487">
        <f t="shared" si="207"/>
        <v>0</v>
      </c>
      <c r="N819" s="487">
        <f t="shared" si="207"/>
        <v>0</v>
      </c>
      <c r="O819" s="304"/>
      <c r="P819" s="304"/>
      <c r="Q819" s="304"/>
      <c r="R819" s="304"/>
      <c r="S819" s="304"/>
      <c r="T819" s="304"/>
      <c r="U819" s="304"/>
      <c r="V819" s="304"/>
      <c r="W819" s="304"/>
      <c r="X819" s="304"/>
      <c r="Y819" s="304"/>
      <c r="Z819" s="305"/>
    </row>
    <row r="820" spans="1:26" x14ac:dyDescent="0.2">
      <c r="A820" s="303"/>
      <c r="B820" s="321"/>
      <c r="C820" s="1177" t="s">
        <v>834</v>
      </c>
      <c r="D820" s="438" t="s">
        <v>14</v>
      </c>
      <c r="E820" s="451" t="s">
        <v>839</v>
      </c>
      <c r="F820" s="455">
        <v>3180</v>
      </c>
      <c r="G820" s="469">
        <v>2.2999999999999998</v>
      </c>
      <c r="H820" s="455">
        <v>5.8999999999999997E-2</v>
      </c>
      <c r="I820" s="455">
        <v>9.5</v>
      </c>
      <c r="J820" s="455">
        <v>114</v>
      </c>
      <c r="K820" s="455">
        <v>490</v>
      </c>
      <c r="L820" s="455">
        <v>2.7</v>
      </c>
      <c r="M820" s="455">
        <v>0.04</v>
      </c>
      <c r="N820" s="500"/>
      <c r="O820" s="304"/>
      <c r="P820" s="304"/>
      <c r="Q820" s="304"/>
      <c r="R820" s="304"/>
      <c r="S820" s="304"/>
      <c r="T820" s="304"/>
      <c r="U820" s="304"/>
      <c r="V820" s="304"/>
      <c r="W820" s="304"/>
      <c r="X820" s="304"/>
      <c r="Y820" s="304"/>
      <c r="Z820" s="305"/>
    </row>
    <row r="821" spans="1:26" x14ac:dyDescent="0.2">
      <c r="A821" s="303"/>
      <c r="B821" s="321"/>
      <c r="C821" s="1178"/>
      <c r="D821" s="438"/>
      <c r="E821" s="451" t="s">
        <v>67</v>
      </c>
      <c r="F821" s="457">
        <f>$G$805*F820/1000/1000</f>
        <v>0</v>
      </c>
      <c r="G821" s="457">
        <f>$H$805*G820/1000/1000</f>
        <v>0</v>
      </c>
      <c r="H821" s="457">
        <f t="shared" ref="H821:N821" si="208">$G$805*H820/1000/1000</f>
        <v>0</v>
      </c>
      <c r="I821" s="457">
        <f t="shared" si="208"/>
        <v>0</v>
      </c>
      <c r="J821" s="457">
        <f t="shared" si="208"/>
        <v>0</v>
      </c>
      <c r="K821" s="457">
        <f t="shared" si="208"/>
        <v>0</v>
      </c>
      <c r="L821" s="457">
        <f t="shared" si="208"/>
        <v>0</v>
      </c>
      <c r="M821" s="457">
        <f t="shared" si="208"/>
        <v>0</v>
      </c>
      <c r="N821" s="457">
        <f t="shared" si="208"/>
        <v>0</v>
      </c>
      <c r="O821" s="304"/>
      <c r="P821" s="304"/>
      <c r="Q821" s="304"/>
      <c r="R821" s="304"/>
      <c r="S821" s="304"/>
      <c r="T821" s="304"/>
      <c r="U821" s="304"/>
      <c r="V821" s="304"/>
      <c r="W821" s="304"/>
      <c r="X821" s="304"/>
      <c r="Y821" s="304"/>
      <c r="Z821" s="305"/>
    </row>
    <row r="822" spans="1:26" x14ac:dyDescent="0.2">
      <c r="A822" s="303"/>
      <c r="B822" s="321"/>
      <c r="C822" s="309"/>
      <c r="D822" s="438"/>
      <c r="E822" s="471" t="s">
        <v>0</v>
      </c>
      <c r="F822" s="486">
        <f>F809+F811+F813+F815+F817+F819+F821</f>
        <v>0</v>
      </c>
      <c r="G822" s="486">
        <f t="shared" ref="G822:N822" si="209">G809+G811+G813+G815+G817+G819+G821</f>
        <v>0</v>
      </c>
      <c r="H822" s="486">
        <f t="shared" si="209"/>
        <v>0</v>
      </c>
      <c r="I822" s="486">
        <f t="shared" si="209"/>
        <v>0</v>
      </c>
      <c r="J822" s="486">
        <f t="shared" si="209"/>
        <v>0</v>
      </c>
      <c r="K822" s="486">
        <f t="shared" si="209"/>
        <v>0</v>
      </c>
      <c r="L822" s="486">
        <f t="shared" si="209"/>
        <v>0</v>
      </c>
      <c r="M822" s="486">
        <f t="shared" si="209"/>
        <v>0</v>
      </c>
      <c r="N822" s="486">
        <f t="shared" si="209"/>
        <v>0</v>
      </c>
      <c r="O822" s="304"/>
      <c r="P822" s="304"/>
      <c r="Q822" s="304"/>
      <c r="R822" s="304"/>
      <c r="S822" s="304"/>
      <c r="T822" s="304"/>
      <c r="U822" s="304"/>
      <c r="V822" s="304"/>
      <c r="W822" s="304"/>
      <c r="X822" s="304"/>
      <c r="Y822" s="304"/>
      <c r="Z822" s="305"/>
    </row>
    <row r="823" spans="1:26" x14ac:dyDescent="0.2">
      <c r="A823" s="303"/>
      <c r="B823" s="321"/>
      <c r="C823" s="472" t="s">
        <v>68</v>
      </c>
      <c r="D823" s="429"/>
      <c r="E823" s="430"/>
      <c r="F823" s="431"/>
      <c r="G823" s="431"/>
      <c r="H823" s="445"/>
      <c r="I823" s="303"/>
      <c r="J823" s="304"/>
      <c r="K823" s="304"/>
      <c r="L823" s="304"/>
      <c r="M823" s="304"/>
      <c r="N823" s="304"/>
      <c r="O823" s="304"/>
      <c r="P823" s="304"/>
      <c r="Q823" s="304"/>
      <c r="R823" s="304"/>
      <c r="S823" s="304"/>
      <c r="T823" s="304"/>
      <c r="U823" s="304"/>
      <c r="V823" s="304"/>
      <c r="W823" s="304"/>
      <c r="X823" s="304"/>
      <c r="Y823" s="304"/>
      <c r="Z823" s="305"/>
    </row>
    <row r="824" spans="1:26" x14ac:dyDescent="0.2">
      <c r="A824" s="303"/>
      <c r="B824" s="321"/>
      <c r="C824" s="472"/>
      <c r="D824" s="429"/>
      <c r="E824" s="430"/>
      <c r="F824" s="431"/>
      <c r="G824" s="431"/>
      <c r="H824" s="445"/>
      <c r="I824" s="303"/>
      <c r="J824" s="304"/>
      <c r="K824" s="304"/>
      <c r="L824" s="304"/>
      <c r="M824" s="304"/>
      <c r="N824" s="304"/>
      <c r="O824" s="304"/>
      <c r="P824" s="304"/>
      <c r="Q824" s="304"/>
      <c r="R824" s="304"/>
      <c r="S824" s="304"/>
      <c r="T824" s="304"/>
      <c r="U824" s="304"/>
      <c r="V824" s="304"/>
      <c r="W824" s="304"/>
      <c r="X824" s="304"/>
      <c r="Y824" s="304"/>
      <c r="Z824" s="305"/>
    </row>
    <row r="825" spans="1:26" x14ac:dyDescent="0.2">
      <c r="A825" s="303"/>
      <c r="B825" s="321"/>
      <c r="C825" s="304"/>
      <c r="D825" s="304"/>
      <c r="E825" s="304"/>
      <c r="F825" s="304"/>
      <c r="G825" s="304"/>
      <c r="H825" s="304"/>
      <c r="I825" s="304"/>
      <c r="J825" s="304"/>
      <c r="K825" s="304"/>
      <c r="L825" s="304"/>
      <c r="M825" s="304"/>
      <c r="N825" s="304"/>
      <c r="O825" s="304"/>
      <c r="P825" s="304"/>
      <c r="Q825" s="304"/>
      <c r="R825" s="304"/>
      <c r="S825" s="304"/>
      <c r="T825" s="304"/>
      <c r="U825" s="304"/>
      <c r="V825" s="304"/>
      <c r="W825" s="304"/>
      <c r="X825" s="304"/>
      <c r="Y825" s="304"/>
      <c r="Z825" s="305"/>
    </row>
    <row r="826" spans="1:26" x14ac:dyDescent="0.2">
      <c r="A826" s="303"/>
      <c r="B826" s="304" t="s">
        <v>741</v>
      </c>
      <c r="C826" s="304"/>
      <c r="D826" s="429"/>
      <c r="E826" s="430"/>
      <c r="F826" s="431"/>
      <c r="G826" s="431"/>
      <c r="H826" s="445"/>
      <c r="I826" s="303"/>
      <c r="J826" s="304"/>
      <c r="K826" s="304"/>
      <c r="L826" s="304"/>
      <c r="M826" s="304"/>
      <c r="N826" s="304"/>
      <c r="O826" s="304"/>
      <c r="P826" s="304"/>
      <c r="Q826" s="304"/>
      <c r="R826" s="304"/>
      <c r="S826" s="304"/>
      <c r="T826" s="304"/>
      <c r="U826" s="304"/>
      <c r="V826" s="304"/>
      <c r="W826" s="304"/>
      <c r="X826" s="304"/>
      <c r="Y826" s="304"/>
      <c r="Z826" s="305"/>
    </row>
    <row r="827" spans="1:26" x14ac:dyDescent="0.2">
      <c r="A827" s="303"/>
      <c r="B827" s="304"/>
      <c r="C827" s="446" t="s">
        <v>793</v>
      </c>
      <c r="D827" s="429"/>
      <c r="E827" s="431"/>
      <c r="F827" s="1185" t="s">
        <v>224</v>
      </c>
      <c r="G827" s="1186"/>
      <c r="H827" s="1187"/>
      <c r="I827" s="304"/>
      <c r="J827" s="304"/>
      <c r="K827" s="304"/>
      <c r="L827" s="304"/>
      <c r="M827" s="304"/>
      <c r="N827" s="304"/>
      <c r="O827" s="304"/>
      <c r="P827" s="304"/>
      <c r="Q827" s="304"/>
      <c r="R827" s="304"/>
      <c r="S827" s="304"/>
      <c r="T827" s="304"/>
      <c r="U827" s="304"/>
      <c r="V827" s="304"/>
      <c r="W827" s="304"/>
      <c r="X827" s="305"/>
    </row>
    <row r="828" spans="1:26" ht="25.5" x14ac:dyDescent="0.2">
      <c r="A828" s="303"/>
      <c r="B828" s="304"/>
      <c r="C828" s="309"/>
      <c r="D828" s="438" t="s">
        <v>205</v>
      </c>
      <c r="E828" s="443" t="s">
        <v>208</v>
      </c>
      <c r="F828" s="312" t="s">
        <v>221</v>
      </c>
      <c r="G828" s="447" t="s">
        <v>222</v>
      </c>
      <c r="H828" s="447" t="s">
        <v>223</v>
      </c>
      <c r="I828" s="322"/>
      <c r="J828" s="304"/>
      <c r="K828" s="304"/>
      <c r="L828" s="304"/>
      <c r="M828" s="304"/>
      <c r="N828" s="304"/>
      <c r="O828" s="304"/>
      <c r="P828" s="304"/>
      <c r="Q828" s="304"/>
      <c r="R828" s="304"/>
      <c r="S828" s="304"/>
      <c r="T828" s="304"/>
      <c r="U828" s="304"/>
      <c r="V828" s="304"/>
      <c r="W828" s="304"/>
      <c r="X828" s="305"/>
    </row>
    <row r="829" spans="1:26" x14ac:dyDescent="0.2">
      <c r="A829" s="303"/>
      <c r="B829" s="304"/>
      <c r="C829" s="1179" t="s">
        <v>204</v>
      </c>
      <c r="D829" s="438" t="s">
        <v>14</v>
      </c>
      <c r="E829" s="440">
        <f>Calc1!$F$431*Calc1!E441</f>
        <v>0</v>
      </c>
      <c r="F829" s="309">
        <v>70</v>
      </c>
      <c r="G829" s="309">
        <f t="shared" ref="G829:G835" si="210">F829*E829/1000</f>
        <v>0</v>
      </c>
      <c r="H829" s="351">
        <f>G829*1000/730</f>
        <v>0</v>
      </c>
      <c r="I829" s="304"/>
      <c r="J829" s="304"/>
      <c r="K829" s="304"/>
      <c r="L829" s="304"/>
      <c r="M829" s="304"/>
      <c r="N829" s="304"/>
      <c r="O829" s="304"/>
      <c r="P829" s="304"/>
      <c r="Q829" s="304"/>
      <c r="R829" s="304"/>
      <c r="S829" s="304"/>
      <c r="T829" s="304"/>
      <c r="U829" s="304"/>
      <c r="V829" s="304"/>
      <c r="W829" s="304"/>
      <c r="X829" s="305"/>
    </row>
    <row r="830" spans="1:26" x14ac:dyDescent="0.2">
      <c r="A830" s="303"/>
      <c r="B830" s="304"/>
      <c r="C830" s="1179"/>
      <c r="D830" s="438" t="s">
        <v>12</v>
      </c>
      <c r="E830" s="440">
        <f>Calc1!$F$431*Calc1!E442</f>
        <v>0</v>
      </c>
      <c r="F830" s="309">
        <v>60</v>
      </c>
      <c r="G830" s="309">
        <f t="shared" si="210"/>
        <v>0</v>
      </c>
      <c r="H830" s="351">
        <f t="shared" ref="H830" si="211">G830*1000/840</f>
        <v>0</v>
      </c>
      <c r="I830" s="304"/>
      <c r="J830" s="304"/>
      <c r="K830" s="304"/>
      <c r="L830" s="304"/>
      <c r="M830" s="304"/>
      <c r="N830" s="304"/>
      <c r="O830" s="304"/>
      <c r="P830" s="304"/>
      <c r="Q830" s="304"/>
      <c r="R830" s="304"/>
      <c r="S830" s="304"/>
      <c r="T830" s="304"/>
      <c r="U830" s="304"/>
      <c r="V830" s="304"/>
      <c r="W830" s="304"/>
      <c r="X830" s="305"/>
    </row>
    <row r="831" spans="1:26" ht="13.15" customHeight="1" x14ac:dyDescent="0.2">
      <c r="A831" s="303"/>
      <c r="B831" s="304"/>
      <c r="C831" s="1179"/>
      <c r="D831" s="438" t="s">
        <v>50</v>
      </c>
      <c r="E831" s="440">
        <f>Calc1!$F$431*Calc1!E443</f>
        <v>0</v>
      </c>
      <c r="F831" s="309">
        <v>50</v>
      </c>
      <c r="G831" s="309">
        <f t="shared" si="210"/>
        <v>0</v>
      </c>
      <c r="H831" s="351">
        <f>G831*1000/0.714</f>
        <v>0</v>
      </c>
      <c r="I831" s="304"/>
      <c r="J831" s="304"/>
      <c r="K831" s="304"/>
      <c r="L831" s="304"/>
      <c r="M831" s="304"/>
      <c r="N831" s="304"/>
      <c r="O831" s="304"/>
      <c r="P831" s="304"/>
      <c r="Q831" s="304"/>
      <c r="R831" s="304"/>
      <c r="S831" s="304"/>
      <c r="T831" s="304"/>
      <c r="U831" s="304"/>
      <c r="V831" s="304"/>
      <c r="W831" s="304"/>
      <c r="X831" s="305"/>
    </row>
    <row r="832" spans="1:26" x14ac:dyDescent="0.2">
      <c r="A832" s="303"/>
      <c r="B832" s="304"/>
      <c r="C832" s="1179" t="s">
        <v>696</v>
      </c>
      <c r="D832" s="438" t="s">
        <v>14</v>
      </c>
      <c r="E832" s="440">
        <f>Calc1!$F$432*Calc1!F441</f>
        <v>0</v>
      </c>
      <c r="F832" s="309">
        <v>100</v>
      </c>
      <c r="G832" s="309">
        <f t="shared" si="210"/>
        <v>0</v>
      </c>
      <c r="H832" s="351">
        <f>G832*1000/730</f>
        <v>0</v>
      </c>
      <c r="I832" s="304"/>
      <c r="J832" s="304"/>
      <c r="K832" s="304"/>
      <c r="L832" s="304"/>
      <c r="M832" s="304"/>
      <c r="N832" s="304"/>
      <c r="O832" s="304"/>
      <c r="P832" s="304"/>
      <c r="Q832" s="304"/>
      <c r="R832" s="304"/>
      <c r="S832" s="304"/>
      <c r="T832" s="304"/>
      <c r="U832" s="304"/>
      <c r="V832" s="304"/>
      <c r="W832" s="304"/>
      <c r="X832" s="305"/>
    </row>
    <row r="833" spans="1:26" x14ac:dyDescent="0.2">
      <c r="A833" s="303"/>
      <c r="B833" s="304"/>
      <c r="C833" s="1179"/>
      <c r="D833" s="438" t="s">
        <v>12</v>
      </c>
      <c r="E833" s="440">
        <f>Calc1!$F$432*Calc1!F442</f>
        <v>0</v>
      </c>
      <c r="F833" s="309">
        <v>80</v>
      </c>
      <c r="G833" s="309">
        <f t="shared" si="210"/>
        <v>0</v>
      </c>
      <c r="H833" s="351">
        <f>G833*1000/840</f>
        <v>0</v>
      </c>
      <c r="I833" s="304"/>
      <c r="J833" s="304"/>
      <c r="K833" s="304"/>
      <c r="L833" s="304"/>
      <c r="M833" s="304"/>
      <c r="N833" s="304"/>
      <c r="O833" s="304"/>
      <c r="P833" s="304"/>
      <c r="Q833" s="304"/>
      <c r="R833" s="304"/>
      <c r="S833" s="304"/>
      <c r="T833" s="304"/>
      <c r="U833" s="304"/>
      <c r="V833" s="304"/>
      <c r="W833" s="304"/>
      <c r="X833" s="305"/>
    </row>
    <row r="834" spans="1:26" ht="13.15" customHeight="1" x14ac:dyDescent="0.2">
      <c r="A834" s="303"/>
      <c r="B834" s="304"/>
      <c r="C834" s="1179"/>
      <c r="D834" s="438" t="s">
        <v>50</v>
      </c>
      <c r="E834" s="440">
        <f>Calc1!$F$432*Calc1!F443</f>
        <v>0</v>
      </c>
      <c r="F834" s="309">
        <v>50</v>
      </c>
      <c r="G834" s="309">
        <f t="shared" si="210"/>
        <v>0</v>
      </c>
      <c r="H834" s="351">
        <f>G834*1000/0.714</f>
        <v>0</v>
      </c>
      <c r="I834" s="304"/>
      <c r="J834" s="304"/>
      <c r="K834" s="304"/>
      <c r="L834" s="304"/>
      <c r="M834" s="304"/>
      <c r="N834" s="304"/>
      <c r="O834" s="304"/>
      <c r="P834" s="304"/>
      <c r="Q834" s="304"/>
      <c r="R834" s="304"/>
      <c r="S834" s="304"/>
      <c r="T834" s="304"/>
      <c r="U834" s="304"/>
      <c r="V834" s="304"/>
      <c r="W834" s="304"/>
      <c r="X834" s="305"/>
    </row>
    <row r="835" spans="1:26" x14ac:dyDescent="0.2">
      <c r="A835" s="303"/>
      <c r="B835" s="304"/>
      <c r="C835" s="312" t="s">
        <v>834</v>
      </c>
      <c r="D835" s="438" t="s">
        <v>14</v>
      </c>
      <c r="E835" s="444">
        <f>Calc1!$F$433</f>
        <v>0</v>
      </c>
      <c r="F835" s="438">
        <v>35</v>
      </c>
      <c r="G835" s="309">
        <f t="shared" si="210"/>
        <v>0</v>
      </c>
      <c r="H835" s="351">
        <f>G835*1000/730</f>
        <v>0</v>
      </c>
      <c r="I835" s="304"/>
      <c r="J835" s="304"/>
      <c r="K835" s="304"/>
      <c r="L835" s="304"/>
      <c r="M835" s="304"/>
      <c r="N835" s="304"/>
      <c r="O835" s="304"/>
      <c r="P835" s="304"/>
      <c r="Q835" s="304"/>
      <c r="R835" s="304"/>
      <c r="S835" s="304"/>
      <c r="T835" s="304"/>
      <c r="U835" s="304"/>
      <c r="V835" s="304"/>
      <c r="W835" s="304"/>
      <c r="X835" s="305"/>
    </row>
    <row r="836" spans="1:26" ht="13.5" thickBot="1" x14ac:dyDescent="0.25">
      <c r="A836" s="303"/>
      <c r="B836" s="304"/>
      <c r="C836" s="304"/>
      <c r="D836" s="429"/>
      <c r="E836" s="430"/>
      <c r="F836" s="431"/>
      <c r="G836" s="431"/>
      <c r="H836" s="321"/>
      <c r="I836" s="391"/>
      <c r="J836" s="322"/>
      <c r="K836" s="322"/>
      <c r="L836" s="322"/>
      <c r="M836" s="304"/>
      <c r="N836" s="304"/>
      <c r="O836" s="304"/>
      <c r="P836" s="304"/>
      <c r="Q836" s="304"/>
      <c r="R836" s="304"/>
      <c r="S836" s="304"/>
      <c r="T836" s="304"/>
      <c r="U836" s="304"/>
      <c r="V836" s="304"/>
      <c r="W836" s="304"/>
      <c r="X836" s="304"/>
      <c r="Y836" s="304"/>
      <c r="Z836" s="305"/>
    </row>
    <row r="837" spans="1:26" ht="15.75" x14ac:dyDescent="0.3">
      <c r="A837" s="303"/>
      <c r="B837" s="304"/>
      <c r="C837" s="309"/>
      <c r="D837" s="438" t="s">
        <v>205</v>
      </c>
      <c r="E837" s="442"/>
      <c r="F837" s="310" t="s">
        <v>16</v>
      </c>
      <c r="G837" s="310" t="s">
        <v>17</v>
      </c>
      <c r="H837" s="311" t="s">
        <v>789</v>
      </c>
      <c r="I837" s="449" t="s">
        <v>197</v>
      </c>
      <c r="J837" s="450" t="s">
        <v>180</v>
      </c>
      <c r="K837" s="450" t="s">
        <v>194</v>
      </c>
      <c r="L837" s="450" t="s">
        <v>195</v>
      </c>
      <c r="M837" s="450" t="s">
        <v>196</v>
      </c>
      <c r="N837" s="448"/>
      <c r="O837" s="304"/>
      <c r="P837" s="304"/>
      <c r="Q837" s="304"/>
      <c r="R837" s="304"/>
      <c r="S837" s="304"/>
      <c r="T837" s="304"/>
      <c r="U837" s="304"/>
      <c r="V837" s="304"/>
      <c r="W837" s="304"/>
      <c r="X837" s="304"/>
      <c r="Y837" s="304"/>
      <c r="Z837" s="305"/>
    </row>
    <row r="838" spans="1:26" x14ac:dyDescent="0.2">
      <c r="A838" s="303"/>
      <c r="B838" s="304"/>
      <c r="C838" s="1179" t="s">
        <v>204</v>
      </c>
      <c r="D838" s="438" t="s">
        <v>14</v>
      </c>
      <c r="E838" s="451" t="s">
        <v>28</v>
      </c>
      <c r="F838" s="373">
        <v>2.2890000000000001</v>
      </c>
      <c r="G838" s="373">
        <v>5.1999999999999995E-4</v>
      </c>
      <c r="H838" s="453">
        <v>2.0000000000000001E-4</v>
      </c>
      <c r="I838" s="454">
        <v>14.5</v>
      </c>
      <c r="J838" s="455">
        <v>14</v>
      </c>
      <c r="K838" s="455">
        <v>132</v>
      </c>
      <c r="L838" s="455">
        <v>3.6999999999999998E-2</v>
      </c>
      <c r="M838" s="455">
        <v>0.04</v>
      </c>
      <c r="N838" s="452">
        <v>3180</v>
      </c>
      <c r="O838" s="304"/>
      <c r="P838" s="304"/>
      <c r="Q838" s="304"/>
      <c r="R838" s="304"/>
      <c r="S838" s="304"/>
      <c r="T838" s="304"/>
      <c r="U838" s="304"/>
      <c r="V838" s="304"/>
      <c r="W838" s="304"/>
      <c r="X838" s="304"/>
      <c r="Y838" s="304"/>
      <c r="Z838" s="305"/>
    </row>
    <row r="839" spans="1:26" x14ac:dyDescent="0.2">
      <c r="A839" s="303"/>
      <c r="B839" s="304"/>
      <c r="C839" s="1179"/>
      <c r="D839" s="438"/>
      <c r="E839" s="451" t="s">
        <v>67</v>
      </c>
      <c r="F839" s="486">
        <f>$H$829*F838/1000</f>
        <v>0</v>
      </c>
      <c r="G839" s="486">
        <f>$H$829*G838/1000</f>
        <v>0</v>
      </c>
      <c r="H839" s="486">
        <f>$H$829*H838/1000</f>
        <v>0</v>
      </c>
      <c r="I839" s="486">
        <f t="shared" ref="I839:N839" si="212">$G$829*I838/1000/1000</f>
        <v>0</v>
      </c>
      <c r="J839" s="486">
        <f t="shared" si="212"/>
        <v>0</v>
      </c>
      <c r="K839" s="486">
        <f t="shared" si="212"/>
        <v>0</v>
      </c>
      <c r="L839" s="486">
        <f t="shared" si="212"/>
        <v>0</v>
      </c>
      <c r="M839" s="486">
        <f t="shared" si="212"/>
        <v>0</v>
      </c>
      <c r="N839" s="486">
        <f t="shared" si="212"/>
        <v>0</v>
      </c>
      <c r="O839" s="304"/>
      <c r="P839" s="304"/>
      <c r="Q839" s="304"/>
      <c r="R839" s="304"/>
      <c r="S839" s="304"/>
      <c r="T839" s="304"/>
      <c r="U839" s="304"/>
      <c r="V839" s="304"/>
      <c r="W839" s="304"/>
      <c r="X839" s="304"/>
      <c r="Y839" s="304"/>
      <c r="Z839" s="305"/>
    </row>
    <row r="840" spans="1:26" ht="13.15" customHeight="1" x14ac:dyDescent="0.2">
      <c r="A840" s="303"/>
      <c r="B840" s="304"/>
      <c r="C840" s="1179"/>
      <c r="D840" s="438" t="s">
        <v>12</v>
      </c>
      <c r="E840" s="451" t="s">
        <v>29</v>
      </c>
      <c r="F840" s="373">
        <v>2.6629999999999998</v>
      </c>
      <c r="G840" s="373">
        <v>6.7999999999999999E-5</v>
      </c>
      <c r="H840" s="453">
        <v>2.1000000000000001E-4</v>
      </c>
      <c r="I840" s="454">
        <v>11</v>
      </c>
      <c r="J840" s="455">
        <v>1.1000000000000001</v>
      </c>
      <c r="K840" s="455">
        <v>4.7</v>
      </c>
      <c r="L840" s="455">
        <v>1.7</v>
      </c>
      <c r="M840" s="455">
        <v>8.0000000000000002E-3</v>
      </c>
      <c r="N840" s="452">
        <v>3140</v>
      </c>
      <c r="O840" s="304"/>
      <c r="P840" s="304"/>
      <c r="Q840" s="304"/>
      <c r="R840" s="304"/>
      <c r="S840" s="304"/>
      <c r="T840" s="304"/>
      <c r="U840" s="304"/>
      <c r="V840" s="304"/>
      <c r="W840" s="304"/>
      <c r="X840" s="304"/>
      <c r="Y840" s="304"/>
      <c r="Z840" s="305"/>
    </row>
    <row r="841" spans="1:26" x14ac:dyDescent="0.2">
      <c r="A841" s="303"/>
      <c r="B841" s="304"/>
      <c r="C841" s="1179"/>
      <c r="D841" s="438"/>
      <c r="E841" s="451" t="s">
        <v>67</v>
      </c>
      <c r="F841" s="486">
        <f>$H$830*F840/1000</f>
        <v>0</v>
      </c>
      <c r="G841" s="486">
        <f>$H$830*G840/1000</f>
        <v>0</v>
      </c>
      <c r="H841" s="486">
        <f>$H$830*H840/1000</f>
        <v>0</v>
      </c>
      <c r="I841" s="486">
        <f t="shared" ref="I841:N841" si="213">$G$830*I840/1000/1000</f>
        <v>0</v>
      </c>
      <c r="J841" s="486">
        <f t="shared" si="213"/>
        <v>0</v>
      </c>
      <c r="K841" s="486">
        <f t="shared" si="213"/>
        <v>0</v>
      </c>
      <c r="L841" s="486">
        <f t="shared" si="213"/>
        <v>0</v>
      </c>
      <c r="M841" s="486">
        <f t="shared" si="213"/>
        <v>0</v>
      </c>
      <c r="N841" s="486">
        <f t="shared" si="213"/>
        <v>0</v>
      </c>
      <c r="O841" s="304"/>
      <c r="P841" s="304"/>
      <c r="Q841" s="304"/>
      <c r="R841" s="304"/>
      <c r="S841" s="304"/>
      <c r="T841" s="304"/>
      <c r="U841" s="304"/>
      <c r="V841" s="304"/>
      <c r="W841" s="304"/>
      <c r="X841" s="304"/>
      <c r="Y841" s="304"/>
      <c r="Z841" s="305"/>
    </row>
    <row r="842" spans="1:26" x14ac:dyDescent="0.2">
      <c r="A842" s="303"/>
      <c r="B842" s="304"/>
      <c r="C842" s="1179"/>
      <c r="D842" s="438" t="s">
        <v>50</v>
      </c>
      <c r="E842" s="451" t="s">
        <v>193</v>
      </c>
      <c r="F842" s="373">
        <v>1.89E-3</v>
      </c>
      <c r="G842" s="373">
        <v>9.0000000000000002E-6</v>
      </c>
      <c r="H842" s="453">
        <v>5.9999999999999995E-8</v>
      </c>
      <c r="I842" s="462">
        <v>5.6000000000000001E-2</v>
      </c>
      <c r="J842" s="324">
        <v>1.4999999999999999E-2</v>
      </c>
      <c r="K842" s="324">
        <v>0.39500000000000002</v>
      </c>
      <c r="L842" s="324">
        <v>2E-3</v>
      </c>
      <c r="M842" s="463">
        <v>0</v>
      </c>
      <c r="N842" s="461">
        <v>148</v>
      </c>
      <c r="O842" s="304"/>
      <c r="P842" s="304"/>
      <c r="Q842" s="304"/>
      <c r="R842" s="304"/>
      <c r="S842" s="304"/>
      <c r="T842" s="304"/>
      <c r="U842" s="304"/>
      <c r="V842" s="304"/>
      <c r="W842" s="304"/>
      <c r="X842" s="304"/>
      <c r="Y842" s="304"/>
      <c r="Z842" s="305"/>
    </row>
    <row r="843" spans="1:26" x14ac:dyDescent="0.2">
      <c r="A843" s="303"/>
      <c r="B843" s="473"/>
      <c r="C843" s="1179"/>
      <c r="D843" s="438"/>
      <c r="E843" s="451" t="s">
        <v>67</v>
      </c>
      <c r="F843" s="457">
        <f>$H$831*F842/1000</f>
        <v>0</v>
      </c>
      <c r="G843" s="457">
        <f>$H$831*G842/1000</f>
        <v>0</v>
      </c>
      <c r="H843" s="457">
        <f>$H$831*H842/1000</f>
        <v>0</v>
      </c>
      <c r="I843" s="487">
        <f t="shared" ref="I843:N843" si="214">I842*$E$831/1000/1000</f>
        <v>0</v>
      </c>
      <c r="J843" s="487">
        <f t="shared" si="214"/>
        <v>0</v>
      </c>
      <c r="K843" s="487">
        <f t="shared" si="214"/>
        <v>0</v>
      </c>
      <c r="L843" s="487">
        <f t="shared" si="214"/>
        <v>0</v>
      </c>
      <c r="M843" s="487">
        <f t="shared" si="214"/>
        <v>0</v>
      </c>
      <c r="N843" s="487">
        <f t="shared" si="214"/>
        <v>0</v>
      </c>
      <c r="O843" s="304"/>
      <c r="P843" s="304"/>
      <c r="Q843" s="304"/>
      <c r="R843" s="304"/>
      <c r="S843" s="304"/>
      <c r="T843" s="304"/>
      <c r="U843" s="304"/>
      <c r="V843" s="304"/>
      <c r="W843" s="304"/>
      <c r="X843" s="304"/>
      <c r="Y843" s="304"/>
      <c r="Z843" s="305"/>
    </row>
    <row r="844" spans="1:26" x14ac:dyDescent="0.2">
      <c r="A844" s="303"/>
      <c r="B844" s="473"/>
      <c r="C844" s="1179" t="s">
        <v>696</v>
      </c>
      <c r="D844" s="438" t="s">
        <v>14</v>
      </c>
      <c r="E844" s="451" t="s">
        <v>28</v>
      </c>
      <c r="F844" s="373">
        <v>2.6629999999999998</v>
      </c>
      <c r="G844" s="373">
        <v>6.7999999999999999E-5</v>
      </c>
      <c r="H844" s="453">
        <v>2.1000000000000001E-4</v>
      </c>
      <c r="I844" s="454">
        <v>24</v>
      </c>
      <c r="J844" s="455">
        <v>14</v>
      </c>
      <c r="K844" s="455">
        <v>155</v>
      </c>
      <c r="L844" s="455">
        <v>0.03</v>
      </c>
      <c r="M844" s="455">
        <v>0.04</v>
      </c>
      <c r="N844" s="452">
        <v>3180</v>
      </c>
      <c r="O844" s="304"/>
      <c r="P844" s="304"/>
      <c r="Q844" s="304"/>
      <c r="R844" s="304"/>
      <c r="S844" s="304"/>
      <c r="T844" s="304"/>
      <c r="U844" s="304"/>
      <c r="V844" s="304"/>
      <c r="W844" s="304"/>
      <c r="X844" s="304"/>
      <c r="Y844" s="304"/>
      <c r="Z844" s="305"/>
    </row>
    <row r="845" spans="1:26" x14ac:dyDescent="0.2">
      <c r="A845" s="303"/>
      <c r="B845" s="304"/>
      <c r="C845" s="1179"/>
      <c r="D845" s="438"/>
      <c r="E845" s="451" t="s">
        <v>67</v>
      </c>
      <c r="F845" s="486">
        <f>$H$832*F844/1000</f>
        <v>0</v>
      </c>
      <c r="G845" s="486">
        <f>$H$832*G844/1000</f>
        <v>0</v>
      </c>
      <c r="H845" s="486">
        <f>$H$832*H844/1000</f>
        <v>0</v>
      </c>
      <c r="I845" s="486">
        <f t="shared" ref="I845:N845" si="215">$G$832*I844/1000/1000</f>
        <v>0</v>
      </c>
      <c r="J845" s="486">
        <f t="shared" si="215"/>
        <v>0</v>
      </c>
      <c r="K845" s="486">
        <f t="shared" si="215"/>
        <v>0</v>
      </c>
      <c r="L845" s="486">
        <f t="shared" si="215"/>
        <v>0</v>
      </c>
      <c r="M845" s="486">
        <f t="shared" si="215"/>
        <v>0</v>
      </c>
      <c r="N845" s="486">
        <f t="shared" si="215"/>
        <v>0</v>
      </c>
      <c r="O845" s="304"/>
      <c r="P845" s="304"/>
      <c r="Q845" s="304"/>
      <c r="R845" s="304"/>
      <c r="S845" s="304"/>
      <c r="T845" s="304"/>
      <c r="U845" s="304"/>
      <c r="V845" s="304"/>
      <c r="W845" s="304"/>
      <c r="X845" s="304"/>
      <c r="Y845" s="304"/>
      <c r="Z845" s="305"/>
    </row>
    <row r="846" spans="1:26" ht="13.15" customHeight="1" x14ac:dyDescent="0.2">
      <c r="A846" s="303"/>
      <c r="B846" s="304"/>
      <c r="C846" s="1179"/>
      <c r="D846" s="438" t="s">
        <v>12</v>
      </c>
      <c r="E846" s="451" t="s">
        <v>29</v>
      </c>
      <c r="F846" s="373">
        <v>2.6629999999999998</v>
      </c>
      <c r="G846" s="373">
        <v>6.7999999999999999E-5</v>
      </c>
      <c r="H846" s="453">
        <v>2.1000000000000001E-4</v>
      </c>
      <c r="I846" s="454">
        <v>15</v>
      </c>
      <c r="J846" s="455">
        <v>1.75</v>
      </c>
      <c r="K846" s="455">
        <v>11</v>
      </c>
      <c r="L846" s="455">
        <v>2.8</v>
      </c>
      <c r="M846" s="455">
        <v>8.0000000000000002E-3</v>
      </c>
      <c r="N846" s="452">
        <v>3140</v>
      </c>
      <c r="O846" s="304"/>
      <c r="P846" s="304"/>
      <c r="Q846" s="304"/>
      <c r="R846" s="304"/>
      <c r="S846" s="304"/>
      <c r="T846" s="304"/>
      <c r="U846" s="304"/>
      <c r="V846" s="304"/>
      <c r="W846" s="304"/>
      <c r="X846" s="304"/>
      <c r="Y846" s="304"/>
      <c r="Z846" s="305"/>
    </row>
    <row r="847" spans="1:26" x14ac:dyDescent="0.2">
      <c r="A847" s="303"/>
      <c r="B847" s="304"/>
      <c r="C847" s="1179"/>
      <c r="D847" s="438"/>
      <c r="E847" s="451" t="s">
        <v>67</v>
      </c>
      <c r="F847" s="486">
        <f>$H$833*F846/1000</f>
        <v>0</v>
      </c>
      <c r="G847" s="486">
        <f>$H$833*G846/1000</f>
        <v>0</v>
      </c>
      <c r="H847" s="486">
        <f>$H$833*H846/1000</f>
        <v>0</v>
      </c>
      <c r="I847" s="486">
        <f t="shared" ref="I847:N847" si="216">$G$833*I846/1000/1000</f>
        <v>0</v>
      </c>
      <c r="J847" s="486">
        <f t="shared" si="216"/>
        <v>0</v>
      </c>
      <c r="K847" s="486">
        <f t="shared" si="216"/>
        <v>0</v>
      </c>
      <c r="L847" s="486">
        <f t="shared" si="216"/>
        <v>0</v>
      </c>
      <c r="M847" s="486">
        <f t="shared" si="216"/>
        <v>0</v>
      </c>
      <c r="N847" s="486">
        <f t="shared" si="216"/>
        <v>0</v>
      </c>
      <c r="O847" s="304"/>
      <c r="P847" s="304"/>
      <c r="Q847" s="304"/>
      <c r="R847" s="304"/>
      <c r="S847" s="304"/>
      <c r="T847" s="304"/>
      <c r="U847" s="304"/>
      <c r="V847" s="304"/>
      <c r="W847" s="304"/>
      <c r="X847" s="304"/>
      <c r="Y847" s="304"/>
      <c r="Z847" s="305"/>
    </row>
    <row r="848" spans="1:26" x14ac:dyDescent="0.2">
      <c r="A848" s="303"/>
      <c r="B848" s="304"/>
      <c r="C848" s="1179"/>
      <c r="D848" s="438" t="s">
        <v>50</v>
      </c>
      <c r="E848" s="451" t="s">
        <v>193</v>
      </c>
      <c r="F848" s="373">
        <v>1.89E-3</v>
      </c>
      <c r="G848" s="373">
        <v>9.0000000000000002E-6</v>
      </c>
      <c r="H848" s="453">
        <v>5.9999999999999995E-8</v>
      </c>
      <c r="I848" s="462">
        <v>5.6000000000000001E-2</v>
      </c>
      <c r="J848" s="324">
        <v>1.4999999999999999E-2</v>
      </c>
      <c r="K848" s="324">
        <v>0.39500000000000002</v>
      </c>
      <c r="L848" s="324">
        <v>2E-3</v>
      </c>
      <c r="M848" s="463">
        <v>0</v>
      </c>
      <c r="N848" s="461">
        <v>148</v>
      </c>
      <c r="O848" s="304"/>
      <c r="P848" s="304"/>
      <c r="Q848" s="304"/>
      <c r="R848" s="304"/>
      <c r="S848" s="304"/>
      <c r="T848" s="304"/>
      <c r="U848" s="304"/>
      <c r="V848" s="304"/>
      <c r="W848" s="304"/>
      <c r="X848" s="304"/>
      <c r="Y848" s="304"/>
      <c r="Z848" s="305"/>
    </row>
    <row r="849" spans="1:26" x14ac:dyDescent="0.2">
      <c r="A849" s="303"/>
      <c r="B849" s="304"/>
      <c r="C849" s="1179"/>
      <c r="D849" s="438"/>
      <c r="E849" s="451" t="s">
        <v>67</v>
      </c>
      <c r="F849" s="457">
        <f>$H$834*F848/1000</f>
        <v>0</v>
      </c>
      <c r="G849" s="457">
        <f>$H$834*G848/1000</f>
        <v>0</v>
      </c>
      <c r="H849" s="457">
        <f>$H$834*H848/1000</f>
        <v>0</v>
      </c>
      <c r="I849" s="487">
        <f t="shared" ref="I849:N849" si="217">I848*$E$834/1000/1000</f>
        <v>0</v>
      </c>
      <c r="J849" s="487">
        <f t="shared" si="217"/>
        <v>0</v>
      </c>
      <c r="K849" s="487">
        <f t="shared" si="217"/>
        <v>0</v>
      </c>
      <c r="L849" s="487">
        <f t="shared" si="217"/>
        <v>0</v>
      </c>
      <c r="M849" s="487">
        <f t="shared" si="217"/>
        <v>0</v>
      </c>
      <c r="N849" s="487">
        <f t="shared" si="217"/>
        <v>0</v>
      </c>
      <c r="O849" s="304"/>
      <c r="P849" s="304"/>
      <c r="Q849" s="304"/>
      <c r="R849" s="304"/>
      <c r="S849" s="304"/>
      <c r="T849" s="304"/>
      <c r="U849" s="304"/>
      <c r="V849" s="304"/>
      <c r="W849" s="304"/>
      <c r="X849" s="304"/>
      <c r="Y849" s="304"/>
      <c r="Z849" s="305"/>
    </row>
    <row r="850" spans="1:26" x14ac:dyDescent="0.2">
      <c r="A850" s="303"/>
      <c r="B850" s="304"/>
      <c r="C850" s="1177" t="s">
        <v>834</v>
      </c>
      <c r="D850" s="438" t="s">
        <v>14</v>
      </c>
      <c r="E850" s="451" t="s">
        <v>839</v>
      </c>
      <c r="F850" s="455">
        <v>3180</v>
      </c>
      <c r="G850" s="469">
        <v>2.2999999999999998</v>
      </c>
      <c r="H850" s="455">
        <v>5.8999999999999997E-2</v>
      </c>
      <c r="I850" s="455">
        <v>9.5</v>
      </c>
      <c r="J850" s="455">
        <v>114</v>
      </c>
      <c r="K850" s="455">
        <v>490</v>
      </c>
      <c r="L850" s="455">
        <v>2.7</v>
      </c>
      <c r="M850" s="455">
        <v>0.04</v>
      </c>
      <c r="N850" s="500"/>
      <c r="O850" s="304"/>
      <c r="P850" s="304"/>
      <c r="Q850" s="304"/>
      <c r="R850" s="304"/>
      <c r="S850" s="304"/>
      <c r="T850" s="304"/>
      <c r="U850" s="304"/>
      <c r="V850" s="304"/>
      <c r="W850" s="304"/>
      <c r="X850" s="304"/>
      <c r="Y850" s="304"/>
      <c r="Z850" s="305"/>
    </row>
    <row r="851" spans="1:26" x14ac:dyDescent="0.2">
      <c r="A851" s="303"/>
      <c r="B851" s="304"/>
      <c r="C851" s="1178"/>
      <c r="D851" s="438"/>
      <c r="E851" s="451" t="s">
        <v>67</v>
      </c>
      <c r="F851" s="457">
        <f>$G$835*F850/1000/1000</f>
        <v>0</v>
      </c>
      <c r="G851" s="457">
        <f>$H$835*G850/1000/1000</f>
        <v>0</v>
      </c>
      <c r="H851" s="457">
        <f t="shared" ref="H851:N851" si="218">$G$835*H850/1000/1000</f>
        <v>0</v>
      </c>
      <c r="I851" s="457">
        <f t="shared" si="218"/>
        <v>0</v>
      </c>
      <c r="J851" s="457">
        <f t="shared" si="218"/>
        <v>0</v>
      </c>
      <c r="K851" s="457">
        <f t="shared" si="218"/>
        <v>0</v>
      </c>
      <c r="L851" s="457">
        <f t="shared" si="218"/>
        <v>0</v>
      </c>
      <c r="M851" s="457">
        <f t="shared" si="218"/>
        <v>0</v>
      </c>
      <c r="N851" s="457">
        <f t="shared" si="218"/>
        <v>0</v>
      </c>
      <c r="O851" s="304"/>
      <c r="P851" s="304"/>
      <c r="Q851" s="304"/>
      <c r="R851" s="304"/>
      <c r="S851" s="304"/>
      <c r="T851" s="304"/>
      <c r="U851" s="304"/>
      <c r="V851" s="304"/>
      <c r="W851" s="304"/>
      <c r="X851" s="304"/>
      <c r="Y851" s="304"/>
      <c r="Z851" s="305"/>
    </row>
    <row r="852" spans="1:26" x14ac:dyDescent="0.2">
      <c r="A852" s="303"/>
      <c r="B852" s="304"/>
      <c r="C852" s="309"/>
      <c r="D852" s="438"/>
      <c r="E852" s="471" t="s">
        <v>0</v>
      </c>
      <c r="F852" s="486">
        <f>F839+F841+F843+F845+F847+F849+F851</f>
        <v>0</v>
      </c>
      <c r="G852" s="486">
        <f t="shared" ref="G852:N852" si="219">G839+G841+G843+G845+G847+G849+G851</f>
        <v>0</v>
      </c>
      <c r="H852" s="486">
        <f t="shared" si="219"/>
        <v>0</v>
      </c>
      <c r="I852" s="486">
        <f t="shared" si="219"/>
        <v>0</v>
      </c>
      <c r="J852" s="486">
        <f t="shared" si="219"/>
        <v>0</v>
      </c>
      <c r="K852" s="486">
        <f t="shared" si="219"/>
        <v>0</v>
      </c>
      <c r="L852" s="486">
        <f t="shared" si="219"/>
        <v>0</v>
      </c>
      <c r="M852" s="486">
        <f t="shared" si="219"/>
        <v>0</v>
      </c>
      <c r="N852" s="486">
        <f t="shared" si="219"/>
        <v>0</v>
      </c>
      <c r="O852" s="304"/>
      <c r="P852" s="304"/>
      <c r="Q852" s="304"/>
      <c r="R852" s="304"/>
      <c r="S852" s="304"/>
      <c r="T852" s="304"/>
      <c r="U852" s="304"/>
      <c r="V852" s="304"/>
      <c r="W852" s="304"/>
      <c r="X852" s="304"/>
      <c r="Y852" s="304"/>
      <c r="Z852" s="305"/>
    </row>
    <row r="853" spans="1:26" x14ac:dyDescent="0.2">
      <c r="A853" s="303"/>
      <c r="B853" s="304"/>
      <c r="C853" s="472" t="s">
        <v>68</v>
      </c>
      <c r="D853" s="429"/>
      <c r="E853" s="430"/>
      <c r="F853" s="431"/>
      <c r="G853" s="431"/>
      <c r="H853" s="445"/>
      <c r="I853" s="303"/>
      <c r="J853" s="304"/>
      <c r="K853" s="304"/>
      <c r="L853" s="304"/>
      <c r="M853" s="304"/>
      <c r="N853" s="304"/>
      <c r="O853" s="304"/>
      <c r="P853" s="304"/>
      <c r="Q853" s="304"/>
      <c r="R853" s="304"/>
      <c r="S853" s="304"/>
      <c r="T853" s="304"/>
      <c r="U853" s="304"/>
      <c r="V853" s="304"/>
      <c r="W853" s="304"/>
      <c r="X853" s="304"/>
      <c r="Y853" s="304"/>
      <c r="Z853" s="305"/>
    </row>
    <row r="854" spans="1:26" x14ac:dyDescent="0.2">
      <c r="A854" s="303"/>
      <c r="B854" s="304"/>
      <c r="C854" s="304"/>
      <c r="D854" s="429"/>
      <c r="E854" s="430"/>
      <c r="F854" s="431"/>
      <c r="G854" s="431"/>
      <c r="H854" s="445"/>
      <c r="I854" s="303"/>
      <c r="J854" s="304"/>
      <c r="K854" s="304"/>
      <c r="L854" s="304"/>
      <c r="M854" s="304"/>
      <c r="N854" s="304"/>
      <c r="O854" s="304"/>
      <c r="P854" s="304"/>
      <c r="Q854" s="304"/>
      <c r="R854" s="304"/>
      <c r="S854" s="304"/>
      <c r="T854" s="304"/>
      <c r="U854" s="304"/>
      <c r="V854" s="304"/>
      <c r="W854" s="304"/>
      <c r="X854" s="304"/>
      <c r="Y854" s="304"/>
      <c r="Z854" s="305"/>
    </row>
    <row r="855" spans="1:26" x14ac:dyDescent="0.2">
      <c r="A855" s="303"/>
      <c r="B855" s="304"/>
      <c r="C855" s="446" t="s">
        <v>623</v>
      </c>
      <c r="D855" s="429"/>
      <c r="E855" s="430"/>
      <c r="F855" s="304"/>
      <c r="G855" s="431"/>
      <c r="H855" s="1185" t="s">
        <v>224</v>
      </c>
      <c r="I855" s="1186"/>
      <c r="J855" s="1187"/>
      <c r="K855" s="304"/>
      <c r="L855" s="304"/>
      <c r="M855" s="304"/>
      <c r="N855" s="304"/>
      <c r="O855" s="304"/>
      <c r="P855" s="304"/>
      <c r="Q855" s="304"/>
      <c r="R855" s="304"/>
      <c r="S855" s="304"/>
      <c r="T855" s="304"/>
      <c r="U855" s="304"/>
      <c r="V855" s="304"/>
      <c r="W855" s="304"/>
      <c r="X855" s="304"/>
      <c r="Y855" s="304"/>
      <c r="Z855" s="305"/>
    </row>
    <row r="856" spans="1:26" ht="25.5" x14ac:dyDescent="0.2">
      <c r="A856" s="303"/>
      <c r="B856" s="304"/>
      <c r="C856" s="309"/>
      <c r="D856" s="438" t="s">
        <v>205</v>
      </c>
      <c r="E856" s="442" t="s">
        <v>206</v>
      </c>
      <c r="F856" s="443" t="s">
        <v>207</v>
      </c>
      <c r="G856" s="443" t="s">
        <v>208</v>
      </c>
      <c r="H856" s="312" t="s">
        <v>221</v>
      </c>
      <c r="I856" s="447" t="s">
        <v>222</v>
      </c>
      <c r="J856" s="447" t="s">
        <v>223</v>
      </c>
      <c r="K856" s="322"/>
      <c r="L856" s="304"/>
      <c r="M856" s="304"/>
      <c r="N856" s="304"/>
      <c r="O856" s="304"/>
      <c r="P856" s="304"/>
      <c r="Q856" s="304"/>
      <c r="R856" s="304"/>
      <c r="S856" s="304"/>
      <c r="T856" s="304"/>
      <c r="U856" s="304"/>
      <c r="V856" s="304"/>
      <c r="W856" s="304"/>
      <c r="X856" s="304"/>
      <c r="Y856" s="304"/>
      <c r="Z856" s="305"/>
    </row>
    <row r="857" spans="1:26" x14ac:dyDescent="0.2">
      <c r="A857" s="303"/>
      <c r="B857" s="304"/>
      <c r="C857" s="1188" t="s">
        <v>624</v>
      </c>
      <c r="D857" s="438" t="s">
        <v>14</v>
      </c>
      <c r="E857" s="442"/>
      <c r="F857" s="443"/>
      <c r="G857" s="440">
        <f>Calc1!$F$434*Calc1!G441</f>
        <v>0</v>
      </c>
      <c r="H857" s="309">
        <v>70</v>
      </c>
      <c r="I857" s="309">
        <f>H857*G857/1000</f>
        <v>0</v>
      </c>
      <c r="J857" s="351">
        <f>I857*1000/840</f>
        <v>0</v>
      </c>
      <c r="K857" s="304"/>
      <c r="L857" s="304"/>
      <c r="M857" s="304"/>
      <c r="N857" s="304"/>
      <c r="O857" s="304"/>
      <c r="P857" s="304"/>
      <c r="Q857" s="304"/>
      <c r="R857" s="304"/>
      <c r="S857" s="304"/>
      <c r="T857" s="304"/>
      <c r="U857" s="304"/>
      <c r="V857" s="304"/>
      <c r="W857" s="304"/>
      <c r="X857" s="304"/>
      <c r="Y857" s="304"/>
      <c r="Z857" s="305"/>
    </row>
    <row r="858" spans="1:26" x14ac:dyDescent="0.2">
      <c r="A858" s="303"/>
      <c r="B858" s="304"/>
      <c r="C858" s="1188"/>
      <c r="D858" s="438" t="s">
        <v>12</v>
      </c>
      <c r="E858" s="442"/>
      <c r="F858" s="443"/>
      <c r="G858" s="440">
        <f>Calc1!$F$434*Calc1!G442</f>
        <v>0</v>
      </c>
      <c r="H858" s="309">
        <v>60</v>
      </c>
      <c r="I858" s="309">
        <f>H858*G858/1000</f>
        <v>0</v>
      </c>
      <c r="J858" s="351">
        <f t="shared" ref="J858" si="220">I858*1000/840</f>
        <v>0</v>
      </c>
      <c r="K858" s="304"/>
      <c r="L858" s="304"/>
      <c r="M858" s="304"/>
      <c r="N858" s="304"/>
      <c r="O858" s="304"/>
      <c r="P858" s="304"/>
      <c r="Q858" s="304"/>
      <c r="R858" s="304"/>
      <c r="S858" s="304"/>
      <c r="T858" s="304"/>
      <c r="U858" s="304"/>
      <c r="V858" s="304"/>
      <c r="W858" s="304"/>
      <c r="X858" s="304"/>
      <c r="Y858" s="304"/>
      <c r="Z858" s="305"/>
    </row>
    <row r="859" spans="1:26" x14ac:dyDescent="0.2">
      <c r="A859" s="303"/>
      <c r="B859" s="304"/>
      <c r="C859" s="1188"/>
      <c r="D859" s="438" t="s">
        <v>50</v>
      </c>
      <c r="E859" s="442"/>
      <c r="F859" s="443"/>
      <c r="G859" s="440">
        <f>Calc1!$F$434*Calc1!G443</f>
        <v>0</v>
      </c>
      <c r="H859" s="309"/>
      <c r="I859" s="309"/>
      <c r="J859" s="351">
        <f>I859*1000/0.714</f>
        <v>0</v>
      </c>
      <c r="K859" s="304"/>
      <c r="L859" s="304"/>
      <c r="M859" s="304"/>
      <c r="N859" s="304"/>
      <c r="O859" s="304"/>
      <c r="P859" s="304"/>
      <c r="Q859" s="304"/>
      <c r="R859" s="304"/>
      <c r="S859" s="304"/>
      <c r="T859" s="304"/>
      <c r="U859" s="304"/>
      <c r="V859" s="304"/>
      <c r="W859" s="304"/>
      <c r="X859" s="304"/>
      <c r="Y859" s="304"/>
      <c r="Z859" s="305"/>
    </row>
    <row r="860" spans="1:26" x14ac:dyDescent="0.2">
      <c r="A860" s="303"/>
      <c r="B860" s="304"/>
      <c r="C860" s="1188" t="s">
        <v>742</v>
      </c>
      <c r="D860" s="438" t="s">
        <v>14</v>
      </c>
      <c r="E860" s="442"/>
      <c r="F860" s="443"/>
      <c r="G860" s="440">
        <f>Calc1!$F$435*Calc1!H441</f>
        <v>0</v>
      </c>
      <c r="H860" s="309">
        <v>100</v>
      </c>
      <c r="I860" s="309">
        <f>H860*G860/1000</f>
        <v>0</v>
      </c>
      <c r="J860" s="351">
        <f>I860*1000/840</f>
        <v>0</v>
      </c>
      <c r="K860" s="304"/>
      <c r="L860" s="304"/>
      <c r="M860" s="304"/>
      <c r="N860" s="304"/>
      <c r="O860" s="304"/>
      <c r="P860" s="304"/>
      <c r="Q860" s="304"/>
      <c r="R860" s="304"/>
      <c r="S860" s="304"/>
      <c r="T860" s="304"/>
      <c r="U860" s="304"/>
      <c r="V860" s="304"/>
      <c r="W860" s="304"/>
      <c r="X860" s="304"/>
      <c r="Y860" s="304"/>
      <c r="Z860" s="305"/>
    </row>
    <row r="861" spans="1:26" x14ac:dyDescent="0.2">
      <c r="A861" s="303"/>
      <c r="B861" s="304"/>
      <c r="C861" s="1188"/>
      <c r="D861" s="438" t="s">
        <v>12</v>
      </c>
      <c r="E861" s="442"/>
      <c r="F861" s="443"/>
      <c r="G861" s="440">
        <f>Calc1!$F$435*Calc1!H442</f>
        <v>0</v>
      </c>
      <c r="H861" s="309">
        <v>80</v>
      </c>
      <c r="I861" s="309">
        <f>H861*G861/1000</f>
        <v>0</v>
      </c>
      <c r="J861" s="351">
        <f>I861*1000/840</f>
        <v>0</v>
      </c>
      <c r="K861" s="304"/>
      <c r="L861" s="304"/>
      <c r="M861" s="304"/>
      <c r="N861" s="304"/>
      <c r="O861" s="304"/>
      <c r="P861" s="304"/>
      <c r="Q861" s="304"/>
      <c r="R861" s="304"/>
      <c r="S861" s="304"/>
      <c r="T861" s="304"/>
      <c r="U861" s="304"/>
      <c r="V861" s="304"/>
      <c r="W861" s="304"/>
      <c r="X861" s="304"/>
      <c r="Y861" s="304"/>
      <c r="Z861" s="305"/>
    </row>
    <row r="862" spans="1:26" x14ac:dyDescent="0.2">
      <c r="A862" s="303"/>
      <c r="B862" s="304"/>
      <c r="C862" s="1188"/>
      <c r="D862" s="438" t="s">
        <v>50</v>
      </c>
      <c r="E862" s="442"/>
      <c r="F862" s="443"/>
      <c r="G862" s="440">
        <f>Calc1!$F$435*Calc1!H443</f>
        <v>0</v>
      </c>
      <c r="H862" s="309"/>
      <c r="I862" s="309"/>
      <c r="J862" s="351">
        <f>I862*1000/0.714</f>
        <v>0</v>
      </c>
      <c r="K862" s="304"/>
      <c r="L862" s="304"/>
      <c r="M862" s="304"/>
      <c r="N862" s="304"/>
      <c r="O862" s="304"/>
      <c r="P862" s="304"/>
      <c r="Q862" s="304"/>
      <c r="R862" s="304"/>
      <c r="S862" s="304"/>
      <c r="T862" s="304"/>
      <c r="U862" s="304"/>
      <c r="V862" s="304"/>
      <c r="W862" s="304"/>
      <c r="X862" s="304"/>
      <c r="Y862" s="304"/>
      <c r="Z862" s="305"/>
    </row>
    <row r="863" spans="1:26" x14ac:dyDescent="0.2">
      <c r="A863" s="303"/>
      <c r="B863" s="304"/>
      <c r="C863" s="304"/>
      <c r="D863" s="429"/>
      <c r="E863" s="430"/>
      <c r="F863" s="431"/>
      <c r="G863" s="431"/>
      <c r="H863" s="445"/>
      <c r="I863" s="303"/>
      <c r="J863" s="304"/>
      <c r="K863" s="304"/>
      <c r="L863" s="304"/>
      <c r="M863" s="304"/>
      <c r="N863" s="304"/>
      <c r="O863" s="304"/>
      <c r="P863" s="304"/>
      <c r="Q863" s="304"/>
      <c r="R863" s="304"/>
      <c r="S863" s="304"/>
      <c r="T863" s="304"/>
      <c r="U863" s="304"/>
      <c r="V863" s="304"/>
      <c r="W863" s="304"/>
      <c r="X863" s="304"/>
      <c r="Y863" s="304"/>
      <c r="Z863" s="305"/>
    </row>
    <row r="864" spans="1:26" ht="13.5" thickBot="1" x14ac:dyDescent="0.25">
      <c r="A864" s="303"/>
      <c r="B864" s="304"/>
      <c r="C864" s="304"/>
      <c r="D864" s="429"/>
      <c r="E864" s="430"/>
      <c r="F864" s="431"/>
      <c r="G864" s="431"/>
      <c r="H864" s="321"/>
      <c r="I864" s="391"/>
      <c r="J864" s="322"/>
      <c r="K864" s="322"/>
      <c r="L864" s="322"/>
      <c r="M864" s="304"/>
      <c r="N864" s="304"/>
      <c r="O864" s="304"/>
      <c r="P864" s="304"/>
      <c r="Q864" s="304"/>
      <c r="R864" s="304"/>
      <c r="S864" s="304"/>
      <c r="T864" s="304"/>
      <c r="U864" s="304"/>
      <c r="V864" s="304"/>
      <c r="W864" s="304"/>
      <c r="X864" s="304"/>
      <c r="Y864" s="304"/>
      <c r="Z864" s="305"/>
    </row>
    <row r="865" spans="1:26" ht="15.75" x14ac:dyDescent="0.3">
      <c r="A865" s="303"/>
      <c r="B865" s="304"/>
      <c r="C865" s="309"/>
      <c r="D865" s="438" t="s">
        <v>205</v>
      </c>
      <c r="E865" s="442"/>
      <c r="F865" s="310" t="s">
        <v>16</v>
      </c>
      <c r="G865" s="310" t="s">
        <v>17</v>
      </c>
      <c r="H865" s="311" t="s">
        <v>789</v>
      </c>
      <c r="I865" s="449" t="s">
        <v>197</v>
      </c>
      <c r="J865" s="450" t="s">
        <v>180</v>
      </c>
      <c r="K865" s="450" t="s">
        <v>194</v>
      </c>
      <c r="L865" s="450" t="s">
        <v>195</v>
      </c>
      <c r="M865" s="450" t="s">
        <v>196</v>
      </c>
      <c r="N865" s="448"/>
      <c r="O865" s="304"/>
      <c r="P865" s="304"/>
      <c r="Q865" s="304"/>
      <c r="R865" s="304"/>
      <c r="S865" s="304"/>
      <c r="T865" s="304"/>
      <c r="U865" s="304"/>
      <c r="V865" s="304"/>
      <c r="W865" s="304"/>
      <c r="X865" s="304"/>
      <c r="Y865" s="304"/>
      <c r="Z865" s="305"/>
    </row>
    <row r="866" spans="1:26" x14ac:dyDescent="0.2">
      <c r="A866" s="303"/>
      <c r="B866" s="304"/>
      <c r="C866" s="1179" t="str">
        <f>C857</f>
        <v>Hotel/Shared Shuttles</v>
      </c>
      <c r="D866" s="438" t="s">
        <v>14</v>
      </c>
      <c r="E866" s="451" t="s">
        <v>28</v>
      </c>
      <c r="F866" s="373">
        <v>2.2890000000000001</v>
      </c>
      <c r="G866" s="373">
        <v>5.1999999999999995E-4</v>
      </c>
      <c r="H866" s="453">
        <v>2.0000000000000001E-4</v>
      </c>
      <c r="I866" s="454">
        <v>14.5</v>
      </c>
      <c r="J866" s="455">
        <v>14</v>
      </c>
      <c r="K866" s="455">
        <v>132</v>
      </c>
      <c r="L866" s="455">
        <v>3.6999999999999998E-2</v>
      </c>
      <c r="M866" s="455">
        <v>0.04</v>
      </c>
      <c r="N866" s="452">
        <v>3180</v>
      </c>
      <c r="O866" s="304"/>
      <c r="P866" s="304"/>
      <c r="Q866" s="304"/>
      <c r="R866" s="304"/>
      <c r="S866" s="304"/>
      <c r="T866" s="304"/>
      <c r="U866" s="304"/>
      <c r="V866" s="304"/>
      <c r="W866" s="304"/>
      <c r="X866" s="304"/>
      <c r="Y866" s="304"/>
      <c r="Z866" s="305"/>
    </row>
    <row r="867" spans="1:26" x14ac:dyDescent="0.2">
      <c r="A867" s="303"/>
      <c r="B867" s="304"/>
      <c r="C867" s="1179"/>
      <c r="D867" s="438"/>
      <c r="E867" s="451" t="s">
        <v>67</v>
      </c>
      <c r="F867" s="492">
        <f>$J$857*F866/1000</f>
        <v>0</v>
      </c>
      <c r="G867" s="492">
        <f>$J$857*G866/1000</f>
        <v>0</v>
      </c>
      <c r="H867" s="492">
        <f>$J$857*H866/1000</f>
        <v>0</v>
      </c>
      <c r="I867" s="492">
        <f t="shared" ref="I867:N867" si="221">$I$857*I866/1000/1000</f>
        <v>0</v>
      </c>
      <c r="J867" s="492">
        <f t="shared" si="221"/>
        <v>0</v>
      </c>
      <c r="K867" s="492">
        <f t="shared" si="221"/>
        <v>0</v>
      </c>
      <c r="L867" s="492">
        <f t="shared" si="221"/>
        <v>0</v>
      </c>
      <c r="M867" s="492">
        <f t="shared" si="221"/>
        <v>0</v>
      </c>
      <c r="N867" s="492">
        <f t="shared" si="221"/>
        <v>0</v>
      </c>
      <c r="O867" s="304"/>
      <c r="P867" s="304"/>
      <c r="Q867" s="304"/>
      <c r="R867" s="304"/>
      <c r="S867" s="304"/>
      <c r="T867" s="304"/>
      <c r="U867" s="304"/>
      <c r="V867" s="304"/>
      <c r="W867" s="304"/>
      <c r="X867" s="304"/>
      <c r="Y867" s="304"/>
      <c r="Z867" s="305"/>
    </row>
    <row r="868" spans="1:26" x14ac:dyDescent="0.2">
      <c r="A868" s="303"/>
      <c r="B868" s="304"/>
      <c r="C868" s="1179"/>
      <c r="D868" s="438" t="s">
        <v>12</v>
      </c>
      <c r="E868" s="451" t="s">
        <v>29</v>
      </c>
      <c r="F868" s="373">
        <v>2.6629999999999998</v>
      </c>
      <c r="G868" s="493">
        <v>6.7999999999999999E-5</v>
      </c>
      <c r="H868" s="453">
        <v>2.1000000000000001E-4</v>
      </c>
      <c r="I868" s="454">
        <v>11</v>
      </c>
      <c r="J868" s="455">
        <v>1.1000000000000001</v>
      </c>
      <c r="K868" s="455">
        <v>4.7</v>
      </c>
      <c r="L868" s="455">
        <v>1.7</v>
      </c>
      <c r="M868" s="455">
        <v>8.0000000000000002E-3</v>
      </c>
      <c r="N868" s="452">
        <v>3140</v>
      </c>
      <c r="O868" s="304"/>
      <c r="P868" s="304"/>
      <c r="Q868" s="304"/>
      <c r="R868" s="304"/>
      <c r="S868" s="304"/>
      <c r="T868" s="304"/>
      <c r="U868" s="304"/>
      <c r="V868" s="304"/>
      <c r="W868" s="304"/>
      <c r="X868" s="304"/>
      <c r="Y868" s="304"/>
      <c r="Z868" s="305"/>
    </row>
    <row r="869" spans="1:26" x14ac:dyDescent="0.2">
      <c r="A869" s="303"/>
      <c r="B869" s="304"/>
      <c r="C869" s="1179"/>
      <c r="D869" s="438"/>
      <c r="E869" s="451" t="s">
        <v>67</v>
      </c>
      <c r="F869" s="492">
        <f>$J$858*F868/1000</f>
        <v>0</v>
      </c>
      <c r="G869" s="492">
        <f>$J$858*G868/1000</f>
        <v>0</v>
      </c>
      <c r="H869" s="492">
        <f>$J$858*H868/1000</f>
        <v>0</v>
      </c>
      <c r="I869" s="492">
        <f t="shared" ref="I869:N869" si="222">$I$858*I868/1000/1000</f>
        <v>0</v>
      </c>
      <c r="J869" s="492">
        <f t="shared" si="222"/>
        <v>0</v>
      </c>
      <c r="K869" s="492">
        <f t="shared" si="222"/>
        <v>0</v>
      </c>
      <c r="L869" s="492">
        <f t="shared" si="222"/>
        <v>0</v>
      </c>
      <c r="M869" s="492">
        <f t="shared" si="222"/>
        <v>0</v>
      </c>
      <c r="N869" s="492">
        <f t="shared" si="222"/>
        <v>0</v>
      </c>
      <c r="O869" s="304"/>
      <c r="P869" s="304"/>
      <c r="Q869" s="304"/>
      <c r="R869" s="304"/>
      <c r="S869" s="304"/>
      <c r="T869" s="304"/>
      <c r="U869" s="304"/>
      <c r="V869" s="304"/>
      <c r="W869" s="304"/>
      <c r="X869" s="304"/>
      <c r="Y869" s="304"/>
      <c r="Z869" s="305"/>
    </row>
    <row r="870" spans="1:26" x14ac:dyDescent="0.2">
      <c r="A870" s="303"/>
      <c r="B870" s="304"/>
      <c r="C870" s="1179"/>
      <c r="D870" s="438" t="s">
        <v>50</v>
      </c>
      <c r="E870" s="451" t="s">
        <v>193</v>
      </c>
      <c r="F870" s="373">
        <v>1.89E-3</v>
      </c>
      <c r="G870" s="373">
        <v>9.0000000000000002E-6</v>
      </c>
      <c r="H870" s="453">
        <v>5.9999999999999995E-8</v>
      </c>
      <c r="I870" s="462">
        <v>5.6000000000000001E-2</v>
      </c>
      <c r="J870" s="324">
        <v>1.4999999999999999E-2</v>
      </c>
      <c r="K870" s="324">
        <v>0.39500000000000002</v>
      </c>
      <c r="L870" s="324">
        <v>2E-3</v>
      </c>
      <c r="M870" s="463">
        <v>0</v>
      </c>
      <c r="N870" s="461">
        <v>148</v>
      </c>
      <c r="O870" s="304"/>
      <c r="P870" s="304"/>
      <c r="Q870" s="304"/>
      <c r="R870" s="304"/>
      <c r="S870" s="304"/>
      <c r="T870" s="304"/>
      <c r="U870" s="304"/>
      <c r="V870" s="304"/>
      <c r="W870" s="304"/>
      <c r="X870" s="304"/>
      <c r="Y870" s="304"/>
      <c r="Z870" s="305"/>
    </row>
    <row r="871" spans="1:26" x14ac:dyDescent="0.2">
      <c r="A871" s="303"/>
      <c r="B871" s="473"/>
      <c r="C871" s="1179"/>
      <c r="D871" s="438"/>
      <c r="E871" s="451" t="s">
        <v>67</v>
      </c>
      <c r="F871" s="492">
        <f>$J$859*F870/1000</f>
        <v>0</v>
      </c>
      <c r="G871" s="492">
        <f>$J$859*G870/1000</f>
        <v>0</v>
      </c>
      <c r="H871" s="492">
        <f>$J$859*H870/1000</f>
        <v>0</v>
      </c>
      <c r="I871" s="492">
        <f>I870*$G$859/1000/1000</f>
        <v>0</v>
      </c>
      <c r="J871" s="492">
        <f t="shared" ref="J871:N871" si="223">J870*$G$859/1000/1000</f>
        <v>0</v>
      </c>
      <c r="K871" s="492">
        <f t="shared" si="223"/>
        <v>0</v>
      </c>
      <c r="L871" s="492">
        <f t="shared" si="223"/>
        <v>0</v>
      </c>
      <c r="M871" s="492">
        <f t="shared" si="223"/>
        <v>0</v>
      </c>
      <c r="N871" s="492">
        <f t="shared" si="223"/>
        <v>0</v>
      </c>
      <c r="O871" s="304"/>
      <c r="P871" s="304"/>
      <c r="Q871" s="304"/>
      <c r="R871" s="304"/>
      <c r="S871" s="304"/>
      <c r="T871" s="304"/>
      <c r="U871" s="304"/>
      <c r="V871" s="304"/>
      <c r="W871" s="304"/>
      <c r="X871" s="304"/>
      <c r="Y871" s="304"/>
      <c r="Z871" s="305"/>
    </row>
    <row r="872" spans="1:26" x14ac:dyDescent="0.2">
      <c r="A872" s="303"/>
      <c r="B872" s="473"/>
      <c r="C872" s="1179" t="str">
        <f>C860</f>
        <v>Commuter Buses</v>
      </c>
      <c r="D872" s="438" t="s">
        <v>14</v>
      </c>
      <c r="E872" s="451" t="s">
        <v>28</v>
      </c>
      <c r="F872" s="373">
        <v>2.6629999999999998</v>
      </c>
      <c r="G872" s="373">
        <v>6.7999999999999999E-5</v>
      </c>
      <c r="H872" s="453">
        <v>2.1000000000000001E-4</v>
      </c>
      <c r="I872" s="454">
        <v>24</v>
      </c>
      <c r="J872" s="455">
        <v>14</v>
      </c>
      <c r="K872" s="455">
        <v>155</v>
      </c>
      <c r="L872" s="455">
        <v>0.03</v>
      </c>
      <c r="M872" s="455">
        <v>0.04</v>
      </c>
      <c r="N872" s="452">
        <v>3180</v>
      </c>
      <c r="O872" s="304"/>
      <c r="P872" s="304"/>
      <c r="Q872" s="304"/>
      <c r="R872" s="304"/>
      <c r="S872" s="304"/>
      <c r="T872" s="304"/>
      <c r="U872" s="304"/>
      <c r="V872" s="304"/>
      <c r="W872" s="304"/>
      <c r="X872" s="304"/>
      <c r="Y872" s="304"/>
      <c r="Z872" s="305"/>
    </row>
    <row r="873" spans="1:26" x14ac:dyDescent="0.2">
      <c r="A873" s="303"/>
      <c r="B873" s="304"/>
      <c r="C873" s="1179"/>
      <c r="D873" s="438"/>
      <c r="E873" s="451" t="s">
        <v>67</v>
      </c>
      <c r="F873" s="492">
        <f>$J$860*F872/1000</f>
        <v>0</v>
      </c>
      <c r="G873" s="492">
        <f>$J$860*G872/1000</f>
        <v>0</v>
      </c>
      <c r="H873" s="492">
        <f>$J$860*H872/1000</f>
        <v>0</v>
      </c>
      <c r="I873" s="492">
        <f t="shared" ref="I873:N873" si="224">$I$860*I872/1000/1000</f>
        <v>0</v>
      </c>
      <c r="J873" s="492">
        <f t="shared" si="224"/>
        <v>0</v>
      </c>
      <c r="K873" s="492">
        <f t="shared" si="224"/>
        <v>0</v>
      </c>
      <c r="L873" s="492">
        <f t="shared" si="224"/>
        <v>0</v>
      </c>
      <c r="M873" s="492">
        <f t="shared" si="224"/>
        <v>0</v>
      </c>
      <c r="N873" s="492">
        <f t="shared" si="224"/>
        <v>0</v>
      </c>
      <c r="O873" s="304"/>
      <c r="P873" s="304"/>
      <c r="Q873" s="304"/>
      <c r="R873" s="304"/>
      <c r="S873" s="304"/>
      <c r="T873" s="304"/>
      <c r="U873" s="304"/>
      <c r="V873" s="304"/>
      <c r="W873" s="304"/>
      <c r="X873" s="304"/>
      <c r="Y873" s="304"/>
      <c r="Z873" s="305"/>
    </row>
    <row r="874" spans="1:26" x14ac:dyDescent="0.2">
      <c r="A874" s="303"/>
      <c r="B874" s="304"/>
      <c r="C874" s="1179"/>
      <c r="D874" s="438" t="s">
        <v>12</v>
      </c>
      <c r="E874" s="451" t="s">
        <v>29</v>
      </c>
      <c r="F874" s="373">
        <v>2.6629999999999998</v>
      </c>
      <c r="G874" s="373">
        <v>6.7999999999999999E-5</v>
      </c>
      <c r="H874" s="453">
        <v>2.1000000000000001E-4</v>
      </c>
      <c r="I874" s="454">
        <v>15</v>
      </c>
      <c r="J874" s="455">
        <v>1.75</v>
      </c>
      <c r="K874" s="455">
        <v>11</v>
      </c>
      <c r="L874" s="455">
        <v>2.8</v>
      </c>
      <c r="M874" s="455">
        <v>8.0000000000000002E-3</v>
      </c>
      <c r="N874" s="452">
        <v>3140</v>
      </c>
      <c r="O874" s="304"/>
      <c r="P874" s="304"/>
      <c r="Q874" s="304"/>
      <c r="R874" s="304"/>
      <c r="S874" s="304"/>
      <c r="T874" s="304"/>
      <c r="U874" s="304"/>
      <c r="V874" s="304"/>
      <c r="W874" s="304"/>
      <c r="X874" s="304"/>
      <c r="Y874" s="304"/>
      <c r="Z874" s="305"/>
    </row>
    <row r="875" spans="1:26" x14ac:dyDescent="0.2">
      <c r="A875" s="303"/>
      <c r="B875" s="304"/>
      <c r="C875" s="1179"/>
      <c r="D875" s="438"/>
      <c r="E875" s="451" t="s">
        <v>67</v>
      </c>
      <c r="F875" s="492">
        <f>$J$861*F874/1000</f>
        <v>0</v>
      </c>
      <c r="G875" s="492">
        <f>$J$861*G874/1000</f>
        <v>0</v>
      </c>
      <c r="H875" s="492">
        <f>$J$861*H874/1000</f>
        <v>0</v>
      </c>
      <c r="I875" s="492">
        <f t="shared" ref="I875:N875" si="225">$I$861*I874/1000/1000</f>
        <v>0</v>
      </c>
      <c r="J875" s="492">
        <f t="shared" si="225"/>
        <v>0</v>
      </c>
      <c r="K875" s="492">
        <f t="shared" si="225"/>
        <v>0</v>
      </c>
      <c r="L875" s="492">
        <f t="shared" si="225"/>
        <v>0</v>
      </c>
      <c r="M875" s="492">
        <f t="shared" si="225"/>
        <v>0</v>
      </c>
      <c r="N875" s="492">
        <f t="shared" si="225"/>
        <v>0</v>
      </c>
      <c r="O875" s="304"/>
      <c r="P875" s="304"/>
      <c r="Q875" s="304"/>
      <c r="R875" s="304"/>
      <c r="S875" s="304"/>
      <c r="T875" s="304"/>
      <c r="U875" s="304"/>
      <c r="V875" s="304"/>
      <c r="W875" s="304"/>
      <c r="X875" s="304"/>
      <c r="Y875" s="304"/>
      <c r="Z875" s="305"/>
    </row>
    <row r="876" spans="1:26" x14ac:dyDescent="0.2">
      <c r="A876" s="303"/>
      <c r="B876" s="304"/>
      <c r="C876" s="1179"/>
      <c r="D876" s="438" t="s">
        <v>50</v>
      </c>
      <c r="E876" s="451" t="s">
        <v>193</v>
      </c>
      <c r="F876" s="373">
        <v>1.89E-3</v>
      </c>
      <c r="G876" s="373">
        <v>9.0000000000000002E-6</v>
      </c>
      <c r="H876" s="453">
        <v>5.9999999999999995E-8</v>
      </c>
      <c r="I876" s="454">
        <f t="shared" ref="I876:N876" si="226">I710</f>
        <v>13</v>
      </c>
      <c r="J876" s="455">
        <f t="shared" si="226"/>
        <v>0.26</v>
      </c>
      <c r="K876" s="455">
        <f t="shared" si="226"/>
        <v>5.7</v>
      </c>
      <c r="L876" s="455">
        <f t="shared" si="226"/>
        <v>0.02</v>
      </c>
      <c r="M876" s="455">
        <f t="shared" si="226"/>
        <v>8.0000000000000002E-3</v>
      </c>
      <c r="N876" s="452">
        <f t="shared" si="226"/>
        <v>2750</v>
      </c>
      <c r="O876" s="304"/>
      <c r="P876" s="304"/>
      <c r="Q876" s="304"/>
      <c r="R876" s="304"/>
      <c r="S876" s="304"/>
      <c r="T876" s="304"/>
      <c r="U876" s="304"/>
      <c r="V876" s="304"/>
      <c r="W876" s="304"/>
      <c r="X876" s="304"/>
      <c r="Y876" s="304"/>
      <c r="Z876" s="305"/>
    </row>
    <row r="877" spans="1:26" x14ac:dyDescent="0.2">
      <c r="A877" s="303"/>
      <c r="B877" s="304"/>
      <c r="C877" s="1179"/>
      <c r="D877" s="438"/>
      <c r="E877" s="451" t="s">
        <v>67</v>
      </c>
      <c r="F877" s="492">
        <f>$J$862*F876/1000</f>
        <v>0</v>
      </c>
      <c r="G877" s="492">
        <f>$J$862*G876/1000</f>
        <v>0</v>
      </c>
      <c r="H877" s="492">
        <f>$J$862*H876/1000</f>
        <v>0</v>
      </c>
      <c r="I877" s="492">
        <f>$G$862*I876/1000</f>
        <v>0</v>
      </c>
      <c r="J877" s="492">
        <f t="shared" ref="J877:N877" si="227">$G$862*J876/1000</f>
        <v>0</v>
      </c>
      <c r="K877" s="492">
        <f t="shared" si="227"/>
        <v>0</v>
      </c>
      <c r="L877" s="492">
        <f t="shared" si="227"/>
        <v>0</v>
      </c>
      <c r="M877" s="492">
        <f t="shared" si="227"/>
        <v>0</v>
      </c>
      <c r="N877" s="492">
        <f t="shared" si="227"/>
        <v>0</v>
      </c>
      <c r="O877" s="304"/>
      <c r="P877" s="304"/>
      <c r="Q877" s="304"/>
      <c r="R877" s="304"/>
      <c r="S877" s="304"/>
      <c r="T877" s="304"/>
      <c r="U877" s="304"/>
      <c r="V877" s="304"/>
      <c r="W877" s="304"/>
      <c r="X877" s="304"/>
      <c r="Y877" s="304"/>
      <c r="Z877" s="305"/>
    </row>
    <row r="878" spans="1:26" x14ac:dyDescent="0.2">
      <c r="A878" s="303"/>
      <c r="B878" s="304"/>
      <c r="C878" s="309"/>
      <c r="D878" s="438"/>
      <c r="E878" s="471" t="s">
        <v>0</v>
      </c>
      <c r="F878" s="492">
        <f>F867+F869+F871+F873+F875+F877</f>
        <v>0</v>
      </c>
      <c r="G878" s="492">
        <f t="shared" ref="G878:N878" si="228">G867+G869+G871+G873+G875+G877</f>
        <v>0</v>
      </c>
      <c r="H878" s="492">
        <f t="shared" si="228"/>
        <v>0</v>
      </c>
      <c r="I878" s="492">
        <f t="shared" si="228"/>
        <v>0</v>
      </c>
      <c r="J878" s="492">
        <f t="shared" si="228"/>
        <v>0</v>
      </c>
      <c r="K878" s="492">
        <f t="shared" si="228"/>
        <v>0</v>
      </c>
      <c r="L878" s="492">
        <f t="shared" si="228"/>
        <v>0</v>
      </c>
      <c r="M878" s="492">
        <f t="shared" si="228"/>
        <v>0</v>
      </c>
      <c r="N878" s="492">
        <f t="shared" si="228"/>
        <v>0</v>
      </c>
      <c r="O878" s="304"/>
      <c r="P878" s="304"/>
      <c r="Q878" s="304"/>
      <c r="R878" s="304"/>
      <c r="S878" s="304"/>
      <c r="T878" s="304"/>
      <c r="U878" s="304"/>
      <c r="V878" s="304"/>
      <c r="W878" s="304"/>
      <c r="X878" s="304"/>
      <c r="Y878" s="304"/>
      <c r="Z878" s="305"/>
    </row>
    <row r="879" spans="1:26" x14ac:dyDescent="0.2">
      <c r="A879" s="303"/>
      <c r="B879" s="304"/>
      <c r="C879" s="472" t="s">
        <v>68</v>
      </c>
      <c r="D879" s="429"/>
      <c r="E879" s="430"/>
      <c r="F879" s="431"/>
      <c r="G879" s="431"/>
      <c r="H879" s="445"/>
      <c r="I879" s="303"/>
      <c r="J879" s="304"/>
      <c r="K879" s="304"/>
      <c r="L879" s="304"/>
      <c r="M879" s="304"/>
      <c r="N879" s="304"/>
      <c r="O879" s="304"/>
      <c r="P879" s="304"/>
      <c r="Q879" s="304"/>
      <c r="R879" s="304"/>
      <c r="S879" s="304"/>
      <c r="T879" s="304"/>
      <c r="U879" s="304"/>
      <c r="V879" s="304"/>
      <c r="W879" s="304"/>
      <c r="X879" s="304"/>
      <c r="Y879" s="304"/>
      <c r="Z879" s="305"/>
    </row>
    <row r="880" spans="1:26" x14ac:dyDescent="0.2">
      <c r="A880" s="303"/>
      <c r="B880" s="304"/>
      <c r="C880" s="472"/>
      <c r="D880" s="429"/>
      <c r="E880" s="430"/>
      <c r="F880" s="431"/>
      <c r="G880" s="431"/>
      <c r="H880" s="445"/>
      <c r="I880" s="303"/>
      <c r="J880" s="303"/>
      <c r="K880" s="304"/>
      <c r="L880" s="304"/>
      <c r="M880" s="304"/>
      <c r="N880" s="304"/>
      <c r="O880" s="304"/>
      <c r="P880" s="304"/>
      <c r="Q880" s="304"/>
      <c r="R880" s="304"/>
      <c r="S880" s="304"/>
      <c r="T880" s="304"/>
      <c r="U880" s="304"/>
      <c r="V880" s="304"/>
      <c r="W880" s="304"/>
      <c r="X880" s="304"/>
      <c r="Y880" s="304"/>
      <c r="Z880" s="305"/>
    </row>
    <row r="881" spans="1:26" x14ac:dyDescent="0.2">
      <c r="A881" s="303"/>
      <c r="B881" s="304"/>
      <c r="C881" s="472"/>
      <c r="D881" s="429"/>
      <c r="E881" s="430"/>
      <c r="F881" s="431"/>
      <c r="G881" s="431"/>
      <c r="H881" s="445"/>
      <c r="I881" s="303"/>
      <c r="J881" s="303"/>
      <c r="K881" s="304"/>
      <c r="L881" s="304"/>
      <c r="M881" s="304"/>
      <c r="N881" s="304"/>
      <c r="O881" s="304"/>
      <c r="P881" s="304"/>
      <c r="Q881" s="304"/>
      <c r="R881" s="304"/>
      <c r="S881" s="304"/>
      <c r="T881" s="304"/>
      <c r="U881" s="304"/>
      <c r="V881" s="304"/>
      <c r="W881" s="304"/>
      <c r="X881" s="304"/>
      <c r="Y881" s="304"/>
      <c r="Z881" s="305"/>
    </row>
    <row r="882" spans="1:26" x14ac:dyDescent="0.2">
      <c r="A882" s="303"/>
      <c r="B882" s="304"/>
      <c r="C882" s="472"/>
      <c r="D882" s="429"/>
      <c r="E882" s="430"/>
      <c r="F882" s="431"/>
      <c r="G882" s="431"/>
      <c r="H882" s="445"/>
      <c r="I882" s="303"/>
      <c r="J882" s="303"/>
      <c r="K882" s="304"/>
      <c r="L882" s="304"/>
      <c r="M882" s="304"/>
      <c r="N882" s="304"/>
      <c r="O882" s="304"/>
      <c r="P882" s="304"/>
      <c r="Q882" s="304"/>
      <c r="R882" s="304"/>
      <c r="S882" s="304"/>
      <c r="T882" s="304"/>
      <c r="U882" s="304"/>
      <c r="V882" s="304"/>
      <c r="W882" s="304"/>
      <c r="X882" s="304"/>
      <c r="Y882" s="304"/>
      <c r="Z882" s="305"/>
    </row>
    <row r="883" spans="1:26" x14ac:dyDescent="0.2">
      <c r="A883" s="303"/>
      <c r="B883" s="304"/>
      <c r="C883" s="472"/>
      <c r="D883" s="429"/>
      <c r="E883" s="430"/>
      <c r="F883" s="431"/>
      <c r="G883" s="431"/>
      <c r="H883" s="445"/>
      <c r="I883" s="303"/>
      <c r="J883" s="304"/>
      <c r="K883" s="304"/>
      <c r="L883" s="304"/>
      <c r="M883" s="304"/>
      <c r="N883" s="304"/>
      <c r="O883" s="304"/>
      <c r="P883" s="304"/>
      <c r="Q883" s="304"/>
      <c r="R883" s="304"/>
      <c r="S883" s="304"/>
      <c r="T883" s="304"/>
      <c r="U883" s="304"/>
      <c r="V883" s="304"/>
      <c r="W883" s="304"/>
      <c r="X883" s="304"/>
      <c r="Y883" s="304"/>
      <c r="Z883" s="305"/>
    </row>
    <row r="884" spans="1:26" x14ac:dyDescent="0.2">
      <c r="A884" s="303"/>
      <c r="B884" s="304"/>
      <c r="C884" s="472"/>
      <c r="D884" s="429"/>
      <c r="E884" s="430"/>
      <c r="F884" s="431"/>
      <c r="G884" s="431"/>
      <c r="H884" s="445"/>
      <c r="I884" s="303"/>
      <c r="J884" s="303"/>
      <c r="K884" s="303"/>
      <c r="L884" s="303"/>
      <c r="M884" s="303"/>
      <c r="N884" s="304"/>
      <c r="O884" s="304"/>
      <c r="P884" s="304"/>
      <c r="Q884" s="304"/>
      <c r="R884" s="304"/>
      <c r="S884" s="304"/>
      <c r="T884" s="304"/>
      <c r="U884" s="304"/>
      <c r="V884" s="304"/>
      <c r="W884" s="304"/>
      <c r="X884" s="304"/>
      <c r="Y884" s="304"/>
      <c r="Z884" s="305"/>
    </row>
    <row r="885" spans="1:26" x14ac:dyDescent="0.2">
      <c r="A885" s="303"/>
      <c r="B885" s="321"/>
      <c r="C885" s="304"/>
      <c r="D885" s="304"/>
      <c r="E885" s="304"/>
      <c r="F885" s="304"/>
      <c r="G885" s="304"/>
      <c r="H885" s="304"/>
      <c r="I885" s="303"/>
      <c r="J885" s="303"/>
      <c r="K885" s="303"/>
      <c r="L885" s="303"/>
      <c r="M885" s="303"/>
      <c r="N885" s="304"/>
      <c r="O885" s="304"/>
      <c r="P885" s="304"/>
      <c r="Q885" s="304"/>
      <c r="R885" s="304"/>
      <c r="S885" s="304"/>
      <c r="T885" s="304"/>
      <c r="U885" s="304"/>
      <c r="V885" s="304"/>
      <c r="W885" s="304"/>
      <c r="X885" s="304"/>
      <c r="Y885" s="304"/>
      <c r="Z885" s="305"/>
    </row>
    <row r="886" spans="1:26" x14ac:dyDescent="0.2">
      <c r="A886" s="303"/>
      <c r="B886" s="321"/>
      <c r="C886" s="446" t="s">
        <v>655</v>
      </c>
      <c r="D886" s="429"/>
      <c r="E886" s="430"/>
      <c r="F886" s="304"/>
      <c r="G886" s="431"/>
      <c r="H886" s="303" t="s">
        <v>1536</v>
      </c>
      <c r="I886" s="303"/>
      <c r="J886" s="303"/>
      <c r="K886" s="303"/>
      <c r="L886" s="303"/>
      <c r="M886" s="303"/>
      <c r="N886" s="304"/>
      <c r="O886" s="304"/>
      <c r="P886" s="304"/>
      <c r="Q886" s="304"/>
      <c r="R886" s="304"/>
      <c r="S886" s="304"/>
      <c r="T886" s="304"/>
      <c r="U886" s="304"/>
      <c r="V886" s="304"/>
      <c r="W886" s="304"/>
      <c r="X886" s="304"/>
      <c r="Y886" s="304"/>
      <c r="Z886" s="305"/>
    </row>
    <row r="887" spans="1:26" ht="25.5" x14ac:dyDescent="0.2">
      <c r="A887" s="303"/>
      <c r="B887" s="321"/>
      <c r="C887" s="309"/>
      <c r="D887" s="438" t="s">
        <v>205</v>
      </c>
      <c r="E887" s="442" t="s">
        <v>730</v>
      </c>
      <c r="F887" s="443" t="s">
        <v>731</v>
      </c>
      <c r="G887" s="539" t="s">
        <v>734</v>
      </c>
      <c r="H887" s="540"/>
      <c r="I887" s="518" t="s">
        <v>1506</v>
      </c>
      <c r="J887" s="520" t="s">
        <v>1511</v>
      </c>
      <c r="K887" s="521" t="s">
        <v>1512</v>
      </c>
      <c r="L887" s="521" t="s">
        <v>1513</v>
      </c>
      <c r="M887" s="426" t="s">
        <v>1514</v>
      </c>
      <c r="N887" s="304"/>
      <c r="O887" s="304"/>
      <c r="P887" s="304"/>
      <c r="Q887" s="304"/>
      <c r="R887" s="304"/>
      <c r="S887" s="304"/>
      <c r="T887" s="304"/>
      <c r="U887" s="304"/>
      <c r="V887" s="304"/>
      <c r="W887" s="304"/>
      <c r="X887" s="304"/>
      <c r="Y887" s="304"/>
      <c r="Z887" s="305"/>
    </row>
    <row r="888" spans="1:26" x14ac:dyDescent="0.2">
      <c r="A888" s="303"/>
      <c r="B888" s="321"/>
      <c r="C888" s="494" t="s">
        <v>733</v>
      </c>
      <c r="D888" s="438" t="s">
        <v>12</v>
      </c>
      <c r="E888" s="439">
        <f>Calc1!K436*Calc1!E451</f>
        <v>0</v>
      </c>
      <c r="F888" s="443">
        <v>219</v>
      </c>
      <c r="G888" s="539">
        <f>E888*F888/1000</f>
        <v>0</v>
      </c>
      <c r="H888" s="541" t="s">
        <v>1509</v>
      </c>
      <c r="I888" s="444">
        <f>+Calc1!F436</f>
        <v>0</v>
      </c>
      <c r="J888" s="527">
        <f>Stat!$I$49</f>
        <v>13.6122</v>
      </c>
      <c r="K888" s="522">
        <f>J888*I888</f>
        <v>0</v>
      </c>
      <c r="L888" s="523">
        <f>$E$142</f>
        <v>3.4439500000000001E-5</v>
      </c>
      <c r="M888" s="542">
        <f>L888*K888</f>
        <v>0</v>
      </c>
      <c r="N888" s="304"/>
      <c r="O888" s="304"/>
      <c r="P888" s="304"/>
      <c r="Q888" s="304"/>
      <c r="R888" s="304"/>
      <c r="S888" s="304"/>
      <c r="T888" s="304"/>
      <c r="U888" s="304"/>
      <c r="V888" s="304"/>
      <c r="W888" s="304"/>
      <c r="X888" s="304"/>
      <c r="Y888" s="304"/>
      <c r="Z888" s="305"/>
    </row>
    <row r="889" spans="1:26" ht="14.25" x14ac:dyDescent="0.2">
      <c r="A889" s="303"/>
      <c r="B889" s="321"/>
      <c r="C889" s="349" t="s">
        <v>729</v>
      </c>
      <c r="D889" s="438" t="s">
        <v>12</v>
      </c>
      <c r="E889" s="439">
        <f>Calc1!K437*Calc1!F451</f>
        <v>0</v>
      </c>
      <c r="F889" s="443">
        <v>53.6</v>
      </c>
      <c r="G889" s="539">
        <f t="shared" ref="G889" si="229">E889*F889/1000</f>
        <v>0</v>
      </c>
      <c r="H889" s="541" t="s">
        <v>1510</v>
      </c>
      <c r="I889" s="444">
        <f>+Calc1!F437</f>
        <v>0</v>
      </c>
      <c r="J889" s="527">
        <f>Stat!$I$48</f>
        <v>4.2503400000000005</v>
      </c>
      <c r="K889" s="522">
        <f>J889*I889</f>
        <v>0</v>
      </c>
      <c r="L889" s="523">
        <f>$E$142</f>
        <v>3.4439500000000001E-5</v>
      </c>
      <c r="M889" s="542">
        <f>L889*K889</f>
        <v>0</v>
      </c>
      <c r="N889" s="304"/>
      <c r="O889" s="304"/>
      <c r="P889" s="304"/>
      <c r="Q889" s="304"/>
      <c r="R889" s="304"/>
      <c r="S889" s="304"/>
      <c r="T889" s="304"/>
      <c r="U889" s="304"/>
      <c r="V889" s="304"/>
      <c r="W889" s="304"/>
      <c r="X889" s="304"/>
      <c r="Y889" s="304"/>
      <c r="Z889" s="305"/>
    </row>
    <row r="890" spans="1:26" x14ac:dyDescent="0.2">
      <c r="A890" s="303"/>
      <c r="B890" s="321"/>
      <c r="C890" s="304" t="s">
        <v>736</v>
      </c>
      <c r="D890" s="429"/>
      <c r="E890" s="430"/>
      <c r="F890" s="431"/>
      <c r="G890" s="431"/>
      <c r="H890" s="321"/>
      <c r="I890" s="391"/>
      <c r="J890" s="322"/>
      <c r="K890" s="322"/>
      <c r="L890" s="322"/>
      <c r="M890" s="304"/>
      <c r="N890" s="304"/>
      <c r="O890" s="304"/>
      <c r="P890" s="304"/>
      <c r="Q890" s="304"/>
      <c r="R890" s="304"/>
      <c r="S890" s="304"/>
      <c r="T890" s="304"/>
      <c r="U890" s="304"/>
      <c r="V890" s="304"/>
      <c r="W890" s="304"/>
      <c r="X890" s="304"/>
      <c r="Y890" s="304"/>
      <c r="Z890" s="305"/>
    </row>
    <row r="891" spans="1:26" ht="13.5" thickBot="1" x14ac:dyDescent="0.25">
      <c r="A891" s="303"/>
      <c r="B891" s="321"/>
      <c r="C891" s="304"/>
      <c r="D891" s="429"/>
      <c r="E891" s="430"/>
      <c r="F891" s="431"/>
      <c r="G891" s="431"/>
      <c r="H891" s="321"/>
      <c r="I891" s="391"/>
      <c r="J891" s="322"/>
      <c r="K891" s="322"/>
      <c r="L891" s="322"/>
      <c r="M891" s="304"/>
      <c r="N891" s="304"/>
      <c r="O891" s="304"/>
      <c r="P891" s="304"/>
      <c r="Q891" s="304"/>
      <c r="R891" s="304"/>
      <c r="S891" s="304"/>
      <c r="T891" s="304"/>
      <c r="U891" s="304"/>
      <c r="V891" s="304"/>
      <c r="W891" s="304"/>
      <c r="X891" s="304"/>
      <c r="Y891" s="304"/>
      <c r="Z891" s="305"/>
    </row>
    <row r="892" spans="1:26" ht="15.75" x14ac:dyDescent="0.3">
      <c r="A892" s="303"/>
      <c r="B892" s="321"/>
      <c r="C892" s="309"/>
      <c r="D892" s="438" t="s">
        <v>205</v>
      </c>
      <c r="E892" s="442"/>
      <c r="F892" s="310" t="s">
        <v>16</v>
      </c>
      <c r="G892" s="310" t="s">
        <v>17</v>
      </c>
      <c r="H892" s="311" t="s">
        <v>789</v>
      </c>
      <c r="I892" s="449" t="s">
        <v>197</v>
      </c>
      <c r="J892" s="450" t="s">
        <v>180</v>
      </c>
      <c r="K892" s="450" t="s">
        <v>194</v>
      </c>
      <c r="L892" s="450" t="s">
        <v>195</v>
      </c>
      <c r="M892" s="450" t="s">
        <v>196</v>
      </c>
      <c r="N892" s="448"/>
      <c r="O892" s="304"/>
      <c r="P892" s="304"/>
      <c r="Q892" s="304"/>
      <c r="R892" s="304"/>
      <c r="S892" s="304"/>
      <c r="T892" s="304"/>
      <c r="U892" s="304"/>
      <c r="V892" s="304"/>
      <c r="W892" s="304"/>
      <c r="X892" s="304"/>
      <c r="Y892" s="304"/>
      <c r="Z892" s="305"/>
    </row>
    <row r="893" spans="1:26" x14ac:dyDescent="0.2">
      <c r="A893" s="303"/>
      <c r="B893" s="321"/>
      <c r="C893" s="1184" t="str">
        <f>C888</f>
        <v>Line Haul</v>
      </c>
      <c r="D893" s="438" t="s">
        <v>12</v>
      </c>
      <c r="E893" s="451" t="s">
        <v>735</v>
      </c>
      <c r="F893" s="387">
        <v>3140</v>
      </c>
      <c r="G893" s="387">
        <f>182/1000</f>
        <v>0.182</v>
      </c>
      <c r="H893" s="495">
        <f>24/1000</f>
        <v>2.4E-2</v>
      </c>
      <c r="I893" s="496">
        <v>63</v>
      </c>
      <c r="J893" s="387">
        <v>4.8</v>
      </c>
      <c r="K893" s="387">
        <v>18</v>
      </c>
      <c r="L893" s="387">
        <v>1.2</v>
      </c>
      <c r="M893" s="387"/>
      <c r="N893" s="497"/>
      <c r="O893" s="304"/>
      <c r="P893" s="304"/>
      <c r="Q893" s="304"/>
      <c r="R893" s="304"/>
      <c r="S893" s="304"/>
      <c r="T893" s="304"/>
      <c r="U893" s="304"/>
      <c r="V893" s="304"/>
      <c r="W893" s="304"/>
      <c r="X893" s="304"/>
      <c r="Y893" s="304"/>
      <c r="Z893" s="305"/>
    </row>
    <row r="894" spans="1:26" x14ac:dyDescent="0.2">
      <c r="A894" s="303"/>
      <c r="B894" s="321"/>
      <c r="C894" s="1184"/>
      <c r="D894" s="438"/>
      <c r="E894" s="451" t="s">
        <v>67</v>
      </c>
      <c r="F894" s="467">
        <f>$G$888*F893/1000</f>
        <v>0</v>
      </c>
      <c r="G894" s="467">
        <f t="shared" ref="G894:M894" si="230">$G$888*G893/1000</f>
        <v>0</v>
      </c>
      <c r="H894" s="467">
        <f t="shared" si="230"/>
        <v>0</v>
      </c>
      <c r="I894" s="467">
        <f t="shared" si="230"/>
        <v>0</v>
      </c>
      <c r="J894" s="467">
        <f t="shared" si="230"/>
        <v>0</v>
      </c>
      <c r="K894" s="467">
        <f t="shared" si="230"/>
        <v>0</v>
      </c>
      <c r="L894" s="467">
        <f t="shared" si="230"/>
        <v>0</v>
      </c>
      <c r="M894" s="467">
        <f t="shared" si="230"/>
        <v>0</v>
      </c>
      <c r="N894" s="467">
        <f>$I$692*N893/1000/1000</f>
        <v>0</v>
      </c>
      <c r="O894" s="304"/>
      <c r="P894" s="304"/>
      <c r="Q894" s="304"/>
      <c r="R894" s="304"/>
      <c r="S894" s="304"/>
      <c r="T894" s="304"/>
      <c r="U894" s="304"/>
      <c r="V894" s="304"/>
      <c r="W894" s="304"/>
      <c r="X894" s="304"/>
      <c r="Y894" s="304"/>
      <c r="Z894" s="305"/>
    </row>
    <row r="895" spans="1:26" x14ac:dyDescent="0.2">
      <c r="A895" s="303"/>
      <c r="B895" s="321"/>
      <c r="C895" s="1183" t="s">
        <v>729</v>
      </c>
      <c r="D895" s="438" t="s">
        <v>12</v>
      </c>
      <c r="E895" s="451" t="s">
        <v>735</v>
      </c>
      <c r="F895" s="498">
        <v>3140</v>
      </c>
      <c r="G895" s="498">
        <f>179/1000</f>
        <v>0.17899999999999999</v>
      </c>
      <c r="H895" s="498">
        <f>24/1000</f>
        <v>2.4E-2</v>
      </c>
      <c r="I895" s="498">
        <v>39.9</v>
      </c>
      <c r="J895" s="498">
        <v>4.7</v>
      </c>
      <c r="K895" s="498">
        <v>10.8</v>
      </c>
      <c r="L895" s="498">
        <v>1.1000000000000001</v>
      </c>
      <c r="M895" s="467"/>
      <c r="N895" s="467"/>
      <c r="O895" s="304"/>
      <c r="P895" s="304"/>
      <c r="Q895" s="304"/>
      <c r="R895" s="304"/>
      <c r="S895" s="304"/>
      <c r="T895" s="304"/>
      <c r="U895" s="304"/>
      <c r="V895" s="304"/>
      <c r="W895" s="304"/>
      <c r="X895" s="304"/>
      <c r="Y895" s="304"/>
      <c r="Z895" s="305"/>
    </row>
    <row r="896" spans="1:26" x14ac:dyDescent="0.2">
      <c r="A896" s="303"/>
      <c r="B896" s="321"/>
      <c r="C896" s="1183"/>
      <c r="D896" s="438"/>
      <c r="E896" s="451" t="s">
        <v>67</v>
      </c>
      <c r="F896" s="467">
        <f>$G$889*F895/1000</f>
        <v>0</v>
      </c>
      <c r="G896" s="467">
        <f t="shared" ref="G896:N896" si="231">$G$889*G895/1000</f>
        <v>0</v>
      </c>
      <c r="H896" s="467">
        <f t="shared" si="231"/>
        <v>0</v>
      </c>
      <c r="I896" s="467">
        <f t="shared" si="231"/>
        <v>0</v>
      </c>
      <c r="J896" s="467">
        <f t="shared" si="231"/>
        <v>0</v>
      </c>
      <c r="K896" s="467">
        <f t="shared" si="231"/>
        <v>0</v>
      </c>
      <c r="L896" s="467">
        <f t="shared" si="231"/>
        <v>0</v>
      </c>
      <c r="M896" s="467">
        <f t="shared" si="231"/>
        <v>0</v>
      </c>
      <c r="N896" s="467">
        <f t="shared" si="231"/>
        <v>0</v>
      </c>
      <c r="O896" s="304"/>
      <c r="P896" s="304"/>
      <c r="Q896" s="304"/>
      <c r="R896" s="304"/>
      <c r="S896" s="304"/>
      <c r="T896" s="304"/>
      <c r="U896" s="304"/>
      <c r="V896" s="304"/>
      <c r="W896" s="304"/>
      <c r="X896" s="304"/>
      <c r="Y896" s="304"/>
      <c r="Z896" s="305"/>
    </row>
    <row r="897" spans="1:26" x14ac:dyDescent="0.2">
      <c r="A897" s="303"/>
      <c r="B897" s="321"/>
      <c r="C897" s="304"/>
      <c r="D897" s="429"/>
      <c r="E897" s="430" t="s">
        <v>192</v>
      </c>
      <c r="F897" s="492">
        <f>F894+F896+M888+M889</f>
        <v>0</v>
      </c>
      <c r="G897" s="492">
        <f t="shared" ref="G897:N897" si="232">G894+G896</f>
        <v>0</v>
      </c>
      <c r="H897" s="492">
        <f t="shared" si="232"/>
        <v>0</v>
      </c>
      <c r="I897" s="492">
        <f t="shared" si="232"/>
        <v>0</v>
      </c>
      <c r="J897" s="492">
        <f t="shared" si="232"/>
        <v>0</v>
      </c>
      <c r="K897" s="492">
        <f t="shared" si="232"/>
        <v>0</v>
      </c>
      <c r="L897" s="492">
        <f t="shared" si="232"/>
        <v>0</v>
      </c>
      <c r="M897" s="492">
        <f t="shared" si="232"/>
        <v>0</v>
      </c>
      <c r="N897" s="492">
        <f t="shared" si="232"/>
        <v>0</v>
      </c>
      <c r="O897" s="304"/>
      <c r="P897" s="304"/>
      <c r="Q897" s="304"/>
      <c r="R897" s="304"/>
      <c r="S897" s="304"/>
      <c r="T897" s="304"/>
      <c r="U897" s="304"/>
      <c r="V897" s="304"/>
      <c r="W897" s="304"/>
      <c r="X897" s="304"/>
      <c r="Y897" s="304"/>
      <c r="Z897" s="305"/>
    </row>
    <row r="898" spans="1:26" x14ac:dyDescent="0.2">
      <c r="A898" s="303"/>
      <c r="B898" s="321"/>
      <c r="C898" s="304" t="s">
        <v>732</v>
      </c>
      <c r="D898" s="429"/>
      <c r="E898" s="430"/>
      <c r="F898" s="431"/>
      <c r="G898" s="431"/>
      <c r="H898" s="445"/>
      <c r="I898" s="303"/>
      <c r="J898" s="304"/>
      <c r="K898" s="304"/>
      <c r="L898" s="304"/>
      <c r="M898" s="304"/>
      <c r="N898" s="304"/>
      <c r="O898" s="304"/>
      <c r="P898" s="304"/>
      <c r="Q898" s="304"/>
      <c r="R898" s="304"/>
      <c r="S898" s="304"/>
      <c r="T898" s="304"/>
      <c r="U898" s="304"/>
      <c r="V898" s="304"/>
      <c r="W898" s="304"/>
      <c r="X898" s="304"/>
      <c r="Y898" s="304"/>
      <c r="Z898" s="305"/>
    </row>
    <row r="899" spans="1:26" x14ac:dyDescent="0.2">
      <c r="A899" s="303"/>
      <c r="B899" s="321"/>
      <c r="C899" s="304"/>
      <c r="D899" s="429"/>
      <c r="E899" s="430"/>
      <c r="F899" s="431"/>
      <c r="G899" s="431"/>
      <c r="H899" s="445"/>
      <c r="I899" s="303"/>
      <c r="J899" s="304"/>
      <c r="K899" s="304"/>
      <c r="L899" s="304"/>
      <c r="M899" s="304"/>
      <c r="N899" s="304"/>
      <c r="O899" s="304"/>
      <c r="P899" s="304"/>
      <c r="Q899" s="304"/>
      <c r="R899" s="304"/>
      <c r="S899" s="304"/>
      <c r="T899" s="304"/>
      <c r="U899" s="304"/>
      <c r="V899" s="304"/>
      <c r="W899" s="304"/>
      <c r="X899" s="304"/>
      <c r="Y899" s="304"/>
      <c r="Z899" s="305"/>
    </row>
    <row r="900" spans="1:26" x14ac:dyDescent="0.2">
      <c r="A900" s="303"/>
      <c r="B900" s="321"/>
      <c r="C900" s="304"/>
      <c r="D900" s="429"/>
      <c r="E900" s="430"/>
      <c r="F900" s="431"/>
      <c r="G900" s="431"/>
      <c r="H900" s="445"/>
      <c r="I900" s="303"/>
      <c r="J900" s="304"/>
      <c r="K900" s="304"/>
      <c r="L900" s="304"/>
      <c r="M900" s="304"/>
      <c r="N900" s="304"/>
      <c r="O900" s="304"/>
      <c r="P900" s="304"/>
      <c r="Q900" s="304"/>
      <c r="R900" s="304"/>
      <c r="S900" s="304"/>
      <c r="T900" s="304"/>
      <c r="U900" s="304"/>
      <c r="V900" s="304"/>
      <c r="W900" s="304"/>
      <c r="X900" s="304"/>
      <c r="Y900" s="304"/>
      <c r="Z900" s="305"/>
    </row>
    <row r="901" spans="1:26" x14ac:dyDescent="0.2">
      <c r="A901" s="303"/>
      <c r="B901" s="303" t="s">
        <v>811</v>
      </c>
      <c r="C901" s="304"/>
      <c r="D901" s="429"/>
      <c r="E901" s="430"/>
      <c r="F901" s="431"/>
      <c r="G901" s="431"/>
      <c r="H901" s="445"/>
      <c r="I901" s="303"/>
      <c r="J901" s="304"/>
      <c r="K901" s="304"/>
      <c r="L901" s="304"/>
      <c r="M901" s="304"/>
      <c r="N901" s="304"/>
      <c r="O901" s="304"/>
      <c r="P901" s="304"/>
      <c r="Q901" s="304"/>
      <c r="R901" s="304"/>
      <c r="S901" s="304"/>
      <c r="T901" s="304"/>
      <c r="U901" s="304"/>
      <c r="V901" s="304"/>
      <c r="W901" s="304"/>
      <c r="X901" s="304"/>
      <c r="Y901" s="304"/>
      <c r="Z901" s="305"/>
    </row>
    <row r="902" spans="1:26" x14ac:dyDescent="0.2">
      <c r="A902" s="303"/>
      <c r="B902" s="303"/>
      <c r="C902" s="304"/>
      <c r="D902" s="429"/>
      <c r="E902" s="430"/>
      <c r="F902" s="431"/>
      <c r="G902" s="431"/>
      <c r="H902" s="445"/>
      <c r="I902" s="303"/>
      <c r="J902" s="304"/>
      <c r="K902" s="304"/>
      <c r="L902" s="304"/>
      <c r="M902" s="304"/>
      <c r="N902" s="304"/>
      <c r="O902" s="304"/>
      <c r="P902" s="304"/>
      <c r="Q902" s="304"/>
      <c r="R902" s="304"/>
      <c r="S902" s="304"/>
      <c r="T902" s="304"/>
      <c r="U902" s="304"/>
      <c r="V902" s="304"/>
      <c r="W902" s="304"/>
      <c r="X902" s="304"/>
      <c r="Y902" s="304"/>
      <c r="Z902" s="305"/>
    </row>
    <row r="903" spans="1:26" ht="15.75" x14ac:dyDescent="0.3">
      <c r="A903" s="303"/>
      <c r="B903" s="309"/>
      <c r="C903" s="310" t="s">
        <v>16</v>
      </c>
      <c r="D903" s="310" t="s">
        <v>17</v>
      </c>
      <c r="E903" s="310" t="s">
        <v>789</v>
      </c>
      <c r="F903" s="309" t="s">
        <v>197</v>
      </c>
      <c r="G903" s="309" t="s">
        <v>180</v>
      </c>
      <c r="H903" s="309" t="s">
        <v>194</v>
      </c>
      <c r="I903" s="309" t="s">
        <v>195</v>
      </c>
      <c r="J903" s="309" t="s">
        <v>196</v>
      </c>
      <c r="K903" s="304"/>
      <c r="L903" s="304"/>
      <c r="M903" s="304"/>
      <c r="N903" s="304"/>
      <c r="O903" s="304"/>
      <c r="P903" s="304"/>
      <c r="Q903" s="304"/>
      <c r="R903" s="304"/>
      <c r="S903" s="304"/>
      <c r="T903" s="304"/>
      <c r="U903" s="304"/>
      <c r="V903" s="304"/>
      <c r="W903" s="304"/>
      <c r="X903" s="304"/>
      <c r="Y903" s="304"/>
      <c r="Z903" s="305"/>
    </row>
    <row r="904" spans="1:26" x14ac:dyDescent="0.2">
      <c r="A904" s="303"/>
      <c r="B904" s="780" t="s">
        <v>743</v>
      </c>
      <c r="C904" s="781"/>
      <c r="D904" s="781"/>
      <c r="E904" s="781"/>
      <c r="F904" s="780"/>
      <c r="G904" s="780"/>
      <c r="H904" s="780"/>
      <c r="I904" s="780"/>
      <c r="J904" s="780"/>
      <c r="K904" s="304"/>
      <c r="L904" s="304"/>
      <c r="M904" s="304"/>
      <c r="N904" s="304"/>
      <c r="O904" s="304"/>
      <c r="P904" s="304"/>
      <c r="Q904" s="304"/>
      <c r="R904" s="304"/>
      <c r="S904" s="304"/>
      <c r="T904" s="304"/>
      <c r="U904" s="304"/>
      <c r="V904" s="304"/>
      <c r="W904" s="304"/>
      <c r="X904" s="304"/>
      <c r="Y904" s="304"/>
      <c r="Z904" s="305"/>
    </row>
    <row r="905" spans="1:26" x14ac:dyDescent="0.2">
      <c r="A905" s="303"/>
      <c r="B905" s="309" t="s">
        <v>627</v>
      </c>
      <c r="C905" s="502">
        <f t="shared" ref="C905:J905" si="233">F572</f>
        <v>436.60656000000006</v>
      </c>
      <c r="D905" s="309">
        <f t="shared" si="233"/>
        <v>9.0361953816046961E-2</v>
      </c>
      <c r="E905" s="309">
        <f t="shared" si="233"/>
        <v>3.7370465753424661E-2</v>
      </c>
      <c r="F905" s="309">
        <f t="shared" si="233"/>
        <v>1.9511640000000001</v>
      </c>
      <c r="G905" s="309">
        <f t="shared" si="233"/>
        <v>1.7700912</v>
      </c>
      <c r="H905" s="309">
        <f t="shared" si="233"/>
        <v>16.621646400000003</v>
      </c>
      <c r="I905" s="309">
        <f t="shared" si="233"/>
        <v>2.4961751999999997E-2</v>
      </c>
      <c r="J905" s="309">
        <f t="shared" si="233"/>
        <v>5.115456E-3</v>
      </c>
      <c r="K905" s="304"/>
      <c r="L905" s="304"/>
      <c r="M905" s="304"/>
      <c r="N905" s="304"/>
      <c r="O905" s="304"/>
      <c r="P905" s="304"/>
      <c r="Q905" s="304"/>
      <c r="R905" s="304"/>
      <c r="S905" s="304"/>
      <c r="T905" s="304"/>
      <c r="U905" s="304"/>
      <c r="V905" s="304"/>
      <c r="W905" s="304"/>
      <c r="X905" s="304"/>
      <c r="Y905" s="304"/>
      <c r="Z905" s="305"/>
    </row>
    <row r="906" spans="1:26" x14ac:dyDescent="0.2">
      <c r="A906" s="303"/>
      <c r="B906" s="780" t="s">
        <v>744</v>
      </c>
      <c r="C906" s="780"/>
      <c r="D906" s="780"/>
      <c r="E906" s="780"/>
      <c r="F906" s="780"/>
      <c r="G906" s="780"/>
      <c r="H906" s="780"/>
      <c r="I906" s="780"/>
      <c r="J906" s="780"/>
      <c r="K906" s="304"/>
      <c r="L906" s="304"/>
      <c r="M906" s="304"/>
      <c r="N906" s="304"/>
      <c r="O906" s="304"/>
      <c r="P906" s="304"/>
      <c r="Q906" s="304"/>
      <c r="R906" s="304"/>
      <c r="S906" s="304"/>
      <c r="T906" s="304"/>
      <c r="U906" s="304"/>
      <c r="V906" s="304"/>
      <c r="W906" s="304"/>
      <c r="X906" s="304"/>
      <c r="Y906" s="304"/>
      <c r="Z906" s="305"/>
    </row>
    <row r="907" spans="1:26" x14ac:dyDescent="0.2">
      <c r="A907" s="303"/>
      <c r="B907" s="309" t="s">
        <v>627</v>
      </c>
      <c r="C907" s="502">
        <f>F762</f>
        <v>0</v>
      </c>
      <c r="D907" s="502">
        <f t="shared" ref="D907:J907" si="234">G762</f>
        <v>0</v>
      </c>
      <c r="E907" s="502">
        <f t="shared" si="234"/>
        <v>0</v>
      </c>
      <c r="F907" s="502">
        <f t="shared" si="234"/>
        <v>0</v>
      </c>
      <c r="G907" s="502">
        <f t="shared" si="234"/>
        <v>0</v>
      </c>
      <c r="H907" s="502">
        <f t="shared" si="234"/>
        <v>0</v>
      </c>
      <c r="I907" s="502">
        <f t="shared" si="234"/>
        <v>0</v>
      </c>
      <c r="J907" s="502">
        <f t="shared" si="234"/>
        <v>0</v>
      </c>
      <c r="K907" s="304"/>
      <c r="L907" s="304"/>
      <c r="M907" s="304"/>
      <c r="N907" s="304"/>
      <c r="O907" s="304"/>
      <c r="P907" s="304"/>
      <c r="Q907" s="304"/>
      <c r="R907" s="304"/>
      <c r="S907" s="304"/>
      <c r="T907" s="304"/>
      <c r="U907" s="304"/>
      <c r="V907" s="304"/>
      <c r="W907" s="304"/>
      <c r="X907" s="304"/>
      <c r="Y907" s="304"/>
      <c r="Z907" s="305"/>
    </row>
    <row r="908" spans="1:26" x14ac:dyDescent="0.2">
      <c r="A908" s="303"/>
      <c r="B908" s="321" t="s">
        <v>812</v>
      </c>
      <c r="C908" s="783">
        <f>IF(Calc1!$E$279="None",0,+IF(Calc1!$E$279="No.",C905,C907))</f>
        <v>436.60656000000006</v>
      </c>
      <c r="D908" s="503">
        <f>IF(Calc1!$E$279="None",0,+IF(Calc1!$E$279="No.",D905,D907))</f>
        <v>9.0361953816046961E-2</v>
      </c>
      <c r="E908" s="503">
        <f>IF(Calc1!$E$279="None",0,+IF(Calc1!$E$279="No.",E905,E907))</f>
        <v>3.7370465753424661E-2</v>
      </c>
      <c r="F908" s="503">
        <f>IF(Calc1!$E$279="None",0,+IF(Calc1!$E$279="No.",F905,F907))</f>
        <v>1.9511640000000001</v>
      </c>
      <c r="G908" s="503">
        <f>IF(Calc1!$E$279="None",0,+IF(Calc1!$E$279="No.",G905,G907))</f>
        <v>1.7700912</v>
      </c>
      <c r="H908" s="503">
        <f>IF(Calc1!$E$279="None",0,+IF(Calc1!$E$279="No.",H905,H907))</f>
        <v>16.621646400000003</v>
      </c>
      <c r="I908" s="503">
        <f>IF(Calc1!$E$279="None",0,+IF(Calc1!$E$279="No.",I905,I907))</f>
        <v>2.4961751999999997E-2</v>
      </c>
      <c r="J908" s="503">
        <f>IF(Calc1!$E$279="None",0,+IF(Calc1!$E$279="No.",J905,J907))</f>
        <v>5.115456E-3</v>
      </c>
      <c r="K908" s="304"/>
      <c r="L908" s="304"/>
      <c r="M908" s="304"/>
      <c r="N908" s="304"/>
      <c r="O908" s="304"/>
      <c r="P908" s="304"/>
      <c r="Q908" s="304"/>
      <c r="R908" s="304"/>
      <c r="S908" s="304"/>
      <c r="T908" s="304"/>
      <c r="U908" s="304"/>
      <c r="V908" s="304"/>
      <c r="W908" s="304"/>
      <c r="X908" s="304"/>
      <c r="Y908" s="304"/>
      <c r="Z908" s="305"/>
    </row>
    <row r="909" spans="1:26" x14ac:dyDescent="0.2">
      <c r="A909" s="303"/>
      <c r="B909" s="321"/>
      <c r="C909" s="304" t="s">
        <v>1850</v>
      </c>
      <c r="D909" s="429"/>
      <c r="E909" s="430"/>
      <c r="F909" s="431"/>
      <c r="G909" s="431"/>
      <c r="H909" s="445"/>
      <c r="I909" s="303"/>
      <c r="J909" s="304"/>
      <c r="K909" s="304"/>
      <c r="L909" s="304"/>
      <c r="M909" s="304"/>
      <c r="N909" s="304"/>
      <c r="O909" s="304"/>
      <c r="P909" s="304"/>
      <c r="Q909" s="304"/>
      <c r="R909" s="304"/>
      <c r="S909" s="304"/>
      <c r="T909" s="304"/>
      <c r="U909" s="304"/>
      <c r="V909" s="304"/>
      <c r="W909" s="304"/>
      <c r="X909" s="304"/>
      <c r="Y909" s="304"/>
      <c r="Z909" s="305"/>
    </row>
    <row r="910" spans="1:26" x14ac:dyDescent="0.2">
      <c r="A910" s="303"/>
      <c r="B910" s="321"/>
      <c r="C910" s="304"/>
      <c r="D910" s="304"/>
      <c r="E910" s="304"/>
      <c r="F910" s="304"/>
      <c r="G910" s="304"/>
      <c r="H910" s="304"/>
      <c r="I910" s="304"/>
      <c r="J910" s="304"/>
      <c r="K910" s="304"/>
      <c r="L910" s="304"/>
      <c r="M910" s="304"/>
      <c r="N910" s="304"/>
      <c r="O910" s="304"/>
      <c r="P910" s="304"/>
      <c r="Q910" s="304"/>
      <c r="R910" s="304"/>
      <c r="S910" s="304"/>
      <c r="T910" s="304"/>
      <c r="U910" s="304"/>
      <c r="V910" s="304"/>
      <c r="W910" s="304"/>
      <c r="X910" s="304"/>
      <c r="Y910" s="304"/>
      <c r="Z910" s="305"/>
    </row>
    <row r="911" spans="1:26" x14ac:dyDescent="0.2">
      <c r="A911" s="303"/>
      <c r="B911" s="303" t="s">
        <v>626</v>
      </c>
      <c r="C911" s="304"/>
      <c r="D911" s="429"/>
      <c r="E911" s="430"/>
      <c r="F911" s="431"/>
      <c r="G911" s="431"/>
      <c r="H911" s="445"/>
      <c r="I911" s="303"/>
      <c r="J911" s="304"/>
      <c r="K911" s="304"/>
      <c r="L911" s="304"/>
      <c r="M911" s="304"/>
      <c r="N911" s="304"/>
      <c r="O911" s="304"/>
      <c r="P911" s="304"/>
      <c r="Q911" s="304"/>
      <c r="R911" s="304"/>
      <c r="S911" s="304"/>
      <c r="T911" s="304"/>
      <c r="U911" s="304"/>
      <c r="V911" s="304"/>
      <c r="W911" s="304"/>
      <c r="X911" s="304"/>
      <c r="Y911" s="304"/>
      <c r="Z911" s="305"/>
    </row>
    <row r="912" spans="1:26" x14ac:dyDescent="0.2">
      <c r="A912" s="303"/>
      <c r="B912" s="303"/>
      <c r="C912" s="304"/>
      <c r="D912" s="429"/>
      <c r="E912" s="430"/>
      <c r="F912" s="431"/>
      <c r="G912" s="431"/>
      <c r="H912" s="445"/>
      <c r="I912" s="303"/>
      <c r="J912" s="304"/>
      <c r="K912" s="304"/>
      <c r="L912" s="304"/>
      <c r="M912" s="304"/>
      <c r="N912" s="304"/>
      <c r="O912" s="304"/>
      <c r="P912" s="304"/>
      <c r="Q912" s="304"/>
      <c r="R912" s="304"/>
      <c r="S912" s="304"/>
      <c r="T912" s="304"/>
      <c r="U912" s="304"/>
      <c r="V912" s="304"/>
      <c r="W912" s="304"/>
      <c r="X912" s="304"/>
      <c r="Y912" s="304"/>
      <c r="Z912" s="305"/>
    </row>
    <row r="913" spans="1:26" ht="15.75" x14ac:dyDescent="0.3">
      <c r="A913" s="303"/>
      <c r="B913" s="309"/>
      <c r="C913" s="310" t="s">
        <v>16</v>
      </c>
      <c r="D913" s="310" t="s">
        <v>17</v>
      </c>
      <c r="E913" s="310" t="s">
        <v>789</v>
      </c>
      <c r="F913" s="309" t="s">
        <v>197</v>
      </c>
      <c r="G913" s="309" t="s">
        <v>180</v>
      </c>
      <c r="H913" s="309" t="s">
        <v>194</v>
      </c>
      <c r="I913" s="309" t="s">
        <v>195</v>
      </c>
      <c r="J913" s="309" t="s">
        <v>196</v>
      </c>
      <c r="K913" s="304"/>
      <c r="L913" s="304"/>
      <c r="M913" s="304"/>
      <c r="N913" s="304"/>
      <c r="O913" s="304"/>
      <c r="P913" s="304"/>
      <c r="Q913" s="304"/>
      <c r="R913" s="304"/>
      <c r="S913" s="304"/>
      <c r="T913" s="304"/>
      <c r="U913" s="304"/>
      <c r="V913" s="304"/>
      <c r="W913" s="304"/>
      <c r="X913" s="304"/>
      <c r="Y913" s="304"/>
      <c r="Z913" s="305"/>
    </row>
    <row r="914" spans="1:26" x14ac:dyDescent="0.2">
      <c r="A914" s="303"/>
      <c r="B914" s="780" t="s">
        <v>743</v>
      </c>
      <c r="C914" s="781"/>
      <c r="D914" s="781"/>
      <c r="E914" s="781"/>
      <c r="F914" s="780"/>
      <c r="G914" s="780"/>
      <c r="H914" s="780"/>
      <c r="I914" s="780"/>
      <c r="J914" s="780"/>
      <c r="K914" s="304"/>
      <c r="L914" s="304"/>
      <c r="M914" s="304"/>
      <c r="N914" s="304"/>
      <c r="O914" s="304"/>
      <c r="P914" s="304"/>
      <c r="Q914" s="304"/>
      <c r="R914" s="304"/>
      <c r="S914" s="304"/>
      <c r="T914" s="304"/>
      <c r="U914" s="304"/>
      <c r="V914" s="304"/>
      <c r="W914" s="304"/>
      <c r="X914" s="304"/>
      <c r="Y914" s="304"/>
      <c r="Z914" s="305"/>
    </row>
    <row r="915" spans="1:26" x14ac:dyDescent="0.2">
      <c r="A915" s="303"/>
      <c r="B915" s="309" t="s">
        <v>627</v>
      </c>
      <c r="C915" s="309">
        <f t="shared" ref="C915:J915" si="235">F602</f>
        <v>4313.9800626223096</v>
      </c>
      <c r="D915" s="309">
        <f t="shared" si="235"/>
        <v>0.90361953816046958</v>
      </c>
      <c r="E915" s="309">
        <f t="shared" si="235"/>
        <v>0.37370465753424659</v>
      </c>
      <c r="F915" s="309">
        <f t="shared" si="235"/>
        <v>19.51164</v>
      </c>
      <c r="G915" s="309">
        <f t="shared" si="235"/>
        <v>17.700911999999999</v>
      </c>
      <c r="H915" s="309">
        <f t="shared" si="235"/>
        <v>166.216464</v>
      </c>
      <c r="I915" s="309">
        <f t="shared" si="235"/>
        <v>0.24961751999999998</v>
      </c>
      <c r="J915" s="309">
        <f t="shared" si="235"/>
        <v>5.1154559999999995E-2</v>
      </c>
      <c r="K915" s="304"/>
      <c r="L915" s="304"/>
      <c r="M915" s="304"/>
      <c r="N915" s="304"/>
      <c r="O915" s="304"/>
      <c r="P915" s="304"/>
      <c r="Q915" s="304"/>
      <c r="R915" s="304"/>
      <c r="S915" s="304"/>
      <c r="T915" s="304"/>
      <c r="U915" s="304"/>
      <c r="V915" s="304"/>
      <c r="W915" s="304"/>
      <c r="X915" s="304"/>
      <c r="Y915" s="304"/>
      <c r="Z915" s="305"/>
    </row>
    <row r="916" spans="1:26" x14ac:dyDescent="0.2">
      <c r="A916" s="304"/>
      <c r="B916" s="309" t="s">
        <v>628</v>
      </c>
      <c r="C916" s="309">
        <f t="shared" ref="C916:J916" si="236">F633</f>
        <v>153.63485479452055</v>
      </c>
      <c r="D916" s="309">
        <f t="shared" si="236"/>
        <v>1.6350794520547947E-2</v>
      </c>
      <c r="E916" s="309">
        <f t="shared" si="236"/>
        <v>1.264027397260274E-2</v>
      </c>
      <c r="F916" s="309">
        <f t="shared" si="236"/>
        <v>0.754884</v>
      </c>
      <c r="G916" s="309">
        <f t="shared" si="236"/>
        <v>0.39954719999999999</v>
      </c>
      <c r="H916" s="309">
        <f t="shared" si="236"/>
        <v>3.7902383999999998</v>
      </c>
      <c r="I916" s="309">
        <f t="shared" si="236"/>
        <v>6.0007272E-2</v>
      </c>
      <c r="J916" s="309">
        <f t="shared" si="236"/>
        <v>1.2105600000000001E-3</v>
      </c>
      <c r="K916" s="304"/>
      <c r="L916" s="304"/>
      <c r="M916" s="304"/>
      <c r="N916" s="304"/>
      <c r="O916" s="304"/>
      <c r="P916" s="304"/>
      <c r="Q916" s="304"/>
      <c r="R916" s="304"/>
      <c r="S916" s="304"/>
      <c r="T916" s="304"/>
      <c r="U916" s="304"/>
      <c r="V916" s="304"/>
      <c r="W916" s="304"/>
      <c r="X916" s="304"/>
      <c r="Y916" s="304"/>
      <c r="Z916" s="305"/>
    </row>
    <row r="917" spans="1:26" x14ac:dyDescent="0.2">
      <c r="A917" s="303"/>
      <c r="B917" s="309" t="s">
        <v>7</v>
      </c>
      <c r="C917" s="309">
        <f>SUM(C915:C916)</f>
        <v>4467.6149174168304</v>
      </c>
      <c r="D917" s="309">
        <f t="shared" ref="D917:J917" si="237">SUM(D915:D916)</f>
        <v>0.91997033268101758</v>
      </c>
      <c r="E917" s="309">
        <f t="shared" si="237"/>
        <v>0.38634493150684934</v>
      </c>
      <c r="F917" s="309">
        <f t="shared" si="237"/>
        <v>20.266524</v>
      </c>
      <c r="G917" s="309">
        <f t="shared" si="237"/>
        <v>18.1004592</v>
      </c>
      <c r="H917" s="309">
        <f t="shared" si="237"/>
        <v>170.00670239999999</v>
      </c>
      <c r="I917" s="309">
        <f t="shared" si="237"/>
        <v>0.30962479199999998</v>
      </c>
      <c r="J917" s="309">
        <f t="shared" si="237"/>
        <v>5.2365119999999994E-2</v>
      </c>
      <c r="K917" s="304"/>
      <c r="L917" s="304"/>
      <c r="M917" s="304"/>
      <c r="N917" s="304"/>
      <c r="O917" s="304"/>
      <c r="P917" s="304"/>
      <c r="Q917" s="304"/>
      <c r="R917" s="304"/>
      <c r="S917" s="304"/>
      <c r="T917" s="304"/>
      <c r="U917" s="304"/>
      <c r="V917" s="304"/>
      <c r="W917" s="304"/>
      <c r="X917" s="304"/>
      <c r="Y917" s="304"/>
      <c r="Z917" s="305"/>
    </row>
    <row r="918" spans="1:26" x14ac:dyDescent="0.2">
      <c r="A918" s="303"/>
      <c r="B918" s="304" t="s">
        <v>744</v>
      </c>
      <c r="C918" s="304"/>
      <c r="D918" s="304"/>
      <c r="E918" s="304"/>
      <c r="F918" s="304"/>
      <c r="G918" s="304"/>
      <c r="H918" s="304"/>
      <c r="I918" s="304"/>
      <c r="J918" s="304"/>
      <c r="K918" s="304"/>
      <c r="L918" s="304"/>
      <c r="M918" s="304"/>
      <c r="N918" s="304"/>
      <c r="O918" s="304"/>
      <c r="P918" s="304"/>
      <c r="Q918" s="304"/>
      <c r="R918" s="304"/>
      <c r="S918" s="304"/>
      <c r="T918" s="304"/>
      <c r="U918" s="304"/>
      <c r="V918" s="304"/>
      <c r="W918" s="304"/>
      <c r="X918" s="304"/>
      <c r="Y918" s="304"/>
      <c r="Z918" s="305"/>
    </row>
    <row r="919" spans="1:26" x14ac:dyDescent="0.2">
      <c r="A919" s="303"/>
      <c r="B919" s="309" t="s">
        <v>627</v>
      </c>
      <c r="C919" s="463">
        <f>F792</f>
        <v>0</v>
      </c>
      <c r="D919" s="463">
        <f t="shared" ref="D919:J919" si="238">G792</f>
        <v>0</v>
      </c>
      <c r="E919" s="463">
        <f t="shared" si="238"/>
        <v>0</v>
      </c>
      <c r="F919" s="463">
        <f t="shared" si="238"/>
        <v>0</v>
      </c>
      <c r="G919" s="463">
        <f t="shared" si="238"/>
        <v>0</v>
      </c>
      <c r="H919" s="463">
        <f t="shared" si="238"/>
        <v>0</v>
      </c>
      <c r="I919" s="463">
        <f t="shared" si="238"/>
        <v>0</v>
      </c>
      <c r="J919" s="463">
        <f t="shared" si="238"/>
        <v>0</v>
      </c>
      <c r="K919" s="304"/>
      <c r="L919" s="304"/>
      <c r="M919" s="304"/>
      <c r="N919" s="304"/>
      <c r="O919" s="304"/>
      <c r="P919" s="304"/>
      <c r="Q919" s="304"/>
      <c r="R919" s="304"/>
      <c r="S919" s="304"/>
      <c r="T919" s="304"/>
      <c r="U919" s="304"/>
      <c r="V919" s="304"/>
      <c r="W919" s="304"/>
      <c r="X919" s="304"/>
      <c r="Y919" s="304"/>
      <c r="Z919" s="305"/>
    </row>
    <row r="920" spans="1:26" x14ac:dyDescent="0.2">
      <c r="A920" s="303"/>
      <c r="B920" s="309" t="s">
        <v>628</v>
      </c>
      <c r="C920" s="502">
        <f>F822</f>
        <v>0</v>
      </c>
      <c r="D920" s="502">
        <f t="shared" ref="D920:J920" si="239">G822</f>
        <v>0</v>
      </c>
      <c r="E920" s="502">
        <f t="shared" si="239"/>
        <v>0</v>
      </c>
      <c r="F920" s="502">
        <f t="shared" si="239"/>
        <v>0</v>
      </c>
      <c r="G920" s="502">
        <f t="shared" si="239"/>
        <v>0</v>
      </c>
      <c r="H920" s="502">
        <f t="shared" si="239"/>
        <v>0</v>
      </c>
      <c r="I920" s="502">
        <f t="shared" si="239"/>
        <v>0</v>
      </c>
      <c r="J920" s="502">
        <f t="shared" si="239"/>
        <v>0</v>
      </c>
      <c r="K920" s="304"/>
      <c r="L920" s="304"/>
      <c r="M920" s="304"/>
      <c r="N920" s="304"/>
      <c r="O920" s="304"/>
      <c r="P920" s="304"/>
      <c r="Q920" s="304"/>
      <c r="R920" s="304"/>
      <c r="S920" s="304"/>
      <c r="T920" s="304"/>
      <c r="U920" s="304"/>
      <c r="V920" s="304"/>
      <c r="W920" s="304"/>
      <c r="X920" s="304"/>
      <c r="Y920" s="304"/>
      <c r="Z920" s="305"/>
    </row>
    <row r="921" spans="1:26" x14ac:dyDescent="0.2">
      <c r="A921" s="303"/>
      <c r="B921" s="309" t="s">
        <v>7</v>
      </c>
      <c r="C921" s="502">
        <f>SUM(C919:C920)</f>
        <v>0</v>
      </c>
      <c r="D921" s="502">
        <f t="shared" ref="D921:J921" si="240">SUM(D919:D920)</f>
        <v>0</v>
      </c>
      <c r="E921" s="502">
        <f t="shared" si="240"/>
        <v>0</v>
      </c>
      <c r="F921" s="502">
        <f t="shared" si="240"/>
        <v>0</v>
      </c>
      <c r="G921" s="502">
        <f t="shared" si="240"/>
        <v>0</v>
      </c>
      <c r="H921" s="502">
        <f t="shared" si="240"/>
        <v>0</v>
      </c>
      <c r="I921" s="502">
        <f t="shared" si="240"/>
        <v>0</v>
      </c>
      <c r="J921" s="502">
        <f t="shared" si="240"/>
        <v>0</v>
      </c>
      <c r="K921" s="304"/>
      <c r="L921" s="304"/>
      <c r="M921" s="304"/>
      <c r="N921" s="304"/>
      <c r="O921" s="304"/>
      <c r="P921" s="304"/>
      <c r="Q921" s="304"/>
      <c r="R921" s="304"/>
      <c r="S921" s="304"/>
      <c r="T921" s="304"/>
      <c r="U921" s="304"/>
      <c r="V921" s="304"/>
      <c r="W921" s="304"/>
      <c r="X921" s="304"/>
      <c r="Y921" s="304"/>
      <c r="Z921" s="305"/>
    </row>
    <row r="922" spans="1:26" x14ac:dyDescent="0.2">
      <c r="A922" s="303"/>
      <c r="B922" s="304" t="s">
        <v>745</v>
      </c>
      <c r="C922" s="783">
        <f>IF(Calc1!$E$279="None",0,+IF(Calc1!$E$279="No.",C917,C921))</f>
        <v>4467.6149174168304</v>
      </c>
      <c r="D922" s="776">
        <f>IF(Calc1!$E$279="None",0,+IF(Calc1!$E$279="No.",D917,D921))</f>
        <v>0.91997033268101758</v>
      </c>
      <c r="E922" s="776">
        <f>IF(Calc1!$E$279="None",0,+IF(Calc1!$E$279="No.",E917,E921))</f>
        <v>0.38634493150684934</v>
      </c>
      <c r="F922" s="776">
        <f>IF(Calc1!$E$279="None",0,+IF(Calc1!$E$279="No.",F917,F921))</f>
        <v>20.266524</v>
      </c>
      <c r="G922" s="776">
        <f>IF(Calc1!$E$279="None",0,+IF(Calc1!$E$279="No.",G917,G921))</f>
        <v>18.1004592</v>
      </c>
      <c r="H922" s="776">
        <f>IF(Calc1!$E$279="None",0,+IF(Calc1!$E$279="No.",H917,H921))</f>
        <v>170.00670239999999</v>
      </c>
      <c r="I922" s="776">
        <f>IF(Calc1!$E$279="None",0,+IF(Calc1!$E$279="No.",I917,I921))</f>
        <v>0.30962479199999998</v>
      </c>
      <c r="J922" s="776">
        <f>IF(Calc1!$E$279="None",0,+IF(Calc1!$E$279="No.",J917,J921))</f>
        <v>5.2365119999999994E-2</v>
      </c>
      <c r="K922" s="304"/>
      <c r="L922" s="304"/>
      <c r="M922" s="304"/>
      <c r="N922" s="304"/>
      <c r="O922" s="304"/>
      <c r="P922" s="304"/>
      <c r="Q922" s="304"/>
      <c r="R922" s="304"/>
      <c r="S922" s="304"/>
      <c r="T922" s="304"/>
      <c r="U922" s="304"/>
      <c r="V922" s="304"/>
      <c r="W922" s="304"/>
      <c r="X922" s="304"/>
      <c r="Y922" s="304"/>
      <c r="Z922" s="305"/>
    </row>
    <row r="923" spans="1:26" x14ac:dyDescent="0.2">
      <c r="A923" s="303"/>
      <c r="B923" s="304"/>
      <c r="C923" s="304"/>
      <c r="D923" s="304"/>
      <c r="E923" s="304"/>
      <c r="F923" s="304"/>
      <c r="G923" s="304"/>
      <c r="H923" s="304"/>
      <c r="I923" s="304"/>
      <c r="J923" s="304"/>
      <c r="K923" s="304"/>
      <c r="L923" s="304"/>
      <c r="M923" s="304"/>
      <c r="N923" s="304"/>
      <c r="O923" s="304"/>
      <c r="P923" s="304"/>
      <c r="Q923" s="304"/>
      <c r="R923" s="304"/>
      <c r="S923" s="304"/>
      <c r="T923" s="304"/>
      <c r="U923" s="304"/>
      <c r="V923" s="304"/>
      <c r="W923" s="304"/>
      <c r="X923" s="304"/>
      <c r="Y923" s="304"/>
      <c r="Z923" s="305"/>
    </row>
    <row r="924" spans="1:26" x14ac:dyDescent="0.2">
      <c r="A924" s="303"/>
      <c r="B924" s="303" t="s">
        <v>642</v>
      </c>
      <c r="C924" s="304"/>
      <c r="D924" s="429"/>
      <c r="E924" s="430"/>
      <c r="F924" s="431"/>
      <c r="G924" s="431"/>
      <c r="H924" s="445"/>
      <c r="I924" s="303"/>
      <c r="J924" s="304"/>
      <c r="K924" s="304"/>
      <c r="L924" s="304"/>
      <c r="M924" s="304"/>
      <c r="N924" s="304"/>
      <c r="O924" s="304"/>
      <c r="P924" s="304"/>
      <c r="Q924" s="304"/>
      <c r="R924" s="304"/>
      <c r="S924" s="304"/>
      <c r="T924" s="304"/>
      <c r="U924" s="304"/>
      <c r="V924" s="304"/>
      <c r="W924" s="304"/>
      <c r="X924" s="304"/>
      <c r="Y924" s="304"/>
      <c r="Z924" s="305"/>
    </row>
    <row r="925" spans="1:26" x14ac:dyDescent="0.2">
      <c r="A925" s="303"/>
      <c r="B925" s="303"/>
      <c r="C925" s="304"/>
      <c r="D925" s="429"/>
      <c r="E925" s="430"/>
      <c r="F925" s="431"/>
      <c r="G925" s="431"/>
      <c r="H925" s="445"/>
      <c r="I925" s="303"/>
      <c r="J925" s="304"/>
      <c r="K925" s="304"/>
      <c r="L925" s="304"/>
      <c r="M925" s="304"/>
      <c r="N925" s="304"/>
      <c r="O925" s="304"/>
      <c r="P925" s="304"/>
      <c r="Q925" s="304"/>
      <c r="R925" s="304"/>
      <c r="S925" s="304"/>
      <c r="T925" s="304"/>
      <c r="U925" s="304"/>
      <c r="V925" s="304"/>
      <c r="W925" s="304"/>
      <c r="X925" s="304"/>
      <c r="Y925" s="304"/>
      <c r="Z925" s="305"/>
    </row>
    <row r="926" spans="1:26" ht="15.75" x14ac:dyDescent="0.3">
      <c r="A926" s="303"/>
      <c r="B926" s="309"/>
      <c r="C926" s="310" t="s">
        <v>16</v>
      </c>
      <c r="D926" s="310" t="s">
        <v>17</v>
      </c>
      <c r="E926" s="310" t="s">
        <v>789</v>
      </c>
      <c r="F926" s="309" t="s">
        <v>197</v>
      </c>
      <c r="G926" s="309" t="s">
        <v>180</v>
      </c>
      <c r="H926" s="309" t="s">
        <v>194</v>
      </c>
      <c r="I926" s="309" t="s">
        <v>195</v>
      </c>
      <c r="J926" s="309" t="s">
        <v>196</v>
      </c>
      <c r="K926" s="304"/>
      <c r="L926" s="304"/>
      <c r="M926" s="304"/>
      <c r="N926" s="304"/>
      <c r="O926" s="304"/>
      <c r="P926" s="304"/>
      <c r="Q926" s="304"/>
      <c r="R926" s="304"/>
      <c r="S926" s="304"/>
      <c r="T926" s="304"/>
      <c r="U926" s="304"/>
      <c r="V926" s="304"/>
      <c r="W926" s="304"/>
      <c r="X926" s="304"/>
      <c r="Y926" s="304"/>
      <c r="Z926" s="305"/>
    </row>
    <row r="927" spans="1:26" x14ac:dyDescent="0.2">
      <c r="A927" s="303"/>
      <c r="B927" s="309"/>
      <c r="C927" s="309"/>
      <c r="D927" s="309"/>
      <c r="E927" s="309"/>
      <c r="F927" s="309"/>
      <c r="G927" s="309"/>
      <c r="H927" s="309"/>
      <c r="I927" s="309"/>
      <c r="J927" s="309"/>
      <c r="K927" s="304"/>
      <c r="L927" s="304"/>
      <c r="M927" s="304"/>
      <c r="N927" s="304"/>
      <c r="O927" s="304"/>
      <c r="P927" s="304"/>
      <c r="Q927" s="304"/>
      <c r="R927" s="304"/>
      <c r="S927" s="304"/>
      <c r="T927" s="304"/>
      <c r="U927" s="304"/>
      <c r="V927" s="304"/>
      <c r="W927" s="304"/>
      <c r="X927" s="304"/>
      <c r="Y927" s="304"/>
      <c r="Z927" s="305"/>
    </row>
    <row r="928" spans="1:26" x14ac:dyDescent="0.2">
      <c r="A928" s="303"/>
      <c r="B928" s="309" t="s">
        <v>629</v>
      </c>
      <c r="C928" s="782">
        <f>IF(Calc1!$E$279="No.", F680, IF(Calc1!$E$279="Yes.", F852, 0))</f>
        <v>0.42985870164383566</v>
      </c>
      <c r="D928" s="502">
        <f>IF(Calc1!$E$279="No.", G680, IF(Calc1!$E$279="Yes.", G852, 0))</f>
        <v>8.0237081643835624E-5</v>
      </c>
      <c r="E928" s="502">
        <f>IF(Calc1!$E$279="No.", H680, IF(Calc1!$E$279="Yes.", H852, 0))</f>
        <v>3.6823126027397275E-5</v>
      </c>
      <c r="F928" s="502">
        <f>IF(Calc1!$E$279="No.", I680, IF(Calc1!$E$279="Yes.", I852, 0))</f>
        <v>1.9813626000000002E-3</v>
      </c>
      <c r="G928" s="502">
        <f>IF(Calc1!$E$279="No.", J680, IF(Calc1!$E$279="Yes.", J852, 0))</f>
        <v>1.6208320800000003E-3</v>
      </c>
      <c r="H928" s="502">
        <f>IF(Calc1!$E$279="No.", K680, IF(Calc1!$E$279="Yes.", K852, 0))</f>
        <v>1.5243827760000004E-2</v>
      </c>
      <c r="I928" s="502">
        <f>IF(Calc1!$E$279="No.", L680, IF(Calc1!$E$279="Yes.", L852, 0))</f>
        <v>5.6526262800000017E-5</v>
      </c>
      <c r="J928" s="502">
        <f>IF(Calc1!$E$279="No.", M680, IF(Calc1!$E$279="Yes.", M852, 0))</f>
        <v>4.718716800000001E-6</v>
      </c>
      <c r="K928" s="304"/>
      <c r="L928" s="304"/>
      <c r="M928" s="304"/>
      <c r="N928" s="304"/>
      <c r="O928" s="304"/>
      <c r="P928" s="304"/>
      <c r="Q928" s="304"/>
      <c r="R928" s="304"/>
      <c r="S928" s="304"/>
      <c r="T928" s="304"/>
      <c r="U928" s="304"/>
      <c r="V928" s="304"/>
      <c r="W928" s="304"/>
      <c r="X928" s="304"/>
      <c r="Y928" s="304"/>
      <c r="Z928" s="305"/>
    </row>
    <row r="929" spans="1:26" x14ac:dyDescent="0.2">
      <c r="A929" s="303"/>
      <c r="B929" s="309" t="s">
        <v>183</v>
      </c>
      <c r="C929" s="782">
        <f>IF(Calc1!$E$279="No.", F712, IF(Calc1!$E$279="Yes.", F878, 0))</f>
        <v>38.317443809523802</v>
      </c>
      <c r="D929" s="502">
        <f>IF(Calc1!$E$279="No.", G712, IF(Calc1!$E$279="Yes.", G878, 0))</f>
        <v>1.209215238095238E-3</v>
      </c>
      <c r="E929" s="502">
        <f>IF(Calc1!$E$279="No.", H712, IF(Calc1!$E$279="Yes.", H878, 0))</f>
        <v>3.0314000000000001E-3</v>
      </c>
      <c r="F929" s="502">
        <f>IF(Calc1!$E$279="No.", I712, IF(Calc1!$E$279="Yes.", I878, 0))</f>
        <v>0.38736720000000002</v>
      </c>
      <c r="G929" s="502">
        <f>IF(Calc1!$E$279="No.", J712, IF(Calc1!$E$279="Yes.", J878, 0))</f>
        <v>5.5868359999999999E-2</v>
      </c>
      <c r="H929" s="502">
        <f>IF(Calc1!$E$279="No.", K712, IF(Calc1!$E$279="Yes.", K878, 0))</f>
        <v>0.53440379999999998</v>
      </c>
      <c r="I929" s="502">
        <f>IF(Calc1!$E$279="No.", L712, IF(Calc1!$E$279="Yes.", L878, 0))</f>
        <v>1.0998910000000001E-2</v>
      </c>
      <c r="J929" s="502">
        <f>IF(Calc1!$E$279="No.", M712, IF(Calc1!$E$279="Yes.", M878, 0))</f>
        <v>1.8933280000000001E-4</v>
      </c>
      <c r="K929" s="304"/>
      <c r="L929" s="304"/>
      <c r="M929" s="304"/>
      <c r="N929" s="304"/>
      <c r="O929" s="304"/>
      <c r="P929" s="304"/>
      <c r="Q929" s="304"/>
      <c r="R929" s="304"/>
      <c r="S929" s="304"/>
      <c r="T929" s="304"/>
      <c r="U929" s="304"/>
      <c r="V929" s="304"/>
      <c r="W929" s="304"/>
      <c r="X929" s="304"/>
      <c r="Y929" s="304"/>
      <c r="Z929" s="305"/>
    </row>
    <row r="930" spans="1:26" x14ac:dyDescent="0.2">
      <c r="A930" s="303"/>
      <c r="B930" s="309" t="s">
        <v>654</v>
      </c>
      <c r="C930" s="782">
        <f>IF(Calc1!$E$279="No.",Calc2!F732,+IF(Calc1!$E$279="Yes.",Calc2!F897,0))</f>
        <v>2.2453958541045003</v>
      </c>
      <c r="D930" s="502">
        <f>IF(Calc1!$E$279="No.",Calc2!G732,+IF(Calc1!$E$279="Yes.",Calc2!G897,0))</f>
        <v>0</v>
      </c>
      <c r="E930" s="502">
        <f>IF(Calc1!$E$279="No.",Calc2!H732,+IF(Calc1!$E$279="Yes.",Calc2!H897,0))</f>
        <v>0</v>
      </c>
      <c r="F930" s="502">
        <f>IF(Calc1!$E$279="No.",Calc2!I732,Calc2!I897)</f>
        <v>0</v>
      </c>
      <c r="G930" s="502">
        <f>IF(Calc1!$E$279="No.",Calc2!J732,Calc2!J897)</f>
        <v>0</v>
      </c>
      <c r="H930" s="502">
        <f>IF(Calc1!$E$279="No.",Calc2!K732,Calc2!K897)</f>
        <v>0</v>
      </c>
      <c r="I930" s="502">
        <f>IF(Calc1!$E$279="No.",Calc2!L732,Calc2!L897)</f>
        <v>0</v>
      </c>
      <c r="J930" s="502">
        <f>IF(Calc1!$E$279="No.",Calc2!M732,Calc2!M897)</f>
        <v>0</v>
      </c>
      <c r="K930" s="304"/>
      <c r="L930" s="304"/>
      <c r="M930" s="304"/>
      <c r="N930" s="304"/>
      <c r="O930" s="304"/>
      <c r="P930" s="304"/>
      <c r="Q930" s="304"/>
      <c r="R930" s="304"/>
      <c r="S930" s="304"/>
      <c r="T930" s="304"/>
      <c r="U930" s="304"/>
      <c r="V930" s="304"/>
      <c r="W930" s="304"/>
      <c r="X930" s="304"/>
      <c r="Y930" s="304"/>
      <c r="Z930" s="305"/>
    </row>
    <row r="931" spans="1:26" x14ac:dyDescent="0.2">
      <c r="A931" s="303"/>
      <c r="B931" s="309" t="s">
        <v>7</v>
      </c>
      <c r="C931" s="309">
        <f>SUM(C927:C930)</f>
        <v>40.99269836527214</v>
      </c>
      <c r="D931" s="309">
        <f t="shared" ref="D931:J931" si="241">SUM(D927:D930)</f>
        <v>1.2894523197390737E-3</v>
      </c>
      <c r="E931" s="309">
        <f>SUM(E927:E930)</f>
        <v>3.0682231260273974E-3</v>
      </c>
      <c r="F931" s="309">
        <f t="shared" si="241"/>
        <v>0.3893485626</v>
      </c>
      <c r="G931" s="309">
        <f t="shared" si="241"/>
        <v>5.7489192080000001E-2</v>
      </c>
      <c r="H931" s="309">
        <f t="shared" si="241"/>
        <v>0.54964762775999998</v>
      </c>
      <c r="I931" s="309">
        <f t="shared" si="241"/>
        <v>1.1055436262800001E-2</v>
      </c>
      <c r="J931" s="309">
        <f t="shared" si="241"/>
        <v>1.940515168E-4</v>
      </c>
      <c r="K931" s="304"/>
      <c r="L931" s="304"/>
      <c r="M931" s="304"/>
      <c r="N931" s="304"/>
      <c r="O931" s="304"/>
      <c r="P931" s="304"/>
      <c r="Q931" s="304"/>
      <c r="R931" s="304"/>
      <c r="S931" s="304"/>
      <c r="T931" s="304"/>
      <c r="U931" s="304"/>
      <c r="V931" s="304"/>
      <c r="W931" s="304"/>
      <c r="X931" s="304"/>
      <c r="Y931" s="304"/>
      <c r="Z931" s="305"/>
    </row>
    <row r="932" spans="1:26" x14ac:dyDescent="0.2">
      <c r="A932" s="303"/>
      <c r="B932" s="304"/>
      <c r="C932" s="304"/>
      <c r="D932" s="304"/>
      <c r="E932" s="304"/>
      <c r="F932" s="304"/>
      <c r="G932" s="304"/>
      <c r="H932" s="304"/>
      <c r="I932" s="304"/>
      <c r="J932" s="304"/>
      <c r="K932" s="304"/>
      <c r="L932" s="304"/>
      <c r="M932" s="304"/>
      <c r="N932" s="304"/>
      <c r="O932" s="304"/>
      <c r="P932" s="304"/>
      <c r="Q932" s="304"/>
      <c r="R932" s="304"/>
      <c r="S932" s="304"/>
      <c r="T932" s="304"/>
      <c r="U932" s="304"/>
      <c r="V932" s="304"/>
      <c r="W932" s="304"/>
      <c r="X932" s="304"/>
      <c r="Y932" s="304"/>
      <c r="Z932" s="305"/>
    </row>
    <row r="933" spans="1:26" x14ac:dyDescent="0.2">
      <c r="A933" s="303"/>
      <c r="B933" s="303" t="s">
        <v>794</v>
      </c>
      <c r="C933" s="304"/>
      <c r="D933" s="304"/>
      <c r="E933" s="304"/>
      <c r="F933" s="304"/>
      <c r="G933" s="304"/>
      <c r="H933" s="304"/>
      <c r="I933" s="304"/>
      <c r="J933" s="304"/>
      <c r="K933" s="304"/>
      <c r="L933" s="304"/>
      <c r="M933" s="304"/>
      <c r="N933" s="304"/>
      <c r="O933" s="304"/>
      <c r="P933" s="304"/>
      <c r="Q933" s="304"/>
      <c r="R933" s="304"/>
      <c r="S933" s="304"/>
      <c r="T933" s="304"/>
      <c r="U933" s="304"/>
      <c r="V933" s="304"/>
      <c r="W933" s="304"/>
      <c r="X933" s="304"/>
      <c r="Y933" s="304"/>
      <c r="Z933" s="305"/>
    </row>
    <row r="934" spans="1:26" s="505" customFormat="1" x14ac:dyDescent="0.2">
      <c r="A934" s="303"/>
      <c r="B934" s="504" t="s">
        <v>720</v>
      </c>
      <c r="C934" s="504" t="s">
        <v>721</v>
      </c>
      <c r="D934" s="504" t="s">
        <v>11</v>
      </c>
      <c r="E934" s="381"/>
      <c r="F934" s="381"/>
      <c r="G934" s="381"/>
      <c r="H934" s="381"/>
      <c r="I934" s="381"/>
      <c r="J934" s="381"/>
      <c r="K934" s="381"/>
      <c r="L934" s="381"/>
      <c r="M934" s="381"/>
      <c r="N934" s="381"/>
      <c r="O934" s="381"/>
      <c r="P934" s="381"/>
      <c r="Q934" s="381"/>
      <c r="R934" s="381"/>
      <c r="S934" s="381"/>
      <c r="T934" s="381"/>
      <c r="U934" s="381"/>
      <c r="V934" s="381"/>
      <c r="W934" s="381"/>
      <c r="X934" s="381"/>
      <c r="Y934" s="381"/>
    </row>
    <row r="935" spans="1:26" s="505" customFormat="1" x14ac:dyDescent="0.2">
      <c r="A935" s="303"/>
      <c r="B935" s="504" t="s">
        <v>14</v>
      </c>
      <c r="C935" s="504">
        <v>730</v>
      </c>
      <c r="D935" s="504" t="s">
        <v>722</v>
      </c>
      <c r="E935" s="381"/>
      <c r="F935" s="381"/>
      <c r="G935" s="381"/>
      <c r="H935" s="381"/>
      <c r="I935" s="381"/>
      <c r="J935" s="381"/>
      <c r="K935" s="381"/>
      <c r="L935" s="381"/>
      <c r="M935" s="381"/>
      <c r="N935" s="381"/>
      <c r="O935" s="381"/>
      <c r="P935" s="381"/>
      <c r="Q935" s="381"/>
      <c r="R935" s="381"/>
      <c r="S935" s="381"/>
      <c r="T935" s="381"/>
      <c r="U935" s="381"/>
      <c r="V935" s="381"/>
      <c r="W935" s="381"/>
      <c r="X935" s="381"/>
      <c r="Y935" s="381"/>
    </row>
    <row r="936" spans="1:26" s="505" customFormat="1" x14ac:dyDescent="0.2">
      <c r="A936" s="303"/>
      <c r="B936" s="504" t="s">
        <v>12</v>
      </c>
      <c r="C936" s="504">
        <v>840</v>
      </c>
      <c r="D936" s="504" t="s">
        <v>722</v>
      </c>
      <c r="E936" s="381"/>
      <c r="F936" s="381"/>
      <c r="G936" s="381"/>
      <c r="H936" s="381"/>
      <c r="I936" s="381"/>
      <c r="J936" s="381"/>
      <c r="K936" s="381"/>
      <c r="L936" s="381"/>
      <c r="M936" s="381"/>
      <c r="N936" s="381"/>
      <c r="O936" s="381"/>
      <c r="P936" s="381"/>
      <c r="Q936" s="381"/>
      <c r="R936" s="381"/>
      <c r="S936" s="381"/>
      <c r="T936" s="381"/>
      <c r="U936" s="381"/>
      <c r="V936" s="381"/>
      <c r="W936" s="381"/>
      <c r="X936" s="381"/>
      <c r="Y936" s="381"/>
    </row>
    <row r="937" spans="1:26" s="505" customFormat="1" x14ac:dyDescent="0.2">
      <c r="A937" s="303"/>
      <c r="B937" s="504" t="s">
        <v>723</v>
      </c>
      <c r="C937" s="504">
        <v>0.71399999999999997</v>
      </c>
      <c r="D937" s="504" t="s">
        <v>722</v>
      </c>
      <c r="E937" s="381"/>
      <c r="F937" s="381"/>
      <c r="G937" s="381"/>
      <c r="H937" s="381"/>
      <c r="I937" s="381"/>
      <c r="J937" s="381"/>
      <c r="K937" s="381"/>
      <c r="L937" s="381"/>
      <c r="M937" s="381"/>
      <c r="N937" s="381"/>
      <c r="O937" s="381"/>
      <c r="P937" s="381"/>
      <c r="Q937" s="381"/>
      <c r="R937" s="381"/>
      <c r="S937" s="381"/>
      <c r="T937" s="381"/>
      <c r="U937" s="381"/>
      <c r="V937" s="381"/>
      <c r="W937" s="381"/>
      <c r="X937" s="381"/>
      <c r="Y937" s="381"/>
    </row>
    <row r="938" spans="1:26" s="505" customFormat="1" x14ac:dyDescent="0.2">
      <c r="A938" s="303"/>
      <c r="B938" s="504" t="s">
        <v>728</v>
      </c>
      <c r="C938" s="504">
        <v>804</v>
      </c>
      <c r="D938" s="504" t="s">
        <v>722</v>
      </c>
      <c r="E938" s="381"/>
      <c r="F938" s="381"/>
      <c r="G938" s="381"/>
      <c r="H938" s="381"/>
      <c r="I938" s="381"/>
      <c r="J938" s="381"/>
      <c r="K938" s="381"/>
      <c r="L938" s="381"/>
      <c r="M938" s="381"/>
      <c r="N938" s="381"/>
      <c r="O938" s="381"/>
      <c r="P938" s="381"/>
      <c r="Q938" s="381"/>
      <c r="R938" s="381"/>
      <c r="S938" s="381"/>
      <c r="T938" s="381"/>
      <c r="U938" s="381"/>
      <c r="V938" s="381"/>
      <c r="W938" s="381"/>
      <c r="X938" s="381"/>
      <c r="Y938" s="381"/>
    </row>
    <row r="939" spans="1:26" s="505" customFormat="1" x14ac:dyDescent="0.2">
      <c r="A939" s="303"/>
      <c r="B939" s="504" t="s">
        <v>184</v>
      </c>
      <c r="C939" s="504">
        <v>820</v>
      </c>
      <c r="D939" s="504" t="s">
        <v>722</v>
      </c>
      <c r="E939" s="381"/>
      <c r="F939" s="381"/>
      <c r="G939" s="381"/>
      <c r="H939" s="381"/>
      <c r="I939" s="381"/>
      <c r="J939" s="381"/>
      <c r="K939" s="381"/>
      <c r="L939" s="381"/>
      <c r="M939" s="381"/>
      <c r="N939" s="381"/>
      <c r="O939" s="381"/>
      <c r="P939" s="381"/>
      <c r="Q939" s="381"/>
      <c r="R939" s="381"/>
      <c r="S939" s="381"/>
      <c r="T939" s="381"/>
      <c r="U939" s="381"/>
      <c r="V939" s="381"/>
      <c r="W939" s="381"/>
      <c r="X939" s="381"/>
      <c r="Y939" s="381"/>
    </row>
    <row r="940" spans="1:26" s="505" customFormat="1" x14ac:dyDescent="0.2">
      <c r="A940" s="303"/>
      <c r="B940" s="504" t="s">
        <v>114</v>
      </c>
      <c r="C940" s="504">
        <v>0.51</v>
      </c>
      <c r="D940" s="504" t="s">
        <v>779</v>
      </c>
      <c r="E940" s="381"/>
      <c r="F940" s="381"/>
      <c r="G940" s="381"/>
      <c r="H940" s="381"/>
      <c r="I940" s="381"/>
      <c r="J940" s="381"/>
      <c r="K940" s="381"/>
      <c r="L940" s="381"/>
      <c r="M940" s="381"/>
      <c r="N940" s="381"/>
      <c r="O940" s="381"/>
      <c r="P940" s="381"/>
      <c r="Q940" s="381"/>
      <c r="R940" s="381"/>
      <c r="S940" s="381"/>
      <c r="T940" s="381"/>
      <c r="U940" s="381"/>
      <c r="V940" s="381"/>
      <c r="W940" s="381"/>
      <c r="X940" s="381"/>
      <c r="Y940" s="381"/>
    </row>
    <row r="941" spans="1:26" s="505" customFormat="1" x14ac:dyDescent="0.2">
      <c r="A941" s="303"/>
      <c r="B941" s="504" t="s">
        <v>162</v>
      </c>
      <c r="C941" s="504">
        <v>0.8</v>
      </c>
      <c r="D941" s="504" t="s">
        <v>779</v>
      </c>
      <c r="E941" s="381"/>
      <c r="F941" s="381"/>
      <c r="G941" s="381"/>
      <c r="H941" s="381"/>
      <c r="I941" s="381"/>
      <c r="J941" s="381"/>
      <c r="K941" s="381"/>
      <c r="L941" s="381"/>
      <c r="M941" s="381"/>
      <c r="N941" s="381"/>
      <c r="O941" s="381"/>
      <c r="P941" s="381"/>
      <c r="Q941" s="381"/>
      <c r="R941" s="381"/>
      <c r="S941" s="381"/>
      <c r="T941" s="381"/>
      <c r="U941" s="381"/>
      <c r="V941" s="381"/>
      <c r="W941" s="381"/>
      <c r="X941" s="381"/>
      <c r="Y941" s="381"/>
    </row>
    <row r="942" spans="1:26" x14ac:dyDescent="0.2">
      <c r="A942" s="303"/>
      <c r="B942" s="304"/>
      <c r="C942" s="304"/>
      <c r="D942" s="304"/>
      <c r="E942" s="304"/>
      <c r="F942" s="304"/>
      <c r="G942" s="304"/>
      <c r="H942" s="304"/>
      <c r="I942" s="304"/>
      <c r="J942" s="304"/>
      <c r="K942" s="304"/>
      <c r="L942" s="304"/>
      <c r="M942" s="304"/>
      <c r="N942" s="304"/>
      <c r="O942" s="304"/>
      <c r="P942" s="304"/>
      <c r="Q942" s="304"/>
      <c r="R942" s="304"/>
      <c r="S942" s="304"/>
      <c r="T942" s="304"/>
      <c r="U942" s="304"/>
      <c r="V942" s="304"/>
      <c r="W942" s="304"/>
      <c r="X942" s="304"/>
      <c r="Y942" s="304"/>
      <c r="Z942" s="305"/>
    </row>
    <row r="943" spans="1:26" x14ac:dyDescent="0.2">
      <c r="A943" s="303"/>
      <c r="B943" s="304"/>
      <c r="C943" s="304"/>
      <c r="D943" s="304"/>
      <c r="E943" s="304"/>
      <c r="F943" s="304"/>
      <c r="G943" s="304"/>
      <c r="H943" s="304"/>
      <c r="I943" s="304"/>
      <c r="J943" s="304"/>
      <c r="K943" s="304"/>
      <c r="L943" s="304"/>
      <c r="M943" s="304"/>
      <c r="N943" s="304"/>
      <c r="O943" s="304"/>
      <c r="P943" s="304"/>
      <c r="Q943" s="304"/>
      <c r="R943" s="304"/>
      <c r="S943" s="304"/>
      <c r="T943" s="304"/>
      <c r="U943" s="304"/>
      <c r="V943" s="304"/>
      <c r="W943" s="304"/>
      <c r="X943" s="304"/>
      <c r="Y943" s="304"/>
      <c r="Z943" s="305"/>
    </row>
    <row r="944" spans="1:26" x14ac:dyDescent="0.2">
      <c r="A944" s="303"/>
      <c r="B944" s="304"/>
      <c r="C944" s="304"/>
      <c r="D944" s="304"/>
      <c r="E944" s="304"/>
      <c r="F944" s="304"/>
      <c r="G944" s="304"/>
      <c r="H944" s="304"/>
      <c r="I944" s="304"/>
      <c r="J944" s="304"/>
      <c r="K944" s="304"/>
      <c r="L944" s="304"/>
      <c r="M944" s="304"/>
      <c r="N944" s="304"/>
      <c r="O944" s="304"/>
      <c r="P944" s="304"/>
      <c r="Q944" s="304"/>
      <c r="R944" s="304"/>
      <c r="S944" s="304"/>
      <c r="T944" s="304"/>
      <c r="U944" s="304"/>
      <c r="V944" s="304"/>
      <c r="W944" s="304"/>
      <c r="X944" s="304"/>
      <c r="Y944" s="304"/>
      <c r="Z944" s="305"/>
    </row>
    <row r="945" spans="1:26" ht="25.9" customHeight="1" x14ac:dyDescent="0.2">
      <c r="A945" s="303"/>
      <c r="B945" s="506" t="s">
        <v>112</v>
      </c>
      <c r="C945" s="304"/>
      <c r="D945" s="304"/>
      <c r="E945" s="304"/>
      <c r="F945" s="304"/>
      <c r="G945" s="304"/>
      <c r="H945" s="304"/>
      <c r="I945" s="304"/>
      <c r="J945" s="304"/>
      <c r="K945" s="304"/>
      <c r="L945" s="304"/>
      <c r="M945" s="304"/>
      <c r="N945" s="304"/>
      <c r="O945" s="304"/>
      <c r="P945" s="304"/>
      <c r="Q945" s="304"/>
      <c r="R945" s="304"/>
      <c r="S945" s="304"/>
      <c r="T945" s="304"/>
      <c r="U945" s="304"/>
      <c r="V945" s="304"/>
      <c r="W945" s="304"/>
      <c r="X945" s="304"/>
      <c r="Y945" s="304"/>
      <c r="Z945" s="305"/>
    </row>
    <row r="946" spans="1:26" x14ac:dyDescent="0.2">
      <c r="A946" s="303"/>
      <c r="B946" s="304"/>
      <c r="C946" s="304"/>
      <c r="D946" s="304"/>
      <c r="E946" s="304"/>
      <c r="F946" s="304"/>
      <c r="G946" s="304"/>
      <c r="H946" s="304"/>
      <c r="I946" s="304"/>
      <c r="J946" s="304"/>
      <c r="K946" s="304"/>
      <c r="L946" s="304"/>
      <c r="M946" s="304"/>
      <c r="N946" s="304"/>
      <c r="O946" s="304"/>
      <c r="P946" s="304"/>
      <c r="Q946" s="304"/>
      <c r="R946" s="304"/>
      <c r="S946" s="304"/>
      <c r="T946" s="304"/>
      <c r="U946" s="304"/>
      <c r="V946" s="304"/>
      <c r="W946" s="304"/>
      <c r="X946" s="304"/>
      <c r="Y946" s="304"/>
      <c r="Z946" s="305"/>
    </row>
  </sheetData>
  <sheetProtection password="CA83" sheet="1" objects="1" scenarios="1"/>
  <protectedRanges>
    <protectedRange sqref="D717:D719 D685:D687 F686:G687 F718:H719" name="Goundside vehicle"/>
  </protectedRanges>
  <mergeCells count="83">
    <mergeCell ref="A1:Y1"/>
    <mergeCell ref="H607:J607"/>
    <mergeCell ref="C609:C611"/>
    <mergeCell ref="C612:C614"/>
    <mergeCell ref="C619:C624"/>
    <mergeCell ref="C578:C580"/>
    <mergeCell ref="C581:C583"/>
    <mergeCell ref="C600:C601"/>
    <mergeCell ref="C588:C593"/>
    <mergeCell ref="C594:C599"/>
    <mergeCell ref="D185:E185"/>
    <mergeCell ref="D325:Q325"/>
    <mergeCell ref="R184:Y184"/>
    <mergeCell ref="R186:W186"/>
    <mergeCell ref="P185:Q185"/>
    <mergeCell ref="F185:G185"/>
    <mergeCell ref="H185:I185"/>
    <mergeCell ref="J185:K185"/>
    <mergeCell ref="L185:M185"/>
    <mergeCell ref="N185:O185"/>
    <mergeCell ref="D184:Q184"/>
    <mergeCell ref="H576:J576"/>
    <mergeCell ref="H546:J546"/>
    <mergeCell ref="C548:C550"/>
    <mergeCell ref="C551:C553"/>
    <mergeCell ref="C558:C563"/>
    <mergeCell ref="C564:C569"/>
    <mergeCell ref="C570:C571"/>
    <mergeCell ref="F767:H767"/>
    <mergeCell ref="C769:C771"/>
    <mergeCell ref="F797:H797"/>
    <mergeCell ref="C625:C630"/>
    <mergeCell ref="H689:J689"/>
    <mergeCell ref="C691:C693"/>
    <mergeCell ref="C694:C696"/>
    <mergeCell ref="C700:C705"/>
    <mergeCell ref="H654:J654"/>
    <mergeCell ref="C656:C658"/>
    <mergeCell ref="C659:C661"/>
    <mergeCell ref="C666:C671"/>
    <mergeCell ref="C672:C677"/>
    <mergeCell ref="C760:C761"/>
    <mergeCell ref="C706:C711"/>
    <mergeCell ref="R327:W327"/>
    <mergeCell ref="R325:Y325"/>
    <mergeCell ref="D326:E326"/>
    <mergeCell ref="F326:G326"/>
    <mergeCell ref="H326:I326"/>
    <mergeCell ref="J326:K326"/>
    <mergeCell ref="L326:M326"/>
    <mergeCell ref="N326:O326"/>
    <mergeCell ref="P326:Q326"/>
    <mergeCell ref="C895:C896"/>
    <mergeCell ref="C728:C729"/>
    <mergeCell ref="C893:C894"/>
    <mergeCell ref="C730:C731"/>
    <mergeCell ref="H855:J855"/>
    <mergeCell ref="C857:C859"/>
    <mergeCell ref="C860:C862"/>
    <mergeCell ref="C866:C871"/>
    <mergeCell ref="C872:C877"/>
    <mergeCell ref="F827:H827"/>
    <mergeCell ref="C829:C831"/>
    <mergeCell ref="C832:C834"/>
    <mergeCell ref="C802:C804"/>
    <mergeCell ref="C838:C843"/>
    <mergeCell ref="F737:H737"/>
    <mergeCell ref="C820:C821"/>
    <mergeCell ref="C850:C851"/>
    <mergeCell ref="C678:C679"/>
    <mergeCell ref="C631:C632"/>
    <mergeCell ref="C844:C849"/>
    <mergeCell ref="C739:C741"/>
    <mergeCell ref="C742:C744"/>
    <mergeCell ref="C748:C753"/>
    <mergeCell ref="C754:C759"/>
    <mergeCell ref="C808:C813"/>
    <mergeCell ref="C814:C819"/>
    <mergeCell ref="C772:C774"/>
    <mergeCell ref="C778:C783"/>
    <mergeCell ref="C784:C789"/>
    <mergeCell ref="C799:C801"/>
    <mergeCell ref="C790:C791"/>
  </mergeCells>
  <phoneticPr fontId="5" type="noConversion"/>
  <printOptions horizontalCentered="1"/>
  <pageMargins left="0.5" right="0.5" top="0.9" bottom="0.75" header="0.511811023622047" footer="0.511811023622047"/>
  <pageSetup paperSize="9" scale="35" fitToHeight="13" orientation="landscape" r:id="rId1"/>
  <headerFooter alignWithMargins="0">
    <oddFooter>&amp;L&amp;"Gill Sans MT,Regular"Printed: &amp;D&amp;C&amp;"Gill Sans MT,Regular"Page &amp;P of &amp;N&amp;R&amp;"Gill Sans MT,Regular"&amp;9Spreadsheet designed by EBA on behalf of Transport Canada</oddFooter>
  </headerFooter>
  <rowBreaks count="10" manualBreakCount="10">
    <brk id="47" max="24" man="1"/>
    <brk id="132" max="24" man="1"/>
    <brk id="174" max="24" man="1"/>
    <brk id="347" max="24" man="1"/>
    <brk id="437" max="24" man="1"/>
    <brk id="529" max="24" man="1"/>
    <brk id="605" max="24" man="1"/>
    <brk id="682" max="24" man="1"/>
    <brk id="764" max="24" man="1"/>
    <brk id="854" max="24" man="1"/>
  </rowBreak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70C0"/>
    <pageSetUpPr fitToPage="1"/>
  </sheetPr>
  <dimension ref="A1:Y157"/>
  <sheetViews>
    <sheetView zoomScale="80" zoomScaleNormal="80" workbookViewId="0">
      <selection activeCell="A3" sqref="A3"/>
    </sheetView>
  </sheetViews>
  <sheetFormatPr defaultColWidth="9.140625" defaultRowHeight="12.75" x14ac:dyDescent="0.2"/>
  <cols>
    <col min="1" max="1" width="21.7109375" bestFit="1" customWidth="1"/>
    <col min="2" max="2" width="6.85546875" customWidth="1"/>
    <col min="3" max="3" width="18" customWidth="1"/>
    <col min="4" max="4" width="13.28515625" bestFit="1" customWidth="1"/>
    <col min="5" max="5" width="8.85546875" style="114" customWidth="1"/>
    <col min="6" max="6" width="8.85546875" customWidth="1"/>
    <col min="7" max="10" width="7.7109375" customWidth="1"/>
    <col min="11" max="11" width="9.85546875" style="114" customWidth="1"/>
    <col min="12" max="12" width="8.85546875" style="117" customWidth="1"/>
    <col min="13" max="14" width="7.85546875" customWidth="1"/>
    <col min="15" max="15" width="7.85546875" style="117" customWidth="1"/>
    <col min="16" max="17" width="7.85546875" customWidth="1"/>
    <col min="18" max="18" width="8.85546875" style="117" customWidth="1"/>
    <col min="19" max="19" width="6" customWidth="1"/>
    <col min="20" max="20" width="6" style="114" customWidth="1"/>
    <col min="21" max="24" width="6" customWidth="1"/>
    <col min="25" max="25" width="8.140625" style="117" customWidth="1"/>
  </cols>
  <sheetData>
    <row r="1" spans="1:25" s="97" customFormat="1" ht="21.75" x14ac:dyDescent="0.45">
      <c r="A1" s="1200" t="s">
        <v>1937</v>
      </c>
      <c r="B1" s="1200"/>
      <c r="C1" s="1200"/>
      <c r="D1" s="1200"/>
      <c r="E1" s="1200"/>
      <c r="F1" s="1200"/>
      <c r="G1" s="1200"/>
      <c r="H1" s="1200"/>
      <c r="I1" s="1200"/>
      <c r="J1" s="1200"/>
      <c r="K1" s="1200"/>
      <c r="L1" s="1200"/>
      <c r="M1" s="1200"/>
      <c r="N1" s="1200"/>
      <c r="O1" s="1200"/>
      <c r="P1" s="1200"/>
      <c r="Q1" s="1200"/>
      <c r="R1" s="1200"/>
      <c r="S1" s="1200"/>
      <c r="T1" s="1200"/>
      <c r="U1" s="1200"/>
      <c r="V1" s="1200"/>
      <c r="W1" s="1200"/>
      <c r="X1" s="1200"/>
      <c r="Y1" s="1200"/>
    </row>
    <row r="2" spans="1:25" s="112" customFormat="1" ht="38.25" x14ac:dyDescent="0.2">
      <c r="A2" s="107" t="s">
        <v>228</v>
      </c>
      <c r="B2" s="108" t="s">
        <v>229</v>
      </c>
      <c r="C2" s="107" t="s">
        <v>230</v>
      </c>
      <c r="D2" s="107" t="s">
        <v>231</v>
      </c>
      <c r="E2" s="124" t="s">
        <v>232</v>
      </c>
      <c r="F2" s="109" t="s">
        <v>855</v>
      </c>
      <c r="G2" s="109" t="s">
        <v>850</v>
      </c>
      <c r="H2" s="109" t="s">
        <v>851</v>
      </c>
      <c r="I2" s="109" t="s">
        <v>852</v>
      </c>
      <c r="J2" s="109" t="s">
        <v>853</v>
      </c>
      <c r="K2" s="124" t="s">
        <v>854</v>
      </c>
      <c r="L2" s="115" t="s">
        <v>233</v>
      </c>
      <c r="M2" s="110" t="s">
        <v>234</v>
      </c>
      <c r="N2" s="110" t="s">
        <v>235</v>
      </c>
      <c r="O2" s="115" t="s">
        <v>236</v>
      </c>
      <c r="P2" s="110" t="s">
        <v>237</v>
      </c>
      <c r="Q2" s="110" t="s">
        <v>238</v>
      </c>
      <c r="R2" s="115" t="s">
        <v>239</v>
      </c>
      <c r="S2" s="111" t="s">
        <v>603</v>
      </c>
      <c r="T2" s="118" t="s">
        <v>604</v>
      </c>
      <c r="U2" s="111" t="s">
        <v>605</v>
      </c>
      <c r="V2" s="111" t="s">
        <v>606</v>
      </c>
      <c r="W2" s="111" t="s">
        <v>607</v>
      </c>
      <c r="X2" s="111" t="s">
        <v>608</v>
      </c>
      <c r="Y2" s="121" t="s">
        <v>609</v>
      </c>
    </row>
    <row r="3" spans="1:25" x14ac:dyDescent="0.2">
      <c r="A3" s="47" t="s">
        <v>240</v>
      </c>
      <c r="B3" s="48" t="s">
        <v>241</v>
      </c>
      <c r="C3" s="47" t="s">
        <v>242</v>
      </c>
      <c r="D3" s="47" t="s">
        <v>243</v>
      </c>
      <c r="E3" s="838">
        <v>69.887999999999991</v>
      </c>
      <c r="F3" s="49">
        <v>0.32145359999999995</v>
      </c>
      <c r="G3" s="49">
        <v>1.3146353999999998</v>
      </c>
      <c r="H3" s="49">
        <v>2.3507406</v>
      </c>
      <c r="I3" s="49">
        <v>4.5183199999999993E-3</v>
      </c>
      <c r="J3" s="49">
        <v>3.4943999999999996E-2</v>
      </c>
      <c r="K3" s="125">
        <v>220.1472</v>
      </c>
      <c r="L3" s="116"/>
      <c r="M3" s="50"/>
      <c r="N3" s="50"/>
      <c r="O3" s="116"/>
      <c r="P3" s="50"/>
      <c r="Q3" s="50"/>
      <c r="R3" s="116"/>
      <c r="S3" s="58"/>
      <c r="T3" s="119"/>
      <c r="U3" s="58"/>
      <c r="V3" s="58"/>
      <c r="W3" s="58"/>
      <c r="X3" s="58"/>
      <c r="Y3" s="122"/>
    </row>
    <row r="4" spans="1:25" x14ac:dyDescent="0.2">
      <c r="A4" s="47" t="s">
        <v>244</v>
      </c>
      <c r="B4" s="48" t="s">
        <v>241</v>
      </c>
      <c r="C4" s="47" t="s">
        <v>245</v>
      </c>
      <c r="D4" s="47" t="s">
        <v>246</v>
      </c>
      <c r="E4" s="838">
        <v>114.66</v>
      </c>
      <c r="F4" s="49">
        <v>0.84681479999999998</v>
      </c>
      <c r="G4" s="49">
        <v>1.0201151999999998</v>
      </c>
      <c r="H4" s="49">
        <v>1.3058837999999999</v>
      </c>
      <c r="I4" s="49">
        <v>7.3825200000000001E-3</v>
      </c>
      <c r="J4" s="49">
        <v>5.7329999999999999E-2</v>
      </c>
      <c r="K4" s="125">
        <v>361.17899999999997</v>
      </c>
      <c r="L4" s="116"/>
      <c r="M4" s="50"/>
      <c r="N4" s="50"/>
      <c r="O4" s="116"/>
      <c r="P4" s="50"/>
      <c r="Q4" s="50"/>
      <c r="R4" s="116"/>
      <c r="S4" s="58"/>
      <c r="T4" s="119"/>
      <c r="U4" s="58"/>
      <c r="V4" s="58"/>
      <c r="W4" s="58"/>
      <c r="X4" s="58"/>
      <c r="Y4" s="122"/>
    </row>
    <row r="5" spans="1:25" x14ac:dyDescent="0.2">
      <c r="A5" s="47" t="s">
        <v>247</v>
      </c>
      <c r="B5" s="48" t="s">
        <v>248</v>
      </c>
      <c r="C5" s="47" t="s">
        <v>249</v>
      </c>
      <c r="D5" s="47" t="s">
        <v>250</v>
      </c>
      <c r="E5" s="116">
        <v>973.44</v>
      </c>
      <c r="F5" s="50">
        <v>18.908528399999998</v>
      </c>
      <c r="G5" s="50">
        <v>0.23956752000000003</v>
      </c>
      <c r="H5" s="50">
        <v>2.0846968800000001</v>
      </c>
      <c r="I5" s="50">
        <v>5.6265002617508199E-2</v>
      </c>
      <c r="J5" s="50">
        <v>0.48672000000000004</v>
      </c>
      <c r="K5" s="113">
        <v>3066.3359999999998</v>
      </c>
      <c r="L5" s="116">
        <v>19560.000000000004</v>
      </c>
      <c r="M5" s="50">
        <v>66.504000000000005</v>
      </c>
      <c r="N5" s="50">
        <v>53.203200000000002</v>
      </c>
      <c r="O5" s="116">
        <v>470.22239999999999</v>
      </c>
      <c r="P5" s="50">
        <v>1.456853499800939</v>
      </c>
      <c r="Q5" s="50">
        <v>9.7800000000000011</v>
      </c>
      <c r="R5" s="116">
        <v>61614.000000000015</v>
      </c>
      <c r="S5" s="58">
        <v>4</v>
      </c>
      <c r="T5" s="119">
        <v>32</v>
      </c>
      <c r="U5" s="58">
        <v>2.1333333333333333</v>
      </c>
      <c r="V5" s="58">
        <v>2.8</v>
      </c>
      <c r="W5" s="58">
        <v>0.53333333333333333</v>
      </c>
      <c r="X5" s="58">
        <v>2</v>
      </c>
      <c r="Y5" s="122">
        <v>12600</v>
      </c>
    </row>
    <row r="6" spans="1:25" x14ac:dyDescent="0.2">
      <c r="A6" s="47" t="s">
        <v>251</v>
      </c>
      <c r="B6" s="48" t="s">
        <v>248</v>
      </c>
      <c r="C6" s="47" t="s">
        <v>252</v>
      </c>
      <c r="D6" s="47" t="s">
        <v>253</v>
      </c>
      <c r="E6" s="116">
        <v>967.26</v>
      </c>
      <c r="F6" s="50">
        <v>20.602452000000003</v>
      </c>
      <c r="G6" s="50">
        <v>0.44164139999999996</v>
      </c>
      <c r="H6" s="50">
        <v>2.1241680000000001</v>
      </c>
      <c r="I6" s="50">
        <v>6.0675899077738599E-2</v>
      </c>
      <c r="J6" s="50">
        <v>0.48363</v>
      </c>
      <c r="K6" s="113">
        <v>3046.8690000000001</v>
      </c>
      <c r="L6" s="116">
        <v>18000</v>
      </c>
      <c r="M6" s="50">
        <v>61.2</v>
      </c>
      <c r="N6" s="50">
        <v>113.22</v>
      </c>
      <c r="O6" s="116">
        <v>507.59999999999997</v>
      </c>
      <c r="P6" s="50">
        <v>1.8241209495858404</v>
      </c>
      <c r="Q6" s="50">
        <v>9</v>
      </c>
      <c r="R6" s="116">
        <v>56700</v>
      </c>
      <c r="S6" s="58">
        <v>4</v>
      </c>
      <c r="T6" s="119">
        <v>32</v>
      </c>
      <c r="U6" s="58">
        <v>2.1333333333333333</v>
      </c>
      <c r="V6" s="58">
        <v>2.8</v>
      </c>
      <c r="W6" s="58">
        <v>0.53333333333333333</v>
      </c>
      <c r="X6" s="58">
        <v>2</v>
      </c>
      <c r="Y6" s="122">
        <v>12600</v>
      </c>
    </row>
    <row r="7" spans="1:25" x14ac:dyDescent="0.2">
      <c r="A7" s="47" t="s">
        <v>254</v>
      </c>
      <c r="B7" s="48" t="s">
        <v>248</v>
      </c>
      <c r="C7" s="47" t="s">
        <v>255</v>
      </c>
      <c r="D7" s="47" t="s">
        <v>256</v>
      </c>
      <c r="E7" s="116">
        <v>406.81199999999995</v>
      </c>
      <c r="F7" s="50">
        <v>6.3916355999999999</v>
      </c>
      <c r="G7" s="50">
        <v>0.21144240000000003</v>
      </c>
      <c r="H7" s="50">
        <v>1.0259676</v>
      </c>
      <c r="I7" s="50">
        <v>1.7344058206756378E-2</v>
      </c>
      <c r="J7" s="50">
        <v>0.20340599999999998</v>
      </c>
      <c r="K7" s="113">
        <v>1281.4577999999999</v>
      </c>
      <c r="L7" s="116">
        <v>11280</v>
      </c>
      <c r="M7" s="50">
        <v>42.863999999999997</v>
      </c>
      <c r="N7" s="50">
        <v>69.935999999999993</v>
      </c>
      <c r="O7" s="116">
        <v>338.4</v>
      </c>
      <c r="P7" s="50">
        <v>1.101801513189085</v>
      </c>
      <c r="Q7" s="50">
        <v>5.64</v>
      </c>
      <c r="R7" s="116">
        <v>35532</v>
      </c>
      <c r="S7" s="58">
        <v>1.7777777777777777</v>
      </c>
      <c r="T7" s="119">
        <v>15.555555555555555</v>
      </c>
      <c r="U7" s="58">
        <v>0.66666666666666663</v>
      </c>
      <c r="V7" s="58">
        <v>6.8888888888888893</v>
      </c>
      <c r="W7" s="58">
        <v>0.55555555555555558</v>
      </c>
      <c r="X7" s="58">
        <v>0.88888888888888884</v>
      </c>
      <c r="Y7" s="122">
        <v>5600</v>
      </c>
    </row>
    <row r="8" spans="1:25" x14ac:dyDescent="0.2">
      <c r="A8" s="47" t="s">
        <v>257</v>
      </c>
      <c r="B8" s="48" t="s">
        <v>248</v>
      </c>
      <c r="C8" s="47" t="s">
        <v>258</v>
      </c>
      <c r="D8" s="47" t="s">
        <v>259</v>
      </c>
      <c r="E8" s="116">
        <v>504.16800000000001</v>
      </c>
      <c r="F8" s="50">
        <v>9.9404160000000008</v>
      </c>
      <c r="G8" s="50">
        <v>0.20067359999999998</v>
      </c>
      <c r="H8" s="50">
        <v>0.94421519999999992</v>
      </c>
      <c r="I8" s="50">
        <v>2.1947249683687598E-2</v>
      </c>
      <c r="J8" s="50">
        <v>0.25208400000000003</v>
      </c>
      <c r="K8" s="113">
        <v>1588.1291999999999</v>
      </c>
      <c r="L8" s="116">
        <v>12479.999999999998</v>
      </c>
      <c r="M8" s="50">
        <v>53.664000000000001</v>
      </c>
      <c r="N8" s="50">
        <v>57.407999999999994</v>
      </c>
      <c r="O8" s="116">
        <v>292.03199999999998</v>
      </c>
      <c r="P8" s="50">
        <v>1.0958118801240939</v>
      </c>
      <c r="Q8" s="50">
        <v>6.2399999999999993</v>
      </c>
      <c r="R8" s="116">
        <v>39311.999999999993</v>
      </c>
      <c r="S8" s="58">
        <v>1.7777777777777777</v>
      </c>
      <c r="T8" s="119">
        <v>15.555555555555555</v>
      </c>
      <c r="U8" s="58">
        <v>0.66666666666666663</v>
      </c>
      <c r="V8" s="58">
        <v>6.8888888888888893</v>
      </c>
      <c r="W8" s="58">
        <v>0.55555555555555558</v>
      </c>
      <c r="X8" s="58">
        <v>0.88888888888888884</v>
      </c>
      <c r="Y8" s="122">
        <v>5600</v>
      </c>
    </row>
    <row r="9" spans="1:25" x14ac:dyDescent="0.2">
      <c r="A9" s="47" t="s">
        <v>260</v>
      </c>
      <c r="B9" s="48" t="s">
        <v>248</v>
      </c>
      <c r="C9" s="47" t="s">
        <v>261</v>
      </c>
      <c r="D9" s="47" t="s">
        <v>262</v>
      </c>
      <c r="E9" s="116">
        <v>566.89200000000005</v>
      </c>
      <c r="F9" s="50">
        <v>12.739034400000001</v>
      </c>
      <c r="G9" s="50">
        <v>0.19838040000000001</v>
      </c>
      <c r="H9" s="50">
        <v>0.94184279999999998</v>
      </c>
      <c r="I9" s="50">
        <v>2.3201221674053401E-2</v>
      </c>
      <c r="J9" s="50">
        <v>0.28344600000000003</v>
      </c>
      <c r="K9" s="113">
        <v>1785.7098000000003</v>
      </c>
      <c r="L9" s="116">
        <v>13200</v>
      </c>
      <c r="M9" s="50">
        <v>59.4</v>
      </c>
      <c r="N9" s="50">
        <v>48.84</v>
      </c>
      <c r="O9" s="116">
        <v>261.36</v>
      </c>
      <c r="P9" s="50">
        <v>1.0857321962850996</v>
      </c>
      <c r="Q9" s="50">
        <v>6.6</v>
      </c>
      <c r="R9" s="116">
        <v>41580</v>
      </c>
      <c r="S9" s="58">
        <v>1.7777777777777777</v>
      </c>
      <c r="T9" s="119">
        <v>15.555555555555555</v>
      </c>
      <c r="U9" s="58">
        <v>0.66666666666666663</v>
      </c>
      <c r="V9" s="58">
        <v>6.8888888888888893</v>
      </c>
      <c r="W9" s="58">
        <v>0.55555555555555558</v>
      </c>
      <c r="X9" s="58">
        <v>0.88888888888888884</v>
      </c>
      <c r="Y9" s="122">
        <v>5600</v>
      </c>
    </row>
    <row r="10" spans="1:25" x14ac:dyDescent="0.2">
      <c r="A10" s="47" t="s">
        <v>263</v>
      </c>
      <c r="B10" s="48" t="s">
        <v>248</v>
      </c>
      <c r="C10" s="47" t="s">
        <v>264</v>
      </c>
      <c r="D10" s="47" t="s">
        <v>265</v>
      </c>
      <c r="E10" s="116">
        <v>1302.6600000000001</v>
      </c>
      <c r="F10" s="50">
        <v>26.543940600000003</v>
      </c>
      <c r="G10" s="50">
        <v>4.836E-2</v>
      </c>
      <c r="H10" s="50">
        <v>1.09756692</v>
      </c>
      <c r="I10" s="50">
        <v>4.5550931886519999E-2</v>
      </c>
      <c r="J10" s="50">
        <v>0.65133000000000008</v>
      </c>
      <c r="K10" s="113">
        <v>4103.3790000000008</v>
      </c>
      <c r="L10" s="116">
        <v>30240.000000000004</v>
      </c>
      <c r="M10" s="50">
        <v>123.3792</v>
      </c>
      <c r="N10" s="50">
        <v>28.728000000000002</v>
      </c>
      <c r="O10" s="116">
        <v>446.94720000000001</v>
      </c>
      <c r="P10" s="50">
        <v>1.6578021599999999</v>
      </c>
      <c r="Q10" s="50">
        <v>15.120000000000001</v>
      </c>
      <c r="R10" s="116">
        <v>95256.000000000015</v>
      </c>
      <c r="S10" s="58">
        <v>4</v>
      </c>
      <c r="T10" s="119">
        <v>32</v>
      </c>
      <c r="U10" s="58">
        <v>2.1333333333333333</v>
      </c>
      <c r="V10" s="58">
        <v>2.8</v>
      </c>
      <c r="W10" s="58">
        <v>0.53333333333333333</v>
      </c>
      <c r="X10" s="58">
        <v>2</v>
      </c>
      <c r="Y10" s="122">
        <v>12600</v>
      </c>
    </row>
    <row r="11" spans="1:25" x14ac:dyDescent="0.2">
      <c r="A11" s="47" t="s">
        <v>266</v>
      </c>
      <c r="B11" s="48" t="s">
        <v>267</v>
      </c>
      <c r="C11" s="47" t="s">
        <v>268</v>
      </c>
      <c r="D11" s="47" t="s">
        <v>269</v>
      </c>
      <c r="E11" s="116">
        <v>1220.664</v>
      </c>
      <c r="F11" s="50">
        <v>27.734872800000002</v>
      </c>
      <c r="G11" s="50">
        <v>0.13800000000000004</v>
      </c>
      <c r="H11" s="50">
        <v>2.0504207999999999</v>
      </c>
      <c r="I11" s="50">
        <v>6.2235343999999998E-2</v>
      </c>
      <c r="J11" s="50">
        <v>0.61033199999999999</v>
      </c>
      <c r="K11" s="113">
        <v>3845.0916000000002</v>
      </c>
      <c r="L11" s="116">
        <v>27600</v>
      </c>
      <c r="M11" s="50">
        <v>113.16</v>
      </c>
      <c r="N11" s="50">
        <v>138.00000000000003</v>
      </c>
      <c r="O11" s="116">
        <v>872.16000000000008</v>
      </c>
      <c r="P11" s="50">
        <v>2.9808000000000003</v>
      </c>
      <c r="Q11" s="50">
        <v>13.8</v>
      </c>
      <c r="R11" s="116">
        <v>86940</v>
      </c>
      <c r="S11" s="58">
        <v>4</v>
      </c>
      <c r="T11" s="119">
        <v>32</v>
      </c>
      <c r="U11" s="58">
        <v>2.1333333333333333</v>
      </c>
      <c r="V11" s="58">
        <v>2.8</v>
      </c>
      <c r="W11" s="58">
        <v>0.53333333333333333</v>
      </c>
      <c r="X11" s="58">
        <v>2</v>
      </c>
      <c r="Y11" s="122">
        <v>12600</v>
      </c>
    </row>
    <row r="12" spans="1:25" x14ac:dyDescent="0.2">
      <c r="A12" s="47" t="s">
        <v>270</v>
      </c>
      <c r="B12" s="48" t="s">
        <v>267</v>
      </c>
      <c r="C12" s="47" t="s">
        <v>271</v>
      </c>
      <c r="D12" s="47" t="s">
        <v>272</v>
      </c>
      <c r="E12" s="116">
        <v>2342.4</v>
      </c>
      <c r="F12" s="50">
        <v>58.079520000000002</v>
      </c>
      <c r="G12" s="50">
        <v>1.4399999999999998E-2</v>
      </c>
      <c r="H12" s="50">
        <v>2.4350399999999999</v>
      </c>
      <c r="I12" s="50">
        <v>7.5429778279445997E-2</v>
      </c>
      <c r="J12" s="50">
        <v>1.1712</v>
      </c>
      <c r="K12" s="113">
        <v>7378.56</v>
      </c>
      <c r="L12" s="116">
        <v>72000</v>
      </c>
      <c r="M12" s="50">
        <v>367.19999999999993</v>
      </c>
      <c r="N12" s="50">
        <v>14.399999999999999</v>
      </c>
      <c r="O12" s="116">
        <v>1087.1999999999998</v>
      </c>
      <c r="P12" s="50">
        <v>3.8814634512912987</v>
      </c>
      <c r="Q12" s="50">
        <v>36</v>
      </c>
      <c r="R12" s="116">
        <v>226800</v>
      </c>
      <c r="S12" s="58">
        <v>4</v>
      </c>
      <c r="T12" s="119">
        <v>32</v>
      </c>
      <c r="U12" s="58">
        <v>2.1333333333333333</v>
      </c>
      <c r="V12" s="58">
        <v>2.8</v>
      </c>
      <c r="W12" s="58">
        <v>0.53333333333333333</v>
      </c>
      <c r="X12" s="58">
        <v>2</v>
      </c>
      <c r="Y12" s="122">
        <v>12600</v>
      </c>
    </row>
    <row r="13" spans="1:25" x14ac:dyDescent="0.2">
      <c r="A13" s="47" t="s">
        <v>273</v>
      </c>
      <c r="B13" s="48" t="s">
        <v>267</v>
      </c>
      <c r="C13" s="47" t="s">
        <v>274</v>
      </c>
      <c r="D13" s="47" t="s">
        <v>275</v>
      </c>
      <c r="E13" s="116">
        <v>2176.0920000000006</v>
      </c>
      <c r="F13" s="50">
        <v>45.25722720000001</v>
      </c>
      <c r="G13" s="50">
        <v>1.1717208000000001</v>
      </c>
      <c r="H13" s="50">
        <v>4.4182584</v>
      </c>
      <c r="I13" s="50">
        <v>0.10752268281538041</v>
      </c>
      <c r="J13" s="50">
        <v>1.0880460000000003</v>
      </c>
      <c r="K13" s="113">
        <v>6854.6898000000019</v>
      </c>
      <c r="L13" s="116">
        <v>56879.999999999993</v>
      </c>
      <c r="M13" s="50">
        <v>170.64</v>
      </c>
      <c r="N13" s="50">
        <v>682.56</v>
      </c>
      <c r="O13" s="116">
        <v>3014.64</v>
      </c>
      <c r="P13" s="50">
        <v>7.9628987434743443</v>
      </c>
      <c r="Q13" s="50">
        <v>28.439999999999998</v>
      </c>
      <c r="R13" s="116">
        <v>179171.99999999997</v>
      </c>
      <c r="S13" s="58">
        <v>4</v>
      </c>
      <c r="T13" s="119">
        <v>32</v>
      </c>
      <c r="U13" s="58">
        <v>2.1333333333333333</v>
      </c>
      <c r="V13" s="58">
        <v>2.8</v>
      </c>
      <c r="W13" s="58">
        <v>0.53333333333333333</v>
      </c>
      <c r="X13" s="58">
        <v>2</v>
      </c>
      <c r="Y13" s="122">
        <v>12600</v>
      </c>
    </row>
    <row r="14" spans="1:25" x14ac:dyDescent="0.2">
      <c r="A14" s="47" t="s">
        <v>276</v>
      </c>
      <c r="B14" s="48" t="s">
        <v>277</v>
      </c>
      <c r="C14" s="47" t="s">
        <v>278</v>
      </c>
      <c r="D14" s="47" t="s">
        <v>279</v>
      </c>
      <c r="E14" s="116">
        <v>375.61199999999997</v>
      </c>
      <c r="F14" s="50">
        <v>3.0774256799999997</v>
      </c>
      <c r="G14" s="50">
        <v>0.78690707999999998</v>
      </c>
      <c r="H14" s="50">
        <v>2.0163804000000001</v>
      </c>
      <c r="I14" s="50">
        <v>2.7777303999999999E-2</v>
      </c>
      <c r="J14" s="50">
        <v>0.18780599999999997</v>
      </c>
      <c r="K14" s="113">
        <v>1183.1777999999997</v>
      </c>
      <c r="L14" s="116">
        <v>18456</v>
      </c>
      <c r="M14" s="50">
        <v>64.965119999999999</v>
      </c>
      <c r="N14" s="50">
        <v>325.01015999999998</v>
      </c>
      <c r="O14" s="116">
        <v>804.6816</v>
      </c>
      <c r="P14" s="50">
        <v>3.6911999999999998</v>
      </c>
      <c r="Q14" s="50">
        <v>9.2279999999999998</v>
      </c>
      <c r="R14" s="116">
        <v>58136.4</v>
      </c>
      <c r="S14" s="58">
        <v>4</v>
      </c>
      <c r="T14" s="119">
        <v>32</v>
      </c>
      <c r="U14" s="58">
        <v>2.1333333333333333</v>
      </c>
      <c r="V14" s="58">
        <v>2.8</v>
      </c>
      <c r="W14" s="58">
        <v>0.53333333333333333</v>
      </c>
      <c r="X14" s="58">
        <v>2</v>
      </c>
      <c r="Y14" s="122">
        <v>12600</v>
      </c>
    </row>
    <row r="15" spans="1:25" x14ac:dyDescent="0.2">
      <c r="A15" s="47" t="s">
        <v>280</v>
      </c>
      <c r="B15" s="48" t="s">
        <v>248</v>
      </c>
      <c r="C15" s="47" t="s">
        <v>281</v>
      </c>
      <c r="D15" s="47" t="s">
        <v>282</v>
      </c>
      <c r="E15" s="116">
        <v>307.24800000000005</v>
      </c>
      <c r="F15" s="50">
        <v>5.45784</v>
      </c>
      <c r="G15" s="50">
        <v>6.480000000000001E-2</v>
      </c>
      <c r="H15" s="50">
        <v>0.60476880000000011</v>
      </c>
      <c r="I15" s="50">
        <v>1.6527996806753043E-2</v>
      </c>
      <c r="J15" s="50">
        <v>0.15362400000000001</v>
      </c>
      <c r="K15" s="113">
        <v>967.83120000000019</v>
      </c>
      <c r="L15" s="116">
        <v>12000</v>
      </c>
      <c r="M15" s="50">
        <v>66</v>
      </c>
      <c r="N15" s="50">
        <v>64.800000000000011</v>
      </c>
      <c r="O15" s="116">
        <v>248.39999999999998</v>
      </c>
      <c r="P15" s="50">
        <v>1.4230331856807417</v>
      </c>
      <c r="Q15" s="50">
        <v>6</v>
      </c>
      <c r="R15" s="116">
        <v>37800</v>
      </c>
      <c r="S15" s="58">
        <v>1.7777777777777777</v>
      </c>
      <c r="T15" s="119">
        <v>15.555555555555555</v>
      </c>
      <c r="U15" s="58">
        <v>0.66666666666666663</v>
      </c>
      <c r="V15" s="58">
        <v>6.8888888888888893</v>
      </c>
      <c r="W15" s="58">
        <v>0.55555555555555558</v>
      </c>
      <c r="X15" s="58">
        <v>0.88888888888888884</v>
      </c>
      <c r="Y15" s="122">
        <v>5600</v>
      </c>
    </row>
    <row r="16" spans="1:25" x14ac:dyDescent="0.2">
      <c r="A16" s="47" t="s">
        <v>283</v>
      </c>
      <c r="B16" s="48" t="s">
        <v>284</v>
      </c>
      <c r="C16" s="47" t="s">
        <v>285</v>
      </c>
      <c r="D16" s="47" t="s">
        <v>286</v>
      </c>
      <c r="E16" s="116">
        <v>103.5</v>
      </c>
      <c r="F16" s="50">
        <v>1.3527060000000002</v>
      </c>
      <c r="G16" s="50">
        <v>0</v>
      </c>
      <c r="H16" s="50">
        <v>0.31143599999999994</v>
      </c>
      <c r="I16" s="50">
        <v>7.0665199999999997E-3</v>
      </c>
      <c r="J16" s="50">
        <v>5.1749999999999997E-2</v>
      </c>
      <c r="K16" s="113">
        <v>326.02499999999998</v>
      </c>
      <c r="L16" s="116">
        <v>6119.9999999999991</v>
      </c>
      <c r="M16" s="50">
        <v>42.228000000000002</v>
      </c>
      <c r="N16" s="50">
        <v>0</v>
      </c>
      <c r="O16" s="116">
        <v>56.303999999999995</v>
      </c>
      <c r="P16" s="50">
        <v>1.2240000000000002</v>
      </c>
      <c r="Q16" s="50">
        <v>3.0599999999999996</v>
      </c>
      <c r="R16" s="116">
        <v>19277.999999999996</v>
      </c>
      <c r="S16" s="57"/>
      <c r="T16" s="120"/>
      <c r="U16" s="57"/>
      <c r="V16" s="57"/>
      <c r="W16" s="57"/>
      <c r="X16" s="57"/>
      <c r="Y16" s="123"/>
    </row>
    <row r="17" spans="1:25" x14ac:dyDescent="0.2">
      <c r="A17" s="47" t="s">
        <v>287</v>
      </c>
      <c r="B17" s="48" t="s">
        <v>284</v>
      </c>
      <c r="C17" s="47" t="s">
        <v>288</v>
      </c>
      <c r="D17" s="47" t="s">
        <v>286</v>
      </c>
      <c r="E17" s="116">
        <v>103.5</v>
      </c>
      <c r="F17" s="50">
        <v>1.3527060000000002</v>
      </c>
      <c r="G17" s="50">
        <v>0</v>
      </c>
      <c r="H17" s="50">
        <v>0.31143599999999994</v>
      </c>
      <c r="I17" s="50">
        <v>7.0665199999999997E-3</v>
      </c>
      <c r="J17" s="50">
        <v>5.1749999999999997E-2</v>
      </c>
      <c r="K17" s="113">
        <v>326.02499999999998</v>
      </c>
      <c r="L17" s="116">
        <v>6119.9999999999991</v>
      </c>
      <c r="M17" s="50">
        <v>42.228000000000002</v>
      </c>
      <c r="N17" s="50">
        <v>0</v>
      </c>
      <c r="O17" s="116">
        <v>56.303999999999995</v>
      </c>
      <c r="P17" s="50">
        <v>1.2240000000000002</v>
      </c>
      <c r="Q17" s="50">
        <v>3.0599999999999996</v>
      </c>
      <c r="R17" s="116">
        <v>19277.999999999996</v>
      </c>
      <c r="S17" s="57"/>
      <c r="T17" s="120"/>
      <c r="U17" s="57"/>
      <c r="V17" s="57"/>
      <c r="W17" s="57"/>
      <c r="X17" s="57"/>
      <c r="Y17" s="123"/>
    </row>
    <row r="18" spans="1:25" x14ac:dyDescent="0.2">
      <c r="A18" s="47" t="s">
        <v>289</v>
      </c>
      <c r="B18" s="48" t="s">
        <v>267</v>
      </c>
      <c r="C18" s="47" t="s">
        <v>290</v>
      </c>
      <c r="D18" s="47" t="s">
        <v>291</v>
      </c>
      <c r="E18" s="116">
        <v>331.2912</v>
      </c>
      <c r="F18" s="50">
        <v>3.4520351039999997</v>
      </c>
      <c r="G18" s="50">
        <v>6.5956511999999995E-2</v>
      </c>
      <c r="H18" s="50">
        <v>0.93079031999999984</v>
      </c>
      <c r="I18" s="50">
        <v>1.51780967378102E-2</v>
      </c>
      <c r="J18" s="50">
        <v>0.1656456</v>
      </c>
      <c r="K18" s="113">
        <v>1043.56728</v>
      </c>
      <c r="L18" s="116">
        <v>10872</v>
      </c>
      <c r="M18" s="50">
        <v>35.660159999999998</v>
      </c>
      <c r="N18" s="50">
        <v>51.315839999999994</v>
      </c>
      <c r="O18" s="116">
        <v>411.28775999999999</v>
      </c>
      <c r="P18" s="50">
        <v>1.516884017968354</v>
      </c>
      <c r="Q18" s="50">
        <v>5.4359999999999999</v>
      </c>
      <c r="R18" s="116">
        <v>34246.800000000003</v>
      </c>
      <c r="S18" s="58">
        <v>1.7777777777777777</v>
      </c>
      <c r="T18" s="119">
        <v>15.555555555555555</v>
      </c>
      <c r="U18" s="58">
        <v>0.66666666666666663</v>
      </c>
      <c r="V18" s="58">
        <v>6.8888888888888893</v>
      </c>
      <c r="W18" s="58">
        <v>0.55555555555555558</v>
      </c>
      <c r="X18" s="58">
        <v>0.88888888888888884</v>
      </c>
      <c r="Y18" s="122">
        <v>5600</v>
      </c>
    </row>
    <row r="19" spans="1:25" x14ac:dyDescent="0.2">
      <c r="A19" s="47" t="s">
        <v>292</v>
      </c>
      <c r="B19" s="48" t="s">
        <v>284</v>
      </c>
      <c r="C19" s="47" t="s">
        <v>293</v>
      </c>
      <c r="D19" s="47" t="s">
        <v>286</v>
      </c>
      <c r="E19" s="116">
        <v>103.5</v>
      </c>
      <c r="F19" s="50">
        <v>1.3527060000000002</v>
      </c>
      <c r="G19" s="50">
        <v>0</v>
      </c>
      <c r="H19" s="50">
        <v>0.31143599999999994</v>
      </c>
      <c r="I19" s="50">
        <v>7.0665199999999997E-3</v>
      </c>
      <c r="J19" s="50">
        <v>5.1749999999999997E-2</v>
      </c>
      <c r="K19" s="113">
        <v>326.02499999999998</v>
      </c>
      <c r="L19" s="116">
        <v>6119.9999999999991</v>
      </c>
      <c r="M19" s="50">
        <v>42.228000000000002</v>
      </c>
      <c r="N19" s="50">
        <v>0</v>
      </c>
      <c r="O19" s="116">
        <v>56.303999999999995</v>
      </c>
      <c r="P19" s="50">
        <v>1.2240000000000002</v>
      </c>
      <c r="Q19" s="50">
        <v>3.0599999999999996</v>
      </c>
      <c r="R19" s="116">
        <v>19277.999999999996</v>
      </c>
      <c r="S19" s="57"/>
      <c r="T19" s="120"/>
      <c r="U19" s="57"/>
      <c r="V19" s="57"/>
      <c r="W19" s="57"/>
      <c r="X19" s="57"/>
      <c r="Y19" s="123"/>
    </row>
    <row r="20" spans="1:25" x14ac:dyDescent="0.2">
      <c r="A20" s="47" t="s">
        <v>294</v>
      </c>
      <c r="B20" s="48" t="s">
        <v>284</v>
      </c>
      <c r="C20" s="47" t="s">
        <v>295</v>
      </c>
      <c r="D20" s="47" t="s">
        <v>296</v>
      </c>
      <c r="E20" s="116">
        <v>37.613999999999997</v>
      </c>
      <c r="F20" s="50">
        <v>0.39960563999999993</v>
      </c>
      <c r="G20" s="50">
        <v>0.14743883999999999</v>
      </c>
      <c r="H20" s="50">
        <v>0.2413476</v>
      </c>
      <c r="I20" s="50">
        <v>2.6335199999999999E-3</v>
      </c>
      <c r="J20" s="50">
        <v>1.8806999999999997E-2</v>
      </c>
      <c r="K20" s="113">
        <v>11.848409999999999</v>
      </c>
      <c r="L20" s="116">
        <v>1692</v>
      </c>
      <c r="M20" s="50">
        <v>4.8391200000000003</v>
      </c>
      <c r="N20" s="50">
        <v>133.85411999999999</v>
      </c>
      <c r="O20" s="116">
        <v>104.05799999999999</v>
      </c>
      <c r="P20" s="50">
        <v>0.33839999999999998</v>
      </c>
      <c r="Q20" s="50">
        <v>0.84599999999999997</v>
      </c>
      <c r="R20" s="116">
        <v>532.98</v>
      </c>
      <c r="S20" s="57"/>
      <c r="T20" s="120"/>
      <c r="U20" s="57"/>
      <c r="V20" s="57"/>
      <c r="W20" s="57"/>
      <c r="X20" s="57"/>
      <c r="Y20" s="123"/>
    </row>
    <row r="21" spans="1:25" x14ac:dyDescent="0.2">
      <c r="A21" s="47" t="s">
        <v>297</v>
      </c>
      <c r="B21" s="48" t="s">
        <v>284</v>
      </c>
      <c r="C21" s="47" t="s">
        <v>298</v>
      </c>
      <c r="D21" s="47" t="s">
        <v>299</v>
      </c>
      <c r="E21" s="116">
        <v>47.760000000000005</v>
      </c>
      <c r="F21" s="50">
        <v>0.29074800000000001</v>
      </c>
      <c r="G21" s="50">
        <v>7.6230000000000006E-2</v>
      </c>
      <c r="H21" s="50">
        <v>0.59339399999999998</v>
      </c>
      <c r="I21" s="50">
        <v>3.4933200000000003E-3</v>
      </c>
      <c r="J21" s="50">
        <v>2.3880000000000002E-2</v>
      </c>
      <c r="K21" s="113">
        <v>150.44400000000002</v>
      </c>
      <c r="L21" s="116">
        <v>1799.9999999999998</v>
      </c>
      <c r="M21" s="50">
        <v>5.58</v>
      </c>
      <c r="N21" s="50">
        <v>31.68</v>
      </c>
      <c r="O21" s="116">
        <v>102.24</v>
      </c>
      <c r="P21" s="50">
        <v>0.36</v>
      </c>
      <c r="Q21" s="50">
        <v>0.89999999999999991</v>
      </c>
      <c r="R21" s="116">
        <v>5669.9999999999991</v>
      </c>
      <c r="S21" s="57"/>
      <c r="T21" s="120"/>
      <c r="U21" s="57"/>
      <c r="V21" s="57"/>
      <c r="W21" s="57"/>
      <c r="X21" s="57"/>
      <c r="Y21" s="123"/>
    </row>
    <row r="22" spans="1:25" x14ac:dyDescent="0.2">
      <c r="A22" s="47" t="s">
        <v>300</v>
      </c>
      <c r="B22" s="48" t="s">
        <v>248</v>
      </c>
      <c r="C22" s="47" t="s">
        <v>301</v>
      </c>
      <c r="D22" s="47" t="s">
        <v>302</v>
      </c>
      <c r="E22" s="116">
        <v>27.995999999999999</v>
      </c>
      <c r="F22" s="50">
        <v>0.32158680000000001</v>
      </c>
      <c r="G22" s="50">
        <v>2.3133000000000001E-2</v>
      </c>
      <c r="H22" s="50">
        <v>0.18108120000000003</v>
      </c>
      <c r="I22" s="50">
        <v>3.8255017464597398E-3</v>
      </c>
      <c r="J22" s="50">
        <v>1.3998E-2</v>
      </c>
      <c r="K22" s="113">
        <v>88.187399999999997</v>
      </c>
      <c r="L22" s="116">
        <v>2520</v>
      </c>
      <c r="M22" s="50">
        <v>6.048</v>
      </c>
      <c r="N22" s="50">
        <v>5.7455999999999996</v>
      </c>
      <c r="O22" s="116">
        <v>80.89200000000001</v>
      </c>
      <c r="P22" s="50">
        <v>0.16212034899928474</v>
      </c>
      <c r="Q22" s="50">
        <v>1.26</v>
      </c>
      <c r="R22" s="116">
        <v>7938</v>
      </c>
      <c r="S22" s="58">
        <v>1.7777777777777799</v>
      </c>
      <c r="T22" s="119">
        <v>15.555555555555555</v>
      </c>
      <c r="U22" s="58">
        <v>0.66666666666666663</v>
      </c>
      <c r="V22" s="58">
        <v>6.8888888888888893</v>
      </c>
      <c r="W22" s="58">
        <v>0.55555555555555558</v>
      </c>
      <c r="X22" s="58">
        <v>0.88888888888888884</v>
      </c>
      <c r="Y22" s="122">
        <v>5600</v>
      </c>
    </row>
    <row r="23" spans="1:25" x14ac:dyDescent="0.2">
      <c r="A23" s="47" t="s">
        <v>303</v>
      </c>
      <c r="B23" s="48" t="s">
        <v>284</v>
      </c>
      <c r="C23" s="47" t="s">
        <v>304</v>
      </c>
      <c r="D23" s="47" t="s">
        <v>305</v>
      </c>
      <c r="E23" s="116">
        <v>45.515999999999998</v>
      </c>
      <c r="F23" s="50">
        <v>0.305871</v>
      </c>
      <c r="G23" s="50">
        <v>3.2183999999999997E-2</v>
      </c>
      <c r="H23" s="50">
        <v>0.25396740000000001</v>
      </c>
      <c r="I23" s="50">
        <v>3.2235720000000001E-3</v>
      </c>
      <c r="J23" s="50">
        <v>2.2758E-2</v>
      </c>
      <c r="K23" s="113">
        <v>143.37539999999998</v>
      </c>
      <c r="L23" s="116">
        <v>2159.9999999999995</v>
      </c>
      <c r="M23" s="50">
        <v>6.9119999999999999</v>
      </c>
      <c r="N23" s="50">
        <v>32.183999999999997</v>
      </c>
      <c r="O23" s="116">
        <v>83.591999999999999</v>
      </c>
      <c r="P23" s="50">
        <v>0.432</v>
      </c>
      <c r="Q23" s="50">
        <v>1.0799999999999998</v>
      </c>
      <c r="R23" s="116">
        <v>6803.9999999999982</v>
      </c>
      <c r="S23" s="57"/>
      <c r="T23" s="120"/>
      <c r="U23" s="57"/>
      <c r="V23" s="57"/>
      <c r="W23" s="57"/>
      <c r="X23" s="57"/>
      <c r="Y23" s="123"/>
    </row>
    <row r="24" spans="1:25" x14ac:dyDescent="0.2">
      <c r="A24" s="47" t="s">
        <v>306</v>
      </c>
      <c r="B24" s="48" t="s">
        <v>284</v>
      </c>
      <c r="C24" s="47" t="s">
        <v>307</v>
      </c>
      <c r="D24" s="47" t="s">
        <v>299</v>
      </c>
      <c r="E24" s="116">
        <v>47.760000000000005</v>
      </c>
      <c r="F24" s="50">
        <v>0.29074800000000001</v>
      </c>
      <c r="G24" s="50">
        <v>7.6230000000000006E-2</v>
      </c>
      <c r="H24" s="50">
        <v>0.59339399999999998</v>
      </c>
      <c r="I24" s="50">
        <v>3.4933200000000003E-3</v>
      </c>
      <c r="J24" s="50">
        <v>2.3880000000000002E-2</v>
      </c>
      <c r="K24" s="113">
        <v>150.44400000000002</v>
      </c>
      <c r="L24" s="116">
        <v>1799.9999999999998</v>
      </c>
      <c r="M24" s="50">
        <v>5.58</v>
      </c>
      <c r="N24" s="50">
        <v>31.68</v>
      </c>
      <c r="O24" s="116">
        <v>102.24</v>
      </c>
      <c r="P24" s="50">
        <v>0.36</v>
      </c>
      <c r="Q24" s="50">
        <v>0.89999999999999991</v>
      </c>
      <c r="R24" s="116">
        <v>5669.9999999999991</v>
      </c>
      <c r="S24" s="57"/>
      <c r="T24" s="120"/>
      <c r="U24" s="57"/>
      <c r="V24" s="57"/>
      <c r="W24" s="57"/>
      <c r="X24" s="57"/>
      <c r="Y24" s="123"/>
    </row>
    <row r="25" spans="1:25" x14ac:dyDescent="0.2">
      <c r="A25" s="47" t="s">
        <v>308</v>
      </c>
      <c r="B25" s="48" t="s">
        <v>309</v>
      </c>
      <c r="C25" s="47" t="s">
        <v>310</v>
      </c>
      <c r="D25" s="47" t="s">
        <v>299</v>
      </c>
      <c r="E25" s="116">
        <v>47.760000000000005</v>
      </c>
      <c r="F25" s="50">
        <v>0.29074800000000001</v>
      </c>
      <c r="G25" s="50">
        <v>7.6230000000000006E-2</v>
      </c>
      <c r="H25" s="50">
        <v>0.59339399999999998</v>
      </c>
      <c r="I25" s="50">
        <v>3.4933200000000003E-3</v>
      </c>
      <c r="J25" s="50">
        <v>2.3880000000000002E-2</v>
      </c>
      <c r="K25" s="113">
        <v>150.44400000000002</v>
      </c>
      <c r="L25" s="116">
        <v>1799.9999999999998</v>
      </c>
      <c r="M25" s="50">
        <v>5.58</v>
      </c>
      <c r="N25" s="50">
        <v>31.68</v>
      </c>
      <c r="O25" s="116">
        <v>102.24</v>
      </c>
      <c r="P25" s="50">
        <v>0.36</v>
      </c>
      <c r="Q25" s="50">
        <v>0.89999999999999991</v>
      </c>
      <c r="R25" s="116">
        <v>5669.9999999999991</v>
      </c>
      <c r="S25" s="57"/>
      <c r="T25" s="120"/>
      <c r="U25" s="57"/>
      <c r="V25" s="57"/>
      <c r="W25" s="57"/>
      <c r="X25" s="57"/>
      <c r="Y25" s="123"/>
    </row>
    <row r="26" spans="1:25" x14ac:dyDescent="0.2">
      <c r="A26" s="47" t="s">
        <v>311</v>
      </c>
      <c r="B26" s="48" t="s">
        <v>312</v>
      </c>
      <c r="C26" s="47" t="s">
        <v>313</v>
      </c>
      <c r="D26" s="47" t="s">
        <v>243</v>
      </c>
      <c r="E26" s="838">
        <v>34.950000000000003</v>
      </c>
      <c r="F26" s="49">
        <v>0.14275980000000002</v>
      </c>
      <c r="G26" s="49">
        <v>0.6153204000000001</v>
      </c>
      <c r="H26" s="49">
        <v>1.0930386000000001</v>
      </c>
      <c r="I26" s="49">
        <v>2.2722600000000003E-3</v>
      </c>
      <c r="J26" s="49">
        <v>1.7475000000000001E-2</v>
      </c>
      <c r="K26" s="125">
        <v>110.0925</v>
      </c>
      <c r="L26" s="116"/>
      <c r="M26" s="50"/>
      <c r="N26" s="50"/>
      <c r="O26" s="116"/>
      <c r="P26" s="50"/>
      <c r="Q26" s="50"/>
      <c r="R26" s="116"/>
      <c r="S26" s="57"/>
      <c r="T26" s="120"/>
      <c r="U26" s="57"/>
      <c r="V26" s="57"/>
      <c r="W26" s="57"/>
      <c r="X26" s="57"/>
      <c r="Y26" s="123"/>
    </row>
    <row r="27" spans="1:25" x14ac:dyDescent="0.2">
      <c r="A27" s="47" t="s">
        <v>314</v>
      </c>
      <c r="B27" s="48" t="s">
        <v>241</v>
      </c>
      <c r="C27" s="47" t="s">
        <v>315</v>
      </c>
      <c r="D27" s="47" t="s">
        <v>243</v>
      </c>
      <c r="E27" s="838">
        <v>69.900000000000006</v>
      </c>
      <c r="F27" s="49">
        <v>0.28551960000000004</v>
      </c>
      <c r="G27" s="49">
        <v>1.2306408000000002</v>
      </c>
      <c r="H27" s="49">
        <v>2.1860772000000002</v>
      </c>
      <c r="I27" s="49">
        <v>4.5445200000000007E-3</v>
      </c>
      <c r="J27" s="49">
        <v>3.4950000000000002E-2</v>
      </c>
      <c r="K27" s="125">
        <v>220.185</v>
      </c>
      <c r="L27" s="116"/>
      <c r="M27" s="50"/>
      <c r="N27" s="50"/>
      <c r="O27" s="116"/>
      <c r="P27" s="50"/>
      <c r="Q27" s="50"/>
      <c r="R27" s="116"/>
      <c r="S27" s="57"/>
      <c r="T27" s="120"/>
      <c r="U27" s="57"/>
      <c r="V27" s="57"/>
      <c r="W27" s="57"/>
      <c r="X27" s="57"/>
      <c r="Y27" s="123"/>
    </row>
    <row r="28" spans="1:25" x14ac:dyDescent="0.2">
      <c r="A28" s="47" t="s">
        <v>316</v>
      </c>
      <c r="B28" s="48" t="s">
        <v>312</v>
      </c>
      <c r="C28" s="47" t="s">
        <v>317</v>
      </c>
      <c r="D28" s="47" t="s">
        <v>243</v>
      </c>
      <c r="E28" s="838">
        <v>34.950000000000003</v>
      </c>
      <c r="F28" s="49">
        <v>0.14275980000000002</v>
      </c>
      <c r="G28" s="49">
        <v>0.6153204000000001</v>
      </c>
      <c r="H28" s="49">
        <v>1.0930386000000001</v>
      </c>
      <c r="I28" s="49">
        <v>2.2722600000000003E-3</v>
      </c>
      <c r="J28" s="49">
        <v>1.7475000000000001E-2</v>
      </c>
      <c r="K28" s="125">
        <v>110.0925</v>
      </c>
      <c r="L28" s="116"/>
      <c r="M28" s="50"/>
      <c r="N28" s="50"/>
      <c r="O28" s="116"/>
      <c r="P28" s="50"/>
      <c r="Q28" s="50"/>
      <c r="R28" s="116"/>
      <c r="S28" s="57"/>
      <c r="T28" s="120"/>
      <c r="U28" s="57"/>
      <c r="V28" s="57"/>
      <c r="W28" s="57"/>
      <c r="X28" s="57"/>
      <c r="Y28" s="123"/>
    </row>
    <row r="29" spans="1:25" x14ac:dyDescent="0.2">
      <c r="A29" s="47" t="s">
        <v>318</v>
      </c>
      <c r="B29" s="48" t="s">
        <v>241</v>
      </c>
      <c r="C29" s="47" t="s">
        <v>319</v>
      </c>
      <c r="D29" s="47" t="s">
        <v>243</v>
      </c>
      <c r="E29" s="838">
        <v>69.900000000000006</v>
      </c>
      <c r="F29" s="49">
        <v>0.28551960000000004</v>
      </c>
      <c r="G29" s="49">
        <v>1.2306408000000002</v>
      </c>
      <c r="H29" s="49">
        <v>2.1860772000000002</v>
      </c>
      <c r="I29" s="49">
        <v>4.5445200000000007E-3</v>
      </c>
      <c r="J29" s="49">
        <v>3.4950000000000002E-2</v>
      </c>
      <c r="K29" s="125">
        <v>220.185</v>
      </c>
      <c r="L29" s="116"/>
      <c r="M29" s="50"/>
      <c r="N29" s="50"/>
      <c r="O29" s="116"/>
      <c r="P29" s="50"/>
      <c r="Q29" s="50"/>
      <c r="R29" s="116"/>
      <c r="S29" s="57"/>
      <c r="T29" s="120"/>
      <c r="U29" s="57"/>
      <c r="V29" s="57"/>
      <c r="W29" s="57"/>
      <c r="X29" s="57"/>
      <c r="Y29" s="123"/>
    </row>
    <row r="30" spans="1:25" x14ac:dyDescent="0.2">
      <c r="A30" s="47" t="s">
        <v>320</v>
      </c>
      <c r="B30" s="48" t="s">
        <v>241</v>
      </c>
      <c r="C30" s="51" t="s">
        <v>321</v>
      </c>
      <c r="D30" s="47" t="s">
        <v>246</v>
      </c>
      <c r="E30" s="838">
        <v>114.66</v>
      </c>
      <c r="F30" s="49">
        <v>0.84681479999999998</v>
      </c>
      <c r="G30" s="49">
        <v>1.0201151999999998</v>
      </c>
      <c r="H30" s="49">
        <v>1.3058837999999999</v>
      </c>
      <c r="I30" s="49">
        <v>7.3825200000000001E-3</v>
      </c>
      <c r="J30" s="49">
        <v>5.7329999999999999E-2</v>
      </c>
      <c r="K30" s="125">
        <v>361.17899999999997</v>
      </c>
      <c r="L30" s="116"/>
      <c r="M30" s="50"/>
      <c r="N30" s="50"/>
      <c r="O30" s="116"/>
      <c r="P30" s="50"/>
      <c r="Q30" s="50"/>
      <c r="R30" s="116"/>
      <c r="S30" s="57"/>
      <c r="T30" s="120"/>
      <c r="U30" s="57"/>
      <c r="V30" s="57"/>
      <c r="W30" s="57"/>
      <c r="X30" s="57"/>
      <c r="Y30" s="123"/>
    </row>
    <row r="31" spans="1:25" x14ac:dyDescent="0.2">
      <c r="A31" s="47" t="s">
        <v>322</v>
      </c>
      <c r="B31" s="48" t="s">
        <v>248</v>
      </c>
      <c r="C31" s="47" t="s">
        <v>323</v>
      </c>
      <c r="D31" s="47" t="s">
        <v>324</v>
      </c>
      <c r="E31" s="116">
        <v>381.50399999999996</v>
      </c>
      <c r="F31" s="50">
        <v>6.4583596799999992</v>
      </c>
      <c r="G31" s="50">
        <v>7.2384000000000007E-3</v>
      </c>
      <c r="H31" s="50">
        <v>0.82100111999999992</v>
      </c>
      <c r="I31" s="50">
        <v>1.0983716020026761E-2</v>
      </c>
      <c r="J31" s="50">
        <v>0.19075199999999998</v>
      </c>
      <c r="K31" s="113">
        <v>1201.7375999999999</v>
      </c>
      <c r="L31" s="116">
        <v>11520</v>
      </c>
      <c r="M31" s="50">
        <v>61.862399999999994</v>
      </c>
      <c r="N31" s="50">
        <v>2.4192</v>
      </c>
      <c r="O31" s="116">
        <v>187.43039999999999</v>
      </c>
      <c r="P31" s="50">
        <v>0.63810761408979122</v>
      </c>
      <c r="Q31" s="50">
        <v>5.76</v>
      </c>
      <c r="R31" s="116">
        <v>36288</v>
      </c>
      <c r="S31" s="58">
        <v>1.7777777777777777</v>
      </c>
      <c r="T31" s="119">
        <v>15.555555555555555</v>
      </c>
      <c r="U31" s="58">
        <v>0.66666666666666663</v>
      </c>
      <c r="V31" s="58">
        <v>6.8888888888888893</v>
      </c>
      <c r="W31" s="58">
        <v>0.55555555555555558</v>
      </c>
      <c r="X31" s="58">
        <v>0.88888888888888884</v>
      </c>
      <c r="Y31" s="122">
        <v>5600</v>
      </c>
    </row>
    <row r="32" spans="1:25" x14ac:dyDescent="0.2">
      <c r="A32" s="47" t="s">
        <v>325</v>
      </c>
      <c r="B32" s="48" t="s">
        <v>248</v>
      </c>
      <c r="C32" s="51" t="s">
        <v>326</v>
      </c>
      <c r="D32" s="47" t="s">
        <v>327</v>
      </c>
      <c r="E32" s="116">
        <v>441.43200000000002</v>
      </c>
      <c r="F32" s="50">
        <v>5.8560888000000002</v>
      </c>
      <c r="G32" s="50">
        <v>5.595936E-2</v>
      </c>
      <c r="H32" s="50">
        <v>1.2697031999999999</v>
      </c>
      <c r="I32" s="50">
        <v>1.3520494031827561E-2</v>
      </c>
      <c r="J32" s="50">
        <v>0.220716</v>
      </c>
      <c r="K32" s="113">
        <v>1390.5108</v>
      </c>
      <c r="L32" s="116">
        <v>13680</v>
      </c>
      <c r="M32" s="50">
        <v>53.351999999999997</v>
      </c>
      <c r="N32" s="50">
        <v>31.190399999999997</v>
      </c>
      <c r="O32" s="116">
        <v>470.59200000000004</v>
      </c>
      <c r="P32" s="50">
        <v>1.0710358935833895</v>
      </c>
      <c r="Q32" s="50">
        <v>6.84</v>
      </c>
      <c r="R32" s="116">
        <v>43092</v>
      </c>
      <c r="S32" s="58">
        <v>1.7777777777777777</v>
      </c>
      <c r="T32" s="119">
        <v>15.555555555555555</v>
      </c>
      <c r="U32" s="58">
        <v>0.66666666666666663</v>
      </c>
      <c r="V32" s="58">
        <v>6.8888888888888893</v>
      </c>
      <c r="W32" s="58">
        <v>0.55555555555555558</v>
      </c>
      <c r="X32" s="58">
        <v>0.88888888888888884</v>
      </c>
      <c r="Y32" s="122">
        <v>5600</v>
      </c>
    </row>
    <row r="33" spans="1:25" x14ac:dyDescent="0.2">
      <c r="A33" s="47" t="s">
        <v>328</v>
      </c>
      <c r="B33" s="48" t="s">
        <v>248</v>
      </c>
      <c r="C33" s="47" t="s">
        <v>329</v>
      </c>
      <c r="D33" s="47" t="s">
        <v>330</v>
      </c>
      <c r="E33" s="116">
        <v>497.65200000000004</v>
      </c>
      <c r="F33" s="50">
        <v>8.8585355999999997</v>
      </c>
      <c r="G33" s="50">
        <v>8.2465200000000016E-2</v>
      </c>
      <c r="H33" s="50">
        <v>0.80266080000000006</v>
      </c>
      <c r="I33" s="50">
        <v>2.7860511728155801E-2</v>
      </c>
      <c r="J33" s="50">
        <v>0.24882600000000002</v>
      </c>
      <c r="K33" s="113">
        <v>1567.6038000000001</v>
      </c>
      <c r="L33" s="116">
        <v>13080</v>
      </c>
      <c r="M33" s="50">
        <v>57.552000000000007</v>
      </c>
      <c r="N33" s="50">
        <v>34.007999999999996</v>
      </c>
      <c r="O33" s="116">
        <v>287.76</v>
      </c>
      <c r="P33" s="50">
        <v>1.2395989046880922</v>
      </c>
      <c r="Q33" s="50">
        <v>6.54</v>
      </c>
      <c r="R33" s="116">
        <v>41202</v>
      </c>
      <c r="S33" s="58">
        <v>1.7777777777777777</v>
      </c>
      <c r="T33" s="119">
        <v>15.555555555555555</v>
      </c>
      <c r="U33" s="58">
        <v>0.66666666666666663</v>
      </c>
      <c r="V33" s="58">
        <v>6.8888888888888893</v>
      </c>
      <c r="W33" s="58">
        <v>0.55555555555555558</v>
      </c>
      <c r="X33" s="58">
        <v>0.88888888888888884</v>
      </c>
      <c r="Y33" s="122">
        <v>5600</v>
      </c>
    </row>
    <row r="34" spans="1:25" x14ac:dyDescent="0.2">
      <c r="A34" s="47" t="s">
        <v>331</v>
      </c>
      <c r="B34" s="48" t="s">
        <v>267</v>
      </c>
      <c r="C34" s="47" t="s">
        <v>332</v>
      </c>
      <c r="D34" s="47" t="s">
        <v>333</v>
      </c>
      <c r="E34" s="116">
        <v>2105.8319999999999</v>
      </c>
      <c r="F34" s="50">
        <v>39.258726959999997</v>
      </c>
      <c r="G34" s="50">
        <v>0.22265640000000003</v>
      </c>
      <c r="H34" s="50">
        <v>2.3195220000000001</v>
      </c>
      <c r="I34" s="50">
        <v>8.0700630493706002E-2</v>
      </c>
      <c r="J34" s="50">
        <v>1.052916</v>
      </c>
      <c r="K34" s="113">
        <v>6633.3707999999997</v>
      </c>
      <c r="L34" s="116">
        <v>48240</v>
      </c>
      <c r="M34" s="50">
        <v>225.76319999999998</v>
      </c>
      <c r="N34" s="50">
        <v>76.701600000000013</v>
      </c>
      <c r="O34" s="116">
        <v>953.22240000000011</v>
      </c>
      <c r="P34" s="50">
        <v>2.8350792720000002</v>
      </c>
      <c r="Q34" s="50">
        <v>24.12</v>
      </c>
      <c r="R34" s="116">
        <v>151956</v>
      </c>
      <c r="S34" s="58">
        <v>4</v>
      </c>
      <c r="T34" s="119">
        <v>32</v>
      </c>
      <c r="U34" s="58">
        <v>2.1333333333333333</v>
      </c>
      <c r="V34" s="58">
        <v>2.8</v>
      </c>
      <c r="W34" s="58">
        <v>0.53333333333333333</v>
      </c>
      <c r="X34" s="58">
        <v>2</v>
      </c>
      <c r="Y34" s="122">
        <v>12600</v>
      </c>
    </row>
    <row r="35" spans="1:25" x14ac:dyDescent="0.2">
      <c r="A35" s="47" t="s">
        <v>334</v>
      </c>
      <c r="B35" s="48" t="s">
        <v>248</v>
      </c>
      <c r="C35" s="47" t="s">
        <v>335</v>
      </c>
      <c r="D35" s="47" t="s">
        <v>336</v>
      </c>
      <c r="E35" s="116">
        <v>822.48</v>
      </c>
      <c r="F35" s="50">
        <v>16.4899272</v>
      </c>
      <c r="G35" s="50">
        <v>0.24073920000000001</v>
      </c>
      <c r="H35" s="50">
        <v>0.78599759999999996</v>
      </c>
      <c r="I35" s="50">
        <v>4.0035543331331198E-2</v>
      </c>
      <c r="J35" s="50">
        <v>0.41123999999999999</v>
      </c>
      <c r="K35" s="113">
        <v>2590.8119999999999</v>
      </c>
      <c r="L35" s="116">
        <v>24000</v>
      </c>
      <c r="M35" s="50">
        <v>82.56</v>
      </c>
      <c r="N35" s="50">
        <v>34.559999999999995</v>
      </c>
      <c r="O35" s="116">
        <v>450.96</v>
      </c>
      <c r="P35" s="50">
        <v>1.7961480875419171</v>
      </c>
      <c r="Q35" s="50">
        <v>12</v>
      </c>
      <c r="R35" s="116">
        <v>75600</v>
      </c>
      <c r="S35" s="58">
        <v>1.7777777777777777</v>
      </c>
      <c r="T35" s="119">
        <v>15.555555555555555</v>
      </c>
      <c r="U35" s="58">
        <v>0.66666666666666663</v>
      </c>
      <c r="V35" s="58">
        <v>6.8888888888888893</v>
      </c>
      <c r="W35" s="58">
        <v>0.55555555555555558</v>
      </c>
      <c r="X35" s="58">
        <v>0.88888888888888884</v>
      </c>
      <c r="Y35" s="122">
        <v>5600</v>
      </c>
    </row>
    <row r="36" spans="1:25" x14ac:dyDescent="0.2">
      <c r="A36" s="47" t="s">
        <v>101</v>
      </c>
      <c r="B36" s="48" t="s">
        <v>248</v>
      </c>
      <c r="C36" s="47" t="s">
        <v>337</v>
      </c>
      <c r="D36" s="47" t="s">
        <v>338</v>
      </c>
      <c r="E36" s="116">
        <v>1067.748</v>
      </c>
      <c r="F36" s="50">
        <v>20.205901799999999</v>
      </c>
      <c r="G36" s="50">
        <v>0.11240580000000001</v>
      </c>
      <c r="H36" s="50">
        <v>1.1485016399999999</v>
      </c>
      <c r="I36" s="50">
        <v>4.1364597799879395E-2</v>
      </c>
      <c r="J36" s="50">
        <v>0.53387400000000007</v>
      </c>
      <c r="K36" s="113">
        <v>3363.4062000000004</v>
      </c>
      <c r="L36" s="116">
        <v>24120</v>
      </c>
      <c r="M36" s="50">
        <v>112.88159999999999</v>
      </c>
      <c r="N36" s="50">
        <v>38.350800000000007</v>
      </c>
      <c r="O36" s="116">
        <v>476.61120000000005</v>
      </c>
      <c r="P36" s="50">
        <v>1.4175396360000001</v>
      </c>
      <c r="Q36" s="50">
        <v>12.06</v>
      </c>
      <c r="R36" s="116">
        <v>75978</v>
      </c>
      <c r="S36" s="58">
        <v>4</v>
      </c>
      <c r="T36" s="119">
        <v>32</v>
      </c>
      <c r="U36" s="58">
        <v>2.1333333333333333</v>
      </c>
      <c r="V36" s="58">
        <v>2.8</v>
      </c>
      <c r="W36" s="58">
        <v>0.53333333333333333</v>
      </c>
      <c r="X36" s="58">
        <v>2</v>
      </c>
      <c r="Y36" s="122">
        <v>12600</v>
      </c>
    </row>
    <row r="37" spans="1:25" x14ac:dyDescent="0.2">
      <c r="A37" s="47" t="s">
        <v>339</v>
      </c>
      <c r="B37" s="48" t="s">
        <v>248</v>
      </c>
      <c r="C37" s="47" t="s">
        <v>340</v>
      </c>
      <c r="D37" s="47" t="s">
        <v>341</v>
      </c>
      <c r="E37" s="116">
        <v>1662.8400000000001</v>
      </c>
      <c r="F37" s="50">
        <v>48.012707999999996</v>
      </c>
      <c r="G37" s="50">
        <v>2.8614239999999999E-2</v>
      </c>
      <c r="H37" s="50">
        <v>0.99976319999999996</v>
      </c>
      <c r="I37" s="50">
        <v>5.8148728633421597E-2</v>
      </c>
      <c r="J37" s="50">
        <v>0.83142000000000005</v>
      </c>
      <c r="K37" s="113">
        <v>5237.9459999999999</v>
      </c>
      <c r="L37" s="116">
        <v>36000</v>
      </c>
      <c r="M37" s="50">
        <v>191.88</v>
      </c>
      <c r="N37" s="50">
        <v>25.2</v>
      </c>
      <c r="O37" s="116">
        <v>470.52</v>
      </c>
      <c r="P37" s="50">
        <v>2.2861386248880411</v>
      </c>
      <c r="Q37" s="50">
        <v>18</v>
      </c>
      <c r="R37" s="116">
        <v>113400</v>
      </c>
      <c r="S37" s="58">
        <v>4</v>
      </c>
      <c r="T37" s="119">
        <v>32</v>
      </c>
      <c r="U37" s="58">
        <v>2.1333333333333333</v>
      </c>
      <c r="V37" s="58">
        <v>2.8</v>
      </c>
      <c r="W37" s="58">
        <v>0.53333333333333333</v>
      </c>
      <c r="X37" s="58">
        <v>2</v>
      </c>
      <c r="Y37" s="122">
        <v>12600</v>
      </c>
    </row>
    <row r="38" spans="1:25" x14ac:dyDescent="0.2">
      <c r="A38" s="47" t="s">
        <v>342</v>
      </c>
      <c r="B38" s="48" t="s">
        <v>248</v>
      </c>
      <c r="C38" s="47" t="s">
        <v>343</v>
      </c>
      <c r="D38" s="47" t="s">
        <v>344</v>
      </c>
      <c r="E38" s="116"/>
      <c r="F38" s="50"/>
      <c r="G38" s="50"/>
      <c r="H38" s="50"/>
      <c r="I38" s="50"/>
      <c r="J38" s="50"/>
      <c r="K38" s="113"/>
      <c r="L38" s="116"/>
      <c r="M38" s="50"/>
      <c r="N38" s="50"/>
      <c r="O38" s="116"/>
      <c r="P38" s="50"/>
      <c r="Q38" s="50"/>
      <c r="R38" s="116"/>
      <c r="S38" s="58">
        <v>4</v>
      </c>
      <c r="T38" s="119">
        <v>32</v>
      </c>
      <c r="U38" s="58">
        <v>2.1333333333333333</v>
      </c>
      <c r="V38" s="58">
        <v>2.8</v>
      </c>
      <c r="W38" s="58">
        <v>0.53333333333333333</v>
      </c>
      <c r="X38" s="58">
        <v>2</v>
      </c>
      <c r="Y38" s="122">
        <v>12600</v>
      </c>
    </row>
    <row r="39" spans="1:25" x14ac:dyDescent="0.2">
      <c r="A39" s="47" t="s">
        <v>345</v>
      </c>
      <c r="B39" s="48" t="s">
        <v>277</v>
      </c>
      <c r="C39" s="47" t="s">
        <v>346</v>
      </c>
      <c r="D39" s="47" t="s">
        <v>347</v>
      </c>
      <c r="E39" s="116">
        <v>282.98400000000004</v>
      </c>
      <c r="F39" s="50">
        <v>2.6284015920000003</v>
      </c>
      <c r="G39" s="50">
        <v>2.7784728000000002E-2</v>
      </c>
      <c r="H39" s="50">
        <v>1.0931473439999999</v>
      </c>
      <c r="I39" s="50">
        <v>2.1129943999999998E-2</v>
      </c>
      <c r="J39" s="50">
        <v>0.14149200000000001</v>
      </c>
      <c r="K39" s="113">
        <v>891.39960000000008</v>
      </c>
      <c r="L39" s="116">
        <v>12504</v>
      </c>
      <c r="M39" s="50">
        <v>30.147144000000001</v>
      </c>
      <c r="N39" s="50">
        <v>14.217048000000002</v>
      </c>
      <c r="O39" s="116">
        <v>215.79403199999999</v>
      </c>
      <c r="P39" s="50">
        <v>2.5007999999999999</v>
      </c>
      <c r="Q39" s="50">
        <v>6.2519999999999998</v>
      </c>
      <c r="R39" s="116">
        <v>39387.599999999999</v>
      </c>
      <c r="S39" s="57"/>
      <c r="T39" s="120"/>
      <c r="U39" s="57"/>
      <c r="V39" s="57"/>
      <c r="W39" s="57"/>
      <c r="X39" s="57"/>
      <c r="Y39" s="123"/>
    </row>
    <row r="40" spans="1:25" x14ac:dyDescent="0.2">
      <c r="A40" s="47" t="s">
        <v>348</v>
      </c>
      <c r="B40" s="48" t="s">
        <v>284</v>
      </c>
      <c r="C40" s="47" t="s">
        <v>346</v>
      </c>
      <c r="D40" s="47" t="s">
        <v>347</v>
      </c>
      <c r="E40" s="116">
        <v>141.49200000000002</v>
      </c>
      <c r="F40" s="50">
        <v>1.3142007960000002</v>
      </c>
      <c r="G40" s="50">
        <v>1.3892364000000001E-2</v>
      </c>
      <c r="H40" s="50">
        <v>0.54657367199999995</v>
      </c>
      <c r="I40" s="50">
        <v>1.0564971999999999E-2</v>
      </c>
      <c r="J40" s="50">
        <v>7.0746000000000003E-2</v>
      </c>
      <c r="K40" s="113">
        <v>445.69980000000004</v>
      </c>
      <c r="L40" s="116">
        <v>6252</v>
      </c>
      <c r="M40" s="50">
        <v>15.073572</v>
      </c>
      <c r="N40" s="50">
        <v>7.108524000000001</v>
      </c>
      <c r="O40" s="116">
        <v>107.89701599999999</v>
      </c>
      <c r="P40" s="50">
        <v>1.2504</v>
      </c>
      <c r="Q40" s="50">
        <v>3.1259999999999999</v>
      </c>
      <c r="R40" s="116">
        <v>19693.8</v>
      </c>
      <c r="S40" s="57"/>
      <c r="T40" s="120"/>
      <c r="U40" s="57"/>
      <c r="V40" s="57"/>
      <c r="W40" s="57"/>
      <c r="X40" s="57"/>
      <c r="Y40" s="123"/>
    </row>
    <row r="41" spans="1:25" x14ac:dyDescent="0.2">
      <c r="A41" s="47" t="s">
        <v>349</v>
      </c>
      <c r="B41" s="48" t="s">
        <v>248</v>
      </c>
      <c r="C41" s="47" t="s">
        <v>350</v>
      </c>
      <c r="D41" s="47" t="s">
        <v>351</v>
      </c>
      <c r="E41" s="116">
        <v>181.00200000000001</v>
      </c>
      <c r="F41" s="50">
        <v>1.8621863399999998</v>
      </c>
      <c r="G41" s="50">
        <v>5.0996179199999998E-2</v>
      </c>
      <c r="H41" s="50">
        <v>0.52358819999999995</v>
      </c>
      <c r="I41" s="50">
        <v>8.5913210703516801E-3</v>
      </c>
      <c r="J41" s="50">
        <v>9.0500999999999998E-2</v>
      </c>
      <c r="K41" s="113">
        <v>570.1563000000001</v>
      </c>
      <c r="L41" s="116">
        <v>5724</v>
      </c>
      <c r="M41" s="50">
        <v>19.347119999999997</v>
      </c>
      <c r="N41" s="50">
        <v>38.064599999999999</v>
      </c>
      <c r="O41" s="116">
        <v>261.18611999999996</v>
      </c>
      <c r="P41" s="50">
        <v>0.63797161020526449</v>
      </c>
      <c r="Q41" s="50">
        <v>2.8620000000000001</v>
      </c>
      <c r="R41" s="116">
        <v>18030.599999999999</v>
      </c>
      <c r="S41" s="58">
        <v>1.7777777777777777</v>
      </c>
      <c r="T41" s="119">
        <v>15.555555555555555</v>
      </c>
      <c r="U41" s="58">
        <v>0.66666666666666663</v>
      </c>
      <c r="V41" s="58">
        <v>6.8888888888888893</v>
      </c>
      <c r="W41" s="58">
        <v>0.55555555555555558</v>
      </c>
      <c r="X41" s="58">
        <v>0.88888888888888884</v>
      </c>
      <c r="Y41" s="122">
        <v>5600</v>
      </c>
    </row>
    <row r="42" spans="1:25" x14ac:dyDescent="0.2">
      <c r="A42" s="47" t="s">
        <v>352</v>
      </c>
      <c r="B42" s="48" t="s">
        <v>284</v>
      </c>
      <c r="C42" s="47" t="s">
        <v>353</v>
      </c>
      <c r="D42" s="47" t="s">
        <v>296</v>
      </c>
      <c r="E42" s="116">
        <v>37.613999999999997</v>
      </c>
      <c r="F42" s="50">
        <v>0.39960563999999993</v>
      </c>
      <c r="G42" s="50">
        <v>0.14743883999999999</v>
      </c>
      <c r="H42" s="50">
        <v>0.2413476</v>
      </c>
      <c r="I42" s="50">
        <v>2.6335199999999999E-3</v>
      </c>
      <c r="J42" s="50">
        <v>1.8806999999999997E-2</v>
      </c>
      <c r="K42" s="113">
        <v>11.848409999999999</v>
      </c>
      <c r="L42" s="116">
        <v>1692</v>
      </c>
      <c r="M42" s="50">
        <v>4.8391200000000003</v>
      </c>
      <c r="N42" s="50">
        <v>133.85411999999999</v>
      </c>
      <c r="O42" s="116">
        <v>104.05799999999999</v>
      </c>
      <c r="P42" s="50">
        <v>0.33839999999999998</v>
      </c>
      <c r="Q42" s="50">
        <v>0.84599999999999997</v>
      </c>
      <c r="R42" s="116">
        <v>532.98</v>
      </c>
      <c r="S42" s="57"/>
      <c r="T42" s="120"/>
      <c r="U42" s="57"/>
      <c r="V42" s="57"/>
      <c r="W42" s="57"/>
      <c r="X42" s="57"/>
      <c r="Y42" s="123"/>
    </row>
    <row r="43" spans="1:25" x14ac:dyDescent="0.2">
      <c r="A43" s="47" t="s">
        <v>354</v>
      </c>
      <c r="B43" s="48" t="s">
        <v>284</v>
      </c>
      <c r="C43" s="47" t="s">
        <v>355</v>
      </c>
      <c r="D43" s="47" t="s">
        <v>356</v>
      </c>
      <c r="E43" s="116">
        <v>62.183999999999997</v>
      </c>
      <c r="F43" s="50">
        <v>0.66753300000000004</v>
      </c>
      <c r="G43" s="50">
        <v>0.1075266</v>
      </c>
      <c r="H43" s="50">
        <v>0.75402402000000002</v>
      </c>
      <c r="I43" s="50">
        <v>4.5719719999999997E-3</v>
      </c>
      <c r="J43" s="50">
        <v>3.1091999999999998E-2</v>
      </c>
      <c r="K43" s="113">
        <v>195.87960000000001</v>
      </c>
      <c r="L43" s="116">
        <v>3096</v>
      </c>
      <c r="M43" s="50">
        <v>8.8545599999999993</v>
      </c>
      <c r="N43" s="50">
        <v>14.334479999999999</v>
      </c>
      <c r="O43" s="116">
        <v>149.38200000000001</v>
      </c>
      <c r="P43" s="50">
        <v>0.61920000000000008</v>
      </c>
      <c r="Q43" s="50">
        <v>1.548</v>
      </c>
      <c r="R43" s="116">
        <v>9752.4</v>
      </c>
      <c r="S43" s="57"/>
      <c r="T43" s="120"/>
      <c r="U43" s="57"/>
      <c r="V43" s="57"/>
      <c r="W43" s="57"/>
      <c r="X43" s="57"/>
      <c r="Y43" s="123"/>
    </row>
    <row r="44" spans="1:25" x14ac:dyDescent="0.2">
      <c r="A44" s="47" t="s">
        <v>357</v>
      </c>
      <c r="B44" s="48" t="s">
        <v>358</v>
      </c>
      <c r="C44" s="47" t="s">
        <v>359</v>
      </c>
      <c r="D44" s="47" t="s">
        <v>360</v>
      </c>
      <c r="E44" s="116">
        <v>5.7407999999999992</v>
      </c>
      <c r="F44" s="50">
        <v>7.7173440000000001E-3</v>
      </c>
      <c r="G44" s="50">
        <v>0.106867608</v>
      </c>
      <c r="H44" s="50">
        <v>7.6066439999999993</v>
      </c>
      <c r="I44" s="50">
        <v>2.1196E-4</v>
      </c>
      <c r="J44" s="50">
        <v>2.8703999999999995E-3</v>
      </c>
      <c r="K44" s="113">
        <v>18.026111999999998</v>
      </c>
      <c r="L44" s="116">
        <v>84</v>
      </c>
      <c r="M44" s="50">
        <v>0.18395999999999998</v>
      </c>
      <c r="N44" s="50">
        <v>4.0580400000000001</v>
      </c>
      <c r="O44" s="116">
        <v>91.959000000000003</v>
      </c>
      <c r="P44" s="50">
        <v>8.4000000000000012E-3</v>
      </c>
      <c r="Q44" s="50">
        <v>4.2000000000000003E-2</v>
      </c>
      <c r="R44" s="116">
        <v>263.76</v>
      </c>
      <c r="S44" s="57"/>
      <c r="T44" s="120"/>
      <c r="U44" s="57"/>
      <c r="V44" s="57"/>
      <c r="W44" s="57"/>
      <c r="X44" s="57"/>
      <c r="Y44" s="123"/>
    </row>
    <row r="45" spans="1:25" x14ac:dyDescent="0.2">
      <c r="A45" s="47" t="s">
        <v>361</v>
      </c>
      <c r="B45" s="48" t="s">
        <v>358</v>
      </c>
      <c r="C45" s="47" t="s">
        <v>362</v>
      </c>
      <c r="D45" s="47" t="s">
        <v>363</v>
      </c>
      <c r="E45" s="116">
        <v>7.5546000000000006</v>
      </c>
      <c r="F45" s="50">
        <v>3.0355800000000002E-2</v>
      </c>
      <c r="G45" s="50">
        <v>0.11660154</v>
      </c>
      <c r="H45" s="50">
        <v>6.9777419999999992</v>
      </c>
      <c r="I45" s="50">
        <v>1.6265660000000002E-4</v>
      </c>
      <c r="J45" s="50">
        <v>3.7773000000000004E-3</v>
      </c>
      <c r="K45" s="113">
        <v>23.721444000000002</v>
      </c>
      <c r="L45" s="116">
        <v>150</v>
      </c>
      <c r="M45" s="50">
        <v>0.15</v>
      </c>
      <c r="N45" s="50">
        <v>6.84</v>
      </c>
      <c r="O45" s="116">
        <v>150</v>
      </c>
      <c r="P45" s="50">
        <v>7.4999999999999997E-3</v>
      </c>
      <c r="Q45" s="50">
        <v>7.4999999999999997E-2</v>
      </c>
      <c r="R45" s="116">
        <v>471</v>
      </c>
      <c r="S45" s="57"/>
      <c r="T45" s="120"/>
      <c r="U45" s="57"/>
      <c r="V45" s="57"/>
      <c r="W45" s="57"/>
      <c r="X45" s="57"/>
      <c r="Y45" s="123"/>
    </row>
    <row r="46" spans="1:25" x14ac:dyDescent="0.2">
      <c r="A46" s="47" t="s">
        <v>364</v>
      </c>
      <c r="B46" s="48" t="s">
        <v>309</v>
      </c>
      <c r="C46" s="47" t="s">
        <v>365</v>
      </c>
      <c r="D46" s="47" t="s">
        <v>366</v>
      </c>
      <c r="E46" s="116">
        <v>26.472000000000001</v>
      </c>
      <c r="F46" s="50">
        <v>0.10514399999999999</v>
      </c>
      <c r="G46" s="50">
        <v>0.55165200000000003</v>
      </c>
      <c r="H46" s="50">
        <v>0.59229600000000004</v>
      </c>
      <c r="I46" s="50">
        <v>1.90452E-3</v>
      </c>
      <c r="J46" s="50">
        <v>1.3236000000000001E-2</v>
      </c>
      <c r="K46" s="113">
        <v>83.386800000000008</v>
      </c>
      <c r="L46" s="116">
        <v>1512</v>
      </c>
      <c r="M46" s="50">
        <v>3.024</v>
      </c>
      <c r="N46" s="50">
        <v>152.71199999999999</v>
      </c>
      <c r="O46" s="116">
        <v>102.816</v>
      </c>
      <c r="P46" s="50">
        <v>0.3024</v>
      </c>
      <c r="Q46" s="50">
        <v>0.75600000000000001</v>
      </c>
      <c r="R46" s="116">
        <v>4762.8</v>
      </c>
      <c r="S46" s="57"/>
      <c r="T46" s="120"/>
      <c r="U46" s="57"/>
      <c r="V46" s="57"/>
      <c r="W46" s="57"/>
      <c r="X46" s="57"/>
      <c r="Y46" s="123"/>
    </row>
    <row r="47" spans="1:25" x14ac:dyDescent="0.2">
      <c r="A47" s="47" t="s">
        <v>367</v>
      </c>
      <c r="B47" s="48" t="s">
        <v>368</v>
      </c>
      <c r="C47" s="47" t="s">
        <v>369</v>
      </c>
      <c r="D47" s="47" t="s">
        <v>370</v>
      </c>
      <c r="E47" s="116">
        <v>25.583999999999996</v>
      </c>
      <c r="F47" s="50">
        <v>4.6103999999999999E-2</v>
      </c>
      <c r="G47" s="50">
        <v>0.33514799999999995</v>
      </c>
      <c r="H47" s="50">
        <v>30.332999999999998</v>
      </c>
      <c r="I47" s="50">
        <v>5.1833200000000004E-4</v>
      </c>
      <c r="J47" s="50">
        <v>1.2791999999999998E-2</v>
      </c>
      <c r="K47" s="113">
        <v>80.333759999999998</v>
      </c>
      <c r="L47" s="116">
        <v>732.00000000000011</v>
      </c>
      <c r="M47" s="50">
        <v>2.5912800000000002</v>
      </c>
      <c r="N47" s="50">
        <v>6.0024000000000006</v>
      </c>
      <c r="O47" s="116">
        <v>338.18400000000003</v>
      </c>
      <c r="P47" s="50">
        <v>3.6600000000000008E-2</v>
      </c>
      <c r="Q47" s="50">
        <v>0.36600000000000005</v>
      </c>
      <c r="R47" s="116">
        <v>2298.4800000000005</v>
      </c>
      <c r="S47" s="57"/>
      <c r="T47" s="120"/>
      <c r="U47" s="57"/>
      <c r="V47" s="57"/>
      <c r="W47" s="57"/>
      <c r="X47" s="57"/>
      <c r="Y47" s="123"/>
    </row>
    <row r="48" spans="1:25" x14ac:dyDescent="0.2">
      <c r="A48" s="47" t="s">
        <v>371</v>
      </c>
      <c r="B48" s="48" t="s">
        <v>248</v>
      </c>
      <c r="C48" s="47" t="s">
        <v>372</v>
      </c>
      <c r="D48" s="47" t="s">
        <v>373</v>
      </c>
      <c r="E48" s="116">
        <v>19.512</v>
      </c>
      <c r="F48" s="50">
        <v>0.16694640000000002</v>
      </c>
      <c r="G48" s="50">
        <v>2.9954400000000003E-3</v>
      </c>
      <c r="H48" s="50">
        <v>0.174648</v>
      </c>
      <c r="I48" s="50">
        <v>3.35288415897578E-3</v>
      </c>
      <c r="J48" s="50">
        <v>9.7560000000000008E-3</v>
      </c>
      <c r="K48" s="113">
        <v>61.462800000000001</v>
      </c>
      <c r="L48" s="116">
        <v>1680</v>
      </c>
      <c r="M48" s="50">
        <v>3.6960000000000006</v>
      </c>
      <c r="N48" s="50">
        <v>2.6040000000000001</v>
      </c>
      <c r="O48" s="116">
        <v>76.44</v>
      </c>
      <c r="P48" s="50">
        <v>0.10144832633568283</v>
      </c>
      <c r="Q48" s="50">
        <v>0.84</v>
      </c>
      <c r="R48" s="116">
        <v>5292</v>
      </c>
      <c r="S48" s="58">
        <v>1.7777777777777777</v>
      </c>
      <c r="T48" s="119">
        <v>15.555555555555555</v>
      </c>
      <c r="U48" s="58">
        <v>0.66666666666666663</v>
      </c>
      <c r="V48" s="58">
        <v>6.8888888888888893</v>
      </c>
      <c r="W48" s="58">
        <v>0.55555555555555558</v>
      </c>
      <c r="X48" s="58">
        <v>0.88888888888888884</v>
      </c>
      <c r="Y48" s="122">
        <v>5600</v>
      </c>
    </row>
    <row r="49" spans="1:25" x14ac:dyDescent="0.2">
      <c r="A49" s="47" t="s">
        <v>374</v>
      </c>
      <c r="B49" s="48" t="s">
        <v>248</v>
      </c>
      <c r="C49" s="47" t="s">
        <v>375</v>
      </c>
      <c r="D49" s="47" t="s">
        <v>376</v>
      </c>
      <c r="E49" s="116">
        <v>38.079599999999999</v>
      </c>
      <c r="F49" s="50">
        <v>0.197510928</v>
      </c>
      <c r="G49" s="50">
        <v>0.23317813200000001</v>
      </c>
      <c r="H49" s="50">
        <v>0.69013942800000005</v>
      </c>
      <c r="I49" s="50">
        <v>1.6468633199999999E-2</v>
      </c>
      <c r="J49" s="50">
        <v>1.9039799999999999E-2</v>
      </c>
      <c r="K49" s="113">
        <v>119.95074</v>
      </c>
      <c r="L49" s="116">
        <v>3744</v>
      </c>
      <c r="M49" s="50">
        <v>4.1558400000000004</v>
      </c>
      <c r="N49" s="50">
        <v>99.403199999999998</v>
      </c>
      <c r="O49" s="116">
        <v>250.96032000000002</v>
      </c>
      <c r="P49" s="50">
        <v>0.26208000000000004</v>
      </c>
      <c r="Q49" s="50">
        <v>1.8720000000000001</v>
      </c>
      <c r="R49" s="116">
        <v>11793.6</v>
      </c>
      <c r="S49" s="58">
        <v>1.7777777777777777</v>
      </c>
      <c r="T49" s="119">
        <v>15.555555555555555</v>
      </c>
      <c r="U49" s="58">
        <v>0.66666666666666663</v>
      </c>
      <c r="V49" s="58">
        <v>6.8888888888888893</v>
      </c>
      <c r="W49" s="58">
        <v>0.55555555555555558</v>
      </c>
      <c r="X49" s="58">
        <v>0.88888888888888884</v>
      </c>
      <c r="Y49" s="122">
        <v>5600</v>
      </c>
    </row>
    <row r="50" spans="1:25" x14ac:dyDescent="0.2">
      <c r="A50" s="47" t="s">
        <v>377</v>
      </c>
      <c r="B50" s="48" t="s">
        <v>248</v>
      </c>
      <c r="C50" s="47" t="s">
        <v>378</v>
      </c>
      <c r="D50" s="47" t="s">
        <v>379</v>
      </c>
      <c r="E50" s="116">
        <v>148.1748</v>
      </c>
      <c r="F50" s="50">
        <v>2.4542312159999997</v>
      </c>
      <c r="G50" s="50">
        <v>2.2079040000000001E-2</v>
      </c>
      <c r="H50" s="50">
        <v>0.75195097200000005</v>
      </c>
      <c r="I50" s="50">
        <v>8.425705053109701E-3</v>
      </c>
      <c r="J50" s="50">
        <v>7.4087399999999998E-2</v>
      </c>
      <c r="K50" s="113">
        <v>466.75061999999997</v>
      </c>
      <c r="L50" s="116">
        <v>5064</v>
      </c>
      <c r="M50" s="50">
        <v>21.57264</v>
      </c>
      <c r="N50" s="50">
        <v>22.079040000000003</v>
      </c>
      <c r="O50" s="116">
        <v>184.07640000000001</v>
      </c>
      <c r="P50" s="50">
        <v>0.57752077450268646</v>
      </c>
      <c r="Q50" s="50">
        <v>2.532</v>
      </c>
      <c r="R50" s="116">
        <v>15951.6</v>
      </c>
      <c r="S50" s="58">
        <v>1.7777777777777777</v>
      </c>
      <c r="T50" s="119">
        <v>15.555555555555555</v>
      </c>
      <c r="U50" s="58">
        <v>0.66666666666666663</v>
      </c>
      <c r="V50" s="58">
        <v>6.8888888888888893</v>
      </c>
      <c r="W50" s="58">
        <v>0.55555555555555558</v>
      </c>
      <c r="X50" s="58">
        <v>0.88888888888888884</v>
      </c>
      <c r="Y50" s="122">
        <v>5600</v>
      </c>
    </row>
    <row r="51" spans="1:25" x14ac:dyDescent="0.2">
      <c r="A51" s="47" t="s">
        <v>380</v>
      </c>
      <c r="B51" s="48" t="s">
        <v>248</v>
      </c>
      <c r="C51" s="47" t="s">
        <v>381</v>
      </c>
      <c r="D51" s="47" t="s">
        <v>382</v>
      </c>
      <c r="E51" s="116">
        <v>141.78479999999999</v>
      </c>
      <c r="F51" s="50">
        <v>1.720889976</v>
      </c>
      <c r="G51" s="50">
        <v>7.9746676799999985E-2</v>
      </c>
      <c r="H51" s="50">
        <v>0.41395540800000002</v>
      </c>
      <c r="I51" s="50">
        <v>5.5421235237999404E-3</v>
      </c>
      <c r="J51" s="50">
        <v>7.0892399999999994E-2</v>
      </c>
      <c r="K51" s="113">
        <v>446.62212</v>
      </c>
      <c r="L51" s="116">
        <v>4524</v>
      </c>
      <c r="M51" s="50">
        <v>15.200639999999998</v>
      </c>
      <c r="N51" s="50">
        <v>22.407372000000002</v>
      </c>
      <c r="O51" s="116">
        <v>119.07167999999999</v>
      </c>
      <c r="P51" s="50">
        <v>0.36029451882015484</v>
      </c>
      <c r="Q51" s="50">
        <v>2.262</v>
      </c>
      <c r="R51" s="116">
        <v>14250.6</v>
      </c>
      <c r="S51" s="58">
        <v>1.7777777777777777</v>
      </c>
      <c r="T51" s="119">
        <v>15.555555555555555</v>
      </c>
      <c r="U51" s="58">
        <v>0.66666666666666663</v>
      </c>
      <c r="V51" s="58">
        <v>6.8888888888888893</v>
      </c>
      <c r="W51" s="58">
        <v>0.55555555555555558</v>
      </c>
      <c r="X51" s="58">
        <v>0.88888888888888884</v>
      </c>
      <c r="Y51" s="122">
        <v>5600</v>
      </c>
    </row>
    <row r="52" spans="1:25" x14ac:dyDescent="0.2">
      <c r="A52" s="47" t="s">
        <v>383</v>
      </c>
      <c r="B52" s="48" t="s">
        <v>248</v>
      </c>
      <c r="C52" s="47" t="s">
        <v>384</v>
      </c>
      <c r="D52" s="47" t="s">
        <v>385</v>
      </c>
      <c r="E52" s="116">
        <v>27.096000000000004</v>
      </c>
      <c r="F52" s="50">
        <v>0.14287368</v>
      </c>
      <c r="G52" s="50">
        <v>0.18290399999999998</v>
      </c>
      <c r="H52" s="50">
        <v>0.80576160000000008</v>
      </c>
      <c r="I52" s="50">
        <v>6.5485199999999995E-3</v>
      </c>
      <c r="J52" s="50">
        <v>1.3548000000000001E-2</v>
      </c>
      <c r="K52" s="113">
        <v>85.352400000000003</v>
      </c>
      <c r="L52" s="116">
        <v>2760</v>
      </c>
      <c r="M52" s="50">
        <v>4.83</v>
      </c>
      <c r="N52" s="50">
        <v>139.38</v>
      </c>
      <c r="O52" s="116">
        <v>364.32</v>
      </c>
      <c r="P52" s="50">
        <v>0.55200000000000005</v>
      </c>
      <c r="Q52" s="50">
        <v>1.38</v>
      </c>
      <c r="R52" s="116">
        <v>8694</v>
      </c>
      <c r="S52" s="58">
        <v>1.7777777777777777</v>
      </c>
      <c r="T52" s="119">
        <v>15.555555555555555</v>
      </c>
      <c r="U52" s="58">
        <v>0.66666666666666663</v>
      </c>
      <c r="V52" s="58">
        <v>6.8888888888888893</v>
      </c>
      <c r="W52" s="58">
        <v>0.55555555555555558</v>
      </c>
      <c r="X52" s="58">
        <v>0.88888888888888884</v>
      </c>
      <c r="Y52" s="122">
        <v>5600</v>
      </c>
    </row>
    <row r="53" spans="1:25" x14ac:dyDescent="0.2">
      <c r="A53" s="47" t="s">
        <v>386</v>
      </c>
      <c r="B53" s="48" t="s">
        <v>241</v>
      </c>
      <c r="C53" s="47" t="s">
        <v>387</v>
      </c>
      <c r="D53" s="47" t="s">
        <v>388</v>
      </c>
      <c r="E53" s="838">
        <v>161.31</v>
      </c>
      <c r="F53" s="49">
        <v>0.81097140000000001</v>
      </c>
      <c r="G53" s="49">
        <v>0.1076148</v>
      </c>
      <c r="H53" s="49">
        <v>1.0661532</v>
      </c>
      <c r="I53" s="49">
        <v>9.7044920000000021E-3</v>
      </c>
      <c r="J53" s="49">
        <v>8.0655000000000004E-2</v>
      </c>
      <c r="K53" s="125">
        <v>508.12649999999996</v>
      </c>
      <c r="L53" s="116"/>
      <c r="M53" s="50"/>
      <c r="N53" s="50"/>
      <c r="O53" s="116"/>
      <c r="P53" s="50"/>
      <c r="Q53" s="50"/>
      <c r="R53" s="116"/>
      <c r="S53" s="57"/>
      <c r="T53" s="120"/>
      <c r="U53" s="57"/>
      <c r="V53" s="57"/>
      <c r="W53" s="57"/>
      <c r="X53" s="57"/>
      <c r="Y53" s="123"/>
    </row>
    <row r="54" spans="1:25" x14ac:dyDescent="0.2">
      <c r="A54" s="47" t="s">
        <v>389</v>
      </c>
      <c r="B54" s="48" t="s">
        <v>358</v>
      </c>
      <c r="C54" s="47" t="s">
        <v>390</v>
      </c>
      <c r="D54" s="47" t="s">
        <v>391</v>
      </c>
      <c r="E54" s="116">
        <v>9.4835999999999991</v>
      </c>
      <c r="F54" s="50">
        <v>5.1293424000000004E-2</v>
      </c>
      <c r="G54" s="50">
        <v>0.12103206000000001</v>
      </c>
      <c r="H54" s="50">
        <v>8.5852391640000008</v>
      </c>
      <c r="I54" s="50">
        <v>1.851926E-4</v>
      </c>
      <c r="J54" s="50">
        <v>4.7417999999999991E-3</v>
      </c>
      <c r="K54" s="113">
        <v>29.778503999999998</v>
      </c>
      <c r="L54" s="116">
        <v>228</v>
      </c>
      <c r="M54" s="50">
        <v>0.11856</v>
      </c>
      <c r="N54" s="50">
        <v>9.7173599999999993</v>
      </c>
      <c r="O54" s="116">
        <v>265.25292000000002</v>
      </c>
      <c r="P54" s="50">
        <v>1.14E-2</v>
      </c>
      <c r="Q54" s="50">
        <v>0.114</v>
      </c>
      <c r="R54" s="116">
        <v>715.92</v>
      </c>
      <c r="S54" s="57"/>
      <c r="T54" s="120"/>
      <c r="U54" s="57"/>
      <c r="V54" s="57"/>
      <c r="W54" s="57"/>
      <c r="X54" s="57"/>
      <c r="Y54" s="123"/>
    </row>
    <row r="55" spans="1:25" x14ac:dyDescent="0.2">
      <c r="A55" s="47" t="s">
        <v>392</v>
      </c>
      <c r="B55" s="48" t="s">
        <v>248</v>
      </c>
      <c r="C55" s="47" t="s">
        <v>393</v>
      </c>
      <c r="D55" s="47" t="s">
        <v>385</v>
      </c>
      <c r="E55" s="116">
        <v>27.096000000000004</v>
      </c>
      <c r="F55" s="50">
        <v>0.14287919999999998</v>
      </c>
      <c r="G55" s="50">
        <v>0.182894208</v>
      </c>
      <c r="H55" s="50">
        <v>0.80585951999999994</v>
      </c>
      <c r="I55" s="50">
        <v>6.5485199999999995E-3</v>
      </c>
      <c r="J55" s="50">
        <v>1.3548000000000001E-2</v>
      </c>
      <c r="K55" s="113">
        <v>85.352400000000003</v>
      </c>
      <c r="L55" s="116">
        <v>2760</v>
      </c>
      <c r="M55" s="50">
        <v>4.8355199999999998</v>
      </c>
      <c r="N55" s="50">
        <v>139.38</v>
      </c>
      <c r="O55" s="116">
        <v>364.32</v>
      </c>
      <c r="P55" s="50">
        <v>0.55200000000000005</v>
      </c>
      <c r="Q55" s="50">
        <v>1.38</v>
      </c>
      <c r="R55" s="116">
        <v>8694</v>
      </c>
      <c r="S55" s="58">
        <v>1.7777777777777777</v>
      </c>
      <c r="T55" s="119">
        <v>15.555555555555555</v>
      </c>
      <c r="U55" s="58">
        <v>0.66666666666666663</v>
      </c>
      <c r="V55" s="58">
        <v>6.8888888888888893</v>
      </c>
      <c r="W55" s="58">
        <v>0.55555555555555558</v>
      </c>
      <c r="X55" s="58">
        <v>0.88888888888888884</v>
      </c>
      <c r="Y55" s="122">
        <v>5600</v>
      </c>
    </row>
    <row r="56" spans="1:25" x14ac:dyDescent="0.2">
      <c r="A56" s="47" t="s">
        <v>394</v>
      </c>
      <c r="B56" s="48" t="s">
        <v>284</v>
      </c>
      <c r="C56" s="47" t="s">
        <v>395</v>
      </c>
      <c r="D56" s="47" t="s">
        <v>286</v>
      </c>
      <c r="E56" s="116">
        <v>103.5</v>
      </c>
      <c r="F56" s="50">
        <v>1.3527060000000002</v>
      </c>
      <c r="G56" s="50">
        <v>0</v>
      </c>
      <c r="H56" s="50">
        <v>0.31143599999999994</v>
      </c>
      <c r="I56" s="50">
        <v>7.0665199999999997E-3</v>
      </c>
      <c r="J56" s="50">
        <v>5.1749999999999997E-2</v>
      </c>
      <c r="K56" s="113">
        <v>326.02499999999998</v>
      </c>
      <c r="L56" s="116">
        <v>6119.9999999999991</v>
      </c>
      <c r="M56" s="50">
        <v>42.228000000000002</v>
      </c>
      <c r="N56" s="50">
        <v>0</v>
      </c>
      <c r="O56" s="116">
        <v>56.303999999999995</v>
      </c>
      <c r="P56" s="50">
        <v>1.2240000000000002</v>
      </c>
      <c r="Q56" s="50">
        <v>3.0599999999999996</v>
      </c>
      <c r="R56" s="116">
        <v>19277.999999999996</v>
      </c>
      <c r="S56" s="57"/>
      <c r="T56" s="120"/>
      <c r="U56" s="57"/>
      <c r="V56" s="57"/>
      <c r="W56" s="57"/>
      <c r="X56" s="57"/>
      <c r="Y56" s="123"/>
    </row>
    <row r="57" spans="1:25" x14ac:dyDescent="0.2">
      <c r="A57" s="47" t="s">
        <v>396</v>
      </c>
      <c r="B57" s="48" t="s">
        <v>248</v>
      </c>
      <c r="C57" s="47" t="s">
        <v>397</v>
      </c>
      <c r="D57" s="47" t="s">
        <v>398</v>
      </c>
      <c r="E57" s="116">
        <v>181.87559999999999</v>
      </c>
      <c r="F57" s="50">
        <v>1.6093975679999999</v>
      </c>
      <c r="G57" s="50">
        <v>4.1110944000000003E-2</v>
      </c>
      <c r="H57" s="50">
        <v>0.38393652</v>
      </c>
      <c r="I57" s="50">
        <v>1.07858347033027E-2</v>
      </c>
      <c r="J57" s="50">
        <v>9.0937799999999999E-2</v>
      </c>
      <c r="K57" s="113">
        <v>572.90814</v>
      </c>
      <c r="L57" s="116">
        <v>5868</v>
      </c>
      <c r="M57" s="50">
        <v>21.828960000000002</v>
      </c>
      <c r="N57" s="50">
        <v>27.520920000000004</v>
      </c>
      <c r="O57" s="116">
        <v>279.25812000000002</v>
      </c>
      <c r="P57" s="50">
        <v>0.59386270001437869</v>
      </c>
      <c r="Q57" s="50">
        <v>2.9340000000000002</v>
      </c>
      <c r="R57" s="116">
        <v>18484.2</v>
      </c>
      <c r="S57" s="58">
        <v>1.7777777777777777</v>
      </c>
      <c r="T57" s="119">
        <v>15.555555555555555</v>
      </c>
      <c r="U57" s="58">
        <v>0.66666666666666663</v>
      </c>
      <c r="V57" s="58">
        <v>6.8888888888888893</v>
      </c>
      <c r="W57" s="58">
        <v>0.55555555555555558</v>
      </c>
      <c r="X57" s="58">
        <v>0.88888888888888884</v>
      </c>
      <c r="Y57" s="122">
        <v>5600</v>
      </c>
    </row>
    <row r="58" spans="1:25" x14ac:dyDescent="0.2">
      <c r="A58" s="47" t="s">
        <v>399</v>
      </c>
      <c r="B58" s="48" t="s">
        <v>248</v>
      </c>
      <c r="C58" s="47" t="s">
        <v>397</v>
      </c>
      <c r="D58" s="47" t="s">
        <v>398</v>
      </c>
      <c r="E58" s="116">
        <v>181.87559999999999</v>
      </c>
      <c r="F58" s="50">
        <v>1.6093975679999999</v>
      </c>
      <c r="G58" s="50">
        <v>4.1110944000000003E-2</v>
      </c>
      <c r="H58" s="50">
        <v>0.38393652</v>
      </c>
      <c r="I58" s="50">
        <v>1.07858347033027E-2</v>
      </c>
      <c r="J58" s="50">
        <v>9.0937799999999999E-2</v>
      </c>
      <c r="K58" s="113">
        <v>572.90814</v>
      </c>
      <c r="L58" s="116">
        <v>5868</v>
      </c>
      <c r="M58" s="50">
        <v>21.828960000000002</v>
      </c>
      <c r="N58" s="50">
        <v>27.520920000000004</v>
      </c>
      <c r="O58" s="116">
        <v>279.25812000000002</v>
      </c>
      <c r="P58" s="50">
        <v>0.59386270001437869</v>
      </c>
      <c r="Q58" s="50">
        <v>2.9340000000000002</v>
      </c>
      <c r="R58" s="116">
        <v>18484.2</v>
      </c>
      <c r="S58" s="58">
        <v>1.7777777777777777</v>
      </c>
      <c r="T58" s="119">
        <v>15.555555555555555</v>
      </c>
      <c r="U58" s="58">
        <v>0.66666666666666663</v>
      </c>
      <c r="V58" s="58">
        <v>6.8888888888888893</v>
      </c>
      <c r="W58" s="58">
        <v>0.55555555555555558</v>
      </c>
      <c r="X58" s="58">
        <v>0.88888888888888884</v>
      </c>
      <c r="Y58" s="122">
        <v>5600</v>
      </c>
    </row>
    <row r="59" spans="1:25" x14ac:dyDescent="0.2">
      <c r="A59" s="47" t="s">
        <v>400</v>
      </c>
      <c r="B59" s="48" t="s">
        <v>248</v>
      </c>
      <c r="C59" s="47" t="s">
        <v>401</v>
      </c>
      <c r="D59" s="47" t="s">
        <v>402</v>
      </c>
      <c r="E59" s="116">
        <v>270.13899599999996</v>
      </c>
      <c r="F59" s="50">
        <v>3.3478843297200003</v>
      </c>
      <c r="G59" s="50">
        <v>9.1264543199999996E-3</v>
      </c>
      <c r="H59" s="50">
        <v>0.52720636476000005</v>
      </c>
      <c r="I59" s="50">
        <v>8.4174373675756191E-3</v>
      </c>
      <c r="J59" s="50">
        <v>0.13506949799999998</v>
      </c>
      <c r="K59" s="113">
        <v>850.93783739999981</v>
      </c>
      <c r="L59" s="116">
        <v>8276.2800000000007</v>
      </c>
      <c r="M59" s="50">
        <v>35.670766799999996</v>
      </c>
      <c r="N59" s="50">
        <v>0.66210240000000009</v>
      </c>
      <c r="O59" s="116">
        <v>206.41042320000003</v>
      </c>
      <c r="P59" s="50">
        <v>0.40929184060800006</v>
      </c>
      <c r="Q59" s="50">
        <v>4.1381399999999999</v>
      </c>
      <c r="R59" s="116">
        <v>26070.282000000003</v>
      </c>
      <c r="S59" s="58">
        <v>1.7777777777777777</v>
      </c>
      <c r="T59" s="119">
        <v>15.555555555555555</v>
      </c>
      <c r="U59" s="58">
        <v>0.66666666666666663</v>
      </c>
      <c r="V59" s="58">
        <v>6.8888888888888893</v>
      </c>
      <c r="W59" s="58">
        <v>0.55555555555555558</v>
      </c>
      <c r="X59" s="58">
        <v>0.88888888888888884</v>
      </c>
      <c r="Y59" s="122">
        <v>5600</v>
      </c>
    </row>
    <row r="60" spans="1:25" x14ac:dyDescent="0.2">
      <c r="A60" s="47" t="s">
        <v>403</v>
      </c>
      <c r="B60" s="48" t="s">
        <v>248</v>
      </c>
      <c r="C60" s="47" t="s">
        <v>404</v>
      </c>
      <c r="D60" s="47" t="s">
        <v>405</v>
      </c>
      <c r="E60" s="116">
        <v>287.95200000000006</v>
      </c>
      <c r="F60" s="50">
        <v>3.5215660799999999</v>
      </c>
      <c r="G60" s="50">
        <v>1.004064E-2</v>
      </c>
      <c r="H60" s="50">
        <v>0.61905167999999988</v>
      </c>
      <c r="I60" s="50">
        <v>1.0305269459736919E-2</v>
      </c>
      <c r="J60" s="50">
        <v>0.14397600000000002</v>
      </c>
      <c r="K60" s="113">
        <v>907.04880000000014</v>
      </c>
      <c r="L60" s="116">
        <v>7680</v>
      </c>
      <c r="M60" s="50">
        <v>35.328000000000003</v>
      </c>
      <c r="N60" s="50">
        <v>0.99840000000000018</v>
      </c>
      <c r="O60" s="116">
        <v>140.16</v>
      </c>
      <c r="P60" s="50">
        <v>0.38217292799999997</v>
      </c>
      <c r="Q60" s="50">
        <v>3.84</v>
      </c>
      <c r="R60" s="116">
        <v>24192</v>
      </c>
      <c r="S60" s="58">
        <v>1.7777777777777777</v>
      </c>
      <c r="T60" s="119">
        <v>15.555555555555555</v>
      </c>
      <c r="U60" s="58">
        <v>0.66666666666666663</v>
      </c>
      <c r="V60" s="58">
        <v>6.8888888888888893</v>
      </c>
      <c r="W60" s="58">
        <v>0.55555555555555558</v>
      </c>
      <c r="X60" s="58">
        <v>0.88888888888888884</v>
      </c>
      <c r="Y60" s="122">
        <v>5600</v>
      </c>
    </row>
    <row r="61" spans="1:25" x14ac:dyDescent="0.2">
      <c r="A61" s="47" t="s">
        <v>406</v>
      </c>
      <c r="B61" s="48" t="s">
        <v>284</v>
      </c>
      <c r="C61" s="47" t="s">
        <v>407</v>
      </c>
      <c r="D61" s="47" t="s">
        <v>299</v>
      </c>
      <c r="E61" s="116">
        <v>47.760000000000005</v>
      </c>
      <c r="F61" s="50">
        <v>0.29074800000000001</v>
      </c>
      <c r="G61" s="50">
        <v>7.6230000000000006E-2</v>
      </c>
      <c r="H61" s="50">
        <v>0.59339399999999998</v>
      </c>
      <c r="I61" s="50">
        <v>3.4933200000000003E-3</v>
      </c>
      <c r="J61" s="50">
        <v>2.3880000000000002E-2</v>
      </c>
      <c r="K61" s="113">
        <v>150.44400000000002</v>
      </c>
      <c r="L61" s="116">
        <v>1799.9999999999998</v>
      </c>
      <c r="M61" s="50">
        <v>5.58</v>
      </c>
      <c r="N61" s="50">
        <v>31.68</v>
      </c>
      <c r="O61" s="116">
        <v>102.24</v>
      </c>
      <c r="P61" s="50">
        <v>0.36</v>
      </c>
      <c r="Q61" s="50">
        <v>0.89999999999999991</v>
      </c>
      <c r="R61" s="116">
        <v>5669.9999999999991</v>
      </c>
      <c r="S61" s="57"/>
      <c r="T61" s="120"/>
      <c r="U61" s="57"/>
      <c r="V61" s="57"/>
      <c r="W61" s="57"/>
      <c r="X61" s="57"/>
      <c r="Y61" s="123"/>
    </row>
    <row r="62" spans="1:25" x14ac:dyDescent="0.2">
      <c r="A62" s="47" t="s">
        <v>408</v>
      </c>
      <c r="B62" s="48" t="s">
        <v>284</v>
      </c>
      <c r="C62" s="47" t="s">
        <v>409</v>
      </c>
      <c r="D62" s="47" t="s">
        <v>286</v>
      </c>
      <c r="E62" s="116">
        <v>103.5</v>
      </c>
      <c r="F62" s="50">
        <v>1.3527060000000002</v>
      </c>
      <c r="G62" s="50">
        <v>0</v>
      </c>
      <c r="H62" s="50">
        <v>0.31143599999999994</v>
      </c>
      <c r="I62" s="50">
        <v>7.0665199999999997E-3</v>
      </c>
      <c r="J62" s="50">
        <v>5.1749999999999997E-2</v>
      </c>
      <c r="K62" s="113">
        <v>326.02499999999998</v>
      </c>
      <c r="L62" s="116">
        <v>6119.9999999999991</v>
      </c>
      <c r="M62" s="50">
        <v>42.228000000000002</v>
      </c>
      <c r="N62" s="50">
        <v>0</v>
      </c>
      <c r="O62" s="116">
        <v>56.303999999999995</v>
      </c>
      <c r="P62" s="50">
        <v>1.2240000000000002</v>
      </c>
      <c r="Q62" s="50">
        <v>3.0599999999999996</v>
      </c>
      <c r="R62" s="116">
        <v>19277.999999999996</v>
      </c>
      <c r="S62" s="57"/>
      <c r="T62" s="120"/>
      <c r="U62" s="57"/>
      <c r="V62" s="57"/>
      <c r="W62" s="57"/>
      <c r="X62" s="57"/>
      <c r="Y62" s="123"/>
    </row>
    <row r="63" spans="1:25" x14ac:dyDescent="0.2">
      <c r="A63" s="47" t="s">
        <v>410</v>
      </c>
      <c r="B63" s="48" t="s">
        <v>284</v>
      </c>
      <c r="C63" s="47" t="s">
        <v>411</v>
      </c>
      <c r="D63" s="47" t="s">
        <v>305</v>
      </c>
      <c r="E63" s="116">
        <v>45.515999999999998</v>
      </c>
      <c r="F63" s="50">
        <v>0.305871</v>
      </c>
      <c r="G63" s="50">
        <v>3.2183999999999997E-2</v>
      </c>
      <c r="H63" s="50">
        <v>0.25396740000000001</v>
      </c>
      <c r="I63" s="50">
        <v>3.2235720000000001E-3</v>
      </c>
      <c r="J63" s="50">
        <v>2.2758E-2</v>
      </c>
      <c r="K63" s="113">
        <v>143.37539999999998</v>
      </c>
      <c r="L63" s="116">
        <v>2159.9999999999995</v>
      </c>
      <c r="M63" s="50">
        <v>6.9119999999999999</v>
      </c>
      <c r="N63" s="50">
        <v>32.183999999999997</v>
      </c>
      <c r="O63" s="116">
        <v>83.591999999999999</v>
      </c>
      <c r="P63" s="50">
        <v>0.432</v>
      </c>
      <c r="Q63" s="50">
        <v>1.0799999999999998</v>
      </c>
      <c r="R63" s="116">
        <v>6803.9999999999982</v>
      </c>
      <c r="S63" s="57"/>
      <c r="T63" s="120"/>
      <c r="U63" s="57"/>
      <c r="V63" s="57"/>
      <c r="W63" s="57"/>
      <c r="X63" s="57"/>
      <c r="Y63" s="123"/>
    </row>
    <row r="64" spans="1:25" x14ac:dyDescent="0.2">
      <c r="A64" s="47" t="s">
        <v>412</v>
      </c>
      <c r="B64" s="48" t="s">
        <v>284</v>
      </c>
      <c r="C64" s="47" t="s">
        <v>413</v>
      </c>
      <c r="D64" s="47" t="s">
        <v>414</v>
      </c>
      <c r="E64" s="116">
        <v>5.1263999999999994</v>
      </c>
      <c r="F64" s="50">
        <v>0.12345386400000002</v>
      </c>
      <c r="G64" s="50">
        <v>1.0341000000000001E-2</v>
      </c>
      <c r="H64" s="50">
        <v>5.188010400000001E-2</v>
      </c>
      <c r="I64" s="50">
        <v>1.19852E-4</v>
      </c>
      <c r="J64" s="50">
        <v>2.5631999999999999E-3</v>
      </c>
      <c r="K64" s="113">
        <v>16.096895999999997</v>
      </c>
      <c r="L64" s="116">
        <v>36</v>
      </c>
      <c r="M64" s="50">
        <v>0.60875999999999997</v>
      </c>
      <c r="N64" s="50">
        <v>0.35207999999999995</v>
      </c>
      <c r="O64" s="116">
        <v>0.89279999999999993</v>
      </c>
      <c r="P64" s="50">
        <v>1.8E-3</v>
      </c>
      <c r="Q64" s="50">
        <v>1.7999999999999999E-2</v>
      </c>
      <c r="R64" s="116">
        <v>113.04</v>
      </c>
      <c r="S64" s="57"/>
      <c r="T64" s="120"/>
      <c r="U64" s="57"/>
      <c r="V64" s="57"/>
      <c r="W64" s="57"/>
      <c r="X64" s="57"/>
      <c r="Y64" s="123"/>
    </row>
    <row r="65" spans="1:25" x14ac:dyDescent="0.2">
      <c r="A65" s="47" t="s">
        <v>415</v>
      </c>
      <c r="B65" s="48" t="s">
        <v>284</v>
      </c>
      <c r="C65" s="47" t="s">
        <v>416</v>
      </c>
      <c r="D65" s="47" t="s">
        <v>296</v>
      </c>
      <c r="E65" s="116">
        <v>37.613999999999997</v>
      </c>
      <c r="F65" s="50">
        <v>0.39960563999999993</v>
      </c>
      <c r="G65" s="50">
        <v>0.14743883999999999</v>
      </c>
      <c r="H65" s="50">
        <v>0.2413476</v>
      </c>
      <c r="I65" s="50">
        <v>2.6335199999999999E-3</v>
      </c>
      <c r="J65" s="50">
        <v>1.8806999999999997E-2</v>
      </c>
      <c r="K65" s="113">
        <v>11.848409999999999</v>
      </c>
      <c r="L65" s="116">
        <v>1692</v>
      </c>
      <c r="M65" s="50">
        <v>4.8391200000000003</v>
      </c>
      <c r="N65" s="50">
        <v>133.85411999999999</v>
      </c>
      <c r="O65" s="116">
        <v>104.05799999999999</v>
      </c>
      <c r="P65" s="50">
        <v>0.33839999999999998</v>
      </c>
      <c r="Q65" s="50">
        <v>0.84599999999999997</v>
      </c>
      <c r="R65" s="116">
        <v>532.98</v>
      </c>
      <c r="S65" s="57"/>
      <c r="T65" s="120"/>
      <c r="U65" s="57"/>
      <c r="V65" s="57"/>
      <c r="W65" s="57"/>
      <c r="X65" s="57"/>
      <c r="Y65" s="123"/>
    </row>
    <row r="66" spans="1:25" x14ac:dyDescent="0.2">
      <c r="A66" s="47" t="s">
        <v>417</v>
      </c>
      <c r="B66" s="48" t="s">
        <v>248</v>
      </c>
      <c r="C66" s="47" t="s">
        <v>418</v>
      </c>
      <c r="D66" s="47" t="s">
        <v>379</v>
      </c>
      <c r="E66" s="116">
        <v>148.1748</v>
      </c>
      <c r="F66" s="50">
        <v>2.4542312159999997</v>
      </c>
      <c r="G66" s="50">
        <v>2.2079040000000001E-2</v>
      </c>
      <c r="H66" s="50">
        <v>0.75195097200000005</v>
      </c>
      <c r="I66" s="50">
        <v>8.425705053109701E-3</v>
      </c>
      <c r="J66" s="50">
        <v>7.4087399999999998E-2</v>
      </c>
      <c r="K66" s="113">
        <v>466.75061999999997</v>
      </c>
      <c r="L66" s="116">
        <v>5064</v>
      </c>
      <c r="M66" s="50">
        <v>21.57264</v>
      </c>
      <c r="N66" s="50">
        <v>22.079040000000003</v>
      </c>
      <c r="O66" s="116">
        <v>184.07640000000001</v>
      </c>
      <c r="P66" s="50">
        <v>0.57752077450268646</v>
      </c>
      <c r="Q66" s="50">
        <v>2.532</v>
      </c>
      <c r="R66" s="116">
        <v>15951.6</v>
      </c>
      <c r="S66" s="58">
        <v>1.7777777777777777</v>
      </c>
      <c r="T66" s="119">
        <v>15.555555555555555</v>
      </c>
      <c r="U66" s="58">
        <v>0.66666666666666663</v>
      </c>
      <c r="V66" s="58">
        <v>6.8888888888888893</v>
      </c>
      <c r="W66" s="58">
        <v>0.55555555555555558</v>
      </c>
      <c r="X66" s="58">
        <v>0.88888888888888884</v>
      </c>
      <c r="Y66" s="122">
        <v>5600</v>
      </c>
    </row>
    <row r="67" spans="1:25" x14ac:dyDescent="0.2">
      <c r="A67" s="47" t="s">
        <v>419</v>
      </c>
      <c r="B67" s="48" t="s">
        <v>284</v>
      </c>
      <c r="C67" s="47" t="s">
        <v>420</v>
      </c>
      <c r="D67" s="47" t="s">
        <v>421</v>
      </c>
      <c r="E67" s="116">
        <v>94.512</v>
      </c>
      <c r="F67" s="50">
        <v>1.1380103999999998</v>
      </c>
      <c r="G67" s="50">
        <v>0</v>
      </c>
      <c r="H67" s="50">
        <v>0.31144559999999999</v>
      </c>
      <c r="I67" s="50">
        <v>6.2233200000000001E-3</v>
      </c>
      <c r="J67" s="50">
        <v>4.7255999999999999E-2</v>
      </c>
      <c r="K67" s="113">
        <v>297.71280000000002</v>
      </c>
      <c r="L67" s="116">
        <v>6672</v>
      </c>
      <c r="M67" s="50">
        <v>48.038400000000003</v>
      </c>
      <c r="N67" s="50">
        <v>0</v>
      </c>
      <c r="O67" s="116">
        <v>55.377600000000001</v>
      </c>
      <c r="P67" s="50">
        <v>1.3344</v>
      </c>
      <c r="Q67" s="50">
        <v>3.3359999999999999</v>
      </c>
      <c r="R67" s="116">
        <v>21016.799999999999</v>
      </c>
      <c r="S67" s="57"/>
      <c r="T67" s="120"/>
      <c r="U67" s="57"/>
      <c r="V67" s="57"/>
      <c r="W67" s="57"/>
      <c r="X67" s="57"/>
      <c r="Y67" s="123"/>
    </row>
    <row r="68" spans="1:25" x14ac:dyDescent="0.2">
      <c r="A68" s="47" t="s">
        <v>422</v>
      </c>
      <c r="B68" s="48" t="s">
        <v>248</v>
      </c>
      <c r="C68" s="51" t="s">
        <v>423</v>
      </c>
      <c r="D68" s="47" t="s">
        <v>385</v>
      </c>
      <c r="E68" s="116">
        <v>27.096000000000004</v>
      </c>
      <c r="F68" s="50">
        <v>0.14287919999999998</v>
      </c>
      <c r="G68" s="50">
        <v>0.182894208</v>
      </c>
      <c r="H68" s="50">
        <v>0.80585951999999994</v>
      </c>
      <c r="I68" s="50">
        <v>6.5485199999999995E-3</v>
      </c>
      <c r="J68" s="50">
        <v>1.3548000000000001E-2</v>
      </c>
      <c r="K68" s="113">
        <v>85.352400000000003</v>
      </c>
      <c r="L68" s="116">
        <v>2760</v>
      </c>
      <c r="M68" s="50">
        <v>4.8355199999999998</v>
      </c>
      <c r="N68" s="50">
        <v>139.38</v>
      </c>
      <c r="O68" s="116">
        <v>364.32</v>
      </c>
      <c r="P68" s="50">
        <v>0.55200000000000005</v>
      </c>
      <c r="Q68" s="50">
        <v>1.38</v>
      </c>
      <c r="R68" s="116">
        <v>8694</v>
      </c>
      <c r="S68" s="57"/>
      <c r="T68" s="120"/>
      <c r="U68" s="57"/>
      <c r="V68" s="57"/>
      <c r="W68" s="57"/>
      <c r="X68" s="57"/>
      <c r="Y68" s="123"/>
    </row>
    <row r="69" spans="1:25" x14ac:dyDescent="0.2">
      <c r="A69" s="47" t="s">
        <v>424</v>
      </c>
      <c r="B69" s="48" t="s">
        <v>425</v>
      </c>
      <c r="C69" s="47" t="s">
        <v>426</v>
      </c>
      <c r="D69" s="47" t="s">
        <v>388</v>
      </c>
      <c r="E69" s="838">
        <v>241.965</v>
      </c>
      <c r="F69" s="49">
        <v>1.2164571</v>
      </c>
      <c r="G69" s="49">
        <v>0.16142219999999999</v>
      </c>
      <c r="H69" s="49">
        <v>1.5992297999999998</v>
      </c>
      <c r="I69" s="49">
        <v>1.4556738E-2</v>
      </c>
      <c r="J69" s="49">
        <v>0.12098250000000001</v>
      </c>
      <c r="K69" s="125">
        <v>762.18975</v>
      </c>
      <c r="L69" s="116"/>
      <c r="M69" s="50"/>
      <c r="N69" s="50"/>
      <c r="O69" s="116"/>
      <c r="P69" s="50"/>
      <c r="Q69" s="50"/>
      <c r="R69" s="116"/>
      <c r="S69" s="57"/>
      <c r="T69" s="120"/>
      <c r="U69" s="57"/>
      <c r="V69" s="57"/>
      <c r="W69" s="57"/>
      <c r="X69" s="57"/>
      <c r="Y69" s="123"/>
    </row>
    <row r="70" spans="1:25" x14ac:dyDescent="0.2">
      <c r="A70" s="47" t="s">
        <v>427</v>
      </c>
      <c r="B70" s="48" t="s">
        <v>284</v>
      </c>
      <c r="C70" s="47" t="s">
        <v>428</v>
      </c>
      <c r="D70" s="47" t="s">
        <v>421</v>
      </c>
      <c r="E70" s="116">
        <v>94.512</v>
      </c>
      <c r="F70" s="50">
        <v>1.1380103999999998</v>
      </c>
      <c r="G70" s="50">
        <v>0</v>
      </c>
      <c r="H70" s="50">
        <v>0.31144559999999999</v>
      </c>
      <c r="I70" s="50">
        <v>6.2233200000000001E-3</v>
      </c>
      <c r="J70" s="50">
        <v>4.7255999999999999E-2</v>
      </c>
      <c r="K70" s="113">
        <v>297.71280000000002</v>
      </c>
      <c r="L70" s="116">
        <v>6672</v>
      </c>
      <c r="M70" s="50">
        <v>48.038400000000003</v>
      </c>
      <c r="N70" s="50">
        <v>0</v>
      </c>
      <c r="O70" s="116">
        <v>55.377600000000001</v>
      </c>
      <c r="P70" s="50">
        <v>1.3344</v>
      </c>
      <c r="Q70" s="50">
        <v>3.3359999999999999</v>
      </c>
      <c r="R70" s="116">
        <v>21016.799999999999</v>
      </c>
      <c r="S70" s="57"/>
      <c r="T70" s="120"/>
      <c r="U70" s="57"/>
      <c r="V70" s="57"/>
      <c r="W70" s="57"/>
      <c r="X70" s="57"/>
      <c r="Y70" s="123"/>
    </row>
    <row r="71" spans="1:25" x14ac:dyDescent="0.2">
      <c r="A71" s="47" t="s">
        <v>429</v>
      </c>
      <c r="B71" s="48" t="s">
        <v>248</v>
      </c>
      <c r="C71" s="47" t="s">
        <v>430</v>
      </c>
      <c r="D71" s="47" t="s">
        <v>431</v>
      </c>
      <c r="E71" s="116">
        <v>176.86799999999999</v>
      </c>
      <c r="F71" s="50">
        <v>2.5632727200000005</v>
      </c>
      <c r="G71" s="50">
        <v>8.2734599999999991E-2</v>
      </c>
      <c r="H71" s="50">
        <v>0.38648100000000002</v>
      </c>
      <c r="I71" s="50">
        <v>6.9050717045617193E-3</v>
      </c>
      <c r="J71" s="50">
        <v>8.8433999999999999E-2</v>
      </c>
      <c r="K71" s="113">
        <v>557.13419999999996</v>
      </c>
      <c r="L71" s="116">
        <v>5880</v>
      </c>
      <c r="M71" s="50">
        <v>22.520400000000002</v>
      </c>
      <c r="N71" s="50">
        <v>14.758799999999999</v>
      </c>
      <c r="O71" s="116">
        <v>102.01800000000001</v>
      </c>
      <c r="P71" s="50">
        <v>0.37894659599999997</v>
      </c>
      <c r="Q71" s="50">
        <v>2.94</v>
      </c>
      <c r="R71" s="116">
        <v>18522</v>
      </c>
      <c r="S71" s="58">
        <v>1.7777777777777777</v>
      </c>
      <c r="T71" s="119">
        <v>15.555555555555555</v>
      </c>
      <c r="U71" s="58">
        <v>0.66666666666666663</v>
      </c>
      <c r="V71" s="58">
        <v>6.8888888888888893</v>
      </c>
      <c r="W71" s="58">
        <v>0.55555555555555558</v>
      </c>
      <c r="X71" s="58">
        <v>0.88888888888888884</v>
      </c>
      <c r="Y71" s="122">
        <v>5600</v>
      </c>
    </row>
    <row r="72" spans="1:25" x14ac:dyDescent="0.2">
      <c r="A72" s="47" t="s">
        <v>432</v>
      </c>
      <c r="B72" s="48" t="s">
        <v>248</v>
      </c>
      <c r="C72" s="47" t="s">
        <v>433</v>
      </c>
      <c r="D72" s="47" t="s">
        <v>434</v>
      </c>
      <c r="E72" s="116">
        <v>265.76399999999995</v>
      </c>
      <c r="F72" s="50">
        <v>3.0514848000000008</v>
      </c>
      <c r="G72" s="50">
        <v>1.1669280000000001E-2</v>
      </c>
      <c r="H72" s="50">
        <v>0.61692035999999995</v>
      </c>
      <c r="I72" s="50">
        <v>7.9249754111527203E-3</v>
      </c>
      <c r="J72" s="50">
        <v>0.13288199999999997</v>
      </c>
      <c r="K72" s="113">
        <v>837.15659999999991</v>
      </c>
      <c r="L72" s="116">
        <v>7439.9999999999991</v>
      </c>
      <c r="M72" s="50">
        <v>33.108000000000004</v>
      </c>
      <c r="N72" s="50">
        <v>1.1903999999999999</v>
      </c>
      <c r="O72" s="116">
        <v>148.87440000000001</v>
      </c>
      <c r="P72" s="50">
        <v>0.37160716799999999</v>
      </c>
      <c r="Q72" s="50">
        <v>3.7199999999999998</v>
      </c>
      <c r="R72" s="116">
        <v>23435.999999999996</v>
      </c>
      <c r="S72" s="58">
        <v>1.7777777777777777</v>
      </c>
      <c r="T72" s="119">
        <v>15.555555555555555</v>
      </c>
      <c r="U72" s="58">
        <v>0.66666666666666663</v>
      </c>
      <c r="V72" s="58">
        <v>6.8888888888888893</v>
      </c>
      <c r="W72" s="58">
        <v>0.55555555555555558</v>
      </c>
      <c r="X72" s="58">
        <v>0.88888888888888884</v>
      </c>
      <c r="Y72" s="122">
        <v>5600</v>
      </c>
    </row>
    <row r="73" spans="1:25" x14ac:dyDescent="0.2">
      <c r="A73" s="47" t="s">
        <v>435</v>
      </c>
      <c r="B73" s="48" t="s">
        <v>248</v>
      </c>
      <c r="C73" s="47" t="s">
        <v>436</v>
      </c>
      <c r="D73" s="47" t="s">
        <v>437</v>
      </c>
      <c r="E73" s="116">
        <v>350.19599999999997</v>
      </c>
      <c r="F73" s="50">
        <v>4.5897688800000003</v>
      </c>
      <c r="G73" s="50">
        <v>7.6523040000000014E-2</v>
      </c>
      <c r="H73" s="50">
        <v>1.07811156</v>
      </c>
      <c r="I73" s="50">
        <v>1.0669394656579099E-2</v>
      </c>
      <c r="J73" s="50">
        <v>0.17509799999999998</v>
      </c>
      <c r="K73" s="113">
        <v>1103.1173999999999</v>
      </c>
      <c r="L73" s="116">
        <v>10080</v>
      </c>
      <c r="M73" s="50">
        <v>35.884800000000006</v>
      </c>
      <c r="N73" s="50">
        <v>54.835200000000007</v>
      </c>
      <c r="O73" s="116">
        <v>512.16480000000001</v>
      </c>
      <c r="P73" s="50">
        <v>0.87943786971784099</v>
      </c>
      <c r="Q73" s="50">
        <v>5.04</v>
      </c>
      <c r="R73" s="116">
        <v>31752</v>
      </c>
      <c r="S73" s="58">
        <v>1.7777777777777777</v>
      </c>
      <c r="T73" s="119">
        <v>15.555555555555555</v>
      </c>
      <c r="U73" s="58">
        <v>0.66666666666666663</v>
      </c>
      <c r="V73" s="58">
        <v>6.8888888888888893</v>
      </c>
      <c r="W73" s="58">
        <v>0.55555555555555558</v>
      </c>
      <c r="X73" s="58">
        <v>0.88888888888888884</v>
      </c>
      <c r="Y73" s="122">
        <v>5600</v>
      </c>
    </row>
    <row r="74" spans="1:25" x14ac:dyDescent="0.2">
      <c r="A74" s="47" t="s">
        <v>438</v>
      </c>
      <c r="B74" s="48" t="s">
        <v>309</v>
      </c>
      <c r="C74" s="47" t="s">
        <v>310</v>
      </c>
      <c r="D74" s="47" t="s">
        <v>299</v>
      </c>
      <c r="E74" s="116">
        <v>47.760000000000005</v>
      </c>
      <c r="F74" s="50">
        <v>0.29074800000000001</v>
      </c>
      <c r="G74" s="50">
        <v>7.6230000000000006E-2</v>
      </c>
      <c r="H74" s="50">
        <v>0.59339399999999998</v>
      </c>
      <c r="I74" s="50">
        <v>3.4933200000000003E-3</v>
      </c>
      <c r="J74" s="50">
        <v>2.3880000000000002E-2</v>
      </c>
      <c r="K74" s="113">
        <v>150.44400000000002</v>
      </c>
      <c r="L74" s="116">
        <v>1799.9999999999998</v>
      </c>
      <c r="M74" s="50">
        <v>5.58</v>
      </c>
      <c r="N74" s="50">
        <v>31.68</v>
      </c>
      <c r="O74" s="116">
        <v>102.24</v>
      </c>
      <c r="P74" s="50">
        <v>0.36</v>
      </c>
      <c r="Q74" s="50">
        <v>0.89999999999999991</v>
      </c>
      <c r="R74" s="116">
        <v>5669.9999999999991</v>
      </c>
      <c r="S74" s="57"/>
      <c r="T74" s="120"/>
      <c r="U74" s="57"/>
      <c r="V74" s="57"/>
      <c r="W74" s="57"/>
      <c r="X74" s="57"/>
      <c r="Y74" s="123"/>
    </row>
    <row r="75" spans="1:25" x14ac:dyDescent="0.2">
      <c r="A75" s="47" t="s">
        <v>439</v>
      </c>
      <c r="B75" s="48" t="s">
        <v>248</v>
      </c>
      <c r="C75" s="47" t="s">
        <v>440</v>
      </c>
      <c r="D75" s="47" t="s">
        <v>441</v>
      </c>
      <c r="E75" s="116">
        <v>175.04160000000005</v>
      </c>
      <c r="F75" s="50">
        <v>2.6939090399999999</v>
      </c>
      <c r="G75" s="50">
        <v>3.8200319999999996E-2</v>
      </c>
      <c r="H75" s="50">
        <v>0.26200607999999997</v>
      </c>
      <c r="I75" s="50">
        <v>4.1121182536536403E-3</v>
      </c>
      <c r="J75" s="50">
        <v>8.7520800000000024E-2</v>
      </c>
      <c r="K75" s="113">
        <v>551.3810400000001</v>
      </c>
      <c r="L75" s="116">
        <v>5520</v>
      </c>
      <c r="M75" s="50">
        <v>17.608799999999999</v>
      </c>
      <c r="N75" s="50">
        <v>27.931199999999997</v>
      </c>
      <c r="O75" s="116">
        <v>180.39359999999999</v>
      </c>
      <c r="P75" s="50">
        <v>0.44321477825330974</v>
      </c>
      <c r="Q75" s="50">
        <v>2.76</v>
      </c>
      <c r="R75" s="116">
        <v>17388</v>
      </c>
      <c r="S75" s="58">
        <v>1.7777777777777777</v>
      </c>
      <c r="T75" s="119">
        <v>15.555555555555555</v>
      </c>
      <c r="U75" s="58">
        <v>0.66666666666666663</v>
      </c>
      <c r="V75" s="58">
        <v>6.8888888888888893</v>
      </c>
      <c r="W75" s="58">
        <v>0.55555555555555558</v>
      </c>
      <c r="X75" s="58">
        <v>0.88888888888888884</v>
      </c>
      <c r="Y75" s="122">
        <v>5600</v>
      </c>
    </row>
    <row r="76" spans="1:25" x14ac:dyDescent="0.2">
      <c r="A76" s="47" t="s">
        <v>442</v>
      </c>
      <c r="B76" s="48" t="s">
        <v>241</v>
      </c>
      <c r="C76" s="47" t="s">
        <v>443</v>
      </c>
      <c r="D76" s="47" t="s">
        <v>388</v>
      </c>
      <c r="E76" s="838">
        <v>161.31</v>
      </c>
      <c r="F76" s="49">
        <v>0.81097140000000001</v>
      </c>
      <c r="G76" s="49">
        <v>0.1076148</v>
      </c>
      <c r="H76" s="49">
        <v>1.0661532</v>
      </c>
      <c r="I76" s="49">
        <v>9.7044920000000021E-3</v>
      </c>
      <c r="J76" s="49">
        <v>8.0655000000000004E-2</v>
      </c>
      <c r="K76" s="125">
        <v>508.12649999999996</v>
      </c>
      <c r="L76" s="116"/>
      <c r="M76" s="50"/>
      <c r="N76" s="50"/>
      <c r="O76" s="116"/>
      <c r="P76" s="50"/>
      <c r="Q76" s="50"/>
      <c r="R76" s="116"/>
      <c r="S76" s="57"/>
      <c r="T76" s="120"/>
      <c r="U76" s="57"/>
      <c r="V76" s="57"/>
      <c r="W76" s="57"/>
      <c r="X76" s="57"/>
      <c r="Y76" s="123"/>
    </row>
    <row r="77" spans="1:25" x14ac:dyDescent="0.2">
      <c r="A77" s="47" t="s">
        <v>444</v>
      </c>
      <c r="B77" s="48" t="s">
        <v>312</v>
      </c>
      <c r="C77" s="47" t="s">
        <v>445</v>
      </c>
      <c r="D77" s="47" t="s">
        <v>243</v>
      </c>
      <c r="E77" s="838">
        <v>34.950000000000003</v>
      </c>
      <c r="F77" s="49">
        <v>0.14275980000000002</v>
      </c>
      <c r="G77" s="49">
        <v>0.6153204000000001</v>
      </c>
      <c r="H77" s="49">
        <v>1.0930386000000001</v>
      </c>
      <c r="I77" s="49">
        <v>2.2722600000000003E-3</v>
      </c>
      <c r="J77" s="49">
        <v>1.7475000000000001E-2</v>
      </c>
      <c r="K77" s="125">
        <v>110.0925</v>
      </c>
      <c r="L77" s="116"/>
      <c r="M77" s="50"/>
      <c r="N77" s="50"/>
      <c r="O77" s="116"/>
      <c r="P77" s="50"/>
      <c r="Q77" s="50"/>
      <c r="R77" s="116"/>
      <c r="S77" s="57"/>
      <c r="T77" s="120"/>
      <c r="U77" s="57"/>
      <c r="V77" s="57"/>
      <c r="W77" s="57"/>
      <c r="X77" s="57"/>
      <c r="Y77" s="123"/>
    </row>
    <row r="78" spans="1:25" x14ac:dyDescent="0.2">
      <c r="A78" s="47" t="s">
        <v>446</v>
      </c>
      <c r="B78" s="48" t="s">
        <v>241</v>
      </c>
      <c r="C78" s="47" t="s">
        <v>447</v>
      </c>
      <c r="D78" s="47" t="s">
        <v>243</v>
      </c>
      <c r="E78" s="838">
        <v>69.900000000000006</v>
      </c>
      <c r="F78" s="49">
        <v>0.28551960000000004</v>
      </c>
      <c r="G78" s="49">
        <v>1.2306408000000002</v>
      </c>
      <c r="H78" s="49">
        <v>2.1860772000000002</v>
      </c>
      <c r="I78" s="49">
        <v>4.5445200000000007E-3</v>
      </c>
      <c r="J78" s="49">
        <v>3.4950000000000002E-2</v>
      </c>
      <c r="K78" s="125">
        <v>220.185</v>
      </c>
      <c r="L78" s="116"/>
      <c r="M78" s="50"/>
      <c r="N78" s="50"/>
      <c r="O78" s="116"/>
      <c r="P78" s="50"/>
      <c r="Q78" s="50"/>
      <c r="R78" s="116"/>
      <c r="S78" s="57"/>
      <c r="T78" s="120"/>
      <c r="U78" s="57"/>
      <c r="V78" s="57"/>
      <c r="W78" s="57"/>
      <c r="X78" s="57"/>
      <c r="Y78" s="123"/>
    </row>
    <row r="79" spans="1:25" x14ac:dyDescent="0.2">
      <c r="A79" s="47" t="s">
        <v>448</v>
      </c>
      <c r="B79" s="48" t="s">
        <v>241</v>
      </c>
      <c r="C79" s="47" t="s">
        <v>449</v>
      </c>
      <c r="D79" s="47" t="s">
        <v>243</v>
      </c>
      <c r="E79" s="838">
        <v>69.900000000000006</v>
      </c>
      <c r="F79" s="49">
        <v>0.28551960000000004</v>
      </c>
      <c r="G79" s="49">
        <v>1.2306408000000002</v>
      </c>
      <c r="H79" s="49">
        <v>2.1860772000000002</v>
      </c>
      <c r="I79" s="49">
        <v>4.5445200000000007E-3</v>
      </c>
      <c r="J79" s="49">
        <v>3.4950000000000002E-2</v>
      </c>
      <c r="K79" s="125">
        <v>220.185</v>
      </c>
      <c r="L79" s="116"/>
      <c r="M79" s="50"/>
      <c r="N79" s="50"/>
      <c r="O79" s="116"/>
      <c r="P79" s="50"/>
      <c r="Q79" s="50"/>
      <c r="R79" s="116"/>
      <c r="S79" s="57"/>
      <c r="T79" s="120"/>
      <c r="U79" s="57"/>
      <c r="V79" s="57"/>
      <c r="W79" s="57"/>
      <c r="X79" s="57"/>
      <c r="Y79" s="123"/>
    </row>
    <row r="80" spans="1:25" x14ac:dyDescent="0.2">
      <c r="A80" s="47" t="s">
        <v>450</v>
      </c>
      <c r="B80" s="48" t="s">
        <v>241</v>
      </c>
      <c r="C80" s="47" t="s">
        <v>451</v>
      </c>
      <c r="D80" s="47" t="s">
        <v>243</v>
      </c>
      <c r="E80" s="838">
        <v>69.900000000000006</v>
      </c>
      <c r="F80" s="49">
        <v>0.28551960000000004</v>
      </c>
      <c r="G80" s="49">
        <v>1.2306408000000002</v>
      </c>
      <c r="H80" s="49">
        <v>2.1860772000000002</v>
      </c>
      <c r="I80" s="49">
        <v>4.5445200000000007E-3</v>
      </c>
      <c r="J80" s="49">
        <v>3.4950000000000002E-2</v>
      </c>
      <c r="K80" s="125">
        <v>220.185</v>
      </c>
      <c r="L80" s="116"/>
      <c r="M80" s="50"/>
      <c r="N80" s="50"/>
      <c r="O80" s="116"/>
      <c r="P80" s="50"/>
      <c r="Q80" s="50"/>
      <c r="R80" s="116"/>
      <c r="S80" s="57"/>
      <c r="T80" s="120"/>
      <c r="U80" s="57"/>
      <c r="V80" s="57"/>
      <c r="W80" s="57"/>
      <c r="X80" s="57"/>
      <c r="Y80" s="123"/>
    </row>
    <row r="81" spans="1:25" x14ac:dyDescent="0.2">
      <c r="A81" s="47" t="s">
        <v>100</v>
      </c>
      <c r="B81" s="48" t="s">
        <v>248</v>
      </c>
      <c r="C81" s="47" t="s">
        <v>452</v>
      </c>
      <c r="D81" s="47" t="s">
        <v>453</v>
      </c>
      <c r="E81" s="116">
        <v>38.903999999999996</v>
      </c>
      <c r="F81" s="50">
        <v>0.49287168000000003</v>
      </c>
      <c r="G81" s="50">
        <v>4.916976E-2</v>
      </c>
      <c r="H81" s="50">
        <v>0.39420864</v>
      </c>
      <c r="I81" s="50">
        <v>9.8929199999999995E-3</v>
      </c>
      <c r="J81" s="50">
        <v>1.9451999999999997E-2</v>
      </c>
      <c r="K81" s="113">
        <v>122.54759999999999</v>
      </c>
      <c r="L81" s="116">
        <v>3119.9999999999995</v>
      </c>
      <c r="M81" s="50">
        <v>11.606400000000001</v>
      </c>
      <c r="N81" s="50">
        <v>28.204799999999995</v>
      </c>
      <c r="O81" s="116">
        <v>148.82399999999998</v>
      </c>
      <c r="P81" s="50">
        <v>0.624</v>
      </c>
      <c r="Q81" s="50">
        <v>1.5599999999999998</v>
      </c>
      <c r="R81" s="116">
        <v>9827.9999999999982</v>
      </c>
      <c r="S81" s="58">
        <v>1.7777777777777777</v>
      </c>
      <c r="T81" s="119">
        <v>15.555555555555555</v>
      </c>
      <c r="U81" s="58">
        <v>0.66666666666666663</v>
      </c>
      <c r="V81" s="58">
        <v>6.8888888888888893</v>
      </c>
      <c r="W81" s="58">
        <v>0.55555555555555558</v>
      </c>
      <c r="X81" s="58">
        <v>0.88888888888888884</v>
      </c>
      <c r="Y81" s="122">
        <v>5600</v>
      </c>
    </row>
    <row r="82" spans="1:25" x14ac:dyDescent="0.2">
      <c r="A82" s="47" t="s">
        <v>454</v>
      </c>
      <c r="B82" s="48" t="s">
        <v>248</v>
      </c>
      <c r="C82" s="47" t="s">
        <v>455</v>
      </c>
      <c r="D82" s="47" t="s">
        <v>453</v>
      </c>
      <c r="E82" s="116">
        <v>38.903999999999996</v>
      </c>
      <c r="F82" s="50">
        <v>0.49287168000000003</v>
      </c>
      <c r="G82" s="50">
        <v>4.916976E-2</v>
      </c>
      <c r="H82" s="50">
        <v>0.39420864</v>
      </c>
      <c r="I82" s="50">
        <v>9.8929199999999995E-3</v>
      </c>
      <c r="J82" s="50">
        <v>1.9451999999999997E-2</v>
      </c>
      <c r="K82" s="113">
        <v>122.54759999999999</v>
      </c>
      <c r="L82" s="116">
        <v>3119.9999999999995</v>
      </c>
      <c r="M82" s="50">
        <v>11.606400000000001</v>
      </c>
      <c r="N82" s="50">
        <v>28.204799999999995</v>
      </c>
      <c r="O82" s="116">
        <v>148.82399999999998</v>
      </c>
      <c r="P82" s="50">
        <v>0.624</v>
      </c>
      <c r="Q82" s="50">
        <v>1.5599999999999998</v>
      </c>
      <c r="R82" s="116">
        <v>9827.9999999999982</v>
      </c>
      <c r="S82" s="58">
        <v>1.7777777777777777</v>
      </c>
      <c r="T82" s="119">
        <v>15.555555555555555</v>
      </c>
      <c r="U82" s="58">
        <v>0.66666666666666663</v>
      </c>
      <c r="V82" s="58">
        <v>6.8888888888888893</v>
      </c>
      <c r="W82" s="58">
        <v>0.55555555555555558</v>
      </c>
      <c r="X82" s="58">
        <v>0.88888888888888884</v>
      </c>
      <c r="Y82" s="122">
        <v>5600</v>
      </c>
    </row>
    <row r="83" spans="1:25" x14ac:dyDescent="0.2">
      <c r="A83" s="47" t="s">
        <v>456</v>
      </c>
      <c r="B83" s="48" t="s">
        <v>457</v>
      </c>
      <c r="C83" s="47" t="s">
        <v>458</v>
      </c>
      <c r="D83" s="47" t="s">
        <v>453</v>
      </c>
      <c r="E83" s="116">
        <v>38.903999999999996</v>
      </c>
      <c r="F83" s="50">
        <v>0.49287168000000003</v>
      </c>
      <c r="G83" s="50">
        <v>4.916976E-2</v>
      </c>
      <c r="H83" s="50">
        <v>0.39420864</v>
      </c>
      <c r="I83" s="50">
        <v>9.8929199999999995E-3</v>
      </c>
      <c r="J83" s="50">
        <v>1.9451999999999997E-2</v>
      </c>
      <c r="K83" s="113">
        <v>122.54759999999999</v>
      </c>
      <c r="L83" s="116">
        <v>3119.9999999999995</v>
      </c>
      <c r="M83" s="50">
        <v>11.606400000000001</v>
      </c>
      <c r="N83" s="50">
        <v>28.204799999999995</v>
      </c>
      <c r="O83" s="116">
        <v>148.82399999999998</v>
      </c>
      <c r="P83" s="50">
        <v>0.624</v>
      </c>
      <c r="Q83" s="50">
        <v>1.5599999999999998</v>
      </c>
      <c r="R83" s="116">
        <v>9827.9999999999982</v>
      </c>
      <c r="S83" s="58">
        <v>1.7777777777777777</v>
      </c>
      <c r="T83" s="119">
        <v>15.555555555555555</v>
      </c>
      <c r="U83" s="58">
        <v>0.66666666666666663</v>
      </c>
      <c r="V83" s="58">
        <v>6.8888888888888893</v>
      </c>
      <c r="W83" s="58">
        <v>0.55555555555555558</v>
      </c>
      <c r="X83" s="58">
        <v>0.88888888888888884</v>
      </c>
      <c r="Y83" s="122">
        <v>5600</v>
      </c>
    </row>
    <row r="84" spans="1:25" x14ac:dyDescent="0.2">
      <c r="A84" s="47" t="s">
        <v>459</v>
      </c>
      <c r="B84" s="48" t="s">
        <v>248</v>
      </c>
      <c r="C84" s="47" t="s">
        <v>460</v>
      </c>
      <c r="D84" s="47" t="s">
        <v>461</v>
      </c>
      <c r="E84" s="116">
        <v>353.76000000000005</v>
      </c>
      <c r="F84" s="50">
        <v>4.8034800000000004</v>
      </c>
      <c r="G84" s="50">
        <v>0.24520800000000004</v>
      </c>
      <c r="H84" s="50">
        <v>0.92642400000000003</v>
      </c>
      <c r="I84" s="50">
        <v>8.9125904147814392E-2</v>
      </c>
      <c r="J84" s="50">
        <v>0.17688000000000004</v>
      </c>
      <c r="K84" s="113">
        <v>1114.3440000000003</v>
      </c>
      <c r="L84" s="116">
        <v>13200</v>
      </c>
      <c r="M84" s="50">
        <v>33</v>
      </c>
      <c r="N84" s="50">
        <v>44.88</v>
      </c>
      <c r="O84" s="116">
        <v>318.12</v>
      </c>
      <c r="P84" s="50">
        <v>3.9037911774353455</v>
      </c>
      <c r="Q84" s="50">
        <v>6.6</v>
      </c>
      <c r="R84" s="116">
        <v>41580</v>
      </c>
      <c r="S84" s="58">
        <v>1.7777777777777777</v>
      </c>
      <c r="T84" s="119">
        <v>15.555555555555555</v>
      </c>
      <c r="U84" s="58">
        <v>0.66666666666666663</v>
      </c>
      <c r="V84" s="58">
        <v>6.8888888888888893</v>
      </c>
      <c r="W84" s="58">
        <v>0.55555555555555558</v>
      </c>
      <c r="X84" s="58">
        <v>0.88888888888888884</v>
      </c>
      <c r="Y84" s="122">
        <v>5600</v>
      </c>
    </row>
    <row r="85" spans="1:25" x14ac:dyDescent="0.2">
      <c r="A85" s="47" t="s">
        <v>462</v>
      </c>
      <c r="B85" s="48" t="s">
        <v>284</v>
      </c>
      <c r="C85" s="47" t="s">
        <v>463</v>
      </c>
      <c r="D85" s="47" t="s">
        <v>464</v>
      </c>
      <c r="E85" s="116">
        <v>107.94</v>
      </c>
      <c r="F85" s="50">
        <v>0.31566120000000009</v>
      </c>
      <c r="G85" s="50">
        <v>0.34263359999999998</v>
      </c>
      <c r="H85" s="50">
        <v>2.2298063999999997</v>
      </c>
      <c r="I85" s="50">
        <v>8.0725719999999983E-3</v>
      </c>
      <c r="J85" s="50">
        <v>5.3969999999999997E-2</v>
      </c>
      <c r="K85" s="113">
        <v>340.01100000000002</v>
      </c>
      <c r="L85" s="116">
        <v>6204.0000000000009</v>
      </c>
      <c r="M85" s="50">
        <v>4.3428000000000004</v>
      </c>
      <c r="N85" s="50">
        <v>148.2756</v>
      </c>
      <c r="O85" s="116">
        <v>567.04560000000004</v>
      </c>
      <c r="P85" s="50">
        <v>1.2408000000000001</v>
      </c>
      <c r="Q85" s="50">
        <v>3.1020000000000003</v>
      </c>
      <c r="R85" s="116">
        <v>19542.600000000002</v>
      </c>
      <c r="S85" s="57"/>
      <c r="T85" s="120"/>
      <c r="U85" s="57"/>
      <c r="V85" s="57"/>
      <c r="W85" s="57"/>
      <c r="X85" s="57"/>
      <c r="Y85" s="123"/>
    </row>
    <row r="86" spans="1:25" x14ac:dyDescent="0.2">
      <c r="A86" s="47" t="s">
        <v>465</v>
      </c>
      <c r="B86" s="48" t="s">
        <v>248</v>
      </c>
      <c r="C86" s="47" t="s">
        <v>466</v>
      </c>
      <c r="D86" s="47" t="s">
        <v>467</v>
      </c>
      <c r="E86" s="116">
        <v>335.93999999999994</v>
      </c>
      <c r="F86" s="50">
        <v>3.6760239600000002</v>
      </c>
      <c r="G86" s="50">
        <v>0.11815572000000001</v>
      </c>
      <c r="H86" s="50">
        <v>1.3943090399999998</v>
      </c>
      <c r="I86" s="50">
        <v>5.8223204745121403E-2</v>
      </c>
      <c r="J86" s="50">
        <v>0.16796999999999998</v>
      </c>
      <c r="K86" s="113">
        <v>1058.2109999999998</v>
      </c>
      <c r="L86" s="116">
        <v>11568</v>
      </c>
      <c r="M86" s="50">
        <v>25.79664</v>
      </c>
      <c r="N86" s="50">
        <v>39.44688</v>
      </c>
      <c r="O86" s="116">
        <v>360.45887999999997</v>
      </c>
      <c r="P86" s="50">
        <v>2.6449633336653844</v>
      </c>
      <c r="Q86" s="50">
        <v>5.7839999999999998</v>
      </c>
      <c r="R86" s="116">
        <v>36439.199999999997</v>
      </c>
      <c r="S86" s="58">
        <v>1.7777777777777777</v>
      </c>
      <c r="T86" s="119">
        <v>15.555555555555555</v>
      </c>
      <c r="U86" s="58">
        <v>0.66666666666666663</v>
      </c>
      <c r="V86" s="58">
        <v>6.8888888888888893</v>
      </c>
      <c r="W86" s="58">
        <v>0.55555555555555558</v>
      </c>
      <c r="X86" s="58">
        <v>0.88888888888888884</v>
      </c>
      <c r="Y86" s="122">
        <v>5600</v>
      </c>
    </row>
    <row r="87" spans="1:25" x14ac:dyDescent="0.2">
      <c r="A87" s="47" t="s">
        <v>468</v>
      </c>
      <c r="B87" s="48" t="s">
        <v>284</v>
      </c>
      <c r="C87" s="47" t="s">
        <v>469</v>
      </c>
      <c r="D87" s="47" t="s">
        <v>286</v>
      </c>
      <c r="E87" s="116">
        <v>103.5</v>
      </c>
      <c r="F87" s="50">
        <v>1.3527060000000002</v>
      </c>
      <c r="G87" s="50">
        <v>0</v>
      </c>
      <c r="H87" s="50">
        <v>0.31143599999999994</v>
      </c>
      <c r="I87" s="50">
        <v>7.0665199999999997E-3</v>
      </c>
      <c r="J87" s="50">
        <v>5.1749999999999997E-2</v>
      </c>
      <c r="K87" s="113">
        <v>326.02499999999998</v>
      </c>
      <c r="L87" s="116">
        <v>6119.9999999999991</v>
      </c>
      <c r="M87" s="50">
        <v>42.228000000000002</v>
      </c>
      <c r="N87" s="50">
        <v>0</v>
      </c>
      <c r="O87" s="116">
        <v>56.303999999999995</v>
      </c>
      <c r="P87" s="50">
        <v>1.2240000000000002</v>
      </c>
      <c r="Q87" s="50">
        <v>3.0599999999999996</v>
      </c>
      <c r="R87" s="116">
        <v>19277.999999999996</v>
      </c>
      <c r="S87" s="57"/>
      <c r="T87" s="120"/>
      <c r="U87" s="57"/>
      <c r="V87" s="57"/>
      <c r="W87" s="57"/>
      <c r="X87" s="57"/>
      <c r="Y87" s="123"/>
    </row>
    <row r="88" spans="1:25" x14ac:dyDescent="0.2">
      <c r="A88" s="47" t="s">
        <v>470</v>
      </c>
      <c r="B88" s="48" t="s">
        <v>248</v>
      </c>
      <c r="C88" s="47" t="s">
        <v>460</v>
      </c>
      <c r="D88" s="47" t="s">
        <v>461</v>
      </c>
      <c r="E88" s="116">
        <v>353.76000000000005</v>
      </c>
      <c r="F88" s="50">
        <v>4.8034800000000004</v>
      </c>
      <c r="G88" s="50">
        <v>0.24520800000000004</v>
      </c>
      <c r="H88" s="50">
        <v>0.92642400000000003</v>
      </c>
      <c r="I88" s="50">
        <v>8.9125904147814392E-2</v>
      </c>
      <c r="J88" s="50">
        <v>0.17688000000000004</v>
      </c>
      <c r="K88" s="113">
        <v>1114.3440000000003</v>
      </c>
      <c r="L88" s="116">
        <v>13200</v>
      </c>
      <c r="M88" s="50">
        <v>33</v>
      </c>
      <c r="N88" s="50">
        <v>44.88</v>
      </c>
      <c r="O88" s="116">
        <v>318.12</v>
      </c>
      <c r="P88" s="50">
        <v>3.9037911774353455</v>
      </c>
      <c r="Q88" s="50">
        <v>6.6</v>
      </c>
      <c r="R88" s="116">
        <v>41580</v>
      </c>
      <c r="S88" s="58">
        <v>1.7777777777777777</v>
      </c>
      <c r="T88" s="119">
        <v>15.555555555555555</v>
      </c>
      <c r="U88" s="58">
        <v>0.66666666666666663</v>
      </c>
      <c r="V88" s="58">
        <v>6.8888888888888893</v>
      </c>
      <c r="W88" s="58">
        <v>0.55555555555555558</v>
      </c>
      <c r="X88" s="58">
        <v>0.88888888888888884</v>
      </c>
      <c r="Y88" s="122">
        <v>5600</v>
      </c>
    </row>
    <row r="89" spans="1:25" x14ac:dyDescent="0.2">
      <c r="A89" s="47" t="s">
        <v>471</v>
      </c>
      <c r="B89" s="48" t="s">
        <v>248</v>
      </c>
      <c r="C89" s="47" t="s">
        <v>472</v>
      </c>
      <c r="D89" s="47" t="s">
        <v>473</v>
      </c>
      <c r="E89" s="116">
        <v>148.1748</v>
      </c>
      <c r="F89" s="50">
        <v>2.4542312159999997</v>
      </c>
      <c r="G89" s="50">
        <v>2.2079040000000001E-2</v>
      </c>
      <c r="H89" s="50">
        <v>0.75195097200000005</v>
      </c>
      <c r="I89" s="50">
        <v>8.425705053109701E-3</v>
      </c>
      <c r="J89" s="50">
        <v>7.4087399999999998E-2</v>
      </c>
      <c r="K89" s="113">
        <v>466.75061999999997</v>
      </c>
      <c r="L89" s="116">
        <v>5064</v>
      </c>
      <c r="M89" s="50">
        <v>21.57264</v>
      </c>
      <c r="N89" s="50">
        <v>22.079040000000003</v>
      </c>
      <c r="O89" s="116">
        <v>184.07640000000001</v>
      </c>
      <c r="P89" s="50">
        <v>0.57752077450268646</v>
      </c>
      <c r="Q89" s="50">
        <v>2.532</v>
      </c>
      <c r="R89" s="116">
        <v>15951.6</v>
      </c>
      <c r="S89" s="58">
        <v>1.7777777777777777</v>
      </c>
      <c r="T89" s="119">
        <v>15.555555555555555</v>
      </c>
      <c r="U89" s="58">
        <v>0.66666666666666663</v>
      </c>
      <c r="V89" s="58">
        <v>6.8888888888888893</v>
      </c>
      <c r="W89" s="58">
        <v>0.55555555555555558</v>
      </c>
      <c r="X89" s="58">
        <v>0.88888888888888884</v>
      </c>
      <c r="Y89" s="122">
        <v>5600</v>
      </c>
    </row>
    <row r="90" spans="1:25" x14ac:dyDescent="0.2">
      <c r="A90" s="47" t="s">
        <v>474</v>
      </c>
      <c r="B90" s="48" t="s">
        <v>248</v>
      </c>
      <c r="C90" s="47" t="s">
        <v>475</v>
      </c>
      <c r="D90" s="47" t="s">
        <v>476</v>
      </c>
      <c r="E90" s="116">
        <v>330.45599999999996</v>
      </c>
      <c r="F90" s="50">
        <v>4.3220008800000009</v>
      </c>
      <c r="G90" s="50">
        <v>2.1438720000000005E-2</v>
      </c>
      <c r="H90" s="50">
        <v>1.0015826400000001</v>
      </c>
      <c r="I90" s="50">
        <v>1.7770282542080542E-2</v>
      </c>
      <c r="J90" s="50">
        <v>0.16522799999999999</v>
      </c>
      <c r="K90" s="113">
        <v>1040.9363999999998</v>
      </c>
      <c r="L90" s="116">
        <v>10680</v>
      </c>
      <c r="M90" s="50">
        <v>49.875599999999999</v>
      </c>
      <c r="N90" s="50">
        <v>11.961600000000001</v>
      </c>
      <c r="O90" s="116">
        <v>299.04000000000002</v>
      </c>
      <c r="P90" s="50">
        <v>0.62748899580615347</v>
      </c>
      <c r="Q90" s="50">
        <v>5.34</v>
      </c>
      <c r="R90" s="116">
        <v>33642</v>
      </c>
      <c r="S90" s="58">
        <v>1.7777777777777777</v>
      </c>
      <c r="T90" s="119">
        <v>15.555555555555555</v>
      </c>
      <c r="U90" s="58">
        <v>0.66666666666666663</v>
      </c>
      <c r="V90" s="58">
        <v>6.8888888888888893</v>
      </c>
      <c r="W90" s="58">
        <v>0.55555555555555558</v>
      </c>
      <c r="X90" s="58">
        <v>0.88888888888888884</v>
      </c>
      <c r="Y90" s="122">
        <v>5600</v>
      </c>
    </row>
    <row r="91" spans="1:25" x14ac:dyDescent="0.2">
      <c r="A91" s="47" t="s">
        <v>477</v>
      </c>
      <c r="B91" s="48" t="s">
        <v>248</v>
      </c>
      <c r="C91" s="47" t="s">
        <v>478</v>
      </c>
      <c r="D91" s="47" t="s">
        <v>476</v>
      </c>
      <c r="E91" s="116">
        <v>330.45599999999996</v>
      </c>
      <c r="F91" s="50">
        <v>4.3220008800000009</v>
      </c>
      <c r="G91" s="50">
        <v>2.1438720000000005E-2</v>
      </c>
      <c r="H91" s="50">
        <v>1.0015826400000001</v>
      </c>
      <c r="I91" s="50">
        <v>1.7770282542080542E-2</v>
      </c>
      <c r="J91" s="50">
        <v>0.16522799999999999</v>
      </c>
      <c r="K91" s="113">
        <v>1040.9363999999998</v>
      </c>
      <c r="L91" s="116">
        <v>10680</v>
      </c>
      <c r="M91" s="50">
        <v>49.875599999999999</v>
      </c>
      <c r="N91" s="50">
        <v>11.961600000000001</v>
      </c>
      <c r="O91" s="116">
        <v>299.04000000000002</v>
      </c>
      <c r="P91" s="50">
        <v>0.62748899580615347</v>
      </c>
      <c r="Q91" s="50">
        <v>5.34</v>
      </c>
      <c r="R91" s="116">
        <v>33642</v>
      </c>
      <c r="S91" s="58">
        <v>1.7777777777777777</v>
      </c>
      <c r="T91" s="119">
        <v>15.555555555555555</v>
      </c>
      <c r="U91" s="58">
        <v>0.66666666666666663</v>
      </c>
      <c r="V91" s="58">
        <v>6.8888888888888893</v>
      </c>
      <c r="W91" s="58">
        <v>0.55555555555555558</v>
      </c>
      <c r="X91" s="58">
        <v>0.88888888888888884</v>
      </c>
      <c r="Y91" s="122">
        <v>5600</v>
      </c>
    </row>
    <row r="92" spans="1:25" x14ac:dyDescent="0.2">
      <c r="A92" s="47" t="s">
        <v>479</v>
      </c>
      <c r="B92" s="48" t="s">
        <v>248</v>
      </c>
      <c r="C92" s="47" t="s">
        <v>472</v>
      </c>
      <c r="D92" s="47" t="s">
        <v>473</v>
      </c>
      <c r="E92" s="116">
        <v>148.1748</v>
      </c>
      <c r="F92" s="50">
        <v>2.4542312159999997</v>
      </c>
      <c r="G92" s="50">
        <v>2.2079040000000001E-2</v>
      </c>
      <c r="H92" s="50">
        <v>0.75195097200000005</v>
      </c>
      <c r="I92" s="50">
        <v>8.425705053109701E-3</v>
      </c>
      <c r="J92" s="50">
        <v>7.4087399999999998E-2</v>
      </c>
      <c r="K92" s="113">
        <v>466.75061999999997</v>
      </c>
      <c r="L92" s="116">
        <v>5064</v>
      </c>
      <c r="M92" s="50">
        <v>21.57264</v>
      </c>
      <c r="N92" s="50">
        <v>22.079040000000003</v>
      </c>
      <c r="O92" s="116">
        <v>184.07640000000001</v>
      </c>
      <c r="P92" s="50">
        <v>0.57752077450268646</v>
      </c>
      <c r="Q92" s="50">
        <v>2.532</v>
      </c>
      <c r="R92" s="116">
        <v>15951.6</v>
      </c>
      <c r="S92" s="58">
        <v>1.7777777777777777</v>
      </c>
      <c r="T92" s="119">
        <v>15.555555555555555</v>
      </c>
      <c r="U92" s="58">
        <v>0.66666666666666663</v>
      </c>
      <c r="V92" s="58">
        <v>6.8888888888888893</v>
      </c>
      <c r="W92" s="58">
        <v>0.55555555555555558</v>
      </c>
      <c r="X92" s="58">
        <v>0.88888888888888884</v>
      </c>
      <c r="Y92" s="122">
        <v>5600</v>
      </c>
    </row>
    <row r="93" spans="1:25" x14ac:dyDescent="0.2">
      <c r="A93" s="47" t="s">
        <v>480</v>
      </c>
      <c r="B93" s="48" t="s">
        <v>248</v>
      </c>
      <c r="C93" s="47" t="s">
        <v>475</v>
      </c>
      <c r="D93" s="47" t="s">
        <v>476</v>
      </c>
      <c r="E93" s="116">
        <v>330.45599999999996</v>
      </c>
      <c r="F93" s="50">
        <v>4.3220008800000009</v>
      </c>
      <c r="G93" s="50">
        <v>2.1438720000000005E-2</v>
      </c>
      <c r="H93" s="50">
        <v>1.0015826400000001</v>
      </c>
      <c r="I93" s="50">
        <v>1.7770282542080542E-2</v>
      </c>
      <c r="J93" s="50">
        <v>0.16522799999999999</v>
      </c>
      <c r="K93" s="113">
        <v>1040.9363999999998</v>
      </c>
      <c r="L93" s="116">
        <v>10680</v>
      </c>
      <c r="M93" s="50">
        <v>49.875599999999999</v>
      </c>
      <c r="N93" s="50">
        <v>11.961600000000001</v>
      </c>
      <c r="O93" s="116">
        <v>299.04000000000002</v>
      </c>
      <c r="P93" s="50">
        <v>0.62748899580615347</v>
      </c>
      <c r="Q93" s="50">
        <v>5.34</v>
      </c>
      <c r="R93" s="116">
        <v>33642</v>
      </c>
      <c r="S93" s="58">
        <v>1.7777777777777777</v>
      </c>
      <c r="T93" s="119">
        <v>15.555555555555555</v>
      </c>
      <c r="U93" s="58">
        <v>0.66666666666666663</v>
      </c>
      <c r="V93" s="58">
        <v>6.8888888888888893</v>
      </c>
      <c r="W93" s="58">
        <v>0.55555555555555558</v>
      </c>
      <c r="X93" s="58">
        <v>0.88888888888888884</v>
      </c>
      <c r="Y93" s="122">
        <v>5600</v>
      </c>
    </row>
    <row r="94" spans="1:25" x14ac:dyDescent="0.2">
      <c r="A94" s="47" t="s">
        <v>481</v>
      </c>
      <c r="B94" s="48" t="s">
        <v>248</v>
      </c>
      <c r="C94" s="47" t="s">
        <v>482</v>
      </c>
      <c r="D94" s="47" t="s">
        <v>453</v>
      </c>
      <c r="E94" s="116">
        <v>38.903999999999996</v>
      </c>
      <c r="F94" s="50">
        <v>0.49287168000000003</v>
      </c>
      <c r="G94" s="50">
        <v>4.916976E-2</v>
      </c>
      <c r="H94" s="50">
        <v>0.39420864</v>
      </c>
      <c r="I94" s="50">
        <v>9.8929199999999995E-3</v>
      </c>
      <c r="J94" s="50">
        <v>1.9451999999999997E-2</v>
      </c>
      <c r="K94" s="113">
        <v>122.54759999999999</v>
      </c>
      <c r="L94" s="116">
        <v>3119.9999999999995</v>
      </c>
      <c r="M94" s="50">
        <v>11.606400000000001</v>
      </c>
      <c r="N94" s="50">
        <v>28.204799999999995</v>
      </c>
      <c r="O94" s="116">
        <v>148.82399999999998</v>
      </c>
      <c r="P94" s="50">
        <v>0.624</v>
      </c>
      <c r="Q94" s="50">
        <v>1.5599999999999998</v>
      </c>
      <c r="R94" s="116">
        <v>9827.9999999999982</v>
      </c>
      <c r="S94" s="58">
        <v>1.7777777777777777</v>
      </c>
      <c r="T94" s="119">
        <v>15.555555555555555</v>
      </c>
      <c r="U94" s="58">
        <v>0.66666666666666663</v>
      </c>
      <c r="V94" s="58">
        <v>6.8888888888888893</v>
      </c>
      <c r="W94" s="58">
        <v>0.55555555555555558</v>
      </c>
      <c r="X94" s="58">
        <v>0.88888888888888884</v>
      </c>
      <c r="Y94" s="122">
        <v>5600</v>
      </c>
    </row>
    <row r="95" spans="1:25" x14ac:dyDescent="0.2">
      <c r="A95" s="47" t="s">
        <v>483</v>
      </c>
      <c r="B95" s="48" t="s">
        <v>248</v>
      </c>
      <c r="C95" s="47" t="s">
        <v>484</v>
      </c>
      <c r="D95" s="47" t="s">
        <v>485</v>
      </c>
      <c r="E95" s="116">
        <v>173.85600000000002</v>
      </c>
      <c r="F95" s="50">
        <v>2.1125008080000001</v>
      </c>
      <c r="G95" s="50">
        <v>3.6536400000000004E-2</v>
      </c>
      <c r="H95" s="50">
        <v>0.55473103200000007</v>
      </c>
      <c r="I95" s="50">
        <v>3.1869718740657201E-2</v>
      </c>
      <c r="J95" s="50">
        <v>8.6928000000000005E-2</v>
      </c>
      <c r="K95" s="113">
        <v>547.64639999999997</v>
      </c>
      <c r="L95" s="116">
        <v>5340</v>
      </c>
      <c r="M95" s="50">
        <v>19.491</v>
      </c>
      <c r="N95" s="50">
        <v>35.3508</v>
      </c>
      <c r="O95" s="116">
        <v>204.04140000000001</v>
      </c>
      <c r="P95" s="50">
        <v>1.4845714321119177</v>
      </c>
      <c r="Q95" s="50">
        <v>2.67</v>
      </c>
      <c r="R95" s="116">
        <v>16821</v>
      </c>
      <c r="S95" s="58">
        <v>1.7777777777777777</v>
      </c>
      <c r="T95" s="119">
        <v>15.555555555555555</v>
      </c>
      <c r="U95" s="58">
        <v>0.66666666666666663</v>
      </c>
      <c r="V95" s="58">
        <v>6.8888888888888893</v>
      </c>
      <c r="W95" s="58">
        <v>0.55555555555555558</v>
      </c>
      <c r="X95" s="58">
        <v>0.88888888888888884</v>
      </c>
      <c r="Y95" s="122">
        <v>5600</v>
      </c>
    </row>
    <row r="96" spans="1:25" x14ac:dyDescent="0.2">
      <c r="A96" s="47" t="s">
        <v>486</v>
      </c>
      <c r="B96" s="48" t="s">
        <v>248</v>
      </c>
      <c r="C96" s="47" t="s">
        <v>487</v>
      </c>
      <c r="D96" s="47" t="s">
        <v>453</v>
      </c>
      <c r="E96" s="116">
        <v>38.903999999999996</v>
      </c>
      <c r="F96" s="50">
        <v>0.49287168000000003</v>
      </c>
      <c r="G96" s="50">
        <v>4.916976E-2</v>
      </c>
      <c r="H96" s="50">
        <v>0.39420864</v>
      </c>
      <c r="I96" s="50">
        <v>9.8929199999999995E-3</v>
      </c>
      <c r="J96" s="50">
        <v>1.9451999999999997E-2</v>
      </c>
      <c r="K96" s="113">
        <v>122.54759999999999</v>
      </c>
      <c r="L96" s="116">
        <v>3119.9999999999995</v>
      </c>
      <c r="M96" s="50">
        <v>11.606400000000001</v>
      </c>
      <c r="N96" s="50">
        <v>28.204799999999995</v>
      </c>
      <c r="O96" s="116">
        <v>148.82399999999998</v>
      </c>
      <c r="P96" s="50">
        <v>0.624</v>
      </c>
      <c r="Q96" s="50">
        <v>1.5599999999999998</v>
      </c>
      <c r="R96" s="116">
        <v>9827.9999999999982</v>
      </c>
      <c r="S96" s="58">
        <v>1.7777777777777777</v>
      </c>
      <c r="T96" s="119">
        <v>15.555555555555555</v>
      </c>
      <c r="U96" s="58">
        <v>0.66666666666666663</v>
      </c>
      <c r="V96" s="58">
        <v>6.8888888888888893</v>
      </c>
      <c r="W96" s="58">
        <v>0.55555555555555558</v>
      </c>
      <c r="X96" s="58">
        <v>0.88888888888888884</v>
      </c>
      <c r="Y96" s="122">
        <v>5600</v>
      </c>
    </row>
    <row r="97" spans="1:25" x14ac:dyDescent="0.2">
      <c r="A97" s="47" t="s">
        <v>488</v>
      </c>
      <c r="B97" s="48" t="s">
        <v>267</v>
      </c>
      <c r="C97" s="47" t="s">
        <v>489</v>
      </c>
      <c r="D97" s="47" t="s">
        <v>490</v>
      </c>
      <c r="E97" s="116">
        <v>1559.88</v>
      </c>
      <c r="F97" s="50">
        <v>40.397184000000003</v>
      </c>
      <c r="G97" s="50">
        <v>0.23243040000000001</v>
      </c>
      <c r="H97" s="50">
        <v>1.1217444000000001</v>
      </c>
      <c r="I97" s="50">
        <v>0.32617331703886443</v>
      </c>
      <c r="J97" s="50">
        <v>0.77994000000000008</v>
      </c>
      <c r="K97" s="113">
        <v>4913.6220000000003</v>
      </c>
      <c r="L97" s="116">
        <v>42720</v>
      </c>
      <c r="M97" s="50">
        <v>247.77600000000001</v>
      </c>
      <c r="N97" s="50">
        <v>12.815999999999999</v>
      </c>
      <c r="O97" s="116">
        <v>294.76799999999997</v>
      </c>
      <c r="P97" s="50">
        <v>10.031221014989047</v>
      </c>
      <c r="Q97" s="50">
        <v>21.36</v>
      </c>
      <c r="R97" s="116">
        <v>134568</v>
      </c>
      <c r="S97" s="58">
        <v>4</v>
      </c>
      <c r="T97" s="119">
        <v>32</v>
      </c>
      <c r="U97" s="58">
        <v>2.1333333333333333</v>
      </c>
      <c r="V97" s="58">
        <v>2.8</v>
      </c>
      <c r="W97" s="58">
        <v>0.53333333333333333</v>
      </c>
      <c r="X97" s="58">
        <v>2</v>
      </c>
      <c r="Y97" s="122">
        <v>12600</v>
      </c>
    </row>
    <row r="98" spans="1:25" x14ac:dyDescent="0.2">
      <c r="A98" s="47" t="s">
        <v>3</v>
      </c>
      <c r="B98" s="48" t="s">
        <v>248</v>
      </c>
      <c r="C98" s="47" t="s">
        <v>491</v>
      </c>
      <c r="D98" s="47" t="s">
        <v>492</v>
      </c>
      <c r="E98" s="116">
        <v>35.964000000000006</v>
      </c>
      <c r="F98" s="50">
        <v>0.3698496</v>
      </c>
      <c r="G98" s="50">
        <v>0.11496624</v>
      </c>
      <c r="H98" s="50">
        <v>0.4914133200000001</v>
      </c>
      <c r="I98" s="50">
        <v>9.0989199999999999E-3</v>
      </c>
      <c r="J98" s="50">
        <v>1.7982000000000001E-2</v>
      </c>
      <c r="K98" s="113">
        <v>113.28660000000002</v>
      </c>
      <c r="L98" s="116">
        <v>2880</v>
      </c>
      <c r="M98" s="50">
        <v>8.1216000000000008</v>
      </c>
      <c r="N98" s="50">
        <v>57.715200000000003</v>
      </c>
      <c r="O98" s="116">
        <v>168.768</v>
      </c>
      <c r="P98" s="50">
        <v>0.57600000000000007</v>
      </c>
      <c r="Q98" s="50">
        <v>1.44</v>
      </c>
      <c r="R98" s="116">
        <v>9072</v>
      </c>
      <c r="S98" s="58">
        <v>1.7777777777777777</v>
      </c>
      <c r="T98" s="119">
        <v>15.555555555555555</v>
      </c>
      <c r="U98" s="58">
        <v>0.66666666666666663</v>
      </c>
      <c r="V98" s="58">
        <v>6.8888888888888893</v>
      </c>
      <c r="W98" s="58">
        <v>0.55555555555555558</v>
      </c>
      <c r="X98" s="58">
        <v>0.88888888888888884</v>
      </c>
      <c r="Y98" s="122">
        <v>5600</v>
      </c>
    </row>
    <row r="99" spans="1:25" x14ac:dyDescent="0.2">
      <c r="A99" s="47" t="s">
        <v>4</v>
      </c>
      <c r="B99" s="48" t="s">
        <v>248</v>
      </c>
      <c r="C99" s="47" t="s">
        <v>493</v>
      </c>
      <c r="D99" s="47" t="s">
        <v>494</v>
      </c>
      <c r="E99" s="116">
        <v>45.048000000000002</v>
      </c>
      <c r="F99" s="50">
        <v>0.52581768000000007</v>
      </c>
      <c r="G99" s="50">
        <v>3.0153840000000001E-2</v>
      </c>
      <c r="H99" s="50">
        <v>0.4125468000000001</v>
      </c>
      <c r="I99" s="50">
        <v>1.1265319999999999E-2</v>
      </c>
      <c r="J99" s="50">
        <v>2.2524000000000002E-2</v>
      </c>
      <c r="K99" s="113">
        <v>141.90120000000002</v>
      </c>
      <c r="L99" s="116">
        <v>4080</v>
      </c>
      <c r="M99" s="50">
        <v>17.748000000000001</v>
      </c>
      <c r="N99" s="50">
        <v>21.093600000000002</v>
      </c>
      <c r="O99" s="116">
        <v>185.15040000000005</v>
      </c>
      <c r="P99" s="50">
        <v>0.81600000000000006</v>
      </c>
      <c r="Q99" s="50">
        <v>2.04</v>
      </c>
      <c r="R99" s="116">
        <v>12852</v>
      </c>
      <c r="S99" s="58">
        <v>1.7777777777777777</v>
      </c>
      <c r="T99" s="119">
        <v>15.555555555555555</v>
      </c>
      <c r="U99" s="58">
        <v>0.66666666666666663</v>
      </c>
      <c r="V99" s="58">
        <v>6.8888888888888893</v>
      </c>
      <c r="W99" s="58">
        <v>0.55555555555555558</v>
      </c>
      <c r="X99" s="58">
        <v>0.88888888888888884</v>
      </c>
      <c r="Y99" s="122">
        <v>5600</v>
      </c>
    </row>
    <row r="100" spans="1:25" x14ac:dyDescent="0.2">
      <c r="A100" s="47" t="s">
        <v>495</v>
      </c>
      <c r="B100" s="48" t="s">
        <v>241</v>
      </c>
      <c r="C100" s="51" t="s">
        <v>496</v>
      </c>
      <c r="D100" s="47" t="s">
        <v>243</v>
      </c>
      <c r="E100" s="838">
        <v>69.900000000000006</v>
      </c>
      <c r="F100" s="49">
        <v>0.28551960000000004</v>
      </c>
      <c r="G100" s="49">
        <v>1.2306408000000002</v>
      </c>
      <c r="H100" s="49">
        <v>2.1860772000000002</v>
      </c>
      <c r="I100" s="49">
        <v>4.5445200000000007E-3</v>
      </c>
      <c r="J100" s="49">
        <v>3.4950000000000002E-2</v>
      </c>
      <c r="K100" s="125">
        <v>220.185</v>
      </c>
      <c r="L100" s="116"/>
      <c r="M100" s="50"/>
      <c r="N100" s="50"/>
      <c r="O100" s="116"/>
      <c r="P100" s="50"/>
      <c r="Q100" s="50"/>
      <c r="R100" s="116"/>
      <c r="S100" s="57"/>
      <c r="T100" s="120"/>
      <c r="U100" s="57"/>
      <c r="V100" s="57"/>
      <c r="W100" s="57"/>
      <c r="X100" s="57"/>
      <c r="Y100" s="123"/>
    </row>
    <row r="101" spans="1:25" x14ac:dyDescent="0.2">
      <c r="A101" s="47" t="s">
        <v>497</v>
      </c>
      <c r="B101" s="48" t="s">
        <v>241</v>
      </c>
      <c r="C101" s="47" t="s">
        <v>498</v>
      </c>
      <c r="D101" s="47" t="s">
        <v>243</v>
      </c>
      <c r="E101" s="838">
        <v>60.443999999999996</v>
      </c>
      <c r="F101" s="49">
        <v>0.25393199999999999</v>
      </c>
      <c r="G101" s="49">
        <v>1.6257048000000001</v>
      </c>
      <c r="H101" s="49">
        <v>2.4922104000000003</v>
      </c>
      <c r="I101" s="49">
        <v>3.9098520000000001E-3</v>
      </c>
      <c r="J101" s="49">
        <v>3.0221999999999999E-2</v>
      </c>
      <c r="K101" s="125">
        <v>190.39859999999999</v>
      </c>
      <c r="L101" s="116"/>
      <c r="M101" s="50"/>
      <c r="N101" s="50"/>
      <c r="O101" s="116"/>
      <c r="P101" s="50"/>
      <c r="Q101" s="50"/>
      <c r="R101" s="116"/>
      <c r="S101" s="57"/>
      <c r="T101" s="120"/>
      <c r="U101" s="57"/>
      <c r="V101" s="57"/>
      <c r="W101" s="57"/>
      <c r="X101" s="57"/>
      <c r="Y101" s="123"/>
    </row>
    <row r="102" spans="1:25" x14ac:dyDescent="0.2">
      <c r="A102" s="47" t="s">
        <v>499</v>
      </c>
      <c r="B102" s="48" t="s">
        <v>457</v>
      </c>
      <c r="C102" s="47" t="s">
        <v>500</v>
      </c>
      <c r="D102" s="47" t="s">
        <v>501</v>
      </c>
      <c r="E102" s="116">
        <v>1703.682</v>
      </c>
      <c r="F102" s="50">
        <v>37.595109599999994</v>
      </c>
      <c r="G102" s="50">
        <v>0.19262879999999999</v>
      </c>
      <c r="H102" s="50">
        <v>2.2245233399999997</v>
      </c>
      <c r="I102" s="50">
        <v>7.6906709770974302E-2</v>
      </c>
      <c r="J102" s="50">
        <v>0.85184099999999996</v>
      </c>
      <c r="K102" s="113">
        <v>5366.5982999999997</v>
      </c>
      <c r="L102" s="116">
        <v>38339.999999999993</v>
      </c>
      <c r="M102" s="50">
        <v>187.86600000000001</v>
      </c>
      <c r="N102" s="50">
        <v>63.64439999999999</v>
      </c>
      <c r="O102" s="116">
        <v>779.06880000000001</v>
      </c>
      <c r="P102" s="50">
        <v>2.9516720531940774</v>
      </c>
      <c r="Q102" s="50">
        <v>19.169999999999995</v>
      </c>
      <c r="R102" s="116">
        <v>120770.99999999997</v>
      </c>
      <c r="S102" s="58">
        <v>4</v>
      </c>
      <c r="T102" s="119">
        <v>32</v>
      </c>
      <c r="U102" s="58">
        <v>2.1333333333333333</v>
      </c>
      <c r="V102" s="58">
        <v>2.8</v>
      </c>
      <c r="W102" s="58">
        <v>0.53333333333333333</v>
      </c>
      <c r="X102" s="58">
        <v>2</v>
      </c>
      <c r="Y102" s="122">
        <v>12600</v>
      </c>
    </row>
    <row r="103" spans="1:25" x14ac:dyDescent="0.2">
      <c r="A103" s="47" t="s">
        <v>502</v>
      </c>
      <c r="B103" s="48" t="s">
        <v>248</v>
      </c>
      <c r="C103" s="47" t="s">
        <v>503</v>
      </c>
      <c r="D103" s="47" t="s">
        <v>504</v>
      </c>
      <c r="E103" s="116">
        <v>599.52</v>
      </c>
      <c r="F103" s="50">
        <v>7.5306539999999993</v>
      </c>
      <c r="G103" s="50">
        <v>0</v>
      </c>
      <c r="H103" s="50">
        <v>1.1108529599999999</v>
      </c>
      <c r="I103" s="50">
        <v>3.2075142424603596E-2</v>
      </c>
      <c r="J103" s="50">
        <v>0.29975999999999997</v>
      </c>
      <c r="K103" s="113">
        <v>1888.4880000000001</v>
      </c>
      <c r="L103" s="116">
        <v>16128</v>
      </c>
      <c r="M103" s="50">
        <v>67.092479999999995</v>
      </c>
      <c r="N103" s="50">
        <v>0</v>
      </c>
      <c r="O103" s="116">
        <v>277.24032</v>
      </c>
      <c r="P103" s="50">
        <v>0.78962687999999992</v>
      </c>
      <c r="Q103" s="50">
        <v>8.0640000000000001</v>
      </c>
      <c r="R103" s="116">
        <v>50803.199999999997</v>
      </c>
      <c r="S103" s="58">
        <v>1.7777777777777777</v>
      </c>
      <c r="T103" s="119">
        <v>15.555555555555555</v>
      </c>
      <c r="U103" s="58">
        <v>0.66666666666666663</v>
      </c>
      <c r="V103" s="58">
        <v>6.8888888888888893</v>
      </c>
      <c r="W103" s="58">
        <v>0.55555555555555558</v>
      </c>
      <c r="X103" s="58">
        <v>0.88888888888888884</v>
      </c>
      <c r="Y103" s="122">
        <v>5600</v>
      </c>
    </row>
    <row r="104" spans="1:25" x14ac:dyDescent="0.2">
      <c r="A104" s="47" t="s">
        <v>505</v>
      </c>
      <c r="B104" s="48" t="s">
        <v>248</v>
      </c>
      <c r="C104" s="47" t="s">
        <v>506</v>
      </c>
      <c r="D104" s="47" t="s">
        <v>507</v>
      </c>
      <c r="E104" s="116">
        <v>489.25200000000001</v>
      </c>
      <c r="F104" s="50">
        <v>8.9596739999999997</v>
      </c>
      <c r="G104" s="50">
        <v>2.4104772E-2</v>
      </c>
      <c r="H104" s="50">
        <v>0.75545556000000014</v>
      </c>
      <c r="I104" s="50">
        <v>6.1702410875750402E-2</v>
      </c>
      <c r="J104" s="50">
        <v>0.24462600000000001</v>
      </c>
      <c r="K104" s="113">
        <v>1541.1438000000001</v>
      </c>
      <c r="L104" s="116">
        <v>15360</v>
      </c>
      <c r="M104" s="50">
        <v>72.192000000000007</v>
      </c>
      <c r="N104" s="50">
        <v>1.6128</v>
      </c>
      <c r="O104" s="116">
        <v>190.9248</v>
      </c>
      <c r="P104" s="50">
        <v>2.503538863739811</v>
      </c>
      <c r="Q104" s="50">
        <v>7.68</v>
      </c>
      <c r="R104" s="116">
        <v>48384</v>
      </c>
      <c r="S104" s="58">
        <v>1.7777777777777777</v>
      </c>
      <c r="T104" s="119">
        <v>15.555555555555555</v>
      </c>
      <c r="U104" s="58">
        <v>0.66666666666666663</v>
      </c>
      <c r="V104" s="58">
        <v>6.8888888888888893</v>
      </c>
      <c r="W104" s="58">
        <v>0.55555555555555558</v>
      </c>
      <c r="X104" s="58">
        <v>0.88888888888888884</v>
      </c>
      <c r="Y104" s="122">
        <v>5600</v>
      </c>
    </row>
    <row r="105" spans="1:25" x14ac:dyDescent="0.2">
      <c r="A105" s="47" t="s">
        <v>508</v>
      </c>
      <c r="B105" s="48" t="s">
        <v>284</v>
      </c>
      <c r="C105" s="47" t="s">
        <v>509</v>
      </c>
      <c r="D105" s="47" t="s">
        <v>299</v>
      </c>
      <c r="E105" s="116">
        <v>47.760000000000005</v>
      </c>
      <c r="F105" s="50">
        <v>0.29074800000000001</v>
      </c>
      <c r="G105" s="50">
        <v>7.6230000000000006E-2</v>
      </c>
      <c r="H105" s="50">
        <v>0.59339399999999998</v>
      </c>
      <c r="I105" s="50">
        <v>3.4933200000000003E-3</v>
      </c>
      <c r="J105" s="50">
        <v>2.3880000000000002E-2</v>
      </c>
      <c r="K105" s="113">
        <v>150.44400000000002</v>
      </c>
      <c r="L105" s="116">
        <v>1799.9999999999998</v>
      </c>
      <c r="M105" s="50">
        <v>5.58</v>
      </c>
      <c r="N105" s="50">
        <v>31.68</v>
      </c>
      <c r="O105" s="116">
        <v>102.24</v>
      </c>
      <c r="P105" s="50">
        <v>0.36</v>
      </c>
      <c r="Q105" s="50">
        <v>0.89999999999999991</v>
      </c>
      <c r="R105" s="116">
        <v>5669.9999999999991</v>
      </c>
      <c r="S105" s="57"/>
      <c r="T105" s="120"/>
      <c r="U105" s="57"/>
      <c r="V105" s="57"/>
      <c r="W105" s="57"/>
      <c r="X105" s="57"/>
      <c r="Y105" s="123"/>
    </row>
    <row r="106" spans="1:25" x14ac:dyDescent="0.2">
      <c r="A106" s="47" t="s">
        <v>510</v>
      </c>
      <c r="B106" s="48" t="s">
        <v>309</v>
      </c>
      <c r="C106" s="47" t="s">
        <v>511</v>
      </c>
      <c r="D106" s="47" t="s">
        <v>299</v>
      </c>
      <c r="E106" s="116">
        <v>47.760000000000005</v>
      </c>
      <c r="F106" s="50">
        <v>0.29074800000000001</v>
      </c>
      <c r="G106" s="50">
        <v>7.6230000000000006E-2</v>
      </c>
      <c r="H106" s="50">
        <v>0.59339399999999998</v>
      </c>
      <c r="I106" s="50">
        <v>3.4933200000000003E-3</v>
      </c>
      <c r="J106" s="50">
        <v>2.3880000000000002E-2</v>
      </c>
      <c r="K106" s="113">
        <v>150.44400000000002</v>
      </c>
      <c r="L106" s="116">
        <v>1799.9999999999998</v>
      </c>
      <c r="M106" s="50">
        <v>5.58</v>
      </c>
      <c r="N106" s="50">
        <v>31.68</v>
      </c>
      <c r="O106" s="116">
        <v>102.24</v>
      </c>
      <c r="P106" s="50">
        <v>0.36</v>
      </c>
      <c r="Q106" s="50">
        <v>0.89999999999999991</v>
      </c>
      <c r="R106" s="116">
        <v>5669.9999999999991</v>
      </c>
      <c r="S106" s="57"/>
      <c r="T106" s="120"/>
      <c r="U106" s="57"/>
      <c r="V106" s="57"/>
      <c r="W106" s="57"/>
      <c r="X106" s="57"/>
      <c r="Y106" s="123"/>
    </row>
    <row r="107" spans="1:25" x14ac:dyDescent="0.2">
      <c r="A107" s="47" t="s">
        <v>512</v>
      </c>
      <c r="B107" s="48" t="s">
        <v>309</v>
      </c>
      <c r="C107" s="47" t="s">
        <v>513</v>
      </c>
      <c r="D107" s="47" t="s">
        <v>299</v>
      </c>
      <c r="E107" s="116">
        <v>47.760000000000005</v>
      </c>
      <c r="F107" s="50">
        <v>0.29074800000000001</v>
      </c>
      <c r="G107" s="50">
        <v>7.6230000000000006E-2</v>
      </c>
      <c r="H107" s="50">
        <v>0.59339399999999998</v>
      </c>
      <c r="I107" s="50">
        <v>3.4933200000000003E-3</v>
      </c>
      <c r="J107" s="50">
        <v>2.3880000000000002E-2</v>
      </c>
      <c r="K107" s="113">
        <v>150.44400000000002</v>
      </c>
      <c r="L107" s="116">
        <v>1799.9999999999998</v>
      </c>
      <c r="M107" s="50">
        <v>5.58</v>
      </c>
      <c r="N107" s="50">
        <v>31.68</v>
      </c>
      <c r="O107" s="116">
        <v>102.24</v>
      </c>
      <c r="P107" s="50">
        <v>0.36</v>
      </c>
      <c r="Q107" s="50">
        <v>0.89999999999999991</v>
      </c>
      <c r="R107" s="116">
        <v>5669.9999999999991</v>
      </c>
      <c r="S107" s="57"/>
      <c r="T107" s="120"/>
      <c r="U107" s="57"/>
      <c r="V107" s="57"/>
      <c r="W107" s="57"/>
      <c r="X107" s="57"/>
      <c r="Y107" s="123"/>
    </row>
    <row r="108" spans="1:25" x14ac:dyDescent="0.2">
      <c r="A108" s="47" t="s">
        <v>514</v>
      </c>
      <c r="B108" s="48" t="s">
        <v>309</v>
      </c>
      <c r="C108" s="47" t="s">
        <v>515</v>
      </c>
      <c r="D108" s="47" t="s">
        <v>299</v>
      </c>
      <c r="E108" s="116">
        <v>47.760000000000005</v>
      </c>
      <c r="F108" s="50">
        <v>0.29074800000000001</v>
      </c>
      <c r="G108" s="50">
        <v>7.6230000000000006E-2</v>
      </c>
      <c r="H108" s="50">
        <v>0.59339399999999998</v>
      </c>
      <c r="I108" s="50">
        <v>3.4933200000000003E-3</v>
      </c>
      <c r="J108" s="50">
        <v>2.3880000000000002E-2</v>
      </c>
      <c r="K108" s="113">
        <v>150.44400000000002</v>
      </c>
      <c r="L108" s="116">
        <v>1799.9999999999998</v>
      </c>
      <c r="M108" s="50">
        <v>5.58</v>
      </c>
      <c r="N108" s="50">
        <v>31.68</v>
      </c>
      <c r="O108" s="116">
        <v>102.24</v>
      </c>
      <c r="P108" s="50">
        <v>0.36</v>
      </c>
      <c r="Q108" s="50">
        <v>0.89999999999999991</v>
      </c>
      <c r="R108" s="116">
        <v>5669.9999999999991</v>
      </c>
      <c r="S108" s="57"/>
      <c r="T108" s="120"/>
      <c r="U108" s="57"/>
      <c r="V108" s="57"/>
      <c r="W108" s="57"/>
      <c r="X108" s="57"/>
      <c r="Y108" s="123"/>
    </row>
    <row r="109" spans="1:25" x14ac:dyDescent="0.2">
      <c r="A109" s="47" t="s">
        <v>516</v>
      </c>
      <c r="B109" s="48" t="s">
        <v>284</v>
      </c>
      <c r="C109" s="47" t="s">
        <v>517</v>
      </c>
      <c r="D109" s="47" t="s">
        <v>305</v>
      </c>
      <c r="E109" s="116">
        <v>45.515999999999998</v>
      </c>
      <c r="F109" s="50">
        <v>0.305871</v>
      </c>
      <c r="G109" s="50">
        <v>3.2183999999999997E-2</v>
      </c>
      <c r="H109" s="50">
        <v>0.25396740000000001</v>
      </c>
      <c r="I109" s="50">
        <v>3.2235720000000001E-3</v>
      </c>
      <c r="J109" s="50">
        <v>2.2758E-2</v>
      </c>
      <c r="K109" s="113">
        <v>143.37539999999998</v>
      </c>
      <c r="L109" s="116">
        <v>2159.9999999999995</v>
      </c>
      <c r="M109" s="50">
        <v>6.9119999999999999</v>
      </c>
      <c r="N109" s="50">
        <v>32.183999999999997</v>
      </c>
      <c r="O109" s="116">
        <v>83.591999999999999</v>
      </c>
      <c r="P109" s="50">
        <v>0.432</v>
      </c>
      <c r="Q109" s="50">
        <v>1.0799999999999998</v>
      </c>
      <c r="R109" s="116">
        <v>6803.9999999999982</v>
      </c>
      <c r="S109" s="57"/>
      <c r="T109" s="120"/>
      <c r="U109" s="57"/>
      <c r="V109" s="57"/>
      <c r="W109" s="57"/>
      <c r="X109" s="57"/>
      <c r="Y109" s="123"/>
    </row>
    <row r="110" spans="1:25" x14ac:dyDescent="0.2">
      <c r="A110" s="47" t="s">
        <v>518</v>
      </c>
      <c r="B110" s="48" t="s">
        <v>358</v>
      </c>
      <c r="C110" s="47" t="s">
        <v>519</v>
      </c>
      <c r="D110" s="47" t="s">
        <v>363</v>
      </c>
      <c r="E110" s="116">
        <v>7.5546000000000006</v>
      </c>
      <c r="F110" s="50">
        <v>3.0355800000000002E-2</v>
      </c>
      <c r="G110" s="50">
        <v>0.11660154</v>
      </c>
      <c r="H110" s="50">
        <v>6.9777419999999992</v>
      </c>
      <c r="I110" s="50">
        <v>1.6265660000000002E-4</v>
      </c>
      <c r="J110" s="50">
        <v>3.7773000000000004E-3</v>
      </c>
      <c r="K110" s="113">
        <v>23.721444000000002</v>
      </c>
      <c r="L110" s="116">
        <v>150</v>
      </c>
      <c r="M110" s="50">
        <v>0.15</v>
      </c>
      <c r="N110" s="50">
        <v>6.84</v>
      </c>
      <c r="O110" s="116">
        <v>150</v>
      </c>
      <c r="P110" s="50">
        <v>7.4999999999999997E-3</v>
      </c>
      <c r="Q110" s="50">
        <v>7.4999999999999997E-2</v>
      </c>
      <c r="R110" s="116">
        <v>471</v>
      </c>
      <c r="S110" s="57"/>
      <c r="T110" s="120"/>
      <c r="U110" s="57"/>
      <c r="V110" s="57"/>
      <c r="W110" s="57"/>
      <c r="X110" s="57"/>
      <c r="Y110" s="123"/>
    </row>
    <row r="111" spans="1:25" x14ac:dyDescent="0.2">
      <c r="A111" s="47" t="s">
        <v>520</v>
      </c>
      <c r="B111" s="48" t="s">
        <v>368</v>
      </c>
      <c r="C111" s="47" t="s">
        <v>521</v>
      </c>
      <c r="D111" s="47" t="s">
        <v>522</v>
      </c>
      <c r="E111" s="116">
        <v>13.816799999999999</v>
      </c>
      <c r="F111" s="50">
        <v>5.5260768000000016E-2</v>
      </c>
      <c r="G111" s="50">
        <v>0.16310133599999999</v>
      </c>
      <c r="H111" s="50">
        <v>13.476717600000001</v>
      </c>
      <c r="I111" s="50">
        <v>3.072172E-4</v>
      </c>
      <c r="J111" s="50">
        <v>6.9083999999999994E-3</v>
      </c>
      <c r="K111" s="113">
        <v>43.384751999999992</v>
      </c>
      <c r="L111" s="116">
        <v>168</v>
      </c>
      <c r="M111" s="50">
        <v>0.32087999999999994</v>
      </c>
      <c r="N111" s="50">
        <v>23.227679999999999</v>
      </c>
      <c r="O111" s="116">
        <v>99.48960000000001</v>
      </c>
      <c r="P111" s="50">
        <v>8.4000000000000012E-3</v>
      </c>
      <c r="Q111" s="50">
        <v>8.4000000000000005E-2</v>
      </c>
      <c r="R111" s="116">
        <v>527.52</v>
      </c>
      <c r="S111" s="57"/>
      <c r="T111" s="120"/>
      <c r="U111" s="57"/>
      <c r="V111" s="57"/>
      <c r="W111" s="57"/>
      <c r="X111" s="57"/>
      <c r="Y111" s="123"/>
    </row>
    <row r="112" spans="1:25" x14ac:dyDescent="0.2">
      <c r="A112" s="47" t="s">
        <v>523</v>
      </c>
      <c r="B112" s="48" t="s">
        <v>309</v>
      </c>
      <c r="C112" s="47" t="s">
        <v>304</v>
      </c>
      <c r="D112" s="47" t="s">
        <v>305</v>
      </c>
      <c r="E112" s="116">
        <v>45.515999999999998</v>
      </c>
      <c r="F112" s="50">
        <v>0.305871</v>
      </c>
      <c r="G112" s="50">
        <v>3.2183999999999997E-2</v>
      </c>
      <c r="H112" s="50">
        <v>0.25396740000000001</v>
      </c>
      <c r="I112" s="50">
        <v>3.2235720000000001E-3</v>
      </c>
      <c r="J112" s="50">
        <v>2.2758E-2</v>
      </c>
      <c r="K112" s="113">
        <v>143.37539999999998</v>
      </c>
      <c r="L112" s="116">
        <v>2159.9999999999995</v>
      </c>
      <c r="M112" s="50">
        <v>6.9119999999999999</v>
      </c>
      <c r="N112" s="50">
        <v>32.183999999999997</v>
      </c>
      <c r="O112" s="116">
        <v>83.591999999999999</v>
      </c>
      <c r="P112" s="50">
        <v>0.432</v>
      </c>
      <c r="Q112" s="50">
        <v>1.0799999999999998</v>
      </c>
      <c r="R112" s="116">
        <v>6803.9999999999982</v>
      </c>
      <c r="S112" s="57"/>
      <c r="T112" s="120"/>
      <c r="U112" s="57"/>
      <c r="V112" s="57"/>
      <c r="W112" s="57"/>
      <c r="X112" s="57"/>
      <c r="Y112" s="123"/>
    </row>
    <row r="113" spans="1:25" x14ac:dyDescent="0.2">
      <c r="A113" s="47" t="s">
        <v>524</v>
      </c>
      <c r="B113" s="48" t="s">
        <v>284</v>
      </c>
      <c r="C113" s="47" t="s">
        <v>525</v>
      </c>
      <c r="D113" s="47" t="s">
        <v>366</v>
      </c>
      <c r="E113" s="116">
        <v>26.472000000000001</v>
      </c>
      <c r="F113" s="50">
        <v>0.10514399999999999</v>
      </c>
      <c r="G113" s="50">
        <v>0.55165200000000003</v>
      </c>
      <c r="H113" s="50">
        <v>0.59229600000000004</v>
      </c>
      <c r="I113" s="50">
        <v>1.90452E-3</v>
      </c>
      <c r="J113" s="50">
        <v>1.3236000000000001E-2</v>
      </c>
      <c r="K113" s="113">
        <v>83.386800000000008</v>
      </c>
      <c r="L113" s="116">
        <v>1512</v>
      </c>
      <c r="M113" s="50">
        <v>3.024</v>
      </c>
      <c r="N113" s="50">
        <v>152.71199999999999</v>
      </c>
      <c r="O113" s="116">
        <v>102.816</v>
      </c>
      <c r="P113" s="50">
        <v>0.3024</v>
      </c>
      <c r="Q113" s="50">
        <v>0.75600000000000001</v>
      </c>
      <c r="R113" s="116">
        <v>4762.8</v>
      </c>
      <c r="S113" s="57"/>
      <c r="T113" s="120"/>
      <c r="U113" s="57"/>
      <c r="V113" s="57"/>
      <c r="W113" s="57"/>
      <c r="X113" s="57"/>
      <c r="Y113" s="123"/>
    </row>
    <row r="114" spans="1:25" x14ac:dyDescent="0.2">
      <c r="A114" s="47" t="s">
        <v>526</v>
      </c>
      <c r="B114" s="48" t="s">
        <v>267</v>
      </c>
      <c r="C114" s="47" t="s">
        <v>290</v>
      </c>
      <c r="D114" s="47" t="s">
        <v>291</v>
      </c>
      <c r="E114" s="116">
        <v>331.2912</v>
      </c>
      <c r="F114" s="50">
        <v>3.4520351039999997</v>
      </c>
      <c r="G114" s="50">
        <v>6.5956511999999995E-2</v>
      </c>
      <c r="H114" s="50">
        <v>0.93079031999999984</v>
      </c>
      <c r="I114" s="50">
        <v>1.51780967378102E-2</v>
      </c>
      <c r="J114" s="50">
        <v>0.1656456</v>
      </c>
      <c r="K114" s="113">
        <v>1043.56728</v>
      </c>
      <c r="L114" s="116">
        <v>10872</v>
      </c>
      <c r="M114" s="50">
        <v>35.660159999999998</v>
      </c>
      <c r="N114" s="50">
        <v>51.315839999999994</v>
      </c>
      <c r="O114" s="116">
        <v>411.28775999999999</v>
      </c>
      <c r="P114" s="50">
        <v>1.516884017968354</v>
      </c>
      <c r="Q114" s="50">
        <v>5.4359999999999999</v>
      </c>
      <c r="R114" s="116">
        <v>34246.800000000003</v>
      </c>
      <c r="S114" s="58">
        <v>1.7777777777777777</v>
      </c>
      <c r="T114" s="119">
        <v>15.555555555555555</v>
      </c>
      <c r="U114" s="58">
        <v>0.66666666666666663</v>
      </c>
      <c r="V114" s="58">
        <v>6.8888888888888893</v>
      </c>
      <c r="W114" s="58">
        <v>0.55555555555555558</v>
      </c>
      <c r="X114" s="58">
        <v>0.88888888888888884</v>
      </c>
      <c r="Y114" s="122">
        <v>5600</v>
      </c>
    </row>
    <row r="115" spans="1:25" x14ac:dyDescent="0.2">
      <c r="A115" s="47" t="s">
        <v>527</v>
      </c>
      <c r="B115" s="48" t="s">
        <v>312</v>
      </c>
      <c r="C115" s="47" t="s">
        <v>528</v>
      </c>
      <c r="D115" s="47" t="s">
        <v>529</v>
      </c>
      <c r="E115" s="838">
        <v>7.6079999999999997</v>
      </c>
      <c r="F115" s="49">
        <v>1.4277E-2</v>
      </c>
      <c r="G115" s="49">
        <v>0.12996630000000001</v>
      </c>
      <c r="H115" s="49">
        <v>7.6079999999999997</v>
      </c>
      <c r="I115" s="49">
        <v>1.3912860000000002E-4</v>
      </c>
      <c r="J115" s="49">
        <v>3.8039999999999997E-3</v>
      </c>
      <c r="K115" s="125">
        <v>23.889119999999998</v>
      </c>
      <c r="L115" s="116"/>
      <c r="M115" s="50"/>
      <c r="N115" s="50"/>
      <c r="O115" s="116"/>
      <c r="P115" s="50"/>
      <c r="Q115" s="50"/>
      <c r="R115" s="116"/>
      <c r="S115" s="57"/>
      <c r="T115" s="120"/>
      <c r="U115" s="57"/>
      <c r="V115" s="57"/>
      <c r="W115" s="57"/>
      <c r="X115" s="57"/>
      <c r="Y115" s="123"/>
    </row>
    <row r="116" spans="1:25" x14ac:dyDescent="0.2">
      <c r="A116" s="47" t="s">
        <v>530</v>
      </c>
      <c r="B116" s="48" t="s">
        <v>241</v>
      </c>
      <c r="C116" s="47" t="s">
        <v>531</v>
      </c>
      <c r="D116" s="47" t="s">
        <v>388</v>
      </c>
      <c r="E116" s="838">
        <v>161.31</v>
      </c>
      <c r="F116" s="49">
        <v>0.81097140000000001</v>
      </c>
      <c r="G116" s="49">
        <v>0.1076148</v>
      </c>
      <c r="H116" s="49">
        <v>1.0661532</v>
      </c>
      <c r="I116" s="49">
        <v>9.7044920000000021E-3</v>
      </c>
      <c r="J116" s="49">
        <v>8.0655000000000004E-2</v>
      </c>
      <c r="K116" s="125">
        <v>508.12649999999996</v>
      </c>
      <c r="L116" s="116"/>
      <c r="M116" s="50"/>
      <c r="N116" s="50"/>
      <c r="O116" s="116"/>
      <c r="P116" s="50"/>
      <c r="Q116" s="50"/>
      <c r="R116" s="116"/>
      <c r="S116" s="57"/>
      <c r="T116" s="120"/>
      <c r="U116" s="57"/>
      <c r="V116" s="57"/>
      <c r="W116" s="57"/>
      <c r="X116" s="57"/>
      <c r="Y116" s="123"/>
    </row>
    <row r="117" spans="1:25" x14ac:dyDescent="0.2">
      <c r="A117" s="47" t="s">
        <v>532</v>
      </c>
      <c r="B117" s="48" t="s">
        <v>241</v>
      </c>
      <c r="C117" s="47" t="s">
        <v>533</v>
      </c>
      <c r="D117" s="47" t="s">
        <v>246</v>
      </c>
      <c r="E117" s="838">
        <v>114.66</v>
      </c>
      <c r="F117" s="49">
        <v>0.84681479999999998</v>
      </c>
      <c r="G117" s="49">
        <v>1.0201151999999998</v>
      </c>
      <c r="H117" s="49">
        <v>1.3058837999999999</v>
      </c>
      <c r="I117" s="49">
        <v>7.3825200000000001E-3</v>
      </c>
      <c r="J117" s="49">
        <v>5.7329999999999999E-2</v>
      </c>
      <c r="K117" s="125">
        <v>361.17899999999997</v>
      </c>
      <c r="L117" s="116"/>
      <c r="M117" s="50"/>
      <c r="N117" s="50"/>
      <c r="O117" s="116"/>
      <c r="P117" s="50"/>
      <c r="Q117" s="50"/>
      <c r="R117" s="116"/>
      <c r="S117" s="57"/>
      <c r="T117" s="120"/>
      <c r="U117" s="57"/>
      <c r="V117" s="57"/>
      <c r="W117" s="57"/>
      <c r="X117" s="57"/>
      <c r="Y117" s="123"/>
    </row>
    <row r="118" spans="1:25" x14ac:dyDescent="0.2">
      <c r="A118" s="47" t="s">
        <v>534</v>
      </c>
      <c r="B118" s="48" t="s">
        <v>284</v>
      </c>
      <c r="C118" s="47" t="s">
        <v>535</v>
      </c>
      <c r="D118" s="47" t="s">
        <v>347</v>
      </c>
      <c r="E118" s="116">
        <v>141.49200000000002</v>
      </c>
      <c r="F118" s="50">
        <v>1.3142007960000002</v>
      </c>
      <c r="G118" s="50">
        <v>1.3892364000000001E-2</v>
      </c>
      <c r="H118" s="50">
        <v>0.54657367199999995</v>
      </c>
      <c r="I118" s="50">
        <v>1.0564971999999999E-2</v>
      </c>
      <c r="J118" s="50">
        <v>7.0746000000000003E-2</v>
      </c>
      <c r="K118" s="113">
        <v>445.69980000000004</v>
      </c>
      <c r="L118" s="116">
        <v>6252</v>
      </c>
      <c r="M118" s="50">
        <v>15.073572</v>
      </c>
      <c r="N118" s="50">
        <v>7.108524000000001</v>
      </c>
      <c r="O118" s="116">
        <v>107.89701599999999</v>
      </c>
      <c r="P118" s="50">
        <v>1.2504</v>
      </c>
      <c r="Q118" s="50">
        <v>3.1259999999999999</v>
      </c>
      <c r="R118" s="116">
        <v>19693.8</v>
      </c>
      <c r="S118" s="57"/>
      <c r="T118" s="120"/>
      <c r="U118" s="57"/>
      <c r="V118" s="57"/>
      <c r="W118" s="57"/>
      <c r="X118" s="57"/>
      <c r="Y118" s="123"/>
    </row>
    <row r="119" spans="1:25" x14ac:dyDescent="0.2">
      <c r="A119" s="47" t="s">
        <v>536</v>
      </c>
      <c r="B119" s="48" t="s">
        <v>284</v>
      </c>
      <c r="C119" s="47" t="s">
        <v>537</v>
      </c>
      <c r="D119" s="47" t="s">
        <v>356</v>
      </c>
      <c r="E119" s="116">
        <v>62.183999999999997</v>
      </c>
      <c r="F119" s="50">
        <v>0.66753300000000004</v>
      </c>
      <c r="G119" s="50">
        <v>0.1075266</v>
      </c>
      <c r="H119" s="50">
        <v>0.75402402000000002</v>
      </c>
      <c r="I119" s="50">
        <v>4.5719719999999997E-3</v>
      </c>
      <c r="J119" s="50">
        <v>3.1091999999999998E-2</v>
      </c>
      <c r="K119" s="113">
        <v>195.87960000000001</v>
      </c>
      <c r="L119" s="116">
        <v>3096</v>
      </c>
      <c r="M119" s="50">
        <v>8.8545599999999993</v>
      </c>
      <c r="N119" s="50">
        <v>14.334479999999999</v>
      </c>
      <c r="O119" s="116">
        <v>149.38200000000001</v>
      </c>
      <c r="P119" s="50">
        <v>0.61920000000000008</v>
      </c>
      <c r="Q119" s="50">
        <v>1.548</v>
      </c>
      <c r="R119" s="116">
        <v>9752.4</v>
      </c>
      <c r="S119" s="57"/>
      <c r="T119" s="120"/>
      <c r="U119" s="57"/>
      <c r="V119" s="57"/>
      <c r="W119" s="57"/>
      <c r="X119" s="57"/>
      <c r="Y119" s="123"/>
    </row>
    <row r="120" spans="1:25" x14ac:dyDescent="0.2">
      <c r="A120" s="47" t="s">
        <v>538</v>
      </c>
      <c r="B120" s="48" t="s">
        <v>241</v>
      </c>
      <c r="C120" s="47" t="s">
        <v>539</v>
      </c>
      <c r="D120" s="47" t="s">
        <v>388</v>
      </c>
      <c r="E120" s="838">
        <v>161.31</v>
      </c>
      <c r="F120" s="49">
        <v>0.81097140000000001</v>
      </c>
      <c r="G120" s="49">
        <v>0.1076148</v>
      </c>
      <c r="H120" s="49">
        <v>1.0661532</v>
      </c>
      <c r="I120" s="49">
        <v>9.7044920000000021E-3</v>
      </c>
      <c r="J120" s="49">
        <v>8.0655000000000004E-2</v>
      </c>
      <c r="K120" s="125">
        <v>508.12649999999996</v>
      </c>
      <c r="L120" s="116"/>
      <c r="M120" s="50"/>
      <c r="N120" s="50"/>
      <c r="O120" s="116"/>
      <c r="P120" s="50"/>
      <c r="Q120" s="50"/>
      <c r="R120" s="116"/>
      <c r="S120" s="57"/>
      <c r="T120" s="120"/>
      <c r="U120" s="57"/>
      <c r="V120" s="57"/>
      <c r="W120" s="57"/>
      <c r="X120" s="57"/>
      <c r="Y120" s="123"/>
    </row>
    <row r="121" spans="1:25" x14ac:dyDescent="0.2">
      <c r="A121" s="47" t="s">
        <v>540</v>
      </c>
      <c r="B121" s="48" t="s">
        <v>284</v>
      </c>
      <c r="C121" s="47" t="s">
        <v>541</v>
      </c>
      <c r="D121" s="47" t="s">
        <v>305</v>
      </c>
      <c r="E121" s="116">
        <v>45.515999999999998</v>
      </c>
      <c r="F121" s="50">
        <v>0.305871</v>
      </c>
      <c r="G121" s="50">
        <v>3.2183999999999997E-2</v>
      </c>
      <c r="H121" s="50">
        <v>0.25396740000000001</v>
      </c>
      <c r="I121" s="50">
        <v>3.2235720000000001E-3</v>
      </c>
      <c r="J121" s="50">
        <v>2.2758E-2</v>
      </c>
      <c r="K121" s="113">
        <v>143.37539999999998</v>
      </c>
      <c r="L121" s="116">
        <v>2159.9999999999995</v>
      </c>
      <c r="M121" s="50">
        <v>6.9119999999999999</v>
      </c>
      <c r="N121" s="50">
        <v>32.183999999999997</v>
      </c>
      <c r="O121" s="116">
        <v>83.591999999999999</v>
      </c>
      <c r="P121" s="50">
        <v>0.432</v>
      </c>
      <c r="Q121" s="50">
        <v>1.0799999999999998</v>
      </c>
      <c r="R121" s="116">
        <v>6803.9999999999982</v>
      </c>
      <c r="S121" s="57"/>
      <c r="T121" s="120"/>
      <c r="U121" s="57"/>
      <c r="V121" s="57"/>
      <c r="W121" s="57"/>
      <c r="X121" s="57"/>
      <c r="Y121" s="123"/>
    </row>
    <row r="122" spans="1:25" x14ac:dyDescent="0.2">
      <c r="A122" s="47" t="s">
        <v>542</v>
      </c>
      <c r="B122" s="48" t="s">
        <v>284</v>
      </c>
      <c r="C122" s="47" t="s">
        <v>543</v>
      </c>
      <c r="D122" s="47" t="s">
        <v>299</v>
      </c>
      <c r="E122" s="116">
        <v>47.760000000000005</v>
      </c>
      <c r="F122" s="50">
        <v>0.29074800000000001</v>
      </c>
      <c r="G122" s="50">
        <v>7.6230000000000006E-2</v>
      </c>
      <c r="H122" s="50">
        <v>0.59339399999999998</v>
      </c>
      <c r="I122" s="50">
        <v>3.4933200000000003E-3</v>
      </c>
      <c r="J122" s="50">
        <v>2.3880000000000002E-2</v>
      </c>
      <c r="K122" s="113">
        <v>150.44400000000002</v>
      </c>
      <c r="L122" s="116">
        <v>1799.9999999999998</v>
      </c>
      <c r="M122" s="50">
        <v>5.58</v>
      </c>
      <c r="N122" s="50">
        <v>31.68</v>
      </c>
      <c r="O122" s="116">
        <v>102.24</v>
      </c>
      <c r="P122" s="50">
        <v>0.36</v>
      </c>
      <c r="Q122" s="50">
        <v>0.89999999999999991</v>
      </c>
      <c r="R122" s="116">
        <v>5669.9999999999991</v>
      </c>
      <c r="S122" s="57"/>
      <c r="T122" s="120"/>
      <c r="U122" s="57"/>
      <c r="V122" s="57"/>
      <c r="W122" s="57"/>
      <c r="X122" s="57"/>
      <c r="Y122" s="123"/>
    </row>
    <row r="123" spans="1:25" x14ac:dyDescent="0.2">
      <c r="A123" s="47" t="s">
        <v>544</v>
      </c>
      <c r="B123" s="48" t="s">
        <v>241</v>
      </c>
      <c r="C123" s="51" t="s">
        <v>545</v>
      </c>
      <c r="D123" s="47" t="s">
        <v>388</v>
      </c>
      <c r="E123" s="838">
        <v>161.31</v>
      </c>
      <c r="F123" s="49">
        <v>0.81097140000000001</v>
      </c>
      <c r="G123" s="49">
        <v>0.1076148</v>
      </c>
      <c r="H123" s="49">
        <v>1.0661532</v>
      </c>
      <c r="I123" s="49">
        <v>9.7044920000000021E-3</v>
      </c>
      <c r="J123" s="49">
        <v>8.0655000000000004E-2</v>
      </c>
      <c r="K123" s="125">
        <v>508.12649999999996</v>
      </c>
      <c r="L123" s="116"/>
      <c r="M123" s="50"/>
      <c r="N123" s="50"/>
      <c r="O123" s="116"/>
      <c r="P123" s="50"/>
      <c r="Q123" s="50"/>
      <c r="R123" s="116"/>
      <c r="S123" s="58">
        <v>1.7777777777777777</v>
      </c>
      <c r="T123" s="119">
        <v>15.555555555555555</v>
      </c>
      <c r="U123" s="58">
        <v>0.66666666666666663</v>
      </c>
      <c r="V123" s="58">
        <v>6.8888888888888893</v>
      </c>
      <c r="W123" s="58">
        <v>0.55555555555555558</v>
      </c>
      <c r="X123" s="58">
        <v>0.88888888888888884</v>
      </c>
      <c r="Y123" s="122">
        <v>5600</v>
      </c>
    </row>
    <row r="124" spans="1:25" x14ac:dyDescent="0.2">
      <c r="A124" s="47" t="s">
        <v>546</v>
      </c>
      <c r="B124" s="48" t="s">
        <v>248</v>
      </c>
      <c r="C124" s="47" t="s">
        <v>547</v>
      </c>
      <c r="D124" s="47" t="s">
        <v>548</v>
      </c>
      <c r="E124" s="116">
        <v>19.512</v>
      </c>
      <c r="F124" s="50">
        <v>0.16694640000000002</v>
      </c>
      <c r="G124" s="50">
        <v>2.9954400000000003E-3</v>
      </c>
      <c r="H124" s="50">
        <v>0.174648</v>
      </c>
      <c r="I124" s="50">
        <v>3.35288415897578E-3</v>
      </c>
      <c r="J124" s="50">
        <v>9.7560000000000008E-3</v>
      </c>
      <c r="K124" s="113">
        <v>61.462800000000001</v>
      </c>
      <c r="L124" s="116">
        <v>1680</v>
      </c>
      <c r="M124" s="50">
        <v>3.6960000000000006</v>
      </c>
      <c r="N124" s="50">
        <v>2.6040000000000001</v>
      </c>
      <c r="O124" s="116">
        <v>76.44</v>
      </c>
      <c r="P124" s="50">
        <v>0.10144832633568283</v>
      </c>
      <c r="Q124" s="50">
        <v>0.84</v>
      </c>
      <c r="R124" s="116">
        <v>5292</v>
      </c>
      <c r="S124" s="58">
        <v>1.7777777777777777</v>
      </c>
      <c r="T124" s="119">
        <v>15.555555555555555</v>
      </c>
      <c r="U124" s="58">
        <v>0.66666666666666663</v>
      </c>
      <c r="V124" s="58">
        <v>6.8888888888888893</v>
      </c>
      <c r="W124" s="58">
        <v>0.55555555555555558</v>
      </c>
      <c r="X124" s="58">
        <v>0.88888888888888884</v>
      </c>
      <c r="Y124" s="122">
        <v>5600</v>
      </c>
    </row>
    <row r="125" spans="1:25" x14ac:dyDescent="0.2">
      <c r="A125" s="47" t="s">
        <v>549</v>
      </c>
      <c r="B125" s="48" t="s">
        <v>358</v>
      </c>
      <c r="C125" s="47" t="s">
        <v>550</v>
      </c>
      <c r="D125" s="47" t="s">
        <v>360</v>
      </c>
      <c r="E125" s="116">
        <v>5.7407999999999992</v>
      </c>
      <c r="F125" s="50">
        <v>7.7173440000000001E-3</v>
      </c>
      <c r="G125" s="50">
        <v>0.106867608</v>
      </c>
      <c r="H125" s="50">
        <v>7.6066439999999993</v>
      </c>
      <c r="I125" s="50">
        <v>2.1196E-4</v>
      </c>
      <c r="J125" s="50">
        <v>2.8703999999999995E-3</v>
      </c>
      <c r="K125" s="113">
        <v>18.026111999999998</v>
      </c>
      <c r="L125" s="116">
        <v>84</v>
      </c>
      <c r="M125" s="50">
        <v>0.18395999999999998</v>
      </c>
      <c r="N125" s="50">
        <v>4.0580400000000001</v>
      </c>
      <c r="O125" s="116">
        <v>91.959000000000003</v>
      </c>
      <c r="P125" s="50">
        <v>8.4000000000000012E-3</v>
      </c>
      <c r="Q125" s="50">
        <v>4.2000000000000003E-2</v>
      </c>
      <c r="R125" s="116">
        <v>263.76</v>
      </c>
      <c r="S125" s="57"/>
      <c r="T125" s="120"/>
      <c r="U125" s="57"/>
      <c r="V125" s="57"/>
      <c r="W125" s="57"/>
      <c r="X125" s="57"/>
      <c r="Y125" s="123"/>
    </row>
    <row r="126" spans="1:25" x14ac:dyDescent="0.2">
      <c r="A126" s="47" t="s">
        <v>551</v>
      </c>
      <c r="B126" s="48" t="s">
        <v>368</v>
      </c>
      <c r="C126" s="47" t="s">
        <v>552</v>
      </c>
      <c r="D126" s="47" t="s">
        <v>553</v>
      </c>
      <c r="E126" s="116">
        <v>8.7720000000000002</v>
      </c>
      <c r="F126" s="50">
        <v>0.10306127999999999</v>
      </c>
      <c r="G126" s="50">
        <v>0.12662844000000001</v>
      </c>
      <c r="H126" s="50">
        <v>6.8208311999999998</v>
      </c>
      <c r="I126" s="50">
        <v>1.875852E-4</v>
      </c>
      <c r="J126" s="50">
        <v>4.3860000000000001E-3</v>
      </c>
      <c r="K126" s="113">
        <v>27.544080000000001</v>
      </c>
      <c r="L126" s="116">
        <v>156</v>
      </c>
      <c r="M126" s="50">
        <v>0.25583999999999996</v>
      </c>
      <c r="N126" s="50">
        <v>2.4881999999999995</v>
      </c>
      <c r="O126" s="116">
        <v>107.57759999999999</v>
      </c>
      <c r="P126" s="50">
        <v>7.7999999999999996E-3</v>
      </c>
      <c r="Q126" s="50">
        <v>7.8E-2</v>
      </c>
      <c r="R126" s="116">
        <v>489.84</v>
      </c>
      <c r="S126" s="57"/>
      <c r="T126" s="120"/>
      <c r="U126" s="57"/>
      <c r="V126" s="57"/>
      <c r="W126" s="57"/>
      <c r="X126" s="57"/>
      <c r="Y126" s="123"/>
    </row>
    <row r="127" spans="1:25" x14ac:dyDescent="0.2">
      <c r="A127" s="47" t="s">
        <v>554</v>
      </c>
      <c r="B127" s="48" t="s">
        <v>309</v>
      </c>
      <c r="C127" s="47" t="s">
        <v>555</v>
      </c>
      <c r="D127" s="47" t="s">
        <v>299</v>
      </c>
      <c r="E127" s="116">
        <v>47.760000000000005</v>
      </c>
      <c r="F127" s="50">
        <v>0.29074800000000001</v>
      </c>
      <c r="G127" s="50">
        <v>7.6230000000000006E-2</v>
      </c>
      <c r="H127" s="50">
        <v>0.59339399999999998</v>
      </c>
      <c r="I127" s="50">
        <v>3.4933200000000003E-3</v>
      </c>
      <c r="J127" s="50">
        <v>2.3880000000000002E-2</v>
      </c>
      <c r="K127" s="113">
        <v>150.44400000000002</v>
      </c>
      <c r="L127" s="116">
        <v>1799.9999999999998</v>
      </c>
      <c r="M127" s="50">
        <v>5.58</v>
      </c>
      <c r="N127" s="50">
        <v>31.68</v>
      </c>
      <c r="O127" s="116">
        <v>102.24</v>
      </c>
      <c r="P127" s="50">
        <v>0.36</v>
      </c>
      <c r="Q127" s="50">
        <v>0.89999999999999991</v>
      </c>
      <c r="R127" s="116">
        <v>5669.9999999999991</v>
      </c>
      <c r="S127" s="57"/>
      <c r="T127" s="120"/>
      <c r="U127" s="57"/>
      <c r="V127" s="57"/>
      <c r="W127" s="57"/>
      <c r="X127" s="57"/>
      <c r="Y127" s="123"/>
    </row>
    <row r="128" spans="1:25" x14ac:dyDescent="0.2">
      <c r="A128" s="47" t="s">
        <v>556</v>
      </c>
      <c r="B128" s="48" t="s">
        <v>248</v>
      </c>
      <c r="C128" s="47" t="s">
        <v>557</v>
      </c>
      <c r="D128" s="47" t="s">
        <v>558</v>
      </c>
      <c r="E128" s="116">
        <v>826.08000000000015</v>
      </c>
      <c r="F128" s="50">
        <v>21.559473600000004</v>
      </c>
      <c r="G128" s="50">
        <v>2.1962400000000003E-2</v>
      </c>
      <c r="H128" s="50">
        <v>0.89166480000000004</v>
      </c>
      <c r="I128" s="50">
        <v>3.03505445587916E-2</v>
      </c>
      <c r="J128" s="50">
        <v>0.41304000000000007</v>
      </c>
      <c r="K128" s="113">
        <v>2602.1520000000005</v>
      </c>
      <c r="L128" s="116">
        <v>21599.999999999996</v>
      </c>
      <c r="M128" s="50">
        <v>74.736000000000004</v>
      </c>
      <c r="N128" s="50">
        <v>7.9919999999999991</v>
      </c>
      <c r="O128" s="116">
        <v>287.49599999999998</v>
      </c>
      <c r="P128" s="50">
        <v>1.4014460366999641</v>
      </c>
      <c r="Q128" s="50">
        <v>10.799999999999999</v>
      </c>
      <c r="R128" s="116">
        <v>68039.999999999985</v>
      </c>
      <c r="S128" s="58">
        <v>1.7777777777777777</v>
      </c>
      <c r="T128" s="119">
        <v>15.555555555555555</v>
      </c>
      <c r="U128" s="58">
        <v>0.66666666666666663</v>
      </c>
      <c r="V128" s="58">
        <v>6.8888888888888893</v>
      </c>
      <c r="W128" s="58">
        <v>0.55555555555555558</v>
      </c>
      <c r="X128" s="58">
        <v>0.88888888888888884</v>
      </c>
      <c r="Y128" s="122">
        <v>5600</v>
      </c>
    </row>
    <row r="129" spans="1:25" x14ac:dyDescent="0.2">
      <c r="A129" s="47" t="s">
        <v>559</v>
      </c>
      <c r="B129" s="48" t="s">
        <v>457</v>
      </c>
      <c r="C129" s="47" t="s">
        <v>281</v>
      </c>
      <c r="D129" s="47" t="s">
        <v>282</v>
      </c>
      <c r="E129" s="116">
        <v>460.87200000000007</v>
      </c>
      <c r="F129" s="50">
        <v>8.1867599999999996</v>
      </c>
      <c r="G129" s="50">
        <v>9.7200000000000022E-2</v>
      </c>
      <c r="H129" s="50">
        <v>0.9071532000000001</v>
      </c>
      <c r="I129" s="50">
        <v>2.4791995210129564E-2</v>
      </c>
      <c r="J129" s="50">
        <v>0.23043600000000003</v>
      </c>
      <c r="K129" s="113">
        <v>1451.7468000000003</v>
      </c>
      <c r="L129" s="116">
        <v>18000</v>
      </c>
      <c r="M129" s="50">
        <v>99</v>
      </c>
      <c r="N129" s="50">
        <v>97.200000000000017</v>
      </c>
      <c r="O129" s="116">
        <v>372.59999999999997</v>
      </c>
      <c r="P129" s="50">
        <v>2.1345497785211123</v>
      </c>
      <c r="Q129" s="50">
        <v>9</v>
      </c>
      <c r="R129" s="116">
        <v>56700</v>
      </c>
      <c r="S129" s="58">
        <v>1.7777777777777777</v>
      </c>
      <c r="T129" s="119">
        <v>15.555555555555555</v>
      </c>
      <c r="U129" s="58">
        <v>0.66666666666666663</v>
      </c>
      <c r="V129" s="58">
        <v>6.8888888888888893</v>
      </c>
      <c r="W129" s="58">
        <v>0.55555555555555558</v>
      </c>
      <c r="X129" s="58">
        <v>0.88888888888888884</v>
      </c>
      <c r="Y129" s="122">
        <v>5600</v>
      </c>
    </row>
    <row r="130" spans="1:25" x14ac:dyDescent="0.2">
      <c r="A130" s="47"/>
      <c r="B130" s="48"/>
      <c r="C130" s="47"/>
      <c r="D130" s="47"/>
      <c r="E130" s="116"/>
      <c r="F130" s="50"/>
      <c r="G130" s="50"/>
      <c r="H130" s="50"/>
      <c r="I130" s="50"/>
      <c r="J130" s="50"/>
      <c r="K130" s="113"/>
      <c r="L130" s="116"/>
      <c r="M130" s="50"/>
      <c r="N130" s="50"/>
      <c r="O130" s="116"/>
      <c r="P130" s="50"/>
      <c r="Q130" s="50"/>
      <c r="R130" s="116"/>
    </row>
    <row r="131" spans="1:25" x14ac:dyDescent="0.2">
      <c r="A131" s="47" t="s">
        <v>560</v>
      </c>
      <c r="B131" s="48" t="s">
        <v>312</v>
      </c>
      <c r="C131" s="47"/>
      <c r="D131" s="47" t="s">
        <v>561</v>
      </c>
      <c r="E131" s="838">
        <v>13.055999999999999</v>
      </c>
      <c r="F131" s="49">
        <v>2.4521999999999999E-2</v>
      </c>
      <c r="G131" s="49">
        <v>0.18540480000000001</v>
      </c>
      <c r="H131" s="49">
        <v>13.055999999999999</v>
      </c>
      <c r="I131" s="49">
        <v>4.4116000000000001E-4</v>
      </c>
      <c r="J131" s="49">
        <v>6.5279999999999991E-3</v>
      </c>
      <c r="K131" s="125">
        <v>40.995839999999994</v>
      </c>
      <c r="L131" s="116"/>
      <c r="M131" s="50"/>
      <c r="N131" s="50"/>
      <c r="O131" s="116"/>
      <c r="P131" s="50"/>
      <c r="Q131" s="50"/>
      <c r="R131" s="116"/>
      <c r="S131" s="57"/>
      <c r="T131" s="120"/>
      <c r="U131" s="57"/>
      <c r="V131" s="57"/>
      <c r="W131" s="57"/>
      <c r="X131" s="57"/>
      <c r="Y131" s="123"/>
    </row>
    <row r="132" spans="1:25" x14ac:dyDescent="0.2">
      <c r="A132" s="47" t="s">
        <v>562</v>
      </c>
      <c r="B132" s="48" t="s">
        <v>358</v>
      </c>
      <c r="C132" s="47"/>
      <c r="D132" s="47" t="s">
        <v>363</v>
      </c>
      <c r="E132" s="116">
        <v>7.5546000000000006</v>
      </c>
      <c r="F132" s="50">
        <v>3.0355800000000002E-2</v>
      </c>
      <c r="G132" s="50">
        <v>0.11660154</v>
      </c>
      <c r="H132" s="50">
        <v>6.9777419999999992</v>
      </c>
      <c r="I132" s="50">
        <v>1.6265660000000002E-4</v>
      </c>
      <c r="J132" s="50">
        <v>3.7773000000000004E-3</v>
      </c>
      <c r="K132" s="113">
        <v>23.721444000000002</v>
      </c>
      <c r="L132" s="116">
        <v>150</v>
      </c>
      <c r="M132" s="50">
        <v>0.15</v>
      </c>
      <c r="N132" s="50">
        <v>6.84</v>
      </c>
      <c r="O132" s="116">
        <v>150</v>
      </c>
      <c r="P132" s="50">
        <v>7.4999999999999997E-3</v>
      </c>
      <c r="Q132" s="50">
        <v>7.4999999999999997E-2</v>
      </c>
      <c r="R132" s="116">
        <v>471</v>
      </c>
      <c r="S132" s="57"/>
      <c r="T132" s="120"/>
      <c r="U132" s="57"/>
      <c r="V132" s="57"/>
      <c r="W132" s="57"/>
      <c r="X132" s="57"/>
      <c r="Y132" s="123"/>
    </row>
    <row r="133" spans="1:25" x14ac:dyDescent="0.2">
      <c r="A133" s="47" t="s">
        <v>563</v>
      </c>
      <c r="B133" s="48" t="s">
        <v>309</v>
      </c>
      <c r="C133" s="47"/>
      <c r="D133" s="47" t="s">
        <v>296</v>
      </c>
      <c r="E133" s="116">
        <v>18.806999999999999</v>
      </c>
      <c r="F133" s="50">
        <v>0.19980281999999996</v>
      </c>
      <c r="G133" s="50">
        <v>7.3719419999999994E-2</v>
      </c>
      <c r="H133" s="50">
        <v>0.1206738</v>
      </c>
      <c r="I133" s="50">
        <v>1.3167599999999999E-3</v>
      </c>
      <c r="J133" s="50">
        <v>9.4034999999999987E-3</v>
      </c>
      <c r="K133" s="113">
        <v>5.9242049999999997</v>
      </c>
      <c r="L133" s="116">
        <v>846</v>
      </c>
      <c r="M133" s="50">
        <v>2.4195600000000002</v>
      </c>
      <c r="N133" s="50">
        <v>66.927059999999997</v>
      </c>
      <c r="O133" s="116">
        <v>52.028999999999996</v>
      </c>
      <c r="P133" s="50">
        <v>0.16919999999999999</v>
      </c>
      <c r="Q133" s="50">
        <v>0.42299999999999999</v>
      </c>
      <c r="R133" s="116">
        <v>266.49</v>
      </c>
      <c r="S133" s="57"/>
      <c r="T133" s="120"/>
      <c r="U133" s="57"/>
      <c r="V133" s="57"/>
      <c r="W133" s="57"/>
      <c r="X133" s="57"/>
      <c r="Y133" s="123"/>
    </row>
    <row r="134" spans="1:25" x14ac:dyDescent="0.2">
      <c r="A134" s="47" t="s">
        <v>564</v>
      </c>
      <c r="B134" s="48" t="s">
        <v>248</v>
      </c>
      <c r="C134" s="47"/>
      <c r="D134" s="47" t="s">
        <v>385</v>
      </c>
      <c r="E134" s="116">
        <v>27.096000000000004</v>
      </c>
      <c r="F134" s="50">
        <v>0.14287919999999998</v>
      </c>
      <c r="G134" s="50">
        <v>0.182894208</v>
      </c>
      <c r="H134" s="50">
        <v>0.80585951999999994</v>
      </c>
      <c r="I134" s="50">
        <v>6.5485199999999995E-3</v>
      </c>
      <c r="J134" s="50">
        <v>1.3548000000000001E-2</v>
      </c>
      <c r="K134" s="113">
        <v>85.352400000000003</v>
      </c>
      <c r="L134" s="116">
        <v>2760</v>
      </c>
      <c r="M134" s="50">
        <v>4.8355199999999998</v>
      </c>
      <c r="N134" s="113">
        <v>139.38</v>
      </c>
      <c r="O134" s="116">
        <v>364.32</v>
      </c>
      <c r="P134" s="50">
        <v>0.55200000000000005</v>
      </c>
      <c r="Q134" s="50">
        <v>1.38</v>
      </c>
      <c r="R134" s="116">
        <v>8694</v>
      </c>
      <c r="S134" s="58">
        <v>1.7777777777777777</v>
      </c>
      <c r="T134" s="119">
        <v>15.555555555555555</v>
      </c>
      <c r="U134" s="58">
        <v>0.66666666666666663</v>
      </c>
      <c r="V134" s="58">
        <v>6.8888888888888893</v>
      </c>
      <c r="W134" s="58">
        <v>0.55555555555555558</v>
      </c>
      <c r="X134" s="58">
        <v>0.88888888888888884</v>
      </c>
      <c r="Y134" s="122">
        <v>5600</v>
      </c>
    </row>
    <row r="135" spans="1:25" x14ac:dyDescent="0.2">
      <c r="A135" s="47" t="s">
        <v>565</v>
      </c>
      <c r="B135" s="48" t="s">
        <v>241</v>
      </c>
      <c r="C135" s="47"/>
      <c r="D135" s="47" t="s">
        <v>561</v>
      </c>
      <c r="E135" s="838">
        <v>26.111999999999998</v>
      </c>
      <c r="F135" s="49">
        <v>4.9043999999999997E-2</v>
      </c>
      <c r="G135" s="49">
        <v>0.37080960000000002</v>
      </c>
      <c r="H135" s="49">
        <v>26.111999999999998</v>
      </c>
      <c r="I135" s="49">
        <v>8.8232000000000002E-4</v>
      </c>
      <c r="J135" s="49">
        <v>1.3055999999999998E-2</v>
      </c>
      <c r="K135" s="125">
        <v>81.991679999999988</v>
      </c>
      <c r="L135" s="116"/>
      <c r="M135" s="50"/>
      <c r="N135" s="50"/>
      <c r="O135" s="116"/>
      <c r="P135" s="50"/>
      <c r="Q135" s="50"/>
      <c r="R135" s="116"/>
      <c r="S135" s="58"/>
      <c r="T135" s="119"/>
      <c r="U135" s="58"/>
      <c r="V135" s="58"/>
      <c r="W135" s="58"/>
      <c r="X135" s="58"/>
      <c r="Y135" s="122"/>
    </row>
    <row r="136" spans="1:25" x14ac:dyDescent="0.2">
      <c r="A136" s="47" t="s">
        <v>566</v>
      </c>
      <c r="B136" s="48" t="s">
        <v>368</v>
      </c>
      <c r="C136" s="47"/>
      <c r="D136" s="47" t="s">
        <v>363</v>
      </c>
      <c r="E136" s="116">
        <v>13.955483999999998</v>
      </c>
      <c r="F136" s="50">
        <v>3.2531320000000005E-4</v>
      </c>
      <c r="G136" s="50">
        <v>7.5546000000000007E-3</v>
      </c>
      <c r="H136" s="50">
        <v>47.442888000000004</v>
      </c>
      <c r="I136" s="837">
        <v>2.9999999999999997E-4</v>
      </c>
      <c r="J136" s="50">
        <v>0.3</v>
      </c>
      <c r="K136" s="113">
        <v>13.68</v>
      </c>
      <c r="L136" s="116">
        <v>300</v>
      </c>
      <c r="M136" s="50">
        <v>1.4999999999999999E-2</v>
      </c>
      <c r="N136" s="50">
        <v>0.15</v>
      </c>
      <c r="O136" s="116">
        <v>942</v>
      </c>
      <c r="P136" s="50">
        <v>8.4000000000000005E-2</v>
      </c>
      <c r="Q136" s="50">
        <v>8.4000000000000005E-2</v>
      </c>
      <c r="R136" s="116">
        <v>527.52</v>
      </c>
      <c r="S136" s="57"/>
      <c r="T136" s="120"/>
      <c r="U136" s="57"/>
      <c r="V136" s="57"/>
      <c r="W136" s="57"/>
      <c r="X136" s="57"/>
      <c r="Y136" s="123"/>
    </row>
    <row r="137" spans="1:25" x14ac:dyDescent="0.2">
      <c r="A137" s="47" t="s">
        <v>567</v>
      </c>
      <c r="B137" s="48" t="s">
        <v>284</v>
      </c>
      <c r="C137" s="47"/>
      <c r="D137" s="47" t="s">
        <v>296</v>
      </c>
      <c r="E137" s="116">
        <v>37.613999999999997</v>
      </c>
      <c r="F137" s="50">
        <v>0.39960563999999993</v>
      </c>
      <c r="G137" s="50">
        <v>0.14743883999999999</v>
      </c>
      <c r="H137" s="50">
        <v>0.2413476</v>
      </c>
      <c r="I137" s="50">
        <v>2.6335199999999999E-3</v>
      </c>
      <c r="J137" s="50">
        <v>1.8806999999999997E-2</v>
      </c>
      <c r="K137" s="113">
        <v>11.848409999999999</v>
      </c>
      <c r="L137" s="116">
        <v>1692</v>
      </c>
      <c r="M137" s="50">
        <v>4.8391200000000003</v>
      </c>
      <c r="N137" s="50">
        <v>133.85411999999999</v>
      </c>
      <c r="O137" s="116">
        <v>104.05799999999999</v>
      </c>
      <c r="P137" s="50">
        <v>0.33839999999999998</v>
      </c>
      <c r="Q137" s="50">
        <v>0.84599999999999997</v>
      </c>
      <c r="R137" s="116">
        <v>532.98</v>
      </c>
      <c r="S137" s="57"/>
      <c r="T137" s="120"/>
      <c r="U137" s="57"/>
      <c r="V137" s="57"/>
      <c r="W137" s="57"/>
      <c r="X137" s="57"/>
      <c r="Y137" s="123"/>
    </row>
    <row r="138" spans="1:25" x14ac:dyDescent="0.2">
      <c r="A138" s="47" t="s">
        <v>568</v>
      </c>
      <c r="B138" s="48" t="s">
        <v>569</v>
      </c>
      <c r="C138" s="47"/>
      <c r="D138" s="47" t="s">
        <v>296</v>
      </c>
      <c r="E138" s="116">
        <v>56.420999999999992</v>
      </c>
      <c r="F138" s="50">
        <v>0.59940845999999992</v>
      </c>
      <c r="G138" s="50">
        <v>0.22115826</v>
      </c>
      <c r="H138" s="50">
        <v>0.36202139999999999</v>
      </c>
      <c r="I138" s="50">
        <v>3.9502799999999996E-3</v>
      </c>
      <c r="J138" s="50">
        <v>2.8210499999999996E-2</v>
      </c>
      <c r="K138" s="113">
        <v>17.772614999999998</v>
      </c>
      <c r="L138" s="116">
        <v>2538</v>
      </c>
      <c r="M138" s="50">
        <v>7.25868</v>
      </c>
      <c r="N138" s="113">
        <v>200.78118000000001</v>
      </c>
      <c r="O138" s="116">
        <v>156.08699999999999</v>
      </c>
      <c r="P138" s="50">
        <v>0.50759999999999994</v>
      </c>
      <c r="Q138" s="50">
        <v>1.2689999999999999</v>
      </c>
      <c r="R138" s="116">
        <v>799.47</v>
      </c>
      <c r="S138" s="57"/>
      <c r="T138" s="120"/>
      <c r="U138" s="57"/>
      <c r="V138" s="57"/>
      <c r="W138" s="57"/>
      <c r="X138" s="57"/>
      <c r="Y138" s="123"/>
    </row>
    <row r="139" spans="1:25" x14ac:dyDescent="0.2">
      <c r="A139" s="47" t="s">
        <v>570</v>
      </c>
      <c r="B139" s="48" t="s">
        <v>277</v>
      </c>
      <c r="C139" s="47"/>
      <c r="D139" s="47" t="s">
        <v>279</v>
      </c>
      <c r="E139" s="116">
        <v>375.61199999999997</v>
      </c>
      <c r="F139" s="50">
        <v>3.0774256799999997</v>
      </c>
      <c r="G139" s="50">
        <v>0.78690707999999998</v>
      </c>
      <c r="H139" s="50">
        <v>2.0163804000000001</v>
      </c>
      <c r="I139" s="50">
        <v>2.7777303999999999E-2</v>
      </c>
      <c r="J139" s="50">
        <v>0.18780599999999997</v>
      </c>
      <c r="K139" s="113">
        <v>1183.1777999999997</v>
      </c>
      <c r="L139" s="116">
        <v>18456</v>
      </c>
      <c r="M139" s="50">
        <v>64.965119999999999</v>
      </c>
      <c r="N139" s="50">
        <v>325.01015999999998</v>
      </c>
      <c r="O139" s="116">
        <v>804.6816</v>
      </c>
      <c r="P139" s="50">
        <v>3.6911999999999998</v>
      </c>
      <c r="Q139" s="50">
        <v>9.2279999999999998</v>
      </c>
      <c r="R139" s="116">
        <v>58136.4</v>
      </c>
      <c r="S139" s="57"/>
      <c r="T139" s="120"/>
      <c r="U139" s="57"/>
      <c r="V139" s="57"/>
      <c r="W139" s="57"/>
      <c r="X139" s="57"/>
      <c r="Y139" s="123"/>
    </row>
    <row r="142" spans="1:25" x14ac:dyDescent="0.2">
      <c r="A142" s="52" t="s">
        <v>571</v>
      </c>
    </row>
    <row r="143" spans="1:25" x14ac:dyDescent="0.2">
      <c r="E143" s="819" t="s">
        <v>1896</v>
      </c>
      <c r="F143" s="820"/>
      <c r="G143" s="820"/>
      <c r="H143" s="820"/>
      <c r="I143" s="820"/>
      <c r="J143" s="820"/>
      <c r="K143" s="821"/>
      <c r="L143" s="822"/>
      <c r="M143" s="820"/>
      <c r="N143" s="820"/>
      <c r="O143" s="822"/>
      <c r="P143" s="820"/>
      <c r="Q143" s="820"/>
      <c r="R143" s="823"/>
    </row>
    <row r="144" spans="1:25" ht="13.5" thickBot="1" x14ac:dyDescent="0.25">
      <c r="E144" s="824"/>
      <c r="F144" s="276"/>
      <c r="G144" s="276"/>
      <c r="H144" s="276"/>
      <c r="I144" s="276"/>
      <c r="J144" s="276"/>
      <c r="K144" s="825"/>
      <c r="L144" s="826"/>
      <c r="M144" s="276"/>
      <c r="N144" s="276"/>
      <c r="O144" s="826"/>
      <c r="P144" s="276"/>
      <c r="Q144" s="276"/>
      <c r="R144" s="827"/>
    </row>
    <row r="145" spans="1:18" ht="38.25" x14ac:dyDescent="0.2">
      <c r="A145" s="107" t="s">
        <v>1880</v>
      </c>
      <c r="B145" s="814" t="s">
        <v>229</v>
      </c>
      <c r="C145" s="815" t="s">
        <v>1897</v>
      </c>
      <c r="D145" s="818" t="s">
        <v>231</v>
      </c>
      <c r="E145" s="828" t="s">
        <v>232</v>
      </c>
      <c r="F145" s="109" t="s">
        <v>855</v>
      </c>
      <c r="G145" s="109" t="s">
        <v>850</v>
      </c>
      <c r="H145" s="109" t="s">
        <v>851</v>
      </c>
      <c r="I145" s="109" t="s">
        <v>852</v>
      </c>
      <c r="J145" s="109" t="s">
        <v>853</v>
      </c>
      <c r="K145" s="124" t="s">
        <v>854</v>
      </c>
      <c r="L145" s="115" t="s">
        <v>233</v>
      </c>
      <c r="M145" s="110" t="s">
        <v>234</v>
      </c>
      <c r="N145" s="110" t="s">
        <v>235</v>
      </c>
      <c r="O145" s="115" t="s">
        <v>236</v>
      </c>
      <c r="P145" s="110" t="s">
        <v>237</v>
      </c>
      <c r="Q145" s="110" t="s">
        <v>238</v>
      </c>
      <c r="R145" s="829" t="s">
        <v>239</v>
      </c>
    </row>
    <row r="146" spans="1:18" x14ac:dyDescent="0.2">
      <c r="A146" s="813" t="s">
        <v>1881</v>
      </c>
      <c r="C146" s="816" t="s">
        <v>1882</v>
      </c>
      <c r="E146" s="830">
        <v>1425.3245400000001</v>
      </c>
      <c r="F146" s="276">
        <v>37.485836709162001</v>
      </c>
      <c r="G146" s="276">
        <v>2.7163381961934002E-2</v>
      </c>
      <c r="H146" s="276">
        <v>1.12072982793252</v>
      </c>
      <c r="I146" s="276">
        <v>0.2977063181679</v>
      </c>
      <c r="J146" s="276">
        <v>1.140259632</v>
      </c>
      <c r="K146" s="276">
        <v>4496.8989236999996</v>
      </c>
      <c r="L146" s="276">
        <v>35077.020000000004</v>
      </c>
      <c r="M146" s="276">
        <v>169.65176108100002</v>
      </c>
      <c r="N146" s="276">
        <v>126.89918756460001</v>
      </c>
      <c r="O146" s="276">
        <v>917.98665961200015</v>
      </c>
      <c r="P146" s="276">
        <v>3.5410251690000001</v>
      </c>
      <c r="Q146" s="276">
        <v>28.061616000000001</v>
      </c>
      <c r="R146" s="831">
        <v>110667.99810000001</v>
      </c>
    </row>
    <row r="147" spans="1:18" x14ac:dyDescent="0.2">
      <c r="A147" s="813" t="s">
        <v>1883</v>
      </c>
      <c r="C147" s="816" t="s">
        <v>1884</v>
      </c>
      <c r="E147" s="830">
        <v>1182.3044399999999</v>
      </c>
      <c r="F147" s="276">
        <v>30.694057276704005</v>
      </c>
      <c r="G147" s="276">
        <v>9.2759721853787988E-2</v>
      </c>
      <c r="H147" s="276">
        <v>1.10659083482808</v>
      </c>
      <c r="I147" s="276">
        <v>8.0804084842871993E-2</v>
      </c>
      <c r="J147" s="276">
        <v>0.94584355199999992</v>
      </c>
      <c r="K147" s="276">
        <v>3730.1705081999994</v>
      </c>
      <c r="L147" s="276">
        <v>26393.160000000003</v>
      </c>
      <c r="M147" s="276">
        <v>112.72624208640001</v>
      </c>
      <c r="N147" s="276">
        <v>111.49051433519999</v>
      </c>
      <c r="O147" s="276">
        <v>697.579136748</v>
      </c>
      <c r="P147" s="276">
        <v>2.1628534791000003</v>
      </c>
      <c r="Q147" s="276">
        <v>21.114528</v>
      </c>
      <c r="R147" s="831">
        <v>83270.419800000003</v>
      </c>
    </row>
    <row r="148" spans="1:18" x14ac:dyDescent="0.2">
      <c r="A148" s="813" t="s">
        <v>1885</v>
      </c>
      <c r="C148" s="816" t="s">
        <v>1886</v>
      </c>
      <c r="E148" s="830">
        <v>454.72289999999998</v>
      </c>
      <c r="F148" s="276">
        <v>6.7003069364471992</v>
      </c>
      <c r="G148" s="276">
        <v>0.30462625570680002</v>
      </c>
      <c r="H148" s="276">
        <v>2.1321240675465596</v>
      </c>
      <c r="I148" s="276">
        <v>6.0369567003360006E-2</v>
      </c>
      <c r="J148" s="276">
        <v>0.36377831999999999</v>
      </c>
      <c r="K148" s="276">
        <v>1434.6507494999998</v>
      </c>
      <c r="L148" s="276">
        <v>13245.060000000001</v>
      </c>
      <c r="M148" s="276">
        <v>50.696129403</v>
      </c>
      <c r="N148" s="276">
        <v>43.065650337000008</v>
      </c>
      <c r="O148" s="276">
        <v>420.70019176799997</v>
      </c>
      <c r="P148" s="276">
        <v>1.288859570022</v>
      </c>
      <c r="Q148" s="276">
        <v>10.596048</v>
      </c>
      <c r="R148" s="831">
        <v>41788.164300000004</v>
      </c>
    </row>
    <row r="149" spans="1:18" x14ac:dyDescent="0.2">
      <c r="A149" s="813" t="s">
        <v>1887</v>
      </c>
      <c r="C149" s="816" t="s">
        <v>1888</v>
      </c>
      <c r="E149" s="830">
        <v>243.90618000000001</v>
      </c>
      <c r="F149" s="276">
        <v>2.8300349103156002</v>
      </c>
      <c r="G149" s="276">
        <v>4.0403580495395996E-2</v>
      </c>
      <c r="H149" s="276">
        <v>0.44390410911401995</v>
      </c>
      <c r="I149" s="276">
        <v>3.5638193470139995E-2</v>
      </c>
      <c r="J149" s="276">
        <v>0.19512494400000002</v>
      </c>
      <c r="K149" s="276">
        <v>769.52399789999993</v>
      </c>
      <c r="L149" s="276">
        <v>7827.2399999999989</v>
      </c>
      <c r="M149" s="276">
        <v>29.138779437599997</v>
      </c>
      <c r="N149" s="276">
        <v>27.757741211999999</v>
      </c>
      <c r="O149" s="276">
        <v>255.86856198000001</v>
      </c>
      <c r="P149" s="276">
        <v>0.74298588524399989</v>
      </c>
      <c r="Q149" s="276">
        <v>6.2617919999999998</v>
      </c>
      <c r="R149" s="831">
        <v>24694.942199999994</v>
      </c>
    </row>
    <row r="150" spans="1:18" x14ac:dyDescent="0.2">
      <c r="A150" s="813" t="s">
        <v>1889</v>
      </c>
      <c r="C150" s="816" t="s">
        <v>1890</v>
      </c>
      <c r="E150" s="830">
        <v>101.72110800000002</v>
      </c>
      <c r="F150" s="276">
        <v>1.0685299112519999</v>
      </c>
      <c r="G150" s="276">
        <v>0.1323398949124284</v>
      </c>
      <c r="H150" s="276">
        <v>0.95236625269499997</v>
      </c>
      <c r="I150" s="276">
        <v>1.6838646424092E-2</v>
      </c>
      <c r="J150" s="276">
        <v>8.1376886400000015E-2</v>
      </c>
      <c r="K150" s="276">
        <v>320.93009574000001</v>
      </c>
      <c r="L150" s="276">
        <v>3495.7860000000001</v>
      </c>
      <c r="M150" s="276">
        <v>10.29638321082</v>
      </c>
      <c r="N150" s="276">
        <v>106.7850757848</v>
      </c>
      <c r="O150" s="276">
        <v>266.68896941819997</v>
      </c>
      <c r="P150" s="276">
        <v>0.89775979423199992</v>
      </c>
      <c r="Q150" s="276">
        <v>2.7966288000000001</v>
      </c>
      <c r="R150" s="831">
        <v>11029.204829999999</v>
      </c>
    </row>
    <row r="151" spans="1:18" x14ac:dyDescent="0.2">
      <c r="A151" s="813" t="s">
        <v>1891</v>
      </c>
      <c r="C151" s="816" t="s">
        <v>284</v>
      </c>
      <c r="E151" s="830">
        <v>67.138313999999994</v>
      </c>
      <c r="F151" s="276">
        <v>0.81583249141019998</v>
      </c>
      <c r="G151" s="276">
        <v>1.5393681508874999E-2</v>
      </c>
      <c r="H151" s="276">
        <v>0.36763519419803997</v>
      </c>
      <c r="I151" s="276">
        <v>9.9238620199859997E-4</v>
      </c>
      <c r="J151" s="276">
        <v>5.3710651200000001E-2</v>
      </c>
      <c r="K151" s="276">
        <v>211.82138066999997</v>
      </c>
      <c r="L151" s="276">
        <v>3670.8359999999998</v>
      </c>
      <c r="M151" s="276">
        <v>18.608385393000002</v>
      </c>
      <c r="N151" s="276">
        <v>22.899225593400001</v>
      </c>
      <c r="O151" s="276">
        <v>103.00989858119999</v>
      </c>
      <c r="P151" s="276">
        <v>1.99535632452E-2</v>
      </c>
      <c r="Q151" s="276">
        <v>2.9366688000000005</v>
      </c>
      <c r="R151" s="831">
        <v>11581.487579999999</v>
      </c>
    </row>
    <row r="152" spans="1:18" x14ac:dyDescent="0.2">
      <c r="A152" s="813" t="s">
        <v>1892</v>
      </c>
      <c r="C152" s="816" t="s">
        <v>358</v>
      </c>
      <c r="E152" s="830">
        <v>4.3361640000000001</v>
      </c>
      <c r="F152" s="276">
        <v>1.2029845440984002E-2</v>
      </c>
      <c r="G152" s="276">
        <v>7.4160072025199988E-2</v>
      </c>
      <c r="H152" s="276">
        <v>4.8863722992000005</v>
      </c>
      <c r="I152" s="276">
        <v>7.9508993984279996E-4</v>
      </c>
      <c r="J152" s="276">
        <v>3.4689312000000003E-3</v>
      </c>
      <c r="K152" s="276">
        <v>13.68059742</v>
      </c>
      <c r="L152" s="276">
        <v>124.9704</v>
      </c>
      <c r="M152" s="276">
        <v>0.19106099603999999</v>
      </c>
      <c r="N152" s="276">
        <v>5.6541982687199992</v>
      </c>
      <c r="O152" s="276">
        <v>125.54276443200001</v>
      </c>
      <c r="P152" s="276">
        <v>8.7930173203199999E-3</v>
      </c>
      <c r="Q152" s="276">
        <v>9.9976319999999994E-2</v>
      </c>
      <c r="R152" s="831">
        <v>394.281612</v>
      </c>
    </row>
    <row r="153" spans="1:18" x14ac:dyDescent="0.2">
      <c r="A153" s="813" t="s">
        <v>1893</v>
      </c>
      <c r="C153" s="816" t="s">
        <v>312</v>
      </c>
      <c r="E153" s="830">
        <v>70.665660000000003</v>
      </c>
      <c r="F153" s="276">
        <v>0.64293757920600003</v>
      </c>
      <c r="G153" s="276">
        <v>1.3555658371319999E-2</v>
      </c>
      <c r="H153" s="276">
        <v>8.8692684935400015E-2</v>
      </c>
      <c r="I153" s="276">
        <v>0</v>
      </c>
      <c r="J153" s="276">
        <v>5.6532528000000005E-2</v>
      </c>
      <c r="K153" s="276">
        <v>222.9501573</v>
      </c>
      <c r="L153" s="276"/>
      <c r="M153" s="276"/>
      <c r="N153" s="276"/>
      <c r="O153" s="276"/>
      <c r="P153" s="276"/>
      <c r="Q153" s="276"/>
      <c r="R153" s="831"/>
    </row>
    <row r="154" spans="1:18" ht="13.5" thickBot="1" x14ac:dyDescent="0.25">
      <c r="A154" s="813" t="s">
        <v>1894</v>
      </c>
      <c r="C154" s="817" t="s">
        <v>241</v>
      </c>
      <c r="E154" s="830">
        <v>25.098294600000003</v>
      </c>
      <c r="F154" s="276">
        <v>8.5240497702726001E-2</v>
      </c>
      <c r="G154" s="276">
        <v>5.8972186082286004E-3</v>
      </c>
      <c r="H154" s="276">
        <v>2.7384116324544003E-2</v>
      </c>
      <c r="I154" s="276">
        <v>0</v>
      </c>
      <c r="J154" s="276">
        <v>2.0078635680000005E-2</v>
      </c>
      <c r="K154" s="276">
        <v>79.185119463000007</v>
      </c>
      <c r="L154" s="276"/>
      <c r="M154" s="276"/>
      <c r="N154" s="276"/>
      <c r="O154" s="276"/>
      <c r="P154" s="276"/>
      <c r="Q154" s="276"/>
      <c r="R154" s="831"/>
    </row>
    <row r="155" spans="1:18" x14ac:dyDescent="0.2">
      <c r="E155" s="824"/>
      <c r="F155" s="276"/>
      <c r="G155" s="276"/>
      <c r="H155" s="276"/>
      <c r="I155" s="276"/>
      <c r="J155" s="276"/>
      <c r="K155" s="825"/>
      <c r="L155" s="826"/>
      <c r="M155" s="276"/>
      <c r="N155" s="276"/>
      <c r="O155" s="826"/>
      <c r="P155" s="276"/>
      <c r="Q155" s="276"/>
      <c r="R155" s="827"/>
    </row>
    <row r="156" spans="1:18" x14ac:dyDescent="0.2">
      <c r="E156" s="824"/>
      <c r="F156" s="276"/>
      <c r="G156" s="276"/>
      <c r="H156" s="276"/>
      <c r="I156" s="276"/>
      <c r="J156" s="276"/>
      <c r="K156" s="825"/>
      <c r="L156" s="826"/>
      <c r="M156" s="276"/>
      <c r="N156" s="276"/>
      <c r="O156" s="826"/>
      <c r="P156" s="276"/>
      <c r="Q156" s="276"/>
      <c r="R156" s="827"/>
    </row>
    <row r="157" spans="1:18" x14ac:dyDescent="0.2">
      <c r="E157" s="832" t="s">
        <v>1895</v>
      </c>
      <c r="F157" s="833"/>
      <c r="G157" s="833"/>
      <c r="H157" s="833"/>
      <c r="I157" s="833"/>
      <c r="J157" s="833"/>
      <c r="K157" s="834"/>
      <c r="L157" s="835"/>
      <c r="M157" s="833"/>
      <c r="N157" s="833"/>
      <c r="O157" s="835"/>
      <c r="P157" s="833"/>
      <c r="Q157" s="833"/>
      <c r="R157" s="836"/>
    </row>
  </sheetData>
  <sheetProtection password="CA83" sheet="1" objects="1" scenarios="1"/>
  <mergeCells count="1">
    <mergeCell ref="A1:Y1"/>
  </mergeCells>
  <pageMargins left="0.7" right="0.7" top="0.75" bottom="0.75" header="0.3" footer="0.3"/>
  <pageSetup paperSize="8" scale="54" fitToHeight="10" orientation="landscape" r:id="rId1"/>
  <headerFooter>
    <oddFooter>&amp;L&amp;"Gill Sans MT,Regular"&amp;9Printed: &amp;D&amp;C&amp;"Gill Sans MT,Regular"&amp;9Page &amp;P of &amp;N&amp;R&amp;"Gill Sans MT,Regular"&amp;9Spreadsheet Designed by EBA on Behalf of Transport Canada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0070C0"/>
    <pageSetUpPr fitToPage="1"/>
  </sheetPr>
  <dimension ref="A1:N67"/>
  <sheetViews>
    <sheetView zoomScale="80" zoomScaleNormal="80" workbookViewId="0">
      <selection activeCell="A3" sqref="A3"/>
    </sheetView>
  </sheetViews>
  <sheetFormatPr defaultColWidth="9.140625" defaultRowHeight="12.75" x14ac:dyDescent="0.2"/>
  <cols>
    <col min="1" max="1" width="36.7109375" customWidth="1"/>
    <col min="2" max="2" width="12.140625" customWidth="1"/>
    <col min="3" max="3" width="36.5703125" customWidth="1"/>
    <col min="4" max="4" width="13.85546875" customWidth="1"/>
    <col min="5" max="5" width="15" bestFit="1" customWidth="1"/>
    <col min="6" max="6" width="11.42578125" customWidth="1"/>
    <col min="7" max="7" width="8.42578125" customWidth="1"/>
    <col min="8" max="8" width="8.5703125" customWidth="1"/>
    <col min="9" max="9" width="9.7109375" customWidth="1"/>
    <col min="10" max="13" width="8.5703125" customWidth="1"/>
    <col min="14" max="14" width="33.42578125" bestFit="1" customWidth="1"/>
  </cols>
  <sheetData>
    <row r="1" spans="1:14" ht="21.75" x14ac:dyDescent="0.45">
      <c r="A1" s="509" t="s">
        <v>1938</v>
      </c>
      <c r="B1" s="98"/>
      <c r="C1" s="98"/>
      <c r="D1" s="98"/>
    </row>
    <row r="2" spans="1:14" ht="25.5" x14ac:dyDescent="0.2">
      <c r="A2" s="67" t="s">
        <v>657</v>
      </c>
      <c r="B2" s="67" t="s">
        <v>658</v>
      </c>
      <c r="C2" s="67" t="s">
        <v>659</v>
      </c>
      <c r="D2" s="73" t="s">
        <v>660</v>
      </c>
      <c r="E2" s="71" t="s">
        <v>661</v>
      </c>
      <c r="F2" s="126" t="s">
        <v>662</v>
      </c>
      <c r="G2" s="71" t="s">
        <v>663</v>
      </c>
      <c r="H2" s="69" t="s">
        <v>664</v>
      </c>
      <c r="I2" s="69" t="s">
        <v>665</v>
      </c>
      <c r="J2" s="69" t="s">
        <v>666</v>
      </c>
      <c r="K2" s="69" t="s">
        <v>667</v>
      </c>
      <c r="L2" s="69" t="s">
        <v>668</v>
      </c>
      <c r="M2" s="69" t="s">
        <v>669</v>
      </c>
      <c r="N2" s="73" t="s">
        <v>670</v>
      </c>
    </row>
    <row r="3" spans="1:14" x14ac:dyDescent="0.2">
      <c r="A3" s="76" t="s">
        <v>671</v>
      </c>
      <c r="B3" s="77"/>
      <c r="C3" s="77"/>
      <c r="D3" s="66"/>
      <c r="E3" s="66"/>
      <c r="F3" s="66"/>
      <c r="G3" s="66"/>
      <c r="H3" s="66"/>
      <c r="I3" s="66"/>
      <c r="J3" s="66"/>
      <c r="K3" s="66"/>
      <c r="L3" s="66"/>
      <c r="M3" s="66"/>
      <c r="N3" s="66"/>
    </row>
    <row r="4" spans="1:14" x14ac:dyDescent="0.2">
      <c r="A4" s="68" t="s">
        <v>672</v>
      </c>
      <c r="B4" s="68" t="s">
        <v>191</v>
      </c>
      <c r="C4" s="68" t="s">
        <v>673</v>
      </c>
      <c r="D4" s="68" t="s">
        <v>674</v>
      </c>
      <c r="E4" s="72" t="s">
        <v>675</v>
      </c>
      <c r="F4" s="70">
        <v>28.1</v>
      </c>
      <c r="G4" s="72" t="s">
        <v>676</v>
      </c>
      <c r="H4" s="70">
        <v>160</v>
      </c>
      <c r="I4" s="70">
        <v>200</v>
      </c>
      <c r="J4" s="70">
        <v>2000</v>
      </c>
      <c r="K4" s="70">
        <v>190</v>
      </c>
      <c r="L4" s="70">
        <v>94000</v>
      </c>
      <c r="M4" s="70">
        <v>900</v>
      </c>
      <c r="N4" s="66"/>
    </row>
    <row r="5" spans="1:14" x14ac:dyDescent="0.2">
      <c r="A5" s="68" t="s">
        <v>672</v>
      </c>
      <c r="B5" s="68" t="s">
        <v>50</v>
      </c>
      <c r="C5" s="68" t="s">
        <v>673</v>
      </c>
      <c r="D5" s="68" t="s">
        <v>677</v>
      </c>
      <c r="E5" s="72" t="s">
        <v>675</v>
      </c>
      <c r="F5" s="70">
        <v>46.5</v>
      </c>
      <c r="G5" s="72" t="s">
        <v>676</v>
      </c>
      <c r="H5" s="70">
        <v>70</v>
      </c>
      <c r="I5" s="70">
        <v>3</v>
      </c>
      <c r="J5" s="70">
        <v>30</v>
      </c>
      <c r="K5" s="70">
        <v>0.5</v>
      </c>
      <c r="L5" s="70">
        <v>55000</v>
      </c>
      <c r="M5" s="70">
        <v>0.5</v>
      </c>
      <c r="N5" s="66"/>
    </row>
    <row r="6" spans="1:14" x14ac:dyDescent="0.2">
      <c r="A6" s="68" t="s">
        <v>678</v>
      </c>
      <c r="B6" s="68" t="s">
        <v>679</v>
      </c>
      <c r="C6" s="68" t="s">
        <v>673</v>
      </c>
      <c r="D6" s="68" t="s">
        <v>680</v>
      </c>
      <c r="E6" s="72" t="s">
        <v>675</v>
      </c>
      <c r="F6" s="70">
        <v>42.6</v>
      </c>
      <c r="G6" s="72" t="s">
        <v>676</v>
      </c>
      <c r="H6" s="70">
        <v>398</v>
      </c>
      <c r="I6" s="70">
        <v>0.19</v>
      </c>
      <c r="J6" s="70">
        <v>1.49</v>
      </c>
      <c r="K6" s="70">
        <v>3</v>
      </c>
      <c r="L6" s="70">
        <v>73700</v>
      </c>
      <c r="M6" s="70">
        <v>46.1</v>
      </c>
      <c r="N6" s="66"/>
    </row>
    <row r="7" spans="1:14" x14ac:dyDescent="0.2">
      <c r="A7" s="68" t="s">
        <v>681</v>
      </c>
      <c r="B7" s="68" t="s">
        <v>12</v>
      </c>
      <c r="C7" s="68" t="s">
        <v>682</v>
      </c>
      <c r="D7" s="68" t="s">
        <v>683</v>
      </c>
      <c r="E7" s="72" t="s">
        <v>675</v>
      </c>
      <c r="F7" s="70">
        <v>42.7</v>
      </c>
      <c r="G7" s="72" t="s">
        <v>676</v>
      </c>
      <c r="H7" s="70">
        <v>1400</v>
      </c>
      <c r="I7" s="70">
        <v>70</v>
      </c>
      <c r="J7" s="70">
        <v>210</v>
      </c>
      <c r="K7" s="70">
        <v>30</v>
      </c>
      <c r="L7" s="70">
        <v>73000</v>
      </c>
      <c r="M7" s="70">
        <v>65</v>
      </c>
      <c r="N7" s="66"/>
    </row>
    <row r="8" spans="1:14" x14ac:dyDescent="0.2">
      <c r="A8" s="68" t="s">
        <v>684</v>
      </c>
      <c r="B8" s="68" t="s">
        <v>162</v>
      </c>
      <c r="C8" s="68" t="s">
        <v>685</v>
      </c>
      <c r="D8" s="68" t="s">
        <v>686</v>
      </c>
      <c r="E8" s="66"/>
      <c r="F8" s="66"/>
      <c r="G8" s="72" t="s">
        <v>687</v>
      </c>
      <c r="H8" s="70">
        <v>5.04</v>
      </c>
      <c r="I8" s="70">
        <v>20.22</v>
      </c>
      <c r="J8" s="70">
        <v>672.08</v>
      </c>
      <c r="K8" s="70">
        <v>151.88</v>
      </c>
      <c r="L8" s="70">
        <v>3150</v>
      </c>
      <c r="M8" s="70">
        <v>1.02</v>
      </c>
      <c r="N8" s="66"/>
    </row>
    <row r="9" spans="1:14" x14ac:dyDescent="0.2">
      <c r="A9" s="68" t="s">
        <v>684</v>
      </c>
      <c r="B9" s="68" t="s">
        <v>114</v>
      </c>
      <c r="C9" s="68" t="s">
        <v>685</v>
      </c>
      <c r="D9" s="68" t="s">
        <v>688</v>
      </c>
      <c r="E9" s="66"/>
      <c r="F9" s="66"/>
      <c r="G9" s="72" t="s">
        <v>687</v>
      </c>
      <c r="H9" s="70">
        <v>1.32</v>
      </c>
      <c r="I9" s="70">
        <v>6.57</v>
      </c>
      <c r="J9" s="70">
        <v>7.19</v>
      </c>
      <c r="K9" s="70">
        <v>24.21</v>
      </c>
      <c r="L9" s="70">
        <v>3030</v>
      </c>
      <c r="M9" s="70">
        <v>0</v>
      </c>
      <c r="N9" s="66"/>
    </row>
    <row r="10" spans="1:14" x14ac:dyDescent="0.2">
      <c r="A10" s="68" t="s">
        <v>684</v>
      </c>
      <c r="B10" s="68" t="s">
        <v>164</v>
      </c>
      <c r="C10" s="92" t="s">
        <v>689</v>
      </c>
      <c r="D10" s="68" t="s">
        <v>690</v>
      </c>
      <c r="E10" s="66"/>
      <c r="F10" s="66"/>
      <c r="G10" s="72" t="s">
        <v>687</v>
      </c>
      <c r="H10" s="70">
        <v>1.72</v>
      </c>
      <c r="I10" s="70">
        <v>4.9800000000000004</v>
      </c>
      <c r="J10" s="70">
        <v>104</v>
      </c>
      <c r="K10" s="70">
        <v>18.8</v>
      </c>
      <c r="L10" s="70">
        <v>1598</v>
      </c>
      <c r="M10" s="70">
        <v>0</v>
      </c>
      <c r="N10" s="66"/>
    </row>
    <row r="12" spans="1:14" x14ac:dyDescent="0.2">
      <c r="A12" s="76" t="s">
        <v>691</v>
      </c>
      <c r="B12" s="77"/>
      <c r="C12" s="77"/>
      <c r="D12" s="66"/>
      <c r="E12" s="66"/>
      <c r="F12" s="66"/>
      <c r="G12" s="66"/>
      <c r="H12" s="66"/>
      <c r="I12" s="66"/>
      <c r="J12" s="66"/>
      <c r="K12" s="66"/>
      <c r="L12" s="66"/>
      <c r="M12" s="66"/>
      <c r="N12" s="66"/>
    </row>
    <row r="13" spans="1:14" x14ac:dyDescent="0.2">
      <c r="A13" s="68" t="s">
        <v>692</v>
      </c>
      <c r="B13" s="68" t="s">
        <v>14</v>
      </c>
      <c r="C13" s="68" t="s">
        <v>693</v>
      </c>
      <c r="D13" s="68" t="s">
        <v>694</v>
      </c>
      <c r="E13" s="72" t="s">
        <v>221</v>
      </c>
      <c r="F13" s="70">
        <v>70</v>
      </c>
      <c r="G13" s="72" t="s">
        <v>687</v>
      </c>
      <c r="H13" s="68">
        <v>14.5</v>
      </c>
      <c r="I13" s="70">
        <v>14</v>
      </c>
      <c r="J13" s="70">
        <v>132</v>
      </c>
      <c r="K13" s="70">
        <v>3.6999999999999998E-2</v>
      </c>
      <c r="L13" s="70">
        <v>3180</v>
      </c>
      <c r="M13" s="70">
        <v>0.04</v>
      </c>
      <c r="N13" s="66"/>
    </row>
    <row r="14" spans="1:14" x14ac:dyDescent="0.2">
      <c r="A14" s="68" t="s">
        <v>692</v>
      </c>
      <c r="B14" s="68" t="s">
        <v>12</v>
      </c>
      <c r="C14" s="68" t="s">
        <v>693</v>
      </c>
      <c r="D14" s="68" t="s">
        <v>694</v>
      </c>
      <c r="E14" s="72" t="s">
        <v>221</v>
      </c>
      <c r="F14" s="70">
        <v>60</v>
      </c>
      <c r="G14" s="72" t="s">
        <v>687</v>
      </c>
      <c r="H14" s="68">
        <v>11</v>
      </c>
      <c r="I14" s="70">
        <v>1.1000000000000001</v>
      </c>
      <c r="J14" s="70">
        <v>4.7</v>
      </c>
      <c r="K14" s="70">
        <v>1.7</v>
      </c>
      <c r="L14" s="70">
        <v>3140</v>
      </c>
      <c r="M14" s="70">
        <v>8.0000000000000002E-3</v>
      </c>
      <c r="N14" s="66"/>
    </row>
    <row r="15" spans="1:14" x14ac:dyDescent="0.2">
      <c r="A15" s="68" t="s">
        <v>692</v>
      </c>
      <c r="B15" s="68" t="s">
        <v>695</v>
      </c>
      <c r="C15" s="68" t="s">
        <v>693</v>
      </c>
      <c r="D15" s="68" t="s">
        <v>694</v>
      </c>
      <c r="E15" s="72" t="s">
        <v>221</v>
      </c>
      <c r="F15" s="70">
        <v>57.5</v>
      </c>
      <c r="G15" s="72" t="s">
        <v>687</v>
      </c>
      <c r="H15" s="68">
        <v>15.5</v>
      </c>
      <c r="I15" s="70">
        <v>10</v>
      </c>
      <c r="J15" s="70">
        <v>68</v>
      </c>
      <c r="K15" s="70">
        <v>0</v>
      </c>
      <c r="L15" s="70">
        <v>3017</v>
      </c>
      <c r="M15" s="70">
        <v>0</v>
      </c>
      <c r="N15" s="66"/>
    </row>
    <row r="16" spans="1:14" x14ac:dyDescent="0.2">
      <c r="A16" s="68" t="s">
        <v>696</v>
      </c>
      <c r="B16" s="68" t="s">
        <v>14</v>
      </c>
      <c r="C16" s="68" t="s">
        <v>693</v>
      </c>
      <c r="D16" s="68" t="s">
        <v>694</v>
      </c>
      <c r="E16" s="72" t="s">
        <v>221</v>
      </c>
      <c r="F16" s="70">
        <v>100</v>
      </c>
      <c r="G16" s="72" t="s">
        <v>687</v>
      </c>
      <c r="H16" s="68">
        <v>24</v>
      </c>
      <c r="I16" s="70">
        <v>14</v>
      </c>
      <c r="J16" s="70">
        <v>155</v>
      </c>
      <c r="K16" s="70">
        <v>0.03</v>
      </c>
      <c r="L16" s="70">
        <v>3180</v>
      </c>
      <c r="M16" s="70">
        <v>0.04</v>
      </c>
      <c r="N16" s="66"/>
    </row>
    <row r="17" spans="1:14" x14ac:dyDescent="0.2">
      <c r="A17" s="68" t="s">
        <v>696</v>
      </c>
      <c r="B17" s="68" t="s">
        <v>12</v>
      </c>
      <c r="C17" s="68" t="s">
        <v>693</v>
      </c>
      <c r="D17" s="68" t="s">
        <v>694</v>
      </c>
      <c r="E17" s="72" t="s">
        <v>221</v>
      </c>
      <c r="F17" s="70">
        <v>80</v>
      </c>
      <c r="G17" s="72" t="s">
        <v>687</v>
      </c>
      <c r="H17" s="68">
        <v>15</v>
      </c>
      <c r="I17" s="70">
        <v>1.75</v>
      </c>
      <c r="J17" s="70">
        <v>11</v>
      </c>
      <c r="K17" s="70">
        <v>2.8</v>
      </c>
      <c r="L17" s="70">
        <v>3140</v>
      </c>
      <c r="M17" s="70">
        <v>8.0000000000000002E-3</v>
      </c>
      <c r="N17" s="66"/>
    </row>
    <row r="18" spans="1:14" x14ac:dyDescent="0.2">
      <c r="A18" s="68" t="s">
        <v>697</v>
      </c>
      <c r="B18" s="68" t="s">
        <v>12</v>
      </c>
      <c r="C18" s="68" t="s">
        <v>693</v>
      </c>
      <c r="D18" s="68" t="s">
        <v>694</v>
      </c>
      <c r="E18" s="72" t="s">
        <v>221</v>
      </c>
      <c r="F18" s="70">
        <v>240</v>
      </c>
      <c r="G18" s="72" t="s">
        <v>687</v>
      </c>
      <c r="H18" s="68">
        <v>37</v>
      </c>
      <c r="I18" s="70">
        <v>1.6</v>
      </c>
      <c r="J18" s="70">
        <v>8</v>
      </c>
      <c r="K18" s="70">
        <v>1.2</v>
      </c>
      <c r="L18" s="70">
        <v>3140</v>
      </c>
      <c r="M18" s="70">
        <v>8.0000000000000002E-3</v>
      </c>
    </row>
    <row r="19" spans="1:14" x14ac:dyDescent="0.2">
      <c r="A19" s="68" t="s">
        <v>697</v>
      </c>
      <c r="B19" s="68" t="s">
        <v>698</v>
      </c>
      <c r="C19" s="68" t="s">
        <v>693</v>
      </c>
      <c r="D19" s="68" t="s">
        <v>694</v>
      </c>
      <c r="E19" s="72" t="s">
        <v>221</v>
      </c>
      <c r="F19" s="70">
        <v>500</v>
      </c>
      <c r="G19" s="72" t="s">
        <v>687</v>
      </c>
      <c r="H19" s="68">
        <v>13</v>
      </c>
      <c r="I19" s="70">
        <v>0.26</v>
      </c>
      <c r="J19" s="70">
        <v>5.7</v>
      </c>
      <c r="K19" s="70">
        <v>0.02</v>
      </c>
      <c r="L19" s="70">
        <v>2750</v>
      </c>
      <c r="M19" s="70">
        <v>8.0000000000000002E-3</v>
      </c>
    </row>
    <row r="20" spans="1:14" x14ac:dyDescent="0.2">
      <c r="A20" s="68" t="s">
        <v>699</v>
      </c>
      <c r="B20" s="68" t="s">
        <v>14</v>
      </c>
      <c r="C20" s="68" t="s">
        <v>693</v>
      </c>
      <c r="D20" s="68" t="s">
        <v>694</v>
      </c>
      <c r="E20" s="72" t="s">
        <v>221</v>
      </c>
      <c r="F20" s="70">
        <v>35</v>
      </c>
      <c r="G20" s="72" t="s">
        <v>687</v>
      </c>
      <c r="H20" s="68">
        <v>9.5</v>
      </c>
      <c r="I20" s="70">
        <v>114</v>
      </c>
      <c r="J20" s="70">
        <v>490</v>
      </c>
      <c r="K20" s="70">
        <v>2.7</v>
      </c>
      <c r="L20" s="70">
        <v>3180</v>
      </c>
      <c r="M20" s="70">
        <v>0.04</v>
      </c>
    </row>
    <row r="21" spans="1:14" x14ac:dyDescent="0.2">
      <c r="A21" s="91" t="s">
        <v>697</v>
      </c>
      <c r="B21" s="91" t="s">
        <v>14</v>
      </c>
      <c r="C21" s="86" t="s">
        <v>693</v>
      </c>
      <c r="D21" s="86" t="s">
        <v>694</v>
      </c>
      <c r="E21" s="88" t="s">
        <v>221</v>
      </c>
      <c r="F21" s="87">
        <v>177</v>
      </c>
      <c r="G21" s="88" t="s">
        <v>687</v>
      </c>
      <c r="H21" s="86">
        <f>6.6/($F$21/1000)</f>
        <v>37.288135593220339</v>
      </c>
      <c r="I21" s="86">
        <f>5.25/($F$21/1000)</f>
        <v>29.661016949152543</v>
      </c>
      <c r="J21" s="86">
        <f>59.5/($F$21/1000)</f>
        <v>336.15819209039552</v>
      </c>
      <c r="K21" s="86">
        <f>0/($F$21/1000)</f>
        <v>0</v>
      </c>
      <c r="L21" s="86">
        <v>3180</v>
      </c>
      <c r="M21" s="86">
        <v>0.04</v>
      </c>
      <c r="N21" t="s">
        <v>778</v>
      </c>
    </row>
    <row r="22" spans="1:14" x14ac:dyDescent="0.2">
      <c r="A22" s="66"/>
      <c r="B22" s="66"/>
      <c r="C22" s="66"/>
      <c r="D22" s="66"/>
      <c r="E22" s="66"/>
      <c r="F22" s="66"/>
      <c r="G22" s="66"/>
      <c r="H22" s="68"/>
      <c r="I22" s="66"/>
      <c r="J22" s="66"/>
      <c r="K22" s="66"/>
      <c r="L22" s="66"/>
      <c r="M22" s="66"/>
    </row>
    <row r="23" spans="1:14" x14ac:dyDescent="0.2">
      <c r="A23" s="68" t="s">
        <v>692</v>
      </c>
      <c r="B23" s="68" t="s">
        <v>698</v>
      </c>
      <c r="C23" s="68" t="s">
        <v>700</v>
      </c>
      <c r="D23" s="68" t="s">
        <v>694</v>
      </c>
      <c r="E23" s="66"/>
      <c r="F23" s="66"/>
      <c r="G23" s="72" t="s">
        <v>701</v>
      </c>
      <c r="H23" s="70">
        <v>5.6000000000000001E-2</v>
      </c>
      <c r="I23" s="70">
        <v>1.4999999999999999E-2</v>
      </c>
      <c r="J23" s="70">
        <v>0.39500000000000002</v>
      </c>
      <c r="K23" s="70">
        <v>2E-3</v>
      </c>
      <c r="L23" s="70">
        <v>148</v>
      </c>
      <c r="M23" s="70">
        <v>0</v>
      </c>
    </row>
    <row r="25" spans="1:14" x14ac:dyDescent="0.2">
      <c r="A25" s="76" t="s">
        <v>702</v>
      </c>
      <c r="B25" s="77"/>
      <c r="C25" s="77"/>
      <c r="D25" s="66"/>
      <c r="E25" s="66"/>
      <c r="F25" s="66"/>
      <c r="G25" s="66"/>
      <c r="H25" s="66"/>
      <c r="I25" s="66"/>
      <c r="J25" s="66"/>
      <c r="K25" s="66"/>
      <c r="L25" s="66"/>
      <c r="M25" s="66"/>
    </row>
    <row r="26" spans="1:14" x14ac:dyDescent="0.2">
      <c r="A26" s="68" t="s">
        <v>703</v>
      </c>
      <c r="B26" s="68" t="s">
        <v>12</v>
      </c>
      <c r="C26" s="68" t="s">
        <v>704</v>
      </c>
      <c r="D26" s="68" t="s">
        <v>683</v>
      </c>
      <c r="E26" s="66"/>
      <c r="F26" s="66"/>
      <c r="G26" s="72" t="s">
        <v>687</v>
      </c>
      <c r="H26" s="70">
        <v>36.71</v>
      </c>
      <c r="I26" s="70">
        <v>21.24</v>
      </c>
      <c r="J26" s="70">
        <v>151.37</v>
      </c>
      <c r="K26" s="70">
        <v>3.1</v>
      </c>
      <c r="L26" s="70">
        <v>3150</v>
      </c>
      <c r="M26" s="70">
        <v>0.54</v>
      </c>
    </row>
    <row r="29" spans="1:14" x14ac:dyDescent="0.2">
      <c r="A29" s="74" t="s">
        <v>705</v>
      </c>
      <c r="B29" s="75"/>
      <c r="C29" s="75"/>
      <c r="D29" s="66"/>
      <c r="E29" s="66"/>
      <c r="F29" s="66"/>
      <c r="G29" s="66"/>
      <c r="H29" s="66"/>
      <c r="I29" s="66"/>
      <c r="J29" s="66"/>
      <c r="K29" s="66"/>
      <c r="L29" s="66"/>
      <c r="M29" s="66"/>
    </row>
    <row r="30" spans="1:14" x14ac:dyDescent="0.2">
      <c r="A30" s="68" t="s">
        <v>678</v>
      </c>
      <c r="B30" s="68" t="s">
        <v>706</v>
      </c>
      <c r="C30" s="68" t="s">
        <v>682</v>
      </c>
      <c r="D30" s="68" t="s">
        <v>707</v>
      </c>
      <c r="E30" s="72" t="s">
        <v>675</v>
      </c>
      <c r="F30" s="70">
        <v>28.05</v>
      </c>
      <c r="G30" s="72" t="s">
        <v>676</v>
      </c>
      <c r="H30" s="70">
        <v>200</v>
      </c>
      <c r="I30" s="70">
        <v>18</v>
      </c>
      <c r="J30" s="70">
        <v>178</v>
      </c>
      <c r="K30" s="70">
        <v>64</v>
      </c>
      <c r="L30" s="70">
        <v>98000</v>
      </c>
      <c r="M30" s="70">
        <v>500</v>
      </c>
    </row>
    <row r="31" spans="1:14" x14ac:dyDescent="0.2">
      <c r="A31" s="68" t="s">
        <v>678</v>
      </c>
      <c r="B31" s="68" t="s">
        <v>679</v>
      </c>
      <c r="C31" s="68" t="s">
        <v>682</v>
      </c>
      <c r="D31" s="68" t="s">
        <v>708</v>
      </c>
      <c r="E31" s="72" t="s">
        <v>675</v>
      </c>
      <c r="F31" s="70">
        <v>41</v>
      </c>
      <c r="G31" s="72" t="s">
        <v>676</v>
      </c>
      <c r="H31" s="70">
        <v>133</v>
      </c>
      <c r="I31" s="70">
        <v>8</v>
      </c>
      <c r="J31" s="70">
        <v>15</v>
      </c>
      <c r="K31" s="70">
        <v>24</v>
      </c>
      <c r="L31" s="70">
        <v>76000</v>
      </c>
      <c r="M31" s="70">
        <v>440</v>
      </c>
    </row>
    <row r="32" spans="1:14" x14ac:dyDescent="0.2">
      <c r="A32" s="68" t="s">
        <v>684</v>
      </c>
      <c r="B32" s="68" t="s">
        <v>164</v>
      </c>
      <c r="C32" s="68" t="s">
        <v>709</v>
      </c>
      <c r="D32" s="68" t="s">
        <v>690</v>
      </c>
      <c r="E32" s="72" t="s">
        <v>675</v>
      </c>
      <c r="F32" s="70">
        <v>14.5</v>
      </c>
      <c r="G32" s="72" t="s">
        <v>676</v>
      </c>
      <c r="H32" s="70">
        <v>140</v>
      </c>
      <c r="I32" s="70">
        <v>28</v>
      </c>
      <c r="J32" s="70">
        <v>650</v>
      </c>
      <c r="K32" s="70">
        <v>80</v>
      </c>
      <c r="L32" s="70">
        <v>0</v>
      </c>
      <c r="M32" s="70">
        <v>0</v>
      </c>
    </row>
    <row r="33" spans="1:14" x14ac:dyDescent="0.2">
      <c r="A33" s="68" t="s">
        <v>684</v>
      </c>
      <c r="B33" s="68" t="s">
        <v>164</v>
      </c>
      <c r="C33" s="68" t="s">
        <v>710</v>
      </c>
      <c r="D33" s="68" t="s">
        <v>711</v>
      </c>
      <c r="E33" s="66"/>
      <c r="F33" s="66"/>
      <c r="G33" s="72" t="s">
        <v>687</v>
      </c>
      <c r="H33" s="70">
        <v>2000</v>
      </c>
      <c r="I33" s="70">
        <v>11.8</v>
      </c>
      <c r="J33" s="70">
        <v>70</v>
      </c>
      <c r="K33" s="70">
        <v>8</v>
      </c>
      <c r="L33" s="70">
        <v>0</v>
      </c>
      <c r="M33" s="70">
        <v>0</v>
      </c>
    </row>
    <row r="34" spans="1:14" x14ac:dyDescent="0.2">
      <c r="A34" s="68" t="s">
        <v>684</v>
      </c>
      <c r="B34" s="68" t="s">
        <v>164</v>
      </c>
      <c r="C34" s="68" t="s">
        <v>712</v>
      </c>
      <c r="D34" s="68" t="s">
        <v>713</v>
      </c>
      <c r="E34" s="66"/>
      <c r="F34" s="66"/>
      <c r="G34" s="72" t="s">
        <v>687</v>
      </c>
      <c r="H34" s="70">
        <v>0.1</v>
      </c>
      <c r="I34" s="70">
        <v>11.8</v>
      </c>
      <c r="J34" s="70">
        <v>86.2</v>
      </c>
      <c r="K34" s="70">
        <v>12.7</v>
      </c>
      <c r="L34" s="70">
        <v>1634</v>
      </c>
      <c r="M34" s="70">
        <v>0</v>
      </c>
    </row>
    <row r="36" spans="1:14" x14ac:dyDescent="0.2">
      <c r="A36" s="68" t="s">
        <v>714</v>
      </c>
      <c r="B36" s="68" t="s">
        <v>715</v>
      </c>
      <c r="C36" s="68" t="s">
        <v>716</v>
      </c>
      <c r="D36" s="68" t="s">
        <v>694</v>
      </c>
      <c r="E36" s="66"/>
      <c r="F36" s="66"/>
      <c r="G36" s="72" t="s">
        <v>701</v>
      </c>
      <c r="H36" s="70">
        <v>0.188</v>
      </c>
      <c r="I36" s="70">
        <v>4.5999999999999999E-2</v>
      </c>
      <c r="J36" s="70">
        <v>0.65900000000000003</v>
      </c>
      <c r="K36" s="70">
        <v>5.0000000000000001E-3</v>
      </c>
      <c r="L36" s="66"/>
      <c r="M36" s="70">
        <v>1E-3</v>
      </c>
      <c r="N36" s="68" t="s">
        <v>717</v>
      </c>
    </row>
    <row r="37" spans="1:14" x14ac:dyDescent="0.2">
      <c r="A37" s="68" t="s">
        <v>718</v>
      </c>
      <c r="B37" s="68" t="s">
        <v>715</v>
      </c>
      <c r="C37" s="68" t="s">
        <v>716</v>
      </c>
      <c r="D37" s="68" t="s">
        <v>694</v>
      </c>
      <c r="E37" s="66"/>
      <c r="F37" s="66"/>
      <c r="G37" s="72" t="s">
        <v>701</v>
      </c>
      <c r="H37" s="70">
        <v>0.64200000000000002</v>
      </c>
      <c r="I37" s="70">
        <v>0.123</v>
      </c>
      <c r="J37" s="70">
        <v>1.218</v>
      </c>
      <c r="K37" s="70">
        <v>3.9E-2</v>
      </c>
      <c r="L37" s="66"/>
      <c r="M37" s="70">
        <v>1E-3</v>
      </c>
      <c r="N37" s="68" t="s">
        <v>717</v>
      </c>
    </row>
    <row r="38" spans="1:14" x14ac:dyDescent="0.2">
      <c r="A38" s="68" t="s">
        <v>719</v>
      </c>
      <c r="B38" s="68" t="s">
        <v>715</v>
      </c>
      <c r="C38" s="68" t="s">
        <v>716</v>
      </c>
      <c r="D38" s="68" t="s">
        <v>694</v>
      </c>
      <c r="E38" s="66"/>
      <c r="F38" s="66"/>
      <c r="G38" s="72" t="s">
        <v>701</v>
      </c>
      <c r="H38" s="70">
        <v>10.195</v>
      </c>
      <c r="I38" s="70">
        <v>1.0900000000000001</v>
      </c>
      <c r="J38" s="70">
        <v>2.93</v>
      </c>
      <c r="K38" s="70">
        <v>0.28799999999999998</v>
      </c>
      <c r="L38" s="66"/>
      <c r="M38" s="70">
        <v>7.0000000000000001E-3</v>
      </c>
      <c r="N38" s="68" t="s">
        <v>717</v>
      </c>
    </row>
    <row r="40" spans="1:14" ht="13.5" customHeight="1" x14ac:dyDescent="0.2"/>
    <row r="42" spans="1:14" x14ac:dyDescent="0.2">
      <c r="A42" s="89" t="s">
        <v>750</v>
      </c>
      <c r="B42" s="90"/>
      <c r="C42" s="90"/>
      <c r="D42" s="85"/>
      <c r="E42" s="85"/>
      <c r="F42" s="85"/>
      <c r="G42" s="85"/>
      <c r="H42" s="85"/>
      <c r="I42" s="85"/>
      <c r="J42" s="85"/>
      <c r="K42" s="85"/>
      <c r="L42" s="85"/>
      <c r="M42" s="85"/>
      <c r="N42" s="85"/>
    </row>
    <row r="43" spans="1:14" x14ac:dyDescent="0.2">
      <c r="A43" s="86" t="s">
        <v>751</v>
      </c>
      <c r="B43" s="86" t="s">
        <v>752</v>
      </c>
      <c r="C43" s="86" t="s">
        <v>753</v>
      </c>
      <c r="D43" s="85"/>
      <c r="E43" s="85"/>
      <c r="F43" s="85"/>
      <c r="G43" s="88" t="s">
        <v>754</v>
      </c>
      <c r="H43" s="275">
        <v>1.5E-3</v>
      </c>
      <c r="I43" s="275">
        <v>6.8400000000000002E-2</v>
      </c>
      <c r="J43" s="275">
        <v>1.5</v>
      </c>
      <c r="K43" s="275">
        <v>7.4999999999999993E-5</v>
      </c>
      <c r="L43" s="275">
        <v>4.71</v>
      </c>
      <c r="M43" s="275">
        <v>7.5000000000000002E-4</v>
      </c>
      <c r="N43" s="85"/>
    </row>
    <row r="44" spans="1:14" x14ac:dyDescent="0.2">
      <c r="A44" s="86" t="s">
        <v>1406</v>
      </c>
      <c r="B44" s="86" t="s">
        <v>755</v>
      </c>
      <c r="C44" s="86" t="s">
        <v>756</v>
      </c>
      <c r="D44" s="85"/>
      <c r="E44" s="85"/>
      <c r="F44" s="85"/>
      <c r="G44" s="88" t="s">
        <v>754</v>
      </c>
      <c r="H44" s="638">
        <v>4.3</v>
      </c>
      <c r="I44" s="275">
        <v>1.0202399999999998</v>
      </c>
      <c r="J44" s="638">
        <v>7</v>
      </c>
      <c r="K44" s="275">
        <v>3.7187967140642771E-2</v>
      </c>
      <c r="L44" s="636">
        <v>1236.06</v>
      </c>
      <c r="M44" s="275">
        <v>0.19619999999999999</v>
      </c>
      <c r="N44" s="85"/>
    </row>
    <row r="45" spans="1:14" x14ac:dyDescent="0.2">
      <c r="A45" s="511" t="s">
        <v>1404</v>
      </c>
      <c r="B45" s="511" t="s">
        <v>755</v>
      </c>
      <c r="C45" s="511" t="s">
        <v>1405</v>
      </c>
      <c r="G45" s="512" t="s">
        <v>754</v>
      </c>
      <c r="H45" s="639">
        <v>6.8</v>
      </c>
      <c r="I45" s="513">
        <v>0.73584000000000005</v>
      </c>
      <c r="J45" s="513">
        <v>9.04176</v>
      </c>
      <c r="K45" s="513">
        <v>3.8468934413227504E-2</v>
      </c>
      <c r="L45" s="637">
        <v>1575</v>
      </c>
      <c r="M45" s="513">
        <v>0.25</v>
      </c>
    </row>
    <row r="46" spans="1:14" s="47" customFormat="1" x14ac:dyDescent="0.2"/>
    <row r="47" spans="1:14" s="47" customFormat="1" x14ac:dyDescent="0.2">
      <c r="A47" s="516" t="s">
        <v>1497</v>
      </c>
      <c r="B47" s="514"/>
      <c r="C47" s="514"/>
      <c r="D47" s="514"/>
      <c r="E47" s="514"/>
      <c r="F47" s="514"/>
      <c r="G47" s="514"/>
      <c r="H47" s="515" t="s">
        <v>1505</v>
      </c>
      <c r="I47" s="516" t="s">
        <v>1508</v>
      </c>
      <c r="J47" s="514"/>
      <c r="K47" s="514"/>
      <c r="L47" s="514"/>
      <c r="M47" s="514"/>
      <c r="N47" s="517"/>
    </row>
    <row r="48" spans="1:14" s="47" customFormat="1" x14ac:dyDescent="0.2">
      <c r="A48" s="47" t="s">
        <v>1498</v>
      </c>
      <c r="B48" s="47" t="s">
        <v>15</v>
      </c>
      <c r="C48" s="47" t="s">
        <v>1521</v>
      </c>
      <c r="D48" s="47" t="s">
        <v>803</v>
      </c>
      <c r="E48" s="48" t="s">
        <v>1504</v>
      </c>
      <c r="F48" s="47">
        <v>0.27779999999999999</v>
      </c>
      <c r="G48" s="47" t="s">
        <v>1499</v>
      </c>
      <c r="H48" s="47">
        <v>15.3</v>
      </c>
      <c r="I48" s="519">
        <f>F48*H48</f>
        <v>4.2503400000000005</v>
      </c>
    </row>
    <row r="49" spans="1:9" s="47" customFormat="1" x14ac:dyDescent="0.2">
      <c r="A49" s="47" t="s">
        <v>1500</v>
      </c>
      <c r="B49" s="47" t="s">
        <v>15</v>
      </c>
      <c r="C49" s="47" t="s">
        <v>1521</v>
      </c>
      <c r="D49" s="47" t="s">
        <v>803</v>
      </c>
      <c r="E49" s="48" t="s">
        <v>1504</v>
      </c>
      <c r="F49" s="47">
        <v>0.27779999999999999</v>
      </c>
      <c r="G49" s="47" t="s">
        <v>1499</v>
      </c>
      <c r="H49" s="630">
        <v>49</v>
      </c>
      <c r="I49" s="519">
        <f>F49*H49</f>
        <v>13.6122</v>
      </c>
    </row>
    <row r="50" spans="1:9" s="47" customFormat="1" x14ac:dyDescent="0.2">
      <c r="A50" s="47" t="s">
        <v>1501</v>
      </c>
      <c r="B50" s="47" t="s">
        <v>15</v>
      </c>
      <c r="C50" s="47" t="s">
        <v>1521</v>
      </c>
      <c r="E50" s="48" t="s">
        <v>1504</v>
      </c>
      <c r="F50" s="47">
        <v>0.27779999999999999</v>
      </c>
      <c r="G50" s="47" t="s">
        <v>1503</v>
      </c>
      <c r="H50" s="47">
        <v>0.5</v>
      </c>
    </row>
    <row r="51" spans="1:9" s="47" customFormat="1" x14ac:dyDescent="0.2">
      <c r="A51" s="47" t="s">
        <v>1502</v>
      </c>
      <c r="B51" s="47" t="s">
        <v>15</v>
      </c>
      <c r="C51" s="47" t="s">
        <v>1521</v>
      </c>
      <c r="E51" s="48" t="s">
        <v>1504</v>
      </c>
      <c r="F51" s="47">
        <v>0.27779999999999999</v>
      </c>
      <c r="G51" s="47" t="s">
        <v>1503</v>
      </c>
      <c r="H51" s="47">
        <v>0.9</v>
      </c>
    </row>
    <row r="52" spans="1:9" s="47" customFormat="1" x14ac:dyDescent="0.2"/>
    <row r="53" spans="1:9" s="276" customFormat="1" x14ac:dyDescent="0.2">
      <c r="A53" s="529" t="s">
        <v>1520</v>
      </c>
      <c r="B53" s="530"/>
      <c r="C53" s="530"/>
    </row>
    <row r="54" spans="1:9" x14ac:dyDescent="0.2">
      <c r="A54" t="s">
        <v>1418</v>
      </c>
      <c r="B54" t="s">
        <v>1422</v>
      </c>
    </row>
    <row r="55" spans="1:9" x14ac:dyDescent="0.2">
      <c r="B55" t="s">
        <v>1426</v>
      </c>
    </row>
    <row r="56" spans="1:9" x14ac:dyDescent="0.2">
      <c r="B56" t="s">
        <v>1534</v>
      </c>
    </row>
    <row r="57" spans="1:9" x14ac:dyDescent="0.2">
      <c r="B57" t="s">
        <v>1541</v>
      </c>
    </row>
    <row r="58" spans="1:9" x14ac:dyDescent="0.2">
      <c r="B58" t="s">
        <v>1420</v>
      </c>
    </row>
    <row r="59" spans="1:9" x14ac:dyDescent="0.2">
      <c r="B59" t="s">
        <v>1421</v>
      </c>
    </row>
    <row r="61" spans="1:9" x14ac:dyDescent="0.2">
      <c r="A61" t="s">
        <v>1423</v>
      </c>
      <c r="B61" t="s">
        <v>1424</v>
      </c>
    </row>
    <row r="62" spans="1:9" x14ac:dyDescent="0.2">
      <c r="B62" t="s">
        <v>1540</v>
      </c>
    </row>
    <row r="63" spans="1:9" x14ac:dyDescent="0.2">
      <c r="B63" t="s">
        <v>1425</v>
      </c>
    </row>
    <row r="64" spans="1:9" x14ac:dyDescent="0.2">
      <c r="B64" t="s">
        <v>1419</v>
      </c>
    </row>
    <row r="65" spans="2:2" x14ac:dyDescent="0.2">
      <c r="B65" t="s">
        <v>1533</v>
      </c>
    </row>
    <row r="66" spans="2:2" x14ac:dyDescent="0.2">
      <c r="B66" t="s">
        <v>1427</v>
      </c>
    </row>
    <row r="67" spans="2:2" x14ac:dyDescent="0.2">
      <c r="B67" t="s">
        <v>1421</v>
      </c>
    </row>
  </sheetData>
  <sheetProtection password="CA83" sheet="1" objects="1" scenarios="1"/>
  <dataValidations count="1">
    <dataValidation type="list" allowBlank="1" showInputMessage="1" showErrorMessage="1" sqref="F9">
      <formula1>$F$10:$F$14</formula1>
    </dataValidation>
  </dataValidations>
  <hyperlinks>
    <hyperlink ref="C10" r:id="rId1"/>
  </hyperlinks>
  <pageMargins left="0.7" right="0.7" top="1" bottom="0.75" header="0.3" footer="0.3"/>
  <pageSetup paperSize="8" scale="95" fitToHeight="3" orientation="landscape" r:id="rId2"/>
  <headerFooter>
    <oddFooter>&amp;L&amp;"Gill Sans MT,Regular"Printed: &amp;D&amp;C&amp;"Gill Sans MT,Regular"&amp;P of &amp;N&amp;R&amp;"Gill Sans MT,Regular"&amp;9Spreadsheet Designed by EBA on Behalf of Transport Canada</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18</vt:i4>
      </vt:variant>
    </vt:vector>
  </HeadingPairs>
  <TitlesOfParts>
    <vt:vector size="29" baseType="lpstr">
      <vt:lpstr>Intro</vt:lpstr>
      <vt:lpstr>Input</vt:lpstr>
      <vt:lpstr>Output</vt:lpstr>
      <vt:lpstr>Acronyms</vt:lpstr>
      <vt:lpstr>EF</vt:lpstr>
      <vt:lpstr>LAQ</vt:lpstr>
      <vt:lpstr>xfer</vt:lpstr>
      <vt:lpstr>Calc1</vt:lpstr>
      <vt:lpstr>Calc2</vt:lpstr>
      <vt:lpstr>Acraft</vt:lpstr>
      <vt:lpstr>Stat</vt:lpstr>
      <vt:lpstr>access_distances</vt:lpstr>
      <vt:lpstr>Canada</vt:lpstr>
      <vt:lpstr>Country</vt:lpstr>
      <vt:lpstr>distance_train</vt:lpstr>
      <vt:lpstr>N_A</vt:lpstr>
      <vt:lpstr>Acronyms!Print_Area</vt:lpstr>
      <vt:lpstr>Calc1!Print_Area</vt:lpstr>
      <vt:lpstr>Calc2!Print_Area</vt:lpstr>
      <vt:lpstr>EF!Print_Area</vt:lpstr>
      <vt:lpstr>Input!Print_Area</vt:lpstr>
      <vt:lpstr>Intro!Print_Area</vt:lpstr>
      <vt:lpstr>LAQ!Print_Area</vt:lpstr>
      <vt:lpstr>Output!Print_Area</vt:lpstr>
      <vt:lpstr>Calc1!Print_Titles</vt:lpstr>
      <vt:lpstr>Calc2!Print_Titles</vt:lpstr>
      <vt:lpstr>EF!Print_Titles</vt:lpstr>
      <vt:lpstr>LAQ!Print_Titles</vt:lpstr>
      <vt:lpstr>Output!Print_Titles</vt:lpstr>
    </vt:vector>
  </TitlesOfParts>
  <Company>EBA Engineering Consultants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Qian</dc:creator>
  <cp:lastModifiedBy>Xavier Oh</cp:lastModifiedBy>
  <cp:lastPrinted>2012-09-06T19:37:51Z</cp:lastPrinted>
  <dcterms:created xsi:type="dcterms:W3CDTF">2009-06-05T14:31:47Z</dcterms:created>
  <dcterms:modified xsi:type="dcterms:W3CDTF">2012-09-06T20:35:24Z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lag for Review">
    <vt:lpwstr>0</vt:lpwstr>
  </property>
  <property fmtid="{D5CDD505-2E9C-101B-9397-08002B2CF9AE}" pid="3" name="Views">
    <vt:lpwstr>Design</vt:lpwstr>
  </property>
  <property fmtid="{D5CDD505-2E9C-101B-9397-08002B2CF9AE}" pid="4" name="Data Type">
    <vt:lpwstr>Forms</vt:lpwstr>
  </property>
  <property fmtid="{D5CDD505-2E9C-101B-9397-08002B2CF9AE}" pid="5" name="Issued">
    <vt:lpwstr/>
  </property>
  <property fmtid="{D5CDD505-2E9C-101B-9397-08002B2CF9AE}" pid="6" name="Location">
    <vt:lpwstr/>
  </property>
  <property fmtid="{D5CDD505-2E9C-101B-9397-08002B2CF9AE}" pid="7" name="Test Type">
    <vt:lpwstr/>
  </property>
  <property fmtid="{D5CDD505-2E9C-101B-9397-08002B2CF9AE}" pid="8" name="Status">
    <vt:lpwstr/>
  </property>
</Properties>
</file>